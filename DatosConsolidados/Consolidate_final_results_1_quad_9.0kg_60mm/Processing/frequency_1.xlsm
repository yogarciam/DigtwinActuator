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quad_9.0kg_60mm M\Processing\"/>
    </mc:Choice>
  </mc:AlternateContent>
  <xr:revisionPtr revIDLastSave="0" documentId="13_ncr:1_{C1616A21-3DE9-4470-A977-D78468A2ED29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0" i="16" l="1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<sst xmlns="http://schemas.openxmlformats.org/spreadsheetml/2006/main" count="2659" uniqueCount="955">
  <si>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</si>
  <si>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</si>
  <si>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</si>
  <si>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</si>
  <si>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</si>
  <si>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</si>
  <si>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</si>
  <si>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</si>
  <si>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</si>
  <si>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</si>
  <si>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</si>
  <si>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</si>
  <si>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</si>
  <si>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Date_Seg5</t>
  </si>
  <si>
    <t>Time_Seg1</t>
  </si>
  <si>
    <t>Time_Seg2</t>
  </si>
  <si>
    <t>Time_Seg3</t>
  </si>
  <si>
    <t>Time_Seg4</t>
  </si>
  <si>
    <t>Time_Seg5</t>
  </si>
  <si>
    <t>Test_ID_Seg1</t>
  </si>
  <si>
    <t>Test_ID_Seg2</t>
  </si>
  <si>
    <t>Test_ID_Seg3</t>
  </si>
  <si>
    <t>Test_ID_Seg4</t>
  </si>
  <si>
    <t>Test_ID_Seg5</t>
  </si>
  <si>
    <t>Experimental_Seg1</t>
  </si>
  <si>
    <t>Experimental_Seg2</t>
  </si>
  <si>
    <t>Experimental_Seg3</t>
  </si>
  <si>
    <t>Experimental_Seg4</t>
  </si>
  <si>
    <t>Experimental_Seg5</t>
  </si>
  <si>
    <t>Pressure_Seg1</t>
  </si>
  <si>
    <t>Pressure_Seg2</t>
  </si>
  <si>
    <t>Pressure_Seg3</t>
  </si>
  <si>
    <t>Pressure_Seg4</t>
  </si>
  <si>
    <t>Pressure_Seg5</t>
  </si>
  <si>
    <t>dac_bits_Seg1</t>
  </si>
  <si>
    <t>dac_bits_Seg2</t>
  </si>
  <si>
    <t>dac_bits_Seg3</t>
  </si>
  <si>
    <t>dac_bits_Seg4</t>
  </si>
  <si>
    <t>dac_bits_Seg5</t>
  </si>
  <si>
    <t>mass_Seg1</t>
  </si>
  <si>
    <t>mass_Seg2</t>
  </si>
  <si>
    <t>mass_Seg3</t>
  </si>
  <si>
    <t>mass_Seg4</t>
  </si>
  <si>
    <t>mass_Seg5</t>
  </si>
  <si>
    <t>slide_Seg1</t>
  </si>
  <si>
    <t>slide_Seg2</t>
  </si>
  <si>
    <t>slide_Seg3</t>
  </si>
  <si>
    <t>slide_Seg4</t>
  </si>
  <si>
    <t>slide_Seg5</t>
  </si>
  <si>
    <t>time_Seg1</t>
  </si>
  <si>
    <t>time_Seg2</t>
  </si>
  <si>
    <t>time_Seg3</t>
  </si>
  <si>
    <t>time_Seg4</t>
  </si>
  <si>
    <t>time_Seg5</t>
  </si>
  <si>
    <t>2025-01-27</t>
  </si>
  <si>
    <t>22:24:00:138</t>
  </si>
  <si>
    <t>22:24:00:313</t>
  </si>
  <si>
    <t>22:24:00:514</t>
  </si>
  <si>
    <t>22:24:00:739</t>
  </si>
  <si>
    <t>22:24:00:920</t>
  </si>
  <si>
    <t>22:24:01:117</t>
  </si>
  <si>
    <t>22:24:01:339</t>
  </si>
  <si>
    <t>22:24:01:512</t>
  </si>
  <si>
    <t>22:24:01:714</t>
  </si>
  <si>
    <t>22:24:01:915</t>
  </si>
  <si>
    <t>22:24:02:127</t>
  </si>
  <si>
    <t>22:24:02:311</t>
  </si>
  <si>
    <t>22:24:02:548</t>
  </si>
  <si>
    <t>22:24:02:716</t>
  </si>
  <si>
    <t>22:24:02:912</t>
  </si>
  <si>
    <t>22:24:03:140</t>
  </si>
  <si>
    <t>22:24:03:308</t>
  </si>
  <si>
    <t>22:24:03:514</t>
  </si>
  <si>
    <t>22:24:03:740</t>
  </si>
  <si>
    <t>22:24:03:914</t>
  </si>
  <si>
    <t>22:24:04:110</t>
  </si>
  <si>
    <t>22:24:04:313</t>
  </si>
  <si>
    <t>22:24:04:530</t>
  </si>
  <si>
    <t>22:24:04:740</t>
  </si>
  <si>
    <t>22:24:04:940</t>
  </si>
  <si>
    <t>22:24:05:118</t>
  </si>
  <si>
    <t>22:24:05:312</t>
  </si>
  <si>
    <t>22:24:05:540</t>
  </si>
  <si>
    <t>22:24:05:712</t>
  </si>
  <si>
    <t>22:24:05:912</t>
  </si>
  <si>
    <t>22:24:06:110</t>
  </si>
  <si>
    <t>22:24:06:321</t>
  </si>
  <si>
    <t>22:24:06:509</t>
  </si>
  <si>
    <t>22:24:06:740</t>
  </si>
  <si>
    <t>22:24:06:919</t>
  </si>
  <si>
    <t>22:24:07:114</t>
  </si>
  <si>
    <t>22:24:07:339</t>
  </si>
  <si>
    <t>22:24:07:511</t>
  </si>
  <si>
    <t>22:24:07:712</t>
  </si>
  <si>
    <t>22:24:07:912</t>
  </si>
  <si>
    <t>22:24:08:113</t>
  </si>
  <si>
    <t>22:24:08:318</t>
  </si>
  <si>
    <t>22:24:08:536</t>
  </si>
  <si>
    <t>22:24:08:719</t>
  </si>
  <si>
    <t>22:24:08:910</t>
  </si>
  <si>
    <t>22:24:09:112</t>
  </si>
  <si>
    <t>22:24:09:319</t>
  </si>
  <si>
    <t>22:24:09:514</t>
  </si>
  <si>
    <t>22:24:09:739</t>
  </si>
  <si>
    <t>22:24:09:915</t>
  </si>
  <si>
    <t>22:24:10:112</t>
  </si>
  <si>
    <t>22:24:10:311</t>
  </si>
  <si>
    <t>22:24:10:519</t>
  </si>
  <si>
    <t>22:24:10:709</t>
  </si>
  <si>
    <t>22:24:10:912</t>
  </si>
  <si>
    <t>22:24:11:113</t>
  </si>
  <si>
    <t>22:24:11:308</t>
  </si>
  <si>
    <t>22:24:11:515</t>
  </si>
  <si>
    <t>22:24:11:719</t>
  </si>
  <si>
    <t>22:24:11:911</t>
  </si>
  <si>
    <t>22:24:12:111</t>
  </si>
  <si>
    <t>22:24:12:319</t>
  </si>
  <si>
    <t>22:24:12:516</t>
  </si>
  <si>
    <t>22:24:12:713</t>
  </si>
  <si>
    <t>22:24:12:912</t>
  </si>
  <si>
    <t>22:24:13:113</t>
  </si>
  <si>
    <t>22:24:13:312</t>
  </si>
  <si>
    <t>22:24:13:516</t>
  </si>
  <si>
    <t>22:24:13:712</t>
  </si>
  <si>
    <t>22:24:13:914</t>
  </si>
  <si>
    <t>22:24:14:119</t>
  </si>
  <si>
    <t>22:24:14:314</t>
  </si>
  <si>
    <t>22:24:14:515</t>
  </si>
  <si>
    <t>22:24:14:714</t>
  </si>
  <si>
    <t>22:24:14:912</t>
  </si>
  <si>
    <t>22:24:15:113</t>
  </si>
  <si>
    <t>22:24:15:319</t>
  </si>
  <si>
    <t>22:24:15:514</t>
  </si>
  <si>
    <t>22:24:15:714</t>
  </si>
  <si>
    <t>22:24:15:912</t>
  </si>
  <si>
    <t>22:24:16:113</t>
  </si>
  <si>
    <t>22:24:16:312</t>
  </si>
  <si>
    <t>22:24:16:511</t>
  </si>
  <si>
    <t>22:24:16:714</t>
  </si>
  <si>
    <t>22:24:16:914</t>
  </si>
  <si>
    <t>22:24:17:120</t>
  </si>
  <si>
    <t>22:24:17:316</t>
  </si>
  <si>
    <t>22:24:17:540</t>
  </si>
  <si>
    <t>22:24:17:720</t>
  </si>
  <si>
    <t>22:24:17:909</t>
  </si>
  <si>
    <t>22:24:18:123</t>
  </si>
  <si>
    <t>22:24:18:311</t>
  </si>
  <si>
    <t>22:24:18:512</t>
  </si>
  <si>
    <t>22:24:18:714</t>
  </si>
  <si>
    <t>22:24:18:921</t>
  </si>
  <si>
    <t>22:24:19:114</t>
  </si>
  <si>
    <t>22:24:19:340</t>
  </si>
  <si>
    <t>22:24:19:519</t>
  </si>
  <si>
    <t>22:24:19:712</t>
  </si>
  <si>
    <t>22:24:19:912</t>
  </si>
  <si>
    <t>22:24:20:114</t>
  </si>
  <si>
    <t>22:24:20:315</t>
  </si>
  <si>
    <t>22:24:20:537</t>
  </si>
  <si>
    <t>22:24:20:721</t>
  </si>
  <si>
    <t>22:24:20:915</t>
  </si>
  <si>
    <t>22:24:21:137</t>
  </si>
  <si>
    <t>22:24:21:322</t>
  </si>
  <si>
    <t>22:24:21:516</t>
  </si>
  <si>
    <t>22:24:21:736</t>
  </si>
  <si>
    <t>22:24:21:917</t>
  </si>
  <si>
    <t>22:24:22:112</t>
  </si>
  <si>
    <t>22:24:22:326</t>
  </si>
  <si>
    <t>22:24:22:519</t>
  </si>
  <si>
    <t>22:24:22:715</t>
  </si>
  <si>
    <t>22:24:22:916</t>
  </si>
  <si>
    <t>22:24:23:114</t>
  </si>
  <si>
    <t>22:24:23:313</t>
  </si>
  <si>
    <t>22:24:23:516</t>
  </si>
  <si>
    <t>22:24:23:715</t>
  </si>
  <si>
    <t>22:24:23:912</t>
  </si>
  <si>
    <t>22:24:24:132</t>
  </si>
  <si>
    <t>22:24:24:319</t>
  </si>
  <si>
    <t>22:24:24:512</t>
  </si>
  <si>
    <t>22:24:24:741</t>
  </si>
  <si>
    <t>22:24:24:912</t>
  </si>
  <si>
    <t>22:24:25:111</t>
  </si>
  <si>
    <t>22:24:25:317</t>
  </si>
  <si>
    <t>22:24:25:513</t>
  </si>
  <si>
    <t>22:24:25:713</t>
  </si>
  <si>
    <t>22:24:25:940</t>
  </si>
  <si>
    <t>22:24:26:117</t>
  </si>
  <si>
    <t>22:24:26:316</t>
  </si>
  <si>
    <t>22:24:26:539</t>
  </si>
  <si>
    <t>22:24:26:713</t>
  </si>
  <si>
    <t>22:24:26:916</t>
  </si>
  <si>
    <t>22:24:27:111</t>
  </si>
  <si>
    <t>22:24:27:319</t>
  </si>
  <si>
    <t>22:24:27:516</t>
  </si>
  <si>
    <t>22:24:27:714</t>
  </si>
  <si>
    <t>22:24:27:910</t>
  </si>
  <si>
    <t>22:24:28:116</t>
  </si>
  <si>
    <t>22:24:28:314</t>
  </si>
  <si>
    <t>22:24:28:510</t>
  </si>
  <si>
    <t>22:24:28:719</t>
  </si>
  <si>
    <t>22:24:28:912</t>
  </si>
  <si>
    <t>22:24:29:110</t>
  </si>
  <si>
    <t>22:24:29:314</t>
  </si>
  <si>
    <t>22:24:29:515</t>
  </si>
  <si>
    <t>22:24:29:722</t>
  </si>
  <si>
    <t>22:24:29:914</t>
  </si>
  <si>
    <t>22:24:30:116</t>
  </si>
  <si>
    <t>22:24:30:315</t>
  </si>
  <si>
    <t>22:24:30:517</t>
  </si>
  <si>
    <t>22:24:30:744</t>
  </si>
  <si>
    <t>22:24:30:915</t>
  </si>
  <si>
    <t>22:24:31:116</t>
  </si>
  <si>
    <t>22:24:31:311</t>
  </si>
  <si>
    <t>22:24:31:517</t>
  </si>
  <si>
    <t>22:24:31:715</t>
  </si>
  <si>
    <t>22:24:31:913</t>
  </si>
  <si>
    <t>22:24:32:119</t>
  </si>
  <si>
    <t>22:24:32:316</t>
  </si>
  <si>
    <t>22:24:32:511</t>
  </si>
  <si>
    <t>22:24:32:721</t>
  </si>
  <si>
    <t>22:24:32:915</t>
  </si>
  <si>
    <t>22:24:33:164</t>
  </si>
  <si>
    <t>22:24:33:314</t>
  </si>
  <si>
    <t>22:24:33:514</t>
  </si>
  <si>
    <t>22:24:33:713</t>
  </si>
  <si>
    <t>22:24:33:917</t>
  </si>
  <si>
    <t>22:24:34:115</t>
  </si>
  <si>
    <t>22:24:34:316</t>
  </si>
  <si>
    <t>22:24:34:517</t>
  </si>
  <si>
    <t>22:24:34:716</t>
  </si>
  <si>
    <t>22:24:34:913</t>
  </si>
  <si>
    <t>22:24:35:115</t>
  </si>
  <si>
    <t>22:24:35:316</t>
  </si>
  <si>
    <t>22:24:35:514</t>
  </si>
  <si>
    <t>22:24:35:723</t>
  </si>
  <si>
    <t>22:24:35:913</t>
  </si>
  <si>
    <t>22:24:36:139</t>
  </si>
  <si>
    <t>22:24:36:316</t>
  </si>
  <si>
    <t>22:24:36:513</t>
  </si>
  <si>
    <t>22:24:36:740</t>
  </si>
  <si>
    <t>22:24:36:916</t>
  </si>
  <si>
    <t>22:24:37:114</t>
  </si>
  <si>
    <t>22:24:37:315</t>
  </si>
  <si>
    <t>22:24:37:517</t>
  </si>
  <si>
    <t>22:24:37:713</t>
  </si>
  <si>
    <t>22:24:37:915</t>
  </si>
  <si>
    <t>22:24:38:118</t>
  </si>
  <si>
    <t>22:24:38:316</t>
  </si>
  <si>
    <t>22:24:38:515</t>
  </si>
  <si>
    <t>22:24:38:717</t>
  </si>
  <si>
    <t>22:24:38:915</t>
  </si>
  <si>
    <t>22:24:39:117</t>
  </si>
  <si>
    <t>22:24:39:316</t>
  </si>
  <si>
    <t>22:24:39:514</t>
  </si>
  <si>
    <t>22:24:39:716</t>
  </si>
  <si>
    <t>22:24:39:920</t>
  </si>
  <si>
    <t>22:24:40:118</t>
  </si>
  <si>
    <t>22:24:40:316</t>
  </si>
  <si>
    <t>22:24:40:520</t>
  </si>
  <si>
    <t>22:24:40:714</t>
  </si>
  <si>
    <t>22:24:40:939</t>
  </si>
  <si>
    <t>22:24:41:112</t>
  </si>
  <si>
    <t>22:24:41:317</t>
  </si>
  <si>
    <t>22:24:41:540</t>
  </si>
  <si>
    <t>22:24:41:717</t>
  </si>
  <si>
    <t>22:24:41:922</t>
  </si>
  <si>
    <t>22:24:42:115</t>
  </si>
  <si>
    <t>22:24:42:316</t>
  </si>
  <si>
    <t>22:24:42:519</t>
  </si>
  <si>
    <t>22:24:43:446</t>
  </si>
  <si>
    <t>22:24:43:501</t>
  </si>
  <si>
    <t>22:24:43:567</t>
  </si>
  <si>
    <t>22:24:43:624</t>
  </si>
  <si>
    <t>22:24:43:686</t>
  </si>
  <si>
    <t>22:24:43:742</t>
  </si>
  <si>
    <t>22:24:43:917</t>
  </si>
  <si>
    <t>22:24:44:119</t>
  </si>
  <si>
    <t>22:24:44:316</t>
  </si>
  <si>
    <t>22:24:44:516</t>
  </si>
  <si>
    <t>22:24:44:715</t>
  </si>
  <si>
    <t>22:24:44:915</t>
  </si>
  <si>
    <t>22:24:45:139</t>
  </si>
  <si>
    <t>22:24:45:319</t>
  </si>
  <si>
    <t>22:24:45:517</t>
  </si>
  <si>
    <t>22:24:45:739</t>
  </si>
  <si>
    <t>22:24:45:917</t>
  </si>
  <si>
    <t>22:24:46:116</t>
  </si>
  <si>
    <t>22:24:46:312</t>
  </si>
  <si>
    <t>22:24:46:518</t>
  </si>
  <si>
    <t>22:24:46:717</t>
  </si>
  <si>
    <t>22:24:46:915</t>
  </si>
  <si>
    <t>22:24:47:120</t>
  </si>
  <si>
    <t>22:24:47:317</t>
  </si>
  <si>
    <t>22:24:47:539</t>
  </si>
  <si>
    <t>22:24:47:718</t>
  </si>
  <si>
    <t>22:24:47:917</t>
  </si>
  <si>
    <t>22:24:48:140</t>
  </si>
  <si>
    <t>22:24:48:319</t>
  </si>
  <si>
    <t>22:24:48:518</t>
  </si>
  <si>
    <t>22:24:48:739</t>
  </si>
  <si>
    <t>22:24:48:918</t>
  </si>
  <si>
    <t>22:24:49:115</t>
  </si>
  <si>
    <t>22:24:49:318</t>
  </si>
  <si>
    <t>22:24:49:516</t>
  </si>
  <si>
    <t>22:24:49:715</t>
  </si>
  <si>
    <t>22:24:49:918</t>
  </si>
  <si>
    <t>22:24:50:115</t>
  </si>
  <si>
    <t>22:24:50:877</t>
  </si>
  <si>
    <t>22:24:51:428</t>
  </si>
  <si>
    <t>22:24:51:490</t>
  </si>
  <si>
    <t>22:24:51:547</t>
  </si>
  <si>
    <t>22:24:51:607</t>
  </si>
  <si>
    <t>22:24:51:718</t>
  </si>
  <si>
    <t>22:24:51:921</t>
  </si>
  <si>
    <t>22:24:52:119</t>
  </si>
  <si>
    <t>22:24:52:316</t>
  </si>
  <si>
    <t>22:24:52:520</t>
  </si>
  <si>
    <t>22:24:52:714</t>
  </si>
  <si>
    <t>22:24:52:916</t>
  </si>
  <si>
    <t>22:24:53:118</t>
  </si>
  <si>
    <t>22:24:53:316</t>
  </si>
  <si>
    <t>22:24:53:565</t>
  </si>
  <si>
    <t>22:24:53:717</t>
  </si>
  <si>
    <t>22:24:53:915</t>
  </si>
  <si>
    <t>22:24:54:117</t>
  </si>
  <si>
    <t>22:24:54:317</t>
  </si>
  <si>
    <t>22:24:54:515</t>
  </si>
  <si>
    <t>22:24:54:716</t>
  </si>
  <si>
    <t>22:24:54:913</t>
  </si>
  <si>
    <t>22:24:55:117</t>
  </si>
  <si>
    <t>22:24:55:323</t>
  </si>
  <si>
    <t>22:24:55:517</t>
  </si>
  <si>
    <t>22:24:55:718</t>
  </si>
  <si>
    <t>22:24:55:944</t>
  </si>
  <si>
    <t>22:24:56:124</t>
  </si>
  <si>
    <t>22:24:56:318</t>
  </si>
  <si>
    <t>22:24:56:518</t>
  </si>
  <si>
    <t>22:24:56:716</t>
  </si>
  <si>
    <t>22:24:56:916</t>
  </si>
  <si>
    <t>22:24:57:117</t>
  </si>
  <si>
    <t>22:24:57:316</t>
  </si>
  <si>
    <t>22:24:57:516</t>
  </si>
  <si>
    <t>22:24:57:717</t>
  </si>
  <si>
    <t>22:24:57:916</t>
  </si>
  <si>
    <t>22:24:58:116</t>
  </si>
  <si>
    <t>22:24:58:343</t>
  </si>
  <si>
    <t>22:24:58:521</t>
  </si>
  <si>
    <t>22:24:58:719</t>
  </si>
  <si>
    <t>22:24:58:940</t>
  </si>
  <si>
    <t>22:24:59:116</t>
  </si>
  <si>
    <t>22:24:59:315</t>
  </si>
  <si>
    <t>22:24:59:538</t>
  </si>
  <si>
    <t>22:24:59:717</t>
  </si>
  <si>
    <t>22:24:59:919</t>
  </si>
  <si>
    <t>22:25:00:122</t>
  </si>
  <si>
    <t>22:25:00:319</t>
  </si>
  <si>
    <t>22:25:00:518</t>
  </si>
  <si>
    <t>22:25:00:717</t>
  </si>
  <si>
    <t>22:25:00:919</t>
  </si>
  <si>
    <t>22:25:01:119</t>
  </si>
  <si>
    <t>22:25:01:340</t>
  </si>
  <si>
    <t>22:25:01:524</t>
  </si>
  <si>
    <t>22:25:01:719</t>
  </si>
  <si>
    <t>22:25:01:916</t>
  </si>
  <si>
    <t>22:25:02:131</t>
  </si>
  <si>
    <t>22:25:02:316</t>
  </si>
  <si>
    <t>22:25:02:540</t>
  </si>
  <si>
    <t>22:25:02:717</t>
  </si>
  <si>
    <t>22:25:02:915</t>
  </si>
  <si>
    <t>22:25:03:118</t>
  </si>
  <si>
    <t>22:25:03:314</t>
  </si>
  <si>
    <t>22:25:03:512</t>
  </si>
  <si>
    <t>22:25:03:716</t>
  </si>
  <si>
    <t>22:25:03:921</t>
  </si>
  <si>
    <t>22:25:04:118</t>
  </si>
  <si>
    <t>22:25:04:316</t>
  </si>
  <si>
    <t>22:25:04:519</t>
  </si>
  <si>
    <t>22:25:04:718</t>
  </si>
  <si>
    <t>22:25:04:918</t>
  </si>
  <si>
    <t>22:25:05:119</t>
  </si>
  <si>
    <t>22:25:05:317</t>
  </si>
  <si>
    <t>22:25:05:541</t>
  </si>
  <si>
    <t>22:25:05:716</t>
  </si>
  <si>
    <t>22:25:05:916</t>
  </si>
  <si>
    <t>22:25:06:118</t>
  </si>
  <si>
    <t>22:25:06:322</t>
  </si>
  <si>
    <t>22:25:06:518</t>
  </si>
  <si>
    <t>22:25:06:719</t>
  </si>
  <si>
    <t>22:25:06:916</t>
  </si>
  <si>
    <t>22:25:07:912</t>
  </si>
  <si>
    <t>22:25:08:042</t>
  </si>
  <si>
    <t>22:25:08:092</t>
  </si>
  <si>
    <t>22:25:08:155</t>
  </si>
  <si>
    <t>22:25:08:220</t>
  </si>
  <si>
    <t>22:25:08:277</t>
  </si>
  <si>
    <t>22:25:08:347</t>
  </si>
  <si>
    <t>22:25:08:550</t>
  </si>
  <si>
    <t>22:25:08:717</t>
  </si>
  <si>
    <t>22:25:08:919</t>
  </si>
  <si>
    <t>22:25:09:127</t>
  </si>
  <si>
    <t>22:25:09:318</t>
  </si>
  <si>
    <t>22:25:09:518</t>
  </si>
  <si>
    <t>22:25:09:740</t>
  </si>
  <si>
    <t>22:25:09:919</t>
  </si>
  <si>
    <t>22:25:10:119</t>
  </si>
  <si>
    <t>22:25:10:339</t>
  </si>
  <si>
    <t>22:25:10:519</t>
  </si>
  <si>
    <t>22:25:10:720</t>
  </si>
  <si>
    <t>22:25:10:939</t>
  </si>
  <si>
    <t>22:25:11:120</t>
  </si>
  <si>
    <t>22:25:11:318</t>
  </si>
  <si>
    <t>22:25:11:515</t>
  </si>
  <si>
    <t>22:25:11:720</t>
  </si>
  <si>
    <t>22:25:11:920</t>
  </si>
  <si>
    <t>22:25:12:137</t>
  </si>
  <si>
    <t>22:25:12:320</t>
  </si>
  <si>
    <t>22:25:12:522</t>
  </si>
  <si>
    <t>22:25:12:719</t>
  </si>
  <si>
    <t>22:25:12:922</t>
  </si>
  <si>
    <t>22:25:13:121</t>
  </si>
  <si>
    <t>22:25:13:343</t>
  </si>
  <si>
    <t>22:25:13:521</t>
  </si>
  <si>
    <t>22:25:13:719</t>
  </si>
  <si>
    <t>22:25:13:921</t>
  </si>
  <si>
    <t>22:25:14:117</t>
  </si>
  <si>
    <t>22:25:14:324</t>
  </si>
  <si>
    <t>22:25:14:519</t>
  </si>
  <si>
    <t>22:25:14:718</t>
  </si>
  <si>
    <t>22:25:14:961</t>
  </si>
  <si>
    <t>22:25:15:121</t>
  </si>
  <si>
    <t>22:25:15:316</t>
  </si>
  <si>
    <t>22:25:15:516</t>
  </si>
  <si>
    <t>22:25:15:740</t>
  </si>
  <si>
    <t>22:25:15:920</t>
  </si>
  <si>
    <t>22:25:16:117</t>
  </si>
  <si>
    <t>22:25:16:340</t>
  </si>
  <si>
    <t>22:25:16:522</t>
  </si>
  <si>
    <t>22:25:16:724</t>
  </si>
  <si>
    <t>22:25:16:922</t>
  </si>
  <si>
    <t>22:25:17:118</t>
  </si>
  <si>
    <t>22:25:17:321</t>
  </si>
  <si>
    <t>22:25:17:541</t>
  </si>
  <si>
    <t>22:25:17:721</t>
  </si>
  <si>
    <t>22:25:17:917</t>
  </si>
  <si>
    <t>22:25:18:120</t>
  </si>
  <si>
    <t>22:25:18:322</t>
  </si>
  <si>
    <t>22:25:18:518</t>
  </si>
  <si>
    <t>22:25:18:719</t>
  </si>
  <si>
    <t>22:25:18:922</t>
  </si>
  <si>
    <t>22:25:19:121</t>
  </si>
  <si>
    <t>22:25:19:318</t>
  </si>
  <si>
    <t>22:25:19:521</t>
  </si>
  <si>
    <t>22:25:19:722</t>
  </si>
  <si>
    <t>22:25:19:922</t>
  </si>
  <si>
    <t>22:25:20:121</t>
  </si>
  <si>
    <t>22:25:20:321</t>
  </si>
  <si>
    <t>22:25:20:518</t>
  </si>
  <si>
    <t>22:25:20:718</t>
  </si>
  <si>
    <t>22:25:20:961</t>
  </si>
  <si>
    <t>22:25:21:125</t>
  </si>
  <si>
    <t>22:25:21:329</t>
  </si>
  <si>
    <t>22:25:21:519</t>
  </si>
  <si>
    <t>22:25:21:740</t>
  </si>
  <si>
    <t>22:25:21:921</t>
  </si>
  <si>
    <t>22:25:22:119</t>
  </si>
  <si>
    <t>22:25:22:340</t>
  </si>
  <si>
    <t>22:25:22:521</t>
  </si>
  <si>
    <t>22:25:22:719</t>
  </si>
  <si>
    <t>22:25:22:920</t>
  </si>
  <si>
    <t>22:25:23:120</t>
  </si>
  <si>
    <t>22:25:23:320</t>
  </si>
  <si>
    <t>22:25:23:517</t>
  </si>
  <si>
    <t>22:25:23:718</t>
  </si>
  <si>
    <t>22:25:23:927</t>
  </si>
  <si>
    <t>22:25:24:117</t>
  </si>
  <si>
    <t>22:25:24:320</t>
  </si>
  <si>
    <t>22:25:24:519</t>
  </si>
  <si>
    <t>22:25:24:736</t>
  </si>
  <si>
    <t>22:25:24:921</t>
  </si>
  <si>
    <t>22:25:25:121</t>
  </si>
  <si>
    <t>22:25:25:324</t>
  </si>
  <si>
    <t>22:25:25:521</t>
  </si>
  <si>
    <t>22:25:25:722</t>
  </si>
  <si>
    <t>22:25:25:919</t>
  </si>
  <si>
    <t>22:25:26:122</t>
  </si>
  <si>
    <t>22:25:26:322</t>
  </si>
  <si>
    <t>22:25:26:540</t>
  </si>
  <si>
    <t>22:25:26:721</t>
  </si>
  <si>
    <t>22:25:26:919</t>
  </si>
  <si>
    <t>22:25:27:119</t>
  </si>
  <si>
    <t>22:25:27:320</t>
  </si>
  <si>
    <t>22:25:27:521</t>
  </si>
  <si>
    <t>22:25:27:752</t>
  </si>
  <si>
    <t>22:25:27:923</t>
  </si>
  <si>
    <t>22:25:28:116</t>
  </si>
  <si>
    <t>22:25:28:342</t>
  </si>
  <si>
    <t>22:25:28:520</t>
  </si>
  <si>
    <t>22:25:28:720</t>
  </si>
  <si>
    <t>22:25:28:941</t>
  </si>
  <si>
    <t>22:25:29:124</t>
  </si>
  <si>
    <t>22:25:29:318</t>
  </si>
  <si>
    <t>22:25:29:542</t>
  </si>
  <si>
    <t>22:25:29:720</t>
  </si>
  <si>
    <t>22:25:29:920</t>
  </si>
  <si>
    <t>22:25:30:119</t>
  </si>
  <si>
    <t>22:25:30:320</t>
  </si>
  <si>
    <t>22:25:30:520</t>
  </si>
  <si>
    <t>22:25:30:719</t>
  </si>
  <si>
    <t>22:25:30:921</t>
  </si>
  <si>
    <t>22:25:31:123</t>
  </si>
  <si>
    <t>22:25:31:334</t>
  </si>
  <si>
    <t>22:25:31:522</t>
  </si>
  <si>
    <t>22:25:31:718</t>
  </si>
  <si>
    <t>22:25:31:919</t>
  </si>
  <si>
    <t>22:25:32:120</t>
  </si>
  <si>
    <t>22:25:32:322</t>
  </si>
  <si>
    <t>22:25:32:540</t>
  </si>
  <si>
    <t>22:25:32:719</t>
  </si>
  <si>
    <t>22:25:32:920</t>
  </si>
  <si>
    <t>22:25:33:123</t>
  </si>
  <si>
    <t>22:25:33:319</t>
  </si>
  <si>
    <t>22:25:33:520</t>
  </si>
  <si>
    <t>22:25:33:720</t>
  </si>
  <si>
    <t>22:25:33:920</t>
  </si>
  <si>
    <t>22:25:34:161</t>
  </si>
  <si>
    <t>22:25:34:322</t>
  </si>
  <si>
    <t>22:25:34:522</t>
  </si>
  <si>
    <t>22:25:34:722</t>
  </si>
  <si>
    <t>22:25:34:941</t>
  </si>
  <si>
    <t>22:25:35:120</t>
  </si>
  <si>
    <t>22:25:35:321</t>
  </si>
  <si>
    <t>22:25:35:521</t>
  </si>
  <si>
    <t>22:25:35:720</t>
  </si>
  <si>
    <t>22:25:35:922</t>
  </si>
  <si>
    <t>22:25:36:122</t>
  </si>
  <si>
    <t>22:25:36:319</t>
  </si>
  <si>
    <t>22:25:36:522</t>
  </si>
  <si>
    <t>22:25:36:717</t>
  </si>
  <si>
    <t>22:25:36:921</t>
  </si>
  <si>
    <t>22:25:37:119</t>
  </si>
  <si>
    <t>22:25:37:318</t>
  </si>
  <si>
    <t>22:25:37:523</t>
  </si>
  <si>
    <t>22:25:37:720</t>
  </si>
  <si>
    <t>22:25:37:921</t>
  </si>
  <si>
    <t>22:25:38:124</t>
  </si>
  <si>
    <t>22:25:38:321</t>
  </si>
  <si>
    <t>22:25:38:521</t>
  </si>
  <si>
    <t>22:25:38:723</t>
  </si>
  <si>
    <t>22:25:38:920</t>
  </si>
  <si>
    <t>22:25:39:141</t>
  </si>
  <si>
    <t>22:25:39:321</t>
  </si>
  <si>
    <t>22:25:39:518</t>
  </si>
  <si>
    <t>22:25:39:740</t>
  </si>
  <si>
    <t>22:25:39:921</t>
  </si>
  <si>
    <t>22:25:40:120</t>
  </si>
  <si>
    <t>22:25:40:319</t>
  </si>
  <si>
    <t>22:25:40:532</t>
  </si>
  <si>
    <t>22:25:40:717</t>
  </si>
  <si>
    <t>22:25:40:939</t>
  </si>
  <si>
    <t>22:25:41:118</t>
  </si>
  <si>
    <t>22:25:41:316</t>
  </si>
  <si>
    <t>22:25:41:522</t>
  </si>
  <si>
    <t>22:25:41:718</t>
  </si>
  <si>
    <t>22:25:41:916</t>
  </si>
  <si>
    <t>22:25:42:140</t>
  </si>
  <si>
    <t>22:25:42:323</t>
  </si>
  <si>
    <t>22:25:42:528</t>
  </si>
  <si>
    <t>22:25:42:741</t>
  </si>
  <si>
    <t>22:25:42:919</t>
  </si>
  <si>
    <t>22:25:43:120</t>
  </si>
  <si>
    <t>22:25:43:321</t>
  </si>
  <si>
    <t>22:25:43:520</t>
  </si>
  <si>
    <t>22:25:43:721</t>
  </si>
  <si>
    <t>22:25:43:921</t>
  </si>
  <si>
    <t>22:25:44:122</t>
  </si>
  <si>
    <t>22:25:44:321</t>
  </si>
  <si>
    <t>22:25:44:535</t>
  </si>
  <si>
    <t>22:25:44:722</t>
  </si>
  <si>
    <t>22:25:44:920</t>
  </si>
  <si>
    <t>22:25:45:138</t>
  </si>
  <si>
    <t>22:25:45:317</t>
  </si>
  <si>
    <t>22:25:45:520</t>
  </si>
  <si>
    <t>22:25:45:720</t>
  </si>
  <si>
    <t>22:25:45:918</t>
  </si>
  <si>
    <t>22:25:46:120</t>
  </si>
  <si>
    <t>22:25:46:321</t>
  </si>
  <si>
    <t>22:25:46:522</t>
  </si>
  <si>
    <t>22:25:46:719</t>
  </si>
  <si>
    <t>22:25:46:950</t>
  </si>
  <si>
    <t>22:25:47:120</t>
  </si>
  <si>
    <t>22:25:47:320</t>
  </si>
  <si>
    <t>22:25:47:519</t>
  </si>
  <si>
    <t>22:25:47:720</t>
  </si>
  <si>
    <t>22:25:47:921</t>
  </si>
  <si>
    <t>22:25:48:120</t>
  </si>
  <si>
    <t>22:25:48:320</t>
  </si>
  <si>
    <t>22:25:48:521</t>
  </si>
  <si>
    <t>22:25:48:729</t>
  </si>
  <si>
    <t>22:25:48:922</t>
  </si>
  <si>
    <t>22:25:49:122</t>
  </si>
  <si>
    <t>22:25:49:340</t>
  </si>
  <si>
    <t>22:25:49:520</t>
  </si>
  <si>
    <t>22:25:49:722</t>
  </si>
  <si>
    <t>22:25:49:922</t>
  </si>
  <si>
    <t>22:25:50:121</t>
  </si>
  <si>
    <t>22:25:51:322</t>
  </si>
  <si>
    <t>22:25:51:522</t>
  </si>
  <si>
    <t>22:25:51:743</t>
  </si>
  <si>
    <t>22:25:51:924</t>
  </si>
  <si>
    <t>22:25:52:121</t>
  </si>
  <si>
    <t>22:25:52:321</t>
  </si>
  <si>
    <t>22:25:52:523</t>
  </si>
  <si>
    <t>22:25:52:723</t>
  </si>
  <si>
    <t>22:25:52:920</t>
  </si>
  <si>
    <t>22:25:53:121</t>
  </si>
  <si>
    <t>22:25:53:362</t>
  </si>
  <si>
    <t>22:25:53:540</t>
  </si>
  <si>
    <t>22:25:53:724</t>
  </si>
  <si>
    <t>22:25:53:917</t>
  </si>
  <si>
    <t>22:25:54:140</t>
  </si>
  <si>
    <t>22:25:54:320</t>
  </si>
  <si>
    <t>22:25:54:521</t>
  </si>
  <si>
    <t>22:25:54:722</t>
  </si>
  <si>
    <t>22:25:54:922</t>
  </si>
  <si>
    <t>22:25:55:139</t>
  </si>
  <si>
    <t>22:25:55:341</t>
  </si>
  <si>
    <t>22:25:55:521</t>
  </si>
  <si>
    <t>22:25:55:722</t>
  </si>
  <si>
    <t>22:25:55:941</t>
  </si>
  <si>
    <t>22:25:56:122</t>
  </si>
  <si>
    <t>22:25:56:320</t>
  </si>
  <si>
    <t>22:25:56:540</t>
  </si>
  <si>
    <t>22:25:56:722</t>
  </si>
  <si>
    <t>22:25:56:926</t>
  </si>
  <si>
    <t>22:25:57:117</t>
  </si>
  <si>
    <t>22:25:57:321</t>
  </si>
  <si>
    <t>22:25:57:520</t>
  </si>
  <si>
    <t>22:25:57:740</t>
  </si>
  <si>
    <t>22:25:57:926</t>
  </si>
  <si>
    <t>22:25:58:122</t>
  </si>
  <si>
    <t>22:25:58:340</t>
  </si>
  <si>
    <t>22:25:58:519</t>
  </si>
  <si>
    <t>22:25:58:722</t>
  </si>
  <si>
    <t>22:25:58:931</t>
  </si>
  <si>
    <t>22:25:59:118</t>
  </si>
  <si>
    <t>22:25:59:323</t>
  </si>
  <si>
    <t>22:25:59:540</t>
  </si>
  <si>
    <t>22:25:59:731</t>
  </si>
  <si>
    <t>22:25:59:920</t>
  </si>
  <si>
    <t>22:26:00:140</t>
  </si>
  <si>
    <t>22:26:00:322</t>
  </si>
  <si>
    <t>22:26:00:522</t>
  </si>
  <si>
    <t>22:26:00:723</t>
  </si>
  <si>
    <t>22:26:00:921</t>
  </si>
  <si>
    <t>22:26:01:122</t>
  </si>
  <si>
    <t>22:26:01:323</t>
  </si>
  <si>
    <t>22:26:01:521</t>
  </si>
  <si>
    <t>22:26:01:724</t>
  </si>
  <si>
    <t>22:26:01:921</t>
  </si>
  <si>
    <t>22:26:02:123</t>
  </si>
  <si>
    <t>22:26:02:324</t>
  </si>
  <si>
    <t>22:26:02:521</t>
  </si>
  <si>
    <t>22:26:02:720</t>
  </si>
  <si>
    <t>22:26:02:922</t>
  </si>
  <si>
    <t>22:26:03:148</t>
  </si>
  <si>
    <t>22:26:03:324</t>
  </si>
  <si>
    <t>22:26:03:521</t>
  </si>
  <si>
    <t>22:26:03:724</t>
  </si>
  <si>
    <t>22:26:03:928</t>
  </si>
  <si>
    <t>22:26:04:123</t>
  </si>
  <si>
    <t>22:26:04:322</t>
  </si>
  <si>
    <t>22:26:04:523</t>
  </si>
  <si>
    <t>22:26:04:720</t>
  </si>
  <si>
    <t>22:26:04:921</t>
  </si>
  <si>
    <t>22:26:05:123</t>
  </si>
  <si>
    <t>22:26:05:323</t>
  </si>
  <si>
    <t>22:26:05:523</t>
  </si>
  <si>
    <t>22:26:05:722</t>
  </si>
  <si>
    <t>22:26:05:924</t>
  </si>
  <si>
    <t>22:26:06:154</t>
  </si>
  <si>
    <t>22:26:06:321</t>
  </si>
  <si>
    <t>22:26:06:518</t>
  </si>
  <si>
    <t>22:26:06:720</t>
  </si>
  <si>
    <t>22:26:06:922</t>
  </si>
  <si>
    <t>22:26:07:118</t>
  </si>
  <si>
    <t>22:26:07:322</t>
  </si>
  <si>
    <t>22:26:07:520</t>
  </si>
  <si>
    <t>22:26:07:719</t>
  </si>
  <si>
    <t>22:26:07:923</t>
  </si>
  <si>
    <t>22:26:08:123</t>
  </si>
  <si>
    <t>22:26:08:324</t>
  </si>
  <si>
    <t>22:26:08:521</t>
  </si>
  <si>
    <t>22:26:08:725</t>
  </si>
  <si>
    <t>22:26:08:921</t>
  </si>
  <si>
    <t>22:26:09:141</t>
  </si>
  <si>
    <t>22:26:09:324</t>
  </si>
  <si>
    <t>22:26:09:519</t>
  </si>
  <si>
    <t>22:26:09:721</t>
  </si>
  <si>
    <t>22:26:09:935</t>
  </si>
  <si>
    <t>22:26:10:119</t>
  </si>
  <si>
    <t>22:26:10:325</t>
  </si>
  <si>
    <t>22:26:10:519</t>
  </si>
  <si>
    <t>22:26:10:718</t>
  </si>
  <si>
    <t>22:26:10:942</t>
  </si>
  <si>
    <t>22:26:11:123</t>
  </si>
  <si>
    <t>22:26:11:324</t>
  </si>
  <si>
    <t>22:26:11:522</t>
  </si>
  <si>
    <t>22:26:11:721</t>
  </si>
  <si>
    <t>22:26:11:924</t>
  </si>
  <si>
    <t>22:26:12:120</t>
  </si>
  <si>
    <t>22:26:12:326</t>
  </si>
  <si>
    <t>22:26:12:561</t>
  </si>
  <si>
    <t>22:26:12:721</t>
  </si>
  <si>
    <t>22:26:12:924</t>
  </si>
  <si>
    <t>22:26:13:124</t>
  </si>
  <si>
    <t>22:26:13:321</t>
  </si>
  <si>
    <t>22:26:13:523</t>
  </si>
  <si>
    <t>22:26:13:722</t>
  </si>
  <si>
    <t>22:26:13:923</t>
  </si>
  <si>
    <t>22:26:14:124</t>
  </si>
  <si>
    <t>22:26:14:324</t>
  </si>
  <si>
    <t>22:26:14:540</t>
  </si>
  <si>
    <t>22:26:14:722</t>
  </si>
  <si>
    <t>22:26:14:922</t>
  </si>
  <si>
    <t>22:26:15:157</t>
  </si>
  <si>
    <t>22:26:15:322</t>
  </si>
  <si>
    <t>22:26:15:525</t>
  </si>
  <si>
    <t>22:26:15:721</t>
  </si>
  <si>
    <t>22:26:15:923</t>
  </si>
  <si>
    <t>22:26:16:124</t>
  </si>
  <si>
    <t>22:26:16:321</t>
  </si>
  <si>
    <t>22:26:16:524</t>
  </si>
  <si>
    <t>22:26:16:729</t>
  </si>
  <si>
    <t>22:26:16:939</t>
  </si>
  <si>
    <t>22:26:17:124</t>
  </si>
  <si>
    <t>22:26:17:323</t>
  </si>
  <si>
    <t>22:26:17:527</t>
  </si>
  <si>
    <t>22:26:17:724</t>
  </si>
  <si>
    <t>22:26:17:924</t>
  </si>
  <si>
    <t>22:26:18:141</t>
  </si>
  <si>
    <t>22:26:18:324</t>
  </si>
  <si>
    <t>22:26:18:524</t>
  </si>
  <si>
    <t>22:26:18:738</t>
  </si>
  <si>
    <t>22:26:18:934</t>
  </si>
  <si>
    <t>22:26:19:118</t>
  </si>
  <si>
    <t>22:26:19:340</t>
  </si>
  <si>
    <t>22:26:19:523</t>
  </si>
  <si>
    <t>22:26:19:720</t>
  </si>
  <si>
    <t>22:26:19:920</t>
  </si>
  <si>
    <t>22:26:20:124</t>
  </si>
  <si>
    <t>22:26:20:318</t>
  </si>
  <si>
    <t>22:26:20:540</t>
  </si>
  <si>
    <t>22:26:20:723</t>
  </si>
  <si>
    <t>22:26:20:922</t>
  </si>
  <si>
    <t>22:26:21:141</t>
  </si>
  <si>
    <t>22:26:21:323</t>
  </si>
  <si>
    <t>22:26:21:524</t>
  </si>
  <si>
    <t>22:26:21:741</t>
  </si>
  <si>
    <t>22:26:21:923</t>
  </si>
  <si>
    <t>22:26:22:126</t>
  </si>
  <si>
    <t>22:26:22:344</t>
  </si>
  <si>
    <t>22:26:22:522</t>
  </si>
  <si>
    <t>22:26:22:723</t>
  </si>
  <si>
    <t>22:26:22:925</t>
  </si>
  <si>
    <t>22:26:23:124</t>
  </si>
  <si>
    <t>22:26:23:327</t>
  </si>
  <si>
    <t>22:26:23:541</t>
  </si>
  <si>
    <t>22:26:23:721</t>
  </si>
  <si>
    <t>22:26:23:923</t>
  </si>
  <si>
    <t>22:26:24:140</t>
  </si>
  <si>
    <t>22:26:24:321</t>
  </si>
  <si>
    <t>22:26:24:691</t>
  </si>
  <si>
    <t>22:26:24:809</t>
  </si>
  <si>
    <t>22:26:24:923</t>
  </si>
  <si>
    <t>22:26:25:126</t>
  </si>
  <si>
    <t>22:26:25:342</t>
  </si>
  <si>
    <t>22:26:25:570</t>
  </si>
  <si>
    <t>22:26:25:727</t>
  </si>
  <si>
    <t>22:26:25:924</t>
  </si>
  <si>
    <t>22:26:26:131</t>
  </si>
  <si>
    <t>22:26:26:326</t>
  </si>
  <si>
    <t>22:26:26:522</t>
  </si>
  <si>
    <t>22:26:26:725</t>
  </si>
  <si>
    <t>22:26:26:925</t>
  </si>
  <si>
    <t>22:26:27:141</t>
  </si>
  <si>
    <t>22:26:27:324</t>
  </si>
  <si>
    <t>22:26:27:522</t>
  </si>
  <si>
    <t>22:26:27:721</t>
  </si>
  <si>
    <t>22:26:27:928</t>
  </si>
  <si>
    <t>22:26:28:123</t>
  </si>
  <si>
    <t>22:26:28:321</t>
  </si>
  <si>
    <t>22:26:28:520</t>
  </si>
  <si>
    <t>22:26:28:729</t>
  </si>
  <si>
    <t>22:26:28:937</t>
  </si>
  <si>
    <t>22:26:29:123</t>
  </si>
  <si>
    <t>22:26:29:326</t>
  </si>
  <si>
    <t>22:26:29:540</t>
  </si>
  <si>
    <t>22:26:29:723</t>
  </si>
  <si>
    <t>22:26:29:921</t>
  </si>
  <si>
    <t>22:26:30:125</t>
  </si>
  <si>
    <t>22:26:30:324</t>
  </si>
  <si>
    <t>22:26:30:524</t>
  </si>
  <si>
    <t>22:26:30:739</t>
  </si>
  <si>
    <t>22:26:30:925</t>
  </si>
  <si>
    <t>22:26:31:125</t>
  </si>
  <si>
    <t>22:26:31:322</t>
  </si>
  <si>
    <t>22:26:31:524</t>
  </si>
  <si>
    <t>22:26:31:745</t>
  </si>
  <si>
    <t>22:26:31:924</t>
  </si>
  <si>
    <t>22:26:32:124</t>
  </si>
  <si>
    <t>22:26:32:322</t>
  </si>
  <si>
    <t>22:26:32:527</t>
  </si>
  <si>
    <t>22:26:32:726</t>
  </si>
  <si>
    <t>22:26:32:923</t>
  </si>
  <si>
    <t>22:26:33:128</t>
  </si>
  <si>
    <t>22:26:33:325</t>
  </si>
  <si>
    <t>22:26:33:524</t>
  </si>
  <si>
    <t>22:26:33:742</t>
  </si>
  <si>
    <t>22:26:33:926</t>
  </si>
  <si>
    <t>22:26:34:129</t>
  </si>
  <si>
    <t>22:26:34:326</t>
  </si>
  <si>
    <t>22:26:34:523</t>
  </si>
  <si>
    <t>22:26:34:725</t>
  </si>
  <si>
    <t>22:26:34:941</t>
  </si>
  <si>
    <t>22:26:35:124</t>
  </si>
  <si>
    <t>22:26:35:324</t>
  </si>
  <si>
    <t>22:26:35:540</t>
  </si>
  <si>
    <t>22:26:35:724</t>
  </si>
  <si>
    <t>22:26:35:925</t>
  </si>
  <si>
    <t>22:26:36:124</t>
  </si>
  <si>
    <t>22:26:36:330</t>
  </si>
  <si>
    <t>22:26:36:524</t>
  </si>
  <si>
    <t>22:26:36:742</t>
  </si>
  <si>
    <t>22:26:36:923</t>
  </si>
  <si>
    <t>22:26:37:124</t>
  </si>
  <si>
    <t>22:26:37:326</t>
  </si>
  <si>
    <t>22:26:37:522</t>
  </si>
  <si>
    <t>22:26:37:723</t>
  </si>
  <si>
    <t>22:26:37:922</t>
  </si>
  <si>
    <t>22:26:38:133</t>
  </si>
  <si>
    <t>22:26:38:324</t>
  </si>
  <si>
    <t>22:26:38:542</t>
  </si>
  <si>
    <t>22:26:38:723</t>
  </si>
  <si>
    <t>22:26:38:926</t>
  </si>
  <si>
    <t>22:26:39:124</t>
  </si>
  <si>
    <t>22:26:39:325</t>
  </si>
  <si>
    <t>22:26:39:527</t>
  </si>
  <si>
    <t>22:26:39:740</t>
  </si>
  <si>
    <t>22:26:39:925</t>
  </si>
  <si>
    <t>22:26:40:124</t>
  </si>
  <si>
    <t>22:26:40:340</t>
  </si>
  <si>
    <t>22:26:40:524</t>
  </si>
  <si>
    <t>22:26:40:725</t>
  </si>
  <si>
    <t>22:26:40:930</t>
  </si>
  <si>
    <t>22:26:41:127</t>
  </si>
  <si>
    <t>22:26:41:326</t>
  </si>
  <si>
    <t>22:26:41:520</t>
  </si>
  <si>
    <t>22:26:41:725</t>
  </si>
  <si>
    <t>22:26:41:930</t>
  </si>
  <si>
    <t>22:26:42:127</t>
  </si>
  <si>
    <t>22:26:42:330</t>
  </si>
  <si>
    <t>22:26:42:534</t>
  </si>
  <si>
    <t>22:26:42:733</t>
  </si>
  <si>
    <t>22:26:42:926</t>
  </si>
  <si>
    <t>22:26:43:125</t>
  </si>
  <si>
    <t>22:26:43:324</t>
  </si>
  <si>
    <t>22:26:43:525</t>
  </si>
  <si>
    <t>22:26:43:725</t>
  </si>
  <si>
    <t>22:26:43:927</t>
  </si>
  <si>
    <t>22:26:44:128</t>
  </si>
  <si>
    <t>22:26:44:327</t>
  </si>
  <si>
    <t>22:26:44:551</t>
  </si>
  <si>
    <t>22:26:44:725</t>
  </si>
  <si>
    <t>22:26:44:921</t>
  </si>
  <si>
    <t>22:26:45:127</t>
  </si>
  <si>
    <t>22:26:45:326</t>
  </si>
  <si>
    <t>22:26:45:522</t>
  </si>
  <si>
    <t>22:26:45:724</t>
  </si>
  <si>
    <t>22:26:45:924</t>
  </si>
  <si>
    <t>22:26:46:124</t>
  </si>
  <si>
    <t>22:26:46:340</t>
  </si>
  <si>
    <t>22:26:46:527</t>
  </si>
  <si>
    <t>22:26:46:726</t>
  </si>
  <si>
    <t>22:26:46:930</t>
  </si>
  <si>
    <t>22:26:47:127</t>
  </si>
  <si>
    <t>22:26:47:326</t>
  </si>
  <si>
    <t>22:26:47:540</t>
  </si>
  <si>
    <t>22:26:47:725</t>
  </si>
  <si>
    <t>22:26:47:926</t>
  </si>
  <si>
    <t>22:26:48:140</t>
  </si>
  <si>
    <t>22:26:48:327</t>
  </si>
  <si>
    <t>22:26:48:526</t>
  </si>
  <si>
    <t>22:26:48:742</t>
  </si>
  <si>
    <t>22:26:48:922</t>
  </si>
  <si>
    <t>22:26:49:126</t>
  </si>
  <si>
    <t>22:26:49:340</t>
  </si>
  <si>
    <t>22:26:49:520</t>
  </si>
  <si>
    <t>22:26:49:725</t>
  </si>
  <si>
    <t>22:26:49:925</t>
  </si>
  <si>
    <t>22:26:50:125</t>
  </si>
  <si>
    <t>22:26:50:361</t>
  </si>
  <si>
    <t>22:26:50:541</t>
  </si>
  <si>
    <t>22:26:50:831</t>
  </si>
  <si>
    <t>22:26:51:496</t>
  </si>
  <si>
    <t>22:26:51:551</t>
  </si>
  <si>
    <t>22:26:51:724</t>
  </si>
  <si>
    <t>22:26:51:924</t>
  </si>
  <si>
    <t>22:26:52:126</t>
  </si>
  <si>
    <t>22:26:52:329</t>
  </si>
  <si>
    <t>22:26:52:527</t>
  </si>
  <si>
    <t>22:26:52:726</t>
  </si>
  <si>
    <t>22:26:52:942</t>
  </si>
  <si>
    <t>22:26:53:125</t>
  </si>
  <si>
    <t>22:26:53:325</t>
  </si>
  <si>
    <t>22:26:53:540</t>
  </si>
  <si>
    <t>22:26:53:725</t>
  </si>
  <si>
    <t>22:26:53:926</t>
  </si>
  <si>
    <t>22:26:54:139</t>
  </si>
  <si>
    <t>22:26:54:328</t>
  </si>
  <si>
    <t>22:26:54:527</t>
  </si>
  <si>
    <t>22:26:54:724</t>
  </si>
  <si>
    <t>22:26:54:927</t>
  </si>
  <si>
    <t>22:26:55:128</t>
  </si>
  <si>
    <t>22:26:55:326</t>
  </si>
  <si>
    <t>22:26:55:526</t>
  </si>
  <si>
    <t>22:26:55:726</t>
  </si>
  <si>
    <t>22:26:55:926</t>
  </si>
  <si>
    <t>22:26:56:124</t>
  </si>
  <si>
    <t>22:26:56:323</t>
  </si>
  <si>
    <t>22:26:56:526</t>
  </si>
  <si>
    <t>22:26:56:724</t>
  </si>
  <si>
    <t>22:26:56:924</t>
  </si>
  <si>
    <t>22:26:57:126</t>
  </si>
  <si>
    <t>22:26:57:334</t>
  </si>
  <si>
    <t>22:26:57:526</t>
  </si>
  <si>
    <t>22:26:57:740</t>
  </si>
  <si>
    <t>22:26:57:926</t>
  </si>
  <si>
    <t>22:26:58:123</t>
  </si>
  <si>
    <t>22:26:58:327</t>
  </si>
  <si>
    <t>22:26:58:528</t>
  </si>
  <si>
    <t>22:26:58:731</t>
  </si>
  <si>
    <t>22:26:58:941</t>
  </si>
  <si>
    <t>22:26:59:128</t>
  </si>
  <si>
    <t>22:26:59:330</t>
  </si>
  <si>
    <t>22:26:59:542</t>
  </si>
  <si>
    <t>22:26:59:726</t>
  </si>
  <si>
    <t>22:26:59:929</t>
  </si>
  <si>
    <t>Date_Seg6</t>
  </si>
  <si>
    <t>Time_Seg6</t>
  </si>
  <si>
    <t>Test_ID_Seg6</t>
  </si>
  <si>
    <t>Experimental_Seg6</t>
  </si>
  <si>
    <t>Pressure_Seg6</t>
  </si>
  <si>
    <t>dac_bits_Seg6</t>
  </si>
  <si>
    <t>mass_Seg6</t>
  </si>
  <si>
    <t>slide_Seg6</t>
  </si>
  <si>
    <t>time_Seg6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</si>
</sst>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409.60879999999997</c:v>
                </c:pt>
                <c:pt idx="1">
                  <c:v>409.8107</c:v>
                </c:pt>
                <c:pt idx="2">
                  <c:v>410.00810000000001</c:v>
                </c:pt>
                <c:pt idx="3">
                  <c:v>410.20670000000001</c:v>
                </c:pt>
                <c:pt idx="4">
                  <c:v>410.40940000000001</c:v>
                </c:pt>
                <c:pt idx="5">
                  <c:v>410.61200000000002</c:v>
                </c:pt>
                <c:pt idx="6">
                  <c:v>410.80689999999998</c:v>
                </c:pt>
                <c:pt idx="7">
                  <c:v>411.00839999999999</c:v>
                </c:pt>
                <c:pt idx="8">
                  <c:v>411.20850000000002</c:v>
                </c:pt>
                <c:pt idx="9">
                  <c:v>411.40899999999999</c:v>
                </c:pt>
                <c:pt idx="10">
                  <c:v>411.60879999999997</c:v>
                </c:pt>
                <c:pt idx="11">
                  <c:v>411.80810000000002</c:v>
                </c:pt>
                <c:pt idx="12">
                  <c:v>412.01420000000002</c:v>
                </c:pt>
                <c:pt idx="13">
                  <c:v>412.20859999999999</c:v>
                </c:pt>
                <c:pt idx="14">
                  <c:v>412.4101</c:v>
                </c:pt>
                <c:pt idx="15">
                  <c:v>412.6096</c:v>
                </c:pt>
                <c:pt idx="16">
                  <c:v>412.80869999999999</c:v>
                </c:pt>
                <c:pt idx="17">
                  <c:v>413.01010000000002</c:v>
                </c:pt>
                <c:pt idx="18">
                  <c:v>413.2097</c:v>
                </c:pt>
                <c:pt idx="19">
                  <c:v>413.40699999999998</c:v>
                </c:pt>
                <c:pt idx="20">
                  <c:v>413.60700000000003</c:v>
                </c:pt>
                <c:pt idx="21">
                  <c:v>413.80900000000003</c:v>
                </c:pt>
                <c:pt idx="22">
                  <c:v>414.00889999999998</c:v>
                </c:pt>
                <c:pt idx="23">
                  <c:v>414.2088</c:v>
                </c:pt>
                <c:pt idx="24">
                  <c:v>414.40769999999998</c:v>
                </c:pt>
                <c:pt idx="25">
                  <c:v>414.60950000000003</c:v>
                </c:pt>
                <c:pt idx="26">
                  <c:v>414.80799999999999</c:v>
                </c:pt>
                <c:pt idx="27">
                  <c:v>415.00819999999999</c:v>
                </c:pt>
                <c:pt idx="28">
                  <c:v>415.21010000000001</c:v>
                </c:pt>
                <c:pt idx="29">
                  <c:v>415.4092</c:v>
                </c:pt>
                <c:pt idx="30">
                  <c:v>415.60939999999999</c:v>
                </c:pt>
                <c:pt idx="31">
                  <c:v>415.80849999999998</c:v>
                </c:pt>
                <c:pt idx="32">
                  <c:v>416.00920000000002</c:v>
                </c:pt>
                <c:pt idx="33">
                  <c:v>416.20769999999999</c:v>
                </c:pt>
                <c:pt idx="34">
                  <c:v>416.4092</c:v>
                </c:pt>
                <c:pt idx="35">
                  <c:v>416.61</c:v>
                </c:pt>
                <c:pt idx="36">
                  <c:v>416.8098</c:v>
                </c:pt>
                <c:pt idx="37">
                  <c:v>417.0104</c:v>
                </c:pt>
                <c:pt idx="38">
                  <c:v>417.20749999999998</c:v>
                </c:pt>
                <c:pt idx="39">
                  <c:v>417.40929999999997</c:v>
                </c:pt>
                <c:pt idx="40">
                  <c:v>417.613</c:v>
                </c:pt>
                <c:pt idx="41">
                  <c:v>417.81319999999999</c:v>
                </c:pt>
                <c:pt idx="42">
                  <c:v>418.01389999999998</c:v>
                </c:pt>
                <c:pt idx="43">
                  <c:v>418.21350000000001</c:v>
                </c:pt>
                <c:pt idx="44">
                  <c:v>418.41469999999998</c:v>
                </c:pt>
                <c:pt idx="45">
                  <c:v>418.60930000000002</c:v>
                </c:pt>
                <c:pt idx="46">
                  <c:v>418.80880000000002</c:v>
                </c:pt>
                <c:pt idx="47">
                  <c:v>419.00810000000001</c:v>
                </c:pt>
                <c:pt idx="48">
                  <c:v>419.2079</c:v>
                </c:pt>
                <c:pt idx="49">
                  <c:v>419.4092</c:v>
                </c:pt>
                <c:pt idx="50">
                  <c:v>419.61070000000001</c:v>
                </c:pt>
                <c:pt idx="51">
                  <c:v>419.8109</c:v>
                </c:pt>
                <c:pt idx="52">
                  <c:v>420.00990000000002</c:v>
                </c:pt>
                <c:pt idx="53">
                  <c:v>420.20890000000003</c:v>
                </c:pt>
                <c:pt idx="54">
                  <c:v>420.40879999999999</c:v>
                </c:pt>
                <c:pt idx="55">
                  <c:v>420.6078</c:v>
                </c:pt>
                <c:pt idx="56">
                  <c:v>420.80919999999998</c:v>
                </c:pt>
                <c:pt idx="57">
                  <c:v>421.00920000000002</c:v>
                </c:pt>
                <c:pt idx="58">
                  <c:v>421.209</c:v>
                </c:pt>
                <c:pt idx="59">
                  <c:v>421.40809999999999</c:v>
                </c:pt>
                <c:pt idx="60">
                  <c:v>421.60860000000002</c:v>
                </c:pt>
                <c:pt idx="61">
                  <c:v>421.8107</c:v>
                </c:pt>
                <c:pt idx="62">
                  <c:v>422.00779999999997</c:v>
                </c:pt>
                <c:pt idx="63">
                  <c:v>422.2088</c:v>
                </c:pt>
                <c:pt idx="64">
                  <c:v>422.41039999999998</c:v>
                </c:pt>
                <c:pt idx="65">
                  <c:v>422.60890000000001</c:v>
                </c:pt>
                <c:pt idx="66">
                  <c:v>422.81150000000002</c:v>
                </c:pt>
                <c:pt idx="67">
                  <c:v>423.0095</c:v>
                </c:pt>
                <c:pt idx="68">
                  <c:v>423.21129999999999</c:v>
                </c:pt>
                <c:pt idx="69">
                  <c:v>423.40839999999997</c:v>
                </c:pt>
                <c:pt idx="70">
                  <c:v>423.61009999999999</c:v>
                </c:pt>
                <c:pt idx="71">
                  <c:v>423.80990000000003</c:v>
                </c:pt>
                <c:pt idx="72">
                  <c:v>424.01060000000001</c:v>
                </c:pt>
                <c:pt idx="73">
                  <c:v>424.21010000000001</c:v>
                </c:pt>
                <c:pt idx="74">
                  <c:v>424.40789999999998</c:v>
                </c:pt>
                <c:pt idx="75">
                  <c:v>424.6087</c:v>
                </c:pt>
                <c:pt idx="76">
                  <c:v>424.80919999999998</c:v>
                </c:pt>
                <c:pt idx="77">
                  <c:v>425.00869999999998</c:v>
                </c:pt>
                <c:pt idx="78">
                  <c:v>425.20760000000001</c:v>
                </c:pt>
                <c:pt idx="79">
                  <c:v>425.40870000000001</c:v>
                </c:pt>
                <c:pt idx="80">
                  <c:v>425.60910000000001</c:v>
                </c:pt>
                <c:pt idx="81">
                  <c:v>425.81139999999999</c:v>
                </c:pt>
                <c:pt idx="82">
                  <c:v>426.0086</c:v>
                </c:pt>
                <c:pt idx="83">
                  <c:v>426.209</c:v>
                </c:pt>
                <c:pt idx="84">
                  <c:v>426.4083</c:v>
                </c:pt>
                <c:pt idx="85">
                  <c:v>427.0111</c:v>
                </c:pt>
                <c:pt idx="86">
                  <c:v>427.2115</c:v>
                </c:pt>
                <c:pt idx="87">
                  <c:v>427.40879999999999</c:v>
                </c:pt>
                <c:pt idx="88">
                  <c:v>427.6078</c:v>
                </c:pt>
                <c:pt idx="89">
                  <c:v>427.80950000000001</c:v>
                </c:pt>
                <c:pt idx="90">
                  <c:v>428.01150000000001</c:v>
                </c:pt>
                <c:pt idx="91">
                  <c:v>428.21080000000001</c:v>
                </c:pt>
                <c:pt idx="92">
                  <c:v>428.40980000000002</c:v>
                </c:pt>
                <c:pt idx="93">
                  <c:v>428.61070000000001</c:v>
                </c:pt>
                <c:pt idx="94">
                  <c:v>428.80840000000001</c:v>
                </c:pt>
                <c:pt idx="95">
                  <c:v>429.0086</c:v>
                </c:pt>
                <c:pt idx="96">
                  <c:v>429.20800000000003</c:v>
                </c:pt>
                <c:pt idx="97">
                  <c:v>429.4085</c:v>
                </c:pt>
                <c:pt idx="98">
                  <c:v>429.60930000000002</c:v>
                </c:pt>
                <c:pt idx="99">
                  <c:v>429.81079999999997</c:v>
                </c:pt>
                <c:pt idx="100">
                  <c:v>430.01170000000002</c:v>
                </c:pt>
                <c:pt idx="101">
                  <c:v>430.21109999999999</c:v>
                </c:pt>
                <c:pt idx="102">
                  <c:v>430.41120000000001</c:v>
                </c:pt>
                <c:pt idx="103">
                  <c:v>430.61</c:v>
                </c:pt>
                <c:pt idx="104">
                  <c:v>430.80959999999999</c:v>
                </c:pt>
                <c:pt idx="105">
                  <c:v>431.01</c:v>
                </c:pt>
                <c:pt idx="106">
                  <c:v>431.21</c:v>
                </c:pt>
                <c:pt idx="107">
                  <c:v>431.40969999999999</c:v>
                </c:pt>
                <c:pt idx="108">
                  <c:v>431.6105</c:v>
                </c:pt>
                <c:pt idx="109">
                  <c:v>431.8082</c:v>
                </c:pt>
                <c:pt idx="110">
                  <c:v>432.00990000000002</c:v>
                </c:pt>
                <c:pt idx="111">
                  <c:v>432.21</c:v>
                </c:pt>
                <c:pt idx="112">
                  <c:v>432.40820000000002</c:v>
                </c:pt>
                <c:pt idx="113">
                  <c:v>432.60809999999998</c:v>
                </c:pt>
                <c:pt idx="114">
                  <c:v>432.80959999999999</c:v>
                </c:pt>
                <c:pt idx="115">
                  <c:v>433.00920000000002</c:v>
                </c:pt>
                <c:pt idx="116">
                  <c:v>433.21039999999999</c:v>
                </c:pt>
                <c:pt idx="117">
                  <c:v>433.4126</c:v>
                </c:pt>
                <c:pt idx="118">
                  <c:v>433.60939999999999</c:v>
                </c:pt>
                <c:pt idx="119">
                  <c:v>433.81009999999998</c:v>
                </c:pt>
                <c:pt idx="120">
                  <c:v>434.01069999999999</c:v>
                </c:pt>
                <c:pt idx="121">
                  <c:v>434.21109999999999</c:v>
                </c:pt>
                <c:pt idx="122">
                  <c:v>434.41730000000001</c:v>
                </c:pt>
                <c:pt idx="123">
                  <c:v>434.61059999999998</c:v>
                </c:pt>
                <c:pt idx="124">
                  <c:v>434.81130000000002</c:v>
                </c:pt>
                <c:pt idx="125">
                  <c:v>435.00880000000001</c:v>
                </c:pt>
                <c:pt idx="126">
                  <c:v>435.20909999999998</c:v>
                </c:pt>
                <c:pt idx="127">
                  <c:v>435.40879999999999</c:v>
                </c:pt>
                <c:pt idx="128">
                  <c:v>435.61250000000001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Resultados!$BR$1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Resultados!$BQ$2:$BQ$117</c:f>
              <c:numCache>
                <c:formatCode>General</c:formatCode>
                <c:ptCount val="116"/>
              </c:numCache>
            </c:numRef>
          </c:xVal>
          <c:yVal>
            <c:numRef>
              <c:f>Resultados!$BR$2:$BR$117</c:f>
              <c:numCache>
                <c:formatCode>General</c:formatCode>
                <c:ptCount val="1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0.20279999999999632</c:v>
                </c:pt>
                <c:pt idx="2">
                  <c:v>0.4015500000000003</c:v>
                </c:pt>
                <c:pt idx="3">
                  <c:v>0.60257499999998743</c:v>
                </c:pt>
                <c:pt idx="4">
                  <c:v>0.79952499999998849</c:v>
                </c:pt>
                <c:pt idx="5">
                  <c:v>1.0035749999999979</c:v>
                </c:pt>
                <c:pt idx="6">
                  <c:v>1.1997749999999883</c:v>
                </c:pt>
                <c:pt idx="7">
                  <c:v>1.4002499999999856</c:v>
                </c:pt>
                <c:pt idx="8">
                  <c:v>1.6008249999999862</c:v>
                </c:pt>
                <c:pt idx="9">
                  <c:v>1.7997249999999951</c:v>
                </c:pt>
                <c:pt idx="10">
                  <c:v>2.0000499999999874</c:v>
                </c:pt>
                <c:pt idx="11">
                  <c:v>2.1993499999999955</c:v>
                </c:pt>
                <c:pt idx="12">
                  <c:v>2.4003749999999968</c:v>
                </c:pt>
                <c:pt idx="13">
                  <c:v>2.5999499999999927</c:v>
                </c:pt>
                <c:pt idx="14">
                  <c:v>2.8009500000000003</c:v>
                </c:pt>
                <c:pt idx="15">
                  <c:v>2.9997500000000059</c:v>
                </c:pt>
                <c:pt idx="16">
                  <c:v>3.2008999999999901</c:v>
                </c:pt>
                <c:pt idx="17">
                  <c:v>3.3998500000000007</c:v>
                </c:pt>
                <c:pt idx="18">
                  <c:v>3.6001249999999914</c:v>
                </c:pt>
                <c:pt idx="19">
                  <c:v>3.8007249999999999</c:v>
                </c:pt>
                <c:pt idx="20">
                  <c:v>4.0001499999999908</c:v>
                </c:pt>
                <c:pt idx="21">
                  <c:v>4.2004249999999956</c:v>
                </c:pt>
                <c:pt idx="22">
                  <c:v>4.3996999999999957</c:v>
                </c:pt>
                <c:pt idx="23">
                  <c:v>4.6000750000000039</c:v>
                </c:pt>
                <c:pt idx="24">
                  <c:v>4.8003999999999962</c:v>
                </c:pt>
                <c:pt idx="25">
                  <c:v>5.0006999999999948</c:v>
                </c:pt>
                <c:pt idx="26">
                  <c:v>5.2000499999999903</c:v>
                </c:pt>
                <c:pt idx="27">
                  <c:v>5.4008249999999975</c:v>
                </c:pt>
                <c:pt idx="28">
                  <c:v>5.6006500000000017</c:v>
                </c:pt>
                <c:pt idx="29">
                  <c:v>5.8011499999999927</c:v>
                </c:pt>
                <c:pt idx="30">
                  <c:v>6.0016749999999917</c:v>
                </c:pt>
                <c:pt idx="31">
                  <c:v>6.2005749999999864</c:v>
                </c:pt>
                <c:pt idx="32">
                  <c:v>6.4014500000000112</c:v>
                </c:pt>
                <c:pt idx="33">
                  <c:v>6.6005249999999904</c:v>
                </c:pt>
                <c:pt idx="34">
                  <c:v>6.8015499999999918</c:v>
                </c:pt>
                <c:pt idx="35">
                  <c:v>7.0000500000000017</c:v>
                </c:pt>
                <c:pt idx="36">
                  <c:v>7.2003249999999923</c:v>
                </c:pt>
                <c:pt idx="37">
                  <c:v>7.4019249999999914</c:v>
                </c:pt>
                <c:pt idx="38">
                  <c:v>7.6007999999999925</c:v>
                </c:pt>
                <c:pt idx="39">
                  <c:v>7.8024249999999995</c:v>
                </c:pt>
                <c:pt idx="40">
                  <c:v>8.0008749999999935</c:v>
                </c:pt>
                <c:pt idx="41">
                  <c:v>8.2005499999999927</c:v>
                </c:pt>
                <c:pt idx="42">
                  <c:v>8.402000000000001</c:v>
                </c:pt>
                <c:pt idx="43">
                  <c:v>8.6004999999999967</c:v>
                </c:pt>
                <c:pt idx="44">
                  <c:v>8.8007000000000062</c:v>
                </c:pt>
                <c:pt idx="45">
                  <c:v>9.0992999999999995</c:v>
                </c:pt>
                <c:pt idx="46">
                  <c:v>9.3007750000000016</c:v>
                </c:pt>
                <c:pt idx="47">
                  <c:v>9.501749999999987</c:v>
                </c:pt>
                <c:pt idx="48">
                  <c:v>9.6997999999999962</c:v>
                </c:pt>
                <c:pt idx="49">
                  <c:v>9.9006249999999909</c:v>
                </c:pt>
                <c:pt idx="50">
                  <c:v>10.101324999999989</c:v>
                </c:pt>
                <c:pt idx="51">
                  <c:v>10.300574999999995</c:v>
                </c:pt>
                <c:pt idx="52">
                  <c:v>10.501349999999988</c:v>
                </c:pt>
                <c:pt idx="53">
                  <c:v>10.701349999999991</c:v>
                </c:pt>
                <c:pt idx="54">
                  <c:v>10.901074999999992</c:v>
                </c:pt>
                <c:pt idx="55">
                  <c:v>11.101324999999989</c:v>
                </c:pt>
                <c:pt idx="56">
                  <c:v>11.30064999999999</c:v>
                </c:pt>
                <c:pt idx="57">
                  <c:v>11.500999999999991</c:v>
                </c:pt>
                <c:pt idx="58">
                  <c:v>11.700749999999985</c:v>
                </c:pt>
                <c:pt idx="59">
                  <c:v>11.901600000000002</c:v>
                </c:pt>
                <c:pt idx="60">
                  <c:v>12.101199999999992</c:v>
                </c:pt>
                <c:pt idx="61">
                  <c:v>12.300049999999999</c:v>
                </c:pt>
                <c:pt idx="62">
                  <c:v>12.501424999999998</c:v>
                </c:pt>
                <c:pt idx="63">
                  <c:v>12.700274999999991</c:v>
                </c:pt>
                <c:pt idx="64">
                  <c:v>12.900600000000011</c:v>
                </c:pt>
                <c:pt idx="65">
                  <c:v>13.1023</c:v>
                </c:pt>
                <c:pt idx="66">
                  <c:v>13.300924999999992</c:v>
                </c:pt>
                <c:pt idx="67">
                  <c:v>13.500899999999987</c:v>
                </c:pt>
                <c:pt idx="68">
                  <c:v>13.701349999999991</c:v>
                </c:pt>
                <c:pt idx="69">
                  <c:v>13.902074999999996</c:v>
                </c:pt>
                <c:pt idx="70">
                  <c:v>14.100724999999983</c:v>
                </c:pt>
                <c:pt idx="71">
                  <c:v>14.301649999999995</c:v>
                </c:pt>
                <c:pt idx="72">
                  <c:v>14.500974999999997</c:v>
                </c:pt>
                <c:pt idx="73">
                  <c:v>14.70174999999999</c:v>
                </c:pt>
                <c:pt idx="74">
                  <c:v>14.901250000000005</c:v>
                </c:pt>
                <c:pt idx="75">
                  <c:v>15.10052499999999</c:v>
                </c:pt>
                <c:pt idx="76">
                  <c:v>15.300775000000016</c:v>
                </c:pt>
                <c:pt idx="77">
                  <c:v>15.500799999999998</c:v>
                </c:pt>
                <c:pt idx="78">
                  <c:v>15.702200000000005</c:v>
                </c:pt>
                <c:pt idx="79">
                  <c:v>15.901274999999984</c:v>
                </c:pt>
                <c:pt idx="80">
                  <c:v>16.102349999999987</c:v>
                </c:pt>
                <c:pt idx="81">
                  <c:v>16.300399999999996</c:v>
                </c:pt>
                <c:pt idx="82">
                  <c:v>16.500700000000009</c:v>
                </c:pt>
                <c:pt idx="83">
                  <c:v>16.700699999999983</c:v>
                </c:pt>
                <c:pt idx="84">
                  <c:v>16.901475000000005</c:v>
                </c:pt>
                <c:pt idx="85">
                  <c:v>17.101924999999994</c:v>
                </c:pt>
                <c:pt idx="86">
                  <c:v>17.300899999999999</c:v>
                </c:pt>
                <c:pt idx="87">
                  <c:v>17.502250000000004</c:v>
                </c:pt>
                <c:pt idx="88">
                  <c:v>17.701874999999987</c:v>
                </c:pt>
                <c:pt idx="89">
                  <c:v>17.901250000000005</c:v>
                </c:pt>
                <c:pt idx="90">
                  <c:v>18.100774999999999</c:v>
                </c:pt>
                <c:pt idx="91">
                  <c:v>18.301149999999993</c:v>
                </c:pt>
                <c:pt idx="92">
                  <c:v>18.502624999999995</c:v>
                </c:pt>
                <c:pt idx="93">
                  <c:v>18.701099999999997</c:v>
                </c:pt>
                <c:pt idx="94">
                  <c:v>18.903100000000009</c:v>
                </c:pt>
                <c:pt idx="95">
                  <c:v>19.10137499999999</c:v>
                </c:pt>
                <c:pt idx="96">
                  <c:v>19.300625000000011</c:v>
                </c:pt>
                <c:pt idx="97">
                  <c:v>19.501199999999997</c:v>
                </c:pt>
                <c:pt idx="98">
                  <c:v>19.607766666666652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6.3E-2</c:v>
                </c:pt>
                <c:pt idx="6">
                  <c:v>6.3E-2</c:v>
                </c:pt>
                <c:pt idx="7">
                  <c:v>6.3E-2</c:v>
                </c:pt>
                <c:pt idx="8">
                  <c:v>6.3E-2</c:v>
                </c:pt>
                <c:pt idx="9">
                  <c:v>6.3E-2</c:v>
                </c:pt>
                <c:pt idx="10">
                  <c:v>6.3E-2</c:v>
                </c:pt>
                <c:pt idx="11">
                  <c:v>6.3E-2</c:v>
                </c:pt>
                <c:pt idx="12">
                  <c:v>6.3E-2</c:v>
                </c:pt>
                <c:pt idx="13">
                  <c:v>6.3E-2</c:v>
                </c:pt>
                <c:pt idx="14">
                  <c:v>4.725E-2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6.3E-2</c:v>
                </c:pt>
                <c:pt idx="26">
                  <c:v>6.3E-2</c:v>
                </c:pt>
                <c:pt idx="27">
                  <c:v>6.3E-2</c:v>
                </c:pt>
                <c:pt idx="28">
                  <c:v>6.3E-2</c:v>
                </c:pt>
                <c:pt idx="29">
                  <c:v>6.3E-2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4.725E-2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6.3E-2</c:v>
                </c:pt>
                <c:pt idx="46">
                  <c:v>6.3E-2</c:v>
                </c:pt>
                <c:pt idx="47">
                  <c:v>6.3E-2</c:v>
                </c:pt>
                <c:pt idx="48">
                  <c:v>6.3E-2</c:v>
                </c:pt>
                <c:pt idx="49">
                  <c:v>6.3E-2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4.725E-2</c:v>
                </c:pt>
                <c:pt idx="54">
                  <c:v>4.725E-2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1.575E-2</c:v>
                </c:pt>
                <c:pt idx="64">
                  <c:v>3.15E-2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4.725E-2</c:v>
                </c:pt>
                <c:pt idx="74">
                  <c:v>4.725E-2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1.575E-2</c:v>
                </c:pt>
                <c:pt idx="84">
                  <c:v>1.575E-2</c:v>
                </c:pt>
                <c:pt idx="85">
                  <c:v>6.3E-2</c:v>
                </c:pt>
                <c:pt idx="86">
                  <c:v>6.3E-2</c:v>
                </c:pt>
                <c:pt idx="87">
                  <c:v>6.3E-2</c:v>
                </c:pt>
                <c:pt idx="88">
                  <c:v>6.3E-2</c:v>
                </c:pt>
                <c:pt idx="89">
                  <c:v>6.3E-2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4.725E-2</c:v>
                </c:pt>
                <c:pt idx="94">
                  <c:v>3.15E-2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0.20279999999999632</c:v>
                </c:pt>
                <c:pt idx="2">
                  <c:v>0.4015500000000003</c:v>
                </c:pt>
                <c:pt idx="3">
                  <c:v>0.60257499999998743</c:v>
                </c:pt>
                <c:pt idx="4">
                  <c:v>0.79952499999998849</c:v>
                </c:pt>
                <c:pt idx="5">
                  <c:v>1.0035749999999979</c:v>
                </c:pt>
                <c:pt idx="6">
                  <c:v>1.1997749999999883</c:v>
                </c:pt>
                <c:pt idx="7">
                  <c:v>1.4002499999999856</c:v>
                </c:pt>
                <c:pt idx="8">
                  <c:v>1.6008249999999862</c:v>
                </c:pt>
                <c:pt idx="9">
                  <c:v>1.7997249999999951</c:v>
                </c:pt>
                <c:pt idx="10">
                  <c:v>2.0000499999999874</c:v>
                </c:pt>
                <c:pt idx="11">
                  <c:v>2.1993499999999955</c:v>
                </c:pt>
                <c:pt idx="12">
                  <c:v>2.4003749999999968</c:v>
                </c:pt>
                <c:pt idx="13">
                  <c:v>2.5999499999999927</c:v>
                </c:pt>
                <c:pt idx="14">
                  <c:v>2.8009500000000003</c:v>
                </c:pt>
                <c:pt idx="15">
                  <c:v>2.9997500000000059</c:v>
                </c:pt>
                <c:pt idx="16">
                  <c:v>3.2008999999999901</c:v>
                </c:pt>
                <c:pt idx="17">
                  <c:v>3.3998500000000007</c:v>
                </c:pt>
                <c:pt idx="18">
                  <c:v>3.6001249999999914</c:v>
                </c:pt>
                <c:pt idx="19">
                  <c:v>3.8007249999999999</c:v>
                </c:pt>
                <c:pt idx="20">
                  <c:v>4.0001499999999908</c:v>
                </c:pt>
                <c:pt idx="21">
                  <c:v>4.2004249999999956</c:v>
                </c:pt>
                <c:pt idx="22">
                  <c:v>4.3996999999999957</c:v>
                </c:pt>
                <c:pt idx="23">
                  <c:v>4.6000750000000039</c:v>
                </c:pt>
                <c:pt idx="24">
                  <c:v>4.8003999999999962</c:v>
                </c:pt>
                <c:pt idx="25">
                  <c:v>5.0006999999999948</c:v>
                </c:pt>
                <c:pt idx="26">
                  <c:v>5.2000499999999903</c:v>
                </c:pt>
                <c:pt idx="27">
                  <c:v>5.4008249999999975</c:v>
                </c:pt>
                <c:pt idx="28">
                  <c:v>5.6006500000000017</c:v>
                </c:pt>
                <c:pt idx="29">
                  <c:v>5.8011499999999927</c:v>
                </c:pt>
                <c:pt idx="30">
                  <c:v>6.0016749999999917</c:v>
                </c:pt>
                <c:pt idx="31">
                  <c:v>6.2005749999999864</c:v>
                </c:pt>
                <c:pt idx="32">
                  <c:v>6.4014500000000112</c:v>
                </c:pt>
                <c:pt idx="33">
                  <c:v>6.6005249999999904</c:v>
                </c:pt>
                <c:pt idx="34">
                  <c:v>6.8015499999999918</c:v>
                </c:pt>
                <c:pt idx="35">
                  <c:v>7.0000500000000017</c:v>
                </c:pt>
                <c:pt idx="36">
                  <c:v>7.2003249999999923</c:v>
                </c:pt>
                <c:pt idx="37">
                  <c:v>7.4019249999999914</c:v>
                </c:pt>
                <c:pt idx="38">
                  <c:v>7.6007999999999925</c:v>
                </c:pt>
                <c:pt idx="39">
                  <c:v>7.8024249999999995</c:v>
                </c:pt>
                <c:pt idx="40">
                  <c:v>8.0008749999999935</c:v>
                </c:pt>
                <c:pt idx="41">
                  <c:v>8.2005499999999927</c:v>
                </c:pt>
                <c:pt idx="42">
                  <c:v>8.402000000000001</c:v>
                </c:pt>
                <c:pt idx="43">
                  <c:v>8.6004999999999967</c:v>
                </c:pt>
                <c:pt idx="44">
                  <c:v>8.8007000000000062</c:v>
                </c:pt>
                <c:pt idx="45">
                  <c:v>9.0992999999999995</c:v>
                </c:pt>
                <c:pt idx="46">
                  <c:v>9.3007750000000016</c:v>
                </c:pt>
                <c:pt idx="47">
                  <c:v>9.501749999999987</c:v>
                </c:pt>
                <c:pt idx="48">
                  <c:v>9.6997999999999962</c:v>
                </c:pt>
                <c:pt idx="49">
                  <c:v>9.9006249999999909</c:v>
                </c:pt>
                <c:pt idx="50">
                  <c:v>10.101324999999989</c:v>
                </c:pt>
                <c:pt idx="51">
                  <c:v>10.300574999999995</c:v>
                </c:pt>
                <c:pt idx="52">
                  <c:v>10.501349999999988</c:v>
                </c:pt>
                <c:pt idx="53">
                  <c:v>10.701349999999991</c:v>
                </c:pt>
                <c:pt idx="54">
                  <c:v>10.901074999999992</c:v>
                </c:pt>
                <c:pt idx="55">
                  <c:v>11.101324999999989</c:v>
                </c:pt>
                <c:pt idx="56">
                  <c:v>11.30064999999999</c:v>
                </c:pt>
                <c:pt idx="57">
                  <c:v>11.500999999999991</c:v>
                </c:pt>
                <c:pt idx="58">
                  <c:v>11.700749999999985</c:v>
                </c:pt>
                <c:pt idx="59">
                  <c:v>11.901600000000002</c:v>
                </c:pt>
                <c:pt idx="60">
                  <c:v>12.101199999999992</c:v>
                </c:pt>
                <c:pt idx="61">
                  <c:v>12.300049999999999</c:v>
                </c:pt>
                <c:pt idx="62">
                  <c:v>12.501424999999998</c:v>
                </c:pt>
                <c:pt idx="63">
                  <c:v>12.700274999999991</c:v>
                </c:pt>
                <c:pt idx="64">
                  <c:v>12.900600000000011</c:v>
                </c:pt>
                <c:pt idx="65">
                  <c:v>13.1023</c:v>
                </c:pt>
                <c:pt idx="66">
                  <c:v>13.300924999999992</c:v>
                </c:pt>
                <c:pt idx="67">
                  <c:v>13.500899999999987</c:v>
                </c:pt>
                <c:pt idx="68">
                  <c:v>13.701349999999991</c:v>
                </c:pt>
                <c:pt idx="69">
                  <c:v>13.902074999999996</c:v>
                </c:pt>
                <c:pt idx="70">
                  <c:v>14.100724999999983</c:v>
                </c:pt>
                <c:pt idx="71">
                  <c:v>14.301649999999995</c:v>
                </c:pt>
                <c:pt idx="72">
                  <c:v>14.500974999999997</c:v>
                </c:pt>
                <c:pt idx="73">
                  <c:v>14.70174999999999</c:v>
                </c:pt>
                <c:pt idx="74">
                  <c:v>14.901250000000005</c:v>
                </c:pt>
                <c:pt idx="75">
                  <c:v>15.10052499999999</c:v>
                </c:pt>
                <c:pt idx="76">
                  <c:v>15.300775000000016</c:v>
                </c:pt>
                <c:pt idx="77">
                  <c:v>15.500799999999998</c:v>
                </c:pt>
                <c:pt idx="78">
                  <c:v>15.702200000000005</c:v>
                </c:pt>
                <c:pt idx="79">
                  <c:v>15.901274999999984</c:v>
                </c:pt>
                <c:pt idx="80">
                  <c:v>16.102349999999987</c:v>
                </c:pt>
                <c:pt idx="81">
                  <c:v>16.300399999999996</c:v>
                </c:pt>
                <c:pt idx="82">
                  <c:v>16.500700000000009</c:v>
                </c:pt>
                <c:pt idx="83">
                  <c:v>16.700699999999983</c:v>
                </c:pt>
                <c:pt idx="84">
                  <c:v>16.901475000000005</c:v>
                </c:pt>
                <c:pt idx="85">
                  <c:v>17.101924999999994</c:v>
                </c:pt>
                <c:pt idx="86">
                  <c:v>17.300899999999999</c:v>
                </c:pt>
                <c:pt idx="87">
                  <c:v>17.502250000000004</c:v>
                </c:pt>
                <c:pt idx="88">
                  <c:v>17.701874999999987</c:v>
                </c:pt>
                <c:pt idx="89">
                  <c:v>17.901250000000005</c:v>
                </c:pt>
                <c:pt idx="90">
                  <c:v>18.100774999999999</c:v>
                </c:pt>
                <c:pt idx="91">
                  <c:v>18.301149999999993</c:v>
                </c:pt>
                <c:pt idx="92">
                  <c:v>18.502624999999995</c:v>
                </c:pt>
                <c:pt idx="93">
                  <c:v>18.701099999999997</c:v>
                </c:pt>
                <c:pt idx="94">
                  <c:v>18.903100000000009</c:v>
                </c:pt>
                <c:pt idx="95">
                  <c:v>19.10137499999999</c:v>
                </c:pt>
                <c:pt idx="96">
                  <c:v>19.300625000000011</c:v>
                </c:pt>
                <c:pt idx="97">
                  <c:v>19.501199999999997</c:v>
                </c:pt>
                <c:pt idx="98">
                  <c:v>19.607766666666652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6.3E-2</c:v>
                </c:pt>
                <c:pt idx="6">
                  <c:v>6.3E-2</c:v>
                </c:pt>
                <c:pt idx="7">
                  <c:v>6.3E-2</c:v>
                </c:pt>
                <c:pt idx="8">
                  <c:v>6.3E-2</c:v>
                </c:pt>
                <c:pt idx="9">
                  <c:v>6.3E-2</c:v>
                </c:pt>
                <c:pt idx="10">
                  <c:v>6.3E-2</c:v>
                </c:pt>
                <c:pt idx="11">
                  <c:v>6.3E-2</c:v>
                </c:pt>
                <c:pt idx="12">
                  <c:v>6.3E-2</c:v>
                </c:pt>
                <c:pt idx="13">
                  <c:v>6.3E-2</c:v>
                </c:pt>
                <c:pt idx="14">
                  <c:v>4.725E-2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6.3E-2</c:v>
                </c:pt>
                <c:pt idx="26">
                  <c:v>6.3E-2</c:v>
                </c:pt>
                <c:pt idx="27">
                  <c:v>6.3E-2</c:v>
                </c:pt>
                <c:pt idx="28">
                  <c:v>6.3E-2</c:v>
                </c:pt>
                <c:pt idx="29">
                  <c:v>6.3E-2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4.725E-2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6.3E-2</c:v>
                </c:pt>
                <c:pt idx="46">
                  <c:v>6.3E-2</c:v>
                </c:pt>
                <c:pt idx="47">
                  <c:v>6.3E-2</c:v>
                </c:pt>
                <c:pt idx="48">
                  <c:v>6.3E-2</c:v>
                </c:pt>
                <c:pt idx="49">
                  <c:v>6.3E-2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4.725E-2</c:v>
                </c:pt>
                <c:pt idx="54">
                  <c:v>4.725E-2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1.575E-2</c:v>
                </c:pt>
                <c:pt idx="64">
                  <c:v>3.15E-2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4.725E-2</c:v>
                </c:pt>
                <c:pt idx="74">
                  <c:v>4.725E-2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1.575E-2</c:v>
                </c:pt>
                <c:pt idx="84">
                  <c:v>1.575E-2</c:v>
                </c:pt>
                <c:pt idx="85">
                  <c:v>6.3E-2</c:v>
                </c:pt>
                <c:pt idx="86">
                  <c:v>6.3E-2</c:v>
                </c:pt>
                <c:pt idx="87">
                  <c:v>6.3E-2</c:v>
                </c:pt>
                <c:pt idx="88">
                  <c:v>6.3E-2</c:v>
                </c:pt>
                <c:pt idx="89">
                  <c:v>6.3E-2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4.725E-2</c:v>
                </c:pt>
                <c:pt idx="94">
                  <c:v>3.15E-2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E-4EE9-849F-5DD54A75FAF3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0.20279999999999632</c:v>
                </c:pt>
                <c:pt idx="2">
                  <c:v>0.4015500000000003</c:v>
                </c:pt>
                <c:pt idx="3">
                  <c:v>0.60257499999998743</c:v>
                </c:pt>
                <c:pt idx="4">
                  <c:v>0.79952499999998849</c:v>
                </c:pt>
                <c:pt idx="5">
                  <c:v>1.0035749999999979</c:v>
                </c:pt>
                <c:pt idx="6">
                  <c:v>1.1997749999999883</c:v>
                </c:pt>
                <c:pt idx="7">
                  <c:v>1.4002499999999856</c:v>
                </c:pt>
                <c:pt idx="8">
                  <c:v>1.6008249999999862</c:v>
                </c:pt>
                <c:pt idx="9">
                  <c:v>1.7997249999999951</c:v>
                </c:pt>
                <c:pt idx="10">
                  <c:v>2.0000499999999874</c:v>
                </c:pt>
                <c:pt idx="11">
                  <c:v>2.1993499999999955</c:v>
                </c:pt>
                <c:pt idx="12">
                  <c:v>2.4003749999999968</c:v>
                </c:pt>
                <c:pt idx="13">
                  <c:v>2.5999499999999927</c:v>
                </c:pt>
                <c:pt idx="14">
                  <c:v>2.8009500000000003</c:v>
                </c:pt>
                <c:pt idx="15">
                  <c:v>2.9997500000000059</c:v>
                </c:pt>
                <c:pt idx="16">
                  <c:v>3.2008999999999901</c:v>
                </c:pt>
                <c:pt idx="17">
                  <c:v>3.3998500000000007</c:v>
                </c:pt>
                <c:pt idx="18">
                  <c:v>3.6001249999999914</c:v>
                </c:pt>
                <c:pt idx="19">
                  <c:v>3.8007249999999999</c:v>
                </c:pt>
                <c:pt idx="20">
                  <c:v>4.0001499999999908</c:v>
                </c:pt>
                <c:pt idx="21">
                  <c:v>4.2004249999999956</c:v>
                </c:pt>
                <c:pt idx="22">
                  <c:v>4.3996999999999957</c:v>
                </c:pt>
                <c:pt idx="23">
                  <c:v>4.6000750000000039</c:v>
                </c:pt>
                <c:pt idx="24">
                  <c:v>4.8003999999999962</c:v>
                </c:pt>
                <c:pt idx="25">
                  <c:v>5.0006999999999948</c:v>
                </c:pt>
                <c:pt idx="26">
                  <c:v>5.2000499999999903</c:v>
                </c:pt>
                <c:pt idx="27">
                  <c:v>5.4008249999999975</c:v>
                </c:pt>
                <c:pt idx="28">
                  <c:v>5.6006500000000017</c:v>
                </c:pt>
                <c:pt idx="29">
                  <c:v>5.8011499999999927</c:v>
                </c:pt>
                <c:pt idx="30">
                  <c:v>6.0016749999999917</c:v>
                </c:pt>
                <c:pt idx="31">
                  <c:v>6.2005749999999864</c:v>
                </c:pt>
                <c:pt idx="32">
                  <c:v>6.4014500000000112</c:v>
                </c:pt>
                <c:pt idx="33">
                  <c:v>6.6005249999999904</c:v>
                </c:pt>
                <c:pt idx="34">
                  <c:v>6.8015499999999918</c:v>
                </c:pt>
                <c:pt idx="35">
                  <c:v>7.0000500000000017</c:v>
                </c:pt>
                <c:pt idx="36">
                  <c:v>7.2003249999999923</c:v>
                </c:pt>
                <c:pt idx="37">
                  <c:v>7.4019249999999914</c:v>
                </c:pt>
                <c:pt idx="38">
                  <c:v>7.6007999999999925</c:v>
                </c:pt>
                <c:pt idx="39">
                  <c:v>7.8024249999999995</c:v>
                </c:pt>
                <c:pt idx="40">
                  <c:v>8.0008749999999935</c:v>
                </c:pt>
                <c:pt idx="41">
                  <c:v>8.2005499999999927</c:v>
                </c:pt>
                <c:pt idx="42">
                  <c:v>8.402000000000001</c:v>
                </c:pt>
                <c:pt idx="43">
                  <c:v>8.6004999999999967</c:v>
                </c:pt>
                <c:pt idx="44">
                  <c:v>8.8007000000000062</c:v>
                </c:pt>
                <c:pt idx="45">
                  <c:v>9.0992999999999995</c:v>
                </c:pt>
                <c:pt idx="46">
                  <c:v>9.3007750000000016</c:v>
                </c:pt>
                <c:pt idx="47">
                  <c:v>9.501749999999987</c:v>
                </c:pt>
                <c:pt idx="48">
                  <c:v>9.6997999999999962</c:v>
                </c:pt>
                <c:pt idx="49">
                  <c:v>9.9006249999999909</c:v>
                </c:pt>
                <c:pt idx="50">
                  <c:v>10.101324999999989</c:v>
                </c:pt>
                <c:pt idx="51">
                  <c:v>10.300574999999995</c:v>
                </c:pt>
                <c:pt idx="52">
                  <c:v>10.501349999999988</c:v>
                </c:pt>
                <c:pt idx="53">
                  <c:v>10.701349999999991</c:v>
                </c:pt>
                <c:pt idx="54">
                  <c:v>10.901074999999992</c:v>
                </c:pt>
                <c:pt idx="55">
                  <c:v>11.101324999999989</c:v>
                </c:pt>
                <c:pt idx="56">
                  <c:v>11.30064999999999</c:v>
                </c:pt>
                <c:pt idx="57">
                  <c:v>11.500999999999991</c:v>
                </c:pt>
                <c:pt idx="58">
                  <c:v>11.700749999999985</c:v>
                </c:pt>
                <c:pt idx="59">
                  <c:v>11.901600000000002</c:v>
                </c:pt>
                <c:pt idx="60">
                  <c:v>12.101199999999992</c:v>
                </c:pt>
                <c:pt idx="61">
                  <c:v>12.300049999999999</c:v>
                </c:pt>
                <c:pt idx="62">
                  <c:v>12.501424999999998</c:v>
                </c:pt>
                <c:pt idx="63">
                  <c:v>12.700274999999991</c:v>
                </c:pt>
                <c:pt idx="64">
                  <c:v>12.900600000000011</c:v>
                </c:pt>
                <c:pt idx="65">
                  <c:v>13.1023</c:v>
                </c:pt>
                <c:pt idx="66">
                  <c:v>13.300924999999992</c:v>
                </c:pt>
                <c:pt idx="67">
                  <c:v>13.500899999999987</c:v>
                </c:pt>
                <c:pt idx="68">
                  <c:v>13.701349999999991</c:v>
                </c:pt>
                <c:pt idx="69">
                  <c:v>13.902074999999996</c:v>
                </c:pt>
                <c:pt idx="70">
                  <c:v>14.100724999999983</c:v>
                </c:pt>
                <c:pt idx="71">
                  <c:v>14.301649999999995</c:v>
                </c:pt>
                <c:pt idx="72">
                  <c:v>14.500974999999997</c:v>
                </c:pt>
                <c:pt idx="73">
                  <c:v>14.70174999999999</c:v>
                </c:pt>
                <c:pt idx="74">
                  <c:v>14.901250000000005</c:v>
                </c:pt>
                <c:pt idx="75">
                  <c:v>15.10052499999999</c:v>
                </c:pt>
                <c:pt idx="76">
                  <c:v>15.300775000000016</c:v>
                </c:pt>
                <c:pt idx="77">
                  <c:v>15.500799999999998</c:v>
                </c:pt>
                <c:pt idx="78">
                  <c:v>15.702200000000005</c:v>
                </c:pt>
                <c:pt idx="79">
                  <c:v>15.901274999999984</c:v>
                </c:pt>
                <c:pt idx="80">
                  <c:v>16.102349999999987</c:v>
                </c:pt>
                <c:pt idx="81">
                  <c:v>16.300399999999996</c:v>
                </c:pt>
                <c:pt idx="82">
                  <c:v>16.500700000000009</c:v>
                </c:pt>
                <c:pt idx="83">
                  <c:v>16.700699999999983</c:v>
                </c:pt>
                <c:pt idx="84">
                  <c:v>16.901475000000005</c:v>
                </c:pt>
                <c:pt idx="85">
                  <c:v>17.101924999999994</c:v>
                </c:pt>
                <c:pt idx="86">
                  <c:v>17.300899999999999</c:v>
                </c:pt>
                <c:pt idx="87">
                  <c:v>17.502250000000004</c:v>
                </c:pt>
                <c:pt idx="88">
                  <c:v>17.701874999999987</c:v>
                </c:pt>
                <c:pt idx="89">
                  <c:v>17.901250000000005</c:v>
                </c:pt>
                <c:pt idx="90">
                  <c:v>18.100774999999999</c:v>
                </c:pt>
                <c:pt idx="91">
                  <c:v>18.301149999999993</c:v>
                </c:pt>
                <c:pt idx="92">
                  <c:v>18.502624999999995</c:v>
                </c:pt>
                <c:pt idx="93">
                  <c:v>18.701099999999997</c:v>
                </c:pt>
                <c:pt idx="94">
                  <c:v>18.903100000000009</c:v>
                </c:pt>
                <c:pt idx="95">
                  <c:v>19.10137499999999</c:v>
                </c:pt>
                <c:pt idx="96">
                  <c:v>19.300625000000011</c:v>
                </c:pt>
                <c:pt idx="97">
                  <c:v>19.501199999999997</c:v>
                </c:pt>
                <c:pt idx="98">
                  <c:v>19.607766666666652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3.0999999999999999E-3</c:v>
                </c:pt>
                <c:pt idx="1">
                  <c:v>3.0999999999999999E-3</c:v>
                </c:pt>
                <c:pt idx="2">
                  <c:v>3.0999999999999999E-3</c:v>
                </c:pt>
                <c:pt idx="3">
                  <c:v>3.0999999999999999E-3</c:v>
                </c:pt>
                <c:pt idx="4">
                  <c:v>3.0999999999999999E-3</c:v>
                </c:pt>
                <c:pt idx="5">
                  <c:v>3.0999999999999999E-3</c:v>
                </c:pt>
                <c:pt idx="6">
                  <c:v>1.1424999999999999E-2</c:v>
                </c:pt>
                <c:pt idx="7">
                  <c:v>3.0799999999999998E-2</c:v>
                </c:pt>
                <c:pt idx="8">
                  <c:v>3.6650000000000002E-2</c:v>
                </c:pt>
                <c:pt idx="9">
                  <c:v>3.7925E-2</c:v>
                </c:pt>
                <c:pt idx="10">
                  <c:v>3.8175000000000001E-2</c:v>
                </c:pt>
                <c:pt idx="11">
                  <c:v>3.8150000000000003E-2</c:v>
                </c:pt>
                <c:pt idx="12">
                  <c:v>3.8175000000000001E-2</c:v>
                </c:pt>
                <c:pt idx="13">
                  <c:v>3.8175000000000001E-2</c:v>
                </c:pt>
                <c:pt idx="14">
                  <c:v>3.8175000000000001E-2</c:v>
                </c:pt>
                <c:pt idx="15">
                  <c:v>3.6374999999999998E-2</c:v>
                </c:pt>
                <c:pt idx="16">
                  <c:v>2.7875E-2</c:v>
                </c:pt>
                <c:pt idx="17">
                  <c:v>1.345E-2</c:v>
                </c:pt>
                <c:pt idx="18">
                  <c:v>4.7000000000000002E-3</c:v>
                </c:pt>
                <c:pt idx="19">
                  <c:v>3.0249999999999999E-3</c:v>
                </c:pt>
                <c:pt idx="20">
                  <c:v>3.0999999999999999E-3</c:v>
                </c:pt>
                <c:pt idx="21">
                  <c:v>3.0999999999999999E-3</c:v>
                </c:pt>
                <c:pt idx="22">
                  <c:v>3.0999999999999999E-3</c:v>
                </c:pt>
                <c:pt idx="23">
                  <c:v>3.0999999999999999E-3</c:v>
                </c:pt>
                <c:pt idx="24">
                  <c:v>3.1250000000000002E-3</c:v>
                </c:pt>
                <c:pt idx="25">
                  <c:v>3.0999999999999999E-3</c:v>
                </c:pt>
                <c:pt idx="26">
                  <c:v>1.3975E-2</c:v>
                </c:pt>
                <c:pt idx="27">
                  <c:v>3.1974999999999996E-2</c:v>
                </c:pt>
                <c:pt idx="28">
                  <c:v>3.7025000000000002E-2</c:v>
                </c:pt>
                <c:pt idx="29">
                  <c:v>3.8124999999999999E-2</c:v>
                </c:pt>
                <c:pt idx="30">
                  <c:v>3.8275000000000003E-2</c:v>
                </c:pt>
                <c:pt idx="31">
                  <c:v>3.8300000000000001E-2</c:v>
                </c:pt>
                <c:pt idx="32">
                  <c:v>3.8300000000000001E-2</c:v>
                </c:pt>
                <c:pt idx="33">
                  <c:v>3.8300000000000001E-2</c:v>
                </c:pt>
                <c:pt idx="34">
                  <c:v>3.8300000000000001E-2</c:v>
                </c:pt>
                <c:pt idx="35">
                  <c:v>3.6450000000000003E-2</c:v>
                </c:pt>
                <c:pt idx="36">
                  <c:v>2.7650000000000001E-2</c:v>
                </c:pt>
                <c:pt idx="37">
                  <c:v>1.3875E-2</c:v>
                </c:pt>
                <c:pt idx="38">
                  <c:v>4.6500000000000005E-3</c:v>
                </c:pt>
                <c:pt idx="39">
                  <c:v>3.0749999999999996E-3</c:v>
                </c:pt>
                <c:pt idx="40">
                  <c:v>3.0999999999999999E-3</c:v>
                </c:pt>
                <c:pt idx="41">
                  <c:v>3.1250000000000002E-3</c:v>
                </c:pt>
                <c:pt idx="42">
                  <c:v>3.0999999999999999E-3</c:v>
                </c:pt>
                <c:pt idx="43">
                  <c:v>3.0999999999999999E-3</c:v>
                </c:pt>
                <c:pt idx="44">
                  <c:v>3.0999999999999999E-3</c:v>
                </c:pt>
                <c:pt idx="45">
                  <c:v>3.0999999999999999E-3</c:v>
                </c:pt>
                <c:pt idx="46">
                  <c:v>8.8999999999999999E-3</c:v>
                </c:pt>
                <c:pt idx="47">
                  <c:v>3.1974999999999996E-2</c:v>
                </c:pt>
                <c:pt idx="48">
                  <c:v>3.5974999999999993E-2</c:v>
                </c:pt>
                <c:pt idx="49">
                  <c:v>3.7150000000000002E-2</c:v>
                </c:pt>
                <c:pt idx="50">
                  <c:v>3.7850000000000002E-2</c:v>
                </c:pt>
                <c:pt idx="51">
                  <c:v>3.8000000000000006E-2</c:v>
                </c:pt>
                <c:pt idx="52">
                  <c:v>3.8000000000000006E-2</c:v>
                </c:pt>
                <c:pt idx="53">
                  <c:v>3.8000000000000006E-2</c:v>
                </c:pt>
                <c:pt idx="54">
                  <c:v>3.6424999999999999E-2</c:v>
                </c:pt>
                <c:pt idx="55">
                  <c:v>3.3100000000000004E-2</c:v>
                </c:pt>
                <c:pt idx="56">
                  <c:v>2.5500000000000002E-2</c:v>
                </c:pt>
                <c:pt idx="57">
                  <c:v>1.4100000000000001E-2</c:v>
                </c:pt>
                <c:pt idx="58">
                  <c:v>4.5999999999999999E-3</c:v>
                </c:pt>
                <c:pt idx="59">
                  <c:v>2.875E-3</c:v>
                </c:pt>
                <c:pt idx="60">
                  <c:v>3.0999999999999999E-3</c:v>
                </c:pt>
                <c:pt idx="61">
                  <c:v>3.0999999999999999E-3</c:v>
                </c:pt>
                <c:pt idx="62">
                  <c:v>3.0999999999999999E-3</c:v>
                </c:pt>
                <c:pt idx="63">
                  <c:v>3.1249999999999997E-3</c:v>
                </c:pt>
                <c:pt idx="64">
                  <c:v>5.2499999999999995E-3</c:v>
                </c:pt>
                <c:pt idx="65">
                  <c:v>1.2424999999999999E-2</c:v>
                </c:pt>
                <c:pt idx="66">
                  <c:v>2.3024999999999997E-2</c:v>
                </c:pt>
                <c:pt idx="67">
                  <c:v>3.4375000000000003E-2</c:v>
                </c:pt>
                <c:pt idx="68">
                  <c:v>3.7399999999999996E-2</c:v>
                </c:pt>
                <c:pt idx="69">
                  <c:v>3.8099999999999995E-2</c:v>
                </c:pt>
                <c:pt idx="70">
                  <c:v>3.8175000000000001E-2</c:v>
                </c:pt>
                <c:pt idx="71">
                  <c:v>3.8225000000000002E-2</c:v>
                </c:pt>
                <c:pt idx="72">
                  <c:v>3.8199999999999998E-2</c:v>
                </c:pt>
                <c:pt idx="73">
                  <c:v>3.8199999999999998E-2</c:v>
                </c:pt>
                <c:pt idx="74">
                  <c:v>3.6650000000000002E-2</c:v>
                </c:pt>
                <c:pt idx="75">
                  <c:v>3.3250000000000002E-2</c:v>
                </c:pt>
                <c:pt idx="76">
                  <c:v>2.5899999999999999E-2</c:v>
                </c:pt>
                <c:pt idx="77">
                  <c:v>1.3825E-2</c:v>
                </c:pt>
                <c:pt idx="78">
                  <c:v>4.7749999999999997E-3</c:v>
                </c:pt>
                <c:pt idx="79">
                  <c:v>2.5999999999999999E-3</c:v>
                </c:pt>
                <c:pt idx="80">
                  <c:v>3.0999999999999999E-3</c:v>
                </c:pt>
                <c:pt idx="81">
                  <c:v>3.1249999999999997E-3</c:v>
                </c:pt>
                <c:pt idx="82">
                  <c:v>3.0999999999999999E-3</c:v>
                </c:pt>
                <c:pt idx="83">
                  <c:v>3.1249999999999997E-3</c:v>
                </c:pt>
                <c:pt idx="84">
                  <c:v>4.5249999999999995E-3</c:v>
                </c:pt>
                <c:pt idx="85">
                  <c:v>9.5999999999999992E-3</c:v>
                </c:pt>
                <c:pt idx="86">
                  <c:v>1.7724999999999998E-2</c:v>
                </c:pt>
                <c:pt idx="87">
                  <c:v>3.2875000000000001E-2</c:v>
                </c:pt>
                <c:pt idx="88">
                  <c:v>3.6850000000000001E-2</c:v>
                </c:pt>
                <c:pt idx="89">
                  <c:v>3.7900000000000003E-2</c:v>
                </c:pt>
                <c:pt idx="90">
                  <c:v>3.8124999999999999E-2</c:v>
                </c:pt>
                <c:pt idx="91">
                  <c:v>3.8150000000000003E-2</c:v>
                </c:pt>
                <c:pt idx="92">
                  <c:v>3.8150000000000003E-2</c:v>
                </c:pt>
                <c:pt idx="93">
                  <c:v>3.8124999999999999E-2</c:v>
                </c:pt>
                <c:pt idx="94">
                  <c:v>3.6650000000000002E-2</c:v>
                </c:pt>
                <c:pt idx="95">
                  <c:v>3.1375E-2</c:v>
                </c:pt>
                <c:pt idx="96">
                  <c:v>2.1825000000000001E-2</c:v>
                </c:pt>
                <c:pt idx="97">
                  <c:v>1.0925000000000001E-2</c:v>
                </c:pt>
                <c:pt idx="98">
                  <c:v>4.2333333333333329E-3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2A-4E0F-9D14-DB8CC435D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029343"/>
        <c:axId val="790044223"/>
      </c:scatterChart>
      <c:valAx>
        <c:axId val="79002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44223"/>
        <c:crosses val="autoZero"/>
        <c:crossBetween val="midCat"/>
      </c:valAx>
      <c:valAx>
        <c:axId val="79004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2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373380</xdr:colOff>
      <xdr:row>4</xdr:row>
      <xdr:rowOff>80010</xdr:rowOff>
    </xdr:from>
    <xdr:to>
      <xdr:col>71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536332</xdr:colOff>
      <xdr:row>0</xdr:row>
      <xdr:rowOff>149470</xdr:rowOff>
    </xdr:from>
    <xdr:to>
      <xdr:col>16</xdr:col>
      <xdr:colOff>759070</xdr:colOff>
      <xdr:row>15</xdr:row>
      <xdr:rowOff>167055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A292698-004E-A0D3-71E4-557AA86E7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892"/>
  <sheetViews>
    <sheetView workbookViewId="0">
      <selection activeCell="M10" sqref="M10"/>
    </sheetView>
  </sheetViews>
  <sheetFormatPr baseColWidth="10" defaultRowHeight="14.4" x14ac:dyDescent="0.3"/>
  <cols>
    <col min="1" max="9" width="8.88671875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54</v>
      </c>
      <c r="B2" t="s">
        <v>55</v>
      </c>
      <c r="C2">
        <v>75</v>
      </c>
      <c r="D2">
        <v>3.78E-2</v>
      </c>
      <c r="E2">
        <v>25.566620546593018</v>
      </c>
      <c r="F2">
        <v>2452.8090349424701</v>
      </c>
      <c r="G2">
        <v>9.0579999999999998</v>
      </c>
      <c r="H2">
        <v>6.3E-2</v>
      </c>
      <c r="I2">
        <v>255.80080000000001</v>
      </c>
    </row>
    <row r="3" spans="1:9" x14ac:dyDescent="0.3">
      <c r="A3" t="s">
        <v>54</v>
      </c>
      <c r="B3" t="s">
        <v>56</v>
      </c>
      <c r="C3">
        <v>75</v>
      </c>
      <c r="D3">
        <v>3.78E-2</v>
      </c>
      <c r="E3">
        <v>25.566620546593018</v>
      </c>
      <c r="F3">
        <v>2452.8090349424701</v>
      </c>
      <c r="G3">
        <v>9.0579999999999998</v>
      </c>
      <c r="H3">
        <v>6.3E-2</v>
      </c>
      <c r="I3">
        <v>255.9999</v>
      </c>
    </row>
    <row r="4" spans="1:9" x14ac:dyDescent="0.3">
      <c r="A4" t="s">
        <v>54</v>
      </c>
      <c r="B4" t="s">
        <v>57</v>
      </c>
      <c r="C4">
        <v>75</v>
      </c>
      <c r="D4">
        <v>3.78E-2</v>
      </c>
      <c r="E4">
        <v>21.511913046964182</v>
      </c>
      <c r="F4">
        <v>2074.9102959770621</v>
      </c>
      <c r="G4">
        <v>9.0579999999999998</v>
      </c>
      <c r="H4">
        <v>0</v>
      </c>
      <c r="I4">
        <v>256.19959999999998</v>
      </c>
    </row>
    <row r="5" spans="1:9" x14ac:dyDescent="0.3">
      <c r="A5" t="s">
        <v>54</v>
      </c>
      <c r="B5" t="s">
        <v>58</v>
      </c>
      <c r="C5">
        <v>75</v>
      </c>
      <c r="D5">
        <v>2.9899999999999999E-2</v>
      </c>
      <c r="E5">
        <v>21.511913046964182</v>
      </c>
      <c r="F5">
        <v>2074.9102959770621</v>
      </c>
      <c r="G5">
        <v>9.0579999999999998</v>
      </c>
      <c r="H5">
        <v>0</v>
      </c>
      <c r="I5">
        <v>256.39960000000002</v>
      </c>
    </row>
    <row r="6" spans="1:9" x14ac:dyDescent="0.3">
      <c r="A6" t="s">
        <v>54</v>
      </c>
      <c r="B6" t="s">
        <v>59</v>
      </c>
      <c r="C6">
        <v>75</v>
      </c>
      <c r="D6">
        <v>1.6299999999999999E-2</v>
      </c>
      <c r="E6">
        <v>21.511913046964182</v>
      </c>
      <c r="F6">
        <v>2074.9102959770621</v>
      </c>
      <c r="G6">
        <v>9.0579999999999998</v>
      </c>
      <c r="H6">
        <v>0</v>
      </c>
      <c r="I6">
        <v>256.60180000000003</v>
      </c>
    </row>
    <row r="7" spans="1:9" x14ac:dyDescent="0.3">
      <c r="A7" t="s">
        <v>54</v>
      </c>
      <c r="B7" t="s">
        <v>60</v>
      </c>
      <c r="C7">
        <v>75</v>
      </c>
      <c r="D7">
        <v>3.2000000000000002E-3</v>
      </c>
      <c r="E7">
        <v>21.511913046964182</v>
      </c>
      <c r="F7">
        <v>2074.9102959770621</v>
      </c>
      <c r="G7">
        <v>9.0579999999999998</v>
      </c>
      <c r="H7">
        <v>0</v>
      </c>
      <c r="I7">
        <v>256.80290000000002</v>
      </c>
    </row>
    <row r="8" spans="1:9" x14ac:dyDescent="0.3">
      <c r="A8" t="s">
        <v>54</v>
      </c>
      <c r="B8" t="s">
        <v>61</v>
      </c>
      <c r="C8">
        <v>75</v>
      </c>
      <c r="D8">
        <v>-3.0999999999999999E-3</v>
      </c>
      <c r="E8">
        <v>21.511913046964182</v>
      </c>
      <c r="F8">
        <v>2074.9102959770621</v>
      </c>
      <c r="G8">
        <v>9.0579999999999998</v>
      </c>
      <c r="H8">
        <v>0</v>
      </c>
      <c r="I8">
        <v>257.00760000000002</v>
      </c>
    </row>
    <row r="9" spans="1:9" x14ac:dyDescent="0.3">
      <c r="A9" t="s">
        <v>54</v>
      </c>
      <c r="B9" t="s">
        <v>62</v>
      </c>
      <c r="C9">
        <v>75</v>
      </c>
      <c r="D9">
        <v>-3.0999999999999999E-3</v>
      </c>
      <c r="E9">
        <v>21.511913046964182</v>
      </c>
      <c r="F9">
        <v>2074.9102959770621</v>
      </c>
      <c r="G9">
        <v>9.0579999999999998</v>
      </c>
      <c r="H9">
        <v>0</v>
      </c>
      <c r="I9">
        <v>257.19729999999998</v>
      </c>
    </row>
    <row r="10" spans="1:9" x14ac:dyDescent="0.3">
      <c r="A10" t="s">
        <v>54</v>
      </c>
      <c r="B10" t="s">
        <v>63</v>
      </c>
      <c r="C10">
        <v>75</v>
      </c>
      <c r="D10">
        <v>-3.0999999999999999E-3</v>
      </c>
      <c r="E10">
        <v>21.511913046964182</v>
      </c>
      <c r="F10">
        <v>2074.9102959770621</v>
      </c>
      <c r="G10">
        <v>9.0579999999999998</v>
      </c>
      <c r="H10">
        <v>0</v>
      </c>
      <c r="I10">
        <v>257.39879999999999</v>
      </c>
    </row>
    <row r="11" spans="1:9" x14ac:dyDescent="0.3">
      <c r="A11" t="s">
        <v>54</v>
      </c>
      <c r="B11" t="s">
        <v>64</v>
      </c>
      <c r="C11">
        <v>75</v>
      </c>
      <c r="D11">
        <v>-3.0999999999999999E-3</v>
      </c>
      <c r="E11">
        <v>21.511913046964182</v>
      </c>
      <c r="F11">
        <v>2074.9102959770621</v>
      </c>
      <c r="G11">
        <v>9.0579999999999998</v>
      </c>
      <c r="H11">
        <v>0</v>
      </c>
      <c r="I11">
        <v>257.6001</v>
      </c>
    </row>
    <row r="12" spans="1:9" x14ac:dyDescent="0.3">
      <c r="A12" t="s">
        <v>54</v>
      </c>
      <c r="B12" t="s">
        <v>65</v>
      </c>
      <c r="C12">
        <v>75</v>
      </c>
      <c r="D12">
        <v>-3.0999999999999999E-3</v>
      </c>
      <c r="E12">
        <v>21.511913046964182</v>
      </c>
      <c r="F12">
        <v>2074.9102959770621</v>
      </c>
      <c r="G12">
        <v>9.0579999999999998</v>
      </c>
      <c r="H12">
        <v>0</v>
      </c>
      <c r="I12">
        <v>257.79939999999999</v>
      </c>
    </row>
    <row r="13" spans="1:9" x14ac:dyDescent="0.3">
      <c r="A13" t="s">
        <v>54</v>
      </c>
      <c r="B13" t="s">
        <v>66</v>
      </c>
      <c r="C13">
        <v>75</v>
      </c>
      <c r="D13">
        <v>-3.0999999999999999E-3</v>
      </c>
      <c r="E13">
        <v>21.511913046964182</v>
      </c>
      <c r="F13">
        <v>2074.9102959770621</v>
      </c>
      <c r="G13">
        <v>9.0579999999999998</v>
      </c>
      <c r="H13">
        <v>0</v>
      </c>
      <c r="I13">
        <v>257.99869999999999</v>
      </c>
    </row>
    <row r="14" spans="1:9" x14ac:dyDescent="0.3">
      <c r="A14" t="s">
        <v>54</v>
      </c>
      <c r="B14" t="s">
        <v>67</v>
      </c>
      <c r="C14">
        <v>75</v>
      </c>
      <c r="D14">
        <v>-3.0999999999999999E-3</v>
      </c>
      <c r="E14">
        <v>25.566620546593018</v>
      </c>
      <c r="F14">
        <v>2566.2722898716779</v>
      </c>
      <c r="G14">
        <v>9.0579999999999998</v>
      </c>
      <c r="H14">
        <v>6.3E-2</v>
      </c>
      <c r="I14">
        <v>258.19880000000001</v>
      </c>
    </row>
    <row r="15" spans="1:9" x14ac:dyDescent="0.3">
      <c r="A15" t="s">
        <v>54</v>
      </c>
      <c r="B15" t="s">
        <v>68</v>
      </c>
      <c r="C15">
        <v>75</v>
      </c>
      <c r="D15">
        <v>7.1999999999999998E-3</v>
      </c>
      <c r="E15">
        <v>25.566620546593018</v>
      </c>
      <c r="F15">
        <v>2452.8090349424701</v>
      </c>
      <c r="G15">
        <v>9.0579999999999998</v>
      </c>
      <c r="H15">
        <v>6.3E-2</v>
      </c>
      <c r="I15">
        <v>258.39800000000002</v>
      </c>
    </row>
    <row r="16" spans="1:9" x14ac:dyDescent="0.3">
      <c r="A16" t="s">
        <v>54</v>
      </c>
      <c r="B16" t="s">
        <v>69</v>
      </c>
      <c r="C16">
        <v>75</v>
      </c>
      <c r="D16">
        <v>2.8299999999999999E-2</v>
      </c>
      <c r="E16">
        <v>25.566620546593018</v>
      </c>
      <c r="F16">
        <v>2452.8090349424701</v>
      </c>
      <c r="G16">
        <v>9.0579999999999998</v>
      </c>
      <c r="H16">
        <v>6.3E-2</v>
      </c>
      <c r="I16">
        <v>258.59899999999999</v>
      </c>
    </row>
    <row r="17" spans="1:9" x14ac:dyDescent="0.3">
      <c r="A17" t="s">
        <v>54</v>
      </c>
      <c r="B17" t="s">
        <v>70</v>
      </c>
      <c r="C17">
        <v>75</v>
      </c>
      <c r="D17">
        <v>3.5999999999999997E-2</v>
      </c>
      <c r="E17">
        <v>25.566620546593018</v>
      </c>
      <c r="F17">
        <v>2452.8090349424701</v>
      </c>
      <c r="G17">
        <v>9.0579999999999998</v>
      </c>
      <c r="H17">
        <v>6.3E-2</v>
      </c>
      <c r="I17">
        <v>258.8</v>
      </c>
    </row>
    <row r="18" spans="1:9" x14ac:dyDescent="0.3">
      <c r="A18" t="s">
        <v>54</v>
      </c>
      <c r="B18" t="s">
        <v>71</v>
      </c>
      <c r="C18">
        <v>75</v>
      </c>
      <c r="D18">
        <v>3.7400000000000003E-2</v>
      </c>
      <c r="E18">
        <v>25.566620546593018</v>
      </c>
      <c r="F18">
        <v>2452.8090349424701</v>
      </c>
      <c r="G18">
        <v>9.0579999999999998</v>
      </c>
      <c r="H18">
        <v>6.3E-2</v>
      </c>
      <c r="I18">
        <v>258.99860000000001</v>
      </c>
    </row>
    <row r="19" spans="1:9" x14ac:dyDescent="0.3">
      <c r="A19" t="s">
        <v>54</v>
      </c>
      <c r="B19" t="s">
        <v>72</v>
      </c>
      <c r="C19">
        <v>75</v>
      </c>
      <c r="D19">
        <v>3.78E-2</v>
      </c>
      <c r="E19">
        <v>25.566620546593018</v>
      </c>
      <c r="F19">
        <v>2452.8090349424701</v>
      </c>
      <c r="G19">
        <v>9.0579999999999998</v>
      </c>
      <c r="H19">
        <v>6.3E-2</v>
      </c>
      <c r="I19">
        <v>259.20119999999997</v>
      </c>
    </row>
    <row r="20" spans="1:9" x14ac:dyDescent="0.3">
      <c r="A20" t="s">
        <v>54</v>
      </c>
      <c r="B20" t="s">
        <v>73</v>
      </c>
      <c r="C20">
        <v>75</v>
      </c>
      <c r="D20">
        <v>3.78E-2</v>
      </c>
      <c r="E20">
        <v>25.566620546593018</v>
      </c>
      <c r="F20">
        <v>2452.8090349424701</v>
      </c>
      <c r="G20">
        <v>9.0579999999999998</v>
      </c>
      <c r="H20">
        <v>6.3E-2</v>
      </c>
      <c r="I20">
        <v>259.39780000000002</v>
      </c>
    </row>
    <row r="21" spans="1:9" x14ac:dyDescent="0.3">
      <c r="A21" t="s">
        <v>54</v>
      </c>
      <c r="B21" t="s">
        <v>74</v>
      </c>
      <c r="C21">
        <v>75</v>
      </c>
      <c r="D21">
        <v>3.78E-2</v>
      </c>
      <c r="E21">
        <v>25.566620546593018</v>
      </c>
      <c r="F21">
        <v>2452.8090349424701</v>
      </c>
      <c r="G21">
        <v>9.0579999999999998</v>
      </c>
      <c r="H21">
        <v>6.3E-2</v>
      </c>
      <c r="I21">
        <v>259.59899999999999</v>
      </c>
    </row>
    <row r="22" spans="1:9" x14ac:dyDescent="0.3">
      <c r="A22" t="s">
        <v>54</v>
      </c>
      <c r="B22" t="s">
        <v>75</v>
      </c>
      <c r="C22">
        <v>75</v>
      </c>
      <c r="D22">
        <v>3.78E-2</v>
      </c>
      <c r="E22">
        <v>25.566620546593018</v>
      </c>
      <c r="F22">
        <v>2452.8090349424701</v>
      </c>
      <c r="G22">
        <v>9.0579999999999998</v>
      </c>
      <c r="H22">
        <v>6.3E-2</v>
      </c>
      <c r="I22">
        <v>259.79759999999999</v>
      </c>
    </row>
    <row r="23" spans="1:9" x14ac:dyDescent="0.3">
      <c r="A23" t="s">
        <v>54</v>
      </c>
      <c r="B23" t="s">
        <v>76</v>
      </c>
      <c r="C23">
        <v>75</v>
      </c>
      <c r="D23">
        <v>3.78E-2</v>
      </c>
      <c r="E23">
        <v>21.511913046964182</v>
      </c>
      <c r="F23">
        <v>2074.9102959770621</v>
      </c>
      <c r="G23">
        <v>9.0579999999999998</v>
      </c>
      <c r="H23">
        <v>0</v>
      </c>
      <c r="I23">
        <v>260.00060000000002</v>
      </c>
    </row>
    <row r="24" spans="1:9" x14ac:dyDescent="0.3">
      <c r="A24" t="s">
        <v>54</v>
      </c>
      <c r="B24" t="s">
        <v>77</v>
      </c>
      <c r="C24">
        <v>75</v>
      </c>
      <c r="D24">
        <v>3.0599999999999999E-2</v>
      </c>
      <c r="E24">
        <v>21.511913046964182</v>
      </c>
      <c r="F24">
        <v>2074.9102959770621</v>
      </c>
      <c r="G24">
        <v>9.0579999999999998</v>
      </c>
      <c r="H24">
        <v>0</v>
      </c>
      <c r="I24">
        <v>260.19810000000001</v>
      </c>
    </row>
    <row r="25" spans="1:9" x14ac:dyDescent="0.3">
      <c r="A25" t="s">
        <v>54</v>
      </c>
      <c r="B25" t="s">
        <v>78</v>
      </c>
      <c r="C25">
        <v>75</v>
      </c>
      <c r="D25">
        <v>1.49E-2</v>
      </c>
      <c r="E25">
        <v>21.511913046964182</v>
      </c>
      <c r="F25">
        <v>2074.9102959770621</v>
      </c>
      <c r="G25">
        <v>9.0579999999999998</v>
      </c>
      <c r="H25">
        <v>0</v>
      </c>
      <c r="I25">
        <v>260.40170000000001</v>
      </c>
    </row>
    <row r="26" spans="1:9" x14ac:dyDescent="0.3">
      <c r="A26" t="s">
        <v>54</v>
      </c>
      <c r="B26" t="s">
        <v>79</v>
      </c>
      <c r="C26">
        <v>75</v>
      </c>
      <c r="D26">
        <v>2.0999999999999999E-3</v>
      </c>
      <c r="E26">
        <v>21.511913046964182</v>
      </c>
      <c r="F26">
        <v>2074.9102959770621</v>
      </c>
      <c r="G26">
        <v>9.0579999999999998</v>
      </c>
      <c r="H26">
        <v>0</v>
      </c>
      <c r="I26">
        <v>260.59750000000003</v>
      </c>
    </row>
    <row r="27" spans="1:9" x14ac:dyDescent="0.3">
      <c r="A27" t="s">
        <v>54</v>
      </c>
      <c r="B27" t="s">
        <v>80</v>
      </c>
      <c r="C27">
        <v>75</v>
      </c>
      <c r="D27">
        <v>-3.0999999999999999E-3</v>
      </c>
      <c r="E27">
        <v>21.511913046964182</v>
      </c>
      <c r="F27">
        <v>2074.9102959770621</v>
      </c>
      <c r="G27">
        <v>9.0579999999999998</v>
      </c>
      <c r="H27">
        <v>0</v>
      </c>
      <c r="I27">
        <v>260.80079999999998</v>
      </c>
    </row>
    <row r="28" spans="1:9" x14ac:dyDescent="0.3">
      <c r="A28" t="s">
        <v>54</v>
      </c>
      <c r="B28" t="s">
        <v>81</v>
      </c>
      <c r="C28">
        <v>75</v>
      </c>
      <c r="D28">
        <v>-3.0999999999999999E-3</v>
      </c>
      <c r="E28">
        <v>21.511913046964182</v>
      </c>
      <c r="F28">
        <v>2074.9102959770621</v>
      </c>
      <c r="G28">
        <v>9.0579999999999998</v>
      </c>
      <c r="H28">
        <v>0</v>
      </c>
      <c r="I28">
        <v>260.99959999999999</v>
      </c>
    </row>
    <row r="29" spans="1:9" x14ac:dyDescent="0.3">
      <c r="A29" t="s">
        <v>54</v>
      </c>
      <c r="B29" t="s">
        <v>82</v>
      </c>
      <c r="C29">
        <v>75</v>
      </c>
      <c r="D29">
        <v>-3.0999999999999999E-3</v>
      </c>
      <c r="E29">
        <v>21.511913046964182</v>
      </c>
      <c r="F29">
        <v>2074.9102959770621</v>
      </c>
      <c r="G29">
        <v>9.0579999999999998</v>
      </c>
      <c r="H29">
        <v>0</v>
      </c>
      <c r="I29">
        <v>261.1995</v>
      </c>
    </row>
    <row r="30" spans="1:9" x14ac:dyDescent="0.3">
      <c r="A30" t="s">
        <v>54</v>
      </c>
      <c r="B30" t="s">
        <v>83</v>
      </c>
      <c r="C30">
        <v>75</v>
      </c>
      <c r="D30">
        <v>-3.0999999999999999E-3</v>
      </c>
      <c r="E30">
        <v>21.511913046964182</v>
      </c>
      <c r="F30">
        <v>2074.9102959770621</v>
      </c>
      <c r="G30">
        <v>9.0579999999999998</v>
      </c>
      <c r="H30">
        <v>0</v>
      </c>
      <c r="I30">
        <v>261.399</v>
      </c>
    </row>
    <row r="31" spans="1:9" x14ac:dyDescent="0.3">
      <c r="A31" t="s">
        <v>54</v>
      </c>
      <c r="B31" t="s">
        <v>84</v>
      </c>
      <c r="C31">
        <v>75</v>
      </c>
      <c r="D31">
        <v>-3.0999999999999999E-3</v>
      </c>
      <c r="E31">
        <v>21.511913046964182</v>
      </c>
      <c r="F31">
        <v>2074.9102959770621</v>
      </c>
      <c r="G31">
        <v>9.0579999999999998</v>
      </c>
      <c r="H31">
        <v>0</v>
      </c>
      <c r="I31">
        <v>261.5992</v>
      </c>
    </row>
    <row r="32" spans="1:9" x14ac:dyDescent="0.3">
      <c r="A32" t="s">
        <v>54</v>
      </c>
      <c r="B32" t="s">
        <v>85</v>
      </c>
      <c r="C32">
        <v>75</v>
      </c>
      <c r="D32">
        <v>-3.0999999999999999E-3</v>
      </c>
      <c r="E32">
        <v>21.511913046964182</v>
      </c>
      <c r="F32">
        <v>2074.9102959770621</v>
      </c>
      <c r="G32">
        <v>9.0579999999999998</v>
      </c>
      <c r="H32">
        <v>0</v>
      </c>
      <c r="I32">
        <v>261.79770000000002</v>
      </c>
    </row>
    <row r="33" spans="1:9" x14ac:dyDescent="0.3">
      <c r="A33" t="s">
        <v>54</v>
      </c>
      <c r="B33" t="s">
        <v>86</v>
      </c>
      <c r="C33">
        <v>75</v>
      </c>
      <c r="D33">
        <v>-3.2000000000000002E-3</v>
      </c>
      <c r="E33">
        <v>21.511913046964182</v>
      </c>
      <c r="F33">
        <v>2074.9102959770621</v>
      </c>
      <c r="G33">
        <v>9.0579999999999998</v>
      </c>
      <c r="H33">
        <v>0</v>
      </c>
      <c r="I33">
        <v>261.9982</v>
      </c>
    </row>
    <row r="34" spans="1:9" x14ac:dyDescent="0.3">
      <c r="A34" t="s">
        <v>54</v>
      </c>
      <c r="B34" t="s">
        <v>87</v>
      </c>
      <c r="C34">
        <v>75</v>
      </c>
      <c r="D34">
        <v>-3.0999999999999999E-3</v>
      </c>
      <c r="E34">
        <v>25.566620546593018</v>
      </c>
      <c r="F34">
        <v>2566.2722898716779</v>
      </c>
      <c r="G34">
        <v>9.0579999999999998</v>
      </c>
      <c r="H34">
        <v>6.3E-2</v>
      </c>
      <c r="I34">
        <v>262.19920000000002</v>
      </c>
    </row>
    <row r="35" spans="1:9" x14ac:dyDescent="0.3">
      <c r="A35" t="s">
        <v>54</v>
      </c>
      <c r="B35" t="s">
        <v>88</v>
      </c>
      <c r="C35">
        <v>75</v>
      </c>
      <c r="D35">
        <v>1.6199999999999999E-2</v>
      </c>
      <c r="E35">
        <v>25.566620546593018</v>
      </c>
      <c r="F35">
        <v>2452.8090349424701</v>
      </c>
      <c r="G35">
        <v>9.0579999999999998</v>
      </c>
      <c r="H35">
        <v>6.3E-2</v>
      </c>
      <c r="I35">
        <v>262.39870000000002</v>
      </c>
    </row>
    <row r="36" spans="1:9" x14ac:dyDescent="0.3">
      <c r="A36" t="s">
        <v>54</v>
      </c>
      <c r="B36" t="s">
        <v>89</v>
      </c>
      <c r="C36">
        <v>75</v>
      </c>
      <c r="D36">
        <v>3.3300000000000003E-2</v>
      </c>
      <c r="E36">
        <v>25.566620546593018</v>
      </c>
      <c r="F36">
        <v>2452.8090349424701</v>
      </c>
      <c r="G36">
        <v>9.0579999999999998</v>
      </c>
      <c r="H36">
        <v>6.3E-2</v>
      </c>
      <c r="I36">
        <v>262.60059999999999</v>
      </c>
    </row>
    <row r="37" spans="1:9" x14ac:dyDescent="0.3">
      <c r="A37" t="s">
        <v>54</v>
      </c>
      <c r="B37" t="s">
        <v>90</v>
      </c>
      <c r="C37">
        <v>75</v>
      </c>
      <c r="D37">
        <v>3.7999999999999999E-2</v>
      </c>
      <c r="E37">
        <v>25.566620546593018</v>
      </c>
      <c r="F37">
        <v>2452.8090349424701</v>
      </c>
      <c r="G37">
        <v>9.0579999999999998</v>
      </c>
      <c r="H37">
        <v>6.3E-2</v>
      </c>
      <c r="I37">
        <v>262.80070000000001</v>
      </c>
    </row>
    <row r="38" spans="1:9" x14ac:dyDescent="0.3">
      <c r="A38" t="s">
        <v>54</v>
      </c>
      <c r="B38" t="s">
        <v>91</v>
      </c>
      <c r="C38">
        <v>75</v>
      </c>
      <c r="D38">
        <v>3.85E-2</v>
      </c>
      <c r="E38">
        <v>25.566620546593018</v>
      </c>
      <c r="F38">
        <v>2452.8090349424701</v>
      </c>
      <c r="G38">
        <v>9.0579999999999998</v>
      </c>
      <c r="H38">
        <v>6.3E-2</v>
      </c>
      <c r="I38">
        <v>263.00099999999998</v>
      </c>
    </row>
    <row r="39" spans="1:9" x14ac:dyDescent="0.3">
      <c r="A39" t="s">
        <v>54</v>
      </c>
      <c r="B39" t="s">
        <v>92</v>
      </c>
      <c r="C39">
        <v>75</v>
      </c>
      <c r="D39">
        <v>3.85E-2</v>
      </c>
      <c r="E39">
        <v>25.566620546593018</v>
      </c>
      <c r="F39">
        <v>2452.8090349424701</v>
      </c>
      <c r="G39">
        <v>9.0579999999999998</v>
      </c>
      <c r="H39">
        <v>6.3E-2</v>
      </c>
      <c r="I39">
        <v>263.19819999999999</v>
      </c>
    </row>
    <row r="40" spans="1:9" x14ac:dyDescent="0.3">
      <c r="A40" t="s">
        <v>54</v>
      </c>
      <c r="B40" t="s">
        <v>93</v>
      </c>
      <c r="C40">
        <v>75</v>
      </c>
      <c r="D40">
        <v>3.85E-2</v>
      </c>
      <c r="E40">
        <v>25.566620546593018</v>
      </c>
      <c r="F40">
        <v>2452.8090349424701</v>
      </c>
      <c r="G40">
        <v>9.0579999999999998</v>
      </c>
      <c r="H40">
        <v>6.3E-2</v>
      </c>
      <c r="I40">
        <v>263.39800000000002</v>
      </c>
    </row>
    <row r="41" spans="1:9" x14ac:dyDescent="0.3">
      <c r="A41" t="s">
        <v>54</v>
      </c>
      <c r="B41" t="s">
        <v>94</v>
      </c>
      <c r="C41">
        <v>75</v>
      </c>
      <c r="D41">
        <v>3.85E-2</v>
      </c>
      <c r="E41">
        <v>25.566620546593018</v>
      </c>
      <c r="F41">
        <v>2452.8090349424701</v>
      </c>
      <c r="G41">
        <v>9.0579999999999998</v>
      </c>
      <c r="H41">
        <v>6.3E-2</v>
      </c>
      <c r="I41">
        <v>263.60160000000002</v>
      </c>
    </row>
    <row r="42" spans="1:9" x14ac:dyDescent="0.3">
      <c r="A42" t="s">
        <v>54</v>
      </c>
      <c r="B42" t="s">
        <v>95</v>
      </c>
      <c r="C42">
        <v>75</v>
      </c>
      <c r="D42">
        <v>3.85E-2</v>
      </c>
      <c r="E42">
        <v>25.566620546593018</v>
      </c>
      <c r="F42">
        <v>2452.8090349424701</v>
      </c>
      <c r="G42">
        <v>9.0579999999999998</v>
      </c>
      <c r="H42">
        <v>6.3E-2</v>
      </c>
      <c r="I42">
        <v>263.7987</v>
      </c>
    </row>
    <row r="43" spans="1:9" x14ac:dyDescent="0.3">
      <c r="A43" t="s">
        <v>54</v>
      </c>
      <c r="B43" t="s">
        <v>96</v>
      </c>
      <c r="C43">
        <v>75</v>
      </c>
      <c r="D43">
        <v>3.85E-2</v>
      </c>
      <c r="E43">
        <v>21.511913046964182</v>
      </c>
      <c r="F43">
        <v>2074.9102959770621</v>
      </c>
      <c r="G43">
        <v>9.0579999999999998</v>
      </c>
      <c r="H43">
        <v>0</v>
      </c>
      <c r="I43">
        <v>264.00319999999999</v>
      </c>
    </row>
    <row r="44" spans="1:9" x14ac:dyDescent="0.3">
      <c r="A44" t="s">
        <v>54</v>
      </c>
      <c r="B44" t="s">
        <v>97</v>
      </c>
      <c r="C44">
        <v>75</v>
      </c>
      <c r="D44">
        <v>3.1E-2</v>
      </c>
      <c r="E44">
        <v>21.511913046964182</v>
      </c>
      <c r="F44">
        <v>2074.9102959770621</v>
      </c>
      <c r="G44">
        <v>9.0579999999999998</v>
      </c>
      <c r="H44">
        <v>0</v>
      </c>
      <c r="I44">
        <v>264.19839999999999</v>
      </c>
    </row>
    <row r="45" spans="1:9" x14ac:dyDescent="0.3">
      <c r="A45" t="s">
        <v>54</v>
      </c>
      <c r="B45" t="s">
        <v>98</v>
      </c>
      <c r="C45">
        <v>75</v>
      </c>
      <c r="D45">
        <v>1.6799999999999999E-2</v>
      </c>
      <c r="E45">
        <v>21.511913046964182</v>
      </c>
      <c r="F45">
        <v>2074.9102959770621</v>
      </c>
      <c r="G45">
        <v>9.0579999999999998</v>
      </c>
      <c r="H45">
        <v>0</v>
      </c>
      <c r="I45">
        <v>264.39789999999999</v>
      </c>
    </row>
    <row r="46" spans="1:9" x14ac:dyDescent="0.3">
      <c r="A46" t="s">
        <v>54</v>
      </c>
      <c r="B46" t="s">
        <v>99</v>
      </c>
      <c r="C46">
        <v>75</v>
      </c>
      <c r="D46">
        <v>3.8E-3</v>
      </c>
      <c r="E46">
        <v>21.511913046964182</v>
      </c>
      <c r="F46">
        <v>2074.9102959770621</v>
      </c>
      <c r="G46">
        <v>9.0579999999999998</v>
      </c>
      <c r="H46">
        <v>0</v>
      </c>
      <c r="I46">
        <v>264.59989999999999</v>
      </c>
    </row>
    <row r="47" spans="1:9" x14ac:dyDescent="0.3">
      <c r="A47" t="s">
        <v>54</v>
      </c>
      <c r="B47" t="s">
        <v>100</v>
      </c>
      <c r="C47">
        <v>75</v>
      </c>
      <c r="D47">
        <v>-3.0999999999999999E-3</v>
      </c>
      <c r="E47">
        <v>21.511913046964182</v>
      </c>
      <c r="F47">
        <v>2074.9102959770621</v>
      </c>
      <c r="G47">
        <v>9.0579999999999998</v>
      </c>
      <c r="H47">
        <v>0</v>
      </c>
      <c r="I47">
        <v>264.79880000000003</v>
      </c>
    </row>
    <row r="48" spans="1:9" x14ac:dyDescent="0.3">
      <c r="A48" t="s">
        <v>54</v>
      </c>
      <c r="B48" t="s">
        <v>101</v>
      </c>
      <c r="C48">
        <v>75</v>
      </c>
      <c r="D48">
        <v>-3.0999999999999999E-3</v>
      </c>
      <c r="E48">
        <v>21.511913046964182</v>
      </c>
      <c r="F48">
        <v>2074.9102959770621</v>
      </c>
      <c r="G48">
        <v>9.0579999999999998</v>
      </c>
      <c r="H48">
        <v>0</v>
      </c>
      <c r="I48">
        <v>264.99889999999999</v>
      </c>
    </row>
    <row r="49" spans="1:9" x14ac:dyDescent="0.3">
      <c r="A49" t="s">
        <v>54</v>
      </c>
      <c r="B49" t="s">
        <v>102</v>
      </c>
      <c r="C49">
        <v>75</v>
      </c>
      <c r="D49">
        <v>-3.0999999999999999E-3</v>
      </c>
      <c r="E49">
        <v>21.511913046964182</v>
      </c>
      <c r="F49">
        <v>2074.9102959770621</v>
      </c>
      <c r="G49">
        <v>9.0579999999999998</v>
      </c>
      <c r="H49">
        <v>0</v>
      </c>
      <c r="I49">
        <v>265.20060000000001</v>
      </c>
    </row>
    <row r="50" spans="1:9" x14ac:dyDescent="0.3">
      <c r="A50" t="s">
        <v>54</v>
      </c>
      <c r="B50" t="s">
        <v>103</v>
      </c>
      <c r="C50">
        <v>75</v>
      </c>
      <c r="D50">
        <v>-3.2000000000000002E-3</v>
      </c>
      <c r="E50">
        <v>21.511913046964182</v>
      </c>
      <c r="F50">
        <v>2074.9102959770621</v>
      </c>
      <c r="G50">
        <v>9.0579999999999998</v>
      </c>
      <c r="H50">
        <v>0</v>
      </c>
      <c r="I50">
        <v>265.39980000000003</v>
      </c>
    </row>
    <row r="51" spans="1:9" x14ac:dyDescent="0.3">
      <c r="A51" t="s">
        <v>54</v>
      </c>
      <c r="B51" t="s">
        <v>104</v>
      </c>
      <c r="C51">
        <v>75</v>
      </c>
      <c r="D51">
        <v>-3.0999999999999999E-3</v>
      </c>
      <c r="E51">
        <v>21.511913046964182</v>
      </c>
      <c r="F51">
        <v>2074.9102959770621</v>
      </c>
      <c r="G51">
        <v>9.0579999999999998</v>
      </c>
      <c r="H51">
        <v>0</v>
      </c>
      <c r="I51">
        <v>265.60070000000002</v>
      </c>
    </row>
    <row r="52" spans="1:9" x14ac:dyDescent="0.3">
      <c r="A52" t="s">
        <v>54</v>
      </c>
      <c r="B52" t="s">
        <v>105</v>
      </c>
      <c r="C52">
        <v>75</v>
      </c>
      <c r="D52">
        <v>-3.0999999999999999E-3</v>
      </c>
      <c r="E52">
        <v>21.511913046964182</v>
      </c>
      <c r="F52">
        <v>2074.9102959770621</v>
      </c>
      <c r="G52">
        <v>9.0579999999999998</v>
      </c>
      <c r="H52">
        <v>0</v>
      </c>
      <c r="I52">
        <v>265.79919999999998</v>
      </c>
    </row>
    <row r="53" spans="1:9" x14ac:dyDescent="0.3">
      <c r="A53" t="s">
        <v>54</v>
      </c>
      <c r="B53" t="s">
        <v>106</v>
      </c>
      <c r="C53">
        <v>75</v>
      </c>
      <c r="D53">
        <v>-3.0999999999999999E-3</v>
      </c>
      <c r="E53">
        <v>21.511913046964182</v>
      </c>
      <c r="F53">
        <v>2074.9102959770621</v>
      </c>
      <c r="G53">
        <v>9.0579999999999998</v>
      </c>
      <c r="H53">
        <v>0</v>
      </c>
      <c r="I53">
        <v>265.99829999999997</v>
      </c>
    </row>
    <row r="54" spans="1:9" x14ac:dyDescent="0.3">
      <c r="A54" t="s">
        <v>54</v>
      </c>
      <c r="B54" t="s">
        <v>107</v>
      </c>
      <c r="C54">
        <v>75</v>
      </c>
      <c r="D54">
        <v>-3.0999999999999999E-3</v>
      </c>
      <c r="E54">
        <v>25.566620546593018</v>
      </c>
      <c r="F54">
        <v>2566.2722898716779</v>
      </c>
      <c r="G54">
        <v>9.0579999999999998</v>
      </c>
      <c r="H54">
        <v>6.3E-2</v>
      </c>
      <c r="I54">
        <v>266.19819999999999</v>
      </c>
    </row>
    <row r="55" spans="1:9" x14ac:dyDescent="0.3">
      <c r="A55" t="s">
        <v>54</v>
      </c>
      <c r="B55" t="s">
        <v>108</v>
      </c>
      <c r="C55">
        <v>75</v>
      </c>
      <c r="D55">
        <v>1.06E-2</v>
      </c>
      <c r="E55">
        <v>25.566620546593018</v>
      </c>
      <c r="F55">
        <v>2452.8090349424701</v>
      </c>
      <c r="G55">
        <v>9.0579999999999998</v>
      </c>
      <c r="H55">
        <v>6.3E-2</v>
      </c>
      <c r="I55">
        <v>266.39800000000002</v>
      </c>
    </row>
    <row r="56" spans="1:9" x14ac:dyDescent="0.3">
      <c r="A56" t="s">
        <v>54</v>
      </c>
      <c r="B56" t="s">
        <v>109</v>
      </c>
      <c r="C56">
        <v>75</v>
      </c>
      <c r="D56">
        <v>3.1199999999999999E-2</v>
      </c>
      <c r="E56">
        <v>25.566620546593018</v>
      </c>
      <c r="F56">
        <v>2452.8090349424701</v>
      </c>
      <c r="G56">
        <v>9.0579999999999998</v>
      </c>
      <c r="H56">
        <v>6.3E-2</v>
      </c>
      <c r="I56">
        <v>266.601</v>
      </c>
    </row>
    <row r="57" spans="1:9" x14ac:dyDescent="0.3">
      <c r="A57" t="s">
        <v>54</v>
      </c>
      <c r="B57" t="s">
        <v>110</v>
      </c>
      <c r="C57">
        <v>75</v>
      </c>
      <c r="D57">
        <v>3.6999999999999998E-2</v>
      </c>
      <c r="E57">
        <v>25.566620546593018</v>
      </c>
      <c r="F57">
        <v>2452.8090349424701</v>
      </c>
      <c r="G57">
        <v>9.0579999999999998</v>
      </c>
      <c r="H57">
        <v>6.3E-2</v>
      </c>
      <c r="I57">
        <v>266.79930000000002</v>
      </c>
    </row>
    <row r="58" spans="1:9" x14ac:dyDescent="0.3">
      <c r="A58" t="s">
        <v>54</v>
      </c>
      <c r="B58" t="s">
        <v>111</v>
      </c>
      <c r="C58">
        <v>75</v>
      </c>
      <c r="D58">
        <v>3.8100000000000002E-2</v>
      </c>
      <c r="E58">
        <v>25.566620546593018</v>
      </c>
      <c r="F58">
        <v>2452.8090349424701</v>
      </c>
      <c r="G58">
        <v>9.0579999999999998</v>
      </c>
      <c r="H58">
        <v>6.3E-2</v>
      </c>
      <c r="I58">
        <v>266.99880000000002</v>
      </c>
    </row>
    <row r="59" spans="1:9" x14ac:dyDescent="0.3">
      <c r="A59" t="s">
        <v>54</v>
      </c>
      <c r="B59" t="s">
        <v>112</v>
      </c>
      <c r="C59">
        <v>75</v>
      </c>
      <c r="D59">
        <v>3.8100000000000002E-2</v>
      </c>
      <c r="E59">
        <v>25.566620546593018</v>
      </c>
      <c r="F59">
        <v>2452.8090349424701</v>
      </c>
      <c r="G59">
        <v>9.0579999999999998</v>
      </c>
      <c r="H59">
        <v>6.3E-2</v>
      </c>
      <c r="I59">
        <v>267.2013</v>
      </c>
    </row>
    <row r="60" spans="1:9" x14ac:dyDescent="0.3">
      <c r="A60" t="s">
        <v>54</v>
      </c>
      <c r="B60" t="s">
        <v>113</v>
      </c>
      <c r="C60">
        <v>75</v>
      </c>
      <c r="D60">
        <v>3.8100000000000002E-2</v>
      </c>
      <c r="E60">
        <v>25.566620546593018</v>
      </c>
      <c r="F60">
        <v>2452.8090349424701</v>
      </c>
      <c r="G60">
        <v>9.0579999999999998</v>
      </c>
      <c r="H60">
        <v>6.3E-2</v>
      </c>
      <c r="I60">
        <v>267.40039999999999</v>
      </c>
    </row>
    <row r="61" spans="1:9" x14ac:dyDescent="0.3">
      <c r="A61" t="s">
        <v>54</v>
      </c>
      <c r="B61" t="s">
        <v>114</v>
      </c>
      <c r="C61">
        <v>75</v>
      </c>
      <c r="D61">
        <v>3.8100000000000002E-2</v>
      </c>
      <c r="E61">
        <v>25.566620546593018</v>
      </c>
      <c r="F61">
        <v>2452.8090349424701</v>
      </c>
      <c r="G61">
        <v>9.0579999999999998</v>
      </c>
      <c r="H61">
        <v>6.3E-2</v>
      </c>
      <c r="I61">
        <v>267.60039999999998</v>
      </c>
    </row>
    <row r="62" spans="1:9" x14ac:dyDescent="0.3">
      <c r="A62" t="s">
        <v>54</v>
      </c>
      <c r="B62" t="s">
        <v>115</v>
      </c>
      <c r="C62">
        <v>75</v>
      </c>
      <c r="D62">
        <v>3.8100000000000002E-2</v>
      </c>
      <c r="E62">
        <v>25.566620546593018</v>
      </c>
      <c r="F62">
        <v>2452.8090349424701</v>
      </c>
      <c r="G62">
        <v>9.0579999999999998</v>
      </c>
      <c r="H62">
        <v>6.3E-2</v>
      </c>
      <c r="I62">
        <v>267.80070000000001</v>
      </c>
    </row>
    <row r="63" spans="1:9" x14ac:dyDescent="0.3">
      <c r="A63" t="s">
        <v>54</v>
      </c>
      <c r="B63" t="s">
        <v>116</v>
      </c>
      <c r="C63">
        <v>75</v>
      </c>
      <c r="D63">
        <v>3.8100000000000002E-2</v>
      </c>
      <c r="E63">
        <v>25.566620546593018</v>
      </c>
      <c r="F63">
        <v>2452.8090349424701</v>
      </c>
      <c r="G63">
        <v>9.0579999999999998</v>
      </c>
      <c r="H63">
        <v>6.3E-2</v>
      </c>
      <c r="I63">
        <v>267.99869999999999</v>
      </c>
    </row>
    <row r="64" spans="1:9" x14ac:dyDescent="0.3">
      <c r="A64" t="s">
        <v>54</v>
      </c>
      <c r="B64" t="s">
        <v>117</v>
      </c>
      <c r="C64">
        <v>75</v>
      </c>
      <c r="D64">
        <v>3.8100000000000002E-2</v>
      </c>
      <c r="E64">
        <v>21.511913046964182</v>
      </c>
      <c r="F64">
        <v>2074.9102959770621</v>
      </c>
      <c r="G64">
        <v>9.0579999999999998</v>
      </c>
      <c r="H64">
        <v>0</v>
      </c>
      <c r="I64">
        <v>268.20089999999999</v>
      </c>
    </row>
    <row r="65" spans="1:9" x14ac:dyDescent="0.3">
      <c r="A65" t="s">
        <v>54</v>
      </c>
      <c r="B65" t="s">
        <v>118</v>
      </c>
      <c r="C65">
        <v>75</v>
      </c>
      <c r="D65">
        <v>3.2199999999999999E-2</v>
      </c>
      <c r="E65">
        <v>21.511913046964182</v>
      </c>
      <c r="F65">
        <v>2074.9102959770621</v>
      </c>
      <c r="G65">
        <v>9.0579999999999998</v>
      </c>
      <c r="H65">
        <v>0</v>
      </c>
      <c r="I65">
        <v>268.39949999999999</v>
      </c>
    </row>
    <row r="66" spans="1:9" x14ac:dyDescent="0.3">
      <c r="A66" t="s">
        <v>54</v>
      </c>
      <c r="B66" t="s">
        <v>119</v>
      </c>
      <c r="C66">
        <v>75</v>
      </c>
      <c r="D66">
        <v>1.7000000000000001E-2</v>
      </c>
      <c r="E66">
        <v>21.511913046964182</v>
      </c>
      <c r="F66">
        <v>2074.9102959770621</v>
      </c>
      <c r="G66">
        <v>9.0579999999999998</v>
      </c>
      <c r="H66">
        <v>0</v>
      </c>
      <c r="I66">
        <v>268.59879999999998</v>
      </c>
    </row>
    <row r="67" spans="1:9" x14ac:dyDescent="0.3">
      <c r="A67" t="s">
        <v>54</v>
      </c>
      <c r="B67" t="s">
        <v>120</v>
      </c>
      <c r="C67">
        <v>75</v>
      </c>
      <c r="D67">
        <v>3.3E-3</v>
      </c>
      <c r="E67">
        <v>21.511913046964182</v>
      </c>
      <c r="F67">
        <v>2074.9102959770621</v>
      </c>
      <c r="G67">
        <v>9.0579999999999998</v>
      </c>
      <c r="H67">
        <v>0</v>
      </c>
      <c r="I67">
        <v>268.80009999999999</v>
      </c>
    </row>
    <row r="68" spans="1:9" x14ac:dyDescent="0.3">
      <c r="A68" t="s">
        <v>54</v>
      </c>
      <c r="B68" t="s">
        <v>121</v>
      </c>
      <c r="C68">
        <v>75</v>
      </c>
      <c r="D68">
        <v>-3.0999999999999999E-3</v>
      </c>
      <c r="E68">
        <v>21.511913046964182</v>
      </c>
      <c r="F68">
        <v>2074.9102959770621</v>
      </c>
      <c r="G68">
        <v>9.0579999999999998</v>
      </c>
      <c r="H68">
        <v>0</v>
      </c>
      <c r="I68">
        <v>268.99889999999999</v>
      </c>
    </row>
    <row r="69" spans="1:9" x14ac:dyDescent="0.3">
      <c r="A69" t="s">
        <v>54</v>
      </c>
      <c r="B69" t="s">
        <v>122</v>
      </c>
      <c r="C69">
        <v>75</v>
      </c>
      <c r="D69">
        <v>-3.0999999999999999E-3</v>
      </c>
      <c r="E69">
        <v>21.511913046964182</v>
      </c>
      <c r="F69">
        <v>2074.9102959770621</v>
      </c>
      <c r="G69">
        <v>9.0579999999999998</v>
      </c>
      <c r="H69">
        <v>0</v>
      </c>
      <c r="I69">
        <v>269.20179999999999</v>
      </c>
    </row>
    <row r="70" spans="1:9" x14ac:dyDescent="0.3">
      <c r="A70" t="s">
        <v>54</v>
      </c>
      <c r="B70" t="s">
        <v>123</v>
      </c>
      <c r="C70">
        <v>75</v>
      </c>
      <c r="D70">
        <v>-3.0999999999999999E-3</v>
      </c>
      <c r="E70">
        <v>21.511913046964182</v>
      </c>
      <c r="F70">
        <v>2074.9102959770621</v>
      </c>
      <c r="G70">
        <v>9.0579999999999998</v>
      </c>
      <c r="H70">
        <v>0</v>
      </c>
      <c r="I70">
        <v>269.39859999999999</v>
      </c>
    </row>
    <row r="71" spans="1:9" x14ac:dyDescent="0.3">
      <c r="A71" t="s">
        <v>54</v>
      </c>
      <c r="B71" t="s">
        <v>124</v>
      </c>
      <c r="C71">
        <v>75</v>
      </c>
      <c r="D71">
        <v>-3.0999999999999999E-3</v>
      </c>
      <c r="E71">
        <v>21.511913046964182</v>
      </c>
      <c r="F71">
        <v>2074.9102959770621</v>
      </c>
      <c r="G71">
        <v>9.0579999999999998</v>
      </c>
      <c r="H71">
        <v>0</v>
      </c>
      <c r="I71">
        <v>269.60140000000001</v>
      </c>
    </row>
    <row r="72" spans="1:9" x14ac:dyDescent="0.3">
      <c r="A72" t="s">
        <v>54</v>
      </c>
      <c r="B72" t="s">
        <v>125</v>
      </c>
      <c r="C72">
        <v>75</v>
      </c>
      <c r="D72">
        <v>-3.0999999999999999E-3</v>
      </c>
      <c r="E72">
        <v>21.511913046964182</v>
      </c>
      <c r="F72">
        <v>2074.9102959770621</v>
      </c>
      <c r="G72">
        <v>9.0579999999999998</v>
      </c>
      <c r="H72">
        <v>0</v>
      </c>
      <c r="I72">
        <v>269.79849999999999</v>
      </c>
    </row>
    <row r="73" spans="1:9" x14ac:dyDescent="0.3">
      <c r="A73" t="s">
        <v>54</v>
      </c>
      <c r="B73" t="s">
        <v>126</v>
      </c>
      <c r="C73">
        <v>75</v>
      </c>
      <c r="D73">
        <v>-3.0999999999999999E-3</v>
      </c>
      <c r="E73">
        <v>25.566620546593018</v>
      </c>
      <c r="F73">
        <v>2566.2722898716779</v>
      </c>
      <c r="G73">
        <v>9.0579999999999998</v>
      </c>
      <c r="H73">
        <v>6.3E-2</v>
      </c>
      <c r="I73">
        <v>270.00020000000001</v>
      </c>
    </row>
    <row r="74" spans="1:9" x14ac:dyDescent="0.3">
      <c r="A74" t="s">
        <v>54</v>
      </c>
      <c r="B74" t="s">
        <v>127</v>
      </c>
      <c r="C74">
        <v>75</v>
      </c>
      <c r="D74">
        <v>1.21E-2</v>
      </c>
      <c r="E74">
        <v>25.566620546593018</v>
      </c>
      <c r="F74">
        <v>2452.8090349424701</v>
      </c>
      <c r="G74">
        <v>9.0579999999999998</v>
      </c>
      <c r="H74">
        <v>6.3E-2</v>
      </c>
      <c r="I74">
        <v>270.20150000000001</v>
      </c>
    </row>
    <row r="75" spans="1:9" x14ac:dyDescent="0.3">
      <c r="A75" t="s">
        <v>54</v>
      </c>
      <c r="B75" t="s">
        <v>128</v>
      </c>
      <c r="C75">
        <v>75</v>
      </c>
      <c r="D75">
        <v>3.2000000000000001E-2</v>
      </c>
      <c r="E75">
        <v>25.566620546593018</v>
      </c>
      <c r="F75">
        <v>2452.8090349424701</v>
      </c>
      <c r="G75">
        <v>9.0579999999999998</v>
      </c>
      <c r="H75">
        <v>6.3E-2</v>
      </c>
      <c r="I75">
        <v>270.40039999999999</v>
      </c>
    </row>
    <row r="76" spans="1:9" x14ac:dyDescent="0.3">
      <c r="A76" t="s">
        <v>54</v>
      </c>
      <c r="B76" t="s">
        <v>129</v>
      </c>
      <c r="C76">
        <v>75</v>
      </c>
      <c r="D76">
        <v>3.73E-2</v>
      </c>
      <c r="E76">
        <v>25.566620546593018</v>
      </c>
      <c r="F76">
        <v>2452.8090349424701</v>
      </c>
      <c r="G76">
        <v>9.0579999999999998</v>
      </c>
      <c r="H76">
        <v>6.3E-2</v>
      </c>
      <c r="I76">
        <v>270.59859999999998</v>
      </c>
    </row>
    <row r="77" spans="1:9" x14ac:dyDescent="0.3">
      <c r="A77" t="s">
        <v>54</v>
      </c>
      <c r="B77" t="s">
        <v>130</v>
      </c>
      <c r="C77">
        <v>75</v>
      </c>
      <c r="D77">
        <v>3.8199999999999998E-2</v>
      </c>
      <c r="E77">
        <v>25.566620546593018</v>
      </c>
      <c r="F77">
        <v>2452.8090349424701</v>
      </c>
      <c r="G77">
        <v>9.0579999999999998</v>
      </c>
      <c r="H77">
        <v>6.3E-2</v>
      </c>
      <c r="I77">
        <v>270.79939999999999</v>
      </c>
    </row>
    <row r="78" spans="1:9" x14ac:dyDescent="0.3">
      <c r="A78" t="s">
        <v>54</v>
      </c>
      <c r="B78" t="s">
        <v>131</v>
      </c>
      <c r="C78">
        <v>75</v>
      </c>
      <c r="D78">
        <v>3.85E-2</v>
      </c>
      <c r="E78">
        <v>25.566620546593018</v>
      </c>
      <c r="F78">
        <v>2452.8090349424701</v>
      </c>
      <c r="G78">
        <v>9.0579999999999998</v>
      </c>
      <c r="H78">
        <v>6.3E-2</v>
      </c>
      <c r="I78">
        <v>271.00150000000002</v>
      </c>
    </row>
    <row r="79" spans="1:9" x14ac:dyDescent="0.3">
      <c r="A79" t="s">
        <v>54</v>
      </c>
      <c r="B79" t="s">
        <v>132</v>
      </c>
      <c r="C79">
        <v>75</v>
      </c>
      <c r="D79">
        <v>3.85E-2</v>
      </c>
      <c r="E79">
        <v>25.566620546593018</v>
      </c>
      <c r="F79">
        <v>2452.8090349424701</v>
      </c>
      <c r="G79">
        <v>9.0579999999999998</v>
      </c>
      <c r="H79">
        <v>6.3E-2</v>
      </c>
      <c r="I79">
        <v>271.2</v>
      </c>
    </row>
    <row r="80" spans="1:9" x14ac:dyDescent="0.3">
      <c r="A80" t="s">
        <v>54</v>
      </c>
      <c r="B80" t="s">
        <v>133</v>
      </c>
      <c r="C80">
        <v>75</v>
      </c>
      <c r="D80">
        <v>3.85E-2</v>
      </c>
      <c r="E80">
        <v>25.566620546593018</v>
      </c>
      <c r="F80">
        <v>2452.8090349424701</v>
      </c>
      <c r="G80">
        <v>9.0579999999999998</v>
      </c>
      <c r="H80">
        <v>6.3E-2</v>
      </c>
      <c r="I80">
        <v>271.4006</v>
      </c>
    </row>
    <row r="81" spans="1:9" x14ac:dyDescent="0.3">
      <c r="A81" t="s">
        <v>54</v>
      </c>
      <c r="B81" t="s">
        <v>134</v>
      </c>
      <c r="C81">
        <v>75</v>
      </c>
      <c r="D81">
        <v>3.85E-2</v>
      </c>
      <c r="E81">
        <v>25.566620546593018</v>
      </c>
      <c r="F81">
        <v>2452.8090349424701</v>
      </c>
      <c r="G81">
        <v>9.0579999999999998</v>
      </c>
      <c r="H81">
        <v>6.3E-2</v>
      </c>
      <c r="I81">
        <v>271.60120000000001</v>
      </c>
    </row>
    <row r="82" spans="1:9" x14ac:dyDescent="0.3">
      <c r="A82" t="s">
        <v>54</v>
      </c>
      <c r="B82" t="s">
        <v>135</v>
      </c>
      <c r="C82">
        <v>75</v>
      </c>
      <c r="D82">
        <v>3.85E-2</v>
      </c>
      <c r="E82">
        <v>25.566620546593018</v>
      </c>
      <c r="F82">
        <v>2452.8090349424701</v>
      </c>
      <c r="G82">
        <v>9.0579999999999998</v>
      </c>
      <c r="H82">
        <v>6.3E-2</v>
      </c>
      <c r="I82">
        <v>271.80009999999999</v>
      </c>
    </row>
    <row r="83" spans="1:9" x14ac:dyDescent="0.3">
      <c r="A83" t="s">
        <v>54</v>
      </c>
      <c r="B83" t="s">
        <v>136</v>
      </c>
      <c r="C83">
        <v>75</v>
      </c>
      <c r="D83">
        <v>3.8399999999999997E-2</v>
      </c>
      <c r="E83">
        <v>25.566620546593018</v>
      </c>
      <c r="F83">
        <v>2452.8090349424701</v>
      </c>
      <c r="G83">
        <v>9.0579999999999998</v>
      </c>
      <c r="H83">
        <v>6.3E-2</v>
      </c>
      <c r="I83">
        <v>271.99880000000002</v>
      </c>
    </row>
    <row r="84" spans="1:9" x14ac:dyDescent="0.3">
      <c r="A84" t="s">
        <v>54</v>
      </c>
      <c r="B84" t="s">
        <v>137</v>
      </c>
      <c r="C84">
        <v>75</v>
      </c>
      <c r="D84">
        <v>3.85E-2</v>
      </c>
      <c r="E84">
        <v>21.511913046964182</v>
      </c>
      <c r="F84">
        <v>2074.9102959770621</v>
      </c>
      <c r="G84">
        <v>9.0579999999999998</v>
      </c>
      <c r="H84">
        <v>0</v>
      </c>
      <c r="I84">
        <v>272.2002</v>
      </c>
    </row>
    <row r="85" spans="1:9" x14ac:dyDescent="0.3">
      <c r="A85" t="s">
        <v>54</v>
      </c>
      <c r="B85" t="s">
        <v>138</v>
      </c>
      <c r="C85">
        <v>75</v>
      </c>
      <c r="D85">
        <v>3.2199999999999999E-2</v>
      </c>
      <c r="E85">
        <v>21.511913046964182</v>
      </c>
      <c r="F85">
        <v>2074.9102959770621</v>
      </c>
      <c r="G85">
        <v>9.0579999999999998</v>
      </c>
      <c r="H85">
        <v>0</v>
      </c>
      <c r="I85">
        <v>272.39890000000003</v>
      </c>
    </row>
    <row r="86" spans="1:9" x14ac:dyDescent="0.3">
      <c r="A86" t="s">
        <v>54</v>
      </c>
      <c r="B86" t="s">
        <v>139</v>
      </c>
      <c r="C86">
        <v>75</v>
      </c>
      <c r="D86">
        <v>1.7000000000000001E-2</v>
      </c>
      <c r="E86">
        <v>21.511913046964182</v>
      </c>
      <c r="F86">
        <v>2074.9102959770621</v>
      </c>
      <c r="G86">
        <v>9.0579999999999998</v>
      </c>
      <c r="H86">
        <v>0</v>
      </c>
      <c r="I86">
        <v>272.5992</v>
      </c>
    </row>
    <row r="87" spans="1:9" x14ac:dyDescent="0.3">
      <c r="A87" t="s">
        <v>54</v>
      </c>
      <c r="B87" t="s">
        <v>140</v>
      </c>
      <c r="C87">
        <v>75</v>
      </c>
      <c r="D87">
        <v>3.0999999999999999E-3</v>
      </c>
      <c r="E87">
        <v>21.511913046964182</v>
      </c>
      <c r="F87">
        <v>2074.9102959770621</v>
      </c>
      <c r="G87">
        <v>9.0579999999999998</v>
      </c>
      <c r="H87">
        <v>0</v>
      </c>
      <c r="I87">
        <v>272.80070000000001</v>
      </c>
    </row>
    <row r="88" spans="1:9" x14ac:dyDescent="0.3">
      <c r="A88" t="s">
        <v>54</v>
      </c>
      <c r="B88" t="s">
        <v>141</v>
      </c>
      <c r="C88">
        <v>75</v>
      </c>
      <c r="D88">
        <v>-3.0999999999999999E-3</v>
      </c>
      <c r="E88">
        <v>21.511913046964182</v>
      </c>
      <c r="F88">
        <v>2074.9102959770621</v>
      </c>
      <c r="G88">
        <v>9.0579999999999998</v>
      </c>
      <c r="H88">
        <v>0</v>
      </c>
      <c r="I88">
        <v>273.0018</v>
      </c>
    </row>
    <row r="89" spans="1:9" x14ac:dyDescent="0.3">
      <c r="A89" t="s">
        <v>54</v>
      </c>
      <c r="B89" t="s">
        <v>142</v>
      </c>
      <c r="C89">
        <v>75</v>
      </c>
      <c r="D89">
        <v>-3.0999999999999999E-3</v>
      </c>
      <c r="E89">
        <v>21.511913046964182</v>
      </c>
      <c r="F89">
        <v>2074.9102959770621</v>
      </c>
      <c r="G89">
        <v>9.0579999999999998</v>
      </c>
      <c r="H89">
        <v>0</v>
      </c>
      <c r="I89">
        <v>273.2013</v>
      </c>
    </row>
    <row r="90" spans="1:9" x14ac:dyDescent="0.3">
      <c r="A90" t="s">
        <v>54</v>
      </c>
      <c r="B90" t="s">
        <v>143</v>
      </c>
      <c r="C90">
        <v>75</v>
      </c>
      <c r="D90">
        <v>-3.0999999999999999E-3</v>
      </c>
      <c r="E90">
        <v>21.511913046964182</v>
      </c>
      <c r="F90">
        <v>2074.9102959770621</v>
      </c>
      <c r="G90">
        <v>9.0579999999999998</v>
      </c>
      <c r="H90">
        <v>0</v>
      </c>
      <c r="I90">
        <v>273.39909999999998</v>
      </c>
    </row>
    <row r="91" spans="1:9" x14ac:dyDescent="0.3">
      <c r="A91" t="s">
        <v>54</v>
      </c>
      <c r="B91" t="s">
        <v>144</v>
      </c>
      <c r="C91">
        <v>75</v>
      </c>
      <c r="D91">
        <v>-3.0999999999999999E-3</v>
      </c>
      <c r="E91">
        <v>21.511913046964182</v>
      </c>
      <c r="F91">
        <v>2074.9102959770621</v>
      </c>
      <c r="G91">
        <v>9.0579999999999998</v>
      </c>
      <c r="H91">
        <v>0</v>
      </c>
      <c r="I91">
        <v>273.59870000000001</v>
      </c>
    </row>
    <row r="92" spans="1:9" x14ac:dyDescent="0.3">
      <c r="A92" t="s">
        <v>54</v>
      </c>
      <c r="B92" t="s">
        <v>145</v>
      </c>
      <c r="C92">
        <v>75</v>
      </c>
      <c r="D92">
        <v>-3.0999999999999999E-3</v>
      </c>
      <c r="E92">
        <v>21.511913046964182</v>
      </c>
      <c r="F92">
        <v>2074.9102959770621</v>
      </c>
      <c r="G92">
        <v>9.0579999999999998</v>
      </c>
      <c r="H92">
        <v>0</v>
      </c>
      <c r="I92">
        <v>273.8005</v>
      </c>
    </row>
    <row r="93" spans="1:9" x14ac:dyDescent="0.3">
      <c r="A93" t="s">
        <v>54</v>
      </c>
      <c r="B93" t="s">
        <v>146</v>
      </c>
      <c r="C93">
        <v>75</v>
      </c>
      <c r="D93">
        <v>-3.0999999999999999E-3</v>
      </c>
      <c r="E93">
        <v>21.511913046964182</v>
      </c>
      <c r="F93">
        <v>2074.9102959770621</v>
      </c>
      <c r="G93">
        <v>9.0579999999999998</v>
      </c>
      <c r="H93">
        <v>0</v>
      </c>
      <c r="I93">
        <v>273.9984</v>
      </c>
    </row>
    <row r="94" spans="1:9" x14ac:dyDescent="0.3">
      <c r="A94" t="s">
        <v>54</v>
      </c>
      <c r="B94" t="s">
        <v>147</v>
      </c>
      <c r="C94">
        <v>75</v>
      </c>
      <c r="D94">
        <v>-3.0999999999999999E-3</v>
      </c>
      <c r="E94">
        <v>25.566620546593018</v>
      </c>
      <c r="F94">
        <v>2566.2722898716779</v>
      </c>
      <c r="G94">
        <v>9.0579999999999998</v>
      </c>
      <c r="H94">
        <v>6.3E-2</v>
      </c>
      <c r="I94">
        <v>274.19839999999999</v>
      </c>
    </row>
    <row r="95" spans="1:9" x14ac:dyDescent="0.3">
      <c r="A95" t="s">
        <v>54</v>
      </c>
      <c r="B95" t="s">
        <v>148</v>
      </c>
      <c r="C95">
        <v>75</v>
      </c>
      <c r="D95">
        <v>1.2200000000000001E-2</v>
      </c>
      <c r="E95">
        <v>25.566620546593018</v>
      </c>
      <c r="F95">
        <v>2452.8090349424701</v>
      </c>
      <c r="G95">
        <v>9.0579999999999998</v>
      </c>
      <c r="H95">
        <v>6.3E-2</v>
      </c>
      <c r="I95">
        <v>274.40089999999998</v>
      </c>
    </row>
    <row r="96" spans="1:9" x14ac:dyDescent="0.3">
      <c r="A96" t="s">
        <v>54</v>
      </c>
      <c r="B96" t="s">
        <v>149</v>
      </c>
      <c r="C96">
        <v>75</v>
      </c>
      <c r="D96">
        <v>3.2300000000000002E-2</v>
      </c>
      <c r="E96">
        <v>25.566620546593018</v>
      </c>
      <c r="F96">
        <v>2452.8090349424701</v>
      </c>
      <c r="G96">
        <v>9.0579999999999998</v>
      </c>
      <c r="H96">
        <v>6.3E-2</v>
      </c>
      <c r="I96">
        <v>274.60169999999999</v>
      </c>
    </row>
    <row r="97" spans="1:9" x14ac:dyDescent="0.3">
      <c r="A97" t="s">
        <v>54</v>
      </c>
      <c r="B97" t="s">
        <v>150</v>
      </c>
      <c r="C97">
        <v>75</v>
      </c>
      <c r="D97">
        <v>3.7199999999999997E-2</v>
      </c>
      <c r="E97">
        <v>25.566620546593018</v>
      </c>
      <c r="F97">
        <v>2452.8090349424701</v>
      </c>
      <c r="G97">
        <v>9.0579999999999998</v>
      </c>
      <c r="H97">
        <v>6.3E-2</v>
      </c>
      <c r="I97">
        <v>274.80059999999997</v>
      </c>
    </row>
    <row r="98" spans="1:9" x14ac:dyDescent="0.3">
      <c r="A98" t="s">
        <v>54</v>
      </c>
      <c r="B98" t="s">
        <v>151</v>
      </c>
      <c r="C98">
        <v>75</v>
      </c>
      <c r="D98">
        <v>3.8199999999999998E-2</v>
      </c>
      <c r="E98">
        <v>25.566620546593018</v>
      </c>
      <c r="F98">
        <v>2452.8090349424701</v>
      </c>
      <c r="G98">
        <v>9.0579999999999998</v>
      </c>
      <c r="H98">
        <v>6.3E-2</v>
      </c>
      <c r="I98">
        <v>274.9991</v>
      </c>
    </row>
    <row r="99" spans="1:9" x14ac:dyDescent="0.3">
      <c r="A99" t="s">
        <v>54</v>
      </c>
      <c r="B99" t="s">
        <v>152</v>
      </c>
      <c r="C99">
        <v>75</v>
      </c>
      <c r="D99">
        <v>3.8199999999999998E-2</v>
      </c>
      <c r="E99">
        <v>25.566620546593018</v>
      </c>
      <c r="F99">
        <v>2452.8090349424701</v>
      </c>
      <c r="G99">
        <v>9.0579999999999998</v>
      </c>
      <c r="H99">
        <v>6.3E-2</v>
      </c>
      <c r="I99">
        <v>275.19979999999998</v>
      </c>
    </row>
    <row r="100" spans="1:9" x14ac:dyDescent="0.3">
      <c r="A100" t="s">
        <v>54</v>
      </c>
      <c r="B100" t="s">
        <v>153</v>
      </c>
      <c r="C100">
        <v>75</v>
      </c>
      <c r="D100">
        <v>3.8300000000000001E-2</v>
      </c>
      <c r="E100">
        <v>25.566620546593018</v>
      </c>
      <c r="F100">
        <v>2452.8090349424701</v>
      </c>
      <c r="G100">
        <v>9.0579999999999998</v>
      </c>
      <c r="H100">
        <v>6.3E-2</v>
      </c>
      <c r="I100">
        <v>275.39870000000002</v>
      </c>
    </row>
    <row r="101" spans="1:9" x14ac:dyDescent="0.3">
      <c r="A101" t="s">
        <v>54</v>
      </c>
      <c r="B101" t="s">
        <v>154</v>
      </c>
      <c r="C101">
        <v>75</v>
      </c>
      <c r="D101">
        <v>3.8300000000000001E-2</v>
      </c>
      <c r="E101">
        <v>25.566620546593018</v>
      </c>
      <c r="F101">
        <v>2452.8090349424701</v>
      </c>
      <c r="G101">
        <v>9.0579999999999998</v>
      </c>
      <c r="H101">
        <v>6.3E-2</v>
      </c>
      <c r="I101">
        <v>275.60129999999998</v>
      </c>
    </row>
    <row r="102" spans="1:9" x14ac:dyDescent="0.3">
      <c r="A102" t="s">
        <v>54</v>
      </c>
      <c r="B102" t="s">
        <v>155</v>
      </c>
      <c r="C102">
        <v>75</v>
      </c>
      <c r="D102">
        <v>3.8199999999999998E-2</v>
      </c>
      <c r="E102">
        <v>25.566620546593018</v>
      </c>
      <c r="F102">
        <v>2452.8090349424701</v>
      </c>
      <c r="G102">
        <v>9.0579999999999998</v>
      </c>
      <c r="H102">
        <v>6.3E-2</v>
      </c>
      <c r="I102">
        <v>275.8</v>
      </c>
    </row>
    <row r="103" spans="1:9" x14ac:dyDescent="0.3">
      <c r="A103" t="s">
        <v>54</v>
      </c>
      <c r="B103" t="s">
        <v>156</v>
      </c>
      <c r="C103">
        <v>75</v>
      </c>
      <c r="D103">
        <v>3.8300000000000001E-2</v>
      </c>
      <c r="E103">
        <v>21.511913046964182</v>
      </c>
      <c r="F103">
        <v>2074.9102959770621</v>
      </c>
      <c r="G103">
        <v>9.0579999999999998</v>
      </c>
      <c r="H103">
        <v>0</v>
      </c>
      <c r="I103">
        <v>276.00130000000001</v>
      </c>
    </row>
    <row r="104" spans="1:9" x14ac:dyDescent="0.3">
      <c r="A104" t="s">
        <v>54</v>
      </c>
      <c r="B104" t="s">
        <v>157</v>
      </c>
      <c r="C104">
        <v>75</v>
      </c>
      <c r="D104">
        <v>3.04E-2</v>
      </c>
      <c r="E104">
        <v>21.511913046964182</v>
      </c>
      <c r="F104">
        <v>2074.9102959770621</v>
      </c>
      <c r="G104">
        <v>9.0579999999999998</v>
      </c>
      <c r="H104">
        <v>0</v>
      </c>
      <c r="I104">
        <v>276.20069999999998</v>
      </c>
    </row>
    <row r="105" spans="1:9" x14ac:dyDescent="0.3">
      <c r="A105" t="s">
        <v>54</v>
      </c>
      <c r="B105" t="s">
        <v>158</v>
      </c>
      <c r="C105">
        <v>75</v>
      </c>
      <c r="D105">
        <v>1.6500000000000001E-2</v>
      </c>
      <c r="E105">
        <v>21.511913046964182</v>
      </c>
      <c r="F105">
        <v>2074.9102959770621</v>
      </c>
      <c r="G105">
        <v>9.0579999999999998</v>
      </c>
      <c r="H105">
        <v>0</v>
      </c>
      <c r="I105">
        <v>276.3999</v>
      </c>
    </row>
    <row r="106" spans="1:9" x14ac:dyDescent="0.3">
      <c r="A106" t="s">
        <v>54</v>
      </c>
      <c r="B106" t="s">
        <v>159</v>
      </c>
      <c r="C106">
        <v>75</v>
      </c>
      <c r="D106">
        <v>3.3999999999999998E-3</v>
      </c>
      <c r="E106">
        <v>21.511913046964182</v>
      </c>
      <c r="F106">
        <v>2074.9102959770621</v>
      </c>
      <c r="G106">
        <v>9.0579999999999998</v>
      </c>
      <c r="H106">
        <v>0</v>
      </c>
      <c r="I106">
        <v>276.60079999999999</v>
      </c>
    </row>
    <row r="107" spans="1:9" x14ac:dyDescent="0.3">
      <c r="A107" t="s">
        <v>54</v>
      </c>
      <c r="B107" t="s">
        <v>160</v>
      </c>
      <c r="C107">
        <v>75</v>
      </c>
      <c r="D107">
        <v>-3.0999999999999999E-3</v>
      </c>
      <c r="E107">
        <v>21.511913046964182</v>
      </c>
      <c r="F107">
        <v>2074.9102959770621</v>
      </c>
      <c r="G107">
        <v>9.0579999999999998</v>
      </c>
      <c r="H107">
        <v>0</v>
      </c>
      <c r="I107">
        <v>276.80889999999999</v>
      </c>
    </row>
    <row r="108" spans="1:9" x14ac:dyDescent="0.3">
      <c r="A108" t="s">
        <v>54</v>
      </c>
      <c r="B108" t="s">
        <v>161</v>
      </c>
      <c r="C108">
        <v>75</v>
      </c>
      <c r="D108">
        <v>-3.0999999999999999E-3</v>
      </c>
      <c r="E108">
        <v>21.511913046964182</v>
      </c>
      <c r="F108">
        <v>2074.9102959770621</v>
      </c>
      <c r="G108">
        <v>9.0579999999999998</v>
      </c>
      <c r="H108">
        <v>0</v>
      </c>
      <c r="I108">
        <v>277.0009</v>
      </c>
    </row>
    <row r="109" spans="1:9" x14ac:dyDescent="0.3">
      <c r="A109" t="s">
        <v>54</v>
      </c>
      <c r="B109" t="s">
        <v>162</v>
      </c>
      <c r="C109">
        <v>75</v>
      </c>
      <c r="D109">
        <v>-3.0999999999999999E-3</v>
      </c>
      <c r="E109">
        <v>21.511913046964182</v>
      </c>
      <c r="F109">
        <v>2074.9102959770621</v>
      </c>
      <c r="G109">
        <v>9.0579999999999998</v>
      </c>
      <c r="H109">
        <v>0</v>
      </c>
      <c r="I109">
        <v>277.20260000000002</v>
      </c>
    </row>
    <row r="110" spans="1:9" x14ac:dyDescent="0.3">
      <c r="A110" t="s">
        <v>54</v>
      </c>
      <c r="B110" t="s">
        <v>163</v>
      </c>
      <c r="C110">
        <v>75</v>
      </c>
      <c r="D110">
        <v>-3.0999999999999999E-3</v>
      </c>
      <c r="E110">
        <v>21.511913046964182</v>
      </c>
      <c r="F110">
        <v>2074.9102959770621</v>
      </c>
      <c r="G110">
        <v>9.0579999999999998</v>
      </c>
      <c r="H110">
        <v>0</v>
      </c>
      <c r="I110">
        <v>277.40230000000003</v>
      </c>
    </row>
    <row r="111" spans="1:9" x14ac:dyDescent="0.3">
      <c r="A111" t="s">
        <v>54</v>
      </c>
      <c r="B111" t="s">
        <v>164</v>
      </c>
      <c r="C111">
        <v>75</v>
      </c>
      <c r="D111">
        <v>-3.0999999999999999E-3</v>
      </c>
      <c r="E111">
        <v>21.511913046964182</v>
      </c>
      <c r="F111">
        <v>2074.9102959770621</v>
      </c>
      <c r="G111">
        <v>9.0579999999999998</v>
      </c>
      <c r="H111">
        <v>0</v>
      </c>
      <c r="I111">
        <v>277.60309999999998</v>
      </c>
    </row>
    <row r="112" spans="1:9" x14ac:dyDescent="0.3">
      <c r="A112" t="s">
        <v>54</v>
      </c>
      <c r="B112" t="s">
        <v>165</v>
      </c>
      <c r="C112">
        <v>75</v>
      </c>
      <c r="D112">
        <v>-3.0999999999999999E-3</v>
      </c>
      <c r="E112">
        <v>21.511913046964182</v>
      </c>
      <c r="F112">
        <v>2074.9102959770621</v>
      </c>
      <c r="G112">
        <v>9.0579999999999998</v>
      </c>
      <c r="H112">
        <v>0</v>
      </c>
      <c r="I112">
        <v>277.7989</v>
      </c>
    </row>
    <row r="113" spans="1:9" x14ac:dyDescent="0.3">
      <c r="A113" t="s">
        <v>54</v>
      </c>
      <c r="B113" t="s">
        <v>166</v>
      </c>
      <c r="C113">
        <v>75</v>
      </c>
      <c r="D113">
        <v>-3.0999999999999999E-3</v>
      </c>
      <c r="E113">
        <v>25.566620546593018</v>
      </c>
      <c r="F113">
        <v>2566.2722898716779</v>
      </c>
      <c r="G113">
        <v>9.0579999999999998</v>
      </c>
      <c r="H113">
        <v>6.3E-2</v>
      </c>
      <c r="I113">
        <v>278.01170000000002</v>
      </c>
    </row>
    <row r="114" spans="1:9" x14ac:dyDescent="0.3">
      <c r="A114" t="s">
        <v>54</v>
      </c>
      <c r="B114" t="s">
        <v>167</v>
      </c>
      <c r="C114">
        <v>75</v>
      </c>
      <c r="D114">
        <v>1.09E-2</v>
      </c>
      <c r="E114">
        <v>25.566620546593018</v>
      </c>
      <c r="F114">
        <v>2452.8090349424701</v>
      </c>
      <c r="G114">
        <v>9.0579999999999998</v>
      </c>
      <c r="H114">
        <v>6.3E-2</v>
      </c>
      <c r="I114">
        <v>278.20209999999997</v>
      </c>
    </row>
    <row r="115" spans="1:9" x14ac:dyDescent="0.3">
      <c r="A115" t="s">
        <v>54</v>
      </c>
      <c r="B115" t="s">
        <v>168</v>
      </c>
      <c r="C115">
        <v>75</v>
      </c>
      <c r="D115">
        <v>3.1199999999999999E-2</v>
      </c>
      <c r="E115">
        <v>25.566620546593018</v>
      </c>
      <c r="F115">
        <v>2452.8090349424701</v>
      </c>
      <c r="G115">
        <v>9.0579999999999998</v>
      </c>
      <c r="H115">
        <v>6.3E-2</v>
      </c>
      <c r="I115">
        <v>278.40069999999997</v>
      </c>
    </row>
    <row r="116" spans="1:9" x14ac:dyDescent="0.3">
      <c r="A116" t="s">
        <v>54</v>
      </c>
      <c r="B116" t="s">
        <v>169</v>
      </c>
      <c r="C116">
        <v>75</v>
      </c>
      <c r="D116">
        <v>3.6900000000000002E-2</v>
      </c>
      <c r="E116">
        <v>25.566620546593018</v>
      </c>
      <c r="F116">
        <v>2452.8090349424701</v>
      </c>
      <c r="G116">
        <v>9.0579999999999998</v>
      </c>
      <c r="H116">
        <v>6.3E-2</v>
      </c>
      <c r="I116">
        <v>278.60109999999997</v>
      </c>
    </row>
    <row r="117" spans="1:9" x14ac:dyDescent="0.3">
      <c r="A117" t="s">
        <v>54</v>
      </c>
      <c r="B117" t="s">
        <v>170</v>
      </c>
      <c r="C117">
        <v>75</v>
      </c>
      <c r="D117">
        <v>3.7999999999999999E-2</v>
      </c>
      <c r="E117">
        <v>25.566620546593018</v>
      </c>
      <c r="F117">
        <v>2452.8090349424701</v>
      </c>
      <c r="G117">
        <v>9.0579999999999998</v>
      </c>
      <c r="H117">
        <v>6.3E-2</v>
      </c>
      <c r="I117">
        <v>278.79910000000001</v>
      </c>
    </row>
    <row r="118" spans="1:9" x14ac:dyDescent="0.3">
      <c r="A118" t="s">
        <v>54</v>
      </c>
      <c r="B118" t="s">
        <v>171</v>
      </c>
      <c r="C118">
        <v>75</v>
      </c>
      <c r="D118">
        <v>3.8100000000000002E-2</v>
      </c>
      <c r="E118">
        <v>25.566620546593018</v>
      </c>
      <c r="F118">
        <v>2452.8090349424701</v>
      </c>
      <c r="G118">
        <v>9.0579999999999998</v>
      </c>
      <c r="H118">
        <v>6.3E-2</v>
      </c>
      <c r="I118">
        <v>278.99889999999999</v>
      </c>
    </row>
    <row r="119" spans="1:9" x14ac:dyDescent="0.3">
      <c r="A119" t="s">
        <v>54</v>
      </c>
      <c r="B119" t="s">
        <v>172</v>
      </c>
      <c r="C119">
        <v>75</v>
      </c>
      <c r="D119">
        <v>3.8100000000000002E-2</v>
      </c>
      <c r="E119">
        <v>25.566620546593018</v>
      </c>
      <c r="F119">
        <v>2452.8090349424701</v>
      </c>
      <c r="G119">
        <v>9.0579999999999998</v>
      </c>
      <c r="H119">
        <v>6.3E-2</v>
      </c>
      <c r="I119">
        <v>279.20179999999999</v>
      </c>
    </row>
    <row r="120" spans="1:9" x14ac:dyDescent="0.3">
      <c r="A120" t="s">
        <v>54</v>
      </c>
      <c r="B120" t="s">
        <v>173</v>
      </c>
      <c r="C120">
        <v>75</v>
      </c>
      <c r="D120">
        <v>3.8100000000000002E-2</v>
      </c>
      <c r="E120">
        <v>25.566620546593018</v>
      </c>
      <c r="F120">
        <v>2452.8090349424701</v>
      </c>
      <c r="G120">
        <v>9.0579999999999998</v>
      </c>
      <c r="H120">
        <v>6.3E-2</v>
      </c>
      <c r="I120">
        <v>279.40100000000001</v>
      </c>
    </row>
    <row r="121" spans="1:9" x14ac:dyDescent="0.3">
      <c r="A121" t="s">
        <v>54</v>
      </c>
      <c r="B121" t="s">
        <v>174</v>
      </c>
      <c r="C121">
        <v>75</v>
      </c>
      <c r="D121">
        <v>3.8100000000000002E-2</v>
      </c>
      <c r="E121">
        <v>25.566620546593018</v>
      </c>
      <c r="F121">
        <v>2452.8090349424701</v>
      </c>
      <c r="G121">
        <v>9.0579999999999998</v>
      </c>
      <c r="H121">
        <v>6.3E-2</v>
      </c>
      <c r="I121">
        <v>279.60129999999998</v>
      </c>
    </row>
    <row r="122" spans="1:9" x14ac:dyDescent="0.3">
      <c r="A122" t="s">
        <v>54</v>
      </c>
      <c r="B122" t="s">
        <v>175</v>
      </c>
      <c r="C122">
        <v>75</v>
      </c>
      <c r="D122">
        <v>3.8100000000000002E-2</v>
      </c>
      <c r="E122">
        <v>25.566620546593018</v>
      </c>
      <c r="F122">
        <v>2452.8090349424701</v>
      </c>
      <c r="G122">
        <v>9.0579999999999998</v>
      </c>
      <c r="H122">
        <v>6.3E-2</v>
      </c>
      <c r="I122">
        <v>279.8005</v>
      </c>
    </row>
    <row r="123" spans="1:9" x14ac:dyDescent="0.3">
      <c r="A123" t="s">
        <v>54</v>
      </c>
      <c r="B123" t="s">
        <v>176</v>
      </c>
      <c r="C123">
        <v>75</v>
      </c>
      <c r="D123">
        <v>3.8100000000000002E-2</v>
      </c>
      <c r="E123">
        <v>21.511913046964182</v>
      </c>
      <c r="F123">
        <v>2074.9102959770621</v>
      </c>
      <c r="G123">
        <v>9.0579999999999998</v>
      </c>
      <c r="H123">
        <v>0</v>
      </c>
      <c r="I123">
        <v>280.00099999999998</v>
      </c>
    </row>
    <row r="124" spans="1:9" x14ac:dyDescent="0.3">
      <c r="A124" t="s">
        <v>54</v>
      </c>
      <c r="B124" t="s">
        <v>177</v>
      </c>
      <c r="C124">
        <v>75</v>
      </c>
      <c r="D124">
        <v>3.2300000000000002E-2</v>
      </c>
      <c r="E124">
        <v>21.511913046964182</v>
      </c>
      <c r="F124">
        <v>2074.9102959770621</v>
      </c>
      <c r="G124">
        <v>9.0579999999999998</v>
      </c>
      <c r="H124">
        <v>0</v>
      </c>
      <c r="I124">
        <v>280.20119999999997</v>
      </c>
    </row>
    <row r="125" spans="1:9" x14ac:dyDescent="0.3">
      <c r="A125" t="s">
        <v>54</v>
      </c>
      <c r="B125" t="s">
        <v>178</v>
      </c>
      <c r="C125">
        <v>75</v>
      </c>
      <c r="D125">
        <v>1.52E-2</v>
      </c>
      <c r="E125">
        <v>21.511913046964182</v>
      </c>
      <c r="F125">
        <v>2074.9102959770621</v>
      </c>
      <c r="G125">
        <v>9.0579999999999998</v>
      </c>
      <c r="H125">
        <v>0</v>
      </c>
      <c r="I125">
        <v>280.40190000000001</v>
      </c>
    </row>
    <row r="126" spans="1:9" x14ac:dyDescent="0.3">
      <c r="A126" t="s">
        <v>54</v>
      </c>
      <c r="B126" t="s">
        <v>179</v>
      </c>
      <c r="C126">
        <v>75</v>
      </c>
      <c r="D126">
        <v>3.8E-3</v>
      </c>
      <c r="E126">
        <v>21.511913046964182</v>
      </c>
      <c r="F126">
        <v>2074.9102959770621</v>
      </c>
      <c r="G126">
        <v>9.0579999999999998</v>
      </c>
      <c r="H126">
        <v>0</v>
      </c>
      <c r="I126">
        <v>280.59910000000002</v>
      </c>
    </row>
    <row r="127" spans="1:9" x14ac:dyDescent="0.3">
      <c r="A127" t="s">
        <v>54</v>
      </c>
      <c r="B127" t="s">
        <v>180</v>
      </c>
      <c r="C127">
        <v>75</v>
      </c>
      <c r="D127">
        <v>-3.0999999999999999E-3</v>
      </c>
      <c r="E127">
        <v>21.511913046964182</v>
      </c>
      <c r="F127">
        <v>2074.9102959770621</v>
      </c>
      <c r="G127">
        <v>9.0579999999999998</v>
      </c>
      <c r="H127">
        <v>0</v>
      </c>
      <c r="I127">
        <v>280.80020000000002</v>
      </c>
    </row>
    <row r="128" spans="1:9" x14ac:dyDescent="0.3">
      <c r="A128" t="s">
        <v>54</v>
      </c>
      <c r="B128" t="s">
        <v>181</v>
      </c>
      <c r="C128">
        <v>75</v>
      </c>
      <c r="D128">
        <v>-3.0999999999999999E-3</v>
      </c>
      <c r="E128">
        <v>21.511913046964182</v>
      </c>
      <c r="F128">
        <v>2074.9102959770621</v>
      </c>
      <c r="G128">
        <v>9.0579999999999998</v>
      </c>
      <c r="H128">
        <v>0</v>
      </c>
      <c r="I128">
        <v>281.00029999999998</v>
      </c>
    </row>
    <row r="129" spans="1:9" x14ac:dyDescent="0.3">
      <c r="A129" t="s">
        <v>54</v>
      </c>
      <c r="B129" t="s">
        <v>182</v>
      </c>
      <c r="C129">
        <v>75</v>
      </c>
      <c r="D129">
        <v>-3.0999999999999999E-3</v>
      </c>
      <c r="E129">
        <v>21.511913046964182</v>
      </c>
      <c r="F129">
        <v>2074.9102959770621</v>
      </c>
      <c r="G129">
        <v>9.0579999999999998</v>
      </c>
      <c r="H129">
        <v>0</v>
      </c>
      <c r="I129">
        <v>281.19990000000001</v>
      </c>
    </row>
    <row r="130" spans="1:9" x14ac:dyDescent="0.3">
      <c r="A130" t="s">
        <v>54</v>
      </c>
      <c r="B130" t="s">
        <v>183</v>
      </c>
      <c r="C130">
        <v>75</v>
      </c>
      <c r="D130">
        <v>-3.0999999999999999E-3</v>
      </c>
      <c r="E130">
        <v>21.511913046964182</v>
      </c>
      <c r="F130">
        <v>2074.9102959770621</v>
      </c>
      <c r="G130">
        <v>9.0579999999999998</v>
      </c>
      <c r="H130">
        <v>0</v>
      </c>
      <c r="I130">
        <v>281.3999</v>
      </c>
    </row>
    <row r="131" spans="1:9" x14ac:dyDescent="0.3">
      <c r="A131" t="s">
        <v>54</v>
      </c>
      <c r="B131" t="s">
        <v>184</v>
      </c>
      <c r="C131">
        <v>75</v>
      </c>
      <c r="D131">
        <v>-3.0999999999999999E-3</v>
      </c>
      <c r="E131">
        <v>21.511913046964182</v>
      </c>
      <c r="F131">
        <v>2074.9102959770621</v>
      </c>
      <c r="G131">
        <v>9.0579999999999998</v>
      </c>
      <c r="H131">
        <v>0</v>
      </c>
      <c r="I131">
        <v>281.60250000000002</v>
      </c>
    </row>
    <row r="132" spans="1:9" x14ac:dyDescent="0.3">
      <c r="A132" t="s">
        <v>54</v>
      </c>
      <c r="B132" t="s">
        <v>185</v>
      </c>
      <c r="C132">
        <v>75</v>
      </c>
      <c r="D132">
        <v>-3.0999999999999999E-3</v>
      </c>
      <c r="E132">
        <v>21.511913046964182</v>
      </c>
      <c r="F132">
        <v>2074.9102959770621</v>
      </c>
      <c r="G132">
        <v>9.0579999999999998</v>
      </c>
      <c r="H132">
        <v>0</v>
      </c>
      <c r="I132">
        <v>281.80130000000003</v>
      </c>
    </row>
    <row r="133" spans="1:9" x14ac:dyDescent="0.3">
      <c r="A133" t="s">
        <v>54</v>
      </c>
      <c r="B133" t="s">
        <v>186</v>
      </c>
      <c r="C133">
        <v>75</v>
      </c>
      <c r="D133">
        <v>-3.0999999999999999E-3</v>
      </c>
      <c r="E133">
        <v>25.566620546593018</v>
      </c>
      <c r="F133">
        <v>2566.2722898716779</v>
      </c>
      <c r="G133">
        <v>9.0579999999999998</v>
      </c>
      <c r="H133">
        <v>6.3E-2</v>
      </c>
      <c r="I133">
        <v>282.00279999999998</v>
      </c>
    </row>
    <row r="134" spans="1:9" x14ac:dyDescent="0.3">
      <c r="A134" t="s">
        <v>54</v>
      </c>
      <c r="B134" t="s">
        <v>187</v>
      </c>
      <c r="C134">
        <v>75</v>
      </c>
      <c r="D134">
        <v>1.52E-2</v>
      </c>
      <c r="E134">
        <v>25.566620546593018</v>
      </c>
      <c r="F134">
        <v>2452.8090349424701</v>
      </c>
      <c r="G134">
        <v>9.0579999999999998</v>
      </c>
      <c r="H134">
        <v>6.3E-2</v>
      </c>
      <c r="I134">
        <v>282.19880000000001</v>
      </c>
    </row>
    <row r="135" spans="1:9" x14ac:dyDescent="0.3">
      <c r="A135" t="s">
        <v>54</v>
      </c>
      <c r="B135" t="s">
        <v>188</v>
      </c>
      <c r="C135">
        <v>75</v>
      </c>
      <c r="D135">
        <v>3.2300000000000002E-2</v>
      </c>
      <c r="E135">
        <v>25.566620546593018</v>
      </c>
      <c r="F135">
        <v>2452.8090349424701</v>
      </c>
      <c r="G135">
        <v>9.0579999999999998</v>
      </c>
      <c r="H135">
        <v>6.3E-2</v>
      </c>
      <c r="I135">
        <v>282.40039999999999</v>
      </c>
    </row>
    <row r="136" spans="1:9" x14ac:dyDescent="0.3">
      <c r="A136" t="s">
        <v>54</v>
      </c>
      <c r="B136" t="s">
        <v>189</v>
      </c>
      <c r="C136">
        <v>75</v>
      </c>
      <c r="D136">
        <v>3.7699999999999997E-2</v>
      </c>
      <c r="E136">
        <v>25.566620546593018</v>
      </c>
      <c r="F136">
        <v>2452.8090349424701</v>
      </c>
      <c r="G136">
        <v>9.0579999999999998</v>
      </c>
      <c r="H136">
        <v>6.3E-2</v>
      </c>
      <c r="I136">
        <v>282.60149999999999</v>
      </c>
    </row>
    <row r="137" spans="1:9" x14ac:dyDescent="0.3">
      <c r="A137" t="s">
        <v>54</v>
      </c>
      <c r="B137" t="s">
        <v>190</v>
      </c>
      <c r="C137">
        <v>75</v>
      </c>
      <c r="D137">
        <v>3.85E-2</v>
      </c>
      <c r="E137">
        <v>25.566620546593018</v>
      </c>
      <c r="F137">
        <v>2452.8090349424701</v>
      </c>
      <c r="G137">
        <v>9.0579999999999998</v>
      </c>
      <c r="H137">
        <v>6.3E-2</v>
      </c>
      <c r="I137">
        <v>282.80110000000002</v>
      </c>
    </row>
    <row r="138" spans="1:9" x14ac:dyDescent="0.3">
      <c r="A138" t="s">
        <v>54</v>
      </c>
      <c r="B138" t="s">
        <v>191</v>
      </c>
      <c r="C138">
        <v>75</v>
      </c>
      <c r="D138">
        <v>3.85E-2</v>
      </c>
      <c r="E138">
        <v>25.566620546593018</v>
      </c>
      <c r="F138">
        <v>2452.8090349424701</v>
      </c>
      <c r="G138">
        <v>9.0579999999999998</v>
      </c>
      <c r="H138">
        <v>6.3E-2</v>
      </c>
      <c r="I138">
        <v>283.00080000000003</v>
      </c>
    </row>
    <row r="139" spans="1:9" x14ac:dyDescent="0.3">
      <c r="A139" t="s">
        <v>54</v>
      </c>
      <c r="B139" t="s">
        <v>192</v>
      </c>
      <c r="C139">
        <v>75</v>
      </c>
      <c r="D139">
        <v>3.85E-2</v>
      </c>
      <c r="E139">
        <v>25.566620546593018</v>
      </c>
      <c r="F139">
        <v>2452.8090349424701</v>
      </c>
      <c r="G139">
        <v>9.0579999999999998</v>
      </c>
      <c r="H139">
        <v>6.3E-2</v>
      </c>
      <c r="I139">
        <v>283.20249999999999</v>
      </c>
    </row>
    <row r="140" spans="1:9" x14ac:dyDescent="0.3">
      <c r="A140" t="s">
        <v>54</v>
      </c>
      <c r="B140" t="s">
        <v>193</v>
      </c>
      <c r="C140">
        <v>75</v>
      </c>
      <c r="D140">
        <v>3.85E-2</v>
      </c>
      <c r="E140">
        <v>25.566620546593018</v>
      </c>
      <c r="F140">
        <v>2452.8090349424701</v>
      </c>
      <c r="G140">
        <v>9.0579999999999998</v>
      </c>
      <c r="H140">
        <v>6.3E-2</v>
      </c>
      <c r="I140">
        <v>283.40030000000002</v>
      </c>
    </row>
    <row r="141" spans="1:9" x14ac:dyDescent="0.3">
      <c r="A141" t="s">
        <v>54</v>
      </c>
      <c r="B141" t="s">
        <v>194</v>
      </c>
      <c r="C141">
        <v>75</v>
      </c>
      <c r="D141">
        <v>3.85E-2</v>
      </c>
      <c r="E141">
        <v>25.566620546593018</v>
      </c>
      <c r="F141">
        <v>2452.8090349424701</v>
      </c>
      <c r="G141">
        <v>9.0579999999999998</v>
      </c>
      <c r="H141">
        <v>6.3E-2</v>
      </c>
      <c r="I141">
        <v>283.59960000000001</v>
      </c>
    </row>
    <row r="142" spans="1:9" x14ac:dyDescent="0.3">
      <c r="A142" t="s">
        <v>54</v>
      </c>
      <c r="B142" t="s">
        <v>195</v>
      </c>
      <c r="C142">
        <v>75</v>
      </c>
      <c r="D142">
        <v>3.85E-2</v>
      </c>
      <c r="E142">
        <v>25.566620546593018</v>
      </c>
      <c r="F142">
        <v>2452.8090349424701</v>
      </c>
      <c r="G142">
        <v>9.0579999999999998</v>
      </c>
      <c r="H142">
        <v>6.3E-2</v>
      </c>
      <c r="I142">
        <v>283.80239999999998</v>
      </c>
    </row>
    <row r="143" spans="1:9" x14ac:dyDescent="0.3">
      <c r="A143" t="s">
        <v>54</v>
      </c>
      <c r="B143" t="s">
        <v>196</v>
      </c>
      <c r="C143">
        <v>75</v>
      </c>
      <c r="D143">
        <v>3.85E-2</v>
      </c>
      <c r="E143">
        <v>21.511913046964182</v>
      </c>
      <c r="F143">
        <v>2074.9102959770621</v>
      </c>
      <c r="G143">
        <v>9.0579999999999998</v>
      </c>
      <c r="H143">
        <v>0</v>
      </c>
      <c r="I143">
        <v>284.00060000000002</v>
      </c>
    </row>
    <row r="144" spans="1:9" x14ac:dyDescent="0.3">
      <c r="A144" t="s">
        <v>54</v>
      </c>
      <c r="B144" t="s">
        <v>197</v>
      </c>
      <c r="C144">
        <v>75</v>
      </c>
      <c r="D144">
        <v>3.2500000000000001E-2</v>
      </c>
      <c r="E144">
        <v>21.511913046964182</v>
      </c>
      <c r="F144">
        <v>2074.9102959770621</v>
      </c>
      <c r="G144">
        <v>9.0579999999999998</v>
      </c>
      <c r="H144">
        <v>0</v>
      </c>
      <c r="I144">
        <v>284.19970000000001</v>
      </c>
    </row>
    <row r="145" spans="1:9" x14ac:dyDescent="0.3">
      <c r="A145" t="s">
        <v>54</v>
      </c>
      <c r="B145" t="s">
        <v>198</v>
      </c>
      <c r="C145">
        <v>75</v>
      </c>
      <c r="D145">
        <v>1.6799999999999999E-2</v>
      </c>
      <c r="E145">
        <v>21.511913046964182</v>
      </c>
      <c r="F145">
        <v>2074.9102959770621</v>
      </c>
      <c r="G145">
        <v>9.0579999999999998</v>
      </c>
      <c r="H145">
        <v>0</v>
      </c>
      <c r="I145">
        <v>284.40559999999999</v>
      </c>
    </row>
    <row r="146" spans="1:9" x14ac:dyDescent="0.3">
      <c r="A146" t="s">
        <v>54</v>
      </c>
      <c r="B146" t="s">
        <v>199</v>
      </c>
      <c r="C146">
        <v>75</v>
      </c>
      <c r="D146">
        <v>3.8E-3</v>
      </c>
      <c r="E146">
        <v>21.511913046964182</v>
      </c>
      <c r="F146">
        <v>2074.9102959770621</v>
      </c>
      <c r="G146">
        <v>9.0579999999999998</v>
      </c>
      <c r="H146">
        <v>0</v>
      </c>
      <c r="I146">
        <v>284.60050000000001</v>
      </c>
    </row>
    <row r="147" spans="1:9" x14ac:dyDescent="0.3">
      <c r="A147" t="s">
        <v>54</v>
      </c>
      <c r="B147" t="s">
        <v>200</v>
      </c>
      <c r="C147">
        <v>75</v>
      </c>
      <c r="D147">
        <v>-3.0999999999999999E-3</v>
      </c>
      <c r="E147">
        <v>21.511913046964182</v>
      </c>
      <c r="F147">
        <v>2074.9102959770621</v>
      </c>
      <c r="G147">
        <v>9.0579999999999998</v>
      </c>
      <c r="H147">
        <v>0</v>
      </c>
      <c r="I147">
        <v>284.79939999999999</v>
      </c>
    </row>
    <row r="148" spans="1:9" x14ac:dyDescent="0.3">
      <c r="A148" t="s">
        <v>54</v>
      </c>
      <c r="B148" t="s">
        <v>201</v>
      </c>
      <c r="C148">
        <v>75</v>
      </c>
      <c r="D148">
        <v>-3.0999999999999999E-3</v>
      </c>
      <c r="E148">
        <v>21.511913046964182</v>
      </c>
      <c r="F148">
        <v>2074.9102959770621</v>
      </c>
      <c r="G148">
        <v>9.0579999999999998</v>
      </c>
      <c r="H148">
        <v>0</v>
      </c>
      <c r="I148">
        <v>285.00049999999999</v>
      </c>
    </row>
    <row r="149" spans="1:9" x14ac:dyDescent="0.3">
      <c r="A149" t="s">
        <v>54</v>
      </c>
      <c r="B149" t="s">
        <v>202</v>
      </c>
      <c r="C149">
        <v>75</v>
      </c>
      <c r="D149">
        <v>-3.0999999999999999E-3</v>
      </c>
      <c r="E149">
        <v>21.511913046964182</v>
      </c>
      <c r="F149">
        <v>2074.9102959770621</v>
      </c>
      <c r="G149">
        <v>9.0579999999999998</v>
      </c>
      <c r="H149">
        <v>0</v>
      </c>
      <c r="I149">
        <v>285.20150000000001</v>
      </c>
    </row>
    <row r="150" spans="1:9" x14ac:dyDescent="0.3">
      <c r="A150" t="s">
        <v>54</v>
      </c>
      <c r="B150" t="s">
        <v>203</v>
      </c>
      <c r="C150">
        <v>75</v>
      </c>
      <c r="D150">
        <v>-3.0999999999999999E-3</v>
      </c>
      <c r="E150">
        <v>21.511913046964182</v>
      </c>
      <c r="F150">
        <v>2074.9102959770621</v>
      </c>
      <c r="G150">
        <v>9.0579999999999998</v>
      </c>
      <c r="H150">
        <v>0</v>
      </c>
      <c r="I150">
        <v>285.40159999999997</v>
      </c>
    </row>
    <row r="151" spans="1:9" x14ac:dyDescent="0.3">
      <c r="A151" t="s">
        <v>54</v>
      </c>
      <c r="B151" t="s">
        <v>204</v>
      </c>
      <c r="C151">
        <v>75</v>
      </c>
      <c r="D151">
        <v>-3.0999999999999999E-3</v>
      </c>
      <c r="E151">
        <v>21.511913046964182</v>
      </c>
      <c r="F151">
        <v>2074.9102959770621</v>
      </c>
      <c r="G151">
        <v>9.0579999999999998</v>
      </c>
      <c r="H151">
        <v>0</v>
      </c>
      <c r="I151">
        <v>285.60050000000001</v>
      </c>
    </row>
    <row r="152" spans="1:9" x14ac:dyDescent="0.3">
      <c r="A152" t="s">
        <v>54</v>
      </c>
      <c r="B152" t="s">
        <v>205</v>
      </c>
      <c r="C152">
        <v>75</v>
      </c>
      <c r="D152">
        <v>-3.0999999999999999E-3</v>
      </c>
      <c r="E152">
        <v>21.511913046964182</v>
      </c>
      <c r="F152">
        <v>2074.9102959770621</v>
      </c>
      <c r="G152">
        <v>9.0579999999999998</v>
      </c>
      <c r="H152">
        <v>0</v>
      </c>
      <c r="I152">
        <v>285.80200000000002</v>
      </c>
    </row>
    <row r="153" spans="1:9" x14ac:dyDescent="0.3">
      <c r="A153" t="s">
        <v>54</v>
      </c>
      <c r="B153" t="s">
        <v>206</v>
      </c>
      <c r="C153">
        <v>75</v>
      </c>
      <c r="D153">
        <v>-3.0999999999999999E-3</v>
      </c>
      <c r="E153">
        <v>25.566620546593018</v>
      </c>
      <c r="F153">
        <v>2566.2722898716779</v>
      </c>
      <c r="G153">
        <v>9.0579999999999998</v>
      </c>
      <c r="H153">
        <v>6.3E-2</v>
      </c>
      <c r="I153">
        <v>286</v>
      </c>
    </row>
    <row r="154" spans="1:9" x14ac:dyDescent="0.3">
      <c r="A154" t="s">
        <v>54</v>
      </c>
      <c r="B154" t="s">
        <v>207</v>
      </c>
      <c r="C154">
        <v>75</v>
      </c>
      <c r="D154">
        <v>1.24E-2</v>
      </c>
      <c r="E154">
        <v>25.566620546593018</v>
      </c>
      <c r="F154">
        <v>2452.8090349424701</v>
      </c>
      <c r="G154">
        <v>9.0579999999999998</v>
      </c>
      <c r="H154">
        <v>6.3E-2</v>
      </c>
      <c r="I154">
        <v>286.202</v>
      </c>
    </row>
    <row r="155" spans="1:9" x14ac:dyDescent="0.3">
      <c r="A155" t="s">
        <v>54</v>
      </c>
      <c r="B155" t="s">
        <v>208</v>
      </c>
      <c r="C155">
        <v>75</v>
      </c>
      <c r="D155">
        <v>3.32E-2</v>
      </c>
      <c r="E155">
        <v>25.566620546593018</v>
      </c>
      <c r="F155">
        <v>2452.8090349424701</v>
      </c>
      <c r="G155">
        <v>9.0579999999999998</v>
      </c>
      <c r="H155">
        <v>6.3E-2</v>
      </c>
      <c r="I155">
        <v>286.40109999999999</v>
      </c>
    </row>
    <row r="156" spans="1:9" x14ac:dyDescent="0.3">
      <c r="A156" t="s">
        <v>54</v>
      </c>
      <c r="B156" t="s">
        <v>209</v>
      </c>
      <c r="C156">
        <v>75</v>
      </c>
      <c r="D156">
        <v>3.7199999999999997E-2</v>
      </c>
      <c r="E156">
        <v>25.566620546593018</v>
      </c>
      <c r="F156">
        <v>2452.8090349424701</v>
      </c>
      <c r="G156">
        <v>9.0579999999999998</v>
      </c>
      <c r="H156">
        <v>6.3E-2</v>
      </c>
      <c r="I156">
        <v>286.60059999999999</v>
      </c>
    </row>
    <row r="157" spans="1:9" x14ac:dyDescent="0.3">
      <c r="A157" t="s">
        <v>54</v>
      </c>
      <c r="B157" t="s">
        <v>210</v>
      </c>
      <c r="C157">
        <v>75</v>
      </c>
      <c r="D157">
        <v>3.8199999999999998E-2</v>
      </c>
      <c r="E157">
        <v>25.566620546593018</v>
      </c>
      <c r="F157">
        <v>2452.8090349424701</v>
      </c>
      <c r="G157">
        <v>9.0579999999999998</v>
      </c>
      <c r="H157">
        <v>6.3E-2</v>
      </c>
      <c r="I157">
        <v>286.80149999999998</v>
      </c>
    </row>
    <row r="158" spans="1:9" x14ac:dyDescent="0.3">
      <c r="A158" t="s">
        <v>54</v>
      </c>
      <c r="B158" t="s">
        <v>211</v>
      </c>
      <c r="C158">
        <v>75</v>
      </c>
      <c r="D158">
        <v>3.8399999999999997E-2</v>
      </c>
      <c r="E158">
        <v>25.566620546593018</v>
      </c>
      <c r="F158">
        <v>2452.8090349424701</v>
      </c>
      <c r="G158">
        <v>9.0579999999999998</v>
      </c>
      <c r="H158">
        <v>6.3E-2</v>
      </c>
      <c r="I158">
        <v>287.00049999999999</v>
      </c>
    </row>
    <row r="159" spans="1:9" x14ac:dyDescent="0.3">
      <c r="A159" t="s">
        <v>54</v>
      </c>
      <c r="B159" t="s">
        <v>212</v>
      </c>
      <c r="C159">
        <v>75</v>
      </c>
      <c r="D159">
        <v>3.8399999999999997E-2</v>
      </c>
      <c r="E159">
        <v>25.566620546593018</v>
      </c>
      <c r="F159">
        <v>2452.8090349424701</v>
      </c>
      <c r="G159">
        <v>9.0579999999999998</v>
      </c>
      <c r="H159">
        <v>6.3E-2</v>
      </c>
      <c r="I159">
        <v>287.20260000000002</v>
      </c>
    </row>
    <row r="160" spans="1:9" x14ac:dyDescent="0.3">
      <c r="A160" t="s">
        <v>54</v>
      </c>
      <c r="B160" t="s">
        <v>213</v>
      </c>
      <c r="C160">
        <v>75</v>
      </c>
      <c r="D160">
        <v>3.8399999999999997E-2</v>
      </c>
      <c r="E160">
        <v>25.566620546593018</v>
      </c>
      <c r="F160">
        <v>2452.8090349424701</v>
      </c>
      <c r="G160">
        <v>9.0579999999999998</v>
      </c>
      <c r="H160">
        <v>6.3E-2</v>
      </c>
      <c r="I160">
        <v>287.40069999999997</v>
      </c>
    </row>
    <row r="161" spans="1:9" x14ac:dyDescent="0.3">
      <c r="A161" t="s">
        <v>54</v>
      </c>
      <c r="B161" t="s">
        <v>214</v>
      </c>
      <c r="C161">
        <v>75</v>
      </c>
      <c r="D161">
        <v>3.8399999999999997E-2</v>
      </c>
      <c r="E161">
        <v>25.566620546593018</v>
      </c>
      <c r="F161">
        <v>2452.8090349424701</v>
      </c>
      <c r="G161">
        <v>9.0579999999999998</v>
      </c>
      <c r="H161">
        <v>6.3E-2</v>
      </c>
      <c r="I161">
        <v>287.60199999999998</v>
      </c>
    </row>
    <row r="162" spans="1:9" x14ac:dyDescent="0.3">
      <c r="A162" t="s">
        <v>54</v>
      </c>
      <c r="B162" t="s">
        <v>215</v>
      </c>
      <c r="C162">
        <v>75</v>
      </c>
      <c r="D162">
        <v>3.8399999999999997E-2</v>
      </c>
      <c r="E162">
        <v>25.566620546593018</v>
      </c>
      <c r="F162">
        <v>2452.8090349424701</v>
      </c>
      <c r="G162">
        <v>9.0579999999999998</v>
      </c>
      <c r="H162">
        <v>6.3E-2</v>
      </c>
      <c r="I162">
        <v>287.80220000000003</v>
      </c>
    </row>
    <row r="163" spans="1:9" x14ac:dyDescent="0.3">
      <c r="A163" t="s">
        <v>54</v>
      </c>
      <c r="B163" t="s">
        <v>216</v>
      </c>
      <c r="C163">
        <v>75</v>
      </c>
      <c r="D163">
        <v>3.8399999999999997E-2</v>
      </c>
      <c r="E163">
        <v>21.511913046964182</v>
      </c>
      <c r="F163">
        <v>2074.9102959770621</v>
      </c>
      <c r="G163">
        <v>9.0579999999999998</v>
      </c>
      <c r="H163">
        <v>0</v>
      </c>
      <c r="I163">
        <v>288.00099999999998</v>
      </c>
    </row>
    <row r="164" spans="1:9" x14ac:dyDescent="0.3">
      <c r="A164" t="s">
        <v>54</v>
      </c>
      <c r="B164" t="s">
        <v>217</v>
      </c>
      <c r="C164">
        <v>75</v>
      </c>
      <c r="D164">
        <v>3.2599999999999997E-2</v>
      </c>
      <c r="E164">
        <v>21.511913046964182</v>
      </c>
      <c r="F164">
        <v>2074.9102959770621</v>
      </c>
      <c r="G164">
        <v>9.0579999999999998</v>
      </c>
      <c r="H164">
        <v>0</v>
      </c>
      <c r="I164">
        <v>288.19959999999998</v>
      </c>
    </row>
    <row r="165" spans="1:9" x14ac:dyDescent="0.3">
      <c r="A165" t="s">
        <v>54</v>
      </c>
      <c r="B165" t="s">
        <v>218</v>
      </c>
      <c r="C165">
        <v>75</v>
      </c>
      <c r="D165">
        <v>1.7100000000000001E-2</v>
      </c>
      <c r="E165">
        <v>21.511913046964182</v>
      </c>
      <c r="F165">
        <v>2074.9102959770621</v>
      </c>
      <c r="G165">
        <v>9.0579999999999998</v>
      </c>
      <c r="H165">
        <v>0</v>
      </c>
      <c r="I165">
        <v>288.40050000000002</v>
      </c>
    </row>
    <row r="166" spans="1:9" x14ac:dyDescent="0.3">
      <c r="A166" t="s">
        <v>54</v>
      </c>
      <c r="B166" t="s">
        <v>219</v>
      </c>
      <c r="C166">
        <v>75</v>
      </c>
      <c r="D166">
        <v>4.1999999999999997E-3</v>
      </c>
      <c r="E166">
        <v>21.511913046964182</v>
      </c>
      <c r="F166">
        <v>2074.9102959770621</v>
      </c>
      <c r="G166">
        <v>9.0579999999999998</v>
      </c>
      <c r="H166">
        <v>0</v>
      </c>
      <c r="I166">
        <v>288.60129999999998</v>
      </c>
    </row>
    <row r="167" spans="1:9" x14ac:dyDescent="0.3">
      <c r="A167" t="s">
        <v>54</v>
      </c>
      <c r="B167" t="s">
        <v>220</v>
      </c>
      <c r="C167">
        <v>75</v>
      </c>
      <c r="D167">
        <v>-3.0999999999999999E-3</v>
      </c>
      <c r="E167">
        <v>21.511913046964182</v>
      </c>
      <c r="F167">
        <v>2074.9102959770621</v>
      </c>
      <c r="G167">
        <v>9.0579999999999998</v>
      </c>
      <c r="H167">
        <v>0</v>
      </c>
      <c r="I167">
        <v>288.80110000000002</v>
      </c>
    </row>
    <row r="168" spans="1:9" x14ac:dyDescent="0.3">
      <c r="A168" t="s">
        <v>54</v>
      </c>
      <c r="B168" t="s">
        <v>221</v>
      </c>
      <c r="C168">
        <v>75</v>
      </c>
      <c r="D168">
        <v>-3.0999999999999999E-3</v>
      </c>
      <c r="E168">
        <v>21.511913046964182</v>
      </c>
      <c r="F168">
        <v>2074.9102959770621</v>
      </c>
      <c r="G168">
        <v>9.0579999999999998</v>
      </c>
      <c r="H168">
        <v>0</v>
      </c>
      <c r="I168">
        <v>289.00009999999997</v>
      </c>
    </row>
    <row r="169" spans="1:9" x14ac:dyDescent="0.3">
      <c r="A169" t="s">
        <v>54</v>
      </c>
      <c r="B169" t="s">
        <v>222</v>
      </c>
      <c r="C169">
        <v>75</v>
      </c>
      <c r="D169">
        <v>-3.0999999999999999E-3</v>
      </c>
      <c r="E169">
        <v>21.511913046964182</v>
      </c>
      <c r="F169">
        <v>2074.9102959770621</v>
      </c>
      <c r="G169">
        <v>9.0579999999999998</v>
      </c>
      <c r="H169">
        <v>0</v>
      </c>
      <c r="I169">
        <v>289.19970000000001</v>
      </c>
    </row>
    <row r="170" spans="1:9" x14ac:dyDescent="0.3">
      <c r="A170" t="s">
        <v>54</v>
      </c>
      <c r="B170" t="s">
        <v>223</v>
      </c>
      <c r="C170">
        <v>75</v>
      </c>
      <c r="D170">
        <v>-3.0999999999999999E-3</v>
      </c>
      <c r="E170">
        <v>21.511913046964182</v>
      </c>
      <c r="F170">
        <v>2074.9102959770621</v>
      </c>
      <c r="G170">
        <v>9.0579999999999998</v>
      </c>
      <c r="H170">
        <v>0</v>
      </c>
      <c r="I170">
        <v>289.40010000000001</v>
      </c>
    </row>
    <row r="171" spans="1:9" x14ac:dyDescent="0.3">
      <c r="A171" t="s">
        <v>54</v>
      </c>
      <c r="B171" t="s">
        <v>224</v>
      </c>
      <c r="C171">
        <v>75</v>
      </c>
      <c r="D171">
        <v>-3.0999999999999999E-3</v>
      </c>
      <c r="E171">
        <v>21.511913046964182</v>
      </c>
      <c r="F171">
        <v>2074.9102959770621</v>
      </c>
      <c r="G171">
        <v>9.0579999999999998</v>
      </c>
      <c r="H171">
        <v>0</v>
      </c>
      <c r="I171">
        <v>289.60149999999999</v>
      </c>
    </row>
    <row r="172" spans="1:9" x14ac:dyDescent="0.3">
      <c r="A172" t="s">
        <v>54</v>
      </c>
      <c r="B172" t="s">
        <v>225</v>
      </c>
      <c r="C172">
        <v>75</v>
      </c>
      <c r="D172">
        <v>-3.0999999999999999E-3</v>
      </c>
      <c r="E172">
        <v>21.511913046964182</v>
      </c>
      <c r="F172">
        <v>2074.9102959770621</v>
      </c>
      <c r="G172">
        <v>9.0579999999999998</v>
      </c>
      <c r="H172">
        <v>0</v>
      </c>
      <c r="I172">
        <v>289.80220000000003</v>
      </c>
    </row>
    <row r="173" spans="1:9" x14ac:dyDescent="0.3">
      <c r="A173" t="s">
        <v>54</v>
      </c>
      <c r="B173" t="s">
        <v>226</v>
      </c>
      <c r="C173">
        <v>75</v>
      </c>
      <c r="D173">
        <v>-3.0999999999999999E-3</v>
      </c>
      <c r="E173">
        <v>25.566620546593018</v>
      </c>
      <c r="F173">
        <v>2566.2722898716779</v>
      </c>
      <c r="G173">
        <v>9.0579999999999998</v>
      </c>
      <c r="H173">
        <v>6.3E-2</v>
      </c>
      <c r="I173">
        <v>290.00040000000001</v>
      </c>
    </row>
    <row r="174" spans="1:9" x14ac:dyDescent="0.3">
      <c r="A174" t="s">
        <v>54</v>
      </c>
      <c r="B174" t="s">
        <v>227</v>
      </c>
      <c r="C174">
        <v>75</v>
      </c>
      <c r="D174">
        <v>1.23E-2</v>
      </c>
      <c r="E174">
        <v>25.566620546593018</v>
      </c>
      <c r="F174">
        <v>2452.8090349424701</v>
      </c>
      <c r="G174">
        <v>9.0579999999999998</v>
      </c>
      <c r="H174">
        <v>6.3E-2</v>
      </c>
      <c r="I174">
        <v>290.20240000000001</v>
      </c>
    </row>
    <row r="175" spans="1:9" x14ac:dyDescent="0.3">
      <c r="A175" t="s">
        <v>54</v>
      </c>
      <c r="B175" t="s">
        <v>228</v>
      </c>
      <c r="C175">
        <v>75</v>
      </c>
      <c r="D175">
        <v>3.2000000000000001E-2</v>
      </c>
      <c r="E175">
        <v>25.566620546593018</v>
      </c>
      <c r="F175">
        <v>2452.8090349424701</v>
      </c>
      <c r="G175">
        <v>9.0579999999999998</v>
      </c>
      <c r="H175">
        <v>6.3E-2</v>
      </c>
      <c r="I175">
        <v>290.40179999999998</v>
      </c>
    </row>
    <row r="176" spans="1:9" x14ac:dyDescent="0.3">
      <c r="A176" t="s">
        <v>54</v>
      </c>
      <c r="B176" t="s">
        <v>229</v>
      </c>
      <c r="C176">
        <v>75</v>
      </c>
      <c r="D176">
        <v>3.7199999999999997E-2</v>
      </c>
      <c r="E176">
        <v>25.566620546593018</v>
      </c>
      <c r="F176">
        <v>2452.8090349424701</v>
      </c>
      <c r="G176">
        <v>9.0579999999999998</v>
      </c>
      <c r="H176">
        <v>6.3E-2</v>
      </c>
      <c r="I176">
        <v>290.59969999999998</v>
      </c>
    </row>
    <row r="177" spans="1:9" x14ac:dyDescent="0.3">
      <c r="A177" t="s">
        <v>54</v>
      </c>
      <c r="B177" t="s">
        <v>230</v>
      </c>
      <c r="C177">
        <v>75</v>
      </c>
      <c r="D177">
        <v>3.8199999999999998E-2</v>
      </c>
      <c r="E177">
        <v>25.566620546593018</v>
      </c>
      <c r="F177">
        <v>2452.8090349424701</v>
      </c>
      <c r="G177">
        <v>9.0579999999999998</v>
      </c>
      <c r="H177">
        <v>6.3E-2</v>
      </c>
      <c r="I177">
        <v>290.80079999999998</v>
      </c>
    </row>
    <row r="178" spans="1:9" x14ac:dyDescent="0.3">
      <c r="A178" t="s">
        <v>54</v>
      </c>
      <c r="B178" t="s">
        <v>231</v>
      </c>
      <c r="C178">
        <v>75</v>
      </c>
      <c r="D178">
        <v>3.8199999999999998E-2</v>
      </c>
      <c r="E178">
        <v>25.566620546593018</v>
      </c>
      <c r="F178">
        <v>2452.8090349424701</v>
      </c>
      <c r="G178">
        <v>9.0579999999999998</v>
      </c>
      <c r="H178">
        <v>6.3E-2</v>
      </c>
      <c r="I178">
        <v>291.00189999999998</v>
      </c>
    </row>
    <row r="179" spans="1:9" x14ac:dyDescent="0.3">
      <c r="A179" t="s">
        <v>54</v>
      </c>
      <c r="B179" t="s">
        <v>232</v>
      </c>
      <c r="C179">
        <v>75</v>
      </c>
      <c r="D179">
        <v>3.8300000000000001E-2</v>
      </c>
      <c r="E179">
        <v>25.566620546593018</v>
      </c>
      <c r="F179">
        <v>2452.8090349424701</v>
      </c>
      <c r="G179">
        <v>9.0579999999999998</v>
      </c>
      <c r="H179">
        <v>6.3E-2</v>
      </c>
      <c r="I179">
        <v>291.2002</v>
      </c>
    </row>
    <row r="180" spans="1:9" x14ac:dyDescent="0.3">
      <c r="A180" t="s">
        <v>54</v>
      </c>
      <c r="B180" t="s">
        <v>233</v>
      </c>
      <c r="C180">
        <v>75</v>
      </c>
      <c r="D180">
        <v>3.8199999999999998E-2</v>
      </c>
      <c r="E180">
        <v>25.566620546593018</v>
      </c>
      <c r="F180">
        <v>2452.8090349424701</v>
      </c>
      <c r="G180">
        <v>9.0579999999999998</v>
      </c>
      <c r="H180">
        <v>6.3E-2</v>
      </c>
      <c r="I180">
        <v>291.3997</v>
      </c>
    </row>
    <row r="181" spans="1:9" x14ac:dyDescent="0.3">
      <c r="A181" t="s">
        <v>54</v>
      </c>
      <c r="B181" t="s">
        <v>234</v>
      </c>
      <c r="C181">
        <v>75</v>
      </c>
      <c r="D181">
        <v>3.8199999999999998E-2</v>
      </c>
      <c r="E181">
        <v>25.566620546593018</v>
      </c>
      <c r="F181">
        <v>2452.8090349424701</v>
      </c>
      <c r="G181">
        <v>9.0579999999999998</v>
      </c>
      <c r="H181">
        <v>6.3E-2</v>
      </c>
      <c r="I181">
        <v>291.60219999999998</v>
      </c>
    </row>
    <row r="182" spans="1:9" x14ac:dyDescent="0.3">
      <c r="A182" t="s">
        <v>54</v>
      </c>
      <c r="B182" t="s">
        <v>235</v>
      </c>
      <c r="C182">
        <v>75</v>
      </c>
      <c r="D182">
        <v>3.8199999999999998E-2</v>
      </c>
      <c r="E182">
        <v>25.566620546593018</v>
      </c>
      <c r="F182">
        <v>2452.8090349424701</v>
      </c>
      <c r="G182">
        <v>9.0579999999999998</v>
      </c>
      <c r="H182">
        <v>6.3E-2</v>
      </c>
      <c r="I182">
        <v>291.80029999999999</v>
      </c>
    </row>
    <row r="183" spans="1:9" x14ac:dyDescent="0.3">
      <c r="A183" t="s">
        <v>54</v>
      </c>
      <c r="B183" t="s">
        <v>236</v>
      </c>
      <c r="C183">
        <v>75</v>
      </c>
      <c r="D183">
        <v>3.8300000000000001E-2</v>
      </c>
      <c r="E183">
        <v>21.511913046964182</v>
      </c>
      <c r="F183">
        <v>2074.9102959770621</v>
      </c>
      <c r="G183">
        <v>9.0579999999999998</v>
      </c>
      <c r="H183">
        <v>0</v>
      </c>
      <c r="I183">
        <v>292.0025</v>
      </c>
    </row>
    <row r="184" spans="1:9" x14ac:dyDescent="0.3">
      <c r="A184" t="s">
        <v>54</v>
      </c>
      <c r="B184" t="s">
        <v>237</v>
      </c>
      <c r="C184">
        <v>75</v>
      </c>
      <c r="D184">
        <v>3.2199999999999999E-2</v>
      </c>
      <c r="E184">
        <v>21.511913046964182</v>
      </c>
      <c r="F184">
        <v>2074.9102959770621</v>
      </c>
      <c r="G184">
        <v>9.0579999999999998</v>
      </c>
      <c r="H184">
        <v>0</v>
      </c>
      <c r="I184">
        <v>292.20190000000002</v>
      </c>
    </row>
    <row r="185" spans="1:9" x14ac:dyDescent="0.3">
      <c r="A185" t="s">
        <v>54</v>
      </c>
      <c r="B185" t="s">
        <v>238</v>
      </c>
      <c r="C185">
        <v>75</v>
      </c>
      <c r="D185">
        <v>1.54E-2</v>
      </c>
      <c r="E185">
        <v>21.511913046964182</v>
      </c>
      <c r="F185">
        <v>2074.9102959770621</v>
      </c>
      <c r="G185">
        <v>9.0579999999999998</v>
      </c>
      <c r="H185">
        <v>0</v>
      </c>
      <c r="I185">
        <v>292.40030000000002</v>
      </c>
    </row>
    <row r="186" spans="1:9" x14ac:dyDescent="0.3">
      <c r="A186" t="s">
        <v>54</v>
      </c>
      <c r="B186" t="s">
        <v>239</v>
      </c>
      <c r="C186">
        <v>75</v>
      </c>
      <c r="D186">
        <v>4.0000000000000001E-3</v>
      </c>
      <c r="E186">
        <v>21.511913046964182</v>
      </c>
      <c r="F186">
        <v>2074.9102959770621</v>
      </c>
      <c r="G186">
        <v>9.0579999999999998</v>
      </c>
      <c r="H186">
        <v>0</v>
      </c>
      <c r="I186">
        <v>292.60320000000002</v>
      </c>
    </row>
    <row r="187" spans="1:9" x14ac:dyDescent="0.3">
      <c r="A187" t="s">
        <v>54</v>
      </c>
      <c r="B187" t="s">
        <v>240</v>
      </c>
      <c r="C187">
        <v>75</v>
      </c>
      <c r="D187">
        <v>-3.0999999999999999E-3</v>
      </c>
      <c r="E187">
        <v>21.511913046964182</v>
      </c>
      <c r="F187">
        <v>2074.9102959770621</v>
      </c>
      <c r="G187">
        <v>9.0579999999999998</v>
      </c>
      <c r="H187">
        <v>0</v>
      </c>
      <c r="I187">
        <v>292.80189999999999</v>
      </c>
    </row>
    <row r="188" spans="1:9" x14ac:dyDescent="0.3">
      <c r="A188" t="s">
        <v>54</v>
      </c>
      <c r="B188" t="s">
        <v>241</v>
      </c>
      <c r="C188">
        <v>75</v>
      </c>
      <c r="D188">
        <v>-3.0999999999999999E-3</v>
      </c>
      <c r="E188">
        <v>21.511913046964182</v>
      </c>
      <c r="F188">
        <v>2074.9102959770621</v>
      </c>
      <c r="G188">
        <v>9.0579999999999998</v>
      </c>
      <c r="H188">
        <v>0</v>
      </c>
      <c r="I188">
        <v>293.00110000000001</v>
      </c>
    </row>
    <row r="189" spans="1:9" x14ac:dyDescent="0.3">
      <c r="A189" t="s">
        <v>54</v>
      </c>
      <c r="B189" t="s">
        <v>242</v>
      </c>
      <c r="C189">
        <v>75</v>
      </c>
      <c r="D189">
        <v>-3.0999999999999999E-3</v>
      </c>
      <c r="E189">
        <v>21.511913046964182</v>
      </c>
      <c r="F189">
        <v>2074.9102959770621</v>
      </c>
      <c r="G189">
        <v>9.0579999999999998</v>
      </c>
      <c r="H189">
        <v>0</v>
      </c>
      <c r="I189">
        <v>293.20190000000002</v>
      </c>
    </row>
    <row r="190" spans="1:9" x14ac:dyDescent="0.3">
      <c r="A190" t="s">
        <v>54</v>
      </c>
      <c r="B190" t="s">
        <v>243</v>
      </c>
      <c r="C190">
        <v>75</v>
      </c>
      <c r="D190">
        <v>-3.0999999999999999E-3</v>
      </c>
      <c r="E190">
        <v>21.511913046964182</v>
      </c>
      <c r="F190">
        <v>2074.9102959770621</v>
      </c>
      <c r="G190">
        <v>9.0579999999999998</v>
      </c>
      <c r="H190">
        <v>0</v>
      </c>
      <c r="I190">
        <v>293.40230000000003</v>
      </c>
    </row>
    <row r="191" spans="1:9" x14ac:dyDescent="0.3">
      <c r="A191" t="s">
        <v>54</v>
      </c>
      <c r="B191" t="s">
        <v>244</v>
      </c>
      <c r="C191">
        <v>75</v>
      </c>
      <c r="D191">
        <v>-3.0999999999999999E-3</v>
      </c>
      <c r="E191">
        <v>21.511913046964182</v>
      </c>
      <c r="F191">
        <v>2074.9102959770621</v>
      </c>
      <c r="G191">
        <v>9.0579999999999998</v>
      </c>
      <c r="H191">
        <v>0</v>
      </c>
      <c r="I191">
        <v>293.60149999999999</v>
      </c>
    </row>
    <row r="192" spans="1:9" x14ac:dyDescent="0.3">
      <c r="A192" t="s">
        <v>54</v>
      </c>
      <c r="B192" t="s">
        <v>245</v>
      </c>
      <c r="C192">
        <v>75</v>
      </c>
      <c r="D192">
        <v>-3.0999999999999999E-3</v>
      </c>
      <c r="E192">
        <v>21.511913046964182</v>
      </c>
      <c r="F192">
        <v>2074.9102959770621</v>
      </c>
      <c r="G192">
        <v>9.0579999999999998</v>
      </c>
      <c r="H192">
        <v>0</v>
      </c>
      <c r="I192">
        <v>293.80130000000003</v>
      </c>
    </row>
    <row r="193" spans="1:9" x14ac:dyDescent="0.3">
      <c r="A193" t="s">
        <v>54</v>
      </c>
      <c r="B193" t="s">
        <v>246</v>
      </c>
      <c r="C193">
        <v>75</v>
      </c>
      <c r="D193">
        <v>-3.0999999999999999E-3</v>
      </c>
      <c r="E193">
        <v>25.566620546593018</v>
      </c>
      <c r="F193">
        <v>2566.2722898716779</v>
      </c>
      <c r="G193">
        <v>9.0579999999999998</v>
      </c>
      <c r="H193">
        <v>6.3E-2</v>
      </c>
      <c r="I193">
        <v>294.0018</v>
      </c>
    </row>
    <row r="194" spans="1:9" x14ac:dyDescent="0.3">
      <c r="A194" t="s">
        <v>54</v>
      </c>
      <c r="B194" t="s">
        <v>247</v>
      </c>
      <c r="C194">
        <v>75</v>
      </c>
      <c r="D194">
        <v>1.18E-2</v>
      </c>
      <c r="E194">
        <v>25.566620546593018</v>
      </c>
      <c r="F194">
        <v>2452.8090349424701</v>
      </c>
      <c r="G194">
        <v>9.0579999999999998</v>
      </c>
      <c r="H194">
        <v>6.3E-2</v>
      </c>
      <c r="I194">
        <v>294.20080000000002</v>
      </c>
    </row>
    <row r="195" spans="1:9" x14ac:dyDescent="0.3">
      <c r="A195" t="s">
        <v>54</v>
      </c>
      <c r="B195" t="s">
        <v>248</v>
      </c>
      <c r="C195">
        <v>75</v>
      </c>
      <c r="D195">
        <v>3.1699999999999999E-2</v>
      </c>
      <c r="E195">
        <v>25.566620546593018</v>
      </c>
      <c r="F195">
        <v>2452.8090349424701</v>
      </c>
      <c r="G195">
        <v>9.0579999999999998</v>
      </c>
      <c r="H195">
        <v>6.3E-2</v>
      </c>
      <c r="I195">
        <v>294.40230000000003</v>
      </c>
    </row>
    <row r="196" spans="1:9" x14ac:dyDescent="0.3">
      <c r="A196" t="s">
        <v>54</v>
      </c>
      <c r="B196" t="s">
        <v>249</v>
      </c>
      <c r="C196">
        <v>75</v>
      </c>
      <c r="D196">
        <v>3.6900000000000002E-2</v>
      </c>
      <c r="E196">
        <v>25.566620546593018</v>
      </c>
      <c r="F196">
        <v>2452.8090349424701</v>
      </c>
      <c r="G196">
        <v>9.0579999999999998</v>
      </c>
      <c r="H196">
        <v>6.3E-2</v>
      </c>
      <c r="I196">
        <v>294.60059999999999</v>
      </c>
    </row>
    <row r="197" spans="1:9" x14ac:dyDescent="0.3">
      <c r="A197" t="s">
        <v>54</v>
      </c>
      <c r="B197" t="s">
        <v>250</v>
      </c>
      <c r="C197">
        <v>75</v>
      </c>
      <c r="D197">
        <v>3.8199999999999998E-2</v>
      </c>
      <c r="E197">
        <v>25.566620546593018</v>
      </c>
      <c r="F197">
        <v>2452.8090349424701</v>
      </c>
      <c r="G197">
        <v>9.0579999999999998</v>
      </c>
      <c r="H197">
        <v>6.3E-2</v>
      </c>
      <c r="I197">
        <v>294.80200000000002</v>
      </c>
    </row>
    <row r="198" spans="1:9" x14ac:dyDescent="0.3">
      <c r="A198" t="s">
        <v>54</v>
      </c>
      <c r="B198" t="s">
        <v>251</v>
      </c>
      <c r="C198">
        <v>75</v>
      </c>
      <c r="D198">
        <v>3.8300000000000001E-2</v>
      </c>
      <c r="E198">
        <v>25.566620546593018</v>
      </c>
      <c r="F198">
        <v>2452.8090349424701</v>
      </c>
      <c r="G198">
        <v>9.0579999999999998</v>
      </c>
      <c r="H198">
        <v>6.3E-2</v>
      </c>
      <c r="I198">
        <v>295.00170000000003</v>
      </c>
    </row>
    <row r="199" spans="1:9" x14ac:dyDescent="0.3">
      <c r="A199" t="s">
        <v>54</v>
      </c>
      <c r="B199" t="s">
        <v>252</v>
      </c>
      <c r="C199">
        <v>75</v>
      </c>
      <c r="D199">
        <v>3.8300000000000001E-2</v>
      </c>
      <c r="E199">
        <v>25.566620546593018</v>
      </c>
      <c r="F199">
        <v>2452.8090349424701</v>
      </c>
      <c r="G199">
        <v>9.0579999999999998</v>
      </c>
      <c r="H199">
        <v>6.3E-2</v>
      </c>
      <c r="I199">
        <v>295.19979999999998</v>
      </c>
    </row>
    <row r="200" spans="1:9" x14ac:dyDescent="0.3">
      <c r="A200" t="s">
        <v>54</v>
      </c>
      <c r="B200" t="s">
        <v>253</v>
      </c>
      <c r="C200">
        <v>75</v>
      </c>
      <c r="D200">
        <v>3.8300000000000001E-2</v>
      </c>
      <c r="E200">
        <v>25.566620546593018</v>
      </c>
      <c r="F200">
        <v>2452.8090349424701</v>
      </c>
      <c r="G200">
        <v>9.0579999999999998</v>
      </c>
      <c r="H200">
        <v>6.3E-2</v>
      </c>
      <c r="I200">
        <v>295.40050000000002</v>
      </c>
    </row>
    <row r="201" spans="1:9" x14ac:dyDescent="0.3">
      <c r="A201" t="s">
        <v>54</v>
      </c>
      <c r="B201" t="s">
        <v>254</v>
      </c>
      <c r="C201">
        <v>75</v>
      </c>
      <c r="D201">
        <v>3.8300000000000001E-2</v>
      </c>
      <c r="E201">
        <v>25.566620546593018</v>
      </c>
      <c r="F201">
        <v>2452.8090349424701</v>
      </c>
      <c r="G201">
        <v>9.0579999999999998</v>
      </c>
      <c r="H201">
        <v>6.3E-2</v>
      </c>
      <c r="I201">
        <v>295.6003</v>
      </c>
    </row>
    <row r="202" spans="1:9" x14ac:dyDescent="0.3">
      <c r="A202" t="s">
        <v>54</v>
      </c>
      <c r="B202" t="s">
        <v>255</v>
      </c>
      <c r="C202">
        <v>75</v>
      </c>
      <c r="D202">
        <v>3.8300000000000001E-2</v>
      </c>
      <c r="E202">
        <v>25.566620546593018</v>
      </c>
      <c r="F202">
        <v>2452.8090349424701</v>
      </c>
      <c r="G202">
        <v>9.0579999999999998</v>
      </c>
      <c r="H202">
        <v>6.3E-2</v>
      </c>
      <c r="I202">
        <v>295.80360000000002</v>
      </c>
    </row>
    <row r="203" spans="1:9" x14ac:dyDescent="0.3">
      <c r="A203" t="s">
        <v>54</v>
      </c>
      <c r="B203" t="s">
        <v>256</v>
      </c>
      <c r="C203">
        <v>75</v>
      </c>
      <c r="D203">
        <v>3.8399999999999997E-2</v>
      </c>
      <c r="E203">
        <v>21.511913046964182</v>
      </c>
      <c r="F203">
        <v>2074.9102959770621</v>
      </c>
      <c r="G203">
        <v>9.0579999999999998</v>
      </c>
      <c r="H203">
        <v>0</v>
      </c>
      <c r="I203">
        <v>296.00119999999998</v>
      </c>
    </row>
    <row r="204" spans="1:9" x14ac:dyDescent="0.3">
      <c r="A204" t="s">
        <v>54</v>
      </c>
      <c r="B204" t="s">
        <v>257</v>
      </c>
      <c r="C204">
        <v>75</v>
      </c>
      <c r="D204">
        <v>3.1899999999999998E-2</v>
      </c>
      <c r="E204">
        <v>21.511913046964182</v>
      </c>
      <c r="F204">
        <v>2074.9102959770621</v>
      </c>
      <c r="G204">
        <v>9.0579999999999998</v>
      </c>
      <c r="H204">
        <v>0</v>
      </c>
      <c r="I204">
        <v>296.19990000000001</v>
      </c>
    </row>
    <row r="205" spans="1:9" x14ac:dyDescent="0.3">
      <c r="A205" t="s">
        <v>54</v>
      </c>
      <c r="B205" t="s">
        <v>258</v>
      </c>
      <c r="C205">
        <v>75</v>
      </c>
      <c r="D205">
        <v>1.78E-2</v>
      </c>
      <c r="E205">
        <v>21.511913046964182</v>
      </c>
      <c r="F205">
        <v>2074.9102959770621</v>
      </c>
      <c r="G205">
        <v>9.0579999999999998</v>
      </c>
      <c r="H205">
        <v>0</v>
      </c>
      <c r="I205">
        <v>296.40030000000002</v>
      </c>
    </row>
    <row r="206" spans="1:9" x14ac:dyDescent="0.3">
      <c r="A206" t="s">
        <v>54</v>
      </c>
      <c r="B206" t="s">
        <v>259</v>
      </c>
      <c r="C206">
        <v>75</v>
      </c>
      <c r="D206">
        <v>3.3999999999999998E-3</v>
      </c>
      <c r="E206">
        <v>21.511913046964182</v>
      </c>
      <c r="F206">
        <v>2074.9102959770621</v>
      </c>
      <c r="G206">
        <v>9.0579999999999998</v>
      </c>
      <c r="H206">
        <v>0</v>
      </c>
      <c r="I206">
        <v>296.60169999999999</v>
      </c>
    </row>
    <row r="207" spans="1:9" x14ac:dyDescent="0.3">
      <c r="A207" t="s">
        <v>54</v>
      </c>
      <c r="B207" t="s">
        <v>260</v>
      </c>
      <c r="C207">
        <v>75</v>
      </c>
      <c r="D207">
        <v>-3.0999999999999999E-3</v>
      </c>
      <c r="E207">
        <v>21.511913046964182</v>
      </c>
      <c r="F207">
        <v>2074.9102959770621</v>
      </c>
      <c r="G207">
        <v>9.0579999999999998</v>
      </c>
      <c r="H207">
        <v>0</v>
      </c>
      <c r="I207">
        <v>296.80020000000002</v>
      </c>
    </row>
    <row r="208" spans="1:9" x14ac:dyDescent="0.3">
      <c r="A208" t="s">
        <v>54</v>
      </c>
      <c r="B208" t="s">
        <v>261</v>
      </c>
      <c r="C208">
        <v>75</v>
      </c>
      <c r="D208">
        <v>-3.0999999999999999E-3</v>
      </c>
      <c r="E208">
        <v>21.511913046964182</v>
      </c>
      <c r="F208">
        <v>2074.9102959770621</v>
      </c>
      <c r="G208">
        <v>9.0579999999999998</v>
      </c>
      <c r="H208">
        <v>0</v>
      </c>
      <c r="I208">
        <v>297.00220000000002</v>
      </c>
    </row>
    <row r="209" spans="1:9" x14ac:dyDescent="0.3">
      <c r="A209" t="s">
        <v>54</v>
      </c>
      <c r="B209" t="s">
        <v>262</v>
      </c>
      <c r="C209">
        <v>75</v>
      </c>
      <c r="D209">
        <v>-3.0999999999999999E-3</v>
      </c>
      <c r="E209">
        <v>21.511913046964182</v>
      </c>
      <c r="F209">
        <v>2074.9102959770621</v>
      </c>
      <c r="G209">
        <v>9.0579999999999998</v>
      </c>
      <c r="H209">
        <v>0</v>
      </c>
      <c r="I209">
        <v>297.20339999999999</v>
      </c>
    </row>
    <row r="210" spans="1:9" x14ac:dyDescent="0.3">
      <c r="A210" t="s">
        <v>54</v>
      </c>
      <c r="B210" t="s">
        <v>263</v>
      </c>
      <c r="C210">
        <v>75</v>
      </c>
      <c r="D210">
        <v>-3.0999999999999999E-3</v>
      </c>
      <c r="E210">
        <v>21.511913046964182</v>
      </c>
      <c r="F210">
        <v>2074.9102959770621</v>
      </c>
      <c r="G210">
        <v>9.0579999999999998</v>
      </c>
      <c r="H210">
        <v>0</v>
      </c>
      <c r="I210">
        <v>297.40289999999999</v>
      </c>
    </row>
    <row r="211" spans="1:9" x14ac:dyDescent="0.3">
      <c r="A211" t="s">
        <v>54</v>
      </c>
      <c r="B211" t="s">
        <v>264</v>
      </c>
      <c r="C211">
        <v>75</v>
      </c>
      <c r="D211">
        <v>-3.0999999999999999E-3</v>
      </c>
      <c r="E211">
        <v>21.511913046964182</v>
      </c>
      <c r="F211">
        <v>2074.9102959770621</v>
      </c>
      <c r="G211">
        <v>9.0579999999999998</v>
      </c>
      <c r="H211">
        <v>0</v>
      </c>
      <c r="I211">
        <v>297.60730000000001</v>
      </c>
    </row>
    <row r="212" spans="1:9" x14ac:dyDescent="0.3">
      <c r="A212" t="s">
        <v>54</v>
      </c>
      <c r="B212" t="s">
        <v>265</v>
      </c>
      <c r="C212">
        <v>75</v>
      </c>
      <c r="D212">
        <v>-3.0999999999999999E-3</v>
      </c>
      <c r="E212">
        <v>21.511913046964182</v>
      </c>
      <c r="F212">
        <v>2074.9102959770621</v>
      </c>
      <c r="G212">
        <v>9.0579999999999998</v>
      </c>
      <c r="H212">
        <v>0</v>
      </c>
      <c r="I212">
        <v>297.80059999999997</v>
      </c>
    </row>
    <row r="213" spans="1:9" x14ac:dyDescent="0.3">
      <c r="A213" t="s">
        <v>54</v>
      </c>
      <c r="B213" t="s">
        <v>266</v>
      </c>
      <c r="C213">
        <v>75</v>
      </c>
      <c r="D213">
        <v>-3.0999999999999999E-3</v>
      </c>
      <c r="E213">
        <v>25.566620546593018</v>
      </c>
      <c r="F213">
        <v>2566.2722898716779</v>
      </c>
      <c r="G213">
        <v>9.0579999999999998</v>
      </c>
      <c r="H213">
        <v>6.3E-2</v>
      </c>
      <c r="I213">
        <v>298.00279999999998</v>
      </c>
    </row>
    <row r="214" spans="1:9" x14ac:dyDescent="0.3">
      <c r="A214" t="s">
        <v>54</v>
      </c>
      <c r="B214" t="s">
        <v>267</v>
      </c>
      <c r="C214">
        <v>75</v>
      </c>
      <c r="D214">
        <v>1.24E-2</v>
      </c>
      <c r="E214">
        <v>25.566620546593018</v>
      </c>
      <c r="F214">
        <v>2452.8090349424701</v>
      </c>
      <c r="G214">
        <v>9.0579999999999998</v>
      </c>
      <c r="H214">
        <v>6.3E-2</v>
      </c>
      <c r="I214">
        <v>298.2011</v>
      </c>
    </row>
    <row r="215" spans="1:9" x14ac:dyDescent="0.3">
      <c r="A215" t="s">
        <v>54</v>
      </c>
      <c r="B215" t="s">
        <v>268</v>
      </c>
      <c r="C215">
        <v>75</v>
      </c>
      <c r="D215">
        <v>3.1800000000000002E-2</v>
      </c>
      <c r="E215">
        <v>25.566620546593018</v>
      </c>
      <c r="F215">
        <v>2452.8090349424701</v>
      </c>
      <c r="G215">
        <v>9.0579999999999998</v>
      </c>
      <c r="H215">
        <v>6.3E-2</v>
      </c>
      <c r="I215">
        <v>298.40320000000003</v>
      </c>
    </row>
    <row r="216" spans="1:9" x14ac:dyDescent="0.3">
      <c r="A216" t="s">
        <v>54</v>
      </c>
      <c r="B216" t="s">
        <v>269</v>
      </c>
      <c r="C216">
        <v>75</v>
      </c>
      <c r="D216">
        <v>3.6900000000000002E-2</v>
      </c>
      <c r="E216">
        <v>25.566620546593018</v>
      </c>
      <c r="F216">
        <v>2452.8090349424701</v>
      </c>
      <c r="G216">
        <v>9.0579999999999998</v>
      </c>
      <c r="H216">
        <v>6.3E-2</v>
      </c>
      <c r="I216">
        <v>298.60109999999997</v>
      </c>
    </row>
    <row r="217" spans="1:9" x14ac:dyDescent="0.3">
      <c r="A217" t="s">
        <v>54</v>
      </c>
      <c r="B217" t="s">
        <v>270</v>
      </c>
      <c r="C217">
        <v>75</v>
      </c>
      <c r="D217">
        <v>3.8100000000000002E-2</v>
      </c>
      <c r="E217">
        <v>25.566620546593018</v>
      </c>
      <c r="F217">
        <v>2452.8090349424701</v>
      </c>
      <c r="G217">
        <v>9.0579999999999998</v>
      </c>
      <c r="H217">
        <v>6.3E-2</v>
      </c>
      <c r="I217">
        <v>298.80279999999999</v>
      </c>
    </row>
    <row r="218" spans="1:9" x14ac:dyDescent="0.3">
      <c r="A218" t="s">
        <v>54</v>
      </c>
      <c r="B218" t="s">
        <v>271</v>
      </c>
      <c r="C218">
        <v>75</v>
      </c>
      <c r="D218">
        <v>3.85E-2</v>
      </c>
      <c r="E218">
        <v>25.566620546593018</v>
      </c>
      <c r="F218">
        <v>2452.8090349424701</v>
      </c>
      <c r="G218">
        <v>9.0579999999999998</v>
      </c>
      <c r="H218">
        <v>6.3E-2</v>
      </c>
      <c r="I218">
        <v>299.00040000000001</v>
      </c>
    </row>
    <row r="219" spans="1:9" x14ac:dyDescent="0.3">
      <c r="A219" t="s">
        <v>54</v>
      </c>
      <c r="B219" t="s">
        <v>272</v>
      </c>
      <c r="C219">
        <v>75</v>
      </c>
      <c r="D219">
        <v>3.85E-2</v>
      </c>
      <c r="E219">
        <v>25.566620546593018</v>
      </c>
      <c r="F219">
        <v>2452.8090349424701</v>
      </c>
      <c r="G219">
        <v>9.0579999999999998</v>
      </c>
      <c r="H219">
        <v>6.3E-2</v>
      </c>
      <c r="I219">
        <v>299.2002</v>
      </c>
    </row>
    <row r="220" spans="1:9" x14ac:dyDescent="0.3">
      <c r="A220" t="s">
        <v>54</v>
      </c>
      <c r="B220" t="s">
        <v>273</v>
      </c>
      <c r="C220">
        <v>75</v>
      </c>
      <c r="D220">
        <v>3.85E-2</v>
      </c>
      <c r="E220">
        <v>25.566620546593018</v>
      </c>
      <c r="F220">
        <v>2452.8090349424701</v>
      </c>
      <c r="G220">
        <v>9.0579999999999998</v>
      </c>
      <c r="H220">
        <v>6.3E-2</v>
      </c>
      <c r="I220">
        <v>299.40309999999999</v>
      </c>
    </row>
    <row r="221" spans="1:9" x14ac:dyDescent="0.3">
      <c r="A221" t="s">
        <v>54</v>
      </c>
      <c r="B221" t="s">
        <v>274</v>
      </c>
      <c r="C221">
        <v>75</v>
      </c>
      <c r="D221">
        <v>3.85E-2</v>
      </c>
      <c r="E221">
        <v>25.566620546593018</v>
      </c>
      <c r="F221">
        <v>2452.8090349424701</v>
      </c>
      <c r="G221">
        <v>9.0579999999999998</v>
      </c>
      <c r="H221">
        <v>6.3E-2</v>
      </c>
      <c r="I221">
        <v>299.60180000000003</v>
      </c>
    </row>
    <row r="222" spans="1:9" x14ac:dyDescent="0.3">
      <c r="A222" t="s">
        <v>54</v>
      </c>
      <c r="B222" t="s">
        <v>275</v>
      </c>
      <c r="C222">
        <v>75</v>
      </c>
      <c r="D222">
        <v>3.85E-2</v>
      </c>
      <c r="E222">
        <v>25.566620546593018</v>
      </c>
      <c r="F222">
        <v>2452.8090349424701</v>
      </c>
      <c r="G222">
        <v>9.0579999999999998</v>
      </c>
      <c r="H222">
        <v>6.3E-2</v>
      </c>
      <c r="I222">
        <v>299.80279999999999</v>
      </c>
    </row>
    <row r="223" spans="1:9" x14ac:dyDescent="0.3">
      <c r="A223" t="s">
        <v>54</v>
      </c>
      <c r="B223" t="s">
        <v>276</v>
      </c>
      <c r="C223">
        <v>75</v>
      </c>
      <c r="D223">
        <v>3.85E-2</v>
      </c>
      <c r="E223">
        <v>21.511913046964182</v>
      </c>
      <c r="F223">
        <v>2074.9102959770621</v>
      </c>
      <c r="G223">
        <v>9.0579999999999998</v>
      </c>
      <c r="H223">
        <v>0</v>
      </c>
      <c r="I223">
        <v>300.00170000000003</v>
      </c>
    </row>
    <row r="224" spans="1:9" x14ac:dyDescent="0.3">
      <c r="A224" t="s">
        <v>54</v>
      </c>
      <c r="B224" t="s">
        <v>277</v>
      </c>
      <c r="C224">
        <v>75</v>
      </c>
      <c r="D224">
        <v>3.2399999999999998E-2</v>
      </c>
      <c r="E224">
        <v>21.511913046964182</v>
      </c>
      <c r="F224">
        <v>2074.9102959770621</v>
      </c>
      <c r="G224">
        <v>9.0579999999999998</v>
      </c>
      <c r="H224">
        <v>0</v>
      </c>
      <c r="I224">
        <v>300.20190000000002</v>
      </c>
    </row>
    <row r="225" spans="1:9" x14ac:dyDescent="0.3">
      <c r="A225" t="s">
        <v>54</v>
      </c>
      <c r="B225" t="s">
        <v>278</v>
      </c>
      <c r="C225">
        <v>75</v>
      </c>
      <c r="D225">
        <v>1.7999999999999999E-2</v>
      </c>
      <c r="E225">
        <v>21.511913046964182</v>
      </c>
      <c r="F225">
        <v>2074.9102959770621</v>
      </c>
      <c r="G225">
        <v>9.0579999999999998</v>
      </c>
      <c r="H225">
        <v>0</v>
      </c>
      <c r="I225">
        <v>300.4008</v>
      </c>
    </row>
    <row r="226" spans="1:9" x14ac:dyDescent="0.3">
      <c r="A226" t="s">
        <v>54</v>
      </c>
      <c r="B226" t="s">
        <v>279</v>
      </c>
      <c r="C226">
        <v>75</v>
      </c>
      <c r="D226">
        <v>5.1000000000000004E-3</v>
      </c>
      <c r="E226">
        <v>21.511913046964182</v>
      </c>
      <c r="F226">
        <v>2074.9102959770621</v>
      </c>
      <c r="G226">
        <v>9.0579999999999998</v>
      </c>
      <c r="H226">
        <v>0</v>
      </c>
      <c r="I226">
        <v>300.6003</v>
      </c>
    </row>
    <row r="227" spans="1:9" x14ac:dyDescent="0.3">
      <c r="A227" t="s">
        <v>54</v>
      </c>
      <c r="B227" t="s">
        <v>280</v>
      </c>
      <c r="C227">
        <v>75</v>
      </c>
      <c r="D227">
        <v>-3.0999999999999999E-3</v>
      </c>
      <c r="E227">
        <v>21.511913046964182</v>
      </c>
      <c r="F227">
        <v>2074.9102959770621</v>
      </c>
      <c r="G227">
        <v>9.0579999999999998</v>
      </c>
      <c r="H227">
        <v>0</v>
      </c>
      <c r="I227">
        <v>300.8021</v>
      </c>
    </row>
    <row r="228" spans="1:9" x14ac:dyDescent="0.3">
      <c r="A228" t="s">
        <v>54</v>
      </c>
      <c r="B228" t="s">
        <v>281</v>
      </c>
      <c r="C228">
        <v>75</v>
      </c>
      <c r="D228">
        <v>-3.0999999999999999E-3</v>
      </c>
      <c r="E228">
        <v>21.511913046964182</v>
      </c>
      <c r="F228">
        <v>2074.9102959770621</v>
      </c>
      <c r="G228">
        <v>9.0579999999999998</v>
      </c>
      <c r="H228">
        <v>0</v>
      </c>
      <c r="I228">
        <v>301.00170000000003</v>
      </c>
    </row>
    <row r="229" spans="1:9" x14ac:dyDescent="0.3">
      <c r="A229" t="s">
        <v>54</v>
      </c>
      <c r="B229" t="s">
        <v>282</v>
      </c>
      <c r="C229">
        <v>75</v>
      </c>
      <c r="D229">
        <v>-3.0999999999999999E-3</v>
      </c>
      <c r="E229">
        <v>21.511913046964182</v>
      </c>
      <c r="F229">
        <v>2074.9102959770621</v>
      </c>
      <c r="G229">
        <v>9.0579999999999998</v>
      </c>
      <c r="H229">
        <v>0</v>
      </c>
      <c r="I229">
        <v>301.20240000000001</v>
      </c>
    </row>
    <row r="230" spans="1:9" x14ac:dyDescent="0.3">
      <c r="A230" t="s">
        <v>54</v>
      </c>
      <c r="B230" t="s">
        <v>283</v>
      </c>
      <c r="C230">
        <v>75</v>
      </c>
      <c r="D230">
        <v>-3.0999999999999999E-3</v>
      </c>
      <c r="E230">
        <v>21.511913046964182</v>
      </c>
      <c r="F230">
        <v>2074.9102959770621</v>
      </c>
      <c r="G230">
        <v>9.0579999999999998</v>
      </c>
      <c r="H230">
        <v>0</v>
      </c>
      <c r="I230">
        <v>301.40120000000002</v>
      </c>
    </row>
    <row r="231" spans="1:9" x14ac:dyDescent="0.3">
      <c r="A231" t="s">
        <v>54</v>
      </c>
      <c r="B231" t="s">
        <v>284</v>
      </c>
      <c r="C231">
        <v>75</v>
      </c>
      <c r="D231">
        <v>-3.0999999999999999E-3</v>
      </c>
      <c r="E231">
        <v>21.511913046964182</v>
      </c>
      <c r="F231">
        <v>2074.9102959770621</v>
      </c>
      <c r="G231">
        <v>9.0579999999999998</v>
      </c>
      <c r="H231">
        <v>0</v>
      </c>
      <c r="I231">
        <v>301.60129999999998</v>
      </c>
    </row>
    <row r="232" spans="1:9" x14ac:dyDescent="0.3">
      <c r="A232" t="s">
        <v>54</v>
      </c>
      <c r="B232" t="s">
        <v>285</v>
      </c>
      <c r="C232">
        <v>75</v>
      </c>
      <c r="D232">
        <v>-3.0999999999999999E-3</v>
      </c>
      <c r="E232">
        <v>21.511913046964182</v>
      </c>
      <c r="F232">
        <v>2074.9102959770621</v>
      </c>
      <c r="G232">
        <v>9.0579999999999998</v>
      </c>
      <c r="H232">
        <v>0</v>
      </c>
      <c r="I232">
        <v>301.80149999999998</v>
      </c>
    </row>
    <row r="233" spans="1:9" x14ac:dyDescent="0.3">
      <c r="A233" t="s">
        <v>54</v>
      </c>
      <c r="B233" t="s">
        <v>286</v>
      </c>
      <c r="C233">
        <v>75</v>
      </c>
      <c r="D233">
        <v>-3.0999999999999999E-3</v>
      </c>
      <c r="E233">
        <v>25.566620546593018</v>
      </c>
      <c r="F233">
        <v>2566.2722898716779</v>
      </c>
      <c r="G233">
        <v>9.0579999999999998</v>
      </c>
      <c r="H233">
        <v>6.3E-2</v>
      </c>
      <c r="I233">
        <v>302.00069999999999</v>
      </c>
    </row>
    <row r="234" spans="1:9" x14ac:dyDescent="0.3">
      <c r="A234" t="s">
        <v>54</v>
      </c>
      <c r="B234" t="s">
        <v>287</v>
      </c>
      <c r="C234">
        <v>75</v>
      </c>
      <c r="D234">
        <v>1.2699999999999999E-2</v>
      </c>
      <c r="E234">
        <v>25.566620546593018</v>
      </c>
      <c r="F234">
        <v>2452.8090349424701</v>
      </c>
      <c r="G234">
        <v>9.0579999999999998</v>
      </c>
      <c r="H234">
        <v>6.3E-2</v>
      </c>
      <c r="I234">
        <v>302.20389999999998</v>
      </c>
    </row>
    <row r="235" spans="1:9" x14ac:dyDescent="0.3">
      <c r="A235" t="s">
        <v>54</v>
      </c>
      <c r="B235" t="s">
        <v>288</v>
      </c>
      <c r="C235">
        <v>75</v>
      </c>
      <c r="D235">
        <v>3.1699999999999999E-2</v>
      </c>
      <c r="E235">
        <v>25.566620546593018</v>
      </c>
      <c r="F235">
        <v>2452.8090349424701</v>
      </c>
      <c r="G235">
        <v>9.0579999999999998</v>
      </c>
      <c r="H235">
        <v>6.3E-2</v>
      </c>
      <c r="I235">
        <v>302.40120000000002</v>
      </c>
    </row>
    <row r="236" spans="1:9" x14ac:dyDescent="0.3">
      <c r="A236" t="s">
        <v>54</v>
      </c>
      <c r="B236" t="s">
        <v>289</v>
      </c>
      <c r="C236">
        <v>75</v>
      </c>
      <c r="D236">
        <v>3.6700000000000003E-2</v>
      </c>
      <c r="E236">
        <v>25.566620546593018</v>
      </c>
      <c r="F236">
        <v>2452.8090349424701</v>
      </c>
      <c r="G236">
        <v>9.0579999999999998</v>
      </c>
      <c r="H236">
        <v>6.3E-2</v>
      </c>
      <c r="I236">
        <v>302.60090000000002</v>
      </c>
    </row>
    <row r="237" spans="1:9" x14ac:dyDescent="0.3">
      <c r="A237" t="s">
        <v>54</v>
      </c>
      <c r="B237" t="s">
        <v>290</v>
      </c>
      <c r="C237">
        <v>75</v>
      </c>
      <c r="D237">
        <v>3.7999999999999999E-2</v>
      </c>
      <c r="E237">
        <v>25.566620546593018</v>
      </c>
      <c r="F237">
        <v>2452.8090349424701</v>
      </c>
      <c r="G237">
        <v>9.0579999999999998</v>
      </c>
      <c r="H237">
        <v>6.3E-2</v>
      </c>
      <c r="I237">
        <v>302.80259999999998</v>
      </c>
    </row>
    <row r="238" spans="1:9" x14ac:dyDescent="0.3">
      <c r="A238" t="s">
        <v>54</v>
      </c>
      <c r="B238" t="s">
        <v>291</v>
      </c>
      <c r="C238">
        <v>75</v>
      </c>
      <c r="D238">
        <v>3.8100000000000002E-2</v>
      </c>
      <c r="E238">
        <v>25.566620546593018</v>
      </c>
      <c r="F238">
        <v>2452.8090349424701</v>
      </c>
      <c r="G238">
        <v>9.0579999999999998</v>
      </c>
      <c r="H238">
        <v>6.3E-2</v>
      </c>
      <c r="I238">
        <v>303.00279999999998</v>
      </c>
    </row>
    <row r="239" spans="1:9" x14ac:dyDescent="0.3">
      <c r="A239" t="s">
        <v>54</v>
      </c>
      <c r="B239" t="s">
        <v>292</v>
      </c>
      <c r="C239">
        <v>75</v>
      </c>
      <c r="D239">
        <v>3.8100000000000002E-2</v>
      </c>
      <c r="E239">
        <v>25.566620546593018</v>
      </c>
      <c r="F239">
        <v>2452.8090349424701</v>
      </c>
      <c r="G239">
        <v>9.0579999999999998</v>
      </c>
      <c r="H239">
        <v>6.3E-2</v>
      </c>
      <c r="I239">
        <v>303.20319999999998</v>
      </c>
    </row>
    <row r="240" spans="1:9" x14ac:dyDescent="0.3">
      <c r="A240" t="s">
        <v>54</v>
      </c>
      <c r="B240" t="s">
        <v>293</v>
      </c>
      <c r="C240">
        <v>75</v>
      </c>
      <c r="D240">
        <v>3.8100000000000002E-2</v>
      </c>
      <c r="E240">
        <v>25.566620546593018</v>
      </c>
      <c r="F240">
        <v>2452.8090349424701</v>
      </c>
      <c r="G240">
        <v>9.0579999999999998</v>
      </c>
      <c r="H240">
        <v>6.3E-2</v>
      </c>
      <c r="I240">
        <v>303.40440000000001</v>
      </c>
    </row>
    <row r="241" spans="1:9" x14ac:dyDescent="0.3">
      <c r="A241" t="s">
        <v>54</v>
      </c>
      <c r="B241" t="s">
        <v>294</v>
      </c>
      <c r="C241">
        <v>75</v>
      </c>
      <c r="D241">
        <v>3.8100000000000002E-2</v>
      </c>
      <c r="E241">
        <v>25.566620546593018</v>
      </c>
      <c r="F241">
        <v>2452.8090349424701</v>
      </c>
      <c r="G241">
        <v>9.0579999999999998</v>
      </c>
      <c r="H241">
        <v>6.3E-2</v>
      </c>
      <c r="I241">
        <v>303.60239999999999</v>
      </c>
    </row>
    <row r="242" spans="1:9" x14ac:dyDescent="0.3">
      <c r="A242" t="s">
        <v>54</v>
      </c>
      <c r="B242" t="s">
        <v>295</v>
      </c>
      <c r="C242">
        <v>75</v>
      </c>
      <c r="D242">
        <v>3.8100000000000002E-2</v>
      </c>
      <c r="E242">
        <v>25.566620546593018</v>
      </c>
      <c r="F242">
        <v>2452.8090349424701</v>
      </c>
      <c r="G242">
        <v>9.0579999999999998</v>
      </c>
      <c r="H242">
        <v>6.3E-2</v>
      </c>
      <c r="I242">
        <v>303.8005</v>
      </c>
    </row>
    <row r="243" spans="1:9" x14ac:dyDescent="0.3">
      <c r="A243" t="s">
        <v>54</v>
      </c>
      <c r="B243" t="s">
        <v>296</v>
      </c>
      <c r="C243">
        <v>75</v>
      </c>
      <c r="D243">
        <v>3.8199999999999998E-2</v>
      </c>
      <c r="E243">
        <v>21.511913046964182</v>
      </c>
      <c r="F243">
        <v>2074.9102959770621</v>
      </c>
      <c r="G243">
        <v>9.0579999999999998</v>
      </c>
      <c r="H243">
        <v>0</v>
      </c>
      <c r="I243">
        <v>304.00200000000001</v>
      </c>
    </row>
    <row r="244" spans="1:9" x14ac:dyDescent="0.3">
      <c r="A244" t="s">
        <v>54</v>
      </c>
      <c r="B244" t="s">
        <v>297</v>
      </c>
      <c r="C244">
        <v>75</v>
      </c>
      <c r="D244">
        <v>3.2000000000000001E-2</v>
      </c>
      <c r="E244">
        <v>21.511913046964182</v>
      </c>
      <c r="F244">
        <v>2074.9102959770621</v>
      </c>
      <c r="G244">
        <v>9.0579999999999998</v>
      </c>
      <c r="H244">
        <v>0</v>
      </c>
      <c r="I244">
        <v>304.20339999999999</v>
      </c>
    </row>
    <row r="245" spans="1:9" x14ac:dyDescent="0.3">
      <c r="A245" t="s">
        <v>54</v>
      </c>
      <c r="B245" t="s">
        <v>298</v>
      </c>
      <c r="C245">
        <v>75</v>
      </c>
      <c r="D245">
        <v>1.6299999999999999E-2</v>
      </c>
      <c r="E245">
        <v>21.511913046964182</v>
      </c>
      <c r="F245">
        <v>2074.9102959770621</v>
      </c>
      <c r="G245">
        <v>9.0579999999999998</v>
      </c>
      <c r="H245">
        <v>0</v>
      </c>
      <c r="I245">
        <v>304.40320000000003</v>
      </c>
    </row>
    <row r="246" spans="1:9" x14ac:dyDescent="0.3">
      <c r="A246" t="s">
        <v>54</v>
      </c>
      <c r="B246" t="s">
        <v>299</v>
      </c>
      <c r="C246">
        <v>75</v>
      </c>
      <c r="D246">
        <v>5.0000000000000001E-3</v>
      </c>
      <c r="E246">
        <v>21.511913046964182</v>
      </c>
      <c r="F246">
        <v>2074.9102959770621</v>
      </c>
      <c r="G246">
        <v>9.0579999999999998</v>
      </c>
      <c r="H246">
        <v>0</v>
      </c>
      <c r="I246">
        <v>304.60289999999998</v>
      </c>
    </row>
    <row r="247" spans="1:9" x14ac:dyDescent="0.3">
      <c r="A247" t="s">
        <v>54</v>
      </c>
      <c r="B247" t="s">
        <v>300</v>
      </c>
      <c r="C247">
        <v>75</v>
      </c>
      <c r="D247">
        <v>-3.0999999999999999E-3</v>
      </c>
      <c r="E247">
        <v>21.511913046964182</v>
      </c>
      <c r="F247">
        <v>2074.9102959770621</v>
      </c>
      <c r="G247">
        <v>9.0579999999999998</v>
      </c>
      <c r="H247">
        <v>0</v>
      </c>
      <c r="I247">
        <v>304.80290000000002</v>
      </c>
    </row>
    <row r="248" spans="1:9" x14ac:dyDescent="0.3">
      <c r="A248" t="s">
        <v>54</v>
      </c>
      <c r="B248" t="s">
        <v>301</v>
      </c>
      <c r="C248">
        <v>75</v>
      </c>
      <c r="D248">
        <v>-3.0999999999999999E-3</v>
      </c>
      <c r="E248">
        <v>21.511913046964182</v>
      </c>
      <c r="F248">
        <v>2074.9102959770621</v>
      </c>
      <c r="G248">
        <v>9.0579999999999998</v>
      </c>
      <c r="H248">
        <v>0</v>
      </c>
      <c r="I248">
        <v>305.00259999999997</v>
      </c>
    </row>
    <row r="249" spans="1:9" x14ac:dyDescent="0.3">
      <c r="A249" t="s">
        <v>54</v>
      </c>
      <c r="B249" t="s">
        <v>302</v>
      </c>
      <c r="C249">
        <v>75</v>
      </c>
      <c r="D249">
        <v>-3.0999999999999999E-3</v>
      </c>
      <c r="E249">
        <v>21.511913046964182</v>
      </c>
      <c r="F249">
        <v>2074.9102959770621</v>
      </c>
      <c r="G249">
        <v>9.0579999999999998</v>
      </c>
      <c r="H249">
        <v>0</v>
      </c>
      <c r="I249">
        <v>305.20119999999997</v>
      </c>
    </row>
    <row r="250" spans="1:9" x14ac:dyDescent="0.3">
      <c r="A250" t="s">
        <v>54</v>
      </c>
      <c r="B250" t="s">
        <v>303</v>
      </c>
      <c r="C250">
        <v>75</v>
      </c>
      <c r="D250">
        <v>-3.0999999999999999E-3</v>
      </c>
      <c r="E250">
        <v>21.511913046964182</v>
      </c>
      <c r="F250">
        <v>2074.9102959770621</v>
      </c>
      <c r="G250">
        <v>9.0579999999999998</v>
      </c>
      <c r="H250">
        <v>0</v>
      </c>
      <c r="I250">
        <v>305.40440000000001</v>
      </c>
    </row>
    <row r="251" spans="1:9" x14ac:dyDescent="0.3">
      <c r="A251" t="s">
        <v>54</v>
      </c>
      <c r="B251" t="s">
        <v>304</v>
      </c>
      <c r="C251">
        <v>75</v>
      </c>
      <c r="D251">
        <v>-3.0999999999999999E-3</v>
      </c>
      <c r="E251">
        <v>21.511913046964182</v>
      </c>
      <c r="F251">
        <v>2074.9102959770621</v>
      </c>
      <c r="G251">
        <v>9.0579999999999998</v>
      </c>
      <c r="H251">
        <v>0</v>
      </c>
      <c r="I251">
        <v>305.60399999999998</v>
      </c>
    </row>
    <row r="252" spans="1:9" x14ac:dyDescent="0.3">
      <c r="A252" t="s">
        <v>54</v>
      </c>
      <c r="B252" t="s">
        <v>305</v>
      </c>
      <c r="C252">
        <v>75</v>
      </c>
      <c r="D252">
        <v>-3.0999999999999999E-3</v>
      </c>
      <c r="E252">
        <v>21.511913046964182</v>
      </c>
      <c r="F252">
        <v>2074.9102959770621</v>
      </c>
      <c r="G252">
        <v>9.0579999999999998</v>
      </c>
      <c r="H252">
        <v>0</v>
      </c>
      <c r="I252">
        <v>305.80130000000003</v>
      </c>
    </row>
    <row r="253" spans="1:9" x14ac:dyDescent="0.3">
      <c r="A253" t="s">
        <v>54</v>
      </c>
      <c r="B253" t="s">
        <v>306</v>
      </c>
      <c r="C253">
        <v>75</v>
      </c>
      <c r="D253">
        <v>-3.0999999999999999E-3</v>
      </c>
      <c r="E253">
        <v>25.566620546593018</v>
      </c>
      <c r="F253">
        <v>2566.2722898716779</v>
      </c>
      <c r="G253">
        <v>9.0579999999999998</v>
      </c>
      <c r="H253">
        <v>6.3E-2</v>
      </c>
      <c r="I253">
        <v>306.40050000000002</v>
      </c>
    </row>
    <row r="254" spans="1:9" x14ac:dyDescent="0.3">
      <c r="A254" t="s">
        <v>54</v>
      </c>
      <c r="B254" t="s">
        <v>307</v>
      </c>
      <c r="C254">
        <v>75</v>
      </c>
      <c r="D254">
        <v>3.3999999999999998E-3</v>
      </c>
      <c r="E254">
        <v>25.566620546593018</v>
      </c>
      <c r="F254">
        <v>2452.8090349424701</v>
      </c>
      <c r="G254">
        <v>9.0579999999999998</v>
      </c>
      <c r="H254">
        <v>6.3E-2</v>
      </c>
      <c r="I254">
        <v>306.60210000000001</v>
      </c>
    </row>
    <row r="255" spans="1:9" x14ac:dyDescent="0.3">
      <c r="A255" t="s">
        <v>54</v>
      </c>
      <c r="B255" t="s">
        <v>308</v>
      </c>
      <c r="C255">
        <v>75</v>
      </c>
      <c r="D255">
        <v>3.4200000000000001E-2</v>
      </c>
      <c r="E255">
        <v>25.566620546593018</v>
      </c>
      <c r="F255">
        <v>2452.8090349424701</v>
      </c>
      <c r="G255">
        <v>9.0579999999999998</v>
      </c>
      <c r="H255">
        <v>6.3E-2</v>
      </c>
      <c r="I255">
        <v>306.80250000000001</v>
      </c>
    </row>
    <row r="256" spans="1:9" x14ac:dyDescent="0.3">
      <c r="A256" t="s">
        <v>54</v>
      </c>
      <c r="B256" t="s">
        <v>309</v>
      </c>
      <c r="C256">
        <v>75</v>
      </c>
      <c r="D256">
        <v>3.44E-2</v>
      </c>
      <c r="E256">
        <v>25.566620546593018</v>
      </c>
      <c r="F256">
        <v>2452.8090349424701</v>
      </c>
      <c r="G256">
        <v>9.0579999999999998</v>
      </c>
      <c r="H256">
        <v>6.3E-2</v>
      </c>
      <c r="I256">
        <v>307.00049999999999</v>
      </c>
    </row>
    <row r="257" spans="1:9" x14ac:dyDescent="0.3">
      <c r="A257" t="s">
        <v>54</v>
      </c>
      <c r="B257" t="s">
        <v>310</v>
      </c>
      <c r="C257">
        <v>75</v>
      </c>
      <c r="D257">
        <v>3.5299999999999998E-2</v>
      </c>
      <c r="E257">
        <v>25.566620546593018</v>
      </c>
      <c r="F257">
        <v>2452.8090349424701</v>
      </c>
      <c r="G257">
        <v>9.0579999999999998</v>
      </c>
      <c r="H257">
        <v>6.3E-2</v>
      </c>
      <c r="I257">
        <v>307.20139999999998</v>
      </c>
    </row>
    <row r="258" spans="1:9" x14ac:dyDescent="0.3">
      <c r="A258" t="s">
        <v>54</v>
      </c>
      <c r="B258" t="s">
        <v>311</v>
      </c>
      <c r="C258">
        <v>75</v>
      </c>
      <c r="D258">
        <v>3.7100000000000001E-2</v>
      </c>
      <c r="E258">
        <v>25.566620546593018</v>
      </c>
      <c r="F258">
        <v>2452.8090349424701</v>
      </c>
      <c r="G258">
        <v>9.0579999999999998</v>
      </c>
      <c r="H258">
        <v>6.3E-2</v>
      </c>
      <c r="I258">
        <v>307.40339999999998</v>
      </c>
    </row>
    <row r="259" spans="1:9" x14ac:dyDescent="0.3">
      <c r="A259" t="s">
        <v>54</v>
      </c>
      <c r="B259" t="s">
        <v>312</v>
      </c>
      <c r="C259">
        <v>75</v>
      </c>
      <c r="D259">
        <v>3.7600000000000001E-2</v>
      </c>
      <c r="E259">
        <v>25.566620546593018</v>
      </c>
      <c r="F259">
        <v>2452.8090349424701</v>
      </c>
      <c r="G259">
        <v>9.0579999999999998</v>
      </c>
      <c r="H259">
        <v>6.3E-2</v>
      </c>
      <c r="I259">
        <v>307.60079999999999</v>
      </c>
    </row>
    <row r="260" spans="1:9" x14ac:dyDescent="0.3">
      <c r="A260" t="s">
        <v>54</v>
      </c>
      <c r="B260" t="s">
        <v>313</v>
      </c>
      <c r="C260">
        <v>75</v>
      </c>
      <c r="D260">
        <v>3.7600000000000001E-2</v>
      </c>
      <c r="E260">
        <v>25.566620546593018</v>
      </c>
      <c r="F260">
        <v>2452.8090349424701</v>
      </c>
      <c r="G260">
        <v>9.0579999999999998</v>
      </c>
      <c r="H260">
        <v>6.3E-2</v>
      </c>
      <c r="I260">
        <v>307.80459999999999</v>
      </c>
    </row>
    <row r="261" spans="1:9" x14ac:dyDescent="0.3">
      <c r="A261" t="s">
        <v>54</v>
      </c>
      <c r="B261" t="s">
        <v>314</v>
      </c>
      <c r="C261">
        <v>75</v>
      </c>
      <c r="D261">
        <v>3.7600000000000001E-2</v>
      </c>
      <c r="E261">
        <v>21.511913046964182</v>
      </c>
      <c r="F261">
        <v>2074.9102959770621</v>
      </c>
      <c r="G261">
        <v>9.0579999999999998</v>
      </c>
      <c r="H261">
        <v>0</v>
      </c>
      <c r="I261">
        <v>308.00139999999999</v>
      </c>
    </row>
    <row r="262" spans="1:9" x14ac:dyDescent="0.3">
      <c r="A262" t="s">
        <v>54</v>
      </c>
      <c r="B262" t="s">
        <v>315</v>
      </c>
      <c r="C262">
        <v>75</v>
      </c>
      <c r="D262">
        <v>3.1300000000000001E-2</v>
      </c>
      <c r="E262">
        <v>21.511913046964182</v>
      </c>
      <c r="F262">
        <v>2074.9102959770621</v>
      </c>
      <c r="G262">
        <v>9.0579999999999998</v>
      </c>
      <c r="H262">
        <v>0</v>
      </c>
      <c r="I262">
        <v>308.20159999999998</v>
      </c>
    </row>
    <row r="263" spans="1:9" x14ac:dyDescent="0.3">
      <c r="A263" t="s">
        <v>54</v>
      </c>
      <c r="B263" t="s">
        <v>316</v>
      </c>
      <c r="C263">
        <v>75</v>
      </c>
      <c r="D263">
        <v>1.7999999999999999E-2</v>
      </c>
      <c r="E263">
        <v>21.511913046964182</v>
      </c>
      <c r="F263">
        <v>2074.9102959770621</v>
      </c>
      <c r="G263">
        <v>9.0579999999999998</v>
      </c>
      <c r="H263">
        <v>0</v>
      </c>
      <c r="I263">
        <v>308.40100000000001</v>
      </c>
    </row>
    <row r="264" spans="1:9" x14ac:dyDescent="0.3">
      <c r="A264" t="s">
        <v>54</v>
      </c>
      <c r="B264" t="s">
        <v>317</v>
      </c>
      <c r="C264">
        <v>75</v>
      </c>
      <c r="D264">
        <v>5.4000000000000003E-3</v>
      </c>
      <c r="E264">
        <v>21.511913046964182</v>
      </c>
      <c r="F264">
        <v>2074.9102959770621</v>
      </c>
      <c r="G264">
        <v>9.0579999999999998</v>
      </c>
      <c r="H264">
        <v>0</v>
      </c>
      <c r="I264">
        <v>308.6019</v>
      </c>
    </row>
    <row r="265" spans="1:9" x14ac:dyDescent="0.3">
      <c r="A265" t="s">
        <v>54</v>
      </c>
      <c r="B265" t="s">
        <v>318</v>
      </c>
      <c r="C265">
        <v>75</v>
      </c>
      <c r="D265">
        <v>-3.0999999999999999E-3</v>
      </c>
      <c r="E265">
        <v>21.511913046964182</v>
      </c>
      <c r="F265">
        <v>2074.9102959770621</v>
      </c>
      <c r="G265">
        <v>9.0579999999999998</v>
      </c>
      <c r="H265">
        <v>0</v>
      </c>
      <c r="I265">
        <v>308.80459999999999</v>
      </c>
    </row>
    <row r="266" spans="1:9" x14ac:dyDescent="0.3">
      <c r="A266" t="s">
        <v>54</v>
      </c>
      <c r="B266" t="s">
        <v>319</v>
      </c>
      <c r="C266">
        <v>75</v>
      </c>
      <c r="D266">
        <v>-3.0999999999999999E-3</v>
      </c>
      <c r="E266">
        <v>21.511913046964182</v>
      </c>
      <c r="F266">
        <v>2074.9102959770621</v>
      </c>
      <c r="G266">
        <v>9.0579999999999998</v>
      </c>
      <c r="H266">
        <v>0</v>
      </c>
      <c r="I266">
        <v>309.00099999999998</v>
      </c>
    </row>
    <row r="267" spans="1:9" x14ac:dyDescent="0.3">
      <c r="A267" t="s">
        <v>54</v>
      </c>
      <c r="B267" t="s">
        <v>320</v>
      </c>
      <c r="C267">
        <v>75</v>
      </c>
      <c r="D267">
        <v>-3.0999999999999999E-3</v>
      </c>
      <c r="E267">
        <v>21.511913046964182</v>
      </c>
      <c r="F267">
        <v>2074.9102959770621</v>
      </c>
      <c r="G267">
        <v>9.0579999999999998</v>
      </c>
      <c r="H267">
        <v>0</v>
      </c>
      <c r="I267">
        <v>309.20420000000001</v>
      </c>
    </row>
    <row r="268" spans="1:9" x14ac:dyDescent="0.3">
      <c r="A268" t="s">
        <v>54</v>
      </c>
      <c r="B268" t="s">
        <v>321</v>
      </c>
      <c r="C268">
        <v>75</v>
      </c>
      <c r="D268">
        <v>-3.0999999999999999E-3</v>
      </c>
      <c r="E268">
        <v>21.511913046964182</v>
      </c>
      <c r="F268">
        <v>2074.9102959770621</v>
      </c>
      <c r="G268">
        <v>9.0579999999999998</v>
      </c>
      <c r="H268">
        <v>0</v>
      </c>
      <c r="I268">
        <v>309.40309999999999</v>
      </c>
    </row>
    <row r="269" spans="1:9" x14ac:dyDescent="0.3">
      <c r="A269" t="s">
        <v>54</v>
      </c>
      <c r="B269" t="s">
        <v>322</v>
      </c>
      <c r="C269">
        <v>75</v>
      </c>
      <c r="D269">
        <v>-3.0999999999999999E-3</v>
      </c>
      <c r="E269">
        <v>21.511913046964182</v>
      </c>
      <c r="F269">
        <v>2074.9102959770621</v>
      </c>
      <c r="G269">
        <v>9.0579999999999998</v>
      </c>
      <c r="H269">
        <v>0</v>
      </c>
      <c r="I269">
        <v>309.60140000000001</v>
      </c>
    </row>
    <row r="270" spans="1:9" x14ac:dyDescent="0.3">
      <c r="A270" t="s">
        <v>54</v>
      </c>
      <c r="B270" t="s">
        <v>323</v>
      </c>
      <c r="C270">
        <v>75</v>
      </c>
      <c r="D270">
        <v>-3.0999999999999999E-3</v>
      </c>
      <c r="E270">
        <v>21.511913046964182</v>
      </c>
      <c r="F270">
        <v>2074.9102959770621</v>
      </c>
      <c r="G270">
        <v>9.0579999999999998</v>
      </c>
      <c r="H270">
        <v>0</v>
      </c>
      <c r="I270">
        <v>309.80340000000001</v>
      </c>
    </row>
    <row r="271" spans="1:9" x14ac:dyDescent="0.3">
      <c r="A271" t="s">
        <v>54</v>
      </c>
      <c r="B271" t="s">
        <v>324</v>
      </c>
      <c r="C271">
        <v>75</v>
      </c>
      <c r="D271">
        <v>-3.0999999999999999E-3</v>
      </c>
      <c r="E271">
        <v>25.566620546593018</v>
      </c>
      <c r="F271">
        <v>2566.2722898716779</v>
      </c>
      <c r="G271">
        <v>9.0579999999999998</v>
      </c>
      <c r="H271">
        <v>6.3E-2</v>
      </c>
      <c r="I271">
        <v>310.00130000000001</v>
      </c>
    </row>
    <row r="272" spans="1:9" x14ac:dyDescent="0.3">
      <c r="A272" t="s">
        <v>54</v>
      </c>
      <c r="B272" t="s">
        <v>325</v>
      </c>
      <c r="C272">
        <v>75</v>
      </c>
      <c r="D272">
        <v>1.17E-2</v>
      </c>
      <c r="E272">
        <v>25.566620546593018</v>
      </c>
      <c r="F272">
        <v>2452.8090349424701</v>
      </c>
      <c r="G272">
        <v>9.0579999999999998</v>
      </c>
      <c r="H272">
        <v>6.3E-2</v>
      </c>
      <c r="I272">
        <v>310.2013</v>
      </c>
    </row>
    <row r="273" spans="1:9" x14ac:dyDescent="0.3">
      <c r="A273" t="s">
        <v>54</v>
      </c>
      <c r="B273" t="s">
        <v>326</v>
      </c>
      <c r="C273">
        <v>75</v>
      </c>
      <c r="D273">
        <v>3.1399999999999997E-2</v>
      </c>
      <c r="E273">
        <v>25.566620546593018</v>
      </c>
      <c r="F273">
        <v>2452.8090349424701</v>
      </c>
      <c r="G273">
        <v>9.0579999999999998</v>
      </c>
      <c r="H273">
        <v>6.3E-2</v>
      </c>
      <c r="I273">
        <v>310.40199999999999</v>
      </c>
    </row>
    <row r="274" spans="1:9" x14ac:dyDescent="0.3">
      <c r="A274" t="s">
        <v>54</v>
      </c>
      <c r="B274" t="s">
        <v>327</v>
      </c>
      <c r="C274">
        <v>75</v>
      </c>
      <c r="D274">
        <v>3.6400000000000002E-2</v>
      </c>
      <c r="E274">
        <v>25.566620546593018</v>
      </c>
      <c r="F274">
        <v>2452.8090349424701</v>
      </c>
      <c r="G274">
        <v>9.0579999999999998</v>
      </c>
      <c r="H274">
        <v>6.3E-2</v>
      </c>
      <c r="I274">
        <v>310.6019</v>
      </c>
    </row>
    <row r="275" spans="1:9" x14ac:dyDescent="0.3">
      <c r="A275" t="s">
        <v>54</v>
      </c>
      <c r="B275" t="s">
        <v>328</v>
      </c>
      <c r="C275">
        <v>75</v>
      </c>
      <c r="D275">
        <v>3.7900000000000003E-2</v>
      </c>
      <c r="E275">
        <v>25.566620546593018</v>
      </c>
      <c r="F275">
        <v>2452.8090349424701</v>
      </c>
      <c r="G275">
        <v>9.0579999999999998</v>
      </c>
      <c r="H275">
        <v>6.3E-2</v>
      </c>
      <c r="I275">
        <v>310.80090000000001</v>
      </c>
    </row>
    <row r="276" spans="1:9" x14ac:dyDescent="0.3">
      <c r="A276" t="s">
        <v>54</v>
      </c>
      <c r="B276" t="s">
        <v>329</v>
      </c>
      <c r="C276">
        <v>75</v>
      </c>
      <c r="D276">
        <v>3.8199999999999998E-2</v>
      </c>
      <c r="E276">
        <v>25.566620546593018</v>
      </c>
      <c r="F276">
        <v>2452.8090349424701</v>
      </c>
      <c r="G276">
        <v>9.0579999999999998</v>
      </c>
      <c r="H276">
        <v>6.3E-2</v>
      </c>
      <c r="I276">
        <v>311.00670000000002</v>
      </c>
    </row>
    <row r="277" spans="1:9" x14ac:dyDescent="0.3">
      <c r="A277" t="s">
        <v>54</v>
      </c>
      <c r="B277" t="s">
        <v>330</v>
      </c>
      <c r="C277">
        <v>75</v>
      </c>
      <c r="D277">
        <v>3.8300000000000001E-2</v>
      </c>
      <c r="E277">
        <v>25.566620546593018</v>
      </c>
      <c r="F277">
        <v>2452.8090349424701</v>
      </c>
      <c r="G277">
        <v>9.0579999999999998</v>
      </c>
      <c r="H277">
        <v>6.3E-2</v>
      </c>
      <c r="I277">
        <v>311.20310000000001</v>
      </c>
    </row>
    <row r="278" spans="1:9" x14ac:dyDescent="0.3">
      <c r="A278" t="s">
        <v>54</v>
      </c>
      <c r="B278" t="s">
        <v>331</v>
      </c>
      <c r="C278">
        <v>75</v>
      </c>
      <c r="D278">
        <v>3.8199999999999998E-2</v>
      </c>
      <c r="E278">
        <v>25.566620546593018</v>
      </c>
      <c r="F278">
        <v>2452.8090349424701</v>
      </c>
      <c r="G278">
        <v>9.0579999999999998</v>
      </c>
      <c r="H278">
        <v>6.3E-2</v>
      </c>
      <c r="I278">
        <v>311.40249999999997</v>
      </c>
    </row>
    <row r="279" spans="1:9" x14ac:dyDescent="0.3">
      <c r="A279" t="s">
        <v>54</v>
      </c>
      <c r="B279" t="s">
        <v>332</v>
      </c>
      <c r="C279">
        <v>75</v>
      </c>
      <c r="D279">
        <v>3.8300000000000001E-2</v>
      </c>
      <c r="E279">
        <v>25.566620546593018</v>
      </c>
      <c r="F279">
        <v>2452.8090349424701</v>
      </c>
      <c r="G279">
        <v>9.0579999999999998</v>
      </c>
      <c r="H279">
        <v>6.3E-2</v>
      </c>
      <c r="I279">
        <v>311.60430000000002</v>
      </c>
    </row>
    <row r="280" spans="1:9" x14ac:dyDescent="0.3">
      <c r="A280" t="s">
        <v>54</v>
      </c>
      <c r="B280" t="s">
        <v>333</v>
      </c>
      <c r="C280">
        <v>75</v>
      </c>
      <c r="D280">
        <v>3.8300000000000001E-2</v>
      </c>
      <c r="E280">
        <v>25.566620546593018</v>
      </c>
      <c r="F280">
        <v>2452.8090349424701</v>
      </c>
      <c r="G280">
        <v>9.0579999999999998</v>
      </c>
      <c r="H280">
        <v>6.3E-2</v>
      </c>
      <c r="I280">
        <v>311.80079999999998</v>
      </c>
    </row>
    <row r="281" spans="1:9" x14ac:dyDescent="0.3">
      <c r="A281" t="s">
        <v>54</v>
      </c>
      <c r="B281" t="s">
        <v>334</v>
      </c>
      <c r="C281">
        <v>75</v>
      </c>
      <c r="D281">
        <v>3.8300000000000001E-2</v>
      </c>
      <c r="E281">
        <v>21.511913046964182</v>
      </c>
      <c r="F281">
        <v>2074.9102959770621</v>
      </c>
      <c r="G281">
        <v>9.0579999999999998</v>
      </c>
      <c r="H281">
        <v>0</v>
      </c>
      <c r="I281">
        <v>312.00290000000001</v>
      </c>
    </row>
    <row r="282" spans="1:9" x14ac:dyDescent="0.3">
      <c r="A282" t="s">
        <v>54</v>
      </c>
      <c r="B282" t="s">
        <v>335</v>
      </c>
      <c r="C282">
        <v>75</v>
      </c>
      <c r="D282">
        <v>3.2199999999999999E-2</v>
      </c>
      <c r="E282">
        <v>21.511913046964182</v>
      </c>
      <c r="F282">
        <v>2074.9102959770621</v>
      </c>
      <c r="G282">
        <v>9.0579999999999998</v>
      </c>
      <c r="H282">
        <v>0</v>
      </c>
      <c r="I282">
        <v>312.2038</v>
      </c>
    </row>
    <row r="283" spans="1:9" x14ac:dyDescent="0.3">
      <c r="A283" t="s">
        <v>54</v>
      </c>
      <c r="B283" t="s">
        <v>336</v>
      </c>
      <c r="C283">
        <v>75</v>
      </c>
      <c r="D283">
        <v>1.84E-2</v>
      </c>
      <c r="E283">
        <v>21.511913046964182</v>
      </c>
      <c r="F283">
        <v>2074.9102959770621</v>
      </c>
      <c r="G283">
        <v>9.0579999999999998</v>
      </c>
      <c r="H283">
        <v>0</v>
      </c>
      <c r="I283">
        <v>312.4008</v>
      </c>
    </row>
    <row r="284" spans="1:9" x14ac:dyDescent="0.3">
      <c r="A284" t="s">
        <v>54</v>
      </c>
      <c r="B284" t="s">
        <v>337</v>
      </c>
      <c r="C284">
        <v>75</v>
      </c>
      <c r="D284">
        <v>6.3E-3</v>
      </c>
      <c r="E284">
        <v>21.511913046964182</v>
      </c>
      <c r="F284">
        <v>2074.9102959770621</v>
      </c>
      <c r="G284">
        <v>9.0579999999999998</v>
      </c>
      <c r="H284">
        <v>0</v>
      </c>
      <c r="I284">
        <v>312.60180000000003</v>
      </c>
    </row>
    <row r="285" spans="1:9" x14ac:dyDescent="0.3">
      <c r="A285" t="s">
        <v>54</v>
      </c>
      <c r="B285" t="s">
        <v>338</v>
      </c>
      <c r="C285">
        <v>75</v>
      </c>
      <c r="D285">
        <v>-3.0000000000000001E-3</v>
      </c>
      <c r="E285">
        <v>21.511913046964182</v>
      </c>
      <c r="F285">
        <v>2074.9102959770621</v>
      </c>
      <c r="G285">
        <v>9.0579999999999998</v>
      </c>
      <c r="H285">
        <v>0</v>
      </c>
      <c r="I285">
        <v>312.80239999999998</v>
      </c>
    </row>
    <row r="286" spans="1:9" x14ac:dyDescent="0.3">
      <c r="A286" t="s">
        <v>54</v>
      </c>
      <c r="B286" t="s">
        <v>339</v>
      </c>
      <c r="C286">
        <v>75</v>
      </c>
      <c r="D286">
        <v>-3.0999999999999999E-3</v>
      </c>
      <c r="E286">
        <v>21.511913046964182</v>
      </c>
      <c r="F286">
        <v>2074.9102959770621</v>
      </c>
      <c r="G286">
        <v>9.0579999999999998</v>
      </c>
      <c r="H286">
        <v>0</v>
      </c>
      <c r="I286">
        <v>313.00150000000002</v>
      </c>
    </row>
    <row r="287" spans="1:9" x14ac:dyDescent="0.3">
      <c r="A287" t="s">
        <v>54</v>
      </c>
      <c r="B287" t="s">
        <v>340</v>
      </c>
      <c r="C287">
        <v>75</v>
      </c>
      <c r="D287">
        <v>-3.0999999999999999E-3</v>
      </c>
      <c r="E287">
        <v>21.511913046964182</v>
      </c>
      <c r="F287">
        <v>2074.9102959770621</v>
      </c>
      <c r="G287">
        <v>9.0579999999999998</v>
      </c>
      <c r="H287">
        <v>0</v>
      </c>
      <c r="I287">
        <v>313.20179999999999</v>
      </c>
    </row>
    <row r="288" spans="1:9" x14ac:dyDescent="0.3">
      <c r="A288" t="s">
        <v>54</v>
      </c>
      <c r="B288" t="s">
        <v>341</v>
      </c>
      <c r="C288">
        <v>75</v>
      </c>
      <c r="D288">
        <v>-3.0999999999999999E-3</v>
      </c>
      <c r="E288">
        <v>21.511913046964182</v>
      </c>
      <c r="F288">
        <v>2074.9102959770621</v>
      </c>
      <c r="G288">
        <v>9.0579999999999998</v>
      </c>
      <c r="H288">
        <v>0</v>
      </c>
      <c r="I288">
        <v>313.40359999999998</v>
      </c>
    </row>
    <row r="289" spans="1:9" x14ac:dyDescent="0.3">
      <c r="A289" t="s">
        <v>54</v>
      </c>
      <c r="B289" t="s">
        <v>342</v>
      </c>
      <c r="C289">
        <v>75</v>
      </c>
      <c r="D289">
        <v>-3.0999999999999999E-3</v>
      </c>
      <c r="E289">
        <v>21.511913046964182</v>
      </c>
      <c r="F289">
        <v>2074.9102959770621</v>
      </c>
      <c r="G289">
        <v>9.0579999999999998</v>
      </c>
      <c r="H289">
        <v>0</v>
      </c>
      <c r="I289">
        <v>313.60160000000002</v>
      </c>
    </row>
    <row r="290" spans="1:9" x14ac:dyDescent="0.3">
      <c r="A290" t="s">
        <v>54</v>
      </c>
      <c r="B290" t="s">
        <v>343</v>
      </c>
      <c r="C290">
        <v>75</v>
      </c>
      <c r="D290">
        <v>-3.0999999999999999E-3</v>
      </c>
      <c r="E290">
        <v>21.511913046964182</v>
      </c>
      <c r="F290">
        <v>2074.9102959770621</v>
      </c>
      <c r="G290">
        <v>9.0579999999999998</v>
      </c>
      <c r="H290">
        <v>0</v>
      </c>
      <c r="I290">
        <v>313.80090000000001</v>
      </c>
    </row>
    <row r="291" spans="1:9" x14ac:dyDescent="0.3">
      <c r="A291" t="s">
        <v>54</v>
      </c>
      <c r="B291" t="s">
        <v>344</v>
      </c>
      <c r="C291">
        <v>75</v>
      </c>
      <c r="D291">
        <v>-3.0999999999999999E-3</v>
      </c>
      <c r="E291">
        <v>25.566620546593018</v>
      </c>
      <c r="F291">
        <v>2566.2722898716779</v>
      </c>
      <c r="G291">
        <v>9.0579999999999998</v>
      </c>
      <c r="H291">
        <v>6.3E-2</v>
      </c>
      <c r="I291">
        <v>314.00189999999998</v>
      </c>
    </row>
    <row r="292" spans="1:9" x14ac:dyDescent="0.3">
      <c r="A292" t="s">
        <v>54</v>
      </c>
      <c r="B292" t="s">
        <v>345</v>
      </c>
      <c r="C292">
        <v>75</v>
      </c>
      <c r="D292">
        <v>8.8000000000000005E-3</v>
      </c>
      <c r="E292">
        <v>25.566620546593018</v>
      </c>
      <c r="F292">
        <v>2452.8090349424701</v>
      </c>
      <c r="G292">
        <v>9.0579999999999998</v>
      </c>
      <c r="H292">
        <v>6.3E-2</v>
      </c>
      <c r="I292">
        <v>314.20429999999999</v>
      </c>
    </row>
    <row r="293" spans="1:9" x14ac:dyDescent="0.3">
      <c r="A293" t="s">
        <v>54</v>
      </c>
      <c r="B293" t="s">
        <v>346</v>
      </c>
      <c r="C293">
        <v>75</v>
      </c>
      <c r="D293">
        <v>2.9100000000000001E-2</v>
      </c>
      <c r="E293">
        <v>25.566620546593018</v>
      </c>
      <c r="F293">
        <v>2452.8090349424701</v>
      </c>
      <c r="G293">
        <v>9.0579999999999998</v>
      </c>
      <c r="H293">
        <v>6.3E-2</v>
      </c>
      <c r="I293">
        <v>314.40410000000003</v>
      </c>
    </row>
    <row r="294" spans="1:9" x14ac:dyDescent="0.3">
      <c r="A294" t="s">
        <v>54</v>
      </c>
      <c r="B294" t="s">
        <v>347</v>
      </c>
      <c r="C294">
        <v>75</v>
      </c>
      <c r="D294">
        <v>3.5499999999999997E-2</v>
      </c>
      <c r="E294">
        <v>25.566620546593018</v>
      </c>
      <c r="F294">
        <v>2452.8090349424701</v>
      </c>
      <c r="G294">
        <v>9.0579999999999998</v>
      </c>
      <c r="H294">
        <v>6.3E-2</v>
      </c>
      <c r="I294">
        <v>314.60270000000003</v>
      </c>
    </row>
    <row r="295" spans="1:9" x14ac:dyDescent="0.3">
      <c r="A295" t="s">
        <v>54</v>
      </c>
      <c r="B295" t="s">
        <v>348</v>
      </c>
      <c r="C295">
        <v>75</v>
      </c>
      <c r="D295">
        <v>3.7199999999999997E-2</v>
      </c>
      <c r="E295">
        <v>25.566620546593018</v>
      </c>
      <c r="F295">
        <v>2452.8090349424701</v>
      </c>
      <c r="G295">
        <v>9.0579999999999998</v>
      </c>
      <c r="H295">
        <v>6.3E-2</v>
      </c>
      <c r="I295">
        <v>314.80470000000003</v>
      </c>
    </row>
    <row r="296" spans="1:9" x14ac:dyDescent="0.3">
      <c r="A296" t="s">
        <v>54</v>
      </c>
      <c r="B296" t="s">
        <v>349</v>
      </c>
      <c r="C296">
        <v>75</v>
      </c>
      <c r="D296">
        <v>3.78E-2</v>
      </c>
      <c r="E296">
        <v>25.566620546593018</v>
      </c>
      <c r="F296">
        <v>2452.8090349424701</v>
      </c>
      <c r="G296">
        <v>9.0579999999999998</v>
      </c>
      <c r="H296">
        <v>6.3E-2</v>
      </c>
      <c r="I296">
        <v>315.00450000000001</v>
      </c>
    </row>
    <row r="297" spans="1:9" x14ac:dyDescent="0.3">
      <c r="A297" t="s">
        <v>54</v>
      </c>
      <c r="B297" t="s">
        <v>350</v>
      </c>
      <c r="C297">
        <v>75</v>
      </c>
      <c r="D297">
        <v>3.7900000000000003E-2</v>
      </c>
      <c r="E297">
        <v>25.566620546593018</v>
      </c>
      <c r="F297">
        <v>2452.8090349424701</v>
      </c>
      <c r="G297">
        <v>9.0579999999999998</v>
      </c>
      <c r="H297">
        <v>6.3E-2</v>
      </c>
      <c r="I297">
        <v>315.20170000000002</v>
      </c>
    </row>
    <row r="298" spans="1:9" x14ac:dyDescent="0.3">
      <c r="A298" t="s">
        <v>54</v>
      </c>
      <c r="B298" t="s">
        <v>351</v>
      </c>
      <c r="C298">
        <v>75</v>
      </c>
      <c r="D298">
        <v>3.7900000000000003E-2</v>
      </c>
      <c r="E298">
        <v>25.566620546593018</v>
      </c>
      <c r="F298">
        <v>2452.8090349424701</v>
      </c>
      <c r="G298">
        <v>9.0579999999999998</v>
      </c>
      <c r="H298">
        <v>6.3E-2</v>
      </c>
      <c r="I298">
        <v>315.40230000000003</v>
      </c>
    </row>
    <row r="299" spans="1:9" x14ac:dyDescent="0.3">
      <c r="A299" t="s">
        <v>54</v>
      </c>
      <c r="B299" t="s">
        <v>352</v>
      </c>
      <c r="C299">
        <v>75</v>
      </c>
      <c r="D299">
        <v>3.7900000000000003E-2</v>
      </c>
      <c r="E299">
        <v>25.566620546593018</v>
      </c>
      <c r="F299">
        <v>2452.8090349424701</v>
      </c>
      <c r="G299">
        <v>9.0579999999999998</v>
      </c>
      <c r="H299">
        <v>6.3E-2</v>
      </c>
      <c r="I299">
        <v>315.60410000000002</v>
      </c>
    </row>
    <row r="300" spans="1:9" x14ac:dyDescent="0.3">
      <c r="A300" t="s">
        <v>54</v>
      </c>
      <c r="B300" t="s">
        <v>353</v>
      </c>
      <c r="C300">
        <v>76</v>
      </c>
      <c r="D300">
        <v>3.7900000000000003E-2</v>
      </c>
      <c r="E300">
        <v>25.566620546593018</v>
      </c>
      <c r="F300">
        <v>2452.8090349424701</v>
      </c>
      <c r="G300">
        <v>9.0579999999999998</v>
      </c>
      <c r="H300">
        <v>6.3E-2</v>
      </c>
      <c r="I300">
        <v>315.80829999999997</v>
      </c>
    </row>
    <row r="301" spans="1:9" x14ac:dyDescent="0.3">
      <c r="A301" t="s">
        <v>54</v>
      </c>
      <c r="B301" t="s">
        <v>354</v>
      </c>
      <c r="C301">
        <v>76</v>
      </c>
      <c r="D301">
        <v>3.7900000000000003E-2</v>
      </c>
      <c r="E301">
        <v>21.511913046964182</v>
      </c>
      <c r="F301">
        <v>2074.9102959770621</v>
      </c>
      <c r="G301">
        <v>9.0579999999999998</v>
      </c>
      <c r="H301">
        <v>0</v>
      </c>
      <c r="I301">
        <v>316.0016</v>
      </c>
    </row>
    <row r="302" spans="1:9" x14ac:dyDescent="0.3">
      <c r="A302" t="s">
        <v>54</v>
      </c>
      <c r="B302" t="s">
        <v>355</v>
      </c>
      <c r="C302">
        <v>76</v>
      </c>
      <c r="D302">
        <v>3.1899999999999998E-2</v>
      </c>
      <c r="E302">
        <v>21.511913046964182</v>
      </c>
      <c r="F302">
        <v>2074.9102959770621</v>
      </c>
      <c r="G302">
        <v>9.0579999999999998</v>
      </c>
      <c r="H302">
        <v>0</v>
      </c>
      <c r="I302">
        <v>316.2038</v>
      </c>
    </row>
    <row r="303" spans="1:9" x14ac:dyDescent="0.3">
      <c r="A303" t="s">
        <v>54</v>
      </c>
      <c r="B303" t="s">
        <v>356</v>
      </c>
      <c r="C303">
        <v>76</v>
      </c>
      <c r="D303">
        <v>1.8599999999999998E-2</v>
      </c>
      <c r="E303">
        <v>21.511913046964182</v>
      </c>
      <c r="F303">
        <v>2074.9102959770621</v>
      </c>
      <c r="G303">
        <v>9.0579999999999998</v>
      </c>
      <c r="H303">
        <v>0</v>
      </c>
      <c r="I303">
        <v>316.40210000000002</v>
      </c>
    </row>
    <row r="304" spans="1:9" x14ac:dyDescent="0.3">
      <c r="A304" t="s">
        <v>54</v>
      </c>
      <c r="B304" t="s">
        <v>357</v>
      </c>
      <c r="C304">
        <v>76</v>
      </c>
      <c r="D304">
        <v>6.6E-3</v>
      </c>
      <c r="E304">
        <v>21.511913046964182</v>
      </c>
      <c r="F304">
        <v>2074.9102959770621</v>
      </c>
      <c r="G304">
        <v>9.0579999999999998</v>
      </c>
      <c r="H304">
        <v>0</v>
      </c>
      <c r="I304">
        <v>316.60340000000002</v>
      </c>
    </row>
    <row r="305" spans="1:9" x14ac:dyDescent="0.3">
      <c r="A305" t="s">
        <v>54</v>
      </c>
      <c r="B305" t="s">
        <v>358</v>
      </c>
      <c r="C305">
        <v>76</v>
      </c>
      <c r="D305">
        <v>-2.8999999999999998E-3</v>
      </c>
      <c r="E305">
        <v>21.511913046964182</v>
      </c>
      <c r="F305">
        <v>2074.9102959770621</v>
      </c>
      <c r="G305">
        <v>9.0579999999999998</v>
      </c>
      <c r="H305">
        <v>0</v>
      </c>
      <c r="I305">
        <v>316.80500000000001</v>
      </c>
    </row>
    <row r="306" spans="1:9" x14ac:dyDescent="0.3">
      <c r="A306" t="s">
        <v>54</v>
      </c>
      <c r="B306" t="s">
        <v>359</v>
      </c>
      <c r="C306">
        <v>76</v>
      </c>
      <c r="D306">
        <v>-3.0999999999999999E-3</v>
      </c>
      <c r="E306">
        <v>21.511913046964182</v>
      </c>
      <c r="F306">
        <v>2074.9102959770621</v>
      </c>
      <c r="G306">
        <v>9.0579999999999998</v>
      </c>
      <c r="H306">
        <v>0</v>
      </c>
      <c r="I306">
        <v>317.00310000000002</v>
      </c>
    </row>
    <row r="307" spans="1:9" x14ac:dyDescent="0.3">
      <c r="A307" t="s">
        <v>54</v>
      </c>
      <c r="B307" t="s">
        <v>360</v>
      </c>
      <c r="C307">
        <v>76</v>
      </c>
      <c r="D307">
        <v>-3.0999999999999999E-3</v>
      </c>
      <c r="E307">
        <v>21.511913046964182</v>
      </c>
      <c r="F307">
        <v>2074.9102959770621</v>
      </c>
      <c r="G307">
        <v>9.0579999999999998</v>
      </c>
      <c r="H307">
        <v>0</v>
      </c>
      <c r="I307">
        <v>317.2099</v>
      </c>
    </row>
    <row r="308" spans="1:9" x14ac:dyDescent="0.3">
      <c r="A308" t="s">
        <v>54</v>
      </c>
      <c r="B308" t="s">
        <v>361</v>
      </c>
      <c r="C308">
        <v>76</v>
      </c>
      <c r="D308">
        <v>-3.0999999999999999E-3</v>
      </c>
      <c r="E308">
        <v>21.511913046964182</v>
      </c>
      <c r="F308">
        <v>2074.9102959770621</v>
      </c>
      <c r="G308">
        <v>9.0579999999999998</v>
      </c>
      <c r="H308">
        <v>0</v>
      </c>
      <c r="I308">
        <v>317.40440000000001</v>
      </c>
    </row>
    <row r="309" spans="1:9" x14ac:dyDescent="0.3">
      <c r="A309" t="s">
        <v>54</v>
      </c>
      <c r="B309" t="s">
        <v>362</v>
      </c>
      <c r="C309">
        <v>76</v>
      </c>
      <c r="D309">
        <v>-3.0999999999999999E-3</v>
      </c>
      <c r="E309">
        <v>21.511913046964182</v>
      </c>
      <c r="F309">
        <v>2074.9102959770621</v>
      </c>
      <c r="G309">
        <v>9.0579999999999998</v>
      </c>
      <c r="H309">
        <v>0</v>
      </c>
      <c r="I309">
        <v>317.60399999999998</v>
      </c>
    </row>
    <row r="310" spans="1:9" x14ac:dyDescent="0.3">
      <c r="A310" t="s">
        <v>54</v>
      </c>
      <c r="B310" t="s">
        <v>363</v>
      </c>
      <c r="C310">
        <v>76</v>
      </c>
      <c r="D310">
        <v>-3.0999999999999999E-3</v>
      </c>
      <c r="E310">
        <v>21.511913046964182</v>
      </c>
      <c r="F310">
        <v>2074.9102959770621</v>
      </c>
      <c r="G310">
        <v>9.0579999999999998</v>
      </c>
      <c r="H310">
        <v>0</v>
      </c>
      <c r="I310">
        <v>317.80340000000001</v>
      </c>
    </row>
    <row r="311" spans="1:9" x14ac:dyDescent="0.3">
      <c r="A311" t="s">
        <v>54</v>
      </c>
      <c r="B311" t="s">
        <v>364</v>
      </c>
      <c r="C311">
        <v>76</v>
      </c>
      <c r="D311">
        <v>-3.0999999999999999E-3</v>
      </c>
      <c r="E311">
        <v>25.566620546593018</v>
      </c>
      <c r="F311">
        <v>2566.2722898716779</v>
      </c>
      <c r="G311">
        <v>9.0579999999999998</v>
      </c>
      <c r="H311">
        <v>6.3E-2</v>
      </c>
      <c r="I311">
        <v>318.00450000000001</v>
      </c>
    </row>
    <row r="312" spans="1:9" x14ac:dyDescent="0.3">
      <c r="A312" t="s">
        <v>54</v>
      </c>
      <c r="B312" t="s">
        <v>365</v>
      </c>
      <c r="C312">
        <v>76</v>
      </c>
      <c r="D312">
        <v>1.52E-2</v>
      </c>
      <c r="E312">
        <v>25.566620546593018</v>
      </c>
      <c r="F312">
        <v>2452.8090349424701</v>
      </c>
      <c r="G312">
        <v>9.0579999999999998</v>
      </c>
      <c r="H312">
        <v>6.3E-2</v>
      </c>
      <c r="I312">
        <v>318.20139999999998</v>
      </c>
    </row>
    <row r="313" spans="1:9" x14ac:dyDescent="0.3">
      <c r="A313" t="s">
        <v>54</v>
      </c>
      <c r="B313" t="s">
        <v>366</v>
      </c>
      <c r="C313">
        <v>76</v>
      </c>
      <c r="D313">
        <v>3.1899999999999998E-2</v>
      </c>
      <c r="E313">
        <v>25.566620546593018</v>
      </c>
      <c r="F313">
        <v>2452.8090349424701</v>
      </c>
      <c r="G313">
        <v>9.0579999999999998</v>
      </c>
      <c r="H313">
        <v>6.3E-2</v>
      </c>
      <c r="I313">
        <v>318.40159999999997</v>
      </c>
    </row>
    <row r="314" spans="1:9" x14ac:dyDescent="0.3">
      <c r="A314" t="s">
        <v>54</v>
      </c>
      <c r="B314" t="s">
        <v>367</v>
      </c>
      <c r="C314">
        <v>76</v>
      </c>
      <c r="D314">
        <v>3.6799999999999999E-2</v>
      </c>
      <c r="E314">
        <v>25.566620546593018</v>
      </c>
      <c r="F314">
        <v>2452.8090349424701</v>
      </c>
      <c r="G314">
        <v>9.0579999999999998</v>
      </c>
      <c r="H314">
        <v>6.3E-2</v>
      </c>
      <c r="I314">
        <v>318.6046</v>
      </c>
    </row>
    <row r="315" spans="1:9" x14ac:dyDescent="0.3">
      <c r="A315" t="s">
        <v>54</v>
      </c>
      <c r="B315" t="s">
        <v>368</v>
      </c>
      <c r="C315">
        <v>76</v>
      </c>
      <c r="D315">
        <v>3.8199999999999998E-2</v>
      </c>
      <c r="E315">
        <v>25.566620546593018</v>
      </c>
      <c r="F315">
        <v>2452.8090349424701</v>
      </c>
      <c r="G315">
        <v>9.0579999999999998</v>
      </c>
      <c r="H315">
        <v>6.3E-2</v>
      </c>
      <c r="I315">
        <v>318.80189999999999</v>
      </c>
    </row>
    <row r="316" spans="1:9" x14ac:dyDescent="0.3">
      <c r="A316" t="s">
        <v>54</v>
      </c>
      <c r="B316" t="s">
        <v>369</v>
      </c>
      <c r="C316">
        <v>76</v>
      </c>
      <c r="D316">
        <v>3.8300000000000001E-2</v>
      </c>
      <c r="E316">
        <v>25.566620546593018</v>
      </c>
      <c r="F316">
        <v>2452.8090349424701</v>
      </c>
      <c r="G316">
        <v>9.0579999999999998</v>
      </c>
      <c r="H316">
        <v>6.3E-2</v>
      </c>
      <c r="I316">
        <v>319.00319999999999</v>
      </c>
    </row>
    <row r="317" spans="1:9" x14ac:dyDescent="0.3">
      <c r="A317" t="s">
        <v>54</v>
      </c>
      <c r="B317" t="s">
        <v>370</v>
      </c>
      <c r="C317">
        <v>76</v>
      </c>
      <c r="D317">
        <v>3.8199999999999998E-2</v>
      </c>
      <c r="E317">
        <v>25.566620546593018</v>
      </c>
      <c r="F317">
        <v>2452.8090349424701</v>
      </c>
      <c r="G317">
        <v>9.0579999999999998</v>
      </c>
      <c r="H317">
        <v>6.3E-2</v>
      </c>
      <c r="I317">
        <v>319.2011</v>
      </c>
    </row>
    <row r="318" spans="1:9" x14ac:dyDescent="0.3">
      <c r="A318" t="s">
        <v>54</v>
      </c>
      <c r="B318" t="s">
        <v>371</v>
      </c>
      <c r="C318">
        <v>76</v>
      </c>
      <c r="D318">
        <v>3.8300000000000001E-2</v>
      </c>
      <c r="E318">
        <v>25.566620546593018</v>
      </c>
      <c r="F318">
        <v>2452.8090349424701</v>
      </c>
      <c r="G318">
        <v>9.0579999999999998</v>
      </c>
      <c r="H318">
        <v>6.3E-2</v>
      </c>
      <c r="I318">
        <v>319.40190000000001</v>
      </c>
    </row>
    <row r="319" spans="1:9" x14ac:dyDescent="0.3">
      <c r="A319" t="s">
        <v>54</v>
      </c>
      <c r="B319" t="s">
        <v>372</v>
      </c>
      <c r="C319">
        <v>76</v>
      </c>
      <c r="D319">
        <v>3.8300000000000001E-2</v>
      </c>
      <c r="E319">
        <v>25.566620546593018</v>
      </c>
      <c r="F319">
        <v>2452.8090349424701</v>
      </c>
      <c r="G319">
        <v>9.0579999999999998</v>
      </c>
      <c r="H319">
        <v>6.3E-2</v>
      </c>
      <c r="I319">
        <v>319.6026</v>
      </c>
    </row>
    <row r="320" spans="1:9" x14ac:dyDescent="0.3">
      <c r="A320" t="s">
        <v>54</v>
      </c>
      <c r="B320" t="s">
        <v>373</v>
      </c>
      <c r="C320">
        <v>76</v>
      </c>
      <c r="D320">
        <v>3.8300000000000001E-2</v>
      </c>
      <c r="E320">
        <v>25.566620546593018</v>
      </c>
      <c r="F320">
        <v>2452.8090349424701</v>
      </c>
      <c r="G320">
        <v>9.0579999999999998</v>
      </c>
      <c r="H320">
        <v>6.3E-2</v>
      </c>
      <c r="I320">
        <v>319.80340000000001</v>
      </c>
    </row>
    <row r="321" spans="1:9" x14ac:dyDescent="0.3">
      <c r="A321" t="s">
        <v>54</v>
      </c>
      <c r="B321" t="s">
        <v>374</v>
      </c>
      <c r="C321">
        <v>76</v>
      </c>
      <c r="D321">
        <v>3.8300000000000001E-2</v>
      </c>
      <c r="E321">
        <v>21.511913046964182</v>
      </c>
      <c r="F321">
        <v>2074.9102959770621</v>
      </c>
      <c r="G321">
        <v>9.0579999999999998</v>
      </c>
      <c r="H321">
        <v>0</v>
      </c>
      <c r="I321">
        <v>320.00170000000003</v>
      </c>
    </row>
    <row r="322" spans="1:9" x14ac:dyDescent="0.3">
      <c r="A322" t="s">
        <v>54</v>
      </c>
      <c r="B322" t="s">
        <v>375</v>
      </c>
      <c r="C322">
        <v>76</v>
      </c>
      <c r="D322">
        <v>3.1899999999999998E-2</v>
      </c>
      <c r="E322">
        <v>21.511913046964182</v>
      </c>
      <c r="F322">
        <v>2074.9102959770621</v>
      </c>
      <c r="G322">
        <v>9.0579999999999998</v>
      </c>
      <c r="H322">
        <v>0</v>
      </c>
      <c r="I322">
        <v>320.20229999999998</v>
      </c>
    </row>
    <row r="323" spans="1:9" x14ac:dyDescent="0.3">
      <c r="A323" t="s">
        <v>54</v>
      </c>
      <c r="B323" t="s">
        <v>376</v>
      </c>
      <c r="C323">
        <v>76</v>
      </c>
      <c r="D323">
        <v>1.8499999999999999E-2</v>
      </c>
      <c r="E323">
        <v>21.511913046964182</v>
      </c>
      <c r="F323">
        <v>2074.9102959770621</v>
      </c>
      <c r="G323">
        <v>9.0579999999999998</v>
      </c>
      <c r="H323">
        <v>0</v>
      </c>
      <c r="I323">
        <v>320.40269999999998</v>
      </c>
    </row>
    <row r="324" spans="1:9" x14ac:dyDescent="0.3">
      <c r="A324" t="s">
        <v>54</v>
      </c>
      <c r="B324" t="s">
        <v>377</v>
      </c>
      <c r="C324">
        <v>76</v>
      </c>
      <c r="D324">
        <v>6.7999999999999996E-3</v>
      </c>
      <c r="E324">
        <v>21.511913046964182</v>
      </c>
      <c r="F324">
        <v>2074.9102959770621</v>
      </c>
      <c r="G324">
        <v>9.0579999999999998</v>
      </c>
      <c r="H324">
        <v>0</v>
      </c>
      <c r="I324">
        <v>320.60379999999998</v>
      </c>
    </row>
    <row r="325" spans="1:9" x14ac:dyDescent="0.3">
      <c r="A325" t="s">
        <v>54</v>
      </c>
      <c r="B325" t="s">
        <v>378</v>
      </c>
      <c r="C325">
        <v>76</v>
      </c>
      <c r="D325">
        <v>-2.8E-3</v>
      </c>
      <c r="E325">
        <v>21.511913046964182</v>
      </c>
      <c r="F325">
        <v>2074.9102959770621</v>
      </c>
      <c r="G325">
        <v>9.0579999999999998</v>
      </c>
      <c r="H325">
        <v>0</v>
      </c>
      <c r="I325">
        <v>320.80450000000002</v>
      </c>
    </row>
    <row r="326" spans="1:9" x14ac:dyDescent="0.3">
      <c r="A326" t="s">
        <v>54</v>
      </c>
      <c r="B326" t="s">
        <v>379</v>
      </c>
      <c r="C326">
        <v>76</v>
      </c>
      <c r="D326">
        <v>-3.0999999999999999E-3</v>
      </c>
      <c r="E326">
        <v>21.511913046964182</v>
      </c>
      <c r="F326">
        <v>2074.9102959770621</v>
      </c>
      <c r="G326">
        <v>9.0579999999999998</v>
      </c>
      <c r="H326">
        <v>0</v>
      </c>
      <c r="I326">
        <v>321.00259999999997</v>
      </c>
    </row>
    <row r="327" spans="1:9" x14ac:dyDescent="0.3">
      <c r="A327" t="s">
        <v>54</v>
      </c>
      <c r="B327" t="s">
        <v>380</v>
      </c>
      <c r="C327">
        <v>76</v>
      </c>
      <c r="D327">
        <v>-3.0999999999999999E-3</v>
      </c>
      <c r="E327">
        <v>21.511913046964182</v>
      </c>
      <c r="F327">
        <v>2074.9102959770621</v>
      </c>
      <c r="G327">
        <v>9.0579999999999998</v>
      </c>
      <c r="H327">
        <v>0</v>
      </c>
      <c r="I327">
        <v>321.20389999999998</v>
      </c>
    </row>
    <row r="328" spans="1:9" x14ac:dyDescent="0.3">
      <c r="A328" t="s">
        <v>54</v>
      </c>
      <c r="B328" t="s">
        <v>381</v>
      </c>
      <c r="C328">
        <v>76</v>
      </c>
      <c r="D328">
        <v>-3.0999999999999999E-3</v>
      </c>
      <c r="E328">
        <v>21.511913046964182</v>
      </c>
      <c r="F328">
        <v>2074.9102959770621</v>
      </c>
      <c r="G328">
        <v>9.0579999999999998</v>
      </c>
      <c r="H328">
        <v>0</v>
      </c>
      <c r="I328">
        <v>321.40199999999999</v>
      </c>
    </row>
    <row r="329" spans="1:9" x14ac:dyDescent="0.3">
      <c r="A329" t="s">
        <v>54</v>
      </c>
      <c r="B329" t="s">
        <v>382</v>
      </c>
      <c r="C329">
        <v>76</v>
      </c>
      <c r="D329">
        <v>-3.0999999999999999E-3</v>
      </c>
      <c r="E329">
        <v>21.511913046964182</v>
      </c>
      <c r="F329">
        <v>2074.9102959770621</v>
      </c>
      <c r="G329">
        <v>9.0579999999999998</v>
      </c>
      <c r="H329">
        <v>0</v>
      </c>
      <c r="I329">
        <v>321.60230000000001</v>
      </c>
    </row>
    <row r="330" spans="1:9" x14ac:dyDescent="0.3">
      <c r="A330" t="s">
        <v>54</v>
      </c>
      <c r="B330" t="s">
        <v>383</v>
      </c>
      <c r="C330">
        <v>76</v>
      </c>
      <c r="D330">
        <v>-3.0999999999999999E-3</v>
      </c>
      <c r="E330">
        <v>21.511913046964182</v>
      </c>
      <c r="F330">
        <v>2074.9102959770621</v>
      </c>
      <c r="G330">
        <v>9.0579999999999998</v>
      </c>
      <c r="H330">
        <v>0</v>
      </c>
      <c r="I330">
        <v>321.80410000000001</v>
      </c>
    </row>
    <row r="331" spans="1:9" x14ac:dyDescent="0.3">
      <c r="A331" t="s">
        <v>54</v>
      </c>
      <c r="B331" t="s">
        <v>384</v>
      </c>
      <c r="C331">
        <v>76</v>
      </c>
      <c r="D331">
        <v>-3.0999999999999999E-3</v>
      </c>
      <c r="E331">
        <v>25.566620546593018</v>
      </c>
      <c r="F331">
        <v>2566.2722898716779</v>
      </c>
      <c r="G331">
        <v>9.0579999999999998</v>
      </c>
      <c r="H331">
        <v>6.3E-2</v>
      </c>
      <c r="I331">
        <v>322.00360000000001</v>
      </c>
    </row>
    <row r="332" spans="1:9" x14ac:dyDescent="0.3">
      <c r="A332" t="s">
        <v>54</v>
      </c>
      <c r="B332" t="s">
        <v>385</v>
      </c>
      <c r="C332">
        <v>76</v>
      </c>
      <c r="D332">
        <v>1.18E-2</v>
      </c>
      <c r="E332">
        <v>25.566620546593018</v>
      </c>
      <c r="F332">
        <v>2452.8090349424701</v>
      </c>
      <c r="G332">
        <v>9.0579999999999998</v>
      </c>
      <c r="H332">
        <v>6.3E-2</v>
      </c>
      <c r="I332">
        <v>322.20229999999998</v>
      </c>
    </row>
    <row r="333" spans="1:9" x14ac:dyDescent="0.3">
      <c r="A333" t="s">
        <v>54</v>
      </c>
      <c r="B333" t="s">
        <v>386</v>
      </c>
      <c r="C333">
        <v>76</v>
      </c>
      <c r="D333">
        <v>3.0599999999999999E-2</v>
      </c>
      <c r="E333">
        <v>25.566620546593018</v>
      </c>
      <c r="F333">
        <v>2452.8090349424701</v>
      </c>
      <c r="G333">
        <v>9.0579999999999998</v>
      </c>
      <c r="H333">
        <v>6.3E-2</v>
      </c>
      <c r="I333">
        <v>322.40460000000002</v>
      </c>
    </row>
    <row r="334" spans="1:9" x14ac:dyDescent="0.3">
      <c r="A334" t="s">
        <v>54</v>
      </c>
      <c r="B334" t="s">
        <v>387</v>
      </c>
      <c r="C334">
        <v>76</v>
      </c>
      <c r="D334">
        <v>3.5700000000000003E-2</v>
      </c>
      <c r="E334">
        <v>25.566620546593018</v>
      </c>
      <c r="F334">
        <v>2452.8090349424701</v>
      </c>
      <c r="G334">
        <v>9.0579999999999998</v>
      </c>
      <c r="H334">
        <v>6.3E-2</v>
      </c>
      <c r="I334">
        <v>322.60300000000001</v>
      </c>
    </row>
    <row r="335" spans="1:9" x14ac:dyDescent="0.3">
      <c r="A335" t="s">
        <v>54</v>
      </c>
      <c r="B335" t="s">
        <v>388</v>
      </c>
      <c r="C335">
        <v>76</v>
      </c>
      <c r="D335">
        <v>3.7499999999999999E-2</v>
      </c>
      <c r="E335">
        <v>25.566620546593018</v>
      </c>
      <c r="F335">
        <v>2452.8090349424701</v>
      </c>
      <c r="G335">
        <v>9.0579999999999998</v>
      </c>
      <c r="H335">
        <v>6.3E-2</v>
      </c>
      <c r="I335">
        <v>322.80340000000001</v>
      </c>
    </row>
    <row r="336" spans="1:9" x14ac:dyDescent="0.3">
      <c r="A336" t="s">
        <v>54</v>
      </c>
      <c r="B336" t="s">
        <v>389</v>
      </c>
      <c r="C336">
        <v>76</v>
      </c>
      <c r="D336">
        <v>3.7999999999999999E-2</v>
      </c>
      <c r="E336">
        <v>25.566620546593018</v>
      </c>
      <c r="F336">
        <v>2452.8090349424701</v>
      </c>
      <c r="G336">
        <v>9.0579999999999998</v>
      </c>
      <c r="H336">
        <v>6.3E-2</v>
      </c>
      <c r="I336">
        <v>323.00839999999999</v>
      </c>
    </row>
    <row r="337" spans="1:9" x14ac:dyDescent="0.3">
      <c r="A337" t="s">
        <v>54</v>
      </c>
      <c r="B337" t="s">
        <v>390</v>
      </c>
      <c r="C337">
        <v>76</v>
      </c>
      <c r="D337">
        <v>3.8100000000000002E-2</v>
      </c>
      <c r="E337">
        <v>25.566620546593018</v>
      </c>
      <c r="F337">
        <v>2452.8090349424701</v>
      </c>
      <c r="G337">
        <v>9.0579999999999998</v>
      </c>
      <c r="H337">
        <v>6.3E-2</v>
      </c>
      <c r="I337">
        <v>323.20209999999997</v>
      </c>
    </row>
    <row r="338" spans="1:9" x14ac:dyDescent="0.3">
      <c r="A338" t="s">
        <v>54</v>
      </c>
      <c r="B338" t="s">
        <v>391</v>
      </c>
      <c r="C338">
        <v>76</v>
      </c>
      <c r="D338">
        <v>3.8100000000000002E-2</v>
      </c>
      <c r="E338">
        <v>25.566620546593018</v>
      </c>
      <c r="F338">
        <v>2452.8090349424701</v>
      </c>
      <c r="G338">
        <v>9.0579999999999998</v>
      </c>
      <c r="H338">
        <v>6.3E-2</v>
      </c>
      <c r="I338">
        <v>323.40300000000002</v>
      </c>
    </row>
    <row r="339" spans="1:9" x14ac:dyDescent="0.3">
      <c r="A339" t="s">
        <v>54</v>
      </c>
      <c r="B339" t="s">
        <v>392</v>
      </c>
      <c r="C339">
        <v>76</v>
      </c>
      <c r="D339">
        <v>3.8100000000000002E-2</v>
      </c>
      <c r="E339">
        <v>25.566620546593018</v>
      </c>
      <c r="F339">
        <v>2452.8090349424701</v>
      </c>
      <c r="G339">
        <v>9.0579999999999998</v>
      </c>
      <c r="H339">
        <v>6.3E-2</v>
      </c>
      <c r="I339">
        <v>323.60489999999999</v>
      </c>
    </row>
    <row r="340" spans="1:9" x14ac:dyDescent="0.3">
      <c r="A340" t="s">
        <v>54</v>
      </c>
      <c r="B340" t="s">
        <v>393</v>
      </c>
      <c r="C340">
        <v>76</v>
      </c>
      <c r="D340">
        <v>3.8100000000000002E-2</v>
      </c>
      <c r="E340">
        <v>25.566620546593018</v>
      </c>
      <c r="F340">
        <v>2452.8090349424701</v>
      </c>
      <c r="G340">
        <v>9.0579999999999998</v>
      </c>
      <c r="H340">
        <v>6.3E-2</v>
      </c>
      <c r="I340">
        <v>323.80360000000002</v>
      </c>
    </row>
    <row r="341" spans="1:9" x14ac:dyDescent="0.3">
      <c r="A341" t="s">
        <v>54</v>
      </c>
      <c r="B341" t="s">
        <v>394</v>
      </c>
      <c r="C341">
        <v>76</v>
      </c>
      <c r="D341">
        <v>3.8100000000000002E-2</v>
      </c>
      <c r="E341">
        <v>21.511913046964182</v>
      </c>
      <c r="F341">
        <v>2074.9102959770621</v>
      </c>
      <c r="G341">
        <v>9.0579999999999998</v>
      </c>
      <c r="H341">
        <v>0</v>
      </c>
      <c r="I341">
        <v>324.0027</v>
      </c>
    </row>
    <row r="342" spans="1:9" x14ac:dyDescent="0.3">
      <c r="A342" t="s">
        <v>54</v>
      </c>
      <c r="B342" t="s">
        <v>395</v>
      </c>
      <c r="C342">
        <v>76</v>
      </c>
      <c r="D342">
        <v>2.93E-2</v>
      </c>
      <c r="E342">
        <v>21.511913046964182</v>
      </c>
      <c r="F342">
        <v>2074.9102959770621</v>
      </c>
      <c r="G342">
        <v>9.0579999999999998</v>
      </c>
      <c r="H342">
        <v>0</v>
      </c>
      <c r="I342">
        <v>324.2038</v>
      </c>
    </row>
    <row r="343" spans="1:9" x14ac:dyDescent="0.3">
      <c r="A343" t="s">
        <v>54</v>
      </c>
      <c r="B343" t="s">
        <v>396</v>
      </c>
      <c r="C343">
        <v>76</v>
      </c>
      <c r="D343">
        <v>1.8599999999999998E-2</v>
      </c>
      <c r="E343">
        <v>21.511913046964182</v>
      </c>
      <c r="F343">
        <v>2074.9102959770621</v>
      </c>
      <c r="G343">
        <v>9.0579999999999998</v>
      </c>
      <c r="H343">
        <v>0</v>
      </c>
      <c r="I343">
        <v>324.40249999999997</v>
      </c>
    </row>
    <row r="344" spans="1:9" x14ac:dyDescent="0.3">
      <c r="A344" t="s">
        <v>54</v>
      </c>
      <c r="B344" t="s">
        <v>397</v>
      </c>
      <c r="C344">
        <v>76</v>
      </c>
      <c r="D344">
        <v>6.7000000000000002E-3</v>
      </c>
      <c r="E344">
        <v>21.511913046964182</v>
      </c>
      <c r="F344">
        <v>2074.9102959770621</v>
      </c>
      <c r="G344">
        <v>9.0579999999999998</v>
      </c>
      <c r="H344">
        <v>0</v>
      </c>
      <c r="I344">
        <v>324.60449999999997</v>
      </c>
    </row>
    <row r="345" spans="1:9" x14ac:dyDescent="0.3">
      <c r="A345" t="s">
        <v>54</v>
      </c>
      <c r="B345" t="s">
        <v>398</v>
      </c>
      <c r="C345">
        <v>76</v>
      </c>
      <c r="D345">
        <v>-3.0000000000000001E-3</v>
      </c>
      <c r="E345">
        <v>21.511913046964182</v>
      </c>
      <c r="F345">
        <v>2074.9102959770621</v>
      </c>
      <c r="G345">
        <v>9.0579999999999998</v>
      </c>
      <c r="H345">
        <v>0</v>
      </c>
      <c r="I345">
        <v>324.81200000000001</v>
      </c>
    </row>
    <row r="346" spans="1:9" x14ac:dyDescent="0.3">
      <c r="A346" t="s">
        <v>54</v>
      </c>
      <c r="B346" t="s">
        <v>399</v>
      </c>
      <c r="C346">
        <v>76</v>
      </c>
      <c r="D346">
        <v>-3.0999999999999999E-3</v>
      </c>
      <c r="E346">
        <v>21.511913046964182</v>
      </c>
      <c r="F346">
        <v>2074.9102959770621</v>
      </c>
      <c r="G346">
        <v>9.0579999999999998</v>
      </c>
      <c r="H346">
        <v>0</v>
      </c>
      <c r="I346">
        <v>325.00330000000002</v>
      </c>
    </row>
    <row r="347" spans="1:9" x14ac:dyDescent="0.3">
      <c r="A347" t="s">
        <v>54</v>
      </c>
      <c r="B347" t="s">
        <v>400</v>
      </c>
      <c r="C347">
        <v>76</v>
      </c>
      <c r="D347">
        <v>-3.0999999999999999E-3</v>
      </c>
      <c r="E347">
        <v>21.511913046964182</v>
      </c>
      <c r="F347">
        <v>2074.9102959770621</v>
      </c>
      <c r="G347">
        <v>9.0579999999999998</v>
      </c>
      <c r="H347">
        <v>0</v>
      </c>
      <c r="I347">
        <v>325.20319999999998</v>
      </c>
    </row>
    <row r="348" spans="1:9" x14ac:dyDescent="0.3">
      <c r="A348" t="s">
        <v>54</v>
      </c>
      <c r="B348" t="s">
        <v>401</v>
      </c>
      <c r="C348">
        <v>76</v>
      </c>
      <c r="D348">
        <v>-3.0999999999999999E-3</v>
      </c>
      <c r="E348">
        <v>21.511913046964182</v>
      </c>
      <c r="F348">
        <v>2074.9102959770621</v>
      </c>
      <c r="G348">
        <v>9.0579999999999998</v>
      </c>
      <c r="H348">
        <v>0</v>
      </c>
      <c r="I348">
        <v>325.40480000000002</v>
      </c>
    </row>
    <row r="349" spans="1:9" x14ac:dyDescent="0.3">
      <c r="A349" t="s">
        <v>54</v>
      </c>
      <c r="B349" t="s">
        <v>402</v>
      </c>
      <c r="C349">
        <v>76</v>
      </c>
      <c r="D349">
        <v>-3.0999999999999999E-3</v>
      </c>
      <c r="E349">
        <v>21.511913046964182</v>
      </c>
      <c r="F349">
        <v>2074.9102959770621</v>
      </c>
      <c r="G349">
        <v>9.0579999999999998</v>
      </c>
      <c r="H349">
        <v>0</v>
      </c>
      <c r="I349">
        <v>325.60180000000003</v>
      </c>
    </row>
    <row r="350" spans="1:9" x14ac:dyDescent="0.3">
      <c r="A350" t="s">
        <v>54</v>
      </c>
      <c r="B350" t="s">
        <v>403</v>
      </c>
      <c r="C350">
        <v>76</v>
      </c>
      <c r="D350">
        <v>-3.0999999999999999E-3</v>
      </c>
      <c r="E350">
        <v>21.511913046964182</v>
      </c>
      <c r="F350">
        <v>2074.9102959770621</v>
      </c>
      <c r="G350">
        <v>9.0579999999999998</v>
      </c>
      <c r="H350">
        <v>0</v>
      </c>
      <c r="I350">
        <v>325.80470000000003</v>
      </c>
    </row>
    <row r="351" spans="1:9" x14ac:dyDescent="0.3">
      <c r="A351" t="s">
        <v>54</v>
      </c>
      <c r="B351" t="s">
        <v>404</v>
      </c>
      <c r="C351">
        <v>76</v>
      </c>
      <c r="D351">
        <v>-3.0999999999999999E-3</v>
      </c>
      <c r="E351">
        <v>25.566620546593018</v>
      </c>
      <c r="F351">
        <v>2566.2722898716779</v>
      </c>
      <c r="G351">
        <v>9.0579999999999998</v>
      </c>
      <c r="H351">
        <v>6.3E-2</v>
      </c>
      <c r="I351">
        <v>326.00200000000001</v>
      </c>
    </row>
    <row r="352" spans="1:9" x14ac:dyDescent="0.3">
      <c r="A352" t="s">
        <v>54</v>
      </c>
      <c r="B352" t="s">
        <v>405</v>
      </c>
      <c r="C352">
        <v>76</v>
      </c>
      <c r="D352">
        <v>9.1999999999999998E-3</v>
      </c>
      <c r="E352">
        <v>25.566620546593018</v>
      </c>
      <c r="F352">
        <v>2452.8090349424701</v>
      </c>
      <c r="G352">
        <v>9.0579999999999998</v>
      </c>
      <c r="H352">
        <v>6.3E-2</v>
      </c>
      <c r="I352">
        <v>326.2045</v>
      </c>
    </row>
    <row r="353" spans="1:9" x14ac:dyDescent="0.3">
      <c r="A353" t="s">
        <v>54</v>
      </c>
      <c r="B353" t="s">
        <v>406</v>
      </c>
      <c r="C353">
        <v>76</v>
      </c>
      <c r="D353">
        <v>2.93E-2</v>
      </c>
      <c r="E353">
        <v>25.566620546593018</v>
      </c>
      <c r="F353">
        <v>2452.8090349424701</v>
      </c>
      <c r="G353">
        <v>9.0579999999999998</v>
      </c>
      <c r="H353">
        <v>6.3E-2</v>
      </c>
      <c r="I353">
        <v>326.40589999999997</v>
      </c>
    </row>
    <row r="354" spans="1:9" x14ac:dyDescent="0.3">
      <c r="A354" t="s">
        <v>54</v>
      </c>
      <c r="B354" t="s">
        <v>407</v>
      </c>
      <c r="C354">
        <v>76</v>
      </c>
      <c r="D354">
        <v>3.5299999999999998E-2</v>
      </c>
      <c r="E354">
        <v>25.566620546593018</v>
      </c>
      <c r="F354">
        <v>2452.8090349424701</v>
      </c>
      <c r="G354">
        <v>9.0579999999999998</v>
      </c>
      <c r="H354">
        <v>6.3E-2</v>
      </c>
      <c r="I354">
        <v>326.60230000000001</v>
      </c>
    </row>
    <row r="355" spans="1:9" x14ac:dyDescent="0.3">
      <c r="A355" t="s">
        <v>54</v>
      </c>
      <c r="B355" t="s">
        <v>408</v>
      </c>
      <c r="C355">
        <v>76</v>
      </c>
      <c r="D355">
        <v>3.6999999999999998E-2</v>
      </c>
      <c r="E355">
        <v>25.566620546593018</v>
      </c>
      <c r="F355">
        <v>2452.8090349424701</v>
      </c>
      <c r="G355">
        <v>9.0579999999999998</v>
      </c>
      <c r="H355">
        <v>6.3E-2</v>
      </c>
      <c r="I355">
        <v>326.80430000000001</v>
      </c>
    </row>
    <row r="356" spans="1:9" x14ac:dyDescent="0.3">
      <c r="A356" t="s">
        <v>54</v>
      </c>
      <c r="B356" t="s">
        <v>409</v>
      </c>
      <c r="C356">
        <v>76</v>
      </c>
      <c r="D356">
        <v>3.78E-2</v>
      </c>
      <c r="E356">
        <v>25.566620546593018</v>
      </c>
      <c r="F356">
        <v>2452.8090349424701</v>
      </c>
      <c r="G356">
        <v>9.0579999999999998</v>
      </c>
      <c r="H356">
        <v>6.3E-2</v>
      </c>
      <c r="I356">
        <v>327.00360000000001</v>
      </c>
    </row>
    <row r="357" spans="1:9" x14ac:dyDescent="0.3">
      <c r="A357" t="s">
        <v>54</v>
      </c>
      <c r="B357" t="s">
        <v>410</v>
      </c>
      <c r="C357">
        <v>76</v>
      </c>
      <c r="D357">
        <v>3.7900000000000003E-2</v>
      </c>
      <c r="E357">
        <v>25.566620546593018</v>
      </c>
      <c r="F357">
        <v>2452.8090349424701</v>
      </c>
      <c r="G357">
        <v>9.0579999999999998</v>
      </c>
      <c r="H357">
        <v>6.3E-2</v>
      </c>
      <c r="I357">
        <v>327.202</v>
      </c>
    </row>
    <row r="358" spans="1:9" x14ac:dyDescent="0.3">
      <c r="A358" t="s">
        <v>54</v>
      </c>
      <c r="B358" t="s">
        <v>411</v>
      </c>
      <c r="C358">
        <v>76</v>
      </c>
      <c r="D358">
        <v>3.7900000000000003E-2</v>
      </c>
      <c r="E358">
        <v>25.566620546593018</v>
      </c>
      <c r="F358">
        <v>2452.8090349424701</v>
      </c>
      <c r="G358">
        <v>9.0579999999999998</v>
      </c>
      <c r="H358">
        <v>6.3E-2</v>
      </c>
      <c r="I358">
        <v>327.40320000000003</v>
      </c>
    </row>
    <row r="359" spans="1:9" x14ac:dyDescent="0.3">
      <c r="A359" t="s">
        <v>54</v>
      </c>
      <c r="B359" t="s">
        <v>412</v>
      </c>
      <c r="C359">
        <v>76</v>
      </c>
      <c r="D359">
        <v>3.7900000000000003E-2</v>
      </c>
      <c r="E359">
        <v>25.566620546593018</v>
      </c>
      <c r="F359">
        <v>2452.8090349424701</v>
      </c>
      <c r="G359">
        <v>9.0579999999999998</v>
      </c>
      <c r="H359">
        <v>6.3E-2</v>
      </c>
      <c r="I359">
        <v>327.60480000000001</v>
      </c>
    </row>
    <row r="360" spans="1:9" x14ac:dyDescent="0.3">
      <c r="A360" t="s">
        <v>54</v>
      </c>
      <c r="B360" t="s">
        <v>413</v>
      </c>
      <c r="C360">
        <v>76</v>
      </c>
      <c r="D360">
        <v>3.7900000000000003E-2</v>
      </c>
      <c r="E360">
        <v>25.566620546593018</v>
      </c>
      <c r="F360">
        <v>2452.8090349424701</v>
      </c>
      <c r="G360">
        <v>9.0579999999999998</v>
      </c>
      <c r="H360">
        <v>6.3E-2</v>
      </c>
      <c r="I360">
        <v>327.80529999999999</v>
      </c>
    </row>
    <row r="361" spans="1:9" x14ac:dyDescent="0.3">
      <c r="A361" t="s">
        <v>54</v>
      </c>
      <c r="B361" t="s">
        <v>414</v>
      </c>
      <c r="C361">
        <v>76</v>
      </c>
      <c r="D361">
        <v>3.7900000000000003E-2</v>
      </c>
      <c r="E361">
        <v>21.511913046964182</v>
      </c>
      <c r="F361">
        <v>2074.9102959770621</v>
      </c>
      <c r="G361">
        <v>9.0579999999999998</v>
      </c>
      <c r="H361">
        <v>0</v>
      </c>
      <c r="I361">
        <v>328.0059</v>
      </c>
    </row>
    <row r="362" spans="1:9" x14ac:dyDescent="0.3">
      <c r="A362" t="s">
        <v>54</v>
      </c>
      <c r="B362" t="s">
        <v>415</v>
      </c>
      <c r="C362">
        <v>76</v>
      </c>
      <c r="D362">
        <v>3.1800000000000002E-2</v>
      </c>
      <c r="E362">
        <v>21.511913046964182</v>
      </c>
      <c r="F362">
        <v>2074.9102959770621</v>
      </c>
      <c r="G362">
        <v>9.0579999999999998</v>
      </c>
      <c r="H362">
        <v>0</v>
      </c>
      <c r="I362">
        <v>328.20510000000002</v>
      </c>
    </row>
    <row r="363" spans="1:9" x14ac:dyDescent="0.3">
      <c r="A363" t="s">
        <v>54</v>
      </c>
      <c r="B363" t="s">
        <v>416</v>
      </c>
      <c r="C363">
        <v>76</v>
      </c>
      <c r="D363">
        <v>1.9199999999999998E-2</v>
      </c>
      <c r="E363">
        <v>21.511913046964182</v>
      </c>
      <c r="F363">
        <v>2074.9102959770621</v>
      </c>
      <c r="G363">
        <v>9.0579999999999998</v>
      </c>
      <c r="H363">
        <v>0</v>
      </c>
      <c r="I363">
        <v>328.40359999999998</v>
      </c>
    </row>
    <row r="364" spans="1:9" x14ac:dyDescent="0.3">
      <c r="A364" t="s">
        <v>54</v>
      </c>
      <c r="B364" t="s">
        <v>417</v>
      </c>
      <c r="C364">
        <v>76</v>
      </c>
      <c r="D364">
        <v>7.7999999999999996E-3</v>
      </c>
      <c r="E364">
        <v>21.511913046964182</v>
      </c>
      <c r="F364">
        <v>2074.9102959770621</v>
      </c>
      <c r="G364">
        <v>9.0579999999999998</v>
      </c>
      <c r="H364">
        <v>0</v>
      </c>
      <c r="I364">
        <v>328.60410000000002</v>
      </c>
    </row>
    <row r="365" spans="1:9" x14ac:dyDescent="0.3">
      <c r="A365" t="s">
        <v>54</v>
      </c>
      <c r="B365" t="s">
        <v>418</v>
      </c>
      <c r="C365">
        <v>76</v>
      </c>
      <c r="D365">
        <v>-2.2000000000000001E-3</v>
      </c>
      <c r="E365">
        <v>21.511913046964182</v>
      </c>
      <c r="F365">
        <v>2074.9102959770621</v>
      </c>
      <c r="G365">
        <v>9.0579999999999998</v>
      </c>
      <c r="H365">
        <v>0</v>
      </c>
      <c r="I365">
        <v>328.8057</v>
      </c>
    </row>
    <row r="366" spans="1:9" x14ac:dyDescent="0.3">
      <c r="A366" t="s">
        <v>54</v>
      </c>
      <c r="B366" t="s">
        <v>419</v>
      </c>
      <c r="C366">
        <v>76</v>
      </c>
      <c r="D366">
        <v>-3.0999999999999999E-3</v>
      </c>
      <c r="E366">
        <v>21.511913046964182</v>
      </c>
      <c r="F366">
        <v>2074.9102959770621</v>
      </c>
      <c r="G366">
        <v>9.0579999999999998</v>
      </c>
      <c r="H366">
        <v>0</v>
      </c>
      <c r="I366">
        <v>329.00330000000002</v>
      </c>
    </row>
    <row r="367" spans="1:9" x14ac:dyDescent="0.3">
      <c r="A367" t="s">
        <v>54</v>
      </c>
      <c r="B367" t="s">
        <v>420</v>
      </c>
      <c r="C367">
        <v>76</v>
      </c>
      <c r="D367">
        <v>-3.0999999999999999E-3</v>
      </c>
      <c r="E367">
        <v>21.511913046964182</v>
      </c>
      <c r="F367">
        <v>2074.9102959770621</v>
      </c>
      <c r="G367">
        <v>9.0579999999999998</v>
      </c>
      <c r="H367">
        <v>0</v>
      </c>
      <c r="I367">
        <v>329.20400000000001</v>
      </c>
    </row>
    <row r="368" spans="1:9" x14ac:dyDescent="0.3">
      <c r="A368" t="s">
        <v>54</v>
      </c>
      <c r="B368" t="s">
        <v>421</v>
      </c>
      <c r="C368">
        <v>76</v>
      </c>
      <c r="D368">
        <v>-3.0999999999999999E-3</v>
      </c>
      <c r="E368">
        <v>21.511913046964182</v>
      </c>
      <c r="F368">
        <v>2074.9102959770621</v>
      </c>
      <c r="G368">
        <v>9.0579999999999998</v>
      </c>
      <c r="H368">
        <v>0</v>
      </c>
      <c r="I368">
        <v>329.40429999999998</v>
      </c>
    </row>
    <row r="369" spans="1:9" x14ac:dyDescent="0.3">
      <c r="A369" t="s">
        <v>54</v>
      </c>
      <c r="B369" t="s">
        <v>422</v>
      </c>
      <c r="C369">
        <v>76</v>
      </c>
      <c r="D369">
        <v>-3.2000000000000002E-3</v>
      </c>
      <c r="E369">
        <v>21.511913046964182</v>
      </c>
      <c r="F369">
        <v>2074.9102959770621</v>
      </c>
      <c r="G369">
        <v>9.0579999999999998</v>
      </c>
      <c r="H369">
        <v>0</v>
      </c>
      <c r="I369">
        <v>329.60329999999999</v>
      </c>
    </row>
    <row r="370" spans="1:9" x14ac:dyDescent="0.3">
      <c r="A370" t="s">
        <v>54</v>
      </c>
      <c r="B370" t="s">
        <v>423</v>
      </c>
      <c r="C370">
        <v>76</v>
      </c>
      <c r="D370">
        <v>-3.0999999999999999E-3</v>
      </c>
      <c r="E370">
        <v>21.511913046964182</v>
      </c>
      <c r="F370">
        <v>2074.9102959770621</v>
      </c>
      <c r="G370">
        <v>9.0579999999999998</v>
      </c>
      <c r="H370">
        <v>0</v>
      </c>
      <c r="I370">
        <v>329.80220000000003</v>
      </c>
    </row>
    <row r="371" spans="1:9" x14ac:dyDescent="0.3">
      <c r="A371" t="s">
        <v>54</v>
      </c>
      <c r="B371" t="s">
        <v>424</v>
      </c>
      <c r="C371">
        <v>76</v>
      </c>
      <c r="D371">
        <v>-3.0999999999999999E-3</v>
      </c>
      <c r="E371">
        <v>25.566620546593018</v>
      </c>
      <c r="F371">
        <v>2566.2722898716779</v>
      </c>
      <c r="G371">
        <v>9.0579999999999998</v>
      </c>
      <c r="H371">
        <v>6.3E-2</v>
      </c>
      <c r="I371">
        <v>330.00880000000001</v>
      </c>
    </row>
    <row r="372" spans="1:9" x14ac:dyDescent="0.3">
      <c r="A372" t="s">
        <v>54</v>
      </c>
      <c r="B372" t="s">
        <v>425</v>
      </c>
      <c r="C372">
        <v>76</v>
      </c>
      <c r="D372">
        <v>1.14E-2</v>
      </c>
      <c r="E372">
        <v>25.566620546593018</v>
      </c>
      <c r="F372">
        <v>2452.8090349424701</v>
      </c>
      <c r="G372">
        <v>9.0579999999999998</v>
      </c>
      <c r="H372">
        <v>6.3E-2</v>
      </c>
      <c r="I372">
        <v>330.20249999999999</v>
      </c>
    </row>
    <row r="373" spans="1:9" x14ac:dyDescent="0.3">
      <c r="A373" t="s">
        <v>54</v>
      </c>
      <c r="B373" t="s">
        <v>426</v>
      </c>
      <c r="C373">
        <v>76</v>
      </c>
      <c r="D373">
        <v>3.0300000000000001E-2</v>
      </c>
      <c r="E373">
        <v>25.566620546593018</v>
      </c>
      <c r="F373">
        <v>2452.8090349424701</v>
      </c>
      <c r="G373">
        <v>9.0579999999999998</v>
      </c>
      <c r="H373">
        <v>6.3E-2</v>
      </c>
      <c r="I373">
        <v>330.4058</v>
      </c>
    </row>
    <row r="374" spans="1:9" x14ac:dyDescent="0.3">
      <c r="A374" t="s">
        <v>54</v>
      </c>
      <c r="B374" t="s">
        <v>427</v>
      </c>
      <c r="C374">
        <v>76</v>
      </c>
      <c r="D374">
        <v>3.5999999999999997E-2</v>
      </c>
      <c r="E374">
        <v>25.566620546593018</v>
      </c>
      <c r="F374">
        <v>2452.8090349424701</v>
      </c>
      <c r="G374">
        <v>9.0579999999999998</v>
      </c>
      <c r="H374">
        <v>6.3E-2</v>
      </c>
      <c r="I374">
        <v>330.60309999999998</v>
      </c>
    </row>
    <row r="375" spans="1:9" x14ac:dyDescent="0.3">
      <c r="A375" t="s">
        <v>54</v>
      </c>
      <c r="B375" t="s">
        <v>428</v>
      </c>
      <c r="C375">
        <v>76</v>
      </c>
      <c r="D375">
        <v>3.7400000000000003E-2</v>
      </c>
      <c r="E375">
        <v>25.566620546593018</v>
      </c>
      <c r="F375">
        <v>2452.8090349424701</v>
      </c>
      <c r="G375">
        <v>9.0579999999999998</v>
      </c>
      <c r="H375">
        <v>6.3E-2</v>
      </c>
      <c r="I375">
        <v>330.8064</v>
      </c>
    </row>
    <row r="376" spans="1:9" x14ac:dyDescent="0.3">
      <c r="A376" t="s">
        <v>54</v>
      </c>
      <c r="B376" t="s">
        <v>429</v>
      </c>
      <c r="C376">
        <v>76</v>
      </c>
      <c r="D376">
        <v>3.78E-2</v>
      </c>
      <c r="E376">
        <v>25.566620546593018</v>
      </c>
      <c r="F376">
        <v>2452.8090349424701</v>
      </c>
      <c r="G376">
        <v>9.0579999999999998</v>
      </c>
      <c r="H376">
        <v>6.3E-2</v>
      </c>
      <c r="I376">
        <v>331.00200000000001</v>
      </c>
    </row>
    <row r="377" spans="1:9" x14ac:dyDescent="0.3">
      <c r="A377" t="s">
        <v>54</v>
      </c>
      <c r="B377" t="s">
        <v>430</v>
      </c>
      <c r="C377">
        <v>76</v>
      </c>
      <c r="D377">
        <v>3.78E-2</v>
      </c>
      <c r="E377">
        <v>25.566620546593018</v>
      </c>
      <c r="F377">
        <v>2452.8090349424701</v>
      </c>
      <c r="G377">
        <v>9.0579999999999998</v>
      </c>
      <c r="H377">
        <v>6.3E-2</v>
      </c>
      <c r="I377">
        <v>331.20499999999998</v>
      </c>
    </row>
    <row r="378" spans="1:9" x14ac:dyDescent="0.3">
      <c r="A378" t="s">
        <v>54</v>
      </c>
      <c r="B378" t="s">
        <v>431</v>
      </c>
      <c r="C378">
        <v>76</v>
      </c>
      <c r="D378">
        <v>3.78E-2</v>
      </c>
      <c r="E378">
        <v>25.566620546593018</v>
      </c>
      <c r="F378">
        <v>2452.8090349424701</v>
      </c>
      <c r="G378">
        <v>9.0579999999999998</v>
      </c>
      <c r="H378">
        <v>6.3E-2</v>
      </c>
      <c r="I378">
        <v>331.40570000000002</v>
      </c>
    </row>
    <row r="379" spans="1:9" x14ac:dyDescent="0.3">
      <c r="A379" t="s">
        <v>54</v>
      </c>
      <c r="B379" t="s">
        <v>432</v>
      </c>
      <c r="C379">
        <v>76</v>
      </c>
      <c r="D379">
        <v>3.78E-2</v>
      </c>
      <c r="E379">
        <v>25.566620546593018</v>
      </c>
      <c r="F379">
        <v>2452.8090349424701</v>
      </c>
      <c r="G379">
        <v>9.0579999999999998</v>
      </c>
      <c r="H379">
        <v>6.3E-2</v>
      </c>
      <c r="I379">
        <v>331.6053</v>
      </c>
    </row>
    <row r="380" spans="1:9" x14ac:dyDescent="0.3">
      <c r="A380" t="s">
        <v>54</v>
      </c>
      <c r="B380" t="s">
        <v>433</v>
      </c>
      <c r="C380">
        <v>76</v>
      </c>
      <c r="D380">
        <v>3.78E-2</v>
      </c>
      <c r="E380">
        <v>25.566620546593018</v>
      </c>
      <c r="F380">
        <v>2452.8090349424701</v>
      </c>
      <c r="G380">
        <v>9.0579999999999998</v>
      </c>
      <c r="H380">
        <v>6.3E-2</v>
      </c>
      <c r="I380">
        <v>331.80560000000003</v>
      </c>
    </row>
    <row r="381" spans="1:9" x14ac:dyDescent="0.3">
      <c r="A381" t="s">
        <v>54</v>
      </c>
      <c r="B381" t="s">
        <v>434</v>
      </c>
      <c r="C381">
        <v>76</v>
      </c>
      <c r="D381">
        <v>3.78E-2</v>
      </c>
      <c r="E381">
        <v>21.511913046964182</v>
      </c>
      <c r="F381">
        <v>2074.9102959770621</v>
      </c>
      <c r="G381">
        <v>9.0579999999999998</v>
      </c>
      <c r="H381">
        <v>0</v>
      </c>
      <c r="I381">
        <v>332.00209999999998</v>
      </c>
    </row>
    <row r="382" spans="1:9" x14ac:dyDescent="0.3">
      <c r="A382" t="s">
        <v>54</v>
      </c>
      <c r="B382" t="s">
        <v>435</v>
      </c>
      <c r="C382">
        <v>76</v>
      </c>
      <c r="D382">
        <v>3.2899999999999999E-2</v>
      </c>
      <c r="E382">
        <v>21.511913046964182</v>
      </c>
      <c r="F382">
        <v>2074.9102959770621</v>
      </c>
      <c r="G382">
        <v>9.0579999999999998</v>
      </c>
      <c r="H382">
        <v>0</v>
      </c>
      <c r="I382">
        <v>332.20400000000001</v>
      </c>
    </row>
    <row r="383" spans="1:9" x14ac:dyDescent="0.3">
      <c r="A383" t="s">
        <v>54</v>
      </c>
      <c r="B383" t="s">
        <v>436</v>
      </c>
      <c r="C383">
        <v>76</v>
      </c>
      <c r="D383">
        <v>1.9900000000000001E-2</v>
      </c>
      <c r="E383">
        <v>21.511913046964182</v>
      </c>
      <c r="F383">
        <v>2074.9102959770621</v>
      </c>
      <c r="G383">
        <v>9.0579999999999998</v>
      </c>
      <c r="H383">
        <v>0</v>
      </c>
      <c r="I383">
        <v>332.40480000000002</v>
      </c>
    </row>
    <row r="384" spans="1:9" x14ac:dyDescent="0.3">
      <c r="A384" t="s">
        <v>54</v>
      </c>
      <c r="B384" t="s">
        <v>437</v>
      </c>
      <c r="C384">
        <v>76</v>
      </c>
      <c r="D384">
        <v>8.8999999999999999E-3</v>
      </c>
      <c r="E384">
        <v>21.511913046964182</v>
      </c>
      <c r="F384">
        <v>2074.9102959770621</v>
      </c>
      <c r="G384">
        <v>9.0579999999999998</v>
      </c>
      <c r="H384">
        <v>0</v>
      </c>
      <c r="I384">
        <v>332.6069</v>
      </c>
    </row>
    <row r="385" spans="1:9" x14ac:dyDescent="0.3">
      <c r="A385" t="s">
        <v>54</v>
      </c>
      <c r="B385" t="s">
        <v>438</v>
      </c>
      <c r="C385">
        <v>76</v>
      </c>
      <c r="D385">
        <v>-1.1000000000000001E-3</v>
      </c>
      <c r="E385">
        <v>21.511913046964182</v>
      </c>
      <c r="F385">
        <v>2074.9102959770621</v>
      </c>
      <c r="G385">
        <v>9.0579999999999998</v>
      </c>
      <c r="H385">
        <v>0</v>
      </c>
      <c r="I385">
        <v>332.80309999999997</v>
      </c>
    </row>
    <row r="386" spans="1:9" x14ac:dyDescent="0.3">
      <c r="A386" t="s">
        <v>54</v>
      </c>
      <c r="B386" t="s">
        <v>439</v>
      </c>
      <c r="C386">
        <v>76</v>
      </c>
      <c r="D386">
        <v>-3.0999999999999999E-3</v>
      </c>
      <c r="E386">
        <v>21.511913046964182</v>
      </c>
      <c r="F386">
        <v>2074.9102959770621</v>
      </c>
      <c r="G386">
        <v>9.0579999999999998</v>
      </c>
      <c r="H386">
        <v>0</v>
      </c>
      <c r="I386">
        <v>333.00689999999997</v>
      </c>
    </row>
    <row r="387" spans="1:9" x14ac:dyDescent="0.3">
      <c r="A387" t="s">
        <v>54</v>
      </c>
      <c r="B387" t="s">
        <v>440</v>
      </c>
      <c r="C387">
        <v>76</v>
      </c>
      <c r="D387">
        <v>-3.2000000000000002E-3</v>
      </c>
      <c r="E387">
        <v>21.511913046964182</v>
      </c>
      <c r="F387">
        <v>2074.9102959770621</v>
      </c>
      <c r="G387">
        <v>9.0579999999999998</v>
      </c>
      <c r="H387">
        <v>0</v>
      </c>
      <c r="I387">
        <v>333.20249999999999</v>
      </c>
    </row>
    <row r="388" spans="1:9" x14ac:dyDescent="0.3">
      <c r="A388" t="s">
        <v>54</v>
      </c>
      <c r="B388" t="s">
        <v>441</v>
      </c>
      <c r="C388">
        <v>76</v>
      </c>
      <c r="D388">
        <v>-3.0999999999999999E-3</v>
      </c>
      <c r="E388">
        <v>21.511913046964182</v>
      </c>
      <c r="F388">
        <v>2074.9102959770621</v>
      </c>
      <c r="G388">
        <v>9.0579999999999998</v>
      </c>
      <c r="H388">
        <v>0</v>
      </c>
      <c r="I388">
        <v>333.40440000000001</v>
      </c>
    </row>
    <row r="389" spans="1:9" x14ac:dyDescent="0.3">
      <c r="A389" t="s">
        <v>54</v>
      </c>
      <c r="B389" t="s">
        <v>442</v>
      </c>
      <c r="C389">
        <v>76</v>
      </c>
      <c r="D389">
        <v>-3.2000000000000002E-3</v>
      </c>
      <c r="E389">
        <v>21.511913046964182</v>
      </c>
      <c r="F389">
        <v>2074.9102959770621</v>
      </c>
      <c r="G389">
        <v>9.0579999999999998</v>
      </c>
      <c r="H389">
        <v>0</v>
      </c>
      <c r="I389">
        <v>333.60239999999999</v>
      </c>
    </row>
    <row r="390" spans="1:9" x14ac:dyDescent="0.3">
      <c r="A390" t="s">
        <v>54</v>
      </c>
      <c r="B390" t="s">
        <v>443</v>
      </c>
      <c r="C390">
        <v>76</v>
      </c>
      <c r="D390">
        <v>-3.0999999999999999E-3</v>
      </c>
      <c r="E390">
        <v>21.511913046964182</v>
      </c>
      <c r="F390">
        <v>2074.9102959770621</v>
      </c>
      <c r="G390">
        <v>9.0579999999999998</v>
      </c>
      <c r="H390">
        <v>0</v>
      </c>
      <c r="I390">
        <v>333.80540000000002</v>
      </c>
    </row>
    <row r="391" spans="1:9" x14ac:dyDescent="0.3">
      <c r="A391" t="s">
        <v>54</v>
      </c>
      <c r="B391" t="s">
        <v>444</v>
      </c>
      <c r="C391">
        <v>76</v>
      </c>
      <c r="D391">
        <v>-3.0999999999999999E-3</v>
      </c>
      <c r="E391">
        <v>25.566620546593018</v>
      </c>
      <c r="F391">
        <v>2566.2722898716779</v>
      </c>
      <c r="G391">
        <v>9.0579999999999998</v>
      </c>
      <c r="H391">
        <v>6.3E-2</v>
      </c>
      <c r="I391">
        <v>334.00689999999997</v>
      </c>
    </row>
    <row r="392" spans="1:9" x14ac:dyDescent="0.3">
      <c r="A392" t="s">
        <v>54</v>
      </c>
      <c r="B392" t="s">
        <v>445</v>
      </c>
      <c r="C392">
        <v>76</v>
      </c>
      <c r="D392">
        <v>1.14E-2</v>
      </c>
      <c r="E392">
        <v>25.566620546593018</v>
      </c>
      <c r="F392">
        <v>2452.8090349424701</v>
      </c>
      <c r="G392">
        <v>9.0579999999999998</v>
      </c>
      <c r="H392">
        <v>6.3E-2</v>
      </c>
      <c r="I392">
        <v>334.20269999999999</v>
      </c>
    </row>
    <row r="393" spans="1:9" x14ac:dyDescent="0.3">
      <c r="A393" t="s">
        <v>54</v>
      </c>
      <c r="B393" t="s">
        <v>446</v>
      </c>
      <c r="C393">
        <v>76</v>
      </c>
      <c r="D393">
        <v>3.0300000000000001E-2</v>
      </c>
      <c r="E393">
        <v>25.566620546593018</v>
      </c>
      <c r="F393">
        <v>2452.8090349424701</v>
      </c>
      <c r="G393">
        <v>9.0579999999999998</v>
      </c>
      <c r="H393">
        <v>6.3E-2</v>
      </c>
      <c r="I393">
        <v>334.40379999999999</v>
      </c>
    </row>
    <row r="394" spans="1:9" x14ac:dyDescent="0.3">
      <c r="A394" t="s">
        <v>54</v>
      </c>
      <c r="B394" t="s">
        <v>447</v>
      </c>
      <c r="C394">
        <v>76</v>
      </c>
      <c r="D394">
        <v>3.5499999999999997E-2</v>
      </c>
      <c r="E394">
        <v>25.566620546593018</v>
      </c>
      <c r="F394">
        <v>2452.8090349424701</v>
      </c>
      <c r="G394">
        <v>9.0579999999999998</v>
      </c>
      <c r="H394">
        <v>6.3E-2</v>
      </c>
      <c r="I394">
        <v>334.6053</v>
      </c>
    </row>
    <row r="395" spans="1:9" x14ac:dyDescent="0.3">
      <c r="A395" t="s">
        <v>54</v>
      </c>
      <c r="B395" t="s">
        <v>448</v>
      </c>
      <c r="C395">
        <v>76</v>
      </c>
      <c r="D395">
        <v>3.73E-2</v>
      </c>
      <c r="E395">
        <v>25.566620546593018</v>
      </c>
      <c r="F395">
        <v>2452.8090349424701</v>
      </c>
      <c r="G395">
        <v>9.0579999999999998</v>
      </c>
      <c r="H395">
        <v>6.3E-2</v>
      </c>
      <c r="I395">
        <v>334.8057</v>
      </c>
    </row>
    <row r="396" spans="1:9" x14ac:dyDescent="0.3">
      <c r="A396" t="s">
        <v>54</v>
      </c>
      <c r="B396" t="s">
        <v>449</v>
      </c>
      <c r="C396">
        <v>76</v>
      </c>
      <c r="D396">
        <v>3.8100000000000002E-2</v>
      </c>
      <c r="E396">
        <v>25.566620546593018</v>
      </c>
      <c r="F396">
        <v>2452.8090349424701</v>
      </c>
      <c r="G396">
        <v>9.0579999999999998</v>
      </c>
      <c r="H396">
        <v>6.3E-2</v>
      </c>
      <c r="I396">
        <v>335.00279999999998</v>
      </c>
    </row>
    <row r="397" spans="1:9" x14ac:dyDescent="0.3">
      <c r="A397" t="s">
        <v>54</v>
      </c>
      <c r="B397" t="s">
        <v>450</v>
      </c>
      <c r="C397">
        <v>76</v>
      </c>
      <c r="D397">
        <v>3.8100000000000002E-2</v>
      </c>
      <c r="E397">
        <v>25.566620546593018</v>
      </c>
      <c r="F397">
        <v>2452.8090349424701</v>
      </c>
      <c r="G397">
        <v>9.0579999999999998</v>
      </c>
      <c r="H397">
        <v>6.3E-2</v>
      </c>
      <c r="I397">
        <v>335.20549999999997</v>
      </c>
    </row>
    <row r="398" spans="1:9" x14ac:dyDescent="0.3">
      <c r="A398" t="s">
        <v>54</v>
      </c>
      <c r="B398" t="s">
        <v>451</v>
      </c>
      <c r="C398">
        <v>76</v>
      </c>
      <c r="D398">
        <v>3.8100000000000002E-2</v>
      </c>
      <c r="E398">
        <v>25.566620546593018</v>
      </c>
      <c r="F398">
        <v>2452.8090349424701</v>
      </c>
      <c r="G398">
        <v>9.0579999999999998</v>
      </c>
      <c r="H398">
        <v>6.3E-2</v>
      </c>
      <c r="I398">
        <v>335.40390000000002</v>
      </c>
    </row>
    <row r="399" spans="1:9" x14ac:dyDescent="0.3">
      <c r="A399" t="s">
        <v>54</v>
      </c>
      <c r="B399" t="s">
        <v>452</v>
      </c>
      <c r="C399">
        <v>76</v>
      </c>
      <c r="D399">
        <v>3.8100000000000002E-2</v>
      </c>
      <c r="E399">
        <v>25.566620546593018</v>
      </c>
      <c r="F399">
        <v>2452.8090349424701</v>
      </c>
      <c r="G399">
        <v>9.0579999999999998</v>
      </c>
      <c r="H399">
        <v>6.3E-2</v>
      </c>
      <c r="I399">
        <v>335.60599999999999</v>
      </c>
    </row>
    <row r="400" spans="1:9" x14ac:dyDescent="0.3">
      <c r="A400" t="s">
        <v>54</v>
      </c>
      <c r="B400" t="s">
        <v>453</v>
      </c>
      <c r="C400">
        <v>76</v>
      </c>
      <c r="D400">
        <v>3.8100000000000002E-2</v>
      </c>
      <c r="E400">
        <v>25.566620546593018</v>
      </c>
      <c r="F400">
        <v>2452.8090349424701</v>
      </c>
      <c r="G400">
        <v>9.0579999999999998</v>
      </c>
      <c r="H400">
        <v>6.3E-2</v>
      </c>
      <c r="I400">
        <v>335.80720000000002</v>
      </c>
    </row>
    <row r="401" spans="1:9" x14ac:dyDescent="0.3">
      <c r="A401" t="s">
        <v>54</v>
      </c>
      <c r="B401" t="s">
        <v>454</v>
      </c>
      <c r="C401">
        <v>76</v>
      </c>
      <c r="D401">
        <v>3.8100000000000002E-2</v>
      </c>
      <c r="E401">
        <v>21.511913046964182</v>
      </c>
      <c r="F401">
        <v>2074.9102959770621</v>
      </c>
      <c r="G401">
        <v>9.0579999999999998</v>
      </c>
      <c r="H401">
        <v>0</v>
      </c>
      <c r="I401">
        <v>336.005</v>
      </c>
    </row>
    <row r="402" spans="1:9" x14ac:dyDescent="0.3">
      <c r="A402" t="s">
        <v>54</v>
      </c>
      <c r="B402" t="s">
        <v>455</v>
      </c>
      <c r="C402">
        <v>76</v>
      </c>
      <c r="D402">
        <v>3.2300000000000002E-2</v>
      </c>
      <c r="E402">
        <v>21.511913046964182</v>
      </c>
      <c r="F402">
        <v>2074.9102959770621</v>
      </c>
      <c r="G402">
        <v>9.0579999999999998</v>
      </c>
      <c r="H402">
        <v>0</v>
      </c>
      <c r="I402">
        <v>336.20280000000002</v>
      </c>
    </row>
    <row r="403" spans="1:9" x14ac:dyDescent="0.3">
      <c r="A403" t="s">
        <v>54</v>
      </c>
      <c r="B403" t="s">
        <v>456</v>
      </c>
      <c r="C403">
        <v>76</v>
      </c>
      <c r="D403">
        <v>1.9599999999999999E-2</v>
      </c>
      <c r="E403">
        <v>21.511913046964182</v>
      </c>
      <c r="F403">
        <v>2074.9102959770621</v>
      </c>
      <c r="G403">
        <v>9.0579999999999998</v>
      </c>
      <c r="H403">
        <v>0</v>
      </c>
      <c r="I403">
        <v>336.40219999999999</v>
      </c>
    </row>
    <row r="404" spans="1:9" x14ac:dyDescent="0.3">
      <c r="A404" t="s">
        <v>54</v>
      </c>
      <c r="B404" t="s">
        <v>457</v>
      </c>
      <c r="C404">
        <v>76</v>
      </c>
      <c r="D404">
        <v>6.1999999999999998E-3</v>
      </c>
      <c r="E404">
        <v>21.511913046964182</v>
      </c>
      <c r="F404">
        <v>2074.9102959770621</v>
      </c>
      <c r="G404">
        <v>9.0579999999999998</v>
      </c>
      <c r="H404">
        <v>0</v>
      </c>
      <c r="I404">
        <v>336.61399999999998</v>
      </c>
    </row>
    <row r="405" spans="1:9" x14ac:dyDescent="0.3">
      <c r="A405" t="s">
        <v>54</v>
      </c>
      <c r="B405" t="s">
        <v>458</v>
      </c>
      <c r="C405">
        <v>76</v>
      </c>
      <c r="D405">
        <v>-1.6999999999999999E-3</v>
      </c>
      <c r="E405">
        <v>21.511913046964182</v>
      </c>
      <c r="F405">
        <v>2074.9102959770621</v>
      </c>
      <c r="G405">
        <v>9.0579999999999998</v>
      </c>
      <c r="H405">
        <v>0</v>
      </c>
      <c r="I405">
        <v>336.8075</v>
      </c>
    </row>
    <row r="406" spans="1:9" x14ac:dyDescent="0.3">
      <c r="A406" t="s">
        <v>54</v>
      </c>
      <c r="B406" t="s">
        <v>459</v>
      </c>
      <c r="C406">
        <v>76</v>
      </c>
      <c r="D406">
        <v>-3.0999999999999999E-3</v>
      </c>
      <c r="E406">
        <v>21.511913046964182</v>
      </c>
      <c r="F406">
        <v>2074.9102959770621</v>
      </c>
      <c r="G406">
        <v>9.0579999999999998</v>
      </c>
      <c r="H406">
        <v>0</v>
      </c>
      <c r="I406">
        <v>337.00830000000002</v>
      </c>
    </row>
    <row r="407" spans="1:9" x14ac:dyDescent="0.3">
      <c r="A407" t="s">
        <v>54</v>
      </c>
      <c r="B407" t="s">
        <v>460</v>
      </c>
      <c r="C407">
        <v>76</v>
      </c>
      <c r="D407">
        <v>-3.0999999999999999E-3</v>
      </c>
      <c r="E407">
        <v>21.511913046964182</v>
      </c>
      <c r="F407">
        <v>2074.9102959770621</v>
      </c>
      <c r="G407">
        <v>9.0579999999999998</v>
      </c>
      <c r="H407">
        <v>0</v>
      </c>
      <c r="I407">
        <v>337.20339999999999</v>
      </c>
    </row>
    <row r="408" spans="1:9" x14ac:dyDescent="0.3">
      <c r="A408" t="s">
        <v>54</v>
      </c>
      <c r="B408" t="s">
        <v>461</v>
      </c>
      <c r="C408">
        <v>76</v>
      </c>
      <c r="D408">
        <v>-3.0999999999999999E-3</v>
      </c>
      <c r="E408">
        <v>21.511913046964182</v>
      </c>
      <c r="F408">
        <v>2074.9102959770621</v>
      </c>
      <c r="G408">
        <v>9.0579999999999998</v>
      </c>
      <c r="H408">
        <v>0</v>
      </c>
      <c r="I408">
        <v>337.40230000000003</v>
      </c>
    </row>
    <row r="409" spans="1:9" x14ac:dyDescent="0.3">
      <c r="A409" t="s">
        <v>54</v>
      </c>
      <c r="B409" t="s">
        <v>462</v>
      </c>
      <c r="C409">
        <v>76</v>
      </c>
      <c r="D409">
        <v>-3.0999999999999999E-3</v>
      </c>
      <c r="E409">
        <v>21.511913046964182</v>
      </c>
      <c r="F409">
        <v>2074.9102959770621</v>
      </c>
      <c r="G409">
        <v>9.0579999999999998</v>
      </c>
      <c r="H409">
        <v>0</v>
      </c>
      <c r="I409">
        <v>337.60680000000002</v>
      </c>
    </row>
    <row r="410" spans="1:9" x14ac:dyDescent="0.3">
      <c r="A410" t="s">
        <v>54</v>
      </c>
      <c r="B410" t="s">
        <v>463</v>
      </c>
      <c r="C410">
        <v>76</v>
      </c>
      <c r="D410">
        <v>-3.0999999999999999E-3</v>
      </c>
      <c r="E410">
        <v>21.511913046964182</v>
      </c>
      <c r="F410">
        <v>2074.9102959770621</v>
      </c>
      <c r="G410">
        <v>9.0579999999999998</v>
      </c>
      <c r="H410">
        <v>0</v>
      </c>
      <c r="I410">
        <v>337.80360000000002</v>
      </c>
    </row>
    <row r="411" spans="1:9" x14ac:dyDescent="0.3">
      <c r="A411" t="s">
        <v>54</v>
      </c>
      <c r="B411" t="s">
        <v>464</v>
      </c>
      <c r="C411">
        <v>76</v>
      </c>
      <c r="D411">
        <v>-3.0999999999999999E-3</v>
      </c>
      <c r="E411">
        <v>25.566620546593018</v>
      </c>
      <c r="F411">
        <v>2566.2722898716779</v>
      </c>
      <c r="G411">
        <v>9.0579999999999998</v>
      </c>
      <c r="H411">
        <v>6.3E-2</v>
      </c>
      <c r="I411">
        <v>338.00330000000002</v>
      </c>
    </row>
    <row r="412" spans="1:9" x14ac:dyDescent="0.3">
      <c r="A412" t="s">
        <v>54</v>
      </c>
      <c r="B412" t="s">
        <v>465</v>
      </c>
      <c r="C412">
        <v>76</v>
      </c>
      <c r="D412">
        <v>9.4000000000000004E-3</v>
      </c>
      <c r="E412">
        <v>25.566620546593018</v>
      </c>
      <c r="F412">
        <v>2452.8090349424701</v>
      </c>
      <c r="G412">
        <v>9.0579999999999998</v>
      </c>
      <c r="H412">
        <v>6.3E-2</v>
      </c>
      <c r="I412">
        <v>338.20620000000002</v>
      </c>
    </row>
    <row r="413" spans="1:9" x14ac:dyDescent="0.3">
      <c r="A413" t="s">
        <v>54</v>
      </c>
      <c r="B413" t="s">
        <v>466</v>
      </c>
      <c r="C413">
        <v>76</v>
      </c>
      <c r="D413">
        <v>2.8799999999999999E-2</v>
      </c>
      <c r="E413">
        <v>25.566620546593018</v>
      </c>
      <c r="F413">
        <v>2452.8090349424701</v>
      </c>
      <c r="G413">
        <v>9.0579999999999998</v>
      </c>
      <c r="H413">
        <v>6.3E-2</v>
      </c>
      <c r="I413">
        <v>338.4049</v>
      </c>
    </row>
    <row r="414" spans="1:9" x14ac:dyDescent="0.3">
      <c r="A414" t="s">
        <v>54</v>
      </c>
      <c r="B414" t="s">
        <v>467</v>
      </c>
      <c r="C414">
        <v>76</v>
      </c>
      <c r="D414">
        <v>3.44E-2</v>
      </c>
      <c r="E414">
        <v>21.511913046964182</v>
      </c>
      <c r="F414">
        <v>2074.9102959770621</v>
      </c>
      <c r="G414">
        <v>9.0579999999999998</v>
      </c>
      <c r="H414">
        <v>0</v>
      </c>
      <c r="I414">
        <v>338.60599999999999</v>
      </c>
    </row>
    <row r="415" spans="1:9" x14ac:dyDescent="0.3">
      <c r="A415" t="s">
        <v>54</v>
      </c>
      <c r="B415" t="s">
        <v>468</v>
      </c>
      <c r="C415">
        <v>76</v>
      </c>
      <c r="D415">
        <v>2.93E-2</v>
      </c>
      <c r="E415">
        <v>21.511913046964182</v>
      </c>
      <c r="F415">
        <v>2074.9102959770621</v>
      </c>
      <c r="G415">
        <v>9.0579999999999998</v>
      </c>
      <c r="H415">
        <v>0</v>
      </c>
      <c r="I415">
        <v>338.80619999999999</v>
      </c>
    </row>
    <row r="416" spans="1:9" x14ac:dyDescent="0.3">
      <c r="A416" t="s">
        <v>54</v>
      </c>
      <c r="B416" t="s">
        <v>469</v>
      </c>
      <c r="C416">
        <v>76</v>
      </c>
      <c r="D416">
        <v>1.78E-2</v>
      </c>
      <c r="E416">
        <v>21.511913046964182</v>
      </c>
      <c r="F416">
        <v>2074.9102959770621</v>
      </c>
      <c r="G416">
        <v>9.0579999999999998</v>
      </c>
      <c r="H416">
        <v>0</v>
      </c>
      <c r="I416">
        <v>339.00599999999997</v>
      </c>
    </row>
    <row r="417" spans="1:9" x14ac:dyDescent="0.3">
      <c r="A417" t="s">
        <v>54</v>
      </c>
      <c r="B417" t="s">
        <v>470</v>
      </c>
      <c r="C417">
        <v>76</v>
      </c>
      <c r="D417">
        <v>7.4000000000000003E-3</v>
      </c>
      <c r="E417">
        <v>21.511913046964182</v>
      </c>
      <c r="F417">
        <v>2074.9102959770621</v>
      </c>
      <c r="G417">
        <v>9.0579999999999998</v>
      </c>
      <c r="H417">
        <v>0</v>
      </c>
      <c r="I417">
        <v>339.20319999999998</v>
      </c>
    </row>
    <row r="418" spans="1:9" x14ac:dyDescent="0.3">
      <c r="A418" t="s">
        <v>54</v>
      </c>
      <c r="B418" t="s">
        <v>471</v>
      </c>
      <c r="C418">
        <v>76</v>
      </c>
      <c r="D418">
        <v>-2.3999999999999998E-3</v>
      </c>
      <c r="E418">
        <v>21.511913046964182</v>
      </c>
      <c r="F418">
        <v>2074.9102959770621</v>
      </c>
      <c r="G418">
        <v>9.0579999999999998</v>
      </c>
      <c r="H418">
        <v>0</v>
      </c>
      <c r="I418">
        <v>339.40320000000003</v>
      </c>
    </row>
    <row r="419" spans="1:9" x14ac:dyDescent="0.3">
      <c r="A419" t="s">
        <v>54</v>
      </c>
      <c r="B419" t="s">
        <v>472</v>
      </c>
      <c r="C419">
        <v>76</v>
      </c>
      <c r="D419">
        <v>-3.0999999999999999E-3</v>
      </c>
      <c r="E419">
        <v>21.511913046964182</v>
      </c>
      <c r="F419">
        <v>2074.9102959770621</v>
      </c>
      <c r="G419">
        <v>9.0579999999999998</v>
      </c>
      <c r="H419">
        <v>0</v>
      </c>
      <c r="I419">
        <v>339.60410000000002</v>
      </c>
    </row>
    <row r="420" spans="1:9" x14ac:dyDescent="0.3">
      <c r="A420" t="s">
        <v>54</v>
      </c>
      <c r="B420" t="s">
        <v>473</v>
      </c>
      <c r="C420">
        <v>76</v>
      </c>
      <c r="D420">
        <v>-3.0999999999999999E-3</v>
      </c>
      <c r="E420">
        <v>21.511913046964182</v>
      </c>
      <c r="F420">
        <v>2074.9102959770621</v>
      </c>
      <c r="G420">
        <v>9.0579999999999998</v>
      </c>
      <c r="H420">
        <v>0</v>
      </c>
      <c r="I420">
        <v>339.80590000000001</v>
      </c>
    </row>
    <row r="421" spans="1:9" x14ac:dyDescent="0.3">
      <c r="A421" t="s">
        <v>54</v>
      </c>
      <c r="B421" t="s">
        <v>474</v>
      </c>
      <c r="C421">
        <v>76</v>
      </c>
      <c r="D421">
        <v>-3.0999999999999999E-3</v>
      </c>
      <c r="E421">
        <v>25.566620546593018</v>
      </c>
      <c r="F421">
        <v>2566.2722898716779</v>
      </c>
      <c r="G421">
        <v>9.0579999999999998</v>
      </c>
      <c r="H421">
        <v>6.3E-2</v>
      </c>
      <c r="I421">
        <v>340.00560000000002</v>
      </c>
    </row>
    <row r="422" spans="1:9" x14ac:dyDescent="0.3">
      <c r="A422" t="s">
        <v>54</v>
      </c>
      <c r="B422" t="s">
        <v>475</v>
      </c>
      <c r="C422">
        <v>76</v>
      </c>
      <c r="D422">
        <v>1.21E-2</v>
      </c>
      <c r="E422">
        <v>25.566620546593018</v>
      </c>
      <c r="F422">
        <v>2452.8090349424701</v>
      </c>
      <c r="G422">
        <v>9.0579999999999998</v>
      </c>
      <c r="H422">
        <v>6.3E-2</v>
      </c>
      <c r="I422">
        <v>340.2047</v>
      </c>
    </row>
    <row r="423" spans="1:9" x14ac:dyDescent="0.3">
      <c r="A423" t="s">
        <v>54</v>
      </c>
      <c r="B423" t="s">
        <v>476</v>
      </c>
      <c r="C423">
        <v>76</v>
      </c>
      <c r="D423">
        <v>3.1099999999999999E-2</v>
      </c>
      <c r="E423">
        <v>25.566620546593018</v>
      </c>
      <c r="F423">
        <v>2452.8090349424701</v>
      </c>
      <c r="G423">
        <v>9.0579999999999998</v>
      </c>
      <c r="H423">
        <v>6.3E-2</v>
      </c>
      <c r="I423">
        <v>340.40339999999998</v>
      </c>
    </row>
    <row r="424" spans="1:9" x14ac:dyDescent="0.3">
      <c r="A424" t="s">
        <v>54</v>
      </c>
      <c r="B424" t="s">
        <v>477</v>
      </c>
      <c r="C424">
        <v>76</v>
      </c>
      <c r="D424">
        <v>3.5499999999999997E-2</v>
      </c>
      <c r="E424">
        <v>25.566620546593018</v>
      </c>
      <c r="F424">
        <v>2452.8090349424701</v>
      </c>
      <c r="G424">
        <v>9.0579999999999998</v>
      </c>
      <c r="H424">
        <v>6.3E-2</v>
      </c>
      <c r="I424">
        <v>340.6026</v>
      </c>
    </row>
    <row r="425" spans="1:9" x14ac:dyDescent="0.3">
      <c r="A425" t="s">
        <v>54</v>
      </c>
      <c r="B425" t="s">
        <v>478</v>
      </c>
      <c r="C425">
        <v>76</v>
      </c>
      <c r="D425">
        <v>3.7400000000000003E-2</v>
      </c>
      <c r="E425">
        <v>25.566620546593018</v>
      </c>
      <c r="F425">
        <v>2452.8090349424701</v>
      </c>
      <c r="G425">
        <v>9.0579999999999998</v>
      </c>
      <c r="H425">
        <v>6.3E-2</v>
      </c>
      <c r="I425">
        <v>340.80630000000002</v>
      </c>
    </row>
    <row r="426" spans="1:9" x14ac:dyDescent="0.3">
      <c r="A426" t="s">
        <v>54</v>
      </c>
      <c r="B426" t="s">
        <v>479</v>
      </c>
      <c r="C426">
        <v>76</v>
      </c>
      <c r="D426">
        <v>3.7999999999999999E-2</v>
      </c>
      <c r="E426">
        <v>25.566620546593018</v>
      </c>
      <c r="F426">
        <v>2452.8090349424701</v>
      </c>
      <c r="G426">
        <v>9.0579999999999998</v>
      </c>
      <c r="H426">
        <v>6.3E-2</v>
      </c>
      <c r="I426">
        <v>341.00760000000002</v>
      </c>
    </row>
    <row r="427" spans="1:9" x14ac:dyDescent="0.3">
      <c r="A427" t="s">
        <v>54</v>
      </c>
      <c r="B427" t="s">
        <v>480</v>
      </c>
      <c r="C427">
        <v>76</v>
      </c>
      <c r="D427">
        <v>3.7999999999999999E-2</v>
      </c>
      <c r="E427">
        <v>25.566620546593018</v>
      </c>
      <c r="F427">
        <v>2452.8090349424701</v>
      </c>
      <c r="G427">
        <v>9.0579999999999998</v>
      </c>
      <c r="H427">
        <v>6.3E-2</v>
      </c>
      <c r="I427">
        <v>341.20499999999998</v>
      </c>
    </row>
    <row r="428" spans="1:9" x14ac:dyDescent="0.3">
      <c r="A428" t="s">
        <v>54</v>
      </c>
      <c r="B428" t="s">
        <v>481</v>
      </c>
      <c r="C428">
        <v>76</v>
      </c>
      <c r="D428">
        <v>3.7999999999999999E-2</v>
      </c>
      <c r="E428">
        <v>25.566620546593018</v>
      </c>
      <c r="F428">
        <v>2452.8090349424701</v>
      </c>
      <c r="G428">
        <v>9.0579999999999998</v>
      </c>
      <c r="H428">
        <v>6.3E-2</v>
      </c>
      <c r="I428">
        <v>341.4067</v>
      </c>
    </row>
    <row r="429" spans="1:9" x14ac:dyDescent="0.3">
      <c r="A429" t="s">
        <v>54</v>
      </c>
      <c r="B429" t="s">
        <v>482</v>
      </c>
      <c r="C429">
        <v>76</v>
      </c>
      <c r="D429">
        <v>3.7999999999999999E-2</v>
      </c>
      <c r="E429">
        <v>25.566620546593018</v>
      </c>
      <c r="F429">
        <v>2452.8090349424701</v>
      </c>
      <c r="G429">
        <v>9.0579999999999998</v>
      </c>
      <c r="H429">
        <v>6.3E-2</v>
      </c>
      <c r="I429">
        <v>341.60359999999997</v>
      </c>
    </row>
    <row r="430" spans="1:9" x14ac:dyDescent="0.3">
      <c r="A430" t="s">
        <v>54</v>
      </c>
      <c r="B430" t="s">
        <v>483</v>
      </c>
      <c r="C430">
        <v>76</v>
      </c>
      <c r="D430">
        <v>3.8100000000000002E-2</v>
      </c>
      <c r="E430">
        <v>25.566620546593018</v>
      </c>
      <c r="F430">
        <v>2452.8090349424701</v>
      </c>
      <c r="G430">
        <v>9.0579999999999998</v>
      </c>
      <c r="H430">
        <v>6.3E-2</v>
      </c>
      <c r="I430">
        <v>341.8048</v>
      </c>
    </row>
    <row r="431" spans="1:9" x14ac:dyDescent="0.3">
      <c r="A431" t="s">
        <v>54</v>
      </c>
      <c r="B431" t="s">
        <v>484</v>
      </c>
      <c r="C431">
        <v>76</v>
      </c>
      <c r="D431">
        <v>3.8100000000000002E-2</v>
      </c>
      <c r="E431">
        <v>25.566620546593018</v>
      </c>
      <c r="F431">
        <v>2452.8090349424701</v>
      </c>
      <c r="G431">
        <v>9.0579999999999998</v>
      </c>
      <c r="H431">
        <v>6.3E-2</v>
      </c>
      <c r="I431">
        <v>342.00630000000001</v>
      </c>
    </row>
    <row r="432" spans="1:9" x14ac:dyDescent="0.3">
      <c r="A432" t="s">
        <v>54</v>
      </c>
      <c r="B432" t="s">
        <v>485</v>
      </c>
      <c r="C432">
        <v>76</v>
      </c>
      <c r="D432">
        <v>3.8100000000000002E-2</v>
      </c>
      <c r="E432">
        <v>25.566620546593018</v>
      </c>
      <c r="F432">
        <v>2452.8090349424701</v>
      </c>
      <c r="G432">
        <v>9.0579999999999998</v>
      </c>
      <c r="H432">
        <v>6.3E-2</v>
      </c>
      <c r="I432">
        <v>342.2079</v>
      </c>
    </row>
    <row r="433" spans="1:9" x14ac:dyDescent="0.3">
      <c r="A433" t="s">
        <v>54</v>
      </c>
      <c r="B433" t="s">
        <v>486</v>
      </c>
      <c r="C433">
        <v>76</v>
      </c>
      <c r="D433">
        <v>3.7999999999999999E-2</v>
      </c>
      <c r="E433">
        <v>25.566620546593018</v>
      </c>
      <c r="F433">
        <v>2452.8090349424701</v>
      </c>
      <c r="G433">
        <v>9.0579999999999998</v>
      </c>
      <c r="H433">
        <v>6.3E-2</v>
      </c>
      <c r="I433">
        <v>342.40589999999997</v>
      </c>
    </row>
    <row r="434" spans="1:9" x14ac:dyDescent="0.3">
      <c r="A434" t="s">
        <v>54</v>
      </c>
      <c r="B434" t="s">
        <v>487</v>
      </c>
      <c r="C434">
        <v>76</v>
      </c>
      <c r="D434">
        <v>3.7999999999999999E-2</v>
      </c>
      <c r="E434">
        <v>25.566620546593018</v>
      </c>
      <c r="F434">
        <v>2452.8090349424701</v>
      </c>
      <c r="G434">
        <v>9.0579999999999998</v>
      </c>
      <c r="H434">
        <v>6.3E-2</v>
      </c>
      <c r="I434">
        <v>342.60309999999998</v>
      </c>
    </row>
    <row r="435" spans="1:9" x14ac:dyDescent="0.3">
      <c r="A435" t="s">
        <v>54</v>
      </c>
      <c r="B435" t="s">
        <v>488</v>
      </c>
      <c r="C435">
        <v>76</v>
      </c>
      <c r="D435">
        <v>3.7999999999999999E-2</v>
      </c>
      <c r="E435">
        <v>25.566620546593018</v>
      </c>
      <c r="F435">
        <v>2452.8090349424701</v>
      </c>
      <c r="G435">
        <v>9.0579999999999998</v>
      </c>
      <c r="H435">
        <v>6.3E-2</v>
      </c>
      <c r="I435">
        <v>342.80549999999999</v>
      </c>
    </row>
    <row r="436" spans="1:9" x14ac:dyDescent="0.3">
      <c r="A436" t="s">
        <v>54</v>
      </c>
      <c r="B436" t="s">
        <v>489</v>
      </c>
      <c r="C436">
        <v>76</v>
      </c>
      <c r="D436">
        <v>3.7999999999999999E-2</v>
      </c>
      <c r="E436">
        <v>25.566620546593018</v>
      </c>
      <c r="F436">
        <v>2452.8090349424701</v>
      </c>
      <c r="G436">
        <v>9.0579999999999998</v>
      </c>
      <c r="H436">
        <v>6.3E-2</v>
      </c>
      <c r="I436">
        <v>343.00529999999998</v>
      </c>
    </row>
    <row r="437" spans="1:9" x14ac:dyDescent="0.3">
      <c r="A437" t="s">
        <v>54</v>
      </c>
      <c r="B437" t="s">
        <v>490</v>
      </c>
      <c r="C437">
        <v>76</v>
      </c>
      <c r="D437">
        <v>3.8100000000000002E-2</v>
      </c>
      <c r="E437">
        <v>25.566620546593018</v>
      </c>
      <c r="F437">
        <v>2452.8090349424701</v>
      </c>
      <c r="G437">
        <v>9.0579999999999998</v>
      </c>
      <c r="H437">
        <v>6.3E-2</v>
      </c>
      <c r="I437">
        <v>343.2063</v>
      </c>
    </row>
    <row r="438" spans="1:9" x14ac:dyDescent="0.3">
      <c r="A438" t="s">
        <v>54</v>
      </c>
      <c r="B438" t="s">
        <v>491</v>
      </c>
      <c r="C438">
        <v>76</v>
      </c>
      <c r="D438">
        <v>3.8100000000000002E-2</v>
      </c>
      <c r="E438">
        <v>25.566620546593018</v>
      </c>
      <c r="F438">
        <v>2452.8090349424701</v>
      </c>
      <c r="G438">
        <v>9.0579999999999998</v>
      </c>
      <c r="H438">
        <v>6.3E-2</v>
      </c>
      <c r="I438">
        <v>343.40589999999997</v>
      </c>
    </row>
    <row r="439" spans="1:9" x14ac:dyDescent="0.3">
      <c r="A439" t="s">
        <v>54</v>
      </c>
      <c r="B439" t="s">
        <v>492</v>
      </c>
      <c r="C439">
        <v>76</v>
      </c>
      <c r="D439">
        <v>3.8100000000000002E-2</v>
      </c>
      <c r="E439">
        <v>25.566620546593018</v>
      </c>
      <c r="F439">
        <v>2452.8090349424701</v>
      </c>
      <c r="G439">
        <v>9.0579999999999998</v>
      </c>
      <c r="H439">
        <v>6.3E-2</v>
      </c>
      <c r="I439">
        <v>343.60680000000002</v>
      </c>
    </row>
    <row r="440" spans="1:9" x14ac:dyDescent="0.3">
      <c r="A440" t="s">
        <v>54</v>
      </c>
      <c r="B440" t="s">
        <v>493</v>
      </c>
      <c r="C440">
        <v>76</v>
      </c>
      <c r="D440">
        <v>3.8100000000000002E-2</v>
      </c>
      <c r="E440">
        <v>25.566620546593018</v>
      </c>
      <c r="F440">
        <v>2452.8090349424701</v>
      </c>
      <c r="G440">
        <v>9.0579999999999998</v>
      </c>
      <c r="H440">
        <v>6.3E-2</v>
      </c>
      <c r="I440">
        <v>343.80419999999998</v>
      </c>
    </row>
    <row r="441" spans="1:9" x14ac:dyDescent="0.3">
      <c r="A441" t="s">
        <v>54</v>
      </c>
      <c r="B441" t="s">
        <v>494</v>
      </c>
      <c r="C441">
        <v>76</v>
      </c>
      <c r="D441">
        <v>3.8100000000000002E-2</v>
      </c>
      <c r="E441">
        <v>21.511913046964182</v>
      </c>
      <c r="F441">
        <v>2074.9102959770621</v>
      </c>
      <c r="G441">
        <v>9.0579999999999998</v>
      </c>
      <c r="H441">
        <v>0</v>
      </c>
      <c r="I441">
        <v>344.00630000000001</v>
      </c>
    </row>
    <row r="442" spans="1:9" x14ac:dyDescent="0.3">
      <c r="A442" t="s">
        <v>54</v>
      </c>
      <c r="B442" t="s">
        <v>495</v>
      </c>
      <c r="C442">
        <v>76</v>
      </c>
      <c r="D442">
        <v>3.3599999999999998E-2</v>
      </c>
      <c r="E442">
        <v>21.511913046964182</v>
      </c>
      <c r="F442">
        <v>2074.9102959770621</v>
      </c>
      <c r="G442">
        <v>9.0579999999999998</v>
      </c>
      <c r="H442">
        <v>0</v>
      </c>
      <c r="I442">
        <v>344.2054</v>
      </c>
    </row>
    <row r="443" spans="1:9" x14ac:dyDescent="0.3">
      <c r="A443" t="s">
        <v>54</v>
      </c>
      <c r="B443" t="s">
        <v>496</v>
      </c>
      <c r="C443">
        <v>76</v>
      </c>
      <c r="D443">
        <v>2.07E-2</v>
      </c>
      <c r="E443">
        <v>21.511913046964182</v>
      </c>
      <c r="F443">
        <v>2074.9102959770621</v>
      </c>
      <c r="G443">
        <v>9.0579999999999998</v>
      </c>
      <c r="H443">
        <v>0</v>
      </c>
      <c r="I443">
        <v>344.40600000000001</v>
      </c>
    </row>
    <row r="444" spans="1:9" x14ac:dyDescent="0.3">
      <c r="A444" t="s">
        <v>54</v>
      </c>
      <c r="B444" t="s">
        <v>497</v>
      </c>
      <c r="C444">
        <v>76</v>
      </c>
      <c r="D444">
        <v>9.1999999999999998E-3</v>
      </c>
      <c r="E444">
        <v>21.511913046964182</v>
      </c>
      <c r="F444">
        <v>2074.9102959770621</v>
      </c>
      <c r="G444">
        <v>9.0579999999999998</v>
      </c>
      <c r="H444">
        <v>0</v>
      </c>
      <c r="I444">
        <v>344.6037</v>
      </c>
    </row>
    <row r="445" spans="1:9" x14ac:dyDescent="0.3">
      <c r="A445" t="s">
        <v>54</v>
      </c>
      <c r="B445" t="s">
        <v>498</v>
      </c>
      <c r="C445">
        <v>76</v>
      </c>
      <c r="D445">
        <v>-2.9999999999999997E-4</v>
      </c>
      <c r="E445">
        <v>21.511913046964182</v>
      </c>
      <c r="F445">
        <v>2074.9102959770621</v>
      </c>
      <c r="G445">
        <v>9.0579999999999998</v>
      </c>
      <c r="H445">
        <v>0</v>
      </c>
      <c r="I445">
        <v>344.80439999999999</v>
      </c>
    </row>
    <row r="446" spans="1:9" x14ac:dyDescent="0.3">
      <c r="A446" t="s">
        <v>54</v>
      </c>
      <c r="B446" t="s">
        <v>499</v>
      </c>
      <c r="C446">
        <v>76</v>
      </c>
      <c r="D446">
        <v>-3.0999999999999999E-3</v>
      </c>
      <c r="E446">
        <v>21.511913046964182</v>
      </c>
      <c r="F446">
        <v>2074.9102959770621</v>
      </c>
      <c r="G446">
        <v>9.0579999999999998</v>
      </c>
      <c r="H446">
        <v>0</v>
      </c>
      <c r="I446">
        <v>345.00639999999999</v>
      </c>
    </row>
    <row r="447" spans="1:9" x14ac:dyDescent="0.3">
      <c r="A447" t="s">
        <v>54</v>
      </c>
      <c r="B447" t="s">
        <v>500</v>
      </c>
      <c r="C447">
        <v>76</v>
      </c>
      <c r="D447">
        <v>-3.0999999999999999E-3</v>
      </c>
      <c r="E447">
        <v>21.511913046964182</v>
      </c>
      <c r="F447">
        <v>2074.9102959770621</v>
      </c>
      <c r="G447">
        <v>9.0579999999999998</v>
      </c>
      <c r="H447">
        <v>0</v>
      </c>
      <c r="I447">
        <v>345.2047</v>
      </c>
    </row>
    <row r="448" spans="1:9" x14ac:dyDescent="0.3">
      <c r="A448" t="s">
        <v>54</v>
      </c>
      <c r="B448" t="s">
        <v>501</v>
      </c>
      <c r="C448">
        <v>76</v>
      </c>
      <c r="D448">
        <v>-3.0999999999999999E-3</v>
      </c>
      <c r="E448">
        <v>21.511913046964182</v>
      </c>
      <c r="F448">
        <v>2074.9102959770621</v>
      </c>
      <c r="G448">
        <v>9.0579999999999998</v>
      </c>
      <c r="H448">
        <v>0</v>
      </c>
      <c r="I448">
        <v>345.40480000000002</v>
      </c>
    </row>
    <row r="449" spans="1:9" x14ac:dyDescent="0.3">
      <c r="A449" t="s">
        <v>54</v>
      </c>
      <c r="B449" t="s">
        <v>502</v>
      </c>
      <c r="C449">
        <v>76</v>
      </c>
      <c r="D449">
        <v>-3.0999999999999999E-3</v>
      </c>
      <c r="E449">
        <v>21.511913046964182</v>
      </c>
      <c r="F449">
        <v>2074.9102959770621</v>
      </c>
      <c r="G449">
        <v>9.0579999999999998</v>
      </c>
      <c r="H449">
        <v>0</v>
      </c>
      <c r="I449">
        <v>345.60509999999999</v>
      </c>
    </row>
    <row r="450" spans="1:9" x14ac:dyDescent="0.3">
      <c r="A450" t="s">
        <v>54</v>
      </c>
      <c r="B450" t="s">
        <v>503</v>
      </c>
      <c r="C450">
        <v>76</v>
      </c>
      <c r="D450">
        <v>-3.0999999999999999E-3</v>
      </c>
      <c r="E450">
        <v>21.511913046964182</v>
      </c>
      <c r="F450">
        <v>2074.9102959770621</v>
      </c>
      <c r="G450">
        <v>9.0579999999999998</v>
      </c>
      <c r="H450">
        <v>0</v>
      </c>
      <c r="I450">
        <v>345.80450000000002</v>
      </c>
    </row>
    <row r="451" spans="1:9" x14ac:dyDescent="0.3">
      <c r="A451" t="s">
        <v>54</v>
      </c>
      <c r="B451" t="s">
        <v>504</v>
      </c>
      <c r="C451">
        <v>76</v>
      </c>
      <c r="D451">
        <v>-3.0999999999999999E-3</v>
      </c>
      <c r="E451">
        <v>21.511913046964182</v>
      </c>
      <c r="F451">
        <v>2074.9102959770621</v>
      </c>
      <c r="G451">
        <v>9.0579999999999998</v>
      </c>
      <c r="H451">
        <v>0</v>
      </c>
      <c r="I451">
        <v>346.0034</v>
      </c>
    </row>
    <row r="452" spans="1:9" x14ac:dyDescent="0.3">
      <c r="A452" t="s">
        <v>54</v>
      </c>
      <c r="B452" t="s">
        <v>505</v>
      </c>
      <c r="C452">
        <v>76</v>
      </c>
      <c r="D452">
        <v>-3.2000000000000002E-3</v>
      </c>
      <c r="E452">
        <v>21.511913046964182</v>
      </c>
      <c r="F452">
        <v>2074.9102959770621</v>
      </c>
      <c r="G452">
        <v>9.0579999999999998</v>
      </c>
      <c r="H452">
        <v>0</v>
      </c>
      <c r="I452">
        <v>346.20499999999998</v>
      </c>
    </row>
    <row r="453" spans="1:9" x14ac:dyDescent="0.3">
      <c r="A453" t="s">
        <v>54</v>
      </c>
      <c r="B453" t="s">
        <v>506</v>
      </c>
      <c r="C453">
        <v>76</v>
      </c>
      <c r="D453">
        <v>-3.0999999999999999E-3</v>
      </c>
      <c r="E453">
        <v>21.511913046964182</v>
      </c>
      <c r="F453">
        <v>2074.9102959770621</v>
      </c>
      <c r="G453">
        <v>9.0579999999999998</v>
      </c>
      <c r="H453">
        <v>0</v>
      </c>
      <c r="I453">
        <v>346.40499999999997</v>
      </c>
    </row>
    <row r="454" spans="1:9" x14ac:dyDescent="0.3">
      <c r="A454" t="s">
        <v>54</v>
      </c>
      <c r="B454" t="s">
        <v>507</v>
      </c>
      <c r="C454">
        <v>76</v>
      </c>
      <c r="D454">
        <v>-3.0999999999999999E-3</v>
      </c>
      <c r="E454">
        <v>21.511913046964182</v>
      </c>
      <c r="F454">
        <v>2074.9102959770621</v>
      </c>
      <c r="G454">
        <v>9.0579999999999998</v>
      </c>
      <c r="H454">
        <v>0</v>
      </c>
      <c r="I454">
        <v>346.60570000000001</v>
      </c>
    </row>
    <row r="455" spans="1:9" x14ac:dyDescent="0.3">
      <c r="A455" t="s">
        <v>54</v>
      </c>
      <c r="B455" t="s">
        <v>508</v>
      </c>
      <c r="C455">
        <v>76</v>
      </c>
      <c r="D455">
        <v>-3.0999999999999999E-3</v>
      </c>
      <c r="E455">
        <v>21.511913046964182</v>
      </c>
      <c r="F455">
        <v>2074.9102959770621</v>
      </c>
      <c r="G455">
        <v>9.0579999999999998</v>
      </c>
      <c r="H455">
        <v>0</v>
      </c>
      <c r="I455">
        <v>346.80700000000002</v>
      </c>
    </row>
    <row r="456" spans="1:9" x14ac:dyDescent="0.3">
      <c r="A456" t="s">
        <v>54</v>
      </c>
      <c r="B456" t="s">
        <v>509</v>
      </c>
      <c r="C456">
        <v>76</v>
      </c>
      <c r="D456">
        <v>-3.0999999999999999E-3</v>
      </c>
      <c r="E456">
        <v>21.511913046964182</v>
      </c>
      <c r="F456">
        <v>2074.9102959770621</v>
      </c>
      <c r="G456">
        <v>9.0579999999999998</v>
      </c>
      <c r="H456">
        <v>0</v>
      </c>
      <c r="I456">
        <v>347.00380000000001</v>
      </c>
    </row>
    <row r="457" spans="1:9" x14ac:dyDescent="0.3">
      <c r="A457" t="s">
        <v>54</v>
      </c>
      <c r="B457" t="s">
        <v>510</v>
      </c>
      <c r="C457">
        <v>76</v>
      </c>
      <c r="D457">
        <v>-3.0999999999999999E-3</v>
      </c>
      <c r="E457">
        <v>21.511913046964182</v>
      </c>
      <c r="F457">
        <v>2074.9102959770621</v>
      </c>
      <c r="G457">
        <v>9.0579999999999998</v>
      </c>
      <c r="H457">
        <v>0</v>
      </c>
      <c r="I457">
        <v>347.20729999999998</v>
      </c>
    </row>
    <row r="458" spans="1:9" x14ac:dyDescent="0.3">
      <c r="A458" t="s">
        <v>54</v>
      </c>
      <c r="B458" t="s">
        <v>511</v>
      </c>
      <c r="C458">
        <v>76</v>
      </c>
      <c r="D458">
        <v>-3.0999999999999999E-3</v>
      </c>
      <c r="E458">
        <v>21.511913046964182</v>
      </c>
      <c r="F458">
        <v>2074.9102959770621</v>
      </c>
      <c r="G458">
        <v>9.0579999999999998</v>
      </c>
      <c r="H458">
        <v>0</v>
      </c>
      <c r="I458">
        <v>347.40309999999999</v>
      </c>
    </row>
    <row r="459" spans="1:9" x14ac:dyDescent="0.3">
      <c r="A459" t="s">
        <v>54</v>
      </c>
      <c r="B459" t="s">
        <v>512</v>
      </c>
      <c r="C459">
        <v>76</v>
      </c>
      <c r="D459">
        <v>-3.0999999999999999E-3</v>
      </c>
      <c r="E459">
        <v>21.511913046964182</v>
      </c>
      <c r="F459">
        <v>2074.9102959770621</v>
      </c>
      <c r="G459">
        <v>9.0579999999999998</v>
      </c>
      <c r="H459">
        <v>0</v>
      </c>
      <c r="I459">
        <v>347.60289999999998</v>
      </c>
    </row>
    <row r="460" spans="1:9" x14ac:dyDescent="0.3">
      <c r="A460" t="s">
        <v>54</v>
      </c>
      <c r="B460" t="s">
        <v>513</v>
      </c>
      <c r="C460">
        <v>76</v>
      </c>
      <c r="D460">
        <v>-3.0999999999999999E-3</v>
      </c>
      <c r="E460">
        <v>21.511913046964182</v>
      </c>
      <c r="F460">
        <v>2074.9102959770621</v>
      </c>
      <c r="G460">
        <v>9.0579999999999998</v>
      </c>
      <c r="H460">
        <v>0</v>
      </c>
      <c r="I460">
        <v>347.8048</v>
      </c>
    </row>
    <row r="461" spans="1:9" x14ac:dyDescent="0.3">
      <c r="A461" t="s">
        <v>54</v>
      </c>
      <c r="B461" t="s">
        <v>514</v>
      </c>
      <c r="C461">
        <v>76</v>
      </c>
      <c r="D461">
        <v>-3.0999999999999999E-3</v>
      </c>
      <c r="E461">
        <v>25.566620546593018</v>
      </c>
      <c r="F461">
        <v>2566.2722898716779</v>
      </c>
      <c r="G461">
        <v>9.0579999999999998</v>
      </c>
      <c r="H461">
        <v>6.3E-2</v>
      </c>
      <c r="I461">
        <v>348.00709999999998</v>
      </c>
    </row>
    <row r="462" spans="1:9" x14ac:dyDescent="0.3">
      <c r="A462" t="s">
        <v>54</v>
      </c>
      <c r="B462" t="s">
        <v>515</v>
      </c>
      <c r="C462">
        <v>76</v>
      </c>
      <c r="D462">
        <v>1.44E-2</v>
      </c>
      <c r="E462">
        <v>25.566620546593018</v>
      </c>
      <c r="F462">
        <v>2452.8090349424701</v>
      </c>
      <c r="G462">
        <v>9.0579999999999998</v>
      </c>
      <c r="H462">
        <v>6.3E-2</v>
      </c>
      <c r="I462">
        <v>348.2054</v>
      </c>
    </row>
    <row r="463" spans="1:9" x14ac:dyDescent="0.3">
      <c r="A463" t="s">
        <v>54</v>
      </c>
      <c r="B463" t="s">
        <v>516</v>
      </c>
      <c r="C463">
        <v>76</v>
      </c>
      <c r="D463">
        <v>3.0700000000000002E-2</v>
      </c>
      <c r="E463">
        <v>25.566620546593018</v>
      </c>
      <c r="F463">
        <v>2452.8090349424701</v>
      </c>
      <c r="G463">
        <v>9.0579999999999998</v>
      </c>
      <c r="H463">
        <v>6.3E-2</v>
      </c>
      <c r="I463">
        <v>348.40730000000002</v>
      </c>
    </row>
    <row r="464" spans="1:9" x14ac:dyDescent="0.3">
      <c r="A464" t="s">
        <v>54</v>
      </c>
      <c r="B464" t="s">
        <v>517</v>
      </c>
      <c r="C464">
        <v>76</v>
      </c>
      <c r="D464">
        <v>3.5900000000000001E-2</v>
      </c>
      <c r="E464">
        <v>25.566620546593018</v>
      </c>
      <c r="F464">
        <v>2452.8090349424701</v>
      </c>
      <c r="G464">
        <v>9.0579999999999998</v>
      </c>
      <c r="H464">
        <v>6.3E-2</v>
      </c>
      <c r="I464">
        <v>348.6035</v>
      </c>
    </row>
    <row r="465" spans="1:9" x14ac:dyDescent="0.3">
      <c r="A465" t="s">
        <v>54</v>
      </c>
      <c r="B465" t="s">
        <v>518</v>
      </c>
      <c r="C465">
        <v>76</v>
      </c>
      <c r="D465">
        <v>3.78E-2</v>
      </c>
      <c r="E465">
        <v>25.566620546593018</v>
      </c>
      <c r="F465">
        <v>2452.8090349424701</v>
      </c>
      <c r="G465">
        <v>9.0579999999999998</v>
      </c>
      <c r="H465">
        <v>6.3E-2</v>
      </c>
      <c r="I465">
        <v>348.80610000000001</v>
      </c>
    </row>
    <row r="466" spans="1:9" x14ac:dyDescent="0.3">
      <c r="A466" t="s">
        <v>54</v>
      </c>
      <c r="B466" t="s">
        <v>519</v>
      </c>
      <c r="C466">
        <v>76</v>
      </c>
      <c r="D466">
        <v>3.8100000000000002E-2</v>
      </c>
      <c r="E466">
        <v>25.566620546593018</v>
      </c>
      <c r="F466">
        <v>2452.8090349424701</v>
      </c>
      <c r="G466">
        <v>9.0579999999999998</v>
      </c>
      <c r="H466">
        <v>6.3E-2</v>
      </c>
      <c r="I466">
        <v>349.00549999999998</v>
      </c>
    </row>
    <row r="467" spans="1:9" x14ac:dyDescent="0.3">
      <c r="A467" t="s">
        <v>54</v>
      </c>
      <c r="B467" t="s">
        <v>520</v>
      </c>
      <c r="C467">
        <v>76</v>
      </c>
      <c r="D467">
        <v>3.8100000000000002E-2</v>
      </c>
      <c r="E467">
        <v>25.566620546593018</v>
      </c>
      <c r="F467">
        <v>2452.8090349424701</v>
      </c>
      <c r="G467">
        <v>9.0579999999999998</v>
      </c>
      <c r="H467">
        <v>6.3E-2</v>
      </c>
      <c r="I467">
        <v>349.20429999999999</v>
      </c>
    </row>
    <row r="468" spans="1:9" x14ac:dyDescent="0.3">
      <c r="A468" t="s">
        <v>54</v>
      </c>
      <c r="B468" t="s">
        <v>521</v>
      </c>
      <c r="C468">
        <v>76</v>
      </c>
      <c r="D468">
        <v>3.8100000000000002E-2</v>
      </c>
      <c r="E468">
        <v>25.566620546593018</v>
      </c>
      <c r="F468">
        <v>2452.8090349424701</v>
      </c>
      <c r="G468">
        <v>9.0579999999999998</v>
      </c>
      <c r="H468">
        <v>6.3E-2</v>
      </c>
      <c r="I468">
        <v>349.40379999999999</v>
      </c>
    </row>
    <row r="469" spans="1:9" x14ac:dyDescent="0.3">
      <c r="A469" t="s">
        <v>54</v>
      </c>
      <c r="B469" t="s">
        <v>522</v>
      </c>
      <c r="C469">
        <v>76</v>
      </c>
      <c r="D469">
        <v>3.8100000000000002E-2</v>
      </c>
      <c r="E469">
        <v>25.566620546593018</v>
      </c>
      <c r="F469">
        <v>2452.8090349424701</v>
      </c>
      <c r="G469">
        <v>9.0579999999999998</v>
      </c>
      <c r="H469">
        <v>6.3E-2</v>
      </c>
      <c r="I469">
        <v>349.60390000000001</v>
      </c>
    </row>
    <row r="470" spans="1:9" x14ac:dyDescent="0.3">
      <c r="A470" t="s">
        <v>54</v>
      </c>
      <c r="B470" t="s">
        <v>523</v>
      </c>
      <c r="C470">
        <v>76</v>
      </c>
      <c r="D470">
        <v>3.8100000000000002E-2</v>
      </c>
      <c r="E470">
        <v>25.566620546593018</v>
      </c>
      <c r="F470">
        <v>2452.8090349424701</v>
      </c>
      <c r="G470">
        <v>9.0579999999999998</v>
      </c>
      <c r="H470">
        <v>6.3E-2</v>
      </c>
      <c r="I470">
        <v>349.80509999999998</v>
      </c>
    </row>
    <row r="471" spans="1:9" x14ac:dyDescent="0.3">
      <c r="A471" t="s">
        <v>54</v>
      </c>
      <c r="B471" t="s">
        <v>524</v>
      </c>
      <c r="C471">
        <v>76</v>
      </c>
      <c r="D471">
        <v>3.7999999999999999E-2</v>
      </c>
      <c r="E471">
        <v>25.566620546593018</v>
      </c>
      <c r="F471">
        <v>2452.8090349424701</v>
      </c>
      <c r="G471">
        <v>9.0579999999999998</v>
      </c>
      <c r="H471">
        <v>6.3E-2</v>
      </c>
      <c r="I471">
        <v>350.00630000000001</v>
      </c>
    </row>
    <row r="472" spans="1:9" x14ac:dyDescent="0.3">
      <c r="A472" t="s">
        <v>54</v>
      </c>
      <c r="B472" t="s">
        <v>525</v>
      </c>
      <c r="C472">
        <v>76</v>
      </c>
      <c r="D472">
        <v>3.7999999999999999E-2</v>
      </c>
      <c r="E472">
        <v>25.566620546593018</v>
      </c>
      <c r="F472">
        <v>2452.8090349424701</v>
      </c>
      <c r="G472">
        <v>9.0579999999999998</v>
      </c>
      <c r="H472">
        <v>6.3E-2</v>
      </c>
      <c r="I472">
        <v>350.20639999999997</v>
      </c>
    </row>
    <row r="473" spans="1:9" x14ac:dyDescent="0.3">
      <c r="A473" t="s">
        <v>54</v>
      </c>
      <c r="B473" t="s">
        <v>526</v>
      </c>
      <c r="C473">
        <v>76</v>
      </c>
      <c r="D473">
        <v>3.7999999999999999E-2</v>
      </c>
      <c r="E473">
        <v>25.566620546593018</v>
      </c>
      <c r="F473">
        <v>2452.8090349424701</v>
      </c>
      <c r="G473">
        <v>9.0579999999999998</v>
      </c>
      <c r="H473">
        <v>6.3E-2</v>
      </c>
      <c r="I473">
        <v>350.40620000000001</v>
      </c>
    </row>
    <row r="474" spans="1:9" x14ac:dyDescent="0.3">
      <c r="A474" t="s">
        <v>54</v>
      </c>
      <c r="B474" t="s">
        <v>527</v>
      </c>
      <c r="C474">
        <v>76</v>
      </c>
      <c r="D474">
        <v>3.8100000000000002E-2</v>
      </c>
      <c r="E474">
        <v>25.566620546593018</v>
      </c>
      <c r="F474">
        <v>2452.8090349424701</v>
      </c>
      <c r="G474">
        <v>9.0579999999999998</v>
      </c>
      <c r="H474">
        <v>6.3E-2</v>
      </c>
      <c r="I474">
        <v>350.60750000000002</v>
      </c>
    </row>
    <row r="475" spans="1:9" x14ac:dyDescent="0.3">
      <c r="A475" t="s">
        <v>54</v>
      </c>
      <c r="B475" t="s">
        <v>528</v>
      </c>
      <c r="C475">
        <v>76</v>
      </c>
      <c r="D475">
        <v>3.8100000000000002E-2</v>
      </c>
      <c r="E475">
        <v>25.566620546593018</v>
      </c>
      <c r="F475">
        <v>2452.8090349424701</v>
      </c>
      <c r="G475">
        <v>9.0579999999999998</v>
      </c>
      <c r="H475">
        <v>6.3E-2</v>
      </c>
      <c r="I475">
        <v>350.80520000000001</v>
      </c>
    </row>
    <row r="476" spans="1:9" x14ac:dyDescent="0.3">
      <c r="A476" t="s">
        <v>54</v>
      </c>
      <c r="B476" t="s">
        <v>529</v>
      </c>
      <c r="C476">
        <v>76</v>
      </c>
      <c r="D476">
        <v>3.8100000000000002E-2</v>
      </c>
      <c r="E476">
        <v>25.566620546593018</v>
      </c>
      <c r="F476">
        <v>2452.8090349424701</v>
      </c>
      <c r="G476">
        <v>9.0579999999999998</v>
      </c>
      <c r="H476">
        <v>6.3E-2</v>
      </c>
      <c r="I476">
        <v>351.00619999999998</v>
      </c>
    </row>
    <row r="477" spans="1:9" x14ac:dyDescent="0.3">
      <c r="A477" t="s">
        <v>54</v>
      </c>
      <c r="B477" t="s">
        <v>530</v>
      </c>
      <c r="C477">
        <v>76</v>
      </c>
      <c r="D477">
        <v>3.7999999999999999E-2</v>
      </c>
      <c r="E477">
        <v>25.566620546593018</v>
      </c>
      <c r="F477">
        <v>2452.8090349424701</v>
      </c>
      <c r="G477">
        <v>9.0579999999999998</v>
      </c>
      <c r="H477">
        <v>6.3E-2</v>
      </c>
      <c r="I477">
        <v>351.20650000000001</v>
      </c>
    </row>
    <row r="478" spans="1:9" x14ac:dyDescent="0.3">
      <c r="A478" t="s">
        <v>54</v>
      </c>
      <c r="B478" t="s">
        <v>531</v>
      </c>
      <c r="C478">
        <v>76</v>
      </c>
      <c r="D478">
        <v>3.7999999999999999E-2</v>
      </c>
      <c r="E478">
        <v>25.566620546593018</v>
      </c>
      <c r="F478">
        <v>2452.8090349424701</v>
      </c>
      <c r="G478">
        <v>9.0579999999999998</v>
      </c>
      <c r="H478">
        <v>6.3E-2</v>
      </c>
      <c r="I478">
        <v>351.40530000000001</v>
      </c>
    </row>
    <row r="479" spans="1:9" x14ac:dyDescent="0.3">
      <c r="A479" t="s">
        <v>54</v>
      </c>
      <c r="B479" t="s">
        <v>532</v>
      </c>
      <c r="C479">
        <v>76</v>
      </c>
      <c r="D479">
        <v>3.8100000000000002E-2</v>
      </c>
      <c r="E479">
        <v>25.566620546593018</v>
      </c>
      <c r="F479">
        <v>2452.8090349424701</v>
      </c>
      <c r="G479">
        <v>9.0579999999999998</v>
      </c>
      <c r="H479">
        <v>6.3E-2</v>
      </c>
      <c r="I479">
        <v>351.60640000000001</v>
      </c>
    </row>
    <row r="480" spans="1:9" x14ac:dyDescent="0.3">
      <c r="A480" t="s">
        <v>54</v>
      </c>
      <c r="B480" t="s">
        <v>533</v>
      </c>
      <c r="C480">
        <v>76</v>
      </c>
      <c r="D480">
        <v>3.7999999999999999E-2</v>
      </c>
      <c r="E480">
        <v>25.566620546593018</v>
      </c>
      <c r="F480">
        <v>2452.8090349424701</v>
      </c>
      <c r="G480">
        <v>9.0579999999999998</v>
      </c>
      <c r="H480">
        <v>6.3E-2</v>
      </c>
      <c r="I480">
        <v>351.80759999999998</v>
      </c>
    </row>
    <row r="481" spans="1:9" x14ac:dyDescent="0.3">
      <c r="A481" t="s">
        <v>54</v>
      </c>
      <c r="B481" t="s">
        <v>534</v>
      </c>
      <c r="C481">
        <v>76</v>
      </c>
      <c r="D481">
        <v>3.8100000000000002E-2</v>
      </c>
      <c r="E481">
        <v>21.511913046964182</v>
      </c>
      <c r="F481">
        <v>2074.9102959770621</v>
      </c>
      <c r="G481">
        <v>9.0579999999999998</v>
      </c>
      <c r="H481">
        <v>0</v>
      </c>
      <c r="I481">
        <v>352.00369999999998</v>
      </c>
    </row>
    <row r="482" spans="1:9" x14ac:dyDescent="0.3">
      <c r="A482" t="s">
        <v>54</v>
      </c>
      <c r="B482" t="s">
        <v>535</v>
      </c>
      <c r="C482">
        <v>76</v>
      </c>
      <c r="D482">
        <v>3.1699999999999999E-2</v>
      </c>
      <c r="E482">
        <v>21.511913046964182</v>
      </c>
      <c r="F482">
        <v>2074.9102959770621</v>
      </c>
      <c r="G482">
        <v>9.0579999999999998</v>
      </c>
      <c r="H482">
        <v>0</v>
      </c>
      <c r="I482">
        <v>352.20580000000001</v>
      </c>
    </row>
    <row r="483" spans="1:9" x14ac:dyDescent="0.3">
      <c r="A483" t="s">
        <v>54</v>
      </c>
      <c r="B483" t="s">
        <v>536</v>
      </c>
      <c r="C483">
        <v>76</v>
      </c>
      <c r="D483">
        <v>1.9599999999999999E-2</v>
      </c>
      <c r="E483">
        <v>21.511913046964182</v>
      </c>
      <c r="F483">
        <v>2074.9102959770621</v>
      </c>
      <c r="G483">
        <v>9.0579999999999998</v>
      </c>
      <c r="H483">
        <v>0</v>
      </c>
      <c r="I483">
        <v>352.40440000000001</v>
      </c>
    </row>
    <row r="484" spans="1:9" x14ac:dyDescent="0.3">
      <c r="A484" t="s">
        <v>54</v>
      </c>
      <c r="B484" t="s">
        <v>537</v>
      </c>
      <c r="C484">
        <v>76</v>
      </c>
      <c r="D484">
        <v>9.4000000000000004E-3</v>
      </c>
      <c r="E484">
        <v>21.511913046964182</v>
      </c>
      <c r="F484">
        <v>2074.9102959770621</v>
      </c>
      <c r="G484">
        <v>9.0579999999999998</v>
      </c>
      <c r="H484">
        <v>0</v>
      </c>
      <c r="I484">
        <v>352.60570000000001</v>
      </c>
    </row>
    <row r="485" spans="1:9" x14ac:dyDescent="0.3">
      <c r="A485" t="s">
        <v>54</v>
      </c>
      <c r="B485" t="s">
        <v>538</v>
      </c>
      <c r="C485">
        <v>76</v>
      </c>
      <c r="D485">
        <v>-5.0000000000000001E-4</v>
      </c>
      <c r="E485">
        <v>21.511913046964182</v>
      </c>
      <c r="F485">
        <v>2074.9102959770621</v>
      </c>
      <c r="G485">
        <v>9.0579999999999998</v>
      </c>
      <c r="H485">
        <v>0</v>
      </c>
      <c r="I485">
        <v>352.80430000000001</v>
      </c>
    </row>
    <row r="486" spans="1:9" x14ac:dyDescent="0.3">
      <c r="A486" t="s">
        <v>54</v>
      </c>
      <c r="B486" t="s">
        <v>539</v>
      </c>
      <c r="C486">
        <v>76</v>
      </c>
      <c r="D486">
        <v>-3.0999999999999999E-3</v>
      </c>
      <c r="E486">
        <v>21.511913046964182</v>
      </c>
      <c r="F486">
        <v>2074.9102959770621</v>
      </c>
      <c r="G486">
        <v>9.0579999999999998</v>
      </c>
      <c r="H486">
        <v>0</v>
      </c>
      <c r="I486">
        <v>353.00540000000001</v>
      </c>
    </row>
    <row r="487" spans="1:9" x14ac:dyDescent="0.3">
      <c r="A487" t="s">
        <v>54</v>
      </c>
      <c r="B487" t="s">
        <v>540</v>
      </c>
      <c r="C487">
        <v>76</v>
      </c>
      <c r="D487">
        <v>-3.0999999999999999E-3</v>
      </c>
      <c r="E487">
        <v>21.511913046964182</v>
      </c>
      <c r="F487">
        <v>2074.9102959770621</v>
      </c>
      <c r="G487">
        <v>9.0579999999999998</v>
      </c>
      <c r="H487">
        <v>0</v>
      </c>
      <c r="I487">
        <v>353.20479999999998</v>
      </c>
    </row>
    <row r="488" spans="1:9" x14ac:dyDescent="0.3">
      <c r="A488" t="s">
        <v>54</v>
      </c>
      <c r="B488" t="s">
        <v>541</v>
      </c>
      <c r="C488">
        <v>76</v>
      </c>
      <c r="D488">
        <v>-3.0999999999999999E-3</v>
      </c>
      <c r="E488">
        <v>21.511913046964182</v>
      </c>
      <c r="F488">
        <v>2074.9102959770621</v>
      </c>
      <c r="G488">
        <v>9.0579999999999998</v>
      </c>
      <c r="H488">
        <v>0</v>
      </c>
      <c r="I488">
        <v>353.40410000000003</v>
      </c>
    </row>
    <row r="489" spans="1:9" x14ac:dyDescent="0.3">
      <c r="A489" t="s">
        <v>54</v>
      </c>
      <c r="B489" t="s">
        <v>542</v>
      </c>
      <c r="C489">
        <v>76</v>
      </c>
      <c r="D489">
        <v>-3.0999999999999999E-3</v>
      </c>
      <c r="E489">
        <v>21.511913046964182</v>
      </c>
      <c r="F489">
        <v>2074.9102959770621</v>
      </c>
      <c r="G489">
        <v>9.0579999999999998</v>
      </c>
      <c r="H489">
        <v>0</v>
      </c>
      <c r="I489">
        <v>353.60399999999998</v>
      </c>
    </row>
    <row r="490" spans="1:9" x14ac:dyDescent="0.3">
      <c r="A490" t="s">
        <v>54</v>
      </c>
      <c r="B490" t="s">
        <v>543</v>
      </c>
      <c r="C490">
        <v>76</v>
      </c>
      <c r="D490">
        <v>-3.0999999999999999E-3</v>
      </c>
      <c r="E490">
        <v>21.511913046964182</v>
      </c>
      <c r="F490">
        <v>2074.9102959770621</v>
      </c>
      <c r="G490">
        <v>9.0579999999999998</v>
      </c>
      <c r="H490">
        <v>0</v>
      </c>
      <c r="I490">
        <v>353.80669999999998</v>
      </c>
    </row>
    <row r="491" spans="1:9" x14ac:dyDescent="0.3">
      <c r="A491" t="s">
        <v>54</v>
      </c>
      <c r="B491" t="s">
        <v>544</v>
      </c>
      <c r="C491">
        <v>76</v>
      </c>
      <c r="D491">
        <v>-3.0999999999999999E-3</v>
      </c>
      <c r="E491">
        <v>21.511913046964182</v>
      </c>
      <c r="F491">
        <v>2074.9102959770621</v>
      </c>
      <c r="G491">
        <v>9.0579999999999998</v>
      </c>
      <c r="H491">
        <v>0</v>
      </c>
      <c r="I491">
        <v>354.00560000000002</v>
      </c>
    </row>
    <row r="492" spans="1:9" x14ac:dyDescent="0.3">
      <c r="A492" t="s">
        <v>54</v>
      </c>
      <c r="B492" t="s">
        <v>545</v>
      </c>
      <c r="C492">
        <v>76</v>
      </c>
      <c r="D492">
        <v>-3.2000000000000002E-3</v>
      </c>
      <c r="E492">
        <v>21.511913046964182</v>
      </c>
      <c r="F492">
        <v>2074.9102959770621</v>
      </c>
      <c r="G492">
        <v>9.0579999999999998</v>
      </c>
      <c r="H492">
        <v>0</v>
      </c>
      <c r="I492">
        <v>354.20460000000003</v>
      </c>
    </row>
    <row r="493" spans="1:9" x14ac:dyDescent="0.3">
      <c r="A493" t="s">
        <v>54</v>
      </c>
      <c r="B493" t="s">
        <v>546</v>
      </c>
      <c r="C493">
        <v>76</v>
      </c>
      <c r="D493">
        <v>-3.0999999999999999E-3</v>
      </c>
      <c r="E493">
        <v>21.511913046964182</v>
      </c>
      <c r="F493">
        <v>2074.9102959770621</v>
      </c>
      <c r="G493">
        <v>9.0579999999999998</v>
      </c>
      <c r="H493">
        <v>0</v>
      </c>
      <c r="I493">
        <v>354.4083</v>
      </c>
    </row>
    <row r="494" spans="1:9" x14ac:dyDescent="0.3">
      <c r="A494" t="s">
        <v>54</v>
      </c>
      <c r="B494" t="s">
        <v>547</v>
      </c>
      <c r="C494">
        <v>76</v>
      </c>
      <c r="D494">
        <v>-3.0999999999999999E-3</v>
      </c>
      <c r="E494">
        <v>21.511913046964182</v>
      </c>
      <c r="F494">
        <v>2074.9102959770621</v>
      </c>
      <c r="G494">
        <v>9.0579999999999998</v>
      </c>
      <c r="H494">
        <v>0</v>
      </c>
      <c r="I494">
        <v>354.60390000000001</v>
      </c>
    </row>
    <row r="495" spans="1:9" x14ac:dyDescent="0.3">
      <c r="A495" t="s">
        <v>54</v>
      </c>
      <c r="B495" t="s">
        <v>548</v>
      </c>
      <c r="C495">
        <v>76</v>
      </c>
      <c r="D495">
        <v>-3.0999999999999999E-3</v>
      </c>
      <c r="E495">
        <v>21.511913046964182</v>
      </c>
      <c r="F495">
        <v>2074.9102959770621</v>
      </c>
      <c r="G495">
        <v>9.0579999999999998</v>
      </c>
      <c r="H495">
        <v>0</v>
      </c>
      <c r="I495">
        <v>354.80459999999999</v>
      </c>
    </row>
    <row r="496" spans="1:9" x14ac:dyDescent="0.3">
      <c r="A496" t="s">
        <v>54</v>
      </c>
      <c r="B496" t="s">
        <v>549</v>
      </c>
      <c r="C496">
        <v>76</v>
      </c>
      <c r="D496">
        <v>-3.0999999999999999E-3</v>
      </c>
      <c r="E496">
        <v>21.511913046964182</v>
      </c>
      <c r="F496">
        <v>2074.9102959770621</v>
      </c>
      <c r="G496">
        <v>9.0579999999999998</v>
      </c>
      <c r="H496">
        <v>0</v>
      </c>
      <c r="I496">
        <v>355.0061</v>
      </c>
    </row>
    <row r="497" spans="1:9" x14ac:dyDescent="0.3">
      <c r="A497" t="s">
        <v>54</v>
      </c>
      <c r="B497" t="s">
        <v>550</v>
      </c>
      <c r="C497">
        <v>76</v>
      </c>
      <c r="D497">
        <v>-3.0999999999999999E-3</v>
      </c>
      <c r="E497">
        <v>21.511913046964182</v>
      </c>
      <c r="F497">
        <v>2074.9102959770621</v>
      </c>
      <c r="G497">
        <v>9.0579999999999998</v>
      </c>
      <c r="H497">
        <v>0</v>
      </c>
      <c r="I497">
        <v>355.2038</v>
      </c>
    </row>
    <row r="498" spans="1:9" x14ac:dyDescent="0.3">
      <c r="A498" t="s">
        <v>54</v>
      </c>
      <c r="B498" t="s">
        <v>551</v>
      </c>
      <c r="C498">
        <v>76</v>
      </c>
      <c r="D498">
        <v>-3.0999999999999999E-3</v>
      </c>
      <c r="E498">
        <v>21.511913046964182</v>
      </c>
      <c r="F498">
        <v>2074.9102959770621</v>
      </c>
      <c r="G498">
        <v>9.0579999999999998</v>
      </c>
      <c r="H498">
        <v>0</v>
      </c>
      <c r="I498">
        <v>355.40839999999997</v>
      </c>
    </row>
    <row r="499" spans="1:9" x14ac:dyDescent="0.3">
      <c r="A499" t="s">
        <v>54</v>
      </c>
      <c r="B499" t="s">
        <v>552</v>
      </c>
      <c r="C499">
        <v>76</v>
      </c>
      <c r="D499">
        <v>-3.0999999999999999E-3</v>
      </c>
      <c r="E499">
        <v>21.511913046964182</v>
      </c>
      <c r="F499">
        <v>2074.9102959770621</v>
      </c>
      <c r="G499">
        <v>9.0579999999999998</v>
      </c>
      <c r="H499">
        <v>0</v>
      </c>
      <c r="I499">
        <v>355.60660000000001</v>
      </c>
    </row>
    <row r="500" spans="1:9" x14ac:dyDescent="0.3">
      <c r="A500" t="s">
        <v>54</v>
      </c>
      <c r="B500" t="s">
        <v>553</v>
      </c>
      <c r="C500">
        <v>76</v>
      </c>
      <c r="D500">
        <v>-3.0999999999999999E-3</v>
      </c>
      <c r="E500">
        <v>21.511913046964182</v>
      </c>
      <c r="F500">
        <v>2074.9102959770621</v>
      </c>
      <c r="G500">
        <v>9.0579999999999998</v>
      </c>
      <c r="H500">
        <v>0</v>
      </c>
      <c r="I500">
        <v>355.80590000000001</v>
      </c>
    </row>
    <row r="501" spans="1:9" x14ac:dyDescent="0.3">
      <c r="A501" t="s">
        <v>54</v>
      </c>
      <c r="B501" t="s">
        <v>554</v>
      </c>
      <c r="C501">
        <v>76</v>
      </c>
      <c r="D501">
        <v>-3.0999999999999999E-3</v>
      </c>
      <c r="E501">
        <v>25.566620546593018</v>
      </c>
      <c r="F501">
        <v>2566.2722898716779</v>
      </c>
      <c r="G501">
        <v>9.0579999999999998</v>
      </c>
      <c r="H501">
        <v>6.3E-2</v>
      </c>
      <c r="I501">
        <v>356.00349999999997</v>
      </c>
    </row>
    <row r="502" spans="1:9" x14ac:dyDescent="0.3">
      <c r="A502" t="s">
        <v>54</v>
      </c>
      <c r="B502" t="s">
        <v>555</v>
      </c>
      <c r="C502">
        <v>76</v>
      </c>
      <c r="D502">
        <v>1.37E-2</v>
      </c>
      <c r="E502">
        <v>25.566620546593018</v>
      </c>
      <c r="F502">
        <v>2452.8090349424701</v>
      </c>
      <c r="G502">
        <v>9.0579999999999998</v>
      </c>
      <c r="H502">
        <v>6.3E-2</v>
      </c>
      <c r="I502">
        <v>356.2038</v>
      </c>
    </row>
    <row r="503" spans="1:9" x14ac:dyDescent="0.3">
      <c r="A503" t="s">
        <v>54</v>
      </c>
      <c r="B503" t="s">
        <v>556</v>
      </c>
      <c r="C503">
        <v>76</v>
      </c>
      <c r="D503">
        <v>3.04E-2</v>
      </c>
      <c r="E503">
        <v>25.566620546593018</v>
      </c>
      <c r="F503">
        <v>2452.8090349424701</v>
      </c>
      <c r="G503">
        <v>9.0579999999999998</v>
      </c>
      <c r="H503">
        <v>6.3E-2</v>
      </c>
      <c r="I503">
        <v>356.40559999999999</v>
      </c>
    </row>
    <row r="504" spans="1:9" x14ac:dyDescent="0.3">
      <c r="A504" t="s">
        <v>54</v>
      </c>
      <c r="B504" t="s">
        <v>557</v>
      </c>
      <c r="C504">
        <v>76</v>
      </c>
      <c r="D504">
        <v>3.5999999999999997E-2</v>
      </c>
      <c r="E504">
        <v>25.566620546593018</v>
      </c>
      <c r="F504">
        <v>2452.8090349424701</v>
      </c>
      <c r="G504">
        <v>9.0579999999999998</v>
      </c>
      <c r="H504">
        <v>6.3E-2</v>
      </c>
      <c r="I504">
        <v>356.60860000000002</v>
      </c>
    </row>
    <row r="505" spans="1:9" x14ac:dyDescent="0.3">
      <c r="A505" t="s">
        <v>54</v>
      </c>
      <c r="B505" t="s">
        <v>558</v>
      </c>
      <c r="C505">
        <v>76</v>
      </c>
      <c r="D505">
        <v>3.7600000000000001E-2</v>
      </c>
      <c r="E505">
        <v>25.566620546593018</v>
      </c>
      <c r="F505">
        <v>2452.8090349424701</v>
      </c>
      <c r="G505">
        <v>9.0579999999999998</v>
      </c>
      <c r="H505">
        <v>6.3E-2</v>
      </c>
      <c r="I505">
        <v>356.80579999999998</v>
      </c>
    </row>
    <row r="506" spans="1:9" x14ac:dyDescent="0.3">
      <c r="A506" t="s">
        <v>54</v>
      </c>
      <c r="B506" t="s">
        <v>559</v>
      </c>
      <c r="C506">
        <v>76</v>
      </c>
      <c r="D506">
        <v>3.8100000000000002E-2</v>
      </c>
      <c r="E506">
        <v>25.566620546593018</v>
      </c>
      <c r="F506">
        <v>2452.8090349424701</v>
      </c>
      <c r="G506">
        <v>9.0579999999999998</v>
      </c>
      <c r="H506">
        <v>6.3E-2</v>
      </c>
      <c r="I506">
        <v>357.00420000000003</v>
      </c>
    </row>
    <row r="507" spans="1:9" x14ac:dyDescent="0.3">
      <c r="A507" t="s">
        <v>54</v>
      </c>
      <c r="B507" t="s">
        <v>560</v>
      </c>
      <c r="C507">
        <v>76</v>
      </c>
      <c r="D507">
        <v>3.8100000000000002E-2</v>
      </c>
      <c r="E507">
        <v>25.566620546593018</v>
      </c>
      <c r="F507">
        <v>2452.8090349424701</v>
      </c>
      <c r="G507">
        <v>9.0579999999999998</v>
      </c>
      <c r="H507">
        <v>6.3E-2</v>
      </c>
      <c r="I507">
        <v>357.20670000000001</v>
      </c>
    </row>
    <row r="508" spans="1:9" x14ac:dyDescent="0.3">
      <c r="A508" t="s">
        <v>54</v>
      </c>
      <c r="B508" t="s">
        <v>561</v>
      </c>
      <c r="C508">
        <v>76</v>
      </c>
      <c r="D508">
        <v>3.8100000000000002E-2</v>
      </c>
      <c r="E508">
        <v>25.566620546593018</v>
      </c>
      <c r="F508">
        <v>2452.8090349424701</v>
      </c>
      <c r="G508">
        <v>9.0579999999999998</v>
      </c>
      <c r="H508">
        <v>6.3E-2</v>
      </c>
      <c r="I508">
        <v>357.40370000000001</v>
      </c>
    </row>
    <row r="509" spans="1:9" x14ac:dyDescent="0.3">
      <c r="A509" t="s">
        <v>54</v>
      </c>
      <c r="B509" t="s">
        <v>562</v>
      </c>
      <c r="C509">
        <v>76</v>
      </c>
      <c r="D509">
        <v>3.8100000000000002E-2</v>
      </c>
      <c r="E509">
        <v>25.566620546593018</v>
      </c>
      <c r="F509">
        <v>2452.8090349424701</v>
      </c>
      <c r="G509">
        <v>9.0579999999999998</v>
      </c>
      <c r="H509">
        <v>6.3E-2</v>
      </c>
      <c r="I509">
        <v>357.6046</v>
      </c>
    </row>
    <row r="510" spans="1:9" x14ac:dyDescent="0.3">
      <c r="A510" t="s">
        <v>54</v>
      </c>
      <c r="B510" t="s">
        <v>563</v>
      </c>
      <c r="C510">
        <v>76</v>
      </c>
      <c r="D510">
        <v>3.8100000000000002E-2</v>
      </c>
      <c r="E510">
        <v>25.566620546593018</v>
      </c>
      <c r="F510">
        <v>2452.8090349424701</v>
      </c>
      <c r="G510">
        <v>9.0579999999999998</v>
      </c>
      <c r="H510">
        <v>6.3E-2</v>
      </c>
      <c r="I510">
        <v>357.80689999999998</v>
      </c>
    </row>
    <row r="511" spans="1:9" x14ac:dyDescent="0.3">
      <c r="A511" t="s">
        <v>54</v>
      </c>
      <c r="B511" t="s">
        <v>564</v>
      </c>
      <c r="C511">
        <v>76</v>
      </c>
      <c r="D511">
        <v>3.8100000000000002E-2</v>
      </c>
      <c r="E511">
        <v>25.566620546593018</v>
      </c>
      <c r="F511">
        <v>2452.8090349424701</v>
      </c>
      <c r="G511">
        <v>9.0579999999999998</v>
      </c>
      <c r="H511">
        <v>6.3E-2</v>
      </c>
      <c r="I511">
        <v>358.00889999999998</v>
      </c>
    </row>
    <row r="512" spans="1:9" x14ac:dyDescent="0.3">
      <c r="A512" t="s">
        <v>54</v>
      </c>
      <c r="B512" t="s">
        <v>565</v>
      </c>
      <c r="C512">
        <v>76</v>
      </c>
      <c r="D512">
        <v>3.8100000000000002E-2</v>
      </c>
      <c r="E512">
        <v>25.566620546593018</v>
      </c>
      <c r="F512">
        <v>2452.8090349424701</v>
      </c>
      <c r="G512">
        <v>9.0579999999999998</v>
      </c>
      <c r="H512">
        <v>6.3E-2</v>
      </c>
      <c r="I512">
        <v>358.21100000000001</v>
      </c>
    </row>
    <row r="513" spans="1:9" x14ac:dyDescent="0.3">
      <c r="A513" t="s">
        <v>54</v>
      </c>
      <c r="B513" t="s">
        <v>566</v>
      </c>
      <c r="C513">
        <v>76</v>
      </c>
      <c r="D513">
        <v>3.8199999999999998E-2</v>
      </c>
      <c r="E513">
        <v>25.566620546593018</v>
      </c>
      <c r="F513">
        <v>2452.8090349424701</v>
      </c>
      <c r="G513">
        <v>9.0579999999999998</v>
      </c>
      <c r="H513">
        <v>6.3E-2</v>
      </c>
      <c r="I513">
        <v>358.41930000000002</v>
      </c>
    </row>
    <row r="514" spans="1:9" x14ac:dyDescent="0.3">
      <c r="A514" t="s">
        <v>54</v>
      </c>
      <c r="B514" t="s">
        <v>567</v>
      </c>
      <c r="C514">
        <v>76</v>
      </c>
      <c r="D514">
        <v>3.8199999999999998E-2</v>
      </c>
      <c r="E514">
        <v>25.566620546593018</v>
      </c>
      <c r="F514">
        <v>2452.8090349424701</v>
      </c>
      <c r="G514">
        <v>9.0579999999999998</v>
      </c>
      <c r="H514">
        <v>6.3E-2</v>
      </c>
      <c r="I514">
        <v>358.6035</v>
      </c>
    </row>
    <row r="515" spans="1:9" x14ac:dyDescent="0.3">
      <c r="A515" t="s">
        <v>54</v>
      </c>
      <c r="B515" t="s">
        <v>568</v>
      </c>
      <c r="C515">
        <v>76</v>
      </c>
      <c r="D515">
        <v>3.8100000000000002E-2</v>
      </c>
      <c r="E515">
        <v>25.566620546593018</v>
      </c>
      <c r="F515">
        <v>2452.8090349424701</v>
      </c>
      <c r="G515">
        <v>9.0579999999999998</v>
      </c>
      <c r="H515">
        <v>6.3E-2</v>
      </c>
      <c r="I515">
        <v>358.80579999999998</v>
      </c>
    </row>
    <row r="516" spans="1:9" x14ac:dyDescent="0.3">
      <c r="A516" t="s">
        <v>54</v>
      </c>
      <c r="B516" t="s">
        <v>569</v>
      </c>
      <c r="C516">
        <v>76</v>
      </c>
      <c r="D516">
        <v>3.8199999999999998E-2</v>
      </c>
      <c r="E516">
        <v>25.566620546593018</v>
      </c>
      <c r="F516">
        <v>2452.8090349424701</v>
      </c>
      <c r="G516">
        <v>9.0579999999999998</v>
      </c>
      <c r="H516">
        <v>6.3E-2</v>
      </c>
      <c r="I516">
        <v>359.00659999999999</v>
      </c>
    </row>
    <row r="517" spans="1:9" x14ac:dyDescent="0.3">
      <c r="A517" t="s">
        <v>54</v>
      </c>
      <c r="B517" t="s">
        <v>570</v>
      </c>
      <c r="C517">
        <v>76</v>
      </c>
      <c r="D517">
        <v>3.8199999999999998E-2</v>
      </c>
      <c r="E517">
        <v>25.566620546593018</v>
      </c>
      <c r="F517">
        <v>2452.8090349424701</v>
      </c>
      <c r="G517">
        <v>9.0579999999999998</v>
      </c>
      <c r="H517">
        <v>6.3E-2</v>
      </c>
      <c r="I517">
        <v>359.2054</v>
      </c>
    </row>
    <row r="518" spans="1:9" x14ac:dyDescent="0.3">
      <c r="A518" t="s">
        <v>54</v>
      </c>
      <c r="B518" t="s">
        <v>571</v>
      </c>
      <c r="C518">
        <v>76</v>
      </c>
      <c r="D518">
        <v>3.8100000000000002E-2</v>
      </c>
      <c r="E518">
        <v>25.566620546593018</v>
      </c>
      <c r="F518">
        <v>2452.8090349424701</v>
      </c>
      <c r="G518">
        <v>9.0579999999999998</v>
      </c>
      <c r="H518">
        <v>6.3E-2</v>
      </c>
      <c r="I518">
        <v>359.40559999999999</v>
      </c>
    </row>
    <row r="519" spans="1:9" x14ac:dyDescent="0.3">
      <c r="A519" t="s">
        <v>54</v>
      </c>
      <c r="B519" t="s">
        <v>572</v>
      </c>
      <c r="C519">
        <v>76</v>
      </c>
      <c r="D519">
        <v>3.8100000000000002E-2</v>
      </c>
      <c r="E519">
        <v>25.566620546593018</v>
      </c>
      <c r="F519">
        <v>2452.8090349424701</v>
      </c>
      <c r="G519">
        <v>9.0579999999999998</v>
      </c>
      <c r="H519">
        <v>6.3E-2</v>
      </c>
      <c r="I519">
        <v>359.60570000000001</v>
      </c>
    </row>
    <row r="520" spans="1:9" x14ac:dyDescent="0.3">
      <c r="A520" t="s">
        <v>54</v>
      </c>
      <c r="B520" t="s">
        <v>573</v>
      </c>
      <c r="C520">
        <v>76</v>
      </c>
      <c r="D520">
        <v>3.8199999999999998E-2</v>
      </c>
      <c r="E520">
        <v>25.566620546593018</v>
      </c>
      <c r="F520">
        <v>2452.8090349424701</v>
      </c>
      <c r="G520">
        <v>9.0579999999999998</v>
      </c>
      <c r="H520">
        <v>6.3E-2</v>
      </c>
      <c r="I520">
        <v>359.80669999999998</v>
      </c>
    </row>
    <row r="521" spans="1:9" x14ac:dyDescent="0.3">
      <c r="A521" t="s">
        <v>54</v>
      </c>
      <c r="B521" t="s">
        <v>574</v>
      </c>
      <c r="C521">
        <v>76</v>
      </c>
      <c r="D521">
        <v>3.8199999999999998E-2</v>
      </c>
      <c r="E521">
        <v>21.511913046964182</v>
      </c>
      <c r="F521">
        <v>2074.9102959770621</v>
      </c>
      <c r="G521">
        <v>9.0579999999999998</v>
      </c>
      <c r="H521">
        <v>0</v>
      </c>
      <c r="I521">
        <v>360.00540000000001</v>
      </c>
    </row>
    <row r="522" spans="1:9" x14ac:dyDescent="0.3">
      <c r="A522" t="s">
        <v>54</v>
      </c>
      <c r="B522" t="s">
        <v>575</v>
      </c>
      <c r="C522">
        <v>76</v>
      </c>
      <c r="D522">
        <v>3.1E-2</v>
      </c>
      <c r="E522">
        <v>21.511913046964182</v>
      </c>
      <c r="F522">
        <v>2074.9102959770621</v>
      </c>
      <c r="G522">
        <v>9.0579999999999998</v>
      </c>
      <c r="H522">
        <v>0</v>
      </c>
      <c r="I522">
        <v>360.20850000000002</v>
      </c>
    </row>
    <row r="523" spans="1:9" x14ac:dyDescent="0.3">
      <c r="A523" t="s">
        <v>54</v>
      </c>
      <c r="B523" t="s">
        <v>576</v>
      </c>
      <c r="C523">
        <v>76</v>
      </c>
      <c r="D523">
        <v>1.9699999999999999E-2</v>
      </c>
      <c r="E523">
        <v>21.511913046964182</v>
      </c>
      <c r="F523">
        <v>2074.9102959770621</v>
      </c>
      <c r="G523">
        <v>9.0579999999999998</v>
      </c>
      <c r="H523">
        <v>0</v>
      </c>
      <c r="I523">
        <v>360.40690000000001</v>
      </c>
    </row>
    <row r="524" spans="1:9" x14ac:dyDescent="0.3">
      <c r="A524" t="s">
        <v>54</v>
      </c>
      <c r="B524" t="s">
        <v>577</v>
      </c>
      <c r="C524">
        <v>76</v>
      </c>
      <c r="D524">
        <v>9.9000000000000008E-3</v>
      </c>
      <c r="E524">
        <v>21.511913046964182</v>
      </c>
      <c r="F524">
        <v>2074.9102959770621</v>
      </c>
      <c r="G524">
        <v>9.0579999999999998</v>
      </c>
      <c r="H524">
        <v>0</v>
      </c>
      <c r="I524">
        <v>360.60559999999998</v>
      </c>
    </row>
    <row r="525" spans="1:9" x14ac:dyDescent="0.3">
      <c r="A525" t="s">
        <v>54</v>
      </c>
      <c r="B525" t="s">
        <v>578</v>
      </c>
      <c r="C525">
        <v>76</v>
      </c>
      <c r="D525">
        <v>-8.0000000000000004E-4</v>
      </c>
      <c r="E525">
        <v>21.511913046964182</v>
      </c>
      <c r="F525">
        <v>2074.9102959770621</v>
      </c>
      <c r="G525">
        <v>9.0579999999999998</v>
      </c>
      <c r="H525">
        <v>0</v>
      </c>
      <c r="I525">
        <v>360.80419999999998</v>
      </c>
    </row>
    <row r="526" spans="1:9" x14ac:dyDescent="0.3">
      <c r="A526" t="s">
        <v>54</v>
      </c>
      <c r="B526" t="s">
        <v>579</v>
      </c>
      <c r="C526">
        <v>76</v>
      </c>
      <c r="D526">
        <v>-3.0999999999999999E-3</v>
      </c>
      <c r="E526">
        <v>21.511913046964182</v>
      </c>
      <c r="F526">
        <v>2074.9102959770621</v>
      </c>
      <c r="G526">
        <v>9.0579999999999998</v>
      </c>
      <c r="H526">
        <v>0</v>
      </c>
      <c r="I526">
        <v>361.00369999999998</v>
      </c>
    </row>
    <row r="527" spans="1:9" x14ac:dyDescent="0.3">
      <c r="A527" t="s">
        <v>54</v>
      </c>
      <c r="B527" t="s">
        <v>580</v>
      </c>
      <c r="C527">
        <v>76</v>
      </c>
      <c r="D527">
        <v>-3.0999999999999999E-3</v>
      </c>
      <c r="E527">
        <v>21.511913046964182</v>
      </c>
      <c r="F527">
        <v>2074.9102959770621</v>
      </c>
      <c r="G527">
        <v>9.0579999999999998</v>
      </c>
      <c r="H527">
        <v>0</v>
      </c>
      <c r="I527">
        <v>361.2047</v>
      </c>
    </row>
    <row r="528" spans="1:9" x14ac:dyDescent="0.3">
      <c r="A528" t="s">
        <v>54</v>
      </c>
      <c r="B528" t="s">
        <v>581</v>
      </c>
      <c r="C528">
        <v>76</v>
      </c>
      <c r="D528">
        <v>-3.0999999999999999E-3</v>
      </c>
      <c r="E528">
        <v>21.511913046964182</v>
      </c>
      <c r="F528">
        <v>2074.9102959770621</v>
      </c>
      <c r="G528">
        <v>9.0579999999999998</v>
      </c>
      <c r="H528">
        <v>0</v>
      </c>
      <c r="I528">
        <v>361.40539999999999</v>
      </c>
    </row>
    <row r="529" spans="1:9" x14ac:dyDescent="0.3">
      <c r="A529" t="s">
        <v>54</v>
      </c>
      <c r="B529" t="s">
        <v>582</v>
      </c>
      <c r="C529">
        <v>76</v>
      </c>
      <c r="D529">
        <v>-3.0999999999999999E-3</v>
      </c>
      <c r="E529">
        <v>21.511913046964182</v>
      </c>
      <c r="F529">
        <v>2074.9102959770621</v>
      </c>
      <c r="G529">
        <v>9.0579999999999998</v>
      </c>
      <c r="H529">
        <v>0</v>
      </c>
      <c r="I529">
        <v>361.60579999999999</v>
      </c>
    </row>
    <row r="530" spans="1:9" x14ac:dyDescent="0.3">
      <c r="A530" t="s">
        <v>54</v>
      </c>
      <c r="B530" t="s">
        <v>583</v>
      </c>
      <c r="C530">
        <v>76</v>
      </c>
      <c r="D530">
        <v>-3.0999999999999999E-3</v>
      </c>
      <c r="E530">
        <v>21.511913046964182</v>
      </c>
      <c r="F530">
        <v>2074.9102959770621</v>
      </c>
      <c r="G530">
        <v>9.0579999999999998</v>
      </c>
      <c r="H530">
        <v>0</v>
      </c>
      <c r="I530">
        <v>361.80380000000002</v>
      </c>
    </row>
    <row r="531" spans="1:9" x14ac:dyDescent="0.3">
      <c r="A531" t="s">
        <v>54</v>
      </c>
      <c r="B531" t="s">
        <v>584</v>
      </c>
      <c r="C531">
        <v>76</v>
      </c>
      <c r="D531">
        <v>-3.0999999999999999E-3</v>
      </c>
      <c r="E531">
        <v>21.511913046964182</v>
      </c>
      <c r="F531">
        <v>2074.9102959770621</v>
      </c>
      <c r="G531">
        <v>9.0579999999999998</v>
      </c>
      <c r="H531">
        <v>0</v>
      </c>
      <c r="I531">
        <v>362.00619999999998</v>
      </c>
    </row>
    <row r="532" spans="1:9" x14ac:dyDescent="0.3">
      <c r="A532" t="s">
        <v>54</v>
      </c>
      <c r="B532" t="s">
        <v>585</v>
      </c>
      <c r="C532">
        <v>76</v>
      </c>
      <c r="D532">
        <v>-3.2000000000000002E-3</v>
      </c>
      <c r="E532">
        <v>21.511913046964182</v>
      </c>
      <c r="F532">
        <v>2074.9102959770621</v>
      </c>
      <c r="G532">
        <v>9.0579999999999998</v>
      </c>
      <c r="H532">
        <v>0</v>
      </c>
      <c r="I532">
        <v>362.20490000000001</v>
      </c>
    </row>
    <row r="533" spans="1:9" x14ac:dyDescent="0.3">
      <c r="A533" t="s">
        <v>54</v>
      </c>
      <c r="B533" t="s">
        <v>586</v>
      </c>
      <c r="C533">
        <v>76</v>
      </c>
      <c r="D533">
        <v>-3.0999999999999999E-3</v>
      </c>
      <c r="E533">
        <v>21.511913046964182</v>
      </c>
      <c r="F533">
        <v>2074.9102959770621</v>
      </c>
      <c r="G533">
        <v>9.0579999999999998</v>
      </c>
      <c r="H533">
        <v>0</v>
      </c>
      <c r="I533">
        <v>362.40410000000003</v>
      </c>
    </row>
    <row r="534" spans="1:9" x14ac:dyDescent="0.3">
      <c r="A534" t="s">
        <v>54</v>
      </c>
      <c r="B534" t="s">
        <v>587</v>
      </c>
      <c r="C534">
        <v>76</v>
      </c>
      <c r="D534">
        <v>-3.0999999999999999E-3</v>
      </c>
      <c r="E534">
        <v>21.511913046964182</v>
      </c>
      <c r="F534">
        <v>2074.9102959770621</v>
      </c>
      <c r="G534">
        <v>9.0579999999999998</v>
      </c>
      <c r="H534">
        <v>0</v>
      </c>
      <c r="I534">
        <v>362.60719999999998</v>
      </c>
    </row>
    <row r="535" spans="1:9" x14ac:dyDescent="0.3">
      <c r="A535" t="s">
        <v>54</v>
      </c>
      <c r="B535" t="s">
        <v>588</v>
      </c>
      <c r="C535">
        <v>76</v>
      </c>
      <c r="D535">
        <v>-3.0999999999999999E-3</v>
      </c>
      <c r="E535">
        <v>21.511913046964182</v>
      </c>
      <c r="F535">
        <v>2074.9102959770621</v>
      </c>
      <c r="G535">
        <v>9.0579999999999998</v>
      </c>
      <c r="H535">
        <v>0</v>
      </c>
      <c r="I535">
        <v>362.80709999999999</v>
      </c>
    </row>
    <row r="536" spans="1:9" x14ac:dyDescent="0.3">
      <c r="A536" t="s">
        <v>54</v>
      </c>
      <c r="B536" t="s">
        <v>589</v>
      </c>
      <c r="C536">
        <v>76</v>
      </c>
      <c r="D536">
        <v>-3.0999999999999999E-3</v>
      </c>
      <c r="E536">
        <v>21.511913046964182</v>
      </c>
      <c r="F536">
        <v>2074.9102959770621</v>
      </c>
      <c r="G536">
        <v>9.0579999999999998</v>
      </c>
      <c r="H536">
        <v>0</v>
      </c>
      <c r="I536">
        <v>363.005</v>
      </c>
    </row>
    <row r="537" spans="1:9" x14ac:dyDescent="0.3">
      <c r="A537" t="s">
        <v>54</v>
      </c>
      <c r="B537" t="s">
        <v>590</v>
      </c>
      <c r="C537">
        <v>76</v>
      </c>
      <c r="D537">
        <v>-3.0999999999999999E-3</v>
      </c>
      <c r="E537">
        <v>21.511913046964182</v>
      </c>
      <c r="F537">
        <v>2074.9102959770621</v>
      </c>
      <c r="G537">
        <v>9.0579999999999998</v>
      </c>
      <c r="H537">
        <v>0</v>
      </c>
      <c r="I537">
        <v>363.20400000000001</v>
      </c>
    </row>
    <row r="538" spans="1:9" x14ac:dyDescent="0.3">
      <c r="A538" t="s">
        <v>54</v>
      </c>
      <c r="B538" t="s">
        <v>591</v>
      </c>
      <c r="C538">
        <v>76</v>
      </c>
      <c r="D538">
        <v>-3.0999999999999999E-3</v>
      </c>
      <c r="E538">
        <v>21.511913046964182</v>
      </c>
      <c r="F538">
        <v>2074.9102959770621</v>
      </c>
      <c r="G538">
        <v>9.0579999999999998</v>
      </c>
      <c r="H538">
        <v>0</v>
      </c>
      <c r="I538">
        <v>363.40559999999999</v>
      </c>
    </row>
    <row r="539" spans="1:9" x14ac:dyDescent="0.3">
      <c r="A539" t="s">
        <v>54</v>
      </c>
      <c r="B539" t="s">
        <v>592</v>
      </c>
      <c r="C539">
        <v>76</v>
      </c>
      <c r="D539">
        <v>-3.0999999999999999E-3</v>
      </c>
      <c r="E539">
        <v>21.511913046964182</v>
      </c>
      <c r="F539">
        <v>2074.9102959770621</v>
      </c>
      <c r="G539">
        <v>9.0579999999999998</v>
      </c>
      <c r="H539">
        <v>0</v>
      </c>
      <c r="I539">
        <v>363.60649999999998</v>
      </c>
    </row>
    <row r="540" spans="1:9" x14ac:dyDescent="0.3">
      <c r="A540" t="s">
        <v>54</v>
      </c>
      <c r="B540" t="s">
        <v>593</v>
      </c>
      <c r="C540">
        <v>76</v>
      </c>
      <c r="D540">
        <v>-3.0999999999999999E-3</v>
      </c>
      <c r="E540">
        <v>21.511913046964182</v>
      </c>
      <c r="F540">
        <v>2074.9102959770621</v>
      </c>
      <c r="G540">
        <v>9.0579999999999998</v>
      </c>
      <c r="H540">
        <v>0</v>
      </c>
      <c r="I540">
        <v>363.80549999999999</v>
      </c>
    </row>
    <row r="541" spans="1:9" x14ac:dyDescent="0.3">
      <c r="A541" t="s">
        <v>54</v>
      </c>
      <c r="B541" t="s">
        <v>594</v>
      </c>
      <c r="C541">
        <v>76</v>
      </c>
      <c r="D541">
        <v>-3.0999999999999999E-3</v>
      </c>
      <c r="E541">
        <v>25.566620546593018</v>
      </c>
      <c r="F541">
        <v>2566.2722898716779</v>
      </c>
      <c r="G541">
        <v>9.0579999999999998</v>
      </c>
      <c r="H541">
        <v>6.3E-2</v>
      </c>
      <c r="I541">
        <v>364.00560000000002</v>
      </c>
    </row>
    <row r="542" spans="1:9" x14ac:dyDescent="0.3">
      <c r="A542" t="s">
        <v>54</v>
      </c>
      <c r="B542" t="s">
        <v>595</v>
      </c>
      <c r="C542">
        <v>76</v>
      </c>
      <c r="D542">
        <v>1.18E-2</v>
      </c>
      <c r="E542">
        <v>25.566620546593018</v>
      </c>
      <c r="F542">
        <v>2452.8090349424701</v>
      </c>
      <c r="G542">
        <v>9.0579999999999998</v>
      </c>
      <c r="H542">
        <v>6.3E-2</v>
      </c>
      <c r="I542">
        <v>364.20600000000002</v>
      </c>
    </row>
    <row r="543" spans="1:9" x14ac:dyDescent="0.3">
      <c r="A543" t="s">
        <v>54</v>
      </c>
      <c r="B543" t="s">
        <v>596</v>
      </c>
      <c r="C543">
        <v>76</v>
      </c>
      <c r="D543">
        <v>3.0099999999999998E-2</v>
      </c>
      <c r="E543">
        <v>25.566620546593018</v>
      </c>
      <c r="F543">
        <v>2452.8090349424701</v>
      </c>
      <c r="G543">
        <v>9.0579999999999998</v>
      </c>
      <c r="H543">
        <v>6.3E-2</v>
      </c>
      <c r="I543">
        <v>364.40589999999997</v>
      </c>
    </row>
    <row r="544" spans="1:9" x14ac:dyDescent="0.3">
      <c r="A544" t="s">
        <v>54</v>
      </c>
      <c r="B544" t="s">
        <v>597</v>
      </c>
      <c r="C544">
        <v>76</v>
      </c>
      <c r="D544">
        <v>3.5099999999999999E-2</v>
      </c>
      <c r="E544">
        <v>25.566620546593018</v>
      </c>
      <c r="F544">
        <v>2452.8090349424701</v>
      </c>
      <c r="G544">
        <v>9.0579999999999998</v>
      </c>
      <c r="H544">
        <v>6.3E-2</v>
      </c>
      <c r="I544">
        <v>364.6071</v>
      </c>
    </row>
    <row r="545" spans="1:9" x14ac:dyDescent="0.3">
      <c r="A545" t="s">
        <v>54</v>
      </c>
      <c r="B545" t="s">
        <v>598</v>
      </c>
      <c r="C545">
        <v>76</v>
      </c>
      <c r="D545">
        <v>3.73E-2</v>
      </c>
      <c r="E545">
        <v>25.566620546593018</v>
      </c>
      <c r="F545">
        <v>2452.8090349424701</v>
      </c>
      <c r="G545">
        <v>9.0579999999999998</v>
      </c>
      <c r="H545">
        <v>6.3E-2</v>
      </c>
      <c r="I545">
        <v>364.80680000000001</v>
      </c>
    </row>
    <row r="546" spans="1:9" x14ac:dyDescent="0.3">
      <c r="A546" t="s">
        <v>54</v>
      </c>
      <c r="B546" t="s">
        <v>599</v>
      </c>
      <c r="C546">
        <v>76</v>
      </c>
      <c r="D546">
        <v>3.7900000000000003E-2</v>
      </c>
      <c r="E546">
        <v>25.566620546593018</v>
      </c>
      <c r="F546">
        <v>2452.8090349424701</v>
      </c>
      <c r="G546">
        <v>9.0579999999999998</v>
      </c>
      <c r="H546">
        <v>6.3E-2</v>
      </c>
      <c r="I546">
        <v>365.00450000000001</v>
      </c>
    </row>
    <row r="547" spans="1:9" x14ac:dyDescent="0.3">
      <c r="A547" t="s">
        <v>54</v>
      </c>
      <c r="B547" t="s">
        <v>600</v>
      </c>
      <c r="C547">
        <v>76</v>
      </c>
      <c r="D547">
        <v>3.7900000000000003E-2</v>
      </c>
      <c r="E547">
        <v>25.566620546593018</v>
      </c>
      <c r="F547">
        <v>2452.8090349424701</v>
      </c>
      <c r="G547">
        <v>9.0579999999999998</v>
      </c>
      <c r="H547">
        <v>6.3E-2</v>
      </c>
      <c r="I547">
        <v>365.20490000000001</v>
      </c>
    </row>
    <row r="548" spans="1:9" x14ac:dyDescent="0.3">
      <c r="A548" t="s">
        <v>54</v>
      </c>
      <c r="B548" t="s">
        <v>601</v>
      </c>
      <c r="C548">
        <v>76</v>
      </c>
      <c r="D548">
        <v>3.7900000000000003E-2</v>
      </c>
      <c r="E548">
        <v>25.566620546593018</v>
      </c>
      <c r="F548">
        <v>2452.8090349424701</v>
      </c>
      <c r="G548">
        <v>9.0579999999999998</v>
      </c>
      <c r="H548">
        <v>6.3E-2</v>
      </c>
      <c r="I548">
        <v>365.40660000000003</v>
      </c>
    </row>
    <row r="549" spans="1:9" x14ac:dyDescent="0.3">
      <c r="A549" t="s">
        <v>54</v>
      </c>
      <c r="B549" t="s">
        <v>602</v>
      </c>
      <c r="C549">
        <v>76</v>
      </c>
      <c r="D549">
        <v>3.7900000000000003E-2</v>
      </c>
      <c r="E549">
        <v>25.566620546593018</v>
      </c>
      <c r="F549">
        <v>2452.8090349424701</v>
      </c>
      <c r="G549">
        <v>9.0579999999999998</v>
      </c>
      <c r="H549">
        <v>6.3E-2</v>
      </c>
      <c r="I549">
        <v>365.60449999999997</v>
      </c>
    </row>
    <row r="550" spans="1:9" x14ac:dyDescent="0.3">
      <c r="A550" t="s">
        <v>54</v>
      </c>
      <c r="B550" t="s">
        <v>603</v>
      </c>
      <c r="C550">
        <v>76</v>
      </c>
      <c r="D550">
        <v>3.7900000000000003E-2</v>
      </c>
      <c r="E550">
        <v>25.566620546593018</v>
      </c>
      <c r="F550">
        <v>2452.8090349424701</v>
      </c>
      <c r="G550">
        <v>9.0579999999999998</v>
      </c>
      <c r="H550">
        <v>6.3E-2</v>
      </c>
      <c r="I550">
        <v>365.80619999999999</v>
      </c>
    </row>
    <row r="551" spans="1:9" x14ac:dyDescent="0.3">
      <c r="A551" t="s">
        <v>54</v>
      </c>
      <c r="B551" t="s">
        <v>604</v>
      </c>
      <c r="C551">
        <v>76</v>
      </c>
      <c r="D551">
        <v>3.7900000000000003E-2</v>
      </c>
      <c r="E551">
        <v>25.566620546593018</v>
      </c>
      <c r="F551">
        <v>2452.8090349424701</v>
      </c>
      <c r="G551">
        <v>9.0579999999999998</v>
      </c>
      <c r="H551">
        <v>6.3E-2</v>
      </c>
      <c r="I551">
        <v>367.00650000000002</v>
      </c>
    </row>
    <row r="552" spans="1:9" x14ac:dyDescent="0.3">
      <c r="A552" t="s">
        <v>54</v>
      </c>
      <c r="B552" t="s">
        <v>605</v>
      </c>
      <c r="C552">
        <v>76</v>
      </c>
      <c r="D552">
        <v>3.7900000000000003E-2</v>
      </c>
      <c r="E552">
        <v>25.566620546593018</v>
      </c>
      <c r="F552">
        <v>2452.8090349424701</v>
      </c>
      <c r="G552">
        <v>9.0579999999999998</v>
      </c>
      <c r="H552">
        <v>6.3E-2</v>
      </c>
      <c r="I552">
        <v>367.20710000000003</v>
      </c>
    </row>
    <row r="553" spans="1:9" x14ac:dyDescent="0.3">
      <c r="A553" t="s">
        <v>54</v>
      </c>
      <c r="B553" t="s">
        <v>606</v>
      </c>
      <c r="C553">
        <v>76</v>
      </c>
      <c r="D553">
        <v>3.7900000000000003E-2</v>
      </c>
      <c r="E553">
        <v>25.566620546593018</v>
      </c>
      <c r="F553">
        <v>2452.8090349424701</v>
      </c>
      <c r="G553">
        <v>9.0579999999999998</v>
      </c>
      <c r="H553">
        <v>6.3E-2</v>
      </c>
      <c r="I553">
        <v>367.40750000000003</v>
      </c>
    </row>
    <row r="554" spans="1:9" x14ac:dyDescent="0.3">
      <c r="A554" t="s">
        <v>54</v>
      </c>
      <c r="B554" t="s">
        <v>607</v>
      </c>
      <c r="C554">
        <v>76</v>
      </c>
      <c r="D554">
        <v>3.7900000000000003E-2</v>
      </c>
      <c r="E554">
        <v>25.566620546593018</v>
      </c>
      <c r="F554">
        <v>2452.8090349424701</v>
      </c>
      <c r="G554">
        <v>9.0579999999999998</v>
      </c>
      <c r="H554">
        <v>6.3E-2</v>
      </c>
      <c r="I554">
        <v>367.6053</v>
      </c>
    </row>
    <row r="555" spans="1:9" x14ac:dyDescent="0.3">
      <c r="A555" t="s">
        <v>54</v>
      </c>
      <c r="B555" t="s">
        <v>608</v>
      </c>
      <c r="C555">
        <v>76</v>
      </c>
      <c r="D555">
        <v>3.7900000000000003E-2</v>
      </c>
      <c r="E555">
        <v>25.566620546593018</v>
      </c>
      <c r="F555">
        <v>2452.8090349424701</v>
      </c>
      <c r="G555">
        <v>9.0579999999999998</v>
      </c>
      <c r="H555">
        <v>6.3E-2</v>
      </c>
      <c r="I555">
        <v>367.80509999999998</v>
      </c>
    </row>
    <row r="556" spans="1:9" x14ac:dyDescent="0.3">
      <c r="A556" t="s">
        <v>54</v>
      </c>
      <c r="B556" t="s">
        <v>609</v>
      </c>
      <c r="C556">
        <v>76</v>
      </c>
      <c r="D556">
        <v>3.7999999999999999E-2</v>
      </c>
      <c r="E556">
        <v>21.511913046964182</v>
      </c>
      <c r="F556">
        <v>2074.9102959770621</v>
      </c>
      <c r="G556">
        <v>9.0579999999999998</v>
      </c>
      <c r="H556">
        <v>0</v>
      </c>
      <c r="I556">
        <v>368.00569999999999</v>
      </c>
    </row>
    <row r="557" spans="1:9" x14ac:dyDescent="0.3">
      <c r="A557" t="s">
        <v>54</v>
      </c>
      <c r="B557" t="s">
        <v>610</v>
      </c>
      <c r="C557">
        <v>76</v>
      </c>
      <c r="D557">
        <v>3.1800000000000002E-2</v>
      </c>
      <c r="E557">
        <v>21.511913046964182</v>
      </c>
      <c r="F557">
        <v>2074.9102959770621</v>
      </c>
      <c r="G557">
        <v>9.0579999999999998</v>
      </c>
      <c r="H557">
        <v>0</v>
      </c>
      <c r="I557">
        <v>368.20819999999998</v>
      </c>
    </row>
    <row r="558" spans="1:9" x14ac:dyDescent="0.3">
      <c r="A558" t="s">
        <v>54</v>
      </c>
      <c r="B558" t="s">
        <v>611</v>
      </c>
      <c r="C558">
        <v>76</v>
      </c>
      <c r="D558">
        <v>1.9599999999999999E-2</v>
      </c>
      <c r="E558">
        <v>21.511913046964182</v>
      </c>
      <c r="F558">
        <v>2074.9102959770621</v>
      </c>
      <c r="G558">
        <v>9.0579999999999998</v>
      </c>
      <c r="H558">
        <v>0</v>
      </c>
      <c r="I558">
        <v>368.40809999999999</v>
      </c>
    </row>
    <row r="559" spans="1:9" x14ac:dyDescent="0.3">
      <c r="A559" t="s">
        <v>54</v>
      </c>
      <c r="B559" t="s">
        <v>612</v>
      </c>
      <c r="C559">
        <v>76</v>
      </c>
      <c r="D559">
        <v>1.0200000000000001E-2</v>
      </c>
      <c r="E559">
        <v>21.511913046964182</v>
      </c>
      <c r="F559">
        <v>2074.9102959770621</v>
      </c>
      <c r="G559">
        <v>9.0579999999999998</v>
      </c>
      <c r="H559">
        <v>0</v>
      </c>
      <c r="I559">
        <v>368.6053</v>
      </c>
    </row>
    <row r="560" spans="1:9" x14ac:dyDescent="0.3">
      <c r="A560" t="s">
        <v>54</v>
      </c>
      <c r="B560" t="s">
        <v>613</v>
      </c>
      <c r="C560">
        <v>76</v>
      </c>
      <c r="D560">
        <v>2.0000000000000001E-4</v>
      </c>
      <c r="E560">
        <v>21.511913046964182</v>
      </c>
      <c r="F560">
        <v>2074.9102959770621</v>
      </c>
      <c r="G560">
        <v>9.0579999999999998</v>
      </c>
      <c r="H560">
        <v>0</v>
      </c>
      <c r="I560">
        <v>368.80759999999998</v>
      </c>
    </row>
    <row r="561" spans="1:9" x14ac:dyDescent="0.3">
      <c r="A561" t="s">
        <v>54</v>
      </c>
      <c r="B561" t="s">
        <v>614</v>
      </c>
      <c r="C561">
        <v>76</v>
      </c>
      <c r="D561">
        <v>-3.0999999999999999E-3</v>
      </c>
      <c r="E561">
        <v>21.511913046964182</v>
      </c>
      <c r="F561">
        <v>2074.9102959770621</v>
      </c>
      <c r="G561">
        <v>9.0579999999999998</v>
      </c>
      <c r="H561">
        <v>0</v>
      </c>
      <c r="I561">
        <v>369.00479999999999</v>
      </c>
    </row>
    <row r="562" spans="1:9" x14ac:dyDescent="0.3">
      <c r="A562" t="s">
        <v>54</v>
      </c>
      <c r="B562" t="s">
        <v>615</v>
      </c>
      <c r="C562">
        <v>76</v>
      </c>
      <c r="D562">
        <v>-3.0999999999999999E-3</v>
      </c>
      <c r="E562">
        <v>21.511913046964182</v>
      </c>
      <c r="F562">
        <v>2074.9102959770621</v>
      </c>
      <c r="G562">
        <v>9.0579999999999998</v>
      </c>
      <c r="H562">
        <v>0</v>
      </c>
      <c r="I562">
        <v>369.20569999999998</v>
      </c>
    </row>
    <row r="563" spans="1:9" x14ac:dyDescent="0.3">
      <c r="A563" t="s">
        <v>54</v>
      </c>
      <c r="B563" t="s">
        <v>616</v>
      </c>
      <c r="C563">
        <v>76</v>
      </c>
      <c r="D563">
        <v>-3.0999999999999999E-3</v>
      </c>
      <c r="E563">
        <v>21.511913046964182</v>
      </c>
      <c r="F563">
        <v>2074.9102959770621</v>
      </c>
      <c r="G563">
        <v>9.0579999999999998</v>
      </c>
      <c r="H563">
        <v>0</v>
      </c>
      <c r="I563">
        <v>369.40789999999998</v>
      </c>
    </row>
    <row r="564" spans="1:9" x14ac:dyDescent="0.3">
      <c r="A564" t="s">
        <v>54</v>
      </c>
      <c r="B564" t="s">
        <v>617</v>
      </c>
      <c r="C564">
        <v>76</v>
      </c>
      <c r="D564">
        <v>-3.0999999999999999E-3</v>
      </c>
      <c r="E564">
        <v>21.511913046964182</v>
      </c>
      <c r="F564">
        <v>2074.9102959770621</v>
      </c>
      <c r="G564">
        <v>9.0579999999999998</v>
      </c>
      <c r="H564">
        <v>0</v>
      </c>
      <c r="I564">
        <v>369.60550000000001</v>
      </c>
    </row>
    <row r="565" spans="1:9" x14ac:dyDescent="0.3">
      <c r="A565" t="s">
        <v>54</v>
      </c>
      <c r="B565" t="s">
        <v>618</v>
      </c>
      <c r="C565">
        <v>76</v>
      </c>
      <c r="D565">
        <v>-3.0999999999999999E-3</v>
      </c>
      <c r="E565">
        <v>21.511913046964182</v>
      </c>
      <c r="F565">
        <v>2074.9102959770621</v>
      </c>
      <c r="G565">
        <v>9.0579999999999998</v>
      </c>
      <c r="H565">
        <v>0</v>
      </c>
      <c r="I565">
        <v>369.80529999999999</v>
      </c>
    </row>
    <row r="566" spans="1:9" x14ac:dyDescent="0.3">
      <c r="A566" t="s">
        <v>54</v>
      </c>
      <c r="B566" t="s">
        <v>619</v>
      </c>
      <c r="C566">
        <v>76</v>
      </c>
      <c r="D566">
        <v>-3.0999999999999999E-3</v>
      </c>
      <c r="E566">
        <v>21.511913046964182</v>
      </c>
      <c r="F566">
        <v>2074.9102959770621</v>
      </c>
      <c r="G566">
        <v>9.0579999999999998</v>
      </c>
      <c r="H566">
        <v>0</v>
      </c>
      <c r="I566">
        <v>370.00529999999998</v>
      </c>
    </row>
    <row r="567" spans="1:9" x14ac:dyDescent="0.3">
      <c r="A567" t="s">
        <v>54</v>
      </c>
      <c r="B567" t="s">
        <v>620</v>
      </c>
      <c r="C567">
        <v>76</v>
      </c>
      <c r="D567">
        <v>-3.0999999999999999E-3</v>
      </c>
      <c r="E567">
        <v>21.511913046964182</v>
      </c>
      <c r="F567">
        <v>2074.9102959770621</v>
      </c>
      <c r="G567">
        <v>9.0579999999999998</v>
      </c>
      <c r="H567">
        <v>0</v>
      </c>
      <c r="I567">
        <v>370.20800000000003</v>
      </c>
    </row>
    <row r="568" spans="1:9" x14ac:dyDescent="0.3">
      <c r="A568" t="s">
        <v>54</v>
      </c>
      <c r="B568" t="s">
        <v>621</v>
      </c>
      <c r="C568">
        <v>76</v>
      </c>
      <c r="D568">
        <v>-3.0999999999999999E-3</v>
      </c>
      <c r="E568">
        <v>21.511913046964182</v>
      </c>
      <c r="F568">
        <v>2074.9102959770621</v>
      </c>
      <c r="G568">
        <v>9.0579999999999998</v>
      </c>
      <c r="H568">
        <v>0</v>
      </c>
      <c r="I568">
        <v>370.40679999999998</v>
      </c>
    </row>
    <row r="569" spans="1:9" x14ac:dyDescent="0.3">
      <c r="A569" t="s">
        <v>54</v>
      </c>
      <c r="B569" t="s">
        <v>622</v>
      </c>
      <c r="C569">
        <v>76</v>
      </c>
      <c r="D569">
        <v>-3.0999999999999999E-3</v>
      </c>
      <c r="E569">
        <v>21.511913046964182</v>
      </c>
      <c r="F569">
        <v>2074.9102959770621</v>
      </c>
      <c r="G569">
        <v>9.0579999999999998</v>
      </c>
      <c r="H569">
        <v>0</v>
      </c>
      <c r="I569">
        <v>370.6071</v>
      </c>
    </row>
    <row r="570" spans="1:9" x14ac:dyDescent="0.3">
      <c r="A570" t="s">
        <v>54</v>
      </c>
      <c r="B570" t="s">
        <v>623</v>
      </c>
      <c r="C570">
        <v>76</v>
      </c>
      <c r="D570">
        <v>-3.0999999999999999E-3</v>
      </c>
      <c r="E570">
        <v>21.511913046964182</v>
      </c>
      <c r="F570">
        <v>2074.9102959770621</v>
      </c>
      <c r="G570">
        <v>9.0579999999999998</v>
      </c>
      <c r="H570">
        <v>0</v>
      </c>
      <c r="I570">
        <v>370.8066</v>
      </c>
    </row>
    <row r="571" spans="1:9" x14ac:dyDescent="0.3">
      <c r="A571" t="s">
        <v>54</v>
      </c>
      <c r="B571" t="s">
        <v>624</v>
      </c>
      <c r="C571">
        <v>76</v>
      </c>
      <c r="D571">
        <v>-3.0999999999999999E-3</v>
      </c>
      <c r="E571">
        <v>21.511913046964182</v>
      </c>
      <c r="F571">
        <v>2074.9102959770621</v>
      </c>
      <c r="G571">
        <v>9.0579999999999998</v>
      </c>
      <c r="H571">
        <v>0</v>
      </c>
      <c r="I571">
        <v>371.0043</v>
      </c>
    </row>
    <row r="572" spans="1:9" x14ac:dyDescent="0.3">
      <c r="A572" t="s">
        <v>54</v>
      </c>
      <c r="B572" t="s">
        <v>625</v>
      </c>
      <c r="C572">
        <v>76</v>
      </c>
      <c r="D572">
        <v>-3.2000000000000002E-3</v>
      </c>
      <c r="E572">
        <v>21.511913046964182</v>
      </c>
      <c r="F572">
        <v>2074.9102959770621</v>
      </c>
      <c r="G572">
        <v>9.0579999999999998</v>
      </c>
      <c r="H572">
        <v>0</v>
      </c>
      <c r="I572">
        <v>371.20589999999999</v>
      </c>
    </row>
    <row r="573" spans="1:9" x14ac:dyDescent="0.3">
      <c r="A573" t="s">
        <v>54</v>
      </c>
      <c r="B573" t="s">
        <v>626</v>
      </c>
      <c r="C573">
        <v>76</v>
      </c>
      <c r="D573">
        <v>-3.0999999999999999E-3</v>
      </c>
      <c r="E573">
        <v>21.511913046964182</v>
      </c>
      <c r="F573">
        <v>2074.9102959770621</v>
      </c>
      <c r="G573">
        <v>9.0579999999999998</v>
      </c>
      <c r="H573">
        <v>0</v>
      </c>
      <c r="I573">
        <v>371.40690000000001</v>
      </c>
    </row>
    <row r="574" spans="1:9" x14ac:dyDescent="0.3">
      <c r="A574" t="s">
        <v>54</v>
      </c>
      <c r="B574" t="s">
        <v>627</v>
      </c>
      <c r="C574">
        <v>76</v>
      </c>
      <c r="D574">
        <v>-3.0999999999999999E-3</v>
      </c>
      <c r="E574">
        <v>21.511913046964182</v>
      </c>
      <c r="F574">
        <v>2074.9102959770621</v>
      </c>
      <c r="G574">
        <v>9.0579999999999998</v>
      </c>
      <c r="H574">
        <v>0</v>
      </c>
      <c r="I574">
        <v>371.60550000000001</v>
      </c>
    </row>
    <row r="575" spans="1:9" x14ac:dyDescent="0.3">
      <c r="A575" t="s">
        <v>54</v>
      </c>
      <c r="B575" t="s">
        <v>628</v>
      </c>
      <c r="C575">
        <v>76</v>
      </c>
      <c r="D575">
        <v>-3.0999999999999999E-3</v>
      </c>
      <c r="E575">
        <v>21.511913046964182</v>
      </c>
      <c r="F575">
        <v>2074.9102959770621</v>
      </c>
      <c r="G575">
        <v>9.0579999999999998</v>
      </c>
      <c r="H575">
        <v>0</v>
      </c>
      <c r="I575">
        <v>371.80720000000002</v>
      </c>
    </row>
    <row r="576" spans="1:9" x14ac:dyDescent="0.3">
      <c r="A576" t="s">
        <v>54</v>
      </c>
      <c r="B576" t="s">
        <v>629</v>
      </c>
      <c r="C576">
        <v>76</v>
      </c>
      <c r="D576">
        <v>-3.0999999999999999E-3</v>
      </c>
      <c r="E576">
        <v>25.566620546593018</v>
      </c>
      <c r="F576">
        <v>2566.2722898716779</v>
      </c>
      <c r="G576">
        <v>9.0579999999999998</v>
      </c>
      <c r="H576">
        <v>6.3E-2</v>
      </c>
      <c r="I576">
        <v>372.00560000000002</v>
      </c>
    </row>
    <row r="577" spans="1:9" x14ac:dyDescent="0.3">
      <c r="A577" t="s">
        <v>54</v>
      </c>
      <c r="B577" t="s">
        <v>630</v>
      </c>
      <c r="C577">
        <v>76</v>
      </c>
      <c r="D577">
        <v>1.43E-2</v>
      </c>
      <c r="E577">
        <v>25.566620546593018</v>
      </c>
      <c r="F577">
        <v>2452.8090349424701</v>
      </c>
      <c r="G577">
        <v>9.0579999999999998</v>
      </c>
      <c r="H577">
        <v>6.3E-2</v>
      </c>
      <c r="I577">
        <v>372.20519999999999</v>
      </c>
    </row>
    <row r="578" spans="1:9" x14ac:dyDescent="0.3">
      <c r="A578" t="s">
        <v>54</v>
      </c>
      <c r="B578" t="s">
        <v>631</v>
      </c>
      <c r="C578">
        <v>76</v>
      </c>
      <c r="D578">
        <v>3.0300000000000001E-2</v>
      </c>
      <c r="E578">
        <v>25.566620546593018</v>
      </c>
      <c r="F578">
        <v>2452.8090349424701</v>
      </c>
      <c r="G578">
        <v>9.0579999999999998</v>
      </c>
      <c r="H578">
        <v>6.3E-2</v>
      </c>
      <c r="I578">
        <v>372.40629999999999</v>
      </c>
    </row>
    <row r="579" spans="1:9" x14ac:dyDescent="0.3">
      <c r="A579" t="s">
        <v>54</v>
      </c>
      <c r="B579" t="s">
        <v>632</v>
      </c>
      <c r="C579">
        <v>76</v>
      </c>
      <c r="D579">
        <v>3.5700000000000003E-2</v>
      </c>
      <c r="E579">
        <v>25.566620546593018</v>
      </c>
      <c r="F579">
        <v>2452.8090349424701</v>
      </c>
      <c r="G579">
        <v>9.0579999999999998</v>
      </c>
      <c r="H579">
        <v>6.3E-2</v>
      </c>
      <c r="I579">
        <v>372.61090000000002</v>
      </c>
    </row>
    <row r="580" spans="1:9" x14ac:dyDescent="0.3">
      <c r="A580" t="s">
        <v>54</v>
      </c>
      <c r="B580" t="s">
        <v>633</v>
      </c>
      <c r="C580">
        <v>76</v>
      </c>
      <c r="D580">
        <v>3.7499999999999999E-2</v>
      </c>
      <c r="E580">
        <v>25.566620546593018</v>
      </c>
      <c r="F580">
        <v>2452.8090349424701</v>
      </c>
      <c r="G580">
        <v>9.0579999999999998</v>
      </c>
      <c r="H580">
        <v>6.3E-2</v>
      </c>
      <c r="I580">
        <v>372.80509999999998</v>
      </c>
    </row>
    <row r="581" spans="1:9" x14ac:dyDescent="0.3">
      <c r="A581" t="s">
        <v>54</v>
      </c>
      <c r="B581" t="s">
        <v>634</v>
      </c>
      <c r="C581">
        <v>76</v>
      </c>
      <c r="D581">
        <v>3.7999999999999999E-2</v>
      </c>
      <c r="E581">
        <v>25.566620546593018</v>
      </c>
      <c r="F581">
        <v>2452.8090349424701</v>
      </c>
      <c r="G581">
        <v>9.0579999999999998</v>
      </c>
      <c r="H581">
        <v>6.3E-2</v>
      </c>
      <c r="I581">
        <v>373.00630000000001</v>
      </c>
    </row>
    <row r="582" spans="1:9" x14ac:dyDescent="0.3">
      <c r="A582" t="s">
        <v>54</v>
      </c>
      <c r="B582" t="s">
        <v>635</v>
      </c>
      <c r="C582">
        <v>76</v>
      </c>
      <c r="D582">
        <v>3.7999999999999999E-2</v>
      </c>
      <c r="E582">
        <v>25.566620546593018</v>
      </c>
      <c r="F582">
        <v>2452.8090349424701</v>
      </c>
      <c r="G582">
        <v>9.0579999999999998</v>
      </c>
      <c r="H582">
        <v>6.3E-2</v>
      </c>
      <c r="I582">
        <v>373.20460000000003</v>
      </c>
    </row>
    <row r="583" spans="1:9" x14ac:dyDescent="0.3">
      <c r="A583" t="s">
        <v>54</v>
      </c>
      <c r="B583" t="s">
        <v>636</v>
      </c>
      <c r="C583">
        <v>76</v>
      </c>
      <c r="D583">
        <v>3.7900000000000003E-2</v>
      </c>
      <c r="E583">
        <v>25.566620546593018</v>
      </c>
      <c r="F583">
        <v>2452.8090349424701</v>
      </c>
      <c r="G583">
        <v>9.0579999999999998</v>
      </c>
      <c r="H583">
        <v>6.3E-2</v>
      </c>
      <c r="I583">
        <v>373.4074</v>
      </c>
    </row>
    <row r="584" spans="1:9" x14ac:dyDescent="0.3">
      <c r="A584" t="s">
        <v>54</v>
      </c>
      <c r="B584" t="s">
        <v>637</v>
      </c>
      <c r="C584">
        <v>76</v>
      </c>
      <c r="D584">
        <v>3.7999999999999999E-2</v>
      </c>
      <c r="E584">
        <v>25.566620546593018</v>
      </c>
      <c r="F584">
        <v>2452.8090349424701</v>
      </c>
      <c r="G584">
        <v>9.0579999999999998</v>
      </c>
      <c r="H584">
        <v>6.3E-2</v>
      </c>
      <c r="I584">
        <v>373.6105</v>
      </c>
    </row>
    <row r="585" spans="1:9" x14ac:dyDescent="0.3">
      <c r="A585" t="s">
        <v>54</v>
      </c>
      <c r="B585" t="s">
        <v>638</v>
      </c>
      <c r="C585">
        <v>76</v>
      </c>
      <c r="D585">
        <v>3.7999999999999999E-2</v>
      </c>
      <c r="E585">
        <v>25.566620546593018</v>
      </c>
      <c r="F585">
        <v>2452.8090349424701</v>
      </c>
      <c r="G585">
        <v>9.0579999999999998</v>
      </c>
      <c r="H585">
        <v>6.3E-2</v>
      </c>
      <c r="I585">
        <v>373.80680000000001</v>
      </c>
    </row>
    <row r="586" spans="1:9" x14ac:dyDescent="0.3">
      <c r="A586" t="s">
        <v>54</v>
      </c>
      <c r="B586" t="s">
        <v>639</v>
      </c>
      <c r="C586">
        <v>76</v>
      </c>
      <c r="D586">
        <v>3.7999999999999999E-2</v>
      </c>
      <c r="E586">
        <v>25.566620546593018</v>
      </c>
      <c r="F586">
        <v>2452.8090349424701</v>
      </c>
      <c r="G586">
        <v>9.0579999999999998</v>
      </c>
      <c r="H586">
        <v>6.3E-2</v>
      </c>
      <c r="I586">
        <v>374.00459999999998</v>
      </c>
    </row>
    <row r="587" spans="1:9" x14ac:dyDescent="0.3">
      <c r="A587" t="s">
        <v>54</v>
      </c>
      <c r="B587" t="s">
        <v>640</v>
      </c>
      <c r="C587">
        <v>76</v>
      </c>
      <c r="D587">
        <v>3.7999999999999999E-2</v>
      </c>
      <c r="E587">
        <v>25.566620546593018</v>
      </c>
      <c r="F587">
        <v>2452.8090349424701</v>
      </c>
      <c r="G587">
        <v>9.0579999999999998</v>
      </c>
      <c r="H587">
        <v>6.3E-2</v>
      </c>
      <c r="I587">
        <v>374.20699999999999</v>
      </c>
    </row>
    <row r="588" spans="1:9" x14ac:dyDescent="0.3">
      <c r="A588" t="s">
        <v>54</v>
      </c>
      <c r="B588" t="s">
        <v>641</v>
      </c>
      <c r="C588">
        <v>76</v>
      </c>
      <c r="D588">
        <v>3.7999999999999999E-2</v>
      </c>
      <c r="E588">
        <v>25.566620546593018</v>
      </c>
      <c r="F588">
        <v>2452.8090349424701</v>
      </c>
      <c r="G588">
        <v>9.0579999999999998</v>
      </c>
      <c r="H588">
        <v>6.3E-2</v>
      </c>
      <c r="I588">
        <v>374.40629999999999</v>
      </c>
    </row>
    <row r="589" spans="1:9" x14ac:dyDescent="0.3">
      <c r="A589" t="s">
        <v>54</v>
      </c>
      <c r="B589" t="s">
        <v>642</v>
      </c>
      <c r="C589">
        <v>76</v>
      </c>
      <c r="D589">
        <v>3.7999999999999999E-2</v>
      </c>
      <c r="E589">
        <v>25.566620546593018</v>
      </c>
      <c r="F589">
        <v>2452.8090349424701</v>
      </c>
      <c r="G589">
        <v>9.0579999999999998</v>
      </c>
      <c r="H589">
        <v>6.3E-2</v>
      </c>
      <c r="I589">
        <v>374.60610000000003</v>
      </c>
    </row>
    <row r="590" spans="1:9" x14ac:dyDescent="0.3">
      <c r="A590" t="s">
        <v>54</v>
      </c>
      <c r="B590" t="s">
        <v>643</v>
      </c>
      <c r="C590">
        <v>76</v>
      </c>
      <c r="D590">
        <v>3.7999999999999999E-2</v>
      </c>
      <c r="E590">
        <v>25.566620546593018</v>
      </c>
      <c r="F590">
        <v>2452.8090349424701</v>
      </c>
      <c r="G590">
        <v>9.0579999999999998</v>
      </c>
      <c r="H590">
        <v>6.3E-2</v>
      </c>
      <c r="I590">
        <v>374.80450000000002</v>
      </c>
    </row>
    <row r="591" spans="1:9" x14ac:dyDescent="0.3">
      <c r="A591" t="s">
        <v>54</v>
      </c>
      <c r="B591" t="s">
        <v>644</v>
      </c>
      <c r="C591">
        <v>76</v>
      </c>
      <c r="D591">
        <v>3.7999999999999999E-2</v>
      </c>
      <c r="E591">
        <v>25.566620546593018</v>
      </c>
      <c r="F591">
        <v>2452.8090349424701</v>
      </c>
      <c r="G591">
        <v>9.0579999999999998</v>
      </c>
      <c r="H591">
        <v>6.3E-2</v>
      </c>
      <c r="I591">
        <v>375.00670000000002</v>
      </c>
    </row>
    <row r="592" spans="1:9" x14ac:dyDescent="0.3">
      <c r="A592" t="s">
        <v>54</v>
      </c>
      <c r="B592" t="s">
        <v>645</v>
      </c>
      <c r="C592">
        <v>76</v>
      </c>
      <c r="D592">
        <v>3.7999999999999999E-2</v>
      </c>
      <c r="E592">
        <v>25.566620546593018</v>
      </c>
      <c r="F592">
        <v>2452.8090349424701</v>
      </c>
      <c r="G592">
        <v>9.0579999999999998</v>
      </c>
      <c r="H592">
        <v>6.3E-2</v>
      </c>
      <c r="I592">
        <v>375.20499999999998</v>
      </c>
    </row>
    <row r="593" spans="1:9" x14ac:dyDescent="0.3">
      <c r="A593" t="s">
        <v>54</v>
      </c>
      <c r="B593" t="s">
        <v>646</v>
      </c>
      <c r="C593">
        <v>76</v>
      </c>
      <c r="D593">
        <v>3.7999999999999999E-2</v>
      </c>
      <c r="E593">
        <v>25.566620546593018</v>
      </c>
      <c r="F593">
        <v>2452.8090349424701</v>
      </c>
      <c r="G593">
        <v>9.0579999999999998</v>
      </c>
      <c r="H593">
        <v>6.3E-2</v>
      </c>
      <c r="I593">
        <v>375.4076</v>
      </c>
    </row>
    <row r="594" spans="1:9" x14ac:dyDescent="0.3">
      <c r="A594" t="s">
        <v>54</v>
      </c>
      <c r="B594" t="s">
        <v>647</v>
      </c>
      <c r="C594">
        <v>76</v>
      </c>
      <c r="D594">
        <v>3.7999999999999999E-2</v>
      </c>
      <c r="E594">
        <v>25.566620546593018</v>
      </c>
      <c r="F594">
        <v>2452.8090349424701</v>
      </c>
      <c r="G594">
        <v>9.0579999999999998</v>
      </c>
      <c r="H594">
        <v>6.3E-2</v>
      </c>
      <c r="I594">
        <v>375.60570000000001</v>
      </c>
    </row>
    <row r="595" spans="1:9" x14ac:dyDescent="0.3">
      <c r="A595" t="s">
        <v>54</v>
      </c>
      <c r="B595" t="s">
        <v>648</v>
      </c>
      <c r="C595">
        <v>77</v>
      </c>
      <c r="D595">
        <v>3.7999999999999999E-2</v>
      </c>
      <c r="E595">
        <v>25.566620546593018</v>
      </c>
      <c r="F595">
        <v>2452.8090349424701</v>
      </c>
      <c r="G595">
        <v>9.0579999999999998</v>
      </c>
      <c r="H595">
        <v>6.3E-2</v>
      </c>
      <c r="I595">
        <v>375.80630000000002</v>
      </c>
    </row>
    <row r="596" spans="1:9" x14ac:dyDescent="0.3">
      <c r="A596" t="s">
        <v>54</v>
      </c>
      <c r="B596" t="s">
        <v>649</v>
      </c>
      <c r="C596">
        <v>77</v>
      </c>
      <c r="D596">
        <v>3.7999999999999999E-2</v>
      </c>
      <c r="E596">
        <v>21.511913046964182</v>
      </c>
      <c r="F596">
        <v>2074.9102959770621</v>
      </c>
      <c r="G596">
        <v>9.0579999999999998</v>
      </c>
      <c r="H596">
        <v>0</v>
      </c>
      <c r="I596">
        <v>376.00670000000002</v>
      </c>
    </row>
    <row r="597" spans="1:9" x14ac:dyDescent="0.3">
      <c r="A597" t="s">
        <v>54</v>
      </c>
      <c r="B597" t="s">
        <v>650</v>
      </c>
      <c r="C597">
        <v>77</v>
      </c>
      <c r="D597">
        <v>3.1800000000000002E-2</v>
      </c>
      <c r="E597">
        <v>21.511913046964182</v>
      </c>
      <c r="F597">
        <v>2074.9102959770621</v>
      </c>
      <c r="G597">
        <v>9.0579999999999998</v>
      </c>
      <c r="H597">
        <v>0</v>
      </c>
      <c r="I597">
        <v>376.20729999999998</v>
      </c>
    </row>
    <row r="598" spans="1:9" x14ac:dyDescent="0.3">
      <c r="A598" t="s">
        <v>54</v>
      </c>
      <c r="B598" t="s">
        <v>651</v>
      </c>
      <c r="C598">
        <v>77</v>
      </c>
      <c r="D598">
        <v>1.9699999999999999E-2</v>
      </c>
      <c r="E598">
        <v>21.511913046964182</v>
      </c>
      <c r="F598">
        <v>2074.9102959770621</v>
      </c>
      <c r="G598">
        <v>9.0579999999999998</v>
      </c>
      <c r="H598">
        <v>0</v>
      </c>
      <c r="I598">
        <v>376.40710000000001</v>
      </c>
    </row>
    <row r="599" spans="1:9" x14ac:dyDescent="0.3">
      <c r="A599" t="s">
        <v>54</v>
      </c>
      <c r="B599" t="s">
        <v>652</v>
      </c>
      <c r="C599">
        <v>77</v>
      </c>
      <c r="D599">
        <v>1.04E-2</v>
      </c>
      <c r="E599">
        <v>21.511913046964182</v>
      </c>
      <c r="F599">
        <v>2074.9102959770621</v>
      </c>
      <c r="G599">
        <v>9.0579999999999998</v>
      </c>
      <c r="H599">
        <v>0</v>
      </c>
      <c r="I599">
        <v>376.60500000000002</v>
      </c>
    </row>
    <row r="600" spans="1:9" x14ac:dyDescent="0.3">
      <c r="A600" t="s">
        <v>54</v>
      </c>
      <c r="B600" t="s">
        <v>653</v>
      </c>
      <c r="C600">
        <v>77</v>
      </c>
      <c r="D600">
        <v>4.0000000000000002E-4</v>
      </c>
      <c r="E600">
        <v>25.566620546593018</v>
      </c>
      <c r="F600">
        <v>2566.2722898716779</v>
      </c>
      <c r="G600">
        <v>9.0579999999999998</v>
      </c>
      <c r="H600">
        <v>6.3E-2</v>
      </c>
      <c r="I600">
        <v>376.80599999999998</v>
      </c>
    </row>
    <row r="601" spans="1:9" x14ac:dyDescent="0.3">
      <c r="A601" t="s">
        <v>54</v>
      </c>
      <c r="B601" t="s">
        <v>654</v>
      </c>
      <c r="C601">
        <v>77</v>
      </c>
      <c r="D601">
        <v>1.23E-2</v>
      </c>
      <c r="E601">
        <v>25.566620546593018</v>
      </c>
      <c r="F601">
        <v>2452.8090349424701</v>
      </c>
      <c r="G601">
        <v>9.0579999999999998</v>
      </c>
      <c r="H601">
        <v>6.3E-2</v>
      </c>
      <c r="I601">
        <v>377.00740000000002</v>
      </c>
    </row>
    <row r="602" spans="1:9" x14ac:dyDescent="0.3">
      <c r="A602" t="s">
        <v>54</v>
      </c>
      <c r="B602" t="s">
        <v>655</v>
      </c>
      <c r="C602">
        <v>77</v>
      </c>
      <c r="D602">
        <v>2.9100000000000001E-2</v>
      </c>
      <c r="E602">
        <v>25.566620546593018</v>
      </c>
      <c r="F602">
        <v>2452.8090349424701</v>
      </c>
      <c r="G602">
        <v>9.0579999999999998</v>
      </c>
      <c r="H602">
        <v>6.3E-2</v>
      </c>
      <c r="I602">
        <v>377.20580000000001</v>
      </c>
    </row>
    <row r="603" spans="1:9" x14ac:dyDescent="0.3">
      <c r="A603" t="s">
        <v>54</v>
      </c>
      <c r="B603" t="s">
        <v>656</v>
      </c>
      <c r="C603">
        <v>77</v>
      </c>
      <c r="D603">
        <v>3.4299999999999997E-2</v>
      </c>
      <c r="E603">
        <v>25.566620546593018</v>
      </c>
      <c r="F603">
        <v>2452.8090349424701</v>
      </c>
      <c r="G603">
        <v>9.0579999999999998</v>
      </c>
      <c r="H603">
        <v>6.3E-2</v>
      </c>
      <c r="I603">
        <v>377.40730000000002</v>
      </c>
    </row>
    <row r="604" spans="1:9" x14ac:dyDescent="0.3">
      <c r="A604" t="s">
        <v>54</v>
      </c>
      <c r="B604" t="s">
        <v>657</v>
      </c>
      <c r="C604">
        <v>77</v>
      </c>
      <c r="D604">
        <v>3.6499999999999998E-2</v>
      </c>
      <c r="E604">
        <v>25.566620546593018</v>
      </c>
      <c r="F604">
        <v>2452.8090349424701</v>
      </c>
      <c r="G604">
        <v>9.0579999999999998</v>
      </c>
      <c r="H604">
        <v>6.3E-2</v>
      </c>
      <c r="I604">
        <v>377.60520000000002</v>
      </c>
    </row>
    <row r="605" spans="1:9" x14ac:dyDescent="0.3">
      <c r="A605" t="s">
        <v>54</v>
      </c>
      <c r="B605" t="s">
        <v>658</v>
      </c>
      <c r="C605">
        <v>77</v>
      </c>
      <c r="D605">
        <v>3.7600000000000001E-2</v>
      </c>
      <c r="E605">
        <v>25.566620546593018</v>
      </c>
      <c r="F605">
        <v>2452.8090349424701</v>
      </c>
      <c r="G605">
        <v>9.0579999999999998</v>
      </c>
      <c r="H605">
        <v>6.3E-2</v>
      </c>
      <c r="I605">
        <v>377.8066</v>
      </c>
    </row>
    <row r="606" spans="1:9" x14ac:dyDescent="0.3">
      <c r="A606" t="s">
        <v>54</v>
      </c>
      <c r="B606" t="s">
        <v>659</v>
      </c>
      <c r="C606">
        <v>77</v>
      </c>
      <c r="D606">
        <v>3.7600000000000001E-2</v>
      </c>
      <c r="E606">
        <v>25.566620546593018</v>
      </c>
      <c r="F606">
        <v>2452.8090349424701</v>
      </c>
      <c r="G606">
        <v>9.0579999999999998</v>
      </c>
      <c r="H606">
        <v>6.3E-2</v>
      </c>
      <c r="I606">
        <v>378.00760000000002</v>
      </c>
    </row>
    <row r="607" spans="1:9" x14ac:dyDescent="0.3">
      <c r="A607" t="s">
        <v>54</v>
      </c>
      <c r="B607" t="s">
        <v>660</v>
      </c>
      <c r="C607">
        <v>77</v>
      </c>
      <c r="D607">
        <v>3.7699999999999997E-2</v>
      </c>
      <c r="E607">
        <v>25.566620546593018</v>
      </c>
      <c r="F607">
        <v>2452.8090349424701</v>
      </c>
      <c r="G607">
        <v>9.0579999999999998</v>
      </c>
      <c r="H607">
        <v>6.3E-2</v>
      </c>
      <c r="I607">
        <v>378.2063</v>
      </c>
    </row>
    <row r="608" spans="1:9" x14ac:dyDescent="0.3">
      <c r="A608" t="s">
        <v>54</v>
      </c>
      <c r="B608" t="s">
        <v>661</v>
      </c>
      <c r="C608">
        <v>77</v>
      </c>
      <c r="D608">
        <v>3.7600000000000001E-2</v>
      </c>
      <c r="E608">
        <v>25.566620546593018</v>
      </c>
      <c r="F608">
        <v>2452.8090349424701</v>
      </c>
      <c r="G608">
        <v>9.0579999999999998</v>
      </c>
      <c r="H608">
        <v>6.3E-2</v>
      </c>
      <c r="I608">
        <v>378.40690000000001</v>
      </c>
    </row>
    <row r="609" spans="1:9" x14ac:dyDescent="0.3">
      <c r="A609" t="s">
        <v>54</v>
      </c>
      <c r="B609" t="s">
        <v>662</v>
      </c>
      <c r="C609">
        <v>77</v>
      </c>
      <c r="D609">
        <v>3.7699999999999997E-2</v>
      </c>
      <c r="E609">
        <v>25.566620546593018</v>
      </c>
      <c r="F609">
        <v>2452.8090349424701</v>
      </c>
      <c r="G609">
        <v>9.0579999999999998</v>
      </c>
      <c r="H609">
        <v>6.3E-2</v>
      </c>
      <c r="I609">
        <v>378.6071</v>
      </c>
    </row>
    <row r="610" spans="1:9" x14ac:dyDescent="0.3">
      <c r="A610" t="s">
        <v>54</v>
      </c>
      <c r="B610" t="s">
        <v>663</v>
      </c>
      <c r="C610">
        <v>77</v>
      </c>
      <c r="D610">
        <v>3.7699999999999997E-2</v>
      </c>
      <c r="E610">
        <v>25.566620546593018</v>
      </c>
      <c r="F610">
        <v>2452.8090349424701</v>
      </c>
      <c r="G610">
        <v>9.0579999999999998</v>
      </c>
      <c r="H610">
        <v>6.3E-2</v>
      </c>
      <c r="I610">
        <v>378.8075</v>
      </c>
    </row>
    <row r="611" spans="1:9" x14ac:dyDescent="0.3">
      <c r="A611" t="s">
        <v>54</v>
      </c>
      <c r="B611" t="s">
        <v>664</v>
      </c>
      <c r="C611">
        <v>77</v>
      </c>
      <c r="D611">
        <v>3.7600000000000001E-2</v>
      </c>
      <c r="E611">
        <v>25.566620546593018</v>
      </c>
      <c r="F611">
        <v>2452.8090349424701</v>
      </c>
      <c r="G611">
        <v>9.0579999999999998</v>
      </c>
      <c r="H611">
        <v>6.3E-2</v>
      </c>
      <c r="I611">
        <v>379.00819999999999</v>
      </c>
    </row>
    <row r="612" spans="1:9" x14ac:dyDescent="0.3">
      <c r="A612" t="s">
        <v>54</v>
      </c>
      <c r="B612" t="s">
        <v>665</v>
      </c>
      <c r="C612">
        <v>77</v>
      </c>
      <c r="D612">
        <v>3.7600000000000001E-2</v>
      </c>
      <c r="E612">
        <v>25.566620546593018</v>
      </c>
      <c r="F612">
        <v>2452.8090349424701</v>
      </c>
      <c r="G612">
        <v>9.0579999999999998</v>
      </c>
      <c r="H612">
        <v>6.3E-2</v>
      </c>
      <c r="I612">
        <v>379.20620000000002</v>
      </c>
    </row>
    <row r="613" spans="1:9" x14ac:dyDescent="0.3">
      <c r="A613" t="s">
        <v>54</v>
      </c>
      <c r="B613" t="s">
        <v>666</v>
      </c>
      <c r="C613">
        <v>77</v>
      </c>
      <c r="D613">
        <v>3.7699999999999997E-2</v>
      </c>
      <c r="E613">
        <v>25.566620546593018</v>
      </c>
      <c r="F613">
        <v>2452.8090349424701</v>
      </c>
      <c r="G613">
        <v>9.0579999999999998</v>
      </c>
      <c r="H613">
        <v>6.3E-2</v>
      </c>
      <c r="I613">
        <v>379.40789999999998</v>
      </c>
    </row>
    <row r="614" spans="1:9" x14ac:dyDescent="0.3">
      <c r="A614" t="s">
        <v>54</v>
      </c>
      <c r="B614" t="s">
        <v>667</v>
      </c>
      <c r="C614">
        <v>77</v>
      </c>
      <c r="D614">
        <v>3.7699999999999997E-2</v>
      </c>
      <c r="E614">
        <v>25.566620546593018</v>
      </c>
      <c r="F614">
        <v>2452.8090349424701</v>
      </c>
      <c r="G614">
        <v>9.0579999999999998</v>
      </c>
      <c r="H614">
        <v>6.3E-2</v>
      </c>
      <c r="I614">
        <v>379.60969999999998</v>
      </c>
    </row>
    <row r="615" spans="1:9" x14ac:dyDescent="0.3">
      <c r="A615" t="s">
        <v>54</v>
      </c>
      <c r="B615" t="s">
        <v>668</v>
      </c>
      <c r="C615">
        <v>77</v>
      </c>
      <c r="D615">
        <v>3.7699999999999997E-2</v>
      </c>
      <c r="E615">
        <v>25.566620546593018</v>
      </c>
      <c r="F615">
        <v>2452.8090349424701</v>
      </c>
      <c r="G615">
        <v>9.0579999999999998</v>
      </c>
      <c r="H615">
        <v>6.3E-2</v>
      </c>
      <c r="I615">
        <v>379.80650000000003</v>
      </c>
    </row>
    <row r="616" spans="1:9" x14ac:dyDescent="0.3">
      <c r="A616" t="s">
        <v>54</v>
      </c>
      <c r="B616" t="s">
        <v>669</v>
      </c>
      <c r="C616">
        <v>77</v>
      </c>
      <c r="D616">
        <v>3.7699999999999997E-2</v>
      </c>
      <c r="E616">
        <v>21.511913046964182</v>
      </c>
      <c r="F616">
        <v>2074.9102959770621</v>
      </c>
      <c r="G616">
        <v>9.0579999999999998</v>
      </c>
      <c r="H616">
        <v>0</v>
      </c>
      <c r="I616">
        <v>380.00580000000002</v>
      </c>
    </row>
    <row r="617" spans="1:9" x14ac:dyDescent="0.3">
      <c r="A617" t="s">
        <v>54</v>
      </c>
      <c r="B617" t="s">
        <v>670</v>
      </c>
      <c r="C617">
        <v>77</v>
      </c>
      <c r="D617">
        <v>3.1600000000000003E-2</v>
      </c>
      <c r="E617">
        <v>21.511913046964182</v>
      </c>
      <c r="F617">
        <v>2074.9102959770621</v>
      </c>
      <c r="G617">
        <v>9.0579999999999998</v>
      </c>
      <c r="H617">
        <v>0</v>
      </c>
      <c r="I617">
        <v>380.2079</v>
      </c>
    </row>
    <row r="618" spans="1:9" x14ac:dyDescent="0.3">
      <c r="A618" t="s">
        <v>54</v>
      </c>
      <c r="B618" t="s">
        <v>671</v>
      </c>
      <c r="C618">
        <v>77</v>
      </c>
      <c r="D618">
        <v>1.9800000000000002E-2</v>
      </c>
      <c r="E618">
        <v>21.511913046964182</v>
      </c>
      <c r="F618">
        <v>2074.9102959770621</v>
      </c>
      <c r="G618">
        <v>9.0579999999999998</v>
      </c>
      <c r="H618">
        <v>0</v>
      </c>
      <c r="I618">
        <v>380.40519999999998</v>
      </c>
    </row>
    <row r="619" spans="1:9" x14ac:dyDescent="0.3">
      <c r="A619" t="s">
        <v>54</v>
      </c>
      <c r="B619" t="s">
        <v>672</v>
      </c>
      <c r="C619">
        <v>77</v>
      </c>
      <c r="D619">
        <v>1.06E-2</v>
      </c>
      <c r="E619">
        <v>21.511913046964182</v>
      </c>
      <c r="F619">
        <v>2074.9102959770621</v>
      </c>
      <c r="G619">
        <v>9.0579999999999998</v>
      </c>
      <c r="H619">
        <v>0</v>
      </c>
      <c r="I619">
        <v>380.60599999999999</v>
      </c>
    </row>
    <row r="620" spans="1:9" x14ac:dyDescent="0.3">
      <c r="A620" t="s">
        <v>54</v>
      </c>
      <c r="B620" t="s">
        <v>673</v>
      </c>
      <c r="C620">
        <v>77</v>
      </c>
      <c r="D620">
        <v>5.9999999999999995E-4</v>
      </c>
      <c r="E620">
        <v>21.511913046964182</v>
      </c>
      <c r="F620">
        <v>2074.9102959770621</v>
      </c>
      <c r="G620">
        <v>9.0579999999999998</v>
      </c>
      <c r="H620">
        <v>0</v>
      </c>
      <c r="I620">
        <v>380.80779999999999</v>
      </c>
    </row>
    <row r="621" spans="1:9" x14ac:dyDescent="0.3">
      <c r="A621" t="s">
        <v>54</v>
      </c>
      <c r="B621" t="s">
        <v>674</v>
      </c>
      <c r="C621">
        <v>77</v>
      </c>
      <c r="D621">
        <v>-3.0999999999999999E-3</v>
      </c>
      <c r="E621">
        <v>21.511913046964182</v>
      </c>
      <c r="F621">
        <v>2074.9102959770621</v>
      </c>
      <c r="G621">
        <v>9.0579999999999998</v>
      </c>
      <c r="H621">
        <v>0</v>
      </c>
      <c r="I621">
        <v>381.00779999999997</v>
      </c>
    </row>
    <row r="622" spans="1:9" x14ac:dyDescent="0.3">
      <c r="A622" t="s">
        <v>54</v>
      </c>
      <c r="B622" t="s">
        <v>675</v>
      </c>
      <c r="C622">
        <v>77</v>
      </c>
      <c r="D622">
        <v>-3.0999999999999999E-3</v>
      </c>
      <c r="E622">
        <v>21.511913046964182</v>
      </c>
      <c r="F622">
        <v>2074.9102959770621</v>
      </c>
      <c r="G622">
        <v>9.0579999999999998</v>
      </c>
      <c r="H622">
        <v>0</v>
      </c>
      <c r="I622">
        <v>381.20760000000001</v>
      </c>
    </row>
    <row r="623" spans="1:9" x14ac:dyDescent="0.3">
      <c r="A623" t="s">
        <v>54</v>
      </c>
      <c r="B623" t="s">
        <v>676</v>
      </c>
      <c r="C623">
        <v>77</v>
      </c>
      <c r="D623">
        <v>-3.0999999999999999E-3</v>
      </c>
      <c r="E623">
        <v>21.511913046964182</v>
      </c>
      <c r="F623">
        <v>2074.9102959770621</v>
      </c>
      <c r="G623">
        <v>9.0579999999999998</v>
      </c>
      <c r="H623">
        <v>0</v>
      </c>
      <c r="I623">
        <v>381.40660000000003</v>
      </c>
    </row>
    <row r="624" spans="1:9" x14ac:dyDescent="0.3">
      <c r="A624" t="s">
        <v>54</v>
      </c>
      <c r="B624" t="s">
        <v>677</v>
      </c>
      <c r="C624">
        <v>77</v>
      </c>
      <c r="D624">
        <v>-3.0999999999999999E-3</v>
      </c>
      <c r="E624">
        <v>21.511913046964182</v>
      </c>
      <c r="F624">
        <v>2074.9102959770621</v>
      </c>
      <c r="G624">
        <v>9.0579999999999998</v>
      </c>
      <c r="H624">
        <v>0</v>
      </c>
      <c r="I624">
        <v>381.6071</v>
      </c>
    </row>
    <row r="625" spans="1:9" x14ac:dyDescent="0.3">
      <c r="A625" t="s">
        <v>54</v>
      </c>
      <c r="B625" t="s">
        <v>678</v>
      </c>
      <c r="C625">
        <v>77</v>
      </c>
      <c r="D625">
        <v>-3.0999999999999999E-3</v>
      </c>
      <c r="E625">
        <v>21.511913046964182</v>
      </c>
      <c r="F625">
        <v>2074.9102959770621</v>
      </c>
      <c r="G625">
        <v>9.0579999999999998</v>
      </c>
      <c r="H625">
        <v>0</v>
      </c>
      <c r="I625">
        <v>381.80700000000002</v>
      </c>
    </row>
    <row r="626" spans="1:9" x14ac:dyDescent="0.3">
      <c r="A626" t="s">
        <v>54</v>
      </c>
      <c r="B626" t="s">
        <v>679</v>
      </c>
      <c r="C626">
        <v>77</v>
      </c>
      <c r="D626">
        <v>-3.0999999999999999E-3</v>
      </c>
      <c r="E626">
        <v>21.511913046964182</v>
      </c>
      <c r="F626">
        <v>2074.9102959770621</v>
      </c>
      <c r="G626">
        <v>9.0579999999999998</v>
      </c>
      <c r="H626">
        <v>0</v>
      </c>
      <c r="I626">
        <v>382.00599999999997</v>
      </c>
    </row>
    <row r="627" spans="1:9" x14ac:dyDescent="0.3">
      <c r="A627" t="s">
        <v>54</v>
      </c>
      <c r="B627" t="s">
        <v>680</v>
      </c>
      <c r="C627">
        <v>77</v>
      </c>
      <c r="D627">
        <v>-3.0999999999999999E-3</v>
      </c>
      <c r="E627">
        <v>21.511913046964182</v>
      </c>
      <c r="F627">
        <v>2074.9102959770621</v>
      </c>
      <c r="G627">
        <v>9.0579999999999998</v>
      </c>
      <c r="H627">
        <v>0</v>
      </c>
      <c r="I627">
        <v>382.20609999999999</v>
      </c>
    </row>
    <row r="628" spans="1:9" x14ac:dyDescent="0.3">
      <c r="A628" t="s">
        <v>54</v>
      </c>
      <c r="B628" t="s">
        <v>681</v>
      </c>
      <c r="C628">
        <v>77</v>
      </c>
      <c r="D628">
        <v>-3.0999999999999999E-3</v>
      </c>
      <c r="E628">
        <v>21.511913046964182</v>
      </c>
      <c r="F628">
        <v>2074.9102959770621</v>
      </c>
      <c r="G628">
        <v>9.0579999999999998</v>
      </c>
      <c r="H628">
        <v>0</v>
      </c>
      <c r="I628">
        <v>382.40519999999998</v>
      </c>
    </row>
    <row r="629" spans="1:9" x14ac:dyDescent="0.3">
      <c r="A629" t="s">
        <v>54</v>
      </c>
      <c r="B629" t="s">
        <v>682</v>
      </c>
      <c r="C629">
        <v>77</v>
      </c>
      <c r="D629">
        <v>-3.0999999999999999E-3</v>
      </c>
      <c r="E629">
        <v>21.511913046964182</v>
      </c>
      <c r="F629">
        <v>2074.9102959770621</v>
      </c>
      <c r="G629">
        <v>9.0579999999999998</v>
      </c>
      <c r="H629">
        <v>0</v>
      </c>
      <c r="I629">
        <v>382.60590000000002</v>
      </c>
    </row>
    <row r="630" spans="1:9" x14ac:dyDescent="0.3">
      <c r="A630" t="s">
        <v>54</v>
      </c>
      <c r="B630" t="s">
        <v>683</v>
      </c>
      <c r="C630">
        <v>77</v>
      </c>
      <c r="D630">
        <v>-3.0999999999999999E-3</v>
      </c>
      <c r="E630">
        <v>21.511913046964182</v>
      </c>
      <c r="F630">
        <v>2074.9102959770621</v>
      </c>
      <c r="G630">
        <v>9.0579999999999998</v>
      </c>
      <c r="H630">
        <v>0</v>
      </c>
      <c r="I630">
        <v>382.8064</v>
      </c>
    </row>
    <row r="631" spans="1:9" x14ac:dyDescent="0.3">
      <c r="A631" t="s">
        <v>54</v>
      </c>
      <c r="B631" t="s">
        <v>684</v>
      </c>
      <c r="C631">
        <v>77</v>
      </c>
      <c r="D631">
        <v>-3.0999999999999999E-3</v>
      </c>
      <c r="E631">
        <v>21.511913046964182</v>
      </c>
      <c r="F631">
        <v>2074.9102959770621</v>
      </c>
      <c r="G631">
        <v>9.0579999999999998</v>
      </c>
      <c r="H631">
        <v>0</v>
      </c>
      <c r="I631">
        <v>383.00670000000002</v>
      </c>
    </row>
    <row r="632" spans="1:9" x14ac:dyDescent="0.3">
      <c r="A632" t="s">
        <v>54</v>
      </c>
      <c r="B632" t="s">
        <v>685</v>
      </c>
      <c r="C632">
        <v>77</v>
      </c>
      <c r="D632">
        <v>-3.0999999999999999E-3</v>
      </c>
      <c r="E632">
        <v>21.511913046964182</v>
      </c>
      <c r="F632">
        <v>2074.9102959770621</v>
      </c>
      <c r="G632">
        <v>9.0579999999999998</v>
      </c>
      <c r="H632">
        <v>0</v>
      </c>
      <c r="I632">
        <v>383.20499999999998</v>
      </c>
    </row>
    <row r="633" spans="1:9" x14ac:dyDescent="0.3">
      <c r="A633" t="s">
        <v>54</v>
      </c>
      <c r="B633" t="s">
        <v>686</v>
      </c>
      <c r="C633">
        <v>77</v>
      </c>
      <c r="D633">
        <v>-3.0999999999999999E-3</v>
      </c>
      <c r="E633">
        <v>21.511913046964182</v>
      </c>
      <c r="F633">
        <v>2074.9102959770621</v>
      </c>
      <c r="G633">
        <v>9.0579999999999998</v>
      </c>
      <c r="H633">
        <v>0</v>
      </c>
      <c r="I633">
        <v>383.40710000000001</v>
      </c>
    </row>
    <row r="634" spans="1:9" x14ac:dyDescent="0.3">
      <c r="A634" t="s">
        <v>54</v>
      </c>
      <c r="B634" t="s">
        <v>687</v>
      </c>
      <c r="C634">
        <v>77</v>
      </c>
      <c r="D634">
        <v>-3.0999999999999999E-3</v>
      </c>
      <c r="E634">
        <v>21.511913046964182</v>
      </c>
      <c r="F634">
        <v>2074.9102959770621</v>
      </c>
      <c r="G634">
        <v>9.0579999999999998</v>
      </c>
      <c r="H634">
        <v>0</v>
      </c>
      <c r="I634">
        <v>383.60610000000003</v>
      </c>
    </row>
    <row r="635" spans="1:9" x14ac:dyDescent="0.3">
      <c r="A635" t="s">
        <v>54</v>
      </c>
      <c r="B635" t="s">
        <v>688</v>
      </c>
      <c r="C635">
        <v>77</v>
      </c>
      <c r="D635">
        <v>-3.0999999999999999E-3</v>
      </c>
      <c r="E635">
        <v>21.511913046964182</v>
      </c>
      <c r="F635">
        <v>2074.9102959770621</v>
      </c>
      <c r="G635">
        <v>9.0579999999999998</v>
      </c>
      <c r="H635">
        <v>0</v>
      </c>
      <c r="I635">
        <v>383.80689999999998</v>
      </c>
    </row>
    <row r="636" spans="1:9" x14ac:dyDescent="0.3">
      <c r="A636" t="s">
        <v>54</v>
      </c>
      <c r="B636" t="s">
        <v>689</v>
      </c>
      <c r="C636">
        <v>77</v>
      </c>
      <c r="D636">
        <v>-3.0999999999999999E-3</v>
      </c>
      <c r="E636">
        <v>21.511913046964182</v>
      </c>
      <c r="F636">
        <v>2074.9102959770621</v>
      </c>
      <c r="G636">
        <v>9.0579999999999998</v>
      </c>
      <c r="H636">
        <v>0</v>
      </c>
      <c r="I636">
        <v>384.00819999999999</v>
      </c>
    </row>
    <row r="637" spans="1:9" x14ac:dyDescent="0.3">
      <c r="A637" t="s">
        <v>54</v>
      </c>
      <c r="B637" t="s">
        <v>690</v>
      </c>
      <c r="C637">
        <v>77</v>
      </c>
      <c r="D637">
        <v>-3.0999999999999999E-3</v>
      </c>
      <c r="E637">
        <v>21.511913046964182</v>
      </c>
      <c r="F637">
        <v>2074.9102959770621</v>
      </c>
      <c r="G637">
        <v>9.0579999999999998</v>
      </c>
      <c r="H637">
        <v>0</v>
      </c>
      <c r="I637">
        <v>384.20519999999999</v>
      </c>
    </row>
    <row r="638" spans="1:9" x14ac:dyDescent="0.3">
      <c r="A638" t="s">
        <v>54</v>
      </c>
      <c r="B638" t="s">
        <v>691</v>
      </c>
      <c r="C638">
        <v>77</v>
      </c>
      <c r="D638">
        <v>-3.0999999999999999E-3</v>
      </c>
      <c r="E638">
        <v>21.511913046964182</v>
      </c>
      <c r="F638">
        <v>2074.9102959770621</v>
      </c>
      <c r="G638">
        <v>9.0579999999999998</v>
      </c>
      <c r="H638">
        <v>0</v>
      </c>
      <c r="I638">
        <v>384.40530000000001</v>
      </c>
    </row>
    <row r="639" spans="1:9" x14ac:dyDescent="0.3">
      <c r="A639" t="s">
        <v>54</v>
      </c>
      <c r="B639" t="s">
        <v>692</v>
      </c>
      <c r="C639">
        <v>77</v>
      </c>
      <c r="D639">
        <v>-3.0999999999999999E-3</v>
      </c>
      <c r="E639">
        <v>21.511913046964182</v>
      </c>
      <c r="F639">
        <v>2074.9102959770621</v>
      </c>
      <c r="G639">
        <v>9.0579999999999998</v>
      </c>
      <c r="H639">
        <v>0</v>
      </c>
      <c r="I639">
        <v>384.60520000000002</v>
      </c>
    </row>
    <row r="640" spans="1:9" x14ac:dyDescent="0.3">
      <c r="A640" t="s">
        <v>54</v>
      </c>
      <c r="B640" t="s">
        <v>693</v>
      </c>
      <c r="C640">
        <v>77</v>
      </c>
      <c r="D640">
        <v>-3.0999999999999999E-3</v>
      </c>
      <c r="E640">
        <v>21.511913046964182</v>
      </c>
      <c r="F640">
        <v>2074.9102959770621</v>
      </c>
      <c r="G640">
        <v>9.0579999999999998</v>
      </c>
      <c r="H640">
        <v>0</v>
      </c>
      <c r="I640">
        <v>384.80700000000002</v>
      </c>
    </row>
    <row r="641" spans="1:9" x14ac:dyDescent="0.3">
      <c r="A641" t="s">
        <v>54</v>
      </c>
      <c r="B641" t="s">
        <v>694</v>
      </c>
      <c r="C641">
        <v>77</v>
      </c>
      <c r="D641">
        <v>-3.0999999999999999E-3</v>
      </c>
      <c r="E641">
        <v>21.511913046964182</v>
      </c>
      <c r="F641">
        <v>2074.9102959770621</v>
      </c>
      <c r="G641">
        <v>9.0579999999999998</v>
      </c>
      <c r="H641">
        <v>0</v>
      </c>
      <c r="I641">
        <v>385.00790000000001</v>
      </c>
    </row>
    <row r="642" spans="1:9" x14ac:dyDescent="0.3">
      <c r="A642" t="s">
        <v>54</v>
      </c>
      <c r="B642" t="s">
        <v>695</v>
      </c>
      <c r="C642">
        <v>77</v>
      </c>
      <c r="D642">
        <v>-3.0999999999999999E-3</v>
      </c>
      <c r="E642">
        <v>21.511913046964182</v>
      </c>
      <c r="F642">
        <v>2074.9102959770621</v>
      </c>
      <c r="G642">
        <v>9.0579999999999998</v>
      </c>
      <c r="H642">
        <v>0</v>
      </c>
      <c r="I642">
        <v>385.20589999999999</v>
      </c>
    </row>
    <row r="643" spans="1:9" x14ac:dyDescent="0.3">
      <c r="A643" t="s">
        <v>54</v>
      </c>
      <c r="B643" t="s">
        <v>696</v>
      </c>
      <c r="C643">
        <v>77</v>
      </c>
      <c r="D643">
        <v>-3.0999999999999999E-3</v>
      </c>
      <c r="E643">
        <v>21.511913046964182</v>
      </c>
      <c r="F643">
        <v>2074.9102959770621</v>
      </c>
      <c r="G643">
        <v>9.0579999999999998</v>
      </c>
      <c r="H643">
        <v>0</v>
      </c>
      <c r="I643">
        <v>385.40530000000001</v>
      </c>
    </row>
    <row r="644" spans="1:9" x14ac:dyDescent="0.3">
      <c r="A644" t="s">
        <v>54</v>
      </c>
      <c r="B644" t="s">
        <v>697</v>
      </c>
      <c r="C644">
        <v>77</v>
      </c>
      <c r="D644">
        <v>-3.0999999999999999E-3</v>
      </c>
      <c r="E644">
        <v>21.511913046964182</v>
      </c>
      <c r="F644">
        <v>2074.9102959770621</v>
      </c>
      <c r="G644">
        <v>9.0579999999999998</v>
      </c>
      <c r="H644">
        <v>0</v>
      </c>
      <c r="I644">
        <v>385.6071</v>
      </c>
    </row>
    <row r="645" spans="1:9" x14ac:dyDescent="0.3">
      <c r="A645" t="s">
        <v>54</v>
      </c>
      <c r="B645" t="s">
        <v>698</v>
      </c>
      <c r="C645">
        <v>77</v>
      </c>
      <c r="D645">
        <v>-3.0999999999999999E-3</v>
      </c>
      <c r="E645">
        <v>21.511913046964182</v>
      </c>
      <c r="F645">
        <v>2074.9102959770621</v>
      </c>
      <c r="G645">
        <v>9.0579999999999998</v>
      </c>
      <c r="H645">
        <v>0</v>
      </c>
      <c r="I645">
        <v>385.8064</v>
      </c>
    </row>
    <row r="646" spans="1:9" x14ac:dyDescent="0.3">
      <c r="A646" t="s">
        <v>54</v>
      </c>
      <c r="B646" t="s">
        <v>699</v>
      </c>
      <c r="C646">
        <v>77</v>
      </c>
      <c r="D646">
        <v>-3.0999999999999999E-3</v>
      </c>
      <c r="E646">
        <v>21.511913046964182</v>
      </c>
      <c r="F646">
        <v>2074.9102959770621</v>
      </c>
      <c r="G646">
        <v>9.0579999999999998</v>
      </c>
      <c r="H646">
        <v>0</v>
      </c>
      <c r="I646">
        <v>386.00830000000002</v>
      </c>
    </row>
    <row r="647" spans="1:9" x14ac:dyDescent="0.3">
      <c r="A647" t="s">
        <v>54</v>
      </c>
      <c r="B647" t="s">
        <v>700</v>
      </c>
      <c r="C647">
        <v>77</v>
      </c>
      <c r="D647">
        <v>-3.0999999999999999E-3</v>
      </c>
      <c r="E647">
        <v>21.511913046964182</v>
      </c>
      <c r="F647">
        <v>2074.9102959770621</v>
      </c>
      <c r="G647">
        <v>9.0579999999999998</v>
      </c>
      <c r="H647">
        <v>0</v>
      </c>
      <c r="I647">
        <v>386.20710000000003</v>
      </c>
    </row>
    <row r="648" spans="1:9" x14ac:dyDescent="0.3">
      <c r="A648" t="s">
        <v>54</v>
      </c>
      <c r="B648" t="s">
        <v>701</v>
      </c>
      <c r="C648">
        <v>77</v>
      </c>
      <c r="D648">
        <v>-3.0999999999999999E-3</v>
      </c>
      <c r="E648">
        <v>21.511913046964182</v>
      </c>
      <c r="F648">
        <v>2074.9102959770621</v>
      </c>
      <c r="G648">
        <v>9.0579999999999998</v>
      </c>
      <c r="H648">
        <v>0</v>
      </c>
      <c r="I648">
        <v>386.40550000000002</v>
      </c>
    </row>
    <row r="649" spans="1:9" x14ac:dyDescent="0.3">
      <c r="A649" t="s">
        <v>54</v>
      </c>
      <c r="B649" t="s">
        <v>702</v>
      </c>
      <c r="C649">
        <v>77</v>
      </c>
      <c r="D649">
        <v>-3.0999999999999999E-3</v>
      </c>
      <c r="E649">
        <v>21.511913046964182</v>
      </c>
      <c r="F649">
        <v>2074.9102959770621</v>
      </c>
      <c r="G649">
        <v>9.0579999999999998</v>
      </c>
      <c r="H649">
        <v>0</v>
      </c>
      <c r="I649">
        <v>386.60640000000001</v>
      </c>
    </row>
    <row r="650" spans="1:9" x14ac:dyDescent="0.3">
      <c r="A650" t="s">
        <v>54</v>
      </c>
      <c r="B650" t="s">
        <v>703</v>
      </c>
      <c r="C650">
        <v>77</v>
      </c>
      <c r="D650">
        <v>-3.0999999999999999E-3</v>
      </c>
      <c r="E650">
        <v>21.511913046964182</v>
      </c>
      <c r="F650">
        <v>2074.9102959770621</v>
      </c>
      <c r="G650">
        <v>9.0579999999999998</v>
      </c>
      <c r="H650">
        <v>0</v>
      </c>
      <c r="I650">
        <v>386.80810000000002</v>
      </c>
    </row>
    <row r="651" spans="1:9" x14ac:dyDescent="0.3">
      <c r="A651" t="s">
        <v>54</v>
      </c>
      <c r="B651" t="s">
        <v>704</v>
      </c>
      <c r="C651">
        <v>77</v>
      </c>
      <c r="D651">
        <v>-3.0999999999999999E-3</v>
      </c>
      <c r="E651">
        <v>21.511913046964182</v>
      </c>
      <c r="F651">
        <v>2074.9102959770621</v>
      </c>
      <c r="G651">
        <v>9.0579999999999998</v>
      </c>
      <c r="H651">
        <v>0</v>
      </c>
      <c r="I651">
        <v>387.0068</v>
      </c>
    </row>
    <row r="652" spans="1:9" x14ac:dyDescent="0.3">
      <c r="A652" t="s">
        <v>54</v>
      </c>
      <c r="B652" t="s">
        <v>705</v>
      </c>
      <c r="C652">
        <v>77</v>
      </c>
      <c r="D652">
        <v>-3.0999999999999999E-3</v>
      </c>
      <c r="E652">
        <v>21.511913046964182</v>
      </c>
      <c r="F652">
        <v>2074.9102959770621</v>
      </c>
      <c r="G652">
        <v>9.0579999999999998</v>
      </c>
      <c r="H652">
        <v>0</v>
      </c>
      <c r="I652">
        <v>387.20639999999997</v>
      </c>
    </row>
    <row r="653" spans="1:9" x14ac:dyDescent="0.3">
      <c r="A653" t="s">
        <v>54</v>
      </c>
      <c r="B653" t="s">
        <v>706</v>
      </c>
      <c r="C653">
        <v>77</v>
      </c>
      <c r="D653">
        <v>-3.0999999999999999E-3</v>
      </c>
      <c r="E653">
        <v>21.511913046964182</v>
      </c>
      <c r="F653">
        <v>2074.9102959770621</v>
      </c>
      <c r="G653">
        <v>9.0579999999999998</v>
      </c>
      <c r="H653">
        <v>0</v>
      </c>
      <c r="I653">
        <v>387.40899999999999</v>
      </c>
    </row>
    <row r="654" spans="1:9" x14ac:dyDescent="0.3">
      <c r="A654" t="s">
        <v>54</v>
      </c>
      <c r="B654" t="s">
        <v>707</v>
      </c>
      <c r="C654">
        <v>77</v>
      </c>
      <c r="D654">
        <v>-3.0999999999999999E-3</v>
      </c>
      <c r="E654">
        <v>21.511913046964182</v>
      </c>
      <c r="F654">
        <v>2074.9102959770621</v>
      </c>
      <c r="G654">
        <v>9.0579999999999998</v>
      </c>
      <c r="H654">
        <v>0</v>
      </c>
      <c r="I654">
        <v>387.60899999999998</v>
      </c>
    </row>
    <row r="655" spans="1:9" x14ac:dyDescent="0.3">
      <c r="A655" t="s">
        <v>54</v>
      </c>
      <c r="B655" t="s">
        <v>708</v>
      </c>
      <c r="C655">
        <v>77</v>
      </c>
      <c r="D655">
        <v>-3.0999999999999999E-3</v>
      </c>
      <c r="E655">
        <v>21.511913046964182</v>
      </c>
      <c r="F655">
        <v>2074.9102959770621</v>
      </c>
      <c r="G655">
        <v>9.0579999999999998</v>
      </c>
      <c r="H655">
        <v>0</v>
      </c>
      <c r="I655">
        <v>387.80529999999999</v>
      </c>
    </row>
    <row r="656" spans="1:9" x14ac:dyDescent="0.3">
      <c r="A656" t="s">
        <v>54</v>
      </c>
      <c r="B656" t="s">
        <v>709</v>
      </c>
      <c r="C656">
        <v>77</v>
      </c>
      <c r="D656">
        <v>-3.0999999999999999E-3</v>
      </c>
      <c r="E656">
        <v>21.511913046964182</v>
      </c>
      <c r="F656">
        <v>2074.9102959770621</v>
      </c>
      <c r="G656">
        <v>9.0579999999999998</v>
      </c>
      <c r="H656">
        <v>0</v>
      </c>
      <c r="I656">
        <v>388.00720000000001</v>
      </c>
    </row>
    <row r="657" spans="1:9" x14ac:dyDescent="0.3">
      <c r="A657" t="s">
        <v>54</v>
      </c>
      <c r="B657" t="s">
        <v>710</v>
      </c>
      <c r="C657">
        <v>77</v>
      </c>
      <c r="D657">
        <v>-3.0999999999999999E-3</v>
      </c>
      <c r="E657">
        <v>21.511913046964182</v>
      </c>
      <c r="F657">
        <v>2074.9102959770621</v>
      </c>
      <c r="G657">
        <v>9.0579999999999998</v>
      </c>
      <c r="H657">
        <v>0</v>
      </c>
      <c r="I657">
        <v>388.20839999999998</v>
      </c>
    </row>
    <row r="658" spans="1:9" x14ac:dyDescent="0.3">
      <c r="A658" t="s">
        <v>54</v>
      </c>
      <c r="B658" t="s">
        <v>711</v>
      </c>
      <c r="C658">
        <v>77</v>
      </c>
      <c r="D658">
        <v>-3.0999999999999999E-3</v>
      </c>
      <c r="E658">
        <v>21.511913046964182</v>
      </c>
      <c r="F658">
        <v>2074.9102959770621</v>
      </c>
      <c r="G658">
        <v>9.0579999999999998</v>
      </c>
      <c r="H658">
        <v>0</v>
      </c>
      <c r="I658">
        <v>388.40559999999999</v>
      </c>
    </row>
    <row r="659" spans="1:9" x14ac:dyDescent="0.3">
      <c r="A659" t="s">
        <v>54</v>
      </c>
      <c r="B659" t="s">
        <v>712</v>
      </c>
      <c r="C659">
        <v>77</v>
      </c>
      <c r="D659">
        <v>-3.0999999999999999E-3</v>
      </c>
      <c r="E659">
        <v>21.511913046964182</v>
      </c>
      <c r="F659">
        <v>2074.9102959770621</v>
      </c>
      <c r="G659">
        <v>9.0579999999999998</v>
      </c>
      <c r="H659">
        <v>0</v>
      </c>
      <c r="I659">
        <v>388.60809999999998</v>
      </c>
    </row>
    <row r="660" spans="1:9" x14ac:dyDescent="0.3">
      <c r="A660" t="s">
        <v>54</v>
      </c>
      <c r="B660" t="s">
        <v>713</v>
      </c>
      <c r="C660">
        <v>77</v>
      </c>
      <c r="D660">
        <v>-3.0999999999999999E-3</v>
      </c>
      <c r="E660">
        <v>21.511913046964182</v>
      </c>
      <c r="F660">
        <v>2074.9102959770621</v>
      </c>
      <c r="G660">
        <v>9.0579999999999998</v>
      </c>
      <c r="H660">
        <v>0</v>
      </c>
      <c r="I660">
        <v>388.80869999999999</v>
      </c>
    </row>
    <row r="661" spans="1:9" x14ac:dyDescent="0.3">
      <c r="A661" t="s">
        <v>54</v>
      </c>
      <c r="B661" t="s">
        <v>714</v>
      </c>
      <c r="C661">
        <v>77</v>
      </c>
      <c r="D661">
        <v>-3.0999999999999999E-3</v>
      </c>
      <c r="E661">
        <v>21.511913046964182</v>
      </c>
      <c r="F661">
        <v>2074.9102959770621</v>
      </c>
      <c r="G661">
        <v>9.0579999999999998</v>
      </c>
      <c r="H661">
        <v>0</v>
      </c>
      <c r="I661">
        <v>389.00569999999999</v>
      </c>
    </row>
    <row r="662" spans="1:9" x14ac:dyDescent="0.3">
      <c r="A662" t="s">
        <v>54</v>
      </c>
      <c r="B662" t="s">
        <v>715</v>
      </c>
      <c r="C662">
        <v>77</v>
      </c>
      <c r="D662">
        <v>-3.2000000000000002E-3</v>
      </c>
      <c r="E662">
        <v>21.511913046964182</v>
      </c>
      <c r="F662">
        <v>2074.9102959770621</v>
      </c>
      <c r="G662">
        <v>9.0579999999999998</v>
      </c>
      <c r="H662">
        <v>0</v>
      </c>
      <c r="I662">
        <v>389.20699999999999</v>
      </c>
    </row>
    <row r="663" spans="1:9" x14ac:dyDescent="0.3">
      <c r="A663" t="s">
        <v>54</v>
      </c>
      <c r="B663" t="s">
        <v>716</v>
      </c>
      <c r="C663">
        <v>77</v>
      </c>
      <c r="D663">
        <v>-3.0999999999999999E-3</v>
      </c>
      <c r="E663">
        <v>21.511913046964182</v>
      </c>
      <c r="F663">
        <v>2074.9102959770621</v>
      </c>
      <c r="G663">
        <v>9.0579999999999998</v>
      </c>
      <c r="H663">
        <v>0</v>
      </c>
      <c r="I663">
        <v>389.40640000000002</v>
      </c>
    </row>
    <row r="664" spans="1:9" x14ac:dyDescent="0.3">
      <c r="A664" t="s">
        <v>54</v>
      </c>
      <c r="B664" t="s">
        <v>717</v>
      </c>
      <c r="C664">
        <v>77</v>
      </c>
      <c r="D664">
        <v>-3.0999999999999999E-3</v>
      </c>
      <c r="E664">
        <v>21.511913046964182</v>
      </c>
      <c r="F664">
        <v>2074.9102959770621</v>
      </c>
      <c r="G664">
        <v>9.0579999999999998</v>
      </c>
      <c r="H664">
        <v>0</v>
      </c>
      <c r="I664">
        <v>389.60649999999998</v>
      </c>
    </row>
    <row r="665" spans="1:9" x14ac:dyDescent="0.3">
      <c r="A665" t="s">
        <v>54</v>
      </c>
      <c r="B665" t="s">
        <v>718</v>
      </c>
      <c r="C665">
        <v>77</v>
      </c>
      <c r="D665">
        <v>-3.0999999999999999E-3</v>
      </c>
      <c r="E665">
        <v>21.511913046964182</v>
      </c>
      <c r="F665">
        <v>2074.9102959770621</v>
      </c>
      <c r="G665">
        <v>9.0579999999999998</v>
      </c>
      <c r="H665">
        <v>0</v>
      </c>
      <c r="I665">
        <v>389.80869999999999</v>
      </c>
    </row>
    <row r="666" spans="1:9" x14ac:dyDescent="0.3">
      <c r="A666" t="s">
        <v>54</v>
      </c>
      <c r="B666" t="s">
        <v>719</v>
      </c>
      <c r="C666">
        <v>77</v>
      </c>
      <c r="D666">
        <v>-3.0999999999999999E-3</v>
      </c>
      <c r="E666">
        <v>25.566620546593018</v>
      </c>
      <c r="F666">
        <v>2566.2722898716779</v>
      </c>
      <c r="G666">
        <v>9.0579999999999998</v>
      </c>
      <c r="H666">
        <v>6.3E-2</v>
      </c>
      <c r="I666">
        <v>390.00850000000003</v>
      </c>
    </row>
    <row r="667" spans="1:9" x14ac:dyDescent="0.3">
      <c r="A667" t="s">
        <v>54</v>
      </c>
      <c r="B667" t="s">
        <v>720</v>
      </c>
      <c r="C667">
        <v>77</v>
      </c>
      <c r="D667">
        <v>1.37E-2</v>
      </c>
      <c r="E667">
        <v>25.566620546593018</v>
      </c>
      <c r="F667">
        <v>2452.8090349424701</v>
      </c>
      <c r="G667">
        <v>9.0579999999999998</v>
      </c>
      <c r="H667">
        <v>6.3E-2</v>
      </c>
      <c r="I667">
        <v>390.20600000000002</v>
      </c>
    </row>
    <row r="668" spans="1:9" x14ac:dyDescent="0.3">
      <c r="A668" t="s">
        <v>54</v>
      </c>
      <c r="B668" t="s">
        <v>721</v>
      </c>
      <c r="C668">
        <v>77</v>
      </c>
      <c r="D668">
        <v>2.9700000000000001E-2</v>
      </c>
      <c r="E668">
        <v>25.566620546593018</v>
      </c>
      <c r="F668">
        <v>2452.8090349424701</v>
      </c>
      <c r="G668">
        <v>9.0579999999999998</v>
      </c>
      <c r="H668">
        <v>6.3E-2</v>
      </c>
      <c r="I668">
        <v>390.40699999999998</v>
      </c>
    </row>
    <row r="669" spans="1:9" x14ac:dyDescent="0.3">
      <c r="A669" t="s">
        <v>54</v>
      </c>
      <c r="B669" t="s">
        <v>722</v>
      </c>
      <c r="C669">
        <v>77</v>
      </c>
      <c r="D669">
        <v>3.5099999999999999E-2</v>
      </c>
      <c r="E669">
        <v>25.566620546593018</v>
      </c>
      <c r="F669">
        <v>2452.8090349424701</v>
      </c>
      <c r="G669">
        <v>9.0579999999999998</v>
      </c>
      <c r="H669">
        <v>6.3E-2</v>
      </c>
      <c r="I669">
        <v>390.60559999999998</v>
      </c>
    </row>
    <row r="670" spans="1:9" x14ac:dyDescent="0.3">
      <c r="A670" t="s">
        <v>54</v>
      </c>
      <c r="B670" t="s">
        <v>723</v>
      </c>
      <c r="C670">
        <v>77</v>
      </c>
      <c r="D670">
        <v>3.73E-2</v>
      </c>
      <c r="E670">
        <v>25.566620546593018</v>
      </c>
      <c r="F670">
        <v>2452.8090349424701</v>
      </c>
      <c r="G670">
        <v>9.0579999999999998</v>
      </c>
      <c r="H670">
        <v>6.3E-2</v>
      </c>
      <c r="I670">
        <v>390.80560000000003</v>
      </c>
    </row>
    <row r="671" spans="1:9" x14ac:dyDescent="0.3">
      <c r="A671" t="s">
        <v>54</v>
      </c>
      <c r="B671" t="s">
        <v>724</v>
      </c>
      <c r="C671">
        <v>77</v>
      </c>
      <c r="D671">
        <v>3.78E-2</v>
      </c>
      <c r="E671">
        <v>25.566620546593018</v>
      </c>
      <c r="F671">
        <v>2452.8090349424701</v>
      </c>
      <c r="G671">
        <v>9.0579999999999998</v>
      </c>
      <c r="H671">
        <v>6.3E-2</v>
      </c>
      <c r="I671">
        <v>391.00560000000002</v>
      </c>
    </row>
    <row r="672" spans="1:9" x14ac:dyDescent="0.3">
      <c r="A672" t="s">
        <v>54</v>
      </c>
      <c r="B672" t="s">
        <v>725</v>
      </c>
      <c r="C672">
        <v>77</v>
      </c>
      <c r="D672">
        <v>3.7900000000000003E-2</v>
      </c>
      <c r="E672">
        <v>25.566620546593018</v>
      </c>
      <c r="F672">
        <v>2452.8090349424701</v>
      </c>
      <c r="G672">
        <v>9.0579999999999998</v>
      </c>
      <c r="H672">
        <v>6.3E-2</v>
      </c>
      <c r="I672">
        <v>391.20830000000001</v>
      </c>
    </row>
    <row r="673" spans="1:9" x14ac:dyDescent="0.3">
      <c r="A673" t="s">
        <v>54</v>
      </c>
      <c r="B673" t="s">
        <v>726</v>
      </c>
      <c r="C673">
        <v>77</v>
      </c>
      <c r="D673">
        <v>3.7900000000000003E-2</v>
      </c>
      <c r="E673">
        <v>25.566620546593018</v>
      </c>
      <c r="F673">
        <v>2452.8090349424701</v>
      </c>
      <c r="G673">
        <v>9.0579999999999998</v>
      </c>
      <c r="H673">
        <v>6.3E-2</v>
      </c>
      <c r="I673">
        <v>391.40839999999997</v>
      </c>
    </row>
    <row r="674" spans="1:9" x14ac:dyDescent="0.3">
      <c r="A674" t="s">
        <v>54</v>
      </c>
      <c r="B674" t="s">
        <v>727</v>
      </c>
      <c r="C674">
        <v>77</v>
      </c>
      <c r="D674">
        <v>3.7900000000000003E-2</v>
      </c>
      <c r="E674">
        <v>25.566620546593018</v>
      </c>
      <c r="F674">
        <v>2452.8090349424701</v>
      </c>
      <c r="G674">
        <v>9.0579999999999998</v>
      </c>
      <c r="H674">
        <v>6.3E-2</v>
      </c>
      <c r="I674">
        <v>391.60610000000003</v>
      </c>
    </row>
    <row r="675" spans="1:9" x14ac:dyDescent="0.3">
      <c r="A675" t="s">
        <v>54</v>
      </c>
      <c r="B675" t="s">
        <v>728</v>
      </c>
      <c r="C675">
        <v>77</v>
      </c>
      <c r="D675">
        <v>3.7900000000000003E-2</v>
      </c>
      <c r="E675">
        <v>25.566620546593018</v>
      </c>
      <c r="F675">
        <v>2452.8090349424701</v>
      </c>
      <c r="G675">
        <v>9.0579999999999998</v>
      </c>
      <c r="H675">
        <v>6.3E-2</v>
      </c>
      <c r="I675">
        <v>391.80779999999999</v>
      </c>
    </row>
    <row r="676" spans="1:9" x14ac:dyDescent="0.3">
      <c r="A676" t="s">
        <v>54</v>
      </c>
      <c r="B676" t="s">
        <v>729</v>
      </c>
      <c r="C676">
        <v>77</v>
      </c>
      <c r="D676">
        <v>3.7900000000000003E-2</v>
      </c>
      <c r="E676">
        <v>25.566620546593018</v>
      </c>
      <c r="F676">
        <v>2452.8090349424701</v>
      </c>
      <c r="G676">
        <v>9.0579999999999998</v>
      </c>
      <c r="H676">
        <v>6.3E-2</v>
      </c>
      <c r="I676">
        <v>392.00560000000002</v>
      </c>
    </row>
    <row r="677" spans="1:9" x14ac:dyDescent="0.3">
      <c r="A677" t="s">
        <v>54</v>
      </c>
      <c r="B677" t="s">
        <v>730</v>
      </c>
      <c r="C677">
        <v>77</v>
      </c>
      <c r="D677">
        <v>3.7900000000000003E-2</v>
      </c>
      <c r="E677">
        <v>25.566620546593018</v>
      </c>
      <c r="F677">
        <v>2452.8090349424701</v>
      </c>
      <c r="G677">
        <v>9.0579999999999998</v>
      </c>
      <c r="H677">
        <v>6.3E-2</v>
      </c>
      <c r="I677">
        <v>392.20699999999999</v>
      </c>
    </row>
    <row r="678" spans="1:9" x14ac:dyDescent="0.3">
      <c r="A678" t="s">
        <v>54</v>
      </c>
      <c r="B678" t="s">
        <v>731</v>
      </c>
      <c r="C678">
        <v>77</v>
      </c>
      <c r="D678">
        <v>3.7900000000000003E-2</v>
      </c>
      <c r="E678">
        <v>25.566620546593018</v>
      </c>
      <c r="F678">
        <v>2452.8090349424701</v>
      </c>
      <c r="G678">
        <v>9.0579999999999998</v>
      </c>
      <c r="H678">
        <v>6.3E-2</v>
      </c>
      <c r="I678">
        <v>392.40710000000001</v>
      </c>
    </row>
    <row r="679" spans="1:9" x14ac:dyDescent="0.3">
      <c r="A679" t="s">
        <v>54</v>
      </c>
      <c r="B679" t="s">
        <v>732</v>
      </c>
      <c r="C679">
        <v>77</v>
      </c>
      <c r="D679">
        <v>3.7900000000000003E-2</v>
      </c>
      <c r="E679">
        <v>25.566620546593018</v>
      </c>
      <c r="F679">
        <v>2452.8090349424701</v>
      </c>
      <c r="G679">
        <v>9.0579999999999998</v>
      </c>
      <c r="H679">
        <v>6.3E-2</v>
      </c>
      <c r="I679">
        <v>392.60860000000002</v>
      </c>
    </row>
    <row r="680" spans="1:9" x14ac:dyDescent="0.3">
      <c r="A680" t="s">
        <v>54</v>
      </c>
      <c r="B680" t="s">
        <v>733</v>
      </c>
      <c r="C680">
        <v>77</v>
      </c>
      <c r="D680">
        <v>3.7900000000000003E-2</v>
      </c>
      <c r="E680">
        <v>25.566620546593018</v>
      </c>
      <c r="F680">
        <v>2452.8090349424701</v>
      </c>
      <c r="G680">
        <v>9.0579999999999998</v>
      </c>
      <c r="H680">
        <v>6.3E-2</v>
      </c>
      <c r="I680">
        <v>392.80799999999999</v>
      </c>
    </row>
    <row r="681" spans="1:9" x14ac:dyDescent="0.3">
      <c r="A681" t="s">
        <v>54</v>
      </c>
      <c r="B681" t="s">
        <v>734</v>
      </c>
      <c r="C681">
        <v>77</v>
      </c>
      <c r="D681">
        <v>3.7900000000000003E-2</v>
      </c>
      <c r="E681">
        <v>25.566620546593018</v>
      </c>
      <c r="F681">
        <v>2452.8090349424701</v>
      </c>
      <c r="G681">
        <v>9.0579999999999998</v>
      </c>
      <c r="H681">
        <v>6.3E-2</v>
      </c>
      <c r="I681">
        <v>393.00740000000002</v>
      </c>
    </row>
    <row r="682" spans="1:9" x14ac:dyDescent="0.3">
      <c r="A682" t="s">
        <v>54</v>
      </c>
      <c r="B682" t="s">
        <v>735</v>
      </c>
      <c r="C682">
        <v>77</v>
      </c>
      <c r="D682">
        <v>3.7900000000000003E-2</v>
      </c>
      <c r="E682">
        <v>25.566620546593018</v>
      </c>
      <c r="F682">
        <v>2452.8090349424701</v>
      </c>
      <c r="G682">
        <v>9.0579999999999998</v>
      </c>
      <c r="H682">
        <v>6.3E-2</v>
      </c>
      <c r="I682">
        <v>393.21010000000001</v>
      </c>
    </row>
    <row r="683" spans="1:9" x14ac:dyDescent="0.3">
      <c r="A683" t="s">
        <v>54</v>
      </c>
      <c r="B683" t="s">
        <v>736</v>
      </c>
      <c r="C683">
        <v>77</v>
      </c>
      <c r="D683">
        <v>3.7900000000000003E-2</v>
      </c>
      <c r="E683">
        <v>25.566620546593018</v>
      </c>
      <c r="F683">
        <v>2452.8090349424701</v>
      </c>
      <c r="G683">
        <v>9.0579999999999998</v>
      </c>
      <c r="H683">
        <v>6.3E-2</v>
      </c>
      <c r="I683">
        <v>393.4074</v>
      </c>
    </row>
    <row r="684" spans="1:9" x14ac:dyDescent="0.3">
      <c r="A684" t="s">
        <v>54</v>
      </c>
      <c r="B684" t="s">
        <v>737</v>
      </c>
      <c r="C684">
        <v>77</v>
      </c>
      <c r="D684">
        <v>3.7900000000000003E-2</v>
      </c>
      <c r="E684">
        <v>25.566620546593018</v>
      </c>
      <c r="F684">
        <v>2452.8090349424701</v>
      </c>
      <c r="G684">
        <v>9.0579999999999998</v>
      </c>
      <c r="H684">
        <v>6.3E-2</v>
      </c>
      <c r="I684">
        <v>393.6069</v>
      </c>
    </row>
    <row r="685" spans="1:9" x14ac:dyDescent="0.3">
      <c r="A685" t="s">
        <v>54</v>
      </c>
      <c r="B685" t="s">
        <v>738</v>
      </c>
      <c r="C685">
        <v>77</v>
      </c>
      <c r="D685">
        <v>3.7900000000000003E-2</v>
      </c>
      <c r="E685">
        <v>25.566620546593018</v>
      </c>
      <c r="F685">
        <v>2452.8090349424701</v>
      </c>
      <c r="G685">
        <v>9.0579999999999998</v>
      </c>
      <c r="H685">
        <v>6.3E-2</v>
      </c>
      <c r="I685">
        <v>393.80829999999997</v>
      </c>
    </row>
    <row r="686" spans="1:9" x14ac:dyDescent="0.3">
      <c r="A686" t="s">
        <v>54</v>
      </c>
      <c r="B686" t="s">
        <v>739</v>
      </c>
      <c r="C686">
        <v>77</v>
      </c>
      <c r="D686">
        <v>3.7900000000000003E-2</v>
      </c>
      <c r="E686">
        <v>25.566620546593018</v>
      </c>
      <c r="F686">
        <v>2452.8090349424701</v>
      </c>
      <c r="G686">
        <v>9.0579999999999998</v>
      </c>
      <c r="H686">
        <v>6.3E-2</v>
      </c>
      <c r="I686">
        <v>394.00889999999998</v>
      </c>
    </row>
    <row r="687" spans="1:9" x14ac:dyDescent="0.3">
      <c r="A687" t="s">
        <v>54</v>
      </c>
      <c r="B687" t="s">
        <v>740</v>
      </c>
      <c r="C687">
        <v>77</v>
      </c>
      <c r="D687">
        <v>3.7999999999999999E-2</v>
      </c>
      <c r="E687">
        <v>25.566620546593018</v>
      </c>
      <c r="F687">
        <v>2452.8090349424701</v>
      </c>
      <c r="G687">
        <v>9.0579999999999998</v>
      </c>
      <c r="H687">
        <v>6.3E-2</v>
      </c>
      <c r="I687">
        <v>394.20850000000002</v>
      </c>
    </row>
    <row r="688" spans="1:9" x14ac:dyDescent="0.3">
      <c r="A688" t="s">
        <v>54</v>
      </c>
      <c r="B688" t="s">
        <v>741</v>
      </c>
      <c r="C688">
        <v>77</v>
      </c>
      <c r="D688">
        <v>3.7900000000000003E-2</v>
      </c>
      <c r="E688">
        <v>25.566620546593018</v>
      </c>
      <c r="F688">
        <v>2452.8090349424701</v>
      </c>
      <c r="G688">
        <v>9.0579999999999998</v>
      </c>
      <c r="H688">
        <v>6.3E-2</v>
      </c>
      <c r="I688">
        <v>394.40789999999998</v>
      </c>
    </row>
    <row r="689" spans="1:9" x14ac:dyDescent="0.3">
      <c r="A689" t="s">
        <v>54</v>
      </c>
      <c r="B689" t="s">
        <v>742</v>
      </c>
      <c r="C689">
        <v>77</v>
      </c>
      <c r="D689">
        <v>3.7999999999999999E-2</v>
      </c>
      <c r="E689">
        <v>25.566620546593018</v>
      </c>
      <c r="F689">
        <v>2452.8090349424701</v>
      </c>
      <c r="G689">
        <v>9.0579999999999998</v>
      </c>
      <c r="H689">
        <v>6.3E-2</v>
      </c>
      <c r="I689">
        <v>394.60809999999998</v>
      </c>
    </row>
    <row r="690" spans="1:9" x14ac:dyDescent="0.3">
      <c r="A690" t="s">
        <v>54</v>
      </c>
      <c r="B690" t="s">
        <v>743</v>
      </c>
      <c r="C690">
        <v>77</v>
      </c>
      <c r="D690">
        <v>3.7900000000000003E-2</v>
      </c>
      <c r="E690">
        <v>25.566620546593018</v>
      </c>
      <c r="F690">
        <v>2452.8090349424701</v>
      </c>
      <c r="G690">
        <v>9.0579999999999998</v>
      </c>
      <c r="H690">
        <v>6.3E-2</v>
      </c>
      <c r="I690">
        <v>394.80599999999998</v>
      </c>
    </row>
    <row r="691" spans="1:9" x14ac:dyDescent="0.3">
      <c r="A691" t="s">
        <v>54</v>
      </c>
      <c r="B691" t="s">
        <v>744</v>
      </c>
      <c r="C691">
        <v>77</v>
      </c>
      <c r="D691">
        <v>3.7900000000000003E-2</v>
      </c>
      <c r="E691">
        <v>25.566620546593018</v>
      </c>
      <c r="F691">
        <v>2452.8090349424701</v>
      </c>
      <c r="G691">
        <v>9.0579999999999998</v>
      </c>
      <c r="H691">
        <v>6.3E-2</v>
      </c>
      <c r="I691">
        <v>395.00880000000001</v>
      </c>
    </row>
    <row r="692" spans="1:9" x14ac:dyDescent="0.3">
      <c r="A692" t="s">
        <v>54</v>
      </c>
      <c r="B692" t="s">
        <v>745</v>
      </c>
      <c r="C692">
        <v>77</v>
      </c>
      <c r="D692">
        <v>3.7900000000000003E-2</v>
      </c>
      <c r="E692">
        <v>25.566620546593018</v>
      </c>
      <c r="F692">
        <v>2452.8090349424701</v>
      </c>
      <c r="G692">
        <v>9.0579999999999998</v>
      </c>
      <c r="H692">
        <v>6.3E-2</v>
      </c>
      <c r="I692">
        <v>395.20729999999998</v>
      </c>
    </row>
    <row r="693" spans="1:9" x14ac:dyDescent="0.3">
      <c r="A693" t="s">
        <v>54</v>
      </c>
      <c r="B693" t="s">
        <v>746</v>
      </c>
      <c r="C693">
        <v>77</v>
      </c>
      <c r="D693">
        <v>3.7900000000000003E-2</v>
      </c>
      <c r="E693">
        <v>25.566620546593018</v>
      </c>
      <c r="F693">
        <v>2452.8090349424701</v>
      </c>
      <c r="G693">
        <v>9.0579999999999998</v>
      </c>
      <c r="H693">
        <v>6.3E-2</v>
      </c>
      <c r="I693">
        <v>395.40800000000002</v>
      </c>
    </row>
    <row r="694" spans="1:9" x14ac:dyDescent="0.3">
      <c r="A694" t="s">
        <v>54</v>
      </c>
      <c r="B694" t="s">
        <v>747</v>
      </c>
      <c r="C694">
        <v>77</v>
      </c>
      <c r="D694">
        <v>3.7999999999999999E-2</v>
      </c>
      <c r="E694">
        <v>25.566620546593018</v>
      </c>
      <c r="F694">
        <v>2452.8090349424701</v>
      </c>
      <c r="G694">
        <v>9.0579999999999998</v>
      </c>
      <c r="H694">
        <v>6.3E-2</v>
      </c>
      <c r="I694">
        <v>395.60820000000001</v>
      </c>
    </row>
    <row r="695" spans="1:9" x14ac:dyDescent="0.3">
      <c r="A695" t="s">
        <v>54</v>
      </c>
      <c r="B695" t="s">
        <v>748</v>
      </c>
      <c r="C695">
        <v>77</v>
      </c>
      <c r="D695">
        <v>3.7999999999999999E-2</v>
      </c>
      <c r="E695">
        <v>25.566620546593018</v>
      </c>
      <c r="F695">
        <v>2452.8090349424701</v>
      </c>
      <c r="G695">
        <v>9.0579999999999998</v>
      </c>
      <c r="H695">
        <v>6.3E-2</v>
      </c>
      <c r="I695">
        <v>395.80829999999997</v>
      </c>
    </row>
    <row r="696" spans="1:9" x14ac:dyDescent="0.3">
      <c r="A696" t="s">
        <v>54</v>
      </c>
      <c r="B696" t="s">
        <v>749</v>
      </c>
      <c r="C696">
        <v>77</v>
      </c>
      <c r="D696">
        <v>3.7999999999999999E-2</v>
      </c>
      <c r="E696">
        <v>25.566620546593018</v>
      </c>
      <c r="F696">
        <v>2452.8090349424701</v>
      </c>
      <c r="G696">
        <v>9.0579999999999998</v>
      </c>
      <c r="H696">
        <v>6.3E-2</v>
      </c>
      <c r="I696">
        <v>396.00599999999997</v>
      </c>
    </row>
    <row r="697" spans="1:9" x14ac:dyDescent="0.3">
      <c r="A697" t="s">
        <v>54</v>
      </c>
      <c r="B697" t="s">
        <v>750</v>
      </c>
      <c r="C697">
        <v>77</v>
      </c>
      <c r="D697">
        <v>3.7999999999999999E-2</v>
      </c>
      <c r="E697">
        <v>25.566620546593018</v>
      </c>
      <c r="F697">
        <v>2452.8090349424701</v>
      </c>
      <c r="G697">
        <v>9.0579999999999998</v>
      </c>
      <c r="H697">
        <v>6.3E-2</v>
      </c>
      <c r="I697">
        <v>396.20659999999998</v>
      </c>
    </row>
    <row r="698" spans="1:9" x14ac:dyDescent="0.3">
      <c r="A698" t="s">
        <v>54</v>
      </c>
      <c r="B698" t="s">
        <v>751</v>
      </c>
      <c r="C698">
        <v>77</v>
      </c>
      <c r="D698">
        <v>3.7999999999999999E-2</v>
      </c>
      <c r="E698">
        <v>25.566620546593018</v>
      </c>
      <c r="F698">
        <v>2452.8090349424701</v>
      </c>
      <c r="G698">
        <v>9.0579999999999998</v>
      </c>
      <c r="H698">
        <v>6.3E-2</v>
      </c>
      <c r="I698">
        <v>396.40690000000001</v>
      </c>
    </row>
    <row r="699" spans="1:9" x14ac:dyDescent="0.3">
      <c r="A699" t="s">
        <v>54</v>
      </c>
      <c r="B699" t="s">
        <v>752</v>
      </c>
      <c r="C699">
        <v>77</v>
      </c>
      <c r="D699">
        <v>3.7999999999999999E-2</v>
      </c>
      <c r="E699">
        <v>25.566620546593018</v>
      </c>
      <c r="F699">
        <v>2452.8090349424701</v>
      </c>
      <c r="G699">
        <v>9.0579999999999998</v>
      </c>
      <c r="H699">
        <v>6.3E-2</v>
      </c>
      <c r="I699">
        <v>396.60649999999998</v>
      </c>
    </row>
    <row r="700" spans="1:9" x14ac:dyDescent="0.3">
      <c r="A700" t="s">
        <v>54</v>
      </c>
      <c r="B700" t="s">
        <v>753</v>
      </c>
      <c r="C700">
        <v>77</v>
      </c>
      <c r="D700">
        <v>3.7999999999999999E-2</v>
      </c>
      <c r="E700">
        <v>25.566620546593018</v>
      </c>
      <c r="F700">
        <v>2452.8090349424701</v>
      </c>
      <c r="G700">
        <v>9.0579999999999998</v>
      </c>
      <c r="H700">
        <v>6.3E-2</v>
      </c>
      <c r="I700">
        <v>396.81479999999999</v>
      </c>
    </row>
    <row r="701" spans="1:9" x14ac:dyDescent="0.3">
      <c r="A701" t="s">
        <v>54</v>
      </c>
      <c r="B701" t="s">
        <v>754</v>
      </c>
      <c r="C701">
        <v>77</v>
      </c>
      <c r="D701">
        <v>3.7999999999999999E-2</v>
      </c>
      <c r="E701">
        <v>25.566620546593018</v>
      </c>
      <c r="F701">
        <v>2452.8090349424701</v>
      </c>
      <c r="G701">
        <v>9.0579999999999998</v>
      </c>
      <c r="H701">
        <v>6.3E-2</v>
      </c>
      <c r="I701">
        <v>397.00819999999999</v>
      </c>
    </row>
    <row r="702" spans="1:9" x14ac:dyDescent="0.3">
      <c r="A702" t="s">
        <v>54</v>
      </c>
      <c r="B702" t="s">
        <v>755</v>
      </c>
      <c r="C702">
        <v>77</v>
      </c>
      <c r="D702">
        <v>3.7999999999999999E-2</v>
      </c>
      <c r="E702">
        <v>25.566620546593018</v>
      </c>
      <c r="F702">
        <v>2452.8090349424701</v>
      </c>
      <c r="G702">
        <v>9.0579999999999998</v>
      </c>
      <c r="H702">
        <v>6.3E-2</v>
      </c>
      <c r="I702">
        <v>397.20890000000003</v>
      </c>
    </row>
    <row r="703" spans="1:9" x14ac:dyDescent="0.3">
      <c r="A703" t="s">
        <v>54</v>
      </c>
      <c r="B703" t="s">
        <v>756</v>
      </c>
      <c r="C703">
        <v>77</v>
      </c>
      <c r="D703">
        <v>3.7999999999999999E-2</v>
      </c>
      <c r="E703">
        <v>25.566620546593018</v>
      </c>
      <c r="F703">
        <v>2452.8090349424701</v>
      </c>
      <c r="G703">
        <v>9.0579999999999998</v>
      </c>
      <c r="H703">
        <v>6.3E-2</v>
      </c>
      <c r="I703">
        <v>397.40800000000002</v>
      </c>
    </row>
    <row r="704" spans="1:9" x14ac:dyDescent="0.3">
      <c r="A704" t="s">
        <v>54</v>
      </c>
      <c r="B704" t="s">
        <v>757</v>
      </c>
      <c r="C704">
        <v>77</v>
      </c>
      <c r="D704">
        <v>3.7999999999999999E-2</v>
      </c>
      <c r="E704">
        <v>25.566620546593018</v>
      </c>
      <c r="F704">
        <v>2452.8090349424701</v>
      </c>
      <c r="G704">
        <v>9.0579999999999998</v>
      </c>
      <c r="H704">
        <v>6.3E-2</v>
      </c>
      <c r="I704">
        <v>397.60719999999998</v>
      </c>
    </row>
    <row r="705" spans="1:9" x14ac:dyDescent="0.3">
      <c r="A705" t="s">
        <v>54</v>
      </c>
      <c r="B705" t="s">
        <v>758</v>
      </c>
      <c r="C705">
        <v>77</v>
      </c>
      <c r="D705">
        <v>3.7999999999999999E-2</v>
      </c>
      <c r="E705">
        <v>25.566620546593018</v>
      </c>
      <c r="F705">
        <v>2452.8090349424701</v>
      </c>
      <c r="G705">
        <v>9.0579999999999998</v>
      </c>
      <c r="H705">
        <v>6.3E-2</v>
      </c>
      <c r="I705">
        <v>397.80880000000002</v>
      </c>
    </row>
    <row r="706" spans="1:9" x14ac:dyDescent="0.3">
      <c r="A706" t="s">
        <v>54</v>
      </c>
      <c r="B706" t="s">
        <v>759</v>
      </c>
      <c r="C706">
        <v>77</v>
      </c>
      <c r="D706">
        <v>3.7999999999999999E-2</v>
      </c>
      <c r="E706">
        <v>25.566620546593018</v>
      </c>
      <c r="F706">
        <v>2452.8090349424701</v>
      </c>
      <c r="G706">
        <v>9.0579999999999998</v>
      </c>
      <c r="H706">
        <v>6.3E-2</v>
      </c>
      <c r="I706">
        <v>398.00850000000003</v>
      </c>
    </row>
    <row r="707" spans="1:9" x14ac:dyDescent="0.3">
      <c r="A707" t="s">
        <v>54</v>
      </c>
      <c r="B707" t="s">
        <v>760</v>
      </c>
      <c r="C707">
        <v>77</v>
      </c>
      <c r="D707">
        <v>3.7999999999999999E-2</v>
      </c>
      <c r="E707">
        <v>25.566620546593018</v>
      </c>
      <c r="F707">
        <v>2452.8090349424701</v>
      </c>
      <c r="G707">
        <v>9.0579999999999998</v>
      </c>
      <c r="H707">
        <v>6.3E-2</v>
      </c>
      <c r="I707">
        <v>398.20679999999999</v>
      </c>
    </row>
    <row r="708" spans="1:9" x14ac:dyDescent="0.3">
      <c r="A708" t="s">
        <v>54</v>
      </c>
      <c r="B708" t="s">
        <v>761</v>
      </c>
      <c r="C708">
        <v>77</v>
      </c>
      <c r="D708">
        <v>3.7900000000000003E-2</v>
      </c>
      <c r="E708">
        <v>25.566620546593018</v>
      </c>
      <c r="F708">
        <v>2452.8090349424701</v>
      </c>
      <c r="G708">
        <v>9.0579999999999998</v>
      </c>
      <c r="H708">
        <v>6.3E-2</v>
      </c>
      <c r="I708">
        <v>398.4074</v>
      </c>
    </row>
    <row r="709" spans="1:9" x14ac:dyDescent="0.3">
      <c r="A709" t="s">
        <v>54</v>
      </c>
      <c r="B709" t="s">
        <v>762</v>
      </c>
      <c r="C709">
        <v>77</v>
      </c>
      <c r="D709">
        <v>3.7999999999999999E-2</v>
      </c>
      <c r="E709">
        <v>25.566620546593018</v>
      </c>
      <c r="F709">
        <v>2452.8090349424701</v>
      </c>
      <c r="G709">
        <v>9.0579999999999998</v>
      </c>
      <c r="H709">
        <v>6.3E-2</v>
      </c>
      <c r="I709">
        <v>398.60930000000002</v>
      </c>
    </row>
    <row r="710" spans="1:9" x14ac:dyDescent="0.3">
      <c r="A710" t="s">
        <v>54</v>
      </c>
      <c r="B710" t="s">
        <v>763</v>
      </c>
      <c r="C710">
        <v>77</v>
      </c>
      <c r="D710">
        <v>3.7999999999999999E-2</v>
      </c>
      <c r="E710">
        <v>25.566620546593018</v>
      </c>
      <c r="F710">
        <v>2452.8090349424701</v>
      </c>
      <c r="G710">
        <v>9.0579999999999998</v>
      </c>
      <c r="H710">
        <v>6.3E-2</v>
      </c>
      <c r="I710">
        <v>398.80799999999999</v>
      </c>
    </row>
    <row r="711" spans="1:9" x14ac:dyDescent="0.3">
      <c r="A711" t="s">
        <v>54</v>
      </c>
      <c r="B711" t="s">
        <v>764</v>
      </c>
      <c r="C711">
        <v>77</v>
      </c>
      <c r="D711">
        <v>3.7999999999999999E-2</v>
      </c>
      <c r="E711">
        <v>25.566620546593018</v>
      </c>
      <c r="F711">
        <v>2452.8090349424701</v>
      </c>
      <c r="G711">
        <v>9.0579999999999998</v>
      </c>
      <c r="H711">
        <v>6.3E-2</v>
      </c>
      <c r="I711">
        <v>399.01150000000001</v>
      </c>
    </row>
    <row r="712" spans="1:9" x14ac:dyDescent="0.3">
      <c r="A712" t="s">
        <v>54</v>
      </c>
      <c r="B712" t="s">
        <v>765</v>
      </c>
      <c r="C712">
        <v>77</v>
      </c>
      <c r="D712">
        <v>3.7999999999999999E-2</v>
      </c>
      <c r="E712">
        <v>25.566620546593018</v>
      </c>
      <c r="F712">
        <v>2452.8090349424701</v>
      </c>
      <c r="G712">
        <v>9.0579999999999998</v>
      </c>
      <c r="H712">
        <v>6.3E-2</v>
      </c>
      <c r="I712">
        <v>399.21210000000002</v>
      </c>
    </row>
    <row r="713" spans="1:9" x14ac:dyDescent="0.3">
      <c r="A713" t="s">
        <v>54</v>
      </c>
      <c r="B713" t="s">
        <v>766</v>
      </c>
      <c r="C713">
        <v>77</v>
      </c>
      <c r="D713">
        <v>3.7999999999999999E-2</v>
      </c>
      <c r="E713">
        <v>25.566620546593018</v>
      </c>
      <c r="F713">
        <v>2452.8090349424701</v>
      </c>
      <c r="G713">
        <v>9.0579999999999998</v>
      </c>
      <c r="H713">
        <v>6.3E-2</v>
      </c>
      <c r="I713">
        <v>399.40800000000002</v>
      </c>
    </row>
    <row r="714" spans="1:9" x14ac:dyDescent="0.3">
      <c r="A714" t="s">
        <v>54</v>
      </c>
      <c r="B714" t="s">
        <v>767</v>
      </c>
      <c r="C714">
        <v>77</v>
      </c>
      <c r="D714">
        <v>3.7999999999999999E-2</v>
      </c>
      <c r="E714">
        <v>25.566620546593018</v>
      </c>
      <c r="F714">
        <v>2452.8090349424701</v>
      </c>
      <c r="G714">
        <v>9.0579999999999998</v>
      </c>
      <c r="H714">
        <v>6.3E-2</v>
      </c>
      <c r="I714">
        <v>399.6078</v>
      </c>
    </row>
    <row r="715" spans="1:9" x14ac:dyDescent="0.3">
      <c r="A715" t="s">
        <v>54</v>
      </c>
      <c r="B715" t="s">
        <v>768</v>
      </c>
      <c r="C715">
        <v>77</v>
      </c>
      <c r="D715">
        <v>3.7999999999999999E-2</v>
      </c>
      <c r="E715">
        <v>25.566620546593018</v>
      </c>
      <c r="F715">
        <v>2452.8090349424701</v>
      </c>
      <c r="G715">
        <v>9.0579999999999998</v>
      </c>
      <c r="H715">
        <v>6.3E-2</v>
      </c>
      <c r="I715">
        <v>399.80739999999997</v>
      </c>
    </row>
    <row r="716" spans="1:9" x14ac:dyDescent="0.3">
      <c r="A716" t="s">
        <v>54</v>
      </c>
      <c r="B716" t="s">
        <v>769</v>
      </c>
      <c r="C716">
        <v>77</v>
      </c>
      <c r="D716">
        <v>3.7999999999999999E-2</v>
      </c>
      <c r="E716">
        <v>21.511913046964182</v>
      </c>
      <c r="F716">
        <v>2074.9102959770621</v>
      </c>
      <c r="G716">
        <v>9.0579999999999998</v>
      </c>
      <c r="H716">
        <v>0</v>
      </c>
      <c r="I716">
        <v>400.00900000000001</v>
      </c>
    </row>
    <row r="717" spans="1:9" x14ac:dyDescent="0.3">
      <c r="A717" t="s">
        <v>54</v>
      </c>
      <c r="B717" t="s">
        <v>770</v>
      </c>
      <c r="C717">
        <v>77</v>
      </c>
      <c r="D717">
        <v>3.2099999999999997E-2</v>
      </c>
      <c r="E717">
        <v>21.511913046964182</v>
      </c>
      <c r="F717">
        <v>2074.9102959770621</v>
      </c>
      <c r="G717">
        <v>9.0579999999999998</v>
      </c>
      <c r="H717">
        <v>0</v>
      </c>
      <c r="I717">
        <v>400.20729999999998</v>
      </c>
    </row>
    <row r="718" spans="1:9" x14ac:dyDescent="0.3">
      <c r="A718" t="s">
        <v>54</v>
      </c>
      <c r="B718" t="s">
        <v>771</v>
      </c>
      <c r="C718">
        <v>77</v>
      </c>
      <c r="D718">
        <v>1.95E-2</v>
      </c>
      <c r="E718">
        <v>21.511913046964182</v>
      </c>
      <c r="F718">
        <v>2074.9102959770621</v>
      </c>
      <c r="G718">
        <v>9.0579999999999998</v>
      </c>
      <c r="H718">
        <v>0</v>
      </c>
      <c r="I718">
        <v>400.40719999999999</v>
      </c>
    </row>
    <row r="719" spans="1:9" x14ac:dyDescent="0.3">
      <c r="A719" t="s">
        <v>54</v>
      </c>
      <c r="B719" t="s">
        <v>772</v>
      </c>
      <c r="C719">
        <v>77</v>
      </c>
      <c r="D719">
        <v>1.1299999999999999E-2</v>
      </c>
      <c r="E719">
        <v>21.511913046964182</v>
      </c>
      <c r="F719">
        <v>2074.9102959770621</v>
      </c>
      <c r="G719">
        <v>9.0579999999999998</v>
      </c>
      <c r="H719">
        <v>0</v>
      </c>
      <c r="I719">
        <v>400.60649999999998</v>
      </c>
    </row>
    <row r="720" spans="1:9" x14ac:dyDescent="0.3">
      <c r="A720" t="s">
        <v>54</v>
      </c>
      <c r="B720" t="s">
        <v>773</v>
      </c>
      <c r="C720">
        <v>77</v>
      </c>
      <c r="D720">
        <v>1.1000000000000001E-3</v>
      </c>
      <c r="E720">
        <v>21.511913046964182</v>
      </c>
      <c r="F720">
        <v>2074.9102959770621</v>
      </c>
      <c r="G720">
        <v>9.0579999999999998</v>
      </c>
      <c r="H720">
        <v>0</v>
      </c>
      <c r="I720">
        <v>400.80900000000003</v>
      </c>
    </row>
    <row r="721" spans="1:9" x14ac:dyDescent="0.3">
      <c r="A721" t="s">
        <v>54</v>
      </c>
      <c r="B721" t="s">
        <v>774</v>
      </c>
      <c r="C721">
        <v>77</v>
      </c>
      <c r="D721">
        <v>-3.0999999999999999E-3</v>
      </c>
      <c r="E721">
        <v>21.511913046964182</v>
      </c>
      <c r="F721">
        <v>2074.9102959770621</v>
      </c>
      <c r="G721">
        <v>9.0579999999999998</v>
      </c>
      <c r="H721">
        <v>0</v>
      </c>
      <c r="I721">
        <v>401.00720000000001</v>
      </c>
    </row>
    <row r="722" spans="1:9" x14ac:dyDescent="0.3">
      <c r="A722" t="s">
        <v>54</v>
      </c>
      <c r="B722" t="s">
        <v>775</v>
      </c>
      <c r="C722">
        <v>77</v>
      </c>
      <c r="D722">
        <v>-3.0999999999999999E-3</v>
      </c>
      <c r="E722">
        <v>21.511913046964182</v>
      </c>
      <c r="F722">
        <v>2074.9102959770621</v>
      </c>
      <c r="G722">
        <v>9.0579999999999998</v>
      </c>
      <c r="H722">
        <v>0</v>
      </c>
      <c r="I722">
        <v>401.20819999999998</v>
      </c>
    </row>
    <row r="723" spans="1:9" x14ac:dyDescent="0.3">
      <c r="A723" t="s">
        <v>54</v>
      </c>
      <c r="B723" t="s">
        <v>776</v>
      </c>
      <c r="C723">
        <v>77</v>
      </c>
      <c r="D723">
        <v>-3.0999999999999999E-3</v>
      </c>
      <c r="E723">
        <v>21.892711672186248</v>
      </c>
      <c r="F723">
        <v>2217.6183376904751</v>
      </c>
      <c r="G723">
        <v>9.0579999999999998</v>
      </c>
      <c r="H723">
        <v>5.8999999999999999E-3</v>
      </c>
      <c r="I723">
        <v>401.40870000000001</v>
      </c>
    </row>
    <row r="724" spans="1:9" x14ac:dyDescent="0.3">
      <c r="A724" t="s">
        <v>54</v>
      </c>
      <c r="B724" t="s">
        <v>777</v>
      </c>
      <c r="C724">
        <v>77</v>
      </c>
      <c r="D724">
        <v>-2E-3</v>
      </c>
      <c r="E724">
        <v>21.946414691682911</v>
      </c>
      <c r="F724">
        <v>2222.7147542407079</v>
      </c>
      <c r="G724">
        <v>9.0579999999999998</v>
      </c>
      <c r="H724">
        <v>6.7999999999999996E-3</v>
      </c>
      <c r="I724">
        <v>401.60739999999998</v>
      </c>
    </row>
    <row r="725" spans="1:9" x14ac:dyDescent="0.3">
      <c r="A725" t="s">
        <v>54</v>
      </c>
      <c r="B725" t="s">
        <v>778</v>
      </c>
      <c r="C725">
        <v>77</v>
      </c>
      <c r="D725">
        <v>2.9999999999999997E-4</v>
      </c>
      <c r="E725">
        <v>22.002320593217039</v>
      </c>
      <c r="F725">
        <v>2228.0202242962969</v>
      </c>
      <c r="G725">
        <v>9.0579999999999998</v>
      </c>
      <c r="H725">
        <v>7.6E-3</v>
      </c>
      <c r="I725">
        <v>401.81420000000003</v>
      </c>
    </row>
    <row r="726" spans="1:9" x14ac:dyDescent="0.3">
      <c r="A726" t="s">
        <v>54</v>
      </c>
      <c r="B726" t="s">
        <v>779</v>
      </c>
      <c r="C726">
        <v>77</v>
      </c>
      <c r="D726">
        <v>2.5000000000000001E-3</v>
      </c>
      <c r="E726">
        <v>22.054868791470732</v>
      </c>
      <c r="F726">
        <v>2233.0070483105719</v>
      </c>
      <c r="G726">
        <v>9.0579999999999998</v>
      </c>
      <c r="H726">
        <v>8.3999999999999995E-3</v>
      </c>
      <c r="I726">
        <v>402.0086</v>
      </c>
    </row>
    <row r="727" spans="1:9" x14ac:dyDescent="0.3">
      <c r="A727" t="s">
        <v>54</v>
      </c>
      <c r="B727" t="s">
        <v>780</v>
      </c>
      <c r="C727">
        <v>77</v>
      </c>
      <c r="D727">
        <v>4.3E-3</v>
      </c>
      <c r="E727">
        <v>22.108439586955829</v>
      </c>
      <c r="F727">
        <v>2238.090916802108</v>
      </c>
      <c r="G727">
        <v>9.0579999999999998</v>
      </c>
      <c r="H727">
        <v>9.2999999999999992E-3</v>
      </c>
      <c r="I727">
        <v>402.20679999999999</v>
      </c>
    </row>
    <row r="728" spans="1:9" x14ac:dyDescent="0.3">
      <c r="A728" t="s">
        <v>54</v>
      </c>
      <c r="B728" t="s">
        <v>781</v>
      </c>
      <c r="C728">
        <v>77</v>
      </c>
      <c r="D728">
        <v>4.5999999999999999E-3</v>
      </c>
      <c r="E728">
        <v>22.16290160714934</v>
      </c>
      <c r="F728">
        <v>2243.2593625184732</v>
      </c>
      <c r="G728">
        <v>9.0579999999999998</v>
      </c>
      <c r="H728">
        <v>1.01E-2</v>
      </c>
      <c r="I728">
        <v>402.4083</v>
      </c>
    </row>
    <row r="729" spans="1:9" x14ac:dyDescent="0.3">
      <c r="A729" t="s">
        <v>54</v>
      </c>
      <c r="B729" t="s">
        <v>782</v>
      </c>
      <c r="C729">
        <v>77</v>
      </c>
      <c r="D729">
        <v>4.7999999999999996E-3</v>
      </c>
      <c r="E729">
        <v>22.217207115633371</v>
      </c>
      <c r="F729">
        <v>2248.4129552736072</v>
      </c>
      <c r="G729">
        <v>9.0579999999999998</v>
      </c>
      <c r="H729">
        <v>1.0999999999999999E-2</v>
      </c>
      <c r="I729">
        <v>402.60919999999999</v>
      </c>
    </row>
    <row r="730" spans="1:9" x14ac:dyDescent="0.3">
      <c r="A730" t="s">
        <v>54</v>
      </c>
      <c r="B730" t="s">
        <v>783</v>
      </c>
      <c r="C730">
        <v>77</v>
      </c>
      <c r="D730">
        <v>5.1999999999999998E-3</v>
      </c>
      <c r="E730">
        <v>22.271075121178189</v>
      </c>
      <c r="F730">
        <v>2253.5250289998098</v>
      </c>
      <c r="G730">
        <v>9.0579999999999998</v>
      </c>
      <c r="H730">
        <v>1.18E-2</v>
      </c>
      <c r="I730">
        <v>402.80840000000001</v>
      </c>
    </row>
    <row r="731" spans="1:9" x14ac:dyDescent="0.3">
      <c r="A731" t="s">
        <v>54</v>
      </c>
      <c r="B731" t="s">
        <v>784</v>
      </c>
      <c r="C731">
        <v>77</v>
      </c>
      <c r="D731">
        <v>5.7999999999999996E-3</v>
      </c>
      <c r="E731">
        <v>22.325322647344969</v>
      </c>
      <c r="F731">
        <v>2258.6731192330381</v>
      </c>
      <c r="G731">
        <v>9.0579999999999998</v>
      </c>
      <c r="H731">
        <v>1.26E-2</v>
      </c>
      <c r="I731">
        <v>403.00909999999999</v>
      </c>
    </row>
    <row r="732" spans="1:9" x14ac:dyDescent="0.3">
      <c r="A732" t="s">
        <v>54</v>
      </c>
      <c r="B732" t="s">
        <v>785</v>
      </c>
      <c r="C732">
        <v>77</v>
      </c>
      <c r="D732">
        <v>6.7000000000000002E-3</v>
      </c>
      <c r="E732">
        <v>22.378637996257591</v>
      </c>
      <c r="F732">
        <v>2263.7327458448458</v>
      </c>
      <c r="G732">
        <v>9.0579999999999998</v>
      </c>
      <c r="H732">
        <v>1.35E-2</v>
      </c>
      <c r="I732">
        <v>403.20639999999997</v>
      </c>
    </row>
    <row r="733" spans="1:9" x14ac:dyDescent="0.3">
      <c r="A733" t="s">
        <v>54</v>
      </c>
      <c r="B733" t="s">
        <v>786</v>
      </c>
      <c r="C733">
        <v>77</v>
      </c>
      <c r="D733">
        <v>7.4999999999999997E-3</v>
      </c>
      <c r="E733">
        <v>22.433298291647841</v>
      </c>
      <c r="F733">
        <v>2268.9200078773802</v>
      </c>
      <c r="G733">
        <v>9.0579999999999998</v>
      </c>
      <c r="H733">
        <v>1.43E-2</v>
      </c>
      <c r="I733">
        <v>403.40859999999998</v>
      </c>
    </row>
    <row r="734" spans="1:9" x14ac:dyDescent="0.3">
      <c r="A734" t="s">
        <v>54</v>
      </c>
      <c r="B734" t="s">
        <v>787</v>
      </c>
      <c r="C734">
        <v>77</v>
      </c>
      <c r="D734">
        <v>8.0000000000000002E-3</v>
      </c>
      <c r="E734">
        <v>22.48764475267761</v>
      </c>
      <c r="F734">
        <v>2274.0774870291061</v>
      </c>
      <c r="G734">
        <v>9.0579999999999998</v>
      </c>
      <c r="H734">
        <v>1.52E-2</v>
      </c>
      <c r="I734">
        <v>403.6096</v>
      </c>
    </row>
    <row r="735" spans="1:9" x14ac:dyDescent="0.3">
      <c r="A735" t="s">
        <v>54</v>
      </c>
      <c r="B735" t="s">
        <v>788</v>
      </c>
      <c r="C735">
        <v>77</v>
      </c>
      <c r="D735">
        <v>8.3999999999999995E-3</v>
      </c>
      <c r="E735">
        <v>22.541182705031961</v>
      </c>
      <c r="F735">
        <v>2279.1582387075341</v>
      </c>
      <c r="G735">
        <v>9.0579999999999998</v>
      </c>
      <c r="H735">
        <v>1.6E-2</v>
      </c>
      <c r="I735">
        <v>403.80770000000001</v>
      </c>
    </row>
    <row r="736" spans="1:9" x14ac:dyDescent="0.3">
      <c r="A736" t="s">
        <v>54</v>
      </c>
      <c r="B736" t="s">
        <v>789</v>
      </c>
      <c r="C736">
        <v>77</v>
      </c>
      <c r="D736">
        <v>9.2999999999999992E-3</v>
      </c>
      <c r="E736">
        <v>22.595595257793981</v>
      </c>
      <c r="F736">
        <v>2284.3219899646492</v>
      </c>
      <c r="G736">
        <v>9.0579999999999998</v>
      </c>
      <c r="H736">
        <v>1.6799999999999999E-2</v>
      </c>
      <c r="I736">
        <v>404.00900000000001</v>
      </c>
    </row>
    <row r="737" spans="1:9" x14ac:dyDescent="0.3">
      <c r="A737" t="s">
        <v>54</v>
      </c>
      <c r="B737" t="s">
        <v>790</v>
      </c>
      <c r="C737">
        <v>77</v>
      </c>
      <c r="D737">
        <v>0.01</v>
      </c>
      <c r="E737">
        <v>22.649092257602589</v>
      </c>
      <c r="F737">
        <v>2289.3988552464862</v>
      </c>
      <c r="G737">
        <v>9.0579999999999998</v>
      </c>
      <c r="H737">
        <v>1.77E-2</v>
      </c>
      <c r="I737">
        <v>404.20690000000002</v>
      </c>
    </row>
    <row r="738" spans="1:9" x14ac:dyDescent="0.3">
      <c r="A738" t="s">
        <v>54</v>
      </c>
      <c r="B738" t="s">
        <v>791</v>
      </c>
      <c r="C738">
        <v>77</v>
      </c>
      <c r="D738">
        <v>1.06E-2</v>
      </c>
      <c r="E738">
        <v>22.704387520187279</v>
      </c>
      <c r="F738">
        <v>2294.6463756657731</v>
      </c>
      <c r="G738">
        <v>9.0579999999999998</v>
      </c>
      <c r="H738">
        <v>1.8499999999999999E-2</v>
      </c>
      <c r="I738">
        <v>404.41140000000001</v>
      </c>
    </row>
    <row r="739" spans="1:9" x14ac:dyDescent="0.3">
      <c r="A739" t="s">
        <v>54</v>
      </c>
      <c r="B739" t="s">
        <v>792</v>
      </c>
      <c r="C739">
        <v>77</v>
      </c>
      <c r="D739">
        <v>1.11E-2</v>
      </c>
      <c r="E739">
        <v>22.757323348477929</v>
      </c>
      <c r="F739">
        <v>2299.6699857705562</v>
      </c>
      <c r="G739">
        <v>9.0579999999999998</v>
      </c>
      <c r="H739">
        <v>1.9400000000000001E-2</v>
      </c>
      <c r="I739">
        <v>404.60730000000001</v>
      </c>
    </row>
    <row r="740" spans="1:9" x14ac:dyDescent="0.3">
      <c r="A740" t="s">
        <v>54</v>
      </c>
      <c r="B740" t="s">
        <v>793</v>
      </c>
      <c r="C740">
        <v>77</v>
      </c>
      <c r="D740">
        <v>1.1900000000000001E-2</v>
      </c>
      <c r="E740">
        <v>22.811381114333731</v>
      </c>
      <c r="F740">
        <v>2304.800067750271</v>
      </c>
      <c r="G740">
        <v>9.0579999999999998</v>
      </c>
      <c r="H740">
        <v>2.0199999999999999E-2</v>
      </c>
      <c r="I740">
        <v>404.8073</v>
      </c>
    </row>
    <row r="741" spans="1:9" x14ac:dyDescent="0.3">
      <c r="A741" t="s">
        <v>54</v>
      </c>
      <c r="B741" t="s">
        <v>794</v>
      </c>
      <c r="C741">
        <v>77</v>
      </c>
      <c r="D741">
        <v>1.2699999999999999E-2</v>
      </c>
      <c r="E741">
        <v>22.866362948028701</v>
      </c>
      <c r="F741">
        <v>2310.0178437679242</v>
      </c>
      <c r="G741">
        <v>9.0579999999999998</v>
      </c>
      <c r="H741">
        <v>2.1000000000000001E-2</v>
      </c>
      <c r="I741">
        <v>405.01069999999999</v>
      </c>
    </row>
    <row r="742" spans="1:9" x14ac:dyDescent="0.3">
      <c r="A742" t="s">
        <v>54</v>
      </c>
      <c r="B742" t="s">
        <v>795</v>
      </c>
      <c r="C742">
        <v>77</v>
      </c>
      <c r="D742">
        <v>1.3299999999999999E-2</v>
      </c>
      <c r="E742">
        <v>22.919801965520051</v>
      </c>
      <c r="F742">
        <v>2315.0892065278531</v>
      </c>
      <c r="G742">
        <v>9.0579999999999998</v>
      </c>
      <c r="H742">
        <v>2.1899999999999999E-2</v>
      </c>
      <c r="I742">
        <v>405.20830000000001</v>
      </c>
    </row>
    <row r="743" spans="1:9" x14ac:dyDescent="0.3">
      <c r="A743" t="s">
        <v>54</v>
      </c>
      <c r="B743" t="s">
        <v>796</v>
      </c>
      <c r="C743">
        <v>77</v>
      </c>
      <c r="D743">
        <v>1.35E-2</v>
      </c>
      <c r="E743">
        <v>22.973504944469639</v>
      </c>
      <c r="F743">
        <v>2320.1856192301689</v>
      </c>
      <c r="G743">
        <v>9.0579999999999998</v>
      </c>
      <c r="H743">
        <v>2.2700000000000001E-2</v>
      </c>
      <c r="I743">
        <v>405.40699999999998</v>
      </c>
    </row>
    <row r="744" spans="1:9" x14ac:dyDescent="0.3">
      <c r="A744" t="s">
        <v>54</v>
      </c>
      <c r="B744" t="s">
        <v>797</v>
      </c>
      <c r="C744">
        <v>77</v>
      </c>
      <c r="D744">
        <v>1.41E-2</v>
      </c>
      <c r="E744">
        <v>23.02790938781666</v>
      </c>
      <c r="F744">
        <v>2325.3486009038011</v>
      </c>
      <c r="G744">
        <v>9.0579999999999998</v>
      </c>
      <c r="H744">
        <v>2.3599999999999999E-2</v>
      </c>
      <c r="I744">
        <v>405.60829999999999</v>
      </c>
    </row>
    <row r="745" spans="1:9" x14ac:dyDescent="0.3">
      <c r="A745" t="s">
        <v>54</v>
      </c>
      <c r="B745" t="s">
        <v>798</v>
      </c>
      <c r="C745">
        <v>77</v>
      </c>
      <c r="D745">
        <v>1.5100000000000001E-2</v>
      </c>
      <c r="E745">
        <v>23.082396141725919</v>
      </c>
      <c r="F745">
        <v>2330.51939384979</v>
      </c>
      <c r="G745">
        <v>9.0579999999999998</v>
      </c>
      <c r="H745">
        <v>2.4400000000000002E-2</v>
      </c>
      <c r="I745">
        <v>405.8098</v>
      </c>
    </row>
    <row r="746" spans="1:9" x14ac:dyDescent="0.3">
      <c r="A746" t="s">
        <v>54</v>
      </c>
      <c r="B746" t="s">
        <v>799</v>
      </c>
      <c r="C746">
        <v>77</v>
      </c>
      <c r="D746">
        <v>1.5800000000000002E-2</v>
      </c>
      <c r="E746">
        <v>23.136074386959759</v>
      </c>
      <c r="F746">
        <v>2335.613459322481</v>
      </c>
      <c r="G746">
        <v>9.0579999999999998</v>
      </c>
      <c r="H746">
        <v>2.52E-2</v>
      </c>
      <c r="I746">
        <v>406.00839999999999</v>
      </c>
    </row>
    <row r="747" spans="1:9" x14ac:dyDescent="0.3">
      <c r="A747" t="s">
        <v>54</v>
      </c>
      <c r="B747" t="s">
        <v>800</v>
      </c>
      <c r="C747">
        <v>77</v>
      </c>
      <c r="D747">
        <v>1.6299999999999999E-2</v>
      </c>
      <c r="E747">
        <v>23.19021486884855</v>
      </c>
      <c r="F747">
        <v>2340.7513910537282</v>
      </c>
      <c r="G747">
        <v>9.0579999999999998</v>
      </c>
      <c r="H747">
        <v>2.6100000000000002E-2</v>
      </c>
      <c r="I747">
        <v>406.20870000000002</v>
      </c>
    </row>
    <row r="748" spans="1:9" x14ac:dyDescent="0.3">
      <c r="A748" t="s">
        <v>54</v>
      </c>
      <c r="B748" t="s">
        <v>801</v>
      </c>
      <c r="C748">
        <v>77</v>
      </c>
      <c r="D748">
        <v>1.66E-2</v>
      </c>
      <c r="E748">
        <v>23.24425601040361</v>
      </c>
      <c r="F748">
        <v>2345.879895387302</v>
      </c>
      <c r="G748">
        <v>9.0579999999999998</v>
      </c>
      <c r="H748">
        <v>2.69E-2</v>
      </c>
      <c r="I748">
        <v>406.40859999999998</v>
      </c>
    </row>
    <row r="749" spans="1:9" x14ac:dyDescent="0.3">
      <c r="A749" t="s">
        <v>54</v>
      </c>
      <c r="B749" t="s">
        <v>802</v>
      </c>
      <c r="C749">
        <v>77</v>
      </c>
      <c r="D749">
        <v>1.72E-2</v>
      </c>
      <c r="E749">
        <v>23.29866856316562</v>
      </c>
      <c r="F749">
        <v>2351.043646644418</v>
      </c>
      <c r="G749">
        <v>9.0579999999999998</v>
      </c>
      <c r="H749">
        <v>2.7799999999999998E-2</v>
      </c>
      <c r="I749">
        <v>406.60989999999998</v>
      </c>
    </row>
    <row r="750" spans="1:9" x14ac:dyDescent="0.3">
      <c r="A750" t="s">
        <v>54</v>
      </c>
      <c r="B750" t="s">
        <v>803</v>
      </c>
      <c r="C750">
        <v>77</v>
      </c>
      <c r="D750">
        <v>1.7600000000000001E-2</v>
      </c>
      <c r="E750">
        <v>23.35252034988045</v>
      </c>
      <c r="F750">
        <v>2356.1541812036539</v>
      </c>
      <c r="G750">
        <v>9.0579999999999998</v>
      </c>
      <c r="H750">
        <v>2.86E-2</v>
      </c>
      <c r="I750">
        <v>406.8091</v>
      </c>
    </row>
    <row r="751" spans="1:9" x14ac:dyDescent="0.3">
      <c r="A751" t="s">
        <v>54</v>
      </c>
      <c r="B751" t="s">
        <v>804</v>
      </c>
      <c r="C751">
        <v>77</v>
      </c>
      <c r="D751">
        <v>1.8499999999999999E-2</v>
      </c>
      <c r="E751">
        <v>23.405868541923809</v>
      </c>
      <c r="F751">
        <v>2361.2169246285698</v>
      </c>
      <c r="G751">
        <v>9.0579999999999998</v>
      </c>
      <c r="H751">
        <v>2.9399999999999999E-2</v>
      </c>
      <c r="I751">
        <v>407.00650000000002</v>
      </c>
    </row>
    <row r="752" spans="1:9" x14ac:dyDescent="0.3">
      <c r="A752" t="s">
        <v>54</v>
      </c>
      <c r="B752" t="s">
        <v>805</v>
      </c>
      <c r="C752">
        <v>77</v>
      </c>
      <c r="D752">
        <v>1.8700000000000001E-2</v>
      </c>
      <c r="E752">
        <v>23.46047936988257</v>
      </c>
      <c r="F752">
        <v>2366.399492201856</v>
      </c>
      <c r="G752">
        <v>9.0579999999999998</v>
      </c>
      <c r="H752">
        <v>3.0300000000000001E-2</v>
      </c>
      <c r="I752">
        <v>407.20850000000002</v>
      </c>
    </row>
    <row r="753" spans="1:9" x14ac:dyDescent="0.3">
      <c r="A753" t="s">
        <v>54</v>
      </c>
      <c r="B753" t="s">
        <v>806</v>
      </c>
      <c r="C753">
        <v>77</v>
      </c>
      <c r="D753">
        <v>1.9E-2</v>
      </c>
      <c r="E753">
        <v>23.514239925678641</v>
      </c>
      <c r="F753">
        <v>2371.5013689469029</v>
      </c>
      <c r="G753">
        <v>9.0579999999999998</v>
      </c>
      <c r="H753">
        <v>3.1099999999999999E-2</v>
      </c>
      <c r="I753">
        <v>407.4074</v>
      </c>
    </row>
    <row r="754" spans="1:9" x14ac:dyDescent="0.3">
      <c r="A754" t="s">
        <v>54</v>
      </c>
      <c r="B754" t="s">
        <v>807</v>
      </c>
      <c r="C754">
        <v>77</v>
      </c>
      <c r="D754">
        <v>1.9400000000000001E-2</v>
      </c>
      <c r="E754">
        <v>23.568586792179168</v>
      </c>
      <c r="F754">
        <v>2376.6588865778031</v>
      </c>
      <c r="G754">
        <v>9.0579999999999998</v>
      </c>
      <c r="H754">
        <v>3.2000000000000001E-2</v>
      </c>
      <c r="I754">
        <v>407.60849999999999</v>
      </c>
    </row>
    <row r="755" spans="1:9" x14ac:dyDescent="0.3">
      <c r="A755" t="s">
        <v>54</v>
      </c>
      <c r="B755" t="s">
        <v>808</v>
      </c>
      <c r="C755">
        <v>77</v>
      </c>
      <c r="D755">
        <v>1.9599999999999999E-2</v>
      </c>
      <c r="E755">
        <v>23.62220705509576</v>
      </c>
      <c r="F755">
        <v>2381.7474495285869</v>
      </c>
      <c r="G755">
        <v>9.0579999999999998</v>
      </c>
      <c r="H755">
        <v>3.2800000000000003E-2</v>
      </c>
      <c r="I755">
        <v>407.80680000000001</v>
      </c>
    </row>
    <row r="756" spans="1:9" x14ac:dyDescent="0.3">
      <c r="A756" t="s">
        <v>54</v>
      </c>
      <c r="B756" t="s">
        <v>809</v>
      </c>
      <c r="C756">
        <v>77</v>
      </c>
      <c r="D756">
        <v>1.9800000000000002E-2</v>
      </c>
      <c r="E756">
        <v>23.676603389027779</v>
      </c>
      <c r="F756">
        <v>2386.9096616187362</v>
      </c>
      <c r="G756">
        <v>9.0579999999999998</v>
      </c>
      <c r="H756">
        <v>3.3599999999999998E-2</v>
      </c>
      <c r="I756">
        <v>408.00810000000001</v>
      </c>
    </row>
    <row r="757" spans="1:9" x14ac:dyDescent="0.3">
      <c r="A757" t="s">
        <v>54</v>
      </c>
      <c r="B757" t="s">
        <v>810</v>
      </c>
      <c r="C757">
        <v>77</v>
      </c>
      <c r="D757">
        <v>2.0199999999999999E-2</v>
      </c>
      <c r="E757">
        <v>23.731263278947271</v>
      </c>
      <c r="F757">
        <v>2392.0968851720959</v>
      </c>
      <c r="G757">
        <v>9.0579999999999998</v>
      </c>
      <c r="H757">
        <v>3.4500000000000003E-2</v>
      </c>
      <c r="I757">
        <v>408.21030000000002</v>
      </c>
    </row>
    <row r="758" spans="1:9" x14ac:dyDescent="0.3">
      <c r="A758" t="s">
        <v>54</v>
      </c>
      <c r="B758" t="s">
        <v>811</v>
      </c>
      <c r="C758">
        <v>77</v>
      </c>
      <c r="D758">
        <v>2.0899999999999998E-2</v>
      </c>
      <c r="E758">
        <v>23.784933009295369</v>
      </c>
      <c r="F758">
        <v>2397.1901425821302</v>
      </c>
      <c r="G758">
        <v>9.0579999999999998</v>
      </c>
      <c r="H758">
        <v>3.5299999999999998E-2</v>
      </c>
      <c r="I758">
        <v>408.40879999999999</v>
      </c>
    </row>
    <row r="759" spans="1:9" x14ac:dyDescent="0.3">
      <c r="A759" t="s">
        <v>54</v>
      </c>
      <c r="B759" t="s">
        <v>812</v>
      </c>
      <c r="C759">
        <v>77</v>
      </c>
      <c r="D759">
        <v>2.1899999999999999E-2</v>
      </c>
      <c r="E759">
        <v>23.839040648053409</v>
      </c>
      <c r="F759">
        <v>2402.3249575002692</v>
      </c>
      <c r="G759">
        <v>9.0579999999999998</v>
      </c>
      <c r="H759">
        <v>3.6200000000000003E-2</v>
      </c>
      <c r="I759">
        <v>408.60899999999998</v>
      </c>
    </row>
    <row r="760" spans="1:9" x14ac:dyDescent="0.3">
      <c r="A760" t="s">
        <v>54</v>
      </c>
      <c r="B760" t="s">
        <v>813</v>
      </c>
      <c r="C760">
        <v>77</v>
      </c>
      <c r="D760">
        <v>2.2499999999999999E-2</v>
      </c>
      <c r="E760">
        <v>23.893535511377671</v>
      </c>
      <c r="F760">
        <v>2407.496520029742</v>
      </c>
      <c r="G760">
        <v>9.0579999999999998</v>
      </c>
      <c r="H760">
        <v>3.6999999999999998E-2</v>
      </c>
      <c r="I760">
        <v>408.81060000000002</v>
      </c>
    </row>
    <row r="761" spans="1:9" x14ac:dyDescent="0.3">
      <c r="A761" t="s">
        <v>54</v>
      </c>
      <c r="B761" t="s">
        <v>814</v>
      </c>
      <c r="C761">
        <v>77</v>
      </c>
      <c r="D761">
        <v>2.29E-2</v>
      </c>
      <c r="E761">
        <v>23.946859375176039</v>
      </c>
      <c r="F761">
        <v>2412.556954704206</v>
      </c>
      <c r="G761">
        <v>9.0579999999999998</v>
      </c>
      <c r="H761">
        <v>3.78E-2</v>
      </c>
      <c r="I761">
        <v>409.00779999999997</v>
      </c>
    </row>
    <row r="762" spans="1:9" x14ac:dyDescent="0.3">
      <c r="A762" t="s">
        <v>54</v>
      </c>
      <c r="B762" t="s">
        <v>815</v>
      </c>
      <c r="C762">
        <v>77</v>
      </c>
      <c r="D762">
        <v>2.3199999999999998E-2</v>
      </c>
      <c r="E762">
        <v>24.000743599550859</v>
      </c>
      <c r="F762">
        <v>2417.6705675973772</v>
      </c>
      <c r="G762">
        <v>9.0579999999999998</v>
      </c>
      <c r="H762">
        <v>3.8699999999999998E-2</v>
      </c>
      <c r="I762">
        <v>409.2072</v>
      </c>
    </row>
    <row r="763" spans="1:9" x14ac:dyDescent="0.3">
      <c r="A763" t="s">
        <v>54</v>
      </c>
      <c r="B763" t="s">
        <v>816</v>
      </c>
      <c r="C763">
        <v>77</v>
      </c>
      <c r="D763">
        <v>2.3900000000000001E-2</v>
      </c>
      <c r="E763">
        <v>24.055090466051379</v>
      </c>
      <c r="F763">
        <v>2422.828085228276</v>
      </c>
      <c r="G763">
        <v>9.0579999999999998</v>
      </c>
      <c r="H763">
        <v>3.95E-2</v>
      </c>
      <c r="I763">
        <v>409.40820000000002</v>
      </c>
    </row>
    <row r="764" spans="1:9" x14ac:dyDescent="0.3">
      <c r="A764" t="s">
        <v>54</v>
      </c>
      <c r="B764" t="s">
        <v>817</v>
      </c>
      <c r="C764">
        <v>77</v>
      </c>
      <c r="D764">
        <v>2.4400000000000002E-2</v>
      </c>
      <c r="E764">
        <v>24.10929663420168</v>
      </c>
      <c r="F764">
        <v>2427.9722505857389</v>
      </c>
      <c r="G764">
        <v>9.0579999999999998</v>
      </c>
      <c r="H764">
        <v>4.0399999999999998E-2</v>
      </c>
      <c r="I764">
        <v>409.60879999999997</v>
      </c>
    </row>
    <row r="765" spans="1:9" x14ac:dyDescent="0.3">
      <c r="A765" t="s">
        <v>54</v>
      </c>
      <c r="B765" t="s">
        <v>818</v>
      </c>
      <c r="C765">
        <v>77</v>
      </c>
      <c r="D765">
        <v>2.5000000000000001E-2</v>
      </c>
      <c r="E765">
        <v>24.16388272844468</v>
      </c>
      <c r="F765">
        <v>2433.1524709293999</v>
      </c>
      <c r="G765">
        <v>9.0579999999999998</v>
      </c>
      <c r="H765">
        <v>4.1200000000000001E-2</v>
      </c>
      <c r="I765">
        <v>409.8107</v>
      </c>
    </row>
    <row r="766" spans="1:9" x14ac:dyDescent="0.3">
      <c r="A766" t="s">
        <v>54</v>
      </c>
      <c r="B766" t="s">
        <v>819</v>
      </c>
      <c r="C766">
        <v>77</v>
      </c>
      <c r="D766">
        <v>2.58E-2</v>
      </c>
      <c r="E766">
        <v>24.217230920488038</v>
      </c>
      <c r="F766">
        <v>2438.2152143543149</v>
      </c>
      <c r="G766">
        <v>9.0579999999999998</v>
      </c>
      <c r="H766">
        <v>4.2000000000000003E-2</v>
      </c>
      <c r="I766">
        <v>410.00810000000001</v>
      </c>
    </row>
    <row r="767" spans="1:9" x14ac:dyDescent="0.3">
      <c r="A767" t="s">
        <v>54</v>
      </c>
      <c r="B767" t="s">
        <v>820</v>
      </c>
      <c r="C767">
        <v>77</v>
      </c>
      <c r="D767">
        <v>2.6499999999999999E-2</v>
      </c>
      <c r="E767">
        <v>24.27093389943763</v>
      </c>
      <c r="F767">
        <v>2443.3116270566311</v>
      </c>
      <c r="G767">
        <v>9.0579999999999998</v>
      </c>
      <c r="H767">
        <v>4.2900000000000001E-2</v>
      </c>
      <c r="I767">
        <v>410.20670000000001</v>
      </c>
    </row>
    <row r="768" spans="1:9" x14ac:dyDescent="0.3">
      <c r="A768" t="s">
        <v>54</v>
      </c>
      <c r="B768" t="s">
        <v>821</v>
      </c>
      <c r="C768">
        <v>77</v>
      </c>
      <c r="D768">
        <v>2.7400000000000001E-2</v>
      </c>
      <c r="E768">
        <v>24.325725972821608</v>
      </c>
      <c r="F768">
        <v>2448.5113948207709</v>
      </c>
      <c r="G768">
        <v>9.0579999999999998</v>
      </c>
      <c r="H768">
        <v>4.3700000000000003E-2</v>
      </c>
      <c r="I768">
        <v>410.40940000000001</v>
      </c>
    </row>
    <row r="769" spans="1:9" x14ac:dyDescent="0.3">
      <c r="A769" t="s">
        <v>54</v>
      </c>
      <c r="B769" t="s">
        <v>822</v>
      </c>
      <c r="C769">
        <v>77</v>
      </c>
      <c r="D769">
        <v>2.8400000000000002E-2</v>
      </c>
      <c r="E769">
        <v>24.380485203074851</v>
      </c>
      <c r="F769">
        <v>2453.708045771803</v>
      </c>
      <c r="G769">
        <v>9.0579999999999998</v>
      </c>
      <c r="H769">
        <v>4.4600000000000001E-2</v>
      </c>
      <c r="I769">
        <v>410.61200000000002</v>
      </c>
    </row>
    <row r="770" spans="1:9" x14ac:dyDescent="0.3">
      <c r="A770" t="s">
        <v>54</v>
      </c>
      <c r="B770" t="s">
        <v>823</v>
      </c>
      <c r="C770">
        <v>77</v>
      </c>
      <c r="D770">
        <v>2.9100000000000001E-2</v>
      </c>
      <c r="E770">
        <v>24.43316517932228</v>
      </c>
      <c r="F770">
        <v>2458.7073755176839</v>
      </c>
      <c r="G770">
        <v>9.0579999999999998</v>
      </c>
      <c r="H770">
        <v>4.5400000000000003E-2</v>
      </c>
      <c r="I770">
        <v>410.80689999999998</v>
      </c>
    </row>
    <row r="771" spans="1:9" x14ac:dyDescent="0.3">
      <c r="A771" t="s">
        <v>54</v>
      </c>
      <c r="B771" t="s">
        <v>824</v>
      </c>
      <c r="C771">
        <v>77</v>
      </c>
      <c r="D771">
        <v>3.04E-2</v>
      </c>
      <c r="E771">
        <v>24.487635308930791</v>
      </c>
      <c r="F771">
        <v>2463.8765908175319</v>
      </c>
      <c r="G771">
        <v>9.0579999999999998</v>
      </c>
      <c r="H771">
        <v>4.6199999999999998E-2</v>
      </c>
      <c r="I771">
        <v>411.00839999999999</v>
      </c>
    </row>
    <row r="772" spans="1:9" x14ac:dyDescent="0.3">
      <c r="A772" t="s">
        <v>54</v>
      </c>
      <c r="B772" t="s">
        <v>825</v>
      </c>
      <c r="C772">
        <v>77</v>
      </c>
      <c r="D772">
        <v>3.1899999999999998E-2</v>
      </c>
      <c r="E772">
        <v>24.54172632338809</v>
      </c>
      <c r="F772">
        <v>2469.0098280895299</v>
      </c>
      <c r="G772">
        <v>9.0579999999999998</v>
      </c>
      <c r="H772">
        <v>4.7100000000000003E-2</v>
      </c>
      <c r="I772">
        <v>411.20850000000002</v>
      </c>
    </row>
    <row r="773" spans="1:9" x14ac:dyDescent="0.3">
      <c r="A773" t="s">
        <v>54</v>
      </c>
      <c r="B773" t="s">
        <v>826</v>
      </c>
      <c r="C773">
        <v>77</v>
      </c>
      <c r="D773">
        <v>3.32E-2</v>
      </c>
      <c r="E773">
        <v>24.595916272708379</v>
      </c>
      <c r="F773">
        <v>2474.1524542800248</v>
      </c>
      <c r="G773">
        <v>9.0579999999999998</v>
      </c>
      <c r="H773">
        <v>4.7899999999999998E-2</v>
      </c>
      <c r="I773">
        <v>411.40899999999999</v>
      </c>
    </row>
    <row r="774" spans="1:9" x14ac:dyDescent="0.3">
      <c r="A774" t="s">
        <v>54</v>
      </c>
      <c r="B774" t="s">
        <v>827</v>
      </c>
      <c r="C774">
        <v>77</v>
      </c>
      <c r="D774">
        <v>3.4799999999999998E-2</v>
      </c>
      <c r="E774">
        <v>24.649932680547678</v>
      </c>
      <c r="F774">
        <v>2479.2786113839752</v>
      </c>
      <c r="G774">
        <v>9.0579999999999998</v>
      </c>
      <c r="H774">
        <v>4.8800000000000003E-2</v>
      </c>
      <c r="I774">
        <v>411.60879999999997</v>
      </c>
    </row>
    <row r="775" spans="1:9" x14ac:dyDescent="0.3">
      <c r="A775" t="s">
        <v>54</v>
      </c>
      <c r="B775" t="s">
        <v>828</v>
      </c>
      <c r="C775">
        <v>77</v>
      </c>
      <c r="D775">
        <v>3.6700000000000003E-2</v>
      </c>
      <c r="E775">
        <v>24.703808795507509</v>
      </c>
      <c r="F775">
        <v>2484.391454693663</v>
      </c>
      <c r="G775">
        <v>9.0579999999999998</v>
      </c>
      <c r="H775">
        <v>4.9599999999999998E-2</v>
      </c>
      <c r="I775">
        <v>411.80810000000002</v>
      </c>
    </row>
    <row r="776" spans="1:9" x14ac:dyDescent="0.3">
      <c r="A776" t="s">
        <v>54</v>
      </c>
      <c r="B776" t="s">
        <v>829</v>
      </c>
      <c r="C776">
        <v>77</v>
      </c>
      <c r="D776">
        <v>3.8600000000000002E-2</v>
      </c>
      <c r="E776">
        <v>24.75951682731565</v>
      </c>
      <c r="F776">
        <v>2489.6781469122552</v>
      </c>
      <c r="G776">
        <v>9.0579999999999998</v>
      </c>
      <c r="H776">
        <v>5.0500000000000003E-2</v>
      </c>
      <c r="I776">
        <v>412.01420000000002</v>
      </c>
    </row>
    <row r="777" spans="1:9" x14ac:dyDescent="0.3">
      <c r="A777" t="s">
        <v>54</v>
      </c>
      <c r="B777" t="s">
        <v>830</v>
      </c>
      <c r="C777">
        <v>77</v>
      </c>
      <c r="D777">
        <v>4.0099999999999997E-2</v>
      </c>
      <c r="E777">
        <v>24.812073134984349</v>
      </c>
      <c r="F777">
        <v>2494.665740510015</v>
      </c>
      <c r="G777">
        <v>9.0579999999999998</v>
      </c>
      <c r="H777">
        <v>5.1299999999999998E-2</v>
      </c>
      <c r="I777">
        <v>412.20859999999999</v>
      </c>
    </row>
    <row r="778" spans="1:9" x14ac:dyDescent="0.3">
      <c r="A778" t="s">
        <v>54</v>
      </c>
      <c r="B778" t="s">
        <v>831</v>
      </c>
      <c r="C778">
        <v>77</v>
      </c>
      <c r="D778">
        <v>4.1500000000000002E-2</v>
      </c>
      <c r="E778">
        <v>24.86654326459286</v>
      </c>
      <c r="F778">
        <v>2499.8349558098621</v>
      </c>
      <c r="G778">
        <v>9.0579999999999998</v>
      </c>
      <c r="H778">
        <v>5.21E-2</v>
      </c>
      <c r="I778">
        <v>412.4101</v>
      </c>
    </row>
    <row r="779" spans="1:9" x14ac:dyDescent="0.3">
      <c r="A779" t="s">
        <v>54</v>
      </c>
      <c r="B779" t="s">
        <v>832</v>
      </c>
      <c r="C779">
        <v>77</v>
      </c>
      <c r="D779">
        <v>4.2500000000000003E-2</v>
      </c>
      <c r="E779">
        <v>24.920461143039919</v>
      </c>
      <c r="F779">
        <v>2504.951762474489</v>
      </c>
      <c r="G779">
        <v>9.0579999999999998</v>
      </c>
      <c r="H779">
        <v>5.2999999999999999E-2</v>
      </c>
      <c r="I779">
        <v>412.6096</v>
      </c>
    </row>
    <row r="780" spans="1:9" x14ac:dyDescent="0.3">
      <c r="A780" t="s">
        <v>54</v>
      </c>
      <c r="B780" t="s">
        <v>833</v>
      </c>
      <c r="C780">
        <v>77</v>
      </c>
      <c r="D780">
        <v>4.3499999999999997E-2</v>
      </c>
      <c r="E780">
        <v>24.974279681153249</v>
      </c>
      <c r="F780">
        <v>2510.059141741443</v>
      </c>
      <c r="G780">
        <v>9.0579999999999998</v>
      </c>
      <c r="H780">
        <v>5.3800000000000001E-2</v>
      </c>
      <c r="I780">
        <v>412.80869999999999</v>
      </c>
    </row>
    <row r="781" spans="1:9" x14ac:dyDescent="0.3">
      <c r="A781" t="s">
        <v>54</v>
      </c>
      <c r="B781" t="s">
        <v>834</v>
      </c>
      <c r="C781">
        <v>77</v>
      </c>
      <c r="D781">
        <v>4.4200000000000003E-2</v>
      </c>
      <c r="E781">
        <v>25.028716967631009</v>
      </c>
      <c r="F781">
        <v>2515.2252402281829</v>
      </c>
      <c r="G781">
        <v>9.0579999999999998</v>
      </c>
      <c r="H781">
        <v>5.4600000000000003E-2</v>
      </c>
      <c r="I781">
        <v>413.01010000000002</v>
      </c>
    </row>
    <row r="782" spans="1:9" x14ac:dyDescent="0.3">
      <c r="A782" t="s">
        <v>54</v>
      </c>
      <c r="B782" t="s">
        <v>835</v>
      </c>
      <c r="C782">
        <v>77</v>
      </c>
      <c r="D782">
        <v>4.4299999999999999E-2</v>
      </c>
      <c r="E782">
        <v>25.08268390803882</v>
      </c>
      <c r="F782">
        <v>2520.3467028728842</v>
      </c>
      <c r="G782">
        <v>9.0579999999999998</v>
      </c>
      <c r="H782">
        <v>5.5500000000000001E-2</v>
      </c>
      <c r="I782">
        <v>413.2097</v>
      </c>
    </row>
    <row r="783" spans="1:9" x14ac:dyDescent="0.3">
      <c r="A783" t="s">
        <v>54</v>
      </c>
      <c r="B783" t="s">
        <v>836</v>
      </c>
      <c r="C783">
        <v>77</v>
      </c>
      <c r="D783">
        <v>4.4400000000000002E-2</v>
      </c>
      <c r="E783">
        <v>25.136007366366439</v>
      </c>
      <c r="F783">
        <v>2525.4070990681748</v>
      </c>
      <c r="G783">
        <v>9.0579999999999998</v>
      </c>
      <c r="H783">
        <v>5.6300000000000003E-2</v>
      </c>
      <c r="I783">
        <v>413.40699999999998</v>
      </c>
    </row>
    <row r="784" spans="1:9" x14ac:dyDescent="0.3">
      <c r="A784" t="s">
        <v>54</v>
      </c>
      <c r="B784" t="s">
        <v>837</v>
      </c>
      <c r="C784">
        <v>77</v>
      </c>
      <c r="D784">
        <v>4.4400000000000002E-2</v>
      </c>
      <c r="E784">
        <v>25.190081756522989</v>
      </c>
      <c r="F784">
        <v>2530.5387586940319</v>
      </c>
      <c r="G784">
        <v>9.0579999999999998</v>
      </c>
      <c r="H784">
        <v>5.7099999999999998E-2</v>
      </c>
      <c r="I784">
        <v>413.60700000000003</v>
      </c>
    </row>
    <row r="785" spans="1:9" x14ac:dyDescent="0.3">
      <c r="A785" t="s">
        <v>54</v>
      </c>
      <c r="B785" t="s">
        <v>838</v>
      </c>
      <c r="C785">
        <v>77</v>
      </c>
      <c r="D785">
        <v>4.4600000000000001E-2</v>
      </c>
      <c r="E785">
        <v>25.244684069595991</v>
      </c>
      <c r="F785">
        <v>2535.72051820466</v>
      </c>
      <c r="G785">
        <v>9.0579999999999998</v>
      </c>
      <c r="H785">
        <v>5.8000000000000003E-2</v>
      </c>
      <c r="I785">
        <v>413.80900000000003</v>
      </c>
    </row>
    <row r="786" spans="1:9" x14ac:dyDescent="0.3">
      <c r="A786" t="s">
        <v>54</v>
      </c>
      <c r="B786" t="s">
        <v>839</v>
      </c>
      <c r="C786">
        <v>77</v>
      </c>
      <c r="D786">
        <v>4.4900000000000002E-2</v>
      </c>
      <c r="E786">
        <v>25.29870899232105</v>
      </c>
      <c r="F786">
        <v>2540.847483371268</v>
      </c>
      <c r="G786">
        <v>9.0579999999999998</v>
      </c>
      <c r="H786">
        <v>5.8799999999999998E-2</v>
      </c>
      <c r="I786">
        <v>414.00889999999998</v>
      </c>
    </row>
    <row r="787" spans="1:9" x14ac:dyDescent="0.3">
      <c r="A787" t="s">
        <v>54</v>
      </c>
      <c r="B787" t="s">
        <v>840</v>
      </c>
      <c r="C787">
        <v>77</v>
      </c>
      <c r="D787">
        <v>4.6100000000000002E-2</v>
      </c>
      <c r="E787">
        <v>25.352742024461101</v>
      </c>
      <c r="F787">
        <v>2545.975218121358</v>
      </c>
      <c r="G787">
        <v>9.0579999999999998</v>
      </c>
      <c r="H787">
        <v>5.9700000000000003E-2</v>
      </c>
      <c r="I787">
        <v>414.2088</v>
      </c>
    </row>
    <row r="788" spans="1:9" x14ac:dyDescent="0.3">
      <c r="A788" t="s">
        <v>54</v>
      </c>
      <c r="B788" t="s">
        <v>841</v>
      </c>
      <c r="C788">
        <v>77</v>
      </c>
      <c r="D788">
        <v>4.7300000000000002E-2</v>
      </c>
      <c r="E788">
        <v>25.406511095142921</v>
      </c>
      <c r="F788">
        <v>2551.0779029290638</v>
      </c>
      <c r="G788">
        <v>9.0579999999999998</v>
      </c>
      <c r="H788">
        <v>6.0499999999999998E-2</v>
      </c>
      <c r="I788">
        <v>414.40769999999998</v>
      </c>
    </row>
    <row r="789" spans="1:9" x14ac:dyDescent="0.3">
      <c r="A789" t="s">
        <v>54</v>
      </c>
      <c r="B789" t="s">
        <v>842</v>
      </c>
      <c r="C789">
        <v>77</v>
      </c>
      <c r="D789">
        <v>4.8399999999999999E-2</v>
      </c>
      <c r="E789">
        <v>25.461063940784431</v>
      </c>
      <c r="F789">
        <v>2556.2549679804429</v>
      </c>
      <c r="G789">
        <v>9.0579999999999998</v>
      </c>
      <c r="H789">
        <v>6.1400000000000003E-2</v>
      </c>
      <c r="I789">
        <v>414.60950000000003</v>
      </c>
    </row>
    <row r="790" spans="1:9" x14ac:dyDescent="0.3">
      <c r="A790" t="s">
        <v>54</v>
      </c>
      <c r="B790" t="s">
        <v>843</v>
      </c>
      <c r="C790">
        <v>77</v>
      </c>
      <c r="D790">
        <v>4.9000000000000002E-2</v>
      </c>
      <c r="E790">
        <v>25.51471745230252</v>
      </c>
      <c r="F790">
        <v>2561.34668622351</v>
      </c>
      <c r="G790">
        <v>9.0579999999999998</v>
      </c>
      <c r="H790">
        <v>6.2199999999999998E-2</v>
      </c>
      <c r="I790">
        <v>414.80799999999999</v>
      </c>
    </row>
    <row r="791" spans="1:9" x14ac:dyDescent="0.3">
      <c r="A791" t="s">
        <v>54</v>
      </c>
      <c r="B791" t="s">
        <v>844</v>
      </c>
      <c r="C791">
        <v>77</v>
      </c>
      <c r="D791">
        <v>4.9700000000000001E-2</v>
      </c>
      <c r="E791">
        <v>21.511913046964182</v>
      </c>
      <c r="F791">
        <v>2074.9102959770621</v>
      </c>
      <c r="G791">
        <v>9.0579999999999998</v>
      </c>
      <c r="H791">
        <v>0</v>
      </c>
      <c r="I791">
        <v>415.00819999999999</v>
      </c>
    </row>
    <row r="792" spans="1:9" x14ac:dyDescent="0.3">
      <c r="A792" t="s">
        <v>54</v>
      </c>
      <c r="B792" t="s">
        <v>845</v>
      </c>
      <c r="C792">
        <v>77</v>
      </c>
      <c r="D792">
        <v>4.4699999999999997E-2</v>
      </c>
      <c r="E792">
        <v>21.511913046964182</v>
      </c>
      <c r="F792">
        <v>2074.9102959770621</v>
      </c>
      <c r="G792">
        <v>9.0579999999999998</v>
      </c>
      <c r="H792">
        <v>0</v>
      </c>
      <c r="I792">
        <v>415.21010000000001</v>
      </c>
    </row>
    <row r="793" spans="1:9" x14ac:dyDescent="0.3">
      <c r="A793" t="s">
        <v>54</v>
      </c>
      <c r="B793" t="s">
        <v>846</v>
      </c>
      <c r="C793">
        <v>77</v>
      </c>
      <c r="D793">
        <v>2.8899999999999999E-2</v>
      </c>
      <c r="E793">
        <v>21.511913046964182</v>
      </c>
      <c r="F793">
        <v>2074.9102959770621</v>
      </c>
      <c r="G793">
        <v>9.0579999999999998</v>
      </c>
      <c r="H793">
        <v>0</v>
      </c>
      <c r="I793">
        <v>415.4092</v>
      </c>
    </row>
    <row r="794" spans="1:9" x14ac:dyDescent="0.3">
      <c r="A794" t="s">
        <v>54</v>
      </c>
      <c r="B794" t="s">
        <v>847</v>
      </c>
      <c r="C794">
        <v>77</v>
      </c>
      <c r="D794">
        <v>2.2200000000000001E-2</v>
      </c>
      <c r="E794">
        <v>21.511913046964182</v>
      </c>
      <c r="F794">
        <v>2074.9102959770621</v>
      </c>
      <c r="G794">
        <v>9.0579999999999998</v>
      </c>
      <c r="H794">
        <v>0</v>
      </c>
      <c r="I794">
        <v>415.60939999999999</v>
      </c>
    </row>
    <row r="795" spans="1:9" x14ac:dyDescent="0.3">
      <c r="A795" t="s">
        <v>54</v>
      </c>
      <c r="B795" t="s">
        <v>848</v>
      </c>
      <c r="C795">
        <v>77</v>
      </c>
      <c r="D795">
        <v>1.41E-2</v>
      </c>
      <c r="E795">
        <v>21.511913046964182</v>
      </c>
      <c r="F795">
        <v>2074.9102959770621</v>
      </c>
      <c r="G795">
        <v>9.0579999999999998</v>
      </c>
      <c r="H795">
        <v>0</v>
      </c>
      <c r="I795">
        <v>415.80849999999998</v>
      </c>
    </row>
    <row r="796" spans="1:9" x14ac:dyDescent="0.3">
      <c r="A796" t="s">
        <v>54</v>
      </c>
      <c r="B796" t="s">
        <v>849</v>
      </c>
      <c r="C796">
        <v>77</v>
      </c>
      <c r="D796">
        <v>4.4000000000000003E-3</v>
      </c>
      <c r="E796">
        <v>21.511913046964182</v>
      </c>
      <c r="F796">
        <v>2074.9102959770621</v>
      </c>
      <c r="G796">
        <v>9.0579999999999998</v>
      </c>
      <c r="H796">
        <v>0</v>
      </c>
      <c r="I796">
        <v>416.00920000000002</v>
      </c>
    </row>
    <row r="797" spans="1:9" x14ac:dyDescent="0.3">
      <c r="A797" t="s">
        <v>54</v>
      </c>
      <c r="B797" t="s">
        <v>850</v>
      </c>
      <c r="C797">
        <v>77</v>
      </c>
      <c r="D797">
        <v>-3.0000000000000001E-3</v>
      </c>
      <c r="E797">
        <v>21.511913046964182</v>
      </c>
      <c r="F797">
        <v>2074.9102959770621</v>
      </c>
      <c r="G797">
        <v>9.0579999999999998</v>
      </c>
      <c r="H797">
        <v>0</v>
      </c>
      <c r="I797">
        <v>416.20769999999999</v>
      </c>
    </row>
    <row r="798" spans="1:9" x14ac:dyDescent="0.3">
      <c r="A798" t="s">
        <v>54</v>
      </c>
      <c r="B798" t="s">
        <v>851</v>
      </c>
      <c r="C798">
        <v>77</v>
      </c>
      <c r="D798">
        <v>-3.0999999999999999E-3</v>
      </c>
      <c r="E798">
        <v>21.511913046964182</v>
      </c>
      <c r="F798">
        <v>2074.9102959770621</v>
      </c>
      <c r="G798">
        <v>9.0579999999999998</v>
      </c>
      <c r="H798">
        <v>0</v>
      </c>
      <c r="I798">
        <v>416.4092</v>
      </c>
    </row>
    <row r="799" spans="1:9" x14ac:dyDescent="0.3">
      <c r="A799" t="s">
        <v>54</v>
      </c>
      <c r="B799" t="s">
        <v>852</v>
      </c>
      <c r="C799">
        <v>77</v>
      </c>
      <c r="D799">
        <v>-3.0999999999999999E-3</v>
      </c>
      <c r="E799">
        <v>21.511913046964182</v>
      </c>
      <c r="F799">
        <v>2074.9102959770621</v>
      </c>
      <c r="G799">
        <v>9.0579999999999998</v>
      </c>
      <c r="H799">
        <v>0</v>
      </c>
      <c r="I799">
        <v>416.61</v>
      </c>
    </row>
    <row r="800" spans="1:9" x14ac:dyDescent="0.3">
      <c r="A800" t="s">
        <v>54</v>
      </c>
      <c r="B800" t="s">
        <v>853</v>
      </c>
      <c r="C800">
        <v>77</v>
      </c>
      <c r="D800">
        <v>-3.0999999999999999E-3</v>
      </c>
      <c r="E800">
        <v>21.511913046964182</v>
      </c>
      <c r="F800">
        <v>2074.9102959770621</v>
      </c>
      <c r="G800">
        <v>9.0579999999999998</v>
      </c>
      <c r="H800">
        <v>0</v>
      </c>
      <c r="I800">
        <v>416.8098</v>
      </c>
    </row>
    <row r="801" spans="1:9" x14ac:dyDescent="0.3">
      <c r="A801" t="s">
        <v>54</v>
      </c>
      <c r="B801" t="s">
        <v>854</v>
      </c>
      <c r="C801">
        <v>77</v>
      </c>
      <c r="D801">
        <v>-3.0999999999999999E-3</v>
      </c>
      <c r="E801">
        <v>21.511913046964182</v>
      </c>
      <c r="F801">
        <v>2074.9102959770621</v>
      </c>
      <c r="G801">
        <v>9.0579999999999998</v>
      </c>
      <c r="H801">
        <v>0</v>
      </c>
      <c r="I801">
        <v>417.0104</v>
      </c>
    </row>
    <row r="802" spans="1:9" x14ac:dyDescent="0.3">
      <c r="A802" t="s">
        <v>54</v>
      </c>
      <c r="B802" t="s">
        <v>855</v>
      </c>
      <c r="C802">
        <v>77</v>
      </c>
      <c r="D802">
        <v>-3.0999999999999999E-3</v>
      </c>
      <c r="E802">
        <v>21.511913046964182</v>
      </c>
      <c r="F802">
        <v>2074.9102959770621</v>
      </c>
      <c r="G802">
        <v>9.0579999999999998</v>
      </c>
      <c r="H802">
        <v>0</v>
      </c>
      <c r="I802">
        <v>417.20749999999998</v>
      </c>
    </row>
    <row r="803" spans="1:9" x14ac:dyDescent="0.3">
      <c r="A803" t="s">
        <v>54</v>
      </c>
      <c r="B803" t="s">
        <v>856</v>
      </c>
      <c r="C803">
        <v>77</v>
      </c>
      <c r="D803">
        <v>-3.0999999999999999E-3</v>
      </c>
      <c r="E803">
        <v>21.511913046964182</v>
      </c>
      <c r="F803">
        <v>2074.9102959770621</v>
      </c>
      <c r="G803">
        <v>9.0579999999999998</v>
      </c>
      <c r="H803">
        <v>0</v>
      </c>
      <c r="I803">
        <v>417.40929999999997</v>
      </c>
    </row>
    <row r="804" spans="1:9" x14ac:dyDescent="0.3">
      <c r="A804" t="s">
        <v>54</v>
      </c>
      <c r="B804" t="s">
        <v>857</v>
      </c>
      <c r="C804">
        <v>77</v>
      </c>
      <c r="D804">
        <v>-3.0999999999999999E-3</v>
      </c>
      <c r="E804">
        <v>21.511913046964182</v>
      </c>
      <c r="F804">
        <v>2074.9102959770621</v>
      </c>
      <c r="G804">
        <v>9.0579999999999998</v>
      </c>
      <c r="H804">
        <v>0</v>
      </c>
      <c r="I804">
        <v>417.613</v>
      </c>
    </row>
    <row r="805" spans="1:9" x14ac:dyDescent="0.3">
      <c r="A805" t="s">
        <v>54</v>
      </c>
      <c r="B805" t="s">
        <v>858</v>
      </c>
      <c r="C805">
        <v>77</v>
      </c>
      <c r="D805">
        <v>-3.0999999999999999E-3</v>
      </c>
      <c r="E805">
        <v>21.511913046964182</v>
      </c>
      <c r="F805">
        <v>2074.9102959770621</v>
      </c>
      <c r="G805">
        <v>9.0579999999999998</v>
      </c>
      <c r="H805">
        <v>0</v>
      </c>
      <c r="I805">
        <v>417.81319999999999</v>
      </c>
    </row>
    <row r="806" spans="1:9" x14ac:dyDescent="0.3">
      <c r="A806" t="s">
        <v>54</v>
      </c>
      <c r="B806" t="s">
        <v>859</v>
      </c>
      <c r="C806">
        <v>77</v>
      </c>
      <c r="D806">
        <v>-3.0999999999999999E-3</v>
      </c>
      <c r="E806">
        <v>21.511913046964182</v>
      </c>
      <c r="F806">
        <v>2074.9102959770621</v>
      </c>
      <c r="G806">
        <v>9.0579999999999998</v>
      </c>
      <c r="H806">
        <v>0</v>
      </c>
      <c r="I806">
        <v>418.01389999999998</v>
      </c>
    </row>
    <row r="807" spans="1:9" x14ac:dyDescent="0.3">
      <c r="A807" t="s">
        <v>54</v>
      </c>
      <c r="B807" t="s">
        <v>860</v>
      </c>
      <c r="C807">
        <v>77</v>
      </c>
      <c r="D807">
        <v>-3.0999999999999999E-3</v>
      </c>
      <c r="E807">
        <v>21.511913046964182</v>
      </c>
      <c r="F807">
        <v>2074.9102959770621</v>
      </c>
      <c r="G807">
        <v>9.0579999999999998</v>
      </c>
      <c r="H807">
        <v>0</v>
      </c>
      <c r="I807">
        <v>418.21350000000001</v>
      </c>
    </row>
    <row r="808" spans="1:9" x14ac:dyDescent="0.3">
      <c r="A808" t="s">
        <v>54</v>
      </c>
      <c r="B808" t="s">
        <v>861</v>
      </c>
      <c r="C808">
        <v>77</v>
      </c>
      <c r="D808">
        <v>-3.0999999999999999E-3</v>
      </c>
      <c r="E808">
        <v>21.511913046964182</v>
      </c>
      <c r="F808">
        <v>2074.9102959770621</v>
      </c>
      <c r="G808">
        <v>9.0579999999999998</v>
      </c>
      <c r="H808">
        <v>0</v>
      </c>
      <c r="I808">
        <v>418.41469999999998</v>
      </c>
    </row>
    <row r="809" spans="1:9" x14ac:dyDescent="0.3">
      <c r="A809" t="s">
        <v>54</v>
      </c>
      <c r="B809" t="s">
        <v>862</v>
      </c>
      <c r="C809">
        <v>77</v>
      </c>
      <c r="D809">
        <v>-3.0999999999999999E-3</v>
      </c>
      <c r="E809">
        <v>21.511913046964182</v>
      </c>
      <c r="F809">
        <v>2074.9102959770621</v>
      </c>
      <c r="G809">
        <v>9.0579999999999998</v>
      </c>
      <c r="H809">
        <v>0</v>
      </c>
      <c r="I809">
        <v>418.60930000000002</v>
      </c>
    </row>
    <row r="810" spans="1:9" x14ac:dyDescent="0.3">
      <c r="A810" t="s">
        <v>54</v>
      </c>
      <c r="B810" t="s">
        <v>863</v>
      </c>
      <c r="C810">
        <v>77</v>
      </c>
      <c r="D810">
        <v>-3.0999999999999999E-3</v>
      </c>
      <c r="E810">
        <v>21.511913046964182</v>
      </c>
      <c r="F810">
        <v>2074.9102959770621</v>
      </c>
      <c r="G810">
        <v>9.0579999999999998</v>
      </c>
      <c r="H810">
        <v>0</v>
      </c>
      <c r="I810">
        <v>418.80880000000002</v>
      </c>
    </row>
    <row r="811" spans="1:9" x14ac:dyDescent="0.3">
      <c r="A811" t="s">
        <v>54</v>
      </c>
      <c r="B811" t="s">
        <v>864</v>
      </c>
      <c r="C811">
        <v>77</v>
      </c>
      <c r="D811">
        <v>-3.0999999999999999E-3</v>
      </c>
      <c r="E811">
        <v>21.511913046964182</v>
      </c>
      <c r="F811">
        <v>2074.9102959770621</v>
      </c>
      <c r="G811">
        <v>9.0579999999999998</v>
      </c>
      <c r="H811">
        <v>0</v>
      </c>
      <c r="I811">
        <v>419.00810000000001</v>
      </c>
    </row>
    <row r="812" spans="1:9" x14ac:dyDescent="0.3">
      <c r="A812" t="s">
        <v>54</v>
      </c>
      <c r="B812" t="s">
        <v>865</v>
      </c>
      <c r="C812">
        <v>77</v>
      </c>
      <c r="D812">
        <v>-3.0999999999999999E-3</v>
      </c>
      <c r="E812">
        <v>21.511913046964182</v>
      </c>
      <c r="F812">
        <v>2074.9102959770621</v>
      </c>
      <c r="G812">
        <v>9.0579999999999998</v>
      </c>
      <c r="H812">
        <v>0</v>
      </c>
      <c r="I812">
        <v>419.2079</v>
      </c>
    </row>
    <row r="813" spans="1:9" x14ac:dyDescent="0.3">
      <c r="A813" t="s">
        <v>54</v>
      </c>
      <c r="B813" t="s">
        <v>866</v>
      </c>
      <c r="C813">
        <v>77</v>
      </c>
      <c r="D813">
        <v>-3.0999999999999999E-3</v>
      </c>
      <c r="E813">
        <v>21.511913046964182</v>
      </c>
      <c r="F813">
        <v>2074.9102959770621</v>
      </c>
      <c r="G813">
        <v>9.0579999999999998</v>
      </c>
      <c r="H813">
        <v>0</v>
      </c>
      <c r="I813">
        <v>419.4092</v>
      </c>
    </row>
    <row r="814" spans="1:9" x14ac:dyDescent="0.3">
      <c r="A814" t="s">
        <v>54</v>
      </c>
      <c r="B814" t="s">
        <v>867</v>
      </c>
      <c r="C814">
        <v>77</v>
      </c>
      <c r="D814">
        <v>-3.0999999999999999E-3</v>
      </c>
      <c r="E814">
        <v>21.511913046964182</v>
      </c>
      <c r="F814">
        <v>2074.9102959770621</v>
      </c>
      <c r="G814">
        <v>9.0579999999999998</v>
      </c>
      <c r="H814">
        <v>0</v>
      </c>
      <c r="I814">
        <v>419.61070000000001</v>
      </c>
    </row>
    <row r="815" spans="1:9" x14ac:dyDescent="0.3">
      <c r="A815" t="s">
        <v>54</v>
      </c>
      <c r="B815" t="s">
        <v>868</v>
      </c>
      <c r="C815">
        <v>77</v>
      </c>
      <c r="D815">
        <v>-3.0999999999999999E-3</v>
      </c>
      <c r="E815">
        <v>21.511913046964182</v>
      </c>
      <c r="F815">
        <v>2074.9102959770621</v>
      </c>
      <c r="G815">
        <v>9.0579999999999998</v>
      </c>
      <c r="H815">
        <v>0</v>
      </c>
      <c r="I815">
        <v>419.8109</v>
      </c>
    </row>
    <row r="816" spans="1:9" x14ac:dyDescent="0.3">
      <c r="A816" t="s">
        <v>54</v>
      </c>
      <c r="B816" t="s">
        <v>869</v>
      </c>
      <c r="C816">
        <v>77</v>
      </c>
      <c r="D816">
        <v>-3.0999999999999999E-3</v>
      </c>
      <c r="E816">
        <v>21.51460401847163</v>
      </c>
      <c r="F816">
        <v>2181.735921352958</v>
      </c>
      <c r="G816">
        <v>9.0579999999999998</v>
      </c>
      <c r="H816">
        <v>0</v>
      </c>
      <c r="I816">
        <v>420.00990000000002</v>
      </c>
    </row>
    <row r="817" spans="1:9" x14ac:dyDescent="0.3">
      <c r="A817" t="s">
        <v>54</v>
      </c>
      <c r="B817" t="s">
        <v>870</v>
      </c>
      <c r="C817">
        <v>77</v>
      </c>
      <c r="D817">
        <v>-3.0999999999999999E-3</v>
      </c>
      <c r="E817">
        <v>21.568389608031811</v>
      </c>
      <c r="F817">
        <v>2186.8401738022189</v>
      </c>
      <c r="G817">
        <v>9.0579999999999998</v>
      </c>
      <c r="H817">
        <v>8.9999999999999998E-4</v>
      </c>
      <c r="I817">
        <v>420.20890000000003</v>
      </c>
    </row>
    <row r="818" spans="1:9" x14ac:dyDescent="0.3">
      <c r="A818" t="s">
        <v>54</v>
      </c>
      <c r="B818" t="s">
        <v>871</v>
      </c>
      <c r="C818">
        <v>77</v>
      </c>
      <c r="D818">
        <v>-3.0999999999999999E-3</v>
      </c>
      <c r="E818">
        <v>21.622430911775169</v>
      </c>
      <c r="F818">
        <v>2191.9686935274631</v>
      </c>
      <c r="G818">
        <v>9.0579999999999998</v>
      </c>
      <c r="H818">
        <v>1.6999999999999999E-3</v>
      </c>
      <c r="I818">
        <v>420.40879999999999</v>
      </c>
    </row>
    <row r="819" spans="1:9" x14ac:dyDescent="0.3">
      <c r="A819" t="s">
        <v>54</v>
      </c>
      <c r="B819" t="s">
        <v>872</v>
      </c>
      <c r="C819">
        <v>77</v>
      </c>
      <c r="D819">
        <v>-3.0999999999999999E-3</v>
      </c>
      <c r="E819">
        <v>21.676200023004071</v>
      </c>
      <c r="F819">
        <v>2197.0713821830859</v>
      </c>
      <c r="G819">
        <v>9.0579999999999998</v>
      </c>
      <c r="H819">
        <v>2.5999999999999999E-3</v>
      </c>
      <c r="I819">
        <v>420.6078</v>
      </c>
    </row>
    <row r="820" spans="1:9" x14ac:dyDescent="0.3">
      <c r="A820" t="s">
        <v>54</v>
      </c>
      <c r="B820" t="s">
        <v>873</v>
      </c>
      <c r="C820">
        <v>77</v>
      </c>
      <c r="D820">
        <v>-3.0999999999999999E-3</v>
      </c>
      <c r="E820">
        <v>21.730662043197579</v>
      </c>
      <c r="F820">
        <v>2202.239827899451</v>
      </c>
      <c r="G820">
        <v>9.0579999999999998</v>
      </c>
      <c r="H820">
        <v>3.3999999999999998E-3</v>
      </c>
      <c r="I820">
        <v>420.80919999999998</v>
      </c>
    </row>
    <row r="821" spans="1:9" x14ac:dyDescent="0.3">
      <c r="A821" t="s">
        <v>54</v>
      </c>
      <c r="B821" t="s">
        <v>874</v>
      </c>
      <c r="C821">
        <v>77</v>
      </c>
      <c r="D821">
        <v>-3.0999999999999999E-3</v>
      </c>
      <c r="E821">
        <v>21.784711618544229</v>
      </c>
      <c r="F821">
        <v>2207.3691325998479</v>
      </c>
      <c r="G821">
        <v>9.0579999999999998</v>
      </c>
      <c r="H821">
        <v>4.1999999999999997E-3</v>
      </c>
      <c r="I821">
        <v>421.00920000000002</v>
      </c>
    </row>
    <row r="822" spans="1:9" x14ac:dyDescent="0.3">
      <c r="A822" t="s">
        <v>54</v>
      </c>
      <c r="B822" t="s">
        <v>875</v>
      </c>
      <c r="C822">
        <v>77</v>
      </c>
      <c r="D822">
        <v>-3.0000000000000001E-3</v>
      </c>
      <c r="E822">
        <v>21.838728188571839</v>
      </c>
      <c r="F822">
        <v>2212.4953050954682</v>
      </c>
      <c r="G822">
        <v>9.0579999999999998</v>
      </c>
      <c r="H822">
        <v>5.1000000000000004E-3</v>
      </c>
      <c r="I822">
        <v>421.209</v>
      </c>
    </row>
    <row r="823" spans="1:9" x14ac:dyDescent="0.3">
      <c r="A823" t="s">
        <v>54</v>
      </c>
      <c r="B823" t="s">
        <v>876</v>
      </c>
      <c r="C823">
        <v>77</v>
      </c>
      <c r="D823">
        <v>-1.6000000000000001E-3</v>
      </c>
      <c r="E823">
        <v>21.89254676723224</v>
      </c>
      <c r="F823">
        <v>2217.6026882103388</v>
      </c>
      <c r="G823">
        <v>9.0579999999999998</v>
      </c>
      <c r="H823">
        <v>5.8999999999999999E-3</v>
      </c>
      <c r="I823">
        <v>421.40809999999999</v>
      </c>
    </row>
    <row r="824" spans="1:9" x14ac:dyDescent="0.3">
      <c r="A824" t="s">
        <v>54</v>
      </c>
      <c r="B824" t="s">
        <v>877</v>
      </c>
      <c r="C824">
        <v>77</v>
      </c>
      <c r="D824">
        <v>0</v>
      </c>
      <c r="E824">
        <v>21.946753259759131</v>
      </c>
      <c r="F824">
        <v>2222.746884351141</v>
      </c>
      <c r="G824">
        <v>9.0579999999999998</v>
      </c>
      <c r="H824">
        <v>6.7999999999999996E-3</v>
      </c>
      <c r="I824">
        <v>421.60860000000002</v>
      </c>
    </row>
    <row r="825" spans="1:9" x14ac:dyDescent="0.3">
      <c r="A825" t="s">
        <v>54</v>
      </c>
      <c r="B825" t="s">
        <v>878</v>
      </c>
      <c r="C825">
        <v>77</v>
      </c>
      <c r="D825">
        <v>1E-3</v>
      </c>
      <c r="E825">
        <v>22.00137179166213</v>
      </c>
      <c r="F825">
        <v>2227.9301830287359</v>
      </c>
      <c r="G825">
        <v>9.0579999999999998</v>
      </c>
      <c r="H825">
        <v>7.6E-3</v>
      </c>
      <c r="I825">
        <v>421.8107</v>
      </c>
    </row>
    <row r="826" spans="1:9" x14ac:dyDescent="0.3">
      <c r="A826" t="s">
        <v>54</v>
      </c>
      <c r="B826" t="s">
        <v>879</v>
      </c>
      <c r="C826">
        <v>77</v>
      </c>
      <c r="D826">
        <v>2.2000000000000001E-3</v>
      </c>
      <c r="E826">
        <v>22.054654297443999</v>
      </c>
      <c r="F826">
        <v>2232.986692827435</v>
      </c>
      <c r="G826">
        <v>9.0579999999999998</v>
      </c>
      <c r="H826">
        <v>8.3999999999999995E-3</v>
      </c>
      <c r="I826">
        <v>422.00779999999997</v>
      </c>
    </row>
    <row r="827" spans="1:9" x14ac:dyDescent="0.3">
      <c r="A827" t="s">
        <v>54</v>
      </c>
      <c r="B827" t="s">
        <v>880</v>
      </c>
      <c r="C827">
        <v>77</v>
      </c>
      <c r="D827">
        <v>3.0999999999999999E-3</v>
      </c>
      <c r="E827">
        <v>22.10899264905877</v>
      </c>
      <c r="F827">
        <v>2238.1434023956781</v>
      </c>
      <c r="G827">
        <v>9.0579999999999998</v>
      </c>
      <c r="H827">
        <v>9.2999999999999992E-3</v>
      </c>
      <c r="I827">
        <v>422.2088</v>
      </c>
    </row>
    <row r="828" spans="1:9" x14ac:dyDescent="0.3">
      <c r="A828" t="s">
        <v>54</v>
      </c>
      <c r="B828" t="s">
        <v>881</v>
      </c>
      <c r="C828">
        <v>77</v>
      </c>
      <c r="D828">
        <v>4.1999999999999997E-3</v>
      </c>
      <c r="E828">
        <v>22.16347940296804</v>
      </c>
      <c r="F828">
        <v>2243.3141953416671</v>
      </c>
      <c r="G828">
        <v>9.0579999999999998</v>
      </c>
      <c r="H828">
        <v>1.01E-2</v>
      </c>
      <c r="I828">
        <v>422.41039999999998</v>
      </c>
    </row>
    <row r="829" spans="1:9" x14ac:dyDescent="0.3">
      <c r="A829" t="s">
        <v>54</v>
      </c>
      <c r="B829" t="s">
        <v>882</v>
      </c>
      <c r="C829">
        <v>77</v>
      </c>
      <c r="D829">
        <v>4.8999999999999998E-3</v>
      </c>
      <c r="E829">
        <v>22.217149538786881</v>
      </c>
      <c r="F829">
        <v>2248.4074912308752</v>
      </c>
      <c r="G829">
        <v>9.0579999999999998</v>
      </c>
      <c r="H829">
        <v>1.0999999999999999E-2</v>
      </c>
      <c r="I829">
        <v>422.60890000000001</v>
      </c>
    </row>
    <row r="830" spans="1:9" x14ac:dyDescent="0.3">
      <c r="A830" t="s">
        <v>54</v>
      </c>
      <c r="B830" t="s">
        <v>883</v>
      </c>
      <c r="C830">
        <v>77</v>
      </c>
      <c r="D830">
        <v>5.3E-3</v>
      </c>
      <c r="E830">
        <v>22.271892144739361</v>
      </c>
      <c r="F830">
        <v>2253.6025645357659</v>
      </c>
      <c r="G830">
        <v>9.0579999999999998</v>
      </c>
      <c r="H830">
        <v>1.18E-2</v>
      </c>
      <c r="I830">
        <v>422.81150000000002</v>
      </c>
    </row>
    <row r="831" spans="1:9" x14ac:dyDescent="0.3">
      <c r="A831" t="s">
        <v>54</v>
      </c>
      <c r="B831" t="s">
        <v>884</v>
      </c>
      <c r="C831">
        <v>77</v>
      </c>
      <c r="D831">
        <v>6.0000000000000001E-3</v>
      </c>
      <c r="E831">
        <v>22.325430097093712</v>
      </c>
      <c r="F831">
        <v>2258.6833162141929</v>
      </c>
      <c r="G831">
        <v>9.0579999999999998</v>
      </c>
      <c r="H831">
        <v>1.26E-2</v>
      </c>
      <c r="I831">
        <v>423.0095</v>
      </c>
    </row>
    <row r="832" spans="1:9" x14ac:dyDescent="0.3">
      <c r="A832" t="s">
        <v>54</v>
      </c>
      <c r="B832" t="s">
        <v>885</v>
      </c>
      <c r="C832">
        <v>77</v>
      </c>
      <c r="D832">
        <v>6.7000000000000002E-3</v>
      </c>
      <c r="E832">
        <v>22.379974427849469</v>
      </c>
      <c r="F832">
        <v>2263.8595732029148</v>
      </c>
      <c r="G832">
        <v>9.0579999999999998</v>
      </c>
      <c r="H832">
        <v>1.35E-2</v>
      </c>
      <c r="I832">
        <v>423.21129999999999</v>
      </c>
    </row>
    <row r="833" spans="1:9" x14ac:dyDescent="0.3">
      <c r="A833" t="s">
        <v>54</v>
      </c>
      <c r="B833" t="s">
        <v>886</v>
      </c>
      <c r="C833">
        <v>77</v>
      </c>
      <c r="D833">
        <v>7.3000000000000001E-3</v>
      </c>
      <c r="E833">
        <v>22.4332403093306</v>
      </c>
      <c r="F833">
        <v>2268.9145053554739</v>
      </c>
      <c r="G833">
        <v>9.0579999999999998</v>
      </c>
      <c r="H833">
        <v>1.43E-2</v>
      </c>
      <c r="I833">
        <v>423.40839999999997</v>
      </c>
    </row>
    <row r="834" spans="1:9" x14ac:dyDescent="0.3">
      <c r="A834" t="s">
        <v>54</v>
      </c>
      <c r="B834" t="s">
        <v>887</v>
      </c>
      <c r="C834">
        <v>77</v>
      </c>
      <c r="D834">
        <v>8.3000000000000001E-3</v>
      </c>
      <c r="E834">
        <v>22.487776936142101</v>
      </c>
      <c r="F834">
        <v>2274.0900312398858</v>
      </c>
      <c r="G834">
        <v>9.0579999999999998</v>
      </c>
      <c r="H834">
        <v>1.52E-2</v>
      </c>
      <c r="I834">
        <v>423.61009999999999</v>
      </c>
    </row>
    <row r="835" spans="1:9" x14ac:dyDescent="0.3">
      <c r="A835" t="s">
        <v>54</v>
      </c>
      <c r="B835" t="s">
        <v>888</v>
      </c>
      <c r="C835">
        <v>77</v>
      </c>
      <c r="D835">
        <v>9.1000000000000004E-3</v>
      </c>
      <c r="E835">
        <v>22.541776719680659</v>
      </c>
      <c r="F835">
        <v>2279.2146106976952</v>
      </c>
      <c r="G835">
        <v>9.0579999999999998</v>
      </c>
      <c r="H835">
        <v>1.6E-2</v>
      </c>
      <c r="I835">
        <v>423.80990000000003</v>
      </c>
    </row>
    <row r="836" spans="1:9" x14ac:dyDescent="0.3">
      <c r="A836" t="s">
        <v>54</v>
      </c>
      <c r="B836" t="s">
        <v>889</v>
      </c>
      <c r="C836">
        <v>77</v>
      </c>
      <c r="D836">
        <v>9.7000000000000003E-3</v>
      </c>
      <c r="E836">
        <v>22.596032760733191</v>
      </c>
      <c r="F836">
        <v>2284.3635089935801</v>
      </c>
      <c r="G836">
        <v>9.0579999999999998</v>
      </c>
      <c r="H836">
        <v>1.6799999999999999E-2</v>
      </c>
      <c r="I836">
        <v>424.01060000000001</v>
      </c>
    </row>
    <row r="837" spans="1:9" x14ac:dyDescent="0.3">
      <c r="A837" t="s">
        <v>54</v>
      </c>
      <c r="B837" t="s">
        <v>890</v>
      </c>
      <c r="C837">
        <v>77</v>
      </c>
      <c r="D837">
        <v>1.0200000000000001E-2</v>
      </c>
      <c r="E837">
        <v>22.64995834312451</v>
      </c>
      <c r="F837">
        <v>2289.4810467625161</v>
      </c>
      <c r="G837">
        <v>9.0579999999999998</v>
      </c>
      <c r="H837">
        <v>1.77E-2</v>
      </c>
      <c r="I837">
        <v>424.21010000000001</v>
      </c>
    </row>
    <row r="838" spans="1:9" x14ac:dyDescent="0.3">
      <c r="A838" t="s">
        <v>54</v>
      </c>
      <c r="B838" t="s">
        <v>891</v>
      </c>
      <c r="C838">
        <v>77</v>
      </c>
      <c r="D838">
        <v>1.1299999999999999E-2</v>
      </c>
      <c r="E838">
        <v>22.703422499802361</v>
      </c>
      <c r="F838">
        <v>2294.554795231244</v>
      </c>
      <c r="G838">
        <v>9.0579999999999998</v>
      </c>
      <c r="H838">
        <v>1.8499999999999999E-2</v>
      </c>
      <c r="I838">
        <v>424.40789999999998</v>
      </c>
    </row>
    <row r="839" spans="1:9" x14ac:dyDescent="0.3">
      <c r="A839" t="s">
        <v>54</v>
      </c>
      <c r="B839" t="s">
        <v>892</v>
      </c>
      <c r="C839">
        <v>77</v>
      </c>
      <c r="D839">
        <v>1.1900000000000001E-2</v>
      </c>
      <c r="E839">
        <v>22.757702869099891</v>
      </c>
      <c r="F839">
        <v>2299.70600227758</v>
      </c>
      <c r="G839">
        <v>9.0579999999999998</v>
      </c>
      <c r="H839">
        <v>1.9400000000000001E-2</v>
      </c>
      <c r="I839">
        <v>424.6087</v>
      </c>
    </row>
    <row r="840" spans="1:9" x14ac:dyDescent="0.3">
      <c r="A840" t="s">
        <v>54</v>
      </c>
      <c r="B840" t="s">
        <v>893</v>
      </c>
      <c r="C840">
        <v>77</v>
      </c>
      <c r="D840">
        <v>1.26E-2</v>
      </c>
      <c r="E840">
        <v>22.811909037250182</v>
      </c>
      <c r="F840">
        <v>2304.850167635042</v>
      </c>
      <c r="G840">
        <v>9.0579999999999998</v>
      </c>
      <c r="H840">
        <v>2.0199999999999999E-2</v>
      </c>
      <c r="I840">
        <v>424.80919999999998</v>
      </c>
    </row>
    <row r="841" spans="1:9" x14ac:dyDescent="0.3">
      <c r="A841" t="s">
        <v>54</v>
      </c>
      <c r="B841" t="s">
        <v>894</v>
      </c>
      <c r="C841">
        <v>77</v>
      </c>
      <c r="D841">
        <v>1.34E-2</v>
      </c>
      <c r="E841">
        <v>22.865826510226491</v>
      </c>
      <c r="F841">
        <v>2309.9669358204942</v>
      </c>
      <c r="G841">
        <v>9.0579999999999998</v>
      </c>
      <c r="H841">
        <v>2.1000000000000001E-2</v>
      </c>
      <c r="I841">
        <v>425.00869999999998</v>
      </c>
    </row>
    <row r="842" spans="1:9" x14ac:dyDescent="0.3">
      <c r="A842" t="s">
        <v>54</v>
      </c>
      <c r="B842" t="s">
        <v>895</v>
      </c>
      <c r="C842">
        <v>77</v>
      </c>
      <c r="D842">
        <v>1.4E-2</v>
      </c>
      <c r="E842">
        <v>22.919604095794071</v>
      </c>
      <c r="F842">
        <v>2315.0704286908581</v>
      </c>
      <c r="G842">
        <v>9.0579999999999998</v>
      </c>
      <c r="H842">
        <v>2.1899999999999999E-2</v>
      </c>
      <c r="I842">
        <v>425.20760000000001</v>
      </c>
    </row>
    <row r="843" spans="1:9" x14ac:dyDescent="0.3">
      <c r="A843" t="s">
        <v>54</v>
      </c>
      <c r="B843" t="s">
        <v>896</v>
      </c>
      <c r="C843">
        <v>77</v>
      </c>
      <c r="D843">
        <v>1.4800000000000001E-2</v>
      </c>
      <c r="E843">
        <v>22.973950556823851</v>
      </c>
      <c r="F843">
        <v>2320.227907842584</v>
      </c>
      <c r="G843">
        <v>9.0579999999999998</v>
      </c>
      <c r="H843">
        <v>2.2700000000000001E-2</v>
      </c>
      <c r="I843">
        <v>425.40870000000001</v>
      </c>
    </row>
    <row r="844" spans="1:9" x14ac:dyDescent="0.3">
      <c r="A844" t="s">
        <v>54</v>
      </c>
      <c r="B844" t="s">
        <v>897</v>
      </c>
      <c r="C844">
        <v>77</v>
      </c>
      <c r="D844">
        <v>1.5299999999999999E-2</v>
      </c>
      <c r="E844">
        <v>23.028123881843388</v>
      </c>
      <c r="F844">
        <v>2325.368956386937</v>
      </c>
      <c r="G844">
        <v>9.0579999999999998</v>
      </c>
      <c r="H844">
        <v>2.3599999999999999E-2</v>
      </c>
      <c r="I844">
        <v>425.60910000000001</v>
      </c>
    </row>
    <row r="845" spans="1:9" x14ac:dyDescent="0.3">
      <c r="A845" t="s">
        <v>54</v>
      </c>
      <c r="B845" t="s">
        <v>898</v>
      </c>
      <c r="C845">
        <v>77</v>
      </c>
      <c r="D845">
        <v>1.61E-2</v>
      </c>
      <c r="E845">
        <v>23.082817020364381</v>
      </c>
      <c r="F845">
        <v>2330.55933523258</v>
      </c>
      <c r="G845">
        <v>9.0579999999999998</v>
      </c>
      <c r="H845">
        <v>2.4400000000000002E-2</v>
      </c>
      <c r="I845">
        <v>425.81139999999999</v>
      </c>
    </row>
    <row r="846" spans="1:9" x14ac:dyDescent="0.3">
      <c r="A846" t="s">
        <v>54</v>
      </c>
      <c r="B846" t="s">
        <v>899</v>
      </c>
      <c r="C846">
        <v>77</v>
      </c>
      <c r="D846">
        <v>1.7100000000000001E-2</v>
      </c>
      <c r="E846">
        <v>23.136124259862001</v>
      </c>
      <c r="F846">
        <v>2335.6181922609039</v>
      </c>
      <c r="G846">
        <v>9.0579999999999998</v>
      </c>
      <c r="H846">
        <v>2.52E-2</v>
      </c>
      <c r="I846">
        <v>426.0086</v>
      </c>
    </row>
    <row r="847" spans="1:9" x14ac:dyDescent="0.3">
      <c r="A847" t="s">
        <v>54</v>
      </c>
      <c r="B847" t="s">
        <v>900</v>
      </c>
      <c r="C847">
        <v>77</v>
      </c>
      <c r="D847">
        <v>1.7399999999999999E-2</v>
      </c>
      <c r="E847">
        <v>23.190289069995799</v>
      </c>
      <c r="F847">
        <v>2340.7584327426011</v>
      </c>
      <c r="G847">
        <v>9.0579999999999998</v>
      </c>
      <c r="H847">
        <v>2.6100000000000002E-2</v>
      </c>
      <c r="I847">
        <v>426.209</v>
      </c>
    </row>
    <row r="848" spans="1:9" x14ac:dyDescent="0.3">
      <c r="A848" t="s">
        <v>54</v>
      </c>
      <c r="B848" t="s">
        <v>901</v>
      </c>
      <c r="C848">
        <v>77</v>
      </c>
      <c r="D848">
        <v>1.78E-2</v>
      </c>
      <c r="E848">
        <v>23.24415707554062</v>
      </c>
      <c r="F848">
        <v>2345.8705064688052</v>
      </c>
      <c r="G848">
        <v>9.0579999999999998</v>
      </c>
      <c r="H848">
        <v>2.69E-2</v>
      </c>
      <c r="I848">
        <v>426.4083</v>
      </c>
    </row>
    <row r="849" spans="1:9" x14ac:dyDescent="0.3">
      <c r="A849" t="s">
        <v>54</v>
      </c>
      <c r="B849" t="s">
        <v>902</v>
      </c>
      <c r="C849">
        <v>77</v>
      </c>
      <c r="D849">
        <v>1.9099999999999999E-2</v>
      </c>
      <c r="E849">
        <v>23.407106038652699</v>
      </c>
      <c r="F849">
        <v>2361.3343630681411</v>
      </c>
      <c r="G849">
        <v>9.0579999999999998</v>
      </c>
      <c r="H849">
        <v>2.9399999999999999E-2</v>
      </c>
      <c r="I849">
        <v>427.0111</v>
      </c>
    </row>
    <row r="850" spans="1:9" x14ac:dyDescent="0.3">
      <c r="A850" t="s">
        <v>54</v>
      </c>
      <c r="B850" t="s">
        <v>903</v>
      </c>
      <c r="C850">
        <v>77</v>
      </c>
      <c r="D850">
        <v>1.9099999999999999E-2</v>
      </c>
      <c r="E850">
        <v>23.461287473087239</v>
      </c>
      <c r="F850">
        <v>2366.4761811959788</v>
      </c>
      <c r="G850">
        <v>9.0579999999999998</v>
      </c>
      <c r="H850">
        <v>3.0300000000000001E-2</v>
      </c>
      <c r="I850">
        <v>427.2115</v>
      </c>
    </row>
    <row r="851" spans="1:9" x14ac:dyDescent="0.3">
      <c r="A851" t="s">
        <v>54</v>
      </c>
      <c r="B851" t="s">
        <v>904</v>
      </c>
      <c r="C851">
        <v>77</v>
      </c>
      <c r="D851">
        <v>2.01E-2</v>
      </c>
      <c r="E851">
        <v>23.514603227470609</v>
      </c>
      <c r="F851">
        <v>2371.5358462869608</v>
      </c>
      <c r="G851">
        <v>9.0579999999999998</v>
      </c>
      <c r="H851">
        <v>3.1099999999999999E-2</v>
      </c>
      <c r="I851">
        <v>427.40879999999999</v>
      </c>
    </row>
    <row r="852" spans="1:9" x14ac:dyDescent="0.3">
      <c r="A852" t="s">
        <v>54</v>
      </c>
      <c r="B852" t="s">
        <v>905</v>
      </c>
      <c r="C852">
        <v>77</v>
      </c>
      <c r="D852">
        <v>2.1000000000000001E-2</v>
      </c>
      <c r="E852">
        <v>23.56840514128319</v>
      </c>
      <c r="F852">
        <v>2376.6416479077739</v>
      </c>
      <c r="G852">
        <v>9.0579999999999998</v>
      </c>
      <c r="H852">
        <v>3.2000000000000001E-2</v>
      </c>
      <c r="I852">
        <v>427.6078</v>
      </c>
    </row>
    <row r="853" spans="1:9" x14ac:dyDescent="0.3">
      <c r="A853" t="s">
        <v>54</v>
      </c>
      <c r="B853" t="s">
        <v>906</v>
      </c>
      <c r="C853">
        <v>77</v>
      </c>
      <c r="D853">
        <v>2.1700000000000001E-2</v>
      </c>
      <c r="E853">
        <v>23.622933253208942</v>
      </c>
      <c r="F853">
        <v>2381.816365729529</v>
      </c>
      <c r="G853">
        <v>9.0579999999999998</v>
      </c>
      <c r="H853">
        <v>3.2800000000000003E-2</v>
      </c>
      <c r="I853">
        <v>427.80950000000001</v>
      </c>
    </row>
    <row r="854" spans="1:9" x14ac:dyDescent="0.3">
      <c r="A854" t="s">
        <v>54</v>
      </c>
      <c r="B854" t="s">
        <v>907</v>
      </c>
      <c r="C854">
        <v>77</v>
      </c>
      <c r="D854">
        <v>2.1899999999999999E-2</v>
      </c>
      <c r="E854">
        <v>23.677535566281939</v>
      </c>
      <c r="F854">
        <v>2386.9981252401572</v>
      </c>
      <c r="G854">
        <v>9.0579999999999998</v>
      </c>
      <c r="H854">
        <v>3.3599999999999998E-2</v>
      </c>
      <c r="I854">
        <v>428.01150000000001</v>
      </c>
    </row>
    <row r="855" spans="1:9" x14ac:dyDescent="0.3">
      <c r="A855" t="s">
        <v>54</v>
      </c>
      <c r="B855" t="s">
        <v>908</v>
      </c>
      <c r="C855">
        <v>77</v>
      </c>
      <c r="D855">
        <v>2.23E-2</v>
      </c>
      <c r="E855">
        <v>23.73140357182676</v>
      </c>
      <c r="F855">
        <v>2392.1101989663598</v>
      </c>
      <c r="G855">
        <v>9.0579999999999998</v>
      </c>
      <c r="H855">
        <v>3.4500000000000003E-2</v>
      </c>
      <c r="I855">
        <v>428.21080000000001</v>
      </c>
    </row>
    <row r="856" spans="1:9" x14ac:dyDescent="0.3">
      <c r="A856" t="s">
        <v>54</v>
      </c>
      <c r="B856" t="s">
        <v>909</v>
      </c>
      <c r="C856">
        <v>77</v>
      </c>
      <c r="D856">
        <v>2.3E-2</v>
      </c>
      <c r="E856">
        <v>23.785205485639342</v>
      </c>
      <c r="F856">
        <v>2397.2160005871729</v>
      </c>
      <c r="G856">
        <v>9.0579999999999998</v>
      </c>
      <c r="H856">
        <v>3.5299999999999998E-2</v>
      </c>
      <c r="I856">
        <v>428.40980000000002</v>
      </c>
    </row>
    <row r="857" spans="1:9" x14ac:dyDescent="0.3">
      <c r="A857" t="s">
        <v>54</v>
      </c>
      <c r="B857" t="s">
        <v>910</v>
      </c>
      <c r="C857">
        <v>77</v>
      </c>
      <c r="D857">
        <v>2.3400000000000001E-2</v>
      </c>
      <c r="E857">
        <v>23.839494369822621</v>
      </c>
      <c r="F857">
        <v>2402.3680156961668</v>
      </c>
      <c r="G857">
        <v>9.0579999999999998</v>
      </c>
      <c r="H857">
        <v>3.6200000000000003E-2</v>
      </c>
      <c r="I857">
        <v>428.61070000000001</v>
      </c>
    </row>
    <row r="858" spans="1:9" x14ac:dyDescent="0.3">
      <c r="A858" t="s">
        <v>54</v>
      </c>
      <c r="B858" t="s">
        <v>911</v>
      </c>
      <c r="C858">
        <v>77</v>
      </c>
      <c r="D858">
        <v>2.3699999999999999E-2</v>
      </c>
      <c r="E858">
        <v>23.892958121029729</v>
      </c>
      <c r="F858">
        <v>2407.4417256857209</v>
      </c>
      <c r="G858">
        <v>9.0579999999999998</v>
      </c>
      <c r="H858">
        <v>3.6999999999999998E-2</v>
      </c>
      <c r="I858">
        <v>428.80840000000001</v>
      </c>
    </row>
    <row r="859" spans="1:9" x14ac:dyDescent="0.3">
      <c r="A859" t="s">
        <v>54</v>
      </c>
      <c r="B859" t="s">
        <v>912</v>
      </c>
      <c r="C859">
        <v>77</v>
      </c>
      <c r="D859">
        <v>2.4E-2</v>
      </c>
      <c r="E859">
        <v>23.94705724490202</v>
      </c>
      <c r="F859">
        <v>2412.5757325412019</v>
      </c>
      <c r="G859">
        <v>9.0579999999999998</v>
      </c>
      <c r="H859">
        <v>3.78E-2</v>
      </c>
      <c r="I859">
        <v>429.0086</v>
      </c>
    </row>
    <row r="860" spans="1:9" x14ac:dyDescent="0.3">
      <c r="A860" t="s">
        <v>54</v>
      </c>
      <c r="B860" t="s">
        <v>913</v>
      </c>
      <c r="C860">
        <v>77</v>
      </c>
      <c r="D860">
        <v>2.4400000000000002E-2</v>
      </c>
      <c r="E860">
        <v>24.00097512334909</v>
      </c>
      <c r="F860">
        <v>2417.6925392058279</v>
      </c>
      <c r="G860">
        <v>9.0579999999999998</v>
      </c>
      <c r="H860">
        <v>3.8699999999999998E-2</v>
      </c>
      <c r="I860">
        <v>429.20800000000003</v>
      </c>
    </row>
    <row r="861" spans="1:9" x14ac:dyDescent="0.3">
      <c r="A861" t="s">
        <v>54</v>
      </c>
      <c r="B861" t="s">
        <v>914</v>
      </c>
      <c r="C861">
        <v>77</v>
      </c>
      <c r="D861">
        <v>2.5100000000000001E-2</v>
      </c>
      <c r="E861">
        <v>24.055173182084371</v>
      </c>
      <c r="F861">
        <v>2422.835934979807</v>
      </c>
      <c r="G861">
        <v>9.0579999999999998</v>
      </c>
      <c r="H861">
        <v>3.95E-2</v>
      </c>
      <c r="I861">
        <v>429.4085</v>
      </c>
    </row>
    <row r="862" spans="1:9" x14ac:dyDescent="0.3">
      <c r="A862" t="s">
        <v>54</v>
      </c>
      <c r="B862" t="s">
        <v>915</v>
      </c>
      <c r="C862">
        <v>77</v>
      </c>
      <c r="D862">
        <v>2.58E-2</v>
      </c>
      <c r="E862">
        <v>24.109436927081159</v>
      </c>
      <c r="F862">
        <v>2427.985564380002</v>
      </c>
      <c r="G862">
        <v>9.0579999999999998</v>
      </c>
      <c r="H862">
        <v>4.0399999999999998E-2</v>
      </c>
      <c r="I862">
        <v>429.60930000000002</v>
      </c>
    </row>
    <row r="863" spans="1:9" x14ac:dyDescent="0.3">
      <c r="A863" t="s">
        <v>54</v>
      </c>
      <c r="B863" t="s">
        <v>916</v>
      </c>
      <c r="C863">
        <v>77</v>
      </c>
      <c r="D863">
        <v>2.6200000000000001E-2</v>
      </c>
      <c r="E863">
        <v>24.163898947274671</v>
      </c>
      <c r="F863">
        <v>2433.1540100963671</v>
      </c>
      <c r="G863">
        <v>9.0579999999999998</v>
      </c>
      <c r="H863">
        <v>4.1200000000000001E-2</v>
      </c>
      <c r="I863">
        <v>429.81079999999997</v>
      </c>
    </row>
    <row r="864" spans="1:9" x14ac:dyDescent="0.3">
      <c r="A864" t="s">
        <v>54</v>
      </c>
      <c r="B864" t="s">
        <v>917</v>
      </c>
      <c r="C864">
        <v>77</v>
      </c>
      <c r="D864">
        <v>2.64E-2</v>
      </c>
      <c r="E864">
        <v>24.218204455758709</v>
      </c>
      <c r="F864">
        <v>2438.3076028515011</v>
      </c>
      <c r="G864">
        <v>9.0579999999999998</v>
      </c>
      <c r="H864">
        <v>4.2000000000000003E-2</v>
      </c>
      <c r="I864">
        <v>430.01170000000002</v>
      </c>
    </row>
    <row r="865" spans="1:9" x14ac:dyDescent="0.3">
      <c r="A865" t="s">
        <v>54</v>
      </c>
      <c r="B865" t="s">
        <v>918</v>
      </c>
      <c r="C865">
        <v>77</v>
      </c>
      <c r="D865">
        <v>2.6599999999999999E-2</v>
      </c>
      <c r="E865">
        <v>24.272121928735011</v>
      </c>
      <c r="F865">
        <v>2443.4243710369528</v>
      </c>
      <c r="G865">
        <v>9.0579999999999998</v>
      </c>
      <c r="H865">
        <v>4.2900000000000001E-2</v>
      </c>
      <c r="I865">
        <v>430.21109999999999</v>
      </c>
    </row>
    <row r="866" spans="1:9" x14ac:dyDescent="0.3">
      <c r="A866" t="s">
        <v>54</v>
      </c>
      <c r="B866" t="s">
        <v>919</v>
      </c>
      <c r="C866">
        <v>77</v>
      </c>
      <c r="D866">
        <v>2.7E-2</v>
      </c>
      <c r="E866">
        <v>24.32621253772157</v>
      </c>
      <c r="F866">
        <v>2448.5575698297771</v>
      </c>
      <c r="G866">
        <v>9.0579999999999998</v>
      </c>
      <c r="H866">
        <v>4.3700000000000003E-2</v>
      </c>
      <c r="I866">
        <v>430.41120000000001</v>
      </c>
    </row>
    <row r="867" spans="1:9" x14ac:dyDescent="0.3">
      <c r="A867" t="s">
        <v>54</v>
      </c>
      <c r="B867" t="s">
        <v>920</v>
      </c>
      <c r="C867">
        <v>77</v>
      </c>
      <c r="D867">
        <v>2.8000000000000001E-2</v>
      </c>
      <c r="E867">
        <v>24.37995687468764</v>
      </c>
      <c r="F867">
        <v>2453.6579074078581</v>
      </c>
      <c r="G867">
        <v>9.0579999999999998</v>
      </c>
      <c r="H867">
        <v>4.4600000000000001E-2</v>
      </c>
      <c r="I867">
        <v>430.61</v>
      </c>
    </row>
    <row r="868" spans="1:9" x14ac:dyDescent="0.3">
      <c r="A868" t="s">
        <v>54</v>
      </c>
      <c r="B868" t="s">
        <v>921</v>
      </c>
      <c r="C868">
        <v>77</v>
      </c>
      <c r="D868">
        <v>2.8899999999999999E-2</v>
      </c>
      <c r="E868">
        <v>24.433891377435462</v>
      </c>
      <c r="F868">
        <v>2458.776291718626</v>
      </c>
      <c r="G868">
        <v>9.0579999999999998</v>
      </c>
      <c r="H868">
        <v>4.5400000000000003E-2</v>
      </c>
      <c r="I868">
        <v>430.80959999999999</v>
      </c>
    </row>
    <row r="869" spans="1:9" x14ac:dyDescent="0.3">
      <c r="A869" t="s">
        <v>54</v>
      </c>
      <c r="B869" t="s">
        <v>922</v>
      </c>
      <c r="C869">
        <v>77</v>
      </c>
      <c r="D869">
        <v>2.98E-2</v>
      </c>
      <c r="E869">
        <v>24.488080921285</v>
      </c>
      <c r="F869">
        <v>2463.9188794299471</v>
      </c>
      <c r="G869">
        <v>9.0579999999999998</v>
      </c>
      <c r="H869">
        <v>4.6199999999999998E-2</v>
      </c>
      <c r="I869">
        <v>431.01</v>
      </c>
    </row>
    <row r="870" spans="1:9" x14ac:dyDescent="0.3">
      <c r="A870" t="s">
        <v>54</v>
      </c>
      <c r="B870" t="s">
        <v>923</v>
      </c>
      <c r="C870">
        <v>77</v>
      </c>
      <c r="D870">
        <v>3.1199999999999999E-2</v>
      </c>
      <c r="E870">
        <v>24.54212206284005</v>
      </c>
      <c r="F870">
        <v>2469.0473837635209</v>
      </c>
      <c r="G870">
        <v>9.0579999999999998</v>
      </c>
      <c r="H870">
        <v>4.7100000000000003E-2</v>
      </c>
      <c r="I870">
        <v>431.21</v>
      </c>
    </row>
    <row r="871" spans="1:9" x14ac:dyDescent="0.3">
      <c r="A871" t="s">
        <v>54</v>
      </c>
      <c r="B871" t="s">
        <v>924</v>
      </c>
      <c r="C871">
        <v>77</v>
      </c>
      <c r="D871">
        <v>3.27E-2</v>
      </c>
      <c r="E871">
        <v>24.596114142434359</v>
      </c>
      <c r="F871">
        <v>2474.1712321170212</v>
      </c>
      <c r="G871">
        <v>9.0579999999999998</v>
      </c>
      <c r="H871">
        <v>4.7899999999999998E-2</v>
      </c>
      <c r="I871">
        <v>431.40969999999999</v>
      </c>
    </row>
    <row r="872" spans="1:9" x14ac:dyDescent="0.3">
      <c r="A872" t="s">
        <v>54</v>
      </c>
      <c r="B872" t="s">
        <v>925</v>
      </c>
      <c r="C872">
        <v>77</v>
      </c>
      <c r="D872">
        <v>3.4700000000000002E-2</v>
      </c>
      <c r="E872">
        <v>24.650403026617639</v>
      </c>
      <c r="F872">
        <v>2479.3232472260138</v>
      </c>
      <c r="G872">
        <v>9.0579999999999998</v>
      </c>
      <c r="H872">
        <v>4.8800000000000003E-2</v>
      </c>
      <c r="I872">
        <v>431.6105</v>
      </c>
    </row>
    <row r="873" spans="1:9" x14ac:dyDescent="0.3">
      <c r="A873" t="s">
        <v>54</v>
      </c>
      <c r="B873" t="s">
        <v>926</v>
      </c>
      <c r="C873">
        <v>77</v>
      </c>
      <c r="D873">
        <v>3.6700000000000003E-2</v>
      </c>
      <c r="E873">
        <v>24.703825419808251</v>
      </c>
      <c r="F873">
        <v>2484.3930323398031</v>
      </c>
      <c r="G873">
        <v>9.0579999999999998</v>
      </c>
      <c r="H873">
        <v>4.9599999999999998E-2</v>
      </c>
      <c r="I873">
        <v>431.8082</v>
      </c>
    </row>
    <row r="874" spans="1:9" x14ac:dyDescent="0.3">
      <c r="A874" t="s">
        <v>54</v>
      </c>
      <c r="B874" t="s">
        <v>927</v>
      </c>
      <c r="C874">
        <v>77</v>
      </c>
      <c r="D874">
        <v>3.8699999999999998E-2</v>
      </c>
      <c r="E874">
        <v>24.758361641149001</v>
      </c>
      <c r="F874">
        <v>2489.5685197450412</v>
      </c>
      <c r="G874">
        <v>9.0579999999999998</v>
      </c>
      <c r="H874">
        <v>5.04E-2</v>
      </c>
      <c r="I874">
        <v>432.00990000000002</v>
      </c>
    </row>
    <row r="875" spans="1:9" x14ac:dyDescent="0.3">
      <c r="A875" t="s">
        <v>54</v>
      </c>
      <c r="B875" t="s">
        <v>928</v>
      </c>
      <c r="C875">
        <v>77</v>
      </c>
      <c r="D875">
        <v>4.0300000000000002E-2</v>
      </c>
      <c r="E875">
        <v>24.812444546191308</v>
      </c>
      <c r="F875">
        <v>2494.7009874335549</v>
      </c>
      <c r="G875">
        <v>9.0579999999999998</v>
      </c>
      <c r="H875">
        <v>5.1299999999999998E-2</v>
      </c>
      <c r="I875">
        <v>432.21</v>
      </c>
    </row>
    <row r="876" spans="1:9" x14ac:dyDescent="0.3">
      <c r="A876" t="s">
        <v>54</v>
      </c>
      <c r="B876" t="s">
        <v>929</v>
      </c>
      <c r="C876">
        <v>77</v>
      </c>
      <c r="D876">
        <v>4.1500000000000002E-2</v>
      </c>
      <c r="E876">
        <v>24.86603196597715</v>
      </c>
      <c r="F876">
        <v>2499.786433571232</v>
      </c>
      <c r="G876">
        <v>9.0579999999999998</v>
      </c>
      <c r="H876">
        <v>5.21E-2</v>
      </c>
      <c r="I876">
        <v>432.40820000000002</v>
      </c>
    </row>
    <row r="877" spans="1:9" x14ac:dyDescent="0.3">
      <c r="A877" t="s">
        <v>54</v>
      </c>
      <c r="B877" t="s">
        <v>930</v>
      </c>
      <c r="C877">
        <v>77</v>
      </c>
      <c r="D877">
        <v>4.2599999999999999E-2</v>
      </c>
      <c r="E877">
        <v>24.92004877928721</v>
      </c>
      <c r="F877">
        <v>2504.9126291543562</v>
      </c>
      <c r="G877">
        <v>9.0579999999999998</v>
      </c>
      <c r="H877">
        <v>5.2999999999999999E-2</v>
      </c>
      <c r="I877">
        <v>432.60809999999998</v>
      </c>
    </row>
    <row r="878" spans="1:9" x14ac:dyDescent="0.3">
      <c r="A878" t="s">
        <v>54</v>
      </c>
      <c r="B878" t="s">
        <v>931</v>
      </c>
      <c r="C878">
        <v>77</v>
      </c>
      <c r="D878">
        <v>4.3200000000000002E-2</v>
      </c>
      <c r="E878">
        <v>24.974535127725719</v>
      </c>
      <c r="F878">
        <v>2510.0833836211709</v>
      </c>
      <c r="G878">
        <v>9.0579999999999998</v>
      </c>
      <c r="H878">
        <v>5.3800000000000001E-2</v>
      </c>
      <c r="I878">
        <v>432.80959999999999</v>
      </c>
    </row>
    <row r="879" spans="1:9" x14ac:dyDescent="0.3">
      <c r="A879" t="s">
        <v>54</v>
      </c>
      <c r="B879" t="s">
        <v>932</v>
      </c>
      <c r="C879">
        <v>77</v>
      </c>
      <c r="D879">
        <v>4.36E-2</v>
      </c>
      <c r="E879">
        <v>25.028494364189282</v>
      </c>
      <c r="F879">
        <v>2515.2041151615631</v>
      </c>
      <c r="G879">
        <v>9.0579999999999998</v>
      </c>
      <c r="H879">
        <v>5.4600000000000003E-2</v>
      </c>
      <c r="I879">
        <v>433.00920000000002</v>
      </c>
    </row>
    <row r="880" spans="1:9" x14ac:dyDescent="0.3">
      <c r="A880" t="s">
        <v>54</v>
      </c>
      <c r="B880" t="s">
        <v>933</v>
      </c>
      <c r="C880">
        <v>77</v>
      </c>
      <c r="D880">
        <v>4.3700000000000003E-2</v>
      </c>
      <c r="E880">
        <v>25.082865558934799</v>
      </c>
      <c r="F880">
        <v>2520.3639415429129</v>
      </c>
      <c r="G880">
        <v>9.0579999999999998</v>
      </c>
      <c r="H880">
        <v>5.5500000000000001E-2</v>
      </c>
      <c r="I880">
        <v>433.21039999999999</v>
      </c>
    </row>
    <row r="881" spans="1:9" x14ac:dyDescent="0.3">
      <c r="A881" t="s">
        <v>54</v>
      </c>
      <c r="B881" t="s">
        <v>934</v>
      </c>
      <c r="C881">
        <v>77</v>
      </c>
      <c r="D881">
        <v>4.3799999999999999E-2</v>
      </c>
      <c r="E881">
        <v>25.137516933968548</v>
      </c>
      <c r="F881">
        <v>2525.5503570336159</v>
      </c>
      <c r="G881">
        <v>9.0579999999999998</v>
      </c>
      <c r="H881">
        <v>5.6300000000000003E-2</v>
      </c>
      <c r="I881">
        <v>433.4126</v>
      </c>
    </row>
    <row r="882" spans="1:9" x14ac:dyDescent="0.3">
      <c r="A882" t="s">
        <v>54</v>
      </c>
      <c r="B882" t="s">
        <v>935</v>
      </c>
      <c r="C882">
        <v>77</v>
      </c>
      <c r="D882">
        <v>4.3900000000000002E-2</v>
      </c>
      <c r="E882">
        <v>25.190725238603179</v>
      </c>
      <c r="F882">
        <v>2530.5998251434421</v>
      </c>
      <c r="G882">
        <v>9.0579999999999998</v>
      </c>
      <c r="H882">
        <v>5.7200000000000001E-2</v>
      </c>
      <c r="I882">
        <v>433.60939999999999</v>
      </c>
    </row>
    <row r="883" spans="1:9" x14ac:dyDescent="0.3">
      <c r="A883" t="s">
        <v>54</v>
      </c>
      <c r="B883" t="s">
        <v>936</v>
      </c>
      <c r="C883">
        <v>77</v>
      </c>
      <c r="D883">
        <v>4.4200000000000003E-2</v>
      </c>
      <c r="E883">
        <v>25.244980874184961</v>
      </c>
      <c r="F883">
        <v>2535.7486849601528</v>
      </c>
      <c r="G883">
        <v>9.0579999999999998</v>
      </c>
      <c r="H883">
        <v>5.8000000000000003E-2</v>
      </c>
      <c r="I883">
        <v>433.81009999999998</v>
      </c>
    </row>
    <row r="884" spans="1:9" x14ac:dyDescent="0.3">
      <c r="A884" t="s">
        <v>54</v>
      </c>
      <c r="B884" t="s">
        <v>937</v>
      </c>
      <c r="C884">
        <v>77</v>
      </c>
      <c r="D884">
        <v>4.5199999999999997E-2</v>
      </c>
      <c r="E884">
        <v>25.299187447805998</v>
      </c>
      <c r="F884">
        <v>2540.89288879679</v>
      </c>
      <c r="G884">
        <v>9.0579999999999998</v>
      </c>
      <c r="H884">
        <v>5.8799999999999998E-2</v>
      </c>
      <c r="I884">
        <v>434.01069999999999</v>
      </c>
    </row>
    <row r="885" spans="1:9" x14ac:dyDescent="0.3">
      <c r="A885" t="s">
        <v>54</v>
      </c>
      <c r="B885" t="s">
        <v>938</v>
      </c>
      <c r="C885">
        <v>77</v>
      </c>
      <c r="D885">
        <v>4.6399999999999997E-2</v>
      </c>
      <c r="E885">
        <v>25.353360772825539</v>
      </c>
      <c r="F885">
        <v>2546.0339373411439</v>
      </c>
      <c r="G885">
        <v>9.0579999999999998</v>
      </c>
      <c r="H885">
        <v>5.9700000000000003E-2</v>
      </c>
      <c r="I885">
        <v>434.21109999999999</v>
      </c>
    </row>
    <row r="886" spans="1:9" x14ac:dyDescent="0.3">
      <c r="A886" t="s">
        <v>54</v>
      </c>
      <c r="B886" t="s">
        <v>939</v>
      </c>
      <c r="C886">
        <v>77</v>
      </c>
      <c r="D886">
        <v>4.7199999999999999E-2</v>
      </c>
      <c r="E886">
        <v>25.409118272065189</v>
      </c>
      <c r="F886">
        <v>2551.325324018987</v>
      </c>
      <c r="G886">
        <v>9.0579999999999998</v>
      </c>
      <c r="H886">
        <v>6.0600000000000001E-2</v>
      </c>
      <c r="I886">
        <v>434.41730000000001</v>
      </c>
    </row>
    <row r="887" spans="1:9" x14ac:dyDescent="0.3">
      <c r="A887" t="s">
        <v>54</v>
      </c>
      <c r="B887" t="s">
        <v>940</v>
      </c>
      <c r="C887">
        <v>77</v>
      </c>
      <c r="D887">
        <v>4.7899999999999998E-2</v>
      </c>
      <c r="E887">
        <v>25.461352635958409</v>
      </c>
      <c r="F887">
        <v>2556.2823651524532</v>
      </c>
      <c r="G887">
        <v>9.0579999999999998</v>
      </c>
      <c r="H887">
        <v>6.1400000000000003E-2</v>
      </c>
      <c r="I887">
        <v>434.61059999999998</v>
      </c>
    </row>
    <row r="888" spans="1:9" x14ac:dyDescent="0.3">
      <c r="A888" t="s">
        <v>54</v>
      </c>
      <c r="B888" t="s">
        <v>941</v>
      </c>
      <c r="C888">
        <v>77</v>
      </c>
      <c r="D888">
        <v>4.8599999999999997E-2</v>
      </c>
      <c r="E888">
        <v>25.515616786425941</v>
      </c>
      <c r="F888">
        <v>2561.4320330318219</v>
      </c>
      <c r="G888">
        <v>9.0579999999999998</v>
      </c>
      <c r="H888">
        <v>6.2199999999999998E-2</v>
      </c>
      <c r="I888">
        <v>434.81130000000002</v>
      </c>
    </row>
    <row r="889" spans="1:9" x14ac:dyDescent="0.3">
      <c r="A889" t="s">
        <v>54</v>
      </c>
      <c r="B889" t="s">
        <v>942</v>
      </c>
      <c r="C889">
        <v>77</v>
      </c>
      <c r="D889">
        <v>4.9299999999999997E-2</v>
      </c>
      <c r="E889">
        <v>21.511913046964182</v>
      </c>
      <c r="F889">
        <v>2074.9102959770621</v>
      </c>
      <c r="G889">
        <v>9.0579999999999998</v>
      </c>
      <c r="H889">
        <v>0</v>
      </c>
      <c r="I889">
        <v>435.00880000000001</v>
      </c>
    </row>
    <row r="890" spans="1:9" x14ac:dyDescent="0.3">
      <c r="A890" t="s">
        <v>54</v>
      </c>
      <c r="B890" t="s">
        <v>943</v>
      </c>
      <c r="C890">
        <v>77</v>
      </c>
      <c r="D890">
        <v>4.3799999999999999E-2</v>
      </c>
      <c r="E890">
        <v>21.511913046964182</v>
      </c>
      <c r="F890">
        <v>2074.9102959770621</v>
      </c>
      <c r="G890">
        <v>9.0579999999999998</v>
      </c>
      <c r="H890">
        <v>0</v>
      </c>
      <c r="I890">
        <v>435.20909999999998</v>
      </c>
    </row>
    <row r="891" spans="1:9" x14ac:dyDescent="0.3">
      <c r="A891" t="s">
        <v>54</v>
      </c>
      <c r="B891" t="s">
        <v>944</v>
      </c>
      <c r="C891">
        <v>77</v>
      </c>
      <c r="D891">
        <v>2.9899999999999999E-2</v>
      </c>
      <c r="E891">
        <v>21.511913046964182</v>
      </c>
      <c r="F891">
        <v>2074.9102959770621</v>
      </c>
      <c r="G891">
        <v>9.0579999999999998</v>
      </c>
      <c r="H891">
        <v>0</v>
      </c>
      <c r="I891">
        <v>435.40879999999999</v>
      </c>
    </row>
    <row r="892" spans="1:9" x14ac:dyDescent="0.3">
      <c r="A892" t="s">
        <v>54</v>
      </c>
      <c r="B892" t="s">
        <v>945</v>
      </c>
      <c r="C892">
        <v>77</v>
      </c>
      <c r="D892">
        <v>2.1399999999999999E-2</v>
      </c>
      <c r="E892">
        <v>21.511913046964182</v>
      </c>
      <c r="F892">
        <v>2074.9102959770621</v>
      </c>
      <c r="G892">
        <v>9.0579999999999998</v>
      </c>
      <c r="H892">
        <v>0</v>
      </c>
      <c r="I892">
        <v>435.61250000000001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BB103"/>
  <sheetViews>
    <sheetView topLeftCell="Q1" zoomScale="85" zoomScaleNormal="85" workbookViewId="0">
      <selection activeCell="AK8" sqref="AK8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6" width="13.33203125" bestFit="1" customWidth="1"/>
    <col min="57" max="57" width="10.44140625" bestFit="1" customWidth="1"/>
    <col min="58" max="59" width="10" bestFit="1" customWidth="1"/>
    <col min="60" max="60" width="10.109375" bestFit="1" customWidth="1"/>
    <col min="61" max="61" width="12.44140625" bestFit="1" customWidth="1"/>
    <col min="62" max="62" width="12" bestFit="1" customWidth="1"/>
    <col min="63" max="63" width="16.77734375" bestFit="1" customWidth="1"/>
    <col min="64" max="65" width="13.33203125" bestFit="1" customWidth="1"/>
    <col min="66" max="66" width="10.44140625" bestFit="1" customWidth="1"/>
    <col min="67" max="68" width="10" bestFit="1" customWidth="1"/>
    <col min="69" max="69" width="10.109375" bestFit="1" customWidth="1"/>
    <col min="70" max="70" width="12.44140625" bestFit="1" customWidth="1"/>
    <col min="71" max="71" width="12" bestFit="1" customWidth="1"/>
    <col min="72" max="72" width="16.77734375" bestFit="1" customWidth="1"/>
    <col min="73" max="74" width="13.33203125" bestFit="1" customWidth="1"/>
    <col min="75" max="75" width="10.44140625" bestFit="1" customWidth="1"/>
    <col min="76" max="77" width="10" bestFit="1" customWidth="1"/>
    <col min="78" max="78" width="10.88671875" bestFit="1" customWidth="1"/>
    <col min="79" max="79" width="12.44140625" bestFit="1" customWidth="1"/>
    <col min="80" max="80" width="13.109375" bestFit="1" customWidth="1"/>
    <col min="81" max="81" width="18" bestFit="1" customWidth="1"/>
    <col min="82" max="82" width="14.44140625" bestFit="1" customWidth="1"/>
    <col min="83" max="83" width="14.109375" bestFit="1" customWidth="1"/>
    <col min="84" max="84" width="11.5546875" bestFit="1" customWidth="1"/>
    <col min="85" max="85" width="11.109375" bestFit="1" customWidth="1"/>
    <col min="86" max="86" width="10.77734375" bestFit="1" customWidth="1"/>
    <col min="87" max="87" width="10.44140625" bestFit="1" customWidth="1"/>
    <col min="88" max="88" width="11.6640625" bestFit="1" customWidth="1"/>
    <col min="89" max="89" width="12.44140625" bestFit="1" customWidth="1"/>
    <col min="90" max="90" width="17.21875" bestFit="1" customWidth="1"/>
    <col min="91" max="91" width="13.88671875" bestFit="1" customWidth="1"/>
    <col min="92" max="92" width="13.33203125" bestFit="1" customWidth="1"/>
    <col min="93" max="93" width="11" bestFit="1" customWidth="1"/>
    <col min="94" max="94" width="10.44140625" bestFit="1" customWidth="1"/>
    <col min="95" max="95" width="10.21875" bestFit="1" customWidth="1"/>
    <col min="96" max="96" width="10.44140625" bestFit="1" customWidth="1"/>
    <col min="97" max="97" width="11.6640625" bestFit="1" customWidth="1"/>
    <col min="98" max="98" width="12.44140625" bestFit="1" customWidth="1"/>
    <col min="99" max="99" width="17.21875" bestFit="1" customWidth="1"/>
    <col min="100" max="100" width="13.88671875" bestFit="1" customWidth="1"/>
    <col min="101" max="101" width="13.33203125" bestFit="1" customWidth="1"/>
    <col min="102" max="102" width="11" bestFit="1" customWidth="1"/>
    <col min="103" max="103" width="10.44140625" bestFit="1" customWidth="1"/>
    <col min="104" max="104" width="10.21875" bestFit="1" customWidth="1"/>
    <col min="105" max="105" width="10.44140625" bestFit="1" customWidth="1"/>
    <col min="106" max="106" width="11.6640625" bestFit="1" customWidth="1"/>
    <col min="107" max="107" width="12.44140625" bestFit="1" customWidth="1"/>
    <col min="108" max="108" width="17.21875" bestFit="1" customWidth="1"/>
    <col min="109" max="109" width="13.88671875" bestFit="1" customWidth="1"/>
    <col min="110" max="110" width="13.33203125" bestFit="1" customWidth="1"/>
    <col min="111" max="111" width="11" bestFit="1" customWidth="1"/>
    <col min="112" max="112" width="10.44140625" bestFit="1" customWidth="1"/>
    <col min="113" max="113" width="10.21875" bestFit="1" customWidth="1"/>
  </cols>
  <sheetData>
    <row r="1" spans="1:54" x14ac:dyDescent="0.3">
      <c r="A1" t="s">
        <v>9</v>
      </c>
      <c r="B1" t="s">
        <v>14</v>
      </c>
      <c r="C1" t="s">
        <v>19</v>
      </c>
      <c r="D1" t="s">
        <v>24</v>
      </c>
      <c r="E1" t="s">
        <v>29</v>
      </c>
      <c r="F1" t="s">
        <v>34</v>
      </c>
      <c r="G1" t="s">
        <v>39</v>
      </c>
      <c r="H1" t="s">
        <v>44</v>
      </c>
      <c r="I1" t="s">
        <v>49</v>
      </c>
      <c r="J1" t="s">
        <v>10</v>
      </c>
      <c r="K1" t="s">
        <v>15</v>
      </c>
      <c r="L1" t="s">
        <v>20</v>
      </c>
      <c r="M1" t="s">
        <v>25</v>
      </c>
      <c r="N1" t="s">
        <v>30</v>
      </c>
      <c r="O1" t="s">
        <v>35</v>
      </c>
      <c r="P1" t="s">
        <v>40</v>
      </c>
      <c r="Q1" t="s">
        <v>45</v>
      </c>
      <c r="R1" t="s">
        <v>50</v>
      </c>
      <c r="S1" t="s">
        <v>11</v>
      </c>
      <c r="T1" t="s">
        <v>16</v>
      </c>
      <c r="U1" t="s">
        <v>21</v>
      </c>
      <c r="V1" t="s">
        <v>26</v>
      </c>
      <c r="W1" t="s">
        <v>31</v>
      </c>
      <c r="X1" t="s">
        <v>36</v>
      </c>
      <c r="Y1" t="s">
        <v>41</v>
      </c>
      <c r="Z1" t="s">
        <v>46</v>
      </c>
      <c r="AA1" t="s">
        <v>51</v>
      </c>
      <c r="AB1" t="s">
        <v>12</v>
      </c>
      <c r="AC1" t="s">
        <v>17</v>
      </c>
      <c r="AD1" t="s">
        <v>22</v>
      </c>
      <c r="AE1" t="s">
        <v>27</v>
      </c>
      <c r="AF1" t="s">
        <v>32</v>
      </c>
      <c r="AG1" t="s">
        <v>37</v>
      </c>
      <c r="AH1" t="s">
        <v>42</v>
      </c>
      <c r="AI1" t="s">
        <v>47</v>
      </c>
      <c r="AJ1" t="s">
        <v>52</v>
      </c>
      <c r="AK1" t="s">
        <v>13</v>
      </c>
      <c r="AL1" t="s">
        <v>18</v>
      </c>
      <c r="AM1" t="s">
        <v>23</v>
      </c>
      <c r="AN1" t="s">
        <v>28</v>
      </c>
      <c r="AO1" t="s">
        <v>33</v>
      </c>
      <c r="AP1" t="s">
        <v>38</v>
      </c>
      <c r="AQ1" t="s">
        <v>43</v>
      </c>
      <c r="AR1" t="s">
        <v>48</v>
      </c>
      <c r="AS1" t="s">
        <v>53</v>
      </c>
      <c r="AT1" t="s">
        <v>946</v>
      </c>
      <c r="AU1" t="s">
        <v>947</v>
      </c>
      <c r="AV1" t="s">
        <v>948</v>
      </c>
      <c r="AW1" t="s">
        <v>949</v>
      </c>
      <c r="AX1" t="s">
        <v>950</v>
      </c>
      <c r="AY1" t="s">
        <v>951</v>
      </c>
      <c r="AZ1" t="s">
        <v>952</v>
      </c>
      <c r="BA1" t="s">
        <v>953</v>
      </c>
      <c r="BB1" t="s">
        <v>954</v>
      </c>
    </row>
    <row r="2" spans="1:54" x14ac:dyDescent="0.3">
      <c r="A2" t="s">
        <v>54</v>
      </c>
      <c r="B2" t="s">
        <v>62</v>
      </c>
      <c r="C2">
        <v>75</v>
      </c>
      <c r="D2">
        <v>-3.0999999999999999E-3</v>
      </c>
      <c r="E2">
        <v>21.511913046964182</v>
      </c>
      <c r="F2">
        <v>2074.9102959770621</v>
      </c>
      <c r="G2">
        <v>9.0579999999999998</v>
      </c>
      <c r="H2">
        <v>0</v>
      </c>
      <c r="I2">
        <v>0</v>
      </c>
      <c r="J2" t="s">
        <v>54</v>
      </c>
      <c r="K2" t="s">
        <v>161</v>
      </c>
      <c r="L2">
        <v>75</v>
      </c>
      <c r="M2">
        <v>-3.0999999999999999E-3</v>
      </c>
      <c r="N2">
        <v>21.511913046964182</v>
      </c>
      <c r="O2">
        <v>2074.9102959770621</v>
      </c>
      <c r="P2">
        <v>9.0579999999999998</v>
      </c>
      <c r="Q2">
        <v>0</v>
      </c>
      <c r="R2">
        <v>0</v>
      </c>
      <c r="S2" t="s">
        <v>54</v>
      </c>
      <c r="T2" t="s">
        <v>261</v>
      </c>
      <c r="U2">
        <v>75</v>
      </c>
      <c r="V2">
        <v>-3.0999999999999999E-3</v>
      </c>
      <c r="W2">
        <v>21.511913046964182</v>
      </c>
      <c r="X2">
        <v>2074.9102959770621</v>
      </c>
      <c r="Y2">
        <v>9.0579999999999998</v>
      </c>
      <c r="Z2">
        <v>0</v>
      </c>
      <c r="AA2">
        <v>0</v>
      </c>
      <c r="AB2" t="s">
        <v>54</v>
      </c>
      <c r="AC2" t="s">
        <v>359</v>
      </c>
      <c r="AD2">
        <v>76</v>
      </c>
      <c r="AE2">
        <v>-3.0999999999999999E-3</v>
      </c>
      <c r="AF2">
        <v>21.511913046964182</v>
      </c>
      <c r="AG2">
        <v>2074.9102959770621</v>
      </c>
      <c r="AH2">
        <v>9.0579999999999998</v>
      </c>
      <c r="AI2">
        <v>0</v>
      </c>
      <c r="AJ2">
        <v>0</v>
      </c>
      <c r="AK2" s="2"/>
      <c r="AT2" s="2"/>
    </row>
    <row r="3" spans="1:54" x14ac:dyDescent="0.3">
      <c r="A3" t="s">
        <v>54</v>
      </c>
      <c r="B3" t="s">
        <v>63</v>
      </c>
      <c r="C3">
        <v>75</v>
      </c>
      <c r="D3">
        <v>-3.0999999999999999E-3</v>
      </c>
      <c r="E3">
        <v>21.511913046964182</v>
      </c>
      <c r="F3">
        <v>2074.9102959770621</v>
      </c>
      <c r="G3">
        <v>9.0579999999999998</v>
      </c>
      <c r="H3">
        <v>0</v>
      </c>
      <c r="I3">
        <v>0.20150000000001</v>
      </c>
      <c r="J3" t="s">
        <v>54</v>
      </c>
      <c r="K3" t="s">
        <v>162</v>
      </c>
      <c r="L3">
        <v>75</v>
      </c>
      <c r="M3">
        <v>-3.0999999999999999E-3</v>
      </c>
      <c r="N3">
        <v>21.511913046964182</v>
      </c>
      <c r="O3">
        <v>2074.9102959770621</v>
      </c>
      <c r="P3">
        <v>9.0579999999999998</v>
      </c>
      <c r="Q3">
        <v>0</v>
      </c>
      <c r="R3">
        <v>0.20170000000001664</v>
      </c>
      <c r="S3" t="s">
        <v>54</v>
      </c>
      <c r="T3" t="s">
        <v>262</v>
      </c>
      <c r="U3">
        <v>75</v>
      </c>
      <c r="V3">
        <v>-3.0999999999999999E-3</v>
      </c>
      <c r="W3">
        <v>21.511913046964182</v>
      </c>
      <c r="X3">
        <v>2074.9102959770621</v>
      </c>
      <c r="Y3">
        <v>9.0579999999999998</v>
      </c>
      <c r="Z3">
        <v>0</v>
      </c>
      <c r="AA3">
        <v>0.20119999999997162</v>
      </c>
      <c r="AB3" t="s">
        <v>54</v>
      </c>
      <c r="AC3" t="s">
        <v>360</v>
      </c>
      <c r="AD3">
        <v>76</v>
      </c>
      <c r="AE3">
        <v>-3.0999999999999999E-3</v>
      </c>
      <c r="AF3">
        <v>21.511913046964182</v>
      </c>
      <c r="AG3">
        <v>2074.9102959770621</v>
      </c>
      <c r="AH3">
        <v>9.0579999999999998</v>
      </c>
      <c r="AI3">
        <v>0</v>
      </c>
      <c r="AJ3">
        <v>0.20679999999998699</v>
      </c>
      <c r="AK3" s="2"/>
      <c r="AT3" s="2"/>
    </row>
    <row r="4" spans="1:54" x14ac:dyDescent="0.3">
      <c r="A4" t="s">
        <v>54</v>
      </c>
      <c r="B4" t="s">
        <v>64</v>
      </c>
      <c r="C4">
        <v>75</v>
      </c>
      <c r="D4">
        <v>-3.0999999999999999E-3</v>
      </c>
      <c r="E4">
        <v>21.511913046964182</v>
      </c>
      <c r="F4">
        <v>2074.9102959770621</v>
      </c>
      <c r="G4">
        <v>9.0579999999999998</v>
      </c>
      <c r="H4">
        <v>0</v>
      </c>
      <c r="I4">
        <v>0.40280000000001337</v>
      </c>
      <c r="J4" t="s">
        <v>54</v>
      </c>
      <c r="K4" t="s">
        <v>163</v>
      </c>
      <c r="L4">
        <v>75</v>
      </c>
      <c r="M4">
        <v>-3.0999999999999999E-3</v>
      </c>
      <c r="N4">
        <v>21.511913046964182</v>
      </c>
      <c r="O4">
        <v>2074.9102959770621</v>
      </c>
      <c r="P4">
        <v>9.0579999999999998</v>
      </c>
      <c r="Q4">
        <v>0</v>
      </c>
      <c r="R4">
        <v>0.40140000000002374</v>
      </c>
      <c r="S4" t="s">
        <v>54</v>
      </c>
      <c r="T4" t="s">
        <v>263</v>
      </c>
      <c r="U4">
        <v>75</v>
      </c>
      <c r="V4">
        <v>-3.0999999999999999E-3</v>
      </c>
      <c r="W4">
        <v>21.511913046964182</v>
      </c>
      <c r="X4">
        <v>2074.9102959770621</v>
      </c>
      <c r="Y4">
        <v>9.0579999999999998</v>
      </c>
      <c r="Z4">
        <v>0</v>
      </c>
      <c r="AA4">
        <v>0.40069999999997208</v>
      </c>
      <c r="AB4" t="s">
        <v>54</v>
      </c>
      <c r="AC4" t="s">
        <v>361</v>
      </c>
      <c r="AD4">
        <v>76</v>
      </c>
      <c r="AE4">
        <v>-3.0999999999999999E-3</v>
      </c>
      <c r="AF4">
        <v>21.511913046964182</v>
      </c>
      <c r="AG4">
        <v>2074.9102959770621</v>
      </c>
      <c r="AH4">
        <v>9.0579999999999998</v>
      </c>
      <c r="AI4">
        <v>0</v>
      </c>
      <c r="AJ4">
        <v>0.401299999999992</v>
      </c>
      <c r="AK4" s="2"/>
      <c r="AT4" s="2"/>
    </row>
    <row r="5" spans="1:54" x14ac:dyDescent="0.3">
      <c r="A5" t="s">
        <v>54</v>
      </c>
      <c r="B5" t="s">
        <v>65</v>
      </c>
      <c r="C5">
        <v>75</v>
      </c>
      <c r="D5">
        <v>-3.0999999999999999E-3</v>
      </c>
      <c r="E5">
        <v>21.511913046964182</v>
      </c>
      <c r="F5">
        <v>2074.9102959770621</v>
      </c>
      <c r="G5">
        <v>9.0579999999999998</v>
      </c>
      <c r="H5">
        <v>0</v>
      </c>
      <c r="I5">
        <v>0.60210000000000719</v>
      </c>
      <c r="J5" t="s">
        <v>54</v>
      </c>
      <c r="K5" t="s">
        <v>164</v>
      </c>
      <c r="L5">
        <v>75</v>
      </c>
      <c r="M5">
        <v>-3.0999999999999999E-3</v>
      </c>
      <c r="N5">
        <v>21.511913046964182</v>
      </c>
      <c r="O5">
        <v>2074.9102959770621</v>
      </c>
      <c r="P5">
        <v>9.0579999999999998</v>
      </c>
      <c r="Q5">
        <v>0</v>
      </c>
      <c r="R5">
        <v>0.60219999999998208</v>
      </c>
      <c r="S5" t="s">
        <v>54</v>
      </c>
      <c r="T5" t="s">
        <v>264</v>
      </c>
      <c r="U5">
        <v>75</v>
      </c>
      <c r="V5">
        <v>-3.0999999999999999E-3</v>
      </c>
      <c r="W5">
        <v>21.511913046964182</v>
      </c>
      <c r="X5">
        <v>2074.9102959770621</v>
      </c>
      <c r="Y5">
        <v>9.0579999999999998</v>
      </c>
      <c r="Z5">
        <v>0</v>
      </c>
      <c r="AA5">
        <v>0.60509999999999309</v>
      </c>
      <c r="AB5" t="s">
        <v>54</v>
      </c>
      <c r="AC5" t="s">
        <v>362</v>
      </c>
      <c r="AD5">
        <v>76</v>
      </c>
      <c r="AE5">
        <v>-3.0999999999999999E-3</v>
      </c>
      <c r="AF5">
        <v>21.511913046964182</v>
      </c>
      <c r="AG5">
        <v>2074.9102959770621</v>
      </c>
      <c r="AH5">
        <v>9.0579999999999998</v>
      </c>
      <c r="AI5">
        <v>0</v>
      </c>
      <c r="AJ5">
        <v>0.60089999999996735</v>
      </c>
      <c r="AK5" s="2"/>
      <c r="AT5" s="2"/>
    </row>
    <row r="6" spans="1:54" x14ac:dyDescent="0.3">
      <c r="A6" t="s">
        <v>54</v>
      </c>
      <c r="B6" t="s">
        <v>66</v>
      </c>
      <c r="C6">
        <v>75</v>
      </c>
      <c r="D6">
        <v>-3.0999999999999999E-3</v>
      </c>
      <c r="E6">
        <v>21.511913046964182</v>
      </c>
      <c r="F6">
        <v>2074.9102959770621</v>
      </c>
      <c r="G6">
        <v>9.0579999999999998</v>
      </c>
      <c r="H6">
        <v>0</v>
      </c>
      <c r="I6">
        <v>0.801400000000001</v>
      </c>
      <c r="J6" t="s">
        <v>54</v>
      </c>
      <c r="K6" t="s">
        <v>165</v>
      </c>
      <c r="L6">
        <v>75</v>
      </c>
      <c r="M6">
        <v>-3.0999999999999999E-3</v>
      </c>
      <c r="N6">
        <v>21.511913046964182</v>
      </c>
      <c r="O6">
        <v>2074.9102959770621</v>
      </c>
      <c r="P6">
        <v>9.0579999999999998</v>
      </c>
      <c r="Q6">
        <v>0</v>
      </c>
      <c r="R6">
        <v>0.79800000000000182</v>
      </c>
      <c r="S6" t="s">
        <v>54</v>
      </c>
      <c r="T6" t="s">
        <v>265</v>
      </c>
      <c r="U6">
        <v>75</v>
      </c>
      <c r="V6">
        <v>-3.0999999999999999E-3</v>
      </c>
      <c r="W6">
        <v>21.511913046964182</v>
      </c>
      <c r="X6">
        <v>2074.9102959770621</v>
      </c>
      <c r="Y6">
        <v>9.0579999999999998</v>
      </c>
      <c r="Z6">
        <v>0</v>
      </c>
      <c r="AA6">
        <v>0.79839999999995825</v>
      </c>
      <c r="AB6" t="s">
        <v>54</v>
      </c>
      <c r="AC6" t="s">
        <v>363</v>
      </c>
      <c r="AD6">
        <v>76</v>
      </c>
      <c r="AE6">
        <v>-3.0999999999999999E-3</v>
      </c>
      <c r="AF6">
        <v>21.511913046964182</v>
      </c>
      <c r="AG6">
        <v>2074.9102959770621</v>
      </c>
      <c r="AH6">
        <v>9.0579999999999998</v>
      </c>
      <c r="AI6">
        <v>0</v>
      </c>
      <c r="AJ6">
        <v>0.80029999999999291</v>
      </c>
      <c r="AK6" s="2"/>
      <c r="AT6" s="2"/>
    </row>
    <row r="7" spans="1:54" x14ac:dyDescent="0.3">
      <c r="A7" t="s">
        <v>54</v>
      </c>
      <c r="B7" t="s">
        <v>67</v>
      </c>
      <c r="C7">
        <v>75</v>
      </c>
      <c r="D7">
        <v>-3.0999999999999999E-3</v>
      </c>
      <c r="E7">
        <v>25.566620546593018</v>
      </c>
      <c r="F7">
        <v>2566.2722898716779</v>
      </c>
      <c r="G7">
        <v>9.0579999999999998</v>
      </c>
      <c r="H7">
        <v>6.3E-2</v>
      </c>
      <c r="I7">
        <v>1.0015000000000214</v>
      </c>
      <c r="J7" t="s">
        <v>54</v>
      </c>
      <c r="K7" t="s">
        <v>166</v>
      </c>
      <c r="L7">
        <v>75</v>
      </c>
      <c r="M7">
        <v>-3.0999999999999999E-3</v>
      </c>
      <c r="N7">
        <v>25.566620546593018</v>
      </c>
      <c r="O7">
        <v>2566.2722898716779</v>
      </c>
      <c r="P7">
        <v>9.0579999999999998</v>
      </c>
      <c r="Q7">
        <v>6.3E-2</v>
      </c>
      <c r="R7">
        <v>1.0108000000000175</v>
      </c>
      <c r="S7" t="s">
        <v>54</v>
      </c>
      <c r="T7" t="s">
        <v>266</v>
      </c>
      <c r="U7">
        <v>75</v>
      </c>
      <c r="V7">
        <v>-3.0999999999999999E-3</v>
      </c>
      <c r="W7">
        <v>25.566620546593018</v>
      </c>
      <c r="X7">
        <v>2566.2722898716779</v>
      </c>
      <c r="Y7">
        <v>9.0579999999999998</v>
      </c>
      <c r="Z7">
        <v>6.3E-2</v>
      </c>
      <c r="AA7">
        <v>1.0005999999999631</v>
      </c>
      <c r="AB7" t="s">
        <v>54</v>
      </c>
      <c r="AC7" t="s">
        <v>364</v>
      </c>
      <c r="AD7">
        <v>76</v>
      </c>
      <c r="AE7">
        <v>-3.0999999999999999E-3</v>
      </c>
      <c r="AF7">
        <v>25.566620546593018</v>
      </c>
      <c r="AG7">
        <v>2566.2722898716779</v>
      </c>
      <c r="AH7">
        <v>9.0579999999999998</v>
      </c>
      <c r="AI7">
        <v>6.3E-2</v>
      </c>
      <c r="AJ7">
        <v>1.0013999999999896</v>
      </c>
      <c r="AK7" s="2"/>
      <c r="AT7" s="2"/>
    </row>
    <row r="8" spans="1:54" x14ac:dyDescent="0.3">
      <c r="A8" t="s">
        <v>54</v>
      </c>
      <c r="B8" t="s">
        <v>68</v>
      </c>
      <c r="C8">
        <v>75</v>
      </c>
      <c r="D8">
        <v>7.1999999999999998E-3</v>
      </c>
      <c r="E8">
        <v>25.566620546593018</v>
      </c>
      <c r="F8">
        <v>2452.8090349424701</v>
      </c>
      <c r="G8">
        <v>9.0579999999999998</v>
      </c>
      <c r="H8">
        <v>6.3E-2</v>
      </c>
      <c r="I8">
        <v>1.2007000000000403</v>
      </c>
      <c r="J8" t="s">
        <v>54</v>
      </c>
      <c r="K8" t="s">
        <v>167</v>
      </c>
      <c r="L8">
        <v>75</v>
      </c>
      <c r="M8">
        <v>1.09E-2</v>
      </c>
      <c r="N8">
        <v>25.566620546593018</v>
      </c>
      <c r="O8">
        <v>2452.8090349424701</v>
      </c>
      <c r="P8">
        <v>9.0579999999999998</v>
      </c>
      <c r="Q8">
        <v>6.3E-2</v>
      </c>
      <c r="R8">
        <v>1.2011999999999716</v>
      </c>
      <c r="S8" t="s">
        <v>54</v>
      </c>
      <c r="T8" t="s">
        <v>267</v>
      </c>
      <c r="U8">
        <v>75</v>
      </c>
      <c r="V8">
        <v>1.24E-2</v>
      </c>
      <c r="W8">
        <v>25.566620546593018</v>
      </c>
      <c r="X8">
        <v>2452.8090349424701</v>
      </c>
      <c r="Y8">
        <v>9.0579999999999998</v>
      </c>
      <c r="Z8">
        <v>6.3E-2</v>
      </c>
      <c r="AA8">
        <v>1.1988999999999805</v>
      </c>
      <c r="AB8" t="s">
        <v>54</v>
      </c>
      <c r="AC8" t="s">
        <v>365</v>
      </c>
      <c r="AD8">
        <v>76</v>
      </c>
      <c r="AE8">
        <v>1.52E-2</v>
      </c>
      <c r="AF8">
        <v>25.566620546593018</v>
      </c>
      <c r="AG8">
        <v>2452.8090349424701</v>
      </c>
      <c r="AH8">
        <v>9.0579999999999998</v>
      </c>
      <c r="AI8">
        <v>6.3E-2</v>
      </c>
      <c r="AJ8">
        <v>1.1982999999999606</v>
      </c>
      <c r="AK8" s="2"/>
      <c r="AT8" s="2"/>
    </row>
    <row r="9" spans="1:54" x14ac:dyDescent="0.3">
      <c r="A9" t="s">
        <v>54</v>
      </c>
      <c r="B9" t="s">
        <v>69</v>
      </c>
      <c r="C9">
        <v>75</v>
      </c>
      <c r="D9">
        <v>2.8299999999999999E-2</v>
      </c>
      <c r="E9">
        <v>25.566620546593018</v>
      </c>
      <c r="F9">
        <v>2452.8090349424701</v>
      </c>
      <c r="G9">
        <v>9.0579999999999998</v>
      </c>
      <c r="H9">
        <v>6.3E-2</v>
      </c>
      <c r="I9">
        <v>1.4017000000000053</v>
      </c>
      <c r="J9" t="s">
        <v>54</v>
      </c>
      <c r="K9" t="s">
        <v>168</v>
      </c>
      <c r="L9">
        <v>75</v>
      </c>
      <c r="M9">
        <v>3.1199999999999999E-2</v>
      </c>
      <c r="N9">
        <v>25.566620546593018</v>
      </c>
      <c r="O9">
        <v>2452.8090349424701</v>
      </c>
      <c r="P9">
        <v>9.0579999999999998</v>
      </c>
      <c r="Q9">
        <v>6.3E-2</v>
      </c>
      <c r="R9">
        <v>1.3997999999999706</v>
      </c>
      <c r="S9" t="s">
        <v>54</v>
      </c>
      <c r="T9" t="s">
        <v>268</v>
      </c>
      <c r="U9">
        <v>75</v>
      </c>
      <c r="V9">
        <v>3.1800000000000002E-2</v>
      </c>
      <c r="W9">
        <v>25.566620546593018</v>
      </c>
      <c r="X9">
        <v>2452.8090349424701</v>
      </c>
      <c r="Y9">
        <v>9.0579999999999998</v>
      </c>
      <c r="Z9">
        <v>6.3E-2</v>
      </c>
      <c r="AA9">
        <v>1.4010000000000105</v>
      </c>
      <c r="AB9" t="s">
        <v>54</v>
      </c>
      <c r="AC9" t="s">
        <v>366</v>
      </c>
      <c r="AD9">
        <v>76</v>
      </c>
      <c r="AE9">
        <v>3.1899999999999998E-2</v>
      </c>
      <c r="AF9">
        <v>25.566620546593018</v>
      </c>
      <c r="AG9">
        <v>2452.8090349424701</v>
      </c>
      <c r="AH9">
        <v>9.0579999999999998</v>
      </c>
      <c r="AI9">
        <v>6.3E-2</v>
      </c>
      <c r="AJ9">
        <v>1.3984999999999559</v>
      </c>
      <c r="AK9" s="2"/>
      <c r="AT9" s="2"/>
    </row>
    <row r="10" spans="1:54" x14ac:dyDescent="0.3">
      <c r="A10" t="s">
        <v>54</v>
      </c>
      <c r="B10" t="s">
        <v>70</v>
      </c>
      <c r="C10">
        <v>75</v>
      </c>
      <c r="D10">
        <v>3.5999999999999997E-2</v>
      </c>
      <c r="E10">
        <v>25.566620546593018</v>
      </c>
      <c r="F10">
        <v>2452.8090349424701</v>
      </c>
      <c r="G10">
        <v>9.0579999999999998</v>
      </c>
      <c r="H10">
        <v>6.3E-2</v>
      </c>
      <c r="I10">
        <v>1.6027000000000271</v>
      </c>
      <c r="J10" t="s">
        <v>54</v>
      </c>
      <c r="K10" t="s">
        <v>169</v>
      </c>
      <c r="L10">
        <v>75</v>
      </c>
      <c r="M10">
        <v>3.6900000000000002E-2</v>
      </c>
      <c r="N10">
        <v>25.566620546593018</v>
      </c>
      <c r="O10">
        <v>2452.8090349424701</v>
      </c>
      <c r="P10">
        <v>9.0579999999999998</v>
      </c>
      <c r="Q10">
        <v>6.3E-2</v>
      </c>
      <c r="R10">
        <v>1.6001999999999725</v>
      </c>
      <c r="S10" t="s">
        <v>54</v>
      </c>
      <c r="T10" t="s">
        <v>269</v>
      </c>
      <c r="U10">
        <v>75</v>
      </c>
      <c r="V10">
        <v>3.6900000000000002E-2</v>
      </c>
      <c r="W10">
        <v>25.566620546593018</v>
      </c>
      <c r="X10">
        <v>2452.8090349424701</v>
      </c>
      <c r="Y10">
        <v>9.0579999999999998</v>
      </c>
      <c r="Z10">
        <v>6.3E-2</v>
      </c>
      <c r="AA10">
        <v>1.5988999999999578</v>
      </c>
      <c r="AB10" t="s">
        <v>54</v>
      </c>
      <c r="AC10" t="s">
        <v>367</v>
      </c>
      <c r="AD10">
        <v>76</v>
      </c>
      <c r="AE10">
        <v>3.6799999999999999E-2</v>
      </c>
      <c r="AF10">
        <v>25.566620546593018</v>
      </c>
      <c r="AG10">
        <v>2452.8090349424701</v>
      </c>
      <c r="AH10">
        <v>9.0579999999999998</v>
      </c>
      <c r="AI10">
        <v>6.3E-2</v>
      </c>
      <c r="AJ10">
        <v>1.6014999999999873</v>
      </c>
      <c r="AK10" s="2"/>
      <c r="AT10" s="2"/>
    </row>
    <row r="11" spans="1:54" x14ac:dyDescent="0.3">
      <c r="A11" t="s">
        <v>54</v>
      </c>
      <c r="B11" t="s">
        <v>71</v>
      </c>
      <c r="C11">
        <v>75</v>
      </c>
      <c r="D11">
        <v>3.7400000000000003E-2</v>
      </c>
      <c r="E11">
        <v>25.566620546593018</v>
      </c>
      <c r="F11">
        <v>2452.8090349424701</v>
      </c>
      <c r="G11">
        <v>9.0579999999999998</v>
      </c>
      <c r="H11">
        <v>6.3E-2</v>
      </c>
      <c r="I11">
        <v>1.8013000000000261</v>
      </c>
      <c r="J11" t="s">
        <v>54</v>
      </c>
      <c r="K11" t="s">
        <v>170</v>
      </c>
      <c r="L11">
        <v>75</v>
      </c>
      <c r="M11">
        <v>3.7999999999999999E-2</v>
      </c>
      <c r="N11">
        <v>25.566620546593018</v>
      </c>
      <c r="O11">
        <v>2452.8090349424701</v>
      </c>
      <c r="P11">
        <v>9.0579999999999998</v>
      </c>
      <c r="Q11">
        <v>6.3E-2</v>
      </c>
      <c r="R11">
        <v>1.7982000000000085</v>
      </c>
      <c r="S11" t="s">
        <v>54</v>
      </c>
      <c r="T11" t="s">
        <v>270</v>
      </c>
      <c r="U11">
        <v>75</v>
      </c>
      <c r="V11">
        <v>3.8100000000000002E-2</v>
      </c>
      <c r="W11">
        <v>25.566620546593018</v>
      </c>
      <c r="X11">
        <v>2452.8090349424701</v>
      </c>
      <c r="Y11">
        <v>9.0579999999999998</v>
      </c>
      <c r="Z11">
        <v>6.3E-2</v>
      </c>
      <c r="AA11">
        <v>1.8005999999999744</v>
      </c>
      <c r="AB11" t="s">
        <v>54</v>
      </c>
      <c r="AC11" t="s">
        <v>368</v>
      </c>
      <c r="AD11">
        <v>76</v>
      </c>
      <c r="AE11">
        <v>3.8199999999999998E-2</v>
      </c>
      <c r="AF11">
        <v>25.566620546593018</v>
      </c>
      <c r="AG11">
        <v>2452.8090349424701</v>
      </c>
      <c r="AH11">
        <v>9.0579999999999998</v>
      </c>
      <c r="AI11">
        <v>6.3E-2</v>
      </c>
      <c r="AJ11">
        <v>1.7987999999999715</v>
      </c>
      <c r="AK11" s="2"/>
      <c r="AT11" s="2"/>
    </row>
    <row r="12" spans="1:54" x14ac:dyDescent="0.3">
      <c r="A12" t="s">
        <v>54</v>
      </c>
      <c r="B12" t="s">
        <v>72</v>
      </c>
      <c r="C12">
        <v>75</v>
      </c>
      <c r="D12">
        <v>3.78E-2</v>
      </c>
      <c r="E12">
        <v>25.566620546593018</v>
      </c>
      <c r="F12">
        <v>2452.8090349424701</v>
      </c>
      <c r="G12">
        <v>9.0579999999999998</v>
      </c>
      <c r="H12">
        <v>6.3E-2</v>
      </c>
      <c r="I12">
        <v>2.0038999999999874</v>
      </c>
      <c r="J12" t="s">
        <v>54</v>
      </c>
      <c r="K12" t="s">
        <v>171</v>
      </c>
      <c r="L12">
        <v>75</v>
      </c>
      <c r="M12">
        <v>3.8100000000000002E-2</v>
      </c>
      <c r="N12">
        <v>25.566620546593018</v>
      </c>
      <c r="O12">
        <v>2452.8090349424701</v>
      </c>
      <c r="P12">
        <v>9.0579999999999998</v>
      </c>
      <c r="Q12">
        <v>6.3E-2</v>
      </c>
      <c r="R12">
        <v>1.9979999999999905</v>
      </c>
      <c r="S12" t="s">
        <v>54</v>
      </c>
      <c r="T12" t="s">
        <v>271</v>
      </c>
      <c r="U12">
        <v>75</v>
      </c>
      <c r="V12">
        <v>3.85E-2</v>
      </c>
      <c r="W12">
        <v>25.566620546593018</v>
      </c>
      <c r="X12">
        <v>2452.8090349424701</v>
      </c>
      <c r="Y12">
        <v>9.0579999999999998</v>
      </c>
      <c r="Z12">
        <v>6.3E-2</v>
      </c>
      <c r="AA12">
        <v>1.9981999999999971</v>
      </c>
      <c r="AB12" t="s">
        <v>54</v>
      </c>
      <c r="AC12" t="s">
        <v>369</v>
      </c>
      <c r="AD12">
        <v>76</v>
      </c>
      <c r="AE12">
        <v>3.8300000000000001E-2</v>
      </c>
      <c r="AF12">
        <v>25.566620546593018</v>
      </c>
      <c r="AG12">
        <v>2452.8090349424701</v>
      </c>
      <c r="AH12">
        <v>9.0579999999999998</v>
      </c>
      <c r="AI12">
        <v>6.3E-2</v>
      </c>
      <c r="AJ12">
        <v>2.0000999999999749</v>
      </c>
      <c r="AK12" s="2"/>
      <c r="AT12" s="2"/>
    </row>
    <row r="13" spans="1:54" x14ac:dyDescent="0.3">
      <c r="A13" t="s">
        <v>54</v>
      </c>
      <c r="B13" t="s">
        <v>73</v>
      </c>
      <c r="C13">
        <v>75</v>
      </c>
      <c r="D13">
        <v>3.78E-2</v>
      </c>
      <c r="E13">
        <v>25.566620546593018</v>
      </c>
      <c r="F13">
        <v>2452.8090349424701</v>
      </c>
      <c r="G13">
        <v>9.0579999999999998</v>
      </c>
      <c r="H13">
        <v>6.3E-2</v>
      </c>
      <c r="I13">
        <v>2.2005000000000337</v>
      </c>
      <c r="J13" t="s">
        <v>54</v>
      </c>
      <c r="K13" t="s">
        <v>172</v>
      </c>
      <c r="L13">
        <v>75</v>
      </c>
      <c r="M13">
        <v>3.8100000000000002E-2</v>
      </c>
      <c r="N13">
        <v>25.566620546593018</v>
      </c>
      <c r="O13">
        <v>2452.8090349424701</v>
      </c>
      <c r="P13">
        <v>9.0579999999999998</v>
      </c>
      <c r="Q13">
        <v>6.3E-2</v>
      </c>
      <c r="R13">
        <v>2.2008999999999901</v>
      </c>
      <c r="S13" t="s">
        <v>54</v>
      </c>
      <c r="T13" t="s">
        <v>272</v>
      </c>
      <c r="U13">
        <v>75</v>
      </c>
      <c r="V13">
        <v>3.85E-2</v>
      </c>
      <c r="W13">
        <v>25.566620546593018</v>
      </c>
      <c r="X13">
        <v>2452.8090349424701</v>
      </c>
      <c r="Y13">
        <v>9.0579999999999998</v>
      </c>
      <c r="Z13">
        <v>6.3E-2</v>
      </c>
      <c r="AA13">
        <v>2.1979999999999791</v>
      </c>
      <c r="AB13" t="s">
        <v>54</v>
      </c>
      <c r="AC13" t="s">
        <v>370</v>
      </c>
      <c r="AD13">
        <v>76</v>
      </c>
      <c r="AE13">
        <v>3.8199999999999998E-2</v>
      </c>
      <c r="AF13">
        <v>25.566620546593018</v>
      </c>
      <c r="AG13">
        <v>2452.8090349424701</v>
      </c>
      <c r="AH13">
        <v>9.0579999999999998</v>
      </c>
      <c r="AI13">
        <v>6.3E-2</v>
      </c>
      <c r="AJ13">
        <v>2.1979999999999791</v>
      </c>
      <c r="AK13" s="2"/>
      <c r="AT13" s="2"/>
    </row>
    <row r="14" spans="1:54" x14ac:dyDescent="0.3">
      <c r="A14" t="s">
        <v>54</v>
      </c>
      <c r="B14" t="s">
        <v>74</v>
      </c>
      <c r="C14">
        <v>75</v>
      </c>
      <c r="D14">
        <v>3.78E-2</v>
      </c>
      <c r="E14">
        <v>25.566620546593018</v>
      </c>
      <c r="F14">
        <v>2452.8090349424701</v>
      </c>
      <c r="G14">
        <v>9.0579999999999998</v>
      </c>
      <c r="H14">
        <v>6.3E-2</v>
      </c>
      <c r="I14">
        <v>2.4017000000000053</v>
      </c>
      <c r="J14" t="s">
        <v>54</v>
      </c>
      <c r="K14" t="s">
        <v>173</v>
      </c>
      <c r="L14">
        <v>75</v>
      </c>
      <c r="M14">
        <v>3.8100000000000002E-2</v>
      </c>
      <c r="N14">
        <v>25.566620546593018</v>
      </c>
      <c r="O14">
        <v>2452.8090349424701</v>
      </c>
      <c r="P14">
        <v>9.0579999999999998</v>
      </c>
      <c r="Q14">
        <v>6.3E-2</v>
      </c>
      <c r="R14">
        <v>2.400100000000009</v>
      </c>
      <c r="S14" t="s">
        <v>54</v>
      </c>
      <c r="T14" t="s">
        <v>273</v>
      </c>
      <c r="U14">
        <v>75</v>
      </c>
      <c r="V14">
        <v>3.85E-2</v>
      </c>
      <c r="W14">
        <v>25.566620546593018</v>
      </c>
      <c r="X14">
        <v>2452.8090349424701</v>
      </c>
      <c r="Y14">
        <v>9.0579999999999998</v>
      </c>
      <c r="Z14">
        <v>6.3E-2</v>
      </c>
      <c r="AA14">
        <v>2.4008999999999787</v>
      </c>
      <c r="AB14" t="s">
        <v>54</v>
      </c>
      <c r="AC14" t="s">
        <v>371</v>
      </c>
      <c r="AD14">
        <v>76</v>
      </c>
      <c r="AE14">
        <v>3.8300000000000001E-2</v>
      </c>
      <c r="AF14">
        <v>25.566620546593018</v>
      </c>
      <c r="AG14">
        <v>2452.8090349424701</v>
      </c>
      <c r="AH14">
        <v>9.0579999999999998</v>
      </c>
      <c r="AI14">
        <v>6.3E-2</v>
      </c>
      <c r="AJ14">
        <v>2.3987999999999943</v>
      </c>
      <c r="AK14" s="2"/>
      <c r="AT14" s="2"/>
    </row>
    <row r="15" spans="1:54" x14ac:dyDescent="0.3">
      <c r="A15" t="s">
        <v>54</v>
      </c>
      <c r="B15" t="s">
        <v>75</v>
      </c>
      <c r="C15">
        <v>75</v>
      </c>
      <c r="D15">
        <v>3.78E-2</v>
      </c>
      <c r="E15">
        <v>25.566620546593018</v>
      </c>
      <c r="F15">
        <v>2452.8090349424701</v>
      </c>
      <c r="G15">
        <v>9.0579999999999998</v>
      </c>
      <c r="H15">
        <v>6.3E-2</v>
      </c>
      <c r="I15">
        <v>2.6003000000000043</v>
      </c>
      <c r="J15" t="s">
        <v>54</v>
      </c>
      <c r="K15" t="s">
        <v>174</v>
      </c>
      <c r="L15">
        <v>75</v>
      </c>
      <c r="M15">
        <v>3.8100000000000002E-2</v>
      </c>
      <c r="N15">
        <v>25.566620546593018</v>
      </c>
      <c r="O15">
        <v>2452.8090349424701</v>
      </c>
      <c r="P15">
        <v>9.0579999999999998</v>
      </c>
      <c r="Q15">
        <v>6.3E-2</v>
      </c>
      <c r="R15">
        <v>2.6003999999999792</v>
      </c>
      <c r="S15" t="s">
        <v>54</v>
      </c>
      <c r="T15" t="s">
        <v>274</v>
      </c>
      <c r="U15">
        <v>75</v>
      </c>
      <c r="V15">
        <v>3.85E-2</v>
      </c>
      <c r="W15">
        <v>25.566620546593018</v>
      </c>
      <c r="X15">
        <v>2452.8090349424701</v>
      </c>
      <c r="Y15">
        <v>9.0579999999999998</v>
      </c>
      <c r="Z15">
        <v>6.3E-2</v>
      </c>
      <c r="AA15">
        <v>2.5996000000000095</v>
      </c>
      <c r="AB15" t="s">
        <v>54</v>
      </c>
      <c r="AC15" t="s">
        <v>372</v>
      </c>
      <c r="AD15">
        <v>76</v>
      </c>
      <c r="AE15">
        <v>3.8300000000000001E-2</v>
      </c>
      <c r="AF15">
        <v>25.566620546593018</v>
      </c>
      <c r="AG15">
        <v>2452.8090349424701</v>
      </c>
      <c r="AH15">
        <v>9.0579999999999998</v>
      </c>
      <c r="AI15">
        <v>6.3E-2</v>
      </c>
      <c r="AJ15">
        <v>2.5994999999999777</v>
      </c>
      <c r="AK15" s="2"/>
      <c r="AT15" s="2"/>
    </row>
    <row r="16" spans="1:54" x14ac:dyDescent="0.3">
      <c r="A16" t="s">
        <v>54</v>
      </c>
      <c r="B16" t="s">
        <v>76</v>
      </c>
      <c r="C16">
        <v>75</v>
      </c>
      <c r="D16">
        <v>3.78E-2</v>
      </c>
      <c r="E16">
        <v>21.511913046964182</v>
      </c>
      <c r="F16">
        <v>2074.9102959770621</v>
      </c>
      <c r="G16">
        <v>9.0579999999999998</v>
      </c>
      <c r="H16">
        <v>0</v>
      </c>
      <c r="I16">
        <v>2.8033000000000357</v>
      </c>
      <c r="J16" t="s">
        <v>54</v>
      </c>
      <c r="K16" t="s">
        <v>175</v>
      </c>
      <c r="L16">
        <v>75</v>
      </c>
      <c r="M16">
        <v>3.8100000000000002E-2</v>
      </c>
      <c r="N16">
        <v>25.566620546593018</v>
      </c>
      <c r="O16">
        <v>2452.8090349424701</v>
      </c>
      <c r="P16">
        <v>9.0579999999999998</v>
      </c>
      <c r="Q16">
        <v>6.3E-2</v>
      </c>
      <c r="R16">
        <v>2.7995999999999981</v>
      </c>
      <c r="S16" t="s">
        <v>54</v>
      </c>
      <c r="T16" t="s">
        <v>275</v>
      </c>
      <c r="U16">
        <v>75</v>
      </c>
      <c r="V16">
        <v>3.85E-2</v>
      </c>
      <c r="W16">
        <v>25.566620546593018</v>
      </c>
      <c r="X16">
        <v>2452.8090349424701</v>
      </c>
      <c r="Y16">
        <v>9.0579999999999998</v>
      </c>
      <c r="Z16">
        <v>6.3E-2</v>
      </c>
      <c r="AA16">
        <v>2.8005999999999744</v>
      </c>
      <c r="AB16" t="s">
        <v>54</v>
      </c>
      <c r="AC16" t="s">
        <v>373</v>
      </c>
      <c r="AD16">
        <v>76</v>
      </c>
      <c r="AE16">
        <v>3.8300000000000001E-2</v>
      </c>
      <c r="AF16">
        <v>25.566620546593018</v>
      </c>
      <c r="AG16">
        <v>2452.8090349424701</v>
      </c>
      <c r="AH16">
        <v>9.0579999999999998</v>
      </c>
      <c r="AI16">
        <v>6.3E-2</v>
      </c>
      <c r="AJ16">
        <v>2.8002999999999929</v>
      </c>
      <c r="AK16" s="2"/>
      <c r="AT16" s="2"/>
    </row>
    <row r="17" spans="1:46" x14ac:dyDescent="0.3">
      <c r="A17" t="s">
        <v>54</v>
      </c>
      <c r="B17" t="s">
        <v>77</v>
      </c>
      <c r="C17">
        <v>75</v>
      </c>
      <c r="D17">
        <v>3.0599999999999999E-2</v>
      </c>
      <c r="E17">
        <v>21.511913046964182</v>
      </c>
      <c r="F17">
        <v>2074.9102959770621</v>
      </c>
      <c r="G17">
        <v>9.0579999999999998</v>
      </c>
      <c r="H17">
        <v>0</v>
      </c>
      <c r="I17">
        <v>3.0008000000000266</v>
      </c>
      <c r="J17" t="s">
        <v>54</v>
      </c>
      <c r="K17" t="s">
        <v>176</v>
      </c>
      <c r="L17">
        <v>75</v>
      </c>
      <c r="M17">
        <v>3.8100000000000002E-2</v>
      </c>
      <c r="N17">
        <v>21.511913046964182</v>
      </c>
      <c r="O17">
        <v>2074.9102959770621</v>
      </c>
      <c r="P17">
        <v>9.0579999999999998</v>
      </c>
      <c r="Q17">
        <v>0</v>
      </c>
      <c r="R17">
        <v>3.0000999999999749</v>
      </c>
      <c r="S17" t="s">
        <v>54</v>
      </c>
      <c r="T17" t="s">
        <v>276</v>
      </c>
      <c r="U17">
        <v>75</v>
      </c>
      <c r="V17">
        <v>3.85E-2</v>
      </c>
      <c r="W17">
        <v>21.511913046964182</v>
      </c>
      <c r="X17">
        <v>2074.9102959770621</v>
      </c>
      <c r="Y17">
        <v>9.0579999999999998</v>
      </c>
      <c r="Z17">
        <v>0</v>
      </c>
      <c r="AA17">
        <v>2.9995000000000118</v>
      </c>
      <c r="AB17" t="s">
        <v>54</v>
      </c>
      <c r="AC17" t="s">
        <v>374</v>
      </c>
      <c r="AD17">
        <v>76</v>
      </c>
      <c r="AE17">
        <v>3.8300000000000001E-2</v>
      </c>
      <c r="AF17">
        <v>21.511913046964182</v>
      </c>
      <c r="AG17">
        <v>2074.9102959770621</v>
      </c>
      <c r="AH17">
        <v>9.0579999999999998</v>
      </c>
      <c r="AI17">
        <v>0</v>
      </c>
      <c r="AJ17">
        <v>2.9986000000000104</v>
      </c>
      <c r="AK17" s="2"/>
      <c r="AT17" s="2"/>
    </row>
    <row r="18" spans="1:46" x14ac:dyDescent="0.3">
      <c r="A18" t="s">
        <v>54</v>
      </c>
      <c r="B18" t="s">
        <v>78</v>
      </c>
      <c r="C18">
        <v>75</v>
      </c>
      <c r="D18">
        <v>1.49E-2</v>
      </c>
      <c r="E18">
        <v>21.511913046964182</v>
      </c>
      <c r="F18">
        <v>2074.9102959770621</v>
      </c>
      <c r="G18">
        <v>9.0579999999999998</v>
      </c>
      <c r="H18">
        <v>0</v>
      </c>
      <c r="I18">
        <v>3.204400000000021</v>
      </c>
      <c r="J18" t="s">
        <v>54</v>
      </c>
      <c r="K18" t="s">
        <v>177</v>
      </c>
      <c r="L18">
        <v>75</v>
      </c>
      <c r="M18">
        <v>3.2300000000000002E-2</v>
      </c>
      <c r="N18">
        <v>21.511913046964182</v>
      </c>
      <c r="O18">
        <v>2074.9102959770621</v>
      </c>
      <c r="P18">
        <v>9.0579999999999998</v>
      </c>
      <c r="Q18">
        <v>0</v>
      </c>
      <c r="R18">
        <v>3.2002999999999702</v>
      </c>
      <c r="S18" t="s">
        <v>54</v>
      </c>
      <c r="T18" t="s">
        <v>277</v>
      </c>
      <c r="U18">
        <v>75</v>
      </c>
      <c r="V18">
        <v>3.2399999999999998E-2</v>
      </c>
      <c r="W18">
        <v>21.511913046964182</v>
      </c>
      <c r="X18">
        <v>2074.9102959770621</v>
      </c>
      <c r="Y18">
        <v>9.0579999999999998</v>
      </c>
      <c r="Z18">
        <v>0</v>
      </c>
      <c r="AA18">
        <v>3.1997000000000071</v>
      </c>
      <c r="AB18" t="s">
        <v>54</v>
      </c>
      <c r="AC18" t="s">
        <v>375</v>
      </c>
      <c r="AD18">
        <v>76</v>
      </c>
      <c r="AE18">
        <v>3.1899999999999998E-2</v>
      </c>
      <c r="AF18">
        <v>21.511913046964182</v>
      </c>
      <c r="AG18">
        <v>2074.9102959770621</v>
      </c>
      <c r="AH18">
        <v>9.0579999999999998</v>
      </c>
      <c r="AI18">
        <v>0</v>
      </c>
      <c r="AJ18">
        <v>3.1991999999999621</v>
      </c>
      <c r="AK18" s="2"/>
      <c r="AT18" s="2"/>
    </row>
    <row r="19" spans="1:46" x14ac:dyDescent="0.3">
      <c r="A19" t="s">
        <v>54</v>
      </c>
      <c r="B19" t="s">
        <v>79</v>
      </c>
      <c r="C19">
        <v>75</v>
      </c>
      <c r="D19">
        <v>2.0999999999999999E-3</v>
      </c>
      <c r="E19">
        <v>21.511913046964182</v>
      </c>
      <c r="F19">
        <v>2074.9102959770621</v>
      </c>
      <c r="G19">
        <v>9.0579999999999998</v>
      </c>
      <c r="H19">
        <v>0</v>
      </c>
      <c r="I19">
        <v>3.4002000000000407</v>
      </c>
      <c r="J19" t="s">
        <v>54</v>
      </c>
      <c r="K19" t="s">
        <v>178</v>
      </c>
      <c r="L19">
        <v>75</v>
      </c>
      <c r="M19">
        <v>1.52E-2</v>
      </c>
      <c r="N19">
        <v>21.511913046964182</v>
      </c>
      <c r="O19">
        <v>2074.9102959770621</v>
      </c>
      <c r="P19">
        <v>9.0579999999999998</v>
      </c>
      <c r="Q19">
        <v>0</v>
      </c>
      <c r="R19">
        <v>3.4010000000000105</v>
      </c>
      <c r="S19" t="s">
        <v>54</v>
      </c>
      <c r="T19" t="s">
        <v>278</v>
      </c>
      <c r="U19">
        <v>75</v>
      </c>
      <c r="V19">
        <v>1.7999999999999999E-2</v>
      </c>
      <c r="W19">
        <v>21.511913046964182</v>
      </c>
      <c r="X19">
        <v>2074.9102959770621</v>
      </c>
      <c r="Y19">
        <v>9.0579999999999998</v>
      </c>
      <c r="Z19">
        <v>0</v>
      </c>
      <c r="AA19">
        <v>3.3985999999999876</v>
      </c>
      <c r="AB19" t="s">
        <v>54</v>
      </c>
      <c r="AC19" t="s">
        <v>376</v>
      </c>
      <c r="AD19">
        <v>76</v>
      </c>
      <c r="AE19">
        <v>1.8499999999999999E-2</v>
      </c>
      <c r="AF19">
        <v>21.511913046964182</v>
      </c>
      <c r="AG19">
        <v>2074.9102959770621</v>
      </c>
      <c r="AH19">
        <v>9.0579999999999998</v>
      </c>
      <c r="AI19">
        <v>0</v>
      </c>
      <c r="AJ19">
        <v>3.399599999999964</v>
      </c>
      <c r="AK19" s="2"/>
      <c r="AT19" s="2"/>
    </row>
    <row r="20" spans="1:46" x14ac:dyDescent="0.3">
      <c r="A20" t="s">
        <v>54</v>
      </c>
      <c r="B20" t="s">
        <v>80</v>
      </c>
      <c r="C20">
        <v>75</v>
      </c>
      <c r="D20">
        <v>-3.0999999999999999E-3</v>
      </c>
      <c r="E20">
        <v>21.511913046964182</v>
      </c>
      <c r="F20">
        <v>2074.9102959770621</v>
      </c>
      <c r="G20">
        <v>9.0579999999999998</v>
      </c>
      <c r="H20">
        <v>0</v>
      </c>
      <c r="I20">
        <v>3.6034999999999968</v>
      </c>
      <c r="J20" t="s">
        <v>54</v>
      </c>
      <c r="K20" t="s">
        <v>179</v>
      </c>
      <c r="L20">
        <v>75</v>
      </c>
      <c r="M20">
        <v>3.8E-3</v>
      </c>
      <c r="N20">
        <v>21.511913046964182</v>
      </c>
      <c r="O20">
        <v>2074.9102959770621</v>
      </c>
      <c r="P20">
        <v>9.0579999999999998</v>
      </c>
      <c r="Q20">
        <v>0</v>
      </c>
      <c r="R20">
        <v>3.5982000000000198</v>
      </c>
      <c r="S20" t="s">
        <v>54</v>
      </c>
      <c r="T20" t="s">
        <v>279</v>
      </c>
      <c r="U20">
        <v>75</v>
      </c>
      <c r="V20">
        <v>5.1000000000000004E-3</v>
      </c>
      <c r="W20">
        <v>21.511913046964182</v>
      </c>
      <c r="X20">
        <v>2074.9102959770621</v>
      </c>
      <c r="Y20">
        <v>9.0579999999999998</v>
      </c>
      <c r="Z20">
        <v>0</v>
      </c>
      <c r="AA20">
        <v>3.5980999999999881</v>
      </c>
      <c r="AB20" t="s">
        <v>54</v>
      </c>
      <c r="AC20" t="s">
        <v>377</v>
      </c>
      <c r="AD20">
        <v>76</v>
      </c>
      <c r="AE20">
        <v>6.7999999999999996E-3</v>
      </c>
      <c r="AF20">
        <v>21.511913046964182</v>
      </c>
      <c r="AG20">
        <v>2074.9102959770621</v>
      </c>
      <c r="AH20">
        <v>9.0579999999999998</v>
      </c>
      <c r="AI20">
        <v>0</v>
      </c>
      <c r="AJ20">
        <v>3.6006999999999607</v>
      </c>
      <c r="AK20" s="2"/>
      <c r="AT20" s="2"/>
    </row>
    <row r="21" spans="1:46" x14ac:dyDescent="0.3">
      <c r="A21" t="s">
        <v>54</v>
      </c>
      <c r="B21" t="s">
        <v>81</v>
      </c>
      <c r="C21">
        <v>75</v>
      </c>
      <c r="D21">
        <v>-3.0999999999999999E-3</v>
      </c>
      <c r="E21">
        <v>21.511913046964182</v>
      </c>
      <c r="F21">
        <v>2074.9102959770621</v>
      </c>
      <c r="G21">
        <v>9.0579999999999998</v>
      </c>
      <c r="H21">
        <v>0</v>
      </c>
      <c r="I21">
        <v>3.8023000000000025</v>
      </c>
      <c r="J21" t="s">
        <v>54</v>
      </c>
      <c r="K21" t="s">
        <v>180</v>
      </c>
      <c r="L21">
        <v>75</v>
      </c>
      <c r="M21">
        <v>-3.0999999999999999E-3</v>
      </c>
      <c r="N21">
        <v>21.511913046964182</v>
      </c>
      <c r="O21">
        <v>2074.9102959770621</v>
      </c>
      <c r="P21">
        <v>9.0579999999999998</v>
      </c>
      <c r="Q21">
        <v>0</v>
      </c>
      <c r="R21">
        <v>3.7993000000000166</v>
      </c>
      <c r="S21" t="s">
        <v>54</v>
      </c>
      <c r="T21" t="s">
        <v>280</v>
      </c>
      <c r="U21">
        <v>75</v>
      </c>
      <c r="V21">
        <v>-3.0999999999999999E-3</v>
      </c>
      <c r="W21">
        <v>21.511913046964182</v>
      </c>
      <c r="X21">
        <v>2074.9102959770621</v>
      </c>
      <c r="Y21">
        <v>9.0579999999999998</v>
      </c>
      <c r="Z21">
        <v>0</v>
      </c>
      <c r="AA21">
        <v>3.7998999999999796</v>
      </c>
      <c r="AB21" t="s">
        <v>54</v>
      </c>
      <c r="AC21" t="s">
        <v>378</v>
      </c>
      <c r="AD21">
        <v>76</v>
      </c>
      <c r="AE21">
        <v>-2.8E-3</v>
      </c>
      <c r="AF21">
        <v>21.511913046964182</v>
      </c>
      <c r="AG21">
        <v>2074.9102959770621</v>
      </c>
      <c r="AH21">
        <v>9.0579999999999998</v>
      </c>
      <c r="AI21">
        <v>0</v>
      </c>
      <c r="AJ21">
        <v>3.801400000000001</v>
      </c>
      <c r="AK21" s="2"/>
      <c r="AT21" s="2"/>
    </row>
    <row r="22" spans="1:46" x14ac:dyDescent="0.3">
      <c r="A22" t="s">
        <v>54</v>
      </c>
      <c r="B22" t="s">
        <v>82</v>
      </c>
      <c r="C22">
        <v>75</v>
      </c>
      <c r="D22">
        <v>-3.0999999999999999E-3</v>
      </c>
      <c r="E22">
        <v>21.511913046964182</v>
      </c>
      <c r="F22">
        <v>2074.9102959770621</v>
      </c>
      <c r="G22">
        <v>9.0579999999999998</v>
      </c>
      <c r="H22">
        <v>0</v>
      </c>
      <c r="I22">
        <v>4.0022000000000162</v>
      </c>
      <c r="J22" t="s">
        <v>54</v>
      </c>
      <c r="K22" t="s">
        <v>181</v>
      </c>
      <c r="L22">
        <v>75</v>
      </c>
      <c r="M22">
        <v>-3.0999999999999999E-3</v>
      </c>
      <c r="N22">
        <v>21.511913046964182</v>
      </c>
      <c r="O22">
        <v>2074.9102959770621</v>
      </c>
      <c r="P22">
        <v>9.0579999999999998</v>
      </c>
      <c r="Q22">
        <v>0</v>
      </c>
      <c r="R22">
        <v>3.9993999999999801</v>
      </c>
      <c r="S22" t="s">
        <v>54</v>
      </c>
      <c r="T22" t="s">
        <v>281</v>
      </c>
      <c r="U22">
        <v>75</v>
      </c>
      <c r="V22">
        <v>-3.0999999999999999E-3</v>
      </c>
      <c r="W22">
        <v>21.511913046964182</v>
      </c>
      <c r="X22">
        <v>2074.9102959770621</v>
      </c>
      <c r="Y22">
        <v>9.0579999999999998</v>
      </c>
      <c r="Z22">
        <v>0</v>
      </c>
      <c r="AA22">
        <v>3.9995000000000118</v>
      </c>
      <c r="AB22" t="s">
        <v>54</v>
      </c>
      <c r="AC22" t="s">
        <v>379</v>
      </c>
      <c r="AD22">
        <v>76</v>
      </c>
      <c r="AE22">
        <v>-3.0999999999999999E-3</v>
      </c>
      <c r="AF22">
        <v>21.511913046964182</v>
      </c>
      <c r="AG22">
        <v>2074.9102959770621</v>
      </c>
      <c r="AH22">
        <v>9.0579999999999998</v>
      </c>
      <c r="AI22">
        <v>0</v>
      </c>
      <c r="AJ22">
        <v>3.999499999999955</v>
      </c>
      <c r="AK22" s="2"/>
      <c r="AT22" s="2"/>
    </row>
    <row r="23" spans="1:46" x14ac:dyDescent="0.3">
      <c r="A23" t="s">
        <v>54</v>
      </c>
      <c r="B23" t="s">
        <v>83</v>
      </c>
      <c r="C23">
        <v>75</v>
      </c>
      <c r="D23">
        <v>-3.0999999999999999E-3</v>
      </c>
      <c r="E23">
        <v>21.511913046964182</v>
      </c>
      <c r="F23">
        <v>2074.9102959770621</v>
      </c>
      <c r="G23">
        <v>9.0579999999999998</v>
      </c>
      <c r="H23">
        <v>0</v>
      </c>
      <c r="I23">
        <v>4.2017000000000166</v>
      </c>
      <c r="J23" t="s">
        <v>54</v>
      </c>
      <c r="K23" t="s">
        <v>182</v>
      </c>
      <c r="L23">
        <v>75</v>
      </c>
      <c r="M23">
        <v>-3.0999999999999999E-3</v>
      </c>
      <c r="N23">
        <v>21.511913046964182</v>
      </c>
      <c r="O23">
        <v>2074.9102959770621</v>
      </c>
      <c r="P23">
        <v>9.0579999999999998</v>
      </c>
      <c r="Q23">
        <v>0</v>
      </c>
      <c r="R23">
        <v>4.1990000000000123</v>
      </c>
      <c r="S23" t="s">
        <v>54</v>
      </c>
      <c r="T23" t="s">
        <v>282</v>
      </c>
      <c r="U23">
        <v>75</v>
      </c>
      <c r="V23">
        <v>-3.0999999999999999E-3</v>
      </c>
      <c r="W23">
        <v>21.511913046964182</v>
      </c>
      <c r="X23">
        <v>2074.9102959770621</v>
      </c>
      <c r="Y23">
        <v>9.0579999999999998</v>
      </c>
      <c r="Z23">
        <v>0</v>
      </c>
      <c r="AA23">
        <v>4.2001999999999953</v>
      </c>
      <c r="AB23" t="s">
        <v>54</v>
      </c>
      <c r="AC23" t="s">
        <v>380</v>
      </c>
      <c r="AD23">
        <v>76</v>
      </c>
      <c r="AE23">
        <v>-3.0999999999999999E-3</v>
      </c>
      <c r="AF23">
        <v>21.511913046964182</v>
      </c>
      <c r="AG23">
        <v>2074.9102959770621</v>
      </c>
      <c r="AH23">
        <v>9.0579999999999998</v>
      </c>
      <c r="AI23">
        <v>0</v>
      </c>
      <c r="AJ23">
        <v>4.2007999999999583</v>
      </c>
      <c r="AK23" s="2"/>
      <c r="AT23" s="2"/>
    </row>
    <row r="24" spans="1:46" x14ac:dyDescent="0.3">
      <c r="A24" t="s">
        <v>54</v>
      </c>
      <c r="B24" t="s">
        <v>84</v>
      </c>
      <c r="C24">
        <v>75</v>
      </c>
      <c r="D24">
        <v>-3.0999999999999999E-3</v>
      </c>
      <c r="E24">
        <v>21.511913046964182</v>
      </c>
      <c r="F24">
        <v>2074.9102959770621</v>
      </c>
      <c r="G24">
        <v>9.0579999999999998</v>
      </c>
      <c r="H24">
        <v>0</v>
      </c>
      <c r="I24">
        <v>4.4019000000000119</v>
      </c>
      <c r="J24" t="s">
        <v>54</v>
      </c>
      <c r="K24" t="s">
        <v>183</v>
      </c>
      <c r="L24">
        <v>75</v>
      </c>
      <c r="M24">
        <v>-3.0999999999999999E-3</v>
      </c>
      <c r="N24">
        <v>21.511913046964182</v>
      </c>
      <c r="O24">
        <v>2074.9102959770621</v>
      </c>
      <c r="P24">
        <v>9.0579999999999998</v>
      </c>
      <c r="Q24">
        <v>0</v>
      </c>
      <c r="R24">
        <v>4.3990000000000009</v>
      </c>
      <c r="S24" t="s">
        <v>54</v>
      </c>
      <c r="T24" t="s">
        <v>283</v>
      </c>
      <c r="U24">
        <v>75</v>
      </c>
      <c r="V24">
        <v>-3.0999999999999999E-3</v>
      </c>
      <c r="W24">
        <v>21.511913046964182</v>
      </c>
      <c r="X24">
        <v>2074.9102959770621</v>
      </c>
      <c r="Y24">
        <v>9.0579999999999998</v>
      </c>
      <c r="Z24">
        <v>0</v>
      </c>
      <c r="AA24">
        <v>4.3990000000000009</v>
      </c>
      <c r="AB24" t="s">
        <v>54</v>
      </c>
      <c r="AC24" t="s">
        <v>381</v>
      </c>
      <c r="AD24">
        <v>76</v>
      </c>
      <c r="AE24">
        <v>-3.0999999999999999E-3</v>
      </c>
      <c r="AF24">
        <v>21.511913046964182</v>
      </c>
      <c r="AG24">
        <v>2074.9102959770621</v>
      </c>
      <c r="AH24">
        <v>9.0579999999999998</v>
      </c>
      <c r="AI24">
        <v>0</v>
      </c>
      <c r="AJ24">
        <v>4.3988999999999692</v>
      </c>
      <c r="AK24" s="2"/>
      <c r="AT24" s="2"/>
    </row>
    <row r="25" spans="1:46" x14ac:dyDescent="0.3">
      <c r="A25" t="s">
        <v>54</v>
      </c>
      <c r="B25" t="s">
        <v>85</v>
      </c>
      <c r="C25">
        <v>75</v>
      </c>
      <c r="D25">
        <v>-3.0999999999999999E-3</v>
      </c>
      <c r="E25">
        <v>21.511913046964182</v>
      </c>
      <c r="F25">
        <v>2074.9102959770621</v>
      </c>
      <c r="G25">
        <v>9.0579999999999998</v>
      </c>
      <c r="H25">
        <v>0</v>
      </c>
      <c r="I25">
        <v>4.600400000000036</v>
      </c>
      <c r="J25" t="s">
        <v>54</v>
      </c>
      <c r="K25" t="s">
        <v>184</v>
      </c>
      <c r="L25">
        <v>75</v>
      </c>
      <c r="M25">
        <v>-3.0999999999999999E-3</v>
      </c>
      <c r="N25">
        <v>21.511913046964182</v>
      </c>
      <c r="O25">
        <v>2074.9102959770621</v>
      </c>
      <c r="P25">
        <v>9.0579999999999998</v>
      </c>
      <c r="Q25">
        <v>0</v>
      </c>
      <c r="R25">
        <v>4.601600000000019</v>
      </c>
      <c r="S25" t="s">
        <v>54</v>
      </c>
      <c r="T25" t="s">
        <v>284</v>
      </c>
      <c r="U25">
        <v>75</v>
      </c>
      <c r="V25">
        <v>-3.0999999999999999E-3</v>
      </c>
      <c r="W25">
        <v>21.511913046964182</v>
      </c>
      <c r="X25">
        <v>2074.9102959770621</v>
      </c>
      <c r="Y25">
        <v>9.0579999999999998</v>
      </c>
      <c r="Z25">
        <v>0</v>
      </c>
      <c r="AA25">
        <v>4.5990999999999644</v>
      </c>
      <c r="AB25" t="s">
        <v>54</v>
      </c>
      <c r="AC25" t="s">
        <v>382</v>
      </c>
      <c r="AD25">
        <v>76</v>
      </c>
      <c r="AE25">
        <v>-3.0999999999999999E-3</v>
      </c>
      <c r="AF25">
        <v>21.511913046964182</v>
      </c>
      <c r="AG25">
        <v>2074.9102959770621</v>
      </c>
      <c r="AH25">
        <v>9.0579999999999998</v>
      </c>
      <c r="AI25">
        <v>0</v>
      </c>
      <c r="AJ25">
        <v>4.5991999999999962</v>
      </c>
      <c r="AK25" s="2"/>
      <c r="AT25" s="2"/>
    </row>
    <row r="26" spans="1:46" x14ac:dyDescent="0.3">
      <c r="A26" t="s">
        <v>54</v>
      </c>
      <c r="B26" t="s">
        <v>86</v>
      </c>
      <c r="C26">
        <v>75</v>
      </c>
      <c r="D26">
        <v>-3.2000000000000002E-3</v>
      </c>
      <c r="E26">
        <v>21.511913046964182</v>
      </c>
      <c r="F26">
        <v>2074.9102959770621</v>
      </c>
      <c r="G26">
        <v>9.0579999999999998</v>
      </c>
      <c r="H26">
        <v>0</v>
      </c>
      <c r="I26">
        <v>4.8009000000000128</v>
      </c>
      <c r="J26" t="s">
        <v>54</v>
      </c>
      <c r="K26" t="s">
        <v>185</v>
      </c>
      <c r="L26">
        <v>75</v>
      </c>
      <c r="M26">
        <v>-3.0999999999999999E-3</v>
      </c>
      <c r="N26">
        <v>21.511913046964182</v>
      </c>
      <c r="O26">
        <v>2074.9102959770621</v>
      </c>
      <c r="P26">
        <v>9.0579999999999998</v>
      </c>
      <c r="Q26">
        <v>0</v>
      </c>
      <c r="R26">
        <v>4.8004000000000246</v>
      </c>
      <c r="S26" t="s">
        <v>54</v>
      </c>
      <c r="T26" t="s">
        <v>285</v>
      </c>
      <c r="U26">
        <v>75</v>
      </c>
      <c r="V26">
        <v>-3.0999999999999999E-3</v>
      </c>
      <c r="W26">
        <v>21.511913046964182</v>
      </c>
      <c r="X26">
        <v>2074.9102959770621</v>
      </c>
      <c r="Y26">
        <v>9.0579999999999998</v>
      </c>
      <c r="Z26">
        <v>0</v>
      </c>
      <c r="AA26">
        <v>4.7992999999999597</v>
      </c>
      <c r="AB26" t="s">
        <v>54</v>
      </c>
      <c r="AC26" t="s">
        <v>383</v>
      </c>
      <c r="AD26">
        <v>76</v>
      </c>
      <c r="AE26">
        <v>-3.0999999999999999E-3</v>
      </c>
      <c r="AF26">
        <v>21.511913046964182</v>
      </c>
      <c r="AG26">
        <v>2074.9102959770621</v>
      </c>
      <c r="AH26">
        <v>9.0579999999999998</v>
      </c>
      <c r="AI26">
        <v>0</v>
      </c>
      <c r="AJ26">
        <v>4.8009999999999877</v>
      </c>
      <c r="AK26" s="2"/>
      <c r="AT26" s="2"/>
    </row>
    <row r="27" spans="1:46" x14ac:dyDescent="0.3">
      <c r="A27" t="s">
        <v>54</v>
      </c>
      <c r="B27" t="s">
        <v>87</v>
      </c>
      <c r="C27">
        <v>75</v>
      </c>
      <c r="D27">
        <v>-3.0999999999999999E-3</v>
      </c>
      <c r="E27">
        <v>25.566620546593018</v>
      </c>
      <c r="F27">
        <v>2566.2722898716779</v>
      </c>
      <c r="G27">
        <v>9.0579999999999998</v>
      </c>
      <c r="H27">
        <v>6.3E-2</v>
      </c>
      <c r="I27">
        <v>5.0019000000000347</v>
      </c>
      <c r="J27" t="s">
        <v>54</v>
      </c>
      <c r="K27" t="s">
        <v>186</v>
      </c>
      <c r="L27">
        <v>75</v>
      </c>
      <c r="M27">
        <v>-3.0999999999999999E-3</v>
      </c>
      <c r="N27">
        <v>25.566620546593018</v>
      </c>
      <c r="O27">
        <v>2566.2722898716779</v>
      </c>
      <c r="P27">
        <v>9.0579999999999998</v>
      </c>
      <c r="Q27">
        <v>6.3E-2</v>
      </c>
      <c r="R27">
        <v>5.0018999999999778</v>
      </c>
      <c r="S27" t="s">
        <v>54</v>
      </c>
      <c r="T27" t="s">
        <v>286</v>
      </c>
      <c r="U27">
        <v>75</v>
      </c>
      <c r="V27">
        <v>-3.0999999999999999E-3</v>
      </c>
      <c r="W27">
        <v>25.566620546593018</v>
      </c>
      <c r="X27">
        <v>2566.2722898716779</v>
      </c>
      <c r="Y27">
        <v>9.0579999999999998</v>
      </c>
      <c r="Z27">
        <v>6.3E-2</v>
      </c>
      <c r="AA27">
        <v>4.9984999999999786</v>
      </c>
      <c r="AB27" t="s">
        <v>54</v>
      </c>
      <c r="AC27" t="s">
        <v>384</v>
      </c>
      <c r="AD27">
        <v>76</v>
      </c>
      <c r="AE27">
        <v>-3.0999999999999999E-3</v>
      </c>
      <c r="AF27">
        <v>25.566620546593018</v>
      </c>
      <c r="AG27">
        <v>2566.2722898716779</v>
      </c>
      <c r="AH27">
        <v>9.0579999999999998</v>
      </c>
      <c r="AI27">
        <v>6.3E-2</v>
      </c>
      <c r="AJ27">
        <v>5.0004999999999882</v>
      </c>
      <c r="AK27" s="2"/>
      <c r="AT27" s="2"/>
    </row>
    <row r="28" spans="1:46" x14ac:dyDescent="0.3">
      <c r="A28" t="s">
        <v>54</v>
      </c>
      <c r="B28" t="s">
        <v>88</v>
      </c>
      <c r="C28">
        <v>75</v>
      </c>
      <c r="D28">
        <v>1.6199999999999999E-2</v>
      </c>
      <c r="E28">
        <v>25.566620546593018</v>
      </c>
      <c r="F28">
        <v>2452.8090349424701</v>
      </c>
      <c r="G28">
        <v>9.0579999999999998</v>
      </c>
      <c r="H28">
        <v>6.3E-2</v>
      </c>
      <c r="I28">
        <v>5.2014000000000351</v>
      </c>
      <c r="J28" t="s">
        <v>54</v>
      </c>
      <c r="K28" t="s">
        <v>187</v>
      </c>
      <c r="L28">
        <v>75</v>
      </c>
      <c r="M28">
        <v>1.52E-2</v>
      </c>
      <c r="N28">
        <v>25.566620546593018</v>
      </c>
      <c r="O28">
        <v>2452.8090349424701</v>
      </c>
      <c r="P28">
        <v>9.0579999999999998</v>
      </c>
      <c r="Q28">
        <v>6.3E-2</v>
      </c>
      <c r="R28">
        <v>5.1979000000000042</v>
      </c>
      <c r="S28" t="s">
        <v>54</v>
      </c>
      <c r="T28" t="s">
        <v>287</v>
      </c>
      <c r="U28">
        <v>75</v>
      </c>
      <c r="V28">
        <v>1.2699999999999999E-2</v>
      </c>
      <c r="W28">
        <v>25.566620546593018</v>
      </c>
      <c r="X28">
        <v>2452.8090349424701</v>
      </c>
      <c r="Y28">
        <v>9.0579999999999998</v>
      </c>
      <c r="Z28">
        <v>6.3E-2</v>
      </c>
      <c r="AA28">
        <v>5.2016999999999598</v>
      </c>
      <c r="AB28" t="s">
        <v>54</v>
      </c>
      <c r="AC28" t="s">
        <v>385</v>
      </c>
      <c r="AD28">
        <v>76</v>
      </c>
      <c r="AE28">
        <v>1.18E-2</v>
      </c>
      <c r="AF28">
        <v>25.566620546593018</v>
      </c>
      <c r="AG28">
        <v>2452.8090349424701</v>
      </c>
      <c r="AH28">
        <v>9.0579999999999998</v>
      </c>
      <c r="AI28">
        <v>6.3E-2</v>
      </c>
      <c r="AJ28">
        <v>5.1991999999999621</v>
      </c>
      <c r="AK28" s="2"/>
      <c r="AT28" s="2"/>
    </row>
    <row r="29" spans="1:46" x14ac:dyDescent="0.3">
      <c r="A29" t="s">
        <v>54</v>
      </c>
      <c r="B29" t="s">
        <v>89</v>
      </c>
      <c r="C29">
        <v>75</v>
      </c>
      <c r="D29">
        <v>3.3300000000000003E-2</v>
      </c>
      <c r="E29">
        <v>25.566620546593018</v>
      </c>
      <c r="F29">
        <v>2452.8090349424701</v>
      </c>
      <c r="G29">
        <v>9.0579999999999998</v>
      </c>
      <c r="H29">
        <v>6.3E-2</v>
      </c>
      <c r="I29">
        <v>5.4033000000000015</v>
      </c>
      <c r="J29" t="s">
        <v>54</v>
      </c>
      <c r="K29" t="s">
        <v>188</v>
      </c>
      <c r="L29">
        <v>75</v>
      </c>
      <c r="M29">
        <v>3.2300000000000002E-2</v>
      </c>
      <c r="N29">
        <v>25.566620546593018</v>
      </c>
      <c r="O29">
        <v>2452.8090349424701</v>
      </c>
      <c r="P29">
        <v>9.0579999999999998</v>
      </c>
      <c r="Q29">
        <v>6.3E-2</v>
      </c>
      <c r="R29">
        <v>5.3994999999999891</v>
      </c>
      <c r="S29" t="s">
        <v>54</v>
      </c>
      <c r="T29" t="s">
        <v>288</v>
      </c>
      <c r="U29">
        <v>75</v>
      </c>
      <c r="V29">
        <v>3.1699999999999999E-2</v>
      </c>
      <c r="W29">
        <v>25.566620546593018</v>
      </c>
      <c r="X29">
        <v>2452.8090349424701</v>
      </c>
      <c r="Y29">
        <v>9.0579999999999998</v>
      </c>
      <c r="Z29">
        <v>6.3E-2</v>
      </c>
      <c r="AA29">
        <v>5.3990000000000009</v>
      </c>
      <c r="AB29" t="s">
        <v>54</v>
      </c>
      <c r="AC29" t="s">
        <v>386</v>
      </c>
      <c r="AD29">
        <v>76</v>
      </c>
      <c r="AE29">
        <v>3.0599999999999999E-2</v>
      </c>
      <c r="AF29">
        <v>25.566620546593018</v>
      </c>
      <c r="AG29">
        <v>2452.8090349424701</v>
      </c>
      <c r="AH29">
        <v>9.0579999999999998</v>
      </c>
      <c r="AI29">
        <v>6.3E-2</v>
      </c>
      <c r="AJ29">
        <v>5.4014999999999986</v>
      </c>
      <c r="AK29" s="2"/>
      <c r="AT29" s="2"/>
    </row>
    <row r="30" spans="1:46" x14ac:dyDescent="0.3">
      <c r="A30" t="s">
        <v>54</v>
      </c>
      <c r="B30" t="s">
        <v>90</v>
      </c>
      <c r="C30">
        <v>75</v>
      </c>
      <c r="D30">
        <v>3.7999999999999999E-2</v>
      </c>
      <c r="E30">
        <v>25.566620546593018</v>
      </c>
      <c r="F30">
        <v>2452.8090349424701</v>
      </c>
      <c r="G30">
        <v>9.0579999999999998</v>
      </c>
      <c r="H30">
        <v>6.3E-2</v>
      </c>
      <c r="I30">
        <v>5.6034000000000219</v>
      </c>
      <c r="J30" t="s">
        <v>54</v>
      </c>
      <c r="K30" t="s">
        <v>189</v>
      </c>
      <c r="L30">
        <v>75</v>
      </c>
      <c r="M30">
        <v>3.7699999999999997E-2</v>
      </c>
      <c r="N30">
        <v>25.566620546593018</v>
      </c>
      <c r="O30">
        <v>2452.8090349424701</v>
      </c>
      <c r="P30">
        <v>9.0579999999999998</v>
      </c>
      <c r="Q30">
        <v>6.3E-2</v>
      </c>
      <c r="R30">
        <v>5.6005999999999858</v>
      </c>
      <c r="S30" t="s">
        <v>54</v>
      </c>
      <c r="T30" t="s">
        <v>289</v>
      </c>
      <c r="U30">
        <v>75</v>
      </c>
      <c r="V30">
        <v>3.6700000000000003E-2</v>
      </c>
      <c r="W30">
        <v>25.566620546593018</v>
      </c>
      <c r="X30">
        <v>2452.8090349424701</v>
      </c>
      <c r="Y30">
        <v>9.0579999999999998</v>
      </c>
      <c r="Z30">
        <v>6.3E-2</v>
      </c>
      <c r="AA30">
        <v>5.598700000000008</v>
      </c>
      <c r="AB30" t="s">
        <v>54</v>
      </c>
      <c r="AC30" t="s">
        <v>387</v>
      </c>
      <c r="AD30">
        <v>76</v>
      </c>
      <c r="AE30">
        <v>3.5700000000000003E-2</v>
      </c>
      <c r="AF30">
        <v>25.566620546593018</v>
      </c>
      <c r="AG30">
        <v>2452.8090349424701</v>
      </c>
      <c r="AH30">
        <v>9.0579999999999998</v>
      </c>
      <c r="AI30">
        <v>6.3E-2</v>
      </c>
      <c r="AJ30">
        <v>5.599899999999991</v>
      </c>
      <c r="AK30" s="2"/>
      <c r="AT30" s="2"/>
    </row>
    <row r="31" spans="1:46" x14ac:dyDescent="0.3">
      <c r="A31" t="s">
        <v>54</v>
      </c>
      <c r="B31" t="s">
        <v>91</v>
      </c>
      <c r="C31">
        <v>75</v>
      </c>
      <c r="D31">
        <v>3.85E-2</v>
      </c>
      <c r="E31">
        <v>25.566620546593018</v>
      </c>
      <c r="F31">
        <v>2452.8090349424701</v>
      </c>
      <c r="G31">
        <v>9.0579999999999998</v>
      </c>
      <c r="H31">
        <v>6.3E-2</v>
      </c>
      <c r="I31">
        <v>5.8036999999999921</v>
      </c>
      <c r="J31" t="s">
        <v>54</v>
      </c>
      <c r="K31" t="s">
        <v>190</v>
      </c>
      <c r="L31">
        <v>75</v>
      </c>
      <c r="M31">
        <v>3.85E-2</v>
      </c>
      <c r="N31">
        <v>25.566620546593018</v>
      </c>
      <c r="O31">
        <v>2452.8090349424701</v>
      </c>
      <c r="P31">
        <v>9.0579999999999998</v>
      </c>
      <c r="Q31">
        <v>6.3E-2</v>
      </c>
      <c r="R31">
        <v>5.800200000000018</v>
      </c>
      <c r="S31" t="s">
        <v>54</v>
      </c>
      <c r="T31" t="s">
        <v>290</v>
      </c>
      <c r="U31">
        <v>75</v>
      </c>
      <c r="V31">
        <v>3.7999999999999999E-2</v>
      </c>
      <c r="W31">
        <v>25.566620546593018</v>
      </c>
      <c r="X31">
        <v>2452.8090349424701</v>
      </c>
      <c r="Y31">
        <v>9.0579999999999998</v>
      </c>
      <c r="Z31">
        <v>6.3E-2</v>
      </c>
      <c r="AA31">
        <v>5.8003999999999678</v>
      </c>
      <c r="AB31" t="s">
        <v>54</v>
      </c>
      <c r="AC31" t="s">
        <v>388</v>
      </c>
      <c r="AD31">
        <v>76</v>
      </c>
      <c r="AE31">
        <v>3.7499999999999999E-2</v>
      </c>
      <c r="AF31">
        <v>25.566620546593018</v>
      </c>
      <c r="AG31">
        <v>2452.8090349424701</v>
      </c>
      <c r="AH31">
        <v>9.0579999999999998</v>
      </c>
      <c r="AI31">
        <v>6.3E-2</v>
      </c>
      <c r="AJ31">
        <v>5.8002999999999929</v>
      </c>
      <c r="AK31" s="2"/>
      <c r="AT31" s="2"/>
    </row>
    <row r="32" spans="1:46" x14ac:dyDescent="0.3">
      <c r="A32" t="s">
        <v>54</v>
      </c>
      <c r="B32" t="s">
        <v>92</v>
      </c>
      <c r="C32">
        <v>75</v>
      </c>
      <c r="D32">
        <v>3.85E-2</v>
      </c>
      <c r="E32">
        <v>25.566620546593018</v>
      </c>
      <c r="F32">
        <v>2452.8090349424701</v>
      </c>
      <c r="G32">
        <v>9.0579999999999998</v>
      </c>
      <c r="H32">
        <v>6.3E-2</v>
      </c>
      <c r="I32">
        <v>6.0009000000000015</v>
      </c>
      <c r="J32" t="s">
        <v>54</v>
      </c>
      <c r="K32" t="s">
        <v>191</v>
      </c>
      <c r="L32">
        <v>75</v>
      </c>
      <c r="M32">
        <v>3.85E-2</v>
      </c>
      <c r="N32">
        <v>25.566620546593018</v>
      </c>
      <c r="O32">
        <v>2452.8090349424701</v>
      </c>
      <c r="P32">
        <v>9.0579999999999998</v>
      </c>
      <c r="Q32">
        <v>6.3E-2</v>
      </c>
      <c r="R32">
        <v>5.9999000000000251</v>
      </c>
      <c r="S32" t="s">
        <v>54</v>
      </c>
      <c r="T32" t="s">
        <v>291</v>
      </c>
      <c r="U32">
        <v>75</v>
      </c>
      <c r="V32">
        <v>3.8100000000000002E-2</v>
      </c>
      <c r="W32">
        <v>25.566620546593018</v>
      </c>
      <c r="X32">
        <v>2452.8090349424701</v>
      </c>
      <c r="Y32">
        <v>9.0579999999999998</v>
      </c>
      <c r="Z32">
        <v>6.3E-2</v>
      </c>
      <c r="AA32">
        <v>6.0005999999999631</v>
      </c>
      <c r="AB32" t="s">
        <v>54</v>
      </c>
      <c r="AC32" t="s">
        <v>389</v>
      </c>
      <c r="AD32">
        <v>76</v>
      </c>
      <c r="AE32">
        <v>3.7999999999999999E-2</v>
      </c>
      <c r="AF32">
        <v>25.566620546593018</v>
      </c>
      <c r="AG32">
        <v>2452.8090349424701</v>
      </c>
      <c r="AH32">
        <v>9.0579999999999998</v>
      </c>
      <c r="AI32">
        <v>6.3E-2</v>
      </c>
      <c r="AJ32">
        <v>6.005299999999977</v>
      </c>
      <c r="AK32" s="2"/>
      <c r="AT32" s="2"/>
    </row>
    <row r="33" spans="1:46" x14ac:dyDescent="0.3">
      <c r="A33" t="s">
        <v>54</v>
      </c>
      <c r="B33" t="s">
        <v>93</v>
      </c>
      <c r="C33">
        <v>75</v>
      </c>
      <c r="D33">
        <v>3.85E-2</v>
      </c>
      <c r="E33">
        <v>25.566620546593018</v>
      </c>
      <c r="F33">
        <v>2452.8090349424701</v>
      </c>
      <c r="G33">
        <v>9.0579999999999998</v>
      </c>
      <c r="H33">
        <v>6.3E-2</v>
      </c>
      <c r="I33">
        <v>6.2007000000000403</v>
      </c>
      <c r="J33" t="s">
        <v>54</v>
      </c>
      <c r="K33" t="s">
        <v>192</v>
      </c>
      <c r="L33">
        <v>75</v>
      </c>
      <c r="M33">
        <v>3.85E-2</v>
      </c>
      <c r="N33">
        <v>25.566620546593018</v>
      </c>
      <c r="O33">
        <v>2452.8090349424701</v>
      </c>
      <c r="P33">
        <v>9.0579999999999998</v>
      </c>
      <c r="Q33">
        <v>6.3E-2</v>
      </c>
      <c r="R33">
        <v>6.2015999999999849</v>
      </c>
      <c r="S33" t="s">
        <v>54</v>
      </c>
      <c r="T33" t="s">
        <v>292</v>
      </c>
      <c r="U33">
        <v>75</v>
      </c>
      <c r="V33">
        <v>3.8100000000000002E-2</v>
      </c>
      <c r="W33">
        <v>25.566620546593018</v>
      </c>
      <c r="X33">
        <v>2452.8090349424701</v>
      </c>
      <c r="Y33">
        <v>9.0579999999999998</v>
      </c>
      <c r="Z33">
        <v>6.3E-2</v>
      </c>
      <c r="AA33">
        <v>6.200999999999965</v>
      </c>
      <c r="AB33" t="s">
        <v>54</v>
      </c>
      <c r="AC33" t="s">
        <v>390</v>
      </c>
      <c r="AD33">
        <v>76</v>
      </c>
      <c r="AE33">
        <v>3.8100000000000002E-2</v>
      </c>
      <c r="AF33">
        <v>25.566620546593018</v>
      </c>
      <c r="AG33">
        <v>2452.8090349424701</v>
      </c>
      <c r="AH33">
        <v>9.0579999999999998</v>
      </c>
      <c r="AI33">
        <v>6.3E-2</v>
      </c>
      <c r="AJ33">
        <v>6.1989999999999554</v>
      </c>
      <c r="AK33" s="2"/>
      <c r="AT33" s="2"/>
    </row>
    <row r="34" spans="1:46" x14ac:dyDescent="0.3">
      <c r="A34" t="s">
        <v>54</v>
      </c>
      <c r="B34" t="s">
        <v>94</v>
      </c>
      <c r="C34">
        <v>75</v>
      </c>
      <c r="D34">
        <v>3.85E-2</v>
      </c>
      <c r="E34">
        <v>25.566620546593018</v>
      </c>
      <c r="F34">
        <v>2452.8090349424701</v>
      </c>
      <c r="G34">
        <v>9.0579999999999998</v>
      </c>
      <c r="H34">
        <v>6.3E-2</v>
      </c>
      <c r="I34">
        <v>6.4043000000000347</v>
      </c>
      <c r="J34" t="s">
        <v>54</v>
      </c>
      <c r="K34" t="s">
        <v>193</v>
      </c>
      <c r="L34">
        <v>75</v>
      </c>
      <c r="M34">
        <v>3.85E-2</v>
      </c>
      <c r="N34">
        <v>25.566620546593018</v>
      </c>
      <c r="O34">
        <v>2452.8090349424701</v>
      </c>
      <c r="P34">
        <v>9.0579999999999998</v>
      </c>
      <c r="Q34">
        <v>6.3E-2</v>
      </c>
      <c r="R34">
        <v>6.3994000000000142</v>
      </c>
      <c r="S34" t="s">
        <v>54</v>
      </c>
      <c r="T34" t="s">
        <v>293</v>
      </c>
      <c r="U34">
        <v>75</v>
      </c>
      <c r="V34">
        <v>3.8100000000000002E-2</v>
      </c>
      <c r="W34">
        <v>25.566620546593018</v>
      </c>
      <c r="X34">
        <v>2452.8090349424701</v>
      </c>
      <c r="Y34">
        <v>9.0579999999999998</v>
      </c>
      <c r="Z34">
        <v>6.3E-2</v>
      </c>
      <c r="AA34">
        <v>6.4021999999999935</v>
      </c>
      <c r="AB34" t="s">
        <v>54</v>
      </c>
      <c r="AC34" t="s">
        <v>391</v>
      </c>
      <c r="AD34">
        <v>76</v>
      </c>
      <c r="AE34">
        <v>3.8100000000000002E-2</v>
      </c>
      <c r="AF34">
        <v>25.566620546593018</v>
      </c>
      <c r="AG34">
        <v>2452.8090349424701</v>
      </c>
      <c r="AH34">
        <v>9.0579999999999998</v>
      </c>
      <c r="AI34">
        <v>6.3E-2</v>
      </c>
      <c r="AJ34">
        <v>6.3999000000000024</v>
      </c>
      <c r="AK34" s="2"/>
      <c r="AT34" s="2"/>
    </row>
    <row r="35" spans="1:46" x14ac:dyDescent="0.3">
      <c r="A35" t="s">
        <v>54</v>
      </c>
      <c r="B35" t="s">
        <v>95</v>
      </c>
      <c r="C35">
        <v>75</v>
      </c>
      <c r="D35">
        <v>3.85E-2</v>
      </c>
      <c r="E35">
        <v>25.566620546593018</v>
      </c>
      <c r="F35">
        <v>2452.8090349424701</v>
      </c>
      <c r="G35">
        <v>9.0579999999999998</v>
      </c>
      <c r="H35">
        <v>6.3E-2</v>
      </c>
      <c r="I35">
        <v>6.6014000000000124</v>
      </c>
      <c r="J35" t="s">
        <v>54</v>
      </c>
      <c r="K35" t="s">
        <v>194</v>
      </c>
      <c r="L35">
        <v>75</v>
      </c>
      <c r="M35">
        <v>3.85E-2</v>
      </c>
      <c r="N35">
        <v>25.566620546593018</v>
      </c>
      <c r="O35">
        <v>2452.8090349424701</v>
      </c>
      <c r="P35">
        <v>9.0579999999999998</v>
      </c>
      <c r="Q35">
        <v>6.3E-2</v>
      </c>
      <c r="R35">
        <v>6.598700000000008</v>
      </c>
      <c r="S35" t="s">
        <v>54</v>
      </c>
      <c r="T35" t="s">
        <v>294</v>
      </c>
      <c r="U35">
        <v>75</v>
      </c>
      <c r="V35">
        <v>3.8100000000000002E-2</v>
      </c>
      <c r="W35">
        <v>25.566620546593018</v>
      </c>
      <c r="X35">
        <v>2452.8090349424701</v>
      </c>
      <c r="Y35">
        <v>9.0579999999999998</v>
      </c>
      <c r="Z35">
        <v>6.3E-2</v>
      </c>
      <c r="AA35">
        <v>6.6001999999999725</v>
      </c>
      <c r="AB35" t="s">
        <v>54</v>
      </c>
      <c r="AC35" t="s">
        <v>392</v>
      </c>
      <c r="AD35">
        <v>76</v>
      </c>
      <c r="AE35">
        <v>3.8100000000000002E-2</v>
      </c>
      <c r="AF35">
        <v>25.566620546593018</v>
      </c>
      <c r="AG35">
        <v>2452.8090349424701</v>
      </c>
      <c r="AH35">
        <v>9.0579999999999998</v>
      </c>
      <c r="AI35">
        <v>6.3E-2</v>
      </c>
      <c r="AJ35">
        <v>6.6017999999999688</v>
      </c>
      <c r="AK35" s="2"/>
      <c r="AT35" s="2"/>
    </row>
    <row r="36" spans="1:46" x14ac:dyDescent="0.3">
      <c r="A36" t="s">
        <v>54</v>
      </c>
      <c r="B36" t="s">
        <v>96</v>
      </c>
      <c r="C36">
        <v>75</v>
      </c>
      <c r="D36">
        <v>3.85E-2</v>
      </c>
      <c r="E36">
        <v>21.511913046964182</v>
      </c>
      <c r="F36">
        <v>2074.9102959770621</v>
      </c>
      <c r="G36">
        <v>9.0579999999999998</v>
      </c>
      <c r="H36">
        <v>0</v>
      </c>
      <c r="I36">
        <v>6.8059000000000083</v>
      </c>
      <c r="J36" t="s">
        <v>54</v>
      </c>
      <c r="K36" t="s">
        <v>195</v>
      </c>
      <c r="L36">
        <v>75</v>
      </c>
      <c r="M36">
        <v>3.85E-2</v>
      </c>
      <c r="N36">
        <v>25.566620546593018</v>
      </c>
      <c r="O36">
        <v>2452.8090349424701</v>
      </c>
      <c r="P36">
        <v>9.0579999999999998</v>
      </c>
      <c r="Q36">
        <v>6.3E-2</v>
      </c>
      <c r="R36">
        <v>6.8014999999999759</v>
      </c>
      <c r="S36" t="s">
        <v>54</v>
      </c>
      <c r="T36" t="s">
        <v>295</v>
      </c>
      <c r="U36">
        <v>75</v>
      </c>
      <c r="V36">
        <v>3.8100000000000002E-2</v>
      </c>
      <c r="W36">
        <v>25.566620546593018</v>
      </c>
      <c r="X36">
        <v>2452.8090349424701</v>
      </c>
      <c r="Y36">
        <v>9.0579999999999998</v>
      </c>
      <c r="Z36">
        <v>6.3E-2</v>
      </c>
      <c r="AA36">
        <v>6.7982999999999834</v>
      </c>
      <c r="AB36" t="s">
        <v>54</v>
      </c>
      <c r="AC36" t="s">
        <v>393</v>
      </c>
      <c r="AD36">
        <v>76</v>
      </c>
      <c r="AE36">
        <v>3.8100000000000002E-2</v>
      </c>
      <c r="AF36">
        <v>25.566620546593018</v>
      </c>
      <c r="AG36">
        <v>2452.8090349424701</v>
      </c>
      <c r="AH36">
        <v>9.0579999999999998</v>
      </c>
      <c r="AI36">
        <v>6.3E-2</v>
      </c>
      <c r="AJ36">
        <v>6.8004999999999995</v>
      </c>
      <c r="AK36" s="2"/>
      <c r="AT36" s="2"/>
    </row>
    <row r="37" spans="1:46" x14ac:dyDescent="0.3">
      <c r="A37" t="s">
        <v>54</v>
      </c>
      <c r="B37" t="s">
        <v>97</v>
      </c>
      <c r="C37">
        <v>75</v>
      </c>
      <c r="D37">
        <v>3.1E-2</v>
      </c>
      <c r="E37">
        <v>21.511913046964182</v>
      </c>
      <c r="F37">
        <v>2074.9102959770621</v>
      </c>
      <c r="G37">
        <v>9.0579999999999998</v>
      </c>
      <c r="H37">
        <v>0</v>
      </c>
      <c r="I37">
        <v>7.0011000000000081</v>
      </c>
      <c r="J37" t="s">
        <v>54</v>
      </c>
      <c r="K37" t="s">
        <v>196</v>
      </c>
      <c r="L37">
        <v>75</v>
      </c>
      <c r="M37">
        <v>3.85E-2</v>
      </c>
      <c r="N37">
        <v>21.511913046964182</v>
      </c>
      <c r="O37">
        <v>2074.9102959770621</v>
      </c>
      <c r="P37">
        <v>9.0579999999999998</v>
      </c>
      <c r="Q37">
        <v>0</v>
      </c>
      <c r="R37">
        <v>6.9997000000000185</v>
      </c>
      <c r="S37" t="s">
        <v>54</v>
      </c>
      <c r="T37" t="s">
        <v>296</v>
      </c>
      <c r="U37">
        <v>75</v>
      </c>
      <c r="V37">
        <v>3.8199999999999998E-2</v>
      </c>
      <c r="W37">
        <v>21.511913046964182</v>
      </c>
      <c r="X37">
        <v>2074.9102959770621</v>
      </c>
      <c r="Y37">
        <v>9.0579999999999998</v>
      </c>
      <c r="Z37">
        <v>0</v>
      </c>
      <c r="AA37">
        <v>6.9997999999999934</v>
      </c>
      <c r="AB37" t="s">
        <v>54</v>
      </c>
      <c r="AC37" t="s">
        <v>394</v>
      </c>
      <c r="AD37">
        <v>76</v>
      </c>
      <c r="AE37">
        <v>3.8100000000000002E-2</v>
      </c>
      <c r="AF37">
        <v>21.511913046964182</v>
      </c>
      <c r="AG37">
        <v>2074.9102959770621</v>
      </c>
      <c r="AH37">
        <v>9.0579999999999998</v>
      </c>
      <c r="AI37">
        <v>0</v>
      </c>
      <c r="AJ37">
        <v>6.9995999999999867</v>
      </c>
      <c r="AK37" s="2"/>
      <c r="AT37" s="2"/>
    </row>
    <row r="38" spans="1:46" x14ac:dyDescent="0.3">
      <c r="A38" t="s">
        <v>54</v>
      </c>
      <c r="B38" t="s">
        <v>98</v>
      </c>
      <c r="C38">
        <v>75</v>
      </c>
      <c r="D38">
        <v>1.6799999999999999E-2</v>
      </c>
      <c r="E38">
        <v>21.511913046964182</v>
      </c>
      <c r="F38">
        <v>2074.9102959770621</v>
      </c>
      <c r="G38">
        <v>9.0579999999999998</v>
      </c>
      <c r="H38">
        <v>0</v>
      </c>
      <c r="I38">
        <v>7.2006000000000085</v>
      </c>
      <c r="J38" t="s">
        <v>54</v>
      </c>
      <c r="K38" t="s">
        <v>197</v>
      </c>
      <c r="L38">
        <v>75</v>
      </c>
      <c r="M38">
        <v>3.2500000000000001E-2</v>
      </c>
      <c r="N38">
        <v>21.511913046964182</v>
      </c>
      <c r="O38">
        <v>2074.9102959770621</v>
      </c>
      <c r="P38">
        <v>9.0579999999999998</v>
      </c>
      <c r="Q38">
        <v>0</v>
      </c>
      <c r="R38">
        <v>7.1988000000000056</v>
      </c>
      <c r="S38" t="s">
        <v>54</v>
      </c>
      <c r="T38" t="s">
        <v>297</v>
      </c>
      <c r="U38">
        <v>75</v>
      </c>
      <c r="V38">
        <v>3.2000000000000001E-2</v>
      </c>
      <c r="W38">
        <v>21.511913046964182</v>
      </c>
      <c r="X38">
        <v>2074.9102959770621</v>
      </c>
      <c r="Y38">
        <v>9.0579999999999998</v>
      </c>
      <c r="Z38">
        <v>0</v>
      </c>
      <c r="AA38">
        <v>7.2011999999999716</v>
      </c>
      <c r="AB38" t="s">
        <v>54</v>
      </c>
      <c r="AC38" t="s">
        <v>395</v>
      </c>
      <c r="AD38">
        <v>76</v>
      </c>
      <c r="AE38">
        <v>2.93E-2</v>
      </c>
      <c r="AF38">
        <v>21.511913046964182</v>
      </c>
      <c r="AG38">
        <v>2074.9102959770621</v>
      </c>
      <c r="AH38">
        <v>9.0579999999999998</v>
      </c>
      <c r="AI38">
        <v>0</v>
      </c>
      <c r="AJ38">
        <v>7.2006999999999834</v>
      </c>
      <c r="AK38" s="2"/>
      <c r="AT38" s="2"/>
    </row>
    <row r="39" spans="1:46" x14ac:dyDescent="0.3">
      <c r="A39" t="s">
        <v>54</v>
      </c>
      <c r="B39" t="s">
        <v>99</v>
      </c>
      <c r="C39">
        <v>75</v>
      </c>
      <c r="D39">
        <v>3.8E-3</v>
      </c>
      <c r="E39">
        <v>21.511913046964182</v>
      </c>
      <c r="F39">
        <v>2074.9102959770621</v>
      </c>
      <c r="G39">
        <v>9.0579999999999998</v>
      </c>
      <c r="H39">
        <v>0</v>
      </c>
      <c r="I39">
        <v>7.4026000000000067</v>
      </c>
      <c r="J39" t="s">
        <v>54</v>
      </c>
      <c r="K39" t="s">
        <v>198</v>
      </c>
      <c r="L39">
        <v>75</v>
      </c>
      <c r="M39">
        <v>1.6799999999999999E-2</v>
      </c>
      <c r="N39">
        <v>21.511913046964182</v>
      </c>
      <c r="O39">
        <v>2074.9102959770621</v>
      </c>
      <c r="P39">
        <v>9.0579999999999998</v>
      </c>
      <c r="Q39">
        <v>0</v>
      </c>
      <c r="R39">
        <v>7.4046999999999912</v>
      </c>
      <c r="S39" t="s">
        <v>54</v>
      </c>
      <c r="T39" t="s">
        <v>298</v>
      </c>
      <c r="U39">
        <v>75</v>
      </c>
      <c r="V39">
        <v>1.6299999999999999E-2</v>
      </c>
      <c r="W39">
        <v>21.511913046964182</v>
      </c>
      <c r="X39">
        <v>2074.9102959770621</v>
      </c>
      <c r="Y39">
        <v>9.0579999999999998</v>
      </c>
      <c r="Z39">
        <v>0</v>
      </c>
      <c r="AA39">
        <v>7.4010000000000105</v>
      </c>
      <c r="AB39" t="s">
        <v>54</v>
      </c>
      <c r="AC39" t="s">
        <v>396</v>
      </c>
      <c r="AD39">
        <v>76</v>
      </c>
      <c r="AE39">
        <v>1.8599999999999998E-2</v>
      </c>
      <c r="AF39">
        <v>21.511913046964182</v>
      </c>
      <c r="AG39">
        <v>2074.9102959770621</v>
      </c>
      <c r="AH39">
        <v>9.0579999999999998</v>
      </c>
      <c r="AI39">
        <v>0</v>
      </c>
      <c r="AJ39">
        <v>7.3993999999999573</v>
      </c>
      <c r="AK39" s="2"/>
      <c r="AT39" s="2"/>
    </row>
    <row r="40" spans="1:46" x14ac:dyDescent="0.3">
      <c r="A40" t="s">
        <v>54</v>
      </c>
      <c r="B40" t="s">
        <v>100</v>
      </c>
      <c r="C40">
        <v>75</v>
      </c>
      <c r="D40">
        <v>-3.0999999999999999E-3</v>
      </c>
      <c r="E40">
        <v>21.511913046964182</v>
      </c>
      <c r="F40">
        <v>2074.9102959770621</v>
      </c>
      <c r="G40">
        <v>9.0579999999999998</v>
      </c>
      <c r="H40">
        <v>0</v>
      </c>
      <c r="I40">
        <v>7.6015000000000441</v>
      </c>
      <c r="J40" t="s">
        <v>54</v>
      </c>
      <c r="K40" t="s">
        <v>199</v>
      </c>
      <c r="L40">
        <v>75</v>
      </c>
      <c r="M40">
        <v>3.8E-3</v>
      </c>
      <c r="N40">
        <v>21.511913046964182</v>
      </c>
      <c r="O40">
        <v>2074.9102959770621</v>
      </c>
      <c r="P40">
        <v>9.0579999999999998</v>
      </c>
      <c r="Q40">
        <v>0</v>
      </c>
      <c r="R40">
        <v>7.5996000000000095</v>
      </c>
      <c r="S40" t="s">
        <v>54</v>
      </c>
      <c r="T40" t="s">
        <v>299</v>
      </c>
      <c r="U40">
        <v>75</v>
      </c>
      <c r="V40">
        <v>5.0000000000000001E-3</v>
      </c>
      <c r="W40">
        <v>21.511913046964182</v>
      </c>
      <c r="X40">
        <v>2074.9102959770621</v>
      </c>
      <c r="Y40">
        <v>9.0579999999999998</v>
      </c>
      <c r="Z40">
        <v>0</v>
      </c>
      <c r="AA40">
        <v>7.6006999999999607</v>
      </c>
      <c r="AB40" t="s">
        <v>54</v>
      </c>
      <c r="AC40" t="s">
        <v>397</v>
      </c>
      <c r="AD40">
        <v>76</v>
      </c>
      <c r="AE40">
        <v>6.7000000000000002E-3</v>
      </c>
      <c r="AF40">
        <v>21.511913046964182</v>
      </c>
      <c r="AG40">
        <v>2074.9102959770621</v>
      </c>
      <c r="AH40">
        <v>9.0579999999999998</v>
      </c>
      <c r="AI40">
        <v>0</v>
      </c>
      <c r="AJ40">
        <v>7.6013999999999555</v>
      </c>
      <c r="AK40" s="2"/>
      <c r="AT40" s="2"/>
    </row>
    <row r="41" spans="1:46" x14ac:dyDescent="0.3">
      <c r="A41" t="s">
        <v>54</v>
      </c>
      <c r="B41" t="s">
        <v>101</v>
      </c>
      <c r="C41">
        <v>75</v>
      </c>
      <c r="D41">
        <v>-3.0999999999999999E-3</v>
      </c>
      <c r="E41">
        <v>21.511913046964182</v>
      </c>
      <c r="F41">
        <v>2074.9102959770621</v>
      </c>
      <c r="G41">
        <v>9.0579999999999998</v>
      </c>
      <c r="H41">
        <v>0</v>
      </c>
      <c r="I41">
        <v>7.8016000000000076</v>
      </c>
      <c r="J41" t="s">
        <v>54</v>
      </c>
      <c r="K41" t="s">
        <v>200</v>
      </c>
      <c r="L41">
        <v>75</v>
      </c>
      <c r="M41">
        <v>-3.0999999999999999E-3</v>
      </c>
      <c r="N41">
        <v>21.511913046964182</v>
      </c>
      <c r="O41">
        <v>2074.9102959770621</v>
      </c>
      <c r="P41">
        <v>9.0579999999999998</v>
      </c>
      <c r="Q41">
        <v>0</v>
      </c>
      <c r="R41">
        <v>7.79849999999999</v>
      </c>
      <c r="S41" t="s">
        <v>54</v>
      </c>
      <c r="T41" t="s">
        <v>300</v>
      </c>
      <c r="U41">
        <v>75</v>
      </c>
      <c r="V41">
        <v>-3.0999999999999999E-3</v>
      </c>
      <c r="W41">
        <v>21.511913046964182</v>
      </c>
      <c r="X41">
        <v>2074.9102959770621</v>
      </c>
      <c r="Y41">
        <v>9.0579999999999998</v>
      </c>
      <c r="Z41">
        <v>0</v>
      </c>
      <c r="AA41">
        <v>7.8007000000000062</v>
      </c>
      <c r="AB41" t="s">
        <v>54</v>
      </c>
      <c r="AC41" t="s">
        <v>398</v>
      </c>
      <c r="AD41">
        <v>76</v>
      </c>
      <c r="AE41">
        <v>-3.0000000000000001E-3</v>
      </c>
      <c r="AF41">
        <v>21.511913046964182</v>
      </c>
      <c r="AG41">
        <v>2074.9102959770621</v>
      </c>
      <c r="AH41">
        <v>9.0579999999999998</v>
      </c>
      <c r="AI41">
        <v>0</v>
      </c>
      <c r="AJ41">
        <v>7.8088999999999942</v>
      </c>
      <c r="AK41" s="2"/>
      <c r="AT41" s="2"/>
    </row>
    <row r="42" spans="1:46" x14ac:dyDescent="0.3">
      <c r="A42" t="s">
        <v>54</v>
      </c>
      <c r="B42" t="s">
        <v>102</v>
      </c>
      <c r="C42">
        <v>75</v>
      </c>
      <c r="D42">
        <v>-3.0999999999999999E-3</v>
      </c>
      <c r="E42">
        <v>21.511913046964182</v>
      </c>
      <c r="F42">
        <v>2074.9102959770621</v>
      </c>
      <c r="G42">
        <v>9.0579999999999998</v>
      </c>
      <c r="H42">
        <v>0</v>
      </c>
      <c r="I42">
        <v>8.0033000000000243</v>
      </c>
      <c r="J42" t="s">
        <v>54</v>
      </c>
      <c r="K42" t="s">
        <v>201</v>
      </c>
      <c r="L42">
        <v>75</v>
      </c>
      <c r="M42">
        <v>-3.0999999999999999E-3</v>
      </c>
      <c r="N42">
        <v>21.511913046964182</v>
      </c>
      <c r="O42">
        <v>2074.9102959770621</v>
      </c>
      <c r="P42">
        <v>9.0579999999999998</v>
      </c>
      <c r="Q42">
        <v>0</v>
      </c>
      <c r="R42">
        <v>7.9995999999999867</v>
      </c>
      <c r="S42" t="s">
        <v>54</v>
      </c>
      <c r="T42" t="s">
        <v>301</v>
      </c>
      <c r="U42">
        <v>75</v>
      </c>
      <c r="V42">
        <v>-3.0999999999999999E-3</v>
      </c>
      <c r="W42">
        <v>21.511913046964182</v>
      </c>
      <c r="X42">
        <v>2074.9102959770621</v>
      </c>
      <c r="Y42">
        <v>9.0579999999999998</v>
      </c>
      <c r="Z42">
        <v>0</v>
      </c>
      <c r="AA42">
        <v>8.0003999999999564</v>
      </c>
      <c r="AB42" t="s">
        <v>54</v>
      </c>
      <c r="AC42" t="s">
        <v>399</v>
      </c>
      <c r="AD42">
        <v>76</v>
      </c>
      <c r="AE42">
        <v>-3.0999999999999999E-3</v>
      </c>
      <c r="AF42">
        <v>21.511913046964182</v>
      </c>
      <c r="AG42">
        <v>2074.9102959770621</v>
      </c>
      <c r="AH42">
        <v>9.0579999999999998</v>
      </c>
      <c r="AI42">
        <v>0</v>
      </c>
      <c r="AJ42">
        <v>8.0002000000000066</v>
      </c>
      <c r="AK42" s="2"/>
      <c r="AT42" s="2"/>
    </row>
    <row r="43" spans="1:46" x14ac:dyDescent="0.3">
      <c r="A43" t="s">
        <v>54</v>
      </c>
      <c r="B43" t="s">
        <v>103</v>
      </c>
      <c r="C43">
        <v>75</v>
      </c>
      <c r="D43">
        <v>-3.2000000000000002E-3</v>
      </c>
      <c r="E43">
        <v>21.511913046964182</v>
      </c>
      <c r="F43">
        <v>2074.9102959770621</v>
      </c>
      <c r="G43">
        <v>9.0579999999999998</v>
      </c>
      <c r="H43">
        <v>0</v>
      </c>
      <c r="I43">
        <v>8.2025000000000432</v>
      </c>
      <c r="J43" t="s">
        <v>54</v>
      </c>
      <c r="K43" t="s">
        <v>202</v>
      </c>
      <c r="L43">
        <v>75</v>
      </c>
      <c r="M43">
        <v>-3.0999999999999999E-3</v>
      </c>
      <c r="N43">
        <v>21.511913046964182</v>
      </c>
      <c r="O43">
        <v>2074.9102959770621</v>
      </c>
      <c r="P43">
        <v>9.0579999999999998</v>
      </c>
      <c r="Q43">
        <v>0</v>
      </c>
      <c r="R43">
        <v>8.2006000000000085</v>
      </c>
      <c r="S43" t="s">
        <v>54</v>
      </c>
      <c r="T43" t="s">
        <v>302</v>
      </c>
      <c r="U43">
        <v>75</v>
      </c>
      <c r="V43">
        <v>-3.0999999999999999E-3</v>
      </c>
      <c r="W43">
        <v>21.511913046964182</v>
      </c>
      <c r="X43">
        <v>2074.9102959770621</v>
      </c>
      <c r="Y43">
        <v>9.0579999999999998</v>
      </c>
      <c r="Z43">
        <v>0</v>
      </c>
      <c r="AA43">
        <v>8.1989999999999554</v>
      </c>
      <c r="AB43" t="s">
        <v>54</v>
      </c>
      <c r="AC43" t="s">
        <v>400</v>
      </c>
      <c r="AD43">
        <v>76</v>
      </c>
      <c r="AE43">
        <v>-3.0999999999999999E-3</v>
      </c>
      <c r="AF43">
        <v>21.511913046964182</v>
      </c>
      <c r="AG43">
        <v>2074.9102959770621</v>
      </c>
      <c r="AH43">
        <v>9.0579999999999998</v>
      </c>
      <c r="AI43">
        <v>0</v>
      </c>
      <c r="AJ43">
        <v>8.2000999999999635</v>
      </c>
      <c r="AK43" s="2"/>
      <c r="AT43" s="2"/>
    </row>
    <row r="44" spans="1:46" x14ac:dyDescent="0.3">
      <c r="A44" t="s">
        <v>54</v>
      </c>
      <c r="B44" t="s">
        <v>104</v>
      </c>
      <c r="C44">
        <v>75</v>
      </c>
      <c r="D44">
        <v>-3.0999999999999999E-3</v>
      </c>
      <c r="E44">
        <v>21.511913046964182</v>
      </c>
      <c r="F44">
        <v>2074.9102959770621</v>
      </c>
      <c r="G44">
        <v>9.0579999999999998</v>
      </c>
      <c r="H44">
        <v>0</v>
      </c>
      <c r="I44">
        <v>8.4034000000000333</v>
      </c>
      <c r="J44" t="s">
        <v>54</v>
      </c>
      <c r="K44" t="s">
        <v>203</v>
      </c>
      <c r="L44">
        <v>75</v>
      </c>
      <c r="M44">
        <v>-3.0999999999999999E-3</v>
      </c>
      <c r="N44">
        <v>21.511913046964182</v>
      </c>
      <c r="O44">
        <v>2074.9102959770621</v>
      </c>
      <c r="P44">
        <v>9.0579999999999998</v>
      </c>
      <c r="Q44">
        <v>0</v>
      </c>
      <c r="R44">
        <v>8.4006999999999721</v>
      </c>
      <c r="S44" t="s">
        <v>54</v>
      </c>
      <c r="T44" t="s">
        <v>303</v>
      </c>
      <c r="U44">
        <v>75</v>
      </c>
      <c r="V44">
        <v>-3.0999999999999999E-3</v>
      </c>
      <c r="W44">
        <v>21.511913046964182</v>
      </c>
      <c r="X44">
        <v>2074.9102959770621</v>
      </c>
      <c r="Y44">
        <v>9.0579999999999998</v>
      </c>
      <c r="Z44">
        <v>0</v>
      </c>
      <c r="AA44">
        <v>8.4021999999999935</v>
      </c>
      <c r="AB44" t="s">
        <v>54</v>
      </c>
      <c r="AC44" t="s">
        <v>401</v>
      </c>
      <c r="AD44">
        <v>76</v>
      </c>
      <c r="AE44">
        <v>-3.0999999999999999E-3</v>
      </c>
      <c r="AF44">
        <v>21.511913046964182</v>
      </c>
      <c r="AG44">
        <v>2074.9102959770621</v>
      </c>
      <c r="AH44">
        <v>9.0579999999999998</v>
      </c>
      <c r="AI44">
        <v>0</v>
      </c>
      <c r="AJ44">
        <v>8.4017000000000053</v>
      </c>
      <c r="AK44" s="2"/>
      <c r="AT44" s="2"/>
    </row>
    <row r="45" spans="1:46" x14ac:dyDescent="0.3">
      <c r="A45" t="s">
        <v>54</v>
      </c>
      <c r="B45" t="s">
        <v>105</v>
      </c>
      <c r="C45">
        <v>75</v>
      </c>
      <c r="D45">
        <v>-3.0999999999999999E-3</v>
      </c>
      <c r="E45">
        <v>21.511913046964182</v>
      </c>
      <c r="F45">
        <v>2074.9102959770621</v>
      </c>
      <c r="G45">
        <v>9.0579999999999998</v>
      </c>
      <c r="H45">
        <v>0</v>
      </c>
      <c r="I45">
        <v>8.6019000000000005</v>
      </c>
      <c r="J45" t="s">
        <v>54</v>
      </c>
      <c r="K45" t="s">
        <v>204</v>
      </c>
      <c r="L45">
        <v>75</v>
      </c>
      <c r="M45">
        <v>-3.0999999999999999E-3</v>
      </c>
      <c r="N45">
        <v>21.511913046964182</v>
      </c>
      <c r="O45">
        <v>2074.9102959770621</v>
      </c>
      <c r="P45">
        <v>9.0579999999999998</v>
      </c>
      <c r="Q45">
        <v>0</v>
      </c>
      <c r="R45">
        <v>8.5996000000000095</v>
      </c>
      <c r="S45" t="s">
        <v>54</v>
      </c>
      <c r="T45" t="s">
        <v>304</v>
      </c>
      <c r="U45">
        <v>75</v>
      </c>
      <c r="V45">
        <v>-3.0999999999999999E-3</v>
      </c>
      <c r="W45">
        <v>21.511913046964182</v>
      </c>
      <c r="X45">
        <v>2074.9102959770621</v>
      </c>
      <c r="Y45">
        <v>9.0579999999999998</v>
      </c>
      <c r="Z45">
        <v>0</v>
      </c>
      <c r="AA45">
        <v>8.6017999999999688</v>
      </c>
      <c r="AB45" t="s">
        <v>54</v>
      </c>
      <c r="AC45" t="s">
        <v>402</v>
      </c>
      <c r="AD45">
        <v>76</v>
      </c>
      <c r="AE45">
        <v>-3.0999999999999999E-3</v>
      </c>
      <c r="AF45">
        <v>21.511913046964182</v>
      </c>
      <c r="AG45">
        <v>2074.9102959770621</v>
      </c>
      <c r="AH45">
        <v>9.0579999999999998</v>
      </c>
      <c r="AI45">
        <v>0</v>
      </c>
      <c r="AJ45">
        <v>8.598700000000008</v>
      </c>
      <c r="AK45" s="2"/>
      <c r="AT45" s="2"/>
    </row>
    <row r="46" spans="1:46" x14ac:dyDescent="0.3">
      <c r="A46" t="s">
        <v>54</v>
      </c>
      <c r="B46" t="s">
        <v>106</v>
      </c>
      <c r="C46">
        <v>75</v>
      </c>
      <c r="D46">
        <v>-3.0999999999999999E-3</v>
      </c>
      <c r="E46">
        <v>21.511913046964182</v>
      </c>
      <c r="F46">
        <v>2074.9102959770621</v>
      </c>
      <c r="G46">
        <v>9.0579999999999998</v>
      </c>
      <c r="H46">
        <v>0</v>
      </c>
      <c r="I46">
        <v>8.8009999999999877</v>
      </c>
      <c r="J46" t="s">
        <v>54</v>
      </c>
      <c r="K46" t="s">
        <v>205</v>
      </c>
      <c r="L46">
        <v>75</v>
      </c>
      <c r="M46">
        <v>-3.0999999999999999E-3</v>
      </c>
      <c r="N46">
        <v>21.511913046964182</v>
      </c>
      <c r="O46">
        <v>2074.9102959770621</v>
      </c>
      <c r="P46">
        <v>9.0579999999999998</v>
      </c>
      <c r="Q46">
        <v>0</v>
      </c>
      <c r="R46">
        <v>8.8011000000000195</v>
      </c>
      <c r="S46" t="s">
        <v>54</v>
      </c>
      <c r="T46" t="s">
        <v>305</v>
      </c>
      <c r="U46">
        <v>75</v>
      </c>
      <c r="V46">
        <v>-3.0999999999999999E-3</v>
      </c>
      <c r="W46">
        <v>21.511913046964182</v>
      </c>
      <c r="X46">
        <v>2074.9102959770621</v>
      </c>
      <c r="Y46">
        <v>9.0579999999999998</v>
      </c>
      <c r="Z46">
        <v>0</v>
      </c>
      <c r="AA46">
        <v>8.7991000000000099</v>
      </c>
      <c r="AB46" t="s">
        <v>54</v>
      </c>
      <c r="AC46" t="s">
        <v>403</v>
      </c>
      <c r="AD46">
        <v>76</v>
      </c>
      <c r="AE46">
        <v>-3.0999999999999999E-3</v>
      </c>
      <c r="AF46">
        <v>21.511913046964182</v>
      </c>
      <c r="AG46">
        <v>2074.9102959770621</v>
      </c>
      <c r="AH46">
        <v>9.0579999999999998</v>
      </c>
      <c r="AI46">
        <v>0</v>
      </c>
      <c r="AJ46">
        <v>8.8016000000000076</v>
      </c>
      <c r="AK46" s="2"/>
      <c r="AT46" s="2"/>
    </row>
    <row r="47" spans="1:46" x14ac:dyDescent="0.3">
      <c r="A47" t="s">
        <v>54</v>
      </c>
      <c r="B47" t="s">
        <v>107</v>
      </c>
      <c r="C47">
        <v>75</v>
      </c>
      <c r="D47">
        <v>-3.0999999999999999E-3</v>
      </c>
      <c r="E47">
        <v>25.566620546593018</v>
      </c>
      <c r="F47">
        <v>2566.2722898716779</v>
      </c>
      <c r="G47">
        <v>9.0579999999999998</v>
      </c>
      <c r="H47">
        <v>6.3E-2</v>
      </c>
      <c r="I47">
        <v>9.0009000000000015</v>
      </c>
      <c r="J47" t="s">
        <v>54</v>
      </c>
      <c r="K47" t="s">
        <v>206</v>
      </c>
      <c r="L47">
        <v>75</v>
      </c>
      <c r="M47">
        <v>-3.0999999999999999E-3</v>
      </c>
      <c r="N47">
        <v>25.566620546593018</v>
      </c>
      <c r="O47">
        <v>2566.2722898716779</v>
      </c>
      <c r="P47">
        <v>9.0579999999999998</v>
      </c>
      <c r="Q47">
        <v>6.3E-2</v>
      </c>
      <c r="R47">
        <v>8.9990999999999985</v>
      </c>
      <c r="S47" t="s">
        <v>54</v>
      </c>
      <c r="T47" t="s">
        <v>306</v>
      </c>
      <c r="U47">
        <v>75</v>
      </c>
      <c r="V47">
        <v>-3.0999999999999999E-3</v>
      </c>
      <c r="W47">
        <v>25.566620546593018</v>
      </c>
      <c r="X47">
        <v>2566.2722898716779</v>
      </c>
      <c r="Y47">
        <v>9.0579999999999998</v>
      </c>
      <c r="Z47">
        <v>6.3E-2</v>
      </c>
      <c r="AA47">
        <v>9.3983000000000061</v>
      </c>
      <c r="AB47" t="s">
        <v>54</v>
      </c>
      <c r="AC47" t="s">
        <v>404</v>
      </c>
      <c r="AD47">
        <v>76</v>
      </c>
      <c r="AE47">
        <v>-3.0999999999999999E-3</v>
      </c>
      <c r="AF47">
        <v>25.566620546593018</v>
      </c>
      <c r="AG47">
        <v>2566.2722898716779</v>
      </c>
      <c r="AH47">
        <v>9.0579999999999998</v>
      </c>
      <c r="AI47">
        <v>6.3E-2</v>
      </c>
      <c r="AJ47">
        <v>8.9988999999999919</v>
      </c>
      <c r="AK47" s="2"/>
      <c r="AT47" s="2"/>
    </row>
    <row r="48" spans="1:46" x14ac:dyDescent="0.3">
      <c r="A48" t="s">
        <v>54</v>
      </c>
      <c r="B48" t="s">
        <v>108</v>
      </c>
      <c r="C48">
        <v>75</v>
      </c>
      <c r="D48">
        <v>1.06E-2</v>
      </c>
      <c r="E48">
        <v>25.566620546593018</v>
      </c>
      <c r="F48">
        <v>2452.8090349424701</v>
      </c>
      <c r="G48">
        <v>9.0579999999999998</v>
      </c>
      <c r="H48">
        <v>6.3E-2</v>
      </c>
      <c r="I48">
        <v>9.2007000000000403</v>
      </c>
      <c r="J48" t="s">
        <v>54</v>
      </c>
      <c r="K48" t="s">
        <v>207</v>
      </c>
      <c r="L48">
        <v>75</v>
      </c>
      <c r="M48">
        <v>1.24E-2</v>
      </c>
      <c r="N48">
        <v>25.566620546593018</v>
      </c>
      <c r="O48">
        <v>2452.8090349424701</v>
      </c>
      <c r="P48">
        <v>9.0579999999999998</v>
      </c>
      <c r="Q48">
        <v>6.3E-2</v>
      </c>
      <c r="R48">
        <v>9.2010999999999967</v>
      </c>
      <c r="S48" t="s">
        <v>54</v>
      </c>
      <c r="T48" t="s">
        <v>307</v>
      </c>
      <c r="U48">
        <v>75</v>
      </c>
      <c r="V48">
        <v>3.3999999999999998E-3</v>
      </c>
      <c r="W48">
        <v>25.566620546593018</v>
      </c>
      <c r="X48">
        <v>2452.8090349424701</v>
      </c>
      <c r="Y48">
        <v>9.0579999999999998</v>
      </c>
      <c r="Z48">
        <v>6.3E-2</v>
      </c>
      <c r="AA48">
        <v>9.599899999999991</v>
      </c>
      <c r="AB48" t="s">
        <v>54</v>
      </c>
      <c r="AC48" t="s">
        <v>405</v>
      </c>
      <c r="AD48">
        <v>76</v>
      </c>
      <c r="AE48">
        <v>9.1999999999999998E-3</v>
      </c>
      <c r="AF48">
        <v>25.566620546593018</v>
      </c>
      <c r="AG48">
        <v>2452.8090349424701</v>
      </c>
      <c r="AH48">
        <v>9.0579999999999998</v>
      </c>
      <c r="AI48">
        <v>6.3E-2</v>
      </c>
      <c r="AJ48">
        <v>9.2013999999999783</v>
      </c>
      <c r="AK48" s="2"/>
      <c r="AT48" s="2"/>
    </row>
    <row r="49" spans="1:46" x14ac:dyDescent="0.3">
      <c r="A49" t="s">
        <v>54</v>
      </c>
      <c r="B49" t="s">
        <v>109</v>
      </c>
      <c r="C49">
        <v>75</v>
      </c>
      <c r="D49">
        <v>3.1199999999999999E-2</v>
      </c>
      <c r="E49">
        <v>25.566620546593018</v>
      </c>
      <c r="F49">
        <v>2452.8090349424701</v>
      </c>
      <c r="G49">
        <v>9.0579999999999998</v>
      </c>
      <c r="H49">
        <v>6.3E-2</v>
      </c>
      <c r="I49">
        <v>9.4037000000000148</v>
      </c>
      <c r="J49" t="s">
        <v>54</v>
      </c>
      <c r="K49" t="s">
        <v>208</v>
      </c>
      <c r="L49">
        <v>75</v>
      </c>
      <c r="M49">
        <v>3.32E-2</v>
      </c>
      <c r="N49">
        <v>25.566620546593018</v>
      </c>
      <c r="O49">
        <v>2452.8090349424701</v>
      </c>
      <c r="P49">
        <v>9.0579999999999998</v>
      </c>
      <c r="Q49">
        <v>6.3E-2</v>
      </c>
      <c r="R49">
        <v>9.4001999999999839</v>
      </c>
      <c r="S49" t="s">
        <v>54</v>
      </c>
      <c r="T49" t="s">
        <v>308</v>
      </c>
      <c r="U49">
        <v>75</v>
      </c>
      <c r="V49">
        <v>3.4200000000000001E-2</v>
      </c>
      <c r="W49">
        <v>25.566620546593018</v>
      </c>
      <c r="X49">
        <v>2452.8090349424701</v>
      </c>
      <c r="Y49">
        <v>9.0579999999999998</v>
      </c>
      <c r="Z49">
        <v>6.3E-2</v>
      </c>
      <c r="AA49">
        <v>9.8002999999999929</v>
      </c>
      <c r="AB49" t="s">
        <v>54</v>
      </c>
      <c r="AC49" t="s">
        <v>406</v>
      </c>
      <c r="AD49">
        <v>76</v>
      </c>
      <c r="AE49">
        <v>2.93E-2</v>
      </c>
      <c r="AF49">
        <v>25.566620546593018</v>
      </c>
      <c r="AG49">
        <v>2452.8090349424701</v>
      </c>
      <c r="AH49">
        <v>9.0579999999999998</v>
      </c>
      <c r="AI49">
        <v>6.3E-2</v>
      </c>
      <c r="AJ49">
        <v>9.4027999999999565</v>
      </c>
      <c r="AK49" s="2"/>
      <c r="AT49" s="2"/>
    </row>
    <row r="50" spans="1:46" x14ac:dyDescent="0.3">
      <c r="A50" t="s">
        <v>54</v>
      </c>
      <c r="B50" t="s">
        <v>110</v>
      </c>
      <c r="C50">
        <v>75</v>
      </c>
      <c r="D50">
        <v>3.6999999999999998E-2</v>
      </c>
      <c r="E50">
        <v>25.566620546593018</v>
      </c>
      <c r="F50">
        <v>2452.8090349424701</v>
      </c>
      <c r="G50">
        <v>9.0579999999999998</v>
      </c>
      <c r="H50">
        <v>6.3E-2</v>
      </c>
      <c r="I50">
        <v>9.6020000000000323</v>
      </c>
      <c r="J50" t="s">
        <v>54</v>
      </c>
      <c r="K50" t="s">
        <v>209</v>
      </c>
      <c r="L50">
        <v>75</v>
      </c>
      <c r="M50">
        <v>3.7199999999999997E-2</v>
      </c>
      <c r="N50">
        <v>25.566620546593018</v>
      </c>
      <c r="O50">
        <v>2452.8090349424701</v>
      </c>
      <c r="P50">
        <v>9.0579999999999998</v>
      </c>
      <c r="Q50">
        <v>6.3E-2</v>
      </c>
      <c r="R50">
        <v>9.5996999999999844</v>
      </c>
      <c r="S50" t="s">
        <v>54</v>
      </c>
      <c r="T50" t="s">
        <v>309</v>
      </c>
      <c r="U50">
        <v>75</v>
      </c>
      <c r="V50">
        <v>3.44E-2</v>
      </c>
      <c r="W50">
        <v>25.566620546593018</v>
      </c>
      <c r="X50">
        <v>2452.8090349424701</v>
      </c>
      <c r="Y50">
        <v>9.0579999999999998</v>
      </c>
      <c r="Z50">
        <v>6.3E-2</v>
      </c>
      <c r="AA50">
        <v>9.998299999999972</v>
      </c>
      <c r="AB50" t="s">
        <v>54</v>
      </c>
      <c r="AC50" t="s">
        <v>407</v>
      </c>
      <c r="AD50">
        <v>76</v>
      </c>
      <c r="AE50">
        <v>3.5299999999999998E-2</v>
      </c>
      <c r="AF50">
        <v>25.566620546593018</v>
      </c>
      <c r="AG50">
        <v>2452.8090349424701</v>
      </c>
      <c r="AH50">
        <v>9.0579999999999998</v>
      </c>
      <c r="AI50">
        <v>6.3E-2</v>
      </c>
      <c r="AJ50">
        <v>9.5991999999999962</v>
      </c>
      <c r="AK50" s="2"/>
      <c r="AT50" s="2"/>
    </row>
    <row r="51" spans="1:46" x14ac:dyDescent="0.3">
      <c r="A51" t="s">
        <v>54</v>
      </c>
      <c r="B51" t="s">
        <v>111</v>
      </c>
      <c r="C51">
        <v>75</v>
      </c>
      <c r="D51">
        <v>3.8100000000000002E-2</v>
      </c>
      <c r="E51">
        <v>25.566620546593018</v>
      </c>
      <c r="F51">
        <v>2452.8090349424701</v>
      </c>
      <c r="G51">
        <v>9.0579999999999998</v>
      </c>
      <c r="H51">
        <v>6.3E-2</v>
      </c>
      <c r="I51">
        <v>9.8015000000000327</v>
      </c>
      <c r="J51" t="s">
        <v>54</v>
      </c>
      <c r="K51" t="s">
        <v>210</v>
      </c>
      <c r="L51">
        <v>75</v>
      </c>
      <c r="M51">
        <v>3.8199999999999998E-2</v>
      </c>
      <c r="N51">
        <v>25.566620546593018</v>
      </c>
      <c r="O51">
        <v>2452.8090349424701</v>
      </c>
      <c r="P51">
        <v>9.0579999999999998</v>
      </c>
      <c r="Q51">
        <v>6.3E-2</v>
      </c>
      <c r="R51">
        <v>9.8005999999999744</v>
      </c>
      <c r="S51" t="s">
        <v>54</v>
      </c>
      <c r="T51" t="s">
        <v>310</v>
      </c>
      <c r="U51">
        <v>75</v>
      </c>
      <c r="V51">
        <v>3.5299999999999998E-2</v>
      </c>
      <c r="W51">
        <v>25.566620546593018</v>
      </c>
      <c r="X51">
        <v>2452.8090349424701</v>
      </c>
      <c r="Y51">
        <v>9.0579999999999998</v>
      </c>
      <c r="Z51">
        <v>6.3E-2</v>
      </c>
      <c r="AA51">
        <v>10.199199999999962</v>
      </c>
      <c r="AB51" t="s">
        <v>54</v>
      </c>
      <c r="AC51" t="s">
        <v>408</v>
      </c>
      <c r="AD51">
        <v>76</v>
      </c>
      <c r="AE51">
        <v>3.6999999999999998E-2</v>
      </c>
      <c r="AF51">
        <v>25.566620546593018</v>
      </c>
      <c r="AG51">
        <v>2452.8090349424701</v>
      </c>
      <c r="AH51">
        <v>9.0579999999999998</v>
      </c>
      <c r="AI51">
        <v>6.3E-2</v>
      </c>
      <c r="AJ51">
        <v>9.8011999999999944</v>
      </c>
      <c r="AK51" s="2"/>
      <c r="AT51" s="2"/>
    </row>
    <row r="52" spans="1:46" x14ac:dyDescent="0.3">
      <c r="A52" t="s">
        <v>54</v>
      </c>
      <c r="B52" t="s">
        <v>112</v>
      </c>
      <c r="C52">
        <v>75</v>
      </c>
      <c r="D52">
        <v>3.8100000000000002E-2</v>
      </c>
      <c r="E52">
        <v>25.566620546593018</v>
      </c>
      <c r="F52">
        <v>2452.8090349424701</v>
      </c>
      <c r="G52">
        <v>9.0579999999999998</v>
      </c>
      <c r="H52">
        <v>6.3E-2</v>
      </c>
      <c r="I52">
        <v>10.004000000000019</v>
      </c>
      <c r="J52" t="s">
        <v>54</v>
      </c>
      <c r="K52" t="s">
        <v>211</v>
      </c>
      <c r="L52">
        <v>75</v>
      </c>
      <c r="M52">
        <v>3.8399999999999997E-2</v>
      </c>
      <c r="N52">
        <v>25.566620546593018</v>
      </c>
      <c r="O52">
        <v>2452.8090349424701</v>
      </c>
      <c r="P52">
        <v>9.0579999999999998</v>
      </c>
      <c r="Q52">
        <v>6.3E-2</v>
      </c>
      <c r="R52">
        <v>9.9995999999999867</v>
      </c>
      <c r="S52" t="s">
        <v>54</v>
      </c>
      <c r="T52" t="s">
        <v>311</v>
      </c>
      <c r="U52">
        <v>75</v>
      </c>
      <c r="V52">
        <v>3.7100000000000001E-2</v>
      </c>
      <c r="W52">
        <v>25.566620546593018</v>
      </c>
      <c r="X52">
        <v>2452.8090349424701</v>
      </c>
      <c r="Y52">
        <v>9.0579999999999998</v>
      </c>
      <c r="Z52">
        <v>6.3E-2</v>
      </c>
      <c r="AA52">
        <v>10.40119999999996</v>
      </c>
      <c r="AB52" t="s">
        <v>54</v>
      </c>
      <c r="AC52" t="s">
        <v>409</v>
      </c>
      <c r="AD52">
        <v>76</v>
      </c>
      <c r="AE52">
        <v>3.78E-2</v>
      </c>
      <c r="AF52">
        <v>25.566620546593018</v>
      </c>
      <c r="AG52">
        <v>2452.8090349424701</v>
      </c>
      <c r="AH52">
        <v>9.0579999999999998</v>
      </c>
      <c r="AI52">
        <v>6.3E-2</v>
      </c>
      <c r="AJ52">
        <v>10.000499999999988</v>
      </c>
      <c r="AK52" s="2"/>
      <c r="AT52" s="2"/>
    </row>
    <row r="53" spans="1:46" x14ac:dyDescent="0.3">
      <c r="A53" t="s">
        <v>54</v>
      </c>
      <c r="B53" t="s">
        <v>113</v>
      </c>
      <c r="C53">
        <v>75</v>
      </c>
      <c r="D53">
        <v>3.8100000000000002E-2</v>
      </c>
      <c r="E53">
        <v>25.566620546593018</v>
      </c>
      <c r="F53">
        <v>2452.8090349424701</v>
      </c>
      <c r="G53">
        <v>9.0579999999999998</v>
      </c>
      <c r="H53">
        <v>6.3E-2</v>
      </c>
      <c r="I53">
        <v>10.203100000000006</v>
      </c>
      <c r="J53" t="s">
        <v>54</v>
      </c>
      <c r="K53" t="s">
        <v>212</v>
      </c>
      <c r="L53">
        <v>75</v>
      </c>
      <c r="M53">
        <v>3.8399999999999997E-2</v>
      </c>
      <c r="N53">
        <v>25.566620546593018</v>
      </c>
      <c r="O53">
        <v>2452.8090349424701</v>
      </c>
      <c r="P53">
        <v>9.0579999999999998</v>
      </c>
      <c r="Q53">
        <v>6.3E-2</v>
      </c>
      <c r="R53">
        <v>10.201700000000017</v>
      </c>
      <c r="S53" t="s">
        <v>54</v>
      </c>
      <c r="T53" t="s">
        <v>312</v>
      </c>
      <c r="U53">
        <v>75</v>
      </c>
      <c r="V53">
        <v>3.7600000000000001E-2</v>
      </c>
      <c r="W53">
        <v>25.566620546593018</v>
      </c>
      <c r="X53">
        <v>2452.8090349424701</v>
      </c>
      <c r="Y53">
        <v>9.0579999999999998</v>
      </c>
      <c r="Z53">
        <v>6.3E-2</v>
      </c>
      <c r="AA53">
        <v>10.598599999999976</v>
      </c>
      <c r="AB53" t="s">
        <v>54</v>
      </c>
      <c r="AC53" t="s">
        <v>410</v>
      </c>
      <c r="AD53">
        <v>76</v>
      </c>
      <c r="AE53">
        <v>3.7900000000000003E-2</v>
      </c>
      <c r="AF53">
        <v>25.566620546593018</v>
      </c>
      <c r="AG53">
        <v>2452.8090349424701</v>
      </c>
      <c r="AH53">
        <v>9.0579999999999998</v>
      </c>
      <c r="AI53">
        <v>6.3E-2</v>
      </c>
      <c r="AJ53">
        <v>10.198899999999981</v>
      </c>
      <c r="AK53" s="2"/>
      <c r="AT53" s="2"/>
    </row>
    <row r="54" spans="1:46" x14ac:dyDescent="0.3">
      <c r="A54" t="s">
        <v>54</v>
      </c>
      <c r="B54" t="s">
        <v>114</v>
      </c>
      <c r="C54">
        <v>75</v>
      </c>
      <c r="D54">
        <v>3.8100000000000002E-2</v>
      </c>
      <c r="E54">
        <v>25.566620546593018</v>
      </c>
      <c r="F54">
        <v>2452.8090349424701</v>
      </c>
      <c r="G54">
        <v>9.0579999999999998</v>
      </c>
      <c r="H54">
        <v>6.3E-2</v>
      </c>
      <c r="I54">
        <v>10.403099999999995</v>
      </c>
      <c r="J54" t="s">
        <v>54</v>
      </c>
      <c r="K54" t="s">
        <v>213</v>
      </c>
      <c r="L54">
        <v>75</v>
      </c>
      <c r="M54">
        <v>3.8399999999999997E-2</v>
      </c>
      <c r="N54">
        <v>25.566620546593018</v>
      </c>
      <c r="O54">
        <v>2452.8090349424701</v>
      </c>
      <c r="P54">
        <v>9.0579999999999998</v>
      </c>
      <c r="Q54">
        <v>6.3E-2</v>
      </c>
      <c r="R54">
        <v>10.399799999999971</v>
      </c>
      <c r="S54" t="s">
        <v>54</v>
      </c>
      <c r="T54" t="s">
        <v>313</v>
      </c>
      <c r="U54">
        <v>75</v>
      </c>
      <c r="V54">
        <v>3.7600000000000001E-2</v>
      </c>
      <c r="W54">
        <v>25.566620546593018</v>
      </c>
      <c r="X54">
        <v>2452.8090349424701</v>
      </c>
      <c r="Y54">
        <v>9.0579999999999998</v>
      </c>
      <c r="Z54">
        <v>6.3E-2</v>
      </c>
      <c r="AA54">
        <v>10.802399999999977</v>
      </c>
      <c r="AB54" t="s">
        <v>54</v>
      </c>
      <c r="AC54" t="s">
        <v>411</v>
      </c>
      <c r="AD54">
        <v>76</v>
      </c>
      <c r="AE54">
        <v>3.7900000000000003E-2</v>
      </c>
      <c r="AF54">
        <v>25.566620546593018</v>
      </c>
      <c r="AG54">
        <v>2452.8090349424701</v>
      </c>
      <c r="AH54">
        <v>9.0579999999999998</v>
      </c>
      <c r="AI54">
        <v>6.3E-2</v>
      </c>
      <c r="AJ54">
        <v>10.400100000000009</v>
      </c>
      <c r="AK54" s="2"/>
      <c r="AT54" s="2"/>
    </row>
    <row r="55" spans="1:46" x14ac:dyDescent="0.3">
      <c r="A55" t="s">
        <v>54</v>
      </c>
      <c r="B55" t="s">
        <v>115</v>
      </c>
      <c r="C55">
        <v>75</v>
      </c>
      <c r="D55">
        <v>3.8100000000000002E-2</v>
      </c>
      <c r="E55">
        <v>25.566620546593018</v>
      </c>
      <c r="F55">
        <v>2452.8090349424701</v>
      </c>
      <c r="G55">
        <v>9.0579999999999998</v>
      </c>
      <c r="H55">
        <v>6.3E-2</v>
      </c>
      <c r="I55">
        <v>10.603400000000022</v>
      </c>
      <c r="J55" t="s">
        <v>54</v>
      </c>
      <c r="K55" t="s">
        <v>214</v>
      </c>
      <c r="L55">
        <v>75</v>
      </c>
      <c r="M55">
        <v>3.8399999999999997E-2</v>
      </c>
      <c r="N55">
        <v>25.566620546593018</v>
      </c>
      <c r="O55">
        <v>2452.8090349424701</v>
      </c>
      <c r="P55">
        <v>9.0579999999999998</v>
      </c>
      <c r="Q55">
        <v>6.3E-2</v>
      </c>
      <c r="R55">
        <v>10.601099999999974</v>
      </c>
      <c r="S55" t="s">
        <v>54</v>
      </c>
      <c r="T55" t="s">
        <v>314</v>
      </c>
      <c r="U55">
        <v>75</v>
      </c>
      <c r="V55">
        <v>3.7600000000000001E-2</v>
      </c>
      <c r="W55">
        <v>21.511913046964182</v>
      </c>
      <c r="X55">
        <v>2074.9102959770621</v>
      </c>
      <c r="Y55">
        <v>9.0579999999999998</v>
      </c>
      <c r="Z55">
        <v>0</v>
      </c>
      <c r="AA55">
        <v>10.999199999999973</v>
      </c>
      <c r="AB55" t="s">
        <v>54</v>
      </c>
      <c r="AC55" t="s">
        <v>412</v>
      </c>
      <c r="AD55">
        <v>76</v>
      </c>
      <c r="AE55">
        <v>3.7900000000000003E-2</v>
      </c>
      <c r="AF55">
        <v>25.566620546593018</v>
      </c>
      <c r="AG55">
        <v>2452.8090349424701</v>
      </c>
      <c r="AH55">
        <v>9.0579999999999998</v>
      </c>
      <c r="AI55">
        <v>6.3E-2</v>
      </c>
      <c r="AJ55">
        <v>10.601699999999994</v>
      </c>
      <c r="AK55" s="2"/>
      <c r="AT55" s="2"/>
    </row>
    <row r="56" spans="1:46" x14ac:dyDescent="0.3">
      <c r="A56" t="s">
        <v>54</v>
      </c>
      <c r="B56" t="s">
        <v>116</v>
      </c>
      <c r="C56">
        <v>75</v>
      </c>
      <c r="D56">
        <v>3.8100000000000002E-2</v>
      </c>
      <c r="E56">
        <v>25.566620546593018</v>
      </c>
      <c r="F56">
        <v>2452.8090349424701</v>
      </c>
      <c r="G56">
        <v>9.0579999999999998</v>
      </c>
      <c r="H56">
        <v>6.3E-2</v>
      </c>
      <c r="I56">
        <v>10.801400000000001</v>
      </c>
      <c r="J56" t="s">
        <v>54</v>
      </c>
      <c r="K56" t="s">
        <v>215</v>
      </c>
      <c r="L56">
        <v>75</v>
      </c>
      <c r="M56">
        <v>3.8399999999999997E-2</v>
      </c>
      <c r="N56">
        <v>25.566620546593018</v>
      </c>
      <c r="O56">
        <v>2452.8090349424701</v>
      </c>
      <c r="P56">
        <v>9.0579999999999998</v>
      </c>
      <c r="Q56">
        <v>6.3E-2</v>
      </c>
      <c r="R56">
        <v>10.801300000000026</v>
      </c>
      <c r="S56" t="s">
        <v>54</v>
      </c>
      <c r="T56" t="s">
        <v>315</v>
      </c>
      <c r="U56">
        <v>75</v>
      </c>
      <c r="V56">
        <v>3.1300000000000001E-2</v>
      </c>
      <c r="W56">
        <v>21.511913046964182</v>
      </c>
      <c r="X56">
        <v>2074.9102959770621</v>
      </c>
      <c r="Y56">
        <v>9.0579999999999998</v>
      </c>
      <c r="Z56">
        <v>0</v>
      </c>
      <c r="AA56">
        <v>11.199399999999969</v>
      </c>
      <c r="AB56" t="s">
        <v>54</v>
      </c>
      <c r="AC56" t="s">
        <v>413</v>
      </c>
      <c r="AD56">
        <v>76</v>
      </c>
      <c r="AE56">
        <v>3.7900000000000003E-2</v>
      </c>
      <c r="AF56">
        <v>25.566620546593018</v>
      </c>
      <c r="AG56">
        <v>2452.8090349424701</v>
      </c>
      <c r="AH56">
        <v>9.0579999999999998</v>
      </c>
      <c r="AI56">
        <v>6.3E-2</v>
      </c>
      <c r="AJ56">
        <v>10.802199999999971</v>
      </c>
      <c r="AK56" s="2"/>
      <c r="AT56" s="2"/>
    </row>
    <row r="57" spans="1:46" x14ac:dyDescent="0.3">
      <c r="A57" t="s">
        <v>54</v>
      </c>
      <c r="B57" t="s">
        <v>117</v>
      </c>
      <c r="C57">
        <v>75</v>
      </c>
      <c r="D57">
        <v>3.8100000000000002E-2</v>
      </c>
      <c r="E57">
        <v>21.511913046964182</v>
      </c>
      <c r="F57">
        <v>2074.9102959770621</v>
      </c>
      <c r="G57">
        <v>9.0579999999999998</v>
      </c>
      <c r="H57">
        <v>0</v>
      </c>
      <c r="I57">
        <v>11.003600000000006</v>
      </c>
      <c r="J57" t="s">
        <v>54</v>
      </c>
      <c r="K57" t="s">
        <v>216</v>
      </c>
      <c r="L57">
        <v>75</v>
      </c>
      <c r="M57">
        <v>3.8399999999999997E-2</v>
      </c>
      <c r="N57">
        <v>21.511913046964182</v>
      </c>
      <c r="O57">
        <v>2074.9102959770621</v>
      </c>
      <c r="P57">
        <v>9.0579999999999998</v>
      </c>
      <c r="Q57">
        <v>0</v>
      </c>
      <c r="R57">
        <v>11.000099999999975</v>
      </c>
      <c r="S57" t="s">
        <v>54</v>
      </c>
      <c r="T57" t="s">
        <v>316</v>
      </c>
      <c r="U57">
        <v>75</v>
      </c>
      <c r="V57">
        <v>1.7999999999999999E-2</v>
      </c>
      <c r="W57">
        <v>21.511913046964182</v>
      </c>
      <c r="X57">
        <v>2074.9102959770621</v>
      </c>
      <c r="Y57">
        <v>9.0579999999999998</v>
      </c>
      <c r="Z57">
        <v>0</v>
      </c>
      <c r="AA57">
        <v>11.398799999999994</v>
      </c>
      <c r="AB57" t="s">
        <v>54</v>
      </c>
      <c r="AC57" t="s">
        <v>414</v>
      </c>
      <c r="AD57">
        <v>76</v>
      </c>
      <c r="AE57">
        <v>3.7900000000000003E-2</v>
      </c>
      <c r="AF57">
        <v>21.511913046964182</v>
      </c>
      <c r="AG57">
        <v>2074.9102959770621</v>
      </c>
      <c r="AH57">
        <v>9.0579999999999998</v>
      </c>
      <c r="AI57">
        <v>0</v>
      </c>
      <c r="AJ57">
        <v>11.002799999999979</v>
      </c>
      <c r="AK57" s="2"/>
      <c r="AT57" s="2"/>
    </row>
    <row r="58" spans="1:46" x14ac:dyDescent="0.3">
      <c r="A58" t="s">
        <v>54</v>
      </c>
      <c r="B58" t="s">
        <v>118</v>
      </c>
      <c r="C58">
        <v>75</v>
      </c>
      <c r="D58">
        <v>3.2199999999999999E-2</v>
      </c>
      <c r="E58">
        <v>21.511913046964182</v>
      </c>
      <c r="F58">
        <v>2074.9102959770621</v>
      </c>
      <c r="G58">
        <v>9.0579999999999998</v>
      </c>
      <c r="H58">
        <v>0</v>
      </c>
      <c r="I58">
        <v>11.202200000000005</v>
      </c>
      <c r="J58" t="s">
        <v>54</v>
      </c>
      <c r="K58" t="s">
        <v>217</v>
      </c>
      <c r="L58">
        <v>75</v>
      </c>
      <c r="M58">
        <v>3.2599999999999997E-2</v>
      </c>
      <c r="N58">
        <v>21.511913046964182</v>
      </c>
      <c r="O58">
        <v>2074.9102959770621</v>
      </c>
      <c r="P58">
        <v>9.0579999999999998</v>
      </c>
      <c r="Q58">
        <v>0</v>
      </c>
      <c r="R58">
        <v>11.198699999999974</v>
      </c>
      <c r="S58" t="s">
        <v>54</v>
      </c>
      <c r="T58" t="s">
        <v>317</v>
      </c>
      <c r="U58">
        <v>75</v>
      </c>
      <c r="V58">
        <v>5.4000000000000003E-3</v>
      </c>
      <c r="W58">
        <v>21.511913046964182</v>
      </c>
      <c r="X58">
        <v>2074.9102959770621</v>
      </c>
      <c r="Y58">
        <v>9.0579999999999998</v>
      </c>
      <c r="Z58">
        <v>0</v>
      </c>
      <c r="AA58">
        <v>11.599699999999984</v>
      </c>
      <c r="AB58" t="s">
        <v>54</v>
      </c>
      <c r="AC58" t="s">
        <v>415</v>
      </c>
      <c r="AD58">
        <v>76</v>
      </c>
      <c r="AE58">
        <v>3.1800000000000002E-2</v>
      </c>
      <c r="AF58">
        <v>21.511913046964182</v>
      </c>
      <c r="AG58">
        <v>2074.9102959770621</v>
      </c>
      <c r="AH58">
        <v>9.0579999999999998</v>
      </c>
      <c r="AI58">
        <v>0</v>
      </c>
      <c r="AJ58">
        <v>11.201999999999998</v>
      </c>
      <c r="AK58" s="2"/>
      <c r="AT58" s="2"/>
    </row>
    <row r="59" spans="1:46" x14ac:dyDescent="0.3">
      <c r="A59" t="s">
        <v>54</v>
      </c>
      <c r="B59" t="s">
        <v>119</v>
      </c>
      <c r="C59">
        <v>75</v>
      </c>
      <c r="D59">
        <v>1.7000000000000001E-2</v>
      </c>
      <c r="E59">
        <v>21.511913046964182</v>
      </c>
      <c r="F59">
        <v>2074.9102959770621</v>
      </c>
      <c r="G59">
        <v>9.0579999999999998</v>
      </c>
      <c r="H59">
        <v>0</v>
      </c>
      <c r="I59">
        <v>11.401499999999999</v>
      </c>
      <c r="J59" t="s">
        <v>54</v>
      </c>
      <c r="K59" t="s">
        <v>218</v>
      </c>
      <c r="L59">
        <v>75</v>
      </c>
      <c r="M59">
        <v>1.7100000000000001E-2</v>
      </c>
      <c r="N59">
        <v>21.511913046964182</v>
      </c>
      <c r="O59">
        <v>2074.9102959770621</v>
      </c>
      <c r="P59">
        <v>9.0579999999999998</v>
      </c>
      <c r="Q59">
        <v>0</v>
      </c>
      <c r="R59">
        <v>11.399600000000021</v>
      </c>
      <c r="S59" t="s">
        <v>54</v>
      </c>
      <c r="T59" t="s">
        <v>318</v>
      </c>
      <c r="U59">
        <v>75</v>
      </c>
      <c r="V59">
        <v>-3.0999999999999999E-3</v>
      </c>
      <c r="W59">
        <v>21.511913046964182</v>
      </c>
      <c r="X59">
        <v>2074.9102959770621</v>
      </c>
      <c r="Y59">
        <v>9.0579999999999998</v>
      </c>
      <c r="Z59">
        <v>0</v>
      </c>
      <c r="AA59">
        <v>11.802399999999977</v>
      </c>
      <c r="AB59" t="s">
        <v>54</v>
      </c>
      <c r="AC59" t="s">
        <v>416</v>
      </c>
      <c r="AD59">
        <v>76</v>
      </c>
      <c r="AE59">
        <v>1.9199999999999998E-2</v>
      </c>
      <c r="AF59">
        <v>21.511913046964182</v>
      </c>
      <c r="AG59">
        <v>2074.9102959770621</v>
      </c>
      <c r="AH59">
        <v>9.0579999999999998</v>
      </c>
      <c r="AI59">
        <v>0</v>
      </c>
      <c r="AJ59">
        <v>11.400499999999965</v>
      </c>
      <c r="AK59" s="2"/>
      <c r="AT59" s="2"/>
    </row>
    <row r="60" spans="1:46" x14ac:dyDescent="0.3">
      <c r="A60" t="s">
        <v>54</v>
      </c>
      <c r="B60" t="s">
        <v>120</v>
      </c>
      <c r="C60">
        <v>75</v>
      </c>
      <c r="D60">
        <v>3.3E-3</v>
      </c>
      <c r="E60">
        <v>21.511913046964182</v>
      </c>
      <c r="F60">
        <v>2074.9102959770621</v>
      </c>
      <c r="G60">
        <v>9.0579999999999998</v>
      </c>
      <c r="H60">
        <v>0</v>
      </c>
      <c r="I60">
        <v>11.602800000000002</v>
      </c>
      <c r="J60" t="s">
        <v>54</v>
      </c>
      <c r="K60" t="s">
        <v>219</v>
      </c>
      <c r="L60">
        <v>75</v>
      </c>
      <c r="M60">
        <v>4.1999999999999997E-3</v>
      </c>
      <c r="N60">
        <v>21.511913046964182</v>
      </c>
      <c r="O60">
        <v>2074.9102959770621</v>
      </c>
      <c r="P60">
        <v>9.0579999999999998</v>
      </c>
      <c r="Q60">
        <v>0</v>
      </c>
      <c r="R60">
        <v>11.600399999999979</v>
      </c>
      <c r="S60" t="s">
        <v>54</v>
      </c>
      <c r="T60" t="s">
        <v>319</v>
      </c>
      <c r="U60">
        <v>75</v>
      </c>
      <c r="V60">
        <v>-3.0999999999999999E-3</v>
      </c>
      <c r="W60">
        <v>21.511913046964182</v>
      </c>
      <c r="X60">
        <v>2074.9102959770621</v>
      </c>
      <c r="Y60">
        <v>9.0579999999999998</v>
      </c>
      <c r="Z60">
        <v>0</v>
      </c>
      <c r="AA60">
        <v>11.99879999999996</v>
      </c>
      <c r="AB60" t="s">
        <v>54</v>
      </c>
      <c r="AC60" t="s">
        <v>417</v>
      </c>
      <c r="AD60">
        <v>76</v>
      </c>
      <c r="AE60">
        <v>7.7999999999999996E-3</v>
      </c>
      <c r="AF60">
        <v>21.511913046964182</v>
      </c>
      <c r="AG60">
        <v>2074.9102959770621</v>
      </c>
      <c r="AH60">
        <v>9.0579999999999998</v>
      </c>
      <c r="AI60">
        <v>0</v>
      </c>
      <c r="AJ60">
        <v>11.600999999999999</v>
      </c>
      <c r="AK60" s="2"/>
      <c r="AT60" s="2"/>
    </row>
    <row r="61" spans="1:46" x14ac:dyDescent="0.3">
      <c r="A61" t="s">
        <v>54</v>
      </c>
      <c r="B61" t="s">
        <v>121</v>
      </c>
      <c r="C61">
        <v>75</v>
      </c>
      <c r="D61">
        <v>-3.0999999999999999E-3</v>
      </c>
      <c r="E61">
        <v>21.511913046964182</v>
      </c>
      <c r="F61">
        <v>2074.9102959770621</v>
      </c>
      <c r="G61">
        <v>9.0579999999999998</v>
      </c>
      <c r="H61">
        <v>0</v>
      </c>
      <c r="I61">
        <v>11.801600000000008</v>
      </c>
      <c r="J61" t="s">
        <v>54</v>
      </c>
      <c r="K61" t="s">
        <v>220</v>
      </c>
      <c r="L61">
        <v>75</v>
      </c>
      <c r="M61">
        <v>-3.0999999999999999E-3</v>
      </c>
      <c r="N61">
        <v>21.511913046964182</v>
      </c>
      <c r="O61">
        <v>2074.9102959770621</v>
      </c>
      <c r="P61">
        <v>9.0579999999999998</v>
      </c>
      <c r="Q61">
        <v>0</v>
      </c>
      <c r="R61">
        <v>11.800200000000018</v>
      </c>
      <c r="S61" t="s">
        <v>54</v>
      </c>
      <c r="T61" t="s">
        <v>320</v>
      </c>
      <c r="U61">
        <v>75</v>
      </c>
      <c r="V61">
        <v>-3.0999999999999999E-3</v>
      </c>
      <c r="W61">
        <v>21.511913046964182</v>
      </c>
      <c r="X61">
        <v>2074.9102959770621</v>
      </c>
      <c r="Y61">
        <v>9.0579999999999998</v>
      </c>
      <c r="Z61">
        <v>0</v>
      </c>
      <c r="AA61">
        <v>12.201999999999998</v>
      </c>
      <c r="AB61" t="s">
        <v>54</v>
      </c>
      <c r="AC61" t="s">
        <v>418</v>
      </c>
      <c r="AD61">
        <v>76</v>
      </c>
      <c r="AE61">
        <v>-2.2000000000000001E-3</v>
      </c>
      <c r="AF61">
        <v>21.511913046964182</v>
      </c>
      <c r="AG61">
        <v>2074.9102959770621</v>
      </c>
      <c r="AH61">
        <v>9.0579999999999998</v>
      </c>
      <c r="AI61">
        <v>0</v>
      </c>
      <c r="AJ61">
        <v>11.802599999999984</v>
      </c>
      <c r="AK61" s="2"/>
      <c r="AT61" s="2"/>
    </row>
    <row r="62" spans="1:46" x14ac:dyDescent="0.3">
      <c r="A62" t="s">
        <v>54</v>
      </c>
      <c r="B62" t="s">
        <v>122</v>
      </c>
      <c r="C62">
        <v>75</v>
      </c>
      <c r="D62">
        <v>-3.0999999999999999E-3</v>
      </c>
      <c r="E62">
        <v>21.511913046964182</v>
      </c>
      <c r="F62">
        <v>2074.9102959770621</v>
      </c>
      <c r="G62">
        <v>9.0579999999999998</v>
      </c>
      <c r="H62">
        <v>0</v>
      </c>
      <c r="I62">
        <v>12.004500000000007</v>
      </c>
      <c r="J62" t="s">
        <v>54</v>
      </c>
      <c r="K62" t="s">
        <v>221</v>
      </c>
      <c r="L62">
        <v>75</v>
      </c>
      <c r="M62">
        <v>-3.0999999999999999E-3</v>
      </c>
      <c r="N62">
        <v>21.511913046964182</v>
      </c>
      <c r="O62">
        <v>2074.9102959770621</v>
      </c>
      <c r="P62">
        <v>9.0579999999999998</v>
      </c>
      <c r="Q62">
        <v>0</v>
      </c>
      <c r="R62">
        <v>11.999199999999973</v>
      </c>
      <c r="S62" t="s">
        <v>54</v>
      </c>
      <c r="T62" t="s">
        <v>321</v>
      </c>
      <c r="U62">
        <v>75</v>
      </c>
      <c r="V62">
        <v>-3.0999999999999999E-3</v>
      </c>
      <c r="W62">
        <v>21.511913046964182</v>
      </c>
      <c r="X62">
        <v>2074.9102959770621</v>
      </c>
      <c r="Y62">
        <v>9.0579999999999998</v>
      </c>
      <c r="Z62">
        <v>0</v>
      </c>
      <c r="AA62">
        <v>12.400899999999979</v>
      </c>
      <c r="AB62" t="s">
        <v>54</v>
      </c>
      <c r="AC62" t="s">
        <v>419</v>
      </c>
      <c r="AD62">
        <v>76</v>
      </c>
      <c r="AE62">
        <v>-3.0999999999999999E-3</v>
      </c>
      <c r="AF62">
        <v>21.511913046964182</v>
      </c>
      <c r="AG62">
        <v>2074.9102959770621</v>
      </c>
      <c r="AH62">
        <v>9.0579999999999998</v>
      </c>
      <c r="AI62">
        <v>0</v>
      </c>
      <c r="AJ62">
        <v>12.000200000000007</v>
      </c>
      <c r="AK62" s="2"/>
      <c r="AT62" s="2"/>
    </row>
    <row r="63" spans="1:46" x14ac:dyDescent="0.3">
      <c r="A63" t="s">
        <v>54</v>
      </c>
      <c r="B63" t="s">
        <v>123</v>
      </c>
      <c r="C63">
        <v>75</v>
      </c>
      <c r="D63">
        <v>-3.0999999999999999E-3</v>
      </c>
      <c r="E63">
        <v>21.511913046964182</v>
      </c>
      <c r="F63">
        <v>2074.9102959770621</v>
      </c>
      <c r="G63">
        <v>9.0579999999999998</v>
      </c>
      <c r="H63">
        <v>0</v>
      </c>
      <c r="I63">
        <v>12.201300000000003</v>
      </c>
      <c r="J63" t="s">
        <v>54</v>
      </c>
      <c r="K63" t="s">
        <v>222</v>
      </c>
      <c r="L63">
        <v>75</v>
      </c>
      <c r="M63">
        <v>-3.0999999999999999E-3</v>
      </c>
      <c r="N63">
        <v>21.511913046964182</v>
      </c>
      <c r="O63">
        <v>2074.9102959770621</v>
      </c>
      <c r="P63">
        <v>9.0579999999999998</v>
      </c>
      <c r="Q63">
        <v>0</v>
      </c>
      <c r="R63">
        <v>12.198800000000006</v>
      </c>
      <c r="S63" t="s">
        <v>54</v>
      </c>
      <c r="T63" t="s">
        <v>322</v>
      </c>
      <c r="U63">
        <v>75</v>
      </c>
      <c r="V63">
        <v>-3.0999999999999999E-3</v>
      </c>
      <c r="W63">
        <v>21.511913046964182</v>
      </c>
      <c r="X63">
        <v>2074.9102959770621</v>
      </c>
      <c r="Y63">
        <v>9.0579999999999998</v>
      </c>
      <c r="Z63">
        <v>0</v>
      </c>
      <c r="AA63">
        <v>12.599199999999996</v>
      </c>
      <c r="AB63" t="s">
        <v>54</v>
      </c>
      <c r="AC63" t="s">
        <v>420</v>
      </c>
      <c r="AD63">
        <v>76</v>
      </c>
      <c r="AE63">
        <v>-3.0999999999999999E-3</v>
      </c>
      <c r="AF63">
        <v>21.511913046964182</v>
      </c>
      <c r="AG63">
        <v>2074.9102959770621</v>
      </c>
      <c r="AH63">
        <v>9.0579999999999998</v>
      </c>
      <c r="AI63">
        <v>0</v>
      </c>
      <c r="AJ63">
        <v>12.20089999999999</v>
      </c>
      <c r="AK63" s="2"/>
      <c r="AT63" s="2"/>
    </row>
    <row r="64" spans="1:46" x14ac:dyDescent="0.3">
      <c r="A64" t="s">
        <v>54</v>
      </c>
      <c r="B64" t="s">
        <v>124</v>
      </c>
      <c r="C64">
        <v>75</v>
      </c>
      <c r="D64">
        <v>-3.0999999999999999E-3</v>
      </c>
      <c r="E64">
        <v>21.511913046964182</v>
      </c>
      <c r="F64">
        <v>2074.9102959770621</v>
      </c>
      <c r="G64">
        <v>9.0579999999999998</v>
      </c>
      <c r="H64">
        <v>0</v>
      </c>
      <c r="I64">
        <v>12.404100000000028</v>
      </c>
      <c r="J64" t="s">
        <v>54</v>
      </c>
      <c r="K64" t="s">
        <v>223</v>
      </c>
      <c r="L64">
        <v>75</v>
      </c>
      <c r="M64">
        <v>-3.0999999999999999E-3</v>
      </c>
      <c r="N64">
        <v>21.511913046964182</v>
      </c>
      <c r="O64">
        <v>2074.9102959770621</v>
      </c>
      <c r="P64">
        <v>9.0579999999999998</v>
      </c>
      <c r="Q64">
        <v>0</v>
      </c>
      <c r="R64">
        <v>12.399200000000008</v>
      </c>
      <c r="S64" t="s">
        <v>54</v>
      </c>
      <c r="T64" t="s">
        <v>323</v>
      </c>
      <c r="U64">
        <v>75</v>
      </c>
      <c r="V64">
        <v>-3.0999999999999999E-3</v>
      </c>
      <c r="W64">
        <v>21.511913046964182</v>
      </c>
      <c r="X64">
        <v>2074.9102959770621</v>
      </c>
      <c r="Y64">
        <v>9.0579999999999998</v>
      </c>
      <c r="Z64">
        <v>0</v>
      </c>
      <c r="AA64">
        <v>12.801199999999994</v>
      </c>
      <c r="AB64" t="s">
        <v>54</v>
      </c>
      <c r="AC64" t="s">
        <v>421</v>
      </c>
      <c r="AD64">
        <v>76</v>
      </c>
      <c r="AE64">
        <v>-3.0999999999999999E-3</v>
      </c>
      <c r="AF64">
        <v>21.511913046964182</v>
      </c>
      <c r="AG64">
        <v>2074.9102959770621</v>
      </c>
      <c r="AH64">
        <v>9.0579999999999998</v>
      </c>
      <c r="AI64">
        <v>0</v>
      </c>
      <c r="AJ64">
        <v>12.40119999999996</v>
      </c>
      <c r="AK64" s="2"/>
      <c r="AT64" s="2"/>
    </row>
    <row r="65" spans="1:46" x14ac:dyDescent="0.3">
      <c r="A65" t="s">
        <v>54</v>
      </c>
      <c r="B65" t="s">
        <v>125</v>
      </c>
      <c r="C65">
        <v>75</v>
      </c>
      <c r="D65">
        <v>-3.0999999999999999E-3</v>
      </c>
      <c r="E65">
        <v>21.511913046964182</v>
      </c>
      <c r="F65">
        <v>2074.9102959770621</v>
      </c>
      <c r="G65">
        <v>9.0579999999999998</v>
      </c>
      <c r="H65">
        <v>0</v>
      </c>
      <c r="I65">
        <v>12.601200000000006</v>
      </c>
      <c r="J65" t="s">
        <v>54</v>
      </c>
      <c r="K65" t="s">
        <v>224</v>
      </c>
      <c r="L65">
        <v>75</v>
      </c>
      <c r="M65">
        <v>-3.0999999999999999E-3</v>
      </c>
      <c r="N65">
        <v>21.511913046964182</v>
      </c>
      <c r="O65">
        <v>2074.9102959770621</v>
      </c>
      <c r="P65">
        <v>9.0579999999999998</v>
      </c>
      <c r="Q65">
        <v>0</v>
      </c>
      <c r="R65">
        <v>12.600599999999986</v>
      </c>
      <c r="S65" t="s">
        <v>54</v>
      </c>
      <c r="T65" t="s">
        <v>324</v>
      </c>
      <c r="U65">
        <v>75</v>
      </c>
      <c r="V65">
        <v>-3.0999999999999999E-3</v>
      </c>
      <c r="W65">
        <v>25.566620546593018</v>
      </c>
      <c r="X65">
        <v>2566.2722898716779</v>
      </c>
      <c r="Y65">
        <v>9.0579999999999998</v>
      </c>
      <c r="Z65">
        <v>6.3E-2</v>
      </c>
      <c r="AA65">
        <v>12.999099999999999</v>
      </c>
      <c r="AB65" t="s">
        <v>54</v>
      </c>
      <c r="AC65" t="s">
        <v>422</v>
      </c>
      <c r="AD65">
        <v>76</v>
      </c>
      <c r="AE65">
        <v>-3.2000000000000002E-3</v>
      </c>
      <c r="AF65">
        <v>21.511913046964182</v>
      </c>
      <c r="AG65">
        <v>2074.9102959770621</v>
      </c>
      <c r="AH65">
        <v>9.0579999999999998</v>
      </c>
      <c r="AI65">
        <v>0</v>
      </c>
      <c r="AJ65">
        <v>12.600199999999973</v>
      </c>
      <c r="AK65" s="2"/>
      <c r="AT65" s="2"/>
    </row>
    <row r="66" spans="1:46" x14ac:dyDescent="0.3">
      <c r="A66" t="s">
        <v>54</v>
      </c>
      <c r="B66" t="s">
        <v>126</v>
      </c>
      <c r="C66">
        <v>75</v>
      </c>
      <c r="D66">
        <v>-3.0999999999999999E-3</v>
      </c>
      <c r="E66">
        <v>25.566620546593018</v>
      </c>
      <c r="F66">
        <v>2566.2722898716779</v>
      </c>
      <c r="G66">
        <v>9.0579999999999998</v>
      </c>
      <c r="H66">
        <v>6.3E-2</v>
      </c>
      <c r="I66">
        <v>12.802900000000022</v>
      </c>
      <c r="J66" t="s">
        <v>54</v>
      </c>
      <c r="K66" t="s">
        <v>225</v>
      </c>
      <c r="L66">
        <v>75</v>
      </c>
      <c r="M66">
        <v>-3.0999999999999999E-3</v>
      </c>
      <c r="N66">
        <v>21.511913046964182</v>
      </c>
      <c r="O66">
        <v>2074.9102959770621</v>
      </c>
      <c r="P66">
        <v>9.0579999999999998</v>
      </c>
      <c r="Q66">
        <v>0</v>
      </c>
      <c r="R66">
        <v>12.801300000000026</v>
      </c>
      <c r="S66" t="s">
        <v>54</v>
      </c>
      <c r="T66" t="s">
        <v>325</v>
      </c>
      <c r="U66">
        <v>75</v>
      </c>
      <c r="V66">
        <v>1.17E-2</v>
      </c>
      <c r="W66">
        <v>25.566620546593018</v>
      </c>
      <c r="X66">
        <v>2452.8090349424701</v>
      </c>
      <c r="Y66">
        <v>9.0579999999999998</v>
      </c>
      <c r="Z66">
        <v>6.3E-2</v>
      </c>
      <c r="AA66">
        <v>13.199099999999987</v>
      </c>
      <c r="AB66" t="s">
        <v>54</v>
      </c>
      <c r="AC66" t="s">
        <v>423</v>
      </c>
      <c r="AD66">
        <v>76</v>
      </c>
      <c r="AE66">
        <v>-3.0999999999999999E-3</v>
      </c>
      <c r="AF66">
        <v>21.511913046964182</v>
      </c>
      <c r="AG66">
        <v>2074.9102959770621</v>
      </c>
      <c r="AH66">
        <v>9.0579999999999998</v>
      </c>
      <c r="AI66">
        <v>0</v>
      </c>
      <c r="AJ66">
        <v>12.79910000000001</v>
      </c>
      <c r="AK66" s="2"/>
      <c r="AT66" s="2"/>
    </row>
    <row r="67" spans="1:46" x14ac:dyDescent="0.3">
      <c r="A67" t="s">
        <v>54</v>
      </c>
      <c r="B67" t="s">
        <v>127</v>
      </c>
      <c r="C67">
        <v>75</v>
      </c>
      <c r="D67">
        <v>1.21E-2</v>
      </c>
      <c r="E67">
        <v>25.566620546593018</v>
      </c>
      <c r="F67">
        <v>2452.8090349424701</v>
      </c>
      <c r="G67">
        <v>9.0579999999999998</v>
      </c>
      <c r="H67">
        <v>6.3E-2</v>
      </c>
      <c r="I67">
        <v>13.004200000000026</v>
      </c>
      <c r="J67" t="s">
        <v>54</v>
      </c>
      <c r="K67" t="s">
        <v>226</v>
      </c>
      <c r="L67">
        <v>75</v>
      </c>
      <c r="M67">
        <v>-3.0999999999999999E-3</v>
      </c>
      <c r="N67">
        <v>25.566620546593018</v>
      </c>
      <c r="O67">
        <v>2566.2722898716779</v>
      </c>
      <c r="P67">
        <v>9.0579999999999998</v>
      </c>
      <c r="Q67">
        <v>6.3E-2</v>
      </c>
      <c r="R67">
        <v>12.999500000000012</v>
      </c>
      <c r="S67" t="s">
        <v>54</v>
      </c>
      <c r="T67" t="s">
        <v>326</v>
      </c>
      <c r="U67">
        <v>75</v>
      </c>
      <c r="V67">
        <v>3.1399999999999997E-2</v>
      </c>
      <c r="W67">
        <v>25.566620546593018</v>
      </c>
      <c r="X67">
        <v>2452.8090349424701</v>
      </c>
      <c r="Y67">
        <v>9.0579999999999998</v>
      </c>
      <c r="Z67">
        <v>6.3E-2</v>
      </c>
      <c r="AA67">
        <v>13.399799999999971</v>
      </c>
      <c r="AB67" t="s">
        <v>54</v>
      </c>
      <c r="AC67" t="s">
        <v>424</v>
      </c>
      <c r="AD67">
        <v>76</v>
      </c>
      <c r="AE67">
        <v>-3.0999999999999999E-3</v>
      </c>
      <c r="AF67">
        <v>25.566620546593018</v>
      </c>
      <c r="AG67">
        <v>2566.2722898716779</v>
      </c>
      <c r="AH67">
        <v>9.0579999999999998</v>
      </c>
      <c r="AI67">
        <v>6.3E-2</v>
      </c>
      <c r="AJ67">
        <v>13.00569999999999</v>
      </c>
      <c r="AK67" s="2"/>
      <c r="AT67" s="2"/>
    </row>
    <row r="68" spans="1:46" x14ac:dyDescent="0.3">
      <c r="A68" t="s">
        <v>54</v>
      </c>
      <c r="B68" t="s">
        <v>128</v>
      </c>
      <c r="C68">
        <v>75</v>
      </c>
      <c r="D68">
        <v>3.2000000000000001E-2</v>
      </c>
      <c r="E68">
        <v>25.566620546593018</v>
      </c>
      <c r="F68">
        <v>2452.8090349424701</v>
      </c>
      <c r="G68">
        <v>9.0579999999999998</v>
      </c>
      <c r="H68">
        <v>6.3E-2</v>
      </c>
      <c r="I68">
        <v>13.203100000000006</v>
      </c>
      <c r="J68" t="s">
        <v>54</v>
      </c>
      <c r="K68" t="s">
        <v>227</v>
      </c>
      <c r="L68">
        <v>75</v>
      </c>
      <c r="M68">
        <v>1.23E-2</v>
      </c>
      <c r="N68">
        <v>25.566620546593018</v>
      </c>
      <c r="O68">
        <v>2452.8090349424701</v>
      </c>
      <c r="P68">
        <v>9.0579999999999998</v>
      </c>
      <c r="Q68">
        <v>6.3E-2</v>
      </c>
      <c r="R68">
        <v>13.20150000000001</v>
      </c>
      <c r="S68" t="s">
        <v>54</v>
      </c>
      <c r="T68" t="s">
        <v>327</v>
      </c>
      <c r="U68">
        <v>75</v>
      </c>
      <c r="V68">
        <v>3.6400000000000002E-2</v>
      </c>
      <c r="W68">
        <v>25.566620546593018</v>
      </c>
      <c r="X68">
        <v>2452.8090349424701</v>
      </c>
      <c r="Y68">
        <v>9.0579999999999998</v>
      </c>
      <c r="Z68">
        <v>6.3E-2</v>
      </c>
      <c r="AA68">
        <v>13.599699999999984</v>
      </c>
      <c r="AB68" t="s">
        <v>54</v>
      </c>
      <c r="AC68" t="s">
        <v>425</v>
      </c>
      <c r="AD68">
        <v>76</v>
      </c>
      <c r="AE68">
        <v>1.14E-2</v>
      </c>
      <c r="AF68">
        <v>25.566620546593018</v>
      </c>
      <c r="AG68">
        <v>2452.8090349424701</v>
      </c>
      <c r="AH68">
        <v>9.0579999999999998</v>
      </c>
      <c r="AI68">
        <v>6.3E-2</v>
      </c>
      <c r="AJ68">
        <v>13.199399999999969</v>
      </c>
      <c r="AK68" s="2"/>
      <c r="AT68" s="2"/>
    </row>
    <row r="69" spans="1:46" x14ac:dyDescent="0.3">
      <c r="A69" t="s">
        <v>54</v>
      </c>
      <c r="B69" t="s">
        <v>129</v>
      </c>
      <c r="C69">
        <v>75</v>
      </c>
      <c r="D69">
        <v>3.73E-2</v>
      </c>
      <c r="E69">
        <v>25.566620546593018</v>
      </c>
      <c r="F69">
        <v>2452.8090349424701</v>
      </c>
      <c r="G69">
        <v>9.0579999999999998</v>
      </c>
      <c r="H69">
        <v>6.3E-2</v>
      </c>
      <c r="I69">
        <v>13.401299999999992</v>
      </c>
      <c r="J69" t="s">
        <v>54</v>
      </c>
      <c r="K69" t="s">
        <v>228</v>
      </c>
      <c r="L69">
        <v>75</v>
      </c>
      <c r="M69">
        <v>3.2000000000000001E-2</v>
      </c>
      <c r="N69">
        <v>25.566620546593018</v>
      </c>
      <c r="O69">
        <v>2452.8090349424701</v>
      </c>
      <c r="P69">
        <v>9.0579999999999998</v>
      </c>
      <c r="Q69">
        <v>6.3E-2</v>
      </c>
      <c r="R69">
        <v>13.400899999999979</v>
      </c>
      <c r="S69" t="s">
        <v>54</v>
      </c>
      <c r="T69" t="s">
        <v>328</v>
      </c>
      <c r="U69">
        <v>75</v>
      </c>
      <c r="V69">
        <v>3.7900000000000003E-2</v>
      </c>
      <c r="W69">
        <v>25.566620546593018</v>
      </c>
      <c r="X69">
        <v>2452.8090349424701</v>
      </c>
      <c r="Y69">
        <v>9.0579999999999998</v>
      </c>
      <c r="Z69">
        <v>6.3E-2</v>
      </c>
      <c r="AA69">
        <v>13.798699999999997</v>
      </c>
      <c r="AB69" t="s">
        <v>54</v>
      </c>
      <c r="AC69" t="s">
        <v>426</v>
      </c>
      <c r="AD69">
        <v>76</v>
      </c>
      <c r="AE69">
        <v>3.0300000000000001E-2</v>
      </c>
      <c r="AF69">
        <v>25.566620546593018</v>
      </c>
      <c r="AG69">
        <v>2452.8090349424701</v>
      </c>
      <c r="AH69">
        <v>9.0579999999999998</v>
      </c>
      <c r="AI69">
        <v>6.3E-2</v>
      </c>
      <c r="AJ69">
        <v>13.402699999999982</v>
      </c>
      <c r="AK69" s="2"/>
      <c r="AT69" s="2"/>
    </row>
    <row r="70" spans="1:46" x14ac:dyDescent="0.3">
      <c r="A70" t="s">
        <v>54</v>
      </c>
      <c r="B70" t="s">
        <v>130</v>
      </c>
      <c r="C70">
        <v>75</v>
      </c>
      <c r="D70">
        <v>3.8199999999999998E-2</v>
      </c>
      <c r="E70">
        <v>25.566620546593018</v>
      </c>
      <c r="F70">
        <v>2452.8090349424701</v>
      </c>
      <c r="G70">
        <v>9.0579999999999998</v>
      </c>
      <c r="H70">
        <v>6.3E-2</v>
      </c>
      <c r="I70">
        <v>13.602100000000007</v>
      </c>
      <c r="J70" t="s">
        <v>54</v>
      </c>
      <c r="K70" t="s">
        <v>229</v>
      </c>
      <c r="L70">
        <v>75</v>
      </c>
      <c r="M70">
        <v>3.7199999999999997E-2</v>
      </c>
      <c r="N70">
        <v>25.566620546593018</v>
      </c>
      <c r="O70">
        <v>2452.8090349424701</v>
      </c>
      <c r="P70">
        <v>9.0579999999999998</v>
      </c>
      <c r="Q70">
        <v>6.3E-2</v>
      </c>
      <c r="R70">
        <v>13.598799999999983</v>
      </c>
      <c r="S70" t="s">
        <v>54</v>
      </c>
      <c r="T70" t="s">
        <v>329</v>
      </c>
      <c r="U70">
        <v>75</v>
      </c>
      <c r="V70">
        <v>3.8199999999999998E-2</v>
      </c>
      <c r="W70">
        <v>25.566620546593018</v>
      </c>
      <c r="X70">
        <v>2452.8090349424701</v>
      </c>
      <c r="Y70">
        <v>9.0579999999999998</v>
      </c>
      <c r="Z70">
        <v>6.3E-2</v>
      </c>
      <c r="AA70">
        <v>14.004500000000007</v>
      </c>
      <c r="AB70" t="s">
        <v>54</v>
      </c>
      <c r="AC70" t="s">
        <v>427</v>
      </c>
      <c r="AD70">
        <v>76</v>
      </c>
      <c r="AE70">
        <v>3.5999999999999997E-2</v>
      </c>
      <c r="AF70">
        <v>25.566620546593018</v>
      </c>
      <c r="AG70">
        <v>2452.8090349424701</v>
      </c>
      <c r="AH70">
        <v>9.0579999999999998</v>
      </c>
      <c r="AI70">
        <v>6.3E-2</v>
      </c>
      <c r="AJ70">
        <v>13.599999999999966</v>
      </c>
      <c r="AK70" s="2"/>
      <c r="AT70" s="2"/>
    </row>
    <row r="71" spans="1:46" x14ac:dyDescent="0.3">
      <c r="A71" t="s">
        <v>54</v>
      </c>
      <c r="B71" t="s">
        <v>131</v>
      </c>
      <c r="C71">
        <v>75</v>
      </c>
      <c r="D71">
        <v>3.85E-2</v>
      </c>
      <c r="E71">
        <v>25.566620546593018</v>
      </c>
      <c r="F71">
        <v>2452.8090349424701</v>
      </c>
      <c r="G71">
        <v>9.0579999999999998</v>
      </c>
      <c r="H71">
        <v>6.3E-2</v>
      </c>
      <c r="I71">
        <v>13.804200000000037</v>
      </c>
      <c r="J71" t="s">
        <v>54</v>
      </c>
      <c r="K71" t="s">
        <v>230</v>
      </c>
      <c r="L71">
        <v>75</v>
      </c>
      <c r="M71">
        <v>3.8199999999999998E-2</v>
      </c>
      <c r="N71">
        <v>25.566620546593018</v>
      </c>
      <c r="O71">
        <v>2452.8090349424701</v>
      </c>
      <c r="P71">
        <v>9.0579999999999998</v>
      </c>
      <c r="Q71">
        <v>6.3E-2</v>
      </c>
      <c r="R71">
        <v>13.79989999999998</v>
      </c>
      <c r="S71" t="s">
        <v>54</v>
      </c>
      <c r="T71" t="s">
        <v>330</v>
      </c>
      <c r="U71">
        <v>75</v>
      </c>
      <c r="V71">
        <v>3.8300000000000001E-2</v>
      </c>
      <c r="W71">
        <v>25.566620546593018</v>
      </c>
      <c r="X71">
        <v>2452.8090349424701</v>
      </c>
      <c r="Y71">
        <v>9.0579999999999998</v>
      </c>
      <c r="Z71">
        <v>6.3E-2</v>
      </c>
      <c r="AA71">
        <v>14.20089999999999</v>
      </c>
      <c r="AB71" t="s">
        <v>54</v>
      </c>
      <c r="AC71" t="s">
        <v>428</v>
      </c>
      <c r="AD71">
        <v>76</v>
      </c>
      <c r="AE71">
        <v>3.7400000000000003E-2</v>
      </c>
      <c r="AF71">
        <v>25.566620546593018</v>
      </c>
      <c r="AG71">
        <v>2452.8090349424701</v>
      </c>
      <c r="AH71">
        <v>9.0579999999999998</v>
      </c>
      <c r="AI71">
        <v>6.3E-2</v>
      </c>
      <c r="AJ71">
        <v>13.803299999999979</v>
      </c>
      <c r="AK71" s="2"/>
      <c r="AT71" s="2"/>
    </row>
    <row r="72" spans="1:46" x14ac:dyDescent="0.3">
      <c r="A72" t="s">
        <v>54</v>
      </c>
      <c r="B72" t="s">
        <v>132</v>
      </c>
      <c r="C72">
        <v>75</v>
      </c>
      <c r="D72">
        <v>3.85E-2</v>
      </c>
      <c r="E72">
        <v>25.566620546593018</v>
      </c>
      <c r="F72">
        <v>2452.8090349424701</v>
      </c>
      <c r="G72">
        <v>9.0579999999999998</v>
      </c>
      <c r="H72">
        <v>6.3E-2</v>
      </c>
      <c r="I72">
        <v>14.002700000000004</v>
      </c>
      <c r="J72" t="s">
        <v>54</v>
      </c>
      <c r="K72" t="s">
        <v>231</v>
      </c>
      <c r="L72">
        <v>75</v>
      </c>
      <c r="M72">
        <v>3.8199999999999998E-2</v>
      </c>
      <c r="N72">
        <v>25.566620546593018</v>
      </c>
      <c r="O72">
        <v>2452.8090349424701</v>
      </c>
      <c r="P72">
        <v>9.0579999999999998</v>
      </c>
      <c r="Q72">
        <v>6.3E-2</v>
      </c>
      <c r="R72">
        <v>14.000999999999976</v>
      </c>
      <c r="S72" t="s">
        <v>54</v>
      </c>
      <c r="T72" t="s">
        <v>331</v>
      </c>
      <c r="U72">
        <v>75</v>
      </c>
      <c r="V72">
        <v>3.8199999999999998E-2</v>
      </c>
      <c r="W72">
        <v>25.566620546593018</v>
      </c>
      <c r="X72">
        <v>2452.8090349424701</v>
      </c>
      <c r="Y72">
        <v>9.0579999999999998</v>
      </c>
      <c r="Z72">
        <v>6.3E-2</v>
      </c>
      <c r="AA72">
        <v>14.400299999999959</v>
      </c>
      <c r="AB72" t="s">
        <v>54</v>
      </c>
      <c r="AC72" t="s">
        <v>429</v>
      </c>
      <c r="AD72">
        <v>76</v>
      </c>
      <c r="AE72">
        <v>3.78E-2</v>
      </c>
      <c r="AF72">
        <v>25.566620546593018</v>
      </c>
      <c r="AG72">
        <v>2452.8090349424701</v>
      </c>
      <c r="AH72">
        <v>9.0579999999999998</v>
      </c>
      <c r="AI72">
        <v>6.3E-2</v>
      </c>
      <c r="AJ72">
        <v>13.998899999999992</v>
      </c>
      <c r="AK72" s="2"/>
      <c r="AT72" s="2"/>
    </row>
    <row r="73" spans="1:46" x14ac:dyDescent="0.3">
      <c r="A73" t="s">
        <v>54</v>
      </c>
      <c r="B73" t="s">
        <v>133</v>
      </c>
      <c r="C73">
        <v>75</v>
      </c>
      <c r="D73">
        <v>3.85E-2</v>
      </c>
      <c r="E73">
        <v>25.566620546593018</v>
      </c>
      <c r="F73">
        <v>2452.8090349424701</v>
      </c>
      <c r="G73">
        <v>9.0579999999999998</v>
      </c>
      <c r="H73">
        <v>6.3E-2</v>
      </c>
      <c r="I73">
        <v>14.203300000000013</v>
      </c>
      <c r="J73" t="s">
        <v>54</v>
      </c>
      <c r="K73" t="s">
        <v>232</v>
      </c>
      <c r="L73">
        <v>75</v>
      </c>
      <c r="M73">
        <v>3.8300000000000001E-2</v>
      </c>
      <c r="N73">
        <v>25.566620546593018</v>
      </c>
      <c r="O73">
        <v>2452.8090349424701</v>
      </c>
      <c r="P73">
        <v>9.0579999999999998</v>
      </c>
      <c r="Q73">
        <v>6.3E-2</v>
      </c>
      <c r="R73">
        <v>14.199299999999994</v>
      </c>
      <c r="S73" t="s">
        <v>54</v>
      </c>
      <c r="T73" t="s">
        <v>332</v>
      </c>
      <c r="U73">
        <v>75</v>
      </c>
      <c r="V73">
        <v>3.8300000000000001E-2</v>
      </c>
      <c r="W73">
        <v>25.566620546593018</v>
      </c>
      <c r="X73">
        <v>2452.8090349424701</v>
      </c>
      <c r="Y73">
        <v>9.0579999999999998</v>
      </c>
      <c r="Z73">
        <v>6.3E-2</v>
      </c>
      <c r="AA73">
        <v>14.602100000000007</v>
      </c>
      <c r="AB73" t="s">
        <v>54</v>
      </c>
      <c r="AC73" t="s">
        <v>430</v>
      </c>
      <c r="AD73">
        <v>76</v>
      </c>
      <c r="AE73">
        <v>3.78E-2</v>
      </c>
      <c r="AF73">
        <v>25.566620546593018</v>
      </c>
      <c r="AG73">
        <v>2452.8090349424701</v>
      </c>
      <c r="AH73">
        <v>9.0579999999999998</v>
      </c>
      <c r="AI73">
        <v>6.3E-2</v>
      </c>
      <c r="AJ73">
        <v>14.201899999999966</v>
      </c>
      <c r="AK73" s="2"/>
      <c r="AT73" s="2"/>
    </row>
    <row r="74" spans="1:46" x14ac:dyDescent="0.3">
      <c r="A74" t="s">
        <v>54</v>
      </c>
      <c r="B74" t="s">
        <v>134</v>
      </c>
      <c r="C74">
        <v>75</v>
      </c>
      <c r="D74">
        <v>3.85E-2</v>
      </c>
      <c r="E74">
        <v>25.566620546593018</v>
      </c>
      <c r="F74">
        <v>2452.8090349424701</v>
      </c>
      <c r="G74">
        <v>9.0579999999999998</v>
      </c>
      <c r="H74">
        <v>6.3E-2</v>
      </c>
      <c r="I74">
        <v>14.403900000000021</v>
      </c>
      <c r="J74" t="s">
        <v>54</v>
      </c>
      <c r="K74" t="s">
        <v>233</v>
      </c>
      <c r="L74">
        <v>75</v>
      </c>
      <c r="M74">
        <v>3.8199999999999998E-2</v>
      </c>
      <c r="N74">
        <v>25.566620546593018</v>
      </c>
      <c r="O74">
        <v>2452.8090349424701</v>
      </c>
      <c r="P74">
        <v>9.0579999999999998</v>
      </c>
      <c r="Q74">
        <v>6.3E-2</v>
      </c>
      <c r="R74">
        <v>14.398799999999994</v>
      </c>
      <c r="S74" t="s">
        <v>54</v>
      </c>
      <c r="T74" t="s">
        <v>333</v>
      </c>
      <c r="U74">
        <v>75</v>
      </c>
      <c r="V74">
        <v>3.8300000000000001E-2</v>
      </c>
      <c r="W74">
        <v>25.566620546593018</v>
      </c>
      <c r="X74">
        <v>2452.8090349424701</v>
      </c>
      <c r="Y74">
        <v>9.0579999999999998</v>
      </c>
      <c r="Z74">
        <v>6.3E-2</v>
      </c>
      <c r="AA74">
        <v>14.798599999999965</v>
      </c>
      <c r="AB74" t="s">
        <v>54</v>
      </c>
      <c r="AC74" t="s">
        <v>431</v>
      </c>
      <c r="AD74">
        <v>76</v>
      </c>
      <c r="AE74">
        <v>3.78E-2</v>
      </c>
      <c r="AF74">
        <v>25.566620546593018</v>
      </c>
      <c r="AG74">
        <v>2452.8090349424701</v>
      </c>
      <c r="AH74">
        <v>9.0579999999999998</v>
      </c>
      <c r="AI74">
        <v>6.3E-2</v>
      </c>
      <c r="AJ74">
        <v>14.402600000000007</v>
      </c>
      <c r="AK74" s="2"/>
      <c r="AT74" s="2"/>
    </row>
    <row r="75" spans="1:46" x14ac:dyDescent="0.3">
      <c r="A75" t="s">
        <v>54</v>
      </c>
      <c r="B75" t="s">
        <v>135</v>
      </c>
      <c r="C75">
        <v>75</v>
      </c>
      <c r="D75">
        <v>3.85E-2</v>
      </c>
      <c r="E75">
        <v>25.566620546593018</v>
      </c>
      <c r="F75">
        <v>2452.8090349424701</v>
      </c>
      <c r="G75">
        <v>9.0579999999999998</v>
      </c>
      <c r="H75">
        <v>6.3E-2</v>
      </c>
      <c r="I75">
        <v>14.602800000000002</v>
      </c>
      <c r="J75" t="s">
        <v>54</v>
      </c>
      <c r="K75" t="s">
        <v>234</v>
      </c>
      <c r="L75">
        <v>75</v>
      </c>
      <c r="M75">
        <v>3.8199999999999998E-2</v>
      </c>
      <c r="N75">
        <v>25.566620546593018</v>
      </c>
      <c r="O75">
        <v>2452.8090349424701</v>
      </c>
      <c r="P75">
        <v>9.0579999999999998</v>
      </c>
      <c r="Q75">
        <v>6.3E-2</v>
      </c>
      <c r="R75">
        <v>14.601299999999981</v>
      </c>
      <c r="S75" t="s">
        <v>54</v>
      </c>
      <c r="T75" t="s">
        <v>334</v>
      </c>
      <c r="U75">
        <v>75</v>
      </c>
      <c r="V75">
        <v>3.8300000000000001E-2</v>
      </c>
      <c r="W75">
        <v>21.511913046964182</v>
      </c>
      <c r="X75">
        <v>2074.9102959770621</v>
      </c>
      <c r="Y75">
        <v>9.0579999999999998</v>
      </c>
      <c r="Z75">
        <v>0</v>
      </c>
      <c r="AA75">
        <v>15.000699999999995</v>
      </c>
      <c r="AB75" t="s">
        <v>54</v>
      </c>
      <c r="AC75" t="s">
        <v>432</v>
      </c>
      <c r="AD75">
        <v>76</v>
      </c>
      <c r="AE75">
        <v>3.78E-2</v>
      </c>
      <c r="AF75">
        <v>25.566620546593018</v>
      </c>
      <c r="AG75">
        <v>2452.8090349424701</v>
      </c>
      <c r="AH75">
        <v>9.0579999999999998</v>
      </c>
      <c r="AI75">
        <v>6.3E-2</v>
      </c>
      <c r="AJ75">
        <v>14.602199999999982</v>
      </c>
      <c r="AK75" s="2"/>
      <c r="AT75" s="2"/>
    </row>
    <row r="76" spans="1:46" x14ac:dyDescent="0.3">
      <c r="A76" t="s">
        <v>54</v>
      </c>
      <c r="B76" t="s">
        <v>136</v>
      </c>
      <c r="C76">
        <v>75</v>
      </c>
      <c r="D76">
        <v>3.8399999999999997E-2</v>
      </c>
      <c r="E76">
        <v>25.566620546593018</v>
      </c>
      <c r="F76">
        <v>2452.8090349424701</v>
      </c>
      <c r="G76">
        <v>9.0579999999999998</v>
      </c>
      <c r="H76">
        <v>6.3E-2</v>
      </c>
      <c r="I76">
        <v>14.801500000000033</v>
      </c>
      <c r="J76" t="s">
        <v>54</v>
      </c>
      <c r="K76" t="s">
        <v>235</v>
      </c>
      <c r="L76">
        <v>75</v>
      </c>
      <c r="M76">
        <v>3.8199999999999998E-2</v>
      </c>
      <c r="N76">
        <v>25.566620546593018</v>
      </c>
      <c r="O76">
        <v>2452.8090349424701</v>
      </c>
      <c r="P76">
        <v>9.0579999999999998</v>
      </c>
      <c r="Q76">
        <v>6.3E-2</v>
      </c>
      <c r="R76">
        <v>14.799399999999991</v>
      </c>
      <c r="S76" t="s">
        <v>54</v>
      </c>
      <c r="T76" t="s">
        <v>335</v>
      </c>
      <c r="U76">
        <v>75</v>
      </c>
      <c r="V76">
        <v>3.2199999999999999E-2</v>
      </c>
      <c r="W76">
        <v>21.511913046964182</v>
      </c>
      <c r="X76">
        <v>2074.9102959770621</v>
      </c>
      <c r="Y76">
        <v>9.0579999999999998</v>
      </c>
      <c r="Z76">
        <v>0</v>
      </c>
      <c r="AA76">
        <v>15.201599999999985</v>
      </c>
      <c r="AB76" t="s">
        <v>54</v>
      </c>
      <c r="AC76" t="s">
        <v>433</v>
      </c>
      <c r="AD76">
        <v>76</v>
      </c>
      <c r="AE76">
        <v>3.78E-2</v>
      </c>
      <c r="AF76">
        <v>25.566620546593018</v>
      </c>
      <c r="AG76">
        <v>2452.8090349424701</v>
      </c>
      <c r="AH76">
        <v>9.0579999999999998</v>
      </c>
      <c r="AI76">
        <v>6.3E-2</v>
      </c>
      <c r="AJ76">
        <v>14.802500000000009</v>
      </c>
      <c r="AK76" s="2"/>
      <c r="AT76" s="2"/>
    </row>
    <row r="77" spans="1:46" x14ac:dyDescent="0.3">
      <c r="A77" t="s">
        <v>54</v>
      </c>
      <c r="B77" t="s">
        <v>137</v>
      </c>
      <c r="C77">
        <v>75</v>
      </c>
      <c r="D77">
        <v>3.85E-2</v>
      </c>
      <c r="E77">
        <v>21.511913046964182</v>
      </c>
      <c r="F77">
        <v>2074.9102959770621</v>
      </c>
      <c r="G77">
        <v>9.0579999999999998</v>
      </c>
      <c r="H77">
        <v>0</v>
      </c>
      <c r="I77">
        <v>15.002900000000011</v>
      </c>
      <c r="J77" t="s">
        <v>54</v>
      </c>
      <c r="K77" t="s">
        <v>236</v>
      </c>
      <c r="L77">
        <v>75</v>
      </c>
      <c r="M77">
        <v>3.8300000000000001E-2</v>
      </c>
      <c r="N77">
        <v>21.511913046964182</v>
      </c>
      <c r="O77">
        <v>2074.9102959770621</v>
      </c>
      <c r="P77">
        <v>9.0579999999999998</v>
      </c>
      <c r="Q77">
        <v>0</v>
      </c>
      <c r="R77">
        <v>15.001599999999996</v>
      </c>
      <c r="S77" t="s">
        <v>54</v>
      </c>
      <c r="T77" t="s">
        <v>336</v>
      </c>
      <c r="U77">
        <v>75</v>
      </c>
      <c r="V77">
        <v>1.84E-2</v>
      </c>
      <c r="W77">
        <v>21.511913046964182</v>
      </c>
      <c r="X77">
        <v>2074.9102959770621</v>
      </c>
      <c r="Y77">
        <v>9.0579999999999998</v>
      </c>
      <c r="Z77">
        <v>0</v>
      </c>
      <c r="AA77">
        <v>15.398599999999988</v>
      </c>
      <c r="AB77" t="s">
        <v>54</v>
      </c>
      <c r="AC77" t="s">
        <v>434</v>
      </c>
      <c r="AD77">
        <v>76</v>
      </c>
      <c r="AE77">
        <v>3.78E-2</v>
      </c>
      <c r="AF77">
        <v>21.511913046964182</v>
      </c>
      <c r="AG77">
        <v>2074.9102959770621</v>
      </c>
      <c r="AH77">
        <v>9.0579999999999998</v>
      </c>
      <c r="AI77">
        <v>0</v>
      </c>
      <c r="AJ77">
        <v>14.998999999999967</v>
      </c>
      <c r="AK77" s="2"/>
      <c r="AT77" s="2"/>
    </row>
    <row r="78" spans="1:46" x14ac:dyDescent="0.3">
      <c r="A78" t="s">
        <v>54</v>
      </c>
      <c r="B78" t="s">
        <v>138</v>
      </c>
      <c r="C78">
        <v>75</v>
      </c>
      <c r="D78">
        <v>3.2199999999999999E-2</v>
      </c>
      <c r="E78">
        <v>21.511913046964182</v>
      </c>
      <c r="F78">
        <v>2074.9102959770621</v>
      </c>
      <c r="G78">
        <v>9.0579999999999998</v>
      </c>
      <c r="H78">
        <v>0</v>
      </c>
      <c r="I78">
        <v>15.201600000000042</v>
      </c>
      <c r="J78" t="s">
        <v>54</v>
      </c>
      <c r="K78" t="s">
        <v>237</v>
      </c>
      <c r="L78">
        <v>75</v>
      </c>
      <c r="M78">
        <v>3.2199999999999999E-2</v>
      </c>
      <c r="N78">
        <v>21.511913046964182</v>
      </c>
      <c r="O78">
        <v>2074.9102959770621</v>
      </c>
      <c r="P78">
        <v>9.0579999999999998</v>
      </c>
      <c r="Q78">
        <v>0</v>
      </c>
      <c r="R78">
        <v>15.201000000000022</v>
      </c>
      <c r="S78" t="s">
        <v>54</v>
      </c>
      <c r="T78" t="s">
        <v>337</v>
      </c>
      <c r="U78">
        <v>75</v>
      </c>
      <c r="V78">
        <v>6.3E-3</v>
      </c>
      <c r="W78">
        <v>21.511913046964182</v>
      </c>
      <c r="X78">
        <v>2074.9102959770621</v>
      </c>
      <c r="Y78">
        <v>9.0579999999999998</v>
      </c>
      <c r="Z78">
        <v>0</v>
      </c>
      <c r="AA78">
        <v>15.599600000000009</v>
      </c>
      <c r="AB78" t="s">
        <v>54</v>
      </c>
      <c r="AC78" t="s">
        <v>435</v>
      </c>
      <c r="AD78">
        <v>76</v>
      </c>
      <c r="AE78">
        <v>3.2899999999999999E-2</v>
      </c>
      <c r="AF78">
        <v>21.511913046964182</v>
      </c>
      <c r="AG78">
        <v>2074.9102959770621</v>
      </c>
      <c r="AH78">
        <v>9.0579999999999998</v>
      </c>
      <c r="AI78">
        <v>0</v>
      </c>
      <c r="AJ78">
        <v>15.20089999999999</v>
      </c>
      <c r="AK78" s="2"/>
      <c r="AT78" s="2"/>
    </row>
    <row r="79" spans="1:46" x14ac:dyDescent="0.3">
      <c r="A79" t="s">
        <v>54</v>
      </c>
      <c r="B79" t="s">
        <v>139</v>
      </c>
      <c r="C79">
        <v>75</v>
      </c>
      <c r="D79">
        <v>1.7000000000000001E-2</v>
      </c>
      <c r="E79">
        <v>21.511913046964182</v>
      </c>
      <c r="F79">
        <v>2074.9102959770621</v>
      </c>
      <c r="G79">
        <v>9.0579999999999998</v>
      </c>
      <c r="H79">
        <v>0</v>
      </c>
      <c r="I79">
        <v>15.401900000000012</v>
      </c>
      <c r="J79" t="s">
        <v>54</v>
      </c>
      <c r="K79" t="s">
        <v>238</v>
      </c>
      <c r="L79">
        <v>75</v>
      </c>
      <c r="M79">
        <v>1.54E-2</v>
      </c>
      <c r="N79">
        <v>21.511913046964182</v>
      </c>
      <c r="O79">
        <v>2074.9102959770621</v>
      </c>
      <c r="P79">
        <v>9.0579999999999998</v>
      </c>
      <c r="Q79">
        <v>0</v>
      </c>
      <c r="R79">
        <v>15.399400000000014</v>
      </c>
      <c r="S79" t="s">
        <v>54</v>
      </c>
      <c r="T79" t="s">
        <v>338</v>
      </c>
      <c r="U79">
        <v>75</v>
      </c>
      <c r="V79">
        <v>-3.0000000000000001E-3</v>
      </c>
      <c r="W79">
        <v>21.511913046964182</v>
      </c>
      <c r="X79">
        <v>2074.9102959770621</v>
      </c>
      <c r="Y79">
        <v>9.0579999999999998</v>
      </c>
      <c r="Z79">
        <v>0</v>
      </c>
      <c r="AA79">
        <v>15.800199999999961</v>
      </c>
      <c r="AB79" t="s">
        <v>54</v>
      </c>
      <c r="AC79" t="s">
        <v>436</v>
      </c>
      <c r="AD79">
        <v>76</v>
      </c>
      <c r="AE79">
        <v>1.9900000000000001E-2</v>
      </c>
      <c r="AF79">
        <v>21.511913046964182</v>
      </c>
      <c r="AG79">
        <v>2074.9102959770621</v>
      </c>
      <c r="AH79">
        <v>9.0579999999999998</v>
      </c>
      <c r="AI79">
        <v>0</v>
      </c>
      <c r="AJ79">
        <v>15.401700000000005</v>
      </c>
      <c r="AK79" s="2"/>
      <c r="AT79" s="2"/>
    </row>
    <row r="80" spans="1:46" x14ac:dyDescent="0.3">
      <c r="A80" t="s">
        <v>54</v>
      </c>
      <c r="B80" t="s">
        <v>140</v>
      </c>
      <c r="C80">
        <v>75</v>
      </c>
      <c r="D80">
        <v>3.0999999999999999E-3</v>
      </c>
      <c r="E80">
        <v>21.511913046964182</v>
      </c>
      <c r="F80">
        <v>2074.9102959770621</v>
      </c>
      <c r="G80">
        <v>9.0579999999999998</v>
      </c>
      <c r="H80">
        <v>0</v>
      </c>
      <c r="I80">
        <v>15.603400000000022</v>
      </c>
      <c r="J80" t="s">
        <v>54</v>
      </c>
      <c r="K80" t="s">
        <v>239</v>
      </c>
      <c r="L80">
        <v>75</v>
      </c>
      <c r="M80">
        <v>4.0000000000000001E-3</v>
      </c>
      <c r="N80">
        <v>21.511913046964182</v>
      </c>
      <c r="O80">
        <v>2074.9102959770621</v>
      </c>
      <c r="P80">
        <v>9.0579999999999998</v>
      </c>
      <c r="Q80">
        <v>0</v>
      </c>
      <c r="R80">
        <v>15.602300000000014</v>
      </c>
      <c r="S80" t="s">
        <v>54</v>
      </c>
      <c r="T80" t="s">
        <v>339</v>
      </c>
      <c r="U80">
        <v>75</v>
      </c>
      <c r="V80">
        <v>-3.0999999999999999E-3</v>
      </c>
      <c r="W80">
        <v>21.511913046964182</v>
      </c>
      <c r="X80">
        <v>2074.9102959770621</v>
      </c>
      <c r="Y80">
        <v>9.0579999999999998</v>
      </c>
      <c r="Z80">
        <v>0</v>
      </c>
      <c r="AA80">
        <v>15.999300000000005</v>
      </c>
      <c r="AB80" t="s">
        <v>54</v>
      </c>
      <c r="AC80" t="s">
        <v>437</v>
      </c>
      <c r="AD80">
        <v>76</v>
      </c>
      <c r="AE80">
        <v>8.8999999999999999E-3</v>
      </c>
      <c r="AF80">
        <v>21.511913046964182</v>
      </c>
      <c r="AG80">
        <v>2074.9102959770621</v>
      </c>
      <c r="AH80">
        <v>9.0579999999999998</v>
      </c>
      <c r="AI80">
        <v>0</v>
      </c>
      <c r="AJ80">
        <v>15.603799999999978</v>
      </c>
      <c r="AK80" s="2"/>
      <c r="AT80" s="2"/>
    </row>
    <row r="81" spans="1:46" x14ac:dyDescent="0.3">
      <c r="A81" t="s">
        <v>54</v>
      </c>
      <c r="B81" t="s">
        <v>141</v>
      </c>
      <c r="C81">
        <v>75</v>
      </c>
      <c r="D81">
        <v>-3.0999999999999999E-3</v>
      </c>
      <c r="E81">
        <v>21.511913046964182</v>
      </c>
      <c r="F81">
        <v>2074.9102959770621</v>
      </c>
      <c r="G81">
        <v>9.0579999999999998</v>
      </c>
      <c r="H81">
        <v>0</v>
      </c>
      <c r="I81">
        <v>15.804500000000019</v>
      </c>
      <c r="J81" t="s">
        <v>54</v>
      </c>
      <c r="K81" t="s">
        <v>240</v>
      </c>
      <c r="L81">
        <v>75</v>
      </c>
      <c r="M81">
        <v>-3.0999999999999999E-3</v>
      </c>
      <c r="N81">
        <v>21.511913046964182</v>
      </c>
      <c r="O81">
        <v>2074.9102959770621</v>
      </c>
      <c r="P81">
        <v>9.0579999999999998</v>
      </c>
      <c r="Q81">
        <v>0</v>
      </c>
      <c r="R81">
        <v>15.800999999999988</v>
      </c>
      <c r="S81" t="s">
        <v>54</v>
      </c>
      <c r="T81" t="s">
        <v>340</v>
      </c>
      <c r="U81">
        <v>75</v>
      </c>
      <c r="V81">
        <v>-3.0999999999999999E-3</v>
      </c>
      <c r="W81">
        <v>21.511913046964182</v>
      </c>
      <c r="X81">
        <v>2074.9102959770621</v>
      </c>
      <c r="Y81">
        <v>9.0579999999999998</v>
      </c>
      <c r="Z81">
        <v>0</v>
      </c>
      <c r="AA81">
        <v>16.199599999999975</v>
      </c>
      <c r="AB81" t="s">
        <v>54</v>
      </c>
      <c r="AC81" t="s">
        <v>438</v>
      </c>
      <c r="AD81">
        <v>76</v>
      </c>
      <c r="AE81">
        <v>-1.1000000000000001E-3</v>
      </c>
      <c r="AF81">
        <v>21.511913046964182</v>
      </c>
      <c r="AG81">
        <v>2074.9102959770621</v>
      </c>
      <c r="AH81">
        <v>9.0579999999999998</v>
      </c>
      <c r="AI81">
        <v>0</v>
      </c>
      <c r="AJ81">
        <v>15.799999999999955</v>
      </c>
      <c r="AK81" s="2"/>
      <c r="AT81" s="2"/>
    </row>
    <row r="82" spans="1:46" x14ac:dyDescent="0.3">
      <c r="A82" t="s">
        <v>54</v>
      </c>
      <c r="B82" t="s">
        <v>142</v>
      </c>
      <c r="C82">
        <v>75</v>
      </c>
      <c r="D82">
        <v>-3.0999999999999999E-3</v>
      </c>
      <c r="E82">
        <v>21.511913046964182</v>
      </c>
      <c r="F82">
        <v>2074.9102959770621</v>
      </c>
      <c r="G82">
        <v>9.0579999999999998</v>
      </c>
      <c r="H82">
        <v>0</v>
      </c>
      <c r="I82">
        <v>16.004000000000019</v>
      </c>
      <c r="J82" t="s">
        <v>54</v>
      </c>
      <c r="K82" t="s">
        <v>241</v>
      </c>
      <c r="L82">
        <v>75</v>
      </c>
      <c r="M82">
        <v>-3.0999999999999999E-3</v>
      </c>
      <c r="N82">
        <v>21.511913046964182</v>
      </c>
      <c r="O82">
        <v>2074.9102959770621</v>
      </c>
      <c r="P82">
        <v>9.0579999999999998</v>
      </c>
      <c r="Q82">
        <v>0</v>
      </c>
      <c r="R82">
        <v>16.000200000000007</v>
      </c>
      <c r="S82" t="s">
        <v>54</v>
      </c>
      <c r="T82" t="s">
        <v>341</v>
      </c>
      <c r="U82">
        <v>75</v>
      </c>
      <c r="V82">
        <v>-3.0999999999999999E-3</v>
      </c>
      <c r="W82">
        <v>21.511913046964182</v>
      </c>
      <c r="X82">
        <v>2074.9102959770621</v>
      </c>
      <c r="Y82">
        <v>9.0579999999999998</v>
      </c>
      <c r="Z82">
        <v>0</v>
      </c>
      <c r="AA82">
        <v>16.401399999999967</v>
      </c>
      <c r="AB82" t="s">
        <v>54</v>
      </c>
      <c r="AC82" t="s">
        <v>439</v>
      </c>
      <c r="AD82">
        <v>76</v>
      </c>
      <c r="AE82">
        <v>-3.0999999999999999E-3</v>
      </c>
      <c r="AF82">
        <v>21.511913046964182</v>
      </c>
      <c r="AG82">
        <v>2074.9102959770621</v>
      </c>
      <c r="AH82">
        <v>9.0579999999999998</v>
      </c>
      <c r="AI82">
        <v>0</v>
      </c>
      <c r="AJ82">
        <v>16.003799999999956</v>
      </c>
      <c r="AK82" s="2"/>
      <c r="AT82" s="2"/>
    </row>
    <row r="83" spans="1:46" x14ac:dyDescent="0.3">
      <c r="A83" t="s">
        <v>54</v>
      </c>
      <c r="B83" t="s">
        <v>143</v>
      </c>
      <c r="C83">
        <v>75</v>
      </c>
      <c r="D83">
        <v>-3.0999999999999999E-3</v>
      </c>
      <c r="E83">
        <v>21.511913046964182</v>
      </c>
      <c r="F83">
        <v>2074.9102959770621</v>
      </c>
      <c r="G83">
        <v>9.0579999999999998</v>
      </c>
      <c r="H83">
        <v>0</v>
      </c>
      <c r="I83">
        <v>16.201799999999992</v>
      </c>
      <c r="J83" t="s">
        <v>54</v>
      </c>
      <c r="K83" t="s">
        <v>242</v>
      </c>
      <c r="L83">
        <v>75</v>
      </c>
      <c r="M83">
        <v>-3.0999999999999999E-3</v>
      </c>
      <c r="N83">
        <v>21.511913046964182</v>
      </c>
      <c r="O83">
        <v>2074.9102959770621</v>
      </c>
      <c r="P83">
        <v>9.0579999999999998</v>
      </c>
      <c r="Q83">
        <v>0</v>
      </c>
      <c r="R83">
        <v>16.201000000000022</v>
      </c>
      <c r="S83" t="s">
        <v>54</v>
      </c>
      <c r="T83" t="s">
        <v>342</v>
      </c>
      <c r="U83">
        <v>75</v>
      </c>
      <c r="V83">
        <v>-3.0999999999999999E-3</v>
      </c>
      <c r="W83">
        <v>21.511913046964182</v>
      </c>
      <c r="X83">
        <v>2074.9102959770621</v>
      </c>
      <c r="Y83">
        <v>9.0579999999999998</v>
      </c>
      <c r="Z83">
        <v>0</v>
      </c>
      <c r="AA83">
        <v>16.599400000000003</v>
      </c>
      <c r="AB83" t="s">
        <v>54</v>
      </c>
      <c r="AC83" t="s">
        <v>440</v>
      </c>
      <c r="AD83">
        <v>76</v>
      </c>
      <c r="AE83">
        <v>-3.2000000000000002E-3</v>
      </c>
      <c r="AF83">
        <v>21.511913046964182</v>
      </c>
      <c r="AG83">
        <v>2074.9102959770621</v>
      </c>
      <c r="AH83">
        <v>9.0579999999999998</v>
      </c>
      <c r="AI83">
        <v>0</v>
      </c>
      <c r="AJ83">
        <v>16.199399999999969</v>
      </c>
      <c r="AK83" s="2"/>
      <c r="AT83" s="2"/>
    </row>
    <row r="84" spans="1:46" x14ac:dyDescent="0.3">
      <c r="A84" t="s">
        <v>54</v>
      </c>
      <c r="B84" t="s">
        <v>144</v>
      </c>
      <c r="C84">
        <v>75</v>
      </c>
      <c r="D84">
        <v>-3.0999999999999999E-3</v>
      </c>
      <c r="E84">
        <v>21.511913046964182</v>
      </c>
      <c r="F84">
        <v>2074.9102959770621</v>
      </c>
      <c r="G84">
        <v>9.0579999999999998</v>
      </c>
      <c r="H84">
        <v>0</v>
      </c>
      <c r="I84">
        <v>16.401400000000024</v>
      </c>
      <c r="J84" t="s">
        <v>54</v>
      </c>
      <c r="K84" t="s">
        <v>243</v>
      </c>
      <c r="L84">
        <v>75</v>
      </c>
      <c r="M84">
        <v>-3.0999999999999999E-3</v>
      </c>
      <c r="N84">
        <v>21.511913046964182</v>
      </c>
      <c r="O84">
        <v>2074.9102959770621</v>
      </c>
      <c r="P84">
        <v>9.0579999999999998</v>
      </c>
      <c r="Q84">
        <v>0</v>
      </c>
      <c r="R84">
        <v>16.401400000000024</v>
      </c>
      <c r="S84" t="s">
        <v>54</v>
      </c>
      <c r="T84" t="s">
        <v>343</v>
      </c>
      <c r="U84">
        <v>75</v>
      </c>
      <c r="V84">
        <v>-3.0999999999999999E-3</v>
      </c>
      <c r="W84">
        <v>21.511913046964182</v>
      </c>
      <c r="X84">
        <v>2074.9102959770621</v>
      </c>
      <c r="Y84">
        <v>9.0579999999999998</v>
      </c>
      <c r="Z84">
        <v>0</v>
      </c>
      <c r="AA84">
        <v>16.798699999999997</v>
      </c>
      <c r="AB84" t="s">
        <v>54</v>
      </c>
      <c r="AC84" t="s">
        <v>441</v>
      </c>
      <c r="AD84">
        <v>76</v>
      </c>
      <c r="AE84">
        <v>-3.0999999999999999E-3</v>
      </c>
      <c r="AF84">
        <v>21.511913046964182</v>
      </c>
      <c r="AG84">
        <v>2074.9102959770621</v>
      </c>
      <c r="AH84">
        <v>9.0579999999999998</v>
      </c>
      <c r="AI84">
        <v>0</v>
      </c>
      <c r="AJ84">
        <v>16.401299999999992</v>
      </c>
      <c r="AK84" s="2"/>
      <c r="AT84" s="2"/>
    </row>
    <row r="85" spans="1:46" x14ac:dyDescent="0.3">
      <c r="A85" t="s">
        <v>54</v>
      </c>
      <c r="B85" t="s">
        <v>145</v>
      </c>
      <c r="C85">
        <v>75</v>
      </c>
      <c r="D85">
        <v>-3.0999999999999999E-3</v>
      </c>
      <c r="E85">
        <v>21.511913046964182</v>
      </c>
      <c r="F85">
        <v>2074.9102959770621</v>
      </c>
      <c r="G85">
        <v>9.0579999999999998</v>
      </c>
      <c r="H85">
        <v>0</v>
      </c>
      <c r="I85">
        <v>16.603200000000015</v>
      </c>
      <c r="J85" t="s">
        <v>54</v>
      </c>
      <c r="K85" t="s">
        <v>244</v>
      </c>
      <c r="L85">
        <v>75</v>
      </c>
      <c r="M85">
        <v>-3.0999999999999999E-3</v>
      </c>
      <c r="N85">
        <v>21.511913046964182</v>
      </c>
      <c r="O85">
        <v>2074.9102959770621</v>
      </c>
      <c r="P85">
        <v>9.0579999999999998</v>
      </c>
      <c r="Q85">
        <v>0</v>
      </c>
      <c r="R85">
        <v>16.600599999999986</v>
      </c>
      <c r="S85" t="s">
        <v>54</v>
      </c>
      <c r="T85" t="s">
        <v>344</v>
      </c>
      <c r="U85">
        <v>75</v>
      </c>
      <c r="V85">
        <v>-3.0999999999999999E-3</v>
      </c>
      <c r="W85">
        <v>25.566620546593018</v>
      </c>
      <c r="X85">
        <v>2566.2722898716779</v>
      </c>
      <c r="Y85">
        <v>9.0579999999999998</v>
      </c>
      <c r="Z85">
        <v>6.3E-2</v>
      </c>
      <c r="AA85">
        <v>16.999699999999962</v>
      </c>
      <c r="AB85" t="s">
        <v>54</v>
      </c>
      <c r="AC85" t="s">
        <v>442</v>
      </c>
      <c r="AD85">
        <v>76</v>
      </c>
      <c r="AE85">
        <v>-3.2000000000000002E-3</v>
      </c>
      <c r="AF85">
        <v>21.511913046964182</v>
      </c>
      <c r="AG85">
        <v>2074.9102959770621</v>
      </c>
      <c r="AH85">
        <v>9.0579999999999998</v>
      </c>
      <c r="AI85">
        <v>0</v>
      </c>
      <c r="AJ85">
        <v>16.599299999999971</v>
      </c>
      <c r="AK85" s="2"/>
      <c r="AT85" s="2"/>
    </row>
    <row r="86" spans="1:46" x14ac:dyDescent="0.3">
      <c r="A86" t="s">
        <v>54</v>
      </c>
      <c r="B86" t="s">
        <v>146</v>
      </c>
      <c r="C86">
        <v>75</v>
      </c>
      <c r="D86">
        <v>-3.0999999999999999E-3</v>
      </c>
      <c r="E86">
        <v>21.511913046964182</v>
      </c>
      <c r="F86">
        <v>2074.9102959770621</v>
      </c>
      <c r="G86">
        <v>9.0579999999999998</v>
      </c>
      <c r="H86">
        <v>0</v>
      </c>
      <c r="I86">
        <v>16.801100000000019</v>
      </c>
      <c r="J86" t="s">
        <v>54</v>
      </c>
      <c r="K86" t="s">
        <v>245</v>
      </c>
      <c r="L86">
        <v>75</v>
      </c>
      <c r="M86">
        <v>-3.0999999999999999E-3</v>
      </c>
      <c r="N86">
        <v>21.511913046964182</v>
      </c>
      <c r="O86">
        <v>2074.9102959770621</v>
      </c>
      <c r="P86">
        <v>9.0579999999999998</v>
      </c>
      <c r="Q86">
        <v>0</v>
      </c>
      <c r="R86">
        <v>16.800400000000025</v>
      </c>
      <c r="S86" t="s">
        <v>54</v>
      </c>
      <c r="T86" t="s">
        <v>345</v>
      </c>
      <c r="U86">
        <v>75</v>
      </c>
      <c r="V86">
        <v>8.8000000000000005E-3</v>
      </c>
      <c r="W86">
        <v>25.566620546593018</v>
      </c>
      <c r="X86">
        <v>2452.8090349424701</v>
      </c>
      <c r="Y86">
        <v>9.0579999999999998</v>
      </c>
      <c r="Z86">
        <v>6.3E-2</v>
      </c>
      <c r="AA86">
        <v>17.202099999999973</v>
      </c>
      <c r="AB86" t="s">
        <v>54</v>
      </c>
      <c r="AC86" t="s">
        <v>443</v>
      </c>
      <c r="AD86">
        <v>76</v>
      </c>
      <c r="AE86">
        <v>-3.0999999999999999E-3</v>
      </c>
      <c r="AF86">
        <v>21.511913046964182</v>
      </c>
      <c r="AG86">
        <v>2074.9102959770621</v>
      </c>
      <c r="AH86">
        <v>9.0579999999999998</v>
      </c>
      <c r="AI86">
        <v>0</v>
      </c>
      <c r="AJ86">
        <v>16.802300000000002</v>
      </c>
      <c r="AK86" s="2"/>
      <c r="AT86" s="2"/>
    </row>
    <row r="87" spans="1:46" x14ac:dyDescent="0.3">
      <c r="A87" t="s">
        <v>54</v>
      </c>
      <c r="B87" t="s">
        <v>147</v>
      </c>
      <c r="C87">
        <v>75</v>
      </c>
      <c r="D87">
        <v>-3.0999999999999999E-3</v>
      </c>
      <c r="E87">
        <v>25.566620546593018</v>
      </c>
      <c r="F87">
        <v>2566.2722898716779</v>
      </c>
      <c r="G87">
        <v>9.0579999999999998</v>
      </c>
      <c r="H87">
        <v>6.3E-2</v>
      </c>
      <c r="I87">
        <v>17.001100000000008</v>
      </c>
      <c r="J87" t="s">
        <v>54</v>
      </c>
      <c r="K87" t="s">
        <v>246</v>
      </c>
      <c r="L87">
        <v>75</v>
      </c>
      <c r="M87">
        <v>-3.0999999999999999E-3</v>
      </c>
      <c r="N87">
        <v>25.566620546593018</v>
      </c>
      <c r="O87">
        <v>2566.2722898716779</v>
      </c>
      <c r="P87">
        <v>9.0579999999999998</v>
      </c>
      <c r="Q87">
        <v>6.3E-2</v>
      </c>
      <c r="R87">
        <v>17.000900000000001</v>
      </c>
      <c r="S87" t="s">
        <v>54</v>
      </c>
      <c r="T87" t="s">
        <v>346</v>
      </c>
      <c r="U87">
        <v>75</v>
      </c>
      <c r="V87">
        <v>2.9100000000000001E-2</v>
      </c>
      <c r="W87">
        <v>25.566620546593018</v>
      </c>
      <c r="X87">
        <v>2452.8090349424701</v>
      </c>
      <c r="Y87">
        <v>9.0579999999999998</v>
      </c>
      <c r="Z87">
        <v>6.3E-2</v>
      </c>
      <c r="AA87">
        <v>17.401900000000012</v>
      </c>
      <c r="AB87" t="s">
        <v>54</v>
      </c>
      <c r="AC87" t="s">
        <v>444</v>
      </c>
      <c r="AD87">
        <v>76</v>
      </c>
      <c r="AE87">
        <v>-3.0999999999999999E-3</v>
      </c>
      <c r="AF87">
        <v>25.566620546593018</v>
      </c>
      <c r="AG87">
        <v>2566.2722898716779</v>
      </c>
      <c r="AH87">
        <v>9.0579999999999998</v>
      </c>
      <c r="AI87">
        <v>6.3E-2</v>
      </c>
      <c r="AJ87">
        <v>17.003799999999956</v>
      </c>
      <c r="AK87" s="2"/>
      <c r="AT87" s="2"/>
    </row>
    <row r="88" spans="1:46" x14ac:dyDescent="0.3">
      <c r="A88" t="s">
        <v>54</v>
      </c>
      <c r="B88" t="s">
        <v>148</v>
      </c>
      <c r="C88">
        <v>75</v>
      </c>
      <c r="D88">
        <v>1.2200000000000001E-2</v>
      </c>
      <c r="E88">
        <v>25.566620546593018</v>
      </c>
      <c r="F88">
        <v>2452.8090349424701</v>
      </c>
      <c r="G88">
        <v>9.0579999999999998</v>
      </c>
      <c r="H88">
        <v>6.3E-2</v>
      </c>
      <c r="I88">
        <v>17.203599999999994</v>
      </c>
      <c r="J88" t="s">
        <v>54</v>
      </c>
      <c r="K88" t="s">
        <v>247</v>
      </c>
      <c r="L88">
        <v>75</v>
      </c>
      <c r="M88">
        <v>1.18E-2</v>
      </c>
      <c r="N88">
        <v>25.566620546593018</v>
      </c>
      <c r="O88">
        <v>2452.8090349424701</v>
      </c>
      <c r="P88">
        <v>9.0579999999999998</v>
      </c>
      <c r="Q88">
        <v>6.3E-2</v>
      </c>
      <c r="R88">
        <v>17.199900000000014</v>
      </c>
      <c r="S88" t="s">
        <v>54</v>
      </c>
      <c r="T88" t="s">
        <v>347</v>
      </c>
      <c r="U88">
        <v>75</v>
      </c>
      <c r="V88">
        <v>3.5499999999999997E-2</v>
      </c>
      <c r="W88">
        <v>25.566620546593018</v>
      </c>
      <c r="X88">
        <v>2452.8090349424701</v>
      </c>
      <c r="Y88">
        <v>9.0579999999999998</v>
      </c>
      <c r="Z88">
        <v>6.3E-2</v>
      </c>
      <c r="AA88">
        <v>17.600500000000011</v>
      </c>
      <c r="AB88" t="s">
        <v>54</v>
      </c>
      <c r="AC88" t="s">
        <v>445</v>
      </c>
      <c r="AD88">
        <v>76</v>
      </c>
      <c r="AE88">
        <v>1.14E-2</v>
      </c>
      <c r="AF88">
        <v>25.566620546593018</v>
      </c>
      <c r="AG88">
        <v>2452.8090349424701</v>
      </c>
      <c r="AH88">
        <v>9.0579999999999998</v>
      </c>
      <c r="AI88">
        <v>6.3E-2</v>
      </c>
      <c r="AJ88">
        <v>17.199599999999975</v>
      </c>
      <c r="AK88" s="2"/>
      <c r="AT88" s="2"/>
    </row>
    <row r="89" spans="1:46" x14ac:dyDescent="0.3">
      <c r="A89" t="s">
        <v>54</v>
      </c>
      <c r="B89" t="s">
        <v>149</v>
      </c>
      <c r="C89">
        <v>75</v>
      </c>
      <c r="D89">
        <v>3.2300000000000002E-2</v>
      </c>
      <c r="E89">
        <v>25.566620546593018</v>
      </c>
      <c r="F89">
        <v>2452.8090349424701</v>
      </c>
      <c r="G89">
        <v>9.0579999999999998</v>
      </c>
      <c r="H89">
        <v>6.3E-2</v>
      </c>
      <c r="I89">
        <v>17.40440000000001</v>
      </c>
      <c r="J89" t="s">
        <v>54</v>
      </c>
      <c r="K89" t="s">
        <v>248</v>
      </c>
      <c r="L89">
        <v>75</v>
      </c>
      <c r="M89">
        <v>3.1699999999999999E-2</v>
      </c>
      <c r="N89">
        <v>25.566620546593018</v>
      </c>
      <c r="O89">
        <v>2452.8090349424701</v>
      </c>
      <c r="P89">
        <v>9.0579999999999998</v>
      </c>
      <c r="Q89">
        <v>6.3E-2</v>
      </c>
      <c r="R89">
        <v>17.401400000000024</v>
      </c>
      <c r="S89" t="s">
        <v>54</v>
      </c>
      <c r="T89" t="s">
        <v>348</v>
      </c>
      <c r="U89">
        <v>75</v>
      </c>
      <c r="V89">
        <v>3.7199999999999997E-2</v>
      </c>
      <c r="W89">
        <v>25.566620546593018</v>
      </c>
      <c r="X89">
        <v>2452.8090349424701</v>
      </c>
      <c r="Y89">
        <v>9.0579999999999998</v>
      </c>
      <c r="Z89">
        <v>6.3E-2</v>
      </c>
      <c r="AA89">
        <v>17.802500000000009</v>
      </c>
      <c r="AB89" t="s">
        <v>54</v>
      </c>
      <c r="AC89" t="s">
        <v>446</v>
      </c>
      <c r="AD89">
        <v>76</v>
      </c>
      <c r="AE89">
        <v>3.0300000000000001E-2</v>
      </c>
      <c r="AF89">
        <v>25.566620546593018</v>
      </c>
      <c r="AG89">
        <v>2452.8090349424701</v>
      </c>
      <c r="AH89">
        <v>9.0579999999999998</v>
      </c>
      <c r="AI89">
        <v>6.3E-2</v>
      </c>
      <c r="AJ89">
        <v>17.400699999999972</v>
      </c>
      <c r="AK89" s="2"/>
      <c r="AT89" s="2"/>
    </row>
    <row r="90" spans="1:46" x14ac:dyDescent="0.3">
      <c r="A90" t="s">
        <v>54</v>
      </c>
      <c r="B90" t="s">
        <v>150</v>
      </c>
      <c r="C90">
        <v>75</v>
      </c>
      <c r="D90">
        <v>3.7199999999999997E-2</v>
      </c>
      <c r="E90">
        <v>25.566620546593018</v>
      </c>
      <c r="F90">
        <v>2452.8090349424701</v>
      </c>
      <c r="G90">
        <v>9.0579999999999998</v>
      </c>
      <c r="H90">
        <v>6.3E-2</v>
      </c>
      <c r="I90">
        <v>17.60329999999999</v>
      </c>
      <c r="J90" t="s">
        <v>54</v>
      </c>
      <c r="K90" t="s">
        <v>249</v>
      </c>
      <c r="L90">
        <v>75</v>
      </c>
      <c r="M90">
        <v>3.6900000000000002E-2</v>
      </c>
      <c r="N90">
        <v>25.566620546593018</v>
      </c>
      <c r="O90">
        <v>2452.8090349424701</v>
      </c>
      <c r="P90">
        <v>9.0579999999999998</v>
      </c>
      <c r="Q90">
        <v>6.3E-2</v>
      </c>
      <c r="R90">
        <v>17.599699999999984</v>
      </c>
      <c r="S90" t="s">
        <v>54</v>
      </c>
      <c r="T90" t="s">
        <v>349</v>
      </c>
      <c r="U90">
        <v>75</v>
      </c>
      <c r="V90">
        <v>3.78E-2</v>
      </c>
      <c r="W90">
        <v>25.566620546593018</v>
      </c>
      <c r="X90">
        <v>2452.8090349424701</v>
      </c>
      <c r="Y90">
        <v>9.0579999999999998</v>
      </c>
      <c r="Z90">
        <v>6.3E-2</v>
      </c>
      <c r="AA90">
        <v>18.002299999999991</v>
      </c>
      <c r="AB90" t="s">
        <v>54</v>
      </c>
      <c r="AC90" t="s">
        <v>447</v>
      </c>
      <c r="AD90">
        <v>76</v>
      </c>
      <c r="AE90">
        <v>3.5499999999999997E-2</v>
      </c>
      <c r="AF90">
        <v>25.566620546593018</v>
      </c>
      <c r="AG90">
        <v>2452.8090349424701</v>
      </c>
      <c r="AH90">
        <v>9.0579999999999998</v>
      </c>
      <c r="AI90">
        <v>6.3E-2</v>
      </c>
      <c r="AJ90">
        <v>17.602199999999982</v>
      </c>
      <c r="AK90" s="2"/>
      <c r="AT90" s="2"/>
    </row>
    <row r="91" spans="1:46" x14ac:dyDescent="0.3">
      <c r="A91" t="s">
        <v>54</v>
      </c>
      <c r="B91" t="s">
        <v>151</v>
      </c>
      <c r="C91">
        <v>75</v>
      </c>
      <c r="D91">
        <v>3.8199999999999998E-2</v>
      </c>
      <c r="E91">
        <v>25.566620546593018</v>
      </c>
      <c r="F91">
        <v>2452.8090349424701</v>
      </c>
      <c r="G91">
        <v>9.0579999999999998</v>
      </c>
      <c r="H91">
        <v>6.3E-2</v>
      </c>
      <c r="I91">
        <v>17.801800000000014</v>
      </c>
      <c r="J91" t="s">
        <v>54</v>
      </c>
      <c r="K91" t="s">
        <v>250</v>
      </c>
      <c r="L91">
        <v>75</v>
      </c>
      <c r="M91">
        <v>3.8199999999999998E-2</v>
      </c>
      <c r="N91">
        <v>25.566620546593018</v>
      </c>
      <c r="O91">
        <v>2452.8090349424701</v>
      </c>
      <c r="P91">
        <v>9.0579999999999998</v>
      </c>
      <c r="Q91">
        <v>6.3E-2</v>
      </c>
      <c r="R91">
        <v>17.801100000000019</v>
      </c>
      <c r="S91" t="s">
        <v>54</v>
      </c>
      <c r="T91" t="s">
        <v>350</v>
      </c>
      <c r="U91">
        <v>75</v>
      </c>
      <c r="V91">
        <v>3.7900000000000003E-2</v>
      </c>
      <c r="W91">
        <v>25.566620546593018</v>
      </c>
      <c r="X91">
        <v>2452.8090349424701</v>
      </c>
      <c r="Y91">
        <v>9.0579999999999998</v>
      </c>
      <c r="Z91">
        <v>6.3E-2</v>
      </c>
      <c r="AA91">
        <v>18.1995</v>
      </c>
      <c r="AB91" t="s">
        <v>54</v>
      </c>
      <c r="AC91" t="s">
        <v>448</v>
      </c>
      <c r="AD91">
        <v>76</v>
      </c>
      <c r="AE91">
        <v>3.73E-2</v>
      </c>
      <c r="AF91">
        <v>25.566620546593018</v>
      </c>
      <c r="AG91">
        <v>2452.8090349424701</v>
      </c>
      <c r="AH91">
        <v>9.0579999999999998</v>
      </c>
      <c r="AI91">
        <v>6.3E-2</v>
      </c>
      <c r="AJ91">
        <v>17.802599999999984</v>
      </c>
      <c r="AK91" s="2"/>
      <c r="AT91" s="2"/>
    </row>
    <row r="92" spans="1:46" x14ac:dyDescent="0.3">
      <c r="A92" t="s">
        <v>54</v>
      </c>
      <c r="B92" t="s">
        <v>152</v>
      </c>
      <c r="C92">
        <v>75</v>
      </c>
      <c r="D92">
        <v>3.8199999999999998E-2</v>
      </c>
      <c r="E92">
        <v>25.566620546593018</v>
      </c>
      <c r="F92">
        <v>2452.8090349424701</v>
      </c>
      <c r="G92">
        <v>9.0579999999999998</v>
      </c>
      <c r="H92">
        <v>6.3E-2</v>
      </c>
      <c r="I92">
        <v>18.002499999999998</v>
      </c>
      <c r="J92" t="s">
        <v>54</v>
      </c>
      <c r="K92" t="s">
        <v>251</v>
      </c>
      <c r="L92">
        <v>75</v>
      </c>
      <c r="M92">
        <v>3.8300000000000001E-2</v>
      </c>
      <c r="N92">
        <v>25.566620546593018</v>
      </c>
      <c r="O92">
        <v>2452.8090349424701</v>
      </c>
      <c r="P92">
        <v>9.0579999999999998</v>
      </c>
      <c r="Q92">
        <v>6.3E-2</v>
      </c>
      <c r="R92">
        <v>18.000800000000027</v>
      </c>
      <c r="S92" t="s">
        <v>54</v>
      </c>
      <c r="T92" t="s">
        <v>351</v>
      </c>
      <c r="U92">
        <v>75</v>
      </c>
      <c r="V92">
        <v>3.7900000000000003E-2</v>
      </c>
      <c r="W92">
        <v>25.566620546593018</v>
      </c>
      <c r="X92">
        <v>2452.8090349424701</v>
      </c>
      <c r="Y92">
        <v>9.0579999999999998</v>
      </c>
      <c r="Z92">
        <v>6.3E-2</v>
      </c>
      <c r="AA92">
        <v>18.400100000000009</v>
      </c>
      <c r="AB92" t="s">
        <v>54</v>
      </c>
      <c r="AC92" t="s">
        <v>449</v>
      </c>
      <c r="AD92">
        <v>76</v>
      </c>
      <c r="AE92">
        <v>3.8100000000000002E-2</v>
      </c>
      <c r="AF92">
        <v>25.566620546593018</v>
      </c>
      <c r="AG92">
        <v>2452.8090349424701</v>
      </c>
      <c r="AH92">
        <v>9.0579999999999998</v>
      </c>
      <c r="AI92">
        <v>6.3E-2</v>
      </c>
      <c r="AJ92">
        <v>17.999699999999962</v>
      </c>
      <c r="AK92" s="2"/>
      <c r="AT92" s="2"/>
    </row>
    <row r="93" spans="1:46" x14ac:dyDescent="0.3">
      <c r="A93" t="s">
        <v>54</v>
      </c>
      <c r="B93" t="s">
        <v>153</v>
      </c>
      <c r="C93">
        <v>75</v>
      </c>
      <c r="D93">
        <v>3.8300000000000001E-2</v>
      </c>
      <c r="E93">
        <v>25.566620546593018</v>
      </c>
      <c r="F93">
        <v>2452.8090349424701</v>
      </c>
      <c r="G93">
        <v>9.0579999999999998</v>
      </c>
      <c r="H93">
        <v>6.3E-2</v>
      </c>
      <c r="I93">
        <v>18.201400000000035</v>
      </c>
      <c r="J93" t="s">
        <v>54</v>
      </c>
      <c r="K93" t="s">
        <v>252</v>
      </c>
      <c r="L93">
        <v>75</v>
      </c>
      <c r="M93">
        <v>3.8300000000000001E-2</v>
      </c>
      <c r="N93">
        <v>25.566620546593018</v>
      </c>
      <c r="O93">
        <v>2452.8090349424701</v>
      </c>
      <c r="P93">
        <v>9.0579999999999998</v>
      </c>
      <c r="Q93">
        <v>6.3E-2</v>
      </c>
      <c r="R93">
        <v>18.198899999999981</v>
      </c>
      <c r="S93" t="s">
        <v>54</v>
      </c>
      <c r="T93" t="s">
        <v>352</v>
      </c>
      <c r="U93">
        <v>75</v>
      </c>
      <c r="V93">
        <v>3.7900000000000003E-2</v>
      </c>
      <c r="W93">
        <v>25.566620546593018</v>
      </c>
      <c r="X93">
        <v>2452.8090349424701</v>
      </c>
      <c r="Y93">
        <v>9.0579999999999998</v>
      </c>
      <c r="Z93">
        <v>6.3E-2</v>
      </c>
      <c r="AA93">
        <v>18.601900000000001</v>
      </c>
      <c r="AB93" t="s">
        <v>54</v>
      </c>
      <c r="AC93" t="s">
        <v>450</v>
      </c>
      <c r="AD93">
        <v>76</v>
      </c>
      <c r="AE93">
        <v>3.8100000000000002E-2</v>
      </c>
      <c r="AF93">
        <v>25.566620546593018</v>
      </c>
      <c r="AG93">
        <v>2452.8090349424701</v>
      </c>
      <c r="AH93">
        <v>9.0579999999999998</v>
      </c>
      <c r="AI93">
        <v>6.3E-2</v>
      </c>
      <c r="AJ93">
        <v>18.202399999999955</v>
      </c>
      <c r="AK93" s="2"/>
      <c r="AT93" s="2"/>
    </row>
    <row r="94" spans="1:46" x14ac:dyDescent="0.3">
      <c r="A94" t="s">
        <v>54</v>
      </c>
      <c r="B94" t="s">
        <v>154</v>
      </c>
      <c r="C94">
        <v>75</v>
      </c>
      <c r="D94">
        <v>3.8300000000000001E-2</v>
      </c>
      <c r="E94">
        <v>25.566620546593018</v>
      </c>
      <c r="F94">
        <v>2452.8090349424701</v>
      </c>
      <c r="G94">
        <v>9.0579999999999998</v>
      </c>
      <c r="H94">
        <v>6.3E-2</v>
      </c>
      <c r="I94">
        <v>18.403999999999996</v>
      </c>
      <c r="J94" t="s">
        <v>54</v>
      </c>
      <c r="K94" t="s">
        <v>253</v>
      </c>
      <c r="L94">
        <v>75</v>
      </c>
      <c r="M94">
        <v>3.8300000000000001E-2</v>
      </c>
      <c r="N94">
        <v>25.566620546593018</v>
      </c>
      <c r="O94">
        <v>2452.8090349424701</v>
      </c>
      <c r="P94">
        <v>9.0579999999999998</v>
      </c>
      <c r="Q94">
        <v>6.3E-2</v>
      </c>
      <c r="R94">
        <v>18.399600000000021</v>
      </c>
      <c r="S94" t="s">
        <v>54</v>
      </c>
      <c r="T94" t="s">
        <v>353</v>
      </c>
      <c r="U94">
        <v>76</v>
      </c>
      <c r="V94">
        <v>3.7900000000000003E-2</v>
      </c>
      <c r="W94">
        <v>25.566620546593018</v>
      </c>
      <c r="X94">
        <v>2452.8090349424701</v>
      </c>
      <c r="Y94">
        <v>9.0579999999999998</v>
      </c>
      <c r="Z94">
        <v>6.3E-2</v>
      </c>
      <c r="AA94">
        <v>18.806099999999958</v>
      </c>
      <c r="AB94" t="s">
        <v>54</v>
      </c>
      <c r="AC94" t="s">
        <v>451</v>
      </c>
      <c r="AD94">
        <v>76</v>
      </c>
      <c r="AE94">
        <v>3.8100000000000002E-2</v>
      </c>
      <c r="AF94">
        <v>25.566620546593018</v>
      </c>
      <c r="AG94">
        <v>2452.8090349424701</v>
      </c>
      <c r="AH94">
        <v>9.0579999999999998</v>
      </c>
      <c r="AI94">
        <v>6.3E-2</v>
      </c>
      <c r="AJ94">
        <v>18.400800000000004</v>
      </c>
      <c r="AK94" s="2"/>
      <c r="AT94" s="2"/>
    </row>
    <row r="95" spans="1:46" x14ac:dyDescent="0.3">
      <c r="A95" t="s">
        <v>54</v>
      </c>
      <c r="B95" t="s">
        <v>155</v>
      </c>
      <c r="C95">
        <v>75</v>
      </c>
      <c r="D95">
        <v>3.8199999999999998E-2</v>
      </c>
      <c r="E95">
        <v>25.566620546593018</v>
      </c>
      <c r="F95">
        <v>2452.8090349424701</v>
      </c>
      <c r="G95">
        <v>9.0579999999999998</v>
      </c>
      <c r="H95">
        <v>6.3E-2</v>
      </c>
      <c r="I95">
        <v>18.602700000000027</v>
      </c>
      <c r="J95" t="s">
        <v>54</v>
      </c>
      <c r="K95" t="s">
        <v>254</v>
      </c>
      <c r="L95">
        <v>75</v>
      </c>
      <c r="M95">
        <v>3.8300000000000001E-2</v>
      </c>
      <c r="N95">
        <v>25.566620546593018</v>
      </c>
      <c r="O95">
        <v>2452.8090349424701</v>
      </c>
      <c r="P95">
        <v>9.0579999999999998</v>
      </c>
      <c r="Q95">
        <v>6.3E-2</v>
      </c>
      <c r="R95">
        <v>18.599400000000003</v>
      </c>
      <c r="S95" t="s">
        <v>54</v>
      </c>
      <c r="T95" t="s">
        <v>354</v>
      </c>
      <c r="U95">
        <v>76</v>
      </c>
      <c r="V95">
        <v>3.7900000000000003E-2</v>
      </c>
      <c r="W95">
        <v>21.511913046964182</v>
      </c>
      <c r="X95">
        <v>2074.9102959770621</v>
      </c>
      <c r="Y95">
        <v>9.0579999999999998</v>
      </c>
      <c r="Z95">
        <v>0</v>
      </c>
      <c r="AA95">
        <v>18.99939999999998</v>
      </c>
      <c r="AB95" t="s">
        <v>54</v>
      </c>
      <c r="AC95" t="s">
        <v>452</v>
      </c>
      <c r="AD95">
        <v>76</v>
      </c>
      <c r="AE95">
        <v>3.8100000000000002E-2</v>
      </c>
      <c r="AF95">
        <v>25.566620546593018</v>
      </c>
      <c r="AG95">
        <v>2452.8090349424701</v>
      </c>
      <c r="AH95">
        <v>9.0579999999999998</v>
      </c>
      <c r="AI95">
        <v>6.3E-2</v>
      </c>
      <c r="AJ95">
        <v>18.602899999999977</v>
      </c>
      <c r="AK95" s="2"/>
      <c r="AT95" s="2"/>
    </row>
    <row r="96" spans="1:46" x14ac:dyDescent="0.3">
      <c r="A96" t="s">
        <v>54</v>
      </c>
      <c r="B96" t="s">
        <v>156</v>
      </c>
      <c r="C96">
        <v>75</v>
      </c>
      <c r="D96">
        <v>3.8300000000000001E-2</v>
      </c>
      <c r="E96">
        <v>21.511913046964182</v>
      </c>
      <c r="F96">
        <v>2074.9102959770621</v>
      </c>
      <c r="G96">
        <v>9.0579999999999998</v>
      </c>
      <c r="H96">
        <v>0</v>
      </c>
      <c r="I96">
        <v>18.80400000000003</v>
      </c>
      <c r="J96" t="s">
        <v>54</v>
      </c>
      <c r="K96" t="s">
        <v>255</v>
      </c>
      <c r="L96">
        <v>75</v>
      </c>
      <c r="M96">
        <v>3.8300000000000001E-2</v>
      </c>
      <c r="N96">
        <v>25.566620546593018</v>
      </c>
      <c r="O96">
        <v>2452.8090349424701</v>
      </c>
      <c r="P96">
        <v>9.0579999999999998</v>
      </c>
      <c r="Q96">
        <v>6.3E-2</v>
      </c>
      <c r="R96">
        <v>18.802700000000016</v>
      </c>
      <c r="S96" t="s">
        <v>54</v>
      </c>
      <c r="T96" t="s">
        <v>355</v>
      </c>
      <c r="U96">
        <v>76</v>
      </c>
      <c r="V96">
        <v>3.1899999999999998E-2</v>
      </c>
      <c r="W96">
        <v>21.511913046964182</v>
      </c>
      <c r="X96">
        <v>2074.9102959770621</v>
      </c>
      <c r="Y96">
        <v>9.0579999999999998</v>
      </c>
      <c r="Z96">
        <v>0</v>
      </c>
      <c r="AA96">
        <v>19.201599999999985</v>
      </c>
      <c r="AB96" t="s">
        <v>54</v>
      </c>
      <c r="AC96" t="s">
        <v>453</v>
      </c>
      <c r="AD96">
        <v>76</v>
      </c>
      <c r="AE96">
        <v>3.8100000000000002E-2</v>
      </c>
      <c r="AF96">
        <v>25.566620546593018</v>
      </c>
      <c r="AG96">
        <v>2452.8090349424701</v>
      </c>
      <c r="AH96">
        <v>9.0579999999999998</v>
      </c>
      <c r="AI96">
        <v>6.3E-2</v>
      </c>
      <c r="AJ96">
        <v>18.804100000000005</v>
      </c>
      <c r="AK96" s="2"/>
      <c r="AT96" s="2"/>
    </row>
    <row r="97" spans="1:46" x14ac:dyDescent="0.3">
      <c r="A97" t="s">
        <v>54</v>
      </c>
      <c r="B97" t="s">
        <v>157</v>
      </c>
      <c r="C97">
        <v>75</v>
      </c>
      <c r="D97">
        <v>3.04E-2</v>
      </c>
      <c r="E97">
        <v>21.511913046964182</v>
      </c>
      <c r="F97">
        <v>2074.9102959770621</v>
      </c>
      <c r="G97">
        <v>9.0579999999999998</v>
      </c>
      <c r="H97">
        <v>0</v>
      </c>
      <c r="I97">
        <v>19.003399999999999</v>
      </c>
      <c r="J97" t="s">
        <v>54</v>
      </c>
      <c r="K97" t="s">
        <v>256</v>
      </c>
      <c r="L97">
        <v>75</v>
      </c>
      <c r="M97">
        <v>3.8399999999999997E-2</v>
      </c>
      <c r="N97">
        <v>21.511913046964182</v>
      </c>
      <c r="O97">
        <v>2074.9102959770621</v>
      </c>
      <c r="P97">
        <v>9.0579999999999998</v>
      </c>
      <c r="Q97">
        <v>0</v>
      </c>
      <c r="R97">
        <v>19.000299999999982</v>
      </c>
      <c r="S97" t="s">
        <v>54</v>
      </c>
      <c r="T97" t="s">
        <v>356</v>
      </c>
      <c r="U97">
        <v>76</v>
      </c>
      <c r="V97">
        <v>1.8599999999999998E-2</v>
      </c>
      <c r="W97">
        <v>21.511913046964182</v>
      </c>
      <c r="X97">
        <v>2074.9102959770621</v>
      </c>
      <c r="Y97">
        <v>9.0579999999999998</v>
      </c>
      <c r="Z97">
        <v>0</v>
      </c>
      <c r="AA97">
        <v>19.399900000000002</v>
      </c>
      <c r="AB97" t="s">
        <v>54</v>
      </c>
      <c r="AC97" t="s">
        <v>454</v>
      </c>
      <c r="AD97">
        <v>76</v>
      </c>
      <c r="AE97">
        <v>3.8100000000000002E-2</v>
      </c>
      <c r="AF97">
        <v>21.511913046964182</v>
      </c>
      <c r="AG97">
        <v>2074.9102959770621</v>
      </c>
      <c r="AH97">
        <v>9.0579999999999998</v>
      </c>
      <c r="AI97">
        <v>0</v>
      </c>
      <c r="AJ97">
        <v>19.001899999999978</v>
      </c>
      <c r="AK97" s="2"/>
      <c r="AT97" s="2"/>
    </row>
    <row r="98" spans="1:46" x14ac:dyDescent="0.3">
      <c r="A98" t="s">
        <v>54</v>
      </c>
      <c r="B98" t="s">
        <v>158</v>
      </c>
      <c r="C98">
        <v>75</v>
      </c>
      <c r="D98">
        <v>1.6500000000000001E-2</v>
      </c>
      <c r="E98">
        <v>21.511913046964182</v>
      </c>
      <c r="F98">
        <v>2074.9102959770621</v>
      </c>
      <c r="G98">
        <v>9.0579999999999998</v>
      </c>
      <c r="H98">
        <v>0</v>
      </c>
      <c r="I98">
        <v>19.202600000000018</v>
      </c>
      <c r="J98" t="s">
        <v>54</v>
      </c>
      <c r="K98" t="s">
        <v>257</v>
      </c>
      <c r="L98">
        <v>75</v>
      </c>
      <c r="M98">
        <v>3.1899999999999998E-2</v>
      </c>
      <c r="N98">
        <v>21.511913046964182</v>
      </c>
      <c r="O98">
        <v>2074.9102959770621</v>
      </c>
      <c r="P98">
        <v>9.0579999999999998</v>
      </c>
      <c r="Q98">
        <v>0</v>
      </c>
      <c r="R98">
        <v>19.199000000000012</v>
      </c>
      <c r="S98" t="s">
        <v>54</v>
      </c>
      <c r="T98" t="s">
        <v>357</v>
      </c>
      <c r="U98">
        <v>76</v>
      </c>
      <c r="V98">
        <v>6.6E-3</v>
      </c>
      <c r="W98">
        <v>21.511913046964182</v>
      </c>
      <c r="X98">
        <v>2074.9102959770621</v>
      </c>
      <c r="Y98">
        <v>9.0579999999999998</v>
      </c>
      <c r="Z98">
        <v>0</v>
      </c>
      <c r="AA98">
        <v>19.601200000000006</v>
      </c>
      <c r="AB98" t="s">
        <v>54</v>
      </c>
      <c r="AC98" t="s">
        <v>455</v>
      </c>
      <c r="AD98">
        <v>76</v>
      </c>
      <c r="AE98">
        <v>3.2300000000000002E-2</v>
      </c>
      <c r="AF98">
        <v>21.511913046964182</v>
      </c>
      <c r="AG98">
        <v>2074.9102959770621</v>
      </c>
      <c r="AH98">
        <v>9.0579999999999998</v>
      </c>
      <c r="AI98">
        <v>0</v>
      </c>
      <c r="AJ98">
        <v>19.199700000000007</v>
      </c>
      <c r="AT98" s="2"/>
    </row>
    <row r="99" spans="1:46" x14ac:dyDescent="0.3">
      <c r="A99" t="s">
        <v>54</v>
      </c>
      <c r="B99" t="s">
        <v>159</v>
      </c>
      <c r="C99">
        <v>75</v>
      </c>
      <c r="D99">
        <v>3.3999999999999998E-3</v>
      </c>
      <c r="E99">
        <v>21.511913046964182</v>
      </c>
      <c r="F99">
        <v>2074.9102959770621</v>
      </c>
      <c r="G99">
        <v>9.0579999999999998</v>
      </c>
      <c r="H99">
        <v>0</v>
      </c>
      <c r="I99">
        <v>19.403500000000008</v>
      </c>
      <c r="J99" t="s">
        <v>54</v>
      </c>
      <c r="K99" t="s">
        <v>258</v>
      </c>
      <c r="L99">
        <v>75</v>
      </c>
      <c r="M99">
        <v>1.78E-2</v>
      </c>
      <c r="N99">
        <v>21.511913046964182</v>
      </c>
      <c r="O99">
        <v>2074.9102959770621</v>
      </c>
      <c r="P99">
        <v>9.0579999999999998</v>
      </c>
      <c r="Q99">
        <v>0</v>
      </c>
      <c r="R99">
        <v>19.399400000000014</v>
      </c>
      <c r="S99" t="s">
        <v>54</v>
      </c>
      <c r="T99" t="s">
        <v>358</v>
      </c>
      <c r="U99">
        <v>76</v>
      </c>
      <c r="V99">
        <v>-2.8999999999999998E-3</v>
      </c>
      <c r="W99">
        <v>21.511913046964182</v>
      </c>
      <c r="X99">
        <v>2074.9102959770621</v>
      </c>
      <c r="Y99">
        <v>9.0579999999999998</v>
      </c>
      <c r="Z99">
        <v>0</v>
      </c>
      <c r="AA99">
        <v>19.802799999999991</v>
      </c>
      <c r="AB99" t="s">
        <v>54</v>
      </c>
      <c r="AC99" t="s">
        <v>456</v>
      </c>
      <c r="AD99">
        <v>76</v>
      </c>
      <c r="AE99">
        <v>1.9599999999999999E-2</v>
      </c>
      <c r="AF99">
        <v>21.511913046964182</v>
      </c>
      <c r="AG99">
        <v>2074.9102959770621</v>
      </c>
      <c r="AH99">
        <v>9.0579999999999998</v>
      </c>
      <c r="AI99">
        <v>0</v>
      </c>
      <c r="AJ99">
        <v>19.399099999999976</v>
      </c>
      <c r="AT99" s="2"/>
    </row>
    <row r="100" spans="1:46" x14ac:dyDescent="0.3">
      <c r="A100" t="s">
        <v>54</v>
      </c>
      <c r="B100" t="s">
        <v>160</v>
      </c>
      <c r="C100">
        <v>75</v>
      </c>
      <c r="D100">
        <v>-3.0999999999999999E-3</v>
      </c>
      <c r="E100">
        <v>21.511913046964182</v>
      </c>
      <c r="F100">
        <v>2074.9102959770621</v>
      </c>
      <c r="G100">
        <v>9.0579999999999998</v>
      </c>
      <c r="H100">
        <v>0</v>
      </c>
      <c r="I100">
        <v>19.61160000000001</v>
      </c>
      <c r="J100" t="s">
        <v>54</v>
      </c>
      <c r="K100" t="s">
        <v>259</v>
      </c>
      <c r="L100">
        <v>75</v>
      </c>
      <c r="M100">
        <v>3.3999999999999998E-3</v>
      </c>
      <c r="N100">
        <v>21.511913046964182</v>
      </c>
      <c r="O100">
        <v>2074.9102959770621</v>
      </c>
      <c r="P100">
        <v>9.0579999999999998</v>
      </c>
      <c r="Q100">
        <v>0</v>
      </c>
      <c r="R100">
        <v>19.600799999999992</v>
      </c>
      <c r="AB100" t="s">
        <v>54</v>
      </c>
      <c r="AC100" t="s">
        <v>457</v>
      </c>
      <c r="AD100">
        <v>76</v>
      </c>
      <c r="AE100">
        <v>6.1999999999999998E-3</v>
      </c>
      <c r="AF100">
        <v>21.511913046964182</v>
      </c>
      <c r="AG100">
        <v>2074.9102959770621</v>
      </c>
      <c r="AH100">
        <v>9.0579999999999998</v>
      </c>
      <c r="AI100">
        <v>0</v>
      </c>
      <c r="AJ100">
        <v>19.610899999999958</v>
      </c>
      <c r="AT100" s="2"/>
    </row>
    <row r="101" spans="1:46" x14ac:dyDescent="0.3">
      <c r="J101" t="s">
        <v>54</v>
      </c>
      <c r="K101" t="s">
        <v>260</v>
      </c>
      <c r="L101">
        <v>75</v>
      </c>
      <c r="M101">
        <v>-3.0999999999999999E-3</v>
      </c>
      <c r="N101">
        <v>21.511913046964182</v>
      </c>
      <c r="O101">
        <v>2074.9102959770621</v>
      </c>
      <c r="P101">
        <v>9.0579999999999998</v>
      </c>
      <c r="Q101">
        <v>0</v>
      </c>
      <c r="R101">
        <v>296.80020000000002</v>
      </c>
      <c r="AB101" t="s">
        <v>54</v>
      </c>
      <c r="AC101" t="s">
        <v>458</v>
      </c>
      <c r="AD101">
        <v>76</v>
      </c>
      <c r="AE101">
        <v>-1.6999999999999999E-3</v>
      </c>
      <c r="AF101">
        <v>21.511913046964182</v>
      </c>
      <c r="AG101">
        <v>2074.9102959770621</v>
      </c>
      <c r="AH101">
        <v>9.0579999999999998</v>
      </c>
      <c r="AI101">
        <v>0</v>
      </c>
      <c r="AJ101">
        <v>336.8075</v>
      </c>
      <c r="AT101" s="2"/>
    </row>
    <row r="102" spans="1:46" x14ac:dyDescent="0.3">
      <c r="AB102" s="2"/>
      <c r="AT102" s="2"/>
    </row>
    <row r="103" spans="1:46" x14ac:dyDescent="0.3">
      <c r="AT103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0"/>
  <sheetViews>
    <sheetView tabSelected="1" topLeftCell="D1" zoomScale="130" zoomScaleNormal="130" workbookViewId="0">
      <selection activeCell="L5" sqref="L5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.109375" bestFit="1" customWidth="1"/>
    <col min="7" max="7" width="6" bestFit="1" customWidth="1"/>
    <col min="8" max="8" width="8" bestFit="1" customWidth="1"/>
    <col min="9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IF(COUNT(Resultados!A2,Resultados!J2,Resultados!S2,Resultados!AB2)=0, "", AVERAGE(ABS(Resultados!A2),ABS(Resultados!J2),ABS(Resultados!S2),ABS(Resultados!AB2)))</f>
        <v/>
      </c>
      <c r="B2" t="str">
        <f>IF(COUNT(Resultados!B2,Resultados!K2,Resultados!T2,Resultados!AC2)=0, "", AVERAGE(ABS(Resultados!B2),ABS(Resultados!K2),ABS(Resultados!T2),ABS(Resultados!AC2)))</f>
        <v/>
      </c>
      <c r="C2">
        <f>IF(COUNT(Resultados!C2,Resultados!L2,Resultados!U2,Resultados!AD2)=0, "", AVERAGE(ABS(Resultados!C2),ABS(Resultados!L2),ABS(Resultados!U2),ABS(Resultados!AD2)))</f>
        <v>75.25</v>
      </c>
      <c r="D2">
        <f>IF(COUNT(Resultados!D2,Resultados!M2,Resultados!V2,Resultados!AE2)=0, "", AVERAGE(ABS(Resultados!D2),ABS(Resultados!M2),ABS(Resultados!V2),ABS(Resultados!AE2)))</f>
        <v>3.0999999999999999E-3</v>
      </c>
      <c r="E2">
        <f>IF(COUNT(Resultados!E2,Resultados!N2,Resultados!W2,Resultados!AF2)=0, "", AVERAGE(ABS(Resultados!E2),ABS(Resultados!N2),ABS(Resultados!W2),ABS(Resultados!AF2)))</f>
        <v>21.511913046964182</v>
      </c>
      <c r="F2">
        <f>IF(COUNT(Resultados!F2,Resultados!O2,Resultados!X2,Resultados!AG2)=0, "", AVERAGE(ABS(Resultados!F2),ABS(Resultados!O2),ABS(Resultados!X2),ABS(Resultados!AG2)))</f>
        <v>2074.9102959770621</v>
      </c>
      <c r="G2">
        <f>IF(COUNT(Resultados!G2,Resultados!P2,Resultados!Y2,Resultados!AH2)=0, "", AVERAGE(ABS(Resultados!G2),ABS(Resultados!P2),ABS(Resultados!Y2),ABS(Resultados!AH2)))</f>
        <v>9.0579999999999998</v>
      </c>
      <c r="H2">
        <f>IF(COUNT(Resultados!H2,Resultados!Q2,Resultados!Z2,Resultados!AI2)=0, "", AVERAGE(ABS(Resultados!H2),ABS(Resultados!Q2),ABS(Resultados!Z2),ABS(Resultados!AI2)))</f>
        <v>0</v>
      </c>
      <c r="I2">
        <f>IF(COUNT(Resultados!I2,Resultados!R2,Resultados!AA2,Resultados!AJ2)=0, "", AVERAGE(ABS(Resultados!I2),ABS(Resultados!R2),ABS(Resultados!AA2),ABS(Resultados!AJ2)))</f>
        <v>0</v>
      </c>
      <c r="J2">
        <v>0</v>
      </c>
      <c r="K2">
        <v>3.0999999999999999E-3</v>
      </c>
    </row>
    <row r="3" spans="1:11" x14ac:dyDescent="0.3">
      <c r="A3" t="str">
        <f>IF(COUNT(Resultados!A3,Resultados!J3,Resultados!S3,Resultados!AB3)=0, "", AVERAGE(ABS(Resultados!A3),ABS(Resultados!J3),ABS(Resultados!S3),ABS(Resultados!AB3)))</f>
        <v/>
      </c>
      <c r="B3" t="str">
        <f>IF(COUNT(Resultados!B3,Resultados!K3,Resultados!T3,Resultados!AC3)=0, "", AVERAGE(ABS(Resultados!B3),ABS(Resultados!K3),ABS(Resultados!T3),ABS(Resultados!AC3)))</f>
        <v/>
      </c>
      <c r="C3">
        <f>IF(COUNT(Resultados!C3,Resultados!L3,Resultados!U3,Resultados!AD3)=0, "", AVERAGE(ABS(Resultados!C3),ABS(Resultados!L3),ABS(Resultados!U3),ABS(Resultados!AD3)))</f>
        <v>75.25</v>
      </c>
      <c r="D3">
        <f>IF(COUNT(Resultados!D3,Resultados!M3,Resultados!V3,Resultados!AE3)=0, "", AVERAGE(ABS(Resultados!D3),ABS(Resultados!M3),ABS(Resultados!V3),ABS(Resultados!AE3)))</f>
        <v>3.0999999999999999E-3</v>
      </c>
      <c r="E3">
        <f>IF(COUNT(Resultados!E3,Resultados!N3,Resultados!W3,Resultados!AF3)=0, "", AVERAGE(ABS(Resultados!E3),ABS(Resultados!N3),ABS(Resultados!W3),ABS(Resultados!AF3)))</f>
        <v>21.511913046964182</v>
      </c>
      <c r="F3">
        <f>IF(COUNT(Resultados!F3,Resultados!O3,Resultados!X3,Resultados!AG3)=0, "", AVERAGE(ABS(Resultados!F3),ABS(Resultados!O3),ABS(Resultados!X3),ABS(Resultados!AG3)))</f>
        <v>2074.9102959770621</v>
      </c>
      <c r="G3">
        <f>IF(COUNT(Resultados!G3,Resultados!P3,Resultados!Y3,Resultados!AH3)=0, "", AVERAGE(ABS(Resultados!G3),ABS(Resultados!P3),ABS(Resultados!Y3),ABS(Resultados!AH3)))</f>
        <v>9.0579999999999998</v>
      </c>
      <c r="H3">
        <f>IF(COUNT(Resultados!H3,Resultados!Q3,Resultados!Z3,Resultados!AI3)=0, "", AVERAGE(ABS(Resultados!H3),ABS(Resultados!Q3),ABS(Resultados!Z3),ABS(Resultados!AI3)))</f>
        <v>0</v>
      </c>
      <c r="I3">
        <f>IF(COUNT(Resultados!I3,Resultados!R3,Resultados!AA3,Resultados!AJ3)=0, "", AVERAGE(ABS(Resultados!I3),ABS(Resultados!R3),ABS(Resultados!AA3),ABS(Resultados!AJ3)))</f>
        <v>0.20279999999999632</v>
      </c>
      <c r="J3">
        <v>0</v>
      </c>
      <c r="K3">
        <v>3.0999999999999999E-3</v>
      </c>
    </row>
    <row r="4" spans="1:11" x14ac:dyDescent="0.3">
      <c r="A4" t="str">
        <f>IF(COUNT(Resultados!A4,Resultados!J4,Resultados!S4,Resultados!AB4)=0, "", AVERAGE(ABS(Resultados!A4),ABS(Resultados!J4),ABS(Resultados!S4),ABS(Resultados!AB4)))</f>
        <v/>
      </c>
      <c r="B4" t="str">
        <f>IF(COUNT(Resultados!B4,Resultados!K4,Resultados!T4,Resultados!AC4)=0, "", AVERAGE(ABS(Resultados!B4),ABS(Resultados!K4),ABS(Resultados!T4),ABS(Resultados!AC4)))</f>
        <v/>
      </c>
      <c r="C4">
        <f>IF(COUNT(Resultados!C4,Resultados!L4,Resultados!U4,Resultados!AD4)=0, "", AVERAGE(ABS(Resultados!C4),ABS(Resultados!L4),ABS(Resultados!U4),ABS(Resultados!AD4)))</f>
        <v>75.25</v>
      </c>
      <c r="D4">
        <f>IF(COUNT(Resultados!D4,Resultados!M4,Resultados!V4,Resultados!AE4)=0, "", AVERAGE(ABS(Resultados!D4),ABS(Resultados!M4),ABS(Resultados!V4),ABS(Resultados!AE4)))</f>
        <v>3.0999999999999999E-3</v>
      </c>
      <c r="E4">
        <f>IF(COUNT(Resultados!E4,Resultados!N4,Resultados!W4,Resultados!AF4)=0, "", AVERAGE(ABS(Resultados!E4),ABS(Resultados!N4),ABS(Resultados!W4),ABS(Resultados!AF4)))</f>
        <v>21.511913046964182</v>
      </c>
      <c r="F4">
        <f>IF(COUNT(Resultados!F4,Resultados!O4,Resultados!X4,Resultados!AG4)=0, "", AVERAGE(ABS(Resultados!F4),ABS(Resultados!O4),ABS(Resultados!X4),ABS(Resultados!AG4)))</f>
        <v>2074.9102959770621</v>
      </c>
      <c r="G4">
        <f>IF(COUNT(Resultados!G4,Resultados!P4,Resultados!Y4,Resultados!AH4)=0, "", AVERAGE(ABS(Resultados!G4),ABS(Resultados!P4),ABS(Resultados!Y4),ABS(Resultados!AH4)))</f>
        <v>9.0579999999999998</v>
      </c>
      <c r="H4">
        <f>IF(COUNT(Resultados!H4,Resultados!Q4,Resultados!Z4,Resultados!AI4)=0, "", AVERAGE(ABS(Resultados!H4),ABS(Resultados!Q4),ABS(Resultados!Z4),ABS(Resultados!AI4)))</f>
        <v>0</v>
      </c>
      <c r="I4">
        <f>IF(COUNT(Resultados!I4,Resultados!R4,Resultados!AA4,Resultados!AJ4)=0, "", AVERAGE(ABS(Resultados!I4),ABS(Resultados!R4),ABS(Resultados!AA4),ABS(Resultados!AJ4)))</f>
        <v>0.4015500000000003</v>
      </c>
      <c r="J4">
        <v>0</v>
      </c>
      <c r="K4">
        <v>3.0999999999999999E-3</v>
      </c>
    </row>
    <row r="5" spans="1:11" x14ac:dyDescent="0.3">
      <c r="A5" t="str">
        <f>IF(COUNT(Resultados!A5,Resultados!J5,Resultados!S5,Resultados!AB5)=0, "", AVERAGE(ABS(Resultados!A5),ABS(Resultados!J5),ABS(Resultados!S5),ABS(Resultados!AB5)))</f>
        <v/>
      </c>
      <c r="B5" t="str">
        <f>IF(COUNT(Resultados!B5,Resultados!K5,Resultados!T5,Resultados!AC5)=0, "", AVERAGE(ABS(Resultados!B5),ABS(Resultados!K5),ABS(Resultados!T5),ABS(Resultados!AC5)))</f>
        <v/>
      </c>
      <c r="C5">
        <f>IF(COUNT(Resultados!C5,Resultados!L5,Resultados!U5,Resultados!AD5)=0, "", AVERAGE(ABS(Resultados!C5),ABS(Resultados!L5),ABS(Resultados!U5),ABS(Resultados!AD5)))</f>
        <v>75.25</v>
      </c>
      <c r="D5">
        <f>IF(COUNT(Resultados!D5,Resultados!M5,Resultados!V5,Resultados!AE5)=0, "", AVERAGE(ABS(Resultados!D5),ABS(Resultados!M5),ABS(Resultados!V5),ABS(Resultados!AE5)))</f>
        <v>3.0999999999999999E-3</v>
      </c>
      <c r="E5">
        <f>IF(COUNT(Resultados!E5,Resultados!N5,Resultados!W5,Resultados!AF5)=0, "", AVERAGE(ABS(Resultados!E5),ABS(Resultados!N5),ABS(Resultados!W5),ABS(Resultados!AF5)))</f>
        <v>21.511913046964182</v>
      </c>
      <c r="F5">
        <f>IF(COUNT(Resultados!F5,Resultados!O5,Resultados!X5,Resultados!AG5)=0, "", AVERAGE(ABS(Resultados!F5),ABS(Resultados!O5),ABS(Resultados!X5),ABS(Resultados!AG5)))</f>
        <v>2074.9102959770621</v>
      </c>
      <c r="G5">
        <f>IF(COUNT(Resultados!G5,Resultados!P5,Resultados!Y5,Resultados!AH5)=0, "", AVERAGE(ABS(Resultados!G5),ABS(Resultados!P5),ABS(Resultados!Y5),ABS(Resultados!AH5)))</f>
        <v>9.0579999999999998</v>
      </c>
      <c r="H5">
        <f>IF(COUNT(Resultados!H5,Resultados!Q5,Resultados!Z5,Resultados!AI5)=0, "", AVERAGE(ABS(Resultados!H5),ABS(Resultados!Q5),ABS(Resultados!Z5),ABS(Resultados!AI5)))</f>
        <v>0</v>
      </c>
      <c r="I5">
        <f>IF(COUNT(Resultados!I5,Resultados!R5,Resultados!AA5,Resultados!AJ5)=0, "", AVERAGE(ABS(Resultados!I5),ABS(Resultados!R5),ABS(Resultados!AA5),ABS(Resultados!AJ5)))</f>
        <v>0.60257499999998743</v>
      </c>
      <c r="J5">
        <v>0</v>
      </c>
      <c r="K5">
        <v>3.0999999999999999E-3</v>
      </c>
    </row>
    <row r="6" spans="1:11" x14ac:dyDescent="0.3">
      <c r="A6" t="str">
        <f>IF(COUNT(Resultados!A6,Resultados!J6,Resultados!S6,Resultados!AB6)=0, "", AVERAGE(ABS(Resultados!A6),ABS(Resultados!J6),ABS(Resultados!S6),ABS(Resultados!AB6)))</f>
        <v/>
      </c>
      <c r="B6" t="str">
        <f>IF(COUNT(Resultados!B6,Resultados!K6,Resultados!T6,Resultados!AC6)=0, "", AVERAGE(ABS(Resultados!B6),ABS(Resultados!K6),ABS(Resultados!T6),ABS(Resultados!AC6)))</f>
        <v/>
      </c>
      <c r="C6">
        <f>IF(COUNT(Resultados!C6,Resultados!L6,Resultados!U6,Resultados!AD6)=0, "", AVERAGE(ABS(Resultados!C6),ABS(Resultados!L6),ABS(Resultados!U6),ABS(Resultados!AD6)))</f>
        <v>75.25</v>
      </c>
      <c r="D6">
        <f>IF(COUNT(Resultados!D6,Resultados!M6,Resultados!V6,Resultados!AE6)=0, "", AVERAGE(ABS(Resultados!D6),ABS(Resultados!M6),ABS(Resultados!V6),ABS(Resultados!AE6)))</f>
        <v>3.0999999999999999E-3</v>
      </c>
      <c r="E6">
        <f>IF(COUNT(Resultados!E6,Resultados!N6,Resultados!W6,Resultados!AF6)=0, "", AVERAGE(ABS(Resultados!E6),ABS(Resultados!N6),ABS(Resultados!W6),ABS(Resultados!AF6)))</f>
        <v>21.511913046964182</v>
      </c>
      <c r="F6">
        <f>IF(COUNT(Resultados!F6,Resultados!O6,Resultados!X6,Resultados!AG6)=0, "", AVERAGE(ABS(Resultados!F6),ABS(Resultados!O6),ABS(Resultados!X6),ABS(Resultados!AG6)))</f>
        <v>2074.9102959770621</v>
      </c>
      <c r="G6">
        <f>IF(COUNT(Resultados!G6,Resultados!P6,Resultados!Y6,Resultados!AH6)=0, "", AVERAGE(ABS(Resultados!G6),ABS(Resultados!P6),ABS(Resultados!Y6),ABS(Resultados!AH6)))</f>
        <v>9.0579999999999998</v>
      </c>
      <c r="H6">
        <f>IF(COUNT(Resultados!H6,Resultados!Q6,Resultados!Z6,Resultados!AI6)=0, "", AVERAGE(ABS(Resultados!H6),ABS(Resultados!Q6),ABS(Resultados!Z6),ABS(Resultados!AI6)))</f>
        <v>0</v>
      </c>
      <c r="I6">
        <f>IF(COUNT(Resultados!I6,Resultados!R6,Resultados!AA6,Resultados!AJ6)=0, "", AVERAGE(ABS(Resultados!I6),ABS(Resultados!R6),ABS(Resultados!AA6),ABS(Resultados!AJ6)))</f>
        <v>0.79952499999998849</v>
      </c>
      <c r="J6">
        <v>0</v>
      </c>
      <c r="K6">
        <v>3.0999999999999999E-3</v>
      </c>
    </row>
    <row r="7" spans="1:11" x14ac:dyDescent="0.3">
      <c r="A7" t="str">
        <f>IF(COUNT(Resultados!A7,Resultados!J7,Resultados!S7,Resultados!AB7)=0, "", AVERAGE(ABS(Resultados!A7),ABS(Resultados!J7),ABS(Resultados!S7),ABS(Resultados!AB7)))</f>
        <v/>
      </c>
      <c r="B7" t="str">
        <f>IF(COUNT(Resultados!B7,Resultados!K7,Resultados!T7,Resultados!AC7)=0, "", AVERAGE(ABS(Resultados!B7),ABS(Resultados!K7),ABS(Resultados!T7),ABS(Resultados!AC7)))</f>
        <v/>
      </c>
      <c r="C7">
        <f>IF(COUNT(Resultados!C7,Resultados!L7,Resultados!U7,Resultados!AD7)=0, "", AVERAGE(ABS(Resultados!C7),ABS(Resultados!L7),ABS(Resultados!U7),ABS(Resultados!AD7)))</f>
        <v>75.25</v>
      </c>
      <c r="D7">
        <f>IF(COUNT(Resultados!D7,Resultados!M7,Resultados!V7,Resultados!AE7)=0, "", AVERAGE(ABS(Resultados!D7),ABS(Resultados!M7),ABS(Resultados!V7),ABS(Resultados!AE7)))</f>
        <v>3.0999999999999999E-3</v>
      </c>
      <c r="E7">
        <f>IF(COUNT(Resultados!E7,Resultados!N7,Resultados!W7,Resultados!AF7)=0, "", AVERAGE(ABS(Resultados!E7),ABS(Resultados!N7),ABS(Resultados!W7),ABS(Resultados!AF7)))</f>
        <v>25.566620546593018</v>
      </c>
      <c r="F7">
        <f>IF(COUNT(Resultados!F7,Resultados!O7,Resultados!X7,Resultados!AG7)=0, "", AVERAGE(ABS(Resultados!F7),ABS(Resultados!O7),ABS(Resultados!X7),ABS(Resultados!AG7)))</f>
        <v>2566.2722898716779</v>
      </c>
      <c r="G7">
        <f>IF(COUNT(Resultados!G7,Resultados!P7,Resultados!Y7,Resultados!AH7)=0, "", AVERAGE(ABS(Resultados!G7),ABS(Resultados!P7),ABS(Resultados!Y7),ABS(Resultados!AH7)))</f>
        <v>9.0579999999999998</v>
      </c>
      <c r="H7">
        <f>IF(COUNT(Resultados!H7,Resultados!Q7,Resultados!Z7,Resultados!AI7)=0, "", AVERAGE(ABS(Resultados!H7),ABS(Resultados!Q7),ABS(Resultados!Z7),ABS(Resultados!AI7)))</f>
        <v>6.3E-2</v>
      </c>
      <c r="I7">
        <f>IF(COUNT(Resultados!I7,Resultados!R7,Resultados!AA7,Resultados!AJ7)=0, "", AVERAGE(ABS(Resultados!I7),ABS(Resultados!R7),ABS(Resultados!AA7),ABS(Resultados!AJ7)))</f>
        <v>1.0035749999999979</v>
      </c>
      <c r="J7">
        <v>6.3E-2</v>
      </c>
      <c r="K7">
        <v>3.0999999999999999E-3</v>
      </c>
    </row>
    <row r="8" spans="1:11" x14ac:dyDescent="0.3">
      <c r="A8" t="str">
        <f>IF(COUNT(Resultados!A8,Resultados!J8,Resultados!S8,Resultados!AB8)=0, "", AVERAGE(ABS(Resultados!A8),ABS(Resultados!J8),ABS(Resultados!S8),ABS(Resultados!AB8)))</f>
        <v/>
      </c>
      <c r="B8" t="str">
        <f>IF(COUNT(Resultados!B8,Resultados!K8,Resultados!T8,Resultados!AC8)=0, "", AVERAGE(ABS(Resultados!B8),ABS(Resultados!K8),ABS(Resultados!T8),ABS(Resultados!AC8)))</f>
        <v/>
      </c>
      <c r="C8">
        <f>IF(COUNT(Resultados!C8,Resultados!L8,Resultados!U8,Resultados!AD8)=0, "", AVERAGE(ABS(Resultados!C8),ABS(Resultados!L8),ABS(Resultados!U8),ABS(Resultados!AD8)))</f>
        <v>75.25</v>
      </c>
      <c r="D8">
        <f>IF(COUNT(Resultados!D8,Resultados!M8,Resultados!V8,Resultados!AE8)=0, "", AVERAGE(ABS(Resultados!D8),ABS(Resultados!M8),ABS(Resultados!V8),ABS(Resultados!AE8)))</f>
        <v>1.1424999999999999E-2</v>
      </c>
      <c r="E8">
        <f>IF(COUNT(Resultados!E8,Resultados!N8,Resultados!W8,Resultados!AF8)=0, "", AVERAGE(ABS(Resultados!E8),ABS(Resultados!N8),ABS(Resultados!W8),ABS(Resultados!AF8)))</f>
        <v>25.566620546593018</v>
      </c>
      <c r="F8">
        <f>IF(COUNT(Resultados!F8,Resultados!O8,Resultados!X8,Resultados!AG8)=0, "", AVERAGE(ABS(Resultados!F8),ABS(Resultados!O8),ABS(Resultados!X8),ABS(Resultados!AG8)))</f>
        <v>2452.8090349424701</v>
      </c>
      <c r="G8">
        <f>IF(COUNT(Resultados!G8,Resultados!P8,Resultados!Y8,Resultados!AH8)=0, "", AVERAGE(ABS(Resultados!G8),ABS(Resultados!P8),ABS(Resultados!Y8),ABS(Resultados!AH8)))</f>
        <v>9.0579999999999998</v>
      </c>
      <c r="H8">
        <f>IF(COUNT(Resultados!H8,Resultados!Q8,Resultados!Z8,Resultados!AI8)=0, "", AVERAGE(ABS(Resultados!H8),ABS(Resultados!Q8),ABS(Resultados!Z8),ABS(Resultados!AI8)))</f>
        <v>6.3E-2</v>
      </c>
      <c r="I8">
        <f>IF(COUNT(Resultados!I8,Resultados!R8,Resultados!AA8,Resultados!AJ8)=0, "", AVERAGE(ABS(Resultados!I8),ABS(Resultados!R8),ABS(Resultados!AA8),ABS(Resultados!AJ8)))</f>
        <v>1.1997749999999883</v>
      </c>
      <c r="J8">
        <v>6.3E-2</v>
      </c>
      <c r="K8">
        <v>1.1424999999999999E-2</v>
      </c>
    </row>
    <row r="9" spans="1:11" x14ac:dyDescent="0.3">
      <c r="A9" t="str">
        <f>IF(COUNT(Resultados!A9,Resultados!J9,Resultados!S9,Resultados!AB9)=0, "", AVERAGE(ABS(Resultados!A9),ABS(Resultados!J9),ABS(Resultados!S9),ABS(Resultados!AB9)))</f>
        <v/>
      </c>
      <c r="B9" t="str">
        <f>IF(COUNT(Resultados!B9,Resultados!K9,Resultados!T9,Resultados!AC9)=0, "", AVERAGE(ABS(Resultados!B9),ABS(Resultados!K9),ABS(Resultados!T9),ABS(Resultados!AC9)))</f>
        <v/>
      </c>
      <c r="C9">
        <f>IF(COUNT(Resultados!C9,Resultados!L9,Resultados!U9,Resultados!AD9)=0, "", AVERAGE(ABS(Resultados!C9),ABS(Resultados!L9),ABS(Resultados!U9),ABS(Resultados!AD9)))</f>
        <v>75.25</v>
      </c>
      <c r="D9">
        <f>IF(COUNT(Resultados!D9,Resultados!M9,Resultados!V9,Resultados!AE9)=0, "", AVERAGE(ABS(Resultados!D9),ABS(Resultados!M9),ABS(Resultados!V9),ABS(Resultados!AE9)))</f>
        <v>3.0799999999999998E-2</v>
      </c>
      <c r="E9">
        <f>IF(COUNT(Resultados!E9,Resultados!N9,Resultados!W9,Resultados!AF9)=0, "", AVERAGE(ABS(Resultados!E9),ABS(Resultados!N9),ABS(Resultados!W9),ABS(Resultados!AF9)))</f>
        <v>25.566620546593018</v>
      </c>
      <c r="F9">
        <f>IF(COUNT(Resultados!F9,Resultados!O9,Resultados!X9,Resultados!AG9)=0, "", AVERAGE(ABS(Resultados!F9),ABS(Resultados!O9),ABS(Resultados!X9),ABS(Resultados!AG9)))</f>
        <v>2452.8090349424701</v>
      </c>
      <c r="G9">
        <f>IF(COUNT(Resultados!G9,Resultados!P9,Resultados!Y9,Resultados!AH9)=0, "", AVERAGE(ABS(Resultados!G9),ABS(Resultados!P9),ABS(Resultados!Y9),ABS(Resultados!AH9)))</f>
        <v>9.0579999999999998</v>
      </c>
      <c r="H9">
        <f>IF(COUNT(Resultados!H9,Resultados!Q9,Resultados!Z9,Resultados!AI9)=0, "", AVERAGE(ABS(Resultados!H9),ABS(Resultados!Q9),ABS(Resultados!Z9),ABS(Resultados!AI9)))</f>
        <v>6.3E-2</v>
      </c>
      <c r="I9">
        <f>IF(COUNT(Resultados!I9,Resultados!R9,Resultados!AA9,Resultados!AJ9)=0, "", AVERAGE(ABS(Resultados!I9),ABS(Resultados!R9),ABS(Resultados!AA9),ABS(Resultados!AJ9)))</f>
        <v>1.4002499999999856</v>
      </c>
      <c r="J9">
        <v>6.3E-2</v>
      </c>
      <c r="K9">
        <v>3.0799999999999998E-2</v>
      </c>
    </row>
    <row r="10" spans="1:11" x14ac:dyDescent="0.3">
      <c r="A10" t="str">
        <f>IF(COUNT(Resultados!A10,Resultados!J10,Resultados!S10,Resultados!AB10)=0, "", AVERAGE(ABS(Resultados!A10),ABS(Resultados!J10),ABS(Resultados!S10),ABS(Resultados!AB10)))</f>
        <v/>
      </c>
      <c r="B10" t="str">
        <f>IF(COUNT(Resultados!B10,Resultados!K10,Resultados!T10,Resultados!AC10)=0, "", AVERAGE(ABS(Resultados!B10),ABS(Resultados!K10),ABS(Resultados!T10),ABS(Resultados!AC10)))</f>
        <v/>
      </c>
      <c r="C10">
        <f>IF(COUNT(Resultados!C10,Resultados!L10,Resultados!U10,Resultados!AD10)=0, "", AVERAGE(ABS(Resultados!C10),ABS(Resultados!L10),ABS(Resultados!U10),ABS(Resultados!AD10)))</f>
        <v>75.25</v>
      </c>
      <c r="D10">
        <f>IF(COUNT(Resultados!D10,Resultados!M10,Resultados!V10,Resultados!AE10)=0, "", AVERAGE(ABS(Resultados!D10),ABS(Resultados!M10),ABS(Resultados!V10),ABS(Resultados!AE10)))</f>
        <v>3.6650000000000002E-2</v>
      </c>
      <c r="E10">
        <f>IF(COUNT(Resultados!E10,Resultados!N10,Resultados!W10,Resultados!AF10)=0, "", AVERAGE(ABS(Resultados!E10),ABS(Resultados!N10),ABS(Resultados!W10),ABS(Resultados!AF10)))</f>
        <v>25.566620546593018</v>
      </c>
      <c r="F10">
        <f>IF(COUNT(Resultados!F10,Resultados!O10,Resultados!X10,Resultados!AG10)=0, "", AVERAGE(ABS(Resultados!F10),ABS(Resultados!O10),ABS(Resultados!X10),ABS(Resultados!AG10)))</f>
        <v>2452.8090349424701</v>
      </c>
      <c r="G10">
        <f>IF(COUNT(Resultados!G10,Resultados!P10,Resultados!Y10,Resultados!AH10)=0, "", AVERAGE(ABS(Resultados!G10),ABS(Resultados!P10),ABS(Resultados!Y10),ABS(Resultados!AH10)))</f>
        <v>9.0579999999999998</v>
      </c>
      <c r="H10">
        <f>IF(COUNT(Resultados!H10,Resultados!Q10,Resultados!Z10,Resultados!AI10)=0, "", AVERAGE(ABS(Resultados!H10),ABS(Resultados!Q10),ABS(Resultados!Z10),ABS(Resultados!AI10)))</f>
        <v>6.3E-2</v>
      </c>
      <c r="I10">
        <f>IF(COUNT(Resultados!I10,Resultados!R10,Resultados!AA10,Resultados!AJ10)=0, "", AVERAGE(ABS(Resultados!I10),ABS(Resultados!R10),ABS(Resultados!AA10),ABS(Resultados!AJ10)))</f>
        <v>1.6008249999999862</v>
      </c>
      <c r="J10">
        <v>6.3E-2</v>
      </c>
      <c r="K10">
        <v>3.6650000000000002E-2</v>
      </c>
    </row>
    <row r="11" spans="1:11" x14ac:dyDescent="0.3">
      <c r="A11" t="str">
        <f>IF(COUNT(Resultados!A11,Resultados!J11,Resultados!S11,Resultados!AB11)=0, "", AVERAGE(ABS(Resultados!A11),ABS(Resultados!J11),ABS(Resultados!S11),ABS(Resultados!AB11)))</f>
        <v/>
      </c>
      <c r="B11" t="str">
        <f>IF(COUNT(Resultados!B11,Resultados!K11,Resultados!T11,Resultados!AC11)=0, "", AVERAGE(ABS(Resultados!B11),ABS(Resultados!K11),ABS(Resultados!T11),ABS(Resultados!AC11)))</f>
        <v/>
      </c>
      <c r="C11">
        <f>IF(COUNT(Resultados!C11,Resultados!L11,Resultados!U11,Resultados!AD11)=0, "", AVERAGE(ABS(Resultados!C11),ABS(Resultados!L11),ABS(Resultados!U11),ABS(Resultados!AD11)))</f>
        <v>75.25</v>
      </c>
      <c r="D11">
        <f>IF(COUNT(Resultados!D11,Resultados!M11,Resultados!V11,Resultados!AE11)=0, "", AVERAGE(ABS(Resultados!D11),ABS(Resultados!M11),ABS(Resultados!V11),ABS(Resultados!AE11)))</f>
        <v>3.7925E-2</v>
      </c>
      <c r="E11">
        <f>IF(COUNT(Resultados!E11,Resultados!N11,Resultados!W11,Resultados!AF11)=0, "", AVERAGE(ABS(Resultados!E11),ABS(Resultados!N11),ABS(Resultados!W11),ABS(Resultados!AF11)))</f>
        <v>25.566620546593018</v>
      </c>
      <c r="F11">
        <f>IF(COUNT(Resultados!F11,Resultados!O11,Resultados!X11,Resultados!AG11)=0, "", AVERAGE(ABS(Resultados!F11),ABS(Resultados!O11),ABS(Resultados!X11),ABS(Resultados!AG11)))</f>
        <v>2452.8090349424701</v>
      </c>
      <c r="G11">
        <f>IF(COUNT(Resultados!G11,Resultados!P11,Resultados!Y11,Resultados!AH11)=0, "", AVERAGE(ABS(Resultados!G11),ABS(Resultados!P11),ABS(Resultados!Y11),ABS(Resultados!AH11)))</f>
        <v>9.0579999999999998</v>
      </c>
      <c r="H11">
        <f>IF(COUNT(Resultados!H11,Resultados!Q11,Resultados!Z11,Resultados!AI11)=0, "", AVERAGE(ABS(Resultados!H11),ABS(Resultados!Q11),ABS(Resultados!Z11),ABS(Resultados!AI11)))</f>
        <v>6.3E-2</v>
      </c>
      <c r="I11">
        <f>IF(COUNT(Resultados!I11,Resultados!R11,Resultados!AA11,Resultados!AJ11)=0, "", AVERAGE(ABS(Resultados!I11),ABS(Resultados!R11),ABS(Resultados!AA11),ABS(Resultados!AJ11)))</f>
        <v>1.7997249999999951</v>
      </c>
      <c r="J11">
        <v>6.3E-2</v>
      </c>
      <c r="K11">
        <v>3.7925E-2</v>
      </c>
    </row>
    <row r="12" spans="1:11" x14ac:dyDescent="0.3">
      <c r="A12" t="str">
        <f>IF(COUNT(Resultados!A12,Resultados!J12,Resultados!S12,Resultados!AB12)=0, "", AVERAGE(ABS(Resultados!A12),ABS(Resultados!J12),ABS(Resultados!S12),ABS(Resultados!AB12)))</f>
        <v/>
      </c>
      <c r="B12" t="str">
        <f>IF(COUNT(Resultados!B12,Resultados!K12,Resultados!T12,Resultados!AC12)=0, "", AVERAGE(ABS(Resultados!B12),ABS(Resultados!K12),ABS(Resultados!T12),ABS(Resultados!AC12)))</f>
        <v/>
      </c>
      <c r="C12">
        <f>IF(COUNT(Resultados!C12,Resultados!L12,Resultados!U12,Resultados!AD12)=0, "", AVERAGE(ABS(Resultados!C12),ABS(Resultados!L12),ABS(Resultados!U12),ABS(Resultados!AD12)))</f>
        <v>75.25</v>
      </c>
      <c r="D12">
        <f>IF(COUNT(Resultados!D12,Resultados!M12,Resultados!V12,Resultados!AE12)=0, "", AVERAGE(ABS(Resultados!D12),ABS(Resultados!M12),ABS(Resultados!V12),ABS(Resultados!AE12)))</f>
        <v>3.8175000000000001E-2</v>
      </c>
      <c r="E12">
        <f>IF(COUNT(Resultados!E12,Resultados!N12,Resultados!W12,Resultados!AF12)=0, "", AVERAGE(ABS(Resultados!E12),ABS(Resultados!N12),ABS(Resultados!W12),ABS(Resultados!AF12)))</f>
        <v>25.566620546593018</v>
      </c>
      <c r="F12">
        <f>IF(COUNT(Resultados!F12,Resultados!O12,Resultados!X12,Resultados!AG12)=0, "", AVERAGE(ABS(Resultados!F12),ABS(Resultados!O12),ABS(Resultados!X12),ABS(Resultados!AG12)))</f>
        <v>2452.8090349424701</v>
      </c>
      <c r="G12">
        <f>IF(COUNT(Resultados!G12,Resultados!P12,Resultados!Y12,Resultados!AH12)=0, "", AVERAGE(ABS(Resultados!G12),ABS(Resultados!P12),ABS(Resultados!Y12),ABS(Resultados!AH12)))</f>
        <v>9.0579999999999998</v>
      </c>
      <c r="H12">
        <f>IF(COUNT(Resultados!H12,Resultados!Q12,Resultados!Z12,Resultados!AI12)=0, "", AVERAGE(ABS(Resultados!H12),ABS(Resultados!Q12),ABS(Resultados!Z12),ABS(Resultados!AI12)))</f>
        <v>6.3E-2</v>
      </c>
      <c r="I12">
        <f>IF(COUNT(Resultados!I12,Resultados!R12,Resultados!AA12,Resultados!AJ12)=0, "", AVERAGE(ABS(Resultados!I12),ABS(Resultados!R12),ABS(Resultados!AA12),ABS(Resultados!AJ12)))</f>
        <v>2.0000499999999874</v>
      </c>
      <c r="J12">
        <v>6.3E-2</v>
      </c>
      <c r="K12">
        <v>3.8175000000000001E-2</v>
      </c>
    </row>
    <row r="13" spans="1:11" x14ac:dyDescent="0.3">
      <c r="A13" t="str">
        <f>IF(COUNT(Resultados!A13,Resultados!J13,Resultados!S13,Resultados!AB13)=0, "", AVERAGE(ABS(Resultados!A13),ABS(Resultados!J13),ABS(Resultados!S13),ABS(Resultados!AB13)))</f>
        <v/>
      </c>
      <c r="B13" t="str">
        <f>IF(COUNT(Resultados!B13,Resultados!K13,Resultados!T13,Resultados!AC13)=0, "", AVERAGE(ABS(Resultados!B13),ABS(Resultados!K13),ABS(Resultados!T13),ABS(Resultados!AC13)))</f>
        <v/>
      </c>
      <c r="C13">
        <f>IF(COUNT(Resultados!C13,Resultados!L13,Resultados!U13,Resultados!AD13)=0, "", AVERAGE(ABS(Resultados!C13),ABS(Resultados!L13),ABS(Resultados!U13),ABS(Resultados!AD13)))</f>
        <v>75.25</v>
      </c>
      <c r="D13">
        <f>IF(COUNT(Resultados!D13,Resultados!M13,Resultados!V13,Resultados!AE13)=0, "", AVERAGE(ABS(Resultados!D13),ABS(Resultados!M13),ABS(Resultados!V13),ABS(Resultados!AE13)))</f>
        <v>3.8150000000000003E-2</v>
      </c>
      <c r="E13">
        <f>IF(COUNT(Resultados!E13,Resultados!N13,Resultados!W13,Resultados!AF13)=0, "", AVERAGE(ABS(Resultados!E13),ABS(Resultados!N13),ABS(Resultados!W13),ABS(Resultados!AF13)))</f>
        <v>25.566620546593018</v>
      </c>
      <c r="F13">
        <f>IF(COUNT(Resultados!F13,Resultados!O13,Resultados!X13,Resultados!AG13)=0, "", AVERAGE(ABS(Resultados!F13),ABS(Resultados!O13),ABS(Resultados!X13),ABS(Resultados!AG13)))</f>
        <v>2452.8090349424701</v>
      </c>
      <c r="G13">
        <f>IF(COUNT(Resultados!G13,Resultados!P13,Resultados!Y13,Resultados!AH13)=0, "", AVERAGE(ABS(Resultados!G13),ABS(Resultados!P13),ABS(Resultados!Y13),ABS(Resultados!AH13)))</f>
        <v>9.0579999999999998</v>
      </c>
      <c r="H13">
        <f>IF(COUNT(Resultados!H13,Resultados!Q13,Resultados!Z13,Resultados!AI13)=0, "", AVERAGE(ABS(Resultados!H13),ABS(Resultados!Q13),ABS(Resultados!Z13),ABS(Resultados!AI13)))</f>
        <v>6.3E-2</v>
      </c>
      <c r="I13">
        <f>IF(COUNT(Resultados!I13,Resultados!R13,Resultados!AA13,Resultados!AJ13)=0, "", AVERAGE(ABS(Resultados!I13),ABS(Resultados!R13),ABS(Resultados!AA13),ABS(Resultados!AJ13)))</f>
        <v>2.1993499999999955</v>
      </c>
      <c r="J13">
        <v>6.3E-2</v>
      </c>
      <c r="K13">
        <v>3.8150000000000003E-2</v>
      </c>
    </row>
    <row r="14" spans="1:11" x14ac:dyDescent="0.3">
      <c r="A14" t="str">
        <f>IF(COUNT(Resultados!A14,Resultados!J14,Resultados!S14,Resultados!AB14)=0, "", AVERAGE(ABS(Resultados!A14),ABS(Resultados!J14),ABS(Resultados!S14),ABS(Resultados!AB14)))</f>
        <v/>
      </c>
      <c r="B14" t="str">
        <f>IF(COUNT(Resultados!B14,Resultados!K14,Resultados!T14,Resultados!AC14)=0, "", AVERAGE(ABS(Resultados!B14),ABS(Resultados!K14),ABS(Resultados!T14),ABS(Resultados!AC14)))</f>
        <v/>
      </c>
      <c r="C14">
        <f>IF(COUNT(Resultados!C14,Resultados!L14,Resultados!U14,Resultados!AD14)=0, "", AVERAGE(ABS(Resultados!C14),ABS(Resultados!L14),ABS(Resultados!U14),ABS(Resultados!AD14)))</f>
        <v>75.25</v>
      </c>
      <c r="D14">
        <f>IF(COUNT(Resultados!D14,Resultados!M14,Resultados!V14,Resultados!AE14)=0, "", AVERAGE(ABS(Resultados!D14),ABS(Resultados!M14),ABS(Resultados!V14),ABS(Resultados!AE14)))</f>
        <v>3.8175000000000001E-2</v>
      </c>
      <c r="E14">
        <f>IF(COUNT(Resultados!E14,Resultados!N14,Resultados!W14,Resultados!AF14)=0, "", AVERAGE(ABS(Resultados!E14),ABS(Resultados!N14),ABS(Resultados!W14),ABS(Resultados!AF14)))</f>
        <v>25.566620546593018</v>
      </c>
      <c r="F14">
        <f>IF(COUNT(Resultados!F14,Resultados!O14,Resultados!X14,Resultados!AG14)=0, "", AVERAGE(ABS(Resultados!F14),ABS(Resultados!O14),ABS(Resultados!X14),ABS(Resultados!AG14)))</f>
        <v>2452.8090349424701</v>
      </c>
      <c r="G14">
        <f>IF(COUNT(Resultados!G14,Resultados!P14,Resultados!Y14,Resultados!AH14)=0, "", AVERAGE(ABS(Resultados!G14),ABS(Resultados!P14),ABS(Resultados!Y14),ABS(Resultados!AH14)))</f>
        <v>9.0579999999999998</v>
      </c>
      <c r="H14">
        <f>IF(COUNT(Resultados!H14,Resultados!Q14,Resultados!Z14,Resultados!AI14)=0, "", AVERAGE(ABS(Resultados!H14),ABS(Resultados!Q14),ABS(Resultados!Z14),ABS(Resultados!AI14)))</f>
        <v>6.3E-2</v>
      </c>
      <c r="I14">
        <f>IF(COUNT(Resultados!I14,Resultados!R14,Resultados!AA14,Resultados!AJ14)=0, "", AVERAGE(ABS(Resultados!I14),ABS(Resultados!R14),ABS(Resultados!AA14),ABS(Resultados!AJ14)))</f>
        <v>2.4003749999999968</v>
      </c>
      <c r="J14">
        <v>6.3E-2</v>
      </c>
      <c r="K14">
        <v>3.8175000000000001E-2</v>
      </c>
    </row>
    <row r="15" spans="1:11" x14ac:dyDescent="0.3">
      <c r="A15" t="str">
        <f>IF(COUNT(Resultados!A15,Resultados!J15,Resultados!S15,Resultados!AB15)=0, "", AVERAGE(ABS(Resultados!A15),ABS(Resultados!J15),ABS(Resultados!S15),ABS(Resultados!AB15)))</f>
        <v/>
      </c>
      <c r="B15" t="str">
        <f>IF(COUNT(Resultados!B15,Resultados!K15,Resultados!T15,Resultados!AC15)=0, "", AVERAGE(ABS(Resultados!B15),ABS(Resultados!K15),ABS(Resultados!T15),ABS(Resultados!AC15)))</f>
        <v/>
      </c>
      <c r="C15">
        <f>IF(COUNT(Resultados!C15,Resultados!L15,Resultados!U15,Resultados!AD15)=0, "", AVERAGE(ABS(Resultados!C15),ABS(Resultados!L15),ABS(Resultados!U15),ABS(Resultados!AD15)))</f>
        <v>75.25</v>
      </c>
      <c r="D15">
        <f>IF(COUNT(Resultados!D15,Resultados!M15,Resultados!V15,Resultados!AE15)=0, "", AVERAGE(ABS(Resultados!D15),ABS(Resultados!M15),ABS(Resultados!V15),ABS(Resultados!AE15)))</f>
        <v>3.8175000000000001E-2</v>
      </c>
      <c r="E15">
        <f>IF(COUNT(Resultados!E15,Resultados!N15,Resultados!W15,Resultados!AF15)=0, "", AVERAGE(ABS(Resultados!E15),ABS(Resultados!N15),ABS(Resultados!W15),ABS(Resultados!AF15)))</f>
        <v>25.566620546593018</v>
      </c>
      <c r="F15">
        <f>IF(COUNT(Resultados!F15,Resultados!O15,Resultados!X15,Resultados!AG15)=0, "", AVERAGE(ABS(Resultados!F15),ABS(Resultados!O15),ABS(Resultados!X15),ABS(Resultados!AG15)))</f>
        <v>2452.8090349424701</v>
      </c>
      <c r="G15">
        <f>IF(COUNT(Resultados!G15,Resultados!P15,Resultados!Y15,Resultados!AH15)=0, "", AVERAGE(ABS(Resultados!G15),ABS(Resultados!P15),ABS(Resultados!Y15),ABS(Resultados!AH15)))</f>
        <v>9.0579999999999998</v>
      </c>
      <c r="H15">
        <f>IF(COUNT(Resultados!H15,Resultados!Q15,Resultados!Z15,Resultados!AI15)=0, "", AVERAGE(ABS(Resultados!H15),ABS(Resultados!Q15),ABS(Resultados!Z15),ABS(Resultados!AI15)))</f>
        <v>6.3E-2</v>
      </c>
      <c r="I15">
        <f>IF(COUNT(Resultados!I15,Resultados!R15,Resultados!AA15,Resultados!AJ15)=0, "", AVERAGE(ABS(Resultados!I15),ABS(Resultados!R15),ABS(Resultados!AA15),ABS(Resultados!AJ15)))</f>
        <v>2.5999499999999927</v>
      </c>
      <c r="J15">
        <v>6.3E-2</v>
      </c>
      <c r="K15">
        <v>3.8175000000000001E-2</v>
      </c>
    </row>
    <row r="16" spans="1:11" x14ac:dyDescent="0.3">
      <c r="A16" t="str">
        <f>IF(COUNT(Resultados!A16,Resultados!J16,Resultados!S16,Resultados!AB16)=0, "", AVERAGE(ABS(Resultados!A16),ABS(Resultados!J16),ABS(Resultados!S16),ABS(Resultados!AB16)))</f>
        <v/>
      </c>
      <c r="B16" t="str">
        <f>IF(COUNT(Resultados!B16,Resultados!K16,Resultados!T16,Resultados!AC16)=0, "", AVERAGE(ABS(Resultados!B16),ABS(Resultados!K16),ABS(Resultados!T16),ABS(Resultados!AC16)))</f>
        <v/>
      </c>
      <c r="C16">
        <f>IF(COUNT(Resultados!C16,Resultados!L16,Resultados!U16,Resultados!AD16)=0, "", AVERAGE(ABS(Resultados!C16),ABS(Resultados!L16),ABS(Resultados!U16),ABS(Resultados!AD16)))</f>
        <v>75.25</v>
      </c>
      <c r="D16">
        <f>IF(COUNT(Resultados!D16,Resultados!M16,Resultados!V16,Resultados!AE16)=0, "", AVERAGE(ABS(Resultados!D16),ABS(Resultados!M16),ABS(Resultados!V16),ABS(Resultados!AE16)))</f>
        <v>3.8175000000000001E-2</v>
      </c>
      <c r="E16">
        <f>IF(COUNT(Resultados!E16,Resultados!N16,Resultados!W16,Resultados!AF16)=0, "", AVERAGE(ABS(Resultados!E16),ABS(Resultados!N16),ABS(Resultados!W16),ABS(Resultados!AF16)))</f>
        <v>24.552943671685806</v>
      </c>
      <c r="F16">
        <f>IF(COUNT(Resultados!F16,Resultados!O16,Resultados!X16,Resultados!AG16)=0, "", AVERAGE(ABS(Resultados!F16),ABS(Resultados!O16),ABS(Resultados!X16),ABS(Resultados!AG16)))</f>
        <v>2358.334350201118</v>
      </c>
      <c r="G16">
        <f>IF(COUNT(Resultados!G16,Resultados!P16,Resultados!Y16,Resultados!AH16)=0, "", AVERAGE(ABS(Resultados!G16),ABS(Resultados!P16),ABS(Resultados!Y16),ABS(Resultados!AH16)))</f>
        <v>9.0579999999999998</v>
      </c>
      <c r="H16">
        <f>IF(COUNT(Resultados!H16,Resultados!Q16,Resultados!Z16,Resultados!AI16)=0, "", AVERAGE(ABS(Resultados!H16),ABS(Resultados!Q16),ABS(Resultados!Z16),ABS(Resultados!AI16)))</f>
        <v>4.725E-2</v>
      </c>
      <c r="I16">
        <f>IF(COUNT(Resultados!I16,Resultados!R16,Resultados!AA16,Resultados!AJ16)=0, "", AVERAGE(ABS(Resultados!I16),ABS(Resultados!R16),ABS(Resultados!AA16),ABS(Resultados!AJ16)))</f>
        <v>2.8009500000000003</v>
      </c>
      <c r="J16">
        <v>4.725E-2</v>
      </c>
      <c r="K16">
        <v>3.8175000000000001E-2</v>
      </c>
    </row>
    <row r="17" spans="1:11" x14ac:dyDescent="0.3">
      <c r="A17" t="str">
        <f>IF(COUNT(Resultados!A17,Resultados!J17,Resultados!S17,Resultados!AB17)=0, "", AVERAGE(ABS(Resultados!A17),ABS(Resultados!J17),ABS(Resultados!S17),ABS(Resultados!AB17)))</f>
        <v/>
      </c>
      <c r="B17" t="str">
        <f>IF(COUNT(Resultados!B17,Resultados!K17,Resultados!T17,Resultados!AC17)=0, "", AVERAGE(ABS(Resultados!B17),ABS(Resultados!K17),ABS(Resultados!T17),ABS(Resultados!AC17)))</f>
        <v/>
      </c>
      <c r="C17">
        <f>IF(COUNT(Resultados!C17,Resultados!L17,Resultados!U17,Resultados!AD17)=0, "", AVERAGE(ABS(Resultados!C17),ABS(Resultados!L17),ABS(Resultados!U17),ABS(Resultados!AD17)))</f>
        <v>75.25</v>
      </c>
      <c r="D17">
        <f>IF(COUNT(Resultados!D17,Resultados!M17,Resultados!V17,Resultados!AE17)=0, "", AVERAGE(ABS(Resultados!D17),ABS(Resultados!M17),ABS(Resultados!V17),ABS(Resultados!AE17)))</f>
        <v>3.6374999999999998E-2</v>
      </c>
      <c r="E17">
        <f>IF(COUNT(Resultados!E17,Resultados!N17,Resultados!W17,Resultados!AF17)=0, "", AVERAGE(ABS(Resultados!E17),ABS(Resultados!N17),ABS(Resultados!W17),ABS(Resultados!AF17)))</f>
        <v>21.511913046964182</v>
      </c>
      <c r="F17">
        <f>IF(COUNT(Resultados!F17,Resultados!O17,Resultados!X17,Resultados!AG17)=0, "", AVERAGE(ABS(Resultados!F17),ABS(Resultados!O17),ABS(Resultados!X17),ABS(Resultados!AG17)))</f>
        <v>2074.9102959770621</v>
      </c>
      <c r="G17">
        <f>IF(COUNT(Resultados!G17,Resultados!P17,Resultados!Y17,Resultados!AH17)=0, "", AVERAGE(ABS(Resultados!G17),ABS(Resultados!P17),ABS(Resultados!Y17),ABS(Resultados!AH17)))</f>
        <v>9.0579999999999998</v>
      </c>
      <c r="H17">
        <f>IF(COUNT(Resultados!H17,Resultados!Q17,Resultados!Z17,Resultados!AI17)=0, "", AVERAGE(ABS(Resultados!H17),ABS(Resultados!Q17),ABS(Resultados!Z17),ABS(Resultados!AI17)))</f>
        <v>0</v>
      </c>
      <c r="I17">
        <f>IF(COUNT(Resultados!I17,Resultados!R17,Resultados!AA17,Resultados!AJ17)=0, "", AVERAGE(ABS(Resultados!I17),ABS(Resultados!R17),ABS(Resultados!AA17),ABS(Resultados!AJ17)))</f>
        <v>2.9997500000000059</v>
      </c>
      <c r="J17">
        <v>0</v>
      </c>
      <c r="K17">
        <v>3.6374999999999998E-2</v>
      </c>
    </row>
    <row r="18" spans="1:11" x14ac:dyDescent="0.3">
      <c r="A18" t="str">
        <f>IF(COUNT(Resultados!A18,Resultados!J18,Resultados!S18,Resultados!AB18)=0, "", AVERAGE(ABS(Resultados!A18),ABS(Resultados!J18),ABS(Resultados!S18),ABS(Resultados!AB18)))</f>
        <v/>
      </c>
      <c r="B18" t="str">
        <f>IF(COUNT(Resultados!B18,Resultados!K18,Resultados!T18,Resultados!AC18)=0, "", AVERAGE(ABS(Resultados!B18),ABS(Resultados!K18),ABS(Resultados!T18),ABS(Resultados!AC18)))</f>
        <v/>
      </c>
      <c r="C18">
        <f>IF(COUNT(Resultados!C18,Resultados!L18,Resultados!U18,Resultados!AD18)=0, "", AVERAGE(ABS(Resultados!C18),ABS(Resultados!L18),ABS(Resultados!U18),ABS(Resultados!AD18)))</f>
        <v>75.25</v>
      </c>
      <c r="D18">
        <f>IF(COUNT(Resultados!D18,Resultados!M18,Resultados!V18,Resultados!AE18)=0, "", AVERAGE(ABS(Resultados!D18),ABS(Resultados!M18),ABS(Resultados!V18),ABS(Resultados!AE18)))</f>
        <v>2.7875E-2</v>
      </c>
      <c r="E18">
        <f>IF(COUNT(Resultados!E18,Resultados!N18,Resultados!W18,Resultados!AF18)=0, "", AVERAGE(ABS(Resultados!E18),ABS(Resultados!N18),ABS(Resultados!W18),ABS(Resultados!AF18)))</f>
        <v>21.511913046964182</v>
      </c>
      <c r="F18">
        <f>IF(COUNT(Resultados!F18,Resultados!O18,Resultados!X18,Resultados!AG18)=0, "", AVERAGE(ABS(Resultados!F18),ABS(Resultados!O18),ABS(Resultados!X18),ABS(Resultados!AG18)))</f>
        <v>2074.9102959770621</v>
      </c>
      <c r="G18">
        <f>IF(COUNT(Resultados!G18,Resultados!P18,Resultados!Y18,Resultados!AH18)=0, "", AVERAGE(ABS(Resultados!G18),ABS(Resultados!P18),ABS(Resultados!Y18),ABS(Resultados!AH18)))</f>
        <v>9.0579999999999998</v>
      </c>
      <c r="H18">
        <f>IF(COUNT(Resultados!H18,Resultados!Q18,Resultados!Z18,Resultados!AI18)=0, "", AVERAGE(ABS(Resultados!H18),ABS(Resultados!Q18),ABS(Resultados!Z18),ABS(Resultados!AI18)))</f>
        <v>0</v>
      </c>
      <c r="I18">
        <f>IF(COUNT(Resultados!I18,Resultados!R18,Resultados!AA18,Resultados!AJ18)=0, "", AVERAGE(ABS(Resultados!I18),ABS(Resultados!R18),ABS(Resultados!AA18),ABS(Resultados!AJ18)))</f>
        <v>3.2008999999999901</v>
      </c>
      <c r="J18">
        <v>0</v>
      </c>
      <c r="K18">
        <v>2.7875E-2</v>
      </c>
    </row>
    <row r="19" spans="1:11" x14ac:dyDescent="0.3">
      <c r="A19" t="str">
        <f>IF(COUNT(Resultados!A19,Resultados!J19,Resultados!S19,Resultados!AB19)=0, "", AVERAGE(ABS(Resultados!A19),ABS(Resultados!J19),ABS(Resultados!S19),ABS(Resultados!AB19)))</f>
        <v/>
      </c>
      <c r="B19" t="str">
        <f>IF(COUNT(Resultados!B19,Resultados!K19,Resultados!T19,Resultados!AC19)=0, "", AVERAGE(ABS(Resultados!B19),ABS(Resultados!K19),ABS(Resultados!T19),ABS(Resultados!AC19)))</f>
        <v/>
      </c>
      <c r="C19">
        <f>IF(COUNT(Resultados!C19,Resultados!L19,Resultados!U19,Resultados!AD19)=0, "", AVERAGE(ABS(Resultados!C19),ABS(Resultados!L19),ABS(Resultados!U19),ABS(Resultados!AD19)))</f>
        <v>75.25</v>
      </c>
      <c r="D19">
        <f>IF(COUNT(Resultados!D19,Resultados!M19,Resultados!V19,Resultados!AE19)=0, "", AVERAGE(ABS(Resultados!D19),ABS(Resultados!M19),ABS(Resultados!V19),ABS(Resultados!AE19)))</f>
        <v>1.345E-2</v>
      </c>
      <c r="E19">
        <f>IF(COUNT(Resultados!E19,Resultados!N19,Resultados!W19,Resultados!AF19)=0, "", AVERAGE(ABS(Resultados!E19),ABS(Resultados!N19),ABS(Resultados!W19),ABS(Resultados!AF19)))</f>
        <v>21.511913046964182</v>
      </c>
      <c r="F19">
        <f>IF(COUNT(Resultados!F19,Resultados!O19,Resultados!X19,Resultados!AG19)=0, "", AVERAGE(ABS(Resultados!F19),ABS(Resultados!O19),ABS(Resultados!X19),ABS(Resultados!AG19)))</f>
        <v>2074.9102959770621</v>
      </c>
      <c r="G19">
        <f>IF(COUNT(Resultados!G19,Resultados!P19,Resultados!Y19,Resultados!AH19)=0, "", AVERAGE(ABS(Resultados!G19),ABS(Resultados!P19),ABS(Resultados!Y19),ABS(Resultados!AH19)))</f>
        <v>9.0579999999999998</v>
      </c>
      <c r="H19">
        <f>IF(COUNT(Resultados!H19,Resultados!Q19,Resultados!Z19,Resultados!AI19)=0, "", AVERAGE(ABS(Resultados!H19),ABS(Resultados!Q19),ABS(Resultados!Z19),ABS(Resultados!AI19)))</f>
        <v>0</v>
      </c>
      <c r="I19">
        <f>IF(COUNT(Resultados!I19,Resultados!R19,Resultados!AA19,Resultados!AJ19)=0, "", AVERAGE(ABS(Resultados!I19),ABS(Resultados!R19),ABS(Resultados!AA19),ABS(Resultados!AJ19)))</f>
        <v>3.3998500000000007</v>
      </c>
      <c r="J19">
        <v>0</v>
      </c>
      <c r="K19">
        <v>1.345E-2</v>
      </c>
    </row>
    <row r="20" spans="1:11" x14ac:dyDescent="0.3">
      <c r="A20" t="str">
        <f>IF(COUNT(Resultados!A20,Resultados!J20,Resultados!S20,Resultados!AB20)=0, "", AVERAGE(ABS(Resultados!A20),ABS(Resultados!J20),ABS(Resultados!S20),ABS(Resultados!AB20)))</f>
        <v/>
      </c>
      <c r="B20" t="str">
        <f>IF(COUNT(Resultados!B20,Resultados!K20,Resultados!T20,Resultados!AC20)=0, "", AVERAGE(ABS(Resultados!B20),ABS(Resultados!K20),ABS(Resultados!T20),ABS(Resultados!AC20)))</f>
        <v/>
      </c>
      <c r="C20">
        <f>IF(COUNT(Resultados!C20,Resultados!L20,Resultados!U20,Resultados!AD20)=0, "", AVERAGE(ABS(Resultados!C20),ABS(Resultados!L20),ABS(Resultados!U20),ABS(Resultados!AD20)))</f>
        <v>75.25</v>
      </c>
      <c r="D20">
        <f>IF(COUNT(Resultados!D20,Resultados!M20,Resultados!V20,Resultados!AE20)=0, "", AVERAGE(ABS(Resultados!D20),ABS(Resultados!M20),ABS(Resultados!V20),ABS(Resultados!AE20)))</f>
        <v>4.7000000000000002E-3</v>
      </c>
      <c r="E20">
        <f>IF(COUNT(Resultados!E20,Resultados!N20,Resultados!W20,Resultados!AF20)=0, "", AVERAGE(ABS(Resultados!E20),ABS(Resultados!N20),ABS(Resultados!W20),ABS(Resultados!AF20)))</f>
        <v>21.511913046964182</v>
      </c>
      <c r="F20">
        <f>IF(COUNT(Resultados!F20,Resultados!O20,Resultados!X20,Resultados!AG20)=0, "", AVERAGE(ABS(Resultados!F20),ABS(Resultados!O20),ABS(Resultados!X20),ABS(Resultados!AG20)))</f>
        <v>2074.9102959770621</v>
      </c>
      <c r="G20">
        <f>IF(COUNT(Resultados!G20,Resultados!P20,Resultados!Y20,Resultados!AH20)=0, "", AVERAGE(ABS(Resultados!G20),ABS(Resultados!P20),ABS(Resultados!Y20),ABS(Resultados!AH20)))</f>
        <v>9.0579999999999998</v>
      </c>
      <c r="H20">
        <f>IF(COUNT(Resultados!H20,Resultados!Q20,Resultados!Z20,Resultados!AI20)=0, "", AVERAGE(ABS(Resultados!H20),ABS(Resultados!Q20),ABS(Resultados!Z20),ABS(Resultados!AI20)))</f>
        <v>0</v>
      </c>
      <c r="I20">
        <f>IF(COUNT(Resultados!I20,Resultados!R20,Resultados!AA20,Resultados!AJ20)=0, "", AVERAGE(ABS(Resultados!I20),ABS(Resultados!R20),ABS(Resultados!AA20),ABS(Resultados!AJ20)))</f>
        <v>3.6001249999999914</v>
      </c>
      <c r="J20">
        <v>0</v>
      </c>
      <c r="K20">
        <v>4.7000000000000002E-3</v>
      </c>
    </row>
    <row r="21" spans="1:11" x14ac:dyDescent="0.3">
      <c r="A21" t="str">
        <f>IF(COUNT(Resultados!A21,Resultados!J21,Resultados!S21,Resultados!AB21)=0, "", AVERAGE(ABS(Resultados!A21),ABS(Resultados!J21),ABS(Resultados!S21),ABS(Resultados!AB21)))</f>
        <v/>
      </c>
      <c r="B21" t="str">
        <f>IF(COUNT(Resultados!B21,Resultados!K21,Resultados!T21,Resultados!AC21)=0, "", AVERAGE(ABS(Resultados!B21),ABS(Resultados!K21),ABS(Resultados!T21),ABS(Resultados!AC21)))</f>
        <v/>
      </c>
      <c r="C21">
        <f>IF(COUNT(Resultados!C21,Resultados!L21,Resultados!U21,Resultados!AD21)=0, "", AVERAGE(ABS(Resultados!C21),ABS(Resultados!L21),ABS(Resultados!U21),ABS(Resultados!AD21)))</f>
        <v>75.25</v>
      </c>
      <c r="D21">
        <f>IF(COUNT(Resultados!D21,Resultados!M21,Resultados!V21,Resultados!AE21)=0, "", AVERAGE(ABS(Resultados!D21),ABS(Resultados!M21),ABS(Resultados!V21),ABS(Resultados!AE21)))</f>
        <v>3.0249999999999999E-3</v>
      </c>
      <c r="E21">
        <f>IF(COUNT(Resultados!E21,Resultados!N21,Resultados!W21,Resultados!AF21)=0, "", AVERAGE(ABS(Resultados!E21),ABS(Resultados!N21),ABS(Resultados!W21),ABS(Resultados!AF21)))</f>
        <v>21.511913046964182</v>
      </c>
      <c r="F21">
        <f>IF(COUNT(Resultados!F21,Resultados!O21,Resultados!X21,Resultados!AG21)=0, "", AVERAGE(ABS(Resultados!F21),ABS(Resultados!O21),ABS(Resultados!X21),ABS(Resultados!AG21)))</f>
        <v>2074.9102959770621</v>
      </c>
      <c r="G21">
        <f>IF(COUNT(Resultados!G21,Resultados!P21,Resultados!Y21,Resultados!AH21)=0, "", AVERAGE(ABS(Resultados!G21),ABS(Resultados!P21),ABS(Resultados!Y21),ABS(Resultados!AH21)))</f>
        <v>9.0579999999999998</v>
      </c>
      <c r="H21">
        <f>IF(COUNT(Resultados!H21,Resultados!Q21,Resultados!Z21,Resultados!AI21)=0, "", AVERAGE(ABS(Resultados!H21),ABS(Resultados!Q21),ABS(Resultados!Z21),ABS(Resultados!AI21)))</f>
        <v>0</v>
      </c>
      <c r="I21">
        <f>IF(COUNT(Resultados!I21,Resultados!R21,Resultados!AA21,Resultados!AJ21)=0, "", AVERAGE(ABS(Resultados!I21),ABS(Resultados!R21),ABS(Resultados!AA21),ABS(Resultados!AJ21)))</f>
        <v>3.8007249999999999</v>
      </c>
      <c r="J21">
        <v>0</v>
      </c>
      <c r="K21">
        <v>3.0249999999999999E-3</v>
      </c>
    </row>
    <row r="22" spans="1:11" x14ac:dyDescent="0.3">
      <c r="A22" t="str">
        <f>IF(COUNT(Resultados!A22,Resultados!J22,Resultados!S22,Resultados!AB22)=0, "", AVERAGE(ABS(Resultados!A22),ABS(Resultados!J22),ABS(Resultados!S22),ABS(Resultados!AB22)))</f>
        <v/>
      </c>
      <c r="B22" t="str">
        <f>IF(COUNT(Resultados!B22,Resultados!K22,Resultados!T22,Resultados!AC22)=0, "", AVERAGE(ABS(Resultados!B22),ABS(Resultados!K22),ABS(Resultados!T22),ABS(Resultados!AC22)))</f>
        <v/>
      </c>
      <c r="C22">
        <f>IF(COUNT(Resultados!C22,Resultados!L22,Resultados!U22,Resultados!AD22)=0, "", AVERAGE(ABS(Resultados!C22),ABS(Resultados!L22),ABS(Resultados!U22),ABS(Resultados!AD22)))</f>
        <v>75.25</v>
      </c>
      <c r="D22">
        <f>IF(COUNT(Resultados!D22,Resultados!M22,Resultados!V22,Resultados!AE22)=0, "", AVERAGE(ABS(Resultados!D22),ABS(Resultados!M22),ABS(Resultados!V22),ABS(Resultados!AE22)))</f>
        <v>3.0999999999999999E-3</v>
      </c>
      <c r="E22">
        <f>IF(COUNT(Resultados!E22,Resultados!N22,Resultados!W22,Resultados!AF22)=0, "", AVERAGE(ABS(Resultados!E22),ABS(Resultados!N22),ABS(Resultados!W22),ABS(Resultados!AF22)))</f>
        <v>21.511913046964182</v>
      </c>
      <c r="F22">
        <f>IF(COUNT(Resultados!F22,Resultados!O22,Resultados!X22,Resultados!AG22)=0, "", AVERAGE(ABS(Resultados!F22),ABS(Resultados!O22),ABS(Resultados!X22),ABS(Resultados!AG22)))</f>
        <v>2074.9102959770621</v>
      </c>
      <c r="G22">
        <f>IF(COUNT(Resultados!G22,Resultados!P22,Resultados!Y22,Resultados!AH22)=0, "", AVERAGE(ABS(Resultados!G22),ABS(Resultados!P22),ABS(Resultados!Y22),ABS(Resultados!AH22)))</f>
        <v>9.0579999999999998</v>
      </c>
      <c r="H22">
        <f>IF(COUNT(Resultados!H22,Resultados!Q22,Resultados!Z22,Resultados!AI22)=0, "", AVERAGE(ABS(Resultados!H22),ABS(Resultados!Q22),ABS(Resultados!Z22),ABS(Resultados!AI22)))</f>
        <v>0</v>
      </c>
      <c r="I22">
        <f>IF(COUNT(Resultados!I22,Resultados!R22,Resultados!AA22,Resultados!AJ22)=0, "", AVERAGE(ABS(Resultados!I22),ABS(Resultados!R22),ABS(Resultados!AA22),ABS(Resultados!AJ22)))</f>
        <v>4.0001499999999908</v>
      </c>
      <c r="J22">
        <v>0</v>
      </c>
      <c r="K22">
        <v>3.0999999999999999E-3</v>
      </c>
    </row>
    <row r="23" spans="1:11" x14ac:dyDescent="0.3">
      <c r="A23" t="str">
        <f>IF(COUNT(Resultados!A23,Resultados!J23,Resultados!S23,Resultados!AB23)=0, "", AVERAGE(ABS(Resultados!A23),ABS(Resultados!J23),ABS(Resultados!S23),ABS(Resultados!AB23)))</f>
        <v/>
      </c>
      <c r="B23" t="str">
        <f>IF(COUNT(Resultados!B23,Resultados!K23,Resultados!T23,Resultados!AC23)=0, "", AVERAGE(ABS(Resultados!B23),ABS(Resultados!K23),ABS(Resultados!T23),ABS(Resultados!AC23)))</f>
        <v/>
      </c>
      <c r="C23">
        <f>IF(COUNT(Resultados!C23,Resultados!L23,Resultados!U23,Resultados!AD23)=0, "", AVERAGE(ABS(Resultados!C23),ABS(Resultados!L23),ABS(Resultados!U23),ABS(Resultados!AD23)))</f>
        <v>75.25</v>
      </c>
      <c r="D23">
        <f>IF(COUNT(Resultados!D23,Resultados!M23,Resultados!V23,Resultados!AE23)=0, "", AVERAGE(ABS(Resultados!D23),ABS(Resultados!M23),ABS(Resultados!V23),ABS(Resultados!AE23)))</f>
        <v>3.0999999999999999E-3</v>
      </c>
      <c r="E23">
        <f>IF(COUNT(Resultados!E23,Resultados!N23,Resultados!W23,Resultados!AF23)=0, "", AVERAGE(ABS(Resultados!E23),ABS(Resultados!N23),ABS(Resultados!W23),ABS(Resultados!AF23)))</f>
        <v>21.511913046964182</v>
      </c>
      <c r="F23">
        <f>IF(COUNT(Resultados!F23,Resultados!O23,Resultados!X23,Resultados!AG23)=0, "", AVERAGE(ABS(Resultados!F23),ABS(Resultados!O23),ABS(Resultados!X23),ABS(Resultados!AG23)))</f>
        <v>2074.9102959770621</v>
      </c>
      <c r="G23">
        <f>IF(COUNT(Resultados!G23,Resultados!P23,Resultados!Y23,Resultados!AH23)=0, "", AVERAGE(ABS(Resultados!G23),ABS(Resultados!P23),ABS(Resultados!Y23),ABS(Resultados!AH23)))</f>
        <v>9.0579999999999998</v>
      </c>
      <c r="H23">
        <f>IF(COUNT(Resultados!H23,Resultados!Q23,Resultados!Z23,Resultados!AI23)=0, "", AVERAGE(ABS(Resultados!H23),ABS(Resultados!Q23),ABS(Resultados!Z23),ABS(Resultados!AI23)))</f>
        <v>0</v>
      </c>
      <c r="I23">
        <f>IF(COUNT(Resultados!I23,Resultados!R23,Resultados!AA23,Resultados!AJ23)=0, "", AVERAGE(ABS(Resultados!I23),ABS(Resultados!R23),ABS(Resultados!AA23),ABS(Resultados!AJ23)))</f>
        <v>4.2004249999999956</v>
      </c>
      <c r="J23">
        <v>0</v>
      </c>
      <c r="K23">
        <v>3.0999999999999999E-3</v>
      </c>
    </row>
    <row r="24" spans="1:11" x14ac:dyDescent="0.3">
      <c r="A24" t="str">
        <f>IF(COUNT(Resultados!A24,Resultados!J24,Resultados!S24,Resultados!AB24)=0, "", AVERAGE(ABS(Resultados!A24),ABS(Resultados!J24),ABS(Resultados!S24),ABS(Resultados!AB24)))</f>
        <v/>
      </c>
      <c r="B24" t="str">
        <f>IF(COUNT(Resultados!B24,Resultados!K24,Resultados!T24,Resultados!AC24)=0, "", AVERAGE(ABS(Resultados!B24),ABS(Resultados!K24),ABS(Resultados!T24),ABS(Resultados!AC24)))</f>
        <v/>
      </c>
      <c r="C24">
        <f>IF(COUNT(Resultados!C24,Resultados!L24,Resultados!U24,Resultados!AD24)=0, "", AVERAGE(ABS(Resultados!C24),ABS(Resultados!L24),ABS(Resultados!U24),ABS(Resultados!AD24)))</f>
        <v>75.25</v>
      </c>
      <c r="D24">
        <f>IF(COUNT(Resultados!D24,Resultados!M24,Resultados!V24,Resultados!AE24)=0, "", AVERAGE(ABS(Resultados!D24),ABS(Resultados!M24),ABS(Resultados!V24),ABS(Resultados!AE24)))</f>
        <v>3.0999999999999999E-3</v>
      </c>
      <c r="E24">
        <f>IF(COUNT(Resultados!E24,Resultados!N24,Resultados!W24,Resultados!AF24)=0, "", AVERAGE(ABS(Resultados!E24),ABS(Resultados!N24),ABS(Resultados!W24),ABS(Resultados!AF24)))</f>
        <v>21.511913046964182</v>
      </c>
      <c r="F24">
        <f>IF(COUNT(Resultados!F24,Resultados!O24,Resultados!X24,Resultados!AG24)=0, "", AVERAGE(ABS(Resultados!F24),ABS(Resultados!O24),ABS(Resultados!X24),ABS(Resultados!AG24)))</f>
        <v>2074.9102959770621</v>
      </c>
      <c r="G24">
        <f>IF(COUNT(Resultados!G24,Resultados!P24,Resultados!Y24,Resultados!AH24)=0, "", AVERAGE(ABS(Resultados!G24),ABS(Resultados!P24),ABS(Resultados!Y24),ABS(Resultados!AH24)))</f>
        <v>9.0579999999999998</v>
      </c>
      <c r="H24">
        <f>IF(COUNT(Resultados!H24,Resultados!Q24,Resultados!Z24,Resultados!AI24)=0, "", AVERAGE(ABS(Resultados!H24),ABS(Resultados!Q24),ABS(Resultados!Z24),ABS(Resultados!AI24)))</f>
        <v>0</v>
      </c>
      <c r="I24">
        <f>IF(COUNT(Resultados!I24,Resultados!R24,Resultados!AA24,Resultados!AJ24)=0, "", AVERAGE(ABS(Resultados!I24),ABS(Resultados!R24),ABS(Resultados!AA24),ABS(Resultados!AJ24)))</f>
        <v>4.3996999999999957</v>
      </c>
      <c r="J24">
        <v>0</v>
      </c>
      <c r="K24">
        <v>3.0999999999999999E-3</v>
      </c>
    </row>
    <row r="25" spans="1:11" x14ac:dyDescent="0.3">
      <c r="A25" t="str">
        <f>IF(COUNT(Resultados!A25,Resultados!J25,Resultados!S25,Resultados!AB25)=0, "", AVERAGE(ABS(Resultados!A25),ABS(Resultados!J25),ABS(Resultados!S25),ABS(Resultados!AB25)))</f>
        <v/>
      </c>
      <c r="B25" t="str">
        <f>IF(COUNT(Resultados!B25,Resultados!K25,Resultados!T25,Resultados!AC25)=0, "", AVERAGE(ABS(Resultados!B25),ABS(Resultados!K25),ABS(Resultados!T25),ABS(Resultados!AC25)))</f>
        <v/>
      </c>
      <c r="C25">
        <f>IF(COUNT(Resultados!C25,Resultados!L25,Resultados!U25,Resultados!AD25)=0, "", AVERAGE(ABS(Resultados!C25),ABS(Resultados!L25),ABS(Resultados!U25),ABS(Resultados!AD25)))</f>
        <v>75.25</v>
      </c>
      <c r="D25">
        <f>IF(COUNT(Resultados!D25,Resultados!M25,Resultados!V25,Resultados!AE25)=0, "", AVERAGE(ABS(Resultados!D25),ABS(Resultados!M25),ABS(Resultados!V25),ABS(Resultados!AE25)))</f>
        <v>3.0999999999999999E-3</v>
      </c>
      <c r="E25">
        <f>IF(COUNT(Resultados!E25,Resultados!N25,Resultados!W25,Resultados!AF25)=0, "", AVERAGE(ABS(Resultados!E25),ABS(Resultados!N25),ABS(Resultados!W25),ABS(Resultados!AF25)))</f>
        <v>21.511913046964182</v>
      </c>
      <c r="F25">
        <f>IF(COUNT(Resultados!F25,Resultados!O25,Resultados!X25,Resultados!AG25)=0, "", AVERAGE(ABS(Resultados!F25),ABS(Resultados!O25),ABS(Resultados!X25),ABS(Resultados!AG25)))</f>
        <v>2074.9102959770621</v>
      </c>
      <c r="G25">
        <f>IF(COUNT(Resultados!G25,Resultados!P25,Resultados!Y25,Resultados!AH25)=0, "", AVERAGE(ABS(Resultados!G25),ABS(Resultados!P25),ABS(Resultados!Y25),ABS(Resultados!AH25)))</f>
        <v>9.0579999999999998</v>
      </c>
      <c r="H25">
        <f>IF(COUNT(Resultados!H25,Resultados!Q25,Resultados!Z25,Resultados!AI25)=0, "", AVERAGE(ABS(Resultados!H25),ABS(Resultados!Q25),ABS(Resultados!Z25),ABS(Resultados!AI25)))</f>
        <v>0</v>
      </c>
      <c r="I25">
        <f>IF(COUNT(Resultados!I25,Resultados!R25,Resultados!AA25,Resultados!AJ25)=0, "", AVERAGE(ABS(Resultados!I25),ABS(Resultados!R25),ABS(Resultados!AA25),ABS(Resultados!AJ25)))</f>
        <v>4.6000750000000039</v>
      </c>
      <c r="J25">
        <v>0</v>
      </c>
      <c r="K25">
        <v>3.0999999999999999E-3</v>
      </c>
    </row>
    <row r="26" spans="1:11" x14ac:dyDescent="0.3">
      <c r="A26" t="str">
        <f>IF(COUNT(Resultados!A26,Resultados!J26,Resultados!S26,Resultados!AB26)=0, "", AVERAGE(ABS(Resultados!A26),ABS(Resultados!J26),ABS(Resultados!S26),ABS(Resultados!AB26)))</f>
        <v/>
      </c>
      <c r="B26" t="str">
        <f>IF(COUNT(Resultados!B26,Resultados!K26,Resultados!T26,Resultados!AC26)=0, "", AVERAGE(ABS(Resultados!B26),ABS(Resultados!K26),ABS(Resultados!T26),ABS(Resultados!AC26)))</f>
        <v/>
      </c>
      <c r="C26">
        <f>IF(COUNT(Resultados!C26,Resultados!L26,Resultados!U26,Resultados!AD26)=0, "", AVERAGE(ABS(Resultados!C26),ABS(Resultados!L26),ABS(Resultados!U26),ABS(Resultados!AD26)))</f>
        <v>75.25</v>
      </c>
      <c r="D26">
        <f>IF(COUNT(Resultados!D26,Resultados!M26,Resultados!V26,Resultados!AE26)=0, "", AVERAGE(ABS(Resultados!D26),ABS(Resultados!M26),ABS(Resultados!V26),ABS(Resultados!AE26)))</f>
        <v>3.1250000000000002E-3</v>
      </c>
      <c r="E26">
        <f>IF(COUNT(Resultados!E26,Resultados!N26,Resultados!W26,Resultados!AF26)=0, "", AVERAGE(ABS(Resultados!E26),ABS(Resultados!N26),ABS(Resultados!W26),ABS(Resultados!AF26)))</f>
        <v>21.511913046964182</v>
      </c>
      <c r="F26">
        <f>IF(COUNT(Resultados!F26,Resultados!O26,Resultados!X26,Resultados!AG26)=0, "", AVERAGE(ABS(Resultados!F26),ABS(Resultados!O26),ABS(Resultados!X26),ABS(Resultados!AG26)))</f>
        <v>2074.9102959770621</v>
      </c>
      <c r="G26">
        <f>IF(COUNT(Resultados!G26,Resultados!P26,Resultados!Y26,Resultados!AH26)=0, "", AVERAGE(ABS(Resultados!G26),ABS(Resultados!P26),ABS(Resultados!Y26),ABS(Resultados!AH26)))</f>
        <v>9.0579999999999998</v>
      </c>
      <c r="H26">
        <f>IF(COUNT(Resultados!H26,Resultados!Q26,Resultados!Z26,Resultados!AI26)=0, "", AVERAGE(ABS(Resultados!H26),ABS(Resultados!Q26),ABS(Resultados!Z26),ABS(Resultados!AI26)))</f>
        <v>0</v>
      </c>
      <c r="I26">
        <f>IF(COUNT(Resultados!I26,Resultados!R26,Resultados!AA26,Resultados!AJ26)=0, "", AVERAGE(ABS(Resultados!I26),ABS(Resultados!R26),ABS(Resultados!AA26),ABS(Resultados!AJ26)))</f>
        <v>4.8003999999999962</v>
      </c>
      <c r="J26">
        <v>0</v>
      </c>
      <c r="K26">
        <v>3.1250000000000002E-3</v>
      </c>
    </row>
    <row r="27" spans="1:11" x14ac:dyDescent="0.3">
      <c r="A27" t="str">
        <f>IF(COUNT(Resultados!A27,Resultados!J27,Resultados!S27,Resultados!AB27)=0, "", AVERAGE(ABS(Resultados!A27),ABS(Resultados!J27),ABS(Resultados!S27),ABS(Resultados!AB27)))</f>
        <v/>
      </c>
      <c r="B27" t="str">
        <f>IF(COUNT(Resultados!B27,Resultados!K27,Resultados!T27,Resultados!AC27)=0, "", AVERAGE(ABS(Resultados!B27),ABS(Resultados!K27),ABS(Resultados!T27),ABS(Resultados!AC27)))</f>
        <v/>
      </c>
      <c r="C27">
        <f>IF(COUNT(Resultados!C27,Resultados!L27,Resultados!U27,Resultados!AD27)=0, "", AVERAGE(ABS(Resultados!C27),ABS(Resultados!L27),ABS(Resultados!U27),ABS(Resultados!AD27)))</f>
        <v>75.25</v>
      </c>
      <c r="D27">
        <f>IF(COUNT(Resultados!D27,Resultados!M27,Resultados!V27,Resultados!AE27)=0, "", AVERAGE(ABS(Resultados!D27),ABS(Resultados!M27),ABS(Resultados!V27),ABS(Resultados!AE27)))</f>
        <v>3.0999999999999999E-3</v>
      </c>
      <c r="E27">
        <f>IF(COUNT(Resultados!E27,Resultados!N27,Resultados!W27,Resultados!AF27)=0, "", AVERAGE(ABS(Resultados!E27),ABS(Resultados!N27),ABS(Resultados!W27),ABS(Resultados!AF27)))</f>
        <v>25.566620546593018</v>
      </c>
      <c r="F27">
        <f>IF(COUNT(Resultados!F27,Resultados!O27,Resultados!X27,Resultados!AG27)=0, "", AVERAGE(ABS(Resultados!F27),ABS(Resultados!O27),ABS(Resultados!X27),ABS(Resultados!AG27)))</f>
        <v>2566.2722898716779</v>
      </c>
      <c r="G27">
        <f>IF(COUNT(Resultados!G27,Resultados!P27,Resultados!Y27,Resultados!AH27)=0, "", AVERAGE(ABS(Resultados!G27),ABS(Resultados!P27),ABS(Resultados!Y27),ABS(Resultados!AH27)))</f>
        <v>9.0579999999999998</v>
      </c>
      <c r="H27">
        <f>IF(COUNT(Resultados!H27,Resultados!Q27,Resultados!Z27,Resultados!AI27)=0, "", AVERAGE(ABS(Resultados!H27),ABS(Resultados!Q27),ABS(Resultados!Z27),ABS(Resultados!AI27)))</f>
        <v>6.3E-2</v>
      </c>
      <c r="I27">
        <f>IF(COUNT(Resultados!I27,Resultados!R27,Resultados!AA27,Resultados!AJ27)=0, "", AVERAGE(ABS(Resultados!I27),ABS(Resultados!R27),ABS(Resultados!AA27),ABS(Resultados!AJ27)))</f>
        <v>5.0006999999999948</v>
      </c>
      <c r="J27">
        <v>6.3E-2</v>
      </c>
      <c r="K27">
        <v>3.0999999999999999E-3</v>
      </c>
    </row>
    <row r="28" spans="1:11" x14ac:dyDescent="0.3">
      <c r="A28" t="str">
        <f>IF(COUNT(Resultados!A28,Resultados!J28,Resultados!S28,Resultados!AB28)=0, "", AVERAGE(ABS(Resultados!A28),ABS(Resultados!J28),ABS(Resultados!S28),ABS(Resultados!AB28)))</f>
        <v/>
      </c>
      <c r="B28" t="str">
        <f>IF(COUNT(Resultados!B28,Resultados!K28,Resultados!T28,Resultados!AC28)=0, "", AVERAGE(ABS(Resultados!B28),ABS(Resultados!K28),ABS(Resultados!T28),ABS(Resultados!AC28)))</f>
        <v/>
      </c>
      <c r="C28">
        <f>IF(COUNT(Resultados!C28,Resultados!L28,Resultados!U28,Resultados!AD28)=0, "", AVERAGE(ABS(Resultados!C28),ABS(Resultados!L28),ABS(Resultados!U28),ABS(Resultados!AD28)))</f>
        <v>75.25</v>
      </c>
      <c r="D28">
        <f>IF(COUNT(Resultados!D28,Resultados!M28,Resultados!V28,Resultados!AE28)=0, "", AVERAGE(ABS(Resultados!D28),ABS(Resultados!M28),ABS(Resultados!V28),ABS(Resultados!AE28)))</f>
        <v>1.3975E-2</v>
      </c>
      <c r="E28">
        <f>IF(COUNT(Resultados!E28,Resultados!N28,Resultados!W28,Resultados!AF28)=0, "", AVERAGE(ABS(Resultados!E28),ABS(Resultados!N28),ABS(Resultados!W28),ABS(Resultados!AF28)))</f>
        <v>25.566620546593018</v>
      </c>
      <c r="F28">
        <f>IF(COUNT(Resultados!F28,Resultados!O28,Resultados!X28,Resultados!AG28)=0, "", AVERAGE(ABS(Resultados!F28),ABS(Resultados!O28),ABS(Resultados!X28),ABS(Resultados!AG28)))</f>
        <v>2452.8090349424701</v>
      </c>
      <c r="G28">
        <f>IF(COUNT(Resultados!G28,Resultados!P28,Resultados!Y28,Resultados!AH28)=0, "", AVERAGE(ABS(Resultados!G28),ABS(Resultados!P28),ABS(Resultados!Y28),ABS(Resultados!AH28)))</f>
        <v>9.0579999999999998</v>
      </c>
      <c r="H28">
        <f>IF(COUNT(Resultados!H28,Resultados!Q28,Resultados!Z28,Resultados!AI28)=0, "", AVERAGE(ABS(Resultados!H28),ABS(Resultados!Q28),ABS(Resultados!Z28),ABS(Resultados!AI28)))</f>
        <v>6.3E-2</v>
      </c>
      <c r="I28">
        <f>IF(COUNT(Resultados!I28,Resultados!R28,Resultados!AA28,Resultados!AJ28)=0, "", AVERAGE(ABS(Resultados!I28),ABS(Resultados!R28),ABS(Resultados!AA28),ABS(Resultados!AJ28)))</f>
        <v>5.2000499999999903</v>
      </c>
      <c r="J28">
        <v>6.3E-2</v>
      </c>
      <c r="K28">
        <v>1.3975E-2</v>
      </c>
    </row>
    <row r="29" spans="1:11" x14ac:dyDescent="0.3">
      <c r="A29" t="str">
        <f>IF(COUNT(Resultados!A29,Resultados!J29,Resultados!S29,Resultados!AB29)=0, "", AVERAGE(ABS(Resultados!A29),ABS(Resultados!J29),ABS(Resultados!S29),ABS(Resultados!AB29)))</f>
        <v/>
      </c>
      <c r="B29" t="str">
        <f>IF(COUNT(Resultados!B29,Resultados!K29,Resultados!T29,Resultados!AC29)=0, "", AVERAGE(ABS(Resultados!B29),ABS(Resultados!K29),ABS(Resultados!T29),ABS(Resultados!AC29)))</f>
        <v/>
      </c>
      <c r="C29">
        <f>IF(COUNT(Resultados!C29,Resultados!L29,Resultados!U29,Resultados!AD29)=0, "", AVERAGE(ABS(Resultados!C29),ABS(Resultados!L29),ABS(Resultados!U29),ABS(Resultados!AD29)))</f>
        <v>75.25</v>
      </c>
      <c r="D29">
        <f>IF(COUNT(Resultados!D29,Resultados!M29,Resultados!V29,Resultados!AE29)=0, "", AVERAGE(ABS(Resultados!D29),ABS(Resultados!M29),ABS(Resultados!V29),ABS(Resultados!AE29)))</f>
        <v>3.1974999999999996E-2</v>
      </c>
      <c r="E29">
        <f>IF(COUNT(Resultados!E29,Resultados!N29,Resultados!W29,Resultados!AF29)=0, "", AVERAGE(ABS(Resultados!E29),ABS(Resultados!N29),ABS(Resultados!W29),ABS(Resultados!AF29)))</f>
        <v>25.566620546593018</v>
      </c>
      <c r="F29">
        <f>IF(COUNT(Resultados!F29,Resultados!O29,Resultados!X29,Resultados!AG29)=0, "", AVERAGE(ABS(Resultados!F29),ABS(Resultados!O29),ABS(Resultados!X29),ABS(Resultados!AG29)))</f>
        <v>2452.8090349424701</v>
      </c>
      <c r="G29">
        <f>IF(COUNT(Resultados!G29,Resultados!P29,Resultados!Y29,Resultados!AH29)=0, "", AVERAGE(ABS(Resultados!G29),ABS(Resultados!P29),ABS(Resultados!Y29),ABS(Resultados!AH29)))</f>
        <v>9.0579999999999998</v>
      </c>
      <c r="H29">
        <f>IF(COUNT(Resultados!H29,Resultados!Q29,Resultados!Z29,Resultados!AI29)=0, "", AVERAGE(ABS(Resultados!H29),ABS(Resultados!Q29),ABS(Resultados!Z29),ABS(Resultados!AI29)))</f>
        <v>6.3E-2</v>
      </c>
      <c r="I29">
        <f>IF(COUNT(Resultados!I29,Resultados!R29,Resultados!AA29,Resultados!AJ29)=0, "", AVERAGE(ABS(Resultados!I29),ABS(Resultados!R29),ABS(Resultados!AA29),ABS(Resultados!AJ29)))</f>
        <v>5.4008249999999975</v>
      </c>
      <c r="J29">
        <v>6.3E-2</v>
      </c>
      <c r="K29">
        <v>3.1974999999999996E-2</v>
      </c>
    </row>
    <row r="30" spans="1:11" x14ac:dyDescent="0.3">
      <c r="A30" t="str">
        <f>IF(COUNT(Resultados!A30,Resultados!J30,Resultados!S30,Resultados!AB30)=0, "", AVERAGE(ABS(Resultados!A30),ABS(Resultados!J30),ABS(Resultados!S30),ABS(Resultados!AB30)))</f>
        <v/>
      </c>
      <c r="B30" t="str">
        <f>IF(COUNT(Resultados!B30,Resultados!K30,Resultados!T30,Resultados!AC30)=0, "", AVERAGE(ABS(Resultados!B30),ABS(Resultados!K30),ABS(Resultados!T30),ABS(Resultados!AC30)))</f>
        <v/>
      </c>
      <c r="C30">
        <f>IF(COUNT(Resultados!C30,Resultados!L30,Resultados!U30,Resultados!AD30)=0, "", AVERAGE(ABS(Resultados!C30),ABS(Resultados!L30),ABS(Resultados!U30),ABS(Resultados!AD30)))</f>
        <v>75.25</v>
      </c>
      <c r="D30">
        <f>IF(COUNT(Resultados!D30,Resultados!M30,Resultados!V30,Resultados!AE30)=0, "", AVERAGE(ABS(Resultados!D30),ABS(Resultados!M30),ABS(Resultados!V30),ABS(Resultados!AE30)))</f>
        <v>3.7025000000000002E-2</v>
      </c>
      <c r="E30">
        <f>IF(COUNT(Resultados!E30,Resultados!N30,Resultados!W30,Resultados!AF30)=0, "", AVERAGE(ABS(Resultados!E30),ABS(Resultados!N30),ABS(Resultados!W30),ABS(Resultados!AF30)))</f>
        <v>25.566620546593018</v>
      </c>
      <c r="F30">
        <f>IF(COUNT(Resultados!F30,Resultados!O30,Resultados!X30,Resultados!AG30)=0, "", AVERAGE(ABS(Resultados!F30),ABS(Resultados!O30),ABS(Resultados!X30),ABS(Resultados!AG30)))</f>
        <v>2452.8090349424701</v>
      </c>
      <c r="G30">
        <f>IF(COUNT(Resultados!G30,Resultados!P30,Resultados!Y30,Resultados!AH30)=0, "", AVERAGE(ABS(Resultados!G30),ABS(Resultados!P30),ABS(Resultados!Y30),ABS(Resultados!AH30)))</f>
        <v>9.0579999999999998</v>
      </c>
      <c r="H30">
        <f>IF(COUNT(Resultados!H30,Resultados!Q30,Resultados!Z30,Resultados!AI30)=0, "", AVERAGE(ABS(Resultados!H30),ABS(Resultados!Q30),ABS(Resultados!Z30),ABS(Resultados!AI30)))</f>
        <v>6.3E-2</v>
      </c>
      <c r="I30">
        <f>IF(COUNT(Resultados!I30,Resultados!R30,Resultados!AA30,Resultados!AJ30)=0, "", AVERAGE(ABS(Resultados!I30),ABS(Resultados!R30),ABS(Resultados!AA30),ABS(Resultados!AJ30)))</f>
        <v>5.6006500000000017</v>
      </c>
      <c r="J30">
        <v>6.3E-2</v>
      </c>
      <c r="K30">
        <v>3.7025000000000002E-2</v>
      </c>
    </row>
    <row r="31" spans="1:11" x14ac:dyDescent="0.3">
      <c r="A31" t="str">
        <f>IF(COUNT(Resultados!A31,Resultados!J31,Resultados!S31,Resultados!AB31)=0, "", AVERAGE(ABS(Resultados!A31),ABS(Resultados!J31),ABS(Resultados!S31),ABS(Resultados!AB31)))</f>
        <v/>
      </c>
      <c r="B31" t="str">
        <f>IF(COUNT(Resultados!B31,Resultados!K31,Resultados!T31,Resultados!AC31)=0, "", AVERAGE(ABS(Resultados!B31),ABS(Resultados!K31),ABS(Resultados!T31),ABS(Resultados!AC31)))</f>
        <v/>
      </c>
      <c r="C31">
        <f>IF(COUNT(Resultados!C31,Resultados!L31,Resultados!U31,Resultados!AD31)=0, "", AVERAGE(ABS(Resultados!C31),ABS(Resultados!L31),ABS(Resultados!U31),ABS(Resultados!AD31)))</f>
        <v>75.25</v>
      </c>
      <c r="D31">
        <f>IF(COUNT(Resultados!D31,Resultados!M31,Resultados!V31,Resultados!AE31)=0, "", AVERAGE(ABS(Resultados!D31),ABS(Resultados!M31),ABS(Resultados!V31),ABS(Resultados!AE31)))</f>
        <v>3.8124999999999999E-2</v>
      </c>
      <c r="E31">
        <f>IF(COUNT(Resultados!E31,Resultados!N31,Resultados!W31,Resultados!AF31)=0, "", AVERAGE(ABS(Resultados!E31),ABS(Resultados!N31),ABS(Resultados!W31),ABS(Resultados!AF31)))</f>
        <v>25.566620546593018</v>
      </c>
      <c r="F31">
        <f>IF(COUNT(Resultados!F31,Resultados!O31,Resultados!X31,Resultados!AG31)=0, "", AVERAGE(ABS(Resultados!F31),ABS(Resultados!O31),ABS(Resultados!X31),ABS(Resultados!AG31)))</f>
        <v>2452.8090349424701</v>
      </c>
      <c r="G31">
        <f>IF(COUNT(Resultados!G31,Resultados!P31,Resultados!Y31,Resultados!AH31)=0, "", AVERAGE(ABS(Resultados!G31),ABS(Resultados!P31),ABS(Resultados!Y31),ABS(Resultados!AH31)))</f>
        <v>9.0579999999999998</v>
      </c>
      <c r="H31">
        <f>IF(COUNT(Resultados!H31,Resultados!Q31,Resultados!Z31,Resultados!AI31)=0, "", AVERAGE(ABS(Resultados!H31),ABS(Resultados!Q31),ABS(Resultados!Z31),ABS(Resultados!AI31)))</f>
        <v>6.3E-2</v>
      </c>
      <c r="I31">
        <f>IF(COUNT(Resultados!I31,Resultados!R31,Resultados!AA31,Resultados!AJ31)=0, "", AVERAGE(ABS(Resultados!I31),ABS(Resultados!R31),ABS(Resultados!AA31),ABS(Resultados!AJ31)))</f>
        <v>5.8011499999999927</v>
      </c>
      <c r="J31">
        <v>6.3E-2</v>
      </c>
      <c r="K31">
        <v>3.8124999999999999E-2</v>
      </c>
    </row>
    <row r="32" spans="1:11" x14ac:dyDescent="0.3">
      <c r="A32" t="str">
        <f>IF(COUNT(Resultados!A32,Resultados!J32,Resultados!S32,Resultados!AB32)=0, "", AVERAGE(ABS(Resultados!A32),ABS(Resultados!J32),ABS(Resultados!S32),ABS(Resultados!AB32)))</f>
        <v/>
      </c>
      <c r="B32" t="str">
        <f>IF(COUNT(Resultados!B32,Resultados!K32,Resultados!T32,Resultados!AC32)=0, "", AVERAGE(ABS(Resultados!B32),ABS(Resultados!K32),ABS(Resultados!T32),ABS(Resultados!AC32)))</f>
        <v/>
      </c>
      <c r="C32">
        <f>IF(COUNT(Resultados!C32,Resultados!L32,Resultados!U32,Resultados!AD32)=0, "", AVERAGE(ABS(Resultados!C32),ABS(Resultados!L32),ABS(Resultados!U32),ABS(Resultados!AD32)))</f>
        <v>75.25</v>
      </c>
      <c r="D32">
        <f>IF(COUNT(Resultados!D32,Resultados!M32,Resultados!V32,Resultados!AE32)=0, "", AVERAGE(ABS(Resultados!D32),ABS(Resultados!M32),ABS(Resultados!V32),ABS(Resultados!AE32)))</f>
        <v>3.8275000000000003E-2</v>
      </c>
      <c r="E32">
        <f>IF(COUNT(Resultados!E32,Resultados!N32,Resultados!W32,Resultados!AF32)=0, "", AVERAGE(ABS(Resultados!E32),ABS(Resultados!N32),ABS(Resultados!W32),ABS(Resultados!AF32)))</f>
        <v>25.566620546593018</v>
      </c>
      <c r="F32">
        <f>IF(COUNT(Resultados!F32,Resultados!O32,Resultados!X32,Resultados!AG32)=0, "", AVERAGE(ABS(Resultados!F32),ABS(Resultados!O32),ABS(Resultados!X32),ABS(Resultados!AG32)))</f>
        <v>2452.8090349424701</v>
      </c>
      <c r="G32">
        <f>IF(COUNT(Resultados!G32,Resultados!P32,Resultados!Y32,Resultados!AH32)=0, "", AVERAGE(ABS(Resultados!G32),ABS(Resultados!P32),ABS(Resultados!Y32),ABS(Resultados!AH32)))</f>
        <v>9.0579999999999998</v>
      </c>
      <c r="H32">
        <f>IF(COUNT(Resultados!H32,Resultados!Q32,Resultados!Z32,Resultados!AI32)=0, "", AVERAGE(ABS(Resultados!H32),ABS(Resultados!Q32),ABS(Resultados!Z32),ABS(Resultados!AI32)))</f>
        <v>6.3E-2</v>
      </c>
      <c r="I32">
        <f>IF(COUNT(Resultados!I32,Resultados!R32,Resultados!AA32,Resultados!AJ32)=0, "", AVERAGE(ABS(Resultados!I32),ABS(Resultados!R32),ABS(Resultados!AA32),ABS(Resultados!AJ32)))</f>
        <v>6.0016749999999917</v>
      </c>
      <c r="J32">
        <v>6.3E-2</v>
      </c>
      <c r="K32">
        <v>3.8275000000000003E-2</v>
      </c>
    </row>
    <row r="33" spans="1:11" x14ac:dyDescent="0.3">
      <c r="A33" t="str">
        <f>IF(COUNT(Resultados!A33,Resultados!J33,Resultados!S33,Resultados!AB33)=0, "", AVERAGE(ABS(Resultados!A33),ABS(Resultados!J33),ABS(Resultados!S33),ABS(Resultados!AB33)))</f>
        <v/>
      </c>
      <c r="B33" t="str">
        <f>IF(COUNT(Resultados!B33,Resultados!K33,Resultados!T33,Resultados!AC33)=0, "", AVERAGE(ABS(Resultados!B33),ABS(Resultados!K33),ABS(Resultados!T33),ABS(Resultados!AC33)))</f>
        <v/>
      </c>
      <c r="C33">
        <f>IF(COUNT(Resultados!C33,Resultados!L33,Resultados!U33,Resultados!AD33)=0, "", AVERAGE(ABS(Resultados!C33),ABS(Resultados!L33),ABS(Resultados!U33),ABS(Resultados!AD33)))</f>
        <v>75.25</v>
      </c>
      <c r="D33">
        <f>IF(COUNT(Resultados!D33,Resultados!M33,Resultados!V33,Resultados!AE33)=0, "", AVERAGE(ABS(Resultados!D33),ABS(Resultados!M33),ABS(Resultados!V33),ABS(Resultados!AE33)))</f>
        <v>3.8300000000000001E-2</v>
      </c>
      <c r="E33">
        <f>IF(COUNT(Resultados!E33,Resultados!N33,Resultados!W33,Resultados!AF33)=0, "", AVERAGE(ABS(Resultados!E33),ABS(Resultados!N33),ABS(Resultados!W33),ABS(Resultados!AF33)))</f>
        <v>25.566620546593018</v>
      </c>
      <c r="F33">
        <f>IF(COUNT(Resultados!F33,Resultados!O33,Resultados!X33,Resultados!AG33)=0, "", AVERAGE(ABS(Resultados!F33),ABS(Resultados!O33),ABS(Resultados!X33),ABS(Resultados!AG33)))</f>
        <v>2452.8090349424701</v>
      </c>
      <c r="G33">
        <f>IF(COUNT(Resultados!G33,Resultados!P33,Resultados!Y33,Resultados!AH33)=0, "", AVERAGE(ABS(Resultados!G33),ABS(Resultados!P33),ABS(Resultados!Y33),ABS(Resultados!AH33)))</f>
        <v>9.0579999999999998</v>
      </c>
      <c r="H33">
        <f>IF(COUNT(Resultados!H33,Resultados!Q33,Resultados!Z33,Resultados!AI33)=0, "", AVERAGE(ABS(Resultados!H33),ABS(Resultados!Q33),ABS(Resultados!Z33),ABS(Resultados!AI33)))</f>
        <v>6.3E-2</v>
      </c>
      <c r="I33">
        <f>IF(COUNT(Resultados!I33,Resultados!R33,Resultados!AA33,Resultados!AJ33)=0, "", AVERAGE(ABS(Resultados!I33),ABS(Resultados!R33),ABS(Resultados!AA33),ABS(Resultados!AJ33)))</f>
        <v>6.2005749999999864</v>
      </c>
      <c r="J33">
        <v>6.3E-2</v>
      </c>
      <c r="K33">
        <v>3.8300000000000001E-2</v>
      </c>
    </row>
    <row r="34" spans="1:11" x14ac:dyDescent="0.3">
      <c r="A34" t="str">
        <f>IF(COUNT(Resultados!A34,Resultados!J34,Resultados!S34,Resultados!AB34)=0, "", AVERAGE(ABS(Resultados!A34),ABS(Resultados!J34),ABS(Resultados!S34),ABS(Resultados!AB34)))</f>
        <v/>
      </c>
      <c r="B34" t="str">
        <f>IF(COUNT(Resultados!B34,Resultados!K34,Resultados!T34,Resultados!AC34)=0, "", AVERAGE(ABS(Resultados!B34),ABS(Resultados!K34),ABS(Resultados!T34),ABS(Resultados!AC34)))</f>
        <v/>
      </c>
      <c r="C34">
        <f>IF(COUNT(Resultados!C34,Resultados!L34,Resultados!U34,Resultados!AD34)=0, "", AVERAGE(ABS(Resultados!C34),ABS(Resultados!L34),ABS(Resultados!U34),ABS(Resultados!AD34)))</f>
        <v>75.25</v>
      </c>
      <c r="D34">
        <f>IF(COUNT(Resultados!D34,Resultados!M34,Resultados!V34,Resultados!AE34)=0, "", AVERAGE(ABS(Resultados!D34),ABS(Resultados!M34),ABS(Resultados!V34),ABS(Resultados!AE34)))</f>
        <v>3.8300000000000001E-2</v>
      </c>
      <c r="E34">
        <f>IF(COUNT(Resultados!E34,Resultados!N34,Resultados!W34,Resultados!AF34)=0, "", AVERAGE(ABS(Resultados!E34),ABS(Resultados!N34),ABS(Resultados!W34),ABS(Resultados!AF34)))</f>
        <v>25.566620546593018</v>
      </c>
      <c r="F34">
        <f>IF(COUNT(Resultados!F34,Resultados!O34,Resultados!X34,Resultados!AG34)=0, "", AVERAGE(ABS(Resultados!F34),ABS(Resultados!O34),ABS(Resultados!X34),ABS(Resultados!AG34)))</f>
        <v>2452.8090349424701</v>
      </c>
      <c r="G34">
        <f>IF(COUNT(Resultados!G34,Resultados!P34,Resultados!Y34,Resultados!AH34)=0, "", AVERAGE(ABS(Resultados!G34),ABS(Resultados!P34),ABS(Resultados!Y34),ABS(Resultados!AH34)))</f>
        <v>9.0579999999999998</v>
      </c>
      <c r="H34">
        <f>IF(COUNT(Resultados!H34,Resultados!Q34,Resultados!Z34,Resultados!AI34)=0, "", AVERAGE(ABS(Resultados!H34),ABS(Resultados!Q34),ABS(Resultados!Z34),ABS(Resultados!AI34)))</f>
        <v>6.3E-2</v>
      </c>
      <c r="I34">
        <f>IF(COUNT(Resultados!I34,Resultados!R34,Resultados!AA34,Resultados!AJ34)=0, "", AVERAGE(ABS(Resultados!I34),ABS(Resultados!R34),ABS(Resultados!AA34),ABS(Resultados!AJ34)))</f>
        <v>6.4014500000000112</v>
      </c>
      <c r="J34">
        <v>6.3E-2</v>
      </c>
      <c r="K34">
        <v>3.8300000000000001E-2</v>
      </c>
    </row>
    <row r="35" spans="1:11" x14ac:dyDescent="0.3">
      <c r="A35" t="str">
        <f>IF(COUNT(Resultados!A35,Resultados!J35,Resultados!S35,Resultados!AB35)=0, "", AVERAGE(ABS(Resultados!A35),ABS(Resultados!J35),ABS(Resultados!S35),ABS(Resultados!AB35)))</f>
        <v/>
      </c>
      <c r="B35" t="str">
        <f>IF(COUNT(Resultados!B35,Resultados!K35,Resultados!T35,Resultados!AC35)=0, "", AVERAGE(ABS(Resultados!B35),ABS(Resultados!K35),ABS(Resultados!T35),ABS(Resultados!AC35)))</f>
        <v/>
      </c>
      <c r="C35">
        <f>IF(COUNT(Resultados!C35,Resultados!L35,Resultados!U35,Resultados!AD35)=0, "", AVERAGE(ABS(Resultados!C35),ABS(Resultados!L35),ABS(Resultados!U35),ABS(Resultados!AD35)))</f>
        <v>75.25</v>
      </c>
      <c r="D35">
        <f>IF(COUNT(Resultados!D35,Resultados!M35,Resultados!V35,Resultados!AE35)=0, "", AVERAGE(ABS(Resultados!D35),ABS(Resultados!M35),ABS(Resultados!V35),ABS(Resultados!AE35)))</f>
        <v>3.8300000000000001E-2</v>
      </c>
      <c r="E35">
        <f>IF(COUNT(Resultados!E35,Resultados!N35,Resultados!W35,Resultados!AF35)=0, "", AVERAGE(ABS(Resultados!E35),ABS(Resultados!N35),ABS(Resultados!W35),ABS(Resultados!AF35)))</f>
        <v>25.566620546593018</v>
      </c>
      <c r="F35">
        <f>IF(COUNT(Resultados!F35,Resultados!O35,Resultados!X35,Resultados!AG35)=0, "", AVERAGE(ABS(Resultados!F35),ABS(Resultados!O35),ABS(Resultados!X35),ABS(Resultados!AG35)))</f>
        <v>2452.8090349424701</v>
      </c>
      <c r="G35">
        <f>IF(COUNT(Resultados!G35,Resultados!P35,Resultados!Y35,Resultados!AH35)=0, "", AVERAGE(ABS(Resultados!G35),ABS(Resultados!P35),ABS(Resultados!Y35),ABS(Resultados!AH35)))</f>
        <v>9.0579999999999998</v>
      </c>
      <c r="H35">
        <f>IF(COUNT(Resultados!H35,Resultados!Q35,Resultados!Z35,Resultados!AI35)=0, "", AVERAGE(ABS(Resultados!H35),ABS(Resultados!Q35),ABS(Resultados!Z35),ABS(Resultados!AI35)))</f>
        <v>6.3E-2</v>
      </c>
      <c r="I35">
        <f>IF(COUNT(Resultados!I35,Resultados!R35,Resultados!AA35,Resultados!AJ35)=0, "", AVERAGE(ABS(Resultados!I35),ABS(Resultados!R35),ABS(Resultados!AA35),ABS(Resultados!AJ35)))</f>
        <v>6.6005249999999904</v>
      </c>
      <c r="J35">
        <v>6.3E-2</v>
      </c>
      <c r="K35">
        <v>3.8300000000000001E-2</v>
      </c>
    </row>
    <row r="36" spans="1:11" x14ac:dyDescent="0.3">
      <c r="A36" t="str">
        <f>IF(COUNT(Resultados!A36,Resultados!J36,Resultados!S36,Resultados!AB36)=0, "", AVERAGE(ABS(Resultados!A36),ABS(Resultados!J36),ABS(Resultados!S36),ABS(Resultados!AB36)))</f>
        <v/>
      </c>
      <c r="B36" t="str">
        <f>IF(COUNT(Resultados!B36,Resultados!K36,Resultados!T36,Resultados!AC36)=0, "", AVERAGE(ABS(Resultados!B36),ABS(Resultados!K36),ABS(Resultados!T36),ABS(Resultados!AC36)))</f>
        <v/>
      </c>
      <c r="C36">
        <f>IF(COUNT(Resultados!C36,Resultados!L36,Resultados!U36,Resultados!AD36)=0, "", AVERAGE(ABS(Resultados!C36),ABS(Resultados!L36),ABS(Resultados!U36),ABS(Resultados!AD36)))</f>
        <v>75.25</v>
      </c>
      <c r="D36">
        <f>IF(COUNT(Resultados!D36,Resultados!M36,Resultados!V36,Resultados!AE36)=0, "", AVERAGE(ABS(Resultados!D36),ABS(Resultados!M36),ABS(Resultados!V36),ABS(Resultados!AE36)))</f>
        <v>3.8300000000000001E-2</v>
      </c>
      <c r="E36">
        <f>IF(COUNT(Resultados!E36,Resultados!N36,Resultados!W36,Resultados!AF36)=0, "", AVERAGE(ABS(Resultados!E36),ABS(Resultados!N36),ABS(Resultados!W36),ABS(Resultados!AF36)))</f>
        <v>24.552943671685806</v>
      </c>
      <c r="F36">
        <f>IF(COUNT(Resultados!F36,Resultados!O36,Resultados!X36,Resultados!AG36)=0, "", AVERAGE(ABS(Resultados!F36),ABS(Resultados!O36),ABS(Resultados!X36),ABS(Resultados!AG36)))</f>
        <v>2358.334350201118</v>
      </c>
      <c r="G36">
        <f>IF(COUNT(Resultados!G36,Resultados!P36,Resultados!Y36,Resultados!AH36)=0, "", AVERAGE(ABS(Resultados!G36),ABS(Resultados!P36),ABS(Resultados!Y36),ABS(Resultados!AH36)))</f>
        <v>9.0579999999999998</v>
      </c>
      <c r="H36">
        <f>IF(COUNT(Resultados!H36,Resultados!Q36,Resultados!Z36,Resultados!AI36)=0, "", AVERAGE(ABS(Resultados!H36),ABS(Resultados!Q36),ABS(Resultados!Z36),ABS(Resultados!AI36)))</f>
        <v>4.725E-2</v>
      </c>
      <c r="I36">
        <f>IF(COUNT(Resultados!I36,Resultados!R36,Resultados!AA36,Resultados!AJ36)=0, "", AVERAGE(ABS(Resultados!I36),ABS(Resultados!R36),ABS(Resultados!AA36),ABS(Resultados!AJ36)))</f>
        <v>6.8015499999999918</v>
      </c>
      <c r="J36">
        <v>4.725E-2</v>
      </c>
      <c r="K36">
        <v>3.8300000000000001E-2</v>
      </c>
    </row>
    <row r="37" spans="1:11" x14ac:dyDescent="0.3">
      <c r="A37" t="str">
        <f>IF(COUNT(Resultados!A37,Resultados!J37,Resultados!S37,Resultados!AB37)=0, "", AVERAGE(ABS(Resultados!A37),ABS(Resultados!J37),ABS(Resultados!S37),ABS(Resultados!AB37)))</f>
        <v/>
      </c>
      <c r="B37" t="str">
        <f>IF(COUNT(Resultados!B37,Resultados!K37,Resultados!T37,Resultados!AC37)=0, "", AVERAGE(ABS(Resultados!B37),ABS(Resultados!K37),ABS(Resultados!T37),ABS(Resultados!AC37)))</f>
        <v/>
      </c>
      <c r="C37">
        <f>IF(COUNT(Resultados!C37,Resultados!L37,Resultados!U37,Resultados!AD37)=0, "", AVERAGE(ABS(Resultados!C37),ABS(Resultados!L37),ABS(Resultados!U37),ABS(Resultados!AD37)))</f>
        <v>75.25</v>
      </c>
      <c r="D37">
        <f>IF(COUNT(Resultados!D37,Resultados!M37,Resultados!V37,Resultados!AE37)=0, "", AVERAGE(ABS(Resultados!D37),ABS(Resultados!M37),ABS(Resultados!V37),ABS(Resultados!AE37)))</f>
        <v>3.6450000000000003E-2</v>
      </c>
      <c r="E37">
        <f>IF(COUNT(Resultados!E37,Resultados!N37,Resultados!W37,Resultados!AF37)=0, "", AVERAGE(ABS(Resultados!E37),ABS(Resultados!N37),ABS(Resultados!W37),ABS(Resultados!AF37)))</f>
        <v>21.511913046964182</v>
      </c>
      <c r="F37">
        <f>IF(COUNT(Resultados!F37,Resultados!O37,Resultados!X37,Resultados!AG37)=0, "", AVERAGE(ABS(Resultados!F37),ABS(Resultados!O37),ABS(Resultados!X37),ABS(Resultados!AG37)))</f>
        <v>2074.9102959770621</v>
      </c>
      <c r="G37">
        <f>IF(COUNT(Resultados!G37,Resultados!P37,Resultados!Y37,Resultados!AH37)=0, "", AVERAGE(ABS(Resultados!G37),ABS(Resultados!P37),ABS(Resultados!Y37),ABS(Resultados!AH37)))</f>
        <v>9.0579999999999998</v>
      </c>
      <c r="H37">
        <f>IF(COUNT(Resultados!H37,Resultados!Q37,Resultados!Z37,Resultados!AI37)=0, "", AVERAGE(ABS(Resultados!H37),ABS(Resultados!Q37),ABS(Resultados!Z37),ABS(Resultados!AI37)))</f>
        <v>0</v>
      </c>
      <c r="I37">
        <f>IF(COUNT(Resultados!I37,Resultados!R37,Resultados!AA37,Resultados!AJ37)=0, "", AVERAGE(ABS(Resultados!I37),ABS(Resultados!R37),ABS(Resultados!AA37),ABS(Resultados!AJ37)))</f>
        <v>7.0000500000000017</v>
      </c>
      <c r="J37">
        <v>0</v>
      </c>
      <c r="K37">
        <v>3.6450000000000003E-2</v>
      </c>
    </row>
    <row r="38" spans="1:11" x14ac:dyDescent="0.3">
      <c r="A38" t="str">
        <f>IF(COUNT(Resultados!A38,Resultados!J38,Resultados!S38,Resultados!AB38)=0, "", AVERAGE(ABS(Resultados!A38),ABS(Resultados!J38),ABS(Resultados!S38),ABS(Resultados!AB38)))</f>
        <v/>
      </c>
      <c r="B38" t="str">
        <f>IF(COUNT(Resultados!B38,Resultados!K38,Resultados!T38,Resultados!AC38)=0, "", AVERAGE(ABS(Resultados!B38),ABS(Resultados!K38),ABS(Resultados!T38),ABS(Resultados!AC38)))</f>
        <v/>
      </c>
      <c r="C38">
        <f>IF(COUNT(Resultados!C38,Resultados!L38,Resultados!U38,Resultados!AD38)=0, "", AVERAGE(ABS(Resultados!C38),ABS(Resultados!L38),ABS(Resultados!U38),ABS(Resultados!AD38)))</f>
        <v>75.25</v>
      </c>
      <c r="D38">
        <f>IF(COUNT(Resultados!D38,Resultados!M38,Resultados!V38,Resultados!AE38)=0, "", AVERAGE(ABS(Resultados!D38),ABS(Resultados!M38),ABS(Resultados!V38),ABS(Resultados!AE38)))</f>
        <v>2.7650000000000001E-2</v>
      </c>
      <c r="E38">
        <f>IF(COUNT(Resultados!E38,Resultados!N38,Resultados!W38,Resultados!AF38)=0, "", AVERAGE(ABS(Resultados!E38),ABS(Resultados!N38),ABS(Resultados!W38),ABS(Resultados!AF38)))</f>
        <v>21.511913046964182</v>
      </c>
      <c r="F38">
        <f>IF(COUNT(Resultados!F38,Resultados!O38,Resultados!X38,Resultados!AG38)=0, "", AVERAGE(ABS(Resultados!F38),ABS(Resultados!O38),ABS(Resultados!X38),ABS(Resultados!AG38)))</f>
        <v>2074.9102959770621</v>
      </c>
      <c r="G38">
        <f>IF(COUNT(Resultados!G38,Resultados!P38,Resultados!Y38,Resultados!AH38)=0, "", AVERAGE(ABS(Resultados!G38),ABS(Resultados!P38),ABS(Resultados!Y38),ABS(Resultados!AH38)))</f>
        <v>9.0579999999999998</v>
      </c>
      <c r="H38">
        <f>IF(COUNT(Resultados!H38,Resultados!Q38,Resultados!Z38,Resultados!AI38)=0, "", AVERAGE(ABS(Resultados!H38),ABS(Resultados!Q38),ABS(Resultados!Z38),ABS(Resultados!AI38)))</f>
        <v>0</v>
      </c>
      <c r="I38">
        <f>IF(COUNT(Resultados!I38,Resultados!R38,Resultados!AA38,Resultados!AJ38)=0, "", AVERAGE(ABS(Resultados!I38),ABS(Resultados!R38),ABS(Resultados!AA38),ABS(Resultados!AJ38)))</f>
        <v>7.2003249999999923</v>
      </c>
      <c r="J38">
        <v>0</v>
      </c>
      <c r="K38">
        <v>2.7650000000000001E-2</v>
      </c>
    </row>
    <row r="39" spans="1:11" x14ac:dyDescent="0.3">
      <c r="A39" t="str">
        <f>IF(COUNT(Resultados!A39,Resultados!J39,Resultados!S39,Resultados!AB39)=0, "", AVERAGE(ABS(Resultados!A39),ABS(Resultados!J39),ABS(Resultados!S39),ABS(Resultados!AB39)))</f>
        <v/>
      </c>
      <c r="B39" t="str">
        <f>IF(COUNT(Resultados!B39,Resultados!K39,Resultados!T39,Resultados!AC39)=0, "", AVERAGE(ABS(Resultados!B39),ABS(Resultados!K39),ABS(Resultados!T39),ABS(Resultados!AC39)))</f>
        <v/>
      </c>
      <c r="C39">
        <f>IF(COUNT(Resultados!C39,Resultados!L39,Resultados!U39,Resultados!AD39)=0, "", AVERAGE(ABS(Resultados!C39),ABS(Resultados!L39),ABS(Resultados!U39),ABS(Resultados!AD39)))</f>
        <v>75.25</v>
      </c>
      <c r="D39">
        <f>IF(COUNT(Resultados!D39,Resultados!M39,Resultados!V39,Resultados!AE39)=0, "", AVERAGE(ABS(Resultados!D39),ABS(Resultados!M39),ABS(Resultados!V39),ABS(Resultados!AE39)))</f>
        <v>1.3875E-2</v>
      </c>
      <c r="E39">
        <f>IF(COUNT(Resultados!E39,Resultados!N39,Resultados!W39,Resultados!AF39)=0, "", AVERAGE(ABS(Resultados!E39),ABS(Resultados!N39),ABS(Resultados!W39),ABS(Resultados!AF39)))</f>
        <v>21.511913046964182</v>
      </c>
      <c r="F39">
        <f>IF(COUNT(Resultados!F39,Resultados!O39,Resultados!X39,Resultados!AG39)=0, "", AVERAGE(ABS(Resultados!F39),ABS(Resultados!O39),ABS(Resultados!X39),ABS(Resultados!AG39)))</f>
        <v>2074.9102959770621</v>
      </c>
      <c r="G39">
        <f>IF(COUNT(Resultados!G39,Resultados!P39,Resultados!Y39,Resultados!AH39)=0, "", AVERAGE(ABS(Resultados!G39),ABS(Resultados!P39),ABS(Resultados!Y39),ABS(Resultados!AH39)))</f>
        <v>9.0579999999999998</v>
      </c>
      <c r="H39">
        <f>IF(COUNT(Resultados!H39,Resultados!Q39,Resultados!Z39,Resultados!AI39)=0, "", AVERAGE(ABS(Resultados!H39),ABS(Resultados!Q39),ABS(Resultados!Z39),ABS(Resultados!AI39)))</f>
        <v>0</v>
      </c>
      <c r="I39">
        <f>IF(COUNT(Resultados!I39,Resultados!R39,Resultados!AA39,Resultados!AJ39)=0, "", AVERAGE(ABS(Resultados!I39),ABS(Resultados!R39),ABS(Resultados!AA39),ABS(Resultados!AJ39)))</f>
        <v>7.4019249999999914</v>
      </c>
      <c r="J39">
        <v>0</v>
      </c>
      <c r="K39">
        <v>1.3875E-2</v>
      </c>
    </row>
    <row r="40" spans="1:11" x14ac:dyDescent="0.3">
      <c r="A40" t="str">
        <f>IF(COUNT(Resultados!A40,Resultados!J40,Resultados!S40,Resultados!AB40)=0, "", AVERAGE(ABS(Resultados!A40),ABS(Resultados!J40),ABS(Resultados!S40),ABS(Resultados!AB40)))</f>
        <v/>
      </c>
      <c r="B40" t="str">
        <f>IF(COUNT(Resultados!B40,Resultados!K40,Resultados!T40,Resultados!AC40)=0, "", AVERAGE(ABS(Resultados!B40),ABS(Resultados!K40),ABS(Resultados!T40),ABS(Resultados!AC40)))</f>
        <v/>
      </c>
      <c r="C40">
        <f>IF(COUNT(Resultados!C40,Resultados!L40,Resultados!U40,Resultados!AD40)=0, "", AVERAGE(ABS(Resultados!C40),ABS(Resultados!L40),ABS(Resultados!U40),ABS(Resultados!AD40)))</f>
        <v>75.25</v>
      </c>
      <c r="D40">
        <f>IF(COUNT(Resultados!D40,Resultados!M40,Resultados!V40,Resultados!AE40)=0, "", AVERAGE(ABS(Resultados!D40),ABS(Resultados!M40),ABS(Resultados!V40),ABS(Resultados!AE40)))</f>
        <v>4.6500000000000005E-3</v>
      </c>
      <c r="E40">
        <f>IF(COUNT(Resultados!E40,Resultados!N40,Resultados!W40,Resultados!AF40)=0, "", AVERAGE(ABS(Resultados!E40),ABS(Resultados!N40),ABS(Resultados!W40),ABS(Resultados!AF40)))</f>
        <v>21.511913046964182</v>
      </c>
      <c r="F40">
        <f>IF(COUNT(Resultados!F40,Resultados!O40,Resultados!X40,Resultados!AG40)=0, "", AVERAGE(ABS(Resultados!F40),ABS(Resultados!O40),ABS(Resultados!X40),ABS(Resultados!AG40)))</f>
        <v>2074.9102959770621</v>
      </c>
      <c r="G40">
        <f>IF(COUNT(Resultados!G40,Resultados!P40,Resultados!Y40,Resultados!AH40)=0, "", AVERAGE(ABS(Resultados!G40),ABS(Resultados!P40),ABS(Resultados!Y40),ABS(Resultados!AH40)))</f>
        <v>9.0579999999999998</v>
      </c>
      <c r="H40">
        <f>IF(COUNT(Resultados!H40,Resultados!Q40,Resultados!Z40,Resultados!AI40)=0, "", AVERAGE(ABS(Resultados!H40),ABS(Resultados!Q40),ABS(Resultados!Z40),ABS(Resultados!AI40)))</f>
        <v>0</v>
      </c>
      <c r="I40">
        <f>IF(COUNT(Resultados!I40,Resultados!R40,Resultados!AA40,Resultados!AJ40)=0, "", AVERAGE(ABS(Resultados!I40),ABS(Resultados!R40),ABS(Resultados!AA40),ABS(Resultados!AJ40)))</f>
        <v>7.6007999999999925</v>
      </c>
      <c r="J40">
        <v>0</v>
      </c>
      <c r="K40">
        <v>4.6500000000000005E-3</v>
      </c>
    </row>
    <row r="41" spans="1:11" x14ac:dyDescent="0.3">
      <c r="A41" t="str">
        <f>IF(COUNT(Resultados!A41,Resultados!J41,Resultados!S41,Resultados!AB41)=0, "", AVERAGE(ABS(Resultados!A41),ABS(Resultados!J41),ABS(Resultados!S41),ABS(Resultados!AB41)))</f>
        <v/>
      </c>
      <c r="B41" t="str">
        <f>IF(COUNT(Resultados!B41,Resultados!K41,Resultados!T41,Resultados!AC41)=0, "", AVERAGE(ABS(Resultados!B41),ABS(Resultados!K41),ABS(Resultados!T41),ABS(Resultados!AC41)))</f>
        <v/>
      </c>
      <c r="C41">
        <f>IF(COUNT(Resultados!C41,Resultados!L41,Resultados!U41,Resultados!AD41)=0, "", AVERAGE(ABS(Resultados!C41),ABS(Resultados!L41),ABS(Resultados!U41),ABS(Resultados!AD41)))</f>
        <v>75.25</v>
      </c>
      <c r="D41">
        <f>IF(COUNT(Resultados!D41,Resultados!M41,Resultados!V41,Resultados!AE41)=0, "", AVERAGE(ABS(Resultados!D41),ABS(Resultados!M41),ABS(Resultados!V41),ABS(Resultados!AE41)))</f>
        <v>3.0749999999999996E-3</v>
      </c>
      <c r="E41">
        <f>IF(COUNT(Resultados!E41,Resultados!N41,Resultados!W41,Resultados!AF41)=0, "", AVERAGE(ABS(Resultados!E41),ABS(Resultados!N41),ABS(Resultados!W41),ABS(Resultados!AF41)))</f>
        <v>21.511913046964182</v>
      </c>
      <c r="F41">
        <f>IF(COUNT(Resultados!F41,Resultados!O41,Resultados!X41,Resultados!AG41)=0, "", AVERAGE(ABS(Resultados!F41),ABS(Resultados!O41),ABS(Resultados!X41),ABS(Resultados!AG41)))</f>
        <v>2074.9102959770621</v>
      </c>
      <c r="G41">
        <f>IF(COUNT(Resultados!G41,Resultados!P41,Resultados!Y41,Resultados!AH41)=0, "", AVERAGE(ABS(Resultados!G41),ABS(Resultados!P41),ABS(Resultados!Y41),ABS(Resultados!AH41)))</f>
        <v>9.0579999999999998</v>
      </c>
      <c r="H41">
        <f>IF(COUNT(Resultados!H41,Resultados!Q41,Resultados!Z41,Resultados!AI41)=0, "", AVERAGE(ABS(Resultados!H41),ABS(Resultados!Q41),ABS(Resultados!Z41),ABS(Resultados!AI41)))</f>
        <v>0</v>
      </c>
      <c r="I41">
        <f>IF(COUNT(Resultados!I41,Resultados!R41,Resultados!AA41,Resultados!AJ41)=0, "", AVERAGE(ABS(Resultados!I41),ABS(Resultados!R41),ABS(Resultados!AA41),ABS(Resultados!AJ41)))</f>
        <v>7.8024249999999995</v>
      </c>
      <c r="J41">
        <v>0</v>
      </c>
      <c r="K41">
        <v>3.0749999999999996E-3</v>
      </c>
    </row>
    <row r="42" spans="1:11" x14ac:dyDescent="0.3">
      <c r="A42" t="str">
        <f>IF(COUNT(Resultados!A42,Resultados!J42,Resultados!S42,Resultados!AB42)=0, "", AVERAGE(ABS(Resultados!A42),ABS(Resultados!J42),ABS(Resultados!S42),ABS(Resultados!AB42)))</f>
        <v/>
      </c>
      <c r="B42" t="str">
        <f>IF(COUNT(Resultados!B42,Resultados!K42,Resultados!T42,Resultados!AC42)=0, "", AVERAGE(ABS(Resultados!B42),ABS(Resultados!K42),ABS(Resultados!T42),ABS(Resultados!AC42)))</f>
        <v/>
      </c>
      <c r="C42">
        <f>IF(COUNT(Resultados!C42,Resultados!L42,Resultados!U42,Resultados!AD42)=0, "", AVERAGE(ABS(Resultados!C42),ABS(Resultados!L42),ABS(Resultados!U42),ABS(Resultados!AD42)))</f>
        <v>75.25</v>
      </c>
      <c r="D42">
        <f>IF(COUNT(Resultados!D42,Resultados!M42,Resultados!V42,Resultados!AE42)=0, "", AVERAGE(ABS(Resultados!D42),ABS(Resultados!M42),ABS(Resultados!V42),ABS(Resultados!AE42)))</f>
        <v>3.0999999999999999E-3</v>
      </c>
      <c r="E42">
        <f>IF(COUNT(Resultados!E42,Resultados!N42,Resultados!W42,Resultados!AF42)=0, "", AVERAGE(ABS(Resultados!E42),ABS(Resultados!N42),ABS(Resultados!W42),ABS(Resultados!AF42)))</f>
        <v>21.511913046964182</v>
      </c>
      <c r="F42">
        <f>IF(COUNT(Resultados!F42,Resultados!O42,Resultados!X42,Resultados!AG42)=0, "", AVERAGE(ABS(Resultados!F42),ABS(Resultados!O42),ABS(Resultados!X42),ABS(Resultados!AG42)))</f>
        <v>2074.9102959770621</v>
      </c>
      <c r="G42">
        <f>IF(COUNT(Resultados!G42,Resultados!P42,Resultados!Y42,Resultados!AH42)=0, "", AVERAGE(ABS(Resultados!G42),ABS(Resultados!P42),ABS(Resultados!Y42),ABS(Resultados!AH42)))</f>
        <v>9.0579999999999998</v>
      </c>
      <c r="H42">
        <f>IF(COUNT(Resultados!H42,Resultados!Q42,Resultados!Z42,Resultados!AI42)=0, "", AVERAGE(ABS(Resultados!H42),ABS(Resultados!Q42),ABS(Resultados!Z42),ABS(Resultados!AI42)))</f>
        <v>0</v>
      </c>
      <c r="I42">
        <f>IF(COUNT(Resultados!I42,Resultados!R42,Resultados!AA42,Resultados!AJ42)=0, "", AVERAGE(ABS(Resultados!I42),ABS(Resultados!R42),ABS(Resultados!AA42),ABS(Resultados!AJ42)))</f>
        <v>8.0008749999999935</v>
      </c>
      <c r="J42">
        <v>0</v>
      </c>
      <c r="K42">
        <v>3.0999999999999999E-3</v>
      </c>
    </row>
    <row r="43" spans="1:11" x14ac:dyDescent="0.3">
      <c r="A43" t="str">
        <f>IF(COUNT(Resultados!A43,Resultados!J43,Resultados!S43,Resultados!AB43)=0, "", AVERAGE(ABS(Resultados!A43),ABS(Resultados!J43),ABS(Resultados!S43),ABS(Resultados!AB43)))</f>
        <v/>
      </c>
      <c r="B43" t="str">
        <f>IF(COUNT(Resultados!B43,Resultados!K43,Resultados!T43,Resultados!AC43)=0, "", AVERAGE(ABS(Resultados!B43),ABS(Resultados!K43),ABS(Resultados!T43),ABS(Resultados!AC43)))</f>
        <v/>
      </c>
      <c r="C43">
        <f>IF(COUNT(Resultados!C43,Resultados!L43,Resultados!U43,Resultados!AD43)=0, "", AVERAGE(ABS(Resultados!C43),ABS(Resultados!L43),ABS(Resultados!U43),ABS(Resultados!AD43)))</f>
        <v>75.25</v>
      </c>
      <c r="D43">
        <f>IF(COUNT(Resultados!D43,Resultados!M43,Resultados!V43,Resultados!AE43)=0, "", AVERAGE(ABS(Resultados!D43),ABS(Resultados!M43),ABS(Resultados!V43),ABS(Resultados!AE43)))</f>
        <v>3.1250000000000002E-3</v>
      </c>
      <c r="E43">
        <f>IF(COUNT(Resultados!E43,Resultados!N43,Resultados!W43,Resultados!AF43)=0, "", AVERAGE(ABS(Resultados!E43),ABS(Resultados!N43),ABS(Resultados!W43),ABS(Resultados!AF43)))</f>
        <v>21.511913046964182</v>
      </c>
      <c r="F43">
        <f>IF(COUNT(Resultados!F43,Resultados!O43,Resultados!X43,Resultados!AG43)=0, "", AVERAGE(ABS(Resultados!F43),ABS(Resultados!O43),ABS(Resultados!X43),ABS(Resultados!AG43)))</f>
        <v>2074.9102959770621</v>
      </c>
      <c r="G43">
        <f>IF(COUNT(Resultados!G43,Resultados!P43,Resultados!Y43,Resultados!AH43)=0, "", AVERAGE(ABS(Resultados!G43),ABS(Resultados!P43),ABS(Resultados!Y43),ABS(Resultados!AH43)))</f>
        <v>9.0579999999999998</v>
      </c>
      <c r="H43">
        <f>IF(COUNT(Resultados!H43,Resultados!Q43,Resultados!Z43,Resultados!AI43)=0, "", AVERAGE(ABS(Resultados!H43),ABS(Resultados!Q43),ABS(Resultados!Z43),ABS(Resultados!AI43)))</f>
        <v>0</v>
      </c>
      <c r="I43">
        <f>IF(COUNT(Resultados!I43,Resultados!R43,Resultados!AA43,Resultados!AJ43)=0, "", AVERAGE(ABS(Resultados!I43),ABS(Resultados!R43),ABS(Resultados!AA43),ABS(Resultados!AJ43)))</f>
        <v>8.2005499999999927</v>
      </c>
      <c r="J43">
        <v>0</v>
      </c>
      <c r="K43">
        <v>3.1250000000000002E-3</v>
      </c>
    </row>
    <row r="44" spans="1:11" x14ac:dyDescent="0.3">
      <c r="A44" t="str">
        <f>IF(COUNT(Resultados!A44,Resultados!J44,Resultados!S44,Resultados!AB44)=0, "", AVERAGE(ABS(Resultados!A44),ABS(Resultados!J44),ABS(Resultados!S44),ABS(Resultados!AB44)))</f>
        <v/>
      </c>
      <c r="B44" t="str">
        <f>IF(COUNT(Resultados!B44,Resultados!K44,Resultados!T44,Resultados!AC44)=0, "", AVERAGE(ABS(Resultados!B44),ABS(Resultados!K44),ABS(Resultados!T44),ABS(Resultados!AC44)))</f>
        <v/>
      </c>
      <c r="C44">
        <f>IF(COUNT(Resultados!C44,Resultados!L44,Resultados!U44,Resultados!AD44)=0, "", AVERAGE(ABS(Resultados!C44),ABS(Resultados!L44),ABS(Resultados!U44),ABS(Resultados!AD44)))</f>
        <v>75.25</v>
      </c>
      <c r="D44">
        <f>IF(COUNT(Resultados!D44,Resultados!M44,Resultados!V44,Resultados!AE44)=0, "", AVERAGE(ABS(Resultados!D44),ABS(Resultados!M44),ABS(Resultados!V44),ABS(Resultados!AE44)))</f>
        <v>3.0999999999999999E-3</v>
      </c>
      <c r="E44">
        <f>IF(COUNT(Resultados!E44,Resultados!N44,Resultados!W44,Resultados!AF44)=0, "", AVERAGE(ABS(Resultados!E44),ABS(Resultados!N44),ABS(Resultados!W44),ABS(Resultados!AF44)))</f>
        <v>21.511913046964182</v>
      </c>
      <c r="F44">
        <f>IF(COUNT(Resultados!F44,Resultados!O44,Resultados!X44,Resultados!AG44)=0, "", AVERAGE(ABS(Resultados!F44),ABS(Resultados!O44),ABS(Resultados!X44),ABS(Resultados!AG44)))</f>
        <v>2074.9102959770621</v>
      </c>
      <c r="G44">
        <f>IF(COUNT(Resultados!G44,Resultados!P44,Resultados!Y44,Resultados!AH44)=0, "", AVERAGE(ABS(Resultados!G44),ABS(Resultados!P44),ABS(Resultados!Y44),ABS(Resultados!AH44)))</f>
        <v>9.0579999999999998</v>
      </c>
      <c r="H44">
        <f>IF(COUNT(Resultados!H44,Resultados!Q44,Resultados!Z44,Resultados!AI44)=0, "", AVERAGE(ABS(Resultados!H44),ABS(Resultados!Q44),ABS(Resultados!Z44),ABS(Resultados!AI44)))</f>
        <v>0</v>
      </c>
      <c r="I44">
        <f>IF(COUNT(Resultados!I44,Resultados!R44,Resultados!AA44,Resultados!AJ44)=0, "", AVERAGE(ABS(Resultados!I44),ABS(Resultados!R44),ABS(Resultados!AA44),ABS(Resultados!AJ44)))</f>
        <v>8.402000000000001</v>
      </c>
      <c r="J44">
        <v>0</v>
      </c>
      <c r="K44">
        <v>3.0999999999999999E-3</v>
      </c>
    </row>
    <row r="45" spans="1:11" x14ac:dyDescent="0.3">
      <c r="A45" t="str">
        <f>IF(COUNT(Resultados!A45,Resultados!J45,Resultados!S45,Resultados!AB45)=0, "", AVERAGE(ABS(Resultados!A45),ABS(Resultados!J45),ABS(Resultados!S45),ABS(Resultados!AB45)))</f>
        <v/>
      </c>
      <c r="B45" t="str">
        <f>IF(COUNT(Resultados!B45,Resultados!K45,Resultados!T45,Resultados!AC45)=0, "", AVERAGE(ABS(Resultados!B45),ABS(Resultados!K45),ABS(Resultados!T45),ABS(Resultados!AC45)))</f>
        <v/>
      </c>
      <c r="C45">
        <f>IF(COUNT(Resultados!C45,Resultados!L45,Resultados!U45,Resultados!AD45)=0, "", AVERAGE(ABS(Resultados!C45),ABS(Resultados!L45),ABS(Resultados!U45),ABS(Resultados!AD45)))</f>
        <v>75.25</v>
      </c>
      <c r="D45">
        <f>IF(COUNT(Resultados!D45,Resultados!M45,Resultados!V45,Resultados!AE45)=0, "", AVERAGE(ABS(Resultados!D45),ABS(Resultados!M45),ABS(Resultados!V45),ABS(Resultados!AE45)))</f>
        <v>3.0999999999999999E-3</v>
      </c>
      <c r="E45">
        <f>IF(COUNT(Resultados!E45,Resultados!N45,Resultados!W45,Resultados!AF45)=0, "", AVERAGE(ABS(Resultados!E45),ABS(Resultados!N45),ABS(Resultados!W45),ABS(Resultados!AF45)))</f>
        <v>21.511913046964182</v>
      </c>
      <c r="F45">
        <f>IF(COUNT(Resultados!F45,Resultados!O45,Resultados!X45,Resultados!AG45)=0, "", AVERAGE(ABS(Resultados!F45),ABS(Resultados!O45),ABS(Resultados!X45),ABS(Resultados!AG45)))</f>
        <v>2074.9102959770621</v>
      </c>
      <c r="G45">
        <f>IF(COUNT(Resultados!G45,Resultados!P45,Resultados!Y45,Resultados!AH45)=0, "", AVERAGE(ABS(Resultados!G45),ABS(Resultados!P45),ABS(Resultados!Y45),ABS(Resultados!AH45)))</f>
        <v>9.0579999999999998</v>
      </c>
      <c r="H45">
        <f>IF(COUNT(Resultados!H45,Resultados!Q45,Resultados!Z45,Resultados!AI45)=0, "", AVERAGE(ABS(Resultados!H45),ABS(Resultados!Q45),ABS(Resultados!Z45),ABS(Resultados!AI45)))</f>
        <v>0</v>
      </c>
      <c r="I45">
        <f>IF(COUNT(Resultados!I45,Resultados!R45,Resultados!AA45,Resultados!AJ45)=0, "", AVERAGE(ABS(Resultados!I45),ABS(Resultados!R45),ABS(Resultados!AA45),ABS(Resultados!AJ45)))</f>
        <v>8.6004999999999967</v>
      </c>
      <c r="J45">
        <v>0</v>
      </c>
      <c r="K45">
        <v>3.0999999999999999E-3</v>
      </c>
    </row>
    <row r="46" spans="1:11" x14ac:dyDescent="0.3">
      <c r="A46" t="str">
        <f>IF(COUNT(Resultados!A46,Resultados!J46,Resultados!S46,Resultados!AB46)=0, "", AVERAGE(ABS(Resultados!A46),ABS(Resultados!J46),ABS(Resultados!S46),ABS(Resultados!AB46)))</f>
        <v/>
      </c>
      <c r="B46" t="str">
        <f>IF(COUNT(Resultados!B46,Resultados!K46,Resultados!T46,Resultados!AC46)=0, "", AVERAGE(ABS(Resultados!B46),ABS(Resultados!K46),ABS(Resultados!T46),ABS(Resultados!AC46)))</f>
        <v/>
      </c>
      <c r="C46">
        <f>IF(COUNT(Resultados!C46,Resultados!L46,Resultados!U46,Resultados!AD46)=0, "", AVERAGE(ABS(Resultados!C46),ABS(Resultados!L46),ABS(Resultados!U46),ABS(Resultados!AD46)))</f>
        <v>75.25</v>
      </c>
      <c r="D46">
        <f>IF(COUNT(Resultados!D46,Resultados!M46,Resultados!V46,Resultados!AE46)=0, "", AVERAGE(ABS(Resultados!D46),ABS(Resultados!M46),ABS(Resultados!V46),ABS(Resultados!AE46)))</f>
        <v>3.0999999999999999E-3</v>
      </c>
      <c r="E46">
        <f>IF(COUNT(Resultados!E46,Resultados!N46,Resultados!W46,Resultados!AF46)=0, "", AVERAGE(ABS(Resultados!E46),ABS(Resultados!N46),ABS(Resultados!W46),ABS(Resultados!AF46)))</f>
        <v>21.511913046964182</v>
      </c>
      <c r="F46">
        <f>IF(COUNT(Resultados!F46,Resultados!O46,Resultados!X46,Resultados!AG46)=0, "", AVERAGE(ABS(Resultados!F46),ABS(Resultados!O46),ABS(Resultados!X46),ABS(Resultados!AG46)))</f>
        <v>2074.9102959770621</v>
      </c>
      <c r="G46">
        <f>IF(COUNT(Resultados!G46,Resultados!P46,Resultados!Y46,Resultados!AH46)=0, "", AVERAGE(ABS(Resultados!G46),ABS(Resultados!P46),ABS(Resultados!Y46),ABS(Resultados!AH46)))</f>
        <v>9.0579999999999998</v>
      </c>
      <c r="H46">
        <f>IF(COUNT(Resultados!H46,Resultados!Q46,Resultados!Z46,Resultados!AI46)=0, "", AVERAGE(ABS(Resultados!H46),ABS(Resultados!Q46),ABS(Resultados!Z46),ABS(Resultados!AI46)))</f>
        <v>0</v>
      </c>
      <c r="I46">
        <f>IF(COUNT(Resultados!I46,Resultados!R46,Resultados!AA46,Resultados!AJ46)=0, "", AVERAGE(ABS(Resultados!I46),ABS(Resultados!R46),ABS(Resultados!AA46),ABS(Resultados!AJ46)))</f>
        <v>8.8007000000000062</v>
      </c>
      <c r="J46">
        <v>0</v>
      </c>
      <c r="K46">
        <v>3.0999999999999999E-3</v>
      </c>
    </row>
    <row r="47" spans="1:11" x14ac:dyDescent="0.3">
      <c r="A47" t="str">
        <f>IF(COUNT(Resultados!A47,Resultados!J47,Resultados!S47,Resultados!AB47)=0, "", AVERAGE(ABS(Resultados!A47),ABS(Resultados!J47),ABS(Resultados!S47),ABS(Resultados!AB47)))</f>
        <v/>
      </c>
      <c r="B47" t="str">
        <f>IF(COUNT(Resultados!B47,Resultados!K47,Resultados!T47,Resultados!AC47)=0, "", AVERAGE(ABS(Resultados!B47),ABS(Resultados!K47),ABS(Resultados!T47),ABS(Resultados!AC47)))</f>
        <v/>
      </c>
      <c r="C47">
        <f>IF(COUNT(Resultados!C47,Resultados!L47,Resultados!U47,Resultados!AD47)=0, "", AVERAGE(ABS(Resultados!C47),ABS(Resultados!L47),ABS(Resultados!U47),ABS(Resultados!AD47)))</f>
        <v>75.25</v>
      </c>
      <c r="D47">
        <f>IF(COUNT(Resultados!D47,Resultados!M47,Resultados!V47,Resultados!AE47)=0, "", AVERAGE(ABS(Resultados!D47),ABS(Resultados!M47),ABS(Resultados!V47),ABS(Resultados!AE47)))</f>
        <v>3.0999999999999999E-3</v>
      </c>
      <c r="E47">
        <f>IF(COUNT(Resultados!E47,Resultados!N47,Resultados!W47,Resultados!AF47)=0, "", AVERAGE(ABS(Resultados!E47),ABS(Resultados!N47),ABS(Resultados!W47),ABS(Resultados!AF47)))</f>
        <v>25.566620546593018</v>
      </c>
      <c r="F47">
        <f>IF(COUNT(Resultados!F47,Resultados!O47,Resultados!X47,Resultados!AG47)=0, "", AVERAGE(ABS(Resultados!F47),ABS(Resultados!O47),ABS(Resultados!X47),ABS(Resultados!AG47)))</f>
        <v>2566.2722898716779</v>
      </c>
      <c r="G47">
        <f>IF(COUNT(Resultados!G47,Resultados!P47,Resultados!Y47,Resultados!AH47)=0, "", AVERAGE(ABS(Resultados!G47),ABS(Resultados!P47),ABS(Resultados!Y47),ABS(Resultados!AH47)))</f>
        <v>9.0579999999999998</v>
      </c>
      <c r="H47">
        <f>IF(COUNT(Resultados!H47,Resultados!Q47,Resultados!Z47,Resultados!AI47)=0, "", AVERAGE(ABS(Resultados!H47),ABS(Resultados!Q47),ABS(Resultados!Z47),ABS(Resultados!AI47)))</f>
        <v>6.3E-2</v>
      </c>
      <c r="I47">
        <f>IF(COUNT(Resultados!I47,Resultados!R47,Resultados!AA47,Resultados!AJ47)=0, "", AVERAGE(ABS(Resultados!I47),ABS(Resultados!R47),ABS(Resultados!AA47),ABS(Resultados!AJ47)))</f>
        <v>9.0992999999999995</v>
      </c>
      <c r="J47">
        <v>6.3E-2</v>
      </c>
      <c r="K47">
        <v>3.0999999999999999E-3</v>
      </c>
    </row>
    <row r="48" spans="1:11" x14ac:dyDescent="0.3">
      <c r="A48" t="str">
        <f>IF(COUNT(Resultados!A48,Resultados!J48,Resultados!S48,Resultados!AB48)=0, "", AVERAGE(ABS(Resultados!A48),ABS(Resultados!J48),ABS(Resultados!S48),ABS(Resultados!AB48)))</f>
        <v/>
      </c>
      <c r="B48" t="str">
        <f>IF(COUNT(Resultados!B48,Resultados!K48,Resultados!T48,Resultados!AC48)=0, "", AVERAGE(ABS(Resultados!B48),ABS(Resultados!K48),ABS(Resultados!T48),ABS(Resultados!AC48)))</f>
        <v/>
      </c>
      <c r="C48">
        <f>IF(COUNT(Resultados!C48,Resultados!L48,Resultados!U48,Resultados!AD48)=0, "", AVERAGE(ABS(Resultados!C48),ABS(Resultados!L48),ABS(Resultados!U48),ABS(Resultados!AD48)))</f>
        <v>75.25</v>
      </c>
      <c r="D48">
        <f>IF(COUNT(Resultados!D48,Resultados!M48,Resultados!V48,Resultados!AE48)=0, "", AVERAGE(ABS(Resultados!D48),ABS(Resultados!M48),ABS(Resultados!V48),ABS(Resultados!AE48)))</f>
        <v>8.8999999999999999E-3</v>
      </c>
      <c r="E48">
        <f>IF(COUNT(Resultados!E48,Resultados!N48,Resultados!W48,Resultados!AF48)=0, "", AVERAGE(ABS(Resultados!E48),ABS(Resultados!N48),ABS(Resultados!W48),ABS(Resultados!AF48)))</f>
        <v>25.566620546593018</v>
      </c>
      <c r="F48">
        <f>IF(COUNT(Resultados!F48,Resultados!O48,Resultados!X48,Resultados!AG48)=0, "", AVERAGE(ABS(Resultados!F48),ABS(Resultados!O48),ABS(Resultados!X48),ABS(Resultados!AG48)))</f>
        <v>2452.8090349424701</v>
      </c>
      <c r="G48">
        <f>IF(COUNT(Resultados!G48,Resultados!P48,Resultados!Y48,Resultados!AH48)=0, "", AVERAGE(ABS(Resultados!G48),ABS(Resultados!P48),ABS(Resultados!Y48),ABS(Resultados!AH48)))</f>
        <v>9.0579999999999998</v>
      </c>
      <c r="H48">
        <f>IF(COUNT(Resultados!H48,Resultados!Q48,Resultados!Z48,Resultados!AI48)=0, "", AVERAGE(ABS(Resultados!H48),ABS(Resultados!Q48),ABS(Resultados!Z48),ABS(Resultados!AI48)))</f>
        <v>6.3E-2</v>
      </c>
      <c r="I48">
        <f>IF(COUNT(Resultados!I48,Resultados!R48,Resultados!AA48,Resultados!AJ48)=0, "", AVERAGE(ABS(Resultados!I48),ABS(Resultados!R48),ABS(Resultados!AA48),ABS(Resultados!AJ48)))</f>
        <v>9.3007750000000016</v>
      </c>
      <c r="J48">
        <v>6.3E-2</v>
      </c>
      <c r="K48">
        <v>8.8999999999999999E-3</v>
      </c>
    </row>
    <row r="49" spans="1:11" x14ac:dyDescent="0.3">
      <c r="A49" t="str">
        <f>IF(COUNT(Resultados!A49,Resultados!J49,Resultados!S49,Resultados!AB49)=0, "", AVERAGE(ABS(Resultados!A49),ABS(Resultados!J49),ABS(Resultados!S49),ABS(Resultados!AB49)))</f>
        <v/>
      </c>
      <c r="B49" t="str">
        <f>IF(COUNT(Resultados!B49,Resultados!K49,Resultados!T49,Resultados!AC49)=0, "", AVERAGE(ABS(Resultados!B49),ABS(Resultados!K49),ABS(Resultados!T49),ABS(Resultados!AC49)))</f>
        <v/>
      </c>
      <c r="C49">
        <f>IF(COUNT(Resultados!C49,Resultados!L49,Resultados!U49,Resultados!AD49)=0, "", AVERAGE(ABS(Resultados!C49),ABS(Resultados!L49),ABS(Resultados!U49),ABS(Resultados!AD49)))</f>
        <v>75.25</v>
      </c>
      <c r="D49">
        <f>IF(COUNT(Resultados!D49,Resultados!M49,Resultados!V49,Resultados!AE49)=0, "", AVERAGE(ABS(Resultados!D49),ABS(Resultados!M49),ABS(Resultados!V49),ABS(Resultados!AE49)))</f>
        <v>3.1974999999999996E-2</v>
      </c>
      <c r="E49">
        <f>IF(COUNT(Resultados!E49,Resultados!N49,Resultados!W49,Resultados!AF49)=0, "", AVERAGE(ABS(Resultados!E49),ABS(Resultados!N49),ABS(Resultados!W49),ABS(Resultados!AF49)))</f>
        <v>25.566620546593018</v>
      </c>
      <c r="F49">
        <f>IF(COUNT(Resultados!F49,Resultados!O49,Resultados!X49,Resultados!AG49)=0, "", AVERAGE(ABS(Resultados!F49),ABS(Resultados!O49),ABS(Resultados!X49),ABS(Resultados!AG49)))</f>
        <v>2452.8090349424701</v>
      </c>
      <c r="G49">
        <f>IF(COUNT(Resultados!G49,Resultados!P49,Resultados!Y49,Resultados!AH49)=0, "", AVERAGE(ABS(Resultados!G49),ABS(Resultados!P49),ABS(Resultados!Y49),ABS(Resultados!AH49)))</f>
        <v>9.0579999999999998</v>
      </c>
      <c r="H49">
        <f>IF(COUNT(Resultados!H49,Resultados!Q49,Resultados!Z49,Resultados!AI49)=0, "", AVERAGE(ABS(Resultados!H49),ABS(Resultados!Q49),ABS(Resultados!Z49),ABS(Resultados!AI49)))</f>
        <v>6.3E-2</v>
      </c>
      <c r="I49">
        <f>IF(COUNT(Resultados!I49,Resultados!R49,Resultados!AA49,Resultados!AJ49)=0, "", AVERAGE(ABS(Resultados!I49),ABS(Resultados!R49),ABS(Resultados!AA49),ABS(Resultados!AJ49)))</f>
        <v>9.501749999999987</v>
      </c>
      <c r="J49">
        <v>6.3E-2</v>
      </c>
      <c r="K49">
        <v>3.1974999999999996E-2</v>
      </c>
    </row>
    <row r="50" spans="1:11" x14ac:dyDescent="0.3">
      <c r="A50" t="str">
        <f>IF(COUNT(Resultados!A50,Resultados!J50,Resultados!S50,Resultados!AB50)=0, "", AVERAGE(ABS(Resultados!A50),ABS(Resultados!J50),ABS(Resultados!S50),ABS(Resultados!AB50)))</f>
        <v/>
      </c>
      <c r="B50" t="str">
        <f>IF(COUNT(Resultados!B50,Resultados!K50,Resultados!T50,Resultados!AC50)=0, "", AVERAGE(ABS(Resultados!B50),ABS(Resultados!K50),ABS(Resultados!T50),ABS(Resultados!AC50)))</f>
        <v/>
      </c>
      <c r="C50">
        <f>IF(COUNT(Resultados!C50,Resultados!L50,Resultados!U50,Resultados!AD50)=0, "", AVERAGE(ABS(Resultados!C50),ABS(Resultados!L50),ABS(Resultados!U50),ABS(Resultados!AD50)))</f>
        <v>75.25</v>
      </c>
      <c r="D50">
        <f>IF(COUNT(Resultados!D50,Resultados!M50,Resultados!V50,Resultados!AE50)=0, "", AVERAGE(ABS(Resultados!D50),ABS(Resultados!M50),ABS(Resultados!V50),ABS(Resultados!AE50)))</f>
        <v>3.5974999999999993E-2</v>
      </c>
      <c r="E50">
        <f>IF(COUNT(Resultados!E50,Resultados!N50,Resultados!W50,Resultados!AF50)=0, "", AVERAGE(ABS(Resultados!E50),ABS(Resultados!N50),ABS(Resultados!W50),ABS(Resultados!AF50)))</f>
        <v>25.566620546593018</v>
      </c>
      <c r="F50">
        <f>IF(COUNT(Resultados!F50,Resultados!O50,Resultados!X50,Resultados!AG50)=0, "", AVERAGE(ABS(Resultados!F50),ABS(Resultados!O50),ABS(Resultados!X50),ABS(Resultados!AG50)))</f>
        <v>2452.8090349424701</v>
      </c>
      <c r="G50">
        <f>IF(COUNT(Resultados!G50,Resultados!P50,Resultados!Y50,Resultados!AH50)=0, "", AVERAGE(ABS(Resultados!G50),ABS(Resultados!P50),ABS(Resultados!Y50),ABS(Resultados!AH50)))</f>
        <v>9.0579999999999998</v>
      </c>
      <c r="H50">
        <f>IF(COUNT(Resultados!H50,Resultados!Q50,Resultados!Z50,Resultados!AI50)=0, "", AVERAGE(ABS(Resultados!H50),ABS(Resultados!Q50),ABS(Resultados!Z50),ABS(Resultados!AI50)))</f>
        <v>6.3E-2</v>
      </c>
      <c r="I50">
        <f>IF(COUNT(Resultados!I50,Resultados!R50,Resultados!AA50,Resultados!AJ50)=0, "", AVERAGE(ABS(Resultados!I50),ABS(Resultados!R50),ABS(Resultados!AA50),ABS(Resultados!AJ50)))</f>
        <v>9.6997999999999962</v>
      </c>
      <c r="J50">
        <v>6.3E-2</v>
      </c>
      <c r="K50">
        <v>3.5974999999999993E-2</v>
      </c>
    </row>
    <row r="51" spans="1:11" x14ac:dyDescent="0.3">
      <c r="A51" t="str">
        <f>IF(COUNT(Resultados!A51,Resultados!J51,Resultados!S51,Resultados!AB51)=0, "", AVERAGE(ABS(Resultados!A51),ABS(Resultados!J51),ABS(Resultados!S51),ABS(Resultados!AB51)))</f>
        <v/>
      </c>
      <c r="B51" t="str">
        <f>IF(COUNT(Resultados!B51,Resultados!K51,Resultados!T51,Resultados!AC51)=0, "", AVERAGE(ABS(Resultados!B51),ABS(Resultados!K51),ABS(Resultados!T51),ABS(Resultados!AC51)))</f>
        <v/>
      </c>
      <c r="C51">
        <f>IF(COUNT(Resultados!C51,Resultados!L51,Resultados!U51,Resultados!AD51)=0, "", AVERAGE(ABS(Resultados!C51),ABS(Resultados!L51),ABS(Resultados!U51),ABS(Resultados!AD51)))</f>
        <v>75.25</v>
      </c>
      <c r="D51">
        <f>IF(COUNT(Resultados!D51,Resultados!M51,Resultados!V51,Resultados!AE51)=0, "", AVERAGE(ABS(Resultados!D51),ABS(Resultados!M51),ABS(Resultados!V51),ABS(Resultados!AE51)))</f>
        <v>3.7150000000000002E-2</v>
      </c>
      <c r="E51">
        <f>IF(COUNT(Resultados!E51,Resultados!N51,Resultados!W51,Resultados!AF51)=0, "", AVERAGE(ABS(Resultados!E51),ABS(Resultados!N51),ABS(Resultados!W51),ABS(Resultados!AF51)))</f>
        <v>25.566620546593018</v>
      </c>
      <c r="F51">
        <f>IF(COUNT(Resultados!F51,Resultados!O51,Resultados!X51,Resultados!AG51)=0, "", AVERAGE(ABS(Resultados!F51),ABS(Resultados!O51),ABS(Resultados!X51),ABS(Resultados!AG51)))</f>
        <v>2452.8090349424701</v>
      </c>
      <c r="G51">
        <f>IF(COUNT(Resultados!G51,Resultados!P51,Resultados!Y51,Resultados!AH51)=0, "", AVERAGE(ABS(Resultados!G51),ABS(Resultados!P51),ABS(Resultados!Y51),ABS(Resultados!AH51)))</f>
        <v>9.0579999999999998</v>
      </c>
      <c r="H51">
        <f>IF(COUNT(Resultados!H51,Resultados!Q51,Resultados!Z51,Resultados!AI51)=0, "", AVERAGE(ABS(Resultados!H51),ABS(Resultados!Q51),ABS(Resultados!Z51),ABS(Resultados!AI51)))</f>
        <v>6.3E-2</v>
      </c>
      <c r="I51">
        <f>IF(COUNT(Resultados!I51,Resultados!R51,Resultados!AA51,Resultados!AJ51)=0, "", AVERAGE(ABS(Resultados!I51),ABS(Resultados!R51),ABS(Resultados!AA51),ABS(Resultados!AJ51)))</f>
        <v>9.9006249999999909</v>
      </c>
      <c r="J51">
        <v>6.3E-2</v>
      </c>
      <c r="K51">
        <v>3.7150000000000002E-2</v>
      </c>
    </row>
    <row r="52" spans="1:11" x14ac:dyDescent="0.3">
      <c r="A52" t="str">
        <f>IF(COUNT(Resultados!A52,Resultados!J52,Resultados!S52,Resultados!AB52)=0, "", AVERAGE(ABS(Resultados!A52),ABS(Resultados!J52),ABS(Resultados!S52),ABS(Resultados!AB52)))</f>
        <v/>
      </c>
      <c r="B52" t="str">
        <f>IF(COUNT(Resultados!B52,Resultados!K52,Resultados!T52,Resultados!AC52)=0, "", AVERAGE(ABS(Resultados!B52),ABS(Resultados!K52),ABS(Resultados!T52),ABS(Resultados!AC52)))</f>
        <v/>
      </c>
      <c r="C52">
        <f>IF(COUNT(Resultados!C52,Resultados!L52,Resultados!U52,Resultados!AD52)=0, "", AVERAGE(ABS(Resultados!C52),ABS(Resultados!L52),ABS(Resultados!U52),ABS(Resultados!AD52)))</f>
        <v>75.25</v>
      </c>
      <c r="D52">
        <f>IF(COUNT(Resultados!D52,Resultados!M52,Resultados!V52,Resultados!AE52)=0, "", AVERAGE(ABS(Resultados!D52),ABS(Resultados!M52),ABS(Resultados!V52),ABS(Resultados!AE52)))</f>
        <v>3.7850000000000002E-2</v>
      </c>
      <c r="E52">
        <f>IF(COUNT(Resultados!E52,Resultados!N52,Resultados!W52,Resultados!AF52)=0, "", AVERAGE(ABS(Resultados!E52),ABS(Resultados!N52),ABS(Resultados!W52),ABS(Resultados!AF52)))</f>
        <v>25.566620546593018</v>
      </c>
      <c r="F52">
        <f>IF(COUNT(Resultados!F52,Resultados!O52,Resultados!X52,Resultados!AG52)=0, "", AVERAGE(ABS(Resultados!F52),ABS(Resultados!O52),ABS(Resultados!X52),ABS(Resultados!AG52)))</f>
        <v>2452.8090349424701</v>
      </c>
      <c r="G52">
        <f>IF(COUNT(Resultados!G52,Resultados!P52,Resultados!Y52,Resultados!AH52)=0, "", AVERAGE(ABS(Resultados!G52),ABS(Resultados!P52),ABS(Resultados!Y52),ABS(Resultados!AH52)))</f>
        <v>9.0579999999999998</v>
      </c>
      <c r="H52">
        <f>IF(COUNT(Resultados!H52,Resultados!Q52,Resultados!Z52,Resultados!AI52)=0, "", AVERAGE(ABS(Resultados!H52),ABS(Resultados!Q52),ABS(Resultados!Z52),ABS(Resultados!AI52)))</f>
        <v>6.3E-2</v>
      </c>
      <c r="I52">
        <f>IF(COUNT(Resultados!I52,Resultados!R52,Resultados!AA52,Resultados!AJ52)=0, "", AVERAGE(ABS(Resultados!I52),ABS(Resultados!R52),ABS(Resultados!AA52),ABS(Resultados!AJ52)))</f>
        <v>10.101324999999989</v>
      </c>
      <c r="J52">
        <v>6.3E-2</v>
      </c>
      <c r="K52">
        <v>3.7850000000000002E-2</v>
      </c>
    </row>
    <row r="53" spans="1:11" x14ac:dyDescent="0.3">
      <c r="A53" t="str">
        <f>IF(COUNT(Resultados!A53,Resultados!J53,Resultados!S53,Resultados!AB53)=0, "", AVERAGE(ABS(Resultados!A53),ABS(Resultados!J53),ABS(Resultados!S53),ABS(Resultados!AB53)))</f>
        <v/>
      </c>
      <c r="B53" t="str">
        <f>IF(COUNT(Resultados!B53,Resultados!K53,Resultados!T53,Resultados!AC53)=0, "", AVERAGE(ABS(Resultados!B53),ABS(Resultados!K53),ABS(Resultados!T53),ABS(Resultados!AC53)))</f>
        <v/>
      </c>
      <c r="C53">
        <f>IF(COUNT(Resultados!C53,Resultados!L53,Resultados!U53,Resultados!AD53)=0, "", AVERAGE(ABS(Resultados!C53),ABS(Resultados!L53),ABS(Resultados!U53),ABS(Resultados!AD53)))</f>
        <v>75.25</v>
      </c>
      <c r="D53">
        <f>IF(COUNT(Resultados!D53,Resultados!M53,Resultados!V53,Resultados!AE53)=0, "", AVERAGE(ABS(Resultados!D53),ABS(Resultados!M53),ABS(Resultados!V53),ABS(Resultados!AE53)))</f>
        <v>3.8000000000000006E-2</v>
      </c>
      <c r="E53">
        <f>IF(COUNT(Resultados!E53,Resultados!N53,Resultados!W53,Resultados!AF53)=0, "", AVERAGE(ABS(Resultados!E53),ABS(Resultados!N53),ABS(Resultados!W53),ABS(Resultados!AF53)))</f>
        <v>25.566620546593018</v>
      </c>
      <c r="F53">
        <f>IF(COUNT(Resultados!F53,Resultados!O53,Resultados!X53,Resultados!AG53)=0, "", AVERAGE(ABS(Resultados!F53),ABS(Resultados!O53),ABS(Resultados!X53),ABS(Resultados!AG53)))</f>
        <v>2452.8090349424701</v>
      </c>
      <c r="G53">
        <f>IF(COUNT(Resultados!G53,Resultados!P53,Resultados!Y53,Resultados!AH53)=0, "", AVERAGE(ABS(Resultados!G53),ABS(Resultados!P53),ABS(Resultados!Y53),ABS(Resultados!AH53)))</f>
        <v>9.0579999999999998</v>
      </c>
      <c r="H53">
        <f>IF(COUNT(Resultados!H53,Resultados!Q53,Resultados!Z53,Resultados!AI53)=0, "", AVERAGE(ABS(Resultados!H53),ABS(Resultados!Q53),ABS(Resultados!Z53),ABS(Resultados!AI53)))</f>
        <v>6.3E-2</v>
      </c>
      <c r="I53">
        <f>IF(COUNT(Resultados!I53,Resultados!R53,Resultados!AA53,Resultados!AJ53)=0, "", AVERAGE(ABS(Resultados!I53),ABS(Resultados!R53),ABS(Resultados!AA53),ABS(Resultados!AJ53)))</f>
        <v>10.300574999999995</v>
      </c>
      <c r="J53">
        <v>6.3E-2</v>
      </c>
      <c r="K53">
        <v>3.8000000000000006E-2</v>
      </c>
    </row>
    <row r="54" spans="1:11" x14ac:dyDescent="0.3">
      <c r="A54" t="str">
        <f>IF(COUNT(Resultados!A54,Resultados!J54,Resultados!S54,Resultados!AB54)=0, "", AVERAGE(ABS(Resultados!A54),ABS(Resultados!J54),ABS(Resultados!S54),ABS(Resultados!AB54)))</f>
        <v/>
      </c>
      <c r="B54" t="str">
        <f>IF(COUNT(Resultados!B54,Resultados!K54,Resultados!T54,Resultados!AC54)=0, "", AVERAGE(ABS(Resultados!B54),ABS(Resultados!K54),ABS(Resultados!T54),ABS(Resultados!AC54)))</f>
        <v/>
      </c>
      <c r="C54">
        <f>IF(COUNT(Resultados!C54,Resultados!L54,Resultados!U54,Resultados!AD54)=0, "", AVERAGE(ABS(Resultados!C54),ABS(Resultados!L54),ABS(Resultados!U54),ABS(Resultados!AD54)))</f>
        <v>75.25</v>
      </c>
      <c r="D54">
        <f>IF(COUNT(Resultados!D54,Resultados!M54,Resultados!V54,Resultados!AE54)=0, "", AVERAGE(ABS(Resultados!D54),ABS(Resultados!M54),ABS(Resultados!V54),ABS(Resultados!AE54)))</f>
        <v>3.8000000000000006E-2</v>
      </c>
      <c r="E54">
        <f>IF(COUNT(Resultados!E54,Resultados!N54,Resultados!W54,Resultados!AF54)=0, "", AVERAGE(ABS(Resultados!E54),ABS(Resultados!N54),ABS(Resultados!W54),ABS(Resultados!AF54)))</f>
        <v>25.566620546593018</v>
      </c>
      <c r="F54">
        <f>IF(COUNT(Resultados!F54,Resultados!O54,Resultados!X54,Resultados!AG54)=0, "", AVERAGE(ABS(Resultados!F54),ABS(Resultados!O54),ABS(Resultados!X54),ABS(Resultados!AG54)))</f>
        <v>2452.8090349424701</v>
      </c>
      <c r="G54">
        <f>IF(COUNT(Resultados!G54,Resultados!P54,Resultados!Y54,Resultados!AH54)=0, "", AVERAGE(ABS(Resultados!G54),ABS(Resultados!P54),ABS(Resultados!Y54),ABS(Resultados!AH54)))</f>
        <v>9.0579999999999998</v>
      </c>
      <c r="H54">
        <f>IF(COUNT(Resultados!H54,Resultados!Q54,Resultados!Z54,Resultados!AI54)=0, "", AVERAGE(ABS(Resultados!H54),ABS(Resultados!Q54),ABS(Resultados!Z54),ABS(Resultados!AI54)))</f>
        <v>6.3E-2</v>
      </c>
      <c r="I54">
        <f>IF(COUNT(Resultados!I54,Resultados!R54,Resultados!AA54,Resultados!AJ54)=0, "", AVERAGE(ABS(Resultados!I54),ABS(Resultados!R54),ABS(Resultados!AA54),ABS(Resultados!AJ54)))</f>
        <v>10.501349999999988</v>
      </c>
      <c r="J54">
        <v>6.3E-2</v>
      </c>
      <c r="K54">
        <v>3.8000000000000006E-2</v>
      </c>
    </row>
    <row r="55" spans="1:11" x14ac:dyDescent="0.3">
      <c r="A55" t="str">
        <f>IF(COUNT(Resultados!A55,Resultados!J55,Resultados!S55,Resultados!AB55)=0, "", AVERAGE(ABS(Resultados!A55),ABS(Resultados!J55),ABS(Resultados!S55),ABS(Resultados!AB55)))</f>
        <v/>
      </c>
      <c r="B55" t="str">
        <f>IF(COUNT(Resultados!B55,Resultados!K55,Resultados!T55,Resultados!AC55)=0, "", AVERAGE(ABS(Resultados!B55),ABS(Resultados!K55),ABS(Resultados!T55),ABS(Resultados!AC55)))</f>
        <v/>
      </c>
      <c r="C55">
        <f>IF(COUNT(Resultados!C55,Resultados!L55,Resultados!U55,Resultados!AD55)=0, "", AVERAGE(ABS(Resultados!C55),ABS(Resultados!L55),ABS(Resultados!U55),ABS(Resultados!AD55)))</f>
        <v>75.25</v>
      </c>
      <c r="D55">
        <f>IF(COUNT(Resultados!D55,Resultados!M55,Resultados!V55,Resultados!AE55)=0, "", AVERAGE(ABS(Resultados!D55),ABS(Resultados!M55),ABS(Resultados!V55),ABS(Resultados!AE55)))</f>
        <v>3.8000000000000006E-2</v>
      </c>
      <c r="E55">
        <f>IF(COUNT(Resultados!E55,Resultados!N55,Resultados!W55,Resultados!AF55)=0, "", AVERAGE(ABS(Resultados!E55),ABS(Resultados!N55),ABS(Resultados!W55),ABS(Resultados!AF55)))</f>
        <v>24.55294367168581</v>
      </c>
      <c r="F55">
        <f>IF(COUNT(Resultados!F55,Resultados!O55,Resultados!X55,Resultados!AG55)=0, "", AVERAGE(ABS(Resultados!F55),ABS(Resultados!O55),ABS(Resultados!X55),ABS(Resultados!AG55)))</f>
        <v>2358.3343502011185</v>
      </c>
      <c r="G55">
        <f>IF(COUNT(Resultados!G55,Resultados!P55,Resultados!Y55,Resultados!AH55)=0, "", AVERAGE(ABS(Resultados!G55),ABS(Resultados!P55),ABS(Resultados!Y55),ABS(Resultados!AH55)))</f>
        <v>9.0579999999999998</v>
      </c>
      <c r="H55">
        <f>IF(COUNT(Resultados!H55,Resultados!Q55,Resultados!Z55,Resultados!AI55)=0, "", AVERAGE(ABS(Resultados!H55),ABS(Resultados!Q55),ABS(Resultados!Z55),ABS(Resultados!AI55)))</f>
        <v>4.725E-2</v>
      </c>
      <c r="I55">
        <f>IF(COUNT(Resultados!I55,Resultados!R55,Resultados!AA55,Resultados!AJ55)=0, "", AVERAGE(ABS(Resultados!I55),ABS(Resultados!R55),ABS(Resultados!AA55),ABS(Resultados!AJ55)))</f>
        <v>10.701349999999991</v>
      </c>
      <c r="J55">
        <v>4.725E-2</v>
      </c>
      <c r="K55">
        <v>3.8000000000000006E-2</v>
      </c>
    </row>
    <row r="56" spans="1:11" x14ac:dyDescent="0.3">
      <c r="A56" t="str">
        <f>IF(COUNT(Resultados!A56,Resultados!J56,Resultados!S56,Resultados!AB56)=0, "", AVERAGE(ABS(Resultados!A56),ABS(Resultados!J56),ABS(Resultados!S56),ABS(Resultados!AB56)))</f>
        <v/>
      </c>
      <c r="B56" t="str">
        <f>IF(COUNT(Resultados!B56,Resultados!K56,Resultados!T56,Resultados!AC56)=0, "", AVERAGE(ABS(Resultados!B56),ABS(Resultados!K56),ABS(Resultados!T56),ABS(Resultados!AC56)))</f>
        <v/>
      </c>
      <c r="C56">
        <f>IF(COUNT(Resultados!C56,Resultados!L56,Resultados!U56,Resultados!AD56)=0, "", AVERAGE(ABS(Resultados!C56),ABS(Resultados!L56),ABS(Resultados!U56),ABS(Resultados!AD56)))</f>
        <v>75.25</v>
      </c>
      <c r="D56">
        <f>IF(COUNT(Resultados!D56,Resultados!M56,Resultados!V56,Resultados!AE56)=0, "", AVERAGE(ABS(Resultados!D56),ABS(Resultados!M56),ABS(Resultados!V56),ABS(Resultados!AE56)))</f>
        <v>3.6424999999999999E-2</v>
      </c>
      <c r="E56">
        <f>IF(COUNT(Resultados!E56,Resultados!N56,Resultados!W56,Resultados!AF56)=0, "", AVERAGE(ABS(Resultados!E56),ABS(Resultados!N56),ABS(Resultados!W56),ABS(Resultados!AF56)))</f>
        <v>24.55294367168581</v>
      </c>
      <c r="F56">
        <f>IF(COUNT(Resultados!F56,Resultados!O56,Resultados!X56,Resultados!AG56)=0, "", AVERAGE(ABS(Resultados!F56),ABS(Resultados!O56),ABS(Resultados!X56),ABS(Resultados!AG56)))</f>
        <v>2358.3343502011185</v>
      </c>
      <c r="G56">
        <f>IF(COUNT(Resultados!G56,Resultados!P56,Resultados!Y56,Resultados!AH56)=0, "", AVERAGE(ABS(Resultados!G56),ABS(Resultados!P56),ABS(Resultados!Y56),ABS(Resultados!AH56)))</f>
        <v>9.0579999999999998</v>
      </c>
      <c r="H56">
        <f>IF(COUNT(Resultados!H56,Resultados!Q56,Resultados!Z56,Resultados!AI56)=0, "", AVERAGE(ABS(Resultados!H56),ABS(Resultados!Q56),ABS(Resultados!Z56),ABS(Resultados!AI56)))</f>
        <v>4.725E-2</v>
      </c>
      <c r="I56">
        <f>IF(COUNT(Resultados!I56,Resultados!R56,Resultados!AA56,Resultados!AJ56)=0, "", AVERAGE(ABS(Resultados!I56),ABS(Resultados!R56),ABS(Resultados!AA56),ABS(Resultados!AJ56)))</f>
        <v>10.901074999999992</v>
      </c>
      <c r="J56">
        <v>4.725E-2</v>
      </c>
      <c r="K56">
        <v>3.6424999999999999E-2</v>
      </c>
    </row>
    <row r="57" spans="1:11" x14ac:dyDescent="0.3">
      <c r="A57" t="str">
        <f>IF(COUNT(Resultados!A57,Resultados!J57,Resultados!S57,Resultados!AB57)=0, "", AVERAGE(ABS(Resultados!A57),ABS(Resultados!J57),ABS(Resultados!S57),ABS(Resultados!AB57)))</f>
        <v/>
      </c>
      <c r="B57" t="str">
        <f>IF(COUNT(Resultados!B57,Resultados!K57,Resultados!T57,Resultados!AC57)=0, "", AVERAGE(ABS(Resultados!B57),ABS(Resultados!K57),ABS(Resultados!T57),ABS(Resultados!AC57)))</f>
        <v/>
      </c>
      <c r="C57">
        <f>IF(COUNT(Resultados!C57,Resultados!L57,Resultados!U57,Resultados!AD57)=0, "", AVERAGE(ABS(Resultados!C57),ABS(Resultados!L57),ABS(Resultados!U57),ABS(Resultados!AD57)))</f>
        <v>75.25</v>
      </c>
      <c r="D57">
        <f>IF(COUNT(Resultados!D57,Resultados!M57,Resultados!V57,Resultados!AE57)=0, "", AVERAGE(ABS(Resultados!D57),ABS(Resultados!M57),ABS(Resultados!V57),ABS(Resultados!AE57)))</f>
        <v>3.3100000000000004E-2</v>
      </c>
      <c r="E57">
        <f>IF(COUNT(Resultados!E57,Resultados!N57,Resultados!W57,Resultados!AF57)=0, "", AVERAGE(ABS(Resultados!E57),ABS(Resultados!N57),ABS(Resultados!W57),ABS(Resultados!AF57)))</f>
        <v>21.511913046964182</v>
      </c>
      <c r="F57">
        <f>IF(COUNT(Resultados!F57,Resultados!O57,Resultados!X57,Resultados!AG57)=0, "", AVERAGE(ABS(Resultados!F57),ABS(Resultados!O57),ABS(Resultados!X57),ABS(Resultados!AG57)))</f>
        <v>2074.9102959770621</v>
      </c>
      <c r="G57">
        <f>IF(COUNT(Resultados!G57,Resultados!P57,Resultados!Y57,Resultados!AH57)=0, "", AVERAGE(ABS(Resultados!G57),ABS(Resultados!P57),ABS(Resultados!Y57),ABS(Resultados!AH57)))</f>
        <v>9.0579999999999998</v>
      </c>
      <c r="H57">
        <f>IF(COUNT(Resultados!H57,Resultados!Q57,Resultados!Z57,Resultados!AI57)=0, "", AVERAGE(ABS(Resultados!H57),ABS(Resultados!Q57),ABS(Resultados!Z57),ABS(Resultados!AI57)))</f>
        <v>0</v>
      </c>
      <c r="I57">
        <f>IF(COUNT(Resultados!I57,Resultados!R57,Resultados!AA57,Resultados!AJ57)=0, "", AVERAGE(ABS(Resultados!I57),ABS(Resultados!R57),ABS(Resultados!AA57),ABS(Resultados!AJ57)))</f>
        <v>11.101324999999989</v>
      </c>
      <c r="J57">
        <v>0</v>
      </c>
      <c r="K57">
        <v>3.3100000000000004E-2</v>
      </c>
    </row>
    <row r="58" spans="1:11" x14ac:dyDescent="0.3">
      <c r="A58" t="str">
        <f>IF(COUNT(Resultados!A58,Resultados!J58,Resultados!S58,Resultados!AB58)=0, "", AVERAGE(ABS(Resultados!A58),ABS(Resultados!J58),ABS(Resultados!S58),ABS(Resultados!AB58)))</f>
        <v/>
      </c>
      <c r="B58" t="str">
        <f>IF(COUNT(Resultados!B58,Resultados!K58,Resultados!T58,Resultados!AC58)=0, "", AVERAGE(ABS(Resultados!B58),ABS(Resultados!K58),ABS(Resultados!T58),ABS(Resultados!AC58)))</f>
        <v/>
      </c>
      <c r="C58">
        <f>IF(COUNT(Resultados!C58,Resultados!L58,Resultados!U58,Resultados!AD58)=0, "", AVERAGE(ABS(Resultados!C58),ABS(Resultados!L58),ABS(Resultados!U58),ABS(Resultados!AD58)))</f>
        <v>75.25</v>
      </c>
      <c r="D58">
        <f>IF(COUNT(Resultados!D58,Resultados!M58,Resultados!V58,Resultados!AE58)=0, "", AVERAGE(ABS(Resultados!D58),ABS(Resultados!M58),ABS(Resultados!V58),ABS(Resultados!AE58)))</f>
        <v>2.5500000000000002E-2</v>
      </c>
      <c r="E58">
        <f>IF(COUNT(Resultados!E58,Resultados!N58,Resultados!W58,Resultados!AF58)=0, "", AVERAGE(ABS(Resultados!E58),ABS(Resultados!N58),ABS(Resultados!W58),ABS(Resultados!AF58)))</f>
        <v>21.511913046964182</v>
      </c>
      <c r="F58">
        <f>IF(COUNT(Resultados!F58,Resultados!O58,Resultados!X58,Resultados!AG58)=0, "", AVERAGE(ABS(Resultados!F58),ABS(Resultados!O58),ABS(Resultados!X58),ABS(Resultados!AG58)))</f>
        <v>2074.9102959770621</v>
      </c>
      <c r="G58">
        <f>IF(COUNT(Resultados!G58,Resultados!P58,Resultados!Y58,Resultados!AH58)=0, "", AVERAGE(ABS(Resultados!G58),ABS(Resultados!P58),ABS(Resultados!Y58),ABS(Resultados!AH58)))</f>
        <v>9.0579999999999998</v>
      </c>
      <c r="H58">
        <f>IF(COUNT(Resultados!H58,Resultados!Q58,Resultados!Z58,Resultados!AI58)=0, "", AVERAGE(ABS(Resultados!H58),ABS(Resultados!Q58),ABS(Resultados!Z58),ABS(Resultados!AI58)))</f>
        <v>0</v>
      </c>
      <c r="I58">
        <f>IF(COUNT(Resultados!I58,Resultados!R58,Resultados!AA58,Resultados!AJ58)=0, "", AVERAGE(ABS(Resultados!I58),ABS(Resultados!R58),ABS(Resultados!AA58),ABS(Resultados!AJ58)))</f>
        <v>11.30064999999999</v>
      </c>
      <c r="J58">
        <v>0</v>
      </c>
      <c r="K58">
        <v>2.5500000000000002E-2</v>
      </c>
    </row>
    <row r="59" spans="1:11" x14ac:dyDescent="0.3">
      <c r="A59" t="str">
        <f>IF(COUNT(Resultados!A59,Resultados!J59,Resultados!S59,Resultados!AB59)=0, "", AVERAGE(ABS(Resultados!A59),ABS(Resultados!J59),ABS(Resultados!S59),ABS(Resultados!AB59)))</f>
        <v/>
      </c>
      <c r="B59" t="str">
        <f>IF(COUNT(Resultados!B59,Resultados!K59,Resultados!T59,Resultados!AC59)=0, "", AVERAGE(ABS(Resultados!B59),ABS(Resultados!K59),ABS(Resultados!T59),ABS(Resultados!AC59)))</f>
        <v/>
      </c>
      <c r="C59">
        <f>IF(COUNT(Resultados!C59,Resultados!L59,Resultados!U59,Resultados!AD59)=0, "", AVERAGE(ABS(Resultados!C59),ABS(Resultados!L59),ABS(Resultados!U59),ABS(Resultados!AD59)))</f>
        <v>75.25</v>
      </c>
      <c r="D59">
        <f>IF(COUNT(Resultados!D59,Resultados!M59,Resultados!V59,Resultados!AE59)=0, "", AVERAGE(ABS(Resultados!D59),ABS(Resultados!M59),ABS(Resultados!V59),ABS(Resultados!AE59)))</f>
        <v>1.4100000000000001E-2</v>
      </c>
      <c r="E59">
        <f>IF(COUNT(Resultados!E59,Resultados!N59,Resultados!W59,Resultados!AF59)=0, "", AVERAGE(ABS(Resultados!E59),ABS(Resultados!N59),ABS(Resultados!W59),ABS(Resultados!AF59)))</f>
        <v>21.511913046964182</v>
      </c>
      <c r="F59">
        <f>IF(COUNT(Resultados!F59,Resultados!O59,Resultados!X59,Resultados!AG59)=0, "", AVERAGE(ABS(Resultados!F59),ABS(Resultados!O59),ABS(Resultados!X59),ABS(Resultados!AG59)))</f>
        <v>2074.9102959770621</v>
      </c>
      <c r="G59">
        <f>IF(COUNT(Resultados!G59,Resultados!P59,Resultados!Y59,Resultados!AH59)=0, "", AVERAGE(ABS(Resultados!G59),ABS(Resultados!P59),ABS(Resultados!Y59),ABS(Resultados!AH59)))</f>
        <v>9.0579999999999998</v>
      </c>
      <c r="H59">
        <f>IF(COUNT(Resultados!H59,Resultados!Q59,Resultados!Z59,Resultados!AI59)=0, "", AVERAGE(ABS(Resultados!H59),ABS(Resultados!Q59),ABS(Resultados!Z59),ABS(Resultados!AI59)))</f>
        <v>0</v>
      </c>
      <c r="I59">
        <f>IF(COUNT(Resultados!I59,Resultados!R59,Resultados!AA59,Resultados!AJ59)=0, "", AVERAGE(ABS(Resultados!I59),ABS(Resultados!R59),ABS(Resultados!AA59),ABS(Resultados!AJ59)))</f>
        <v>11.500999999999991</v>
      </c>
      <c r="J59">
        <v>0</v>
      </c>
      <c r="K59">
        <v>1.4100000000000001E-2</v>
      </c>
    </row>
    <row r="60" spans="1:11" x14ac:dyDescent="0.3">
      <c r="A60" t="str">
        <f>IF(COUNT(Resultados!A60,Resultados!J60,Resultados!S60,Resultados!AB60)=0, "", AVERAGE(ABS(Resultados!A60),ABS(Resultados!J60),ABS(Resultados!S60),ABS(Resultados!AB60)))</f>
        <v/>
      </c>
      <c r="B60" t="str">
        <f>IF(COUNT(Resultados!B60,Resultados!K60,Resultados!T60,Resultados!AC60)=0, "", AVERAGE(ABS(Resultados!B60),ABS(Resultados!K60),ABS(Resultados!T60),ABS(Resultados!AC60)))</f>
        <v/>
      </c>
      <c r="C60">
        <f>IF(COUNT(Resultados!C60,Resultados!L60,Resultados!U60,Resultados!AD60)=0, "", AVERAGE(ABS(Resultados!C60),ABS(Resultados!L60),ABS(Resultados!U60),ABS(Resultados!AD60)))</f>
        <v>75.25</v>
      </c>
      <c r="D60">
        <f>IF(COUNT(Resultados!D60,Resultados!M60,Resultados!V60,Resultados!AE60)=0, "", AVERAGE(ABS(Resultados!D60),ABS(Resultados!M60),ABS(Resultados!V60),ABS(Resultados!AE60)))</f>
        <v>4.5999999999999999E-3</v>
      </c>
      <c r="E60">
        <f>IF(COUNT(Resultados!E60,Resultados!N60,Resultados!W60,Resultados!AF60)=0, "", AVERAGE(ABS(Resultados!E60),ABS(Resultados!N60),ABS(Resultados!W60),ABS(Resultados!AF60)))</f>
        <v>21.511913046964182</v>
      </c>
      <c r="F60">
        <f>IF(COUNT(Resultados!F60,Resultados!O60,Resultados!X60,Resultados!AG60)=0, "", AVERAGE(ABS(Resultados!F60),ABS(Resultados!O60),ABS(Resultados!X60),ABS(Resultados!AG60)))</f>
        <v>2074.9102959770621</v>
      </c>
      <c r="G60">
        <f>IF(COUNT(Resultados!G60,Resultados!P60,Resultados!Y60,Resultados!AH60)=0, "", AVERAGE(ABS(Resultados!G60),ABS(Resultados!P60),ABS(Resultados!Y60),ABS(Resultados!AH60)))</f>
        <v>9.0579999999999998</v>
      </c>
      <c r="H60">
        <f>IF(COUNT(Resultados!H60,Resultados!Q60,Resultados!Z60,Resultados!AI60)=0, "", AVERAGE(ABS(Resultados!H60),ABS(Resultados!Q60),ABS(Resultados!Z60),ABS(Resultados!AI60)))</f>
        <v>0</v>
      </c>
      <c r="I60">
        <f>IF(COUNT(Resultados!I60,Resultados!R60,Resultados!AA60,Resultados!AJ60)=0, "", AVERAGE(ABS(Resultados!I60),ABS(Resultados!R60),ABS(Resultados!AA60),ABS(Resultados!AJ60)))</f>
        <v>11.700749999999985</v>
      </c>
      <c r="J60">
        <v>0</v>
      </c>
      <c r="K60">
        <v>4.5999999999999999E-3</v>
      </c>
    </row>
    <row r="61" spans="1:11" x14ac:dyDescent="0.3">
      <c r="A61" t="str">
        <f>IF(COUNT(Resultados!A61,Resultados!J61,Resultados!S61,Resultados!AB61)=0, "", AVERAGE(ABS(Resultados!A61),ABS(Resultados!J61),ABS(Resultados!S61),ABS(Resultados!AB61)))</f>
        <v/>
      </c>
      <c r="B61" t="str">
        <f>IF(COUNT(Resultados!B61,Resultados!K61,Resultados!T61,Resultados!AC61)=0, "", AVERAGE(ABS(Resultados!B61),ABS(Resultados!K61),ABS(Resultados!T61),ABS(Resultados!AC61)))</f>
        <v/>
      </c>
      <c r="C61">
        <f>IF(COUNT(Resultados!C61,Resultados!L61,Resultados!U61,Resultados!AD61)=0, "", AVERAGE(ABS(Resultados!C61),ABS(Resultados!L61),ABS(Resultados!U61),ABS(Resultados!AD61)))</f>
        <v>75.25</v>
      </c>
      <c r="D61">
        <f>IF(COUNT(Resultados!D61,Resultados!M61,Resultados!V61,Resultados!AE61)=0, "", AVERAGE(ABS(Resultados!D61),ABS(Resultados!M61),ABS(Resultados!V61),ABS(Resultados!AE61)))</f>
        <v>2.875E-3</v>
      </c>
      <c r="E61">
        <f>IF(COUNT(Resultados!E61,Resultados!N61,Resultados!W61,Resultados!AF61)=0, "", AVERAGE(ABS(Resultados!E61),ABS(Resultados!N61),ABS(Resultados!W61),ABS(Resultados!AF61)))</f>
        <v>21.511913046964182</v>
      </c>
      <c r="F61">
        <f>IF(COUNT(Resultados!F61,Resultados!O61,Resultados!X61,Resultados!AG61)=0, "", AVERAGE(ABS(Resultados!F61),ABS(Resultados!O61),ABS(Resultados!X61),ABS(Resultados!AG61)))</f>
        <v>2074.9102959770621</v>
      </c>
      <c r="G61">
        <f>IF(COUNT(Resultados!G61,Resultados!P61,Resultados!Y61,Resultados!AH61)=0, "", AVERAGE(ABS(Resultados!G61),ABS(Resultados!P61),ABS(Resultados!Y61),ABS(Resultados!AH61)))</f>
        <v>9.0579999999999998</v>
      </c>
      <c r="H61">
        <f>IF(COUNT(Resultados!H61,Resultados!Q61,Resultados!Z61,Resultados!AI61)=0, "", AVERAGE(ABS(Resultados!H61),ABS(Resultados!Q61),ABS(Resultados!Z61),ABS(Resultados!AI61)))</f>
        <v>0</v>
      </c>
      <c r="I61">
        <f>IF(COUNT(Resultados!I61,Resultados!R61,Resultados!AA61,Resultados!AJ61)=0, "", AVERAGE(ABS(Resultados!I61),ABS(Resultados!R61),ABS(Resultados!AA61),ABS(Resultados!AJ61)))</f>
        <v>11.901600000000002</v>
      </c>
      <c r="J61">
        <v>0</v>
      </c>
      <c r="K61">
        <v>2.875E-3</v>
      </c>
    </row>
    <row r="62" spans="1:11" x14ac:dyDescent="0.3">
      <c r="A62" t="str">
        <f>IF(COUNT(Resultados!A62,Resultados!J62,Resultados!S62,Resultados!AB62)=0, "", AVERAGE(ABS(Resultados!A62),ABS(Resultados!J62),ABS(Resultados!S62),ABS(Resultados!AB62)))</f>
        <v/>
      </c>
      <c r="B62" t="str">
        <f>IF(COUNT(Resultados!B62,Resultados!K62,Resultados!T62,Resultados!AC62)=0, "", AVERAGE(ABS(Resultados!B62),ABS(Resultados!K62),ABS(Resultados!T62),ABS(Resultados!AC62)))</f>
        <v/>
      </c>
      <c r="C62">
        <f>IF(COUNT(Resultados!C62,Resultados!L62,Resultados!U62,Resultados!AD62)=0, "", AVERAGE(ABS(Resultados!C62),ABS(Resultados!L62),ABS(Resultados!U62),ABS(Resultados!AD62)))</f>
        <v>75.25</v>
      </c>
      <c r="D62">
        <f>IF(COUNT(Resultados!D62,Resultados!M62,Resultados!V62,Resultados!AE62)=0, "", AVERAGE(ABS(Resultados!D62),ABS(Resultados!M62),ABS(Resultados!V62),ABS(Resultados!AE62)))</f>
        <v>3.0999999999999999E-3</v>
      </c>
      <c r="E62">
        <f>IF(COUNT(Resultados!E62,Resultados!N62,Resultados!W62,Resultados!AF62)=0, "", AVERAGE(ABS(Resultados!E62),ABS(Resultados!N62),ABS(Resultados!W62),ABS(Resultados!AF62)))</f>
        <v>21.511913046964182</v>
      </c>
      <c r="F62">
        <f>IF(COUNT(Resultados!F62,Resultados!O62,Resultados!X62,Resultados!AG62)=0, "", AVERAGE(ABS(Resultados!F62),ABS(Resultados!O62),ABS(Resultados!X62),ABS(Resultados!AG62)))</f>
        <v>2074.9102959770621</v>
      </c>
      <c r="G62">
        <f>IF(COUNT(Resultados!G62,Resultados!P62,Resultados!Y62,Resultados!AH62)=0, "", AVERAGE(ABS(Resultados!G62),ABS(Resultados!P62),ABS(Resultados!Y62),ABS(Resultados!AH62)))</f>
        <v>9.0579999999999998</v>
      </c>
      <c r="H62">
        <f>IF(COUNT(Resultados!H62,Resultados!Q62,Resultados!Z62,Resultados!AI62)=0, "", AVERAGE(ABS(Resultados!H62),ABS(Resultados!Q62),ABS(Resultados!Z62),ABS(Resultados!AI62)))</f>
        <v>0</v>
      </c>
      <c r="I62">
        <f>IF(COUNT(Resultados!I62,Resultados!R62,Resultados!AA62,Resultados!AJ62)=0, "", AVERAGE(ABS(Resultados!I62),ABS(Resultados!R62),ABS(Resultados!AA62),ABS(Resultados!AJ62)))</f>
        <v>12.101199999999992</v>
      </c>
      <c r="J62">
        <v>0</v>
      </c>
      <c r="K62">
        <v>3.0999999999999999E-3</v>
      </c>
    </row>
    <row r="63" spans="1:11" x14ac:dyDescent="0.3">
      <c r="A63" t="str">
        <f>IF(COUNT(Resultados!A63,Resultados!J63,Resultados!S63,Resultados!AB63)=0, "", AVERAGE(ABS(Resultados!A63),ABS(Resultados!J63),ABS(Resultados!S63),ABS(Resultados!AB63)))</f>
        <v/>
      </c>
      <c r="B63" t="str">
        <f>IF(COUNT(Resultados!B63,Resultados!K63,Resultados!T63,Resultados!AC63)=0, "", AVERAGE(ABS(Resultados!B63),ABS(Resultados!K63),ABS(Resultados!T63),ABS(Resultados!AC63)))</f>
        <v/>
      </c>
      <c r="C63">
        <f>IF(COUNT(Resultados!C63,Resultados!L63,Resultados!U63,Resultados!AD63)=0, "", AVERAGE(ABS(Resultados!C63),ABS(Resultados!L63),ABS(Resultados!U63),ABS(Resultados!AD63)))</f>
        <v>75.25</v>
      </c>
      <c r="D63">
        <f>IF(COUNT(Resultados!D63,Resultados!M63,Resultados!V63,Resultados!AE63)=0, "", AVERAGE(ABS(Resultados!D63),ABS(Resultados!M63),ABS(Resultados!V63),ABS(Resultados!AE63)))</f>
        <v>3.0999999999999999E-3</v>
      </c>
      <c r="E63">
        <f>IF(COUNT(Resultados!E63,Resultados!N63,Resultados!W63,Resultados!AF63)=0, "", AVERAGE(ABS(Resultados!E63),ABS(Resultados!N63),ABS(Resultados!W63),ABS(Resultados!AF63)))</f>
        <v>21.511913046964182</v>
      </c>
      <c r="F63">
        <f>IF(COUNT(Resultados!F63,Resultados!O63,Resultados!X63,Resultados!AG63)=0, "", AVERAGE(ABS(Resultados!F63),ABS(Resultados!O63),ABS(Resultados!X63),ABS(Resultados!AG63)))</f>
        <v>2074.9102959770621</v>
      </c>
      <c r="G63">
        <f>IF(COUNT(Resultados!G63,Resultados!P63,Resultados!Y63,Resultados!AH63)=0, "", AVERAGE(ABS(Resultados!G63),ABS(Resultados!P63),ABS(Resultados!Y63),ABS(Resultados!AH63)))</f>
        <v>9.0579999999999998</v>
      </c>
      <c r="H63">
        <f>IF(COUNT(Resultados!H63,Resultados!Q63,Resultados!Z63,Resultados!AI63)=0, "", AVERAGE(ABS(Resultados!H63),ABS(Resultados!Q63),ABS(Resultados!Z63),ABS(Resultados!AI63)))</f>
        <v>0</v>
      </c>
      <c r="I63">
        <f>IF(COUNT(Resultados!I63,Resultados!R63,Resultados!AA63,Resultados!AJ63)=0, "", AVERAGE(ABS(Resultados!I63),ABS(Resultados!R63),ABS(Resultados!AA63),ABS(Resultados!AJ63)))</f>
        <v>12.300049999999999</v>
      </c>
      <c r="J63">
        <v>0</v>
      </c>
      <c r="K63">
        <v>3.0999999999999999E-3</v>
      </c>
    </row>
    <row r="64" spans="1:11" x14ac:dyDescent="0.3">
      <c r="A64" t="str">
        <f>IF(COUNT(Resultados!A64,Resultados!J64,Resultados!S64,Resultados!AB64)=0, "", AVERAGE(ABS(Resultados!A64),ABS(Resultados!J64),ABS(Resultados!S64),ABS(Resultados!AB64)))</f>
        <v/>
      </c>
      <c r="B64" t="str">
        <f>IF(COUNT(Resultados!B64,Resultados!K64,Resultados!T64,Resultados!AC64)=0, "", AVERAGE(ABS(Resultados!B64),ABS(Resultados!K64),ABS(Resultados!T64),ABS(Resultados!AC64)))</f>
        <v/>
      </c>
      <c r="C64">
        <f>IF(COUNT(Resultados!C64,Resultados!L64,Resultados!U64,Resultados!AD64)=0, "", AVERAGE(ABS(Resultados!C64),ABS(Resultados!L64),ABS(Resultados!U64),ABS(Resultados!AD64)))</f>
        <v>75.25</v>
      </c>
      <c r="D64">
        <f>IF(COUNT(Resultados!D64,Resultados!M64,Resultados!V64,Resultados!AE64)=0, "", AVERAGE(ABS(Resultados!D64),ABS(Resultados!M64),ABS(Resultados!V64),ABS(Resultados!AE64)))</f>
        <v>3.0999999999999999E-3</v>
      </c>
      <c r="E64">
        <f>IF(COUNT(Resultados!E64,Resultados!N64,Resultados!W64,Resultados!AF64)=0, "", AVERAGE(ABS(Resultados!E64),ABS(Resultados!N64),ABS(Resultados!W64),ABS(Resultados!AF64)))</f>
        <v>21.511913046964182</v>
      </c>
      <c r="F64">
        <f>IF(COUNT(Resultados!F64,Resultados!O64,Resultados!X64,Resultados!AG64)=0, "", AVERAGE(ABS(Resultados!F64),ABS(Resultados!O64),ABS(Resultados!X64),ABS(Resultados!AG64)))</f>
        <v>2074.9102959770621</v>
      </c>
      <c r="G64">
        <f>IF(COUNT(Resultados!G64,Resultados!P64,Resultados!Y64,Resultados!AH64)=0, "", AVERAGE(ABS(Resultados!G64),ABS(Resultados!P64),ABS(Resultados!Y64),ABS(Resultados!AH64)))</f>
        <v>9.0579999999999998</v>
      </c>
      <c r="H64">
        <f>IF(COUNT(Resultados!H64,Resultados!Q64,Resultados!Z64,Resultados!AI64)=0, "", AVERAGE(ABS(Resultados!H64),ABS(Resultados!Q64),ABS(Resultados!Z64),ABS(Resultados!AI64)))</f>
        <v>0</v>
      </c>
      <c r="I64">
        <f>IF(COUNT(Resultados!I64,Resultados!R64,Resultados!AA64,Resultados!AJ64)=0, "", AVERAGE(ABS(Resultados!I64),ABS(Resultados!R64),ABS(Resultados!AA64),ABS(Resultados!AJ64)))</f>
        <v>12.501424999999998</v>
      </c>
      <c r="J64">
        <v>0</v>
      </c>
      <c r="K64">
        <v>3.0999999999999999E-3</v>
      </c>
    </row>
    <row r="65" spans="1:11" x14ac:dyDescent="0.3">
      <c r="A65" t="str">
        <f>IF(COUNT(Resultados!A65,Resultados!J65,Resultados!S65,Resultados!AB65)=0, "", AVERAGE(ABS(Resultados!A65),ABS(Resultados!J65),ABS(Resultados!S65),ABS(Resultados!AB65)))</f>
        <v/>
      </c>
      <c r="B65" t="str">
        <f>IF(COUNT(Resultados!B65,Resultados!K65,Resultados!T65,Resultados!AC65)=0, "", AVERAGE(ABS(Resultados!B65),ABS(Resultados!K65),ABS(Resultados!T65),ABS(Resultados!AC65)))</f>
        <v/>
      </c>
      <c r="C65">
        <f>IF(COUNT(Resultados!C65,Resultados!L65,Resultados!U65,Resultados!AD65)=0, "", AVERAGE(ABS(Resultados!C65),ABS(Resultados!L65),ABS(Resultados!U65),ABS(Resultados!AD65)))</f>
        <v>75.25</v>
      </c>
      <c r="D65">
        <f>IF(COUNT(Resultados!D65,Resultados!M65,Resultados!V65,Resultados!AE65)=0, "", AVERAGE(ABS(Resultados!D65),ABS(Resultados!M65),ABS(Resultados!V65),ABS(Resultados!AE65)))</f>
        <v>3.1249999999999997E-3</v>
      </c>
      <c r="E65">
        <f>IF(COUNT(Resultados!E65,Resultados!N65,Resultados!W65,Resultados!AF65)=0, "", AVERAGE(ABS(Resultados!E65),ABS(Resultados!N65),ABS(Resultados!W65),ABS(Resultados!AF65)))</f>
        <v>22.52558992187139</v>
      </c>
      <c r="F65">
        <f>IF(COUNT(Resultados!F65,Resultados!O65,Resultados!X65,Resultados!AG65)=0, "", AVERAGE(ABS(Resultados!F65),ABS(Resultados!O65),ABS(Resultados!X65),ABS(Resultados!AG65)))</f>
        <v>2197.7507944507161</v>
      </c>
      <c r="G65">
        <f>IF(COUNT(Resultados!G65,Resultados!P65,Resultados!Y65,Resultados!AH65)=0, "", AVERAGE(ABS(Resultados!G65),ABS(Resultados!P65),ABS(Resultados!Y65),ABS(Resultados!AH65)))</f>
        <v>9.0579999999999998</v>
      </c>
      <c r="H65">
        <f>IF(COUNT(Resultados!H65,Resultados!Q65,Resultados!Z65,Resultados!AI65)=0, "", AVERAGE(ABS(Resultados!H65),ABS(Resultados!Q65),ABS(Resultados!Z65),ABS(Resultados!AI65)))</f>
        <v>1.575E-2</v>
      </c>
      <c r="I65">
        <f>IF(COUNT(Resultados!I65,Resultados!R65,Resultados!AA65,Resultados!AJ65)=0, "", AVERAGE(ABS(Resultados!I65),ABS(Resultados!R65),ABS(Resultados!AA65),ABS(Resultados!AJ65)))</f>
        <v>12.700274999999991</v>
      </c>
      <c r="J65">
        <v>1.575E-2</v>
      </c>
      <c r="K65">
        <v>3.1249999999999997E-3</v>
      </c>
    </row>
    <row r="66" spans="1:11" x14ac:dyDescent="0.3">
      <c r="A66" t="str">
        <f>IF(COUNT(Resultados!A66,Resultados!J66,Resultados!S66,Resultados!AB66)=0, "", AVERAGE(ABS(Resultados!A66),ABS(Resultados!J66),ABS(Resultados!S66),ABS(Resultados!AB66)))</f>
        <v/>
      </c>
      <c r="B66" t="str">
        <f>IF(COUNT(Resultados!B66,Resultados!K66,Resultados!T66,Resultados!AC66)=0, "", AVERAGE(ABS(Resultados!B66),ABS(Resultados!K66),ABS(Resultados!T66),ABS(Resultados!AC66)))</f>
        <v/>
      </c>
      <c r="C66">
        <f>IF(COUNT(Resultados!C66,Resultados!L66,Resultados!U66,Resultados!AD66)=0, "", AVERAGE(ABS(Resultados!C66),ABS(Resultados!L66),ABS(Resultados!U66),ABS(Resultados!AD66)))</f>
        <v>75.25</v>
      </c>
      <c r="D66">
        <f>IF(COUNT(Resultados!D66,Resultados!M66,Resultados!V66,Resultados!AE66)=0, "", AVERAGE(ABS(Resultados!D66),ABS(Resultados!M66),ABS(Resultados!V66),ABS(Resultados!AE66)))</f>
        <v>5.2499999999999995E-3</v>
      </c>
      <c r="E66">
        <f>IF(COUNT(Resultados!E66,Resultados!N66,Resultados!W66,Resultados!AF66)=0, "", AVERAGE(ABS(Resultados!E66),ABS(Resultados!N66),ABS(Resultados!W66),ABS(Resultados!AF66)))</f>
        <v>23.539266796778598</v>
      </c>
      <c r="F66">
        <f>IF(COUNT(Resultados!F66,Resultados!O66,Resultados!X66,Resultados!AG66)=0, "", AVERAGE(ABS(Resultados!F66),ABS(Resultados!O66),ABS(Resultados!X66),ABS(Resultados!AG66)))</f>
        <v>2292.2254791920682</v>
      </c>
      <c r="G66">
        <f>IF(COUNT(Resultados!G66,Resultados!P66,Resultados!Y66,Resultados!AH66)=0, "", AVERAGE(ABS(Resultados!G66),ABS(Resultados!P66),ABS(Resultados!Y66),ABS(Resultados!AH66)))</f>
        <v>9.0579999999999998</v>
      </c>
      <c r="H66">
        <f>IF(COUNT(Resultados!H66,Resultados!Q66,Resultados!Z66,Resultados!AI66)=0, "", AVERAGE(ABS(Resultados!H66),ABS(Resultados!Q66),ABS(Resultados!Z66),ABS(Resultados!AI66)))</f>
        <v>3.15E-2</v>
      </c>
      <c r="I66">
        <f>IF(COUNT(Resultados!I66,Resultados!R66,Resultados!AA66,Resultados!AJ66)=0, "", AVERAGE(ABS(Resultados!I66),ABS(Resultados!R66),ABS(Resultados!AA66),ABS(Resultados!AJ66)))</f>
        <v>12.900600000000011</v>
      </c>
      <c r="J66">
        <v>3.15E-2</v>
      </c>
      <c r="K66">
        <v>5.2499999999999995E-3</v>
      </c>
    </row>
    <row r="67" spans="1:11" x14ac:dyDescent="0.3">
      <c r="A67" t="str">
        <f>IF(COUNT(Resultados!A67,Resultados!J67,Resultados!S67,Resultados!AB67)=0, "", AVERAGE(ABS(Resultados!A67),ABS(Resultados!J67),ABS(Resultados!S67),ABS(Resultados!AB67)))</f>
        <v/>
      </c>
      <c r="B67" t="str">
        <f>IF(COUNT(Resultados!B67,Resultados!K67,Resultados!T67,Resultados!AC67)=0, "", AVERAGE(ABS(Resultados!B67),ABS(Resultados!K67),ABS(Resultados!T67),ABS(Resultados!AC67)))</f>
        <v/>
      </c>
      <c r="C67">
        <f>IF(COUNT(Resultados!C67,Resultados!L67,Resultados!U67,Resultados!AD67)=0, "", AVERAGE(ABS(Resultados!C67),ABS(Resultados!L67),ABS(Resultados!U67),ABS(Resultados!AD67)))</f>
        <v>75.25</v>
      </c>
      <c r="D67">
        <f>IF(COUNT(Resultados!D67,Resultados!M67,Resultados!V67,Resultados!AE67)=0, "", AVERAGE(ABS(Resultados!D67),ABS(Resultados!M67),ABS(Resultados!V67),ABS(Resultados!AE67)))</f>
        <v>1.2424999999999999E-2</v>
      </c>
      <c r="E67">
        <f>IF(COUNT(Resultados!E67,Resultados!N67,Resultados!W67,Resultados!AF67)=0, "", AVERAGE(ABS(Resultados!E67),ABS(Resultados!N67),ABS(Resultados!W67),ABS(Resultados!AF67)))</f>
        <v>25.566620546593018</v>
      </c>
      <c r="F67">
        <f>IF(COUNT(Resultados!F67,Resultados!O67,Resultados!X67,Resultados!AG67)=0, "", AVERAGE(ABS(Resultados!F67),ABS(Resultados!O67),ABS(Resultados!X67),ABS(Resultados!AG67)))</f>
        <v>2509.5406624070738</v>
      </c>
      <c r="G67">
        <f>IF(COUNT(Resultados!G67,Resultados!P67,Resultados!Y67,Resultados!AH67)=0, "", AVERAGE(ABS(Resultados!G67),ABS(Resultados!P67),ABS(Resultados!Y67),ABS(Resultados!AH67)))</f>
        <v>9.0579999999999998</v>
      </c>
      <c r="H67">
        <f>IF(COUNT(Resultados!H67,Resultados!Q67,Resultados!Z67,Resultados!AI67)=0, "", AVERAGE(ABS(Resultados!H67),ABS(Resultados!Q67),ABS(Resultados!Z67),ABS(Resultados!AI67)))</f>
        <v>6.3E-2</v>
      </c>
      <c r="I67">
        <f>IF(COUNT(Resultados!I67,Resultados!R67,Resultados!AA67,Resultados!AJ67)=0, "", AVERAGE(ABS(Resultados!I67),ABS(Resultados!R67),ABS(Resultados!AA67),ABS(Resultados!AJ67)))</f>
        <v>13.1023</v>
      </c>
      <c r="J67">
        <v>6.3E-2</v>
      </c>
      <c r="K67">
        <v>1.2424999999999999E-2</v>
      </c>
    </row>
    <row r="68" spans="1:11" x14ac:dyDescent="0.3">
      <c r="A68" t="str">
        <f>IF(COUNT(Resultados!A68,Resultados!J68,Resultados!S68,Resultados!AB68)=0, "", AVERAGE(ABS(Resultados!A68),ABS(Resultados!J68),ABS(Resultados!S68),ABS(Resultados!AB68)))</f>
        <v/>
      </c>
      <c r="B68" t="str">
        <f>IF(COUNT(Resultados!B68,Resultados!K68,Resultados!T68,Resultados!AC68)=0, "", AVERAGE(ABS(Resultados!B68),ABS(Resultados!K68),ABS(Resultados!T68),ABS(Resultados!AC68)))</f>
        <v/>
      </c>
      <c r="C68">
        <f>IF(COUNT(Resultados!C68,Resultados!L68,Resultados!U68,Resultados!AD68)=0, "", AVERAGE(ABS(Resultados!C68),ABS(Resultados!L68),ABS(Resultados!U68),ABS(Resultados!AD68)))</f>
        <v>75.25</v>
      </c>
      <c r="D68">
        <f>IF(COUNT(Resultados!D68,Resultados!M68,Resultados!V68,Resultados!AE68)=0, "", AVERAGE(ABS(Resultados!D68),ABS(Resultados!M68),ABS(Resultados!V68),ABS(Resultados!AE68)))</f>
        <v>2.3024999999999997E-2</v>
      </c>
      <c r="E68">
        <f>IF(COUNT(Resultados!E68,Resultados!N68,Resultados!W68,Resultados!AF68)=0, "", AVERAGE(ABS(Resultados!E68),ABS(Resultados!N68),ABS(Resultados!W68),ABS(Resultados!AF68)))</f>
        <v>25.566620546593018</v>
      </c>
      <c r="F68">
        <f>IF(COUNT(Resultados!F68,Resultados!O68,Resultados!X68,Resultados!AG68)=0, "", AVERAGE(ABS(Resultados!F68),ABS(Resultados!O68),ABS(Resultados!X68),ABS(Resultados!AG68)))</f>
        <v>2452.8090349424701</v>
      </c>
      <c r="G68">
        <f>IF(COUNT(Resultados!G68,Resultados!P68,Resultados!Y68,Resultados!AH68)=0, "", AVERAGE(ABS(Resultados!G68),ABS(Resultados!P68),ABS(Resultados!Y68),ABS(Resultados!AH68)))</f>
        <v>9.0579999999999998</v>
      </c>
      <c r="H68">
        <f>IF(COUNT(Resultados!H68,Resultados!Q68,Resultados!Z68,Resultados!AI68)=0, "", AVERAGE(ABS(Resultados!H68),ABS(Resultados!Q68),ABS(Resultados!Z68),ABS(Resultados!AI68)))</f>
        <v>6.3E-2</v>
      </c>
      <c r="I68">
        <f>IF(COUNT(Resultados!I68,Resultados!R68,Resultados!AA68,Resultados!AJ68)=0, "", AVERAGE(ABS(Resultados!I68),ABS(Resultados!R68),ABS(Resultados!AA68),ABS(Resultados!AJ68)))</f>
        <v>13.300924999999992</v>
      </c>
      <c r="J68">
        <v>6.3E-2</v>
      </c>
      <c r="K68">
        <v>2.3024999999999997E-2</v>
      </c>
    </row>
    <row r="69" spans="1:11" x14ac:dyDescent="0.3">
      <c r="A69" t="str">
        <f>IF(COUNT(Resultados!A69,Resultados!J69,Resultados!S69,Resultados!AB69)=0, "", AVERAGE(ABS(Resultados!A69),ABS(Resultados!J69),ABS(Resultados!S69),ABS(Resultados!AB69)))</f>
        <v/>
      </c>
      <c r="B69" t="str">
        <f>IF(COUNT(Resultados!B69,Resultados!K69,Resultados!T69,Resultados!AC69)=0, "", AVERAGE(ABS(Resultados!B69),ABS(Resultados!K69),ABS(Resultados!T69),ABS(Resultados!AC69)))</f>
        <v/>
      </c>
      <c r="C69">
        <f>IF(COUNT(Resultados!C69,Resultados!L69,Resultados!U69,Resultados!AD69)=0, "", AVERAGE(ABS(Resultados!C69),ABS(Resultados!L69),ABS(Resultados!U69),ABS(Resultados!AD69)))</f>
        <v>75.25</v>
      </c>
      <c r="D69">
        <f>IF(COUNT(Resultados!D69,Resultados!M69,Resultados!V69,Resultados!AE69)=0, "", AVERAGE(ABS(Resultados!D69),ABS(Resultados!M69),ABS(Resultados!V69),ABS(Resultados!AE69)))</f>
        <v>3.4375000000000003E-2</v>
      </c>
      <c r="E69">
        <f>IF(COUNT(Resultados!E69,Resultados!N69,Resultados!W69,Resultados!AF69)=0, "", AVERAGE(ABS(Resultados!E69),ABS(Resultados!N69),ABS(Resultados!W69),ABS(Resultados!AF69)))</f>
        <v>25.566620546593018</v>
      </c>
      <c r="F69">
        <f>IF(COUNT(Resultados!F69,Resultados!O69,Resultados!X69,Resultados!AG69)=0, "", AVERAGE(ABS(Resultados!F69),ABS(Resultados!O69),ABS(Resultados!X69),ABS(Resultados!AG69)))</f>
        <v>2452.8090349424701</v>
      </c>
      <c r="G69">
        <f>IF(COUNT(Resultados!G69,Resultados!P69,Resultados!Y69,Resultados!AH69)=0, "", AVERAGE(ABS(Resultados!G69),ABS(Resultados!P69),ABS(Resultados!Y69),ABS(Resultados!AH69)))</f>
        <v>9.0579999999999998</v>
      </c>
      <c r="H69">
        <f>IF(COUNT(Resultados!H69,Resultados!Q69,Resultados!Z69,Resultados!AI69)=0, "", AVERAGE(ABS(Resultados!H69),ABS(Resultados!Q69),ABS(Resultados!Z69),ABS(Resultados!AI69)))</f>
        <v>6.3E-2</v>
      </c>
      <c r="I69">
        <f>IF(COUNT(Resultados!I69,Resultados!R69,Resultados!AA69,Resultados!AJ69)=0, "", AVERAGE(ABS(Resultados!I69),ABS(Resultados!R69),ABS(Resultados!AA69),ABS(Resultados!AJ69)))</f>
        <v>13.500899999999987</v>
      </c>
      <c r="J69">
        <v>6.3E-2</v>
      </c>
      <c r="K69">
        <v>3.4375000000000003E-2</v>
      </c>
    </row>
    <row r="70" spans="1:11" x14ac:dyDescent="0.3">
      <c r="A70" t="str">
        <f>IF(COUNT(Resultados!A70,Resultados!J70,Resultados!S70,Resultados!AB70)=0, "", AVERAGE(ABS(Resultados!A70),ABS(Resultados!J70),ABS(Resultados!S70),ABS(Resultados!AB70)))</f>
        <v/>
      </c>
      <c r="B70" t="str">
        <f>IF(COUNT(Resultados!B70,Resultados!K70,Resultados!T70,Resultados!AC70)=0, "", AVERAGE(ABS(Resultados!B70),ABS(Resultados!K70),ABS(Resultados!T70),ABS(Resultados!AC70)))</f>
        <v/>
      </c>
      <c r="C70">
        <f>IF(COUNT(Resultados!C70,Resultados!L70,Resultados!U70,Resultados!AD70)=0, "", AVERAGE(ABS(Resultados!C70),ABS(Resultados!L70),ABS(Resultados!U70),ABS(Resultados!AD70)))</f>
        <v>75.25</v>
      </c>
      <c r="D70">
        <f>IF(COUNT(Resultados!D70,Resultados!M70,Resultados!V70,Resultados!AE70)=0, "", AVERAGE(ABS(Resultados!D70),ABS(Resultados!M70),ABS(Resultados!V70),ABS(Resultados!AE70)))</f>
        <v>3.7399999999999996E-2</v>
      </c>
      <c r="E70">
        <f>IF(COUNT(Resultados!E70,Resultados!N70,Resultados!W70,Resultados!AF70)=0, "", AVERAGE(ABS(Resultados!E70),ABS(Resultados!N70),ABS(Resultados!W70),ABS(Resultados!AF70)))</f>
        <v>25.566620546593018</v>
      </c>
      <c r="F70">
        <f>IF(COUNT(Resultados!F70,Resultados!O70,Resultados!X70,Resultados!AG70)=0, "", AVERAGE(ABS(Resultados!F70),ABS(Resultados!O70),ABS(Resultados!X70),ABS(Resultados!AG70)))</f>
        <v>2452.8090349424701</v>
      </c>
      <c r="G70">
        <f>IF(COUNT(Resultados!G70,Resultados!P70,Resultados!Y70,Resultados!AH70)=0, "", AVERAGE(ABS(Resultados!G70),ABS(Resultados!P70),ABS(Resultados!Y70),ABS(Resultados!AH70)))</f>
        <v>9.0579999999999998</v>
      </c>
      <c r="H70">
        <f>IF(COUNT(Resultados!H70,Resultados!Q70,Resultados!Z70,Resultados!AI70)=0, "", AVERAGE(ABS(Resultados!H70),ABS(Resultados!Q70),ABS(Resultados!Z70),ABS(Resultados!AI70)))</f>
        <v>6.3E-2</v>
      </c>
      <c r="I70">
        <f>IF(COUNT(Resultados!I70,Resultados!R70,Resultados!AA70,Resultados!AJ70)=0, "", AVERAGE(ABS(Resultados!I70),ABS(Resultados!R70),ABS(Resultados!AA70),ABS(Resultados!AJ70)))</f>
        <v>13.701349999999991</v>
      </c>
      <c r="J70">
        <v>6.3E-2</v>
      </c>
      <c r="K70">
        <v>3.7399999999999996E-2</v>
      </c>
    </row>
    <row r="71" spans="1:11" x14ac:dyDescent="0.3">
      <c r="A71" t="str">
        <f>IF(COUNT(Resultados!A71,Resultados!J71,Resultados!S71,Resultados!AB71)=0, "", AVERAGE(ABS(Resultados!A71),ABS(Resultados!J71),ABS(Resultados!S71),ABS(Resultados!AB71)))</f>
        <v/>
      </c>
      <c r="B71" t="str">
        <f>IF(COUNT(Resultados!B71,Resultados!K71,Resultados!T71,Resultados!AC71)=0, "", AVERAGE(ABS(Resultados!B71),ABS(Resultados!K71),ABS(Resultados!T71),ABS(Resultados!AC71)))</f>
        <v/>
      </c>
      <c r="C71">
        <f>IF(COUNT(Resultados!C71,Resultados!L71,Resultados!U71,Resultados!AD71)=0, "", AVERAGE(ABS(Resultados!C71),ABS(Resultados!L71),ABS(Resultados!U71),ABS(Resultados!AD71)))</f>
        <v>75.25</v>
      </c>
      <c r="D71">
        <f>IF(COUNT(Resultados!D71,Resultados!M71,Resultados!V71,Resultados!AE71)=0, "", AVERAGE(ABS(Resultados!D71),ABS(Resultados!M71),ABS(Resultados!V71),ABS(Resultados!AE71)))</f>
        <v>3.8099999999999995E-2</v>
      </c>
      <c r="E71">
        <f>IF(COUNT(Resultados!E71,Resultados!N71,Resultados!W71,Resultados!AF71)=0, "", AVERAGE(ABS(Resultados!E71),ABS(Resultados!N71),ABS(Resultados!W71),ABS(Resultados!AF71)))</f>
        <v>25.566620546593018</v>
      </c>
      <c r="F71">
        <f>IF(COUNT(Resultados!F71,Resultados!O71,Resultados!X71,Resultados!AG71)=0, "", AVERAGE(ABS(Resultados!F71),ABS(Resultados!O71),ABS(Resultados!X71),ABS(Resultados!AG71)))</f>
        <v>2452.8090349424701</v>
      </c>
      <c r="G71">
        <f>IF(COUNT(Resultados!G71,Resultados!P71,Resultados!Y71,Resultados!AH71)=0, "", AVERAGE(ABS(Resultados!G71),ABS(Resultados!P71),ABS(Resultados!Y71),ABS(Resultados!AH71)))</f>
        <v>9.0579999999999998</v>
      </c>
      <c r="H71">
        <f>IF(COUNT(Resultados!H71,Resultados!Q71,Resultados!Z71,Resultados!AI71)=0, "", AVERAGE(ABS(Resultados!H71),ABS(Resultados!Q71),ABS(Resultados!Z71),ABS(Resultados!AI71)))</f>
        <v>6.3E-2</v>
      </c>
      <c r="I71">
        <f>IF(COUNT(Resultados!I71,Resultados!R71,Resultados!AA71,Resultados!AJ71)=0, "", AVERAGE(ABS(Resultados!I71),ABS(Resultados!R71),ABS(Resultados!AA71),ABS(Resultados!AJ71)))</f>
        <v>13.902074999999996</v>
      </c>
      <c r="J71">
        <v>6.3E-2</v>
      </c>
      <c r="K71">
        <v>3.8099999999999995E-2</v>
      </c>
    </row>
    <row r="72" spans="1:11" x14ac:dyDescent="0.3">
      <c r="A72" t="str">
        <f>IF(COUNT(Resultados!A72,Resultados!J72,Resultados!S72,Resultados!AB72)=0, "", AVERAGE(ABS(Resultados!A72),ABS(Resultados!J72),ABS(Resultados!S72),ABS(Resultados!AB72)))</f>
        <v/>
      </c>
      <c r="B72" t="str">
        <f>IF(COUNT(Resultados!B72,Resultados!K72,Resultados!T72,Resultados!AC72)=0, "", AVERAGE(ABS(Resultados!B72),ABS(Resultados!K72),ABS(Resultados!T72),ABS(Resultados!AC72)))</f>
        <v/>
      </c>
      <c r="C72">
        <f>IF(COUNT(Resultados!C72,Resultados!L72,Resultados!U72,Resultados!AD72)=0, "", AVERAGE(ABS(Resultados!C72),ABS(Resultados!L72),ABS(Resultados!U72),ABS(Resultados!AD72)))</f>
        <v>75.25</v>
      </c>
      <c r="D72">
        <f>IF(COUNT(Resultados!D72,Resultados!M72,Resultados!V72,Resultados!AE72)=0, "", AVERAGE(ABS(Resultados!D72),ABS(Resultados!M72),ABS(Resultados!V72),ABS(Resultados!AE72)))</f>
        <v>3.8175000000000001E-2</v>
      </c>
      <c r="E72">
        <f>IF(COUNT(Resultados!E72,Resultados!N72,Resultados!W72,Resultados!AF72)=0, "", AVERAGE(ABS(Resultados!E72),ABS(Resultados!N72),ABS(Resultados!W72),ABS(Resultados!AF72)))</f>
        <v>25.566620546593018</v>
      </c>
      <c r="F72">
        <f>IF(COUNT(Resultados!F72,Resultados!O72,Resultados!X72,Resultados!AG72)=0, "", AVERAGE(ABS(Resultados!F72),ABS(Resultados!O72),ABS(Resultados!X72),ABS(Resultados!AG72)))</f>
        <v>2452.8090349424701</v>
      </c>
      <c r="G72">
        <f>IF(COUNT(Resultados!G72,Resultados!P72,Resultados!Y72,Resultados!AH72)=0, "", AVERAGE(ABS(Resultados!G72),ABS(Resultados!P72),ABS(Resultados!Y72),ABS(Resultados!AH72)))</f>
        <v>9.0579999999999998</v>
      </c>
      <c r="H72">
        <f>IF(COUNT(Resultados!H72,Resultados!Q72,Resultados!Z72,Resultados!AI72)=0, "", AVERAGE(ABS(Resultados!H72),ABS(Resultados!Q72),ABS(Resultados!Z72),ABS(Resultados!AI72)))</f>
        <v>6.3E-2</v>
      </c>
      <c r="I72">
        <f>IF(COUNT(Resultados!I72,Resultados!R72,Resultados!AA72,Resultados!AJ72)=0, "", AVERAGE(ABS(Resultados!I72),ABS(Resultados!R72),ABS(Resultados!AA72),ABS(Resultados!AJ72)))</f>
        <v>14.100724999999983</v>
      </c>
      <c r="J72">
        <v>6.3E-2</v>
      </c>
      <c r="K72">
        <v>3.8175000000000001E-2</v>
      </c>
    </row>
    <row r="73" spans="1:11" x14ac:dyDescent="0.3">
      <c r="A73" t="str">
        <f>IF(COUNT(Resultados!A73,Resultados!J73,Resultados!S73,Resultados!AB73)=0, "", AVERAGE(ABS(Resultados!A73),ABS(Resultados!J73),ABS(Resultados!S73),ABS(Resultados!AB73)))</f>
        <v/>
      </c>
      <c r="B73" t="str">
        <f>IF(COUNT(Resultados!B73,Resultados!K73,Resultados!T73,Resultados!AC73)=0, "", AVERAGE(ABS(Resultados!B73),ABS(Resultados!K73),ABS(Resultados!T73),ABS(Resultados!AC73)))</f>
        <v/>
      </c>
      <c r="C73">
        <f>IF(COUNT(Resultados!C73,Resultados!L73,Resultados!U73,Resultados!AD73)=0, "", AVERAGE(ABS(Resultados!C73),ABS(Resultados!L73),ABS(Resultados!U73),ABS(Resultados!AD73)))</f>
        <v>75.25</v>
      </c>
      <c r="D73">
        <f>IF(COUNT(Resultados!D73,Resultados!M73,Resultados!V73,Resultados!AE73)=0, "", AVERAGE(ABS(Resultados!D73),ABS(Resultados!M73),ABS(Resultados!V73),ABS(Resultados!AE73)))</f>
        <v>3.8225000000000002E-2</v>
      </c>
      <c r="E73">
        <f>IF(COUNT(Resultados!E73,Resultados!N73,Resultados!W73,Resultados!AF73)=0, "", AVERAGE(ABS(Resultados!E73),ABS(Resultados!N73),ABS(Resultados!W73),ABS(Resultados!AF73)))</f>
        <v>25.566620546593018</v>
      </c>
      <c r="F73">
        <f>IF(COUNT(Resultados!F73,Resultados!O73,Resultados!X73,Resultados!AG73)=0, "", AVERAGE(ABS(Resultados!F73),ABS(Resultados!O73),ABS(Resultados!X73),ABS(Resultados!AG73)))</f>
        <v>2452.8090349424701</v>
      </c>
      <c r="G73">
        <f>IF(COUNT(Resultados!G73,Resultados!P73,Resultados!Y73,Resultados!AH73)=0, "", AVERAGE(ABS(Resultados!G73),ABS(Resultados!P73),ABS(Resultados!Y73),ABS(Resultados!AH73)))</f>
        <v>9.0579999999999998</v>
      </c>
      <c r="H73">
        <f>IF(COUNT(Resultados!H73,Resultados!Q73,Resultados!Z73,Resultados!AI73)=0, "", AVERAGE(ABS(Resultados!H73),ABS(Resultados!Q73),ABS(Resultados!Z73),ABS(Resultados!AI73)))</f>
        <v>6.3E-2</v>
      </c>
      <c r="I73">
        <f>IF(COUNT(Resultados!I73,Resultados!R73,Resultados!AA73,Resultados!AJ73)=0, "", AVERAGE(ABS(Resultados!I73),ABS(Resultados!R73),ABS(Resultados!AA73),ABS(Resultados!AJ73)))</f>
        <v>14.301649999999995</v>
      </c>
      <c r="J73">
        <v>6.3E-2</v>
      </c>
      <c r="K73">
        <v>3.8225000000000002E-2</v>
      </c>
    </row>
    <row r="74" spans="1:11" x14ac:dyDescent="0.3">
      <c r="A74" t="str">
        <f>IF(COUNT(Resultados!A74,Resultados!J74,Resultados!S74,Resultados!AB74)=0, "", AVERAGE(ABS(Resultados!A74),ABS(Resultados!J74),ABS(Resultados!S74),ABS(Resultados!AB74)))</f>
        <v/>
      </c>
      <c r="B74" t="str">
        <f>IF(COUNT(Resultados!B74,Resultados!K74,Resultados!T74,Resultados!AC74)=0, "", AVERAGE(ABS(Resultados!B74),ABS(Resultados!K74),ABS(Resultados!T74),ABS(Resultados!AC74)))</f>
        <v/>
      </c>
      <c r="C74">
        <f>IF(COUNT(Resultados!C74,Resultados!L74,Resultados!U74,Resultados!AD74)=0, "", AVERAGE(ABS(Resultados!C74),ABS(Resultados!L74),ABS(Resultados!U74),ABS(Resultados!AD74)))</f>
        <v>75.25</v>
      </c>
      <c r="D74">
        <f>IF(COUNT(Resultados!D74,Resultados!M74,Resultados!V74,Resultados!AE74)=0, "", AVERAGE(ABS(Resultados!D74),ABS(Resultados!M74),ABS(Resultados!V74),ABS(Resultados!AE74)))</f>
        <v>3.8199999999999998E-2</v>
      </c>
      <c r="E74">
        <f>IF(COUNT(Resultados!E74,Resultados!N74,Resultados!W74,Resultados!AF74)=0, "", AVERAGE(ABS(Resultados!E74),ABS(Resultados!N74),ABS(Resultados!W74),ABS(Resultados!AF74)))</f>
        <v>25.566620546593018</v>
      </c>
      <c r="F74">
        <f>IF(COUNT(Resultados!F74,Resultados!O74,Resultados!X74,Resultados!AG74)=0, "", AVERAGE(ABS(Resultados!F74),ABS(Resultados!O74),ABS(Resultados!X74),ABS(Resultados!AG74)))</f>
        <v>2452.8090349424701</v>
      </c>
      <c r="G74">
        <f>IF(COUNT(Resultados!G74,Resultados!P74,Resultados!Y74,Resultados!AH74)=0, "", AVERAGE(ABS(Resultados!G74),ABS(Resultados!P74),ABS(Resultados!Y74),ABS(Resultados!AH74)))</f>
        <v>9.0579999999999998</v>
      </c>
      <c r="H74">
        <f>IF(COUNT(Resultados!H74,Resultados!Q74,Resultados!Z74,Resultados!AI74)=0, "", AVERAGE(ABS(Resultados!H74),ABS(Resultados!Q74),ABS(Resultados!Z74),ABS(Resultados!AI74)))</f>
        <v>6.3E-2</v>
      </c>
      <c r="I74">
        <f>IF(COUNT(Resultados!I74,Resultados!R74,Resultados!AA74,Resultados!AJ74)=0, "", AVERAGE(ABS(Resultados!I74),ABS(Resultados!R74),ABS(Resultados!AA74),ABS(Resultados!AJ74)))</f>
        <v>14.500974999999997</v>
      </c>
      <c r="J74">
        <v>6.3E-2</v>
      </c>
      <c r="K74">
        <v>3.8199999999999998E-2</v>
      </c>
    </row>
    <row r="75" spans="1:11" x14ac:dyDescent="0.3">
      <c r="A75" t="str">
        <f>IF(COUNT(Resultados!A75,Resultados!J75,Resultados!S75,Resultados!AB75)=0, "", AVERAGE(ABS(Resultados!A75),ABS(Resultados!J75),ABS(Resultados!S75),ABS(Resultados!AB75)))</f>
        <v/>
      </c>
      <c r="B75" t="str">
        <f>IF(COUNT(Resultados!B75,Resultados!K75,Resultados!T75,Resultados!AC75)=0, "", AVERAGE(ABS(Resultados!B75),ABS(Resultados!K75),ABS(Resultados!T75),ABS(Resultados!AC75)))</f>
        <v/>
      </c>
      <c r="C75">
        <f>IF(COUNT(Resultados!C75,Resultados!L75,Resultados!U75,Resultados!AD75)=0, "", AVERAGE(ABS(Resultados!C75),ABS(Resultados!L75),ABS(Resultados!U75),ABS(Resultados!AD75)))</f>
        <v>75.25</v>
      </c>
      <c r="D75">
        <f>IF(COUNT(Resultados!D75,Resultados!M75,Resultados!V75,Resultados!AE75)=0, "", AVERAGE(ABS(Resultados!D75),ABS(Resultados!M75),ABS(Resultados!V75),ABS(Resultados!AE75)))</f>
        <v>3.8199999999999998E-2</v>
      </c>
      <c r="E75">
        <f>IF(COUNT(Resultados!E75,Resultados!N75,Resultados!W75,Resultados!AF75)=0, "", AVERAGE(ABS(Resultados!E75),ABS(Resultados!N75),ABS(Resultados!W75),ABS(Resultados!AF75)))</f>
        <v>24.55294367168581</v>
      </c>
      <c r="F75">
        <f>IF(COUNT(Resultados!F75,Resultados!O75,Resultados!X75,Resultados!AG75)=0, "", AVERAGE(ABS(Resultados!F75),ABS(Resultados!O75),ABS(Resultados!X75),ABS(Resultados!AG75)))</f>
        <v>2358.3343502011185</v>
      </c>
      <c r="G75">
        <f>IF(COUNT(Resultados!G75,Resultados!P75,Resultados!Y75,Resultados!AH75)=0, "", AVERAGE(ABS(Resultados!G75),ABS(Resultados!P75),ABS(Resultados!Y75),ABS(Resultados!AH75)))</f>
        <v>9.0579999999999998</v>
      </c>
      <c r="H75">
        <f>IF(COUNT(Resultados!H75,Resultados!Q75,Resultados!Z75,Resultados!AI75)=0, "", AVERAGE(ABS(Resultados!H75),ABS(Resultados!Q75),ABS(Resultados!Z75),ABS(Resultados!AI75)))</f>
        <v>4.725E-2</v>
      </c>
      <c r="I75">
        <f>IF(COUNT(Resultados!I75,Resultados!R75,Resultados!AA75,Resultados!AJ75)=0, "", AVERAGE(ABS(Resultados!I75),ABS(Resultados!R75),ABS(Resultados!AA75),ABS(Resultados!AJ75)))</f>
        <v>14.70174999999999</v>
      </c>
      <c r="J75">
        <v>4.725E-2</v>
      </c>
      <c r="K75">
        <v>3.8199999999999998E-2</v>
      </c>
    </row>
    <row r="76" spans="1:11" x14ac:dyDescent="0.3">
      <c r="A76" t="str">
        <f>IF(COUNT(Resultados!A76,Resultados!J76,Resultados!S76,Resultados!AB76)=0, "", AVERAGE(ABS(Resultados!A76),ABS(Resultados!J76),ABS(Resultados!S76),ABS(Resultados!AB76)))</f>
        <v/>
      </c>
      <c r="B76" t="str">
        <f>IF(COUNT(Resultados!B76,Resultados!K76,Resultados!T76,Resultados!AC76)=0, "", AVERAGE(ABS(Resultados!B76),ABS(Resultados!K76),ABS(Resultados!T76),ABS(Resultados!AC76)))</f>
        <v/>
      </c>
      <c r="C76">
        <f>IF(COUNT(Resultados!C76,Resultados!L76,Resultados!U76,Resultados!AD76)=0, "", AVERAGE(ABS(Resultados!C76),ABS(Resultados!L76),ABS(Resultados!U76),ABS(Resultados!AD76)))</f>
        <v>75.25</v>
      </c>
      <c r="D76">
        <f>IF(COUNT(Resultados!D76,Resultados!M76,Resultados!V76,Resultados!AE76)=0, "", AVERAGE(ABS(Resultados!D76),ABS(Resultados!M76),ABS(Resultados!V76),ABS(Resultados!AE76)))</f>
        <v>3.6650000000000002E-2</v>
      </c>
      <c r="E76">
        <f>IF(COUNT(Resultados!E76,Resultados!N76,Resultados!W76,Resultados!AF76)=0, "", AVERAGE(ABS(Resultados!E76),ABS(Resultados!N76),ABS(Resultados!W76),ABS(Resultados!AF76)))</f>
        <v>24.55294367168581</v>
      </c>
      <c r="F76">
        <f>IF(COUNT(Resultados!F76,Resultados!O76,Resultados!X76,Resultados!AG76)=0, "", AVERAGE(ABS(Resultados!F76),ABS(Resultados!O76),ABS(Resultados!X76),ABS(Resultados!AG76)))</f>
        <v>2358.3343502011185</v>
      </c>
      <c r="G76">
        <f>IF(COUNT(Resultados!G76,Resultados!P76,Resultados!Y76,Resultados!AH76)=0, "", AVERAGE(ABS(Resultados!G76),ABS(Resultados!P76),ABS(Resultados!Y76),ABS(Resultados!AH76)))</f>
        <v>9.0579999999999998</v>
      </c>
      <c r="H76">
        <f>IF(COUNT(Resultados!H76,Resultados!Q76,Resultados!Z76,Resultados!AI76)=0, "", AVERAGE(ABS(Resultados!H76),ABS(Resultados!Q76),ABS(Resultados!Z76),ABS(Resultados!AI76)))</f>
        <v>4.725E-2</v>
      </c>
      <c r="I76">
        <f>IF(COUNT(Resultados!I76,Resultados!R76,Resultados!AA76,Resultados!AJ76)=0, "", AVERAGE(ABS(Resultados!I76),ABS(Resultados!R76),ABS(Resultados!AA76),ABS(Resultados!AJ76)))</f>
        <v>14.901250000000005</v>
      </c>
      <c r="J76">
        <v>4.725E-2</v>
      </c>
      <c r="K76">
        <v>3.6650000000000002E-2</v>
      </c>
    </row>
    <row r="77" spans="1:11" x14ac:dyDescent="0.3">
      <c r="A77" t="str">
        <f>IF(COUNT(Resultados!A77,Resultados!J77,Resultados!S77,Resultados!AB77)=0, "", AVERAGE(ABS(Resultados!A77),ABS(Resultados!J77),ABS(Resultados!S77),ABS(Resultados!AB77)))</f>
        <v/>
      </c>
      <c r="B77" t="str">
        <f>IF(COUNT(Resultados!B77,Resultados!K77,Resultados!T77,Resultados!AC77)=0, "", AVERAGE(ABS(Resultados!B77),ABS(Resultados!K77),ABS(Resultados!T77),ABS(Resultados!AC77)))</f>
        <v/>
      </c>
      <c r="C77">
        <f>IF(COUNT(Resultados!C77,Resultados!L77,Resultados!U77,Resultados!AD77)=0, "", AVERAGE(ABS(Resultados!C77),ABS(Resultados!L77),ABS(Resultados!U77),ABS(Resultados!AD77)))</f>
        <v>75.25</v>
      </c>
      <c r="D77">
        <f>IF(COUNT(Resultados!D77,Resultados!M77,Resultados!V77,Resultados!AE77)=0, "", AVERAGE(ABS(Resultados!D77),ABS(Resultados!M77),ABS(Resultados!V77),ABS(Resultados!AE77)))</f>
        <v>3.3250000000000002E-2</v>
      </c>
      <c r="E77">
        <f>IF(COUNT(Resultados!E77,Resultados!N77,Resultados!W77,Resultados!AF77)=0, "", AVERAGE(ABS(Resultados!E77),ABS(Resultados!N77),ABS(Resultados!W77),ABS(Resultados!AF77)))</f>
        <v>21.511913046964182</v>
      </c>
      <c r="F77">
        <f>IF(COUNT(Resultados!F77,Resultados!O77,Resultados!X77,Resultados!AG77)=0, "", AVERAGE(ABS(Resultados!F77),ABS(Resultados!O77),ABS(Resultados!X77),ABS(Resultados!AG77)))</f>
        <v>2074.9102959770621</v>
      </c>
      <c r="G77">
        <f>IF(COUNT(Resultados!G77,Resultados!P77,Resultados!Y77,Resultados!AH77)=0, "", AVERAGE(ABS(Resultados!G77),ABS(Resultados!P77),ABS(Resultados!Y77),ABS(Resultados!AH77)))</f>
        <v>9.0579999999999998</v>
      </c>
      <c r="H77">
        <f>IF(COUNT(Resultados!H77,Resultados!Q77,Resultados!Z77,Resultados!AI77)=0, "", AVERAGE(ABS(Resultados!H77),ABS(Resultados!Q77),ABS(Resultados!Z77),ABS(Resultados!AI77)))</f>
        <v>0</v>
      </c>
      <c r="I77">
        <f>IF(COUNT(Resultados!I77,Resultados!R77,Resultados!AA77,Resultados!AJ77)=0, "", AVERAGE(ABS(Resultados!I77),ABS(Resultados!R77),ABS(Resultados!AA77),ABS(Resultados!AJ77)))</f>
        <v>15.10052499999999</v>
      </c>
      <c r="J77">
        <v>0</v>
      </c>
      <c r="K77">
        <v>3.3250000000000002E-2</v>
      </c>
    </row>
    <row r="78" spans="1:11" x14ac:dyDescent="0.3">
      <c r="A78" t="str">
        <f>IF(COUNT(Resultados!A78,Resultados!J78,Resultados!S78,Resultados!AB78)=0, "", AVERAGE(ABS(Resultados!A78),ABS(Resultados!J78),ABS(Resultados!S78),ABS(Resultados!AB78)))</f>
        <v/>
      </c>
      <c r="B78" t="str">
        <f>IF(COUNT(Resultados!B78,Resultados!K78,Resultados!T78,Resultados!AC78)=0, "", AVERAGE(ABS(Resultados!B78),ABS(Resultados!K78),ABS(Resultados!T78),ABS(Resultados!AC78)))</f>
        <v/>
      </c>
      <c r="C78">
        <f>IF(COUNT(Resultados!C78,Resultados!L78,Resultados!U78,Resultados!AD78)=0, "", AVERAGE(ABS(Resultados!C78),ABS(Resultados!L78),ABS(Resultados!U78),ABS(Resultados!AD78)))</f>
        <v>75.25</v>
      </c>
      <c r="D78">
        <f>IF(COUNT(Resultados!D78,Resultados!M78,Resultados!V78,Resultados!AE78)=0, "", AVERAGE(ABS(Resultados!D78),ABS(Resultados!M78),ABS(Resultados!V78),ABS(Resultados!AE78)))</f>
        <v>2.5899999999999999E-2</v>
      </c>
      <c r="E78">
        <f>IF(COUNT(Resultados!E78,Resultados!N78,Resultados!W78,Resultados!AF78)=0, "", AVERAGE(ABS(Resultados!E78),ABS(Resultados!N78),ABS(Resultados!W78),ABS(Resultados!AF78)))</f>
        <v>21.511913046964182</v>
      </c>
      <c r="F78">
        <f>IF(COUNT(Resultados!F78,Resultados!O78,Resultados!X78,Resultados!AG78)=0, "", AVERAGE(ABS(Resultados!F78),ABS(Resultados!O78),ABS(Resultados!X78),ABS(Resultados!AG78)))</f>
        <v>2074.9102959770621</v>
      </c>
      <c r="G78">
        <f>IF(COUNT(Resultados!G78,Resultados!P78,Resultados!Y78,Resultados!AH78)=0, "", AVERAGE(ABS(Resultados!G78),ABS(Resultados!P78),ABS(Resultados!Y78),ABS(Resultados!AH78)))</f>
        <v>9.0579999999999998</v>
      </c>
      <c r="H78">
        <f>IF(COUNT(Resultados!H78,Resultados!Q78,Resultados!Z78,Resultados!AI78)=0, "", AVERAGE(ABS(Resultados!H78),ABS(Resultados!Q78),ABS(Resultados!Z78),ABS(Resultados!AI78)))</f>
        <v>0</v>
      </c>
      <c r="I78">
        <f>IF(COUNT(Resultados!I78,Resultados!R78,Resultados!AA78,Resultados!AJ78)=0, "", AVERAGE(ABS(Resultados!I78),ABS(Resultados!R78),ABS(Resultados!AA78),ABS(Resultados!AJ78)))</f>
        <v>15.300775000000016</v>
      </c>
      <c r="J78">
        <v>0</v>
      </c>
      <c r="K78">
        <v>2.5899999999999999E-2</v>
      </c>
    </row>
    <row r="79" spans="1:11" x14ac:dyDescent="0.3">
      <c r="A79" t="str">
        <f>IF(COUNT(Resultados!A79,Resultados!J79,Resultados!S79,Resultados!AB79)=0, "", AVERAGE(ABS(Resultados!A79),ABS(Resultados!J79),ABS(Resultados!S79),ABS(Resultados!AB79)))</f>
        <v/>
      </c>
      <c r="B79" t="str">
        <f>IF(COUNT(Resultados!B79,Resultados!K79,Resultados!T79,Resultados!AC79)=0, "", AVERAGE(ABS(Resultados!B79),ABS(Resultados!K79),ABS(Resultados!T79),ABS(Resultados!AC79)))</f>
        <v/>
      </c>
      <c r="C79">
        <f>IF(COUNT(Resultados!C79,Resultados!L79,Resultados!U79,Resultados!AD79)=0, "", AVERAGE(ABS(Resultados!C79),ABS(Resultados!L79),ABS(Resultados!U79),ABS(Resultados!AD79)))</f>
        <v>75.25</v>
      </c>
      <c r="D79">
        <f>IF(COUNT(Resultados!D79,Resultados!M79,Resultados!V79,Resultados!AE79)=0, "", AVERAGE(ABS(Resultados!D79),ABS(Resultados!M79),ABS(Resultados!V79),ABS(Resultados!AE79)))</f>
        <v>1.3825E-2</v>
      </c>
      <c r="E79">
        <f>IF(COUNT(Resultados!E79,Resultados!N79,Resultados!W79,Resultados!AF79)=0, "", AVERAGE(ABS(Resultados!E79),ABS(Resultados!N79),ABS(Resultados!W79),ABS(Resultados!AF79)))</f>
        <v>21.511913046964182</v>
      </c>
      <c r="F79">
        <f>IF(COUNT(Resultados!F79,Resultados!O79,Resultados!X79,Resultados!AG79)=0, "", AVERAGE(ABS(Resultados!F79),ABS(Resultados!O79),ABS(Resultados!X79),ABS(Resultados!AG79)))</f>
        <v>2074.9102959770621</v>
      </c>
      <c r="G79">
        <f>IF(COUNT(Resultados!G79,Resultados!P79,Resultados!Y79,Resultados!AH79)=0, "", AVERAGE(ABS(Resultados!G79),ABS(Resultados!P79),ABS(Resultados!Y79),ABS(Resultados!AH79)))</f>
        <v>9.0579999999999998</v>
      </c>
      <c r="H79">
        <f>IF(COUNT(Resultados!H79,Resultados!Q79,Resultados!Z79,Resultados!AI79)=0, "", AVERAGE(ABS(Resultados!H79),ABS(Resultados!Q79),ABS(Resultados!Z79),ABS(Resultados!AI79)))</f>
        <v>0</v>
      </c>
      <c r="I79">
        <f>IF(COUNT(Resultados!I79,Resultados!R79,Resultados!AA79,Resultados!AJ79)=0, "", AVERAGE(ABS(Resultados!I79),ABS(Resultados!R79),ABS(Resultados!AA79),ABS(Resultados!AJ79)))</f>
        <v>15.500799999999998</v>
      </c>
      <c r="J79">
        <v>0</v>
      </c>
      <c r="K79">
        <v>1.3825E-2</v>
      </c>
    </row>
    <row r="80" spans="1:11" x14ac:dyDescent="0.3">
      <c r="A80" t="str">
        <f>IF(COUNT(Resultados!A80,Resultados!J80,Resultados!S80,Resultados!AB80)=0, "", AVERAGE(ABS(Resultados!A80),ABS(Resultados!J80),ABS(Resultados!S80),ABS(Resultados!AB80)))</f>
        <v/>
      </c>
      <c r="B80" t="str">
        <f>IF(COUNT(Resultados!B80,Resultados!K80,Resultados!T80,Resultados!AC80)=0, "", AVERAGE(ABS(Resultados!B80),ABS(Resultados!K80),ABS(Resultados!T80),ABS(Resultados!AC80)))</f>
        <v/>
      </c>
      <c r="C80">
        <f>IF(COUNT(Resultados!C80,Resultados!L80,Resultados!U80,Resultados!AD80)=0, "", AVERAGE(ABS(Resultados!C80),ABS(Resultados!L80),ABS(Resultados!U80),ABS(Resultados!AD80)))</f>
        <v>75.25</v>
      </c>
      <c r="D80">
        <f>IF(COUNT(Resultados!D80,Resultados!M80,Resultados!V80,Resultados!AE80)=0, "", AVERAGE(ABS(Resultados!D80),ABS(Resultados!M80),ABS(Resultados!V80),ABS(Resultados!AE80)))</f>
        <v>4.7749999999999997E-3</v>
      </c>
      <c r="E80">
        <f>IF(COUNT(Resultados!E80,Resultados!N80,Resultados!W80,Resultados!AF80)=0, "", AVERAGE(ABS(Resultados!E80),ABS(Resultados!N80),ABS(Resultados!W80),ABS(Resultados!AF80)))</f>
        <v>21.511913046964182</v>
      </c>
      <c r="F80">
        <f>IF(COUNT(Resultados!F80,Resultados!O80,Resultados!X80,Resultados!AG80)=0, "", AVERAGE(ABS(Resultados!F80),ABS(Resultados!O80),ABS(Resultados!X80),ABS(Resultados!AG80)))</f>
        <v>2074.9102959770621</v>
      </c>
      <c r="G80">
        <f>IF(COUNT(Resultados!G80,Resultados!P80,Resultados!Y80,Resultados!AH80)=0, "", AVERAGE(ABS(Resultados!G80),ABS(Resultados!P80),ABS(Resultados!Y80),ABS(Resultados!AH80)))</f>
        <v>9.0579999999999998</v>
      </c>
      <c r="H80">
        <f>IF(COUNT(Resultados!H80,Resultados!Q80,Resultados!Z80,Resultados!AI80)=0, "", AVERAGE(ABS(Resultados!H80),ABS(Resultados!Q80),ABS(Resultados!Z80),ABS(Resultados!AI80)))</f>
        <v>0</v>
      </c>
      <c r="I80">
        <f>IF(COUNT(Resultados!I80,Resultados!R80,Resultados!AA80,Resultados!AJ80)=0, "", AVERAGE(ABS(Resultados!I80),ABS(Resultados!R80),ABS(Resultados!AA80),ABS(Resultados!AJ80)))</f>
        <v>15.702200000000005</v>
      </c>
      <c r="J80">
        <v>0</v>
      </c>
      <c r="K80">
        <v>4.7749999999999997E-3</v>
      </c>
    </row>
    <row r="81" spans="1:11" x14ac:dyDescent="0.3">
      <c r="A81" t="str">
        <f>IF(COUNT(Resultados!A81,Resultados!J81,Resultados!S81,Resultados!AB81)=0, "", AVERAGE(ABS(Resultados!A81),ABS(Resultados!J81),ABS(Resultados!S81),ABS(Resultados!AB81)))</f>
        <v/>
      </c>
      <c r="B81" t="str">
        <f>IF(COUNT(Resultados!B81,Resultados!K81,Resultados!T81,Resultados!AC81)=0, "", AVERAGE(ABS(Resultados!B81),ABS(Resultados!K81),ABS(Resultados!T81),ABS(Resultados!AC81)))</f>
        <v/>
      </c>
      <c r="C81">
        <f>IF(COUNT(Resultados!C81,Resultados!L81,Resultados!U81,Resultados!AD81)=0, "", AVERAGE(ABS(Resultados!C81),ABS(Resultados!L81),ABS(Resultados!U81),ABS(Resultados!AD81)))</f>
        <v>75.25</v>
      </c>
      <c r="D81">
        <f>IF(COUNT(Resultados!D81,Resultados!M81,Resultados!V81,Resultados!AE81)=0, "", AVERAGE(ABS(Resultados!D81),ABS(Resultados!M81),ABS(Resultados!V81),ABS(Resultados!AE81)))</f>
        <v>2.5999999999999999E-3</v>
      </c>
      <c r="E81">
        <f>IF(COUNT(Resultados!E81,Resultados!N81,Resultados!W81,Resultados!AF81)=0, "", AVERAGE(ABS(Resultados!E81),ABS(Resultados!N81),ABS(Resultados!W81),ABS(Resultados!AF81)))</f>
        <v>21.511913046964182</v>
      </c>
      <c r="F81">
        <f>IF(COUNT(Resultados!F81,Resultados!O81,Resultados!X81,Resultados!AG81)=0, "", AVERAGE(ABS(Resultados!F81),ABS(Resultados!O81),ABS(Resultados!X81),ABS(Resultados!AG81)))</f>
        <v>2074.9102959770621</v>
      </c>
      <c r="G81">
        <f>IF(COUNT(Resultados!G81,Resultados!P81,Resultados!Y81,Resultados!AH81)=0, "", AVERAGE(ABS(Resultados!G81),ABS(Resultados!P81),ABS(Resultados!Y81),ABS(Resultados!AH81)))</f>
        <v>9.0579999999999998</v>
      </c>
      <c r="H81">
        <f>IF(COUNT(Resultados!H81,Resultados!Q81,Resultados!Z81,Resultados!AI81)=0, "", AVERAGE(ABS(Resultados!H81),ABS(Resultados!Q81),ABS(Resultados!Z81),ABS(Resultados!AI81)))</f>
        <v>0</v>
      </c>
      <c r="I81">
        <f>IF(COUNT(Resultados!I81,Resultados!R81,Resultados!AA81,Resultados!AJ81)=0, "", AVERAGE(ABS(Resultados!I81),ABS(Resultados!R81),ABS(Resultados!AA81),ABS(Resultados!AJ81)))</f>
        <v>15.901274999999984</v>
      </c>
      <c r="J81">
        <v>0</v>
      </c>
      <c r="K81">
        <v>2.5999999999999999E-3</v>
      </c>
    </row>
    <row r="82" spans="1:11" x14ac:dyDescent="0.3">
      <c r="A82" t="str">
        <f>IF(COUNT(Resultados!A82,Resultados!J82,Resultados!S82,Resultados!AB82)=0, "", AVERAGE(ABS(Resultados!A82),ABS(Resultados!J82),ABS(Resultados!S82),ABS(Resultados!AB82)))</f>
        <v/>
      </c>
      <c r="B82" t="str">
        <f>IF(COUNT(Resultados!B82,Resultados!K82,Resultados!T82,Resultados!AC82)=0, "", AVERAGE(ABS(Resultados!B82),ABS(Resultados!K82),ABS(Resultados!T82),ABS(Resultados!AC82)))</f>
        <v/>
      </c>
      <c r="C82">
        <f>IF(COUNT(Resultados!C82,Resultados!L82,Resultados!U82,Resultados!AD82)=0, "", AVERAGE(ABS(Resultados!C82),ABS(Resultados!L82),ABS(Resultados!U82),ABS(Resultados!AD82)))</f>
        <v>75.25</v>
      </c>
      <c r="D82">
        <f>IF(COUNT(Resultados!D82,Resultados!M82,Resultados!V82,Resultados!AE82)=0, "", AVERAGE(ABS(Resultados!D82),ABS(Resultados!M82),ABS(Resultados!V82),ABS(Resultados!AE82)))</f>
        <v>3.0999999999999999E-3</v>
      </c>
      <c r="E82">
        <f>IF(COUNT(Resultados!E82,Resultados!N82,Resultados!W82,Resultados!AF82)=0, "", AVERAGE(ABS(Resultados!E82),ABS(Resultados!N82),ABS(Resultados!W82),ABS(Resultados!AF82)))</f>
        <v>21.511913046964182</v>
      </c>
      <c r="F82">
        <f>IF(COUNT(Resultados!F82,Resultados!O82,Resultados!X82,Resultados!AG82)=0, "", AVERAGE(ABS(Resultados!F82),ABS(Resultados!O82),ABS(Resultados!X82),ABS(Resultados!AG82)))</f>
        <v>2074.9102959770621</v>
      </c>
      <c r="G82">
        <f>IF(COUNT(Resultados!G82,Resultados!P82,Resultados!Y82,Resultados!AH82)=0, "", AVERAGE(ABS(Resultados!G82),ABS(Resultados!P82),ABS(Resultados!Y82),ABS(Resultados!AH82)))</f>
        <v>9.0579999999999998</v>
      </c>
      <c r="H82">
        <f>IF(COUNT(Resultados!H82,Resultados!Q82,Resultados!Z82,Resultados!AI82)=0, "", AVERAGE(ABS(Resultados!H82),ABS(Resultados!Q82),ABS(Resultados!Z82),ABS(Resultados!AI82)))</f>
        <v>0</v>
      </c>
      <c r="I82">
        <f>IF(COUNT(Resultados!I82,Resultados!R82,Resultados!AA82,Resultados!AJ82)=0, "", AVERAGE(ABS(Resultados!I82),ABS(Resultados!R82),ABS(Resultados!AA82),ABS(Resultados!AJ82)))</f>
        <v>16.102349999999987</v>
      </c>
      <c r="J82">
        <v>0</v>
      </c>
      <c r="K82">
        <v>3.0999999999999999E-3</v>
      </c>
    </row>
    <row r="83" spans="1:11" x14ac:dyDescent="0.3">
      <c r="A83" t="str">
        <f>IF(COUNT(Resultados!A83,Resultados!J83,Resultados!S83,Resultados!AB83)=0, "", AVERAGE(ABS(Resultados!A83),ABS(Resultados!J83),ABS(Resultados!S83),ABS(Resultados!AB83)))</f>
        <v/>
      </c>
      <c r="B83" t="str">
        <f>IF(COUNT(Resultados!B83,Resultados!K83,Resultados!T83,Resultados!AC83)=0, "", AVERAGE(ABS(Resultados!B83),ABS(Resultados!K83),ABS(Resultados!T83),ABS(Resultados!AC83)))</f>
        <v/>
      </c>
      <c r="C83">
        <f>IF(COUNT(Resultados!C83,Resultados!L83,Resultados!U83,Resultados!AD83)=0, "", AVERAGE(ABS(Resultados!C83),ABS(Resultados!L83),ABS(Resultados!U83),ABS(Resultados!AD83)))</f>
        <v>75.25</v>
      </c>
      <c r="D83">
        <f>IF(COUNT(Resultados!D83,Resultados!M83,Resultados!V83,Resultados!AE83)=0, "", AVERAGE(ABS(Resultados!D83),ABS(Resultados!M83),ABS(Resultados!V83),ABS(Resultados!AE83)))</f>
        <v>3.1249999999999997E-3</v>
      </c>
      <c r="E83">
        <f>IF(COUNT(Resultados!E83,Resultados!N83,Resultados!W83,Resultados!AF83)=0, "", AVERAGE(ABS(Resultados!E83),ABS(Resultados!N83),ABS(Resultados!W83),ABS(Resultados!AF83)))</f>
        <v>21.511913046964182</v>
      </c>
      <c r="F83">
        <f>IF(COUNT(Resultados!F83,Resultados!O83,Resultados!X83,Resultados!AG83)=0, "", AVERAGE(ABS(Resultados!F83),ABS(Resultados!O83),ABS(Resultados!X83),ABS(Resultados!AG83)))</f>
        <v>2074.9102959770621</v>
      </c>
      <c r="G83">
        <f>IF(COUNT(Resultados!G83,Resultados!P83,Resultados!Y83,Resultados!AH83)=0, "", AVERAGE(ABS(Resultados!G83),ABS(Resultados!P83),ABS(Resultados!Y83),ABS(Resultados!AH83)))</f>
        <v>9.0579999999999998</v>
      </c>
      <c r="H83">
        <f>IF(COUNT(Resultados!H83,Resultados!Q83,Resultados!Z83,Resultados!AI83)=0, "", AVERAGE(ABS(Resultados!H83),ABS(Resultados!Q83),ABS(Resultados!Z83),ABS(Resultados!AI83)))</f>
        <v>0</v>
      </c>
      <c r="I83">
        <f>IF(COUNT(Resultados!I83,Resultados!R83,Resultados!AA83,Resultados!AJ83)=0, "", AVERAGE(ABS(Resultados!I83),ABS(Resultados!R83),ABS(Resultados!AA83),ABS(Resultados!AJ83)))</f>
        <v>16.300399999999996</v>
      </c>
      <c r="J83">
        <v>0</v>
      </c>
      <c r="K83">
        <v>3.1249999999999997E-3</v>
      </c>
    </row>
    <row r="84" spans="1:11" x14ac:dyDescent="0.3">
      <c r="A84" t="str">
        <f>IF(COUNT(Resultados!A84,Resultados!J84,Resultados!S84,Resultados!AB84)=0, "", AVERAGE(ABS(Resultados!A84),ABS(Resultados!J84),ABS(Resultados!S84),ABS(Resultados!AB84)))</f>
        <v/>
      </c>
      <c r="B84" t="str">
        <f>IF(COUNT(Resultados!B84,Resultados!K84,Resultados!T84,Resultados!AC84)=0, "", AVERAGE(ABS(Resultados!B84),ABS(Resultados!K84),ABS(Resultados!T84),ABS(Resultados!AC84)))</f>
        <v/>
      </c>
      <c r="C84">
        <f>IF(COUNT(Resultados!C84,Resultados!L84,Resultados!U84,Resultados!AD84)=0, "", AVERAGE(ABS(Resultados!C84),ABS(Resultados!L84),ABS(Resultados!U84),ABS(Resultados!AD84)))</f>
        <v>75.25</v>
      </c>
      <c r="D84">
        <f>IF(COUNT(Resultados!D84,Resultados!M84,Resultados!V84,Resultados!AE84)=0, "", AVERAGE(ABS(Resultados!D84),ABS(Resultados!M84),ABS(Resultados!V84),ABS(Resultados!AE84)))</f>
        <v>3.0999999999999999E-3</v>
      </c>
      <c r="E84">
        <f>IF(COUNT(Resultados!E84,Resultados!N84,Resultados!W84,Resultados!AF84)=0, "", AVERAGE(ABS(Resultados!E84),ABS(Resultados!N84),ABS(Resultados!W84),ABS(Resultados!AF84)))</f>
        <v>21.511913046964182</v>
      </c>
      <c r="F84">
        <f>IF(COUNT(Resultados!F84,Resultados!O84,Resultados!X84,Resultados!AG84)=0, "", AVERAGE(ABS(Resultados!F84),ABS(Resultados!O84),ABS(Resultados!X84),ABS(Resultados!AG84)))</f>
        <v>2074.9102959770621</v>
      </c>
      <c r="G84">
        <f>IF(COUNT(Resultados!G84,Resultados!P84,Resultados!Y84,Resultados!AH84)=0, "", AVERAGE(ABS(Resultados!G84),ABS(Resultados!P84),ABS(Resultados!Y84),ABS(Resultados!AH84)))</f>
        <v>9.0579999999999998</v>
      </c>
      <c r="H84">
        <f>IF(COUNT(Resultados!H84,Resultados!Q84,Resultados!Z84,Resultados!AI84)=0, "", AVERAGE(ABS(Resultados!H84),ABS(Resultados!Q84),ABS(Resultados!Z84),ABS(Resultados!AI84)))</f>
        <v>0</v>
      </c>
      <c r="I84">
        <f>IF(COUNT(Resultados!I84,Resultados!R84,Resultados!AA84,Resultados!AJ84)=0, "", AVERAGE(ABS(Resultados!I84),ABS(Resultados!R84),ABS(Resultados!AA84),ABS(Resultados!AJ84)))</f>
        <v>16.500700000000009</v>
      </c>
      <c r="J84">
        <v>0</v>
      </c>
      <c r="K84">
        <v>3.0999999999999999E-3</v>
      </c>
    </row>
    <row r="85" spans="1:11" x14ac:dyDescent="0.3">
      <c r="A85" t="str">
        <f>IF(COUNT(Resultados!A85,Resultados!J85,Resultados!S85,Resultados!AB85)=0, "", AVERAGE(ABS(Resultados!A85),ABS(Resultados!J85),ABS(Resultados!S85),ABS(Resultados!AB85)))</f>
        <v/>
      </c>
      <c r="B85" t="str">
        <f>IF(COUNT(Resultados!B85,Resultados!K85,Resultados!T85,Resultados!AC85)=0, "", AVERAGE(ABS(Resultados!B85),ABS(Resultados!K85),ABS(Resultados!T85),ABS(Resultados!AC85)))</f>
        <v/>
      </c>
      <c r="C85">
        <f>IF(COUNT(Resultados!C85,Resultados!L85,Resultados!U85,Resultados!AD85)=0, "", AVERAGE(ABS(Resultados!C85),ABS(Resultados!L85),ABS(Resultados!U85),ABS(Resultados!AD85)))</f>
        <v>75.25</v>
      </c>
      <c r="D85">
        <f>IF(COUNT(Resultados!D85,Resultados!M85,Resultados!V85,Resultados!AE85)=0, "", AVERAGE(ABS(Resultados!D85),ABS(Resultados!M85),ABS(Resultados!V85),ABS(Resultados!AE85)))</f>
        <v>3.1249999999999997E-3</v>
      </c>
      <c r="E85">
        <f>IF(COUNT(Resultados!E85,Resultados!N85,Resultados!W85,Resultados!AF85)=0, "", AVERAGE(ABS(Resultados!E85),ABS(Resultados!N85),ABS(Resultados!W85),ABS(Resultados!AF85)))</f>
        <v>22.52558992187139</v>
      </c>
      <c r="F85">
        <f>IF(COUNT(Resultados!F85,Resultados!O85,Resultados!X85,Resultados!AG85)=0, "", AVERAGE(ABS(Resultados!F85),ABS(Resultados!O85),ABS(Resultados!X85),ABS(Resultados!AG85)))</f>
        <v>2197.7507944507161</v>
      </c>
      <c r="G85">
        <f>IF(COUNT(Resultados!G85,Resultados!P85,Resultados!Y85,Resultados!AH85)=0, "", AVERAGE(ABS(Resultados!G85),ABS(Resultados!P85),ABS(Resultados!Y85),ABS(Resultados!AH85)))</f>
        <v>9.0579999999999998</v>
      </c>
      <c r="H85">
        <f>IF(COUNT(Resultados!H85,Resultados!Q85,Resultados!Z85,Resultados!AI85)=0, "", AVERAGE(ABS(Resultados!H85),ABS(Resultados!Q85),ABS(Resultados!Z85),ABS(Resultados!AI85)))</f>
        <v>1.575E-2</v>
      </c>
      <c r="I85">
        <f>IF(COUNT(Resultados!I85,Resultados!R85,Resultados!AA85,Resultados!AJ85)=0, "", AVERAGE(ABS(Resultados!I85),ABS(Resultados!R85),ABS(Resultados!AA85),ABS(Resultados!AJ85)))</f>
        <v>16.700699999999983</v>
      </c>
      <c r="J85">
        <v>1.575E-2</v>
      </c>
      <c r="K85">
        <v>3.1249999999999997E-3</v>
      </c>
    </row>
    <row r="86" spans="1:11" x14ac:dyDescent="0.3">
      <c r="A86" t="str">
        <f>IF(COUNT(Resultados!A86,Resultados!J86,Resultados!S86,Resultados!AB86)=0, "", AVERAGE(ABS(Resultados!A86),ABS(Resultados!J86),ABS(Resultados!S86),ABS(Resultados!AB86)))</f>
        <v/>
      </c>
      <c r="B86" t="str">
        <f>IF(COUNT(Resultados!B86,Resultados!K86,Resultados!T86,Resultados!AC86)=0, "", AVERAGE(ABS(Resultados!B86),ABS(Resultados!K86),ABS(Resultados!T86),ABS(Resultados!AC86)))</f>
        <v/>
      </c>
      <c r="C86">
        <f>IF(COUNT(Resultados!C86,Resultados!L86,Resultados!U86,Resultados!AD86)=0, "", AVERAGE(ABS(Resultados!C86),ABS(Resultados!L86),ABS(Resultados!U86),ABS(Resultados!AD86)))</f>
        <v>75.25</v>
      </c>
      <c r="D86">
        <f>IF(COUNT(Resultados!D86,Resultados!M86,Resultados!V86,Resultados!AE86)=0, "", AVERAGE(ABS(Resultados!D86),ABS(Resultados!M86),ABS(Resultados!V86),ABS(Resultados!AE86)))</f>
        <v>4.5249999999999995E-3</v>
      </c>
      <c r="E86">
        <f>IF(COUNT(Resultados!E86,Resultados!N86,Resultados!W86,Resultados!AF86)=0, "", AVERAGE(ABS(Resultados!E86),ABS(Resultados!N86),ABS(Resultados!W86),ABS(Resultados!AF86)))</f>
        <v>22.52558992187139</v>
      </c>
      <c r="F86">
        <f>IF(COUNT(Resultados!F86,Resultados!O86,Resultados!X86,Resultados!AG86)=0, "", AVERAGE(ABS(Resultados!F86),ABS(Resultados!O86),ABS(Resultados!X86),ABS(Resultados!AG86)))</f>
        <v>2169.3849807184142</v>
      </c>
      <c r="G86">
        <f>IF(COUNT(Resultados!G86,Resultados!P86,Resultados!Y86,Resultados!AH86)=0, "", AVERAGE(ABS(Resultados!G86),ABS(Resultados!P86),ABS(Resultados!Y86),ABS(Resultados!AH86)))</f>
        <v>9.0579999999999998</v>
      </c>
      <c r="H86">
        <f>IF(COUNT(Resultados!H86,Resultados!Q86,Resultados!Z86,Resultados!AI86)=0, "", AVERAGE(ABS(Resultados!H86),ABS(Resultados!Q86),ABS(Resultados!Z86),ABS(Resultados!AI86)))</f>
        <v>1.575E-2</v>
      </c>
      <c r="I86">
        <f>IF(COUNT(Resultados!I86,Resultados!R86,Resultados!AA86,Resultados!AJ86)=0, "", AVERAGE(ABS(Resultados!I86),ABS(Resultados!R86),ABS(Resultados!AA86),ABS(Resultados!AJ86)))</f>
        <v>16.901475000000005</v>
      </c>
      <c r="J86">
        <v>1.575E-2</v>
      </c>
      <c r="K86">
        <v>4.5249999999999995E-3</v>
      </c>
    </row>
    <row r="87" spans="1:11" x14ac:dyDescent="0.3">
      <c r="A87" t="str">
        <f>IF(COUNT(Resultados!A87,Resultados!J87,Resultados!S87,Resultados!AB87)=0, "", AVERAGE(ABS(Resultados!A87),ABS(Resultados!J87),ABS(Resultados!S87),ABS(Resultados!AB87)))</f>
        <v/>
      </c>
      <c r="B87" t="str">
        <f>IF(COUNT(Resultados!B87,Resultados!K87,Resultados!T87,Resultados!AC87)=0, "", AVERAGE(ABS(Resultados!B87),ABS(Resultados!K87),ABS(Resultados!T87),ABS(Resultados!AC87)))</f>
        <v/>
      </c>
      <c r="C87">
        <f>IF(COUNT(Resultados!C87,Resultados!L87,Resultados!U87,Resultados!AD87)=0, "", AVERAGE(ABS(Resultados!C87),ABS(Resultados!L87),ABS(Resultados!U87),ABS(Resultados!AD87)))</f>
        <v>75.25</v>
      </c>
      <c r="D87">
        <f>IF(COUNT(Resultados!D87,Resultados!M87,Resultados!V87,Resultados!AE87)=0, "", AVERAGE(ABS(Resultados!D87),ABS(Resultados!M87),ABS(Resultados!V87),ABS(Resultados!AE87)))</f>
        <v>9.5999999999999992E-3</v>
      </c>
      <c r="E87">
        <f>IF(COUNT(Resultados!E87,Resultados!N87,Resultados!W87,Resultados!AF87)=0, "", AVERAGE(ABS(Resultados!E87),ABS(Resultados!N87),ABS(Resultados!W87),ABS(Resultados!AF87)))</f>
        <v>25.566620546593018</v>
      </c>
      <c r="F87">
        <f>IF(COUNT(Resultados!F87,Resultados!O87,Resultados!X87,Resultados!AG87)=0, "", AVERAGE(ABS(Resultados!F87),ABS(Resultados!O87),ABS(Resultados!X87),ABS(Resultados!AG87)))</f>
        <v>2537.9064761393761</v>
      </c>
      <c r="G87">
        <f>IF(COUNT(Resultados!G87,Resultados!P87,Resultados!Y87,Resultados!AH87)=0, "", AVERAGE(ABS(Resultados!G87),ABS(Resultados!P87),ABS(Resultados!Y87),ABS(Resultados!AH87)))</f>
        <v>9.0579999999999998</v>
      </c>
      <c r="H87">
        <f>IF(COUNT(Resultados!H87,Resultados!Q87,Resultados!Z87,Resultados!AI87)=0, "", AVERAGE(ABS(Resultados!H87),ABS(Resultados!Q87),ABS(Resultados!Z87),ABS(Resultados!AI87)))</f>
        <v>6.3E-2</v>
      </c>
      <c r="I87">
        <f>IF(COUNT(Resultados!I87,Resultados!R87,Resultados!AA87,Resultados!AJ87)=0, "", AVERAGE(ABS(Resultados!I87),ABS(Resultados!R87),ABS(Resultados!AA87),ABS(Resultados!AJ87)))</f>
        <v>17.101924999999994</v>
      </c>
      <c r="J87">
        <v>6.3E-2</v>
      </c>
      <c r="K87">
        <v>9.5999999999999992E-3</v>
      </c>
    </row>
    <row r="88" spans="1:11" x14ac:dyDescent="0.3">
      <c r="A88" t="str">
        <f>IF(COUNT(Resultados!A88,Resultados!J88,Resultados!S88,Resultados!AB88)=0, "", AVERAGE(ABS(Resultados!A88),ABS(Resultados!J88),ABS(Resultados!S88),ABS(Resultados!AB88)))</f>
        <v/>
      </c>
      <c r="B88" t="str">
        <f>IF(COUNT(Resultados!B88,Resultados!K88,Resultados!T88,Resultados!AC88)=0, "", AVERAGE(ABS(Resultados!B88),ABS(Resultados!K88),ABS(Resultados!T88),ABS(Resultados!AC88)))</f>
        <v/>
      </c>
      <c r="C88">
        <f>IF(COUNT(Resultados!C88,Resultados!L88,Resultados!U88,Resultados!AD88)=0, "", AVERAGE(ABS(Resultados!C88),ABS(Resultados!L88),ABS(Resultados!U88),ABS(Resultados!AD88)))</f>
        <v>75.25</v>
      </c>
      <c r="D88">
        <f>IF(COUNT(Resultados!D88,Resultados!M88,Resultados!V88,Resultados!AE88)=0, "", AVERAGE(ABS(Resultados!D88),ABS(Resultados!M88),ABS(Resultados!V88),ABS(Resultados!AE88)))</f>
        <v>1.7724999999999998E-2</v>
      </c>
      <c r="E88">
        <f>IF(COUNT(Resultados!E88,Resultados!N88,Resultados!W88,Resultados!AF88)=0, "", AVERAGE(ABS(Resultados!E88),ABS(Resultados!N88),ABS(Resultados!W88),ABS(Resultados!AF88)))</f>
        <v>25.566620546593018</v>
      </c>
      <c r="F88">
        <f>IF(COUNT(Resultados!F88,Resultados!O88,Resultados!X88,Resultados!AG88)=0, "", AVERAGE(ABS(Resultados!F88),ABS(Resultados!O88),ABS(Resultados!X88),ABS(Resultados!AG88)))</f>
        <v>2452.8090349424701</v>
      </c>
      <c r="G88">
        <f>IF(COUNT(Resultados!G88,Resultados!P88,Resultados!Y88,Resultados!AH88)=0, "", AVERAGE(ABS(Resultados!G88),ABS(Resultados!P88),ABS(Resultados!Y88),ABS(Resultados!AH88)))</f>
        <v>9.0579999999999998</v>
      </c>
      <c r="H88">
        <f>IF(COUNT(Resultados!H88,Resultados!Q88,Resultados!Z88,Resultados!AI88)=0, "", AVERAGE(ABS(Resultados!H88),ABS(Resultados!Q88),ABS(Resultados!Z88),ABS(Resultados!AI88)))</f>
        <v>6.3E-2</v>
      </c>
      <c r="I88">
        <f>IF(COUNT(Resultados!I88,Resultados!R88,Resultados!AA88,Resultados!AJ88)=0, "", AVERAGE(ABS(Resultados!I88),ABS(Resultados!R88),ABS(Resultados!AA88),ABS(Resultados!AJ88)))</f>
        <v>17.300899999999999</v>
      </c>
      <c r="J88">
        <v>6.3E-2</v>
      </c>
      <c r="K88">
        <v>1.7724999999999998E-2</v>
      </c>
    </row>
    <row r="89" spans="1:11" x14ac:dyDescent="0.3">
      <c r="A89" t="str">
        <f>IF(COUNT(Resultados!A89,Resultados!J89,Resultados!S89,Resultados!AB89)=0, "", AVERAGE(ABS(Resultados!A89),ABS(Resultados!J89),ABS(Resultados!S89),ABS(Resultados!AB89)))</f>
        <v/>
      </c>
      <c r="B89" t="str">
        <f>IF(COUNT(Resultados!B89,Resultados!K89,Resultados!T89,Resultados!AC89)=0, "", AVERAGE(ABS(Resultados!B89),ABS(Resultados!K89),ABS(Resultados!T89),ABS(Resultados!AC89)))</f>
        <v/>
      </c>
      <c r="C89">
        <f>IF(COUNT(Resultados!C89,Resultados!L89,Resultados!U89,Resultados!AD89)=0, "", AVERAGE(ABS(Resultados!C89),ABS(Resultados!L89),ABS(Resultados!U89),ABS(Resultados!AD89)))</f>
        <v>75.25</v>
      </c>
      <c r="D89">
        <f>IF(COUNT(Resultados!D89,Resultados!M89,Resultados!V89,Resultados!AE89)=0, "", AVERAGE(ABS(Resultados!D89),ABS(Resultados!M89),ABS(Resultados!V89),ABS(Resultados!AE89)))</f>
        <v>3.2875000000000001E-2</v>
      </c>
      <c r="E89">
        <f>IF(COUNT(Resultados!E89,Resultados!N89,Resultados!W89,Resultados!AF89)=0, "", AVERAGE(ABS(Resultados!E89),ABS(Resultados!N89),ABS(Resultados!W89),ABS(Resultados!AF89)))</f>
        <v>25.566620546593018</v>
      </c>
      <c r="F89">
        <f>IF(COUNT(Resultados!F89,Resultados!O89,Resultados!X89,Resultados!AG89)=0, "", AVERAGE(ABS(Resultados!F89),ABS(Resultados!O89),ABS(Resultados!X89),ABS(Resultados!AG89)))</f>
        <v>2452.8090349424701</v>
      </c>
      <c r="G89">
        <f>IF(COUNT(Resultados!G89,Resultados!P89,Resultados!Y89,Resultados!AH89)=0, "", AVERAGE(ABS(Resultados!G89),ABS(Resultados!P89),ABS(Resultados!Y89),ABS(Resultados!AH89)))</f>
        <v>9.0579999999999998</v>
      </c>
      <c r="H89">
        <f>IF(COUNT(Resultados!H89,Resultados!Q89,Resultados!Z89,Resultados!AI89)=0, "", AVERAGE(ABS(Resultados!H89),ABS(Resultados!Q89),ABS(Resultados!Z89),ABS(Resultados!AI89)))</f>
        <v>6.3E-2</v>
      </c>
      <c r="I89">
        <f>IF(COUNT(Resultados!I89,Resultados!R89,Resultados!AA89,Resultados!AJ89)=0, "", AVERAGE(ABS(Resultados!I89),ABS(Resultados!R89),ABS(Resultados!AA89),ABS(Resultados!AJ89)))</f>
        <v>17.502250000000004</v>
      </c>
      <c r="J89">
        <v>6.3E-2</v>
      </c>
      <c r="K89">
        <v>3.2875000000000001E-2</v>
      </c>
    </row>
    <row r="90" spans="1:11" x14ac:dyDescent="0.3">
      <c r="A90" t="str">
        <f>IF(COUNT(Resultados!A90,Resultados!J90,Resultados!S90,Resultados!AB90)=0, "", AVERAGE(ABS(Resultados!A90),ABS(Resultados!J90),ABS(Resultados!S90),ABS(Resultados!AB90)))</f>
        <v/>
      </c>
      <c r="B90" t="str">
        <f>IF(COUNT(Resultados!B90,Resultados!K90,Resultados!T90,Resultados!AC90)=0, "", AVERAGE(ABS(Resultados!B90),ABS(Resultados!K90),ABS(Resultados!T90),ABS(Resultados!AC90)))</f>
        <v/>
      </c>
      <c r="C90">
        <f>IF(COUNT(Resultados!C90,Resultados!L90,Resultados!U90,Resultados!AD90)=0, "", AVERAGE(ABS(Resultados!C90),ABS(Resultados!L90),ABS(Resultados!U90),ABS(Resultados!AD90)))</f>
        <v>75.25</v>
      </c>
      <c r="D90">
        <f>IF(COUNT(Resultados!D90,Resultados!M90,Resultados!V90,Resultados!AE90)=0, "", AVERAGE(ABS(Resultados!D90),ABS(Resultados!M90),ABS(Resultados!V90),ABS(Resultados!AE90)))</f>
        <v>3.6850000000000001E-2</v>
      </c>
      <c r="E90">
        <f>IF(COUNT(Resultados!E90,Resultados!N90,Resultados!W90,Resultados!AF90)=0, "", AVERAGE(ABS(Resultados!E90),ABS(Resultados!N90),ABS(Resultados!W90),ABS(Resultados!AF90)))</f>
        <v>25.566620546593018</v>
      </c>
      <c r="F90">
        <f>IF(COUNT(Resultados!F90,Resultados!O90,Resultados!X90,Resultados!AG90)=0, "", AVERAGE(ABS(Resultados!F90),ABS(Resultados!O90),ABS(Resultados!X90),ABS(Resultados!AG90)))</f>
        <v>2452.8090349424701</v>
      </c>
      <c r="G90">
        <f>IF(COUNT(Resultados!G90,Resultados!P90,Resultados!Y90,Resultados!AH90)=0, "", AVERAGE(ABS(Resultados!G90),ABS(Resultados!P90),ABS(Resultados!Y90),ABS(Resultados!AH90)))</f>
        <v>9.0579999999999998</v>
      </c>
      <c r="H90">
        <f>IF(COUNT(Resultados!H90,Resultados!Q90,Resultados!Z90,Resultados!AI90)=0, "", AVERAGE(ABS(Resultados!H90),ABS(Resultados!Q90),ABS(Resultados!Z90),ABS(Resultados!AI90)))</f>
        <v>6.3E-2</v>
      </c>
      <c r="I90">
        <f>IF(COUNT(Resultados!I90,Resultados!R90,Resultados!AA90,Resultados!AJ90)=0, "", AVERAGE(ABS(Resultados!I90),ABS(Resultados!R90),ABS(Resultados!AA90),ABS(Resultados!AJ90)))</f>
        <v>17.701874999999987</v>
      </c>
      <c r="J90">
        <v>6.3E-2</v>
      </c>
      <c r="K90">
        <v>3.6850000000000001E-2</v>
      </c>
    </row>
    <row r="91" spans="1:11" x14ac:dyDescent="0.3">
      <c r="A91" t="str">
        <f>IF(COUNT(Resultados!A91,Resultados!J91,Resultados!S91,Resultados!AB91)=0, "", AVERAGE(ABS(Resultados!A91),ABS(Resultados!J91),ABS(Resultados!S91),ABS(Resultados!AB91)))</f>
        <v/>
      </c>
      <c r="B91" t="str">
        <f>IF(COUNT(Resultados!B91,Resultados!K91,Resultados!T91,Resultados!AC91)=0, "", AVERAGE(ABS(Resultados!B91),ABS(Resultados!K91),ABS(Resultados!T91),ABS(Resultados!AC91)))</f>
        <v/>
      </c>
      <c r="C91">
        <f>IF(COUNT(Resultados!C91,Resultados!L91,Resultados!U91,Resultados!AD91)=0, "", AVERAGE(ABS(Resultados!C91),ABS(Resultados!L91),ABS(Resultados!U91),ABS(Resultados!AD91)))</f>
        <v>75.25</v>
      </c>
      <c r="D91">
        <f>IF(COUNT(Resultados!D91,Resultados!M91,Resultados!V91,Resultados!AE91)=0, "", AVERAGE(ABS(Resultados!D91),ABS(Resultados!M91),ABS(Resultados!V91),ABS(Resultados!AE91)))</f>
        <v>3.7900000000000003E-2</v>
      </c>
      <c r="E91">
        <f>IF(COUNT(Resultados!E91,Resultados!N91,Resultados!W91,Resultados!AF91)=0, "", AVERAGE(ABS(Resultados!E91),ABS(Resultados!N91),ABS(Resultados!W91),ABS(Resultados!AF91)))</f>
        <v>25.566620546593018</v>
      </c>
      <c r="F91">
        <f>IF(COUNT(Resultados!F91,Resultados!O91,Resultados!X91,Resultados!AG91)=0, "", AVERAGE(ABS(Resultados!F91),ABS(Resultados!O91),ABS(Resultados!X91),ABS(Resultados!AG91)))</f>
        <v>2452.8090349424701</v>
      </c>
      <c r="G91">
        <f>IF(COUNT(Resultados!G91,Resultados!P91,Resultados!Y91,Resultados!AH91)=0, "", AVERAGE(ABS(Resultados!G91),ABS(Resultados!P91),ABS(Resultados!Y91),ABS(Resultados!AH91)))</f>
        <v>9.0579999999999998</v>
      </c>
      <c r="H91">
        <f>IF(COUNT(Resultados!H91,Resultados!Q91,Resultados!Z91,Resultados!AI91)=0, "", AVERAGE(ABS(Resultados!H91),ABS(Resultados!Q91),ABS(Resultados!Z91),ABS(Resultados!AI91)))</f>
        <v>6.3E-2</v>
      </c>
      <c r="I91">
        <f>IF(COUNT(Resultados!I91,Resultados!R91,Resultados!AA91,Resultados!AJ91)=0, "", AVERAGE(ABS(Resultados!I91),ABS(Resultados!R91),ABS(Resultados!AA91),ABS(Resultados!AJ91)))</f>
        <v>17.901250000000005</v>
      </c>
      <c r="J91">
        <v>6.3E-2</v>
      </c>
      <c r="K91">
        <v>3.7900000000000003E-2</v>
      </c>
    </row>
    <row r="92" spans="1:11" x14ac:dyDescent="0.3">
      <c r="A92" t="str">
        <f>IF(COUNT(Resultados!A92,Resultados!J92,Resultados!S92,Resultados!AB92)=0, "", AVERAGE(ABS(Resultados!A92),ABS(Resultados!J92),ABS(Resultados!S92),ABS(Resultados!AB92)))</f>
        <v/>
      </c>
      <c r="B92" t="str">
        <f>IF(COUNT(Resultados!B92,Resultados!K92,Resultados!T92,Resultados!AC92)=0, "", AVERAGE(ABS(Resultados!B92),ABS(Resultados!K92),ABS(Resultados!T92),ABS(Resultados!AC92)))</f>
        <v/>
      </c>
      <c r="C92">
        <f>IF(COUNT(Resultados!C92,Resultados!L92,Resultados!U92,Resultados!AD92)=0, "", AVERAGE(ABS(Resultados!C92),ABS(Resultados!L92),ABS(Resultados!U92),ABS(Resultados!AD92)))</f>
        <v>75.25</v>
      </c>
      <c r="D92">
        <f>IF(COUNT(Resultados!D92,Resultados!M92,Resultados!V92,Resultados!AE92)=0, "", AVERAGE(ABS(Resultados!D92),ABS(Resultados!M92),ABS(Resultados!V92),ABS(Resultados!AE92)))</f>
        <v>3.8124999999999999E-2</v>
      </c>
      <c r="E92">
        <f>IF(COUNT(Resultados!E92,Resultados!N92,Resultados!W92,Resultados!AF92)=0, "", AVERAGE(ABS(Resultados!E92),ABS(Resultados!N92),ABS(Resultados!W92),ABS(Resultados!AF92)))</f>
        <v>25.566620546593018</v>
      </c>
      <c r="F92">
        <f>IF(COUNT(Resultados!F92,Resultados!O92,Resultados!X92,Resultados!AG92)=0, "", AVERAGE(ABS(Resultados!F92),ABS(Resultados!O92),ABS(Resultados!X92),ABS(Resultados!AG92)))</f>
        <v>2452.8090349424701</v>
      </c>
      <c r="G92">
        <f>IF(COUNT(Resultados!G92,Resultados!P92,Resultados!Y92,Resultados!AH92)=0, "", AVERAGE(ABS(Resultados!G92),ABS(Resultados!P92),ABS(Resultados!Y92),ABS(Resultados!AH92)))</f>
        <v>9.0579999999999998</v>
      </c>
      <c r="H92">
        <f>IF(COUNT(Resultados!H92,Resultados!Q92,Resultados!Z92,Resultados!AI92)=0, "", AVERAGE(ABS(Resultados!H92),ABS(Resultados!Q92),ABS(Resultados!Z92),ABS(Resultados!AI92)))</f>
        <v>6.3E-2</v>
      </c>
      <c r="I92">
        <f>IF(COUNT(Resultados!I92,Resultados!R92,Resultados!AA92,Resultados!AJ92)=0, "", AVERAGE(ABS(Resultados!I92),ABS(Resultados!R92),ABS(Resultados!AA92),ABS(Resultados!AJ92)))</f>
        <v>18.100774999999999</v>
      </c>
      <c r="J92">
        <v>6.3E-2</v>
      </c>
      <c r="K92">
        <v>3.8124999999999999E-2</v>
      </c>
    </row>
    <row r="93" spans="1:11" x14ac:dyDescent="0.3">
      <c r="A93" t="str">
        <f>IF(COUNT(Resultados!A93,Resultados!J93,Resultados!S93,Resultados!AB93)=0, "", AVERAGE(ABS(Resultados!A93),ABS(Resultados!J93),ABS(Resultados!S93),ABS(Resultados!AB93)))</f>
        <v/>
      </c>
      <c r="B93" t="str">
        <f>IF(COUNT(Resultados!B93,Resultados!K93,Resultados!T93,Resultados!AC93)=0, "", AVERAGE(ABS(Resultados!B93),ABS(Resultados!K93),ABS(Resultados!T93),ABS(Resultados!AC93)))</f>
        <v/>
      </c>
      <c r="C93">
        <f>IF(COUNT(Resultados!C93,Resultados!L93,Resultados!U93,Resultados!AD93)=0, "", AVERAGE(ABS(Resultados!C93),ABS(Resultados!L93),ABS(Resultados!U93),ABS(Resultados!AD93)))</f>
        <v>75.25</v>
      </c>
      <c r="D93">
        <f>IF(COUNT(Resultados!D93,Resultados!M93,Resultados!V93,Resultados!AE93)=0, "", AVERAGE(ABS(Resultados!D93),ABS(Resultados!M93),ABS(Resultados!V93),ABS(Resultados!AE93)))</f>
        <v>3.8150000000000003E-2</v>
      </c>
      <c r="E93">
        <f>IF(COUNT(Resultados!E93,Resultados!N93,Resultados!W93,Resultados!AF93)=0, "", AVERAGE(ABS(Resultados!E93),ABS(Resultados!N93),ABS(Resultados!W93),ABS(Resultados!AF93)))</f>
        <v>25.566620546593018</v>
      </c>
      <c r="F93">
        <f>IF(COUNT(Resultados!F93,Resultados!O93,Resultados!X93,Resultados!AG93)=0, "", AVERAGE(ABS(Resultados!F93),ABS(Resultados!O93),ABS(Resultados!X93),ABS(Resultados!AG93)))</f>
        <v>2452.8090349424701</v>
      </c>
      <c r="G93">
        <f>IF(COUNT(Resultados!G93,Resultados!P93,Resultados!Y93,Resultados!AH93)=0, "", AVERAGE(ABS(Resultados!G93),ABS(Resultados!P93),ABS(Resultados!Y93),ABS(Resultados!AH93)))</f>
        <v>9.0579999999999998</v>
      </c>
      <c r="H93">
        <f>IF(COUNT(Resultados!H93,Resultados!Q93,Resultados!Z93,Resultados!AI93)=0, "", AVERAGE(ABS(Resultados!H93),ABS(Resultados!Q93),ABS(Resultados!Z93),ABS(Resultados!AI93)))</f>
        <v>6.3E-2</v>
      </c>
      <c r="I93">
        <f>IF(COUNT(Resultados!I93,Resultados!R93,Resultados!AA93,Resultados!AJ93)=0, "", AVERAGE(ABS(Resultados!I93),ABS(Resultados!R93),ABS(Resultados!AA93),ABS(Resultados!AJ93)))</f>
        <v>18.301149999999993</v>
      </c>
      <c r="J93">
        <v>6.3E-2</v>
      </c>
      <c r="K93">
        <v>3.8150000000000003E-2</v>
      </c>
    </row>
    <row r="94" spans="1:11" x14ac:dyDescent="0.3">
      <c r="A94" t="str">
        <f>IF(COUNT(Resultados!A94,Resultados!J94,Resultados!S94,Resultados!AB94)=0, "", AVERAGE(ABS(Resultados!A94),ABS(Resultados!J94),ABS(Resultados!S94),ABS(Resultados!AB94)))</f>
        <v/>
      </c>
      <c r="B94" t="str">
        <f>IF(COUNT(Resultados!B94,Resultados!K94,Resultados!T94,Resultados!AC94)=0, "", AVERAGE(ABS(Resultados!B94),ABS(Resultados!K94),ABS(Resultados!T94),ABS(Resultados!AC94)))</f>
        <v/>
      </c>
      <c r="C94">
        <f>IF(COUNT(Resultados!C94,Resultados!L94,Resultados!U94,Resultados!AD94)=0, "", AVERAGE(ABS(Resultados!C94),ABS(Resultados!L94),ABS(Resultados!U94),ABS(Resultados!AD94)))</f>
        <v>75.5</v>
      </c>
      <c r="D94">
        <f>IF(COUNT(Resultados!D94,Resultados!M94,Resultados!V94,Resultados!AE94)=0, "", AVERAGE(ABS(Resultados!D94),ABS(Resultados!M94),ABS(Resultados!V94),ABS(Resultados!AE94)))</f>
        <v>3.8150000000000003E-2</v>
      </c>
      <c r="E94">
        <f>IF(COUNT(Resultados!E94,Resultados!N94,Resultados!W94,Resultados!AF94)=0, "", AVERAGE(ABS(Resultados!E94),ABS(Resultados!N94),ABS(Resultados!W94),ABS(Resultados!AF94)))</f>
        <v>25.566620546593018</v>
      </c>
      <c r="F94">
        <f>IF(COUNT(Resultados!F94,Resultados!O94,Resultados!X94,Resultados!AG94)=0, "", AVERAGE(ABS(Resultados!F94),ABS(Resultados!O94),ABS(Resultados!X94),ABS(Resultados!AG94)))</f>
        <v>2452.8090349424701</v>
      </c>
      <c r="G94">
        <f>IF(COUNT(Resultados!G94,Resultados!P94,Resultados!Y94,Resultados!AH94)=0, "", AVERAGE(ABS(Resultados!G94),ABS(Resultados!P94),ABS(Resultados!Y94),ABS(Resultados!AH94)))</f>
        <v>9.0579999999999998</v>
      </c>
      <c r="H94">
        <f>IF(COUNT(Resultados!H94,Resultados!Q94,Resultados!Z94,Resultados!AI94)=0, "", AVERAGE(ABS(Resultados!H94),ABS(Resultados!Q94),ABS(Resultados!Z94),ABS(Resultados!AI94)))</f>
        <v>6.3E-2</v>
      </c>
      <c r="I94">
        <f>IF(COUNT(Resultados!I94,Resultados!R94,Resultados!AA94,Resultados!AJ94)=0, "", AVERAGE(ABS(Resultados!I94),ABS(Resultados!R94),ABS(Resultados!AA94),ABS(Resultados!AJ94)))</f>
        <v>18.502624999999995</v>
      </c>
      <c r="J94">
        <v>6.3E-2</v>
      </c>
      <c r="K94">
        <v>3.8150000000000003E-2</v>
      </c>
    </row>
    <row r="95" spans="1:11" x14ac:dyDescent="0.3">
      <c r="A95" t="str">
        <f>IF(COUNT(Resultados!A95,Resultados!J95,Resultados!S95,Resultados!AB95)=0, "", AVERAGE(ABS(Resultados!A95),ABS(Resultados!J95),ABS(Resultados!S95),ABS(Resultados!AB95)))</f>
        <v/>
      </c>
      <c r="B95" t="str">
        <f>IF(COUNT(Resultados!B95,Resultados!K95,Resultados!T95,Resultados!AC95)=0, "", AVERAGE(ABS(Resultados!B95),ABS(Resultados!K95),ABS(Resultados!T95),ABS(Resultados!AC95)))</f>
        <v/>
      </c>
      <c r="C95">
        <f>IF(COUNT(Resultados!C95,Resultados!L95,Resultados!U95,Resultados!AD95)=0, "", AVERAGE(ABS(Resultados!C95),ABS(Resultados!L95),ABS(Resultados!U95),ABS(Resultados!AD95)))</f>
        <v>75.5</v>
      </c>
      <c r="D95">
        <f>IF(COUNT(Resultados!D95,Resultados!M95,Resultados!V95,Resultados!AE95)=0, "", AVERAGE(ABS(Resultados!D95),ABS(Resultados!M95),ABS(Resultados!V95),ABS(Resultados!AE95)))</f>
        <v>3.8124999999999999E-2</v>
      </c>
      <c r="E95">
        <f>IF(COUNT(Resultados!E95,Resultados!N95,Resultados!W95,Resultados!AF95)=0, "", AVERAGE(ABS(Resultados!E95),ABS(Resultados!N95),ABS(Resultados!W95),ABS(Resultados!AF95)))</f>
        <v>24.55294367168581</v>
      </c>
      <c r="F95">
        <f>IF(COUNT(Resultados!F95,Resultados!O95,Resultados!X95,Resultados!AG95)=0, "", AVERAGE(ABS(Resultados!F95),ABS(Resultados!O95),ABS(Resultados!X95),ABS(Resultados!AG95)))</f>
        <v>2358.3343502011185</v>
      </c>
      <c r="G95">
        <f>IF(COUNT(Resultados!G95,Resultados!P95,Resultados!Y95,Resultados!AH95)=0, "", AVERAGE(ABS(Resultados!G95),ABS(Resultados!P95),ABS(Resultados!Y95),ABS(Resultados!AH95)))</f>
        <v>9.0579999999999998</v>
      </c>
      <c r="H95">
        <f>IF(COUNT(Resultados!H95,Resultados!Q95,Resultados!Z95,Resultados!AI95)=0, "", AVERAGE(ABS(Resultados!H95),ABS(Resultados!Q95),ABS(Resultados!Z95),ABS(Resultados!AI95)))</f>
        <v>4.725E-2</v>
      </c>
      <c r="I95">
        <f>IF(COUNT(Resultados!I95,Resultados!R95,Resultados!AA95,Resultados!AJ95)=0, "", AVERAGE(ABS(Resultados!I95),ABS(Resultados!R95),ABS(Resultados!AA95),ABS(Resultados!AJ95)))</f>
        <v>18.701099999999997</v>
      </c>
      <c r="J95">
        <v>4.725E-2</v>
      </c>
      <c r="K95">
        <v>3.8124999999999999E-2</v>
      </c>
    </row>
    <row r="96" spans="1:11" x14ac:dyDescent="0.3">
      <c r="A96" t="str">
        <f>IF(COUNT(Resultados!A96,Resultados!J96,Resultados!S96,Resultados!AB96)=0, "", AVERAGE(ABS(Resultados!A96),ABS(Resultados!J96),ABS(Resultados!S96),ABS(Resultados!AB96)))</f>
        <v/>
      </c>
      <c r="B96" t="str">
        <f>IF(COUNT(Resultados!B96,Resultados!K96,Resultados!T96,Resultados!AC96)=0, "", AVERAGE(ABS(Resultados!B96),ABS(Resultados!K96),ABS(Resultados!T96),ABS(Resultados!AC96)))</f>
        <v/>
      </c>
      <c r="C96">
        <f>IF(COUNT(Resultados!C96,Resultados!L96,Resultados!U96,Resultados!AD96)=0, "", AVERAGE(ABS(Resultados!C96),ABS(Resultados!L96),ABS(Resultados!U96),ABS(Resultados!AD96)))</f>
        <v>75.5</v>
      </c>
      <c r="D96">
        <f>IF(COUNT(Resultados!D96,Resultados!M96,Resultados!V96,Resultados!AE96)=0, "", AVERAGE(ABS(Resultados!D96),ABS(Resultados!M96),ABS(Resultados!V96),ABS(Resultados!AE96)))</f>
        <v>3.6650000000000002E-2</v>
      </c>
      <c r="E96">
        <f>IF(COUNT(Resultados!E96,Resultados!N96,Resultados!W96,Resultados!AF96)=0, "", AVERAGE(ABS(Resultados!E96),ABS(Resultados!N96),ABS(Resultados!W96),ABS(Resultados!AF96)))</f>
        <v>23.539266796778598</v>
      </c>
      <c r="F96">
        <f>IF(COUNT(Resultados!F96,Resultados!O96,Resultados!X96,Resultados!AG96)=0, "", AVERAGE(ABS(Resultados!F96),ABS(Resultados!O96),ABS(Resultados!X96),ABS(Resultados!AG96)))</f>
        <v>2263.8596654597659</v>
      </c>
      <c r="G96">
        <f>IF(COUNT(Resultados!G96,Resultados!P96,Resultados!Y96,Resultados!AH96)=0, "", AVERAGE(ABS(Resultados!G96),ABS(Resultados!P96),ABS(Resultados!Y96),ABS(Resultados!AH96)))</f>
        <v>9.0579999999999998</v>
      </c>
      <c r="H96">
        <f>IF(COUNT(Resultados!H96,Resultados!Q96,Resultados!Z96,Resultados!AI96)=0, "", AVERAGE(ABS(Resultados!H96),ABS(Resultados!Q96),ABS(Resultados!Z96),ABS(Resultados!AI96)))</f>
        <v>3.15E-2</v>
      </c>
      <c r="I96">
        <f>IF(COUNT(Resultados!I96,Resultados!R96,Resultados!AA96,Resultados!AJ96)=0, "", AVERAGE(ABS(Resultados!I96),ABS(Resultados!R96),ABS(Resultados!AA96),ABS(Resultados!AJ96)))</f>
        <v>18.903100000000009</v>
      </c>
      <c r="J96">
        <v>3.15E-2</v>
      </c>
      <c r="K96">
        <v>3.6650000000000002E-2</v>
      </c>
    </row>
    <row r="97" spans="1:11" x14ac:dyDescent="0.3">
      <c r="A97" t="str">
        <f>IF(COUNT(Resultados!A97,Resultados!J97,Resultados!S97,Resultados!AB97)=0, "", AVERAGE(ABS(Resultados!A97),ABS(Resultados!J97),ABS(Resultados!S97),ABS(Resultados!AB97)))</f>
        <v/>
      </c>
      <c r="B97" t="str">
        <f>IF(COUNT(Resultados!B97,Resultados!K97,Resultados!T97,Resultados!AC97)=0, "", AVERAGE(ABS(Resultados!B97),ABS(Resultados!K97),ABS(Resultados!T97),ABS(Resultados!AC97)))</f>
        <v/>
      </c>
      <c r="C97">
        <f>IF(COUNT(Resultados!C97,Resultados!L97,Resultados!U97,Resultados!AD97)=0, "", AVERAGE(ABS(Resultados!C97),ABS(Resultados!L97),ABS(Resultados!U97),ABS(Resultados!AD97)))</f>
        <v>75.5</v>
      </c>
      <c r="D97">
        <f>IF(COUNT(Resultados!D97,Resultados!M97,Resultados!V97,Resultados!AE97)=0, "", AVERAGE(ABS(Resultados!D97),ABS(Resultados!M97),ABS(Resultados!V97),ABS(Resultados!AE97)))</f>
        <v>3.1375E-2</v>
      </c>
      <c r="E97">
        <f>IF(COUNT(Resultados!E97,Resultados!N97,Resultados!W97,Resultados!AF97)=0, "", AVERAGE(ABS(Resultados!E97),ABS(Resultados!N97),ABS(Resultados!W97),ABS(Resultados!AF97)))</f>
        <v>21.511913046964182</v>
      </c>
      <c r="F97">
        <f>IF(COUNT(Resultados!F97,Resultados!O97,Resultados!X97,Resultados!AG97)=0, "", AVERAGE(ABS(Resultados!F97),ABS(Resultados!O97),ABS(Resultados!X97),ABS(Resultados!AG97)))</f>
        <v>2074.9102959770621</v>
      </c>
      <c r="G97">
        <f>IF(COUNT(Resultados!G97,Resultados!P97,Resultados!Y97,Resultados!AH97)=0, "", AVERAGE(ABS(Resultados!G97),ABS(Resultados!P97),ABS(Resultados!Y97),ABS(Resultados!AH97)))</f>
        <v>9.0579999999999998</v>
      </c>
      <c r="H97">
        <f>IF(COUNT(Resultados!H97,Resultados!Q97,Resultados!Z97,Resultados!AI97)=0, "", AVERAGE(ABS(Resultados!H97),ABS(Resultados!Q97),ABS(Resultados!Z97),ABS(Resultados!AI97)))</f>
        <v>0</v>
      </c>
      <c r="I97">
        <f>IF(COUNT(Resultados!I97,Resultados!R97,Resultados!AA97,Resultados!AJ97)=0, "", AVERAGE(ABS(Resultados!I97),ABS(Resultados!R97),ABS(Resultados!AA97),ABS(Resultados!AJ97)))</f>
        <v>19.10137499999999</v>
      </c>
      <c r="J97">
        <v>0</v>
      </c>
      <c r="K97">
        <v>3.1375E-2</v>
      </c>
    </row>
    <row r="98" spans="1:11" x14ac:dyDescent="0.3">
      <c r="A98" t="str">
        <f>IF(COUNT(Resultados!A98,Resultados!J98,Resultados!S98,Resultados!AB98)=0, "", AVERAGE(ABS(Resultados!A98),ABS(Resultados!J98),ABS(Resultados!S98),ABS(Resultados!AB98)))</f>
        <v/>
      </c>
      <c r="B98" t="str">
        <f>IF(COUNT(Resultados!B98,Resultados!K98,Resultados!T98,Resultados!AC98)=0, "", AVERAGE(ABS(Resultados!B98),ABS(Resultados!K98),ABS(Resultados!T98),ABS(Resultados!AC98)))</f>
        <v/>
      </c>
      <c r="C98">
        <f>IF(COUNT(Resultados!C98,Resultados!L98,Resultados!U98,Resultados!AD98)=0, "", AVERAGE(ABS(Resultados!C98),ABS(Resultados!L98),ABS(Resultados!U98),ABS(Resultados!AD98)))</f>
        <v>75.5</v>
      </c>
      <c r="D98">
        <f>IF(COUNT(Resultados!D98,Resultados!M98,Resultados!V98,Resultados!AE98)=0, "", AVERAGE(ABS(Resultados!D98),ABS(Resultados!M98),ABS(Resultados!V98),ABS(Resultados!AE98)))</f>
        <v>2.1825000000000001E-2</v>
      </c>
      <c r="E98">
        <f>IF(COUNT(Resultados!E98,Resultados!N98,Resultados!W98,Resultados!AF98)=0, "", AVERAGE(ABS(Resultados!E98),ABS(Resultados!N98),ABS(Resultados!W98),ABS(Resultados!AF98)))</f>
        <v>21.511913046964182</v>
      </c>
      <c r="F98">
        <f>IF(COUNT(Resultados!F98,Resultados!O98,Resultados!X98,Resultados!AG98)=0, "", AVERAGE(ABS(Resultados!F98),ABS(Resultados!O98),ABS(Resultados!X98),ABS(Resultados!AG98)))</f>
        <v>2074.9102959770621</v>
      </c>
      <c r="G98">
        <f>IF(COUNT(Resultados!G98,Resultados!P98,Resultados!Y98,Resultados!AH98)=0, "", AVERAGE(ABS(Resultados!G98),ABS(Resultados!P98),ABS(Resultados!Y98),ABS(Resultados!AH98)))</f>
        <v>9.0579999999999998</v>
      </c>
      <c r="H98">
        <f>IF(COUNT(Resultados!H98,Resultados!Q98,Resultados!Z98,Resultados!AI98)=0, "", AVERAGE(ABS(Resultados!H98),ABS(Resultados!Q98),ABS(Resultados!Z98),ABS(Resultados!AI98)))</f>
        <v>0</v>
      </c>
      <c r="I98">
        <f>IF(COUNT(Resultados!I98,Resultados!R98,Resultados!AA98,Resultados!AJ98)=0, "", AVERAGE(ABS(Resultados!I98),ABS(Resultados!R98),ABS(Resultados!AA98),ABS(Resultados!AJ98)))</f>
        <v>19.300625000000011</v>
      </c>
      <c r="J98">
        <v>0</v>
      </c>
      <c r="K98">
        <v>2.1825000000000001E-2</v>
      </c>
    </row>
    <row r="99" spans="1:11" x14ac:dyDescent="0.3">
      <c r="A99" t="str">
        <f>IF(COUNT(Resultados!A99,Resultados!J99,Resultados!S99,Resultados!AB99)=0, "", AVERAGE(ABS(Resultados!A99),ABS(Resultados!J99),ABS(Resultados!S99),ABS(Resultados!AB99)))</f>
        <v/>
      </c>
      <c r="B99" t="str">
        <f>IF(COUNT(Resultados!B99,Resultados!K99,Resultados!T99,Resultados!AC99)=0, "", AVERAGE(ABS(Resultados!B99),ABS(Resultados!K99),ABS(Resultados!T99),ABS(Resultados!AC99)))</f>
        <v/>
      </c>
      <c r="C99">
        <f>IF(COUNT(Resultados!C99,Resultados!L99,Resultados!U99,Resultados!AD99)=0, "", AVERAGE(ABS(Resultados!C99),ABS(Resultados!L99),ABS(Resultados!U99),ABS(Resultados!AD99)))</f>
        <v>75.5</v>
      </c>
      <c r="D99">
        <f>IF(COUNT(Resultados!D99,Resultados!M99,Resultados!V99,Resultados!AE99)=0, "", AVERAGE(ABS(Resultados!D99),ABS(Resultados!M99),ABS(Resultados!V99),ABS(Resultados!AE99)))</f>
        <v>1.0925000000000001E-2</v>
      </c>
      <c r="E99">
        <f>IF(COUNT(Resultados!E99,Resultados!N99,Resultados!W99,Resultados!AF99)=0, "", AVERAGE(ABS(Resultados!E99),ABS(Resultados!N99),ABS(Resultados!W99),ABS(Resultados!AF99)))</f>
        <v>21.511913046964182</v>
      </c>
      <c r="F99">
        <f>IF(COUNT(Resultados!F99,Resultados!O99,Resultados!X99,Resultados!AG99)=0, "", AVERAGE(ABS(Resultados!F99),ABS(Resultados!O99),ABS(Resultados!X99),ABS(Resultados!AG99)))</f>
        <v>2074.9102959770621</v>
      </c>
      <c r="G99">
        <f>IF(COUNT(Resultados!G99,Resultados!P99,Resultados!Y99,Resultados!AH99)=0, "", AVERAGE(ABS(Resultados!G99),ABS(Resultados!P99),ABS(Resultados!Y99),ABS(Resultados!AH99)))</f>
        <v>9.0579999999999998</v>
      </c>
      <c r="H99">
        <f>IF(COUNT(Resultados!H99,Resultados!Q99,Resultados!Z99,Resultados!AI99)=0, "", AVERAGE(ABS(Resultados!H99),ABS(Resultados!Q99),ABS(Resultados!Z99),ABS(Resultados!AI99)))</f>
        <v>0</v>
      </c>
      <c r="I99">
        <f>IF(COUNT(Resultados!I99,Resultados!R99,Resultados!AA99,Resultados!AJ99)=0, "", AVERAGE(ABS(Resultados!I99),ABS(Resultados!R99),ABS(Resultados!AA99),ABS(Resultados!AJ99)))</f>
        <v>19.501199999999997</v>
      </c>
      <c r="J99">
        <v>0</v>
      </c>
      <c r="K99">
        <v>1.0925000000000001E-2</v>
      </c>
    </row>
    <row r="100" spans="1:11" x14ac:dyDescent="0.3">
      <c r="A100" t="str">
        <f>IF(COUNT(Resultados!A100,Resultados!J100,Resultados!AB100)=0, "", AVERAGE(ABS(Resultados!A100),ABS(Resultados!J100),ABS(Resultados!AB100)))</f>
        <v/>
      </c>
      <c r="B100" t="str">
        <f>IF(COUNT(Resultados!B100,Resultados!K100,Resultados!AC100)=0, "", AVERAGE(ABS(Resultados!B100),ABS(Resultados!K100),ABS(Resultados!AC100)))</f>
        <v/>
      </c>
      <c r="C100">
        <f>IF(COUNT(Resultados!C100,Resultados!L100,Resultados!AD100)=0, "", AVERAGE(ABS(Resultados!C100),ABS(Resultados!L100),ABS(Resultados!AD100)))</f>
        <v>75.333333333333329</v>
      </c>
      <c r="D100">
        <f>IF(COUNT(Resultados!D100,Resultados!M100,Resultados!AE100)=0, "", AVERAGE(ABS(Resultados!D100),ABS(Resultados!M100),ABS(Resultados!AE100)))</f>
        <v>4.2333333333333329E-3</v>
      </c>
      <c r="E100">
        <f>IF(COUNT(Resultados!E100,Resultados!N100,Resultados!AF100)=0, "", AVERAGE(ABS(Resultados!E100),ABS(Resultados!N100),ABS(Resultados!AF100)))</f>
        <v>21.511913046964182</v>
      </c>
      <c r="F100">
        <f>IF(COUNT(Resultados!F100,Resultados!O100,Resultados!AG100)=0, "", AVERAGE(ABS(Resultados!F100),ABS(Resultados!O100),ABS(Resultados!AG100)))</f>
        <v>2074.9102959770621</v>
      </c>
      <c r="G100">
        <f>IF(COUNT(Resultados!G100,Resultados!P100,Resultados!AH100)=0, "", AVERAGE(ABS(Resultados!G100),ABS(Resultados!P100),ABS(Resultados!AH100)))</f>
        <v>9.0579999999999998</v>
      </c>
      <c r="H100">
        <f>IF(COUNT(Resultados!H100,Resultados!Q100,Resultados!AI100)=0, "", AVERAGE(ABS(Resultados!H100),ABS(Resultados!Q100),ABS(Resultados!AI100)))</f>
        <v>0</v>
      </c>
      <c r="I100">
        <f>IF(COUNT(Resultados!I100,Resultados!R100,Resultados!AJ100)=0, "", AVERAGE(ABS(Resultados!I100),ABS(Resultados!R100),ABS(Resultados!AJ100)))</f>
        <v>19.607766666666652</v>
      </c>
      <c r="J100">
        <v>0</v>
      </c>
      <c r="K100">
        <v>4.2333333333333329E-3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0"/>
  <sheetViews>
    <sheetView workbookViewId="0">
      <selection activeCell="K19" sqref="K19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IF(COUNT(Resultados!A2,Resultados!J2,Resultados!S2,Resultados!AB2)&lt;=1, "", _xlfn.STDEV.S(ABS(Resultados!A2),ABS(Resultados!J2),ABS(Resultados!S2),ABS(Resultados!AB2))/SQRT(COUNT(Resultados!A2,Resultados!J2,Resultados!S2,Resultados!AB2)))</f>
        <v/>
      </c>
      <c r="B2" t="str">
        <f>IF(COUNT(Resultados!B2,Resultados!K2,Resultados!T2,Resultados!AC2)&lt;=1, "", _xlfn.STDEV.S(ABS(Resultados!B2),ABS(Resultados!K2),ABS(Resultados!T2),ABS(Resultados!AC2))/SQRT(COUNT(Resultados!B2,Resultados!K2,Resultados!T2,Resultados!AC2)))</f>
        <v/>
      </c>
      <c r="C2">
        <f>IF(COUNT(Resultados!C2,Resultados!L2,Resultados!U2,Resultados!AD2)&lt;=1, "", _xlfn.STDEV.S(ABS(Resultados!C2),ABS(Resultados!L2),ABS(Resultados!U2),ABS(Resultados!AD2))/SQRT(COUNT(Resultados!C2,Resultados!L2,Resultados!U2,Resultados!AD2)))</f>
        <v>0.25</v>
      </c>
      <c r="D2">
        <f>IF(COUNT(Resultados!D2,Resultados!M2,Resultados!V2,Resultados!AE2)&lt;=1, "", _xlfn.STDEV.S(ABS(Resultados!D2),ABS(Resultados!M2),ABS(Resultados!V2),ABS(Resultados!AE2))/SQRT(COUNT(Resultados!D2,Resultados!M2,Resultados!V2,Resultados!AE2)))</f>
        <v>0</v>
      </c>
      <c r="E2">
        <f>IF(COUNT(Resultados!E2,Resultados!N2,Resultados!W2,Resultados!AF2)&lt;=1, "", _xlfn.STDEV.S(ABS(Resultados!E2),ABS(Resultados!N2),ABS(Resultados!W2),ABS(Resultados!AF2))/SQRT(COUNT(Resultados!E2,Resultados!N2,Resultados!W2,Resultados!AF2)))</f>
        <v>0</v>
      </c>
      <c r="F2">
        <f>IF(COUNT(Resultados!F2,Resultados!O2,Resultados!X2,Resultados!AG2)&lt;=1, "", _xlfn.STDEV.S(ABS(Resultados!F2),ABS(Resultados!O2),ABS(Resultados!X2),ABS(Resultados!AG2))/SQRT(COUNT(Resultados!F2,Resultados!O2,Resultados!X2,Resultados!AG2)))</f>
        <v>0</v>
      </c>
      <c r="G2">
        <f>IF(COUNT(Resultados!G2,Resultados!P2,Resultados!Y2,Resultados!AH2)&lt;=1, "", _xlfn.STDEV.S(ABS(Resultados!G2),ABS(Resultados!P2),ABS(Resultados!Y2),ABS(Resultados!AH2))/SQRT(COUNT(Resultados!G2,Resultados!P2,Resultados!Y2,Resultados!AH2)))</f>
        <v>0</v>
      </c>
      <c r="H2">
        <f>IF(COUNT(Resultados!H2,Resultados!Q2,Resultados!Z2,Resultados!AI2)&lt;=1, "", _xlfn.STDEV.S(ABS(Resultados!H2),ABS(Resultados!Q2),ABS(Resultados!Z2),ABS(Resultados!AI2))/SQRT(COUNT(Resultados!H2,Resultados!Q2,Resultados!Z2,Resultados!AI2)))</f>
        <v>0</v>
      </c>
      <c r="I2">
        <f>IF(COUNT(Resultados!I2,Resultados!R2,Resultados!AA2,Resultados!AJ2)&lt;=1, "", _xlfn.STDEV.S(ABS(Resultados!I2),ABS(Resultados!R2),ABS(Resultados!AA2),ABS(Resultados!AJ2))/SQRT(COUNT(Resultados!I2,Resultados!R2,Resultados!AA2,Resultados!AJ2)))</f>
        <v>0</v>
      </c>
    </row>
    <row r="3" spans="1:9" x14ac:dyDescent="0.3">
      <c r="A3" t="str">
        <f>IF(COUNT(Resultados!A3,Resultados!J3,Resultados!S3,Resultados!AB3)&lt;=1, "", _xlfn.STDEV.S(ABS(Resultados!A3),ABS(Resultados!J3),ABS(Resultados!S3),ABS(Resultados!AB3))/SQRT(COUNT(Resultados!A3,Resultados!J3,Resultados!S3,Resultados!AB3)))</f>
        <v/>
      </c>
      <c r="B3" t="str">
        <f>IF(COUNT(Resultados!B3,Resultados!K3,Resultados!T3,Resultados!AC3)&lt;=1, "", _xlfn.STDEV.S(ABS(Resultados!B3),ABS(Resultados!K3),ABS(Resultados!T3),ABS(Resultados!AC3))/SQRT(COUNT(Resultados!B3,Resultados!K3,Resultados!T3,Resultados!AC3)))</f>
        <v/>
      </c>
      <c r="C3">
        <f>IF(COUNT(Resultados!C3,Resultados!L3,Resultados!U3,Resultados!AD3)&lt;=1, "", _xlfn.STDEV.S(ABS(Resultados!C3),ABS(Resultados!L3),ABS(Resultados!U3),ABS(Resultados!AD3))/SQRT(COUNT(Resultados!C3,Resultados!L3,Resultados!U3,Resultados!AD3)))</f>
        <v>0.25</v>
      </c>
      <c r="D3">
        <f>IF(COUNT(Resultados!D3,Resultados!M3,Resultados!V3,Resultados!AE3)&lt;=1, "", _xlfn.STDEV.S(ABS(Resultados!D3),ABS(Resultados!M3),ABS(Resultados!V3),ABS(Resultados!AE3))/SQRT(COUNT(Resultados!D3,Resultados!M3,Resultados!V3,Resultados!AE3)))</f>
        <v>0</v>
      </c>
      <c r="E3">
        <f>IF(COUNT(Resultados!E3,Resultados!N3,Resultados!W3,Resultados!AF3)&lt;=1, "", _xlfn.STDEV.S(ABS(Resultados!E3),ABS(Resultados!N3),ABS(Resultados!W3),ABS(Resultados!AF3))/SQRT(COUNT(Resultados!E3,Resultados!N3,Resultados!W3,Resultados!AF3)))</f>
        <v>0</v>
      </c>
      <c r="F3">
        <f>IF(COUNT(Resultados!F3,Resultados!O3,Resultados!X3,Resultados!AG3)&lt;=1, "", _xlfn.STDEV.S(ABS(Resultados!F3),ABS(Resultados!O3),ABS(Resultados!X3),ABS(Resultados!AG3))/SQRT(COUNT(Resultados!F3,Resultados!O3,Resultados!X3,Resultados!AG3)))</f>
        <v>0</v>
      </c>
      <c r="G3">
        <f>IF(COUNT(Resultados!G3,Resultados!P3,Resultados!Y3,Resultados!AH3)&lt;=1, "", _xlfn.STDEV.S(ABS(Resultados!G3),ABS(Resultados!P3),ABS(Resultados!Y3),ABS(Resultados!AH3))/SQRT(COUNT(Resultados!G3,Resultados!P3,Resultados!Y3,Resultados!AH3)))</f>
        <v>0</v>
      </c>
      <c r="H3">
        <f>IF(COUNT(Resultados!H3,Resultados!Q3,Resultados!Z3,Resultados!AI3)&lt;=1, "", _xlfn.STDEV.S(ABS(Resultados!H3),ABS(Resultados!Q3),ABS(Resultados!Z3),ABS(Resultados!AI3))/SQRT(COUNT(Resultados!H3,Resultados!Q3,Resultados!Z3,Resultados!AI3)))</f>
        <v>0</v>
      </c>
      <c r="I3">
        <f>IF(COUNT(Resultados!I3,Resultados!R3,Resultados!AA3,Resultados!AJ3)&lt;=1, "", _xlfn.STDEV.S(ABS(Resultados!I3),ABS(Resultados!R3),ABS(Resultados!AA3),ABS(Resultados!AJ3))/SQRT(COUNT(Resultados!I3,Resultados!R3,Resultados!AA3,Resultados!AJ3)))</f>
        <v>1.3372858083921368E-3</v>
      </c>
    </row>
    <row r="4" spans="1:9" x14ac:dyDescent="0.3">
      <c r="A4" t="str">
        <f>IF(COUNT(Resultados!A4,Resultados!J4,Resultados!S4,Resultados!AB4)&lt;=1, "", _xlfn.STDEV.S(ABS(Resultados!A4),ABS(Resultados!J4),ABS(Resultados!S4),ABS(Resultados!AB4))/SQRT(COUNT(Resultados!A4,Resultados!J4,Resultados!S4,Resultados!AB4)))</f>
        <v/>
      </c>
      <c r="B4" t="str">
        <f>IF(COUNT(Resultados!B4,Resultados!K4,Resultados!T4,Resultados!AC4)&lt;=1, "", _xlfn.STDEV.S(ABS(Resultados!B4),ABS(Resultados!K4),ABS(Resultados!T4),ABS(Resultados!AC4))/SQRT(COUNT(Resultados!B4,Resultados!K4,Resultados!T4,Resultados!AC4)))</f>
        <v/>
      </c>
      <c r="C4">
        <f>IF(COUNT(Resultados!C4,Resultados!L4,Resultados!U4,Resultados!AD4)&lt;=1, "", _xlfn.STDEV.S(ABS(Resultados!C4),ABS(Resultados!L4),ABS(Resultados!U4),ABS(Resultados!AD4))/SQRT(COUNT(Resultados!C4,Resultados!L4,Resultados!U4,Resultados!AD4)))</f>
        <v>0.25</v>
      </c>
      <c r="D4">
        <f>IF(COUNT(Resultados!D4,Resultados!M4,Resultados!V4,Resultados!AE4)&lt;=1, "", _xlfn.STDEV.S(ABS(Resultados!D4),ABS(Resultados!M4),ABS(Resultados!V4),ABS(Resultados!AE4))/SQRT(COUNT(Resultados!D4,Resultados!M4,Resultados!V4,Resultados!AE4)))</f>
        <v>0</v>
      </c>
      <c r="E4">
        <f>IF(COUNT(Resultados!E4,Resultados!N4,Resultados!W4,Resultados!AF4)&lt;=1, "", _xlfn.STDEV.S(ABS(Resultados!E4),ABS(Resultados!N4),ABS(Resultados!W4),ABS(Resultados!AF4))/SQRT(COUNT(Resultados!E4,Resultados!N4,Resultados!W4,Resultados!AF4)))</f>
        <v>0</v>
      </c>
      <c r="F4">
        <f>IF(COUNT(Resultados!F4,Resultados!O4,Resultados!X4,Resultados!AG4)&lt;=1, "", _xlfn.STDEV.S(ABS(Resultados!F4),ABS(Resultados!O4),ABS(Resultados!X4),ABS(Resultados!AG4))/SQRT(COUNT(Resultados!F4,Resultados!O4,Resultados!X4,Resultados!AG4)))</f>
        <v>0</v>
      </c>
      <c r="G4">
        <f>IF(COUNT(Resultados!G4,Resultados!P4,Resultados!Y4,Resultados!AH4)&lt;=1, "", _xlfn.STDEV.S(ABS(Resultados!G4),ABS(Resultados!P4),ABS(Resultados!Y4),ABS(Resultados!AH4))/SQRT(COUNT(Resultados!G4,Resultados!P4,Resultados!Y4,Resultados!AH4)))</f>
        <v>0</v>
      </c>
      <c r="H4">
        <f>IF(COUNT(Resultados!H4,Resultados!Q4,Resultados!Z4,Resultados!AI4)&lt;=1, "", _xlfn.STDEV.S(ABS(Resultados!H4),ABS(Resultados!Q4),ABS(Resultados!Z4),ABS(Resultados!AI4))/SQRT(COUNT(Resultados!H4,Resultados!Q4,Resultados!Z4,Resultados!AI4)))</f>
        <v>0</v>
      </c>
      <c r="I4">
        <f>IF(COUNT(Resultados!I4,Resultados!R4,Resultados!AA4,Resultados!AJ4)&lt;=1, "", _xlfn.STDEV.S(ABS(Resultados!I4),ABS(Resultados!R4),ABS(Resultados!AA4),ABS(Resultados!AJ4))/SQRT(COUNT(Resultados!I4,Resultados!R4,Resultados!AA4,Resultados!AJ4)))</f>
        <v>4.4440972087307097E-4</v>
      </c>
    </row>
    <row r="5" spans="1:9" x14ac:dyDescent="0.3">
      <c r="A5" t="str">
        <f>IF(COUNT(Resultados!A5,Resultados!J5,Resultados!S5,Resultados!AB5)&lt;=1, "", _xlfn.STDEV.S(ABS(Resultados!A5),ABS(Resultados!J5),ABS(Resultados!S5),ABS(Resultados!AB5))/SQRT(COUNT(Resultados!A5,Resultados!J5,Resultados!S5,Resultados!AB5)))</f>
        <v/>
      </c>
      <c r="B5" t="str">
        <f>IF(COUNT(Resultados!B5,Resultados!K5,Resultados!T5,Resultados!AC5)&lt;=1, "", _xlfn.STDEV.S(ABS(Resultados!B5),ABS(Resultados!K5),ABS(Resultados!T5),ABS(Resultados!AC5))/SQRT(COUNT(Resultados!B5,Resultados!K5,Resultados!T5,Resultados!AC5)))</f>
        <v/>
      </c>
      <c r="C5">
        <f>IF(COUNT(Resultados!C5,Resultados!L5,Resultados!U5,Resultados!AD5)&lt;=1, "", _xlfn.STDEV.S(ABS(Resultados!C5),ABS(Resultados!L5),ABS(Resultados!U5),ABS(Resultados!AD5))/SQRT(COUNT(Resultados!C5,Resultados!L5,Resultados!U5,Resultados!AD5)))</f>
        <v>0.25</v>
      </c>
      <c r="D5">
        <f>IF(COUNT(Resultados!D5,Resultados!M5,Resultados!V5,Resultados!AE5)&lt;=1, "", _xlfn.STDEV.S(ABS(Resultados!D5),ABS(Resultados!M5),ABS(Resultados!V5),ABS(Resultados!AE5))/SQRT(COUNT(Resultados!D5,Resultados!M5,Resultados!V5,Resultados!AE5)))</f>
        <v>0</v>
      </c>
      <c r="E5">
        <f>IF(COUNT(Resultados!E5,Resultados!N5,Resultados!W5,Resultados!AF5)&lt;=1, "", _xlfn.STDEV.S(ABS(Resultados!E5),ABS(Resultados!N5),ABS(Resultados!W5),ABS(Resultados!AF5))/SQRT(COUNT(Resultados!E5,Resultados!N5,Resultados!W5,Resultados!AF5)))</f>
        <v>0</v>
      </c>
      <c r="F5">
        <f>IF(COUNT(Resultados!F5,Resultados!O5,Resultados!X5,Resultados!AG5)&lt;=1, "", _xlfn.STDEV.S(ABS(Resultados!F5),ABS(Resultados!O5),ABS(Resultados!X5),ABS(Resultados!AG5))/SQRT(COUNT(Resultados!F5,Resultados!O5,Resultados!X5,Resultados!AG5)))</f>
        <v>0</v>
      </c>
      <c r="G5">
        <f>IF(COUNT(Resultados!G5,Resultados!P5,Resultados!Y5,Resultados!AH5)&lt;=1, "", _xlfn.STDEV.S(ABS(Resultados!G5),ABS(Resultados!P5),ABS(Resultados!Y5),ABS(Resultados!AH5))/SQRT(COUNT(Resultados!G5,Resultados!P5,Resultados!Y5,Resultados!AH5)))</f>
        <v>0</v>
      </c>
      <c r="H5">
        <f>IF(COUNT(Resultados!H5,Resultados!Q5,Resultados!Z5,Resultados!AI5)&lt;=1, "", _xlfn.STDEV.S(ABS(Resultados!H5),ABS(Resultados!Q5),ABS(Resultados!Z5),ABS(Resultados!AI5))/SQRT(COUNT(Resultados!H5,Resultados!Q5,Resultados!Z5,Resultados!AI5)))</f>
        <v>0</v>
      </c>
      <c r="I5">
        <f>IF(COUNT(Resultados!I5,Resultados!R5,Resultados!AA5,Resultados!AJ5)&lt;=1, "", _xlfn.STDEV.S(ABS(Resultados!I5),ABS(Resultados!R5),ABS(Resultados!AA5),ABS(Resultados!AJ5))/SQRT(COUNT(Resultados!I5,Resultados!R5,Resultados!AA5,Resultados!AJ5)))</f>
        <v>8.9197813874935139E-4</v>
      </c>
    </row>
    <row r="6" spans="1:9" x14ac:dyDescent="0.3">
      <c r="A6" t="str">
        <f>IF(COUNT(Resultados!A6,Resultados!J6,Resultados!S6,Resultados!AB6)&lt;=1, "", _xlfn.STDEV.S(ABS(Resultados!A6),ABS(Resultados!J6),ABS(Resultados!S6),ABS(Resultados!AB6))/SQRT(COUNT(Resultados!A6,Resultados!J6,Resultados!S6,Resultados!AB6)))</f>
        <v/>
      </c>
      <c r="B6" t="str">
        <f>IF(COUNT(Resultados!B6,Resultados!K6,Resultados!T6,Resultados!AC6)&lt;=1, "", _xlfn.STDEV.S(ABS(Resultados!B6),ABS(Resultados!K6),ABS(Resultados!T6),ABS(Resultados!AC6))/SQRT(COUNT(Resultados!B6,Resultados!K6,Resultados!T6,Resultados!AC6)))</f>
        <v/>
      </c>
      <c r="C6">
        <f>IF(COUNT(Resultados!C6,Resultados!L6,Resultados!U6,Resultados!AD6)&lt;=1, "", _xlfn.STDEV.S(ABS(Resultados!C6),ABS(Resultados!L6),ABS(Resultados!U6),ABS(Resultados!AD6))/SQRT(COUNT(Resultados!C6,Resultados!L6,Resultados!U6,Resultados!AD6)))</f>
        <v>0.25</v>
      </c>
      <c r="D6">
        <f>IF(COUNT(Resultados!D6,Resultados!M6,Resultados!V6,Resultados!AE6)&lt;=1, "", _xlfn.STDEV.S(ABS(Resultados!D6),ABS(Resultados!M6),ABS(Resultados!V6),ABS(Resultados!AE6))/SQRT(COUNT(Resultados!D6,Resultados!M6,Resultados!V6,Resultados!AE6)))</f>
        <v>0</v>
      </c>
      <c r="E6">
        <f>IF(COUNT(Resultados!E6,Resultados!N6,Resultados!W6,Resultados!AF6)&lt;=1, "", _xlfn.STDEV.S(ABS(Resultados!E6),ABS(Resultados!N6),ABS(Resultados!W6),ABS(Resultados!AF6))/SQRT(COUNT(Resultados!E6,Resultados!N6,Resultados!W6,Resultados!AF6)))</f>
        <v>0</v>
      </c>
      <c r="F6">
        <f>IF(COUNT(Resultados!F6,Resultados!O6,Resultados!X6,Resultados!AG6)&lt;=1, "", _xlfn.STDEV.S(ABS(Resultados!F6),ABS(Resultados!O6),ABS(Resultados!X6),ABS(Resultados!AG6))/SQRT(COUNT(Resultados!F6,Resultados!O6,Resultados!X6,Resultados!AG6)))</f>
        <v>0</v>
      </c>
      <c r="G6">
        <f>IF(COUNT(Resultados!G6,Resultados!P6,Resultados!Y6,Resultados!AH6)&lt;=1, "", _xlfn.STDEV.S(ABS(Resultados!G6),ABS(Resultados!P6),ABS(Resultados!Y6),ABS(Resultados!AH6))/SQRT(COUNT(Resultados!G6,Resultados!P6,Resultados!Y6,Resultados!AH6)))</f>
        <v>0</v>
      </c>
      <c r="H6">
        <f>IF(COUNT(Resultados!H6,Resultados!Q6,Resultados!Z6,Resultados!AI6)&lt;=1, "", _xlfn.STDEV.S(ABS(Resultados!H6),ABS(Resultados!Q6),ABS(Resultados!Z6),ABS(Resultados!AI6))/SQRT(COUNT(Resultados!H6,Resultados!Q6,Resultados!Z6,Resultados!AI6)))</f>
        <v>0</v>
      </c>
      <c r="I6">
        <f>IF(COUNT(Resultados!I6,Resultados!R6,Resultados!AA6,Resultados!AJ6)&lt;=1, "", _xlfn.STDEV.S(ABS(Resultados!I6),ABS(Resultados!R6),ABS(Resultados!AA6),ABS(Resultados!AJ6))/SQRT(COUNT(Resultados!I6,Resultados!R6,Resultados!AA6,Resultados!AJ6)))</f>
        <v>8.014310117991616E-4</v>
      </c>
    </row>
    <row r="7" spans="1:9" x14ac:dyDescent="0.3">
      <c r="A7" t="str">
        <f>IF(COUNT(Resultados!A7,Resultados!J7,Resultados!S7,Resultados!AB7)&lt;=1, "", _xlfn.STDEV.S(ABS(Resultados!A7),ABS(Resultados!J7),ABS(Resultados!S7),ABS(Resultados!AB7))/SQRT(COUNT(Resultados!A7,Resultados!J7,Resultados!S7,Resultados!AB7)))</f>
        <v/>
      </c>
      <c r="B7" t="str">
        <f>IF(COUNT(Resultados!B7,Resultados!K7,Resultados!T7,Resultados!AC7)&lt;=1, "", _xlfn.STDEV.S(ABS(Resultados!B7),ABS(Resultados!K7),ABS(Resultados!T7),ABS(Resultados!AC7))/SQRT(COUNT(Resultados!B7,Resultados!K7,Resultados!T7,Resultados!AC7)))</f>
        <v/>
      </c>
      <c r="C7">
        <f>IF(COUNT(Resultados!C7,Resultados!L7,Resultados!U7,Resultados!AD7)&lt;=1, "", _xlfn.STDEV.S(ABS(Resultados!C7),ABS(Resultados!L7),ABS(Resultados!U7),ABS(Resultados!AD7))/SQRT(COUNT(Resultados!C7,Resultados!L7,Resultados!U7,Resultados!AD7)))</f>
        <v>0.25</v>
      </c>
      <c r="D7">
        <f>IF(COUNT(Resultados!D7,Resultados!M7,Resultados!V7,Resultados!AE7)&lt;=1, "", _xlfn.STDEV.S(ABS(Resultados!D7),ABS(Resultados!M7),ABS(Resultados!V7),ABS(Resultados!AE7))/SQRT(COUNT(Resultados!D7,Resultados!M7,Resultados!V7,Resultados!AE7)))</f>
        <v>0</v>
      </c>
      <c r="E7">
        <f>IF(COUNT(Resultados!E7,Resultados!N7,Resultados!W7,Resultados!AF7)&lt;=1, "", _xlfn.STDEV.S(ABS(Resultados!E7),ABS(Resultados!N7),ABS(Resultados!W7),ABS(Resultados!AF7))/SQRT(COUNT(Resultados!E7,Resultados!N7,Resultados!W7,Resultados!AF7)))</f>
        <v>0</v>
      </c>
      <c r="F7">
        <f>IF(COUNT(Resultados!F7,Resultados!O7,Resultados!X7,Resultados!AG7)&lt;=1, "", _xlfn.STDEV.S(ABS(Resultados!F7),ABS(Resultados!O7),ABS(Resultados!X7),ABS(Resultados!AG7))/SQRT(COUNT(Resultados!F7,Resultados!O7,Resultados!X7,Resultados!AG7)))</f>
        <v>0</v>
      </c>
      <c r="G7">
        <f>IF(COUNT(Resultados!G7,Resultados!P7,Resultados!Y7,Resultados!AH7)&lt;=1, "", _xlfn.STDEV.S(ABS(Resultados!G7),ABS(Resultados!P7),ABS(Resultados!Y7),ABS(Resultados!AH7))/SQRT(COUNT(Resultados!G7,Resultados!P7,Resultados!Y7,Resultados!AH7)))</f>
        <v>0</v>
      </c>
      <c r="H7">
        <f>IF(COUNT(Resultados!H7,Resultados!Q7,Resultados!Z7,Resultados!AI7)&lt;=1, "", _xlfn.STDEV.S(ABS(Resultados!H7),ABS(Resultados!Q7),ABS(Resultados!Z7),ABS(Resultados!AI7))/SQRT(COUNT(Resultados!H7,Resultados!Q7,Resultados!Z7,Resultados!AI7)))</f>
        <v>0</v>
      </c>
      <c r="I7">
        <f>IF(COUNT(Resultados!I7,Resultados!R7,Resultados!AA7,Resultados!AJ7)&lt;=1, "", _xlfn.STDEV.S(ABS(Resultados!I7),ABS(Resultados!R7),ABS(Resultados!AA7),ABS(Resultados!AJ7))/SQRT(COUNT(Resultados!I7,Resultados!R7,Resultados!AA7,Resultados!AJ7)))</f>
        <v>2.4167385046867818E-3</v>
      </c>
    </row>
    <row r="8" spans="1:9" x14ac:dyDescent="0.3">
      <c r="A8" t="str">
        <f>IF(COUNT(Resultados!A8,Resultados!J8,Resultados!S8,Resultados!AB8)&lt;=1, "", _xlfn.STDEV.S(ABS(Resultados!A8),ABS(Resultados!J8),ABS(Resultados!S8),ABS(Resultados!AB8))/SQRT(COUNT(Resultados!A8,Resultados!J8,Resultados!S8,Resultados!AB8)))</f>
        <v/>
      </c>
      <c r="B8" t="str">
        <f>IF(COUNT(Resultados!B8,Resultados!K8,Resultados!T8,Resultados!AC8)&lt;=1, "", _xlfn.STDEV.S(ABS(Resultados!B8),ABS(Resultados!K8),ABS(Resultados!T8),ABS(Resultados!AC8))/SQRT(COUNT(Resultados!B8,Resultados!K8,Resultados!T8,Resultados!AC8)))</f>
        <v/>
      </c>
      <c r="C8">
        <f>IF(COUNT(Resultados!C8,Resultados!L8,Resultados!U8,Resultados!AD8)&lt;=1, "", _xlfn.STDEV.S(ABS(Resultados!C8),ABS(Resultados!L8),ABS(Resultados!U8),ABS(Resultados!AD8))/SQRT(COUNT(Resultados!C8,Resultados!L8,Resultados!U8,Resultados!AD8)))</f>
        <v>0.25</v>
      </c>
      <c r="D8">
        <f>IF(COUNT(Resultados!D8,Resultados!M8,Resultados!V8,Resultados!AE8)&lt;=1, "", _xlfn.STDEV.S(ABS(Resultados!D8),ABS(Resultados!M8),ABS(Resultados!V8),ABS(Resultados!AE8))/SQRT(COUNT(Resultados!D8,Resultados!M8,Resultados!V8,Resultados!AE8)))</f>
        <v>1.6665208269525666E-3</v>
      </c>
      <c r="E8">
        <f>IF(COUNT(Resultados!E8,Resultados!N8,Resultados!W8,Resultados!AF8)&lt;=1, "", _xlfn.STDEV.S(ABS(Resultados!E8),ABS(Resultados!N8),ABS(Resultados!W8),ABS(Resultados!AF8))/SQRT(COUNT(Resultados!E8,Resultados!N8,Resultados!W8,Resultados!AF8)))</f>
        <v>0</v>
      </c>
      <c r="F8">
        <f>IF(COUNT(Resultados!F8,Resultados!O8,Resultados!X8,Resultados!AG8)&lt;=1, "", _xlfn.STDEV.S(ABS(Resultados!F8),ABS(Resultados!O8),ABS(Resultados!X8),ABS(Resultados!AG8))/SQRT(COUNT(Resultados!F8,Resultados!O8,Resultados!X8,Resultados!AG8)))</f>
        <v>0</v>
      </c>
      <c r="G8">
        <f>IF(COUNT(Resultados!G8,Resultados!P8,Resultados!Y8,Resultados!AH8)&lt;=1, "", _xlfn.STDEV.S(ABS(Resultados!G8),ABS(Resultados!P8),ABS(Resultados!Y8),ABS(Resultados!AH8))/SQRT(COUNT(Resultados!G8,Resultados!P8,Resultados!Y8,Resultados!AH8)))</f>
        <v>0</v>
      </c>
      <c r="H8">
        <f>IF(COUNT(Resultados!H8,Resultados!Q8,Resultados!Z8,Resultados!AI8)&lt;=1, "", _xlfn.STDEV.S(ABS(Resultados!H8),ABS(Resultados!Q8),ABS(Resultados!Z8),ABS(Resultados!AI8))/SQRT(COUNT(Resultados!H8,Resultados!Q8,Resultados!Z8,Resultados!AI8)))</f>
        <v>0</v>
      </c>
      <c r="I8">
        <f>IF(COUNT(Resultados!I8,Resultados!R8,Resultados!AA8,Resultados!AJ8)&lt;=1, "", _xlfn.STDEV.S(ABS(Resultados!I8),ABS(Resultados!R8),ABS(Resultados!AA8),ABS(Resultados!AJ8))/SQRT(COUNT(Resultados!I8,Resultados!R8,Resultados!AA8,Resultados!AJ8)))</f>
        <v>6.9686799324692166E-4</v>
      </c>
    </row>
    <row r="9" spans="1:9" x14ac:dyDescent="0.3">
      <c r="A9" t="str">
        <f>IF(COUNT(Resultados!A9,Resultados!J9,Resultados!S9,Resultados!AB9)&lt;=1, "", _xlfn.STDEV.S(ABS(Resultados!A9),ABS(Resultados!J9),ABS(Resultados!S9),ABS(Resultados!AB9))/SQRT(COUNT(Resultados!A9,Resultados!J9,Resultados!S9,Resultados!AB9)))</f>
        <v/>
      </c>
      <c r="B9" t="str">
        <f>IF(COUNT(Resultados!B9,Resultados!K9,Resultados!T9,Resultados!AC9)&lt;=1, "", _xlfn.STDEV.S(ABS(Resultados!B9),ABS(Resultados!K9),ABS(Resultados!T9),ABS(Resultados!AC9))/SQRT(COUNT(Resultados!B9,Resultados!K9,Resultados!T9,Resultados!AC9)))</f>
        <v/>
      </c>
      <c r="C9">
        <f>IF(COUNT(Resultados!C9,Resultados!L9,Resultados!U9,Resultados!AD9)&lt;=1, "", _xlfn.STDEV.S(ABS(Resultados!C9),ABS(Resultados!L9),ABS(Resultados!U9),ABS(Resultados!AD9))/SQRT(COUNT(Resultados!C9,Resultados!L9,Resultados!U9,Resultados!AD9)))</f>
        <v>0.25</v>
      </c>
      <c r="D9">
        <f>IF(COUNT(Resultados!D9,Resultados!M9,Resultados!V9,Resultados!AE9)&lt;=1, "", _xlfn.STDEV.S(ABS(Resultados!D9),ABS(Resultados!M9),ABS(Resultados!V9),ABS(Resultados!AE9))/SQRT(COUNT(Resultados!D9,Resultados!M9,Resultados!V9,Resultados!AE9)))</f>
        <v>8.4754547567274154E-4</v>
      </c>
      <c r="E9">
        <f>IF(COUNT(Resultados!E9,Resultados!N9,Resultados!W9,Resultados!AF9)&lt;=1, "", _xlfn.STDEV.S(ABS(Resultados!E9),ABS(Resultados!N9),ABS(Resultados!W9),ABS(Resultados!AF9))/SQRT(COUNT(Resultados!E9,Resultados!N9,Resultados!W9,Resultados!AF9)))</f>
        <v>0</v>
      </c>
      <c r="F9">
        <f>IF(COUNT(Resultados!F9,Resultados!O9,Resultados!X9,Resultados!AG9)&lt;=1, "", _xlfn.STDEV.S(ABS(Resultados!F9),ABS(Resultados!O9),ABS(Resultados!X9),ABS(Resultados!AG9))/SQRT(COUNT(Resultados!F9,Resultados!O9,Resultados!X9,Resultados!AG9)))</f>
        <v>0</v>
      </c>
      <c r="G9">
        <f>IF(COUNT(Resultados!G9,Resultados!P9,Resultados!Y9,Resultados!AH9)&lt;=1, "", _xlfn.STDEV.S(ABS(Resultados!G9),ABS(Resultados!P9),ABS(Resultados!Y9),ABS(Resultados!AH9))/SQRT(COUNT(Resultados!G9,Resultados!P9,Resultados!Y9,Resultados!AH9)))</f>
        <v>0</v>
      </c>
      <c r="H9">
        <f>IF(COUNT(Resultados!H9,Resultados!Q9,Resultados!Z9,Resultados!AI9)&lt;=1, "", _xlfn.STDEV.S(ABS(Resultados!H9),ABS(Resultados!Q9),ABS(Resultados!Z9),ABS(Resultados!AI9))/SQRT(COUNT(Resultados!H9,Resultados!Q9,Resultados!Z9,Resultados!AI9)))</f>
        <v>0</v>
      </c>
      <c r="I9">
        <f>IF(COUNT(Resultados!I9,Resultados!R9,Resultados!AA9,Resultados!AJ9)&lt;=1, "", _xlfn.STDEV.S(ABS(Resultados!I9),ABS(Resultados!R9),ABS(Resultados!AA9),ABS(Resultados!AJ9))/SQRT(COUNT(Resultados!I9,Resultados!R9,Resultados!AA9,Resultados!AJ9)))</f>
        <v>7.0296989031132598E-4</v>
      </c>
    </row>
    <row r="10" spans="1:9" x14ac:dyDescent="0.3">
      <c r="A10" t="str">
        <f>IF(COUNT(Resultados!A10,Resultados!J10,Resultados!S10,Resultados!AB10)&lt;=1, "", _xlfn.STDEV.S(ABS(Resultados!A10),ABS(Resultados!J10),ABS(Resultados!S10),ABS(Resultados!AB10))/SQRT(COUNT(Resultados!A10,Resultados!J10,Resultados!S10,Resultados!AB10)))</f>
        <v/>
      </c>
      <c r="B10" t="str">
        <f>IF(COUNT(Resultados!B10,Resultados!K10,Resultados!T10,Resultados!AC10)&lt;=1, "", _xlfn.STDEV.S(ABS(Resultados!B10),ABS(Resultados!K10),ABS(Resultados!T10),ABS(Resultados!AC10))/SQRT(COUNT(Resultados!B10,Resultados!K10,Resultados!T10,Resultados!AC10)))</f>
        <v/>
      </c>
      <c r="C10">
        <f>IF(COUNT(Resultados!C10,Resultados!L10,Resultados!U10,Resultados!AD10)&lt;=1, "", _xlfn.STDEV.S(ABS(Resultados!C10),ABS(Resultados!L10),ABS(Resultados!U10),ABS(Resultados!AD10))/SQRT(COUNT(Resultados!C10,Resultados!L10,Resultados!U10,Resultados!AD10)))</f>
        <v>0.25</v>
      </c>
      <c r="D10">
        <f>IF(COUNT(Resultados!D10,Resultados!M10,Resultados!V10,Resultados!AE10)&lt;=1, "", _xlfn.STDEV.S(ABS(Resultados!D10),ABS(Resultados!M10),ABS(Resultados!V10),ABS(Resultados!AE10))/SQRT(COUNT(Resultados!D10,Resultados!M10,Resultados!V10,Resultados!AE10)))</f>
        <v>2.1794494717703475E-4</v>
      </c>
      <c r="E10">
        <f>IF(COUNT(Resultados!E10,Resultados!N10,Resultados!W10,Resultados!AF10)&lt;=1, "", _xlfn.STDEV.S(ABS(Resultados!E10),ABS(Resultados!N10),ABS(Resultados!W10),ABS(Resultados!AF10))/SQRT(COUNT(Resultados!E10,Resultados!N10,Resultados!W10,Resultados!AF10)))</f>
        <v>0</v>
      </c>
      <c r="F10">
        <f>IF(COUNT(Resultados!F10,Resultados!O10,Resultados!X10,Resultados!AG10)&lt;=1, "", _xlfn.STDEV.S(ABS(Resultados!F10),ABS(Resultados!O10),ABS(Resultados!X10),ABS(Resultados!AG10))/SQRT(COUNT(Resultados!F10,Resultados!O10,Resultados!X10,Resultados!AG10)))</f>
        <v>0</v>
      </c>
      <c r="G10">
        <f>IF(COUNT(Resultados!G10,Resultados!P10,Resultados!Y10,Resultados!AH10)&lt;=1, "", _xlfn.STDEV.S(ABS(Resultados!G10),ABS(Resultados!P10),ABS(Resultados!Y10),ABS(Resultados!AH10))/SQRT(COUNT(Resultados!G10,Resultados!P10,Resultados!Y10,Resultados!AH10)))</f>
        <v>0</v>
      </c>
      <c r="H10">
        <f>IF(COUNT(Resultados!H10,Resultados!Q10,Resultados!Z10,Resultados!AI10)&lt;=1, "", _xlfn.STDEV.S(ABS(Resultados!H10),ABS(Resultados!Q10),ABS(Resultados!Z10),ABS(Resultados!AI10))/SQRT(COUNT(Resultados!H10,Resultados!Q10,Resultados!Z10,Resultados!AI10)))</f>
        <v>0</v>
      </c>
      <c r="I10">
        <f>IF(COUNT(Resultados!I10,Resultados!R10,Resultados!AA10,Resultados!AJ10)&lt;=1, "", _xlfn.STDEV.S(ABS(Resultados!I10),ABS(Resultados!R10),ABS(Resultados!AA10),ABS(Resultados!AJ10))/SQRT(COUNT(Resultados!I10,Resultados!R10,Resultados!AA10,Resultados!AJ10)))</f>
        <v>8.1993394044282888E-4</v>
      </c>
    </row>
    <row r="11" spans="1:9" x14ac:dyDescent="0.3">
      <c r="A11" t="str">
        <f>IF(COUNT(Resultados!A11,Resultados!J11,Resultados!S11,Resultados!AB11)&lt;=1, "", _xlfn.STDEV.S(ABS(Resultados!A11),ABS(Resultados!J11),ABS(Resultados!S11),ABS(Resultados!AB11))/SQRT(COUNT(Resultados!A11,Resultados!J11,Resultados!S11,Resultados!AB11)))</f>
        <v/>
      </c>
      <c r="B11" t="str">
        <f>IF(COUNT(Resultados!B11,Resultados!K11,Resultados!T11,Resultados!AC11)&lt;=1, "", _xlfn.STDEV.S(ABS(Resultados!B11),ABS(Resultados!K11),ABS(Resultados!T11),ABS(Resultados!AC11))/SQRT(COUNT(Resultados!B11,Resultados!K11,Resultados!T11,Resultados!AC11)))</f>
        <v/>
      </c>
      <c r="C11">
        <f>IF(COUNT(Resultados!C11,Resultados!L11,Resultados!U11,Resultados!AD11)&lt;=1, "", _xlfn.STDEV.S(ABS(Resultados!C11),ABS(Resultados!L11),ABS(Resultados!U11),ABS(Resultados!AD11))/SQRT(COUNT(Resultados!C11,Resultados!L11,Resultados!U11,Resultados!AD11)))</f>
        <v>0.25</v>
      </c>
      <c r="D11">
        <f>IF(COUNT(Resultados!D11,Resultados!M11,Resultados!V11,Resultados!AE11)&lt;=1, "", _xlfn.STDEV.S(ABS(Resultados!D11),ABS(Resultados!M11),ABS(Resultados!V11),ABS(Resultados!AE11))/SQRT(COUNT(Resultados!D11,Resultados!M11,Resultados!V11,Resultados!AE11)))</f>
        <v>1.7969882210706439E-4</v>
      </c>
      <c r="E11">
        <f>IF(COUNT(Resultados!E11,Resultados!N11,Resultados!W11,Resultados!AF11)&lt;=1, "", _xlfn.STDEV.S(ABS(Resultados!E11),ABS(Resultados!N11),ABS(Resultados!W11),ABS(Resultados!AF11))/SQRT(COUNT(Resultados!E11,Resultados!N11,Resultados!W11,Resultados!AF11)))</f>
        <v>0</v>
      </c>
      <c r="F11">
        <f>IF(COUNT(Resultados!F11,Resultados!O11,Resultados!X11,Resultados!AG11)&lt;=1, "", _xlfn.STDEV.S(ABS(Resultados!F11),ABS(Resultados!O11),ABS(Resultados!X11),ABS(Resultados!AG11))/SQRT(COUNT(Resultados!F11,Resultados!O11,Resultados!X11,Resultados!AG11)))</f>
        <v>0</v>
      </c>
      <c r="G11">
        <f>IF(COUNT(Resultados!G11,Resultados!P11,Resultados!Y11,Resultados!AH11)&lt;=1, "", _xlfn.STDEV.S(ABS(Resultados!G11),ABS(Resultados!P11),ABS(Resultados!Y11),ABS(Resultados!AH11))/SQRT(COUNT(Resultados!G11,Resultados!P11,Resultados!Y11,Resultados!AH11)))</f>
        <v>0</v>
      </c>
      <c r="H11">
        <f>IF(COUNT(Resultados!H11,Resultados!Q11,Resultados!Z11,Resultados!AI11)&lt;=1, "", _xlfn.STDEV.S(ABS(Resultados!H11),ABS(Resultados!Q11),ABS(Resultados!Z11),ABS(Resultados!AI11))/SQRT(COUNT(Resultados!H11,Resultados!Q11,Resultados!Z11,Resultados!AI11)))</f>
        <v>0</v>
      </c>
      <c r="I11">
        <f>IF(COUNT(Resultados!I11,Resultados!R11,Resultados!AA11,Resultados!AJ11)&lt;=1, "", _xlfn.STDEV.S(ABS(Resultados!I11),ABS(Resultados!R11),ABS(Resultados!AA11),ABS(Resultados!AJ11))/SQRT(COUNT(Resultados!I11,Resultados!R11,Resultados!AA11,Resultados!AJ11)))</f>
        <v>7.3186405841888685E-4</v>
      </c>
    </row>
    <row r="12" spans="1:9" x14ac:dyDescent="0.3">
      <c r="A12" t="str">
        <f>IF(COUNT(Resultados!A12,Resultados!J12,Resultados!S12,Resultados!AB12)&lt;=1, "", _xlfn.STDEV.S(ABS(Resultados!A12),ABS(Resultados!J12),ABS(Resultados!S12),ABS(Resultados!AB12))/SQRT(COUNT(Resultados!A12,Resultados!J12,Resultados!S12,Resultados!AB12)))</f>
        <v/>
      </c>
      <c r="B12" t="str">
        <f>IF(COUNT(Resultados!B12,Resultados!K12,Resultados!T12,Resultados!AC12)&lt;=1, "", _xlfn.STDEV.S(ABS(Resultados!B12),ABS(Resultados!K12),ABS(Resultados!T12),ABS(Resultados!AC12))/SQRT(COUNT(Resultados!B12,Resultados!K12,Resultados!T12,Resultados!AC12)))</f>
        <v/>
      </c>
      <c r="C12">
        <f>IF(COUNT(Resultados!C12,Resultados!L12,Resultados!U12,Resultados!AD12)&lt;=1, "", _xlfn.STDEV.S(ABS(Resultados!C12),ABS(Resultados!L12),ABS(Resultados!U12),ABS(Resultados!AD12))/SQRT(COUNT(Resultados!C12,Resultados!L12,Resultados!U12,Resultados!AD12)))</f>
        <v>0.25</v>
      </c>
      <c r="D12">
        <f>IF(COUNT(Resultados!D12,Resultados!M12,Resultados!V12,Resultados!AE12)&lt;=1, "", _xlfn.STDEV.S(ABS(Resultados!D12),ABS(Resultados!M12),ABS(Resultados!V12),ABS(Resultados!AE12))/SQRT(COUNT(Resultados!D12,Resultados!M12,Resultados!V12,Resultados!AE12)))</f>
        <v>1.4930394055974079E-4</v>
      </c>
      <c r="E12">
        <f>IF(COUNT(Resultados!E12,Resultados!N12,Resultados!W12,Resultados!AF12)&lt;=1, "", _xlfn.STDEV.S(ABS(Resultados!E12),ABS(Resultados!N12),ABS(Resultados!W12),ABS(Resultados!AF12))/SQRT(COUNT(Resultados!E12,Resultados!N12,Resultados!W12,Resultados!AF12)))</f>
        <v>0</v>
      </c>
      <c r="F12">
        <f>IF(COUNT(Resultados!F12,Resultados!O12,Resultados!X12,Resultados!AG12)&lt;=1, "", _xlfn.STDEV.S(ABS(Resultados!F12),ABS(Resultados!O12),ABS(Resultados!X12),ABS(Resultados!AG12))/SQRT(COUNT(Resultados!F12,Resultados!O12,Resultados!X12,Resultados!AG12)))</f>
        <v>0</v>
      </c>
      <c r="G12">
        <f>IF(COUNT(Resultados!G12,Resultados!P12,Resultados!Y12,Resultados!AH12)&lt;=1, "", _xlfn.STDEV.S(ABS(Resultados!G12),ABS(Resultados!P12),ABS(Resultados!Y12),ABS(Resultados!AH12))/SQRT(COUNT(Resultados!G12,Resultados!P12,Resultados!Y12,Resultados!AH12)))</f>
        <v>0</v>
      </c>
      <c r="H12">
        <f>IF(COUNT(Resultados!H12,Resultados!Q12,Resultados!Z12,Resultados!AI12)&lt;=1, "", _xlfn.STDEV.S(ABS(Resultados!H12),ABS(Resultados!Q12),ABS(Resultados!Z12),ABS(Resultados!AI12))/SQRT(COUNT(Resultados!H12,Resultados!Q12,Resultados!Z12,Resultados!AI12)))</f>
        <v>0</v>
      </c>
      <c r="I12">
        <f>IF(COUNT(Resultados!I12,Resultados!R12,Resultados!AA12,Resultados!AJ12)&lt;=1, "", _xlfn.STDEV.S(ABS(Resultados!I12),ABS(Resultados!R12),ABS(Resultados!AA12),ABS(Resultados!AJ12))/SQRT(COUNT(Resultados!I12,Resultados!R12,Resultados!AA12,Resultados!AJ12)))</f>
        <v>1.3677840960214344E-3</v>
      </c>
    </row>
    <row r="13" spans="1:9" x14ac:dyDescent="0.3">
      <c r="A13" t="str">
        <f>IF(COUNT(Resultados!A13,Resultados!J13,Resultados!S13,Resultados!AB13)&lt;=1, "", _xlfn.STDEV.S(ABS(Resultados!A13),ABS(Resultados!J13),ABS(Resultados!S13),ABS(Resultados!AB13))/SQRT(COUNT(Resultados!A13,Resultados!J13,Resultados!S13,Resultados!AB13)))</f>
        <v/>
      </c>
      <c r="B13" t="str">
        <f>IF(COUNT(Resultados!B13,Resultados!K13,Resultados!T13,Resultados!AC13)&lt;=1, "", _xlfn.STDEV.S(ABS(Resultados!B13),ABS(Resultados!K13),ABS(Resultados!T13),ABS(Resultados!AC13))/SQRT(COUNT(Resultados!B13,Resultados!K13,Resultados!T13,Resultados!AC13)))</f>
        <v/>
      </c>
      <c r="C13">
        <f>IF(COUNT(Resultados!C13,Resultados!L13,Resultados!U13,Resultados!AD13)&lt;=1, "", _xlfn.STDEV.S(ABS(Resultados!C13),ABS(Resultados!L13),ABS(Resultados!U13),ABS(Resultados!AD13))/SQRT(COUNT(Resultados!C13,Resultados!L13,Resultados!U13,Resultados!AD13)))</f>
        <v>0.25</v>
      </c>
      <c r="D13">
        <f>IF(COUNT(Resultados!D13,Resultados!M13,Resultados!V13,Resultados!AE13)&lt;=1, "", _xlfn.STDEV.S(ABS(Resultados!D13),ABS(Resultados!M13),ABS(Resultados!V13),ABS(Resultados!AE13))/SQRT(COUNT(Resultados!D13,Resultados!M13,Resultados!V13,Resultados!AE13)))</f>
        <v>1.4433756729740615E-4</v>
      </c>
      <c r="E13">
        <f>IF(COUNT(Resultados!E13,Resultados!N13,Resultados!W13,Resultados!AF13)&lt;=1, "", _xlfn.STDEV.S(ABS(Resultados!E13),ABS(Resultados!N13),ABS(Resultados!W13),ABS(Resultados!AF13))/SQRT(COUNT(Resultados!E13,Resultados!N13,Resultados!W13,Resultados!AF13)))</f>
        <v>0</v>
      </c>
      <c r="F13">
        <f>IF(COUNT(Resultados!F13,Resultados!O13,Resultados!X13,Resultados!AG13)&lt;=1, "", _xlfn.STDEV.S(ABS(Resultados!F13),ABS(Resultados!O13),ABS(Resultados!X13),ABS(Resultados!AG13))/SQRT(COUNT(Resultados!F13,Resultados!O13,Resultados!X13,Resultados!AG13)))</f>
        <v>0</v>
      </c>
      <c r="G13">
        <f>IF(COUNT(Resultados!G13,Resultados!P13,Resultados!Y13,Resultados!AH13)&lt;=1, "", _xlfn.STDEV.S(ABS(Resultados!G13),ABS(Resultados!P13),ABS(Resultados!Y13),ABS(Resultados!AH13))/SQRT(COUNT(Resultados!G13,Resultados!P13,Resultados!Y13,Resultados!AH13)))</f>
        <v>0</v>
      </c>
      <c r="H13">
        <f>IF(COUNT(Resultados!H13,Resultados!Q13,Resultados!Z13,Resultados!AI13)&lt;=1, "", _xlfn.STDEV.S(ABS(Resultados!H13),ABS(Resultados!Q13),ABS(Resultados!Z13),ABS(Resultados!AI13))/SQRT(COUNT(Resultados!H13,Resultados!Q13,Resultados!Z13,Resultados!AI13)))</f>
        <v>0</v>
      </c>
      <c r="I13">
        <f>IF(COUNT(Resultados!I13,Resultados!R13,Resultados!AA13,Resultados!AJ13)&lt;=1, "", _xlfn.STDEV.S(ABS(Resultados!I13),ABS(Resultados!R13),ABS(Resultados!AA13),ABS(Resultados!AJ13))/SQRT(COUNT(Resultados!I13,Resultados!R13,Resultados!AA13,Resultados!AJ13)))</f>
        <v>7.8368786304240342E-4</v>
      </c>
    </row>
    <row r="14" spans="1:9" x14ac:dyDescent="0.3">
      <c r="A14" t="str">
        <f>IF(COUNT(Resultados!A14,Resultados!J14,Resultados!S14,Resultados!AB14)&lt;=1, "", _xlfn.STDEV.S(ABS(Resultados!A14),ABS(Resultados!J14),ABS(Resultados!S14),ABS(Resultados!AB14))/SQRT(COUNT(Resultados!A14,Resultados!J14,Resultados!S14,Resultados!AB14)))</f>
        <v/>
      </c>
      <c r="B14" t="str">
        <f>IF(COUNT(Resultados!B14,Resultados!K14,Resultados!T14,Resultados!AC14)&lt;=1, "", _xlfn.STDEV.S(ABS(Resultados!B14),ABS(Resultados!K14),ABS(Resultados!T14),ABS(Resultados!AC14))/SQRT(COUNT(Resultados!B14,Resultados!K14,Resultados!T14,Resultados!AC14)))</f>
        <v/>
      </c>
      <c r="C14">
        <f>IF(COUNT(Resultados!C14,Resultados!L14,Resultados!U14,Resultados!AD14)&lt;=1, "", _xlfn.STDEV.S(ABS(Resultados!C14),ABS(Resultados!L14),ABS(Resultados!U14),ABS(Resultados!AD14))/SQRT(COUNT(Resultados!C14,Resultados!L14,Resultados!U14,Resultados!AD14)))</f>
        <v>0.25</v>
      </c>
      <c r="D14">
        <f>IF(COUNT(Resultados!D14,Resultados!M14,Resultados!V14,Resultados!AE14)&lt;=1, "", _xlfn.STDEV.S(ABS(Resultados!D14),ABS(Resultados!M14),ABS(Resultados!V14),ABS(Resultados!AE14))/SQRT(COUNT(Resultados!D14,Resultados!M14,Resultados!V14,Resultados!AE14)))</f>
        <v>1.4930394055974079E-4</v>
      </c>
      <c r="E14">
        <f>IF(COUNT(Resultados!E14,Resultados!N14,Resultados!W14,Resultados!AF14)&lt;=1, "", _xlfn.STDEV.S(ABS(Resultados!E14),ABS(Resultados!N14),ABS(Resultados!W14),ABS(Resultados!AF14))/SQRT(COUNT(Resultados!E14,Resultados!N14,Resultados!W14,Resultados!AF14)))</f>
        <v>0</v>
      </c>
      <c r="F14">
        <f>IF(COUNT(Resultados!F14,Resultados!O14,Resultados!X14,Resultados!AG14)&lt;=1, "", _xlfn.STDEV.S(ABS(Resultados!F14),ABS(Resultados!O14),ABS(Resultados!X14),ABS(Resultados!AG14))/SQRT(COUNT(Resultados!F14,Resultados!O14,Resultados!X14,Resultados!AG14)))</f>
        <v>0</v>
      </c>
      <c r="G14">
        <f>IF(COUNT(Resultados!G14,Resultados!P14,Resultados!Y14,Resultados!AH14)&lt;=1, "", _xlfn.STDEV.S(ABS(Resultados!G14),ABS(Resultados!P14),ABS(Resultados!Y14),ABS(Resultados!AH14))/SQRT(COUNT(Resultados!G14,Resultados!P14,Resultados!Y14,Resultados!AH14)))</f>
        <v>0</v>
      </c>
      <c r="H14">
        <f>IF(COUNT(Resultados!H14,Resultados!Q14,Resultados!Z14,Resultados!AI14)&lt;=1, "", _xlfn.STDEV.S(ABS(Resultados!H14),ABS(Resultados!Q14),ABS(Resultados!Z14),ABS(Resultados!AI14))/SQRT(COUNT(Resultados!H14,Resultados!Q14,Resultados!Z14,Resultados!AI14)))</f>
        <v>0</v>
      </c>
      <c r="I14">
        <f>IF(COUNT(Resultados!I14,Resultados!R14,Resultados!AA14,Resultados!AJ14)&lt;=1, "", _xlfn.STDEV.S(ABS(Resultados!I14),ABS(Resultados!R14),ABS(Resultados!AA14),ABS(Resultados!AJ14))/SQRT(COUNT(Resultados!I14,Resultados!R14,Resultados!AA14,Resultados!AJ14)))</f>
        <v>6.1829739338530357E-4</v>
      </c>
    </row>
    <row r="15" spans="1:9" x14ac:dyDescent="0.3">
      <c r="A15" t="str">
        <f>IF(COUNT(Resultados!A15,Resultados!J15,Resultados!S15,Resultados!AB15)&lt;=1, "", _xlfn.STDEV.S(ABS(Resultados!A15),ABS(Resultados!J15),ABS(Resultados!S15),ABS(Resultados!AB15))/SQRT(COUNT(Resultados!A15,Resultados!J15,Resultados!S15,Resultados!AB15)))</f>
        <v/>
      </c>
      <c r="B15" t="str">
        <f>IF(COUNT(Resultados!B15,Resultados!K15,Resultados!T15,Resultados!AC15)&lt;=1, "", _xlfn.STDEV.S(ABS(Resultados!B15),ABS(Resultados!K15),ABS(Resultados!T15),ABS(Resultados!AC15))/SQRT(COUNT(Resultados!B15,Resultados!K15,Resultados!T15,Resultados!AC15)))</f>
        <v/>
      </c>
      <c r="C15">
        <f>IF(COUNT(Resultados!C15,Resultados!L15,Resultados!U15,Resultados!AD15)&lt;=1, "", _xlfn.STDEV.S(ABS(Resultados!C15),ABS(Resultados!L15),ABS(Resultados!U15),ABS(Resultados!AD15))/SQRT(COUNT(Resultados!C15,Resultados!L15,Resultados!U15,Resultados!AD15)))</f>
        <v>0.25</v>
      </c>
      <c r="D15">
        <f>IF(COUNT(Resultados!D15,Resultados!M15,Resultados!V15,Resultados!AE15)&lt;=1, "", _xlfn.STDEV.S(ABS(Resultados!D15),ABS(Resultados!M15),ABS(Resultados!V15),ABS(Resultados!AE15))/SQRT(COUNT(Resultados!D15,Resultados!M15,Resultados!V15,Resultados!AE15)))</f>
        <v>1.4930394055974079E-4</v>
      </c>
      <c r="E15">
        <f>IF(COUNT(Resultados!E15,Resultados!N15,Resultados!W15,Resultados!AF15)&lt;=1, "", _xlfn.STDEV.S(ABS(Resultados!E15),ABS(Resultados!N15),ABS(Resultados!W15),ABS(Resultados!AF15))/SQRT(COUNT(Resultados!E15,Resultados!N15,Resultados!W15,Resultados!AF15)))</f>
        <v>0</v>
      </c>
      <c r="F15">
        <f>IF(COUNT(Resultados!F15,Resultados!O15,Resultados!X15,Resultados!AG15)&lt;=1, "", _xlfn.STDEV.S(ABS(Resultados!F15),ABS(Resultados!O15),ABS(Resultados!X15),ABS(Resultados!AG15))/SQRT(COUNT(Resultados!F15,Resultados!O15,Resultados!X15,Resultados!AG15)))</f>
        <v>0</v>
      </c>
      <c r="G15">
        <f>IF(COUNT(Resultados!G15,Resultados!P15,Resultados!Y15,Resultados!AH15)&lt;=1, "", _xlfn.STDEV.S(ABS(Resultados!G15),ABS(Resultados!P15),ABS(Resultados!Y15),ABS(Resultados!AH15))/SQRT(COUNT(Resultados!G15,Resultados!P15,Resultados!Y15,Resultados!AH15)))</f>
        <v>0</v>
      </c>
      <c r="H15">
        <f>IF(COUNT(Resultados!H15,Resultados!Q15,Resultados!Z15,Resultados!AI15)&lt;=1, "", _xlfn.STDEV.S(ABS(Resultados!H15),ABS(Resultados!Q15),ABS(Resultados!Z15),ABS(Resultados!AI15))/SQRT(COUNT(Resultados!H15,Resultados!Q15,Resultados!Z15,Resultados!AI15)))</f>
        <v>0</v>
      </c>
      <c r="I15">
        <f>IF(COUNT(Resultados!I15,Resultados!R15,Resultados!AA15,Resultados!AJ15)&lt;=1, "", _xlfn.STDEV.S(ABS(Resultados!I15),ABS(Resultados!R15),ABS(Resultados!AA15),ABS(Resultados!AJ15))/SQRT(COUNT(Resultados!I15,Resultados!R15,Resultados!AA15,Resultados!AJ15)))</f>
        <v>2.3273733406240047E-4</v>
      </c>
    </row>
    <row r="16" spans="1:9" x14ac:dyDescent="0.3">
      <c r="A16" t="str">
        <f>IF(COUNT(Resultados!A16,Resultados!J16,Resultados!S16,Resultados!AB16)&lt;=1, "", _xlfn.STDEV.S(ABS(Resultados!A16),ABS(Resultados!J16),ABS(Resultados!S16),ABS(Resultados!AB16))/SQRT(COUNT(Resultados!A16,Resultados!J16,Resultados!S16,Resultados!AB16)))</f>
        <v/>
      </c>
      <c r="B16" t="str">
        <f>IF(COUNT(Resultados!B16,Resultados!K16,Resultados!T16,Resultados!AC16)&lt;=1, "", _xlfn.STDEV.S(ABS(Resultados!B16),ABS(Resultados!K16),ABS(Resultados!T16),ABS(Resultados!AC16))/SQRT(COUNT(Resultados!B16,Resultados!K16,Resultados!T16,Resultados!AC16)))</f>
        <v/>
      </c>
      <c r="C16">
        <f>IF(COUNT(Resultados!C16,Resultados!L16,Resultados!U16,Resultados!AD16)&lt;=1, "", _xlfn.STDEV.S(ABS(Resultados!C16),ABS(Resultados!L16),ABS(Resultados!U16),ABS(Resultados!AD16))/SQRT(COUNT(Resultados!C16,Resultados!L16,Resultados!U16,Resultados!AD16)))</f>
        <v>0.25</v>
      </c>
      <c r="D16">
        <f>IF(COUNT(Resultados!D16,Resultados!M16,Resultados!V16,Resultados!AE16)&lt;=1, "", _xlfn.STDEV.S(ABS(Resultados!D16),ABS(Resultados!M16),ABS(Resultados!V16),ABS(Resultados!AE16))/SQRT(COUNT(Resultados!D16,Resultados!M16,Resultados!V16,Resultados!AE16)))</f>
        <v>1.4930394055974079E-4</v>
      </c>
      <c r="E16">
        <f>IF(COUNT(Resultados!E16,Resultados!N16,Resultados!W16,Resultados!AF16)&lt;=1, "", _xlfn.STDEV.S(ABS(Resultados!E16),ABS(Resultados!N16),ABS(Resultados!W16),ABS(Resultados!AF16))/SQRT(COUNT(Resultados!E16,Resultados!N16,Resultados!W16,Resultados!AF16)))</f>
        <v>1.0136768749072091</v>
      </c>
      <c r="F16">
        <f>IF(COUNT(Resultados!F16,Resultados!O16,Resultados!X16,Resultados!AG16)&lt;=1, "", _xlfn.STDEV.S(ABS(Resultados!F16),ABS(Resultados!O16),ABS(Resultados!X16),ABS(Resultados!AG16))/SQRT(COUNT(Resultados!F16,Resultados!O16,Resultados!X16,Resultados!AG16)))</f>
        <v>94.474684741352007</v>
      </c>
      <c r="G16">
        <f>IF(COUNT(Resultados!G16,Resultados!P16,Resultados!Y16,Resultados!AH16)&lt;=1, "", _xlfn.STDEV.S(ABS(Resultados!G16),ABS(Resultados!P16),ABS(Resultados!Y16),ABS(Resultados!AH16))/SQRT(COUNT(Resultados!G16,Resultados!P16,Resultados!Y16,Resultados!AH16)))</f>
        <v>0</v>
      </c>
      <c r="H16">
        <f>IF(COUNT(Resultados!H16,Resultados!Q16,Resultados!Z16,Resultados!AI16)&lt;=1, "", _xlfn.STDEV.S(ABS(Resultados!H16),ABS(Resultados!Q16),ABS(Resultados!Z16),ABS(Resultados!AI16))/SQRT(COUNT(Resultados!H16,Resultados!Q16,Resultados!Z16,Resultados!AI16)))</f>
        <v>1.575E-2</v>
      </c>
      <c r="I16">
        <f>IF(COUNT(Resultados!I16,Resultados!R16,Resultados!AA16,Resultados!AJ16)&lt;=1, "", _xlfn.STDEV.S(ABS(Resultados!I16),ABS(Resultados!R16),ABS(Resultados!AA16),ABS(Resultados!AJ16))/SQRT(COUNT(Resultados!I16,Resultados!R16,Resultados!AA16,Resultados!AJ16)))</f>
        <v>8.1086373702161127E-4</v>
      </c>
    </row>
    <row r="17" spans="1:9" x14ac:dyDescent="0.3">
      <c r="A17" t="str">
        <f>IF(COUNT(Resultados!A17,Resultados!J17,Resultados!S17,Resultados!AB17)&lt;=1, "", _xlfn.STDEV.S(ABS(Resultados!A17),ABS(Resultados!J17),ABS(Resultados!S17),ABS(Resultados!AB17))/SQRT(COUNT(Resultados!A17,Resultados!J17,Resultados!S17,Resultados!AB17)))</f>
        <v/>
      </c>
      <c r="B17" t="str">
        <f>IF(COUNT(Resultados!B17,Resultados!K17,Resultados!T17,Resultados!AC17)&lt;=1, "", _xlfn.STDEV.S(ABS(Resultados!B17),ABS(Resultados!K17),ABS(Resultados!T17),ABS(Resultados!AC17))/SQRT(COUNT(Resultados!B17,Resultados!K17,Resultados!T17,Resultados!AC17)))</f>
        <v/>
      </c>
      <c r="C17">
        <f>IF(COUNT(Resultados!C17,Resultados!L17,Resultados!U17,Resultados!AD17)&lt;=1, "", _xlfn.STDEV.S(ABS(Resultados!C17),ABS(Resultados!L17),ABS(Resultados!U17),ABS(Resultados!AD17))/SQRT(COUNT(Resultados!C17,Resultados!L17,Resultados!U17,Resultados!AD17)))</f>
        <v>0.25</v>
      </c>
      <c r="D17">
        <f>IF(COUNT(Resultados!D17,Resultados!M17,Resultados!V17,Resultados!AE17)&lt;=1, "", _xlfn.STDEV.S(ABS(Resultados!D17),ABS(Resultados!M17),ABS(Resultados!V17),ABS(Resultados!AE17))/SQRT(COUNT(Resultados!D17,Resultados!M17,Resultados!V17,Resultados!AE17)))</f>
        <v>1.926730823614619E-3</v>
      </c>
      <c r="E17">
        <f>IF(COUNT(Resultados!E17,Resultados!N17,Resultados!W17,Resultados!AF17)&lt;=1, "", _xlfn.STDEV.S(ABS(Resultados!E17),ABS(Resultados!N17),ABS(Resultados!W17),ABS(Resultados!AF17))/SQRT(COUNT(Resultados!E17,Resultados!N17,Resultados!W17,Resultados!AF17)))</f>
        <v>0</v>
      </c>
      <c r="F17">
        <f>IF(COUNT(Resultados!F17,Resultados!O17,Resultados!X17,Resultados!AG17)&lt;=1, "", _xlfn.STDEV.S(ABS(Resultados!F17),ABS(Resultados!O17),ABS(Resultados!X17),ABS(Resultados!AG17))/SQRT(COUNT(Resultados!F17,Resultados!O17,Resultados!X17,Resultados!AG17)))</f>
        <v>0</v>
      </c>
      <c r="G17">
        <f>IF(COUNT(Resultados!G17,Resultados!P17,Resultados!Y17,Resultados!AH17)&lt;=1, "", _xlfn.STDEV.S(ABS(Resultados!G17),ABS(Resultados!P17),ABS(Resultados!Y17),ABS(Resultados!AH17))/SQRT(COUNT(Resultados!G17,Resultados!P17,Resultados!Y17,Resultados!AH17)))</f>
        <v>0</v>
      </c>
      <c r="H17">
        <f>IF(COUNT(Resultados!H17,Resultados!Q17,Resultados!Z17,Resultados!AI17)&lt;=1, "", _xlfn.STDEV.S(ABS(Resultados!H17),ABS(Resultados!Q17),ABS(Resultados!Z17),ABS(Resultados!AI17))/SQRT(COUNT(Resultados!H17,Resultados!Q17,Resultados!Z17,Resultados!AI17)))</f>
        <v>0</v>
      </c>
      <c r="I17">
        <f>IF(COUNT(Resultados!I17,Resultados!R17,Resultados!AA17,Resultados!AJ17)&lt;=1, "", _xlfn.STDEV.S(ABS(Resultados!I17),ABS(Resultados!R17),ABS(Resultados!AA17),ABS(Resultados!AJ17))/SQRT(COUNT(Resultados!I17,Resultados!R17,Resultados!AA17,Resultados!AJ17)))</f>
        <v>4.6636895265519485E-4</v>
      </c>
    </row>
    <row r="18" spans="1:9" x14ac:dyDescent="0.3">
      <c r="A18" t="str">
        <f>IF(COUNT(Resultados!A18,Resultados!J18,Resultados!S18,Resultados!AB18)&lt;=1, "", _xlfn.STDEV.S(ABS(Resultados!A18),ABS(Resultados!J18),ABS(Resultados!S18),ABS(Resultados!AB18))/SQRT(COUNT(Resultados!A18,Resultados!J18,Resultados!S18,Resultados!AB18)))</f>
        <v/>
      </c>
      <c r="B18" t="str">
        <f>IF(COUNT(Resultados!B18,Resultados!K18,Resultados!T18,Resultados!AC18)&lt;=1, "", _xlfn.STDEV.S(ABS(Resultados!B18),ABS(Resultados!K18),ABS(Resultados!T18),ABS(Resultados!AC18))/SQRT(COUNT(Resultados!B18,Resultados!K18,Resultados!T18,Resultados!AC18)))</f>
        <v/>
      </c>
      <c r="C18">
        <f>IF(COUNT(Resultados!C18,Resultados!L18,Resultados!U18,Resultados!AD18)&lt;=1, "", _xlfn.STDEV.S(ABS(Resultados!C18),ABS(Resultados!L18),ABS(Resultados!U18),ABS(Resultados!AD18))/SQRT(COUNT(Resultados!C18,Resultados!L18,Resultados!U18,Resultados!AD18)))</f>
        <v>0.25</v>
      </c>
      <c r="D18">
        <f>IF(COUNT(Resultados!D18,Resultados!M18,Resultados!V18,Resultados!AE18)&lt;=1, "", _xlfn.STDEV.S(ABS(Resultados!D18),ABS(Resultados!M18),ABS(Resultados!V18),ABS(Resultados!AE18))/SQRT(COUNT(Resultados!D18,Resultados!M18,Resultados!V18,Resultados!AE18)))</f>
        <v>4.3263485373541783E-3</v>
      </c>
      <c r="E18">
        <f>IF(COUNT(Resultados!E18,Resultados!N18,Resultados!W18,Resultados!AF18)&lt;=1, "", _xlfn.STDEV.S(ABS(Resultados!E18),ABS(Resultados!N18),ABS(Resultados!W18),ABS(Resultados!AF18))/SQRT(COUNT(Resultados!E18,Resultados!N18,Resultados!W18,Resultados!AF18)))</f>
        <v>0</v>
      </c>
      <c r="F18">
        <f>IF(COUNT(Resultados!F18,Resultados!O18,Resultados!X18,Resultados!AG18)&lt;=1, "", _xlfn.STDEV.S(ABS(Resultados!F18),ABS(Resultados!O18),ABS(Resultados!X18),ABS(Resultados!AG18))/SQRT(COUNT(Resultados!F18,Resultados!O18,Resultados!X18,Resultados!AG18)))</f>
        <v>0</v>
      </c>
      <c r="G18">
        <f>IF(COUNT(Resultados!G18,Resultados!P18,Resultados!Y18,Resultados!AH18)&lt;=1, "", _xlfn.STDEV.S(ABS(Resultados!G18),ABS(Resultados!P18),ABS(Resultados!Y18),ABS(Resultados!AH18))/SQRT(COUNT(Resultados!G18,Resultados!P18,Resultados!Y18,Resultados!AH18)))</f>
        <v>0</v>
      </c>
      <c r="H18">
        <f>IF(COUNT(Resultados!H18,Resultados!Q18,Resultados!Z18,Resultados!AI18)&lt;=1, "", _xlfn.STDEV.S(ABS(Resultados!H18),ABS(Resultados!Q18),ABS(Resultados!Z18),ABS(Resultados!AI18))/SQRT(COUNT(Resultados!H18,Resultados!Q18,Resultados!Z18,Resultados!AI18)))</f>
        <v>0</v>
      </c>
      <c r="I18">
        <f>IF(COUNT(Resultados!I18,Resultados!R18,Resultados!AA18,Resultados!AJ18)&lt;=1, "", _xlfn.STDEV.S(ABS(Resultados!I18),ABS(Resultados!R18),ABS(Resultados!AA18),ABS(Resultados!AJ18))/SQRT(COUNT(Resultados!I18,Resultados!R18,Resultados!AA18,Resultados!AJ18)))</f>
        <v>1.1881357947184455E-3</v>
      </c>
    </row>
    <row r="19" spans="1:9" x14ac:dyDescent="0.3">
      <c r="A19" t="str">
        <f>IF(COUNT(Resultados!A19,Resultados!J19,Resultados!S19,Resultados!AB19)&lt;=1, "", _xlfn.STDEV.S(ABS(Resultados!A19),ABS(Resultados!J19),ABS(Resultados!S19),ABS(Resultados!AB19))/SQRT(COUNT(Resultados!A19,Resultados!J19,Resultados!S19,Resultados!AB19)))</f>
        <v/>
      </c>
      <c r="B19" t="str">
        <f>IF(COUNT(Resultados!B19,Resultados!K19,Resultados!T19,Resultados!AC19)&lt;=1, "", _xlfn.STDEV.S(ABS(Resultados!B19),ABS(Resultados!K19),ABS(Resultados!T19),ABS(Resultados!AC19))/SQRT(COUNT(Resultados!B19,Resultados!K19,Resultados!T19,Resultados!AC19)))</f>
        <v/>
      </c>
      <c r="C19">
        <f>IF(COUNT(Resultados!C19,Resultados!L19,Resultados!U19,Resultados!AD19)&lt;=1, "", _xlfn.STDEV.S(ABS(Resultados!C19),ABS(Resultados!L19),ABS(Resultados!U19),ABS(Resultados!AD19))/SQRT(COUNT(Resultados!C19,Resultados!L19,Resultados!U19,Resultados!AD19)))</f>
        <v>0.25</v>
      </c>
      <c r="D19">
        <f>IF(COUNT(Resultados!D19,Resultados!M19,Resultados!V19,Resultados!AE19)&lt;=1, "", _xlfn.STDEV.S(ABS(Resultados!D19),ABS(Resultados!M19),ABS(Resultados!V19),ABS(Resultados!AE19))/SQRT(COUNT(Resultados!D19,Resultados!M19,Resultados!V19,Resultados!AE19)))</f>
        <v>3.8523802166106767E-3</v>
      </c>
      <c r="E19">
        <f>IF(COUNT(Resultados!E19,Resultados!N19,Resultados!W19,Resultados!AF19)&lt;=1, "", _xlfn.STDEV.S(ABS(Resultados!E19),ABS(Resultados!N19),ABS(Resultados!W19),ABS(Resultados!AF19))/SQRT(COUNT(Resultados!E19,Resultados!N19,Resultados!W19,Resultados!AF19)))</f>
        <v>0</v>
      </c>
      <c r="F19">
        <f>IF(COUNT(Resultados!F19,Resultados!O19,Resultados!X19,Resultados!AG19)&lt;=1, "", _xlfn.STDEV.S(ABS(Resultados!F19),ABS(Resultados!O19),ABS(Resultados!X19),ABS(Resultados!AG19))/SQRT(COUNT(Resultados!F19,Resultados!O19,Resultados!X19,Resultados!AG19)))</f>
        <v>0</v>
      </c>
      <c r="G19">
        <f>IF(COUNT(Resultados!G19,Resultados!P19,Resultados!Y19,Resultados!AH19)&lt;=1, "", _xlfn.STDEV.S(ABS(Resultados!G19),ABS(Resultados!P19),ABS(Resultados!Y19),ABS(Resultados!AH19))/SQRT(COUNT(Resultados!G19,Resultados!P19,Resultados!Y19,Resultados!AH19)))</f>
        <v>0</v>
      </c>
      <c r="H19">
        <f>IF(COUNT(Resultados!H19,Resultados!Q19,Resultados!Z19,Resultados!AI19)&lt;=1, "", _xlfn.STDEV.S(ABS(Resultados!H19),ABS(Resultados!Q19),ABS(Resultados!Z19),ABS(Resultados!AI19))/SQRT(COUNT(Resultados!H19,Resultados!Q19,Resultados!Z19,Resultados!AI19)))</f>
        <v>0</v>
      </c>
      <c r="I19">
        <f>IF(COUNT(Resultados!I19,Resultados!R19,Resultados!AA19,Resultados!AJ19)&lt;=1, "", _xlfn.STDEV.S(ABS(Resultados!I19),ABS(Resultados!R19),ABS(Resultados!AA19),ABS(Resultados!AJ19))/SQRT(COUNT(Resultados!I19,Resultados!R19,Resultados!AA19,Resultados!AJ19)))</f>
        <v>5.0579969685814598E-4</v>
      </c>
    </row>
    <row r="20" spans="1:9" x14ac:dyDescent="0.3">
      <c r="A20" t="str">
        <f>IF(COUNT(Resultados!A20,Resultados!J20,Resultados!S20,Resultados!AB20)&lt;=1, "", _xlfn.STDEV.S(ABS(Resultados!A20),ABS(Resultados!J20),ABS(Resultados!S20),ABS(Resultados!AB20))/SQRT(COUNT(Resultados!A20,Resultados!J20,Resultados!S20,Resultados!AB20)))</f>
        <v/>
      </c>
      <c r="B20" t="str">
        <f>IF(COUNT(Resultados!B20,Resultados!K20,Resultados!T20,Resultados!AC20)&lt;=1, "", _xlfn.STDEV.S(ABS(Resultados!B20),ABS(Resultados!K20),ABS(Resultados!T20),ABS(Resultados!AC20))/SQRT(COUNT(Resultados!B20,Resultados!K20,Resultados!T20,Resultados!AC20)))</f>
        <v/>
      </c>
      <c r="C20">
        <f>IF(COUNT(Resultados!C20,Resultados!L20,Resultados!U20,Resultados!AD20)&lt;=1, "", _xlfn.STDEV.S(ABS(Resultados!C20),ABS(Resultados!L20),ABS(Resultados!U20),ABS(Resultados!AD20))/SQRT(COUNT(Resultados!C20,Resultados!L20,Resultados!U20,Resultados!AD20)))</f>
        <v>0.25</v>
      </c>
      <c r="D20">
        <f>IF(COUNT(Resultados!D20,Resultados!M20,Resultados!V20,Resultados!AE20)&lt;=1, "", _xlfn.STDEV.S(ABS(Resultados!D20),ABS(Resultados!M20),ABS(Resultados!V20),ABS(Resultados!AE20))/SQRT(COUNT(Resultados!D20,Resultados!M20,Resultados!V20,Resultados!AE20)))</f>
        <v>8.1342895612749526E-4</v>
      </c>
      <c r="E20">
        <f>IF(COUNT(Resultados!E20,Resultados!N20,Resultados!W20,Resultados!AF20)&lt;=1, "", _xlfn.STDEV.S(ABS(Resultados!E20),ABS(Resultados!N20),ABS(Resultados!W20),ABS(Resultados!AF20))/SQRT(COUNT(Resultados!E20,Resultados!N20,Resultados!W20,Resultados!AF20)))</f>
        <v>0</v>
      </c>
      <c r="F20">
        <f>IF(COUNT(Resultados!F20,Resultados!O20,Resultados!X20,Resultados!AG20)&lt;=1, "", _xlfn.STDEV.S(ABS(Resultados!F20),ABS(Resultados!O20),ABS(Resultados!X20),ABS(Resultados!AG20))/SQRT(COUNT(Resultados!F20,Resultados!O20,Resultados!X20,Resultados!AG20)))</f>
        <v>0</v>
      </c>
      <c r="G20">
        <f>IF(COUNT(Resultados!G20,Resultados!P20,Resultados!Y20,Resultados!AH20)&lt;=1, "", _xlfn.STDEV.S(ABS(Resultados!G20),ABS(Resultados!P20),ABS(Resultados!Y20),ABS(Resultados!AH20))/SQRT(COUNT(Resultados!G20,Resultados!P20,Resultados!Y20,Resultados!AH20)))</f>
        <v>0</v>
      </c>
      <c r="H20">
        <f>IF(COUNT(Resultados!H20,Resultados!Q20,Resultados!Z20,Resultados!AI20)&lt;=1, "", _xlfn.STDEV.S(ABS(Resultados!H20),ABS(Resultados!Q20),ABS(Resultados!Z20),ABS(Resultados!AI20))/SQRT(COUNT(Resultados!H20,Resultados!Q20,Resultados!Z20,Resultados!AI20)))</f>
        <v>0</v>
      </c>
      <c r="I20">
        <f>IF(COUNT(Resultados!I20,Resultados!R20,Resultados!AA20,Resultados!AJ20)&lt;=1, "", _xlfn.STDEV.S(ABS(Resultados!I20),ABS(Resultados!R20),ABS(Resultados!AA20),ABS(Resultados!AJ20))/SQRT(COUNT(Resultados!I20,Resultados!R20,Resultados!AA20,Resultados!AJ20)))</f>
        <v>1.2756534273299981E-3</v>
      </c>
    </row>
    <row r="21" spans="1:9" x14ac:dyDescent="0.3">
      <c r="A21" t="str">
        <f>IF(COUNT(Resultados!A21,Resultados!J21,Resultados!S21,Resultados!AB21)&lt;=1, "", _xlfn.STDEV.S(ABS(Resultados!A21),ABS(Resultados!J21),ABS(Resultados!S21),ABS(Resultados!AB21))/SQRT(COUNT(Resultados!A21,Resultados!J21,Resultados!S21,Resultados!AB21)))</f>
        <v/>
      </c>
      <c r="B21" t="str">
        <f>IF(COUNT(Resultados!B21,Resultados!K21,Resultados!T21,Resultados!AC21)&lt;=1, "", _xlfn.STDEV.S(ABS(Resultados!B21),ABS(Resultados!K21),ABS(Resultados!T21),ABS(Resultados!AC21))/SQRT(COUNT(Resultados!B21,Resultados!K21,Resultados!T21,Resultados!AC21)))</f>
        <v/>
      </c>
      <c r="C21">
        <f>IF(COUNT(Resultados!C21,Resultados!L21,Resultados!U21,Resultados!AD21)&lt;=1, "", _xlfn.STDEV.S(ABS(Resultados!C21),ABS(Resultados!L21),ABS(Resultados!U21),ABS(Resultados!AD21))/SQRT(COUNT(Resultados!C21,Resultados!L21,Resultados!U21,Resultados!AD21)))</f>
        <v>0.25</v>
      </c>
      <c r="D21">
        <f>IF(COUNT(Resultados!D21,Resultados!M21,Resultados!V21,Resultados!AE21)&lt;=1, "", _xlfn.STDEV.S(ABS(Resultados!D21),ABS(Resultados!M21),ABS(Resultados!V21),ABS(Resultados!AE21))/SQRT(COUNT(Resultados!D21,Resultados!M21,Resultados!V21,Resultados!AE21)))</f>
        <v>7.499999999999998E-5</v>
      </c>
      <c r="E21">
        <f>IF(COUNT(Resultados!E21,Resultados!N21,Resultados!W21,Resultados!AF21)&lt;=1, "", _xlfn.STDEV.S(ABS(Resultados!E21),ABS(Resultados!N21),ABS(Resultados!W21),ABS(Resultados!AF21))/SQRT(COUNT(Resultados!E21,Resultados!N21,Resultados!W21,Resultados!AF21)))</f>
        <v>0</v>
      </c>
      <c r="F21">
        <f>IF(COUNT(Resultados!F21,Resultados!O21,Resultados!X21,Resultados!AG21)&lt;=1, "", _xlfn.STDEV.S(ABS(Resultados!F21),ABS(Resultados!O21),ABS(Resultados!X21),ABS(Resultados!AG21))/SQRT(COUNT(Resultados!F21,Resultados!O21,Resultados!X21,Resultados!AG21)))</f>
        <v>0</v>
      </c>
      <c r="G21">
        <f>IF(COUNT(Resultados!G21,Resultados!P21,Resultados!Y21,Resultados!AH21)&lt;=1, "", _xlfn.STDEV.S(ABS(Resultados!G21),ABS(Resultados!P21),ABS(Resultados!Y21),ABS(Resultados!AH21))/SQRT(COUNT(Resultados!G21,Resultados!P21,Resultados!Y21,Resultados!AH21)))</f>
        <v>0</v>
      </c>
      <c r="H21">
        <f>IF(COUNT(Resultados!H21,Resultados!Q21,Resultados!Z21,Resultados!AI21)&lt;=1, "", _xlfn.STDEV.S(ABS(Resultados!H21),ABS(Resultados!Q21),ABS(Resultados!Z21),ABS(Resultados!AI21))/SQRT(COUNT(Resultados!H21,Resultados!Q21,Resultados!Z21,Resultados!AI21)))</f>
        <v>0</v>
      </c>
      <c r="I21">
        <f>IF(COUNT(Resultados!I21,Resultados!R21,Resultados!AA21,Resultados!AJ21)&lt;=1, "", _xlfn.STDEV.S(ABS(Resultados!I21),ABS(Resultados!R21),ABS(Resultados!AA21),ABS(Resultados!AJ21))/SQRT(COUNT(Resultados!I21,Resultados!R21,Resultados!AA21,Resultados!AJ21)))</f>
        <v>6.8602113670034038E-4</v>
      </c>
    </row>
    <row r="22" spans="1:9" x14ac:dyDescent="0.3">
      <c r="A22" t="str">
        <f>IF(COUNT(Resultados!A22,Resultados!J22,Resultados!S22,Resultados!AB22)&lt;=1, "", _xlfn.STDEV.S(ABS(Resultados!A22),ABS(Resultados!J22),ABS(Resultados!S22),ABS(Resultados!AB22))/SQRT(COUNT(Resultados!A22,Resultados!J22,Resultados!S22,Resultados!AB22)))</f>
        <v/>
      </c>
      <c r="B22" t="str">
        <f>IF(COUNT(Resultados!B22,Resultados!K22,Resultados!T22,Resultados!AC22)&lt;=1, "", _xlfn.STDEV.S(ABS(Resultados!B22),ABS(Resultados!K22),ABS(Resultados!T22),ABS(Resultados!AC22))/SQRT(COUNT(Resultados!B22,Resultados!K22,Resultados!T22,Resultados!AC22)))</f>
        <v/>
      </c>
      <c r="C22">
        <f>IF(COUNT(Resultados!C22,Resultados!L22,Resultados!U22,Resultados!AD22)&lt;=1, "", _xlfn.STDEV.S(ABS(Resultados!C22),ABS(Resultados!L22),ABS(Resultados!U22),ABS(Resultados!AD22))/SQRT(COUNT(Resultados!C22,Resultados!L22,Resultados!U22,Resultados!AD22)))</f>
        <v>0.25</v>
      </c>
      <c r="D22">
        <f>IF(COUNT(Resultados!D22,Resultados!M22,Resultados!V22,Resultados!AE22)&lt;=1, "", _xlfn.STDEV.S(ABS(Resultados!D22),ABS(Resultados!M22),ABS(Resultados!V22),ABS(Resultados!AE22))/SQRT(COUNT(Resultados!D22,Resultados!M22,Resultados!V22,Resultados!AE22)))</f>
        <v>0</v>
      </c>
      <c r="E22">
        <f>IF(COUNT(Resultados!E22,Resultados!N22,Resultados!W22,Resultados!AF22)&lt;=1, "", _xlfn.STDEV.S(ABS(Resultados!E22),ABS(Resultados!N22),ABS(Resultados!W22),ABS(Resultados!AF22))/SQRT(COUNT(Resultados!E22,Resultados!N22,Resultados!W22,Resultados!AF22)))</f>
        <v>0</v>
      </c>
      <c r="F22">
        <f>IF(COUNT(Resultados!F22,Resultados!O22,Resultados!X22,Resultados!AG22)&lt;=1, "", _xlfn.STDEV.S(ABS(Resultados!F22),ABS(Resultados!O22),ABS(Resultados!X22),ABS(Resultados!AG22))/SQRT(COUNT(Resultados!F22,Resultados!O22,Resultados!X22,Resultados!AG22)))</f>
        <v>0</v>
      </c>
      <c r="G22">
        <f>IF(COUNT(Resultados!G22,Resultados!P22,Resultados!Y22,Resultados!AH22)&lt;=1, "", _xlfn.STDEV.S(ABS(Resultados!G22),ABS(Resultados!P22),ABS(Resultados!Y22),ABS(Resultados!AH22))/SQRT(COUNT(Resultados!G22,Resultados!P22,Resultados!Y22,Resultados!AH22)))</f>
        <v>0</v>
      </c>
      <c r="H22">
        <f>IF(COUNT(Resultados!H22,Resultados!Q22,Resultados!Z22,Resultados!AI22)&lt;=1, "", _xlfn.STDEV.S(ABS(Resultados!H22),ABS(Resultados!Q22),ABS(Resultados!Z22),ABS(Resultados!AI22))/SQRT(COUNT(Resultados!H22,Resultados!Q22,Resultados!Z22,Resultados!AI22)))</f>
        <v>0</v>
      </c>
      <c r="I22">
        <f>IF(COUNT(Resultados!I22,Resultados!R22,Resultados!AA22,Resultados!AJ22)&lt;=1, "", _xlfn.STDEV.S(ABS(Resultados!I22),ABS(Resultados!R22),ABS(Resultados!AA22),ABS(Resultados!AJ22))/SQRT(COUNT(Resultados!I22,Resultados!R22,Resultados!AA22,Resultados!AJ22)))</f>
        <v>6.8373971656736257E-4</v>
      </c>
    </row>
    <row r="23" spans="1:9" x14ac:dyDescent="0.3">
      <c r="A23" t="str">
        <f>IF(COUNT(Resultados!A23,Resultados!J23,Resultados!S23,Resultados!AB23)&lt;=1, "", _xlfn.STDEV.S(ABS(Resultados!A23),ABS(Resultados!J23),ABS(Resultados!S23),ABS(Resultados!AB23))/SQRT(COUNT(Resultados!A23,Resultados!J23,Resultados!S23,Resultados!AB23)))</f>
        <v/>
      </c>
      <c r="B23" t="str">
        <f>IF(COUNT(Resultados!B23,Resultados!K23,Resultados!T23,Resultados!AC23)&lt;=1, "", _xlfn.STDEV.S(ABS(Resultados!B23),ABS(Resultados!K23),ABS(Resultados!T23),ABS(Resultados!AC23))/SQRT(COUNT(Resultados!B23,Resultados!K23,Resultados!T23,Resultados!AC23)))</f>
        <v/>
      </c>
      <c r="C23">
        <f>IF(COUNT(Resultados!C23,Resultados!L23,Resultados!U23,Resultados!AD23)&lt;=1, "", _xlfn.STDEV.S(ABS(Resultados!C23),ABS(Resultados!L23),ABS(Resultados!U23),ABS(Resultados!AD23))/SQRT(COUNT(Resultados!C23,Resultados!L23,Resultados!U23,Resultados!AD23)))</f>
        <v>0.25</v>
      </c>
      <c r="D23">
        <f>IF(COUNT(Resultados!D23,Resultados!M23,Resultados!V23,Resultados!AE23)&lt;=1, "", _xlfn.STDEV.S(ABS(Resultados!D23),ABS(Resultados!M23),ABS(Resultados!V23),ABS(Resultados!AE23))/SQRT(COUNT(Resultados!D23,Resultados!M23,Resultados!V23,Resultados!AE23)))</f>
        <v>0</v>
      </c>
      <c r="E23">
        <f>IF(COUNT(Resultados!E23,Resultados!N23,Resultados!W23,Resultados!AF23)&lt;=1, "", _xlfn.STDEV.S(ABS(Resultados!E23),ABS(Resultados!N23),ABS(Resultados!W23),ABS(Resultados!AF23))/SQRT(COUNT(Resultados!E23,Resultados!N23,Resultados!W23,Resultados!AF23)))</f>
        <v>0</v>
      </c>
      <c r="F23">
        <f>IF(COUNT(Resultados!F23,Resultados!O23,Resultados!X23,Resultados!AG23)&lt;=1, "", _xlfn.STDEV.S(ABS(Resultados!F23),ABS(Resultados!O23),ABS(Resultados!X23),ABS(Resultados!AG23))/SQRT(COUNT(Resultados!F23,Resultados!O23,Resultados!X23,Resultados!AG23)))</f>
        <v>0</v>
      </c>
      <c r="G23">
        <f>IF(COUNT(Resultados!G23,Resultados!P23,Resultados!Y23,Resultados!AH23)&lt;=1, "", _xlfn.STDEV.S(ABS(Resultados!G23),ABS(Resultados!P23),ABS(Resultados!Y23),ABS(Resultados!AH23))/SQRT(COUNT(Resultados!G23,Resultados!P23,Resultados!Y23,Resultados!AH23)))</f>
        <v>0</v>
      </c>
      <c r="H23">
        <f>IF(COUNT(Resultados!H23,Resultados!Q23,Resultados!Z23,Resultados!AI23)&lt;=1, "", _xlfn.STDEV.S(ABS(Resultados!H23),ABS(Resultados!Q23),ABS(Resultados!Z23),ABS(Resultados!AI23))/SQRT(COUNT(Resultados!H23,Resultados!Q23,Resultados!Z23,Resultados!AI23)))</f>
        <v>0</v>
      </c>
      <c r="I23">
        <f>IF(COUNT(Resultados!I23,Resultados!R23,Resultados!AA23,Resultados!AJ23)&lt;=1, "", _xlfn.STDEV.S(ABS(Resultados!I23),ABS(Resultados!R23),ABS(Resultados!AA23),ABS(Resultados!AJ23))/SQRT(COUNT(Resultados!I23,Resultados!R23,Resultados!AA23,Resultados!AJ23)))</f>
        <v>5.6623758264371207E-4</v>
      </c>
    </row>
    <row r="24" spans="1:9" x14ac:dyDescent="0.3">
      <c r="A24" t="str">
        <f>IF(COUNT(Resultados!A24,Resultados!J24,Resultados!S24,Resultados!AB24)&lt;=1, "", _xlfn.STDEV.S(ABS(Resultados!A24),ABS(Resultados!J24),ABS(Resultados!S24),ABS(Resultados!AB24))/SQRT(COUNT(Resultados!A24,Resultados!J24,Resultados!S24,Resultados!AB24)))</f>
        <v/>
      </c>
      <c r="B24" t="str">
        <f>IF(COUNT(Resultados!B24,Resultados!K24,Resultados!T24,Resultados!AC24)&lt;=1, "", _xlfn.STDEV.S(ABS(Resultados!B24),ABS(Resultados!K24),ABS(Resultados!T24),ABS(Resultados!AC24))/SQRT(COUNT(Resultados!B24,Resultados!K24,Resultados!T24,Resultados!AC24)))</f>
        <v/>
      </c>
      <c r="C24">
        <f>IF(COUNT(Resultados!C24,Resultados!L24,Resultados!U24,Resultados!AD24)&lt;=1, "", _xlfn.STDEV.S(ABS(Resultados!C24),ABS(Resultados!L24),ABS(Resultados!U24),ABS(Resultados!AD24))/SQRT(COUNT(Resultados!C24,Resultados!L24,Resultados!U24,Resultados!AD24)))</f>
        <v>0.25</v>
      </c>
      <c r="D24">
        <f>IF(COUNT(Resultados!D24,Resultados!M24,Resultados!V24,Resultados!AE24)&lt;=1, "", _xlfn.STDEV.S(ABS(Resultados!D24),ABS(Resultados!M24),ABS(Resultados!V24),ABS(Resultados!AE24))/SQRT(COUNT(Resultados!D24,Resultados!M24,Resultados!V24,Resultados!AE24)))</f>
        <v>0</v>
      </c>
      <c r="E24">
        <f>IF(COUNT(Resultados!E24,Resultados!N24,Resultados!W24,Resultados!AF24)&lt;=1, "", _xlfn.STDEV.S(ABS(Resultados!E24),ABS(Resultados!N24),ABS(Resultados!W24),ABS(Resultados!AF24))/SQRT(COUNT(Resultados!E24,Resultados!N24,Resultados!W24,Resultados!AF24)))</f>
        <v>0</v>
      </c>
      <c r="F24">
        <f>IF(COUNT(Resultados!F24,Resultados!O24,Resultados!X24,Resultados!AG24)&lt;=1, "", _xlfn.STDEV.S(ABS(Resultados!F24),ABS(Resultados!O24),ABS(Resultados!X24),ABS(Resultados!AG24))/SQRT(COUNT(Resultados!F24,Resultados!O24,Resultados!X24,Resultados!AG24)))</f>
        <v>0</v>
      </c>
      <c r="G24">
        <f>IF(COUNT(Resultados!G24,Resultados!P24,Resultados!Y24,Resultados!AH24)&lt;=1, "", _xlfn.STDEV.S(ABS(Resultados!G24),ABS(Resultados!P24),ABS(Resultados!Y24),ABS(Resultados!AH24))/SQRT(COUNT(Resultados!G24,Resultados!P24,Resultados!Y24,Resultados!AH24)))</f>
        <v>0</v>
      </c>
      <c r="H24">
        <f>IF(COUNT(Resultados!H24,Resultados!Q24,Resultados!Z24,Resultados!AI24)&lt;=1, "", _xlfn.STDEV.S(ABS(Resultados!H24),ABS(Resultados!Q24),ABS(Resultados!Z24),ABS(Resultados!AI24))/SQRT(COUNT(Resultados!H24,Resultados!Q24,Resultados!Z24,Resultados!AI24)))</f>
        <v>0</v>
      </c>
      <c r="I24">
        <f>IF(COUNT(Resultados!I24,Resultados!R24,Resultados!AA24,Resultados!AJ24)&lt;=1, "", _xlfn.STDEV.S(ABS(Resultados!I24),ABS(Resultados!R24),ABS(Resultados!AA24),ABS(Resultados!AJ24))/SQRT(COUNT(Resultados!I24,Resultados!R24,Resultados!AA24,Resultados!AJ24)))</f>
        <v>7.3371202344080515E-4</v>
      </c>
    </row>
    <row r="25" spans="1:9" x14ac:dyDescent="0.3">
      <c r="A25" t="str">
        <f>IF(COUNT(Resultados!A25,Resultados!J25,Resultados!S25,Resultados!AB25)&lt;=1, "", _xlfn.STDEV.S(ABS(Resultados!A25),ABS(Resultados!J25),ABS(Resultados!S25),ABS(Resultados!AB25))/SQRT(COUNT(Resultados!A25,Resultados!J25,Resultados!S25,Resultados!AB25)))</f>
        <v/>
      </c>
      <c r="B25" t="str">
        <f>IF(COUNT(Resultados!B25,Resultados!K25,Resultados!T25,Resultados!AC25)&lt;=1, "", _xlfn.STDEV.S(ABS(Resultados!B25),ABS(Resultados!K25),ABS(Resultados!T25),ABS(Resultados!AC25))/SQRT(COUNT(Resultados!B25,Resultados!K25,Resultados!T25,Resultados!AC25)))</f>
        <v/>
      </c>
      <c r="C25">
        <f>IF(COUNT(Resultados!C25,Resultados!L25,Resultados!U25,Resultados!AD25)&lt;=1, "", _xlfn.STDEV.S(ABS(Resultados!C25),ABS(Resultados!L25),ABS(Resultados!U25),ABS(Resultados!AD25))/SQRT(COUNT(Resultados!C25,Resultados!L25,Resultados!U25,Resultados!AD25)))</f>
        <v>0.25</v>
      </c>
      <c r="D25">
        <f>IF(COUNT(Resultados!D25,Resultados!M25,Resultados!V25,Resultados!AE25)&lt;=1, "", _xlfn.STDEV.S(ABS(Resultados!D25),ABS(Resultados!M25),ABS(Resultados!V25),ABS(Resultados!AE25))/SQRT(COUNT(Resultados!D25,Resultados!M25,Resultados!V25,Resultados!AE25)))</f>
        <v>0</v>
      </c>
      <c r="E25">
        <f>IF(COUNT(Resultados!E25,Resultados!N25,Resultados!W25,Resultados!AF25)&lt;=1, "", _xlfn.STDEV.S(ABS(Resultados!E25),ABS(Resultados!N25),ABS(Resultados!W25),ABS(Resultados!AF25))/SQRT(COUNT(Resultados!E25,Resultados!N25,Resultados!W25,Resultados!AF25)))</f>
        <v>0</v>
      </c>
      <c r="F25">
        <f>IF(COUNT(Resultados!F25,Resultados!O25,Resultados!X25,Resultados!AG25)&lt;=1, "", _xlfn.STDEV.S(ABS(Resultados!F25),ABS(Resultados!O25),ABS(Resultados!X25),ABS(Resultados!AG25))/SQRT(COUNT(Resultados!F25,Resultados!O25,Resultados!X25,Resultados!AG25)))</f>
        <v>0</v>
      </c>
      <c r="G25">
        <f>IF(COUNT(Resultados!G25,Resultados!P25,Resultados!Y25,Resultados!AH25)&lt;=1, "", _xlfn.STDEV.S(ABS(Resultados!G25),ABS(Resultados!P25),ABS(Resultados!Y25),ABS(Resultados!AH25))/SQRT(COUNT(Resultados!G25,Resultados!P25,Resultados!Y25,Resultados!AH25)))</f>
        <v>0</v>
      </c>
      <c r="H25">
        <f>IF(COUNT(Resultados!H25,Resultados!Q25,Resultados!Z25,Resultados!AI25)&lt;=1, "", _xlfn.STDEV.S(ABS(Resultados!H25),ABS(Resultados!Q25),ABS(Resultados!Z25),ABS(Resultados!AI25))/SQRT(COUNT(Resultados!H25,Resultados!Q25,Resultados!Z25,Resultados!AI25)))</f>
        <v>0</v>
      </c>
      <c r="I25">
        <f>IF(COUNT(Resultados!I25,Resultados!R25,Resultados!AA25,Resultados!AJ25)&lt;=1, "", _xlfn.STDEV.S(ABS(Resultados!I25),ABS(Resultados!R25),ABS(Resultados!AA25),ABS(Resultados!AJ25))/SQRT(COUNT(Resultados!I25,Resultados!R25,Resultados!AA25,Resultados!AJ25)))</f>
        <v>5.8789880082639901E-4</v>
      </c>
    </row>
    <row r="26" spans="1:9" x14ac:dyDescent="0.3">
      <c r="A26" t="str">
        <f>IF(COUNT(Resultados!A26,Resultados!J26,Resultados!S26,Resultados!AB26)&lt;=1, "", _xlfn.STDEV.S(ABS(Resultados!A26),ABS(Resultados!J26),ABS(Resultados!S26),ABS(Resultados!AB26))/SQRT(COUNT(Resultados!A26,Resultados!J26,Resultados!S26,Resultados!AB26)))</f>
        <v/>
      </c>
      <c r="B26" t="str">
        <f>IF(COUNT(Resultados!B26,Resultados!K26,Resultados!T26,Resultados!AC26)&lt;=1, "", _xlfn.STDEV.S(ABS(Resultados!B26),ABS(Resultados!K26),ABS(Resultados!T26),ABS(Resultados!AC26))/SQRT(COUNT(Resultados!B26,Resultados!K26,Resultados!T26,Resultados!AC26)))</f>
        <v/>
      </c>
      <c r="C26">
        <f>IF(COUNT(Resultados!C26,Resultados!L26,Resultados!U26,Resultados!AD26)&lt;=1, "", _xlfn.STDEV.S(ABS(Resultados!C26),ABS(Resultados!L26),ABS(Resultados!U26),ABS(Resultados!AD26))/SQRT(COUNT(Resultados!C26,Resultados!L26,Resultados!U26,Resultados!AD26)))</f>
        <v>0.25</v>
      </c>
      <c r="D26">
        <f>IF(COUNT(Resultados!D26,Resultados!M26,Resultados!V26,Resultados!AE26)&lt;=1, "", _xlfn.STDEV.S(ABS(Resultados!D26),ABS(Resultados!M26),ABS(Resultados!V26),ABS(Resultados!AE26))/SQRT(COUNT(Resultados!D26,Resultados!M26,Resultados!V26,Resultados!AE26)))</f>
        <v>2.5000000000000066E-5</v>
      </c>
      <c r="E26">
        <f>IF(COUNT(Resultados!E26,Resultados!N26,Resultados!W26,Resultados!AF26)&lt;=1, "", _xlfn.STDEV.S(ABS(Resultados!E26),ABS(Resultados!N26),ABS(Resultados!W26),ABS(Resultados!AF26))/SQRT(COUNT(Resultados!E26,Resultados!N26,Resultados!W26,Resultados!AF26)))</f>
        <v>0</v>
      </c>
      <c r="F26">
        <f>IF(COUNT(Resultados!F26,Resultados!O26,Resultados!X26,Resultados!AG26)&lt;=1, "", _xlfn.STDEV.S(ABS(Resultados!F26),ABS(Resultados!O26),ABS(Resultados!X26),ABS(Resultados!AG26))/SQRT(COUNT(Resultados!F26,Resultados!O26,Resultados!X26,Resultados!AG26)))</f>
        <v>0</v>
      </c>
      <c r="G26">
        <f>IF(COUNT(Resultados!G26,Resultados!P26,Resultados!Y26,Resultados!AH26)&lt;=1, "", _xlfn.STDEV.S(ABS(Resultados!G26),ABS(Resultados!P26),ABS(Resultados!Y26),ABS(Resultados!AH26))/SQRT(COUNT(Resultados!G26,Resultados!P26,Resultados!Y26,Resultados!AH26)))</f>
        <v>0</v>
      </c>
      <c r="H26">
        <f>IF(COUNT(Resultados!H26,Resultados!Q26,Resultados!Z26,Resultados!AI26)&lt;=1, "", _xlfn.STDEV.S(ABS(Resultados!H26),ABS(Resultados!Q26),ABS(Resultados!Z26),ABS(Resultados!AI26))/SQRT(COUNT(Resultados!H26,Resultados!Q26,Resultados!Z26,Resultados!AI26)))</f>
        <v>0</v>
      </c>
      <c r="I26">
        <f>IF(COUNT(Resultados!I26,Resultados!R26,Resultados!AA26,Resultados!AJ26)&lt;=1, "", _xlfn.STDEV.S(ABS(Resultados!I26),ABS(Resultados!R26),ABS(Resultados!AA26),ABS(Resultados!AJ26))/SQRT(COUNT(Resultados!I26,Resultados!R26,Resultados!AA26,Resultados!AJ26)))</f>
        <v>3.8944404819420998E-4</v>
      </c>
    </row>
    <row r="27" spans="1:9" x14ac:dyDescent="0.3">
      <c r="A27" t="str">
        <f>IF(COUNT(Resultados!A27,Resultados!J27,Resultados!S27,Resultados!AB27)&lt;=1, "", _xlfn.STDEV.S(ABS(Resultados!A27),ABS(Resultados!J27),ABS(Resultados!S27),ABS(Resultados!AB27))/SQRT(COUNT(Resultados!A27,Resultados!J27,Resultados!S27,Resultados!AB27)))</f>
        <v/>
      </c>
      <c r="B27" t="str">
        <f>IF(COUNT(Resultados!B27,Resultados!K27,Resultados!T27,Resultados!AC27)&lt;=1, "", _xlfn.STDEV.S(ABS(Resultados!B27),ABS(Resultados!K27),ABS(Resultados!T27),ABS(Resultados!AC27))/SQRT(COUNT(Resultados!B27,Resultados!K27,Resultados!T27,Resultados!AC27)))</f>
        <v/>
      </c>
      <c r="C27">
        <f>IF(COUNT(Resultados!C27,Resultados!L27,Resultados!U27,Resultados!AD27)&lt;=1, "", _xlfn.STDEV.S(ABS(Resultados!C27),ABS(Resultados!L27),ABS(Resultados!U27),ABS(Resultados!AD27))/SQRT(COUNT(Resultados!C27,Resultados!L27,Resultados!U27,Resultados!AD27)))</f>
        <v>0.25</v>
      </c>
      <c r="D27">
        <f>IF(COUNT(Resultados!D27,Resultados!M27,Resultados!V27,Resultados!AE27)&lt;=1, "", _xlfn.STDEV.S(ABS(Resultados!D27),ABS(Resultados!M27),ABS(Resultados!V27),ABS(Resultados!AE27))/SQRT(COUNT(Resultados!D27,Resultados!M27,Resultados!V27,Resultados!AE27)))</f>
        <v>0</v>
      </c>
      <c r="E27">
        <f>IF(COUNT(Resultados!E27,Resultados!N27,Resultados!W27,Resultados!AF27)&lt;=1, "", _xlfn.STDEV.S(ABS(Resultados!E27),ABS(Resultados!N27),ABS(Resultados!W27),ABS(Resultados!AF27))/SQRT(COUNT(Resultados!E27,Resultados!N27,Resultados!W27,Resultados!AF27)))</f>
        <v>0</v>
      </c>
      <c r="F27">
        <f>IF(COUNT(Resultados!F27,Resultados!O27,Resultados!X27,Resultados!AG27)&lt;=1, "", _xlfn.STDEV.S(ABS(Resultados!F27),ABS(Resultados!O27),ABS(Resultados!X27),ABS(Resultados!AG27))/SQRT(COUNT(Resultados!F27,Resultados!O27,Resultados!X27,Resultados!AG27)))</f>
        <v>0</v>
      </c>
      <c r="G27">
        <f>IF(COUNT(Resultados!G27,Resultados!P27,Resultados!Y27,Resultados!AH27)&lt;=1, "", _xlfn.STDEV.S(ABS(Resultados!G27),ABS(Resultados!P27),ABS(Resultados!Y27),ABS(Resultados!AH27))/SQRT(COUNT(Resultados!G27,Resultados!P27,Resultados!Y27,Resultados!AH27)))</f>
        <v>0</v>
      </c>
      <c r="H27">
        <f>IF(COUNT(Resultados!H27,Resultados!Q27,Resultados!Z27,Resultados!AI27)&lt;=1, "", _xlfn.STDEV.S(ABS(Resultados!H27),ABS(Resultados!Q27),ABS(Resultados!Z27),ABS(Resultados!AI27))/SQRT(COUNT(Resultados!H27,Resultados!Q27,Resultados!Z27,Resultados!AI27)))</f>
        <v>0</v>
      </c>
      <c r="I27">
        <f>IF(COUNT(Resultados!I27,Resultados!R27,Resultados!AA27,Resultados!AJ27)&lt;=1, "", _xlfn.STDEV.S(ABS(Resultados!I27),ABS(Resultados!R27),ABS(Resultados!AA27),ABS(Resultados!AJ27))/SQRT(COUNT(Resultados!I27,Resultados!R27,Resultados!AA27,Resultados!AJ27)))</f>
        <v>8.0415587212765512E-4</v>
      </c>
    </row>
    <row r="28" spans="1:9" x14ac:dyDescent="0.3">
      <c r="A28" t="str">
        <f>IF(COUNT(Resultados!A28,Resultados!J28,Resultados!S28,Resultados!AB28)&lt;=1, "", _xlfn.STDEV.S(ABS(Resultados!A28),ABS(Resultados!J28),ABS(Resultados!S28),ABS(Resultados!AB28))/SQRT(COUNT(Resultados!A28,Resultados!J28,Resultados!S28,Resultados!AB28)))</f>
        <v/>
      </c>
      <c r="B28" t="str">
        <f>IF(COUNT(Resultados!B28,Resultados!K28,Resultados!T28,Resultados!AC28)&lt;=1, "", _xlfn.STDEV.S(ABS(Resultados!B28),ABS(Resultados!K28),ABS(Resultados!T28),ABS(Resultados!AC28))/SQRT(COUNT(Resultados!B28,Resultados!K28,Resultados!T28,Resultados!AC28)))</f>
        <v/>
      </c>
      <c r="C28">
        <f>IF(COUNT(Resultados!C28,Resultados!L28,Resultados!U28,Resultados!AD28)&lt;=1, "", _xlfn.STDEV.S(ABS(Resultados!C28),ABS(Resultados!L28),ABS(Resultados!U28),ABS(Resultados!AD28))/SQRT(COUNT(Resultados!C28,Resultados!L28,Resultados!U28,Resultados!AD28)))</f>
        <v>0.25</v>
      </c>
      <c r="D28">
        <f>IF(COUNT(Resultados!D28,Resultados!M28,Resultados!V28,Resultados!AE28)&lt;=1, "", _xlfn.STDEV.S(ABS(Resultados!D28),ABS(Resultados!M28),ABS(Resultados!V28),ABS(Resultados!AE28))/SQRT(COUNT(Resultados!D28,Resultados!M28,Resultados!V28,Resultados!AE28)))</f>
        <v>1.0330980915027705E-3</v>
      </c>
      <c r="E28">
        <f>IF(COUNT(Resultados!E28,Resultados!N28,Resultados!W28,Resultados!AF28)&lt;=1, "", _xlfn.STDEV.S(ABS(Resultados!E28),ABS(Resultados!N28),ABS(Resultados!W28),ABS(Resultados!AF28))/SQRT(COUNT(Resultados!E28,Resultados!N28,Resultados!W28,Resultados!AF28)))</f>
        <v>0</v>
      </c>
      <c r="F28">
        <f>IF(COUNT(Resultados!F28,Resultados!O28,Resultados!X28,Resultados!AG28)&lt;=1, "", _xlfn.STDEV.S(ABS(Resultados!F28),ABS(Resultados!O28),ABS(Resultados!X28),ABS(Resultados!AG28))/SQRT(COUNT(Resultados!F28,Resultados!O28,Resultados!X28,Resultados!AG28)))</f>
        <v>0</v>
      </c>
      <c r="G28">
        <f>IF(COUNT(Resultados!G28,Resultados!P28,Resultados!Y28,Resultados!AH28)&lt;=1, "", _xlfn.STDEV.S(ABS(Resultados!G28),ABS(Resultados!P28),ABS(Resultados!Y28),ABS(Resultados!AH28))/SQRT(COUNT(Resultados!G28,Resultados!P28,Resultados!Y28,Resultados!AH28)))</f>
        <v>0</v>
      </c>
      <c r="H28">
        <f>IF(COUNT(Resultados!H28,Resultados!Q28,Resultados!Z28,Resultados!AI28)&lt;=1, "", _xlfn.STDEV.S(ABS(Resultados!H28),ABS(Resultados!Q28),ABS(Resultados!Z28),ABS(Resultados!AI28))/SQRT(COUNT(Resultados!H28,Resultados!Q28,Resultados!Z28,Resultados!AI28)))</f>
        <v>0</v>
      </c>
      <c r="I28">
        <f>IF(COUNT(Resultados!I28,Resultados!R28,Resultados!AA28,Resultados!AJ28)&lt;=1, "", _xlfn.STDEV.S(ABS(Resultados!I28),ABS(Resultados!R28),ABS(Resultados!AA28),ABS(Resultados!AJ28))/SQRT(COUNT(Resultados!I28,Resultados!R28,Resultados!AA28,Resultados!AJ28)))</f>
        <v>9.0783625542681682E-4</v>
      </c>
    </row>
    <row r="29" spans="1:9" x14ac:dyDescent="0.3">
      <c r="A29" t="str">
        <f>IF(COUNT(Resultados!A29,Resultados!J29,Resultados!S29,Resultados!AB29)&lt;=1, "", _xlfn.STDEV.S(ABS(Resultados!A29),ABS(Resultados!J29),ABS(Resultados!S29),ABS(Resultados!AB29))/SQRT(COUNT(Resultados!A29,Resultados!J29,Resultados!S29,Resultados!AB29)))</f>
        <v/>
      </c>
      <c r="B29" t="str">
        <f>IF(COUNT(Resultados!B29,Resultados!K29,Resultados!T29,Resultados!AC29)&lt;=1, "", _xlfn.STDEV.S(ABS(Resultados!B29),ABS(Resultados!K29),ABS(Resultados!T29),ABS(Resultados!AC29))/SQRT(COUNT(Resultados!B29,Resultados!K29,Resultados!T29,Resultados!AC29)))</f>
        <v/>
      </c>
      <c r="C29">
        <f>IF(COUNT(Resultados!C29,Resultados!L29,Resultados!U29,Resultados!AD29)&lt;=1, "", _xlfn.STDEV.S(ABS(Resultados!C29),ABS(Resultados!L29),ABS(Resultados!U29),ABS(Resultados!AD29))/SQRT(COUNT(Resultados!C29,Resultados!L29,Resultados!U29,Resultados!AD29)))</f>
        <v>0.25</v>
      </c>
      <c r="D29">
        <f>IF(COUNT(Resultados!D29,Resultados!M29,Resultados!V29,Resultados!AE29)&lt;=1, "", _xlfn.STDEV.S(ABS(Resultados!D29),ABS(Resultados!M29),ABS(Resultados!V29),ABS(Resultados!AE29))/SQRT(COUNT(Resultados!D29,Resultados!M29,Resultados!V29,Resultados!AE29)))</f>
        <v>5.6476396249524857E-4</v>
      </c>
      <c r="E29">
        <f>IF(COUNT(Resultados!E29,Resultados!N29,Resultados!W29,Resultados!AF29)&lt;=1, "", _xlfn.STDEV.S(ABS(Resultados!E29),ABS(Resultados!N29),ABS(Resultados!W29),ABS(Resultados!AF29))/SQRT(COUNT(Resultados!E29,Resultados!N29,Resultados!W29,Resultados!AF29)))</f>
        <v>0</v>
      </c>
      <c r="F29">
        <f>IF(COUNT(Resultados!F29,Resultados!O29,Resultados!X29,Resultados!AG29)&lt;=1, "", _xlfn.STDEV.S(ABS(Resultados!F29),ABS(Resultados!O29),ABS(Resultados!X29),ABS(Resultados!AG29))/SQRT(COUNT(Resultados!F29,Resultados!O29,Resultados!X29,Resultados!AG29)))</f>
        <v>0</v>
      </c>
      <c r="G29">
        <f>IF(COUNT(Resultados!G29,Resultados!P29,Resultados!Y29,Resultados!AH29)&lt;=1, "", _xlfn.STDEV.S(ABS(Resultados!G29),ABS(Resultados!P29),ABS(Resultados!Y29),ABS(Resultados!AH29))/SQRT(COUNT(Resultados!G29,Resultados!P29,Resultados!Y29,Resultados!AH29)))</f>
        <v>0</v>
      </c>
      <c r="H29">
        <f>IF(COUNT(Resultados!H29,Resultados!Q29,Resultados!Z29,Resultados!AI29)&lt;=1, "", _xlfn.STDEV.S(ABS(Resultados!H29),ABS(Resultados!Q29),ABS(Resultados!Z29),ABS(Resultados!AI29))/SQRT(COUNT(Resultados!H29,Resultados!Q29,Resultados!Z29,Resultados!AI29)))</f>
        <v>0</v>
      </c>
      <c r="I29">
        <f>IF(COUNT(Resultados!I29,Resultados!R29,Resultados!AA29,Resultados!AJ29)&lt;=1, "", _xlfn.STDEV.S(ABS(Resultados!I29),ABS(Resultados!R29),ABS(Resultados!AA29),ABS(Resultados!AJ29))/SQRT(COUNT(Resultados!I29,Resultados!R29,Resultados!AA29,Resultados!AJ29)))</f>
        <v>9.8604851131639786E-4</v>
      </c>
    </row>
    <row r="30" spans="1:9" x14ac:dyDescent="0.3">
      <c r="A30" t="str">
        <f>IF(COUNT(Resultados!A30,Resultados!J30,Resultados!S30,Resultados!AB30)&lt;=1, "", _xlfn.STDEV.S(ABS(Resultados!A30),ABS(Resultados!J30),ABS(Resultados!S30),ABS(Resultados!AB30))/SQRT(COUNT(Resultados!A30,Resultados!J30,Resultados!S30,Resultados!AB30)))</f>
        <v/>
      </c>
      <c r="B30" t="str">
        <f>IF(COUNT(Resultados!B30,Resultados!K30,Resultados!T30,Resultados!AC30)&lt;=1, "", _xlfn.STDEV.S(ABS(Resultados!B30),ABS(Resultados!K30),ABS(Resultados!T30),ABS(Resultados!AC30))/SQRT(COUNT(Resultados!B30,Resultados!K30,Resultados!T30,Resultados!AC30)))</f>
        <v/>
      </c>
      <c r="C30">
        <f>IF(COUNT(Resultados!C30,Resultados!L30,Resultados!U30,Resultados!AD30)&lt;=1, "", _xlfn.STDEV.S(ABS(Resultados!C30),ABS(Resultados!L30),ABS(Resultados!U30),ABS(Resultados!AD30))/SQRT(COUNT(Resultados!C30,Resultados!L30,Resultados!U30,Resultados!AD30)))</f>
        <v>0.25</v>
      </c>
      <c r="D30">
        <f>IF(COUNT(Resultados!D30,Resultados!M30,Resultados!V30,Resultados!AE30)&lt;=1, "", _xlfn.STDEV.S(ABS(Resultados!D30),ABS(Resultados!M30),ABS(Resultados!V30),ABS(Resultados!AE30))/SQRT(COUNT(Resultados!D30,Resultados!M30,Resultados!V30,Resultados!AE30)))</f>
        <v>5.2181574014844114E-4</v>
      </c>
      <c r="E30">
        <f>IF(COUNT(Resultados!E30,Resultados!N30,Resultados!W30,Resultados!AF30)&lt;=1, "", _xlfn.STDEV.S(ABS(Resultados!E30),ABS(Resultados!N30),ABS(Resultados!W30),ABS(Resultados!AF30))/SQRT(COUNT(Resultados!E30,Resultados!N30,Resultados!W30,Resultados!AF30)))</f>
        <v>0</v>
      </c>
      <c r="F30">
        <f>IF(COUNT(Resultados!F30,Resultados!O30,Resultados!X30,Resultados!AG30)&lt;=1, "", _xlfn.STDEV.S(ABS(Resultados!F30),ABS(Resultados!O30),ABS(Resultados!X30),ABS(Resultados!AG30))/SQRT(COUNT(Resultados!F30,Resultados!O30,Resultados!X30,Resultados!AG30)))</f>
        <v>0</v>
      </c>
      <c r="G30">
        <f>IF(COUNT(Resultados!G30,Resultados!P30,Resultados!Y30,Resultados!AH30)&lt;=1, "", _xlfn.STDEV.S(ABS(Resultados!G30),ABS(Resultados!P30),ABS(Resultados!Y30),ABS(Resultados!AH30))/SQRT(COUNT(Resultados!G30,Resultados!P30,Resultados!Y30,Resultados!AH30)))</f>
        <v>0</v>
      </c>
      <c r="H30">
        <f>IF(COUNT(Resultados!H30,Resultados!Q30,Resultados!Z30,Resultados!AI30)&lt;=1, "", _xlfn.STDEV.S(ABS(Resultados!H30),ABS(Resultados!Q30),ABS(Resultados!Z30),ABS(Resultados!AI30))/SQRT(COUNT(Resultados!H30,Resultados!Q30,Resultados!Z30,Resultados!AI30)))</f>
        <v>0</v>
      </c>
      <c r="I30">
        <f>IF(COUNT(Resultados!I30,Resultados!R30,Resultados!AA30,Resultados!AJ30)&lt;=1, "", _xlfn.STDEV.S(ABS(Resultados!I30),ABS(Resultados!R30),ABS(Resultados!AA30),ABS(Resultados!AJ30))/SQRT(COUNT(Resultados!I30,Resultados!R30,Resultados!AA30,Resultados!AJ30)))</f>
        <v>9.9707906741409199E-4</v>
      </c>
    </row>
    <row r="31" spans="1:9" x14ac:dyDescent="0.3">
      <c r="A31" t="str">
        <f>IF(COUNT(Resultados!A31,Resultados!J31,Resultados!S31,Resultados!AB31)&lt;=1, "", _xlfn.STDEV.S(ABS(Resultados!A31),ABS(Resultados!J31),ABS(Resultados!S31),ABS(Resultados!AB31))/SQRT(COUNT(Resultados!A31,Resultados!J31,Resultados!S31,Resultados!AB31)))</f>
        <v/>
      </c>
      <c r="B31" t="str">
        <f>IF(COUNT(Resultados!B31,Resultados!K31,Resultados!T31,Resultados!AC31)&lt;=1, "", _xlfn.STDEV.S(ABS(Resultados!B31),ABS(Resultados!K31),ABS(Resultados!T31),ABS(Resultados!AC31))/SQRT(COUNT(Resultados!B31,Resultados!K31,Resultados!T31,Resultados!AC31)))</f>
        <v/>
      </c>
      <c r="C31">
        <f>IF(COUNT(Resultados!C31,Resultados!L31,Resultados!U31,Resultados!AD31)&lt;=1, "", _xlfn.STDEV.S(ABS(Resultados!C31),ABS(Resultados!L31),ABS(Resultados!U31),ABS(Resultados!AD31))/SQRT(COUNT(Resultados!C31,Resultados!L31,Resultados!U31,Resultados!AD31)))</f>
        <v>0.25</v>
      </c>
      <c r="D31">
        <f>IF(COUNT(Resultados!D31,Resultados!M31,Resultados!V31,Resultados!AE31)&lt;=1, "", _xlfn.STDEV.S(ABS(Resultados!D31),ABS(Resultados!M31),ABS(Resultados!V31),ABS(Resultados!AE31))/SQRT(COUNT(Resultados!D31,Resultados!M31,Resultados!V31,Resultados!AE31)))</f>
        <v>2.3935677693908474E-4</v>
      </c>
      <c r="E31">
        <f>IF(COUNT(Resultados!E31,Resultados!N31,Resultados!W31,Resultados!AF31)&lt;=1, "", _xlfn.STDEV.S(ABS(Resultados!E31),ABS(Resultados!N31),ABS(Resultados!W31),ABS(Resultados!AF31))/SQRT(COUNT(Resultados!E31,Resultados!N31,Resultados!W31,Resultados!AF31)))</f>
        <v>0</v>
      </c>
      <c r="F31">
        <f>IF(COUNT(Resultados!F31,Resultados!O31,Resultados!X31,Resultados!AG31)&lt;=1, "", _xlfn.STDEV.S(ABS(Resultados!F31),ABS(Resultados!O31),ABS(Resultados!X31),ABS(Resultados!AG31))/SQRT(COUNT(Resultados!F31,Resultados!O31,Resultados!X31,Resultados!AG31)))</f>
        <v>0</v>
      </c>
      <c r="G31">
        <f>IF(COUNT(Resultados!G31,Resultados!P31,Resultados!Y31,Resultados!AH31)&lt;=1, "", _xlfn.STDEV.S(ABS(Resultados!G31),ABS(Resultados!P31),ABS(Resultados!Y31),ABS(Resultados!AH31))/SQRT(COUNT(Resultados!G31,Resultados!P31,Resultados!Y31,Resultados!AH31)))</f>
        <v>0</v>
      </c>
      <c r="H31">
        <f>IF(COUNT(Resultados!H31,Resultados!Q31,Resultados!Z31,Resultados!AI31)&lt;=1, "", _xlfn.STDEV.S(ABS(Resultados!H31),ABS(Resultados!Q31),ABS(Resultados!Z31),ABS(Resultados!AI31))/SQRT(COUNT(Resultados!H31,Resultados!Q31,Resultados!Z31,Resultados!AI31)))</f>
        <v>0</v>
      </c>
      <c r="I31">
        <f>IF(COUNT(Resultados!I31,Resultados!R31,Resultados!AA31,Resultados!AJ31)&lt;=1, "", _xlfn.STDEV.S(ABS(Resultados!I31),ABS(Resultados!R31),ABS(Resultados!AA31),ABS(Resultados!AJ31))/SQRT(COUNT(Resultados!I31,Resultados!R31,Resultados!AA31,Resultados!AJ31)))</f>
        <v>8.5097982741395362E-4</v>
      </c>
    </row>
    <row r="32" spans="1:9" x14ac:dyDescent="0.3">
      <c r="A32" t="str">
        <f>IF(COUNT(Resultados!A32,Resultados!J32,Resultados!S32,Resultados!AB32)&lt;=1, "", _xlfn.STDEV.S(ABS(Resultados!A32),ABS(Resultados!J32),ABS(Resultados!S32),ABS(Resultados!AB32))/SQRT(COUNT(Resultados!A32,Resultados!J32,Resultados!S32,Resultados!AB32)))</f>
        <v/>
      </c>
      <c r="B32" t="str">
        <f>IF(COUNT(Resultados!B32,Resultados!K32,Resultados!T32,Resultados!AC32)&lt;=1, "", _xlfn.STDEV.S(ABS(Resultados!B32),ABS(Resultados!K32),ABS(Resultados!T32),ABS(Resultados!AC32))/SQRT(COUNT(Resultados!B32,Resultados!K32,Resultados!T32,Resultados!AC32)))</f>
        <v/>
      </c>
      <c r="C32">
        <f>IF(COUNT(Resultados!C32,Resultados!L32,Resultados!U32,Resultados!AD32)&lt;=1, "", _xlfn.STDEV.S(ABS(Resultados!C32),ABS(Resultados!L32),ABS(Resultados!U32),ABS(Resultados!AD32))/SQRT(COUNT(Resultados!C32,Resultados!L32,Resultados!U32,Resultados!AD32)))</f>
        <v>0.25</v>
      </c>
      <c r="D32">
        <f>IF(COUNT(Resultados!D32,Resultados!M32,Resultados!V32,Resultados!AE32)&lt;=1, "", _xlfn.STDEV.S(ABS(Resultados!D32),ABS(Resultados!M32),ABS(Resultados!V32),ABS(Resultados!AE32))/SQRT(COUNT(Resultados!D32,Resultados!M32,Resultados!V32,Resultados!AE32)))</f>
        <v>1.3149778198382899E-4</v>
      </c>
      <c r="E32">
        <f>IF(COUNT(Resultados!E32,Resultados!N32,Resultados!W32,Resultados!AF32)&lt;=1, "", _xlfn.STDEV.S(ABS(Resultados!E32),ABS(Resultados!N32),ABS(Resultados!W32),ABS(Resultados!AF32))/SQRT(COUNT(Resultados!E32,Resultados!N32,Resultados!W32,Resultados!AF32)))</f>
        <v>0</v>
      </c>
      <c r="F32">
        <f>IF(COUNT(Resultados!F32,Resultados!O32,Resultados!X32,Resultados!AG32)&lt;=1, "", _xlfn.STDEV.S(ABS(Resultados!F32),ABS(Resultados!O32),ABS(Resultados!X32),ABS(Resultados!AG32))/SQRT(COUNT(Resultados!F32,Resultados!O32,Resultados!X32,Resultados!AG32)))</f>
        <v>0</v>
      </c>
      <c r="G32">
        <f>IF(COUNT(Resultados!G32,Resultados!P32,Resultados!Y32,Resultados!AH32)&lt;=1, "", _xlfn.STDEV.S(ABS(Resultados!G32),ABS(Resultados!P32),ABS(Resultados!Y32),ABS(Resultados!AH32))/SQRT(COUNT(Resultados!G32,Resultados!P32,Resultados!Y32,Resultados!AH32)))</f>
        <v>0</v>
      </c>
      <c r="H32">
        <f>IF(COUNT(Resultados!H32,Resultados!Q32,Resultados!Z32,Resultados!AI32)&lt;=1, "", _xlfn.STDEV.S(ABS(Resultados!H32),ABS(Resultados!Q32),ABS(Resultados!Z32),ABS(Resultados!AI32))/SQRT(COUNT(Resultados!H32,Resultados!Q32,Resultados!Z32,Resultados!AI32)))</f>
        <v>0</v>
      </c>
      <c r="I32">
        <f>IF(COUNT(Resultados!I32,Resultados!R32,Resultados!AA32,Resultados!AJ32)&lt;=1, "", _xlfn.STDEV.S(ABS(Resultados!I32),ABS(Resultados!R32),ABS(Resultados!AA32),ABS(Resultados!AJ32))/SQRT(COUNT(Resultados!I32,Resultados!R32,Resultados!AA32,Resultados!AJ32)))</f>
        <v>1.2263597895065025E-3</v>
      </c>
    </row>
    <row r="33" spans="1:9" x14ac:dyDescent="0.3">
      <c r="A33" t="str">
        <f>IF(COUNT(Resultados!A33,Resultados!J33,Resultados!S33,Resultados!AB33)&lt;=1, "", _xlfn.STDEV.S(ABS(Resultados!A33),ABS(Resultados!J33),ABS(Resultados!S33),ABS(Resultados!AB33))/SQRT(COUNT(Resultados!A33,Resultados!J33,Resultados!S33,Resultados!AB33)))</f>
        <v/>
      </c>
      <c r="B33" t="str">
        <f>IF(COUNT(Resultados!B33,Resultados!K33,Resultados!T33,Resultados!AC33)&lt;=1, "", _xlfn.STDEV.S(ABS(Resultados!B33),ABS(Resultados!K33),ABS(Resultados!T33),ABS(Resultados!AC33))/SQRT(COUNT(Resultados!B33,Resultados!K33,Resultados!T33,Resultados!AC33)))</f>
        <v/>
      </c>
      <c r="C33">
        <f>IF(COUNT(Resultados!C33,Resultados!L33,Resultados!U33,Resultados!AD33)&lt;=1, "", _xlfn.STDEV.S(ABS(Resultados!C33),ABS(Resultados!L33),ABS(Resultados!U33),ABS(Resultados!AD33))/SQRT(COUNT(Resultados!C33,Resultados!L33,Resultados!U33,Resultados!AD33)))</f>
        <v>0.25</v>
      </c>
      <c r="D33">
        <f>IF(COUNT(Resultados!D33,Resultados!M33,Resultados!V33,Resultados!AE33)&lt;=1, "", _xlfn.STDEV.S(ABS(Resultados!D33),ABS(Resultados!M33),ABS(Resultados!V33),ABS(Resultados!AE33))/SQRT(COUNT(Resultados!D33,Resultados!M33,Resultados!V33,Resultados!AE33)))</f>
        <v>1.1547005383792447E-4</v>
      </c>
      <c r="E33">
        <f>IF(COUNT(Resultados!E33,Resultados!N33,Resultados!W33,Resultados!AF33)&lt;=1, "", _xlfn.STDEV.S(ABS(Resultados!E33),ABS(Resultados!N33),ABS(Resultados!W33),ABS(Resultados!AF33))/SQRT(COUNT(Resultados!E33,Resultados!N33,Resultados!W33,Resultados!AF33)))</f>
        <v>0</v>
      </c>
      <c r="F33">
        <f>IF(COUNT(Resultados!F33,Resultados!O33,Resultados!X33,Resultados!AG33)&lt;=1, "", _xlfn.STDEV.S(ABS(Resultados!F33),ABS(Resultados!O33),ABS(Resultados!X33),ABS(Resultados!AG33))/SQRT(COUNT(Resultados!F33,Resultados!O33,Resultados!X33,Resultados!AG33)))</f>
        <v>0</v>
      </c>
      <c r="G33">
        <f>IF(COUNT(Resultados!G33,Resultados!P33,Resultados!Y33,Resultados!AH33)&lt;=1, "", _xlfn.STDEV.S(ABS(Resultados!G33),ABS(Resultados!P33),ABS(Resultados!Y33),ABS(Resultados!AH33))/SQRT(COUNT(Resultados!G33,Resultados!P33,Resultados!Y33,Resultados!AH33)))</f>
        <v>0</v>
      </c>
      <c r="H33">
        <f>IF(COUNT(Resultados!H33,Resultados!Q33,Resultados!Z33,Resultados!AI33)&lt;=1, "", _xlfn.STDEV.S(ABS(Resultados!H33),ABS(Resultados!Q33),ABS(Resultados!Z33),ABS(Resultados!AI33))/SQRT(COUNT(Resultados!H33,Resultados!Q33,Resultados!Z33,Resultados!AI33)))</f>
        <v>0</v>
      </c>
      <c r="I33">
        <f>IF(COUNT(Resultados!I33,Resultados!R33,Resultados!AA33,Resultados!AJ33)&lt;=1, "", _xlfn.STDEV.S(ABS(Resultados!I33),ABS(Resultados!R33),ABS(Resultados!AA33),ABS(Resultados!AJ33))/SQRT(COUNT(Resultados!I33,Resultados!R33,Resultados!AA33,Resultados!AJ33)))</f>
        <v>5.5733742024690778E-4</v>
      </c>
    </row>
    <row r="34" spans="1:9" x14ac:dyDescent="0.3">
      <c r="A34" t="str">
        <f>IF(COUNT(Resultados!A34,Resultados!J34,Resultados!S34,Resultados!AB34)&lt;=1, "", _xlfn.STDEV.S(ABS(Resultados!A34),ABS(Resultados!J34),ABS(Resultados!S34),ABS(Resultados!AB34))/SQRT(COUNT(Resultados!A34,Resultados!J34,Resultados!S34,Resultados!AB34)))</f>
        <v/>
      </c>
      <c r="B34" t="str">
        <f>IF(COUNT(Resultados!B34,Resultados!K34,Resultados!T34,Resultados!AC34)&lt;=1, "", _xlfn.STDEV.S(ABS(Resultados!B34),ABS(Resultados!K34),ABS(Resultados!T34),ABS(Resultados!AC34))/SQRT(COUNT(Resultados!B34,Resultados!K34,Resultados!T34,Resultados!AC34)))</f>
        <v/>
      </c>
      <c r="C34">
        <f>IF(COUNT(Resultados!C34,Resultados!L34,Resultados!U34,Resultados!AD34)&lt;=1, "", _xlfn.STDEV.S(ABS(Resultados!C34),ABS(Resultados!L34),ABS(Resultados!U34),ABS(Resultados!AD34))/SQRT(COUNT(Resultados!C34,Resultados!L34,Resultados!U34,Resultados!AD34)))</f>
        <v>0.25</v>
      </c>
      <c r="D34">
        <f>IF(COUNT(Resultados!D34,Resultados!M34,Resultados!V34,Resultados!AE34)&lt;=1, "", _xlfn.STDEV.S(ABS(Resultados!D34),ABS(Resultados!M34),ABS(Resultados!V34),ABS(Resultados!AE34))/SQRT(COUNT(Resultados!D34,Resultados!M34,Resultados!V34,Resultados!AE34)))</f>
        <v>1.1547005383792447E-4</v>
      </c>
      <c r="E34">
        <f>IF(COUNT(Resultados!E34,Resultados!N34,Resultados!W34,Resultados!AF34)&lt;=1, "", _xlfn.STDEV.S(ABS(Resultados!E34),ABS(Resultados!N34),ABS(Resultados!W34),ABS(Resultados!AF34))/SQRT(COUNT(Resultados!E34,Resultados!N34,Resultados!W34,Resultados!AF34)))</f>
        <v>0</v>
      </c>
      <c r="F34">
        <f>IF(COUNT(Resultados!F34,Resultados!O34,Resultados!X34,Resultados!AG34)&lt;=1, "", _xlfn.STDEV.S(ABS(Resultados!F34),ABS(Resultados!O34),ABS(Resultados!X34),ABS(Resultados!AG34))/SQRT(COUNT(Resultados!F34,Resultados!O34,Resultados!X34,Resultados!AG34)))</f>
        <v>0</v>
      </c>
      <c r="G34">
        <f>IF(COUNT(Resultados!G34,Resultados!P34,Resultados!Y34,Resultados!AH34)&lt;=1, "", _xlfn.STDEV.S(ABS(Resultados!G34),ABS(Resultados!P34),ABS(Resultados!Y34),ABS(Resultados!AH34))/SQRT(COUNT(Resultados!G34,Resultados!P34,Resultados!Y34,Resultados!AH34)))</f>
        <v>0</v>
      </c>
      <c r="H34">
        <f>IF(COUNT(Resultados!H34,Resultados!Q34,Resultados!Z34,Resultados!AI34)&lt;=1, "", _xlfn.STDEV.S(ABS(Resultados!H34),ABS(Resultados!Q34),ABS(Resultados!Z34),ABS(Resultados!AI34))/SQRT(COUNT(Resultados!H34,Resultados!Q34,Resultados!Z34,Resultados!AI34)))</f>
        <v>0</v>
      </c>
      <c r="I34">
        <f>IF(COUNT(Resultados!I34,Resultados!R34,Resultados!AA34,Resultados!AJ34)&lt;=1, "", _xlfn.STDEV.S(ABS(Resultados!I34),ABS(Resultados!R34),ABS(Resultados!AA34),ABS(Resultados!AJ34))/SQRT(COUNT(Resultados!I34,Resultados!R34,Resultados!AA34,Resultados!AJ34)))</f>
        <v>1.1287899125509992E-3</v>
      </c>
    </row>
    <row r="35" spans="1:9" x14ac:dyDescent="0.3">
      <c r="A35" t="str">
        <f>IF(COUNT(Resultados!A35,Resultados!J35,Resultados!S35,Resultados!AB35)&lt;=1, "", _xlfn.STDEV.S(ABS(Resultados!A35),ABS(Resultados!J35),ABS(Resultados!S35),ABS(Resultados!AB35))/SQRT(COUNT(Resultados!A35,Resultados!J35,Resultados!S35,Resultados!AB35)))</f>
        <v/>
      </c>
      <c r="B35" t="str">
        <f>IF(COUNT(Resultados!B35,Resultados!K35,Resultados!T35,Resultados!AC35)&lt;=1, "", _xlfn.STDEV.S(ABS(Resultados!B35),ABS(Resultados!K35),ABS(Resultados!T35),ABS(Resultados!AC35))/SQRT(COUNT(Resultados!B35,Resultados!K35,Resultados!T35,Resultados!AC35)))</f>
        <v/>
      </c>
      <c r="C35">
        <f>IF(COUNT(Resultados!C35,Resultados!L35,Resultados!U35,Resultados!AD35)&lt;=1, "", _xlfn.STDEV.S(ABS(Resultados!C35),ABS(Resultados!L35),ABS(Resultados!U35),ABS(Resultados!AD35))/SQRT(COUNT(Resultados!C35,Resultados!L35,Resultados!U35,Resultados!AD35)))</f>
        <v>0.25</v>
      </c>
      <c r="D35">
        <f>IF(COUNT(Resultados!D35,Resultados!M35,Resultados!V35,Resultados!AE35)&lt;=1, "", _xlfn.STDEV.S(ABS(Resultados!D35),ABS(Resultados!M35),ABS(Resultados!V35),ABS(Resultados!AE35))/SQRT(COUNT(Resultados!D35,Resultados!M35,Resultados!V35,Resultados!AE35)))</f>
        <v>1.1547005383792447E-4</v>
      </c>
      <c r="E35">
        <f>IF(COUNT(Resultados!E35,Resultados!N35,Resultados!W35,Resultados!AF35)&lt;=1, "", _xlfn.STDEV.S(ABS(Resultados!E35),ABS(Resultados!N35),ABS(Resultados!W35),ABS(Resultados!AF35))/SQRT(COUNT(Resultados!E35,Resultados!N35,Resultados!W35,Resultados!AF35)))</f>
        <v>0</v>
      </c>
      <c r="F35">
        <f>IF(COUNT(Resultados!F35,Resultados!O35,Resultados!X35,Resultados!AG35)&lt;=1, "", _xlfn.STDEV.S(ABS(Resultados!F35),ABS(Resultados!O35),ABS(Resultados!X35),ABS(Resultados!AG35))/SQRT(COUNT(Resultados!F35,Resultados!O35,Resultados!X35,Resultados!AG35)))</f>
        <v>0</v>
      </c>
      <c r="G35">
        <f>IF(COUNT(Resultados!G35,Resultados!P35,Resultados!Y35,Resultados!AH35)&lt;=1, "", _xlfn.STDEV.S(ABS(Resultados!G35),ABS(Resultados!P35),ABS(Resultados!Y35),ABS(Resultados!AH35))/SQRT(COUNT(Resultados!G35,Resultados!P35,Resultados!Y35,Resultados!AH35)))</f>
        <v>0</v>
      </c>
      <c r="H35">
        <f>IF(COUNT(Resultados!H35,Resultados!Q35,Resultados!Z35,Resultados!AI35)&lt;=1, "", _xlfn.STDEV.S(ABS(Resultados!H35),ABS(Resultados!Q35),ABS(Resultados!Z35),ABS(Resultados!AI35))/SQRT(COUNT(Resultados!H35,Resultados!Q35,Resultados!Z35,Resultados!AI35)))</f>
        <v>0</v>
      </c>
      <c r="I35">
        <f>IF(COUNT(Resultados!I35,Resultados!R35,Resultados!AA35,Resultados!AJ35)&lt;=1, "", _xlfn.STDEV.S(ABS(Resultados!I35),ABS(Resultados!R35),ABS(Resultados!AA35),ABS(Resultados!AJ35))/SQRT(COUNT(Resultados!I35,Resultados!R35,Resultados!AA35,Resultados!AJ35)))</f>
        <v>6.9686799323417643E-4</v>
      </c>
    </row>
    <row r="36" spans="1:9" x14ac:dyDescent="0.3">
      <c r="A36" t="str">
        <f>IF(COUNT(Resultados!A36,Resultados!J36,Resultados!S36,Resultados!AB36)&lt;=1, "", _xlfn.STDEV.S(ABS(Resultados!A36),ABS(Resultados!J36),ABS(Resultados!S36),ABS(Resultados!AB36))/SQRT(COUNT(Resultados!A36,Resultados!J36,Resultados!S36,Resultados!AB36)))</f>
        <v/>
      </c>
      <c r="B36" t="str">
        <f>IF(COUNT(Resultados!B36,Resultados!K36,Resultados!T36,Resultados!AC36)&lt;=1, "", _xlfn.STDEV.S(ABS(Resultados!B36),ABS(Resultados!K36),ABS(Resultados!T36),ABS(Resultados!AC36))/SQRT(COUNT(Resultados!B36,Resultados!K36,Resultados!T36,Resultados!AC36)))</f>
        <v/>
      </c>
      <c r="C36">
        <f>IF(COUNT(Resultados!C36,Resultados!L36,Resultados!U36,Resultados!AD36)&lt;=1, "", _xlfn.STDEV.S(ABS(Resultados!C36),ABS(Resultados!L36),ABS(Resultados!U36),ABS(Resultados!AD36))/SQRT(COUNT(Resultados!C36,Resultados!L36,Resultados!U36,Resultados!AD36)))</f>
        <v>0.25</v>
      </c>
      <c r="D36">
        <f>IF(COUNT(Resultados!D36,Resultados!M36,Resultados!V36,Resultados!AE36)&lt;=1, "", _xlfn.STDEV.S(ABS(Resultados!D36),ABS(Resultados!M36),ABS(Resultados!V36),ABS(Resultados!AE36))/SQRT(COUNT(Resultados!D36,Resultados!M36,Resultados!V36,Resultados!AE36)))</f>
        <v>1.1547005383792447E-4</v>
      </c>
      <c r="E36">
        <f>IF(COUNT(Resultados!E36,Resultados!N36,Resultados!W36,Resultados!AF36)&lt;=1, "", _xlfn.STDEV.S(ABS(Resultados!E36),ABS(Resultados!N36),ABS(Resultados!W36),ABS(Resultados!AF36))/SQRT(COUNT(Resultados!E36,Resultados!N36,Resultados!W36,Resultados!AF36)))</f>
        <v>1.0136768749072091</v>
      </c>
      <c r="F36">
        <f>IF(COUNT(Resultados!F36,Resultados!O36,Resultados!X36,Resultados!AG36)&lt;=1, "", _xlfn.STDEV.S(ABS(Resultados!F36),ABS(Resultados!O36),ABS(Resultados!X36),ABS(Resultados!AG36))/SQRT(COUNT(Resultados!F36,Resultados!O36,Resultados!X36,Resultados!AG36)))</f>
        <v>94.474684741352007</v>
      </c>
      <c r="G36">
        <f>IF(COUNT(Resultados!G36,Resultados!P36,Resultados!Y36,Resultados!AH36)&lt;=1, "", _xlfn.STDEV.S(ABS(Resultados!G36),ABS(Resultados!P36),ABS(Resultados!Y36),ABS(Resultados!AH36))/SQRT(COUNT(Resultados!G36,Resultados!P36,Resultados!Y36,Resultados!AH36)))</f>
        <v>0</v>
      </c>
      <c r="H36">
        <f>IF(COUNT(Resultados!H36,Resultados!Q36,Resultados!Z36,Resultados!AI36)&lt;=1, "", _xlfn.STDEV.S(ABS(Resultados!H36),ABS(Resultados!Q36),ABS(Resultados!Z36),ABS(Resultados!AI36))/SQRT(COUNT(Resultados!H36,Resultados!Q36,Resultados!Z36,Resultados!AI36)))</f>
        <v>1.575E-2</v>
      </c>
      <c r="I36">
        <f>IF(COUNT(Resultados!I36,Resultados!R36,Resultados!AA36,Resultados!AJ36)&lt;=1, "", _xlfn.STDEV.S(ABS(Resultados!I36),ABS(Resultados!R36),ABS(Resultados!AA36),ABS(Resultados!AJ36))/SQRT(COUNT(Resultados!I36,Resultados!R36,Resultados!AA36,Resultados!AJ36)))</f>
        <v>1.5966109941629373E-3</v>
      </c>
    </row>
    <row r="37" spans="1:9" x14ac:dyDescent="0.3">
      <c r="A37" t="str">
        <f>IF(COUNT(Resultados!A37,Resultados!J37,Resultados!S37,Resultados!AB37)&lt;=1, "", _xlfn.STDEV.S(ABS(Resultados!A37),ABS(Resultados!J37),ABS(Resultados!S37),ABS(Resultados!AB37))/SQRT(COUNT(Resultados!A37,Resultados!J37,Resultados!S37,Resultados!AB37)))</f>
        <v/>
      </c>
      <c r="B37" t="str">
        <f>IF(COUNT(Resultados!B37,Resultados!K37,Resultados!T37,Resultados!AC37)&lt;=1, "", _xlfn.STDEV.S(ABS(Resultados!B37),ABS(Resultados!K37),ABS(Resultados!T37),ABS(Resultados!AC37))/SQRT(COUNT(Resultados!B37,Resultados!K37,Resultados!T37,Resultados!AC37)))</f>
        <v/>
      </c>
      <c r="C37">
        <f>IF(COUNT(Resultados!C37,Resultados!L37,Resultados!U37,Resultados!AD37)&lt;=1, "", _xlfn.STDEV.S(ABS(Resultados!C37),ABS(Resultados!L37),ABS(Resultados!U37),ABS(Resultados!AD37))/SQRT(COUNT(Resultados!C37,Resultados!L37,Resultados!U37,Resultados!AD37)))</f>
        <v>0.25</v>
      </c>
      <c r="D37">
        <f>IF(COUNT(Resultados!D37,Resultados!M37,Resultados!V37,Resultados!AE37)&lt;=1, "", _xlfn.STDEV.S(ABS(Resultados!D37),ABS(Resultados!M37),ABS(Resultados!V37),ABS(Resultados!AE37))/SQRT(COUNT(Resultados!D37,Resultados!M37,Resultados!V37,Resultados!AE37)))</f>
        <v>1.8186533479473211E-3</v>
      </c>
      <c r="E37">
        <f>IF(COUNT(Resultados!E37,Resultados!N37,Resultados!W37,Resultados!AF37)&lt;=1, "", _xlfn.STDEV.S(ABS(Resultados!E37),ABS(Resultados!N37),ABS(Resultados!W37),ABS(Resultados!AF37))/SQRT(COUNT(Resultados!E37,Resultados!N37,Resultados!W37,Resultados!AF37)))</f>
        <v>0</v>
      </c>
      <c r="F37">
        <f>IF(COUNT(Resultados!F37,Resultados!O37,Resultados!X37,Resultados!AG37)&lt;=1, "", _xlfn.STDEV.S(ABS(Resultados!F37),ABS(Resultados!O37),ABS(Resultados!X37),ABS(Resultados!AG37))/SQRT(COUNT(Resultados!F37,Resultados!O37,Resultados!X37,Resultados!AG37)))</f>
        <v>0</v>
      </c>
      <c r="G37">
        <f>IF(COUNT(Resultados!G37,Resultados!P37,Resultados!Y37,Resultados!AH37)&lt;=1, "", _xlfn.STDEV.S(ABS(Resultados!G37),ABS(Resultados!P37),ABS(Resultados!Y37),ABS(Resultados!AH37))/SQRT(COUNT(Resultados!G37,Resultados!P37,Resultados!Y37,Resultados!AH37)))</f>
        <v>0</v>
      </c>
      <c r="H37">
        <f>IF(COUNT(Resultados!H37,Resultados!Q37,Resultados!Z37,Resultados!AI37)&lt;=1, "", _xlfn.STDEV.S(ABS(Resultados!H37),ABS(Resultados!Q37),ABS(Resultados!Z37),ABS(Resultados!AI37))/SQRT(COUNT(Resultados!H37,Resultados!Q37,Resultados!Z37,Resultados!AI37)))</f>
        <v>0</v>
      </c>
      <c r="I37">
        <f>IF(COUNT(Resultados!I37,Resultados!R37,Resultados!AA37,Resultados!AJ37)&lt;=1, "", _xlfn.STDEV.S(ABS(Resultados!I37),ABS(Resultados!R37),ABS(Resultados!AA37),ABS(Resultados!AJ37))/SQRT(COUNT(Resultados!I37,Resultados!R37,Resultados!AA37,Resultados!AJ37)))</f>
        <v>3.5237290853338703E-4</v>
      </c>
    </row>
    <row r="38" spans="1:9" x14ac:dyDescent="0.3">
      <c r="A38" t="str">
        <f>IF(COUNT(Resultados!A38,Resultados!J38,Resultados!S38,Resultados!AB38)&lt;=1, "", _xlfn.STDEV.S(ABS(Resultados!A38),ABS(Resultados!J38),ABS(Resultados!S38),ABS(Resultados!AB38))/SQRT(COUNT(Resultados!A38,Resultados!J38,Resultados!S38,Resultados!AB38)))</f>
        <v/>
      </c>
      <c r="B38" t="str">
        <f>IF(COUNT(Resultados!B38,Resultados!K38,Resultados!T38,Resultados!AC38)&lt;=1, "", _xlfn.STDEV.S(ABS(Resultados!B38),ABS(Resultados!K38),ABS(Resultados!T38),ABS(Resultados!AC38))/SQRT(COUNT(Resultados!B38,Resultados!K38,Resultados!T38,Resultados!AC38)))</f>
        <v/>
      </c>
      <c r="C38">
        <f>IF(COUNT(Resultados!C38,Resultados!L38,Resultados!U38,Resultados!AD38)&lt;=1, "", _xlfn.STDEV.S(ABS(Resultados!C38),ABS(Resultados!L38),ABS(Resultados!U38),ABS(Resultados!AD38))/SQRT(COUNT(Resultados!C38,Resultados!L38,Resultados!U38,Resultados!AD38)))</f>
        <v>0.25</v>
      </c>
      <c r="D38">
        <f>IF(COUNT(Resultados!D38,Resultados!M38,Resultados!V38,Resultados!AE38)&lt;=1, "", _xlfn.STDEV.S(ABS(Resultados!D38),ABS(Resultados!M38),ABS(Resultados!V38),ABS(Resultados!AE38))/SQRT(COUNT(Resultados!D38,Resultados!M38,Resultados!V38,Resultados!AE38)))</f>
        <v>3.6843135950495099E-3</v>
      </c>
      <c r="E38">
        <f>IF(COUNT(Resultados!E38,Resultados!N38,Resultados!W38,Resultados!AF38)&lt;=1, "", _xlfn.STDEV.S(ABS(Resultados!E38),ABS(Resultados!N38),ABS(Resultados!W38),ABS(Resultados!AF38))/SQRT(COUNT(Resultados!E38,Resultados!N38,Resultados!W38,Resultados!AF38)))</f>
        <v>0</v>
      </c>
      <c r="F38">
        <f>IF(COUNT(Resultados!F38,Resultados!O38,Resultados!X38,Resultados!AG38)&lt;=1, "", _xlfn.STDEV.S(ABS(Resultados!F38),ABS(Resultados!O38),ABS(Resultados!X38),ABS(Resultados!AG38))/SQRT(COUNT(Resultados!F38,Resultados!O38,Resultados!X38,Resultados!AG38)))</f>
        <v>0</v>
      </c>
      <c r="G38">
        <f>IF(COUNT(Resultados!G38,Resultados!P38,Resultados!Y38,Resultados!AH38)&lt;=1, "", _xlfn.STDEV.S(ABS(Resultados!G38),ABS(Resultados!P38),ABS(Resultados!Y38),ABS(Resultados!AH38))/SQRT(COUNT(Resultados!G38,Resultados!P38,Resultados!Y38,Resultados!AH38)))</f>
        <v>0</v>
      </c>
      <c r="H38">
        <f>IF(COUNT(Resultados!H38,Resultados!Q38,Resultados!Z38,Resultados!AI38)&lt;=1, "", _xlfn.STDEV.S(ABS(Resultados!H38),ABS(Resultados!Q38),ABS(Resultados!Z38),ABS(Resultados!AI38))/SQRT(COUNT(Resultados!H38,Resultados!Q38,Resultados!Z38,Resultados!AI38)))</f>
        <v>0</v>
      </c>
      <c r="I38">
        <f>IF(COUNT(Resultados!I38,Resultados!R38,Resultados!AA38,Resultados!AJ38)&lt;=1, "", _xlfn.STDEV.S(ABS(Resultados!I38),ABS(Resultados!R38),ABS(Resultados!AA38),ABS(Resultados!AJ38))/SQRT(COUNT(Resultados!I38,Resultados!R38,Resultados!AA38,Resultados!AJ38)))</f>
        <v>5.2499999999408174E-4</v>
      </c>
    </row>
    <row r="39" spans="1:9" x14ac:dyDescent="0.3">
      <c r="A39" t="str">
        <f>IF(COUNT(Resultados!A39,Resultados!J39,Resultados!S39,Resultados!AB39)&lt;=1, "", _xlfn.STDEV.S(ABS(Resultados!A39),ABS(Resultados!J39),ABS(Resultados!S39),ABS(Resultados!AB39))/SQRT(COUNT(Resultados!A39,Resultados!J39,Resultados!S39,Resultados!AB39)))</f>
        <v/>
      </c>
      <c r="B39" t="str">
        <f>IF(COUNT(Resultados!B39,Resultados!K39,Resultados!T39,Resultados!AC39)&lt;=1, "", _xlfn.STDEV.S(ABS(Resultados!B39),ABS(Resultados!K39),ABS(Resultados!T39),ABS(Resultados!AC39))/SQRT(COUNT(Resultados!B39,Resultados!K39,Resultados!T39,Resultados!AC39)))</f>
        <v/>
      </c>
      <c r="C39">
        <f>IF(COUNT(Resultados!C39,Resultados!L39,Resultados!U39,Resultados!AD39)&lt;=1, "", _xlfn.STDEV.S(ABS(Resultados!C39),ABS(Resultados!L39),ABS(Resultados!U39),ABS(Resultados!AD39))/SQRT(COUNT(Resultados!C39,Resultados!L39,Resultados!U39,Resultados!AD39)))</f>
        <v>0.25</v>
      </c>
      <c r="D39">
        <f>IF(COUNT(Resultados!D39,Resultados!M39,Resultados!V39,Resultados!AE39)&lt;=1, "", _xlfn.STDEV.S(ABS(Resultados!D39),ABS(Resultados!M39),ABS(Resultados!V39),ABS(Resultados!AE39))/SQRT(COUNT(Resultados!D39,Resultados!M39,Resultados!V39,Resultados!AE39)))</f>
        <v>3.3944501272911141E-3</v>
      </c>
      <c r="E39">
        <f>IF(COUNT(Resultados!E39,Resultados!N39,Resultados!W39,Resultados!AF39)&lt;=1, "", _xlfn.STDEV.S(ABS(Resultados!E39),ABS(Resultados!N39),ABS(Resultados!W39),ABS(Resultados!AF39))/SQRT(COUNT(Resultados!E39,Resultados!N39,Resultados!W39,Resultados!AF39)))</f>
        <v>0</v>
      </c>
      <c r="F39">
        <f>IF(COUNT(Resultados!F39,Resultados!O39,Resultados!X39,Resultados!AG39)&lt;=1, "", _xlfn.STDEV.S(ABS(Resultados!F39),ABS(Resultados!O39),ABS(Resultados!X39),ABS(Resultados!AG39))/SQRT(COUNT(Resultados!F39,Resultados!O39,Resultados!X39,Resultados!AG39)))</f>
        <v>0</v>
      </c>
      <c r="G39">
        <f>IF(COUNT(Resultados!G39,Resultados!P39,Resultados!Y39,Resultados!AH39)&lt;=1, "", _xlfn.STDEV.S(ABS(Resultados!G39),ABS(Resultados!P39),ABS(Resultados!Y39),ABS(Resultados!AH39))/SQRT(COUNT(Resultados!G39,Resultados!P39,Resultados!Y39,Resultados!AH39)))</f>
        <v>0</v>
      </c>
      <c r="H39">
        <f>IF(COUNT(Resultados!H39,Resultados!Q39,Resultados!Z39,Resultados!AI39)&lt;=1, "", _xlfn.STDEV.S(ABS(Resultados!H39),ABS(Resultados!Q39),ABS(Resultados!Z39),ABS(Resultados!AI39))/SQRT(COUNT(Resultados!H39,Resultados!Q39,Resultados!Z39,Resultados!AI39)))</f>
        <v>0</v>
      </c>
      <c r="I39">
        <f>IF(COUNT(Resultados!I39,Resultados!R39,Resultados!AA39,Resultados!AJ39)&lt;=1, "", _xlfn.STDEV.S(ABS(Resultados!I39),ABS(Resultados!R39),ABS(Resultados!AA39),ABS(Resultados!AJ39))/SQRT(COUNT(Resultados!I39,Resultados!R39,Resultados!AA39,Resultados!AJ39)))</f>
        <v>1.1323831801469332E-3</v>
      </c>
    </row>
    <row r="40" spans="1:9" x14ac:dyDescent="0.3">
      <c r="A40" t="str">
        <f>IF(COUNT(Resultados!A40,Resultados!J40,Resultados!S40,Resultados!AB40)&lt;=1, "", _xlfn.STDEV.S(ABS(Resultados!A40),ABS(Resultados!J40),ABS(Resultados!S40),ABS(Resultados!AB40))/SQRT(COUNT(Resultados!A40,Resultados!J40,Resultados!S40,Resultados!AB40)))</f>
        <v/>
      </c>
      <c r="B40" t="str">
        <f>IF(COUNT(Resultados!B40,Resultados!K40,Resultados!T40,Resultados!AC40)&lt;=1, "", _xlfn.STDEV.S(ABS(Resultados!B40),ABS(Resultados!K40),ABS(Resultados!T40),ABS(Resultados!AC40))/SQRT(COUNT(Resultados!B40,Resultados!K40,Resultados!T40,Resultados!AC40)))</f>
        <v/>
      </c>
      <c r="C40">
        <f>IF(COUNT(Resultados!C40,Resultados!L40,Resultados!U40,Resultados!AD40)&lt;=1, "", _xlfn.STDEV.S(ABS(Resultados!C40),ABS(Resultados!L40),ABS(Resultados!U40),ABS(Resultados!AD40))/SQRT(COUNT(Resultados!C40,Resultados!L40,Resultados!U40,Resultados!AD40)))</f>
        <v>0.25</v>
      </c>
      <c r="D40">
        <f>IF(COUNT(Resultados!D40,Resultados!M40,Resultados!V40,Resultados!AE40)&lt;=1, "", _xlfn.STDEV.S(ABS(Resultados!D40),ABS(Resultados!M40),ABS(Resultados!V40),ABS(Resultados!AE40))/SQRT(COUNT(Resultados!D40,Resultados!M40,Resultados!V40,Resultados!AE40)))</f>
        <v>7.8792977690485429E-4</v>
      </c>
      <c r="E40">
        <f>IF(COUNT(Resultados!E40,Resultados!N40,Resultados!W40,Resultados!AF40)&lt;=1, "", _xlfn.STDEV.S(ABS(Resultados!E40),ABS(Resultados!N40),ABS(Resultados!W40),ABS(Resultados!AF40))/SQRT(COUNT(Resultados!E40,Resultados!N40,Resultados!W40,Resultados!AF40)))</f>
        <v>0</v>
      </c>
      <c r="F40">
        <f>IF(COUNT(Resultados!F40,Resultados!O40,Resultados!X40,Resultados!AG40)&lt;=1, "", _xlfn.STDEV.S(ABS(Resultados!F40),ABS(Resultados!O40),ABS(Resultados!X40),ABS(Resultados!AG40))/SQRT(COUNT(Resultados!F40,Resultados!O40,Resultados!X40,Resultados!AG40)))</f>
        <v>0</v>
      </c>
      <c r="G40">
        <f>IF(COUNT(Resultados!G40,Resultados!P40,Resultados!Y40,Resultados!AH40)&lt;=1, "", _xlfn.STDEV.S(ABS(Resultados!G40),ABS(Resultados!P40),ABS(Resultados!Y40),ABS(Resultados!AH40))/SQRT(COUNT(Resultados!G40,Resultados!P40,Resultados!Y40,Resultados!AH40)))</f>
        <v>0</v>
      </c>
      <c r="H40">
        <f>IF(COUNT(Resultados!H40,Resultados!Q40,Resultados!Z40,Resultados!AI40)&lt;=1, "", _xlfn.STDEV.S(ABS(Resultados!H40),ABS(Resultados!Q40),ABS(Resultados!Z40),ABS(Resultados!AI40))/SQRT(COUNT(Resultados!H40,Resultados!Q40,Resultados!Z40,Resultados!AI40)))</f>
        <v>0</v>
      </c>
      <c r="I40">
        <f>IF(COUNT(Resultados!I40,Resultados!R40,Resultados!AA40,Resultados!AJ40)&lt;=1, "", _xlfn.STDEV.S(ABS(Resultados!I40),ABS(Resultados!R40),ABS(Resultados!AA40),ABS(Resultados!AJ40))/SQRT(COUNT(Resultados!I40,Resultados!R40,Resultados!AA40,Resultados!AJ40)))</f>
        <v>4.3779751788484197E-4</v>
      </c>
    </row>
    <row r="41" spans="1:9" x14ac:dyDescent="0.3">
      <c r="A41" t="str">
        <f>IF(COUNT(Resultados!A41,Resultados!J41,Resultados!S41,Resultados!AB41)&lt;=1, "", _xlfn.STDEV.S(ABS(Resultados!A41),ABS(Resultados!J41),ABS(Resultados!S41),ABS(Resultados!AB41))/SQRT(COUNT(Resultados!A41,Resultados!J41,Resultados!S41,Resultados!AB41)))</f>
        <v/>
      </c>
      <c r="B41" t="str">
        <f>IF(COUNT(Resultados!B41,Resultados!K41,Resultados!T41,Resultados!AC41)&lt;=1, "", _xlfn.STDEV.S(ABS(Resultados!B41),ABS(Resultados!K41),ABS(Resultados!T41),ABS(Resultados!AC41))/SQRT(COUNT(Resultados!B41,Resultados!K41,Resultados!T41,Resultados!AC41)))</f>
        <v/>
      </c>
      <c r="C41">
        <f>IF(COUNT(Resultados!C41,Resultados!L41,Resultados!U41,Resultados!AD41)&lt;=1, "", _xlfn.STDEV.S(ABS(Resultados!C41),ABS(Resultados!L41),ABS(Resultados!U41),ABS(Resultados!AD41))/SQRT(COUNT(Resultados!C41,Resultados!L41,Resultados!U41,Resultados!AD41)))</f>
        <v>0.25</v>
      </c>
      <c r="D41">
        <f>IF(COUNT(Resultados!D41,Resultados!M41,Resultados!V41,Resultados!AE41)&lt;=1, "", _xlfn.STDEV.S(ABS(Resultados!D41),ABS(Resultados!M41),ABS(Resultados!V41),ABS(Resultados!AE41))/SQRT(COUNT(Resultados!D41,Resultados!M41,Resultados!V41,Resultados!AE41)))</f>
        <v>2.4999999999999957E-5</v>
      </c>
      <c r="E41">
        <f>IF(COUNT(Resultados!E41,Resultados!N41,Resultados!W41,Resultados!AF41)&lt;=1, "", _xlfn.STDEV.S(ABS(Resultados!E41),ABS(Resultados!N41),ABS(Resultados!W41),ABS(Resultados!AF41))/SQRT(COUNT(Resultados!E41,Resultados!N41,Resultados!W41,Resultados!AF41)))</f>
        <v>0</v>
      </c>
      <c r="F41">
        <f>IF(COUNT(Resultados!F41,Resultados!O41,Resultados!X41,Resultados!AG41)&lt;=1, "", _xlfn.STDEV.S(ABS(Resultados!F41),ABS(Resultados!O41),ABS(Resultados!X41),ABS(Resultados!AG41))/SQRT(COUNT(Resultados!F41,Resultados!O41,Resultados!X41,Resultados!AG41)))</f>
        <v>0</v>
      </c>
      <c r="G41">
        <f>IF(COUNT(Resultados!G41,Resultados!P41,Resultados!Y41,Resultados!AH41)&lt;=1, "", _xlfn.STDEV.S(ABS(Resultados!G41),ABS(Resultados!P41),ABS(Resultados!Y41),ABS(Resultados!AH41))/SQRT(COUNT(Resultados!G41,Resultados!P41,Resultados!Y41,Resultados!AH41)))</f>
        <v>0</v>
      </c>
      <c r="H41">
        <f>IF(COUNT(Resultados!H41,Resultados!Q41,Resultados!Z41,Resultados!AI41)&lt;=1, "", _xlfn.STDEV.S(ABS(Resultados!H41),ABS(Resultados!Q41),ABS(Resultados!Z41),ABS(Resultados!AI41))/SQRT(COUNT(Resultados!H41,Resultados!Q41,Resultados!Z41,Resultados!AI41)))</f>
        <v>0</v>
      </c>
      <c r="I41">
        <f>IF(COUNT(Resultados!I41,Resultados!R41,Resultados!AA41,Resultados!AJ41)&lt;=1, "", _xlfn.STDEV.S(ABS(Resultados!I41),ABS(Resultados!R41),ABS(Resultados!AA41),ABS(Resultados!AJ41))/SQRT(COUNT(Resultados!I41,Resultados!R41,Resultados!AA41,Resultados!AJ41)))</f>
        <v>2.2543938579281352E-3</v>
      </c>
    </row>
    <row r="42" spans="1:9" x14ac:dyDescent="0.3">
      <c r="A42" t="str">
        <f>IF(COUNT(Resultados!A42,Resultados!J42,Resultados!S42,Resultados!AB42)&lt;=1, "", _xlfn.STDEV.S(ABS(Resultados!A42),ABS(Resultados!J42),ABS(Resultados!S42),ABS(Resultados!AB42))/SQRT(COUNT(Resultados!A42,Resultados!J42,Resultados!S42,Resultados!AB42)))</f>
        <v/>
      </c>
      <c r="B42" t="str">
        <f>IF(COUNT(Resultados!B42,Resultados!K42,Resultados!T42,Resultados!AC42)&lt;=1, "", _xlfn.STDEV.S(ABS(Resultados!B42),ABS(Resultados!K42),ABS(Resultados!T42),ABS(Resultados!AC42))/SQRT(COUNT(Resultados!B42,Resultados!K42,Resultados!T42,Resultados!AC42)))</f>
        <v/>
      </c>
      <c r="C42">
        <f>IF(COUNT(Resultados!C42,Resultados!L42,Resultados!U42,Resultados!AD42)&lt;=1, "", _xlfn.STDEV.S(ABS(Resultados!C42),ABS(Resultados!L42),ABS(Resultados!U42),ABS(Resultados!AD42))/SQRT(COUNT(Resultados!C42,Resultados!L42,Resultados!U42,Resultados!AD42)))</f>
        <v>0.25</v>
      </c>
      <c r="D42">
        <f>IF(COUNT(Resultados!D42,Resultados!M42,Resultados!V42,Resultados!AE42)&lt;=1, "", _xlfn.STDEV.S(ABS(Resultados!D42),ABS(Resultados!M42),ABS(Resultados!V42),ABS(Resultados!AE42))/SQRT(COUNT(Resultados!D42,Resultados!M42,Resultados!V42,Resultados!AE42)))</f>
        <v>0</v>
      </c>
      <c r="E42">
        <f>IF(COUNT(Resultados!E42,Resultados!N42,Resultados!W42,Resultados!AF42)&lt;=1, "", _xlfn.STDEV.S(ABS(Resultados!E42),ABS(Resultados!N42),ABS(Resultados!W42),ABS(Resultados!AF42))/SQRT(COUNT(Resultados!E42,Resultados!N42,Resultados!W42,Resultados!AF42)))</f>
        <v>0</v>
      </c>
      <c r="F42">
        <f>IF(COUNT(Resultados!F42,Resultados!O42,Resultados!X42,Resultados!AG42)&lt;=1, "", _xlfn.STDEV.S(ABS(Resultados!F42),ABS(Resultados!O42),ABS(Resultados!X42),ABS(Resultados!AG42))/SQRT(COUNT(Resultados!F42,Resultados!O42,Resultados!X42,Resultados!AG42)))</f>
        <v>0</v>
      </c>
      <c r="G42">
        <f>IF(COUNT(Resultados!G42,Resultados!P42,Resultados!Y42,Resultados!AH42)&lt;=1, "", _xlfn.STDEV.S(ABS(Resultados!G42),ABS(Resultados!P42),ABS(Resultados!Y42),ABS(Resultados!AH42))/SQRT(COUNT(Resultados!G42,Resultados!P42,Resultados!Y42,Resultados!AH42)))</f>
        <v>0</v>
      </c>
      <c r="H42">
        <f>IF(COUNT(Resultados!H42,Resultados!Q42,Resultados!Z42,Resultados!AI42)&lt;=1, "", _xlfn.STDEV.S(ABS(Resultados!H42),ABS(Resultados!Q42),ABS(Resultados!Z42),ABS(Resultados!AI42))/SQRT(COUNT(Resultados!H42,Resultados!Q42,Resultados!Z42,Resultados!AI42)))</f>
        <v>0</v>
      </c>
      <c r="I42">
        <f>IF(COUNT(Resultados!I42,Resultados!R42,Resultados!AA42,Resultados!AJ42)&lt;=1, "", _xlfn.STDEV.S(ABS(Resultados!I42),ABS(Resultados!R42),ABS(Resultados!AA42),ABS(Resultados!AJ42))/SQRT(COUNT(Resultados!I42,Resultados!R42,Resultados!AA42,Resultados!AJ42)))</f>
        <v>8.2600948340924324E-4</v>
      </c>
    </row>
    <row r="43" spans="1:9" x14ac:dyDescent="0.3">
      <c r="A43" t="str">
        <f>IF(COUNT(Resultados!A43,Resultados!J43,Resultados!S43,Resultados!AB43)&lt;=1, "", _xlfn.STDEV.S(ABS(Resultados!A43),ABS(Resultados!J43),ABS(Resultados!S43),ABS(Resultados!AB43))/SQRT(COUNT(Resultados!A43,Resultados!J43,Resultados!S43,Resultados!AB43)))</f>
        <v/>
      </c>
      <c r="B43" t="str">
        <f>IF(COUNT(Resultados!B43,Resultados!K43,Resultados!T43,Resultados!AC43)&lt;=1, "", _xlfn.STDEV.S(ABS(Resultados!B43),ABS(Resultados!K43),ABS(Resultados!T43),ABS(Resultados!AC43))/SQRT(COUNT(Resultados!B43,Resultados!K43,Resultados!T43,Resultados!AC43)))</f>
        <v/>
      </c>
      <c r="C43">
        <f>IF(COUNT(Resultados!C43,Resultados!L43,Resultados!U43,Resultados!AD43)&lt;=1, "", _xlfn.STDEV.S(ABS(Resultados!C43),ABS(Resultados!L43),ABS(Resultados!U43),ABS(Resultados!AD43))/SQRT(COUNT(Resultados!C43,Resultados!L43,Resultados!U43,Resultados!AD43)))</f>
        <v>0.25</v>
      </c>
      <c r="D43">
        <f>IF(COUNT(Resultados!D43,Resultados!M43,Resultados!V43,Resultados!AE43)&lt;=1, "", _xlfn.STDEV.S(ABS(Resultados!D43),ABS(Resultados!M43),ABS(Resultados!V43),ABS(Resultados!AE43))/SQRT(COUNT(Resultados!D43,Resultados!M43,Resultados!V43,Resultados!AE43)))</f>
        <v>2.5000000000000066E-5</v>
      </c>
      <c r="E43">
        <f>IF(COUNT(Resultados!E43,Resultados!N43,Resultados!W43,Resultados!AF43)&lt;=1, "", _xlfn.STDEV.S(ABS(Resultados!E43),ABS(Resultados!N43),ABS(Resultados!W43),ABS(Resultados!AF43))/SQRT(COUNT(Resultados!E43,Resultados!N43,Resultados!W43,Resultados!AF43)))</f>
        <v>0</v>
      </c>
      <c r="F43">
        <f>IF(COUNT(Resultados!F43,Resultados!O43,Resultados!X43,Resultados!AG43)&lt;=1, "", _xlfn.STDEV.S(ABS(Resultados!F43),ABS(Resultados!O43),ABS(Resultados!X43),ABS(Resultados!AG43))/SQRT(COUNT(Resultados!F43,Resultados!O43,Resultados!X43,Resultados!AG43)))</f>
        <v>0</v>
      </c>
      <c r="G43">
        <f>IF(COUNT(Resultados!G43,Resultados!P43,Resultados!Y43,Resultados!AH43)&lt;=1, "", _xlfn.STDEV.S(ABS(Resultados!G43),ABS(Resultados!P43),ABS(Resultados!Y43),ABS(Resultados!AH43))/SQRT(COUNT(Resultados!G43,Resultados!P43,Resultados!Y43,Resultados!AH43)))</f>
        <v>0</v>
      </c>
      <c r="H43">
        <f>IF(COUNT(Resultados!H43,Resultados!Q43,Resultados!Z43,Resultados!AI43)&lt;=1, "", _xlfn.STDEV.S(ABS(Resultados!H43),ABS(Resultados!Q43),ABS(Resultados!Z43),ABS(Resultados!AI43))/SQRT(COUNT(Resultados!H43,Resultados!Q43,Resultados!Z43,Resultados!AI43)))</f>
        <v>0</v>
      </c>
      <c r="I43">
        <f>IF(COUNT(Resultados!I43,Resultados!R43,Resultados!AA43,Resultados!AJ43)&lt;=1, "", _xlfn.STDEV.S(ABS(Resultados!I43),ABS(Resultados!R43),ABS(Resultados!AA43),ABS(Resultados!AJ43))/SQRT(COUNT(Resultados!I43,Resultados!R43,Resultados!AA43,Resultados!AJ43)))</f>
        <v>7.3086706499542469E-4</v>
      </c>
    </row>
    <row r="44" spans="1:9" x14ac:dyDescent="0.3">
      <c r="A44" t="str">
        <f>IF(COUNT(Resultados!A44,Resultados!J44,Resultados!S44,Resultados!AB44)&lt;=1, "", _xlfn.STDEV.S(ABS(Resultados!A44),ABS(Resultados!J44),ABS(Resultados!S44),ABS(Resultados!AB44))/SQRT(COUNT(Resultados!A44,Resultados!J44,Resultados!S44,Resultados!AB44)))</f>
        <v/>
      </c>
      <c r="B44" t="str">
        <f>IF(COUNT(Resultados!B44,Resultados!K44,Resultados!T44,Resultados!AC44)&lt;=1, "", _xlfn.STDEV.S(ABS(Resultados!B44),ABS(Resultados!K44),ABS(Resultados!T44),ABS(Resultados!AC44))/SQRT(COUNT(Resultados!B44,Resultados!K44,Resultados!T44,Resultados!AC44)))</f>
        <v/>
      </c>
      <c r="C44">
        <f>IF(COUNT(Resultados!C44,Resultados!L44,Resultados!U44,Resultados!AD44)&lt;=1, "", _xlfn.STDEV.S(ABS(Resultados!C44),ABS(Resultados!L44),ABS(Resultados!U44),ABS(Resultados!AD44))/SQRT(COUNT(Resultados!C44,Resultados!L44,Resultados!U44,Resultados!AD44)))</f>
        <v>0.25</v>
      </c>
      <c r="D44">
        <f>IF(COUNT(Resultados!D44,Resultados!M44,Resultados!V44,Resultados!AE44)&lt;=1, "", _xlfn.STDEV.S(ABS(Resultados!D44),ABS(Resultados!M44),ABS(Resultados!V44),ABS(Resultados!AE44))/SQRT(COUNT(Resultados!D44,Resultados!M44,Resultados!V44,Resultados!AE44)))</f>
        <v>0</v>
      </c>
      <c r="E44">
        <f>IF(COUNT(Resultados!E44,Resultados!N44,Resultados!W44,Resultados!AF44)&lt;=1, "", _xlfn.STDEV.S(ABS(Resultados!E44),ABS(Resultados!N44),ABS(Resultados!W44),ABS(Resultados!AF44))/SQRT(COUNT(Resultados!E44,Resultados!N44,Resultados!W44,Resultados!AF44)))</f>
        <v>0</v>
      </c>
      <c r="F44">
        <f>IF(COUNT(Resultados!F44,Resultados!O44,Resultados!X44,Resultados!AG44)&lt;=1, "", _xlfn.STDEV.S(ABS(Resultados!F44),ABS(Resultados!O44),ABS(Resultados!X44),ABS(Resultados!AG44))/SQRT(COUNT(Resultados!F44,Resultados!O44,Resultados!X44,Resultados!AG44)))</f>
        <v>0</v>
      </c>
      <c r="G44">
        <f>IF(COUNT(Resultados!G44,Resultados!P44,Resultados!Y44,Resultados!AH44)&lt;=1, "", _xlfn.STDEV.S(ABS(Resultados!G44),ABS(Resultados!P44),ABS(Resultados!Y44),ABS(Resultados!AH44))/SQRT(COUNT(Resultados!G44,Resultados!P44,Resultados!Y44,Resultados!AH44)))</f>
        <v>0</v>
      </c>
      <c r="H44">
        <f>IF(COUNT(Resultados!H44,Resultados!Q44,Resultados!Z44,Resultados!AI44)&lt;=1, "", _xlfn.STDEV.S(ABS(Resultados!H44),ABS(Resultados!Q44),ABS(Resultados!Z44),ABS(Resultados!AI44))/SQRT(COUNT(Resultados!H44,Resultados!Q44,Resultados!Z44,Resultados!AI44)))</f>
        <v>0</v>
      </c>
      <c r="I44">
        <f>IF(COUNT(Resultados!I44,Resultados!R44,Resultados!AA44,Resultados!AJ44)&lt;=1, "", _xlfn.STDEV.S(ABS(Resultados!I44),ABS(Resultados!R44),ABS(Resultados!AA44),ABS(Resultados!AJ44))/SQRT(COUNT(Resultados!I44,Resultados!R44,Resultados!AA44,Resultados!AJ44)))</f>
        <v>5.6124860802797072E-4</v>
      </c>
    </row>
    <row r="45" spans="1:9" x14ac:dyDescent="0.3">
      <c r="A45" t="str">
        <f>IF(COUNT(Resultados!A45,Resultados!J45,Resultados!S45,Resultados!AB45)&lt;=1, "", _xlfn.STDEV.S(ABS(Resultados!A45),ABS(Resultados!J45),ABS(Resultados!S45),ABS(Resultados!AB45))/SQRT(COUNT(Resultados!A45,Resultados!J45,Resultados!S45,Resultados!AB45)))</f>
        <v/>
      </c>
      <c r="B45" t="str">
        <f>IF(COUNT(Resultados!B45,Resultados!K45,Resultados!T45,Resultados!AC45)&lt;=1, "", _xlfn.STDEV.S(ABS(Resultados!B45),ABS(Resultados!K45),ABS(Resultados!T45),ABS(Resultados!AC45))/SQRT(COUNT(Resultados!B45,Resultados!K45,Resultados!T45,Resultados!AC45)))</f>
        <v/>
      </c>
      <c r="C45">
        <f>IF(COUNT(Resultados!C45,Resultados!L45,Resultados!U45,Resultados!AD45)&lt;=1, "", _xlfn.STDEV.S(ABS(Resultados!C45),ABS(Resultados!L45),ABS(Resultados!U45),ABS(Resultados!AD45))/SQRT(COUNT(Resultados!C45,Resultados!L45,Resultados!U45,Resultados!AD45)))</f>
        <v>0.25</v>
      </c>
      <c r="D45">
        <f>IF(COUNT(Resultados!D45,Resultados!M45,Resultados!V45,Resultados!AE45)&lt;=1, "", _xlfn.STDEV.S(ABS(Resultados!D45),ABS(Resultados!M45),ABS(Resultados!V45),ABS(Resultados!AE45))/SQRT(COUNT(Resultados!D45,Resultados!M45,Resultados!V45,Resultados!AE45)))</f>
        <v>0</v>
      </c>
      <c r="E45">
        <f>IF(COUNT(Resultados!E45,Resultados!N45,Resultados!W45,Resultados!AF45)&lt;=1, "", _xlfn.STDEV.S(ABS(Resultados!E45),ABS(Resultados!N45),ABS(Resultados!W45),ABS(Resultados!AF45))/SQRT(COUNT(Resultados!E45,Resultados!N45,Resultados!W45,Resultados!AF45)))</f>
        <v>0</v>
      </c>
      <c r="F45">
        <f>IF(COUNT(Resultados!F45,Resultados!O45,Resultados!X45,Resultados!AG45)&lt;=1, "", _xlfn.STDEV.S(ABS(Resultados!F45),ABS(Resultados!O45),ABS(Resultados!X45),ABS(Resultados!AG45))/SQRT(COUNT(Resultados!F45,Resultados!O45,Resultados!X45,Resultados!AG45)))</f>
        <v>0</v>
      </c>
      <c r="G45">
        <f>IF(COUNT(Resultados!G45,Resultados!P45,Resultados!Y45,Resultados!AH45)&lt;=1, "", _xlfn.STDEV.S(ABS(Resultados!G45),ABS(Resultados!P45),ABS(Resultados!Y45),ABS(Resultados!AH45))/SQRT(COUNT(Resultados!G45,Resultados!P45,Resultados!Y45,Resultados!AH45)))</f>
        <v>0</v>
      </c>
      <c r="H45">
        <f>IF(COUNT(Resultados!H45,Resultados!Q45,Resultados!Z45,Resultados!AI45)&lt;=1, "", _xlfn.STDEV.S(ABS(Resultados!H45),ABS(Resultados!Q45),ABS(Resultados!Z45),ABS(Resultados!AI45))/SQRT(COUNT(Resultados!H45,Resultados!Q45,Resultados!Z45,Resultados!AI45)))</f>
        <v>0</v>
      </c>
      <c r="I45">
        <f>IF(COUNT(Resultados!I45,Resultados!R45,Resultados!AA45,Resultados!AJ45)&lt;=1, "", _xlfn.STDEV.S(ABS(Resultados!I45),ABS(Resultados!R45),ABS(Resultados!AA45),ABS(Resultados!AJ45))/SQRT(COUNT(Resultados!I45,Resultados!R45,Resultados!AA45,Resultados!AJ45)))</f>
        <v>8.0104098937333731E-4</v>
      </c>
    </row>
    <row r="46" spans="1:9" x14ac:dyDescent="0.3">
      <c r="A46" t="str">
        <f>IF(COUNT(Resultados!A46,Resultados!J46,Resultados!S46,Resultados!AB46)&lt;=1, "", _xlfn.STDEV.S(ABS(Resultados!A46),ABS(Resultados!J46),ABS(Resultados!S46),ABS(Resultados!AB46))/SQRT(COUNT(Resultados!A46,Resultados!J46,Resultados!S46,Resultados!AB46)))</f>
        <v/>
      </c>
      <c r="B46" t="str">
        <f>IF(COUNT(Resultados!B46,Resultados!K46,Resultados!T46,Resultados!AC46)&lt;=1, "", _xlfn.STDEV.S(ABS(Resultados!B46),ABS(Resultados!K46),ABS(Resultados!T46),ABS(Resultados!AC46))/SQRT(COUNT(Resultados!B46,Resultados!K46,Resultados!T46,Resultados!AC46)))</f>
        <v/>
      </c>
      <c r="C46">
        <f>IF(COUNT(Resultados!C46,Resultados!L46,Resultados!U46,Resultados!AD46)&lt;=1, "", _xlfn.STDEV.S(ABS(Resultados!C46),ABS(Resultados!L46),ABS(Resultados!U46),ABS(Resultados!AD46))/SQRT(COUNT(Resultados!C46,Resultados!L46,Resultados!U46,Resultados!AD46)))</f>
        <v>0.25</v>
      </c>
      <c r="D46">
        <f>IF(COUNT(Resultados!D46,Resultados!M46,Resultados!V46,Resultados!AE46)&lt;=1, "", _xlfn.STDEV.S(ABS(Resultados!D46),ABS(Resultados!M46),ABS(Resultados!V46),ABS(Resultados!AE46))/SQRT(COUNT(Resultados!D46,Resultados!M46,Resultados!V46,Resultados!AE46)))</f>
        <v>0</v>
      </c>
      <c r="E46">
        <f>IF(COUNT(Resultados!E46,Resultados!N46,Resultados!W46,Resultados!AF46)&lt;=1, "", _xlfn.STDEV.S(ABS(Resultados!E46),ABS(Resultados!N46),ABS(Resultados!W46),ABS(Resultados!AF46))/SQRT(COUNT(Resultados!E46,Resultados!N46,Resultados!W46,Resultados!AF46)))</f>
        <v>0</v>
      </c>
      <c r="F46">
        <f>IF(COUNT(Resultados!F46,Resultados!O46,Resultados!X46,Resultados!AG46)&lt;=1, "", _xlfn.STDEV.S(ABS(Resultados!F46),ABS(Resultados!O46),ABS(Resultados!X46),ABS(Resultados!AG46))/SQRT(COUNT(Resultados!F46,Resultados!O46,Resultados!X46,Resultados!AG46)))</f>
        <v>0</v>
      </c>
      <c r="G46">
        <f>IF(COUNT(Resultados!G46,Resultados!P46,Resultados!Y46,Resultados!AH46)&lt;=1, "", _xlfn.STDEV.S(ABS(Resultados!G46),ABS(Resultados!P46),ABS(Resultados!Y46),ABS(Resultados!AH46))/SQRT(COUNT(Resultados!G46,Resultados!P46,Resultados!Y46,Resultados!AH46)))</f>
        <v>0</v>
      </c>
      <c r="H46">
        <f>IF(COUNT(Resultados!H46,Resultados!Q46,Resultados!Z46,Resultados!AI46)&lt;=1, "", _xlfn.STDEV.S(ABS(Resultados!H46),ABS(Resultados!Q46),ABS(Resultados!Z46),ABS(Resultados!AI46))/SQRT(COUNT(Resultados!H46,Resultados!Q46,Resultados!Z46,Resultados!AI46)))</f>
        <v>0</v>
      </c>
      <c r="I46">
        <f>IF(COUNT(Resultados!I46,Resultados!R46,Resultados!AA46,Resultados!AJ46)&lt;=1, "", _xlfn.STDEV.S(ABS(Resultados!I46),ABS(Resultados!R46),ABS(Resultados!AA46),ABS(Resultados!AJ46))/SQRT(COUNT(Resultados!I46,Resultados!R46,Resultados!AA46,Resultados!AJ46)))</f>
        <v>5.4924190177539503E-4</v>
      </c>
    </row>
    <row r="47" spans="1:9" x14ac:dyDescent="0.3">
      <c r="A47" t="str">
        <f>IF(COUNT(Resultados!A47,Resultados!J47,Resultados!S47,Resultados!AB47)&lt;=1, "", _xlfn.STDEV.S(ABS(Resultados!A47),ABS(Resultados!J47),ABS(Resultados!S47),ABS(Resultados!AB47))/SQRT(COUNT(Resultados!A47,Resultados!J47,Resultados!S47,Resultados!AB47)))</f>
        <v/>
      </c>
      <c r="B47" t="str">
        <f>IF(COUNT(Resultados!B47,Resultados!K47,Resultados!T47,Resultados!AC47)&lt;=1, "", _xlfn.STDEV.S(ABS(Resultados!B47),ABS(Resultados!K47),ABS(Resultados!T47),ABS(Resultados!AC47))/SQRT(COUNT(Resultados!B47,Resultados!K47,Resultados!T47,Resultados!AC47)))</f>
        <v/>
      </c>
      <c r="C47">
        <f>IF(COUNT(Resultados!C47,Resultados!L47,Resultados!U47,Resultados!AD47)&lt;=1, "", _xlfn.STDEV.S(ABS(Resultados!C47),ABS(Resultados!L47),ABS(Resultados!U47),ABS(Resultados!AD47))/SQRT(COUNT(Resultados!C47,Resultados!L47,Resultados!U47,Resultados!AD47)))</f>
        <v>0.25</v>
      </c>
      <c r="D47">
        <f>IF(COUNT(Resultados!D47,Resultados!M47,Resultados!V47,Resultados!AE47)&lt;=1, "", _xlfn.STDEV.S(ABS(Resultados!D47),ABS(Resultados!M47),ABS(Resultados!V47),ABS(Resultados!AE47))/SQRT(COUNT(Resultados!D47,Resultados!M47,Resultados!V47,Resultados!AE47)))</f>
        <v>0</v>
      </c>
      <c r="E47">
        <f>IF(COUNT(Resultados!E47,Resultados!N47,Resultados!W47,Resultados!AF47)&lt;=1, "", _xlfn.STDEV.S(ABS(Resultados!E47),ABS(Resultados!N47),ABS(Resultados!W47),ABS(Resultados!AF47))/SQRT(COUNT(Resultados!E47,Resultados!N47,Resultados!W47,Resultados!AF47)))</f>
        <v>0</v>
      </c>
      <c r="F47">
        <f>IF(COUNT(Resultados!F47,Resultados!O47,Resultados!X47,Resultados!AG47)&lt;=1, "", _xlfn.STDEV.S(ABS(Resultados!F47),ABS(Resultados!O47),ABS(Resultados!X47),ABS(Resultados!AG47))/SQRT(COUNT(Resultados!F47,Resultados!O47,Resultados!X47,Resultados!AG47)))</f>
        <v>0</v>
      </c>
      <c r="G47">
        <f>IF(COUNT(Resultados!G47,Resultados!P47,Resultados!Y47,Resultados!AH47)&lt;=1, "", _xlfn.STDEV.S(ABS(Resultados!G47),ABS(Resultados!P47),ABS(Resultados!Y47),ABS(Resultados!AH47))/SQRT(COUNT(Resultados!G47,Resultados!P47,Resultados!Y47,Resultados!AH47)))</f>
        <v>0</v>
      </c>
      <c r="H47">
        <f>IF(COUNT(Resultados!H47,Resultados!Q47,Resultados!Z47,Resultados!AI47)&lt;=1, "", _xlfn.STDEV.S(ABS(Resultados!H47),ABS(Resultados!Q47),ABS(Resultados!Z47),ABS(Resultados!AI47))/SQRT(COUNT(Resultados!H47,Resultados!Q47,Resultados!Z47,Resultados!AI47)))</f>
        <v>0</v>
      </c>
      <c r="I47">
        <f>IF(COUNT(Resultados!I47,Resultados!R47,Resultados!AA47,Resultados!AJ47)&lt;=1, "", _xlfn.STDEV.S(ABS(Resultados!I47),ABS(Resultados!R47),ABS(Resultados!AA47),ABS(Resultados!AJ47))/SQRT(COUNT(Resultados!I47,Resultados!R47,Resultados!AA47,Resultados!AJ47)))</f>
        <v>9.9667681154259363E-2</v>
      </c>
    </row>
    <row r="48" spans="1:9" x14ac:dyDescent="0.3">
      <c r="A48" t="str">
        <f>IF(COUNT(Resultados!A48,Resultados!J48,Resultados!S48,Resultados!AB48)&lt;=1, "", _xlfn.STDEV.S(ABS(Resultados!A48),ABS(Resultados!J48),ABS(Resultados!S48),ABS(Resultados!AB48))/SQRT(COUNT(Resultados!A48,Resultados!J48,Resultados!S48,Resultados!AB48)))</f>
        <v/>
      </c>
      <c r="B48" t="str">
        <f>IF(COUNT(Resultados!B48,Resultados!K48,Resultados!T48,Resultados!AC48)&lt;=1, "", _xlfn.STDEV.S(ABS(Resultados!B48),ABS(Resultados!K48),ABS(Resultados!T48),ABS(Resultados!AC48))/SQRT(COUNT(Resultados!B48,Resultados!K48,Resultados!T48,Resultados!AC48)))</f>
        <v/>
      </c>
      <c r="C48">
        <f>IF(COUNT(Resultados!C48,Resultados!L48,Resultados!U48,Resultados!AD48)&lt;=1, "", _xlfn.STDEV.S(ABS(Resultados!C48),ABS(Resultados!L48),ABS(Resultados!U48),ABS(Resultados!AD48))/SQRT(COUNT(Resultados!C48,Resultados!L48,Resultados!U48,Resultados!AD48)))</f>
        <v>0.25</v>
      </c>
      <c r="D48">
        <f>IF(COUNT(Resultados!D48,Resultados!M48,Resultados!V48,Resultados!AE48)&lt;=1, "", _xlfn.STDEV.S(ABS(Resultados!D48),ABS(Resultados!M48),ABS(Resultados!V48),ABS(Resultados!AE48))/SQRT(COUNT(Resultados!D48,Resultados!M48,Resultados!V48,Resultados!AE48)))</f>
        <v>1.946792233393178E-3</v>
      </c>
      <c r="E48">
        <f>IF(COUNT(Resultados!E48,Resultados!N48,Resultados!W48,Resultados!AF48)&lt;=1, "", _xlfn.STDEV.S(ABS(Resultados!E48),ABS(Resultados!N48),ABS(Resultados!W48),ABS(Resultados!AF48))/SQRT(COUNT(Resultados!E48,Resultados!N48,Resultados!W48,Resultados!AF48)))</f>
        <v>0</v>
      </c>
      <c r="F48">
        <f>IF(COUNT(Resultados!F48,Resultados!O48,Resultados!X48,Resultados!AG48)&lt;=1, "", _xlfn.STDEV.S(ABS(Resultados!F48),ABS(Resultados!O48),ABS(Resultados!X48),ABS(Resultados!AG48))/SQRT(COUNT(Resultados!F48,Resultados!O48,Resultados!X48,Resultados!AG48)))</f>
        <v>0</v>
      </c>
      <c r="G48">
        <f>IF(COUNT(Resultados!G48,Resultados!P48,Resultados!Y48,Resultados!AH48)&lt;=1, "", _xlfn.STDEV.S(ABS(Resultados!G48),ABS(Resultados!P48),ABS(Resultados!Y48),ABS(Resultados!AH48))/SQRT(COUNT(Resultados!G48,Resultados!P48,Resultados!Y48,Resultados!AH48)))</f>
        <v>0</v>
      </c>
      <c r="H48">
        <f>IF(COUNT(Resultados!H48,Resultados!Q48,Resultados!Z48,Resultados!AI48)&lt;=1, "", _xlfn.STDEV.S(ABS(Resultados!H48),ABS(Resultados!Q48),ABS(Resultados!Z48),ABS(Resultados!AI48))/SQRT(COUNT(Resultados!H48,Resultados!Q48,Resultados!Z48,Resultados!AI48)))</f>
        <v>0</v>
      </c>
      <c r="I48">
        <f>IF(COUNT(Resultados!I48,Resultados!R48,Resultados!AA48,Resultados!AJ48)&lt;=1, "", _xlfn.STDEV.S(ABS(Resultados!I48),ABS(Resultados!R48),ABS(Resultados!AA48),ABS(Resultados!AJ48))/SQRT(COUNT(Resultados!I48,Resultados!R48,Resultados!AA48,Resultados!AJ48)))</f>
        <v>9.9708436411699686E-2</v>
      </c>
    </row>
    <row r="49" spans="1:9" x14ac:dyDescent="0.3">
      <c r="A49" t="str">
        <f>IF(COUNT(Resultados!A49,Resultados!J49,Resultados!S49,Resultados!AB49)&lt;=1, "", _xlfn.STDEV.S(ABS(Resultados!A49),ABS(Resultados!J49),ABS(Resultados!S49),ABS(Resultados!AB49))/SQRT(COUNT(Resultados!A49,Resultados!J49,Resultados!S49,Resultados!AB49)))</f>
        <v/>
      </c>
      <c r="B49" t="str">
        <f>IF(COUNT(Resultados!B49,Resultados!K49,Resultados!T49,Resultados!AC49)&lt;=1, "", _xlfn.STDEV.S(ABS(Resultados!B49),ABS(Resultados!K49),ABS(Resultados!T49),ABS(Resultados!AC49))/SQRT(COUNT(Resultados!B49,Resultados!K49,Resultados!T49,Resultados!AC49)))</f>
        <v/>
      </c>
      <c r="C49">
        <f>IF(COUNT(Resultados!C49,Resultados!L49,Resultados!U49,Resultados!AD49)&lt;=1, "", _xlfn.STDEV.S(ABS(Resultados!C49),ABS(Resultados!L49),ABS(Resultados!U49),ABS(Resultados!AD49))/SQRT(COUNT(Resultados!C49,Resultados!L49,Resultados!U49,Resultados!AD49)))</f>
        <v>0.25</v>
      </c>
      <c r="D49">
        <f>IF(COUNT(Resultados!D49,Resultados!M49,Resultados!V49,Resultados!AE49)&lt;=1, "", _xlfn.STDEV.S(ABS(Resultados!D49),ABS(Resultados!M49),ABS(Resultados!V49),ABS(Resultados!AE49))/SQRT(COUNT(Resultados!D49,Resultados!M49,Resultados!V49,Resultados!AE49)))</f>
        <v>1.08809849431627E-3</v>
      </c>
      <c r="E49">
        <f>IF(COUNT(Resultados!E49,Resultados!N49,Resultados!W49,Resultados!AF49)&lt;=1, "", _xlfn.STDEV.S(ABS(Resultados!E49),ABS(Resultados!N49),ABS(Resultados!W49),ABS(Resultados!AF49))/SQRT(COUNT(Resultados!E49,Resultados!N49,Resultados!W49,Resultados!AF49)))</f>
        <v>0</v>
      </c>
      <c r="F49">
        <f>IF(COUNT(Resultados!F49,Resultados!O49,Resultados!X49,Resultados!AG49)&lt;=1, "", _xlfn.STDEV.S(ABS(Resultados!F49),ABS(Resultados!O49),ABS(Resultados!X49),ABS(Resultados!AG49))/SQRT(COUNT(Resultados!F49,Resultados!O49,Resultados!X49,Resultados!AG49)))</f>
        <v>0</v>
      </c>
      <c r="G49">
        <f>IF(COUNT(Resultados!G49,Resultados!P49,Resultados!Y49,Resultados!AH49)&lt;=1, "", _xlfn.STDEV.S(ABS(Resultados!G49),ABS(Resultados!P49),ABS(Resultados!Y49),ABS(Resultados!AH49))/SQRT(COUNT(Resultados!G49,Resultados!P49,Resultados!Y49,Resultados!AH49)))</f>
        <v>0</v>
      </c>
      <c r="H49">
        <f>IF(COUNT(Resultados!H49,Resultados!Q49,Resultados!Z49,Resultados!AI49)&lt;=1, "", _xlfn.STDEV.S(ABS(Resultados!H49),ABS(Resultados!Q49),ABS(Resultados!Z49),ABS(Resultados!AI49))/SQRT(COUNT(Resultados!H49,Resultados!Q49,Resultados!Z49,Resultados!AI49)))</f>
        <v>0</v>
      </c>
      <c r="I49">
        <f>IF(COUNT(Resultados!I49,Resultados!R49,Resultados!AA49,Resultados!AJ49)&lt;=1, "", _xlfn.STDEV.S(ABS(Resultados!I49),ABS(Resultados!R49),ABS(Resultados!AA49),ABS(Resultados!AJ49))/SQRT(COUNT(Resultados!I49,Resultados!R49,Resultados!AA49,Resultados!AJ49)))</f>
        <v>9.951943277571669E-2</v>
      </c>
    </row>
    <row r="50" spans="1:9" x14ac:dyDescent="0.3">
      <c r="A50" t="str">
        <f>IF(COUNT(Resultados!A50,Resultados!J50,Resultados!S50,Resultados!AB50)&lt;=1, "", _xlfn.STDEV.S(ABS(Resultados!A50),ABS(Resultados!J50),ABS(Resultados!S50),ABS(Resultados!AB50))/SQRT(COUNT(Resultados!A50,Resultados!J50,Resultados!S50,Resultados!AB50)))</f>
        <v/>
      </c>
      <c r="B50" t="str">
        <f>IF(COUNT(Resultados!B50,Resultados!K50,Resultados!T50,Resultados!AC50)&lt;=1, "", _xlfn.STDEV.S(ABS(Resultados!B50),ABS(Resultados!K50),ABS(Resultados!T50),ABS(Resultados!AC50))/SQRT(COUNT(Resultados!B50,Resultados!K50,Resultados!T50,Resultados!AC50)))</f>
        <v/>
      </c>
      <c r="C50">
        <f>IF(COUNT(Resultados!C50,Resultados!L50,Resultados!U50,Resultados!AD50)&lt;=1, "", _xlfn.STDEV.S(ABS(Resultados!C50),ABS(Resultados!L50),ABS(Resultados!U50),ABS(Resultados!AD50))/SQRT(COUNT(Resultados!C50,Resultados!L50,Resultados!U50,Resultados!AD50)))</f>
        <v>0.25</v>
      </c>
      <c r="D50">
        <f>IF(COUNT(Resultados!D50,Resultados!M50,Resultados!V50,Resultados!AE50)&lt;=1, "", _xlfn.STDEV.S(ABS(Resultados!D50),ABS(Resultados!M50),ABS(Resultados!V50),ABS(Resultados!AE50))/SQRT(COUNT(Resultados!D50,Resultados!M50,Resultados!V50,Resultados!AE50)))</f>
        <v>6.7623344095561115E-4</v>
      </c>
      <c r="E50">
        <f>IF(COUNT(Resultados!E50,Resultados!N50,Resultados!W50,Resultados!AF50)&lt;=1, "", _xlfn.STDEV.S(ABS(Resultados!E50),ABS(Resultados!N50),ABS(Resultados!W50),ABS(Resultados!AF50))/SQRT(COUNT(Resultados!E50,Resultados!N50,Resultados!W50,Resultados!AF50)))</f>
        <v>0</v>
      </c>
      <c r="F50">
        <f>IF(COUNT(Resultados!F50,Resultados!O50,Resultados!X50,Resultados!AG50)&lt;=1, "", _xlfn.STDEV.S(ABS(Resultados!F50),ABS(Resultados!O50),ABS(Resultados!X50),ABS(Resultados!AG50))/SQRT(COUNT(Resultados!F50,Resultados!O50,Resultados!X50,Resultados!AG50)))</f>
        <v>0</v>
      </c>
      <c r="G50">
        <f>IF(COUNT(Resultados!G50,Resultados!P50,Resultados!Y50,Resultados!AH50)&lt;=1, "", _xlfn.STDEV.S(ABS(Resultados!G50),ABS(Resultados!P50),ABS(Resultados!Y50),ABS(Resultados!AH50))/SQRT(COUNT(Resultados!G50,Resultados!P50,Resultados!Y50,Resultados!AH50)))</f>
        <v>0</v>
      </c>
      <c r="H50">
        <f>IF(COUNT(Resultados!H50,Resultados!Q50,Resultados!Z50,Resultados!AI50)&lt;=1, "", _xlfn.STDEV.S(ABS(Resultados!H50),ABS(Resultados!Q50),ABS(Resultados!Z50),ABS(Resultados!AI50))/SQRT(COUNT(Resultados!H50,Resultados!Q50,Resultados!Z50,Resultados!AI50)))</f>
        <v>0</v>
      </c>
      <c r="I50">
        <f>IF(COUNT(Resultados!I50,Resultados!R50,Resultados!AA50,Resultados!AJ50)&lt;=1, "", _xlfn.STDEV.S(ABS(Resultados!I50),ABS(Resultados!R50),ABS(Resultados!AA50),ABS(Resultados!AJ50))/SQRT(COUNT(Resultados!I50,Resultados!R50,Resultados!AA50,Resultados!AJ50)))</f>
        <v>9.9501867654155474E-2</v>
      </c>
    </row>
    <row r="51" spans="1:9" x14ac:dyDescent="0.3">
      <c r="A51" t="str">
        <f>IF(COUNT(Resultados!A51,Resultados!J51,Resultados!S51,Resultados!AB51)&lt;=1, "", _xlfn.STDEV.S(ABS(Resultados!A51),ABS(Resultados!J51),ABS(Resultados!S51),ABS(Resultados!AB51))/SQRT(COUNT(Resultados!A51,Resultados!J51,Resultados!S51,Resultados!AB51)))</f>
        <v/>
      </c>
      <c r="B51" t="str">
        <f>IF(COUNT(Resultados!B51,Resultados!K51,Resultados!T51,Resultados!AC51)&lt;=1, "", _xlfn.STDEV.S(ABS(Resultados!B51),ABS(Resultados!K51),ABS(Resultados!T51),ABS(Resultados!AC51))/SQRT(COUNT(Resultados!B51,Resultados!K51,Resultados!T51,Resultados!AC51)))</f>
        <v/>
      </c>
      <c r="C51">
        <f>IF(COUNT(Resultados!C51,Resultados!L51,Resultados!U51,Resultados!AD51)&lt;=1, "", _xlfn.STDEV.S(ABS(Resultados!C51),ABS(Resultados!L51),ABS(Resultados!U51),ABS(Resultados!AD51))/SQRT(COUNT(Resultados!C51,Resultados!L51,Resultados!U51,Resultados!AD51)))</f>
        <v>0.25</v>
      </c>
      <c r="D51">
        <f>IF(COUNT(Resultados!D51,Resultados!M51,Resultados!V51,Resultados!AE51)&lt;=1, "", _xlfn.STDEV.S(ABS(Resultados!D51),ABS(Resultados!M51),ABS(Resultados!V51),ABS(Resultados!AE51))/SQRT(COUNT(Resultados!D51,Resultados!M51,Resultados!V51,Resultados!AE51)))</f>
        <v>6.7391888730519137E-4</v>
      </c>
      <c r="E51">
        <f>IF(COUNT(Resultados!E51,Resultados!N51,Resultados!W51,Resultados!AF51)&lt;=1, "", _xlfn.STDEV.S(ABS(Resultados!E51),ABS(Resultados!N51),ABS(Resultados!W51),ABS(Resultados!AF51))/SQRT(COUNT(Resultados!E51,Resultados!N51,Resultados!W51,Resultados!AF51)))</f>
        <v>0</v>
      </c>
      <c r="F51">
        <f>IF(COUNT(Resultados!F51,Resultados!O51,Resultados!X51,Resultados!AG51)&lt;=1, "", _xlfn.STDEV.S(ABS(Resultados!F51),ABS(Resultados!O51),ABS(Resultados!X51),ABS(Resultados!AG51))/SQRT(COUNT(Resultados!F51,Resultados!O51,Resultados!X51,Resultados!AG51)))</f>
        <v>0</v>
      </c>
      <c r="G51">
        <f>IF(COUNT(Resultados!G51,Resultados!P51,Resultados!Y51,Resultados!AH51)&lt;=1, "", _xlfn.STDEV.S(ABS(Resultados!G51),ABS(Resultados!P51),ABS(Resultados!Y51),ABS(Resultados!AH51))/SQRT(COUNT(Resultados!G51,Resultados!P51,Resultados!Y51,Resultados!AH51)))</f>
        <v>0</v>
      </c>
      <c r="H51">
        <f>IF(COUNT(Resultados!H51,Resultados!Q51,Resultados!Z51,Resultados!AI51)&lt;=1, "", _xlfn.STDEV.S(ABS(Resultados!H51),ABS(Resultados!Q51),ABS(Resultados!Z51),ABS(Resultados!AI51))/SQRT(COUNT(Resultados!H51,Resultados!Q51,Resultados!Z51,Resultados!AI51)))</f>
        <v>0</v>
      </c>
      <c r="I51">
        <f>IF(COUNT(Resultados!I51,Resultados!R51,Resultados!AA51,Resultados!AJ51)&lt;=1, "", _xlfn.STDEV.S(ABS(Resultados!I51),ABS(Resultados!R51),ABS(Resultados!AA51),ABS(Resultados!AJ51))/SQRT(COUNT(Resultados!I51,Resultados!R51,Resultados!AA51,Resultados!AJ51)))</f>
        <v>9.9525175835052368E-2</v>
      </c>
    </row>
    <row r="52" spans="1:9" x14ac:dyDescent="0.3">
      <c r="A52" t="str">
        <f>IF(COUNT(Resultados!A52,Resultados!J52,Resultados!S52,Resultados!AB52)&lt;=1, "", _xlfn.STDEV.S(ABS(Resultados!A52),ABS(Resultados!J52),ABS(Resultados!S52),ABS(Resultados!AB52))/SQRT(COUNT(Resultados!A52,Resultados!J52,Resultados!S52,Resultados!AB52)))</f>
        <v/>
      </c>
      <c r="B52" t="str">
        <f>IF(COUNT(Resultados!B52,Resultados!K52,Resultados!T52,Resultados!AC52)&lt;=1, "", _xlfn.STDEV.S(ABS(Resultados!B52),ABS(Resultados!K52),ABS(Resultados!T52),ABS(Resultados!AC52))/SQRT(COUNT(Resultados!B52,Resultados!K52,Resultados!T52,Resultados!AC52)))</f>
        <v/>
      </c>
      <c r="C52">
        <f>IF(COUNT(Resultados!C52,Resultados!L52,Resultados!U52,Resultados!AD52)&lt;=1, "", _xlfn.STDEV.S(ABS(Resultados!C52),ABS(Resultados!L52),ABS(Resultados!U52),ABS(Resultados!AD52))/SQRT(COUNT(Resultados!C52,Resultados!L52,Resultados!U52,Resultados!AD52)))</f>
        <v>0.25</v>
      </c>
      <c r="D52">
        <f>IF(COUNT(Resultados!D52,Resultados!M52,Resultados!V52,Resultados!AE52)&lt;=1, "", _xlfn.STDEV.S(ABS(Resultados!D52),ABS(Resultados!M52),ABS(Resultados!V52),ABS(Resultados!AE52))/SQRT(COUNT(Resultados!D52,Resultados!M52,Resultados!V52,Resultados!AE52)))</f>
        <v>2.7838821814150043E-4</v>
      </c>
      <c r="E52">
        <f>IF(COUNT(Resultados!E52,Resultados!N52,Resultados!W52,Resultados!AF52)&lt;=1, "", _xlfn.STDEV.S(ABS(Resultados!E52),ABS(Resultados!N52),ABS(Resultados!W52),ABS(Resultados!AF52))/SQRT(COUNT(Resultados!E52,Resultados!N52,Resultados!W52,Resultados!AF52)))</f>
        <v>0</v>
      </c>
      <c r="F52">
        <f>IF(COUNT(Resultados!F52,Resultados!O52,Resultados!X52,Resultados!AG52)&lt;=1, "", _xlfn.STDEV.S(ABS(Resultados!F52),ABS(Resultados!O52),ABS(Resultados!X52),ABS(Resultados!AG52))/SQRT(COUNT(Resultados!F52,Resultados!O52,Resultados!X52,Resultados!AG52)))</f>
        <v>0</v>
      </c>
      <c r="G52">
        <f>IF(COUNT(Resultados!G52,Resultados!P52,Resultados!Y52,Resultados!AH52)&lt;=1, "", _xlfn.STDEV.S(ABS(Resultados!G52),ABS(Resultados!P52),ABS(Resultados!Y52),ABS(Resultados!AH52))/SQRT(COUNT(Resultados!G52,Resultados!P52,Resultados!Y52,Resultados!AH52)))</f>
        <v>0</v>
      </c>
      <c r="H52">
        <f>IF(COUNT(Resultados!H52,Resultados!Q52,Resultados!Z52,Resultados!AI52)&lt;=1, "", _xlfn.STDEV.S(ABS(Resultados!H52),ABS(Resultados!Q52),ABS(Resultados!Z52),ABS(Resultados!AI52))/SQRT(COUNT(Resultados!H52,Resultados!Q52,Resultados!Z52,Resultados!AI52)))</f>
        <v>0</v>
      </c>
      <c r="I52">
        <f>IF(COUNT(Resultados!I52,Resultados!R52,Resultados!AA52,Resultados!AJ52)&lt;=1, "", _xlfn.STDEV.S(ABS(Resultados!I52),ABS(Resultados!R52),ABS(Resultados!AA52),ABS(Resultados!AJ52))/SQRT(COUNT(Resultados!I52,Resultados!R52,Resultados!AA52,Resultados!AJ52)))</f>
        <v>9.996283788654392E-2</v>
      </c>
    </row>
    <row r="53" spans="1:9" x14ac:dyDescent="0.3">
      <c r="A53" t="str">
        <f>IF(COUNT(Resultados!A53,Resultados!J53,Resultados!S53,Resultados!AB53)&lt;=1, "", _xlfn.STDEV.S(ABS(Resultados!A53),ABS(Resultados!J53),ABS(Resultados!S53),ABS(Resultados!AB53))/SQRT(COUNT(Resultados!A53,Resultados!J53,Resultados!S53,Resultados!AB53)))</f>
        <v/>
      </c>
      <c r="B53" t="str">
        <f>IF(COUNT(Resultados!B53,Resultados!K53,Resultados!T53,Resultados!AC53)&lt;=1, "", _xlfn.STDEV.S(ABS(Resultados!B53),ABS(Resultados!K53),ABS(Resultados!T53),ABS(Resultados!AC53))/SQRT(COUNT(Resultados!B53,Resultados!K53,Resultados!T53,Resultados!AC53)))</f>
        <v/>
      </c>
      <c r="C53">
        <f>IF(COUNT(Resultados!C53,Resultados!L53,Resultados!U53,Resultados!AD53)&lt;=1, "", _xlfn.STDEV.S(ABS(Resultados!C53),ABS(Resultados!L53),ABS(Resultados!U53),ABS(Resultados!AD53))/SQRT(COUNT(Resultados!C53,Resultados!L53,Resultados!U53,Resultados!AD53)))</f>
        <v>0.25</v>
      </c>
      <c r="D53">
        <f>IF(COUNT(Resultados!D53,Resultados!M53,Resultados!V53,Resultados!AE53)&lt;=1, "", _xlfn.STDEV.S(ABS(Resultados!D53),ABS(Resultados!M53),ABS(Resultados!V53),ABS(Resultados!AE53))/SQRT(COUNT(Resultados!D53,Resultados!M53,Resultados!V53,Resultados!AE53)))</f>
        <v>1.6832508230603361E-4</v>
      </c>
      <c r="E53">
        <f>IF(COUNT(Resultados!E53,Resultados!N53,Resultados!W53,Resultados!AF53)&lt;=1, "", _xlfn.STDEV.S(ABS(Resultados!E53),ABS(Resultados!N53),ABS(Resultados!W53),ABS(Resultados!AF53))/SQRT(COUNT(Resultados!E53,Resultados!N53,Resultados!W53,Resultados!AF53)))</f>
        <v>0</v>
      </c>
      <c r="F53">
        <f>IF(COUNT(Resultados!F53,Resultados!O53,Resultados!X53,Resultados!AG53)&lt;=1, "", _xlfn.STDEV.S(ABS(Resultados!F53),ABS(Resultados!O53),ABS(Resultados!X53),ABS(Resultados!AG53))/SQRT(COUNT(Resultados!F53,Resultados!O53,Resultados!X53,Resultados!AG53)))</f>
        <v>0</v>
      </c>
      <c r="G53">
        <f>IF(COUNT(Resultados!G53,Resultados!P53,Resultados!Y53,Resultados!AH53)&lt;=1, "", _xlfn.STDEV.S(ABS(Resultados!G53),ABS(Resultados!P53),ABS(Resultados!Y53),ABS(Resultados!AH53))/SQRT(COUNT(Resultados!G53,Resultados!P53,Resultados!Y53,Resultados!AH53)))</f>
        <v>0</v>
      </c>
      <c r="H53">
        <f>IF(COUNT(Resultados!H53,Resultados!Q53,Resultados!Z53,Resultados!AI53)&lt;=1, "", _xlfn.STDEV.S(ABS(Resultados!H53),ABS(Resultados!Q53),ABS(Resultados!Z53),ABS(Resultados!AI53))/SQRT(COUNT(Resultados!H53,Resultados!Q53,Resultados!Z53,Resultados!AI53)))</f>
        <v>0</v>
      </c>
      <c r="I53">
        <f>IF(COUNT(Resultados!I53,Resultados!R53,Resultados!AA53,Resultados!AJ53)&lt;=1, "", _xlfn.STDEV.S(ABS(Resultados!I53),ABS(Resultados!R53),ABS(Resultados!AA53),ABS(Resultados!AJ53))/SQRT(COUNT(Resultados!I53,Resultados!R53,Resultados!AA53,Resultados!AJ53)))</f>
        <v>9.934550295978227E-2</v>
      </c>
    </row>
    <row r="54" spans="1:9" x14ac:dyDescent="0.3">
      <c r="A54" t="str">
        <f>IF(COUNT(Resultados!A54,Resultados!J54,Resultados!S54,Resultados!AB54)&lt;=1, "", _xlfn.STDEV.S(ABS(Resultados!A54),ABS(Resultados!J54),ABS(Resultados!S54),ABS(Resultados!AB54))/SQRT(COUNT(Resultados!A54,Resultados!J54,Resultados!S54,Resultados!AB54)))</f>
        <v/>
      </c>
      <c r="B54" t="str">
        <f>IF(COUNT(Resultados!B54,Resultados!K54,Resultados!T54,Resultados!AC54)&lt;=1, "", _xlfn.STDEV.S(ABS(Resultados!B54),ABS(Resultados!K54),ABS(Resultados!T54),ABS(Resultados!AC54))/SQRT(COUNT(Resultados!B54,Resultados!K54,Resultados!T54,Resultados!AC54)))</f>
        <v/>
      </c>
      <c r="C54">
        <f>IF(COUNT(Resultados!C54,Resultados!L54,Resultados!U54,Resultados!AD54)&lt;=1, "", _xlfn.STDEV.S(ABS(Resultados!C54),ABS(Resultados!L54),ABS(Resultados!U54),ABS(Resultados!AD54))/SQRT(COUNT(Resultados!C54,Resultados!L54,Resultados!U54,Resultados!AD54)))</f>
        <v>0.25</v>
      </c>
      <c r="D54">
        <f>IF(COUNT(Resultados!D54,Resultados!M54,Resultados!V54,Resultados!AE54)&lt;=1, "", _xlfn.STDEV.S(ABS(Resultados!D54),ABS(Resultados!M54),ABS(Resultados!V54),ABS(Resultados!AE54))/SQRT(COUNT(Resultados!D54,Resultados!M54,Resultados!V54,Resultados!AE54)))</f>
        <v>1.6832508230603361E-4</v>
      </c>
      <c r="E54">
        <f>IF(COUNT(Resultados!E54,Resultados!N54,Resultados!W54,Resultados!AF54)&lt;=1, "", _xlfn.STDEV.S(ABS(Resultados!E54),ABS(Resultados!N54),ABS(Resultados!W54),ABS(Resultados!AF54))/SQRT(COUNT(Resultados!E54,Resultados!N54,Resultados!W54,Resultados!AF54)))</f>
        <v>0</v>
      </c>
      <c r="F54">
        <f>IF(COUNT(Resultados!F54,Resultados!O54,Resultados!X54,Resultados!AG54)&lt;=1, "", _xlfn.STDEV.S(ABS(Resultados!F54),ABS(Resultados!O54),ABS(Resultados!X54),ABS(Resultados!AG54))/SQRT(COUNT(Resultados!F54,Resultados!O54,Resultados!X54,Resultados!AG54)))</f>
        <v>0</v>
      </c>
      <c r="G54">
        <f>IF(COUNT(Resultados!G54,Resultados!P54,Resultados!Y54,Resultados!AH54)&lt;=1, "", _xlfn.STDEV.S(ABS(Resultados!G54),ABS(Resultados!P54),ABS(Resultados!Y54),ABS(Resultados!AH54))/SQRT(COUNT(Resultados!G54,Resultados!P54,Resultados!Y54,Resultados!AH54)))</f>
        <v>0</v>
      </c>
      <c r="H54">
        <f>IF(COUNT(Resultados!H54,Resultados!Q54,Resultados!Z54,Resultados!AI54)&lt;=1, "", _xlfn.STDEV.S(ABS(Resultados!H54),ABS(Resultados!Q54),ABS(Resultados!Z54),ABS(Resultados!AI54))/SQRT(COUNT(Resultados!H54,Resultados!Q54,Resultados!Z54,Resultados!AI54)))</f>
        <v>0</v>
      </c>
      <c r="I54">
        <f>IF(COUNT(Resultados!I54,Resultados!R54,Resultados!AA54,Resultados!AJ54)&lt;=1, "", _xlfn.STDEV.S(ABS(Resultados!I54),ABS(Resultados!R54),ABS(Resultados!AA54),ABS(Resultados!AJ54))/SQRT(COUNT(Resultados!I54,Resultados!R54,Resultados!AA54,Resultados!AJ54)))</f>
        <v>0.10035276528327106</v>
      </c>
    </row>
    <row r="55" spans="1:9" x14ac:dyDescent="0.3">
      <c r="A55" t="str">
        <f>IF(COUNT(Resultados!A55,Resultados!J55,Resultados!S55,Resultados!AB55)&lt;=1, "", _xlfn.STDEV.S(ABS(Resultados!A55),ABS(Resultados!J55),ABS(Resultados!S55),ABS(Resultados!AB55))/SQRT(COUNT(Resultados!A55,Resultados!J55,Resultados!S55,Resultados!AB55)))</f>
        <v/>
      </c>
      <c r="B55" t="str">
        <f>IF(COUNT(Resultados!B55,Resultados!K55,Resultados!T55,Resultados!AC55)&lt;=1, "", _xlfn.STDEV.S(ABS(Resultados!B55),ABS(Resultados!K55),ABS(Resultados!T55),ABS(Resultados!AC55))/SQRT(COUNT(Resultados!B55,Resultados!K55,Resultados!T55,Resultados!AC55)))</f>
        <v/>
      </c>
      <c r="C55">
        <f>IF(COUNT(Resultados!C55,Resultados!L55,Resultados!U55,Resultados!AD55)&lt;=1, "", _xlfn.STDEV.S(ABS(Resultados!C55),ABS(Resultados!L55),ABS(Resultados!U55),ABS(Resultados!AD55))/SQRT(COUNT(Resultados!C55,Resultados!L55,Resultados!U55,Resultados!AD55)))</f>
        <v>0.25</v>
      </c>
      <c r="D55">
        <f>IF(COUNT(Resultados!D55,Resultados!M55,Resultados!V55,Resultados!AE55)&lt;=1, "", _xlfn.STDEV.S(ABS(Resultados!D55),ABS(Resultados!M55),ABS(Resultados!V55),ABS(Resultados!AE55))/SQRT(COUNT(Resultados!D55,Resultados!M55,Resultados!V55,Resultados!AE55)))</f>
        <v>1.6832508230603361E-4</v>
      </c>
      <c r="E55">
        <f>IF(COUNT(Resultados!E55,Resultados!N55,Resultados!W55,Resultados!AF55)&lt;=1, "", _xlfn.STDEV.S(ABS(Resultados!E55),ABS(Resultados!N55),ABS(Resultados!W55),ABS(Resultados!AF55))/SQRT(COUNT(Resultados!E55,Resultados!N55,Resultados!W55,Resultados!AF55)))</f>
        <v>1.0136768749072091</v>
      </c>
      <c r="F55">
        <f>IF(COUNT(Resultados!F55,Resultados!O55,Resultados!X55,Resultados!AG55)&lt;=1, "", _xlfn.STDEV.S(ABS(Resultados!F55),ABS(Resultados!O55),ABS(Resultados!X55),ABS(Resultados!AG55))/SQRT(COUNT(Resultados!F55,Resultados!O55,Resultados!X55,Resultados!AG55)))</f>
        <v>94.474684741352007</v>
      </c>
      <c r="G55">
        <f>IF(COUNT(Resultados!G55,Resultados!P55,Resultados!Y55,Resultados!AH55)&lt;=1, "", _xlfn.STDEV.S(ABS(Resultados!G55),ABS(Resultados!P55),ABS(Resultados!Y55),ABS(Resultados!AH55))/SQRT(COUNT(Resultados!G55,Resultados!P55,Resultados!Y55,Resultados!AH55)))</f>
        <v>0</v>
      </c>
      <c r="H55">
        <f>IF(COUNT(Resultados!H55,Resultados!Q55,Resultados!Z55,Resultados!AI55)&lt;=1, "", _xlfn.STDEV.S(ABS(Resultados!H55),ABS(Resultados!Q55),ABS(Resultados!Z55),ABS(Resultados!AI55))/SQRT(COUNT(Resultados!H55,Resultados!Q55,Resultados!Z55,Resultados!AI55)))</f>
        <v>1.575E-2</v>
      </c>
      <c r="I55">
        <f>IF(COUNT(Resultados!I55,Resultados!R55,Resultados!AA55,Resultados!AJ55)&lt;=1, "", _xlfn.STDEV.S(ABS(Resultados!I55),ABS(Resultados!R55),ABS(Resultados!AA55),ABS(Resultados!AJ55))/SQRT(COUNT(Resultados!I55,Resultados!R55,Resultados!AA55,Resultados!AJ55)))</f>
        <v>9.9284527999073752E-2</v>
      </c>
    </row>
    <row r="56" spans="1:9" x14ac:dyDescent="0.3">
      <c r="A56" t="str">
        <f>IF(COUNT(Resultados!A56,Resultados!J56,Resultados!S56,Resultados!AB56)&lt;=1, "", _xlfn.STDEV.S(ABS(Resultados!A56),ABS(Resultados!J56),ABS(Resultados!S56),ABS(Resultados!AB56))/SQRT(COUNT(Resultados!A56,Resultados!J56,Resultados!S56,Resultados!AB56)))</f>
        <v/>
      </c>
      <c r="B56" t="str">
        <f>IF(COUNT(Resultados!B56,Resultados!K56,Resultados!T56,Resultados!AC56)&lt;=1, "", _xlfn.STDEV.S(ABS(Resultados!B56),ABS(Resultados!K56),ABS(Resultados!T56),ABS(Resultados!AC56))/SQRT(COUNT(Resultados!B56,Resultados!K56,Resultados!T56,Resultados!AC56)))</f>
        <v/>
      </c>
      <c r="C56">
        <f>IF(COUNT(Resultados!C56,Resultados!L56,Resultados!U56,Resultados!AD56)&lt;=1, "", _xlfn.STDEV.S(ABS(Resultados!C56),ABS(Resultados!L56),ABS(Resultados!U56),ABS(Resultados!AD56))/SQRT(COUNT(Resultados!C56,Resultados!L56,Resultados!U56,Resultados!AD56)))</f>
        <v>0.25</v>
      </c>
      <c r="D56">
        <f>IF(COUNT(Resultados!D56,Resultados!M56,Resultados!V56,Resultados!AE56)&lt;=1, "", _xlfn.STDEV.S(ABS(Resultados!D56),ABS(Resultados!M56),ABS(Resultados!V56),ABS(Resultados!AE56))/SQRT(COUNT(Resultados!D56,Resultados!M56,Resultados!V56,Resultados!AE56)))</f>
        <v>1.7114199757316531E-3</v>
      </c>
      <c r="E56">
        <f>IF(COUNT(Resultados!E56,Resultados!N56,Resultados!W56,Resultados!AF56)&lt;=1, "", _xlfn.STDEV.S(ABS(Resultados!E56),ABS(Resultados!N56),ABS(Resultados!W56),ABS(Resultados!AF56))/SQRT(COUNT(Resultados!E56,Resultados!N56,Resultados!W56,Resultados!AF56)))</f>
        <v>1.0136768749072091</v>
      </c>
      <c r="F56">
        <f>IF(COUNT(Resultados!F56,Resultados!O56,Resultados!X56,Resultados!AG56)&lt;=1, "", _xlfn.STDEV.S(ABS(Resultados!F56),ABS(Resultados!O56),ABS(Resultados!X56),ABS(Resultados!AG56))/SQRT(COUNT(Resultados!F56,Resultados!O56,Resultados!X56,Resultados!AG56)))</f>
        <v>94.474684741352007</v>
      </c>
      <c r="G56">
        <f>IF(COUNT(Resultados!G56,Resultados!P56,Resultados!Y56,Resultados!AH56)&lt;=1, "", _xlfn.STDEV.S(ABS(Resultados!G56),ABS(Resultados!P56),ABS(Resultados!Y56),ABS(Resultados!AH56))/SQRT(COUNT(Resultados!G56,Resultados!P56,Resultados!Y56,Resultados!AH56)))</f>
        <v>0</v>
      </c>
      <c r="H56">
        <f>IF(COUNT(Resultados!H56,Resultados!Q56,Resultados!Z56,Resultados!AI56)&lt;=1, "", _xlfn.STDEV.S(ABS(Resultados!H56),ABS(Resultados!Q56),ABS(Resultados!Z56),ABS(Resultados!AI56))/SQRT(COUNT(Resultados!H56,Resultados!Q56,Resultados!Z56,Resultados!AI56)))</f>
        <v>1.575E-2</v>
      </c>
      <c r="I56">
        <f>IF(COUNT(Resultados!I56,Resultados!R56,Resultados!AA56,Resultados!AJ56)&lt;=1, "", _xlfn.STDEV.S(ABS(Resultados!I56),ABS(Resultados!R56),ABS(Resultados!AA56),ABS(Resultados!AJ56))/SQRT(COUNT(Resultados!I56,Resultados!R56,Resultados!AA56,Resultados!AJ56)))</f>
        <v>9.9441870582760439E-2</v>
      </c>
    </row>
    <row r="57" spans="1:9" x14ac:dyDescent="0.3">
      <c r="A57" t="str">
        <f>IF(COUNT(Resultados!A57,Resultados!J57,Resultados!S57,Resultados!AB57)&lt;=1, "", _xlfn.STDEV.S(ABS(Resultados!A57),ABS(Resultados!J57),ABS(Resultados!S57),ABS(Resultados!AB57))/SQRT(COUNT(Resultados!A57,Resultados!J57,Resultados!S57,Resultados!AB57)))</f>
        <v/>
      </c>
      <c r="B57" t="str">
        <f>IF(COUNT(Resultados!B57,Resultados!K57,Resultados!T57,Resultados!AC57)&lt;=1, "", _xlfn.STDEV.S(ABS(Resultados!B57),ABS(Resultados!K57),ABS(Resultados!T57),ABS(Resultados!AC57))/SQRT(COUNT(Resultados!B57,Resultados!K57,Resultados!T57,Resultados!AC57)))</f>
        <v/>
      </c>
      <c r="C57">
        <f>IF(COUNT(Resultados!C57,Resultados!L57,Resultados!U57,Resultados!AD57)&lt;=1, "", _xlfn.STDEV.S(ABS(Resultados!C57),ABS(Resultados!L57),ABS(Resultados!U57),ABS(Resultados!AD57))/SQRT(COUNT(Resultados!C57,Resultados!L57,Resultados!U57,Resultados!AD57)))</f>
        <v>0.25</v>
      </c>
      <c r="D57">
        <f>IF(COUNT(Resultados!D57,Resultados!M57,Resultados!V57,Resultados!AE57)&lt;=1, "", _xlfn.STDEV.S(ABS(Resultados!D57),ABS(Resultados!M57),ABS(Resultados!V57),ABS(Resultados!AE57))/SQRT(COUNT(Resultados!D57,Resultados!M57,Resultados!V57,Resultados!AE57)))</f>
        <v>5.0343817892567399E-3</v>
      </c>
      <c r="E57">
        <f>IF(COUNT(Resultados!E57,Resultados!N57,Resultados!W57,Resultados!AF57)&lt;=1, "", _xlfn.STDEV.S(ABS(Resultados!E57),ABS(Resultados!N57),ABS(Resultados!W57),ABS(Resultados!AF57))/SQRT(COUNT(Resultados!E57,Resultados!N57,Resultados!W57,Resultados!AF57)))</f>
        <v>0</v>
      </c>
      <c r="F57">
        <f>IF(COUNT(Resultados!F57,Resultados!O57,Resultados!X57,Resultados!AG57)&lt;=1, "", _xlfn.STDEV.S(ABS(Resultados!F57),ABS(Resultados!O57),ABS(Resultados!X57),ABS(Resultados!AG57))/SQRT(COUNT(Resultados!F57,Resultados!O57,Resultados!X57,Resultados!AG57)))</f>
        <v>0</v>
      </c>
      <c r="G57">
        <f>IF(COUNT(Resultados!G57,Resultados!P57,Resultados!Y57,Resultados!AH57)&lt;=1, "", _xlfn.STDEV.S(ABS(Resultados!G57),ABS(Resultados!P57),ABS(Resultados!Y57),ABS(Resultados!AH57))/SQRT(COUNT(Resultados!G57,Resultados!P57,Resultados!Y57,Resultados!AH57)))</f>
        <v>0</v>
      </c>
      <c r="H57">
        <f>IF(COUNT(Resultados!H57,Resultados!Q57,Resultados!Z57,Resultados!AI57)&lt;=1, "", _xlfn.STDEV.S(ABS(Resultados!H57),ABS(Resultados!Q57),ABS(Resultados!Z57),ABS(Resultados!AI57))/SQRT(COUNT(Resultados!H57,Resultados!Q57,Resultados!Z57,Resultados!AI57)))</f>
        <v>0</v>
      </c>
      <c r="I57">
        <f>IF(COUNT(Resultados!I57,Resultados!R57,Resultados!AA57,Resultados!AJ57)&lt;=1, "", _xlfn.STDEV.S(ABS(Resultados!I57),ABS(Resultados!R57),ABS(Resultados!AA57),ABS(Resultados!AJ57))/SQRT(COUNT(Resultados!I57,Resultados!R57,Resultados!AA57,Resultados!AJ57)))</f>
        <v>9.916115986110885E-2</v>
      </c>
    </row>
    <row r="58" spans="1:9" x14ac:dyDescent="0.3">
      <c r="A58" t="str">
        <f>IF(COUNT(Resultados!A58,Resultados!J58,Resultados!S58,Resultados!AB58)&lt;=1, "", _xlfn.STDEV.S(ABS(Resultados!A58),ABS(Resultados!J58),ABS(Resultados!S58),ABS(Resultados!AB58))/SQRT(COUNT(Resultados!A58,Resultados!J58,Resultados!S58,Resultados!AB58)))</f>
        <v/>
      </c>
      <c r="B58" t="str">
        <f>IF(COUNT(Resultados!B58,Resultados!K58,Resultados!T58,Resultados!AC58)&lt;=1, "", _xlfn.STDEV.S(ABS(Resultados!B58),ABS(Resultados!K58),ABS(Resultados!T58),ABS(Resultados!AC58))/SQRT(COUNT(Resultados!B58,Resultados!K58,Resultados!T58,Resultados!AC58)))</f>
        <v/>
      </c>
      <c r="C58">
        <f>IF(COUNT(Resultados!C58,Resultados!L58,Resultados!U58,Resultados!AD58)&lt;=1, "", _xlfn.STDEV.S(ABS(Resultados!C58),ABS(Resultados!L58),ABS(Resultados!U58),ABS(Resultados!AD58))/SQRT(COUNT(Resultados!C58,Resultados!L58,Resultados!U58,Resultados!AD58)))</f>
        <v>0.25</v>
      </c>
      <c r="D58">
        <f>IF(COUNT(Resultados!D58,Resultados!M58,Resultados!V58,Resultados!AE58)&lt;=1, "", _xlfn.STDEV.S(ABS(Resultados!D58),ABS(Resultados!M58),ABS(Resultados!V58),ABS(Resultados!AE58))/SQRT(COUNT(Resultados!D58,Resultados!M58,Resultados!V58,Resultados!AE58)))</f>
        <v>6.7019897542943642E-3</v>
      </c>
      <c r="E58">
        <f>IF(COUNT(Resultados!E58,Resultados!N58,Resultados!W58,Resultados!AF58)&lt;=1, "", _xlfn.STDEV.S(ABS(Resultados!E58),ABS(Resultados!N58),ABS(Resultados!W58),ABS(Resultados!AF58))/SQRT(COUNT(Resultados!E58,Resultados!N58,Resultados!W58,Resultados!AF58)))</f>
        <v>0</v>
      </c>
      <c r="F58">
        <f>IF(COUNT(Resultados!F58,Resultados!O58,Resultados!X58,Resultados!AG58)&lt;=1, "", _xlfn.STDEV.S(ABS(Resultados!F58),ABS(Resultados!O58),ABS(Resultados!X58),ABS(Resultados!AG58))/SQRT(COUNT(Resultados!F58,Resultados!O58,Resultados!X58,Resultados!AG58)))</f>
        <v>0</v>
      </c>
      <c r="G58">
        <f>IF(COUNT(Resultados!G58,Resultados!P58,Resultados!Y58,Resultados!AH58)&lt;=1, "", _xlfn.STDEV.S(ABS(Resultados!G58),ABS(Resultados!P58),ABS(Resultados!Y58),ABS(Resultados!AH58))/SQRT(COUNT(Resultados!G58,Resultados!P58,Resultados!Y58,Resultados!AH58)))</f>
        <v>0</v>
      </c>
      <c r="H58">
        <f>IF(COUNT(Resultados!H58,Resultados!Q58,Resultados!Z58,Resultados!AI58)&lt;=1, "", _xlfn.STDEV.S(ABS(Resultados!H58),ABS(Resultados!Q58),ABS(Resultados!Z58),ABS(Resultados!AI58))/SQRT(COUNT(Resultados!H58,Resultados!Q58,Resultados!Z58,Resultados!AI58)))</f>
        <v>0</v>
      </c>
      <c r="I58">
        <f>IF(COUNT(Resultados!I58,Resultados!R58,Resultados!AA58,Resultados!AJ58)&lt;=1, "", _xlfn.STDEV.S(ABS(Resultados!I58),ABS(Resultados!R58),ABS(Resultados!AA58),ABS(Resultados!AJ58))/SQRT(COUNT(Resultados!I58,Resultados!R58,Resultados!AA58,Resultados!AJ58)))</f>
        <v>9.96865629527518E-2</v>
      </c>
    </row>
    <row r="59" spans="1:9" x14ac:dyDescent="0.3">
      <c r="A59" t="str">
        <f>IF(COUNT(Resultados!A59,Resultados!J59,Resultados!S59,Resultados!AB59)&lt;=1, "", _xlfn.STDEV.S(ABS(Resultados!A59),ABS(Resultados!J59),ABS(Resultados!S59),ABS(Resultados!AB59))/SQRT(COUNT(Resultados!A59,Resultados!J59,Resultados!S59,Resultados!AB59)))</f>
        <v/>
      </c>
      <c r="B59" t="str">
        <f>IF(COUNT(Resultados!B59,Resultados!K59,Resultados!T59,Resultados!AC59)&lt;=1, "", _xlfn.STDEV.S(ABS(Resultados!B59),ABS(Resultados!K59),ABS(Resultados!T59),ABS(Resultados!AC59))/SQRT(COUNT(Resultados!B59,Resultados!K59,Resultados!T59,Resultados!AC59)))</f>
        <v/>
      </c>
      <c r="C59">
        <f>IF(COUNT(Resultados!C59,Resultados!L59,Resultados!U59,Resultados!AD59)&lt;=1, "", _xlfn.STDEV.S(ABS(Resultados!C59),ABS(Resultados!L59),ABS(Resultados!U59),ABS(Resultados!AD59))/SQRT(COUNT(Resultados!C59,Resultados!L59,Resultados!U59,Resultados!AD59)))</f>
        <v>0.25</v>
      </c>
      <c r="D59">
        <f>IF(COUNT(Resultados!D59,Resultados!M59,Resultados!V59,Resultados!AE59)&lt;=1, "", _xlfn.STDEV.S(ABS(Resultados!D59),ABS(Resultados!M59),ABS(Resultados!V59),ABS(Resultados!AE59))/SQRT(COUNT(Resultados!D59,Resultados!M59,Resultados!V59,Resultados!AE59)))</f>
        <v>3.7015762408285817E-3</v>
      </c>
      <c r="E59">
        <f>IF(COUNT(Resultados!E59,Resultados!N59,Resultados!W59,Resultados!AF59)&lt;=1, "", _xlfn.STDEV.S(ABS(Resultados!E59),ABS(Resultados!N59),ABS(Resultados!W59),ABS(Resultados!AF59))/SQRT(COUNT(Resultados!E59,Resultados!N59,Resultados!W59,Resultados!AF59)))</f>
        <v>0</v>
      </c>
      <c r="F59">
        <f>IF(COUNT(Resultados!F59,Resultados!O59,Resultados!X59,Resultados!AG59)&lt;=1, "", _xlfn.STDEV.S(ABS(Resultados!F59),ABS(Resultados!O59),ABS(Resultados!X59),ABS(Resultados!AG59))/SQRT(COUNT(Resultados!F59,Resultados!O59,Resultados!X59,Resultados!AG59)))</f>
        <v>0</v>
      </c>
      <c r="G59">
        <f>IF(COUNT(Resultados!G59,Resultados!P59,Resultados!Y59,Resultados!AH59)&lt;=1, "", _xlfn.STDEV.S(ABS(Resultados!G59),ABS(Resultados!P59),ABS(Resultados!Y59),ABS(Resultados!AH59))/SQRT(COUNT(Resultados!G59,Resultados!P59,Resultados!Y59,Resultados!AH59)))</f>
        <v>0</v>
      </c>
      <c r="H59">
        <f>IF(COUNT(Resultados!H59,Resultados!Q59,Resultados!Z59,Resultados!AI59)&lt;=1, "", _xlfn.STDEV.S(ABS(Resultados!H59),ABS(Resultados!Q59),ABS(Resultados!Z59),ABS(Resultados!AI59))/SQRT(COUNT(Resultados!H59,Resultados!Q59,Resultados!Z59,Resultados!AI59)))</f>
        <v>0</v>
      </c>
      <c r="I59">
        <f>IF(COUNT(Resultados!I59,Resultados!R59,Resultados!AA59,Resultados!AJ59)&lt;=1, "", _xlfn.STDEV.S(ABS(Resultados!I59),ABS(Resultados!R59),ABS(Resultados!AA59),ABS(Resultados!AJ59))/SQRT(COUNT(Resultados!I59,Resultados!R59,Resultados!AA59,Resultados!AJ59)))</f>
        <v>0.10046741594500069</v>
      </c>
    </row>
    <row r="60" spans="1:9" x14ac:dyDescent="0.3">
      <c r="A60" t="str">
        <f>IF(COUNT(Resultados!A60,Resultados!J60,Resultados!S60,Resultados!AB60)&lt;=1, "", _xlfn.STDEV.S(ABS(Resultados!A60),ABS(Resultados!J60),ABS(Resultados!S60),ABS(Resultados!AB60))/SQRT(COUNT(Resultados!A60,Resultados!J60,Resultados!S60,Resultados!AB60)))</f>
        <v/>
      </c>
      <c r="B60" t="str">
        <f>IF(COUNT(Resultados!B60,Resultados!K60,Resultados!T60,Resultados!AC60)&lt;=1, "", _xlfn.STDEV.S(ABS(Resultados!B60),ABS(Resultados!K60),ABS(Resultados!T60),ABS(Resultados!AC60))/SQRT(COUNT(Resultados!B60,Resultados!K60,Resultados!T60,Resultados!AC60)))</f>
        <v/>
      </c>
      <c r="C60">
        <f>IF(COUNT(Resultados!C60,Resultados!L60,Resultados!U60,Resultados!AD60)&lt;=1, "", _xlfn.STDEV.S(ABS(Resultados!C60),ABS(Resultados!L60),ABS(Resultados!U60),ABS(Resultados!AD60))/SQRT(COUNT(Resultados!C60,Resultados!L60,Resultados!U60,Resultados!AD60)))</f>
        <v>0.25</v>
      </c>
      <c r="D60">
        <f>IF(COUNT(Resultados!D60,Resultados!M60,Resultados!V60,Resultados!AE60)&lt;=1, "", _xlfn.STDEV.S(ABS(Resultados!D60),ABS(Resultados!M60),ABS(Resultados!V60),ABS(Resultados!AE60))/SQRT(COUNT(Resultados!D60,Resultados!M60,Resultados!V60,Resultados!AE60)))</f>
        <v>1.0931605554537719E-3</v>
      </c>
      <c r="E60">
        <f>IF(COUNT(Resultados!E60,Resultados!N60,Resultados!W60,Resultados!AF60)&lt;=1, "", _xlfn.STDEV.S(ABS(Resultados!E60),ABS(Resultados!N60),ABS(Resultados!W60),ABS(Resultados!AF60))/SQRT(COUNT(Resultados!E60,Resultados!N60,Resultados!W60,Resultados!AF60)))</f>
        <v>0</v>
      </c>
      <c r="F60">
        <f>IF(COUNT(Resultados!F60,Resultados!O60,Resultados!X60,Resultados!AG60)&lt;=1, "", _xlfn.STDEV.S(ABS(Resultados!F60),ABS(Resultados!O60),ABS(Resultados!X60),ABS(Resultados!AG60))/SQRT(COUNT(Resultados!F60,Resultados!O60,Resultados!X60,Resultados!AG60)))</f>
        <v>0</v>
      </c>
      <c r="G60">
        <f>IF(COUNT(Resultados!G60,Resultados!P60,Resultados!Y60,Resultados!AH60)&lt;=1, "", _xlfn.STDEV.S(ABS(Resultados!G60),ABS(Resultados!P60),ABS(Resultados!Y60),ABS(Resultados!AH60))/SQRT(COUNT(Resultados!G60,Resultados!P60,Resultados!Y60,Resultados!AH60)))</f>
        <v>0</v>
      </c>
      <c r="H60">
        <f>IF(COUNT(Resultados!H60,Resultados!Q60,Resultados!Z60,Resultados!AI60)&lt;=1, "", _xlfn.STDEV.S(ABS(Resultados!H60),ABS(Resultados!Q60),ABS(Resultados!Z60),ABS(Resultados!AI60))/SQRT(COUNT(Resultados!H60,Resultados!Q60,Resultados!Z60,Resultados!AI60)))</f>
        <v>0</v>
      </c>
      <c r="I60">
        <f>IF(COUNT(Resultados!I60,Resultados!R60,Resultados!AA60,Resultados!AJ60)&lt;=1, "", _xlfn.STDEV.S(ABS(Resultados!I60),ABS(Resultados!R60),ABS(Resultados!AA60),ABS(Resultados!AJ60))/SQRT(COUNT(Resultados!I60,Resultados!R60,Resultados!AA60,Resultados!AJ60)))</f>
        <v>9.9351308496659213E-2</v>
      </c>
    </row>
    <row r="61" spans="1:9" x14ac:dyDescent="0.3">
      <c r="A61" t="str">
        <f>IF(COUNT(Resultados!A61,Resultados!J61,Resultados!S61,Resultados!AB61)&lt;=1, "", _xlfn.STDEV.S(ABS(Resultados!A61),ABS(Resultados!J61),ABS(Resultados!S61),ABS(Resultados!AB61))/SQRT(COUNT(Resultados!A61,Resultados!J61,Resultados!S61,Resultados!AB61)))</f>
        <v/>
      </c>
      <c r="B61" t="str">
        <f>IF(COUNT(Resultados!B61,Resultados!K61,Resultados!T61,Resultados!AC61)&lt;=1, "", _xlfn.STDEV.S(ABS(Resultados!B61),ABS(Resultados!K61),ABS(Resultados!T61),ABS(Resultados!AC61))/SQRT(COUNT(Resultados!B61,Resultados!K61,Resultados!T61,Resultados!AC61)))</f>
        <v/>
      </c>
      <c r="C61">
        <f>IF(COUNT(Resultados!C61,Resultados!L61,Resultados!U61,Resultados!AD61)&lt;=1, "", _xlfn.STDEV.S(ABS(Resultados!C61),ABS(Resultados!L61),ABS(Resultados!U61),ABS(Resultados!AD61))/SQRT(COUNT(Resultados!C61,Resultados!L61,Resultados!U61,Resultados!AD61)))</f>
        <v>0.25</v>
      </c>
      <c r="D61">
        <f>IF(COUNT(Resultados!D61,Resultados!M61,Resultados!V61,Resultados!AE61)&lt;=1, "", _xlfn.STDEV.S(ABS(Resultados!D61),ABS(Resultados!M61),ABS(Resultados!V61),ABS(Resultados!AE61))/SQRT(COUNT(Resultados!D61,Resultados!M61,Resultados!V61,Resultados!AE61)))</f>
        <v>2.2499999999999994E-4</v>
      </c>
      <c r="E61">
        <f>IF(COUNT(Resultados!E61,Resultados!N61,Resultados!W61,Resultados!AF61)&lt;=1, "", _xlfn.STDEV.S(ABS(Resultados!E61),ABS(Resultados!N61),ABS(Resultados!W61),ABS(Resultados!AF61))/SQRT(COUNT(Resultados!E61,Resultados!N61,Resultados!W61,Resultados!AF61)))</f>
        <v>0</v>
      </c>
      <c r="F61">
        <f>IF(COUNT(Resultados!F61,Resultados!O61,Resultados!X61,Resultados!AG61)&lt;=1, "", _xlfn.STDEV.S(ABS(Resultados!F61),ABS(Resultados!O61),ABS(Resultados!X61),ABS(Resultados!AG61))/SQRT(COUNT(Resultados!F61,Resultados!O61,Resultados!X61,Resultados!AG61)))</f>
        <v>0</v>
      </c>
      <c r="G61">
        <f>IF(COUNT(Resultados!G61,Resultados!P61,Resultados!Y61,Resultados!AH61)&lt;=1, "", _xlfn.STDEV.S(ABS(Resultados!G61),ABS(Resultados!P61),ABS(Resultados!Y61),ABS(Resultados!AH61))/SQRT(COUNT(Resultados!G61,Resultados!P61,Resultados!Y61,Resultados!AH61)))</f>
        <v>0</v>
      </c>
      <c r="H61">
        <f>IF(COUNT(Resultados!H61,Resultados!Q61,Resultados!Z61,Resultados!AI61)&lt;=1, "", _xlfn.STDEV.S(ABS(Resultados!H61),ABS(Resultados!Q61),ABS(Resultados!Z61),ABS(Resultados!AI61))/SQRT(COUNT(Resultados!H61,Resultados!Q61,Resultados!Z61,Resultados!AI61)))</f>
        <v>0</v>
      </c>
      <c r="I61">
        <f>IF(COUNT(Resultados!I61,Resultados!R61,Resultados!AA61,Resultados!AJ61)&lt;=1, "", _xlfn.STDEV.S(ABS(Resultados!I61),ABS(Resultados!R61),ABS(Resultados!AA61),ABS(Resultados!AJ61))/SQRT(COUNT(Resultados!I61,Resultados!R61,Resultados!AA61,Resultados!AJ61)))</f>
        <v>0.10013454282447395</v>
      </c>
    </row>
    <row r="62" spans="1:9" x14ac:dyDescent="0.3">
      <c r="A62" t="str">
        <f>IF(COUNT(Resultados!A62,Resultados!J62,Resultados!S62,Resultados!AB62)&lt;=1, "", _xlfn.STDEV.S(ABS(Resultados!A62),ABS(Resultados!J62),ABS(Resultados!S62),ABS(Resultados!AB62))/SQRT(COUNT(Resultados!A62,Resultados!J62,Resultados!S62,Resultados!AB62)))</f>
        <v/>
      </c>
      <c r="B62" t="str">
        <f>IF(COUNT(Resultados!B62,Resultados!K62,Resultados!T62,Resultados!AC62)&lt;=1, "", _xlfn.STDEV.S(ABS(Resultados!B62),ABS(Resultados!K62),ABS(Resultados!T62),ABS(Resultados!AC62))/SQRT(COUNT(Resultados!B62,Resultados!K62,Resultados!T62,Resultados!AC62)))</f>
        <v/>
      </c>
      <c r="C62">
        <f>IF(COUNT(Resultados!C62,Resultados!L62,Resultados!U62,Resultados!AD62)&lt;=1, "", _xlfn.STDEV.S(ABS(Resultados!C62),ABS(Resultados!L62),ABS(Resultados!U62),ABS(Resultados!AD62))/SQRT(COUNT(Resultados!C62,Resultados!L62,Resultados!U62,Resultados!AD62)))</f>
        <v>0.25</v>
      </c>
      <c r="D62">
        <f>IF(COUNT(Resultados!D62,Resultados!M62,Resultados!V62,Resultados!AE62)&lt;=1, "", _xlfn.STDEV.S(ABS(Resultados!D62),ABS(Resultados!M62),ABS(Resultados!V62),ABS(Resultados!AE62))/SQRT(COUNT(Resultados!D62,Resultados!M62,Resultados!V62,Resultados!AE62)))</f>
        <v>0</v>
      </c>
      <c r="E62">
        <f>IF(COUNT(Resultados!E62,Resultados!N62,Resultados!W62,Resultados!AF62)&lt;=1, "", _xlfn.STDEV.S(ABS(Resultados!E62),ABS(Resultados!N62),ABS(Resultados!W62),ABS(Resultados!AF62))/SQRT(COUNT(Resultados!E62,Resultados!N62,Resultados!W62,Resultados!AF62)))</f>
        <v>0</v>
      </c>
      <c r="F62">
        <f>IF(COUNT(Resultados!F62,Resultados!O62,Resultados!X62,Resultados!AG62)&lt;=1, "", _xlfn.STDEV.S(ABS(Resultados!F62),ABS(Resultados!O62),ABS(Resultados!X62),ABS(Resultados!AG62))/SQRT(COUNT(Resultados!F62,Resultados!O62,Resultados!X62,Resultados!AG62)))</f>
        <v>0</v>
      </c>
      <c r="G62">
        <f>IF(COUNT(Resultados!G62,Resultados!P62,Resultados!Y62,Resultados!AH62)&lt;=1, "", _xlfn.STDEV.S(ABS(Resultados!G62),ABS(Resultados!P62),ABS(Resultados!Y62),ABS(Resultados!AH62))/SQRT(COUNT(Resultados!G62,Resultados!P62,Resultados!Y62,Resultados!AH62)))</f>
        <v>0</v>
      </c>
      <c r="H62">
        <f>IF(COUNT(Resultados!H62,Resultados!Q62,Resultados!Z62,Resultados!AI62)&lt;=1, "", _xlfn.STDEV.S(ABS(Resultados!H62),ABS(Resultados!Q62),ABS(Resultados!Z62),ABS(Resultados!AI62))/SQRT(COUNT(Resultados!H62,Resultados!Q62,Resultados!Z62,Resultados!AI62)))</f>
        <v>0</v>
      </c>
      <c r="I62">
        <f>IF(COUNT(Resultados!I62,Resultados!R62,Resultados!AA62,Resultados!AJ62)&lt;=1, "", _xlfn.STDEV.S(ABS(Resultados!I62),ABS(Resultados!R62),ABS(Resultados!AA62),ABS(Resultados!AJ62))/SQRT(COUNT(Resultados!I62,Resultados!R62,Resultados!AA62,Resultados!AJ62)))</f>
        <v>9.9906614729285192E-2</v>
      </c>
    </row>
    <row r="63" spans="1:9" x14ac:dyDescent="0.3">
      <c r="A63" t="str">
        <f>IF(COUNT(Resultados!A63,Resultados!J63,Resultados!S63,Resultados!AB63)&lt;=1, "", _xlfn.STDEV.S(ABS(Resultados!A63),ABS(Resultados!J63),ABS(Resultados!S63),ABS(Resultados!AB63))/SQRT(COUNT(Resultados!A63,Resultados!J63,Resultados!S63,Resultados!AB63)))</f>
        <v/>
      </c>
      <c r="B63" t="str">
        <f>IF(COUNT(Resultados!B63,Resultados!K63,Resultados!T63,Resultados!AC63)&lt;=1, "", _xlfn.STDEV.S(ABS(Resultados!B63),ABS(Resultados!K63),ABS(Resultados!T63),ABS(Resultados!AC63))/SQRT(COUNT(Resultados!B63,Resultados!K63,Resultados!T63,Resultados!AC63)))</f>
        <v/>
      </c>
      <c r="C63">
        <f>IF(COUNT(Resultados!C63,Resultados!L63,Resultados!U63,Resultados!AD63)&lt;=1, "", _xlfn.STDEV.S(ABS(Resultados!C63),ABS(Resultados!L63),ABS(Resultados!U63),ABS(Resultados!AD63))/SQRT(COUNT(Resultados!C63,Resultados!L63,Resultados!U63,Resultados!AD63)))</f>
        <v>0.25</v>
      </c>
      <c r="D63">
        <f>IF(COUNT(Resultados!D63,Resultados!M63,Resultados!V63,Resultados!AE63)&lt;=1, "", _xlfn.STDEV.S(ABS(Resultados!D63),ABS(Resultados!M63),ABS(Resultados!V63),ABS(Resultados!AE63))/SQRT(COUNT(Resultados!D63,Resultados!M63,Resultados!V63,Resultados!AE63)))</f>
        <v>0</v>
      </c>
      <c r="E63">
        <f>IF(COUNT(Resultados!E63,Resultados!N63,Resultados!W63,Resultados!AF63)&lt;=1, "", _xlfn.STDEV.S(ABS(Resultados!E63),ABS(Resultados!N63),ABS(Resultados!W63),ABS(Resultados!AF63))/SQRT(COUNT(Resultados!E63,Resultados!N63,Resultados!W63,Resultados!AF63)))</f>
        <v>0</v>
      </c>
      <c r="F63">
        <f>IF(COUNT(Resultados!F63,Resultados!O63,Resultados!X63,Resultados!AG63)&lt;=1, "", _xlfn.STDEV.S(ABS(Resultados!F63),ABS(Resultados!O63),ABS(Resultados!X63),ABS(Resultados!AG63))/SQRT(COUNT(Resultados!F63,Resultados!O63,Resultados!X63,Resultados!AG63)))</f>
        <v>0</v>
      </c>
      <c r="G63">
        <f>IF(COUNT(Resultados!G63,Resultados!P63,Resultados!Y63,Resultados!AH63)&lt;=1, "", _xlfn.STDEV.S(ABS(Resultados!G63),ABS(Resultados!P63),ABS(Resultados!Y63),ABS(Resultados!AH63))/SQRT(COUNT(Resultados!G63,Resultados!P63,Resultados!Y63,Resultados!AH63)))</f>
        <v>0</v>
      </c>
      <c r="H63">
        <f>IF(COUNT(Resultados!H63,Resultados!Q63,Resultados!Z63,Resultados!AI63)&lt;=1, "", _xlfn.STDEV.S(ABS(Resultados!H63),ABS(Resultados!Q63),ABS(Resultados!Z63),ABS(Resultados!AI63))/SQRT(COUNT(Resultados!H63,Resultados!Q63,Resultados!Z63,Resultados!AI63)))</f>
        <v>0</v>
      </c>
      <c r="I63">
        <f>IF(COUNT(Resultados!I63,Resultados!R63,Resultados!AA63,Resultados!AJ63)&lt;=1, "", _xlfn.STDEV.S(ABS(Resultados!I63),ABS(Resultados!R63),ABS(Resultados!AA63),ABS(Resultados!AJ63))/SQRT(COUNT(Resultados!I63,Resultados!R63,Resultados!AA63,Resultados!AJ63)))</f>
        <v>9.9718173703024118E-2</v>
      </c>
    </row>
    <row r="64" spans="1:9" x14ac:dyDescent="0.3">
      <c r="A64" t="str">
        <f>IF(COUNT(Resultados!A64,Resultados!J64,Resultados!S64,Resultados!AB64)&lt;=1, "", _xlfn.STDEV.S(ABS(Resultados!A64),ABS(Resultados!J64),ABS(Resultados!S64),ABS(Resultados!AB64))/SQRT(COUNT(Resultados!A64,Resultados!J64,Resultados!S64,Resultados!AB64)))</f>
        <v/>
      </c>
      <c r="B64" t="str">
        <f>IF(COUNT(Resultados!B64,Resultados!K64,Resultados!T64,Resultados!AC64)&lt;=1, "", _xlfn.STDEV.S(ABS(Resultados!B64),ABS(Resultados!K64),ABS(Resultados!T64),ABS(Resultados!AC64))/SQRT(COUNT(Resultados!B64,Resultados!K64,Resultados!T64,Resultados!AC64)))</f>
        <v/>
      </c>
      <c r="C64">
        <f>IF(COUNT(Resultados!C64,Resultados!L64,Resultados!U64,Resultados!AD64)&lt;=1, "", _xlfn.STDEV.S(ABS(Resultados!C64),ABS(Resultados!L64),ABS(Resultados!U64),ABS(Resultados!AD64))/SQRT(COUNT(Resultados!C64,Resultados!L64,Resultados!U64,Resultados!AD64)))</f>
        <v>0.25</v>
      </c>
      <c r="D64">
        <f>IF(COUNT(Resultados!D64,Resultados!M64,Resultados!V64,Resultados!AE64)&lt;=1, "", _xlfn.STDEV.S(ABS(Resultados!D64),ABS(Resultados!M64),ABS(Resultados!V64),ABS(Resultados!AE64))/SQRT(COUNT(Resultados!D64,Resultados!M64,Resultados!V64,Resultados!AE64)))</f>
        <v>0</v>
      </c>
      <c r="E64">
        <f>IF(COUNT(Resultados!E64,Resultados!N64,Resultados!W64,Resultados!AF64)&lt;=1, "", _xlfn.STDEV.S(ABS(Resultados!E64),ABS(Resultados!N64),ABS(Resultados!W64),ABS(Resultados!AF64))/SQRT(COUNT(Resultados!E64,Resultados!N64,Resultados!W64,Resultados!AF64)))</f>
        <v>0</v>
      </c>
      <c r="F64">
        <f>IF(COUNT(Resultados!F64,Resultados!O64,Resultados!X64,Resultados!AG64)&lt;=1, "", _xlfn.STDEV.S(ABS(Resultados!F64),ABS(Resultados!O64),ABS(Resultados!X64),ABS(Resultados!AG64))/SQRT(COUNT(Resultados!F64,Resultados!O64,Resultados!X64,Resultados!AG64)))</f>
        <v>0</v>
      </c>
      <c r="G64">
        <f>IF(COUNT(Resultados!G64,Resultados!P64,Resultados!Y64,Resultados!AH64)&lt;=1, "", _xlfn.STDEV.S(ABS(Resultados!G64),ABS(Resultados!P64),ABS(Resultados!Y64),ABS(Resultados!AH64))/SQRT(COUNT(Resultados!G64,Resultados!P64,Resultados!Y64,Resultados!AH64)))</f>
        <v>0</v>
      </c>
      <c r="H64">
        <f>IF(COUNT(Resultados!H64,Resultados!Q64,Resultados!Z64,Resultados!AI64)&lt;=1, "", _xlfn.STDEV.S(ABS(Resultados!H64),ABS(Resultados!Q64),ABS(Resultados!Z64),ABS(Resultados!AI64))/SQRT(COUNT(Resultados!H64,Resultados!Q64,Resultados!Z64,Resultados!AI64)))</f>
        <v>0</v>
      </c>
      <c r="I64">
        <f>IF(COUNT(Resultados!I64,Resultados!R64,Resultados!AA64,Resultados!AJ64)&lt;=1, "", _xlfn.STDEV.S(ABS(Resultados!I64),ABS(Resultados!R64),ABS(Resultados!AA64),ABS(Resultados!AJ64))/SQRT(COUNT(Resultados!I64,Resultados!R64,Resultados!AA64,Resultados!AJ64)))</f>
        <v>9.9930062001714309E-2</v>
      </c>
    </row>
    <row r="65" spans="1:9" x14ac:dyDescent="0.3">
      <c r="A65" t="str">
        <f>IF(COUNT(Resultados!A65,Resultados!J65,Resultados!S65,Resultados!AB65)&lt;=1, "", _xlfn.STDEV.S(ABS(Resultados!A65),ABS(Resultados!J65),ABS(Resultados!S65),ABS(Resultados!AB65))/SQRT(COUNT(Resultados!A65,Resultados!J65,Resultados!S65,Resultados!AB65)))</f>
        <v/>
      </c>
      <c r="B65" t="str">
        <f>IF(COUNT(Resultados!B65,Resultados!K65,Resultados!T65,Resultados!AC65)&lt;=1, "", _xlfn.STDEV.S(ABS(Resultados!B65),ABS(Resultados!K65),ABS(Resultados!T65),ABS(Resultados!AC65))/SQRT(COUNT(Resultados!B65,Resultados!K65,Resultados!T65,Resultados!AC65)))</f>
        <v/>
      </c>
      <c r="C65">
        <f>IF(COUNT(Resultados!C65,Resultados!L65,Resultados!U65,Resultados!AD65)&lt;=1, "", _xlfn.STDEV.S(ABS(Resultados!C65),ABS(Resultados!L65),ABS(Resultados!U65),ABS(Resultados!AD65))/SQRT(COUNT(Resultados!C65,Resultados!L65,Resultados!U65,Resultados!AD65)))</f>
        <v>0.25</v>
      </c>
      <c r="D65">
        <f>IF(COUNT(Resultados!D65,Resultados!M65,Resultados!V65,Resultados!AE65)&lt;=1, "", _xlfn.STDEV.S(ABS(Resultados!D65),ABS(Resultados!M65),ABS(Resultados!V65),ABS(Resultados!AE65))/SQRT(COUNT(Resultados!D65,Resultados!M65,Resultados!V65,Resultados!AE65)))</f>
        <v>2.5000000000000066E-5</v>
      </c>
      <c r="E65">
        <f>IF(COUNT(Resultados!E65,Resultados!N65,Resultados!W65,Resultados!AF65)&lt;=1, "", _xlfn.STDEV.S(ABS(Resultados!E65),ABS(Resultados!N65),ABS(Resultados!W65),ABS(Resultados!AF65))/SQRT(COUNT(Resultados!E65,Resultados!N65,Resultados!W65,Resultados!AF65)))</f>
        <v>1.0136768749072091</v>
      </c>
      <c r="F65">
        <f>IF(COUNT(Resultados!F65,Resultados!O65,Resultados!X65,Resultados!AG65)&lt;=1, "", _xlfn.STDEV.S(ABS(Resultados!F65),ABS(Resultados!O65),ABS(Resultados!X65),ABS(Resultados!AG65))/SQRT(COUNT(Resultados!F65,Resultados!O65,Resultados!X65,Resultados!AG65)))</f>
        <v>122.84049847365395</v>
      </c>
      <c r="G65">
        <f>IF(COUNT(Resultados!G65,Resultados!P65,Resultados!Y65,Resultados!AH65)&lt;=1, "", _xlfn.STDEV.S(ABS(Resultados!G65),ABS(Resultados!P65),ABS(Resultados!Y65),ABS(Resultados!AH65))/SQRT(COUNT(Resultados!G65,Resultados!P65,Resultados!Y65,Resultados!AH65)))</f>
        <v>0</v>
      </c>
      <c r="H65">
        <f>IF(COUNT(Resultados!H65,Resultados!Q65,Resultados!Z65,Resultados!AI65)&lt;=1, "", _xlfn.STDEV.S(ABS(Resultados!H65),ABS(Resultados!Q65),ABS(Resultados!Z65),ABS(Resultados!AI65))/SQRT(COUNT(Resultados!H65,Resultados!Q65,Resultados!Z65,Resultados!AI65)))</f>
        <v>1.575E-2</v>
      </c>
      <c r="I65">
        <f>IF(COUNT(Resultados!I65,Resultados!R65,Resultados!AA65,Resultados!AJ65)&lt;=1, "", _xlfn.STDEV.S(ABS(Resultados!I65),ABS(Resultados!R65),ABS(Resultados!AA65),ABS(Resultados!AJ65))/SQRT(COUNT(Resultados!I65,Resultados!R65,Resultados!AA65,Resultados!AJ65)))</f>
        <v>9.9608545274324695E-2</v>
      </c>
    </row>
    <row r="66" spans="1:9" x14ac:dyDescent="0.3">
      <c r="A66" t="str">
        <f>IF(COUNT(Resultados!A66,Resultados!J66,Resultados!S66,Resultados!AB66)&lt;=1, "", _xlfn.STDEV.S(ABS(Resultados!A66),ABS(Resultados!J66),ABS(Resultados!S66),ABS(Resultados!AB66))/SQRT(COUNT(Resultados!A66,Resultados!J66,Resultados!S66,Resultados!AB66)))</f>
        <v/>
      </c>
      <c r="B66" t="str">
        <f>IF(COUNT(Resultados!B66,Resultados!K66,Resultados!T66,Resultados!AC66)&lt;=1, "", _xlfn.STDEV.S(ABS(Resultados!B66),ABS(Resultados!K66),ABS(Resultados!T66),ABS(Resultados!AC66))/SQRT(COUNT(Resultados!B66,Resultados!K66,Resultados!T66,Resultados!AC66)))</f>
        <v/>
      </c>
      <c r="C66">
        <f>IF(COUNT(Resultados!C66,Resultados!L66,Resultados!U66,Resultados!AD66)&lt;=1, "", _xlfn.STDEV.S(ABS(Resultados!C66),ABS(Resultados!L66),ABS(Resultados!U66),ABS(Resultados!AD66))/SQRT(COUNT(Resultados!C66,Resultados!L66,Resultados!U66,Resultados!AD66)))</f>
        <v>0.25</v>
      </c>
      <c r="D66">
        <f>IF(COUNT(Resultados!D66,Resultados!M66,Resultados!V66,Resultados!AE66)&lt;=1, "", _xlfn.STDEV.S(ABS(Resultados!D66),ABS(Resultados!M66),ABS(Resultados!V66),ABS(Resultados!AE66))/SQRT(COUNT(Resultados!D66,Resultados!M66,Resultados!V66,Resultados!AE66)))</f>
        <v>2.1500000000000004E-3</v>
      </c>
      <c r="E66">
        <f>IF(COUNT(Resultados!E66,Resultados!N66,Resultados!W66,Resultados!AF66)&lt;=1, "", _xlfn.STDEV.S(ABS(Resultados!E66),ABS(Resultados!N66),ABS(Resultados!W66),ABS(Resultados!AF66))/SQRT(COUNT(Resultados!E66,Resultados!N66,Resultados!W66,Resultados!AF66)))</f>
        <v>1.1704932331979516</v>
      </c>
      <c r="F66">
        <f>IF(COUNT(Resultados!F66,Resultados!O66,Resultados!X66,Resultados!AG66)&lt;=1, "", _xlfn.STDEV.S(ABS(Resultados!F66),ABS(Resultados!O66),ABS(Resultados!X66),ABS(Resultados!AG66))/SQRT(COUNT(Resultados!F66,Resultados!O66,Resultados!X66,Resultados!AG66)))</f>
        <v>127.58673864364184</v>
      </c>
      <c r="G66">
        <f>IF(COUNT(Resultados!G66,Resultados!P66,Resultados!Y66,Resultados!AH66)&lt;=1, "", _xlfn.STDEV.S(ABS(Resultados!G66),ABS(Resultados!P66),ABS(Resultados!Y66),ABS(Resultados!AH66))/SQRT(COUNT(Resultados!G66,Resultados!P66,Resultados!Y66,Resultados!AH66)))</f>
        <v>0</v>
      </c>
      <c r="H66">
        <f>IF(COUNT(Resultados!H66,Resultados!Q66,Resultados!Z66,Resultados!AI66)&lt;=1, "", _xlfn.STDEV.S(ABS(Resultados!H66),ABS(Resultados!Q66),ABS(Resultados!Z66),ABS(Resultados!AI66))/SQRT(COUNT(Resultados!H66,Resultados!Q66,Resultados!Z66,Resultados!AI66)))</f>
        <v>1.8186533479473212E-2</v>
      </c>
      <c r="I66">
        <f>IF(COUNT(Resultados!I66,Resultados!R66,Resultados!AA66,Resultados!AJ66)&lt;=1, "", _xlfn.STDEV.S(ABS(Resultados!I66),ABS(Resultados!R66),ABS(Resultados!AA66),ABS(Resultados!AJ66))/SQRT(COUNT(Resultados!I66,Resultados!R66,Resultados!AA66,Resultados!AJ66)))</f>
        <v>9.9503048529505186E-2</v>
      </c>
    </row>
    <row r="67" spans="1:9" x14ac:dyDescent="0.3">
      <c r="A67" t="str">
        <f>IF(COUNT(Resultados!A67,Resultados!J67,Resultados!S67,Resultados!AB67)&lt;=1, "", _xlfn.STDEV.S(ABS(Resultados!A67),ABS(Resultados!J67),ABS(Resultados!S67),ABS(Resultados!AB67))/SQRT(COUNT(Resultados!A67,Resultados!J67,Resultados!S67,Resultados!AB67)))</f>
        <v/>
      </c>
      <c r="B67" t="str">
        <f>IF(COUNT(Resultados!B67,Resultados!K67,Resultados!T67,Resultados!AC67)&lt;=1, "", _xlfn.STDEV.S(ABS(Resultados!B67),ABS(Resultados!K67),ABS(Resultados!T67),ABS(Resultados!AC67))/SQRT(COUNT(Resultados!B67,Resultados!K67,Resultados!T67,Resultados!AC67)))</f>
        <v/>
      </c>
      <c r="C67">
        <f>IF(COUNT(Resultados!C67,Resultados!L67,Resultados!U67,Resultados!AD67)&lt;=1, "", _xlfn.STDEV.S(ABS(Resultados!C67),ABS(Resultados!L67),ABS(Resultados!U67),ABS(Resultados!AD67))/SQRT(COUNT(Resultados!C67,Resultados!L67,Resultados!U67,Resultados!AD67)))</f>
        <v>0.25</v>
      </c>
      <c r="D67">
        <f>IF(COUNT(Resultados!D67,Resultados!M67,Resultados!V67,Resultados!AE67)&lt;=1, "", _xlfn.STDEV.S(ABS(Resultados!D67),ABS(Resultados!M67),ABS(Resultados!V67),ABS(Resultados!AE67))/SQRT(COUNT(Resultados!D67,Resultados!M67,Resultados!V67,Resultados!AE67)))</f>
        <v>6.6712536303156697E-3</v>
      </c>
      <c r="E67">
        <f>IF(COUNT(Resultados!E67,Resultados!N67,Resultados!W67,Resultados!AF67)&lt;=1, "", _xlfn.STDEV.S(ABS(Resultados!E67),ABS(Resultados!N67),ABS(Resultados!W67),ABS(Resultados!AF67))/SQRT(COUNT(Resultados!E67,Resultados!N67,Resultados!W67,Resultados!AF67)))</f>
        <v>0</v>
      </c>
      <c r="F67">
        <f>IF(COUNT(Resultados!F67,Resultados!O67,Resultados!X67,Resultados!AG67)&lt;=1, "", _xlfn.STDEV.S(ABS(Resultados!F67),ABS(Resultados!O67),ABS(Resultados!X67),ABS(Resultados!AG67))/SQRT(COUNT(Resultados!F67,Resultados!O67,Resultados!X67,Resultados!AG67)))</f>
        <v>32.754020388254624</v>
      </c>
      <c r="G67">
        <f>IF(COUNT(Resultados!G67,Resultados!P67,Resultados!Y67,Resultados!AH67)&lt;=1, "", _xlfn.STDEV.S(ABS(Resultados!G67),ABS(Resultados!P67),ABS(Resultados!Y67),ABS(Resultados!AH67))/SQRT(COUNT(Resultados!G67,Resultados!P67,Resultados!Y67,Resultados!AH67)))</f>
        <v>0</v>
      </c>
      <c r="H67">
        <f>IF(COUNT(Resultados!H67,Resultados!Q67,Resultados!Z67,Resultados!AI67)&lt;=1, "", _xlfn.STDEV.S(ABS(Resultados!H67),ABS(Resultados!Q67),ABS(Resultados!Z67),ABS(Resultados!AI67))/SQRT(COUNT(Resultados!H67,Resultados!Q67,Resultados!Z67,Resultados!AI67)))</f>
        <v>0</v>
      </c>
      <c r="I67">
        <f>IF(COUNT(Resultados!I67,Resultados!R67,Resultados!AA67,Resultados!AJ67)&lt;=1, "", _xlfn.STDEV.S(ABS(Resultados!I67),ABS(Resultados!R67),ABS(Resultados!AA67),ABS(Resultados!AJ67))/SQRT(COUNT(Resultados!I67,Resultados!R67,Resultados!AA67,Resultados!AJ67)))</f>
        <v>9.9175458993970594E-2</v>
      </c>
    </row>
    <row r="68" spans="1:9" x14ac:dyDescent="0.3">
      <c r="A68" t="str">
        <f>IF(COUNT(Resultados!A68,Resultados!J68,Resultados!S68,Resultados!AB68)&lt;=1, "", _xlfn.STDEV.S(ABS(Resultados!A68),ABS(Resultados!J68),ABS(Resultados!S68),ABS(Resultados!AB68))/SQRT(COUNT(Resultados!A68,Resultados!J68,Resultados!S68,Resultados!AB68)))</f>
        <v/>
      </c>
      <c r="B68" t="str">
        <f>IF(COUNT(Resultados!B68,Resultados!K68,Resultados!T68,Resultados!AC68)&lt;=1, "", _xlfn.STDEV.S(ABS(Resultados!B68),ABS(Resultados!K68),ABS(Resultados!T68),ABS(Resultados!AC68))/SQRT(COUNT(Resultados!B68,Resultados!K68,Resultados!T68,Resultados!AC68)))</f>
        <v/>
      </c>
      <c r="C68">
        <f>IF(COUNT(Resultados!C68,Resultados!L68,Resultados!U68,Resultados!AD68)&lt;=1, "", _xlfn.STDEV.S(ABS(Resultados!C68),ABS(Resultados!L68),ABS(Resultados!U68),ABS(Resultados!AD68))/SQRT(COUNT(Resultados!C68,Resultados!L68,Resultados!U68,Resultados!AD68)))</f>
        <v>0.25</v>
      </c>
      <c r="D68">
        <f>IF(COUNT(Resultados!D68,Resultados!M68,Resultados!V68,Resultados!AE68)&lt;=1, "", _xlfn.STDEV.S(ABS(Resultados!D68),ABS(Resultados!M68),ABS(Resultados!V68),ABS(Resultados!AE68))/SQRT(COUNT(Resultados!D68,Resultados!M68,Resultados!V68,Resultados!AE68)))</f>
        <v>6.5166933077034335E-3</v>
      </c>
      <c r="E68">
        <f>IF(COUNT(Resultados!E68,Resultados!N68,Resultados!W68,Resultados!AF68)&lt;=1, "", _xlfn.STDEV.S(ABS(Resultados!E68),ABS(Resultados!N68),ABS(Resultados!W68),ABS(Resultados!AF68))/SQRT(COUNT(Resultados!E68,Resultados!N68,Resultados!W68,Resultados!AF68)))</f>
        <v>0</v>
      </c>
      <c r="F68">
        <f>IF(COUNT(Resultados!F68,Resultados!O68,Resultados!X68,Resultados!AG68)&lt;=1, "", _xlfn.STDEV.S(ABS(Resultados!F68),ABS(Resultados!O68),ABS(Resultados!X68),ABS(Resultados!AG68))/SQRT(COUNT(Resultados!F68,Resultados!O68,Resultados!X68,Resultados!AG68)))</f>
        <v>0</v>
      </c>
      <c r="G68">
        <f>IF(COUNT(Resultados!G68,Resultados!P68,Resultados!Y68,Resultados!AH68)&lt;=1, "", _xlfn.STDEV.S(ABS(Resultados!G68),ABS(Resultados!P68),ABS(Resultados!Y68),ABS(Resultados!AH68))/SQRT(COUNT(Resultados!G68,Resultados!P68,Resultados!Y68,Resultados!AH68)))</f>
        <v>0</v>
      </c>
      <c r="H68">
        <f>IF(COUNT(Resultados!H68,Resultados!Q68,Resultados!Z68,Resultados!AI68)&lt;=1, "", _xlfn.STDEV.S(ABS(Resultados!H68),ABS(Resultados!Q68),ABS(Resultados!Z68),ABS(Resultados!AI68))/SQRT(COUNT(Resultados!H68,Resultados!Q68,Resultados!Z68,Resultados!AI68)))</f>
        <v>0</v>
      </c>
      <c r="I68">
        <f>IF(COUNT(Resultados!I68,Resultados!R68,Resultados!AA68,Resultados!AJ68)&lt;=1, "", _xlfn.STDEV.S(ABS(Resultados!I68),ABS(Resultados!R68),ABS(Resultados!AA68),ABS(Resultados!AJ68))/SQRT(COUNT(Resultados!I68,Resultados!R68,Resultados!AA68,Resultados!AJ68)))</f>
        <v>9.9594547834371022E-2</v>
      </c>
    </row>
    <row r="69" spans="1:9" x14ac:dyDescent="0.3">
      <c r="A69" t="str">
        <f>IF(COUNT(Resultados!A69,Resultados!J69,Resultados!S69,Resultados!AB69)&lt;=1, "", _xlfn.STDEV.S(ABS(Resultados!A69),ABS(Resultados!J69),ABS(Resultados!S69),ABS(Resultados!AB69))/SQRT(COUNT(Resultados!A69,Resultados!J69,Resultados!S69,Resultados!AB69)))</f>
        <v/>
      </c>
      <c r="B69" t="str">
        <f>IF(COUNT(Resultados!B69,Resultados!K69,Resultados!T69,Resultados!AC69)&lt;=1, "", _xlfn.STDEV.S(ABS(Resultados!B69),ABS(Resultados!K69),ABS(Resultados!T69),ABS(Resultados!AC69))/SQRT(COUNT(Resultados!B69,Resultados!K69,Resultados!T69,Resultados!AC69)))</f>
        <v/>
      </c>
      <c r="C69">
        <f>IF(COUNT(Resultados!C69,Resultados!L69,Resultados!U69,Resultados!AD69)&lt;=1, "", _xlfn.STDEV.S(ABS(Resultados!C69),ABS(Resultados!L69),ABS(Resultados!U69),ABS(Resultados!AD69))/SQRT(COUNT(Resultados!C69,Resultados!L69,Resultados!U69,Resultados!AD69)))</f>
        <v>0.25</v>
      </c>
      <c r="D69">
        <f>IF(COUNT(Resultados!D69,Resultados!M69,Resultados!V69,Resultados!AE69)&lt;=1, "", _xlfn.STDEV.S(ABS(Resultados!D69),ABS(Resultados!M69),ABS(Resultados!V69),ABS(Resultados!AE69))/SQRT(COUNT(Resultados!D69,Resultados!M69,Resultados!V69,Resultados!AE69)))</f>
        <v>1.8979704072157363E-3</v>
      </c>
      <c r="E69">
        <f>IF(COUNT(Resultados!E69,Resultados!N69,Resultados!W69,Resultados!AF69)&lt;=1, "", _xlfn.STDEV.S(ABS(Resultados!E69),ABS(Resultados!N69),ABS(Resultados!W69),ABS(Resultados!AF69))/SQRT(COUNT(Resultados!E69,Resultados!N69,Resultados!W69,Resultados!AF69)))</f>
        <v>0</v>
      </c>
      <c r="F69">
        <f>IF(COUNT(Resultados!F69,Resultados!O69,Resultados!X69,Resultados!AG69)&lt;=1, "", _xlfn.STDEV.S(ABS(Resultados!F69),ABS(Resultados!O69),ABS(Resultados!X69),ABS(Resultados!AG69))/SQRT(COUNT(Resultados!F69,Resultados!O69,Resultados!X69,Resultados!AG69)))</f>
        <v>0</v>
      </c>
      <c r="G69">
        <f>IF(COUNT(Resultados!G69,Resultados!P69,Resultados!Y69,Resultados!AH69)&lt;=1, "", _xlfn.STDEV.S(ABS(Resultados!G69),ABS(Resultados!P69),ABS(Resultados!Y69),ABS(Resultados!AH69))/SQRT(COUNT(Resultados!G69,Resultados!P69,Resultados!Y69,Resultados!AH69)))</f>
        <v>0</v>
      </c>
      <c r="H69">
        <f>IF(COUNT(Resultados!H69,Resultados!Q69,Resultados!Z69,Resultados!AI69)&lt;=1, "", _xlfn.STDEV.S(ABS(Resultados!H69),ABS(Resultados!Q69),ABS(Resultados!Z69),ABS(Resultados!AI69))/SQRT(COUNT(Resultados!H69,Resultados!Q69,Resultados!Z69,Resultados!AI69)))</f>
        <v>0</v>
      </c>
      <c r="I69">
        <f>IF(COUNT(Resultados!I69,Resultados!R69,Resultados!AA69,Resultados!AJ69)&lt;=1, "", _xlfn.STDEV.S(ABS(Resultados!I69),ABS(Resultados!R69),ABS(Resultados!AA69),ABS(Resultados!AJ69))/SQRT(COUNT(Resultados!I69,Resultados!R69,Resultados!AA69,Resultados!AJ69)))</f>
        <v>9.9267416607870987E-2</v>
      </c>
    </row>
    <row r="70" spans="1:9" x14ac:dyDescent="0.3">
      <c r="A70" t="str">
        <f>IF(COUNT(Resultados!A70,Resultados!J70,Resultados!S70,Resultados!AB70)&lt;=1, "", _xlfn.STDEV.S(ABS(Resultados!A70),ABS(Resultados!J70),ABS(Resultados!S70),ABS(Resultados!AB70))/SQRT(COUNT(Resultados!A70,Resultados!J70,Resultados!S70,Resultados!AB70)))</f>
        <v/>
      </c>
      <c r="B70" t="str">
        <f>IF(COUNT(Resultados!B70,Resultados!K70,Resultados!T70,Resultados!AC70)&lt;=1, "", _xlfn.STDEV.S(ABS(Resultados!B70),ABS(Resultados!K70),ABS(Resultados!T70),ABS(Resultados!AC70))/SQRT(COUNT(Resultados!B70,Resultados!K70,Resultados!T70,Resultados!AC70)))</f>
        <v/>
      </c>
      <c r="C70">
        <f>IF(COUNT(Resultados!C70,Resultados!L70,Resultados!U70,Resultados!AD70)&lt;=1, "", _xlfn.STDEV.S(ABS(Resultados!C70),ABS(Resultados!L70),ABS(Resultados!U70),ABS(Resultados!AD70))/SQRT(COUNT(Resultados!C70,Resultados!L70,Resultados!U70,Resultados!AD70)))</f>
        <v>0.25</v>
      </c>
      <c r="D70">
        <f>IF(COUNT(Resultados!D70,Resultados!M70,Resultados!V70,Resultados!AE70)&lt;=1, "", _xlfn.STDEV.S(ABS(Resultados!D70),ABS(Resultados!M70),ABS(Resultados!V70),ABS(Resultados!AE70))/SQRT(COUNT(Resultados!D70,Resultados!M70,Resultados!V70,Resultados!AE70)))</f>
        <v>5.2281290471193752E-4</v>
      </c>
      <c r="E70">
        <f>IF(COUNT(Resultados!E70,Resultados!N70,Resultados!W70,Resultados!AF70)&lt;=1, "", _xlfn.STDEV.S(ABS(Resultados!E70),ABS(Resultados!N70),ABS(Resultados!W70),ABS(Resultados!AF70))/SQRT(COUNT(Resultados!E70,Resultados!N70,Resultados!W70,Resultados!AF70)))</f>
        <v>0</v>
      </c>
      <c r="F70">
        <f>IF(COUNT(Resultados!F70,Resultados!O70,Resultados!X70,Resultados!AG70)&lt;=1, "", _xlfn.STDEV.S(ABS(Resultados!F70),ABS(Resultados!O70),ABS(Resultados!X70),ABS(Resultados!AG70))/SQRT(COUNT(Resultados!F70,Resultados!O70,Resultados!X70,Resultados!AG70)))</f>
        <v>0</v>
      </c>
      <c r="G70">
        <f>IF(COUNT(Resultados!G70,Resultados!P70,Resultados!Y70,Resultados!AH70)&lt;=1, "", _xlfn.STDEV.S(ABS(Resultados!G70),ABS(Resultados!P70),ABS(Resultados!Y70),ABS(Resultados!AH70))/SQRT(COUNT(Resultados!G70,Resultados!P70,Resultados!Y70,Resultados!AH70)))</f>
        <v>0</v>
      </c>
      <c r="H70">
        <f>IF(COUNT(Resultados!H70,Resultados!Q70,Resultados!Z70,Resultados!AI70)&lt;=1, "", _xlfn.STDEV.S(ABS(Resultados!H70),ABS(Resultados!Q70),ABS(Resultados!Z70),ABS(Resultados!AI70))/SQRT(COUNT(Resultados!H70,Resultados!Q70,Resultados!Z70,Resultados!AI70)))</f>
        <v>0</v>
      </c>
      <c r="I70">
        <f>IF(COUNT(Resultados!I70,Resultados!R70,Resultados!AA70,Resultados!AJ70)&lt;=1, "", _xlfn.STDEV.S(ABS(Resultados!I70),ABS(Resultados!R70),ABS(Resultados!AA70),ABS(Resultados!AJ70))/SQRT(COUNT(Resultados!I70,Resultados!R70,Resultados!AA70,Resultados!AJ70)))</f>
        <v>0.10105230081497955</v>
      </c>
    </row>
    <row r="71" spans="1:9" x14ac:dyDescent="0.3">
      <c r="A71" t="str">
        <f>IF(COUNT(Resultados!A71,Resultados!J71,Resultados!S71,Resultados!AB71)&lt;=1, "", _xlfn.STDEV.S(ABS(Resultados!A71),ABS(Resultados!J71),ABS(Resultados!S71),ABS(Resultados!AB71))/SQRT(COUNT(Resultados!A71,Resultados!J71,Resultados!S71,Resultados!AB71)))</f>
        <v/>
      </c>
      <c r="B71" t="str">
        <f>IF(COUNT(Resultados!B71,Resultados!K71,Resultados!T71,Resultados!AC71)&lt;=1, "", _xlfn.STDEV.S(ABS(Resultados!B71),ABS(Resultados!K71),ABS(Resultados!T71),ABS(Resultados!AC71))/SQRT(COUNT(Resultados!B71,Resultados!K71,Resultados!T71,Resultados!AC71)))</f>
        <v/>
      </c>
      <c r="C71">
        <f>IF(COUNT(Resultados!C71,Resultados!L71,Resultados!U71,Resultados!AD71)&lt;=1, "", _xlfn.STDEV.S(ABS(Resultados!C71),ABS(Resultados!L71),ABS(Resultados!U71),ABS(Resultados!AD71))/SQRT(COUNT(Resultados!C71,Resultados!L71,Resultados!U71,Resultados!AD71)))</f>
        <v>0.25</v>
      </c>
      <c r="D71">
        <f>IF(COUNT(Resultados!D71,Resultados!M71,Resultados!V71,Resultados!AE71)&lt;=1, "", _xlfn.STDEV.S(ABS(Resultados!D71),ABS(Resultados!M71),ABS(Resultados!V71),ABS(Resultados!AE71))/SQRT(COUNT(Resultados!D71,Resultados!M71,Resultados!V71,Resultados!AE71)))</f>
        <v>2.4152294576982323E-4</v>
      </c>
      <c r="E71">
        <f>IF(COUNT(Resultados!E71,Resultados!N71,Resultados!W71,Resultados!AF71)&lt;=1, "", _xlfn.STDEV.S(ABS(Resultados!E71),ABS(Resultados!N71),ABS(Resultados!W71),ABS(Resultados!AF71))/SQRT(COUNT(Resultados!E71,Resultados!N71,Resultados!W71,Resultados!AF71)))</f>
        <v>0</v>
      </c>
      <c r="F71">
        <f>IF(COUNT(Resultados!F71,Resultados!O71,Resultados!X71,Resultados!AG71)&lt;=1, "", _xlfn.STDEV.S(ABS(Resultados!F71),ABS(Resultados!O71),ABS(Resultados!X71),ABS(Resultados!AG71))/SQRT(COUNT(Resultados!F71,Resultados!O71,Resultados!X71,Resultados!AG71)))</f>
        <v>0</v>
      </c>
      <c r="G71">
        <f>IF(COUNT(Resultados!G71,Resultados!P71,Resultados!Y71,Resultados!AH71)&lt;=1, "", _xlfn.STDEV.S(ABS(Resultados!G71),ABS(Resultados!P71),ABS(Resultados!Y71),ABS(Resultados!AH71))/SQRT(COUNT(Resultados!G71,Resultados!P71,Resultados!Y71,Resultados!AH71)))</f>
        <v>0</v>
      </c>
      <c r="H71">
        <f>IF(COUNT(Resultados!H71,Resultados!Q71,Resultados!Z71,Resultados!AI71)&lt;=1, "", _xlfn.STDEV.S(ABS(Resultados!H71),ABS(Resultados!Q71),ABS(Resultados!Z71),ABS(Resultados!AI71))/SQRT(COUNT(Resultados!H71,Resultados!Q71,Resultados!Z71,Resultados!AI71)))</f>
        <v>0</v>
      </c>
      <c r="I71">
        <f>IF(COUNT(Resultados!I71,Resultados!R71,Resultados!AA71,Resultados!AJ71)&lt;=1, "", _xlfn.STDEV.S(ABS(Resultados!I71),ABS(Resultados!R71),ABS(Resultados!AA71),ABS(Resultados!AJ71))/SQRT(COUNT(Resultados!I71,Resultados!R71,Resultados!AA71,Resultados!AJ71)))</f>
        <v>9.9612636204782085E-2</v>
      </c>
    </row>
    <row r="72" spans="1:9" x14ac:dyDescent="0.3">
      <c r="A72" t="str">
        <f>IF(COUNT(Resultados!A72,Resultados!J72,Resultados!S72,Resultados!AB72)&lt;=1, "", _xlfn.STDEV.S(ABS(Resultados!A72),ABS(Resultados!J72),ABS(Resultados!S72),ABS(Resultados!AB72))/SQRT(COUNT(Resultados!A72,Resultados!J72,Resultados!S72,Resultados!AB72)))</f>
        <v/>
      </c>
      <c r="B72" t="str">
        <f>IF(COUNT(Resultados!B72,Resultados!K72,Resultados!T72,Resultados!AC72)&lt;=1, "", _xlfn.STDEV.S(ABS(Resultados!B72),ABS(Resultados!K72),ABS(Resultados!T72),ABS(Resultados!AC72))/SQRT(COUNT(Resultados!B72,Resultados!K72,Resultados!T72,Resultados!AC72)))</f>
        <v/>
      </c>
      <c r="C72">
        <f>IF(COUNT(Resultados!C72,Resultados!L72,Resultados!U72,Resultados!AD72)&lt;=1, "", _xlfn.STDEV.S(ABS(Resultados!C72),ABS(Resultados!L72),ABS(Resultados!U72),ABS(Resultados!AD72))/SQRT(COUNT(Resultados!C72,Resultados!L72,Resultados!U72,Resultados!AD72)))</f>
        <v>0.25</v>
      </c>
      <c r="D72">
        <f>IF(COUNT(Resultados!D72,Resultados!M72,Resultados!V72,Resultados!AE72)&lt;=1, "", _xlfn.STDEV.S(ABS(Resultados!D72),ABS(Resultados!M72),ABS(Resultados!V72),ABS(Resultados!AE72))/SQRT(COUNT(Resultados!D72,Resultados!M72,Resultados!V72,Resultados!AE72)))</f>
        <v>1.436140661634505E-4</v>
      </c>
      <c r="E72">
        <f>IF(COUNT(Resultados!E72,Resultados!N72,Resultados!W72,Resultados!AF72)&lt;=1, "", _xlfn.STDEV.S(ABS(Resultados!E72),ABS(Resultados!N72),ABS(Resultados!W72),ABS(Resultados!AF72))/SQRT(COUNT(Resultados!E72,Resultados!N72,Resultados!W72,Resultados!AF72)))</f>
        <v>0</v>
      </c>
      <c r="F72">
        <f>IF(COUNT(Resultados!F72,Resultados!O72,Resultados!X72,Resultados!AG72)&lt;=1, "", _xlfn.STDEV.S(ABS(Resultados!F72),ABS(Resultados!O72),ABS(Resultados!X72),ABS(Resultados!AG72))/SQRT(COUNT(Resultados!F72,Resultados!O72,Resultados!X72,Resultados!AG72)))</f>
        <v>0</v>
      </c>
      <c r="G72">
        <f>IF(COUNT(Resultados!G72,Resultados!P72,Resultados!Y72,Resultados!AH72)&lt;=1, "", _xlfn.STDEV.S(ABS(Resultados!G72),ABS(Resultados!P72),ABS(Resultados!Y72),ABS(Resultados!AH72))/SQRT(COUNT(Resultados!G72,Resultados!P72,Resultados!Y72,Resultados!AH72)))</f>
        <v>0</v>
      </c>
      <c r="H72">
        <f>IF(COUNT(Resultados!H72,Resultados!Q72,Resultados!Z72,Resultados!AI72)&lt;=1, "", _xlfn.STDEV.S(ABS(Resultados!H72),ABS(Resultados!Q72),ABS(Resultados!Z72),ABS(Resultados!AI72))/SQRT(COUNT(Resultados!H72,Resultados!Q72,Resultados!Z72,Resultados!AI72)))</f>
        <v>0</v>
      </c>
      <c r="I72">
        <f>IF(COUNT(Resultados!I72,Resultados!R72,Resultados!AA72,Resultados!AJ72)&lt;=1, "", _xlfn.STDEV.S(ABS(Resultados!I72),ABS(Resultados!R72),ABS(Resultados!AA72),ABS(Resultados!AJ72))/SQRT(COUNT(Resultados!I72,Resultados!R72,Resultados!AA72,Resultados!AJ72)))</f>
        <v>9.9861357015606403E-2</v>
      </c>
    </row>
    <row r="73" spans="1:9" x14ac:dyDescent="0.3">
      <c r="A73" t="str">
        <f>IF(COUNT(Resultados!A73,Resultados!J73,Resultados!S73,Resultados!AB73)&lt;=1, "", _xlfn.STDEV.S(ABS(Resultados!A73),ABS(Resultados!J73),ABS(Resultados!S73),ABS(Resultados!AB73))/SQRT(COUNT(Resultados!A73,Resultados!J73,Resultados!S73,Resultados!AB73)))</f>
        <v/>
      </c>
      <c r="B73" t="str">
        <f>IF(COUNT(Resultados!B73,Resultados!K73,Resultados!T73,Resultados!AC73)&lt;=1, "", _xlfn.STDEV.S(ABS(Resultados!B73),ABS(Resultados!K73),ABS(Resultados!T73),ABS(Resultados!AC73))/SQRT(COUNT(Resultados!B73,Resultados!K73,Resultados!T73,Resultados!AC73)))</f>
        <v/>
      </c>
      <c r="C73">
        <f>IF(COUNT(Resultados!C73,Resultados!L73,Resultados!U73,Resultados!AD73)&lt;=1, "", _xlfn.STDEV.S(ABS(Resultados!C73),ABS(Resultados!L73),ABS(Resultados!U73),ABS(Resultados!AD73))/SQRT(COUNT(Resultados!C73,Resultados!L73,Resultados!U73,Resultados!AD73)))</f>
        <v>0.25</v>
      </c>
      <c r="D73">
        <f>IF(COUNT(Resultados!D73,Resultados!M73,Resultados!V73,Resultados!AE73)&lt;=1, "", _xlfn.STDEV.S(ABS(Resultados!D73),ABS(Resultados!M73),ABS(Resultados!V73),ABS(Resultados!AE73))/SQRT(COUNT(Resultados!D73,Resultados!M73,Resultados!V73,Resultados!AE73)))</f>
        <v>1.4930394055974089E-4</v>
      </c>
      <c r="E73">
        <f>IF(COUNT(Resultados!E73,Resultados!N73,Resultados!W73,Resultados!AF73)&lt;=1, "", _xlfn.STDEV.S(ABS(Resultados!E73),ABS(Resultados!N73),ABS(Resultados!W73),ABS(Resultados!AF73))/SQRT(COUNT(Resultados!E73,Resultados!N73,Resultados!W73,Resultados!AF73)))</f>
        <v>0</v>
      </c>
      <c r="F73">
        <f>IF(COUNT(Resultados!F73,Resultados!O73,Resultados!X73,Resultados!AG73)&lt;=1, "", _xlfn.STDEV.S(ABS(Resultados!F73),ABS(Resultados!O73),ABS(Resultados!X73),ABS(Resultados!AG73))/SQRT(COUNT(Resultados!F73,Resultados!O73,Resultados!X73,Resultados!AG73)))</f>
        <v>0</v>
      </c>
      <c r="G73">
        <f>IF(COUNT(Resultados!G73,Resultados!P73,Resultados!Y73,Resultados!AH73)&lt;=1, "", _xlfn.STDEV.S(ABS(Resultados!G73),ABS(Resultados!P73),ABS(Resultados!Y73),ABS(Resultados!AH73))/SQRT(COUNT(Resultados!G73,Resultados!P73,Resultados!Y73,Resultados!AH73)))</f>
        <v>0</v>
      </c>
      <c r="H73">
        <f>IF(COUNT(Resultados!H73,Resultados!Q73,Resultados!Z73,Resultados!AI73)&lt;=1, "", _xlfn.STDEV.S(ABS(Resultados!H73),ABS(Resultados!Q73),ABS(Resultados!Z73),ABS(Resultados!AI73))/SQRT(COUNT(Resultados!H73,Resultados!Q73,Resultados!Z73,Resultados!AI73)))</f>
        <v>0</v>
      </c>
      <c r="I73">
        <f>IF(COUNT(Resultados!I73,Resultados!R73,Resultados!AA73,Resultados!AJ73)&lt;=1, "", _xlfn.STDEV.S(ABS(Resultados!I73),ABS(Resultados!R73),ABS(Resultados!AA73),ABS(Resultados!AJ73))/SQRT(COUNT(Resultados!I73,Resultados!R73,Resultados!AA73,Resultados!AJ73)))</f>
        <v>0.10015342813237836</v>
      </c>
    </row>
    <row r="74" spans="1:9" x14ac:dyDescent="0.3">
      <c r="A74" t="str">
        <f>IF(COUNT(Resultados!A74,Resultados!J74,Resultados!S74,Resultados!AB74)&lt;=1, "", _xlfn.STDEV.S(ABS(Resultados!A74),ABS(Resultados!J74),ABS(Resultados!S74),ABS(Resultados!AB74))/SQRT(COUNT(Resultados!A74,Resultados!J74,Resultados!S74,Resultados!AB74)))</f>
        <v/>
      </c>
      <c r="B74" t="str">
        <f>IF(COUNT(Resultados!B74,Resultados!K74,Resultados!T74,Resultados!AC74)&lt;=1, "", _xlfn.STDEV.S(ABS(Resultados!B74),ABS(Resultados!K74),ABS(Resultados!T74),ABS(Resultados!AC74))/SQRT(COUNT(Resultados!B74,Resultados!K74,Resultados!T74,Resultados!AC74)))</f>
        <v/>
      </c>
      <c r="C74">
        <f>IF(COUNT(Resultados!C74,Resultados!L74,Resultados!U74,Resultados!AD74)&lt;=1, "", _xlfn.STDEV.S(ABS(Resultados!C74),ABS(Resultados!L74),ABS(Resultados!U74),ABS(Resultados!AD74))/SQRT(COUNT(Resultados!C74,Resultados!L74,Resultados!U74,Resultados!AD74)))</f>
        <v>0.25</v>
      </c>
      <c r="D74">
        <f>IF(COUNT(Resultados!D74,Resultados!M74,Resultados!V74,Resultados!AE74)&lt;=1, "", _xlfn.STDEV.S(ABS(Resultados!D74),ABS(Resultados!M74),ABS(Resultados!V74),ABS(Resultados!AE74))/SQRT(COUNT(Resultados!D74,Resultados!M74,Resultados!V74,Resultados!AE74)))</f>
        <v>1.4719601443879734E-4</v>
      </c>
      <c r="E74">
        <f>IF(COUNT(Resultados!E74,Resultados!N74,Resultados!W74,Resultados!AF74)&lt;=1, "", _xlfn.STDEV.S(ABS(Resultados!E74),ABS(Resultados!N74),ABS(Resultados!W74),ABS(Resultados!AF74))/SQRT(COUNT(Resultados!E74,Resultados!N74,Resultados!W74,Resultados!AF74)))</f>
        <v>0</v>
      </c>
      <c r="F74">
        <f>IF(COUNT(Resultados!F74,Resultados!O74,Resultados!X74,Resultados!AG74)&lt;=1, "", _xlfn.STDEV.S(ABS(Resultados!F74),ABS(Resultados!O74),ABS(Resultados!X74),ABS(Resultados!AG74))/SQRT(COUNT(Resultados!F74,Resultados!O74,Resultados!X74,Resultados!AG74)))</f>
        <v>0</v>
      </c>
      <c r="G74">
        <f>IF(COUNT(Resultados!G74,Resultados!P74,Resultados!Y74,Resultados!AH74)&lt;=1, "", _xlfn.STDEV.S(ABS(Resultados!G74),ABS(Resultados!P74),ABS(Resultados!Y74),ABS(Resultados!AH74))/SQRT(COUNT(Resultados!G74,Resultados!P74,Resultados!Y74,Resultados!AH74)))</f>
        <v>0</v>
      </c>
      <c r="H74">
        <f>IF(COUNT(Resultados!H74,Resultados!Q74,Resultados!Z74,Resultados!AI74)&lt;=1, "", _xlfn.STDEV.S(ABS(Resultados!H74),ABS(Resultados!Q74),ABS(Resultados!Z74),ABS(Resultados!AI74))/SQRT(COUNT(Resultados!H74,Resultados!Q74,Resultados!Z74,Resultados!AI74)))</f>
        <v>0</v>
      </c>
      <c r="I74">
        <f>IF(COUNT(Resultados!I74,Resultados!R74,Resultados!AA74,Resultados!AJ74)&lt;=1, "", _xlfn.STDEV.S(ABS(Resultados!I74),ABS(Resultados!R74),ABS(Resultados!AA74),ABS(Resultados!AJ74))/SQRT(COUNT(Resultados!I74,Resultados!R74,Resultados!AA74,Resultados!AJ74)))</f>
        <v>9.9214232639935451E-2</v>
      </c>
    </row>
    <row r="75" spans="1:9" x14ac:dyDescent="0.3">
      <c r="A75" t="str">
        <f>IF(COUNT(Resultados!A75,Resultados!J75,Resultados!S75,Resultados!AB75)&lt;=1, "", _xlfn.STDEV.S(ABS(Resultados!A75),ABS(Resultados!J75),ABS(Resultados!S75),ABS(Resultados!AB75))/SQRT(COUNT(Resultados!A75,Resultados!J75,Resultados!S75,Resultados!AB75)))</f>
        <v/>
      </c>
      <c r="B75" t="str">
        <f>IF(COUNT(Resultados!B75,Resultados!K75,Resultados!T75,Resultados!AC75)&lt;=1, "", _xlfn.STDEV.S(ABS(Resultados!B75),ABS(Resultados!K75),ABS(Resultados!T75),ABS(Resultados!AC75))/SQRT(COUNT(Resultados!B75,Resultados!K75,Resultados!T75,Resultados!AC75)))</f>
        <v/>
      </c>
      <c r="C75">
        <f>IF(COUNT(Resultados!C75,Resultados!L75,Resultados!U75,Resultados!AD75)&lt;=1, "", _xlfn.STDEV.S(ABS(Resultados!C75),ABS(Resultados!L75),ABS(Resultados!U75),ABS(Resultados!AD75))/SQRT(COUNT(Resultados!C75,Resultados!L75,Resultados!U75,Resultados!AD75)))</f>
        <v>0.25</v>
      </c>
      <c r="D75">
        <f>IF(COUNT(Resultados!D75,Resultados!M75,Resultados!V75,Resultados!AE75)&lt;=1, "", _xlfn.STDEV.S(ABS(Resultados!D75),ABS(Resultados!M75),ABS(Resultados!V75),ABS(Resultados!AE75))/SQRT(COUNT(Resultados!D75,Resultados!M75,Resultados!V75,Resultados!AE75)))</f>
        <v>1.4719601443879734E-4</v>
      </c>
      <c r="E75">
        <f>IF(COUNT(Resultados!E75,Resultados!N75,Resultados!W75,Resultados!AF75)&lt;=1, "", _xlfn.STDEV.S(ABS(Resultados!E75),ABS(Resultados!N75),ABS(Resultados!W75),ABS(Resultados!AF75))/SQRT(COUNT(Resultados!E75,Resultados!N75,Resultados!W75,Resultados!AF75)))</f>
        <v>1.0136768749072091</v>
      </c>
      <c r="F75">
        <f>IF(COUNT(Resultados!F75,Resultados!O75,Resultados!X75,Resultados!AG75)&lt;=1, "", _xlfn.STDEV.S(ABS(Resultados!F75),ABS(Resultados!O75),ABS(Resultados!X75),ABS(Resultados!AG75))/SQRT(COUNT(Resultados!F75,Resultados!O75,Resultados!X75,Resultados!AG75)))</f>
        <v>94.474684741352007</v>
      </c>
      <c r="G75">
        <f>IF(COUNT(Resultados!G75,Resultados!P75,Resultados!Y75,Resultados!AH75)&lt;=1, "", _xlfn.STDEV.S(ABS(Resultados!G75),ABS(Resultados!P75),ABS(Resultados!Y75),ABS(Resultados!AH75))/SQRT(COUNT(Resultados!G75,Resultados!P75,Resultados!Y75,Resultados!AH75)))</f>
        <v>0</v>
      </c>
      <c r="H75">
        <f>IF(COUNT(Resultados!H75,Resultados!Q75,Resultados!Z75,Resultados!AI75)&lt;=1, "", _xlfn.STDEV.S(ABS(Resultados!H75),ABS(Resultados!Q75),ABS(Resultados!Z75),ABS(Resultados!AI75))/SQRT(COUNT(Resultados!H75,Resultados!Q75,Resultados!Z75,Resultados!AI75)))</f>
        <v>1.575E-2</v>
      </c>
      <c r="I75">
        <f>IF(COUNT(Resultados!I75,Resultados!R75,Resultados!AA75,Resultados!AJ75)&lt;=1, "", _xlfn.STDEV.S(ABS(Resultados!I75),ABS(Resultados!R75),ABS(Resultados!AA75),ABS(Resultados!AJ75))/SQRT(COUNT(Resultados!I75,Resultados!R75,Resultados!AA75,Resultados!AJ75)))</f>
        <v>9.9650476667200796E-2</v>
      </c>
    </row>
    <row r="76" spans="1:9" x14ac:dyDescent="0.3">
      <c r="A76" t="str">
        <f>IF(COUNT(Resultados!A76,Resultados!J76,Resultados!S76,Resultados!AB76)&lt;=1, "", _xlfn.STDEV.S(ABS(Resultados!A76),ABS(Resultados!J76),ABS(Resultados!S76),ABS(Resultados!AB76))/SQRT(COUNT(Resultados!A76,Resultados!J76,Resultados!S76,Resultados!AB76)))</f>
        <v/>
      </c>
      <c r="B76" t="str">
        <f>IF(COUNT(Resultados!B76,Resultados!K76,Resultados!T76,Resultados!AC76)&lt;=1, "", _xlfn.STDEV.S(ABS(Resultados!B76),ABS(Resultados!K76),ABS(Resultados!T76),ABS(Resultados!AC76))/SQRT(COUNT(Resultados!B76,Resultados!K76,Resultados!T76,Resultados!AC76)))</f>
        <v/>
      </c>
      <c r="C76">
        <f>IF(COUNT(Resultados!C76,Resultados!L76,Resultados!U76,Resultados!AD76)&lt;=1, "", _xlfn.STDEV.S(ABS(Resultados!C76),ABS(Resultados!L76),ABS(Resultados!U76),ABS(Resultados!AD76))/SQRT(COUNT(Resultados!C76,Resultados!L76,Resultados!U76,Resultados!AD76)))</f>
        <v>0.25</v>
      </c>
      <c r="D76">
        <f>IF(COUNT(Resultados!D76,Resultados!M76,Resultados!V76,Resultados!AE76)&lt;=1, "", _xlfn.STDEV.S(ABS(Resultados!D76),ABS(Resultados!M76),ABS(Resultados!V76),ABS(Resultados!AE76))/SQRT(COUNT(Resultados!D76,Resultados!M76,Resultados!V76,Resultados!AE76)))</f>
        <v>1.488567544095105E-3</v>
      </c>
      <c r="E76">
        <f>IF(COUNT(Resultados!E76,Resultados!N76,Resultados!W76,Resultados!AF76)&lt;=1, "", _xlfn.STDEV.S(ABS(Resultados!E76),ABS(Resultados!N76),ABS(Resultados!W76),ABS(Resultados!AF76))/SQRT(COUNT(Resultados!E76,Resultados!N76,Resultados!W76,Resultados!AF76)))</f>
        <v>1.0136768749072091</v>
      </c>
      <c r="F76">
        <f>IF(COUNT(Resultados!F76,Resultados!O76,Resultados!X76,Resultados!AG76)&lt;=1, "", _xlfn.STDEV.S(ABS(Resultados!F76),ABS(Resultados!O76),ABS(Resultados!X76),ABS(Resultados!AG76))/SQRT(COUNT(Resultados!F76,Resultados!O76,Resultados!X76,Resultados!AG76)))</f>
        <v>94.474684741352007</v>
      </c>
      <c r="G76">
        <f>IF(COUNT(Resultados!G76,Resultados!P76,Resultados!Y76,Resultados!AH76)&lt;=1, "", _xlfn.STDEV.S(ABS(Resultados!G76),ABS(Resultados!P76),ABS(Resultados!Y76),ABS(Resultados!AH76))/SQRT(COUNT(Resultados!G76,Resultados!P76,Resultados!Y76,Resultados!AH76)))</f>
        <v>0</v>
      </c>
      <c r="H76">
        <f>IF(COUNT(Resultados!H76,Resultados!Q76,Resultados!Z76,Resultados!AI76)&lt;=1, "", _xlfn.STDEV.S(ABS(Resultados!H76),ABS(Resultados!Q76),ABS(Resultados!Z76),ABS(Resultados!AI76))/SQRT(COUNT(Resultados!H76,Resultados!Q76,Resultados!Z76,Resultados!AI76)))</f>
        <v>1.575E-2</v>
      </c>
      <c r="I76">
        <f>IF(COUNT(Resultados!I76,Resultados!R76,Resultados!AA76,Resultados!AJ76)&lt;=1, "", _xlfn.STDEV.S(ABS(Resultados!I76),ABS(Resultados!R76),ABS(Resultados!AA76),ABS(Resultados!AJ76))/SQRT(COUNT(Resultados!I76,Resultados!R76,Resultados!AA76,Resultados!AJ76)))</f>
        <v>0.10011875032512822</v>
      </c>
    </row>
    <row r="77" spans="1:9" x14ac:dyDescent="0.3">
      <c r="A77" t="str">
        <f>IF(COUNT(Resultados!A77,Resultados!J77,Resultados!S77,Resultados!AB77)&lt;=1, "", _xlfn.STDEV.S(ABS(Resultados!A77),ABS(Resultados!J77),ABS(Resultados!S77),ABS(Resultados!AB77))/SQRT(COUNT(Resultados!A77,Resultados!J77,Resultados!S77,Resultados!AB77)))</f>
        <v/>
      </c>
      <c r="B77" t="str">
        <f>IF(COUNT(Resultados!B77,Resultados!K77,Resultados!T77,Resultados!AC77)&lt;=1, "", _xlfn.STDEV.S(ABS(Resultados!B77),ABS(Resultados!K77),ABS(Resultados!T77),ABS(Resultados!AC77))/SQRT(COUNT(Resultados!B77,Resultados!K77,Resultados!T77,Resultados!AC77)))</f>
        <v/>
      </c>
      <c r="C77">
        <f>IF(COUNT(Resultados!C77,Resultados!L77,Resultados!U77,Resultados!AD77)&lt;=1, "", _xlfn.STDEV.S(ABS(Resultados!C77),ABS(Resultados!L77),ABS(Resultados!U77),ABS(Resultados!AD77))/SQRT(COUNT(Resultados!C77,Resultados!L77,Resultados!U77,Resultados!AD77)))</f>
        <v>0.25</v>
      </c>
      <c r="D77">
        <f>IF(COUNT(Resultados!D77,Resultados!M77,Resultados!V77,Resultados!AE77)&lt;=1, "", _xlfn.STDEV.S(ABS(Resultados!D77),ABS(Resultados!M77),ABS(Resultados!V77),ABS(Resultados!AE77))/SQRT(COUNT(Resultados!D77,Resultados!M77,Resultados!V77,Resultados!AE77)))</f>
        <v>4.9521880685881262E-3</v>
      </c>
      <c r="E77">
        <f>IF(COUNT(Resultados!E77,Resultados!N77,Resultados!W77,Resultados!AF77)&lt;=1, "", _xlfn.STDEV.S(ABS(Resultados!E77),ABS(Resultados!N77),ABS(Resultados!W77),ABS(Resultados!AF77))/SQRT(COUNT(Resultados!E77,Resultados!N77,Resultados!W77,Resultados!AF77)))</f>
        <v>0</v>
      </c>
      <c r="F77">
        <f>IF(COUNT(Resultados!F77,Resultados!O77,Resultados!X77,Resultados!AG77)&lt;=1, "", _xlfn.STDEV.S(ABS(Resultados!F77),ABS(Resultados!O77),ABS(Resultados!X77),ABS(Resultados!AG77))/SQRT(COUNT(Resultados!F77,Resultados!O77,Resultados!X77,Resultados!AG77)))</f>
        <v>0</v>
      </c>
      <c r="G77">
        <f>IF(COUNT(Resultados!G77,Resultados!P77,Resultados!Y77,Resultados!AH77)&lt;=1, "", _xlfn.STDEV.S(ABS(Resultados!G77),ABS(Resultados!P77),ABS(Resultados!Y77),ABS(Resultados!AH77))/SQRT(COUNT(Resultados!G77,Resultados!P77,Resultados!Y77,Resultados!AH77)))</f>
        <v>0</v>
      </c>
      <c r="H77">
        <f>IF(COUNT(Resultados!H77,Resultados!Q77,Resultados!Z77,Resultados!AI77)&lt;=1, "", _xlfn.STDEV.S(ABS(Resultados!H77),ABS(Resultados!Q77),ABS(Resultados!Z77),ABS(Resultados!AI77))/SQRT(COUNT(Resultados!H77,Resultados!Q77,Resultados!Z77,Resultados!AI77)))</f>
        <v>0</v>
      </c>
      <c r="I77">
        <f>IF(COUNT(Resultados!I77,Resultados!R77,Resultados!AA77,Resultados!AJ77)&lt;=1, "", _xlfn.STDEV.S(ABS(Resultados!I77),ABS(Resultados!R77),ABS(Resultados!AA77),ABS(Resultados!AJ77))/SQRT(COUNT(Resultados!I77,Resultados!R77,Resultados!AA77,Resultados!AJ77)))</f>
        <v>9.936164061145443E-2</v>
      </c>
    </row>
    <row r="78" spans="1:9" x14ac:dyDescent="0.3">
      <c r="A78" t="str">
        <f>IF(COUNT(Resultados!A78,Resultados!J78,Resultados!S78,Resultados!AB78)&lt;=1, "", _xlfn.STDEV.S(ABS(Resultados!A78),ABS(Resultados!J78),ABS(Resultados!S78),ABS(Resultados!AB78))/SQRT(COUNT(Resultados!A78,Resultados!J78,Resultados!S78,Resultados!AB78)))</f>
        <v/>
      </c>
      <c r="B78" t="str">
        <f>IF(COUNT(Resultados!B78,Resultados!K78,Resultados!T78,Resultados!AC78)&lt;=1, "", _xlfn.STDEV.S(ABS(Resultados!B78),ABS(Resultados!K78),ABS(Resultados!T78),ABS(Resultados!AC78))/SQRT(COUNT(Resultados!B78,Resultados!K78,Resultados!T78,Resultados!AC78)))</f>
        <v/>
      </c>
      <c r="C78">
        <f>IF(COUNT(Resultados!C78,Resultados!L78,Resultados!U78,Resultados!AD78)&lt;=1, "", _xlfn.STDEV.S(ABS(Resultados!C78),ABS(Resultados!L78),ABS(Resultados!U78),ABS(Resultados!AD78))/SQRT(COUNT(Resultados!C78,Resultados!L78,Resultados!U78,Resultados!AD78)))</f>
        <v>0.25</v>
      </c>
      <c r="D78">
        <f>IF(COUNT(Resultados!D78,Resultados!M78,Resultados!V78,Resultados!AE78)&lt;=1, "", _xlfn.STDEV.S(ABS(Resultados!D78),ABS(Resultados!M78),ABS(Resultados!V78),ABS(Resultados!AE78))/SQRT(COUNT(Resultados!D78,Resultados!M78,Resultados!V78,Resultados!AE78)))</f>
        <v>6.5354163346084317E-3</v>
      </c>
      <c r="E78">
        <f>IF(COUNT(Resultados!E78,Resultados!N78,Resultados!W78,Resultados!AF78)&lt;=1, "", _xlfn.STDEV.S(ABS(Resultados!E78),ABS(Resultados!N78),ABS(Resultados!W78),ABS(Resultados!AF78))/SQRT(COUNT(Resultados!E78,Resultados!N78,Resultados!W78,Resultados!AF78)))</f>
        <v>0</v>
      </c>
      <c r="F78">
        <f>IF(COUNT(Resultados!F78,Resultados!O78,Resultados!X78,Resultados!AG78)&lt;=1, "", _xlfn.STDEV.S(ABS(Resultados!F78),ABS(Resultados!O78),ABS(Resultados!X78),ABS(Resultados!AG78))/SQRT(COUNT(Resultados!F78,Resultados!O78,Resultados!X78,Resultados!AG78)))</f>
        <v>0</v>
      </c>
      <c r="G78">
        <f>IF(COUNT(Resultados!G78,Resultados!P78,Resultados!Y78,Resultados!AH78)&lt;=1, "", _xlfn.STDEV.S(ABS(Resultados!G78),ABS(Resultados!P78),ABS(Resultados!Y78),ABS(Resultados!AH78))/SQRT(COUNT(Resultados!G78,Resultados!P78,Resultados!Y78,Resultados!AH78)))</f>
        <v>0</v>
      </c>
      <c r="H78">
        <f>IF(COUNT(Resultados!H78,Resultados!Q78,Resultados!Z78,Resultados!AI78)&lt;=1, "", _xlfn.STDEV.S(ABS(Resultados!H78),ABS(Resultados!Q78),ABS(Resultados!Z78),ABS(Resultados!AI78))/SQRT(COUNT(Resultados!H78,Resultados!Q78,Resultados!Z78,Resultados!AI78)))</f>
        <v>0</v>
      </c>
      <c r="I78">
        <f>IF(COUNT(Resultados!I78,Resultados!R78,Resultados!AA78,Resultados!AJ78)&lt;=1, "", _xlfn.STDEV.S(ABS(Resultados!I78),ABS(Resultados!R78),ABS(Resultados!AA78),ABS(Resultados!AJ78))/SQRT(COUNT(Resultados!I78,Resultados!R78,Resultados!AA78,Resultados!AJ78)))</f>
        <v>9.9608453247367099E-2</v>
      </c>
    </row>
    <row r="79" spans="1:9" x14ac:dyDescent="0.3">
      <c r="A79" t="str">
        <f>IF(COUNT(Resultados!A79,Resultados!J79,Resultados!S79,Resultados!AB79)&lt;=1, "", _xlfn.STDEV.S(ABS(Resultados!A79),ABS(Resultados!J79),ABS(Resultados!S79),ABS(Resultados!AB79))/SQRT(COUNT(Resultados!A79,Resultados!J79,Resultados!S79,Resultados!AB79)))</f>
        <v/>
      </c>
      <c r="B79" t="str">
        <f>IF(COUNT(Resultados!B79,Resultados!K79,Resultados!T79,Resultados!AC79)&lt;=1, "", _xlfn.STDEV.S(ABS(Resultados!B79),ABS(Resultados!K79),ABS(Resultados!T79),ABS(Resultados!AC79))/SQRT(COUNT(Resultados!B79,Resultados!K79,Resultados!T79,Resultados!AC79)))</f>
        <v/>
      </c>
      <c r="C79">
        <f>IF(COUNT(Resultados!C79,Resultados!L79,Resultados!U79,Resultados!AD79)&lt;=1, "", _xlfn.STDEV.S(ABS(Resultados!C79),ABS(Resultados!L79),ABS(Resultados!U79),ABS(Resultados!AD79))/SQRT(COUNT(Resultados!C79,Resultados!L79,Resultados!U79,Resultados!AD79)))</f>
        <v>0.25</v>
      </c>
      <c r="D79">
        <f>IF(COUNT(Resultados!D79,Resultados!M79,Resultados!V79,Resultados!AE79)&lt;=1, "", _xlfn.STDEV.S(ABS(Resultados!D79),ABS(Resultados!M79),ABS(Resultados!V79),ABS(Resultados!AE79))/SQRT(COUNT(Resultados!D79,Resultados!M79,Resultados!V79,Resultados!AE79)))</f>
        <v>3.7265656664906182E-3</v>
      </c>
      <c r="E79">
        <f>IF(COUNT(Resultados!E79,Resultados!N79,Resultados!W79,Resultados!AF79)&lt;=1, "", _xlfn.STDEV.S(ABS(Resultados!E79),ABS(Resultados!N79),ABS(Resultados!W79),ABS(Resultados!AF79))/SQRT(COUNT(Resultados!E79,Resultados!N79,Resultados!W79,Resultados!AF79)))</f>
        <v>0</v>
      </c>
      <c r="F79">
        <f>IF(COUNT(Resultados!F79,Resultados!O79,Resultados!X79,Resultados!AG79)&lt;=1, "", _xlfn.STDEV.S(ABS(Resultados!F79),ABS(Resultados!O79),ABS(Resultados!X79),ABS(Resultados!AG79))/SQRT(COUNT(Resultados!F79,Resultados!O79,Resultados!X79,Resultados!AG79)))</f>
        <v>0</v>
      </c>
      <c r="G79">
        <f>IF(COUNT(Resultados!G79,Resultados!P79,Resultados!Y79,Resultados!AH79)&lt;=1, "", _xlfn.STDEV.S(ABS(Resultados!G79),ABS(Resultados!P79),ABS(Resultados!Y79),ABS(Resultados!AH79))/SQRT(COUNT(Resultados!G79,Resultados!P79,Resultados!Y79,Resultados!AH79)))</f>
        <v>0</v>
      </c>
      <c r="H79">
        <f>IF(COUNT(Resultados!H79,Resultados!Q79,Resultados!Z79,Resultados!AI79)&lt;=1, "", _xlfn.STDEV.S(ABS(Resultados!H79),ABS(Resultados!Q79),ABS(Resultados!Z79),ABS(Resultados!AI79))/SQRT(COUNT(Resultados!H79,Resultados!Q79,Resultados!Z79,Resultados!AI79)))</f>
        <v>0</v>
      </c>
      <c r="I79">
        <f>IF(COUNT(Resultados!I79,Resultados!R79,Resultados!AA79,Resultados!AJ79)&lt;=1, "", _xlfn.STDEV.S(ABS(Resultados!I79),ABS(Resultados!R79),ABS(Resultados!AA79),ABS(Resultados!AJ79))/SQRT(COUNT(Resultados!I79,Resultados!R79,Resultados!AA79,Resultados!AJ79)))</f>
        <v>9.9801611543422514E-2</v>
      </c>
    </row>
    <row r="80" spans="1:9" x14ac:dyDescent="0.3">
      <c r="A80" t="str">
        <f>IF(COUNT(Resultados!A80,Resultados!J80,Resultados!S80,Resultados!AB80)&lt;=1, "", _xlfn.STDEV.S(ABS(Resultados!A80),ABS(Resultados!J80),ABS(Resultados!S80),ABS(Resultados!AB80))/SQRT(COUNT(Resultados!A80,Resultados!J80,Resultados!S80,Resultados!AB80)))</f>
        <v/>
      </c>
      <c r="B80" t="str">
        <f>IF(COUNT(Resultados!B80,Resultados!K80,Resultados!T80,Resultados!AC80)&lt;=1, "", _xlfn.STDEV.S(ABS(Resultados!B80),ABS(Resultados!K80),ABS(Resultados!T80),ABS(Resultados!AC80))/SQRT(COUNT(Resultados!B80,Resultados!K80,Resultados!T80,Resultados!AC80)))</f>
        <v/>
      </c>
      <c r="C80">
        <f>IF(COUNT(Resultados!C80,Resultados!L80,Resultados!U80,Resultados!AD80)&lt;=1, "", _xlfn.STDEV.S(ABS(Resultados!C80),ABS(Resultados!L80),ABS(Resultados!U80),ABS(Resultados!AD80))/SQRT(COUNT(Resultados!C80,Resultados!L80,Resultados!U80,Resultados!AD80)))</f>
        <v>0.25</v>
      </c>
      <c r="D80">
        <f>IF(COUNT(Resultados!D80,Resultados!M80,Resultados!V80,Resultados!AE80)&lt;=1, "", _xlfn.STDEV.S(ABS(Resultados!D80),ABS(Resultados!M80),ABS(Resultados!V80),ABS(Resultados!AE80))/SQRT(COUNT(Resultados!D80,Resultados!M80,Resultados!V80,Resultados!AE80)))</f>
        <v>1.3912674077976529E-3</v>
      </c>
      <c r="E80">
        <f>IF(COUNT(Resultados!E80,Resultados!N80,Resultados!W80,Resultados!AF80)&lt;=1, "", _xlfn.STDEV.S(ABS(Resultados!E80),ABS(Resultados!N80),ABS(Resultados!W80),ABS(Resultados!AF80))/SQRT(COUNT(Resultados!E80,Resultados!N80,Resultados!W80,Resultados!AF80)))</f>
        <v>0</v>
      </c>
      <c r="F80">
        <f>IF(COUNT(Resultados!F80,Resultados!O80,Resultados!X80,Resultados!AG80)&lt;=1, "", _xlfn.STDEV.S(ABS(Resultados!F80),ABS(Resultados!O80),ABS(Resultados!X80),ABS(Resultados!AG80))/SQRT(COUNT(Resultados!F80,Resultados!O80,Resultados!X80,Resultados!AG80)))</f>
        <v>0</v>
      </c>
      <c r="G80">
        <f>IF(COUNT(Resultados!G80,Resultados!P80,Resultados!Y80,Resultados!AH80)&lt;=1, "", _xlfn.STDEV.S(ABS(Resultados!G80),ABS(Resultados!P80),ABS(Resultados!Y80),ABS(Resultados!AH80))/SQRT(COUNT(Resultados!G80,Resultados!P80,Resultados!Y80,Resultados!AH80)))</f>
        <v>0</v>
      </c>
      <c r="H80">
        <f>IF(COUNT(Resultados!H80,Resultados!Q80,Resultados!Z80,Resultados!AI80)&lt;=1, "", _xlfn.STDEV.S(ABS(Resultados!H80),ABS(Resultados!Q80),ABS(Resultados!Z80),ABS(Resultados!AI80))/SQRT(COUNT(Resultados!H80,Resultados!Q80,Resultados!Z80,Resultados!AI80)))</f>
        <v>0</v>
      </c>
      <c r="I80">
        <f>IF(COUNT(Resultados!I80,Resultados!R80,Resultados!AA80,Resultados!AJ80)&lt;=1, "", _xlfn.STDEV.S(ABS(Resultados!I80),ABS(Resultados!R80),ABS(Resultados!AA80),ABS(Resultados!AJ80))/SQRT(COUNT(Resultados!I80,Resultados!R80,Resultados!AA80,Resultados!AJ80)))</f>
        <v>9.9033841017435481E-2</v>
      </c>
    </row>
    <row r="81" spans="1:9" x14ac:dyDescent="0.3">
      <c r="A81" t="str">
        <f>IF(COUNT(Resultados!A81,Resultados!J81,Resultados!S81,Resultados!AB81)&lt;=1, "", _xlfn.STDEV.S(ABS(Resultados!A81),ABS(Resultados!J81),ABS(Resultados!S81),ABS(Resultados!AB81))/SQRT(COUNT(Resultados!A81,Resultados!J81,Resultados!S81,Resultados!AB81)))</f>
        <v/>
      </c>
      <c r="B81" t="str">
        <f>IF(COUNT(Resultados!B81,Resultados!K81,Resultados!T81,Resultados!AC81)&lt;=1, "", _xlfn.STDEV.S(ABS(Resultados!B81),ABS(Resultados!K81),ABS(Resultados!T81),ABS(Resultados!AC81))/SQRT(COUNT(Resultados!B81,Resultados!K81,Resultados!T81,Resultados!AC81)))</f>
        <v/>
      </c>
      <c r="C81">
        <f>IF(COUNT(Resultados!C81,Resultados!L81,Resultados!U81,Resultados!AD81)&lt;=1, "", _xlfn.STDEV.S(ABS(Resultados!C81),ABS(Resultados!L81),ABS(Resultados!U81),ABS(Resultados!AD81))/SQRT(COUNT(Resultados!C81,Resultados!L81,Resultados!U81,Resultados!AD81)))</f>
        <v>0.25</v>
      </c>
      <c r="D81">
        <f>IF(COUNT(Resultados!D81,Resultados!M81,Resultados!V81,Resultados!AE81)&lt;=1, "", _xlfn.STDEV.S(ABS(Resultados!D81),ABS(Resultados!M81),ABS(Resultados!V81),ABS(Resultados!AE81))/SQRT(COUNT(Resultados!D81,Resultados!M81,Resultados!V81,Resultados!AE81)))</f>
        <v>5.0000000000000001E-4</v>
      </c>
      <c r="E81">
        <f>IF(COUNT(Resultados!E81,Resultados!N81,Resultados!W81,Resultados!AF81)&lt;=1, "", _xlfn.STDEV.S(ABS(Resultados!E81),ABS(Resultados!N81),ABS(Resultados!W81),ABS(Resultados!AF81))/SQRT(COUNT(Resultados!E81,Resultados!N81,Resultados!W81,Resultados!AF81)))</f>
        <v>0</v>
      </c>
      <c r="F81">
        <f>IF(COUNT(Resultados!F81,Resultados!O81,Resultados!X81,Resultados!AG81)&lt;=1, "", _xlfn.STDEV.S(ABS(Resultados!F81),ABS(Resultados!O81),ABS(Resultados!X81),ABS(Resultados!AG81))/SQRT(COUNT(Resultados!F81,Resultados!O81,Resultados!X81,Resultados!AG81)))</f>
        <v>0</v>
      </c>
      <c r="G81">
        <f>IF(COUNT(Resultados!G81,Resultados!P81,Resultados!Y81,Resultados!AH81)&lt;=1, "", _xlfn.STDEV.S(ABS(Resultados!G81),ABS(Resultados!P81),ABS(Resultados!Y81),ABS(Resultados!AH81))/SQRT(COUNT(Resultados!G81,Resultados!P81,Resultados!Y81,Resultados!AH81)))</f>
        <v>0</v>
      </c>
      <c r="H81">
        <f>IF(COUNT(Resultados!H81,Resultados!Q81,Resultados!Z81,Resultados!AI81)&lt;=1, "", _xlfn.STDEV.S(ABS(Resultados!H81),ABS(Resultados!Q81),ABS(Resultados!Z81),ABS(Resultados!AI81))/SQRT(COUNT(Resultados!H81,Resultados!Q81,Resultados!Z81,Resultados!AI81)))</f>
        <v>0</v>
      </c>
      <c r="I81">
        <f>IF(COUNT(Resultados!I81,Resultados!R81,Resultados!AA81,Resultados!AJ81)&lt;=1, "", _xlfn.STDEV.S(ABS(Resultados!I81),ABS(Resultados!R81),ABS(Resultados!AA81),ABS(Resultados!AJ81))/SQRT(COUNT(Resultados!I81,Resultados!R81,Resultados!AA81,Resultados!AJ81)))</f>
        <v>9.9446345458239174E-2</v>
      </c>
    </row>
    <row r="82" spans="1:9" x14ac:dyDescent="0.3">
      <c r="A82" t="str">
        <f>IF(COUNT(Resultados!A82,Resultados!J82,Resultados!S82,Resultados!AB82)&lt;=1, "", _xlfn.STDEV.S(ABS(Resultados!A82),ABS(Resultados!J82),ABS(Resultados!S82),ABS(Resultados!AB82))/SQRT(COUNT(Resultados!A82,Resultados!J82,Resultados!S82,Resultados!AB82)))</f>
        <v/>
      </c>
      <c r="B82" t="str">
        <f>IF(COUNT(Resultados!B82,Resultados!K82,Resultados!T82,Resultados!AC82)&lt;=1, "", _xlfn.STDEV.S(ABS(Resultados!B82),ABS(Resultados!K82),ABS(Resultados!T82),ABS(Resultados!AC82))/SQRT(COUNT(Resultados!B82,Resultados!K82,Resultados!T82,Resultados!AC82)))</f>
        <v/>
      </c>
      <c r="C82">
        <f>IF(COUNT(Resultados!C82,Resultados!L82,Resultados!U82,Resultados!AD82)&lt;=1, "", _xlfn.STDEV.S(ABS(Resultados!C82),ABS(Resultados!L82),ABS(Resultados!U82),ABS(Resultados!AD82))/SQRT(COUNT(Resultados!C82,Resultados!L82,Resultados!U82,Resultados!AD82)))</f>
        <v>0.25</v>
      </c>
      <c r="D82">
        <f>IF(COUNT(Resultados!D82,Resultados!M82,Resultados!V82,Resultados!AE82)&lt;=1, "", _xlfn.STDEV.S(ABS(Resultados!D82),ABS(Resultados!M82),ABS(Resultados!V82),ABS(Resultados!AE82))/SQRT(COUNT(Resultados!D82,Resultados!M82,Resultados!V82,Resultados!AE82)))</f>
        <v>0</v>
      </c>
      <c r="E82">
        <f>IF(COUNT(Resultados!E82,Resultados!N82,Resultados!W82,Resultados!AF82)&lt;=1, "", _xlfn.STDEV.S(ABS(Resultados!E82),ABS(Resultados!N82),ABS(Resultados!W82),ABS(Resultados!AF82))/SQRT(COUNT(Resultados!E82,Resultados!N82,Resultados!W82,Resultados!AF82)))</f>
        <v>0</v>
      </c>
      <c r="F82">
        <f>IF(COUNT(Resultados!F82,Resultados!O82,Resultados!X82,Resultados!AG82)&lt;=1, "", _xlfn.STDEV.S(ABS(Resultados!F82),ABS(Resultados!O82),ABS(Resultados!X82),ABS(Resultados!AG82))/SQRT(COUNT(Resultados!F82,Resultados!O82,Resultados!X82,Resultados!AG82)))</f>
        <v>0</v>
      </c>
      <c r="G82">
        <f>IF(COUNT(Resultados!G82,Resultados!P82,Resultados!Y82,Resultados!AH82)&lt;=1, "", _xlfn.STDEV.S(ABS(Resultados!G82),ABS(Resultados!P82),ABS(Resultados!Y82),ABS(Resultados!AH82))/SQRT(COUNT(Resultados!G82,Resultados!P82,Resultados!Y82,Resultados!AH82)))</f>
        <v>0</v>
      </c>
      <c r="H82">
        <f>IF(COUNT(Resultados!H82,Resultados!Q82,Resultados!Z82,Resultados!AI82)&lt;=1, "", _xlfn.STDEV.S(ABS(Resultados!H82),ABS(Resultados!Q82),ABS(Resultados!Z82),ABS(Resultados!AI82))/SQRT(COUNT(Resultados!H82,Resultados!Q82,Resultados!Z82,Resultados!AI82)))</f>
        <v>0</v>
      </c>
      <c r="I82">
        <f>IF(COUNT(Resultados!I82,Resultados!R82,Resultados!AA82,Resultados!AJ82)&lt;=1, "", _xlfn.STDEV.S(ABS(Resultados!I82),ABS(Resultados!R82),ABS(Resultados!AA82),ABS(Resultados!AJ82))/SQRT(COUNT(Resultados!I82,Resultados!R82,Resultados!AA82,Resultados!AJ82)))</f>
        <v>9.9687156477980252E-2</v>
      </c>
    </row>
    <row r="83" spans="1:9" x14ac:dyDescent="0.3">
      <c r="A83" t="str">
        <f>IF(COUNT(Resultados!A83,Resultados!J83,Resultados!S83,Resultados!AB83)&lt;=1, "", _xlfn.STDEV.S(ABS(Resultados!A83),ABS(Resultados!J83),ABS(Resultados!S83),ABS(Resultados!AB83))/SQRT(COUNT(Resultados!A83,Resultados!J83,Resultados!S83,Resultados!AB83)))</f>
        <v/>
      </c>
      <c r="B83" t="str">
        <f>IF(COUNT(Resultados!B83,Resultados!K83,Resultados!T83,Resultados!AC83)&lt;=1, "", _xlfn.STDEV.S(ABS(Resultados!B83),ABS(Resultados!K83),ABS(Resultados!T83),ABS(Resultados!AC83))/SQRT(COUNT(Resultados!B83,Resultados!K83,Resultados!T83,Resultados!AC83)))</f>
        <v/>
      </c>
      <c r="C83">
        <f>IF(COUNT(Resultados!C83,Resultados!L83,Resultados!U83,Resultados!AD83)&lt;=1, "", _xlfn.STDEV.S(ABS(Resultados!C83),ABS(Resultados!L83),ABS(Resultados!U83),ABS(Resultados!AD83))/SQRT(COUNT(Resultados!C83,Resultados!L83,Resultados!U83,Resultados!AD83)))</f>
        <v>0.25</v>
      </c>
      <c r="D83">
        <f>IF(COUNT(Resultados!D83,Resultados!M83,Resultados!V83,Resultados!AE83)&lt;=1, "", _xlfn.STDEV.S(ABS(Resultados!D83),ABS(Resultados!M83),ABS(Resultados!V83),ABS(Resultados!AE83))/SQRT(COUNT(Resultados!D83,Resultados!M83,Resultados!V83,Resultados!AE83)))</f>
        <v>2.5000000000000066E-5</v>
      </c>
      <c r="E83">
        <f>IF(COUNT(Resultados!E83,Resultados!N83,Resultados!W83,Resultados!AF83)&lt;=1, "", _xlfn.STDEV.S(ABS(Resultados!E83),ABS(Resultados!N83),ABS(Resultados!W83),ABS(Resultados!AF83))/SQRT(COUNT(Resultados!E83,Resultados!N83,Resultados!W83,Resultados!AF83)))</f>
        <v>0</v>
      </c>
      <c r="F83">
        <f>IF(COUNT(Resultados!F83,Resultados!O83,Resultados!X83,Resultados!AG83)&lt;=1, "", _xlfn.STDEV.S(ABS(Resultados!F83),ABS(Resultados!O83),ABS(Resultados!X83),ABS(Resultados!AG83))/SQRT(COUNT(Resultados!F83,Resultados!O83,Resultados!X83,Resultados!AG83)))</f>
        <v>0</v>
      </c>
      <c r="G83">
        <f>IF(COUNT(Resultados!G83,Resultados!P83,Resultados!Y83,Resultados!AH83)&lt;=1, "", _xlfn.STDEV.S(ABS(Resultados!G83),ABS(Resultados!P83),ABS(Resultados!Y83),ABS(Resultados!AH83))/SQRT(COUNT(Resultados!G83,Resultados!P83,Resultados!Y83,Resultados!AH83)))</f>
        <v>0</v>
      </c>
      <c r="H83">
        <f>IF(COUNT(Resultados!H83,Resultados!Q83,Resultados!Z83,Resultados!AI83)&lt;=1, "", _xlfn.STDEV.S(ABS(Resultados!H83),ABS(Resultados!Q83),ABS(Resultados!Z83),ABS(Resultados!AI83))/SQRT(COUNT(Resultados!H83,Resultados!Q83,Resultados!Z83,Resultados!AI83)))</f>
        <v>0</v>
      </c>
      <c r="I83">
        <f>IF(COUNT(Resultados!I83,Resultados!R83,Resultados!AA83,Resultados!AJ83)&lt;=1, "", _xlfn.STDEV.S(ABS(Resultados!I83),ABS(Resultados!R83),ABS(Resultados!AA83),ABS(Resultados!AJ83))/SQRT(COUNT(Resultados!I83,Resultados!R83,Resultados!AA83,Resultados!AJ83)))</f>
        <v>9.9667915265313836E-2</v>
      </c>
    </row>
    <row r="84" spans="1:9" x14ac:dyDescent="0.3">
      <c r="A84" t="str">
        <f>IF(COUNT(Resultados!A84,Resultados!J84,Resultados!S84,Resultados!AB84)&lt;=1, "", _xlfn.STDEV.S(ABS(Resultados!A84),ABS(Resultados!J84),ABS(Resultados!S84),ABS(Resultados!AB84))/SQRT(COUNT(Resultados!A84,Resultados!J84,Resultados!S84,Resultados!AB84)))</f>
        <v/>
      </c>
      <c r="B84" t="str">
        <f>IF(COUNT(Resultados!B84,Resultados!K84,Resultados!T84,Resultados!AC84)&lt;=1, "", _xlfn.STDEV.S(ABS(Resultados!B84),ABS(Resultados!K84),ABS(Resultados!T84),ABS(Resultados!AC84))/SQRT(COUNT(Resultados!B84,Resultados!K84,Resultados!T84,Resultados!AC84)))</f>
        <v/>
      </c>
      <c r="C84">
        <f>IF(COUNT(Resultados!C84,Resultados!L84,Resultados!U84,Resultados!AD84)&lt;=1, "", _xlfn.STDEV.S(ABS(Resultados!C84),ABS(Resultados!L84),ABS(Resultados!U84),ABS(Resultados!AD84))/SQRT(COUNT(Resultados!C84,Resultados!L84,Resultados!U84,Resultados!AD84)))</f>
        <v>0.25</v>
      </c>
      <c r="D84">
        <f>IF(COUNT(Resultados!D84,Resultados!M84,Resultados!V84,Resultados!AE84)&lt;=1, "", _xlfn.STDEV.S(ABS(Resultados!D84),ABS(Resultados!M84),ABS(Resultados!V84),ABS(Resultados!AE84))/SQRT(COUNT(Resultados!D84,Resultados!M84,Resultados!V84,Resultados!AE84)))</f>
        <v>0</v>
      </c>
      <c r="E84">
        <f>IF(COUNT(Resultados!E84,Resultados!N84,Resultados!W84,Resultados!AF84)&lt;=1, "", _xlfn.STDEV.S(ABS(Resultados!E84),ABS(Resultados!N84),ABS(Resultados!W84),ABS(Resultados!AF84))/SQRT(COUNT(Resultados!E84,Resultados!N84,Resultados!W84,Resultados!AF84)))</f>
        <v>0</v>
      </c>
      <c r="F84">
        <f>IF(COUNT(Resultados!F84,Resultados!O84,Resultados!X84,Resultados!AG84)&lt;=1, "", _xlfn.STDEV.S(ABS(Resultados!F84),ABS(Resultados!O84),ABS(Resultados!X84),ABS(Resultados!AG84))/SQRT(COUNT(Resultados!F84,Resultados!O84,Resultados!X84,Resultados!AG84)))</f>
        <v>0</v>
      </c>
      <c r="G84">
        <f>IF(COUNT(Resultados!G84,Resultados!P84,Resultados!Y84,Resultados!AH84)&lt;=1, "", _xlfn.STDEV.S(ABS(Resultados!G84),ABS(Resultados!P84),ABS(Resultados!Y84),ABS(Resultados!AH84))/SQRT(COUNT(Resultados!G84,Resultados!P84,Resultados!Y84,Resultados!AH84)))</f>
        <v>0</v>
      </c>
      <c r="H84">
        <f>IF(COUNT(Resultados!H84,Resultados!Q84,Resultados!Z84,Resultados!AI84)&lt;=1, "", _xlfn.STDEV.S(ABS(Resultados!H84),ABS(Resultados!Q84),ABS(Resultados!Z84),ABS(Resultados!AI84))/SQRT(COUNT(Resultados!H84,Resultados!Q84,Resultados!Z84,Resultados!AI84)))</f>
        <v>0</v>
      </c>
      <c r="I84">
        <f>IF(COUNT(Resultados!I84,Resultados!R84,Resultados!AA84,Resultados!AJ84)&lt;=1, "", _xlfn.STDEV.S(ABS(Resultados!I84),ABS(Resultados!R84),ABS(Resultados!AA84),ABS(Resultados!AJ84))/SQRT(COUNT(Resultados!I84,Resultados!R84,Resultados!AA84,Resultados!AJ84)))</f>
        <v>9.9333336129749747E-2</v>
      </c>
    </row>
    <row r="85" spans="1:9" x14ac:dyDescent="0.3">
      <c r="A85" t="str">
        <f>IF(COUNT(Resultados!A85,Resultados!J85,Resultados!S85,Resultados!AB85)&lt;=1, "", _xlfn.STDEV.S(ABS(Resultados!A85),ABS(Resultados!J85),ABS(Resultados!S85),ABS(Resultados!AB85))/SQRT(COUNT(Resultados!A85,Resultados!J85,Resultados!S85,Resultados!AB85)))</f>
        <v/>
      </c>
      <c r="B85" t="str">
        <f>IF(COUNT(Resultados!B85,Resultados!K85,Resultados!T85,Resultados!AC85)&lt;=1, "", _xlfn.STDEV.S(ABS(Resultados!B85),ABS(Resultados!K85),ABS(Resultados!T85),ABS(Resultados!AC85))/SQRT(COUNT(Resultados!B85,Resultados!K85,Resultados!T85,Resultados!AC85)))</f>
        <v/>
      </c>
      <c r="C85">
        <f>IF(COUNT(Resultados!C85,Resultados!L85,Resultados!U85,Resultados!AD85)&lt;=1, "", _xlfn.STDEV.S(ABS(Resultados!C85),ABS(Resultados!L85),ABS(Resultados!U85),ABS(Resultados!AD85))/SQRT(COUNT(Resultados!C85,Resultados!L85,Resultados!U85,Resultados!AD85)))</f>
        <v>0.25</v>
      </c>
      <c r="D85">
        <f>IF(COUNT(Resultados!D85,Resultados!M85,Resultados!V85,Resultados!AE85)&lt;=1, "", _xlfn.STDEV.S(ABS(Resultados!D85),ABS(Resultados!M85),ABS(Resultados!V85),ABS(Resultados!AE85))/SQRT(COUNT(Resultados!D85,Resultados!M85,Resultados!V85,Resultados!AE85)))</f>
        <v>2.5000000000000066E-5</v>
      </c>
      <c r="E85">
        <f>IF(COUNT(Resultados!E85,Resultados!N85,Resultados!W85,Resultados!AF85)&lt;=1, "", _xlfn.STDEV.S(ABS(Resultados!E85),ABS(Resultados!N85),ABS(Resultados!W85),ABS(Resultados!AF85))/SQRT(COUNT(Resultados!E85,Resultados!N85,Resultados!W85,Resultados!AF85)))</f>
        <v>1.0136768749072091</v>
      </c>
      <c r="F85">
        <f>IF(COUNT(Resultados!F85,Resultados!O85,Resultados!X85,Resultados!AG85)&lt;=1, "", _xlfn.STDEV.S(ABS(Resultados!F85),ABS(Resultados!O85),ABS(Resultados!X85),ABS(Resultados!AG85))/SQRT(COUNT(Resultados!F85,Resultados!O85,Resultados!X85,Resultados!AG85)))</f>
        <v>122.84049847365395</v>
      </c>
      <c r="G85">
        <f>IF(COUNT(Resultados!G85,Resultados!P85,Resultados!Y85,Resultados!AH85)&lt;=1, "", _xlfn.STDEV.S(ABS(Resultados!G85),ABS(Resultados!P85),ABS(Resultados!Y85),ABS(Resultados!AH85))/SQRT(COUNT(Resultados!G85,Resultados!P85,Resultados!Y85,Resultados!AH85)))</f>
        <v>0</v>
      </c>
      <c r="H85">
        <f>IF(COUNT(Resultados!H85,Resultados!Q85,Resultados!Z85,Resultados!AI85)&lt;=1, "", _xlfn.STDEV.S(ABS(Resultados!H85),ABS(Resultados!Q85),ABS(Resultados!Z85),ABS(Resultados!AI85))/SQRT(COUNT(Resultados!H85,Resultados!Q85,Resultados!Z85,Resultados!AI85)))</f>
        <v>1.575E-2</v>
      </c>
      <c r="I85">
        <f>IF(COUNT(Resultados!I85,Resultados!R85,Resultados!AA85,Resultados!AJ85)&lt;=1, "", _xlfn.STDEV.S(ABS(Resultados!I85),ABS(Resultados!R85),ABS(Resultados!AA85),ABS(Resultados!AJ85))/SQRT(COUNT(Resultados!I85,Resultados!R85,Resultados!AA85,Resultados!AJ85)))</f>
        <v>9.9669963713574367E-2</v>
      </c>
    </row>
    <row r="86" spans="1:9" x14ac:dyDescent="0.3">
      <c r="A86" t="str">
        <f>IF(COUNT(Resultados!A86,Resultados!J86,Resultados!S86,Resultados!AB86)&lt;=1, "", _xlfn.STDEV.S(ABS(Resultados!A86),ABS(Resultados!J86),ABS(Resultados!S86),ABS(Resultados!AB86))/SQRT(COUNT(Resultados!A86,Resultados!J86,Resultados!S86,Resultados!AB86)))</f>
        <v/>
      </c>
      <c r="B86" t="str">
        <f>IF(COUNT(Resultados!B86,Resultados!K86,Resultados!T86,Resultados!AC86)&lt;=1, "", _xlfn.STDEV.S(ABS(Resultados!B86),ABS(Resultados!K86),ABS(Resultados!T86),ABS(Resultados!AC86))/SQRT(COUNT(Resultados!B86,Resultados!K86,Resultados!T86,Resultados!AC86)))</f>
        <v/>
      </c>
      <c r="C86">
        <f>IF(COUNT(Resultados!C86,Resultados!L86,Resultados!U86,Resultados!AD86)&lt;=1, "", _xlfn.STDEV.S(ABS(Resultados!C86),ABS(Resultados!L86),ABS(Resultados!U86),ABS(Resultados!AD86))/SQRT(COUNT(Resultados!C86,Resultados!L86,Resultados!U86,Resultados!AD86)))</f>
        <v>0.25</v>
      </c>
      <c r="D86">
        <f>IF(COUNT(Resultados!D86,Resultados!M86,Resultados!V86,Resultados!AE86)&lt;=1, "", _xlfn.STDEV.S(ABS(Resultados!D86),ABS(Resultados!M86),ABS(Resultados!V86),ABS(Resultados!AE86))/SQRT(COUNT(Resultados!D86,Resultados!M86,Resultados!V86,Resultados!AE86)))</f>
        <v>1.4250000000000003E-3</v>
      </c>
      <c r="E86">
        <f>IF(COUNT(Resultados!E86,Resultados!N86,Resultados!W86,Resultados!AF86)&lt;=1, "", _xlfn.STDEV.S(ABS(Resultados!E86),ABS(Resultados!N86),ABS(Resultados!W86),ABS(Resultados!AF86))/SQRT(COUNT(Resultados!E86,Resultados!N86,Resultados!W86,Resultados!AF86)))</f>
        <v>1.0136768749072091</v>
      </c>
      <c r="F86">
        <f>IF(COUNT(Resultados!F86,Resultados!O86,Resultados!X86,Resultados!AG86)&lt;=1, "", _xlfn.STDEV.S(ABS(Resultados!F86),ABS(Resultados!O86),ABS(Resultados!X86),ABS(Resultados!AG86))/SQRT(COUNT(Resultados!F86,Resultados!O86,Resultados!X86,Resultados!AG86)))</f>
        <v>94.474684741352007</v>
      </c>
      <c r="G86">
        <f>IF(COUNT(Resultados!G86,Resultados!P86,Resultados!Y86,Resultados!AH86)&lt;=1, "", _xlfn.STDEV.S(ABS(Resultados!G86),ABS(Resultados!P86),ABS(Resultados!Y86),ABS(Resultados!AH86))/SQRT(COUNT(Resultados!G86,Resultados!P86,Resultados!Y86,Resultados!AH86)))</f>
        <v>0</v>
      </c>
      <c r="H86">
        <f>IF(COUNT(Resultados!H86,Resultados!Q86,Resultados!Z86,Resultados!AI86)&lt;=1, "", _xlfn.STDEV.S(ABS(Resultados!H86),ABS(Resultados!Q86),ABS(Resultados!Z86),ABS(Resultados!AI86))/SQRT(COUNT(Resultados!H86,Resultados!Q86,Resultados!Z86,Resultados!AI86)))</f>
        <v>1.575E-2</v>
      </c>
      <c r="I86">
        <f>IF(COUNT(Resultados!I86,Resultados!R86,Resultados!AA86,Resultados!AJ86)&lt;=1, "", _xlfn.STDEV.S(ABS(Resultados!I86),ABS(Resultados!R86),ABS(Resultados!AA86),ABS(Resultados!AJ86))/SQRT(COUNT(Resultados!I86,Resultados!R86,Resultados!AA86,Resultados!AJ86)))</f>
        <v>0.10020910117514877</v>
      </c>
    </row>
    <row r="87" spans="1:9" x14ac:dyDescent="0.3">
      <c r="A87" t="str">
        <f>IF(COUNT(Resultados!A87,Resultados!J87,Resultados!S87,Resultados!AB87)&lt;=1, "", _xlfn.STDEV.S(ABS(Resultados!A87),ABS(Resultados!J87),ABS(Resultados!S87),ABS(Resultados!AB87))/SQRT(COUNT(Resultados!A87,Resultados!J87,Resultados!S87,Resultados!AB87)))</f>
        <v/>
      </c>
      <c r="B87" t="str">
        <f>IF(COUNT(Resultados!B87,Resultados!K87,Resultados!T87,Resultados!AC87)&lt;=1, "", _xlfn.STDEV.S(ABS(Resultados!B87),ABS(Resultados!K87),ABS(Resultados!T87),ABS(Resultados!AC87))/SQRT(COUNT(Resultados!B87,Resultados!K87,Resultados!T87,Resultados!AC87)))</f>
        <v/>
      </c>
      <c r="C87">
        <f>IF(COUNT(Resultados!C87,Resultados!L87,Resultados!U87,Resultados!AD87)&lt;=1, "", _xlfn.STDEV.S(ABS(Resultados!C87),ABS(Resultados!L87),ABS(Resultados!U87),ABS(Resultados!AD87))/SQRT(COUNT(Resultados!C87,Resultados!L87,Resultados!U87,Resultados!AD87)))</f>
        <v>0.25</v>
      </c>
      <c r="D87">
        <f>IF(COUNT(Resultados!D87,Resultados!M87,Resultados!V87,Resultados!AE87)&lt;=1, "", _xlfn.STDEV.S(ABS(Resultados!D87),ABS(Resultados!M87),ABS(Resultados!V87),ABS(Resultados!AE87))/SQRT(COUNT(Resultados!D87,Resultados!M87,Resultados!V87,Resultados!AE87)))</f>
        <v>6.5000000000000006E-3</v>
      </c>
      <c r="E87">
        <f>IF(COUNT(Resultados!E87,Resultados!N87,Resultados!W87,Resultados!AF87)&lt;=1, "", _xlfn.STDEV.S(ABS(Resultados!E87),ABS(Resultados!N87),ABS(Resultados!W87),ABS(Resultados!AF87))/SQRT(COUNT(Resultados!E87,Resultados!N87,Resultados!W87,Resultados!AF87)))</f>
        <v>0</v>
      </c>
      <c r="F87">
        <f>IF(COUNT(Resultados!F87,Resultados!O87,Resultados!X87,Resultados!AG87)&lt;=1, "", _xlfn.STDEV.S(ABS(Resultados!F87),ABS(Resultados!O87),ABS(Resultados!X87),ABS(Resultados!AG87))/SQRT(COUNT(Resultados!F87,Resultados!O87,Resultados!X87,Resultados!AG87)))</f>
        <v>28.365813732301945</v>
      </c>
      <c r="G87">
        <f>IF(COUNT(Resultados!G87,Resultados!P87,Resultados!Y87,Resultados!AH87)&lt;=1, "", _xlfn.STDEV.S(ABS(Resultados!G87),ABS(Resultados!P87),ABS(Resultados!Y87),ABS(Resultados!AH87))/SQRT(COUNT(Resultados!G87,Resultados!P87,Resultados!Y87,Resultados!AH87)))</f>
        <v>0</v>
      </c>
      <c r="H87">
        <f>IF(COUNT(Resultados!H87,Resultados!Q87,Resultados!Z87,Resultados!AI87)&lt;=1, "", _xlfn.STDEV.S(ABS(Resultados!H87),ABS(Resultados!Q87),ABS(Resultados!Z87),ABS(Resultados!AI87))/SQRT(COUNT(Resultados!H87,Resultados!Q87,Resultados!Z87,Resultados!AI87)))</f>
        <v>0</v>
      </c>
      <c r="I87">
        <f>IF(COUNT(Resultados!I87,Resultados!R87,Resultados!AA87,Resultados!AJ87)&lt;=1, "", _xlfn.STDEV.S(ABS(Resultados!I87),ABS(Resultados!R87),ABS(Resultados!AA87),ABS(Resultados!AJ87))/SQRT(COUNT(Resultados!I87,Resultados!R87,Resultados!AA87,Resultados!AJ87)))</f>
        <v>9.9993852936073824E-2</v>
      </c>
    </row>
    <row r="88" spans="1:9" x14ac:dyDescent="0.3">
      <c r="A88" t="str">
        <f>IF(COUNT(Resultados!A88,Resultados!J88,Resultados!S88,Resultados!AB88)&lt;=1, "", _xlfn.STDEV.S(ABS(Resultados!A88),ABS(Resultados!J88),ABS(Resultados!S88),ABS(Resultados!AB88))/SQRT(COUNT(Resultados!A88,Resultados!J88,Resultados!S88,Resultados!AB88)))</f>
        <v/>
      </c>
      <c r="B88" t="str">
        <f>IF(COUNT(Resultados!B88,Resultados!K88,Resultados!T88,Resultados!AC88)&lt;=1, "", _xlfn.STDEV.S(ABS(Resultados!B88),ABS(Resultados!K88),ABS(Resultados!T88),ABS(Resultados!AC88))/SQRT(COUNT(Resultados!B88,Resultados!K88,Resultados!T88,Resultados!AC88)))</f>
        <v/>
      </c>
      <c r="C88">
        <f>IF(COUNT(Resultados!C88,Resultados!L88,Resultados!U88,Resultados!AD88)&lt;=1, "", _xlfn.STDEV.S(ABS(Resultados!C88),ABS(Resultados!L88),ABS(Resultados!U88),ABS(Resultados!AD88))/SQRT(COUNT(Resultados!C88,Resultados!L88,Resultados!U88,Resultados!AD88)))</f>
        <v>0.25</v>
      </c>
      <c r="D88">
        <f>IF(COUNT(Resultados!D88,Resultados!M88,Resultados!V88,Resultados!AE88)&lt;=1, "", _xlfn.STDEV.S(ABS(Resultados!D88),ABS(Resultados!M88),ABS(Resultados!V88),ABS(Resultados!AE88))/SQRT(COUNT(Resultados!D88,Resultados!M88,Resultados!V88,Resultados!AE88)))</f>
        <v>5.9272499244309475E-3</v>
      </c>
      <c r="E88">
        <f>IF(COUNT(Resultados!E88,Resultados!N88,Resultados!W88,Resultados!AF88)&lt;=1, "", _xlfn.STDEV.S(ABS(Resultados!E88),ABS(Resultados!N88),ABS(Resultados!W88),ABS(Resultados!AF88))/SQRT(COUNT(Resultados!E88,Resultados!N88,Resultados!W88,Resultados!AF88)))</f>
        <v>0</v>
      </c>
      <c r="F88">
        <f>IF(COUNT(Resultados!F88,Resultados!O88,Resultados!X88,Resultados!AG88)&lt;=1, "", _xlfn.STDEV.S(ABS(Resultados!F88),ABS(Resultados!O88),ABS(Resultados!X88),ABS(Resultados!AG88))/SQRT(COUNT(Resultados!F88,Resultados!O88,Resultados!X88,Resultados!AG88)))</f>
        <v>0</v>
      </c>
      <c r="G88">
        <f>IF(COUNT(Resultados!G88,Resultados!P88,Resultados!Y88,Resultados!AH88)&lt;=1, "", _xlfn.STDEV.S(ABS(Resultados!G88),ABS(Resultados!P88),ABS(Resultados!Y88),ABS(Resultados!AH88))/SQRT(COUNT(Resultados!G88,Resultados!P88,Resultados!Y88,Resultados!AH88)))</f>
        <v>0</v>
      </c>
      <c r="H88">
        <f>IF(COUNT(Resultados!H88,Resultados!Q88,Resultados!Z88,Resultados!AI88)&lt;=1, "", _xlfn.STDEV.S(ABS(Resultados!H88),ABS(Resultados!Q88),ABS(Resultados!Z88),ABS(Resultados!AI88))/SQRT(COUNT(Resultados!H88,Resultados!Q88,Resultados!Z88,Resultados!AI88)))</f>
        <v>0</v>
      </c>
      <c r="I88">
        <f>IF(COUNT(Resultados!I88,Resultados!R88,Resultados!AA88,Resultados!AJ88)&lt;=1, "", _xlfn.STDEV.S(ABS(Resultados!I88),ABS(Resultados!R88),ABS(Resultados!AA88),ABS(Resultados!AJ88))/SQRT(COUNT(Resultados!I88,Resultados!R88,Resultados!AA88,Resultados!AJ88)))</f>
        <v>9.9870808214083021E-2</v>
      </c>
    </row>
    <row r="89" spans="1:9" x14ac:dyDescent="0.3">
      <c r="A89" t="str">
        <f>IF(COUNT(Resultados!A89,Resultados!J89,Resultados!S89,Resultados!AB89)&lt;=1, "", _xlfn.STDEV.S(ABS(Resultados!A89),ABS(Resultados!J89),ABS(Resultados!S89),ABS(Resultados!AB89))/SQRT(COUNT(Resultados!A89,Resultados!J89,Resultados!S89,Resultados!AB89)))</f>
        <v/>
      </c>
      <c r="B89" t="str">
        <f>IF(COUNT(Resultados!B89,Resultados!K89,Resultados!T89,Resultados!AC89)&lt;=1, "", _xlfn.STDEV.S(ABS(Resultados!B89),ABS(Resultados!K89),ABS(Resultados!T89),ABS(Resultados!AC89))/SQRT(COUNT(Resultados!B89,Resultados!K89,Resultados!T89,Resultados!AC89)))</f>
        <v/>
      </c>
      <c r="C89">
        <f>IF(COUNT(Resultados!C89,Resultados!L89,Resultados!U89,Resultados!AD89)&lt;=1, "", _xlfn.STDEV.S(ABS(Resultados!C89),ABS(Resultados!L89),ABS(Resultados!U89),ABS(Resultados!AD89))/SQRT(COUNT(Resultados!C89,Resultados!L89,Resultados!U89,Resultados!AD89)))</f>
        <v>0.25</v>
      </c>
      <c r="D89">
        <f>IF(COUNT(Resultados!D89,Resultados!M89,Resultados!V89,Resultados!AE89)&lt;=1, "", _xlfn.STDEV.S(ABS(Resultados!D89),ABS(Resultados!M89),ABS(Resultados!V89),ABS(Resultados!AE89))/SQRT(COUNT(Resultados!D89,Resultados!M89,Resultados!V89,Resultados!AE89)))</f>
        <v>1.5013188646431281E-3</v>
      </c>
      <c r="E89">
        <f>IF(COUNT(Resultados!E89,Resultados!N89,Resultados!W89,Resultados!AF89)&lt;=1, "", _xlfn.STDEV.S(ABS(Resultados!E89),ABS(Resultados!N89),ABS(Resultados!W89),ABS(Resultados!AF89))/SQRT(COUNT(Resultados!E89,Resultados!N89,Resultados!W89,Resultados!AF89)))</f>
        <v>0</v>
      </c>
      <c r="F89">
        <f>IF(COUNT(Resultados!F89,Resultados!O89,Resultados!X89,Resultados!AG89)&lt;=1, "", _xlfn.STDEV.S(ABS(Resultados!F89),ABS(Resultados!O89),ABS(Resultados!X89),ABS(Resultados!AG89))/SQRT(COUNT(Resultados!F89,Resultados!O89,Resultados!X89,Resultados!AG89)))</f>
        <v>0</v>
      </c>
      <c r="G89">
        <f>IF(COUNT(Resultados!G89,Resultados!P89,Resultados!Y89,Resultados!AH89)&lt;=1, "", _xlfn.STDEV.S(ABS(Resultados!G89),ABS(Resultados!P89),ABS(Resultados!Y89),ABS(Resultados!AH89))/SQRT(COUNT(Resultados!G89,Resultados!P89,Resultados!Y89,Resultados!AH89)))</f>
        <v>0</v>
      </c>
      <c r="H89">
        <f>IF(COUNT(Resultados!H89,Resultados!Q89,Resultados!Z89,Resultados!AI89)&lt;=1, "", _xlfn.STDEV.S(ABS(Resultados!H89),ABS(Resultados!Q89),ABS(Resultados!Z89),ABS(Resultados!AI89))/SQRT(COUNT(Resultados!H89,Resultados!Q89,Resultados!Z89,Resultados!AI89)))</f>
        <v>0</v>
      </c>
      <c r="I89">
        <f>IF(COUNT(Resultados!I89,Resultados!R89,Resultados!AA89,Resultados!AJ89)&lt;=1, "", _xlfn.STDEV.S(ABS(Resultados!I89),ABS(Resultados!R89),ABS(Resultados!AA89),ABS(Resultados!AJ89))/SQRT(COUNT(Resultados!I89,Resultados!R89,Resultados!AA89,Resultados!AJ89)))</f>
        <v>0.10008655004545002</v>
      </c>
    </row>
    <row r="90" spans="1:9" x14ac:dyDescent="0.3">
      <c r="A90" t="str">
        <f>IF(COUNT(Resultados!A90,Resultados!J90,Resultados!S90,Resultados!AB90)&lt;=1, "", _xlfn.STDEV.S(ABS(Resultados!A90),ABS(Resultados!J90),ABS(Resultados!S90),ABS(Resultados!AB90))/SQRT(COUNT(Resultados!A90,Resultados!J90,Resultados!S90,Resultados!AB90)))</f>
        <v/>
      </c>
      <c r="B90" t="str">
        <f>IF(COUNT(Resultados!B90,Resultados!K90,Resultados!T90,Resultados!AC90)&lt;=1, "", _xlfn.STDEV.S(ABS(Resultados!B90),ABS(Resultados!K90),ABS(Resultados!T90),ABS(Resultados!AC90))/SQRT(COUNT(Resultados!B90,Resultados!K90,Resultados!T90,Resultados!AC90)))</f>
        <v/>
      </c>
      <c r="C90">
        <f>IF(COUNT(Resultados!C90,Resultados!L90,Resultados!U90,Resultados!AD90)&lt;=1, "", _xlfn.STDEV.S(ABS(Resultados!C90),ABS(Resultados!L90),ABS(Resultados!U90),ABS(Resultados!AD90))/SQRT(COUNT(Resultados!C90,Resultados!L90,Resultados!U90,Resultados!AD90)))</f>
        <v>0.25</v>
      </c>
      <c r="D90">
        <f>IF(COUNT(Resultados!D90,Resultados!M90,Resultados!V90,Resultados!AE90)&lt;=1, "", _xlfn.STDEV.S(ABS(Resultados!D90),ABS(Resultados!M90),ABS(Resultados!V90),ABS(Resultados!AE90))/SQRT(COUNT(Resultados!D90,Resultados!M90,Resultados!V90,Resultados!AE90)))</f>
        <v>4.8733971724044883E-4</v>
      </c>
      <c r="E90">
        <f>IF(COUNT(Resultados!E90,Resultados!N90,Resultados!W90,Resultados!AF90)&lt;=1, "", _xlfn.STDEV.S(ABS(Resultados!E90),ABS(Resultados!N90),ABS(Resultados!W90),ABS(Resultados!AF90))/SQRT(COUNT(Resultados!E90,Resultados!N90,Resultados!W90,Resultados!AF90)))</f>
        <v>0</v>
      </c>
      <c r="F90">
        <f>IF(COUNT(Resultados!F90,Resultados!O90,Resultados!X90,Resultados!AG90)&lt;=1, "", _xlfn.STDEV.S(ABS(Resultados!F90),ABS(Resultados!O90),ABS(Resultados!X90),ABS(Resultados!AG90))/SQRT(COUNT(Resultados!F90,Resultados!O90,Resultados!X90,Resultados!AG90)))</f>
        <v>0</v>
      </c>
      <c r="G90">
        <f>IF(COUNT(Resultados!G90,Resultados!P90,Resultados!Y90,Resultados!AH90)&lt;=1, "", _xlfn.STDEV.S(ABS(Resultados!G90),ABS(Resultados!P90),ABS(Resultados!Y90),ABS(Resultados!AH90))/SQRT(COUNT(Resultados!G90,Resultados!P90,Resultados!Y90,Resultados!AH90)))</f>
        <v>0</v>
      </c>
      <c r="H90">
        <f>IF(COUNT(Resultados!H90,Resultados!Q90,Resultados!Z90,Resultados!AI90)&lt;=1, "", _xlfn.STDEV.S(ABS(Resultados!H90),ABS(Resultados!Q90),ABS(Resultados!Z90),ABS(Resultados!AI90))/SQRT(COUNT(Resultados!H90,Resultados!Q90,Resultados!Z90,Resultados!AI90)))</f>
        <v>0</v>
      </c>
      <c r="I90">
        <f>IF(COUNT(Resultados!I90,Resultados!R90,Resultados!AA90,Resultados!AJ90)&lt;=1, "", _xlfn.STDEV.S(ABS(Resultados!I90),ABS(Resultados!R90),ABS(Resultados!AA90),ABS(Resultados!AJ90))/SQRT(COUNT(Resultados!I90,Resultados!R90,Resultados!AA90,Resultados!AJ90)))</f>
        <v>0.1001444987255929</v>
      </c>
    </row>
    <row r="91" spans="1:9" x14ac:dyDescent="0.3">
      <c r="A91" t="str">
        <f>IF(COUNT(Resultados!A91,Resultados!J91,Resultados!S91,Resultados!AB91)&lt;=1, "", _xlfn.STDEV.S(ABS(Resultados!A91),ABS(Resultados!J91),ABS(Resultados!S91),ABS(Resultados!AB91))/SQRT(COUNT(Resultados!A91,Resultados!J91,Resultados!S91,Resultados!AB91)))</f>
        <v/>
      </c>
      <c r="B91" t="str">
        <f>IF(COUNT(Resultados!B91,Resultados!K91,Resultados!T91,Resultados!AC91)&lt;=1, "", _xlfn.STDEV.S(ABS(Resultados!B91),ABS(Resultados!K91),ABS(Resultados!T91),ABS(Resultados!AC91))/SQRT(COUNT(Resultados!B91,Resultados!K91,Resultados!T91,Resultados!AC91)))</f>
        <v/>
      </c>
      <c r="C91">
        <f>IF(COUNT(Resultados!C91,Resultados!L91,Resultados!U91,Resultados!AD91)&lt;=1, "", _xlfn.STDEV.S(ABS(Resultados!C91),ABS(Resultados!L91),ABS(Resultados!U91),ABS(Resultados!AD91))/SQRT(COUNT(Resultados!C91,Resultados!L91,Resultados!U91,Resultados!AD91)))</f>
        <v>0.25</v>
      </c>
      <c r="D91">
        <f>IF(COUNT(Resultados!D91,Resultados!M91,Resultados!V91,Resultados!AE91)&lt;=1, "", _xlfn.STDEV.S(ABS(Resultados!D91),ABS(Resultados!M91),ABS(Resultados!V91),ABS(Resultados!AE91))/SQRT(COUNT(Resultados!D91,Resultados!M91,Resultados!V91,Resultados!AE91)))</f>
        <v>2.1213203435596379E-4</v>
      </c>
      <c r="E91">
        <f>IF(COUNT(Resultados!E91,Resultados!N91,Resultados!W91,Resultados!AF91)&lt;=1, "", _xlfn.STDEV.S(ABS(Resultados!E91),ABS(Resultados!N91),ABS(Resultados!W91),ABS(Resultados!AF91))/SQRT(COUNT(Resultados!E91,Resultados!N91,Resultados!W91,Resultados!AF91)))</f>
        <v>0</v>
      </c>
      <c r="F91">
        <f>IF(COUNT(Resultados!F91,Resultados!O91,Resultados!X91,Resultados!AG91)&lt;=1, "", _xlfn.STDEV.S(ABS(Resultados!F91),ABS(Resultados!O91),ABS(Resultados!X91),ABS(Resultados!AG91))/SQRT(COUNT(Resultados!F91,Resultados!O91,Resultados!X91,Resultados!AG91)))</f>
        <v>0</v>
      </c>
      <c r="G91">
        <f>IF(COUNT(Resultados!G91,Resultados!P91,Resultados!Y91,Resultados!AH91)&lt;=1, "", _xlfn.STDEV.S(ABS(Resultados!G91),ABS(Resultados!P91),ABS(Resultados!Y91),ABS(Resultados!AH91))/SQRT(COUNT(Resultados!G91,Resultados!P91,Resultados!Y91,Resultados!AH91)))</f>
        <v>0</v>
      </c>
      <c r="H91">
        <f>IF(COUNT(Resultados!H91,Resultados!Q91,Resultados!Z91,Resultados!AI91)&lt;=1, "", _xlfn.STDEV.S(ABS(Resultados!H91),ABS(Resultados!Q91),ABS(Resultados!Z91),ABS(Resultados!AI91))/SQRT(COUNT(Resultados!H91,Resultados!Q91,Resultados!Z91,Resultados!AI91)))</f>
        <v>0</v>
      </c>
      <c r="I91">
        <f>IF(COUNT(Resultados!I91,Resultados!R91,Resultados!AA91,Resultados!AJ91)&lt;=1, "", _xlfn.STDEV.S(ABS(Resultados!I91),ABS(Resultados!R91),ABS(Resultados!AA91),ABS(Resultados!AJ91))/SQRT(COUNT(Resultados!I91,Resultados!R91,Resultados!AA91,Resultados!AJ91)))</f>
        <v>9.9417138864482127E-2</v>
      </c>
    </row>
    <row r="92" spans="1:9" x14ac:dyDescent="0.3">
      <c r="A92" t="str">
        <f>IF(COUNT(Resultados!A92,Resultados!J92,Resultados!S92,Resultados!AB92)&lt;=1, "", _xlfn.STDEV.S(ABS(Resultados!A92),ABS(Resultados!J92),ABS(Resultados!S92),ABS(Resultados!AB92))/SQRT(COUNT(Resultados!A92,Resultados!J92,Resultados!S92,Resultados!AB92)))</f>
        <v/>
      </c>
      <c r="B92" t="str">
        <f>IF(COUNT(Resultados!B92,Resultados!K92,Resultados!T92,Resultados!AC92)&lt;=1, "", _xlfn.STDEV.S(ABS(Resultados!B92),ABS(Resultados!K92),ABS(Resultados!T92),ABS(Resultados!AC92))/SQRT(COUNT(Resultados!B92,Resultados!K92,Resultados!T92,Resultados!AC92)))</f>
        <v/>
      </c>
      <c r="C92">
        <f>IF(COUNT(Resultados!C92,Resultados!L92,Resultados!U92,Resultados!AD92)&lt;=1, "", _xlfn.STDEV.S(ABS(Resultados!C92),ABS(Resultados!L92),ABS(Resultados!U92),ABS(Resultados!AD92))/SQRT(COUNT(Resultados!C92,Resultados!L92,Resultados!U92,Resultados!AD92)))</f>
        <v>0.25</v>
      </c>
      <c r="D92">
        <f>IF(COUNT(Resultados!D92,Resultados!M92,Resultados!V92,Resultados!AE92)&lt;=1, "", _xlfn.STDEV.S(ABS(Resultados!D92),ABS(Resultados!M92),ABS(Resultados!V92),ABS(Resultados!AE92))/SQRT(COUNT(Resultados!D92,Resultados!M92,Resultados!V92,Resultados!AE92)))</f>
        <v>8.5391256382995884E-5</v>
      </c>
      <c r="E92">
        <f>IF(COUNT(Resultados!E92,Resultados!N92,Resultados!W92,Resultados!AF92)&lt;=1, "", _xlfn.STDEV.S(ABS(Resultados!E92),ABS(Resultados!N92),ABS(Resultados!W92),ABS(Resultados!AF92))/SQRT(COUNT(Resultados!E92,Resultados!N92,Resultados!W92,Resultados!AF92)))</f>
        <v>0</v>
      </c>
      <c r="F92">
        <f>IF(COUNT(Resultados!F92,Resultados!O92,Resultados!X92,Resultados!AG92)&lt;=1, "", _xlfn.STDEV.S(ABS(Resultados!F92),ABS(Resultados!O92),ABS(Resultados!X92),ABS(Resultados!AG92))/SQRT(COUNT(Resultados!F92,Resultados!O92,Resultados!X92,Resultados!AG92)))</f>
        <v>0</v>
      </c>
      <c r="G92">
        <f>IF(COUNT(Resultados!G92,Resultados!P92,Resultados!Y92,Resultados!AH92)&lt;=1, "", _xlfn.STDEV.S(ABS(Resultados!G92),ABS(Resultados!P92),ABS(Resultados!Y92),ABS(Resultados!AH92))/SQRT(COUNT(Resultados!G92,Resultados!P92,Resultados!Y92,Resultados!AH92)))</f>
        <v>0</v>
      </c>
      <c r="H92">
        <f>IF(COUNT(Resultados!H92,Resultados!Q92,Resultados!Z92,Resultados!AI92)&lt;=1, "", _xlfn.STDEV.S(ABS(Resultados!H92),ABS(Resultados!Q92),ABS(Resultados!Z92),ABS(Resultados!AI92))/SQRT(COUNT(Resultados!H92,Resultados!Q92,Resultados!Z92,Resultados!AI92)))</f>
        <v>0</v>
      </c>
      <c r="I92">
        <f>IF(COUNT(Resultados!I92,Resultados!R92,Resultados!AA92,Resultados!AJ92)&lt;=1, "", _xlfn.STDEV.S(ABS(Resultados!I92),ABS(Resultados!R92),ABS(Resultados!AA92),ABS(Resultados!AJ92))/SQRT(COUNT(Resultados!I92,Resultados!R92,Resultados!AA92,Resultados!AJ92)))</f>
        <v>9.9776662059157681E-2</v>
      </c>
    </row>
    <row r="93" spans="1:9" x14ac:dyDescent="0.3">
      <c r="A93" t="str">
        <f>IF(COUNT(Resultados!A93,Resultados!J93,Resultados!S93,Resultados!AB93)&lt;=1, "", _xlfn.STDEV.S(ABS(Resultados!A93),ABS(Resultados!J93),ABS(Resultados!S93),ABS(Resultados!AB93))/SQRT(COUNT(Resultados!A93,Resultados!J93,Resultados!S93,Resultados!AB93)))</f>
        <v/>
      </c>
      <c r="B93" t="str">
        <f>IF(COUNT(Resultados!B93,Resultados!K93,Resultados!T93,Resultados!AC93)&lt;=1, "", _xlfn.STDEV.S(ABS(Resultados!B93),ABS(Resultados!K93),ABS(Resultados!T93),ABS(Resultados!AC93))/SQRT(COUNT(Resultados!B93,Resultados!K93,Resultados!T93,Resultados!AC93)))</f>
        <v/>
      </c>
      <c r="C93">
        <f>IF(COUNT(Resultados!C93,Resultados!L93,Resultados!U93,Resultados!AD93)&lt;=1, "", _xlfn.STDEV.S(ABS(Resultados!C93),ABS(Resultados!L93),ABS(Resultados!U93),ABS(Resultados!AD93))/SQRT(COUNT(Resultados!C93,Resultados!L93,Resultados!U93,Resultados!AD93)))</f>
        <v>0.25</v>
      </c>
      <c r="D93">
        <f>IF(COUNT(Resultados!D93,Resultados!M93,Resultados!V93,Resultados!AE93)&lt;=1, "", _xlfn.STDEV.S(ABS(Resultados!D93),ABS(Resultados!M93),ABS(Resultados!V93),ABS(Resultados!AE93))/SQRT(COUNT(Resultados!D93,Resultados!M93,Resultados!V93,Resultados!AE93)))</f>
        <v>9.5742710775633235E-5</v>
      </c>
      <c r="E93">
        <f>IF(COUNT(Resultados!E93,Resultados!N93,Resultados!W93,Resultados!AF93)&lt;=1, "", _xlfn.STDEV.S(ABS(Resultados!E93),ABS(Resultados!N93),ABS(Resultados!W93),ABS(Resultados!AF93))/SQRT(COUNT(Resultados!E93,Resultados!N93,Resultados!W93,Resultados!AF93)))</f>
        <v>0</v>
      </c>
      <c r="F93">
        <f>IF(COUNT(Resultados!F93,Resultados!O93,Resultados!X93,Resultados!AG93)&lt;=1, "", _xlfn.STDEV.S(ABS(Resultados!F93),ABS(Resultados!O93),ABS(Resultados!X93),ABS(Resultados!AG93))/SQRT(COUNT(Resultados!F93,Resultados!O93,Resultados!X93,Resultados!AG93)))</f>
        <v>0</v>
      </c>
      <c r="G93">
        <f>IF(COUNT(Resultados!G93,Resultados!P93,Resultados!Y93,Resultados!AH93)&lt;=1, "", _xlfn.STDEV.S(ABS(Resultados!G93),ABS(Resultados!P93),ABS(Resultados!Y93),ABS(Resultados!AH93))/SQRT(COUNT(Resultados!G93,Resultados!P93,Resultados!Y93,Resultados!AH93)))</f>
        <v>0</v>
      </c>
      <c r="H93">
        <f>IF(COUNT(Resultados!H93,Resultados!Q93,Resultados!Z93,Resultados!AI93)&lt;=1, "", _xlfn.STDEV.S(ABS(Resultados!H93),ABS(Resultados!Q93),ABS(Resultados!Z93),ABS(Resultados!AI93))/SQRT(COUNT(Resultados!H93,Resultados!Q93,Resultados!Z93,Resultados!AI93)))</f>
        <v>0</v>
      </c>
      <c r="I93">
        <f>IF(COUNT(Resultados!I93,Resultados!R93,Resultados!AA93,Resultados!AJ93)&lt;=1, "", _xlfn.STDEV.S(ABS(Resultados!I93),ABS(Resultados!R93),ABS(Resultados!AA93),ABS(Resultados!AJ93))/SQRT(COUNT(Resultados!I93,Resultados!R93,Resultados!AA93,Resultados!AJ93)))</f>
        <v>0.10025270154298681</v>
      </c>
    </row>
    <row r="94" spans="1:9" x14ac:dyDescent="0.3">
      <c r="A94" t="str">
        <f>IF(COUNT(Resultados!A94,Resultados!J94,Resultados!S94,Resultados!AB94)&lt;=1, "", _xlfn.STDEV.S(ABS(Resultados!A94),ABS(Resultados!J94),ABS(Resultados!S94),ABS(Resultados!AB94))/SQRT(COUNT(Resultados!A94,Resultados!J94,Resultados!S94,Resultados!AB94)))</f>
        <v/>
      </c>
      <c r="B94" t="str">
        <f>IF(COUNT(Resultados!B94,Resultados!K94,Resultados!T94,Resultados!AC94)&lt;=1, "", _xlfn.STDEV.S(ABS(Resultados!B94),ABS(Resultados!K94),ABS(Resultados!T94),ABS(Resultados!AC94))/SQRT(COUNT(Resultados!B94,Resultados!K94,Resultados!T94,Resultados!AC94)))</f>
        <v/>
      </c>
      <c r="C94">
        <f>IF(COUNT(Resultados!C94,Resultados!L94,Resultados!U94,Resultados!AD94)&lt;=1, "", _xlfn.STDEV.S(ABS(Resultados!C94),ABS(Resultados!L94),ABS(Resultados!U94),ABS(Resultados!AD94))/SQRT(COUNT(Resultados!C94,Resultados!L94,Resultados!U94,Resultados!AD94)))</f>
        <v>0.28867513459481287</v>
      </c>
      <c r="D94">
        <f>IF(COUNT(Resultados!D94,Resultados!M94,Resultados!V94,Resultados!AE94)&lt;=1, "", _xlfn.STDEV.S(ABS(Resultados!D94),ABS(Resultados!M94),ABS(Resultados!V94),ABS(Resultados!AE94))/SQRT(COUNT(Resultados!D94,Resultados!M94,Resultados!V94,Resultados!AE94)))</f>
        <v>9.5742710775633235E-5</v>
      </c>
      <c r="E94">
        <f>IF(COUNT(Resultados!E94,Resultados!N94,Resultados!W94,Resultados!AF94)&lt;=1, "", _xlfn.STDEV.S(ABS(Resultados!E94),ABS(Resultados!N94),ABS(Resultados!W94),ABS(Resultados!AF94))/SQRT(COUNT(Resultados!E94,Resultados!N94,Resultados!W94,Resultados!AF94)))</f>
        <v>0</v>
      </c>
      <c r="F94">
        <f>IF(COUNT(Resultados!F94,Resultados!O94,Resultados!X94,Resultados!AG94)&lt;=1, "", _xlfn.STDEV.S(ABS(Resultados!F94),ABS(Resultados!O94),ABS(Resultados!X94),ABS(Resultados!AG94))/SQRT(COUNT(Resultados!F94,Resultados!O94,Resultados!X94,Resultados!AG94)))</f>
        <v>0</v>
      </c>
      <c r="G94">
        <f>IF(COUNT(Resultados!G94,Resultados!P94,Resultados!Y94,Resultados!AH94)&lt;=1, "", _xlfn.STDEV.S(ABS(Resultados!G94),ABS(Resultados!P94),ABS(Resultados!Y94),ABS(Resultados!AH94))/SQRT(COUNT(Resultados!G94,Resultados!P94,Resultados!Y94,Resultados!AH94)))</f>
        <v>0</v>
      </c>
      <c r="H94">
        <f>IF(COUNT(Resultados!H94,Resultados!Q94,Resultados!Z94,Resultados!AI94)&lt;=1, "", _xlfn.STDEV.S(ABS(Resultados!H94),ABS(Resultados!Q94),ABS(Resultados!Z94),ABS(Resultados!AI94))/SQRT(COUNT(Resultados!H94,Resultados!Q94,Resultados!Z94,Resultados!AI94)))</f>
        <v>0</v>
      </c>
      <c r="I94">
        <f>IF(COUNT(Resultados!I94,Resultados!R94,Resultados!AA94,Resultados!AJ94)&lt;=1, "", _xlfn.STDEV.S(ABS(Resultados!I94),ABS(Resultados!R94),ABS(Resultados!AA94),ABS(Resultados!AJ94))/SQRT(COUNT(Resultados!I94,Resultados!R94,Resultados!AA94,Resultados!AJ94)))</f>
        <v>0.10116259498944022</v>
      </c>
    </row>
    <row r="95" spans="1:9" x14ac:dyDescent="0.3">
      <c r="A95" t="str">
        <f>IF(COUNT(Resultados!A95,Resultados!J95,Resultados!S95,Resultados!AB95)&lt;=1, "", _xlfn.STDEV.S(ABS(Resultados!A95),ABS(Resultados!J95),ABS(Resultados!S95),ABS(Resultados!AB95))/SQRT(COUNT(Resultados!A95,Resultados!J95,Resultados!S95,Resultados!AB95)))</f>
        <v/>
      </c>
      <c r="B95" t="str">
        <f>IF(COUNT(Resultados!B95,Resultados!K95,Resultados!T95,Resultados!AC95)&lt;=1, "", _xlfn.STDEV.S(ABS(Resultados!B95),ABS(Resultados!K95),ABS(Resultados!T95),ABS(Resultados!AC95))/SQRT(COUNT(Resultados!B95,Resultados!K95,Resultados!T95,Resultados!AC95)))</f>
        <v/>
      </c>
      <c r="C95">
        <f>IF(COUNT(Resultados!C95,Resultados!L95,Resultados!U95,Resultados!AD95)&lt;=1, "", _xlfn.STDEV.S(ABS(Resultados!C95),ABS(Resultados!L95),ABS(Resultados!U95),ABS(Resultados!AD95))/SQRT(COUNT(Resultados!C95,Resultados!L95,Resultados!U95,Resultados!AD95)))</f>
        <v>0.28867513459481287</v>
      </c>
      <c r="D95">
        <f>IF(COUNT(Resultados!D95,Resultados!M95,Resultados!V95,Resultados!AE95)&lt;=1, "", _xlfn.STDEV.S(ABS(Resultados!D95),ABS(Resultados!M95),ABS(Resultados!V95),ABS(Resultados!AE95))/SQRT(COUNT(Resultados!D95,Resultados!M95,Resultados!V95,Resultados!AE95)))</f>
        <v>8.5391256382995884E-5</v>
      </c>
      <c r="E95">
        <f>IF(COUNT(Resultados!E95,Resultados!N95,Resultados!W95,Resultados!AF95)&lt;=1, "", _xlfn.STDEV.S(ABS(Resultados!E95),ABS(Resultados!N95),ABS(Resultados!W95),ABS(Resultados!AF95))/SQRT(COUNT(Resultados!E95,Resultados!N95,Resultados!W95,Resultados!AF95)))</f>
        <v>1.0136768749072091</v>
      </c>
      <c r="F95">
        <f>IF(COUNT(Resultados!F95,Resultados!O95,Resultados!X95,Resultados!AG95)&lt;=1, "", _xlfn.STDEV.S(ABS(Resultados!F95),ABS(Resultados!O95),ABS(Resultados!X95),ABS(Resultados!AG95))/SQRT(COUNT(Resultados!F95,Resultados!O95,Resultados!X95,Resultados!AG95)))</f>
        <v>94.474684741352007</v>
      </c>
      <c r="G95">
        <f>IF(COUNT(Resultados!G95,Resultados!P95,Resultados!Y95,Resultados!AH95)&lt;=1, "", _xlfn.STDEV.S(ABS(Resultados!G95),ABS(Resultados!P95),ABS(Resultados!Y95),ABS(Resultados!AH95))/SQRT(COUNT(Resultados!G95,Resultados!P95,Resultados!Y95,Resultados!AH95)))</f>
        <v>0</v>
      </c>
      <c r="H95">
        <f>IF(COUNT(Resultados!H95,Resultados!Q95,Resultados!Z95,Resultados!AI95)&lt;=1, "", _xlfn.STDEV.S(ABS(Resultados!H95),ABS(Resultados!Q95),ABS(Resultados!Z95),ABS(Resultados!AI95))/SQRT(COUNT(Resultados!H95,Resultados!Q95,Resultados!Z95,Resultados!AI95)))</f>
        <v>1.575E-2</v>
      </c>
      <c r="I95">
        <f>IF(COUNT(Resultados!I95,Resultados!R95,Resultados!AA95,Resultados!AJ95)&lt;=1, "", _xlfn.STDEV.S(ABS(Resultados!I95),ABS(Resultados!R95),ABS(Resultados!AA95),ABS(Resultados!AJ95))/SQRT(COUNT(Resultados!I95,Resultados!R95,Resultados!AA95,Resultados!AJ95)))</f>
        <v>9.9436571072546359E-2</v>
      </c>
    </row>
    <row r="96" spans="1:9" x14ac:dyDescent="0.3">
      <c r="A96" t="str">
        <f>IF(COUNT(Resultados!A96,Resultados!J96,Resultados!S96,Resultados!AB96)&lt;=1, "", _xlfn.STDEV.S(ABS(Resultados!A96),ABS(Resultados!J96),ABS(Resultados!S96),ABS(Resultados!AB96))/SQRT(COUNT(Resultados!A96,Resultados!J96,Resultados!S96,Resultados!AB96)))</f>
        <v/>
      </c>
      <c r="B96" t="str">
        <f>IF(COUNT(Resultados!B96,Resultados!K96,Resultados!T96,Resultados!AC96)&lt;=1, "", _xlfn.STDEV.S(ABS(Resultados!B96),ABS(Resultados!K96),ABS(Resultados!T96),ABS(Resultados!AC96))/SQRT(COUNT(Resultados!B96,Resultados!K96,Resultados!T96,Resultados!AC96)))</f>
        <v/>
      </c>
      <c r="C96">
        <f>IF(COUNT(Resultados!C96,Resultados!L96,Resultados!U96,Resultados!AD96)&lt;=1, "", _xlfn.STDEV.S(ABS(Resultados!C96),ABS(Resultados!L96),ABS(Resultados!U96),ABS(Resultados!AD96))/SQRT(COUNT(Resultados!C96,Resultados!L96,Resultados!U96,Resultados!AD96)))</f>
        <v>0.28867513459481287</v>
      </c>
      <c r="D96">
        <f>IF(COUNT(Resultados!D96,Resultados!M96,Resultados!V96,Resultados!AE96)&lt;=1, "", _xlfn.STDEV.S(ABS(Resultados!D96),ABS(Resultados!M96),ABS(Resultados!V96),ABS(Resultados!AE96))/SQRT(COUNT(Resultados!D96,Resultados!M96,Resultados!V96,Resultados!AE96)))</f>
        <v>1.5840349322747492E-3</v>
      </c>
      <c r="E96">
        <f>IF(COUNT(Resultados!E96,Resultados!N96,Resultados!W96,Resultados!AF96)&lt;=1, "", _xlfn.STDEV.S(ABS(Resultados!E96),ABS(Resultados!N96),ABS(Resultados!W96),ABS(Resultados!AF96))/SQRT(COUNT(Resultados!E96,Resultados!N96,Resultados!W96,Resultados!AF96)))</f>
        <v>1.1704932331979516</v>
      </c>
      <c r="F96">
        <f>IF(COUNT(Resultados!F96,Resultados!O96,Resultados!X96,Resultados!AG96)&lt;=1, "", _xlfn.STDEV.S(ABS(Resultados!F96),ABS(Resultados!O96),ABS(Resultados!X96),ABS(Resultados!AG96))/SQRT(COUNT(Resultados!F96,Resultados!O96,Resultados!X96,Resultados!AG96)))</f>
        <v>109.08996933404923</v>
      </c>
      <c r="G96">
        <f>IF(COUNT(Resultados!G96,Resultados!P96,Resultados!Y96,Resultados!AH96)&lt;=1, "", _xlfn.STDEV.S(ABS(Resultados!G96),ABS(Resultados!P96),ABS(Resultados!Y96),ABS(Resultados!AH96))/SQRT(COUNT(Resultados!G96,Resultados!P96,Resultados!Y96,Resultados!AH96)))</f>
        <v>0</v>
      </c>
      <c r="H96">
        <f>IF(COUNT(Resultados!H96,Resultados!Q96,Resultados!Z96,Resultados!AI96)&lt;=1, "", _xlfn.STDEV.S(ABS(Resultados!H96),ABS(Resultados!Q96),ABS(Resultados!Z96),ABS(Resultados!AI96))/SQRT(COUNT(Resultados!H96,Resultados!Q96,Resultados!Z96,Resultados!AI96)))</f>
        <v>1.8186533479473212E-2</v>
      </c>
      <c r="I96">
        <f>IF(COUNT(Resultados!I96,Resultados!R96,Resultados!AA96,Resultados!AJ96)&lt;=1, "", _xlfn.STDEV.S(ABS(Resultados!I96),ABS(Resultados!R96),ABS(Resultados!AA96),ABS(Resultados!AJ96))/SQRT(COUNT(Resultados!I96,Resultados!R96,Resultados!AA96,Resultados!AJ96)))</f>
        <v>9.9500510886452537E-2</v>
      </c>
    </row>
    <row r="97" spans="1:9" x14ac:dyDescent="0.3">
      <c r="A97" t="str">
        <f>IF(COUNT(Resultados!A97,Resultados!J97,Resultados!S97,Resultados!AB97)&lt;=1, "", _xlfn.STDEV.S(ABS(Resultados!A97),ABS(Resultados!J97),ABS(Resultados!S97),ABS(Resultados!AB97))/SQRT(COUNT(Resultados!A97,Resultados!J97,Resultados!S97,Resultados!AB97)))</f>
        <v/>
      </c>
      <c r="B97" t="str">
        <f>IF(COUNT(Resultados!B97,Resultados!K97,Resultados!T97,Resultados!AC97)&lt;=1, "", _xlfn.STDEV.S(ABS(Resultados!B97),ABS(Resultados!K97),ABS(Resultados!T97),ABS(Resultados!AC97))/SQRT(COUNT(Resultados!B97,Resultados!K97,Resultados!T97,Resultados!AC97)))</f>
        <v/>
      </c>
      <c r="C97">
        <f>IF(COUNT(Resultados!C97,Resultados!L97,Resultados!U97,Resultados!AD97)&lt;=1, "", _xlfn.STDEV.S(ABS(Resultados!C97),ABS(Resultados!L97),ABS(Resultados!U97),ABS(Resultados!AD97))/SQRT(COUNT(Resultados!C97,Resultados!L97,Resultados!U97,Resultados!AD97)))</f>
        <v>0.28867513459481287</v>
      </c>
      <c r="D97">
        <f>IF(COUNT(Resultados!D97,Resultados!M97,Resultados!V97,Resultados!AE97)&lt;=1, "", _xlfn.STDEV.S(ABS(Resultados!D97),ABS(Resultados!M97),ABS(Resultados!V97),ABS(Resultados!AE97))/SQRT(COUNT(Resultados!D97,Resultados!M97,Resultados!V97,Resultados!AE97)))</f>
        <v>4.6433420076492319E-3</v>
      </c>
      <c r="E97">
        <f>IF(COUNT(Resultados!E97,Resultados!N97,Resultados!W97,Resultados!AF97)&lt;=1, "", _xlfn.STDEV.S(ABS(Resultados!E97),ABS(Resultados!N97),ABS(Resultados!W97),ABS(Resultados!AF97))/SQRT(COUNT(Resultados!E97,Resultados!N97,Resultados!W97,Resultados!AF97)))</f>
        <v>0</v>
      </c>
      <c r="F97">
        <f>IF(COUNT(Resultados!F97,Resultados!O97,Resultados!X97,Resultados!AG97)&lt;=1, "", _xlfn.STDEV.S(ABS(Resultados!F97),ABS(Resultados!O97),ABS(Resultados!X97),ABS(Resultados!AG97))/SQRT(COUNT(Resultados!F97,Resultados!O97,Resultados!X97,Resultados!AG97)))</f>
        <v>0</v>
      </c>
      <c r="G97">
        <f>IF(COUNT(Resultados!G97,Resultados!P97,Resultados!Y97,Resultados!AH97)&lt;=1, "", _xlfn.STDEV.S(ABS(Resultados!G97),ABS(Resultados!P97),ABS(Resultados!Y97),ABS(Resultados!AH97))/SQRT(COUNT(Resultados!G97,Resultados!P97,Resultados!Y97,Resultados!AH97)))</f>
        <v>0</v>
      </c>
      <c r="H97">
        <f>IF(COUNT(Resultados!H97,Resultados!Q97,Resultados!Z97,Resultados!AI97)&lt;=1, "", _xlfn.STDEV.S(ABS(Resultados!H97),ABS(Resultados!Q97),ABS(Resultados!Z97),ABS(Resultados!AI97))/SQRT(COUNT(Resultados!H97,Resultados!Q97,Resultados!Z97,Resultados!AI97)))</f>
        <v>0</v>
      </c>
      <c r="I97">
        <f>IF(COUNT(Resultados!I97,Resultados!R97,Resultados!AA97,Resultados!AJ97)&lt;=1, "", _xlfn.STDEV.S(ABS(Resultados!I97),ABS(Resultados!R97),ABS(Resultados!AA97),ABS(Resultados!AJ97))/SQRT(COUNT(Resultados!I97,Resultados!R97,Resultados!AA97,Resultados!AJ97)))</f>
        <v>9.9510345986405582E-2</v>
      </c>
    </row>
    <row r="98" spans="1:9" x14ac:dyDescent="0.3">
      <c r="A98" t="str">
        <f>IF(COUNT(Resultados!A98,Resultados!J98,Resultados!S98,Resultados!AB98)&lt;=1, "", _xlfn.STDEV.S(ABS(Resultados!A98),ABS(Resultados!J98),ABS(Resultados!S98),ABS(Resultados!AB98))/SQRT(COUNT(Resultados!A98,Resultados!J98,Resultados!S98,Resultados!AB98)))</f>
        <v/>
      </c>
      <c r="B98" t="str">
        <f>IF(COUNT(Resultados!B98,Resultados!K98,Resultados!T98,Resultados!AC98)&lt;=1, "", _xlfn.STDEV.S(ABS(Resultados!B98),ABS(Resultados!K98),ABS(Resultados!T98),ABS(Resultados!AC98))/SQRT(COUNT(Resultados!B98,Resultados!K98,Resultados!T98,Resultados!AC98)))</f>
        <v/>
      </c>
      <c r="C98">
        <f>IF(COUNT(Resultados!C98,Resultados!L98,Resultados!U98,Resultados!AD98)&lt;=1, "", _xlfn.STDEV.S(ABS(Resultados!C98),ABS(Resultados!L98),ABS(Resultados!U98),ABS(Resultados!AD98))/SQRT(COUNT(Resultados!C98,Resultados!L98,Resultados!U98,Resultados!AD98)))</f>
        <v>0.28867513459481287</v>
      </c>
      <c r="D98">
        <f>IF(COUNT(Resultados!D98,Resultados!M98,Resultados!V98,Resultados!AE98)&lt;=1, "", _xlfn.STDEV.S(ABS(Resultados!D98),ABS(Resultados!M98),ABS(Resultados!V98),ABS(Resultados!AE98))/SQRT(COUNT(Resultados!D98,Resultados!M98,Resultados!V98,Resultados!AE98)))</f>
        <v>6.2675586687853703E-3</v>
      </c>
      <c r="E98">
        <f>IF(COUNT(Resultados!E98,Resultados!N98,Resultados!W98,Resultados!AF98)&lt;=1, "", _xlfn.STDEV.S(ABS(Resultados!E98),ABS(Resultados!N98),ABS(Resultados!W98),ABS(Resultados!AF98))/SQRT(COUNT(Resultados!E98,Resultados!N98,Resultados!W98,Resultados!AF98)))</f>
        <v>0</v>
      </c>
      <c r="F98">
        <f>IF(COUNT(Resultados!F98,Resultados!O98,Resultados!X98,Resultados!AG98)&lt;=1, "", _xlfn.STDEV.S(ABS(Resultados!F98),ABS(Resultados!O98),ABS(Resultados!X98),ABS(Resultados!AG98))/SQRT(COUNT(Resultados!F98,Resultados!O98,Resultados!X98,Resultados!AG98)))</f>
        <v>0</v>
      </c>
      <c r="G98">
        <f>IF(COUNT(Resultados!G98,Resultados!P98,Resultados!Y98,Resultados!AH98)&lt;=1, "", _xlfn.STDEV.S(ABS(Resultados!G98),ABS(Resultados!P98),ABS(Resultados!Y98),ABS(Resultados!AH98))/SQRT(COUNT(Resultados!G98,Resultados!P98,Resultados!Y98,Resultados!AH98)))</f>
        <v>0</v>
      </c>
      <c r="H98">
        <f>IF(COUNT(Resultados!H98,Resultados!Q98,Resultados!Z98,Resultados!AI98)&lt;=1, "", _xlfn.STDEV.S(ABS(Resultados!H98),ABS(Resultados!Q98),ABS(Resultados!Z98),ABS(Resultados!AI98))/SQRT(COUNT(Resultados!H98,Resultados!Q98,Resultados!Z98,Resultados!AI98)))</f>
        <v>0</v>
      </c>
      <c r="I98">
        <f>IF(COUNT(Resultados!I98,Resultados!R98,Resultados!AA98,Resultados!AJ98)&lt;=1, "", _xlfn.STDEV.S(ABS(Resultados!I98),ABS(Resultados!R98),ABS(Resultados!AA98),ABS(Resultados!AJ98))/SQRT(COUNT(Resultados!I98,Resultados!R98,Resultados!AA98,Resultados!AJ98)))</f>
        <v>0.10019469692387083</v>
      </c>
    </row>
    <row r="99" spans="1:9" x14ac:dyDescent="0.3">
      <c r="A99" t="str">
        <f>IF(COUNT(Resultados!A99,Resultados!J99,Resultados!S99,Resultados!AB99)&lt;=1, "", _xlfn.STDEV.S(ABS(Resultados!A99),ABS(Resultados!J99),ABS(Resultados!S99),ABS(Resultados!AB99))/SQRT(COUNT(Resultados!A99,Resultados!J99,Resultados!S99,Resultados!AB99)))</f>
        <v/>
      </c>
      <c r="B99" t="str">
        <f>IF(COUNT(Resultados!B99,Resultados!K99,Resultados!T99,Resultados!AC99)&lt;=1, "", _xlfn.STDEV.S(ABS(Resultados!B99),ABS(Resultados!K99),ABS(Resultados!T99),ABS(Resultados!AC99))/SQRT(COUNT(Resultados!B99,Resultados!K99,Resultados!T99,Resultados!AC99)))</f>
        <v/>
      </c>
      <c r="C99">
        <f>IF(COUNT(Resultados!C99,Resultados!L99,Resultados!U99,Resultados!AD99)&lt;=1, "", _xlfn.STDEV.S(ABS(Resultados!C99),ABS(Resultados!L99),ABS(Resultados!U99),ABS(Resultados!AD99))/SQRT(COUNT(Resultados!C99,Resultados!L99,Resultados!U99,Resultados!AD99)))</f>
        <v>0.28867513459481287</v>
      </c>
      <c r="D99">
        <f>IF(COUNT(Resultados!D99,Resultados!M99,Resultados!V99,Resultados!AE99)&lt;=1, "", _xlfn.STDEV.S(ABS(Resultados!D99),ABS(Resultados!M99),ABS(Resultados!V99),ABS(Resultados!AE99))/SQRT(COUNT(Resultados!D99,Resultados!M99,Resultados!V99,Resultados!AE99)))</f>
        <v>4.505066592182627E-3</v>
      </c>
      <c r="E99">
        <f>IF(COUNT(Resultados!E99,Resultados!N99,Resultados!W99,Resultados!AF99)&lt;=1, "", _xlfn.STDEV.S(ABS(Resultados!E99),ABS(Resultados!N99),ABS(Resultados!W99),ABS(Resultados!AF99))/SQRT(COUNT(Resultados!E99,Resultados!N99,Resultados!W99,Resultados!AF99)))</f>
        <v>0</v>
      </c>
      <c r="F99">
        <f>IF(COUNT(Resultados!F99,Resultados!O99,Resultados!X99,Resultados!AG99)&lt;=1, "", _xlfn.STDEV.S(ABS(Resultados!F99),ABS(Resultados!O99),ABS(Resultados!X99),ABS(Resultados!AG99))/SQRT(COUNT(Resultados!F99,Resultados!O99,Resultados!X99,Resultados!AG99)))</f>
        <v>0</v>
      </c>
      <c r="G99">
        <f>IF(COUNT(Resultados!G99,Resultados!P99,Resultados!Y99,Resultados!AH99)&lt;=1, "", _xlfn.STDEV.S(ABS(Resultados!G99),ABS(Resultados!P99),ABS(Resultados!Y99),ABS(Resultados!AH99))/SQRT(COUNT(Resultados!G99,Resultados!P99,Resultados!Y99,Resultados!AH99)))</f>
        <v>0</v>
      </c>
      <c r="H99">
        <f>IF(COUNT(Resultados!H99,Resultados!Q99,Resultados!Z99,Resultados!AI99)&lt;=1, "", _xlfn.STDEV.S(ABS(Resultados!H99),ABS(Resultados!Q99),ABS(Resultados!Z99),ABS(Resultados!AI99))/SQRT(COUNT(Resultados!H99,Resultados!Q99,Resultados!Z99,Resultados!AI99)))</f>
        <v>0</v>
      </c>
      <c r="I99">
        <f>IF(COUNT(Resultados!I99,Resultados!R99,Resultados!AA99,Resultados!AJ99)&lt;=1, "", _xlfn.STDEV.S(ABS(Resultados!I99),ABS(Resultados!R99),ABS(Resultados!AA99),ABS(Resultados!AJ99))/SQRT(COUNT(Resultados!I99,Resultados!R99,Resultados!AA99,Resultados!AJ99)))</f>
        <v>0.10053834260287416</v>
      </c>
    </row>
    <row r="100" spans="1:9" x14ac:dyDescent="0.3">
      <c r="A100" t="str">
        <f>IF(COUNT(Resultados!A100,Resultados!J100,Resultados!AB100)&lt;=1, "", _xlfn.STDEV.S(ABS(Resultados!A100),ABS(Resultados!J100),ABS(Resultados!AB100))/SQRT(COUNT(Resultados!A100,Resultados!J100,Resultados!AB100)))</f>
        <v/>
      </c>
      <c r="B100" t="str">
        <f>IF(COUNT(Resultados!B100,Resultados!K100,Resultados!AC100)&lt;=1, "", _xlfn.STDEV.S(ABS(Resultados!B100),ABS(Resultados!K100),ABS(Resultados!AC100))/SQRT(COUNT(Resultados!B100,Resultados!K100,Resultados!AC100)))</f>
        <v/>
      </c>
      <c r="C100">
        <f>IF(COUNT(Resultados!C100,Resultados!L100,Resultados!AD100)&lt;=1, "", _xlfn.STDEV.S(ABS(Resultados!C100),ABS(Resultados!L100),ABS(Resultados!AD100))/SQRT(COUNT(Resultados!C100,Resultados!L100,Resultados!AD100)))</f>
        <v>0.33333333333333331</v>
      </c>
      <c r="D100">
        <f>IF(COUNT(Resultados!D100,Resultados!M100,Resultados!AE100)&lt;=1, "", _xlfn.STDEV.S(ABS(Resultados!D100),ABS(Resultados!M100),ABS(Resultados!AE100))/SQRT(COUNT(Resultados!D100,Resultados!M100,Resultados!AE100)))</f>
        <v>9.8713952633072309E-4</v>
      </c>
      <c r="E100">
        <f>IF(COUNT(Resultados!E100,Resultados!N100,Resultados!AF100)&lt;=1, "", _xlfn.STDEV.S(ABS(Resultados!E100),ABS(Resultados!N100),ABS(Resultados!AF100))/SQRT(COUNT(Resultados!E100,Resultados!N100,Resultados!AF100)))</f>
        <v>0</v>
      </c>
      <c r="F100">
        <f>IF(COUNT(Resultados!F100,Resultados!O100,Resultados!AG100)&lt;=1, "", _xlfn.STDEV.S(ABS(Resultados!F100),ABS(Resultados!O100),ABS(Resultados!AG100))/SQRT(COUNT(Resultados!F100,Resultados!O100,Resultados!AG100)))</f>
        <v>0</v>
      </c>
      <c r="G100">
        <f>IF(COUNT(Resultados!G100,Resultados!P100,Resultados!AH100)&lt;=1, "", _xlfn.STDEV.S(ABS(Resultados!G100),ABS(Resultados!P100),ABS(Resultados!AH100))/SQRT(COUNT(Resultados!G100,Resultados!P100,Resultados!AH100)))</f>
        <v>0</v>
      </c>
      <c r="H100">
        <f>IF(COUNT(Resultados!H100,Resultados!Q100,Resultados!AI100)&lt;=1, "", _xlfn.STDEV.S(ABS(Resultados!H100),ABS(Resultados!Q100),ABS(Resultados!AI100))/SQRT(COUNT(Resultados!H100,Resultados!Q100,Resultados!AI100)))</f>
        <v>0</v>
      </c>
      <c r="I100">
        <f>IF(COUNT(Resultados!I100,Resultados!R100,Resultados!AJ100)&lt;=1, "", _xlfn.STDEV.S(ABS(Resultados!I100),ABS(Resultados!R100),ABS(Resultados!AJ100))/SQRT(COUNT(Resultados!I100,Resultados!R100,Resultados!AJ100)))</f>
        <v>3.4891896544084621E-3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2025-04-20T21:52:26Z</dcterms:modified>
</cp:coreProperties>
</file>