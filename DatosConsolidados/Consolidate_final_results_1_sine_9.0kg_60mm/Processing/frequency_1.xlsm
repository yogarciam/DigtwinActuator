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1_sine_9.0kg_60mm M\Processing\"/>
    </mc:Choice>
  </mc:AlternateContent>
  <xr:revisionPtr revIDLastSave="0" documentId="8_{97089FDD-EE47-4D99-AD05-880D3EC3556F}" xr6:coauthVersionLast="47" xr6:coauthVersionMax="47" xr10:uidLastSave="{00000000-0000-0000-0000-000000000000}"/>
  <bookViews>
    <workbookView xWindow="-108" yWindow="-108" windowWidth="23256" windowHeight="12456" activeTab="3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6" l="1"/>
  <c r="H40" i="16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<sst xmlns="http://schemas.openxmlformats.org/spreadsheetml/2006/main" count="1054" uniqueCount="234">
  <si>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</si>
  <si>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</si>
  <si>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</si>
  <si>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</si>
  <si>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</si>
  <si>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</si>
  <si>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</si>
  <si>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</si>
  <si>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</si>
  <si>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</si>
  <si>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</si>
  <si>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Date_Seg4</t>
  </si>
  <si>
    <t>Time_Seg1</t>
  </si>
  <si>
    <t>Time_Seg2</t>
  </si>
  <si>
    <t>Time_Seg4</t>
  </si>
  <si>
    <t>Test_ID_Seg1</t>
  </si>
  <si>
    <t>Test_ID_Seg2</t>
  </si>
  <si>
    <t>Test_ID_Seg4</t>
  </si>
  <si>
    <t>Experimental_Seg1</t>
  </si>
  <si>
    <t>Experimental_Seg2</t>
  </si>
  <si>
    <t>Experimental_Seg4</t>
  </si>
  <si>
    <t>Pressure_Seg1</t>
  </si>
  <si>
    <t>Pressure_Seg2</t>
  </si>
  <si>
    <t>Pressure_Seg4</t>
  </si>
  <si>
    <t>dac_bits_Seg1</t>
  </si>
  <si>
    <t>dac_bits_Seg2</t>
  </si>
  <si>
    <t>dac_bits_Seg4</t>
  </si>
  <si>
    <t>mass_Seg1</t>
  </si>
  <si>
    <t>mass_Seg2</t>
  </si>
  <si>
    <t>mass_Seg4</t>
  </si>
  <si>
    <t>slide_Seg1</t>
  </si>
  <si>
    <t>slide_Seg2</t>
  </si>
  <si>
    <t>slide_Seg4</t>
  </si>
  <si>
    <t>time_Seg1</t>
  </si>
  <si>
    <t>time_Seg2</t>
  </si>
  <si>
    <t>time_Seg4</t>
  </si>
  <si>
    <t>2025-01-27</t>
  </si>
  <si>
    <t>22:20:03:311</t>
  </si>
  <si>
    <t>22:20:23:310</t>
  </si>
  <si>
    <t>22:20:03:508</t>
  </si>
  <si>
    <t>22:20:23:512</t>
  </si>
  <si>
    <t>22:20:03:735</t>
  </si>
  <si>
    <t>22:20:23:712</t>
  </si>
  <si>
    <t>22:20:03:911</t>
  </si>
  <si>
    <t>22:20:23:910</t>
  </si>
  <si>
    <t>22:20:04:111</t>
  </si>
  <si>
    <t>22:20:24:109</t>
  </si>
  <si>
    <t>22:20:04:333</t>
  </si>
  <si>
    <t>22:20:24:311</t>
  </si>
  <si>
    <t>22:20:04:512</t>
  </si>
  <si>
    <t>22:20:24:509</t>
  </si>
  <si>
    <t>22:20:04:707</t>
  </si>
  <si>
    <t>22:20:24:735</t>
  </si>
  <si>
    <t>22:20:05:645</t>
  </si>
  <si>
    <t>22:20:24:905</t>
  </si>
  <si>
    <t>22:20:05:697</t>
  </si>
  <si>
    <t>22:20:25:110</t>
  </si>
  <si>
    <t>22:20:05:762</t>
  </si>
  <si>
    <t>22:20:25:312</t>
  </si>
  <si>
    <t>22:20:05:823</t>
  </si>
  <si>
    <t>22:20:25:516</t>
  </si>
  <si>
    <t>22:20:05:882</t>
  </si>
  <si>
    <t>22:20:25:711</t>
  </si>
  <si>
    <t>22:20:05:940</t>
  </si>
  <si>
    <t>22:20:25:911</t>
  </si>
  <si>
    <t>22:20:06:138</t>
  </si>
  <si>
    <t>22:20:26:112</t>
  </si>
  <si>
    <t>22:20:06:316</t>
  </si>
  <si>
    <t>22:20:26:309</t>
  </si>
  <si>
    <t>22:20:06:511</t>
  </si>
  <si>
    <t>22:20:26:510</t>
  </si>
  <si>
    <t>22:20:06:735</t>
  </si>
  <si>
    <t>22:20:26:715</t>
  </si>
  <si>
    <t>22:20:06:915</t>
  </si>
  <si>
    <t>22:20:26:908</t>
  </si>
  <si>
    <t>22:20:07:109</t>
  </si>
  <si>
    <t>22:20:27:138</t>
  </si>
  <si>
    <t>22:20:07:311</t>
  </si>
  <si>
    <t>22:20:27:317</t>
  </si>
  <si>
    <t>22:20:07:517</t>
  </si>
  <si>
    <t>22:20:27:511</t>
  </si>
  <si>
    <t>22:20:07:705</t>
  </si>
  <si>
    <t>22:20:27:736</t>
  </si>
  <si>
    <t>22:20:07:935</t>
  </si>
  <si>
    <t>22:20:27:911</t>
  </si>
  <si>
    <t>22:20:08:117</t>
  </si>
  <si>
    <t>22:20:28:112</t>
  </si>
  <si>
    <t>22:20:08:306</t>
  </si>
  <si>
    <t>22:20:28:312</t>
  </si>
  <si>
    <t>22:20:08:536</t>
  </si>
  <si>
    <t>22:20:28:518</t>
  </si>
  <si>
    <t>22:20:08:825</t>
  </si>
  <si>
    <t>22:20:28:713</t>
  </si>
  <si>
    <t>22:20:09:819</t>
  </si>
  <si>
    <t>22:20:28:939</t>
  </si>
  <si>
    <t>22:20:09:908</t>
  </si>
  <si>
    <t>22:20:29:116</t>
  </si>
  <si>
    <t>22:20:09:962</t>
  </si>
  <si>
    <t>22:20:29:311</t>
  </si>
  <si>
    <t>22:20:10:041</t>
  </si>
  <si>
    <t>22:20:29:506</t>
  </si>
  <si>
    <t>22:20:10:100</t>
  </si>
  <si>
    <t>22:20:29:711</t>
  </si>
  <si>
    <t>22:20:10:160</t>
  </si>
  <si>
    <t>22:20:29:912</t>
  </si>
  <si>
    <t>22:20:10:219</t>
  </si>
  <si>
    <t>22:20:30:108</t>
  </si>
  <si>
    <t>22:20:10:336</t>
  </si>
  <si>
    <t>22:20:30:311</t>
  </si>
  <si>
    <t>22:20:10:510</t>
  </si>
  <si>
    <t>22:20:30:509</t>
  </si>
  <si>
    <t>22:20:10:711</t>
  </si>
  <si>
    <t>22:20:30:715</t>
  </si>
  <si>
    <t>22:20:10:910</t>
  </si>
  <si>
    <t>22:20:30:909</t>
  </si>
  <si>
    <t>22:20:11:111</t>
  </si>
  <si>
    <t>22:20:31:111</t>
  </si>
  <si>
    <t>22:20:11:311</t>
  </si>
  <si>
    <t>22:20:31:331</t>
  </si>
  <si>
    <t>22:20:11:508</t>
  </si>
  <si>
    <t>22:20:31:520</t>
  </si>
  <si>
    <t>22:20:11:719</t>
  </si>
  <si>
    <t>22:20:31:709</t>
  </si>
  <si>
    <t>22:20:11:909</t>
  </si>
  <si>
    <t>22:20:31:908</t>
  </si>
  <si>
    <t>22:20:12:111</t>
  </si>
  <si>
    <t>22:20:32:115</t>
  </si>
  <si>
    <t>22:20:12:313</t>
  </si>
  <si>
    <t>22:20:32:312</t>
  </si>
  <si>
    <t>22:20:12:511</t>
  </si>
  <si>
    <t>22:20:32:514</t>
  </si>
  <si>
    <t>22:20:12:708</t>
  </si>
  <si>
    <t>22:20:32:716</t>
  </si>
  <si>
    <t>22:20:12:905</t>
  </si>
  <si>
    <t>22:20:32:911</t>
  </si>
  <si>
    <t>22:20:13:108</t>
  </si>
  <si>
    <t>22:20:33:111</t>
  </si>
  <si>
    <t>22:20:13:310</t>
  </si>
  <si>
    <t>22:20:33:313</t>
  </si>
  <si>
    <t>22:20:13:510</t>
  </si>
  <si>
    <t>22:20:33:506</t>
  </si>
  <si>
    <t>22:20:13:710</t>
  </si>
  <si>
    <t>22:20:33:710</t>
  </si>
  <si>
    <t>22:20:13:935</t>
  </si>
  <si>
    <t>22:20:33:912</t>
  </si>
  <si>
    <t>22:20:14:111</t>
  </si>
  <si>
    <t>22:20:34:107</t>
  </si>
  <si>
    <t>22:20:14:310</t>
  </si>
  <si>
    <t>22:20:34:312</t>
  </si>
  <si>
    <t>22:20:14:511</t>
  </si>
  <si>
    <t>22:20:34:513</t>
  </si>
  <si>
    <t>22:20:14:715</t>
  </si>
  <si>
    <t>22:20:34:711</t>
  </si>
  <si>
    <t>22:20:14:911</t>
  </si>
  <si>
    <t>22:20:34:936</t>
  </si>
  <si>
    <t>22:20:15:110</t>
  </si>
  <si>
    <t>22:20:35:120</t>
  </si>
  <si>
    <t>22:20:15:316</t>
  </si>
  <si>
    <t>22:20:35:311</t>
  </si>
  <si>
    <t>22:20:15:509</t>
  </si>
  <si>
    <t>22:20:35:512</t>
  </si>
  <si>
    <t>22:20:15:710</t>
  </si>
  <si>
    <t>22:20:35:716</t>
  </si>
  <si>
    <t>22:20:15:909</t>
  </si>
  <si>
    <t>22:20:35:911</t>
  </si>
  <si>
    <t>22:20:16:112</t>
  </si>
  <si>
    <t>22:20:36:135</t>
  </si>
  <si>
    <t>22:20:16:306</t>
  </si>
  <si>
    <t>22:20:36:310</t>
  </si>
  <si>
    <t>22:20:16:511</t>
  </si>
  <si>
    <t>22:20:36:513</t>
  </si>
  <si>
    <t>22:20:16:712</t>
  </si>
  <si>
    <t>22:20:36:710</t>
  </si>
  <si>
    <t>22:20:16:907</t>
  </si>
  <si>
    <t>22:20:36:910</t>
  </si>
  <si>
    <t>22:20:17:111</t>
  </si>
  <si>
    <t>22:20:37:111</t>
  </si>
  <si>
    <t>22:20:17:308</t>
  </si>
  <si>
    <t>22:20:37:338</t>
  </si>
  <si>
    <t>22:20:17:532</t>
  </si>
  <si>
    <t>22:20:37:512</t>
  </si>
  <si>
    <t>22:20:17:716</t>
  </si>
  <si>
    <t>22:20:37:711</t>
  </si>
  <si>
    <t>22:20:17:912</t>
  </si>
  <si>
    <t>22:20:37:906</t>
  </si>
  <si>
    <t>22:20:18:110</t>
  </si>
  <si>
    <t>22:20:38:106</t>
  </si>
  <si>
    <t>22:20:18:308</t>
  </si>
  <si>
    <t>22:20:38:312</t>
  </si>
  <si>
    <t>22:20:18:514</t>
  </si>
  <si>
    <t>22:20:38:516</t>
  </si>
  <si>
    <t>22:20:18:711</t>
  </si>
  <si>
    <t>22:20:38:708</t>
  </si>
  <si>
    <t>22:20:18:908</t>
  </si>
  <si>
    <t>22:20:38:909</t>
  </si>
  <si>
    <t>22:20:19:109</t>
  </si>
  <si>
    <t>22:20:39:138</t>
  </si>
  <si>
    <t>22:20:19:309</t>
  </si>
  <si>
    <t>22:20:39:317</t>
  </si>
  <si>
    <t>22:20:19:514</t>
  </si>
  <si>
    <t>22:20:19:712</t>
  </si>
  <si>
    <t>22:20:19:909</t>
  </si>
  <si>
    <t>22:20:20:115</t>
  </si>
  <si>
    <t>22:20:20:309</t>
  </si>
  <si>
    <t>22:20:20:509</t>
  </si>
  <si>
    <t>22:20:20:717</t>
  </si>
  <si>
    <t>22:20:20:908</t>
  </si>
  <si>
    <t>22:20:21:138</t>
  </si>
  <si>
    <t>22:20:21:314</t>
  </si>
  <si>
    <t>22:20:21:507</t>
  </si>
  <si>
    <t>22:20:21:709</t>
  </si>
  <si>
    <t>22:20:21:915</t>
  </si>
  <si>
    <t>22:20:22:113</t>
  </si>
  <si>
    <t>22:20:22:317</t>
  </si>
  <si>
    <t>22:20:22:517</t>
  </si>
  <si>
    <t>22:20:22:711</t>
  </si>
  <si>
    <t>22:20:22:911</t>
  </si>
  <si>
    <t>22:20:23:116</t>
  </si>
  <si>
    <t>22:20:00:112</t>
  </si>
  <si>
    <t>22:20:00:312</t>
  </si>
  <si>
    <t>22:20:00:510</t>
  </si>
  <si>
    <t>22:20:00:733</t>
  </si>
  <si>
    <t>22:20:00:909</t>
  </si>
  <si>
    <t>22:20:01:106</t>
  </si>
  <si>
    <t>22:20:01:308</t>
  </si>
  <si>
    <t>22:20:01:508</t>
  </si>
  <si>
    <t>22:20:01:711</t>
  </si>
  <si>
    <t>22:20:01:939</t>
  </si>
  <si>
    <t>22:20:02:118</t>
  </si>
  <si>
    <t>22:20:02:316</t>
  </si>
  <si>
    <t>22:20:02:535</t>
  </si>
  <si>
    <t>22:20:02:715</t>
  </si>
  <si>
    <t>22:20:02:916</t>
  </si>
  <si>
    <t>22:20:03:135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</si>
</sst>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0.19819999999999874</c:v>
                </c:pt>
                <c:pt idx="2">
                  <c:v>0.40208666666666559</c:v>
                </c:pt>
                <c:pt idx="3">
                  <c:v>0.59999666666666585</c:v>
                </c:pt>
                <c:pt idx="4">
                  <c:v>0.80085666666666688</c:v>
                </c:pt>
                <c:pt idx="5">
                  <c:v>1.001649999999999</c:v>
                </c:pt>
                <c:pt idx="6">
                  <c:v>1.2015533333333319</c:v>
                </c:pt>
                <c:pt idx="7">
                  <c:v>1.3981666666666659</c:v>
                </c:pt>
                <c:pt idx="8">
                  <c:v>1.5993933333333317</c:v>
                </c:pt>
                <c:pt idx="9">
                  <c:v>1.7992133333333331</c:v>
                </c:pt>
                <c:pt idx="10">
                  <c:v>1.9989333333333335</c:v>
                </c:pt>
                <c:pt idx="11">
                  <c:v>2.1990666666666669</c:v>
                </c:pt>
                <c:pt idx="12">
                  <c:v>2.398826666666666</c:v>
                </c:pt>
                <c:pt idx="13">
                  <c:v>2.5995866666666672</c:v>
                </c:pt>
                <c:pt idx="14">
                  <c:v>2.7997966666666656</c:v>
                </c:pt>
                <c:pt idx="15">
                  <c:v>3.0006433333333313</c:v>
                </c:pt>
                <c:pt idx="16">
                  <c:v>3.2007733333333341</c:v>
                </c:pt>
                <c:pt idx="17">
                  <c:v>3.3996599999999995</c:v>
                </c:pt>
                <c:pt idx="18">
                  <c:v>3.5982433333333326</c:v>
                </c:pt>
                <c:pt idx="19">
                  <c:v>3.7988966666666664</c:v>
                </c:pt>
                <c:pt idx="20">
                  <c:v>3.9993599999999994</c:v>
                </c:pt>
                <c:pt idx="21">
                  <c:v>4.2034066666666661</c:v>
                </c:pt>
                <c:pt idx="22">
                  <c:v>4.3988399999999999</c:v>
                </c:pt>
                <c:pt idx="23">
                  <c:v>4.6000266666666656</c:v>
                </c:pt>
                <c:pt idx="24">
                  <c:v>4.7986433333333336</c:v>
                </c:pt>
                <c:pt idx="25">
                  <c:v>4.9990766666666664</c:v>
                </c:pt>
                <c:pt idx="26">
                  <c:v>5.1998866666666652</c:v>
                </c:pt>
                <c:pt idx="27">
                  <c:v>5.3998533333333336</c:v>
                </c:pt>
                <c:pt idx="28">
                  <c:v>5.6007366666666663</c:v>
                </c:pt>
                <c:pt idx="29">
                  <c:v>5.7995733333333339</c:v>
                </c:pt>
                <c:pt idx="30">
                  <c:v>5.9978533333333326</c:v>
                </c:pt>
                <c:pt idx="31">
                  <c:v>6.1980800000000009</c:v>
                </c:pt>
                <c:pt idx="32">
                  <c:v>6.3998099999999987</c:v>
                </c:pt>
                <c:pt idx="33">
                  <c:v>6.5988099999999994</c:v>
                </c:pt>
                <c:pt idx="34">
                  <c:v>6.8014766666666651</c:v>
                </c:pt>
                <c:pt idx="35">
                  <c:v>6.9998066666666654</c:v>
                </c:pt>
                <c:pt idx="36">
                  <c:v>7.2006599999999983</c:v>
                </c:pt>
                <c:pt idx="37">
                  <c:v>7.4004033333333332</c:v>
                </c:pt>
                <c:pt idx="38">
                  <c:v>7.5994899999999994</c:v>
                </c:pt>
                <c:pt idx="39">
                  <c:v>7.7996666666666661</c:v>
                </c:pt>
                <c:pt idx="40">
                  <c:v>8.0001699999999989</c:v>
                </c:pt>
                <c:pt idx="41">
                  <c:v>8.1992399999999996</c:v>
                </c:pt>
                <c:pt idx="42">
                  <c:v>8.4061833333333329</c:v>
                </c:pt>
                <c:pt idx="43">
                  <c:v>8.59924</c:v>
                </c:pt>
                <c:pt idx="44">
                  <c:v>8.7999799999999997</c:v>
                </c:pt>
                <c:pt idx="45">
                  <c:v>9.0011033333333312</c:v>
                </c:pt>
                <c:pt idx="46">
                  <c:v>9.1998366666666662</c:v>
                </c:pt>
                <c:pt idx="47">
                  <c:v>9.3986900000000002</c:v>
                </c:pt>
                <c:pt idx="48">
                  <c:v>9.5989599999999999</c:v>
                </c:pt>
                <c:pt idx="49">
                  <c:v>9.7985433333333312</c:v>
                </c:pt>
                <c:pt idx="50">
                  <c:v>9.9990266666666674</c:v>
                </c:pt>
                <c:pt idx="51">
                  <c:v>10.198510000000001</c:v>
                </c:pt>
                <c:pt idx="52">
                  <c:v>10.39856</c:v>
                </c:pt>
                <c:pt idx="53">
                  <c:v>10.600083333333334</c:v>
                </c:pt>
                <c:pt idx="54">
                  <c:v>10.800753333333333</c:v>
                </c:pt>
                <c:pt idx="55">
                  <c:v>11.000999999999999</c:v>
                </c:pt>
                <c:pt idx="56">
                  <c:v>11.202590000000001</c:v>
                </c:pt>
                <c:pt idx="57">
                  <c:v>11.398676666666665</c:v>
                </c:pt>
                <c:pt idx="58">
                  <c:v>11.599980000000002</c:v>
                </c:pt>
                <c:pt idx="59">
                  <c:v>11.799673333333336</c:v>
                </c:pt>
                <c:pt idx="60">
                  <c:v>11.998680000000002</c:v>
                </c:pt>
                <c:pt idx="61">
                  <c:v>12.198830000000001</c:v>
                </c:pt>
                <c:pt idx="62">
                  <c:v>12.399439999999998</c:v>
                </c:pt>
                <c:pt idx="63">
                  <c:v>12.59869</c:v>
                </c:pt>
                <c:pt idx="64">
                  <c:v>12.800089999999997</c:v>
                </c:pt>
                <c:pt idx="65">
                  <c:v>12.999013333333332</c:v>
                </c:pt>
                <c:pt idx="66">
                  <c:v>13.19877333333333</c:v>
                </c:pt>
                <c:pt idx="67">
                  <c:v>13.398806666666667</c:v>
                </c:pt>
                <c:pt idx="68">
                  <c:v>13.598676666666668</c:v>
                </c:pt>
                <c:pt idx="69">
                  <c:v>13.799806666666663</c:v>
                </c:pt>
                <c:pt idx="70">
                  <c:v>13.998763333333335</c:v>
                </c:pt>
                <c:pt idx="71">
                  <c:v>14.199573333333333</c:v>
                </c:pt>
                <c:pt idx="72">
                  <c:v>14.399796666666665</c:v>
                </c:pt>
                <c:pt idx="73">
                  <c:v>14.599469999999997</c:v>
                </c:pt>
                <c:pt idx="74">
                  <c:v>14.798496666666665</c:v>
                </c:pt>
                <c:pt idx="75">
                  <c:v>14.998039999999998</c:v>
                </c:pt>
                <c:pt idx="76">
                  <c:v>15.20108333333333</c:v>
                </c:pt>
                <c:pt idx="77">
                  <c:v>15.399156666666665</c:v>
                </c:pt>
                <c:pt idx="78">
                  <c:v>15.598179999999999</c:v>
                </c:pt>
                <c:pt idx="79">
                  <c:v>15.798473333333328</c:v>
                </c:pt>
                <c:pt idx="80">
                  <c:v>15.998723333333331</c:v>
                </c:pt>
                <c:pt idx="81">
                  <c:v>16.200320000000001</c:v>
                </c:pt>
                <c:pt idx="82">
                  <c:v>16.401029999999995</c:v>
                </c:pt>
                <c:pt idx="83">
                  <c:v>16.599066666666669</c:v>
                </c:pt>
                <c:pt idx="84">
                  <c:v>16.798119999999997</c:v>
                </c:pt>
                <c:pt idx="85">
                  <c:v>16.99902333333333</c:v>
                </c:pt>
                <c:pt idx="86">
                  <c:v>17.198229999999999</c:v>
                </c:pt>
                <c:pt idx="87">
                  <c:v>17.398660000000003</c:v>
                </c:pt>
                <c:pt idx="88">
                  <c:v>17.600223333333336</c:v>
                </c:pt>
                <c:pt idx="89">
                  <c:v>17.799686666666663</c:v>
                </c:pt>
                <c:pt idx="90">
                  <c:v>17.998450000000002</c:v>
                </c:pt>
                <c:pt idx="91">
                  <c:v>18.199663333333334</c:v>
                </c:pt>
                <c:pt idx="92">
                  <c:v>18.399820000000002</c:v>
                </c:pt>
                <c:pt idx="93">
                  <c:v>18.598973333333333</c:v>
                </c:pt>
                <c:pt idx="94">
                  <c:v>18.800486666666668</c:v>
                </c:pt>
                <c:pt idx="95">
                  <c:v>19.002399999999998</c:v>
                </c:pt>
                <c:pt idx="96">
                  <c:v>19.203016666666667</c:v>
                </c:pt>
                <c:pt idx="97">
                  <c:v>19.399046666666663</c:v>
                </c:pt>
                <c:pt idx="98">
                  <c:v>19.600113333333336</c:v>
                </c:pt>
                <c:pt idx="99">
                  <c:v>19.800353333333334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1.5666666666666667E-3</c:v>
                </c:pt>
                <c:pt idx="2">
                  <c:v>6.1333333333333335E-3</c:v>
                </c:pt>
                <c:pt idx="3">
                  <c:v>1.3100000000000001E-2</c:v>
                </c:pt>
                <c:pt idx="4">
                  <c:v>2.186666666666667E-2</c:v>
                </c:pt>
                <c:pt idx="5">
                  <c:v>3.1666666666666669E-2</c:v>
                </c:pt>
                <c:pt idx="6">
                  <c:v>4.1366666666666663E-2</c:v>
                </c:pt>
                <c:pt idx="7">
                  <c:v>5.0066666666666669E-2</c:v>
                </c:pt>
                <c:pt idx="8">
                  <c:v>5.7033333333333332E-2</c:v>
                </c:pt>
                <c:pt idx="9">
                  <c:v>6.1499999999999999E-2</c:v>
                </c:pt>
                <c:pt idx="10">
                  <c:v>6.3E-2</c:v>
                </c:pt>
                <c:pt idx="11">
                  <c:v>6.143333333333334E-2</c:v>
                </c:pt>
                <c:pt idx="12">
                  <c:v>5.6933333333333336E-2</c:v>
                </c:pt>
                <c:pt idx="13">
                  <c:v>4.993333333333333E-2</c:v>
                </c:pt>
                <c:pt idx="14">
                  <c:v>4.1133333333333334E-2</c:v>
                </c:pt>
                <c:pt idx="15">
                  <c:v>3.1366666666666668E-2</c:v>
                </c:pt>
                <c:pt idx="16">
                  <c:v>2.1633333333333338E-2</c:v>
                </c:pt>
                <c:pt idx="17">
                  <c:v>1.2933333333333333E-2</c:v>
                </c:pt>
                <c:pt idx="18">
                  <c:v>6.000000000000001E-3</c:v>
                </c:pt>
                <c:pt idx="19">
                  <c:v>1.5000000000000002E-3</c:v>
                </c:pt>
                <c:pt idx="20">
                  <c:v>0</c:v>
                </c:pt>
                <c:pt idx="21">
                  <c:v>1.6333333333333332E-3</c:v>
                </c:pt>
                <c:pt idx="22">
                  <c:v>6.0666666666666673E-3</c:v>
                </c:pt>
                <c:pt idx="23">
                  <c:v>1.3033333333333333E-2</c:v>
                </c:pt>
                <c:pt idx="24">
                  <c:v>2.1833333333333333E-2</c:v>
                </c:pt>
                <c:pt idx="25">
                  <c:v>3.1566666666666666E-2</c:v>
                </c:pt>
                <c:pt idx="26">
                  <c:v>4.1333333333333333E-2</c:v>
                </c:pt>
                <c:pt idx="27">
                  <c:v>5.0099999999999999E-2</c:v>
                </c:pt>
                <c:pt idx="28">
                  <c:v>5.7066666666666661E-2</c:v>
                </c:pt>
                <c:pt idx="29">
                  <c:v>6.1499999999999999E-2</c:v>
                </c:pt>
                <c:pt idx="30">
                  <c:v>6.3E-2</c:v>
                </c:pt>
                <c:pt idx="31">
                  <c:v>6.143333333333334E-2</c:v>
                </c:pt>
                <c:pt idx="32">
                  <c:v>5.6899999999999999E-2</c:v>
                </c:pt>
                <c:pt idx="33">
                  <c:v>4.993333333333333E-2</c:v>
                </c:pt>
                <c:pt idx="34">
                  <c:v>4.1133333333333334E-2</c:v>
                </c:pt>
                <c:pt idx="35">
                  <c:v>3.1400000000000004E-2</c:v>
                </c:pt>
                <c:pt idx="36">
                  <c:v>2.1666666666666667E-2</c:v>
                </c:pt>
                <c:pt idx="37">
                  <c:v>1.29E-2</c:v>
                </c:pt>
                <c:pt idx="38">
                  <c:v>5.9666666666666661E-3</c:v>
                </c:pt>
                <c:pt idx="39">
                  <c:v>1.5000000000000002E-3</c:v>
                </c:pt>
                <c:pt idx="40">
                  <c:v>0</c:v>
                </c:pt>
                <c:pt idx="41">
                  <c:v>1.6000000000000001E-3</c:v>
                </c:pt>
                <c:pt idx="42">
                  <c:v>6.1333333333333335E-3</c:v>
                </c:pt>
                <c:pt idx="43">
                  <c:v>1.3033333333333333E-2</c:v>
                </c:pt>
                <c:pt idx="44">
                  <c:v>2.1866666666666663E-2</c:v>
                </c:pt>
                <c:pt idx="45">
                  <c:v>3.1666666666666669E-2</c:v>
                </c:pt>
                <c:pt idx="46">
                  <c:v>4.1333333333333333E-2</c:v>
                </c:pt>
                <c:pt idx="47">
                  <c:v>5.0066666666666669E-2</c:v>
                </c:pt>
                <c:pt idx="48">
                  <c:v>5.7066666666666675E-2</c:v>
                </c:pt>
                <c:pt idx="49">
                  <c:v>6.1499999999999999E-2</c:v>
                </c:pt>
                <c:pt idx="50">
                  <c:v>6.3E-2</c:v>
                </c:pt>
                <c:pt idx="51">
                  <c:v>6.143333333333334E-2</c:v>
                </c:pt>
                <c:pt idx="52">
                  <c:v>5.6966666666666665E-2</c:v>
                </c:pt>
                <c:pt idx="53">
                  <c:v>4.993333333333333E-2</c:v>
                </c:pt>
                <c:pt idx="54">
                  <c:v>4.1133333333333334E-2</c:v>
                </c:pt>
                <c:pt idx="55">
                  <c:v>3.1300000000000001E-2</c:v>
                </c:pt>
                <c:pt idx="56">
                  <c:v>2.1533333333333335E-2</c:v>
                </c:pt>
                <c:pt idx="57">
                  <c:v>1.29E-2</c:v>
                </c:pt>
                <c:pt idx="58">
                  <c:v>5.9666666666666661E-3</c:v>
                </c:pt>
                <c:pt idx="59">
                  <c:v>1.5000000000000002E-3</c:v>
                </c:pt>
                <c:pt idx="60">
                  <c:v>0</c:v>
                </c:pt>
                <c:pt idx="61">
                  <c:v>1.6000000000000001E-3</c:v>
                </c:pt>
                <c:pt idx="62">
                  <c:v>6.0666666666666673E-3</c:v>
                </c:pt>
                <c:pt idx="63">
                  <c:v>1.3066666666666666E-2</c:v>
                </c:pt>
                <c:pt idx="64">
                  <c:v>2.1866666666666663E-2</c:v>
                </c:pt>
                <c:pt idx="65">
                  <c:v>3.1533333333333337E-2</c:v>
                </c:pt>
                <c:pt idx="66">
                  <c:v>4.1300000000000003E-2</c:v>
                </c:pt>
                <c:pt idx="67">
                  <c:v>5.0099999999999999E-2</c:v>
                </c:pt>
                <c:pt idx="68">
                  <c:v>5.7000000000000002E-2</c:v>
                </c:pt>
                <c:pt idx="69">
                  <c:v>6.1499999999999999E-2</c:v>
                </c:pt>
                <c:pt idx="70">
                  <c:v>6.3E-2</c:v>
                </c:pt>
                <c:pt idx="71">
                  <c:v>6.143333333333334E-2</c:v>
                </c:pt>
                <c:pt idx="72">
                  <c:v>5.6899999999999999E-2</c:v>
                </c:pt>
                <c:pt idx="73">
                  <c:v>4.993333333333333E-2</c:v>
                </c:pt>
                <c:pt idx="74">
                  <c:v>4.1200000000000001E-2</c:v>
                </c:pt>
                <c:pt idx="75">
                  <c:v>3.1399999999999997E-2</c:v>
                </c:pt>
                <c:pt idx="76">
                  <c:v>2.1599999999999998E-2</c:v>
                </c:pt>
                <c:pt idx="77">
                  <c:v>1.2933333333333333E-2</c:v>
                </c:pt>
                <c:pt idx="78">
                  <c:v>6.000000000000001E-3</c:v>
                </c:pt>
                <c:pt idx="79">
                  <c:v>1.5000000000000002E-3</c:v>
                </c:pt>
                <c:pt idx="80">
                  <c:v>0</c:v>
                </c:pt>
                <c:pt idx="81">
                  <c:v>1.6000000000000001E-3</c:v>
                </c:pt>
                <c:pt idx="82">
                  <c:v>6.1000000000000004E-3</c:v>
                </c:pt>
                <c:pt idx="83">
                  <c:v>1.3033333333333333E-2</c:v>
                </c:pt>
                <c:pt idx="84">
                  <c:v>2.1833333333333333E-2</c:v>
                </c:pt>
                <c:pt idx="85">
                  <c:v>3.1566666666666666E-2</c:v>
                </c:pt>
                <c:pt idx="86">
                  <c:v>4.1266666666666667E-2</c:v>
                </c:pt>
                <c:pt idx="87">
                  <c:v>5.0066666666666669E-2</c:v>
                </c:pt>
                <c:pt idx="88">
                  <c:v>5.7066666666666675E-2</c:v>
                </c:pt>
                <c:pt idx="89">
                  <c:v>6.1499999999999999E-2</c:v>
                </c:pt>
                <c:pt idx="90">
                  <c:v>6.3E-2</c:v>
                </c:pt>
                <c:pt idx="91">
                  <c:v>6.143333333333334E-2</c:v>
                </c:pt>
                <c:pt idx="92">
                  <c:v>5.6899999999999999E-2</c:v>
                </c:pt>
                <c:pt idx="93">
                  <c:v>4.9966666666666666E-2</c:v>
                </c:pt>
                <c:pt idx="94">
                  <c:v>4.1166666666666664E-2</c:v>
                </c:pt>
                <c:pt idx="95">
                  <c:v>3.1300000000000001E-2</c:v>
                </c:pt>
                <c:pt idx="96">
                  <c:v>2.1533333333333331E-2</c:v>
                </c:pt>
                <c:pt idx="97">
                  <c:v>1.2933333333333333E-2</c:v>
                </c:pt>
                <c:pt idx="98">
                  <c:v>5.9666666666666661E-3</c:v>
                </c:pt>
                <c:pt idx="99">
                  <c:v>1.5000000000000002E-3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231530</xdr:colOff>
      <xdr:row>38</xdr:row>
      <xdr:rowOff>137747</xdr:rowOff>
    </xdr:from>
    <xdr:to>
      <xdr:col>16</xdr:col>
      <xdr:colOff>671145</xdr:colOff>
      <xdr:row>53</xdr:row>
      <xdr:rowOff>155331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198"/>
  <sheetViews>
    <sheetView workbookViewId="0">
      <selection activeCell="N5" sqref="N5"/>
    </sheetView>
  </sheetViews>
  <sheetFormatPr baseColWidth="10" defaultRowHeight="14.4" x14ac:dyDescent="0.3"/>
  <cols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36</v>
      </c>
      <c r="B2" t="s">
        <v>218</v>
      </c>
      <c r="C2">
        <v>71</v>
      </c>
      <c r="D2">
        <v>3.2000000000000002E-3</v>
      </c>
      <c r="E2">
        <v>22.920807532979961</v>
      </c>
      <c r="F2">
        <v>2315.184634879799</v>
      </c>
      <c r="G2">
        <v>9.0579999999999998</v>
      </c>
      <c r="H2">
        <v>2.1899999999999999E-2</v>
      </c>
      <c r="I2">
        <v>15.80265</v>
      </c>
    </row>
    <row r="3" spans="1:10" x14ac:dyDescent="0.3">
      <c r="A3" t="s">
        <v>36</v>
      </c>
      <c r="B3" t="s">
        <v>219</v>
      </c>
      <c r="C3">
        <v>71</v>
      </c>
      <c r="D3">
        <v>8.8000000000000005E-3</v>
      </c>
      <c r="E3">
        <v>23.540818938809458</v>
      </c>
      <c r="F3">
        <v>2374.0237172930179</v>
      </c>
      <c r="G3">
        <v>9.0579999999999998</v>
      </c>
      <c r="H3">
        <v>3.15E-2</v>
      </c>
      <c r="I3">
        <v>16.000489999999999</v>
      </c>
    </row>
    <row r="4" spans="1:10" x14ac:dyDescent="0.3">
      <c r="A4" t="s">
        <v>36</v>
      </c>
      <c r="B4" t="s">
        <v>220</v>
      </c>
      <c r="C4">
        <v>71</v>
      </c>
      <c r="D4">
        <v>1.6E-2</v>
      </c>
      <c r="E4">
        <v>24.174163439309989</v>
      </c>
      <c r="F4">
        <v>2434.128110390518</v>
      </c>
      <c r="G4">
        <v>9.0579999999999998</v>
      </c>
      <c r="H4">
        <v>4.1399999999999999E-2</v>
      </c>
      <c r="I4">
        <v>16.202780000000001</v>
      </c>
    </row>
    <row r="5" spans="1:10" x14ac:dyDescent="0.3">
      <c r="A5" t="s">
        <v>36</v>
      </c>
      <c r="B5" t="s">
        <v>221</v>
      </c>
      <c r="C5">
        <v>71</v>
      </c>
      <c r="D5">
        <v>2.4799999999999999E-2</v>
      </c>
      <c r="E5">
        <v>24.737648573357902</v>
      </c>
      <c r="F5">
        <v>2487.6028496116651</v>
      </c>
      <c r="G5">
        <v>9.0579999999999998</v>
      </c>
      <c r="H5">
        <v>5.0099999999999999E-2</v>
      </c>
      <c r="I5">
        <v>16.402619999999999</v>
      </c>
    </row>
    <row r="6" spans="1:10" x14ac:dyDescent="0.3">
      <c r="A6" t="s">
        <v>36</v>
      </c>
      <c r="B6" t="s">
        <v>222</v>
      </c>
      <c r="C6">
        <v>71</v>
      </c>
      <c r="D6">
        <v>3.2099999999999997E-2</v>
      </c>
      <c r="E6">
        <v>25.180331401398629</v>
      </c>
      <c r="F6">
        <v>2529.6134499927298</v>
      </c>
      <c r="G6">
        <v>9.0579999999999998</v>
      </c>
      <c r="H6">
        <v>5.7000000000000002E-2</v>
      </c>
      <c r="I6">
        <v>16.600480000000001</v>
      </c>
    </row>
    <row r="7" spans="1:10" x14ac:dyDescent="0.3">
      <c r="A7" t="s">
        <v>36</v>
      </c>
      <c r="B7" t="s">
        <v>223</v>
      </c>
      <c r="C7">
        <v>71</v>
      </c>
      <c r="D7">
        <v>4.0500000000000001E-2</v>
      </c>
      <c r="E7">
        <v>25.469402446757421</v>
      </c>
      <c r="F7">
        <v>2557.0462921972789</v>
      </c>
      <c r="G7">
        <v>9.0579999999999998</v>
      </c>
      <c r="H7">
        <v>6.1499999999999999E-2</v>
      </c>
      <c r="I7">
        <v>16.802050000000001</v>
      </c>
    </row>
    <row r="8" spans="1:10" x14ac:dyDescent="0.3">
      <c r="A8" t="s">
        <v>36</v>
      </c>
      <c r="B8" t="s">
        <v>224</v>
      </c>
      <c r="C8">
        <v>71</v>
      </c>
      <c r="D8">
        <v>4.82E-2</v>
      </c>
      <c r="E8">
        <v>25.566618924710021</v>
      </c>
      <c r="F8">
        <v>2566.272135954981</v>
      </c>
      <c r="G8">
        <v>9.0579999999999998</v>
      </c>
      <c r="H8">
        <v>6.3E-2</v>
      </c>
      <c r="I8">
        <v>17.000800000000002</v>
      </c>
    </row>
    <row r="9" spans="1:10" x14ac:dyDescent="0.3">
      <c r="A9" t="s">
        <v>36</v>
      </c>
      <c r="B9" t="s">
        <v>225</v>
      </c>
      <c r="C9">
        <v>71</v>
      </c>
      <c r="D9">
        <v>5.3800000000000001E-2</v>
      </c>
      <c r="E9">
        <v>25.466487517535938</v>
      </c>
      <c r="F9">
        <v>2443.4766366343501</v>
      </c>
      <c r="G9">
        <v>9.0579999999999998</v>
      </c>
      <c r="H9">
        <v>6.1400000000000003E-2</v>
      </c>
      <c r="I9">
        <v>17.20092</v>
      </c>
    </row>
    <row r="10" spans="1:10" x14ac:dyDescent="0.3">
      <c r="A10" t="s">
        <v>36</v>
      </c>
      <c r="B10" t="s">
        <v>226</v>
      </c>
      <c r="C10">
        <v>71</v>
      </c>
      <c r="D10">
        <v>5.4899999999999997E-2</v>
      </c>
      <c r="E10">
        <v>25.176475374566479</v>
      </c>
      <c r="F10">
        <v>2416.4475049095959</v>
      </c>
      <c r="G10">
        <v>9.0579999999999998</v>
      </c>
      <c r="H10">
        <v>5.6899999999999999E-2</v>
      </c>
      <c r="I10">
        <v>17.401579999999999</v>
      </c>
    </row>
    <row r="11" spans="1:10" x14ac:dyDescent="0.3">
      <c r="A11" t="s">
        <v>36</v>
      </c>
      <c r="B11" t="s">
        <v>227</v>
      </c>
      <c r="C11">
        <v>71</v>
      </c>
      <c r="D11">
        <v>5.3699999999999998E-2</v>
      </c>
      <c r="E11">
        <v>24.729473066626401</v>
      </c>
      <c r="F11">
        <v>2374.7868898095812</v>
      </c>
      <c r="G11">
        <v>9.0579999999999998</v>
      </c>
      <c r="H11">
        <v>0.05</v>
      </c>
      <c r="I11">
        <v>17.600560000000002</v>
      </c>
    </row>
    <row r="12" spans="1:10" x14ac:dyDescent="0.3">
      <c r="A12" t="s">
        <v>36</v>
      </c>
      <c r="B12" t="s">
        <v>228</v>
      </c>
      <c r="C12">
        <v>71</v>
      </c>
      <c r="D12">
        <v>5.1400000000000001E-2</v>
      </c>
      <c r="E12">
        <v>24.155653699574181</v>
      </c>
      <c r="F12">
        <v>2321.306924800313</v>
      </c>
      <c r="G12">
        <v>9.0579999999999998</v>
      </c>
      <c r="H12">
        <v>4.1099999999999998E-2</v>
      </c>
      <c r="I12">
        <v>17.803329999999999</v>
      </c>
    </row>
    <row r="13" spans="1:10" x14ac:dyDescent="0.3">
      <c r="A13" t="s">
        <v>36</v>
      </c>
      <c r="B13" t="s">
        <v>229</v>
      </c>
      <c r="C13">
        <v>71</v>
      </c>
      <c r="D13">
        <v>4.5499999999999999E-2</v>
      </c>
      <c r="E13">
        <v>23.527549908516921</v>
      </c>
      <c r="F13">
        <v>2262.7676514737768</v>
      </c>
      <c r="G13">
        <v>9.0579999999999998</v>
      </c>
      <c r="H13">
        <v>3.1300000000000001E-2</v>
      </c>
      <c r="I13">
        <v>18.003679999999999</v>
      </c>
    </row>
    <row r="14" spans="1:10" x14ac:dyDescent="0.3">
      <c r="A14" t="s">
        <v>36</v>
      </c>
      <c r="B14" t="s">
        <v>230</v>
      </c>
      <c r="C14">
        <v>71</v>
      </c>
      <c r="D14">
        <v>3.6999999999999998E-2</v>
      </c>
      <c r="E14">
        <v>22.907240076215459</v>
      </c>
      <c r="F14">
        <v>2204.954775103281</v>
      </c>
      <c r="G14">
        <v>9.0579999999999998</v>
      </c>
      <c r="H14">
        <v>2.1700000000000001E-2</v>
      </c>
      <c r="I14">
        <v>18.201830000000001</v>
      </c>
    </row>
    <row r="15" spans="1:10" x14ac:dyDescent="0.3">
      <c r="A15" t="s">
        <v>36</v>
      </c>
      <c r="B15" t="s">
        <v>231</v>
      </c>
      <c r="C15">
        <v>71</v>
      </c>
      <c r="D15">
        <v>0.03</v>
      </c>
      <c r="E15">
        <v>22.33659838343069</v>
      </c>
      <c r="F15">
        <v>2151.770969335741</v>
      </c>
      <c r="G15">
        <v>9.0579999999999998</v>
      </c>
      <c r="H15">
        <v>1.2800000000000001E-2</v>
      </c>
      <c r="I15">
        <v>18.40429</v>
      </c>
    </row>
    <row r="16" spans="1:10" x14ac:dyDescent="0.3">
      <c r="A16" t="s">
        <v>36</v>
      </c>
      <c r="B16" t="s">
        <v>232</v>
      </c>
      <c r="C16">
        <v>71</v>
      </c>
      <c r="D16">
        <v>2.12E-2</v>
      </c>
      <c r="E16">
        <v>21.88463404609379</v>
      </c>
      <c r="F16">
        <v>2109.6478930959411</v>
      </c>
      <c r="G16">
        <v>9.0579999999999998</v>
      </c>
      <c r="H16">
        <v>5.7999999999999996E-3</v>
      </c>
      <c r="I16">
        <v>18.607800000000001</v>
      </c>
    </row>
    <row r="17" spans="1:9" x14ac:dyDescent="0.3">
      <c r="A17" t="s">
        <v>36</v>
      </c>
      <c r="B17" t="s">
        <v>233</v>
      </c>
      <c r="C17">
        <v>71</v>
      </c>
      <c r="D17">
        <v>1.23E-2</v>
      </c>
      <c r="E17">
        <v>21.601943934474239</v>
      </c>
      <c r="F17">
        <v>2083.3011746929992</v>
      </c>
      <c r="G17">
        <v>9.0579999999999998</v>
      </c>
      <c r="H17">
        <v>1.4E-3</v>
      </c>
      <c r="I17">
        <v>18.809560000000001</v>
      </c>
    </row>
    <row r="18" spans="1:9" x14ac:dyDescent="0.3">
      <c r="A18" t="s">
        <v>36</v>
      </c>
      <c r="B18" t="s">
        <v>37</v>
      </c>
      <c r="C18">
        <v>71</v>
      </c>
      <c r="D18">
        <v>5.5999999999999999E-3</v>
      </c>
      <c r="E18">
        <v>21.511924405894749</v>
      </c>
      <c r="F18">
        <v>2074.9113546293911</v>
      </c>
      <c r="G18">
        <v>9.0579999999999998</v>
      </c>
      <c r="H18">
        <v>0</v>
      </c>
      <c r="I18">
        <v>19.002130000000001</v>
      </c>
    </row>
    <row r="19" spans="1:9" x14ac:dyDescent="0.3">
      <c r="A19" t="s">
        <v>36</v>
      </c>
      <c r="B19" t="s">
        <v>39</v>
      </c>
      <c r="C19">
        <v>71</v>
      </c>
      <c r="D19">
        <v>-1.6999999999999999E-3</v>
      </c>
      <c r="E19">
        <v>21.611624994647428</v>
      </c>
      <c r="F19">
        <v>2190.9432119920411</v>
      </c>
      <c r="G19">
        <v>9.0579999999999998</v>
      </c>
      <c r="H19">
        <v>1.5E-3</v>
      </c>
      <c r="I19">
        <v>19.200489999999999</v>
      </c>
    </row>
    <row r="20" spans="1:9" x14ac:dyDescent="0.3">
      <c r="A20" t="s">
        <v>36</v>
      </c>
      <c r="B20" t="s">
        <v>41</v>
      </c>
      <c r="C20">
        <v>71</v>
      </c>
      <c r="D20">
        <v>-2E-3</v>
      </c>
      <c r="E20">
        <v>21.90136648589128</v>
      </c>
      <c r="F20">
        <v>2218.4396795110829</v>
      </c>
      <c r="G20">
        <v>9.0579999999999998</v>
      </c>
      <c r="H20">
        <v>6.1000000000000004E-3</v>
      </c>
      <c r="I20">
        <v>19.401209999999999</v>
      </c>
    </row>
    <row r="21" spans="1:9" x14ac:dyDescent="0.3">
      <c r="A21" t="s">
        <v>36</v>
      </c>
      <c r="B21" t="s">
        <v>43</v>
      </c>
      <c r="C21">
        <v>71</v>
      </c>
      <c r="D21">
        <v>-1.1000000000000001E-3</v>
      </c>
      <c r="E21">
        <v>22.354801587279521</v>
      </c>
      <c r="F21">
        <v>2261.470670632827</v>
      </c>
      <c r="G21">
        <v>9.0579999999999998</v>
      </c>
      <c r="H21">
        <v>1.3100000000000001E-2</v>
      </c>
      <c r="I21">
        <v>19.602779999999999</v>
      </c>
    </row>
    <row r="22" spans="1:9" x14ac:dyDescent="0.3">
      <c r="A22" t="s">
        <v>36</v>
      </c>
      <c r="B22" t="s">
        <v>45</v>
      </c>
      <c r="C22">
        <v>71</v>
      </c>
      <c r="D22">
        <v>3.3999999999999998E-3</v>
      </c>
      <c r="E22">
        <v>22.922432659745819</v>
      </c>
      <c r="F22">
        <v>2315.3388594098778</v>
      </c>
      <c r="G22">
        <v>9.0579999999999998</v>
      </c>
      <c r="H22">
        <v>2.1899999999999999E-2</v>
      </c>
      <c r="I22">
        <v>19.803180000000001</v>
      </c>
    </row>
    <row r="23" spans="1:9" x14ac:dyDescent="0.3">
      <c r="A23" t="s">
        <v>36</v>
      </c>
      <c r="B23" t="s">
        <v>47</v>
      </c>
      <c r="C23">
        <v>71</v>
      </c>
      <c r="D23">
        <v>9.7999999999999997E-3</v>
      </c>
      <c r="E23">
        <v>23.551202639245261</v>
      </c>
      <c r="F23">
        <v>2375.0091304643761</v>
      </c>
      <c r="G23">
        <v>9.0579999999999998</v>
      </c>
      <c r="H23">
        <v>3.1699999999999999E-2</v>
      </c>
      <c r="I23">
        <v>20.00375</v>
      </c>
    </row>
    <row r="24" spans="1:9" x14ac:dyDescent="0.3">
      <c r="A24" t="s">
        <v>36</v>
      </c>
      <c r="B24" t="s">
        <v>49</v>
      </c>
      <c r="C24">
        <v>71</v>
      </c>
      <c r="D24">
        <v>1.61E-2</v>
      </c>
      <c r="E24">
        <v>24.178826758405311</v>
      </c>
      <c r="F24">
        <v>2434.5706593726641</v>
      </c>
      <c r="G24">
        <v>9.0579999999999998</v>
      </c>
      <c r="H24">
        <v>4.1399999999999999E-2</v>
      </c>
      <c r="I24">
        <v>20.204319999999999</v>
      </c>
    </row>
    <row r="25" spans="1:9" x14ac:dyDescent="0.3">
      <c r="A25" t="s">
        <v>36</v>
      </c>
      <c r="B25" t="s">
        <v>51</v>
      </c>
      <c r="C25">
        <v>71</v>
      </c>
      <c r="D25">
        <v>2.3699999999999999E-2</v>
      </c>
      <c r="E25">
        <v>24.731581109055458</v>
      </c>
      <c r="F25">
        <v>2487.027047249363</v>
      </c>
      <c r="G25">
        <v>9.0579999999999998</v>
      </c>
      <c r="H25">
        <v>0.05</v>
      </c>
      <c r="I25">
        <v>20.400259999999999</v>
      </c>
    </row>
    <row r="26" spans="1:9" x14ac:dyDescent="0.3">
      <c r="A26" t="s">
        <v>36</v>
      </c>
      <c r="B26" t="s">
        <v>53</v>
      </c>
      <c r="C26">
        <v>71</v>
      </c>
      <c r="D26">
        <v>3.2599999999999997E-2</v>
      </c>
      <c r="E26">
        <v>25.183934819953549</v>
      </c>
      <c r="F26">
        <v>2529.9554144135918</v>
      </c>
      <c r="G26">
        <v>9.0579999999999998</v>
      </c>
      <c r="H26">
        <v>5.7099999999999998E-2</v>
      </c>
      <c r="I26">
        <v>20.602409999999999</v>
      </c>
    </row>
    <row r="27" spans="1:9" x14ac:dyDescent="0.3">
      <c r="A27" t="s">
        <v>36</v>
      </c>
      <c r="B27" t="s">
        <v>55</v>
      </c>
      <c r="C27">
        <v>71</v>
      </c>
      <c r="D27">
        <v>4.1000000000000002E-2</v>
      </c>
      <c r="E27">
        <v>25.46949529955916</v>
      </c>
      <c r="F27">
        <v>2557.055103928165</v>
      </c>
      <c r="G27">
        <v>9.0579999999999998</v>
      </c>
      <c r="H27">
        <v>6.1499999999999999E-2</v>
      </c>
      <c r="I27">
        <v>20.802150000000001</v>
      </c>
    </row>
    <row r="28" spans="1:9" x14ac:dyDescent="0.3">
      <c r="A28" t="s">
        <v>36</v>
      </c>
      <c r="B28" t="s">
        <v>57</v>
      </c>
      <c r="C28">
        <v>71</v>
      </c>
      <c r="D28">
        <v>4.8000000000000001E-2</v>
      </c>
      <c r="E28">
        <v>25.56661811376852</v>
      </c>
      <c r="F28">
        <v>2566.2720589966329</v>
      </c>
      <c r="G28">
        <v>9.0579999999999998</v>
      </c>
      <c r="H28">
        <v>6.3E-2</v>
      </c>
      <c r="I28">
        <v>21.001010000000001</v>
      </c>
    </row>
    <row r="29" spans="1:9" x14ac:dyDescent="0.3">
      <c r="A29" t="s">
        <v>36</v>
      </c>
      <c r="B29" t="s">
        <v>59</v>
      </c>
      <c r="C29">
        <v>71</v>
      </c>
      <c r="D29">
        <v>5.3999999999999999E-2</v>
      </c>
      <c r="E29">
        <v>25.465221637854551</v>
      </c>
      <c r="F29">
        <v>2443.358656648044</v>
      </c>
      <c r="G29">
        <v>9.0579999999999998</v>
      </c>
      <c r="H29">
        <v>6.1400000000000003E-2</v>
      </c>
      <c r="I29">
        <v>21.202200000000001</v>
      </c>
    </row>
    <row r="30" spans="1:9" x14ac:dyDescent="0.3">
      <c r="A30" t="s">
        <v>36</v>
      </c>
      <c r="B30" t="s">
        <v>61</v>
      </c>
      <c r="C30">
        <v>71</v>
      </c>
      <c r="D30">
        <v>5.5100000000000003E-2</v>
      </c>
      <c r="E30">
        <v>25.176440909552738</v>
      </c>
      <c r="F30">
        <v>2416.4442927703149</v>
      </c>
      <c r="G30">
        <v>9.0579999999999998</v>
      </c>
      <c r="H30">
        <v>5.6899999999999999E-2</v>
      </c>
      <c r="I30">
        <v>21.401589999999999</v>
      </c>
    </row>
    <row r="31" spans="1:9" x14ac:dyDescent="0.3">
      <c r="A31" t="s">
        <v>36</v>
      </c>
      <c r="B31" t="s">
        <v>63</v>
      </c>
      <c r="C31">
        <v>71</v>
      </c>
      <c r="D31">
        <v>5.4199999999999998E-2</v>
      </c>
      <c r="E31">
        <v>24.727242166560099</v>
      </c>
      <c r="F31">
        <v>2374.578969923401</v>
      </c>
      <c r="G31">
        <v>9.0579999999999998</v>
      </c>
      <c r="H31">
        <v>0.05</v>
      </c>
      <c r="I31">
        <v>21.601420000000001</v>
      </c>
    </row>
    <row r="32" spans="1:9" x14ac:dyDescent="0.3">
      <c r="A32" t="s">
        <v>36</v>
      </c>
      <c r="B32" t="s">
        <v>65</v>
      </c>
      <c r="C32">
        <v>71</v>
      </c>
      <c r="D32">
        <v>5.11E-2</v>
      </c>
      <c r="E32">
        <v>24.159986560008281</v>
      </c>
      <c r="F32">
        <v>2321.7107473927722</v>
      </c>
      <c r="G32">
        <v>9.0579999999999998</v>
      </c>
      <c r="H32">
        <v>4.1099999999999998E-2</v>
      </c>
      <c r="I32">
        <v>21.8019</v>
      </c>
    </row>
    <row r="33" spans="1:9" x14ac:dyDescent="0.3">
      <c r="A33" t="s">
        <v>36</v>
      </c>
      <c r="B33" t="s">
        <v>67</v>
      </c>
      <c r="C33">
        <v>71</v>
      </c>
      <c r="D33">
        <v>4.5699999999999998E-2</v>
      </c>
      <c r="E33">
        <v>23.527467597954679</v>
      </c>
      <c r="F33">
        <v>2262.7599801293759</v>
      </c>
      <c r="G33">
        <v>9.0579999999999998</v>
      </c>
      <c r="H33">
        <v>3.1300000000000001E-2</v>
      </c>
      <c r="I33">
        <v>22.003699999999998</v>
      </c>
    </row>
    <row r="34" spans="1:9" x14ac:dyDescent="0.3">
      <c r="A34" t="s">
        <v>36</v>
      </c>
      <c r="B34" t="s">
        <v>69</v>
      </c>
      <c r="C34">
        <v>71</v>
      </c>
      <c r="D34">
        <v>3.8100000000000002E-2</v>
      </c>
      <c r="E34">
        <v>22.903572998752789</v>
      </c>
      <c r="F34">
        <v>2204.6130034837602</v>
      </c>
      <c r="G34">
        <v>9.0579999999999998</v>
      </c>
      <c r="H34">
        <v>2.1600000000000001E-2</v>
      </c>
      <c r="I34">
        <v>22.203040000000001</v>
      </c>
    </row>
    <row r="35" spans="1:9" x14ac:dyDescent="0.3">
      <c r="A35" t="s">
        <v>36</v>
      </c>
      <c r="B35" t="s">
        <v>71</v>
      </c>
      <c r="C35">
        <v>71</v>
      </c>
      <c r="D35">
        <v>2.9000000000000001E-2</v>
      </c>
      <c r="E35">
        <v>22.341215478860519</v>
      </c>
      <c r="F35">
        <v>2152.201282629801</v>
      </c>
      <c r="G35">
        <v>9.0579999999999998</v>
      </c>
      <c r="H35">
        <v>1.29E-2</v>
      </c>
      <c r="I35">
        <v>22.40249</v>
      </c>
    </row>
    <row r="36" spans="1:9" x14ac:dyDescent="0.3">
      <c r="A36" t="s">
        <v>36</v>
      </c>
      <c r="B36" t="s">
        <v>73</v>
      </c>
      <c r="C36">
        <v>71</v>
      </c>
      <c r="D36">
        <v>2.1499999999999998E-2</v>
      </c>
      <c r="E36">
        <v>21.8989722622069</v>
      </c>
      <c r="F36">
        <v>2110.9842148376829</v>
      </c>
      <c r="G36">
        <v>9.0579999999999998</v>
      </c>
      <c r="H36">
        <v>6.0000000000000001E-3</v>
      </c>
      <c r="I36">
        <v>22.600069999999999</v>
      </c>
    </row>
    <row r="37" spans="1:9" x14ac:dyDescent="0.3">
      <c r="A37" t="s">
        <v>36</v>
      </c>
      <c r="B37" t="s">
        <v>75</v>
      </c>
      <c r="C37">
        <v>71</v>
      </c>
      <c r="D37">
        <v>1.34E-2</v>
      </c>
      <c r="E37">
        <v>21.61001191036285</v>
      </c>
      <c r="F37">
        <v>2084.053110045817</v>
      </c>
      <c r="G37">
        <v>9.0579999999999998</v>
      </c>
      <c r="H37">
        <v>1.5E-3</v>
      </c>
      <c r="I37">
        <v>22.80115</v>
      </c>
    </row>
    <row r="38" spans="1:9" x14ac:dyDescent="0.3">
      <c r="A38" t="s">
        <v>36</v>
      </c>
      <c r="B38" t="s">
        <v>77</v>
      </c>
      <c r="C38">
        <v>71</v>
      </c>
      <c r="D38">
        <v>5.4999999999999997E-3</v>
      </c>
      <c r="E38">
        <v>21.511925010094831</v>
      </c>
      <c r="F38">
        <v>2074.9114109408379</v>
      </c>
      <c r="G38">
        <v>9.0579999999999998</v>
      </c>
      <c r="H38">
        <v>0</v>
      </c>
      <c r="I38">
        <v>23.002179999999999</v>
      </c>
    </row>
    <row r="39" spans="1:9" x14ac:dyDescent="0.3">
      <c r="A39" t="s">
        <v>36</v>
      </c>
      <c r="B39" t="s">
        <v>79</v>
      </c>
      <c r="C39">
        <v>71</v>
      </c>
      <c r="D39">
        <v>-2.3E-3</v>
      </c>
      <c r="E39">
        <v>21.619336521199749</v>
      </c>
      <c r="F39">
        <v>2191.675035861856</v>
      </c>
      <c r="G39">
        <v>9.0579999999999998</v>
      </c>
      <c r="H39">
        <v>1.6999999999999999E-3</v>
      </c>
      <c r="I39">
        <v>23.208169999999999</v>
      </c>
    </row>
    <row r="40" spans="1:9" x14ac:dyDescent="0.3">
      <c r="A40" t="s">
        <v>36</v>
      </c>
      <c r="B40" t="s">
        <v>81</v>
      </c>
      <c r="C40">
        <v>71</v>
      </c>
      <c r="D40">
        <v>-1.9E-3</v>
      </c>
      <c r="E40">
        <v>21.90025367141801</v>
      </c>
      <c r="F40">
        <v>2218.334073417569</v>
      </c>
      <c r="G40">
        <v>9.0579999999999998</v>
      </c>
      <c r="H40">
        <v>6.0000000000000001E-3</v>
      </c>
      <c r="I40">
        <v>23.40061</v>
      </c>
    </row>
    <row r="41" spans="1:9" x14ac:dyDescent="0.3">
      <c r="A41" t="s">
        <v>36</v>
      </c>
      <c r="B41" t="s">
        <v>83</v>
      </c>
      <c r="C41">
        <v>71</v>
      </c>
      <c r="D41">
        <v>-2.9999999999999997E-4</v>
      </c>
      <c r="E41">
        <v>22.35624344126639</v>
      </c>
      <c r="F41">
        <v>2261.6075025761811</v>
      </c>
      <c r="G41">
        <v>9.0579999999999998</v>
      </c>
      <c r="H41">
        <v>1.3100000000000001E-2</v>
      </c>
      <c r="I41">
        <v>23.603339999999999</v>
      </c>
    </row>
    <row r="42" spans="1:9" x14ac:dyDescent="0.3">
      <c r="A42" t="s">
        <v>36</v>
      </c>
      <c r="B42" t="s">
        <v>85</v>
      </c>
      <c r="C42">
        <v>71</v>
      </c>
      <c r="D42">
        <v>2.7000000000000001E-3</v>
      </c>
      <c r="E42">
        <v>22.91300789763368</v>
      </c>
      <c r="F42">
        <v>2314.444449485437</v>
      </c>
      <c r="G42">
        <v>9.0579999999999998</v>
      </c>
      <c r="H42">
        <v>2.18E-2</v>
      </c>
      <c r="I42">
        <v>23.800080000000001</v>
      </c>
    </row>
    <row r="43" spans="1:9" x14ac:dyDescent="0.3">
      <c r="A43" t="s">
        <v>36</v>
      </c>
      <c r="B43" t="s">
        <v>87</v>
      </c>
      <c r="C43">
        <v>71</v>
      </c>
      <c r="D43">
        <v>8.8000000000000005E-3</v>
      </c>
      <c r="E43">
        <v>23.54517572201781</v>
      </c>
      <c r="F43">
        <v>2374.4371760194899</v>
      </c>
      <c r="G43">
        <v>9.0579999999999998</v>
      </c>
      <c r="H43">
        <v>3.1600000000000003E-2</v>
      </c>
      <c r="I43">
        <v>24.001860000000001</v>
      </c>
    </row>
    <row r="44" spans="1:9" x14ac:dyDescent="0.3">
      <c r="A44" t="s">
        <v>36</v>
      </c>
      <c r="B44" t="s">
        <v>89</v>
      </c>
      <c r="C44">
        <v>71</v>
      </c>
      <c r="D44">
        <v>1.7399999999999999E-2</v>
      </c>
      <c r="E44">
        <v>24.173949350754011</v>
      </c>
      <c r="F44">
        <v>2434.1077933865549</v>
      </c>
      <c r="G44">
        <v>9.0579999999999998</v>
      </c>
      <c r="H44">
        <v>4.1399999999999999E-2</v>
      </c>
      <c r="I44">
        <v>24.20271</v>
      </c>
    </row>
    <row r="45" spans="1:9" x14ac:dyDescent="0.3">
      <c r="A45" t="s">
        <v>36</v>
      </c>
      <c r="B45" t="s">
        <v>91</v>
      </c>
      <c r="C45">
        <v>71</v>
      </c>
      <c r="D45">
        <v>2.3900000000000001E-2</v>
      </c>
      <c r="E45">
        <v>24.73799362896612</v>
      </c>
      <c r="F45">
        <v>2487.6355953888851</v>
      </c>
      <c r="G45">
        <v>9.0579999999999998</v>
      </c>
      <c r="H45">
        <v>5.0099999999999999E-2</v>
      </c>
      <c r="I45">
        <v>24.402750000000001</v>
      </c>
    </row>
    <row r="46" spans="1:9" x14ac:dyDescent="0.3">
      <c r="A46" t="s">
        <v>36</v>
      </c>
      <c r="B46" t="s">
        <v>93</v>
      </c>
      <c r="C46">
        <v>71</v>
      </c>
      <c r="D46">
        <v>3.2099999999999997E-2</v>
      </c>
      <c r="E46">
        <v>25.18702977818802</v>
      </c>
      <c r="F46">
        <v>2530.249125950043</v>
      </c>
      <c r="G46">
        <v>9.0579999999999998</v>
      </c>
      <c r="H46">
        <v>5.7099999999999998E-2</v>
      </c>
      <c r="I46">
        <v>24.60408</v>
      </c>
    </row>
    <row r="47" spans="1:9" x14ac:dyDescent="0.3">
      <c r="A47" t="s">
        <v>36</v>
      </c>
      <c r="B47" t="s">
        <v>95</v>
      </c>
      <c r="C47">
        <v>71</v>
      </c>
      <c r="D47">
        <v>4.1500000000000002E-2</v>
      </c>
      <c r="E47">
        <v>25.46903022460895</v>
      </c>
      <c r="F47">
        <v>2557.0109683153901</v>
      </c>
      <c r="G47">
        <v>9.0579999999999998</v>
      </c>
      <c r="H47">
        <v>6.1499999999999999E-2</v>
      </c>
      <c r="I47">
        <v>24.801670000000001</v>
      </c>
    </row>
    <row r="48" spans="1:9" x14ac:dyDescent="0.3">
      <c r="A48" t="s">
        <v>36</v>
      </c>
      <c r="B48" t="s">
        <v>97</v>
      </c>
      <c r="C48">
        <v>71</v>
      </c>
      <c r="D48">
        <v>4.7800000000000002E-2</v>
      </c>
      <c r="E48">
        <v>25.566620546593018</v>
      </c>
      <c r="F48">
        <v>2566.2722898716779</v>
      </c>
      <c r="G48">
        <v>9.0579999999999998</v>
      </c>
      <c r="H48">
        <v>6.3E-2</v>
      </c>
      <c r="I48">
        <v>25.000080000000001</v>
      </c>
    </row>
    <row r="49" spans="1:9" x14ac:dyDescent="0.3">
      <c r="A49" t="s">
        <v>36</v>
      </c>
      <c r="B49" t="s">
        <v>99</v>
      </c>
      <c r="C49">
        <v>71</v>
      </c>
      <c r="D49">
        <v>5.3100000000000001E-2</v>
      </c>
      <c r="E49">
        <v>25.46704503981714</v>
      </c>
      <c r="F49">
        <v>2443.528597710957</v>
      </c>
      <c r="G49">
        <v>9.0579999999999998</v>
      </c>
      <c r="H49">
        <v>6.1499999999999999E-2</v>
      </c>
      <c r="I49">
        <v>25.20035</v>
      </c>
    </row>
    <row r="50" spans="1:9" x14ac:dyDescent="0.3">
      <c r="A50" t="s">
        <v>36</v>
      </c>
      <c r="B50" t="s">
        <v>101</v>
      </c>
      <c r="C50">
        <v>71</v>
      </c>
      <c r="D50">
        <v>5.4300000000000001E-2</v>
      </c>
      <c r="E50">
        <v>25.175209494885099</v>
      </c>
      <c r="F50">
        <v>2416.329524923292</v>
      </c>
      <c r="G50">
        <v>9.0579999999999998</v>
      </c>
      <c r="H50">
        <v>5.6899999999999999E-2</v>
      </c>
      <c r="I50">
        <v>25.402249999999999</v>
      </c>
    </row>
    <row r="51" spans="1:9" x14ac:dyDescent="0.3">
      <c r="A51" t="s">
        <v>36</v>
      </c>
      <c r="B51" t="s">
        <v>103</v>
      </c>
      <c r="C51">
        <v>71</v>
      </c>
      <c r="D51">
        <v>5.3600000000000002E-2</v>
      </c>
      <c r="E51">
        <v>24.728428168503751</v>
      </c>
      <c r="F51">
        <v>2374.6895053045491</v>
      </c>
      <c r="G51">
        <v>9.0579999999999998</v>
      </c>
      <c r="H51">
        <v>0.05</v>
      </c>
      <c r="I51">
        <v>25.600960000000001</v>
      </c>
    </row>
    <row r="52" spans="1:9" x14ac:dyDescent="0.3">
      <c r="A52" t="s">
        <v>36</v>
      </c>
      <c r="B52" t="s">
        <v>105</v>
      </c>
      <c r="C52">
        <v>71</v>
      </c>
      <c r="D52">
        <v>5.1499999999999997E-2</v>
      </c>
      <c r="E52">
        <v>24.149606914279989</v>
      </c>
      <c r="F52">
        <v>2320.7433644108951</v>
      </c>
      <c r="G52">
        <v>9.0579999999999998</v>
      </c>
      <c r="H52">
        <v>4.1000000000000002E-2</v>
      </c>
      <c r="I52">
        <v>25.805319999999998</v>
      </c>
    </row>
    <row r="53" spans="1:9" x14ac:dyDescent="0.3">
      <c r="A53" t="s">
        <v>36</v>
      </c>
      <c r="B53" t="s">
        <v>107</v>
      </c>
      <c r="C53">
        <v>71</v>
      </c>
      <c r="D53">
        <v>4.5100000000000001E-2</v>
      </c>
      <c r="E53">
        <v>23.528823492142561</v>
      </c>
      <c r="F53">
        <v>2262.8863494676871</v>
      </c>
      <c r="G53">
        <v>9.0579999999999998</v>
      </c>
      <c r="H53">
        <v>3.1300000000000001E-2</v>
      </c>
      <c r="I53">
        <v>26.00328</v>
      </c>
    </row>
    <row r="54" spans="1:9" x14ac:dyDescent="0.3">
      <c r="A54" t="s">
        <v>36</v>
      </c>
      <c r="B54" t="s">
        <v>109</v>
      </c>
      <c r="C54">
        <v>71</v>
      </c>
      <c r="D54">
        <v>3.85E-2</v>
      </c>
      <c r="E54">
        <v>22.90537491076563</v>
      </c>
      <c r="F54">
        <v>2204.780941683357</v>
      </c>
      <c r="G54">
        <v>9.0579999999999998</v>
      </c>
      <c r="H54">
        <v>2.1700000000000001E-2</v>
      </c>
      <c r="I54">
        <v>26.202449999999999</v>
      </c>
    </row>
    <row r="55" spans="1:9" x14ac:dyDescent="0.3">
      <c r="A55" t="s">
        <v>36</v>
      </c>
      <c r="B55" t="s">
        <v>111</v>
      </c>
      <c r="C55">
        <v>71</v>
      </c>
      <c r="D55">
        <v>2.9899999999999999E-2</v>
      </c>
      <c r="E55">
        <v>22.33949020081943</v>
      </c>
      <c r="F55">
        <v>2152.0404867163711</v>
      </c>
      <c r="G55">
        <v>9.0579999999999998</v>
      </c>
      <c r="H55">
        <v>1.29E-2</v>
      </c>
      <c r="I55">
        <v>26.40316</v>
      </c>
    </row>
    <row r="56" spans="1:9" x14ac:dyDescent="0.3">
      <c r="A56" t="s">
        <v>36</v>
      </c>
      <c r="B56" t="s">
        <v>113</v>
      </c>
      <c r="C56">
        <v>71</v>
      </c>
      <c r="D56">
        <v>2.1299999999999999E-2</v>
      </c>
      <c r="E56">
        <v>21.894390888750149</v>
      </c>
      <c r="F56">
        <v>2110.5572308315141</v>
      </c>
      <c r="G56">
        <v>9.0579999999999998</v>
      </c>
      <c r="H56">
        <v>5.8999999999999999E-3</v>
      </c>
      <c r="I56">
        <v>26.602519999999998</v>
      </c>
    </row>
    <row r="57" spans="1:9" x14ac:dyDescent="0.3">
      <c r="A57" t="s">
        <v>36</v>
      </c>
      <c r="B57" t="s">
        <v>115</v>
      </c>
      <c r="C57">
        <v>71</v>
      </c>
      <c r="D57">
        <v>1.2999999999999999E-2</v>
      </c>
      <c r="E57">
        <v>21.608580112050578</v>
      </c>
      <c r="F57">
        <v>2083.9196664431138</v>
      </c>
      <c r="G57">
        <v>9.0579999999999998</v>
      </c>
      <c r="H57">
        <v>1.5E-3</v>
      </c>
      <c r="I57">
        <v>26.802620000000001</v>
      </c>
    </row>
    <row r="58" spans="1:9" x14ac:dyDescent="0.3">
      <c r="A58" t="s">
        <v>36</v>
      </c>
      <c r="B58" t="s">
        <v>117</v>
      </c>
      <c r="C58">
        <v>71</v>
      </c>
      <c r="D58">
        <v>5.1999999999999998E-3</v>
      </c>
      <c r="E58">
        <v>21.511937456583102</v>
      </c>
      <c r="F58">
        <v>2074.9125709535451</v>
      </c>
      <c r="G58">
        <v>9.0579999999999998</v>
      </c>
      <c r="H58">
        <v>0</v>
      </c>
      <c r="I58">
        <v>27.003119999999999</v>
      </c>
    </row>
    <row r="59" spans="1:9" x14ac:dyDescent="0.3">
      <c r="A59" t="s">
        <v>36</v>
      </c>
      <c r="B59" t="s">
        <v>119</v>
      </c>
      <c r="C59">
        <v>71</v>
      </c>
      <c r="D59">
        <v>-2.3999999999999998E-3</v>
      </c>
      <c r="E59">
        <v>21.612122385616409</v>
      </c>
      <c r="F59">
        <v>2190.990414394998</v>
      </c>
      <c r="G59">
        <v>9.0579999999999998</v>
      </c>
      <c r="H59">
        <v>1.6000000000000001E-3</v>
      </c>
      <c r="I59">
        <v>27.201000000000001</v>
      </c>
    </row>
    <row r="60" spans="1:9" x14ac:dyDescent="0.3">
      <c r="A60" t="s">
        <v>36</v>
      </c>
      <c r="B60" t="s">
        <v>121</v>
      </c>
      <c r="C60">
        <v>71</v>
      </c>
      <c r="D60">
        <v>-1.2999999999999999E-3</v>
      </c>
      <c r="E60">
        <v>21.920361168644039</v>
      </c>
      <c r="F60">
        <v>2220.2422749043199</v>
      </c>
      <c r="G60">
        <v>9.0579999999999998</v>
      </c>
      <c r="H60">
        <v>6.3E-3</v>
      </c>
      <c r="I60">
        <v>27.41122</v>
      </c>
    </row>
    <row r="61" spans="1:9" x14ac:dyDescent="0.3">
      <c r="A61" t="s">
        <v>36</v>
      </c>
      <c r="B61" t="s">
        <v>123</v>
      </c>
      <c r="C61">
        <v>71</v>
      </c>
      <c r="D61">
        <v>-5.9999999999999995E-4</v>
      </c>
      <c r="E61">
        <v>22.352300643693749</v>
      </c>
      <c r="F61">
        <v>2261.233331086537</v>
      </c>
      <c r="G61">
        <v>9.0579999999999998</v>
      </c>
      <c r="H61">
        <v>1.3100000000000001E-2</v>
      </c>
      <c r="I61">
        <v>27.60181</v>
      </c>
    </row>
    <row r="62" spans="1:9" x14ac:dyDescent="0.3">
      <c r="A62" t="s">
        <v>36</v>
      </c>
      <c r="B62" t="s">
        <v>125</v>
      </c>
      <c r="C62">
        <v>71</v>
      </c>
      <c r="D62">
        <v>3.2000000000000002E-3</v>
      </c>
      <c r="E62">
        <v>22.923658397822951</v>
      </c>
      <c r="F62">
        <v>2315.4551819533981</v>
      </c>
      <c r="G62">
        <v>9.0579999999999998</v>
      </c>
      <c r="H62">
        <v>2.1899999999999999E-2</v>
      </c>
      <c r="I62">
        <v>27.80359</v>
      </c>
    </row>
    <row r="63" spans="1:9" x14ac:dyDescent="0.3">
      <c r="A63" t="s">
        <v>36</v>
      </c>
      <c r="B63" t="s">
        <v>127</v>
      </c>
      <c r="C63">
        <v>71</v>
      </c>
      <c r="D63">
        <v>9.7000000000000003E-3</v>
      </c>
      <c r="E63">
        <v>23.554646707795438</v>
      </c>
      <c r="F63">
        <v>2375.3359725697869</v>
      </c>
      <c r="G63">
        <v>9.0579999999999998</v>
      </c>
      <c r="H63">
        <v>3.1699999999999999E-2</v>
      </c>
      <c r="I63">
        <v>28.004829999999998</v>
      </c>
    </row>
    <row r="64" spans="1:9" x14ac:dyDescent="0.3">
      <c r="A64" t="s">
        <v>36</v>
      </c>
      <c r="B64" t="s">
        <v>129</v>
      </c>
      <c r="C64">
        <v>71</v>
      </c>
      <c r="D64">
        <v>1.6799999999999999E-2</v>
      </c>
      <c r="E64">
        <v>24.176032659467321</v>
      </c>
      <c r="F64">
        <v>2434.305499383448</v>
      </c>
      <c r="G64">
        <v>9.0579999999999998</v>
      </c>
      <c r="H64">
        <v>4.1399999999999999E-2</v>
      </c>
      <c r="I64">
        <v>28.203399999999998</v>
      </c>
    </row>
    <row r="65" spans="1:9" x14ac:dyDescent="0.3">
      <c r="A65" t="s">
        <v>36</v>
      </c>
      <c r="B65" t="s">
        <v>131</v>
      </c>
      <c r="C65">
        <v>71</v>
      </c>
      <c r="D65">
        <v>2.4400000000000002E-2</v>
      </c>
      <c r="E65">
        <v>24.734421026188201</v>
      </c>
      <c r="F65">
        <v>2487.29655538526</v>
      </c>
      <c r="G65">
        <v>9.0579999999999998</v>
      </c>
      <c r="H65">
        <v>5.0099999999999999E-2</v>
      </c>
      <c r="I65">
        <v>28.40136</v>
      </c>
    </row>
    <row r="66" spans="1:9" x14ac:dyDescent="0.3">
      <c r="A66" t="s">
        <v>36</v>
      </c>
      <c r="B66" t="s">
        <v>133</v>
      </c>
      <c r="C66">
        <v>71</v>
      </c>
      <c r="D66">
        <v>3.2500000000000001E-2</v>
      </c>
      <c r="E66">
        <v>25.180819588181581</v>
      </c>
      <c r="F66">
        <v>2529.659778918432</v>
      </c>
      <c r="G66">
        <v>9.0579999999999998</v>
      </c>
      <c r="H66">
        <v>5.7000000000000002E-2</v>
      </c>
      <c r="I66">
        <v>28.600739999999998</v>
      </c>
    </row>
    <row r="67" spans="1:9" x14ac:dyDescent="0.3">
      <c r="A67" t="s">
        <v>36</v>
      </c>
      <c r="B67" t="s">
        <v>135</v>
      </c>
      <c r="C67">
        <v>71</v>
      </c>
      <c r="D67">
        <v>4.0800000000000003E-2</v>
      </c>
      <c r="E67">
        <v>25.468100480179292</v>
      </c>
      <c r="F67">
        <v>2556.922735569015</v>
      </c>
      <c r="G67">
        <v>9.0579999999999998</v>
      </c>
      <c r="H67">
        <v>6.1499999999999999E-2</v>
      </c>
      <c r="I67">
        <v>28.800719999999998</v>
      </c>
    </row>
    <row r="68" spans="1:9" x14ac:dyDescent="0.3">
      <c r="A68" t="s">
        <v>36</v>
      </c>
      <c r="B68" t="s">
        <v>137</v>
      </c>
      <c r="C68">
        <v>71</v>
      </c>
      <c r="D68">
        <v>4.8000000000000001E-2</v>
      </c>
      <c r="E68">
        <v>25.56660878794127</v>
      </c>
      <c r="F68">
        <v>2566.2711739756269</v>
      </c>
      <c r="G68">
        <v>9.0579999999999998</v>
      </c>
      <c r="H68">
        <v>6.3E-2</v>
      </c>
      <c r="I68">
        <v>29.00216</v>
      </c>
    </row>
    <row r="69" spans="1:9" x14ac:dyDescent="0.3">
      <c r="A69" t="s">
        <v>36</v>
      </c>
      <c r="B69" t="s">
        <v>139</v>
      </c>
      <c r="C69">
        <v>71</v>
      </c>
      <c r="D69">
        <v>5.3199999999999997E-2</v>
      </c>
      <c r="E69">
        <v>25.467215743002871</v>
      </c>
      <c r="F69">
        <v>2443.5445072478678</v>
      </c>
      <c r="G69">
        <v>9.0579999999999998</v>
      </c>
      <c r="H69">
        <v>6.1499999999999999E-2</v>
      </c>
      <c r="I69">
        <v>29.20018</v>
      </c>
    </row>
    <row r="70" spans="1:9" x14ac:dyDescent="0.3">
      <c r="A70" t="s">
        <v>36</v>
      </c>
      <c r="B70" t="s">
        <v>141</v>
      </c>
      <c r="C70">
        <v>71</v>
      </c>
      <c r="D70">
        <v>5.4399999999999997E-2</v>
      </c>
      <c r="E70">
        <v>25.178152401588331</v>
      </c>
      <c r="F70">
        <v>2416.6038038280331</v>
      </c>
      <c r="G70">
        <v>9.0579999999999998</v>
      </c>
      <c r="H70">
        <v>5.7000000000000002E-2</v>
      </c>
      <c r="I70">
        <v>29.400680000000001</v>
      </c>
    </row>
    <row r="71" spans="1:9" x14ac:dyDescent="0.3">
      <c r="A71" t="s">
        <v>36</v>
      </c>
      <c r="B71" t="s">
        <v>143</v>
      </c>
      <c r="C71">
        <v>71</v>
      </c>
      <c r="D71">
        <v>5.3100000000000001E-2</v>
      </c>
      <c r="E71">
        <v>24.722390303566051</v>
      </c>
      <c r="F71">
        <v>2374.1267762923562</v>
      </c>
      <c r="G71">
        <v>9.0579999999999998</v>
      </c>
      <c r="H71">
        <v>4.99E-2</v>
      </c>
      <c r="I71">
        <v>29.603300000000001</v>
      </c>
    </row>
    <row r="72" spans="1:9" x14ac:dyDescent="0.3">
      <c r="A72" t="s">
        <v>36</v>
      </c>
      <c r="B72" t="s">
        <v>145</v>
      </c>
      <c r="C72">
        <v>71</v>
      </c>
      <c r="D72">
        <v>5.0900000000000001E-2</v>
      </c>
      <c r="E72">
        <v>24.156736711947332</v>
      </c>
      <c r="F72">
        <v>2321.4078615534909</v>
      </c>
      <c r="G72">
        <v>9.0579999999999998</v>
      </c>
      <c r="H72">
        <v>4.1099999999999998E-2</v>
      </c>
      <c r="I72">
        <v>29.802969999999998</v>
      </c>
    </row>
    <row r="73" spans="1:9" x14ac:dyDescent="0.3">
      <c r="A73" t="s">
        <v>36</v>
      </c>
      <c r="B73" t="s">
        <v>147</v>
      </c>
      <c r="C73">
        <v>71</v>
      </c>
      <c r="D73">
        <v>4.5199999999999997E-2</v>
      </c>
      <c r="E73">
        <v>23.53318797929516</v>
      </c>
      <c r="F73">
        <v>2263.2931196703089</v>
      </c>
      <c r="G73">
        <v>9.0579999999999998</v>
      </c>
      <c r="H73">
        <v>3.1399999999999997E-2</v>
      </c>
      <c r="I73">
        <v>30.001909999999999</v>
      </c>
    </row>
    <row r="74" spans="1:9" x14ac:dyDescent="0.3">
      <c r="A74" t="s">
        <v>36</v>
      </c>
      <c r="B74" t="s">
        <v>149</v>
      </c>
      <c r="C74">
        <v>71</v>
      </c>
      <c r="D74">
        <v>3.7999999999999999E-2</v>
      </c>
      <c r="E74">
        <v>22.901815688522451</v>
      </c>
      <c r="F74">
        <v>2204.4492221702931</v>
      </c>
      <c r="G74">
        <v>9.0579999999999998</v>
      </c>
      <c r="H74">
        <v>2.1600000000000001E-2</v>
      </c>
      <c r="I74">
        <v>30.203620000000001</v>
      </c>
    </row>
    <row r="75" spans="1:9" x14ac:dyDescent="0.3">
      <c r="A75" t="s">
        <v>36</v>
      </c>
      <c r="B75" t="s">
        <v>151</v>
      </c>
      <c r="C75">
        <v>71</v>
      </c>
      <c r="D75">
        <v>2.9499999999999998E-2</v>
      </c>
      <c r="E75">
        <v>22.344054179581011</v>
      </c>
      <c r="F75">
        <v>2152.4658495369499</v>
      </c>
      <c r="G75">
        <v>9.0579999999999998</v>
      </c>
      <c r="H75">
        <v>1.29E-2</v>
      </c>
      <c r="I75">
        <v>30.40138</v>
      </c>
    </row>
    <row r="76" spans="1:9" x14ac:dyDescent="0.3">
      <c r="A76" t="s">
        <v>36</v>
      </c>
      <c r="B76" t="s">
        <v>153</v>
      </c>
      <c r="C76">
        <v>71</v>
      </c>
      <c r="D76">
        <v>2.1600000000000001E-2</v>
      </c>
      <c r="E76">
        <v>21.895428285663929</v>
      </c>
      <c r="F76">
        <v>2110.6539162238778</v>
      </c>
      <c r="G76">
        <v>9.0579999999999998</v>
      </c>
      <c r="H76">
        <v>6.0000000000000001E-3</v>
      </c>
      <c r="I76">
        <v>30.601970000000001</v>
      </c>
    </row>
    <row r="77" spans="1:9" x14ac:dyDescent="0.3">
      <c r="A77" t="s">
        <v>36</v>
      </c>
      <c r="B77" t="s">
        <v>155</v>
      </c>
      <c r="C77">
        <v>71</v>
      </c>
      <c r="D77">
        <v>1.34E-2</v>
      </c>
      <c r="E77">
        <v>21.609401311960479</v>
      </c>
      <c r="F77">
        <v>2083.9962022747168</v>
      </c>
      <c r="G77">
        <v>9.0579999999999998</v>
      </c>
      <c r="H77">
        <v>1.5E-3</v>
      </c>
      <c r="I77">
        <v>30.801770000000001</v>
      </c>
    </row>
    <row r="78" spans="1:9" x14ac:dyDescent="0.3">
      <c r="A78" t="s">
        <v>36</v>
      </c>
      <c r="B78" t="s">
        <v>157</v>
      </c>
      <c r="C78">
        <v>71</v>
      </c>
      <c r="D78">
        <v>5.3E-3</v>
      </c>
      <c r="E78">
        <v>21.51191606795685</v>
      </c>
      <c r="F78">
        <v>2074.9105775335779</v>
      </c>
      <c r="G78">
        <v>9.0579999999999998</v>
      </c>
      <c r="H78">
        <v>0</v>
      </c>
      <c r="I78">
        <v>31.001100000000001</v>
      </c>
    </row>
    <row r="79" spans="1:9" x14ac:dyDescent="0.3">
      <c r="A79" t="s">
        <v>36</v>
      </c>
      <c r="B79" t="s">
        <v>159</v>
      </c>
      <c r="C79">
        <v>71</v>
      </c>
      <c r="D79">
        <v>-2.2000000000000001E-3</v>
      </c>
      <c r="E79">
        <v>21.612385819962661</v>
      </c>
      <c r="F79">
        <v>2191.0154143144559</v>
      </c>
      <c r="G79">
        <v>9.0579999999999998</v>
      </c>
      <c r="H79">
        <v>1.6000000000000001E-3</v>
      </c>
      <c r="I79">
        <v>31.201260000000001</v>
      </c>
    </row>
    <row r="80" spans="1:9" x14ac:dyDescent="0.3">
      <c r="A80" t="s">
        <v>36</v>
      </c>
      <c r="B80" t="s">
        <v>161</v>
      </c>
      <c r="C80">
        <v>71</v>
      </c>
      <c r="D80">
        <v>-2.3999999999999998E-3</v>
      </c>
      <c r="E80">
        <v>21.904142054815999</v>
      </c>
      <c r="F80">
        <v>2218.7030810020392</v>
      </c>
      <c r="G80">
        <v>9.0579999999999998</v>
      </c>
      <c r="H80">
        <v>6.1000000000000004E-3</v>
      </c>
      <c r="I80">
        <v>31.40268</v>
      </c>
    </row>
    <row r="81" spans="1:9" x14ac:dyDescent="0.3">
      <c r="A81" t="s">
        <v>36</v>
      </c>
      <c r="B81" t="s">
        <v>163</v>
      </c>
      <c r="C81">
        <v>71</v>
      </c>
      <c r="D81">
        <v>-8.9999999999999998E-4</v>
      </c>
      <c r="E81">
        <v>22.349629402392999</v>
      </c>
      <c r="F81">
        <v>2260.9798302870959</v>
      </c>
      <c r="G81">
        <v>9.0579999999999998</v>
      </c>
      <c r="H81">
        <v>1.2999999999999999E-2</v>
      </c>
      <c r="I81">
        <v>31.60078</v>
      </c>
    </row>
    <row r="82" spans="1:9" x14ac:dyDescent="0.3">
      <c r="A82" t="s">
        <v>36</v>
      </c>
      <c r="B82" t="s">
        <v>165</v>
      </c>
      <c r="C82">
        <v>71</v>
      </c>
      <c r="D82">
        <v>3.5000000000000001E-3</v>
      </c>
      <c r="E82">
        <v>22.922322371701821</v>
      </c>
      <c r="F82">
        <v>2315.3283930745029</v>
      </c>
      <c r="G82">
        <v>9.0579999999999998</v>
      </c>
      <c r="H82">
        <v>2.1899999999999999E-2</v>
      </c>
      <c r="I82">
        <v>31.803149999999999</v>
      </c>
    </row>
    <row r="83" spans="1:9" x14ac:dyDescent="0.3">
      <c r="A83" t="s">
        <v>36</v>
      </c>
      <c r="B83" t="s">
        <v>167</v>
      </c>
      <c r="C83">
        <v>71</v>
      </c>
      <c r="D83">
        <v>9.7000000000000003E-3</v>
      </c>
      <c r="E83">
        <v>23.542115634267841</v>
      </c>
      <c r="F83">
        <v>2374.1467736920181</v>
      </c>
      <c r="G83">
        <v>9.0579999999999998</v>
      </c>
      <c r="H83">
        <v>3.15E-2</v>
      </c>
      <c r="I83">
        <v>32.000889999999998</v>
      </c>
    </row>
    <row r="84" spans="1:9" x14ac:dyDescent="0.3">
      <c r="A84" t="s">
        <v>36</v>
      </c>
      <c r="B84" t="s">
        <v>169</v>
      </c>
      <c r="C84">
        <v>71</v>
      </c>
      <c r="D84">
        <v>1.6899999999999998E-2</v>
      </c>
      <c r="E84">
        <v>24.170667875974559</v>
      </c>
      <c r="F84">
        <v>2433.796381429986</v>
      </c>
      <c r="G84">
        <v>9.0579999999999998</v>
      </c>
      <c r="H84">
        <v>4.1300000000000003E-2</v>
      </c>
      <c r="I84">
        <v>32.201619999999998</v>
      </c>
    </row>
    <row r="85" spans="1:9" x14ac:dyDescent="0.3">
      <c r="A85" t="s">
        <v>36</v>
      </c>
      <c r="B85" t="s">
        <v>171</v>
      </c>
      <c r="C85">
        <v>71</v>
      </c>
      <c r="D85">
        <v>2.4400000000000002E-2</v>
      </c>
      <c r="E85">
        <v>24.73461281385293</v>
      </c>
      <c r="F85">
        <v>2487.3147560346429</v>
      </c>
      <c r="G85">
        <v>9.0579999999999998</v>
      </c>
      <c r="H85">
        <v>5.0099999999999999E-2</v>
      </c>
      <c r="I85">
        <v>32.401440000000001</v>
      </c>
    </row>
    <row r="86" spans="1:9" x14ac:dyDescent="0.3">
      <c r="A86" t="s">
        <v>36</v>
      </c>
      <c r="B86" t="s">
        <v>173</v>
      </c>
      <c r="C86">
        <v>71</v>
      </c>
      <c r="D86">
        <v>3.2399999999999998E-2</v>
      </c>
      <c r="E86">
        <v>25.18210128122222</v>
      </c>
      <c r="F86">
        <v>2529.7814115879892</v>
      </c>
      <c r="G86">
        <v>9.0579999999999998</v>
      </c>
      <c r="H86">
        <v>5.7000000000000002E-2</v>
      </c>
      <c r="I86">
        <v>32.601430000000001</v>
      </c>
    </row>
    <row r="87" spans="1:9" x14ac:dyDescent="0.3">
      <c r="A87" t="s">
        <v>36</v>
      </c>
      <c r="B87" t="s">
        <v>175</v>
      </c>
      <c r="C87">
        <v>71</v>
      </c>
      <c r="D87">
        <v>4.0800000000000003E-2</v>
      </c>
      <c r="E87">
        <v>25.470090530620109</v>
      </c>
      <c r="F87">
        <v>2557.1115913558478</v>
      </c>
      <c r="G87">
        <v>9.0579999999999998</v>
      </c>
      <c r="H87">
        <v>6.1499999999999999E-2</v>
      </c>
      <c r="I87">
        <v>32.802759999999999</v>
      </c>
    </row>
    <row r="88" spans="1:9" x14ac:dyDescent="0.3">
      <c r="A88" t="s">
        <v>36</v>
      </c>
      <c r="B88" t="s">
        <v>177</v>
      </c>
      <c r="C88">
        <v>71</v>
      </c>
      <c r="D88">
        <v>4.7800000000000002E-2</v>
      </c>
      <c r="E88">
        <v>25.566618924710021</v>
      </c>
      <c r="F88">
        <v>2566.272135954981</v>
      </c>
      <c r="G88">
        <v>9.0579999999999998</v>
      </c>
      <c r="H88">
        <v>6.3E-2</v>
      </c>
      <c r="I88">
        <v>33.000779999999999</v>
      </c>
    </row>
    <row r="89" spans="1:9" x14ac:dyDescent="0.3">
      <c r="A89" t="s">
        <v>36</v>
      </c>
      <c r="B89" t="s">
        <v>179</v>
      </c>
      <c r="C89">
        <v>71</v>
      </c>
      <c r="D89">
        <v>5.3499999999999999E-2</v>
      </c>
      <c r="E89">
        <v>25.46648549018219</v>
      </c>
      <c r="F89">
        <v>2443.47644768498</v>
      </c>
      <c r="G89">
        <v>9.0579999999999998</v>
      </c>
      <c r="H89">
        <v>6.1400000000000003E-2</v>
      </c>
      <c r="I89">
        <v>33.200920000000004</v>
      </c>
    </row>
    <row r="90" spans="1:9" x14ac:dyDescent="0.3">
      <c r="A90" t="s">
        <v>36</v>
      </c>
      <c r="B90" t="s">
        <v>181</v>
      </c>
      <c r="C90">
        <v>71</v>
      </c>
      <c r="D90">
        <v>5.4399999999999997E-2</v>
      </c>
      <c r="E90">
        <v>25.17509393572136</v>
      </c>
      <c r="F90">
        <v>2416.318754809231</v>
      </c>
      <c r="G90">
        <v>9.0579999999999998</v>
      </c>
      <c r="H90">
        <v>5.6899999999999999E-2</v>
      </c>
      <c r="I90">
        <v>33.40231</v>
      </c>
    </row>
    <row r="91" spans="1:9" x14ac:dyDescent="0.3">
      <c r="A91" t="s">
        <v>36</v>
      </c>
      <c r="B91" t="s">
        <v>183</v>
      </c>
      <c r="C91">
        <v>71</v>
      </c>
      <c r="D91">
        <v>5.3499999999999999E-2</v>
      </c>
      <c r="E91">
        <v>24.726044405964721</v>
      </c>
      <c r="F91">
        <v>2374.4673386359118</v>
      </c>
      <c r="G91">
        <v>9.0579999999999998</v>
      </c>
      <c r="H91">
        <v>4.99E-2</v>
      </c>
      <c r="I91">
        <v>33.601889999999997</v>
      </c>
    </row>
    <row r="92" spans="1:9" x14ac:dyDescent="0.3">
      <c r="A92" t="s">
        <v>36</v>
      </c>
      <c r="B92" t="s">
        <v>185</v>
      </c>
      <c r="C92">
        <v>71</v>
      </c>
      <c r="D92">
        <v>5.11E-2</v>
      </c>
      <c r="E92">
        <v>24.162217054603829</v>
      </c>
      <c r="F92">
        <v>2321.9186294890769</v>
      </c>
      <c r="G92">
        <v>9.0579999999999998</v>
      </c>
      <c r="H92">
        <v>4.1200000000000001E-2</v>
      </c>
      <c r="I92">
        <v>33.801169999999999</v>
      </c>
    </row>
    <row r="93" spans="1:9" x14ac:dyDescent="0.3">
      <c r="A93" t="s">
        <v>36</v>
      </c>
      <c r="B93" t="s">
        <v>187</v>
      </c>
      <c r="C93">
        <v>71</v>
      </c>
      <c r="D93">
        <v>4.5400000000000003E-2</v>
      </c>
      <c r="E93">
        <v>23.538510999300669</v>
      </c>
      <c r="F93">
        <v>2263.789225134823</v>
      </c>
      <c r="G93">
        <v>9.0579999999999998</v>
      </c>
      <c r="H93">
        <v>3.15E-2</v>
      </c>
      <c r="I93">
        <v>34.000239999999998</v>
      </c>
    </row>
    <row r="94" spans="1:9" x14ac:dyDescent="0.3">
      <c r="A94" t="s">
        <v>36</v>
      </c>
      <c r="B94" t="s">
        <v>189</v>
      </c>
      <c r="C94">
        <v>71</v>
      </c>
      <c r="D94">
        <v>3.78E-2</v>
      </c>
      <c r="E94">
        <v>22.899293254986929</v>
      </c>
      <c r="F94">
        <v>2204.2141313647821</v>
      </c>
      <c r="G94">
        <v>9.0579999999999998</v>
      </c>
      <c r="H94">
        <v>2.1600000000000001E-2</v>
      </c>
      <c r="I94">
        <v>34.204459999999997</v>
      </c>
    </row>
    <row r="95" spans="1:9" x14ac:dyDescent="0.3">
      <c r="A95" t="s">
        <v>36</v>
      </c>
      <c r="B95" t="s">
        <v>191</v>
      </c>
      <c r="C95">
        <v>71</v>
      </c>
      <c r="D95">
        <v>2.98E-2</v>
      </c>
      <c r="E95">
        <v>22.34177097378797</v>
      </c>
      <c r="F95">
        <v>2152.2530547570391</v>
      </c>
      <c r="G95">
        <v>9.0579999999999998</v>
      </c>
      <c r="H95">
        <v>1.29E-2</v>
      </c>
      <c r="I95">
        <v>34.402270000000001</v>
      </c>
    </row>
    <row r="96" spans="1:9" x14ac:dyDescent="0.3">
      <c r="A96" t="s">
        <v>36</v>
      </c>
      <c r="B96" t="s">
        <v>193</v>
      </c>
      <c r="C96">
        <v>71</v>
      </c>
      <c r="D96">
        <v>2.1600000000000001E-2</v>
      </c>
      <c r="E96">
        <v>21.897578010486079</v>
      </c>
      <c r="F96">
        <v>2110.854270577302</v>
      </c>
      <c r="G96">
        <v>9.0579999999999998</v>
      </c>
      <c r="H96">
        <v>6.0000000000000001E-3</v>
      </c>
      <c r="I96">
        <v>34.600810000000003</v>
      </c>
    </row>
    <row r="97" spans="1:9" x14ac:dyDescent="0.3">
      <c r="A97" t="s">
        <v>36</v>
      </c>
      <c r="B97" t="s">
        <v>195</v>
      </c>
      <c r="C97">
        <v>71</v>
      </c>
      <c r="D97">
        <v>1.32E-2</v>
      </c>
      <c r="E97">
        <v>21.610023750108748</v>
      </c>
      <c r="F97">
        <v>2084.054213510135</v>
      </c>
      <c r="G97">
        <v>9.0579999999999998</v>
      </c>
      <c r="H97">
        <v>1.5E-3</v>
      </c>
      <c r="I97">
        <v>34.801139999999997</v>
      </c>
    </row>
    <row r="98" spans="1:9" x14ac:dyDescent="0.3">
      <c r="A98" t="s">
        <v>36</v>
      </c>
      <c r="B98" t="s">
        <v>197</v>
      </c>
      <c r="C98">
        <v>71</v>
      </c>
      <c r="D98">
        <v>5.3E-3</v>
      </c>
      <c r="E98">
        <v>21.51191993482556</v>
      </c>
      <c r="F98">
        <v>2074.910937925742</v>
      </c>
      <c r="G98">
        <v>9.0579999999999998</v>
      </c>
      <c r="H98">
        <v>0</v>
      </c>
      <c r="I98">
        <v>35.001649999999998</v>
      </c>
    </row>
    <row r="99" spans="1:9" x14ac:dyDescent="0.3">
      <c r="A99" t="s">
        <v>36</v>
      </c>
      <c r="B99" t="s">
        <v>199</v>
      </c>
      <c r="C99">
        <v>71</v>
      </c>
      <c r="D99">
        <v>-2.5999999999999999E-3</v>
      </c>
      <c r="E99">
        <v>21.614215709457241</v>
      </c>
      <c r="F99">
        <v>2191.1890708274918</v>
      </c>
      <c r="G99">
        <v>9.0579999999999998</v>
      </c>
      <c r="H99">
        <v>1.6000000000000001E-3</v>
      </c>
      <c r="I99">
        <v>35.203099999999999</v>
      </c>
    </row>
    <row r="100" spans="1:9" x14ac:dyDescent="0.3">
      <c r="A100" t="s">
        <v>36</v>
      </c>
      <c r="B100" t="s">
        <v>200</v>
      </c>
      <c r="C100">
        <v>71</v>
      </c>
      <c r="D100">
        <v>-8.0000000000000004E-4</v>
      </c>
      <c r="E100">
        <v>21.90565977238019</v>
      </c>
      <c r="F100">
        <v>2218.8471123988802</v>
      </c>
      <c r="G100">
        <v>9.0579999999999998</v>
      </c>
      <c r="H100">
        <v>6.1000000000000004E-3</v>
      </c>
      <c r="I100">
        <v>35.403489999999998</v>
      </c>
    </row>
    <row r="101" spans="1:9" x14ac:dyDescent="0.3">
      <c r="A101" t="s">
        <v>36</v>
      </c>
      <c r="B101" t="s">
        <v>201</v>
      </c>
      <c r="C101">
        <v>71</v>
      </c>
      <c r="D101">
        <v>-1E-4</v>
      </c>
      <c r="E101">
        <v>22.351443883999082</v>
      </c>
      <c r="F101">
        <v>2261.1520245915131</v>
      </c>
      <c r="G101">
        <v>9.0579999999999998</v>
      </c>
      <c r="H101">
        <v>1.2999999999999999E-2</v>
      </c>
      <c r="I101">
        <v>35.601480000000002</v>
      </c>
    </row>
    <row r="102" spans="1:9" x14ac:dyDescent="0.3">
      <c r="A102" t="s">
        <v>36</v>
      </c>
      <c r="B102" t="s">
        <v>202</v>
      </c>
      <c r="C102">
        <v>71</v>
      </c>
      <c r="D102">
        <v>3.3999999999999998E-3</v>
      </c>
      <c r="E102">
        <v>22.91320657830116</v>
      </c>
      <c r="F102">
        <v>2314.46330428078</v>
      </c>
      <c r="G102">
        <v>9.0579999999999998</v>
      </c>
      <c r="H102">
        <v>2.18E-2</v>
      </c>
      <c r="I102">
        <v>35.800139999999999</v>
      </c>
    </row>
    <row r="103" spans="1:9" x14ac:dyDescent="0.3">
      <c r="A103" t="s">
        <v>36</v>
      </c>
      <c r="B103" t="s">
        <v>203</v>
      </c>
      <c r="C103">
        <v>71</v>
      </c>
      <c r="D103">
        <v>9.4999999999999998E-3</v>
      </c>
      <c r="E103">
        <v>23.5425616520928</v>
      </c>
      <c r="F103">
        <v>2374.189100783607</v>
      </c>
      <c r="G103">
        <v>9.0579999999999998</v>
      </c>
      <c r="H103">
        <v>3.1600000000000003E-2</v>
      </c>
      <c r="I103">
        <v>36.00103</v>
      </c>
    </row>
    <row r="104" spans="1:9" x14ac:dyDescent="0.3">
      <c r="A104" t="s">
        <v>36</v>
      </c>
      <c r="B104" t="s">
        <v>204</v>
      </c>
      <c r="C104">
        <v>71</v>
      </c>
      <c r="D104">
        <v>1.6799999999999999E-2</v>
      </c>
      <c r="E104">
        <v>24.166033750773231</v>
      </c>
      <c r="F104">
        <v>2433.35660294838</v>
      </c>
      <c r="G104">
        <v>9.0579999999999998</v>
      </c>
      <c r="H104">
        <v>4.1200000000000001E-2</v>
      </c>
      <c r="I104">
        <v>36.200090000000003</v>
      </c>
    </row>
    <row r="105" spans="1:9" x14ac:dyDescent="0.3">
      <c r="A105" t="s">
        <v>36</v>
      </c>
      <c r="B105" t="s">
        <v>205</v>
      </c>
      <c r="C105">
        <v>71</v>
      </c>
      <c r="D105">
        <v>2.4799999999999999E-2</v>
      </c>
      <c r="E105">
        <v>24.732798737717602</v>
      </c>
      <c r="F105">
        <v>2487.1426002093999</v>
      </c>
      <c r="G105">
        <v>9.0579999999999998</v>
      </c>
      <c r="H105">
        <v>0.05</v>
      </c>
      <c r="I105">
        <v>36.400730000000003</v>
      </c>
    </row>
    <row r="106" spans="1:9" x14ac:dyDescent="0.3">
      <c r="A106" t="s">
        <v>36</v>
      </c>
      <c r="B106" t="s">
        <v>206</v>
      </c>
      <c r="C106">
        <v>71</v>
      </c>
      <c r="D106">
        <v>3.2599999999999997E-2</v>
      </c>
      <c r="E106">
        <v>25.184620065520988</v>
      </c>
      <c r="F106">
        <v>2530.020444217942</v>
      </c>
      <c r="G106">
        <v>9.0579999999999998</v>
      </c>
      <c r="H106">
        <v>5.7099999999999998E-2</v>
      </c>
      <c r="I106">
        <v>36.602780000000003</v>
      </c>
    </row>
    <row r="107" spans="1:9" x14ac:dyDescent="0.3">
      <c r="A107" t="s">
        <v>36</v>
      </c>
      <c r="B107" t="s">
        <v>207</v>
      </c>
      <c r="C107">
        <v>71</v>
      </c>
      <c r="D107">
        <v>4.1700000000000001E-2</v>
      </c>
      <c r="E107">
        <v>25.46894021010246</v>
      </c>
      <c r="F107">
        <v>2557.0024259387242</v>
      </c>
      <c r="G107">
        <v>9.0579999999999998</v>
      </c>
      <c r="H107">
        <v>6.1499999999999999E-2</v>
      </c>
      <c r="I107">
        <v>36.801569999999998</v>
      </c>
    </row>
    <row r="108" spans="1:9" x14ac:dyDescent="0.3">
      <c r="A108" t="s">
        <v>36</v>
      </c>
      <c r="B108" t="s">
        <v>208</v>
      </c>
      <c r="C108">
        <v>71</v>
      </c>
      <c r="D108">
        <v>4.7800000000000002E-2</v>
      </c>
      <c r="E108">
        <v>25.566620546593018</v>
      </c>
      <c r="F108">
        <v>2566.2722898716779</v>
      </c>
      <c r="G108">
        <v>9.0579999999999998</v>
      </c>
      <c r="H108">
        <v>6.3E-2</v>
      </c>
      <c r="I108">
        <v>37.000140000000002</v>
      </c>
    </row>
    <row r="109" spans="1:9" x14ac:dyDescent="0.3">
      <c r="A109" t="s">
        <v>36</v>
      </c>
      <c r="B109" t="s">
        <v>209</v>
      </c>
      <c r="C109">
        <v>71</v>
      </c>
      <c r="D109">
        <v>5.2900000000000003E-2</v>
      </c>
      <c r="E109">
        <v>25.46486685094834</v>
      </c>
      <c r="F109">
        <v>2443.3255905083852</v>
      </c>
      <c r="G109">
        <v>9.0579999999999998</v>
      </c>
      <c r="H109">
        <v>6.1400000000000003E-2</v>
      </c>
      <c r="I109">
        <v>37.202550000000002</v>
      </c>
    </row>
    <row r="110" spans="1:9" x14ac:dyDescent="0.3">
      <c r="A110" t="s">
        <v>36</v>
      </c>
      <c r="B110" t="s">
        <v>210</v>
      </c>
      <c r="C110">
        <v>71</v>
      </c>
      <c r="D110">
        <v>5.3699999999999998E-2</v>
      </c>
      <c r="E110">
        <v>25.176241012473</v>
      </c>
      <c r="F110">
        <v>2416.4256623624842</v>
      </c>
      <c r="G110">
        <v>9.0579999999999998</v>
      </c>
      <c r="H110">
        <v>5.6899999999999999E-2</v>
      </c>
      <c r="I110">
        <v>37.401699999999998</v>
      </c>
    </row>
    <row r="111" spans="1:9" x14ac:dyDescent="0.3">
      <c r="A111" t="s">
        <v>36</v>
      </c>
      <c r="B111" t="s">
        <v>211</v>
      </c>
      <c r="C111">
        <v>71</v>
      </c>
      <c r="D111">
        <v>5.3100000000000001E-2</v>
      </c>
      <c r="E111">
        <v>24.72825908720101</v>
      </c>
      <c r="F111">
        <v>2374.6737469271352</v>
      </c>
      <c r="G111">
        <v>9.0579999999999998</v>
      </c>
      <c r="H111">
        <v>0.05</v>
      </c>
      <c r="I111">
        <v>37.601030000000002</v>
      </c>
    </row>
    <row r="112" spans="1:9" x14ac:dyDescent="0.3">
      <c r="A112" t="s">
        <v>36</v>
      </c>
      <c r="B112" t="s">
        <v>212</v>
      </c>
      <c r="C112">
        <v>71</v>
      </c>
      <c r="D112">
        <v>5.0900000000000001E-2</v>
      </c>
      <c r="E112">
        <v>24.15453865501178</v>
      </c>
      <c r="F112">
        <v>2321.2030026470979</v>
      </c>
      <c r="G112">
        <v>9.0579999999999998</v>
      </c>
      <c r="H112">
        <v>4.1099999999999998E-2</v>
      </c>
      <c r="I112">
        <v>37.803699999999999</v>
      </c>
    </row>
    <row r="113" spans="1:9" x14ac:dyDescent="0.3">
      <c r="A113" t="s">
        <v>36</v>
      </c>
      <c r="B113" t="s">
        <v>213</v>
      </c>
      <c r="C113">
        <v>71</v>
      </c>
      <c r="D113">
        <v>4.5600000000000002E-2</v>
      </c>
      <c r="E113">
        <v>23.51836761791327</v>
      </c>
      <c r="F113">
        <v>2261.9118619895171</v>
      </c>
      <c r="G113">
        <v>9.0579999999999998</v>
      </c>
      <c r="H113">
        <v>3.1199999999999999E-2</v>
      </c>
      <c r="I113">
        <v>38.00656</v>
      </c>
    </row>
    <row r="114" spans="1:9" x14ac:dyDescent="0.3">
      <c r="A114" t="s">
        <v>36</v>
      </c>
      <c r="B114" t="s">
        <v>214</v>
      </c>
      <c r="C114">
        <v>71</v>
      </c>
      <c r="D114">
        <v>3.7999999999999999E-2</v>
      </c>
      <c r="E114">
        <v>22.888862925414891</v>
      </c>
      <c r="F114">
        <v>2203.2420246486681</v>
      </c>
      <c r="G114">
        <v>9.0579999999999998</v>
      </c>
      <c r="H114">
        <v>2.1399999999999999E-2</v>
      </c>
      <c r="I114">
        <v>38.207909999999998</v>
      </c>
    </row>
    <row r="115" spans="1:9" x14ac:dyDescent="0.3">
      <c r="A115" t="s">
        <v>36</v>
      </c>
      <c r="B115" t="s">
        <v>215</v>
      </c>
      <c r="C115">
        <v>71</v>
      </c>
      <c r="D115">
        <v>2.98E-2</v>
      </c>
      <c r="E115">
        <v>22.345939213097591</v>
      </c>
      <c r="F115">
        <v>2152.641534660695</v>
      </c>
      <c r="G115">
        <v>9.0579999999999998</v>
      </c>
      <c r="H115">
        <v>1.2999999999999999E-2</v>
      </c>
      <c r="I115">
        <v>38.400649999999999</v>
      </c>
    </row>
    <row r="116" spans="1:9" x14ac:dyDescent="0.3">
      <c r="A116" t="s">
        <v>36</v>
      </c>
      <c r="B116" t="s">
        <v>216</v>
      </c>
      <c r="C116">
        <v>71</v>
      </c>
      <c r="D116">
        <v>2.1499999999999998E-2</v>
      </c>
      <c r="E116">
        <v>21.89279191484767</v>
      </c>
      <c r="F116">
        <v>2110.4082064638019</v>
      </c>
      <c r="G116">
        <v>9.0579999999999998</v>
      </c>
      <c r="H116">
        <v>5.8999999999999999E-3</v>
      </c>
      <c r="I116">
        <v>38.603380000000001</v>
      </c>
    </row>
    <row r="117" spans="1:9" x14ac:dyDescent="0.3">
      <c r="A117" t="s">
        <v>36</v>
      </c>
      <c r="B117" t="s">
        <v>217</v>
      </c>
      <c r="C117">
        <v>71</v>
      </c>
      <c r="D117">
        <v>1.2800000000000001E-2</v>
      </c>
      <c r="E117">
        <v>21.608341816890832</v>
      </c>
      <c r="F117">
        <v>2083.8974573342261</v>
      </c>
      <c r="G117">
        <v>9.0579999999999998</v>
      </c>
      <c r="H117">
        <v>1.5E-3</v>
      </c>
      <c r="I117">
        <v>38.802860000000003</v>
      </c>
    </row>
    <row r="118" spans="1:9" x14ac:dyDescent="0.3">
      <c r="A118" t="s">
        <v>36</v>
      </c>
      <c r="B118" t="s">
        <v>38</v>
      </c>
      <c r="C118">
        <v>71</v>
      </c>
      <c r="D118">
        <v>5.1000000000000004E-3</v>
      </c>
      <c r="E118">
        <v>21.51191679299491</v>
      </c>
      <c r="F118">
        <v>2074.9106451071261</v>
      </c>
      <c r="G118">
        <v>9.0579999999999998</v>
      </c>
      <c r="H118">
        <v>0</v>
      </c>
      <c r="I118">
        <v>39.001220000000004</v>
      </c>
    </row>
    <row r="119" spans="1:9" x14ac:dyDescent="0.3">
      <c r="A119" t="s">
        <v>36</v>
      </c>
      <c r="B119" t="s">
        <v>40</v>
      </c>
      <c r="C119">
        <v>71</v>
      </c>
      <c r="D119">
        <v>-2.7000000000000001E-3</v>
      </c>
      <c r="E119">
        <v>21.6124733205505</v>
      </c>
      <c r="F119">
        <v>2191.0237181202419</v>
      </c>
      <c r="G119">
        <v>9.0579999999999998</v>
      </c>
      <c r="H119">
        <v>1.6000000000000001E-3</v>
      </c>
      <c r="I119">
        <v>39.201349999999998</v>
      </c>
    </row>
    <row r="120" spans="1:9" x14ac:dyDescent="0.3">
      <c r="A120" t="s">
        <v>36</v>
      </c>
      <c r="B120" t="s">
        <v>42</v>
      </c>
      <c r="C120">
        <v>71</v>
      </c>
      <c r="D120">
        <v>-2E-3</v>
      </c>
      <c r="E120">
        <v>21.89973803426528</v>
      </c>
      <c r="F120">
        <v>2218.2851394517752</v>
      </c>
      <c r="G120">
        <v>9.0579999999999998</v>
      </c>
      <c r="H120">
        <v>6.0000000000000001E-3</v>
      </c>
      <c r="I120">
        <v>39.40034</v>
      </c>
    </row>
    <row r="121" spans="1:9" x14ac:dyDescent="0.3">
      <c r="A121" t="s">
        <v>36</v>
      </c>
      <c r="B121" t="s">
        <v>44</v>
      </c>
      <c r="C121">
        <v>71</v>
      </c>
      <c r="D121">
        <v>-8.9999999999999998E-4</v>
      </c>
      <c r="E121">
        <v>22.352507839246989</v>
      </c>
      <c r="F121">
        <v>2261.252993944539</v>
      </c>
      <c r="G121">
        <v>9.0579999999999998</v>
      </c>
      <c r="H121">
        <v>1.3100000000000001E-2</v>
      </c>
      <c r="I121">
        <v>39.601889999999997</v>
      </c>
    </row>
    <row r="122" spans="1:9" x14ac:dyDescent="0.3">
      <c r="A122" t="s">
        <v>36</v>
      </c>
      <c r="B122" t="s">
        <v>46</v>
      </c>
      <c r="C122">
        <v>71</v>
      </c>
      <c r="D122">
        <v>3.0999999999999999E-3</v>
      </c>
      <c r="E122">
        <v>22.916875683117571</v>
      </c>
      <c r="F122">
        <v>2314.8115023278579</v>
      </c>
      <c r="G122">
        <v>9.0579999999999998</v>
      </c>
      <c r="H122">
        <v>2.18E-2</v>
      </c>
      <c r="I122">
        <v>39.801349999999999</v>
      </c>
    </row>
    <row r="123" spans="1:9" x14ac:dyDescent="0.3">
      <c r="A123" t="s">
        <v>36</v>
      </c>
      <c r="B123" t="s">
        <v>48</v>
      </c>
      <c r="C123">
        <v>71</v>
      </c>
      <c r="D123">
        <v>9.9000000000000008E-3</v>
      </c>
      <c r="E123">
        <v>23.547663285068829</v>
      </c>
      <c r="F123">
        <v>2374.673245753032</v>
      </c>
      <c r="G123">
        <v>9.0579999999999998</v>
      </c>
      <c r="H123">
        <v>3.1600000000000003E-2</v>
      </c>
      <c r="I123">
        <v>40.00264</v>
      </c>
    </row>
    <row r="124" spans="1:9" x14ac:dyDescent="0.3">
      <c r="A124" t="s">
        <v>36</v>
      </c>
      <c r="B124" t="s">
        <v>50</v>
      </c>
      <c r="C124">
        <v>71</v>
      </c>
      <c r="D124">
        <v>1.7000000000000001E-2</v>
      </c>
      <c r="E124">
        <v>24.16715649927988</v>
      </c>
      <c r="F124">
        <v>2433.4631517816611</v>
      </c>
      <c r="G124">
        <v>9.0579999999999998</v>
      </c>
      <c r="H124">
        <v>4.1300000000000003E-2</v>
      </c>
      <c r="I124">
        <v>40.20046</v>
      </c>
    </row>
    <row r="125" spans="1:9" x14ac:dyDescent="0.3">
      <c r="A125" t="s">
        <v>36</v>
      </c>
      <c r="B125" t="s">
        <v>52</v>
      </c>
      <c r="C125">
        <v>71</v>
      </c>
      <c r="D125">
        <v>2.5600000000000001E-2</v>
      </c>
      <c r="E125">
        <v>24.7332962503278</v>
      </c>
      <c r="F125">
        <v>2487.1898141561078</v>
      </c>
      <c r="G125">
        <v>9.0579999999999998</v>
      </c>
      <c r="H125">
        <v>5.0099999999999999E-2</v>
      </c>
      <c r="I125">
        <v>40.400919999999999</v>
      </c>
    </row>
    <row r="126" spans="1:9" x14ac:dyDescent="0.3">
      <c r="A126" t="s">
        <v>36</v>
      </c>
      <c r="B126" t="s">
        <v>54</v>
      </c>
      <c r="C126">
        <v>71</v>
      </c>
      <c r="D126">
        <v>3.2199999999999999E-2</v>
      </c>
      <c r="E126">
        <v>25.180465612216871</v>
      </c>
      <c r="F126">
        <v>2529.6261865993811</v>
      </c>
      <c r="G126">
        <v>9.0579999999999998</v>
      </c>
      <c r="H126">
        <v>5.7000000000000002E-2</v>
      </c>
      <c r="I126">
        <v>40.600549999999998</v>
      </c>
    </row>
    <row r="127" spans="1:9" x14ac:dyDescent="0.3">
      <c r="A127" t="s">
        <v>36</v>
      </c>
      <c r="B127" t="s">
        <v>56</v>
      </c>
      <c r="C127">
        <v>71</v>
      </c>
      <c r="D127">
        <v>4.0599999999999997E-2</v>
      </c>
      <c r="E127">
        <v>25.468654758694491</v>
      </c>
      <c r="F127">
        <v>2556.9753366001069</v>
      </c>
      <c r="G127">
        <v>9.0579999999999998</v>
      </c>
      <c r="H127">
        <v>6.1499999999999999E-2</v>
      </c>
      <c r="I127">
        <v>40.801279999999998</v>
      </c>
    </row>
    <row r="128" spans="1:9" x14ac:dyDescent="0.3">
      <c r="A128" t="s">
        <v>36</v>
      </c>
      <c r="B128" t="s">
        <v>58</v>
      </c>
      <c r="C128">
        <v>71</v>
      </c>
      <c r="D128">
        <v>4.7800000000000002E-2</v>
      </c>
      <c r="E128">
        <v>25.566609598882771</v>
      </c>
      <c r="F128">
        <v>2566.2712509339749</v>
      </c>
      <c r="G128">
        <v>9.0579999999999998</v>
      </c>
      <c r="H128">
        <v>6.3E-2</v>
      </c>
      <c r="I128">
        <v>41.002110000000002</v>
      </c>
    </row>
    <row r="129" spans="1:9" x14ac:dyDescent="0.3">
      <c r="A129" t="s">
        <v>36</v>
      </c>
      <c r="B129" t="s">
        <v>60</v>
      </c>
      <c r="C129">
        <v>71</v>
      </c>
      <c r="D129">
        <v>5.2999999999999999E-2</v>
      </c>
      <c r="E129">
        <v>25.463162251915492</v>
      </c>
      <c r="F129">
        <v>2443.1667218785242</v>
      </c>
      <c r="G129">
        <v>9.0579999999999998</v>
      </c>
      <c r="H129">
        <v>6.1400000000000003E-2</v>
      </c>
      <c r="I129">
        <v>41.204259999999998</v>
      </c>
    </row>
    <row r="130" spans="1:9" x14ac:dyDescent="0.3">
      <c r="A130" t="s">
        <v>36</v>
      </c>
      <c r="B130" t="s">
        <v>62</v>
      </c>
      <c r="C130">
        <v>71</v>
      </c>
      <c r="D130">
        <v>5.3800000000000001E-2</v>
      </c>
      <c r="E130">
        <v>25.175402904432829</v>
      </c>
      <c r="F130">
        <v>2416.34755069314</v>
      </c>
      <c r="G130">
        <v>9.0579999999999998</v>
      </c>
      <c r="H130">
        <v>5.6899999999999999E-2</v>
      </c>
      <c r="I130">
        <v>41.402149999999999</v>
      </c>
    </row>
    <row r="131" spans="1:9" x14ac:dyDescent="0.3">
      <c r="A131" t="s">
        <v>36</v>
      </c>
      <c r="B131" t="s">
        <v>64</v>
      </c>
      <c r="C131">
        <v>71</v>
      </c>
      <c r="D131">
        <v>5.3100000000000001E-2</v>
      </c>
      <c r="E131">
        <v>24.725735437253249</v>
      </c>
      <c r="F131">
        <v>2374.4385427520019</v>
      </c>
      <c r="G131">
        <v>9.0579999999999998</v>
      </c>
      <c r="H131">
        <v>4.99E-2</v>
      </c>
      <c r="I131">
        <v>41.60201</v>
      </c>
    </row>
    <row r="132" spans="1:9" x14ac:dyDescent="0.3">
      <c r="A132" t="s">
        <v>36</v>
      </c>
      <c r="B132" t="s">
        <v>66</v>
      </c>
      <c r="C132">
        <v>71</v>
      </c>
      <c r="D132">
        <v>5.0900000000000001E-2</v>
      </c>
      <c r="E132">
        <v>24.164149933668899</v>
      </c>
      <c r="F132">
        <v>2322.0987738179419</v>
      </c>
      <c r="G132">
        <v>9.0579999999999998</v>
      </c>
      <c r="H132">
        <v>4.1200000000000001E-2</v>
      </c>
      <c r="I132">
        <v>41.800530000000002</v>
      </c>
    </row>
    <row r="133" spans="1:9" x14ac:dyDescent="0.3">
      <c r="A133" t="s">
        <v>36</v>
      </c>
      <c r="B133" t="s">
        <v>68</v>
      </c>
      <c r="C133">
        <v>71</v>
      </c>
      <c r="D133">
        <v>4.5600000000000002E-2</v>
      </c>
      <c r="E133">
        <v>23.536025869074152</v>
      </c>
      <c r="F133">
        <v>2263.557610997711</v>
      </c>
      <c r="G133">
        <v>9.0579999999999998</v>
      </c>
      <c r="H133">
        <v>3.1399999999999997E-2</v>
      </c>
      <c r="I133">
        <v>42.001019999999997</v>
      </c>
    </row>
    <row r="134" spans="1:9" x14ac:dyDescent="0.3">
      <c r="A134" t="s">
        <v>36</v>
      </c>
      <c r="B134" t="s">
        <v>70</v>
      </c>
      <c r="C134">
        <v>71</v>
      </c>
      <c r="D134">
        <v>3.8199999999999998E-2</v>
      </c>
      <c r="E134">
        <v>22.907589186531169</v>
      </c>
      <c r="F134">
        <v>2204.9873121847049</v>
      </c>
      <c r="G134">
        <v>9.0579999999999998</v>
      </c>
      <c r="H134">
        <v>2.1700000000000001E-2</v>
      </c>
      <c r="I134">
        <v>42.201709999999999</v>
      </c>
    </row>
    <row r="135" spans="1:9" x14ac:dyDescent="0.3">
      <c r="A135" t="s">
        <v>36</v>
      </c>
      <c r="B135" t="s">
        <v>72</v>
      </c>
      <c r="C135">
        <v>71</v>
      </c>
      <c r="D135">
        <v>2.9700000000000001E-2</v>
      </c>
      <c r="E135">
        <v>22.346810569739251</v>
      </c>
      <c r="F135">
        <v>2152.7227450996979</v>
      </c>
      <c r="G135">
        <v>9.0579999999999998</v>
      </c>
      <c r="H135">
        <v>1.2999999999999999E-2</v>
      </c>
      <c r="I135">
        <v>42.400309999999998</v>
      </c>
    </row>
    <row r="136" spans="1:9" x14ac:dyDescent="0.3">
      <c r="A136" t="s">
        <v>36</v>
      </c>
      <c r="B136" t="s">
        <v>74</v>
      </c>
      <c r="C136">
        <v>71</v>
      </c>
      <c r="D136">
        <v>2.1700000000000001E-2</v>
      </c>
      <c r="E136">
        <v>21.89853905725764</v>
      </c>
      <c r="F136">
        <v>2110.9438401364118</v>
      </c>
      <c r="G136">
        <v>9.0579999999999998</v>
      </c>
      <c r="H136">
        <v>6.0000000000000001E-3</v>
      </c>
      <c r="I136">
        <v>42.600299999999997</v>
      </c>
    </row>
    <row r="137" spans="1:9" x14ac:dyDescent="0.3">
      <c r="A137" t="s">
        <v>36</v>
      </c>
      <c r="B137" t="s">
        <v>76</v>
      </c>
      <c r="C137">
        <v>71</v>
      </c>
      <c r="D137">
        <v>1.21E-2</v>
      </c>
      <c r="E137">
        <v>21.610630009974091</v>
      </c>
      <c r="F137">
        <v>2084.110716929586</v>
      </c>
      <c r="G137">
        <v>9.0579999999999998</v>
      </c>
      <c r="H137">
        <v>1.5E-3</v>
      </c>
      <c r="I137">
        <v>42.800519999999999</v>
      </c>
    </row>
    <row r="138" spans="1:9" x14ac:dyDescent="0.3">
      <c r="A138" t="s">
        <v>36</v>
      </c>
      <c r="B138" t="s">
        <v>78</v>
      </c>
      <c r="C138">
        <v>71</v>
      </c>
      <c r="D138">
        <v>5.1000000000000004E-3</v>
      </c>
      <c r="E138">
        <v>21.511913167803868</v>
      </c>
      <c r="F138">
        <v>2074.9103072393209</v>
      </c>
      <c r="G138">
        <v>9.0579999999999998</v>
      </c>
      <c r="H138">
        <v>0</v>
      </c>
      <c r="I138">
        <v>43.000250000000001</v>
      </c>
    </row>
    <row r="139" spans="1:9" x14ac:dyDescent="0.3">
      <c r="A139" t="s">
        <v>36</v>
      </c>
      <c r="B139" t="s">
        <v>80</v>
      </c>
      <c r="C139">
        <v>71</v>
      </c>
      <c r="D139">
        <v>-2.5000000000000001E-3</v>
      </c>
      <c r="E139">
        <v>21.613255757456709</v>
      </c>
      <c r="F139">
        <v>2191.0979713826409</v>
      </c>
      <c r="G139">
        <v>9.0579999999999998</v>
      </c>
      <c r="H139">
        <v>1.6000000000000001E-3</v>
      </c>
      <c r="I139">
        <v>43.20214</v>
      </c>
    </row>
    <row r="140" spans="1:9" x14ac:dyDescent="0.3">
      <c r="A140" t="s">
        <v>36</v>
      </c>
      <c r="B140" t="s">
        <v>82</v>
      </c>
      <c r="C140">
        <v>71</v>
      </c>
      <c r="D140">
        <v>-2.2000000000000001E-3</v>
      </c>
      <c r="E140">
        <v>21.905665935535591</v>
      </c>
      <c r="F140">
        <v>2218.8476972823269</v>
      </c>
      <c r="G140">
        <v>9.0579999999999998</v>
      </c>
      <c r="H140">
        <v>6.1000000000000004E-3</v>
      </c>
      <c r="I140">
        <v>43.403489999999998</v>
      </c>
    </row>
    <row r="141" spans="1:9" x14ac:dyDescent="0.3">
      <c r="A141" t="s">
        <v>36</v>
      </c>
      <c r="B141" t="s">
        <v>84</v>
      </c>
      <c r="C141">
        <v>71</v>
      </c>
      <c r="D141">
        <v>-1E-3</v>
      </c>
      <c r="E141">
        <v>22.351809618615551</v>
      </c>
      <c r="F141">
        <v>2261.186732806616</v>
      </c>
      <c r="G141">
        <v>9.0579999999999998</v>
      </c>
      <c r="H141">
        <v>1.2999999999999999E-2</v>
      </c>
      <c r="I141">
        <v>43.601619999999997</v>
      </c>
    </row>
    <row r="142" spans="1:9" x14ac:dyDescent="0.3">
      <c r="A142" t="s">
        <v>36</v>
      </c>
      <c r="B142" t="s">
        <v>86</v>
      </c>
      <c r="C142">
        <v>71</v>
      </c>
      <c r="D142">
        <v>3.5999999999999999E-3</v>
      </c>
      <c r="E142">
        <v>22.917197221422299</v>
      </c>
      <c r="F142">
        <v>2314.8420163129758</v>
      </c>
      <c r="G142">
        <v>9.0579999999999998</v>
      </c>
      <c r="H142">
        <v>2.18E-2</v>
      </c>
      <c r="I142">
        <v>43.801459999999999</v>
      </c>
    </row>
    <row r="143" spans="1:9" x14ac:dyDescent="0.3">
      <c r="A143" t="s">
        <v>36</v>
      </c>
      <c r="B143" t="s">
        <v>88</v>
      </c>
      <c r="C143">
        <v>71</v>
      </c>
      <c r="D143">
        <v>1.0200000000000001E-2</v>
      </c>
      <c r="E143">
        <v>23.54688761952416</v>
      </c>
      <c r="F143">
        <v>2374.5996350928431</v>
      </c>
      <c r="G143">
        <v>9.0579999999999998</v>
      </c>
      <c r="H143">
        <v>3.1600000000000003E-2</v>
      </c>
      <c r="I143">
        <v>44.002389999999998</v>
      </c>
    </row>
    <row r="144" spans="1:9" x14ac:dyDescent="0.3">
      <c r="A144" t="s">
        <v>36</v>
      </c>
      <c r="B144" t="s">
        <v>90</v>
      </c>
      <c r="C144">
        <v>71</v>
      </c>
      <c r="D144">
        <v>1.7299999999999999E-2</v>
      </c>
      <c r="E144">
        <v>24.171475979179231</v>
      </c>
      <c r="F144">
        <v>2433.8730704241088</v>
      </c>
      <c r="G144">
        <v>9.0579999999999998</v>
      </c>
      <c r="H144">
        <v>4.1300000000000003E-2</v>
      </c>
      <c r="I144">
        <v>44.201889999999999</v>
      </c>
    </row>
    <row r="145" spans="1:9" x14ac:dyDescent="0.3">
      <c r="A145" t="s">
        <v>36</v>
      </c>
      <c r="B145" t="s">
        <v>92</v>
      </c>
      <c r="C145">
        <v>71</v>
      </c>
      <c r="D145">
        <v>2.46E-2</v>
      </c>
      <c r="E145">
        <v>24.735799221267321</v>
      </c>
      <c r="F145">
        <v>2487.427346098269</v>
      </c>
      <c r="G145">
        <v>9.0579999999999998</v>
      </c>
      <c r="H145">
        <v>5.0099999999999999E-2</v>
      </c>
      <c r="I145">
        <v>44.401899999999998</v>
      </c>
    </row>
    <row r="146" spans="1:9" x14ac:dyDescent="0.3">
      <c r="A146" t="s">
        <v>36</v>
      </c>
      <c r="B146" t="s">
        <v>94</v>
      </c>
      <c r="C146">
        <v>71</v>
      </c>
      <c r="D146">
        <v>3.3700000000000001E-2</v>
      </c>
      <c r="E146">
        <v>25.184084033189539</v>
      </c>
      <c r="F146">
        <v>2529.969574749688</v>
      </c>
      <c r="G146">
        <v>9.0579999999999998</v>
      </c>
      <c r="H146">
        <v>5.7099999999999998E-2</v>
      </c>
      <c r="I146">
        <v>44.602490000000003</v>
      </c>
    </row>
    <row r="147" spans="1:9" x14ac:dyDescent="0.3">
      <c r="A147" t="s">
        <v>36</v>
      </c>
      <c r="B147" t="s">
        <v>96</v>
      </c>
      <c r="C147">
        <v>71</v>
      </c>
      <c r="D147">
        <v>4.0399999999999998E-2</v>
      </c>
      <c r="E147">
        <v>25.470617642595059</v>
      </c>
      <c r="F147">
        <v>2557.1616142822718</v>
      </c>
      <c r="G147">
        <v>9.0579999999999998</v>
      </c>
      <c r="H147">
        <v>6.1499999999999999E-2</v>
      </c>
      <c r="I147">
        <v>44.8033</v>
      </c>
    </row>
    <row r="148" spans="1:9" x14ac:dyDescent="0.3">
      <c r="A148" t="s">
        <v>36</v>
      </c>
      <c r="B148" t="s">
        <v>98</v>
      </c>
      <c r="C148">
        <v>71</v>
      </c>
      <c r="D148">
        <v>4.7100000000000003E-2</v>
      </c>
      <c r="E148">
        <v>25.566605544175271</v>
      </c>
      <c r="F148">
        <v>2566.270866142233</v>
      </c>
      <c r="G148">
        <v>9.0579999999999998</v>
      </c>
      <c r="H148">
        <v>6.3E-2</v>
      </c>
      <c r="I148">
        <v>45.002450000000003</v>
      </c>
    </row>
    <row r="149" spans="1:9" x14ac:dyDescent="0.3">
      <c r="A149" t="s">
        <v>36</v>
      </c>
      <c r="B149" t="s">
        <v>100</v>
      </c>
      <c r="C149">
        <v>71</v>
      </c>
      <c r="D149">
        <v>5.2499999999999998E-2</v>
      </c>
      <c r="E149">
        <v>25.466134757983468</v>
      </c>
      <c r="F149">
        <v>2443.4437594440601</v>
      </c>
      <c r="G149">
        <v>9.0579999999999998</v>
      </c>
      <c r="H149">
        <v>6.1400000000000003E-2</v>
      </c>
      <c r="I149">
        <v>45.201270000000001</v>
      </c>
    </row>
    <row r="150" spans="1:9" x14ac:dyDescent="0.3">
      <c r="A150" t="s">
        <v>36</v>
      </c>
      <c r="B150" t="s">
        <v>102</v>
      </c>
      <c r="C150">
        <v>71</v>
      </c>
      <c r="D150">
        <v>5.3699999999999998E-2</v>
      </c>
      <c r="E150">
        <v>25.17295751033981</v>
      </c>
      <c r="F150">
        <v>2416.1196399636701</v>
      </c>
      <c r="G150">
        <v>9.0579999999999998</v>
      </c>
      <c r="H150">
        <v>5.6899999999999999E-2</v>
      </c>
      <c r="I150">
        <v>45.403440000000003</v>
      </c>
    </row>
    <row r="151" spans="1:9" x14ac:dyDescent="0.3">
      <c r="A151" t="s">
        <v>36</v>
      </c>
      <c r="B151" t="s">
        <v>104</v>
      </c>
      <c r="C151">
        <v>71</v>
      </c>
      <c r="D151">
        <v>5.3199999999999997E-2</v>
      </c>
      <c r="E151">
        <v>24.725129258482049</v>
      </c>
      <c r="F151">
        <v>2374.3820468905269</v>
      </c>
      <c r="G151">
        <v>9.0579999999999998</v>
      </c>
      <c r="H151">
        <v>4.99E-2</v>
      </c>
      <c r="I151">
        <v>45.602240000000002</v>
      </c>
    </row>
    <row r="152" spans="1:9" x14ac:dyDescent="0.3">
      <c r="A152" t="s">
        <v>36</v>
      </c>
      <c r="B152" t="s">
        <v>106</v>
      </c>
      <c r="C152">
        <v>71</v>
      </c>
      <c r="D152">
        <v>5.16E-2</v>
      </c>
      <c r="E152">
        <v>24.161377730151401</v>
      </c>
      <c r="F152">
        <v>2321.8404044501108</v>
      </c>
      <c r="G152">
        <v>9.0579999999999998</v>
      </c>
      <c r="H152">
        <v>4.1200000000000001E-2</v>
      </c>
      <c r="I152">
        <v>45.801439999999999</v>
      </c>
    </row>
    <row r="153" spans="1:9" x14ac:dyDescent="0.3">
      <c r="A153" t="s">
        <v>36</v>
      </c>
      <c r="B153" t="s">
        <v>108</v>
      </c>
      <c r="C153">
        <v>71</v>
      </c>
      <c r="D153">
        <v>4.6199999999999998E-2</v>
      </c>
      <c r="E153">
        <v>23.534613208981281</v>
      </c>
      <c r="F153">
        <v>2263.4259510770548</v>
      </c>
      <c r="G153">
        <v>9.0579999999999998</v>
      </c>
      <c r="H153">
        <v>3.1399999999999997E-2</v>
      </c>
      <c r="I153">
        <v>46.001460000000002</v>
      </c>
    </row>
    <row r="154" spans="1:9" x14ac:dyDescent="0.3">
      <c r="A154" t="s">
        <v>36</v>
      </c>
      <c r="B154" t="s">
        <v>110</v>
      </c>
      <c r="C154">
        <v>71</v>
      </c>
      <c r="D154">
        <v>3.8600000000000002E-2</v>
      </c>
      <c r="E154">
        <v>22.910921345154371</v>
      </c>
      <c r="F154">
        <v>2205.2978693683881</v>
      </c>
      <c r="G154">
        <v>9.0579999999999998</v>
      </c>
      <c r="H154">
        <v>2.1700000000000001E-2</v>
      </c>
      <c r="I154">
        <v>46.200609999999998</v>
      </c>
    </row>
    <row r="155" spans="1:9" x14ac:dyDescent="0.3">
      <c r="A155" t="s">
        <v>36</v>
      </c>
      <c r="B155" t="s">
        <v>112</v>
      </c>
      <c r="C155">
        <v>71</v>
      </c>
      <c r="D155">
        <v>2.9899999999999999E-2</v>
      </c>
      <c r="E155">
        <v>22.339338554758939</v>
      </c>
      <c r="F155">
        <v>2152.0263533035341</v>
      </c>
      <c r="G155">
        <v>9.0579999999999998</v>
      </c>
      <c r="H155">
        <v>1.29E-2</v>
      </c>
      <c r="I155">
        <v>46.403219999999997</v>
      </c>
    </row>
    <row r="156" spans="1:9" x14ac:dyDescent="0.3">
      <c r="A156" t="s">
        <v>36</v>
      </c>
      <c r="B156" t="s">
        <v>114</v>
      </c>
      <c r="C156">
        <v>71</v>
      </c>
      <c r="D156">
        <v>2.1399999999999999E-2</v>
      </c>
      <c r="E156">
        <v>21.897310237602799</v>
      </c>
      <c r="F156">
        <v>2110.8293141445811</v>
      </c>
      <c r="G156">
        <v>9.0579999999999998</v>
      </c>
      <c r="H156">
        <v>6.0000000000000001E-3</v>
      </c>
      <c r="I156">
        <v>46.600960000000001</v>
      </c>
    </row>
    <row r="157" spans="1:9" x14ac:dyDescent="0.3">
      <c r="A157" t="s">
        <v>36</v>
      </c>
      <c r="B157" t="s">
        <v>116</v>
      </c>
      <c r="C157">
        <v>71</v>
      </c>
      <c r="D157">
        <v>1.2800000000000001E-2</v>
      </c>
      <c r="E157">
        <v>21.60848486697142</v>
      </c>
      <c r="F157">
        <v>2083.9107896017358</v>
      </c>
      <c r="G157">
        <v>9.0579999999999998</v>
      </c>
      <c r="H157">
        <v>1.5E-3</v>
      </c>
      <c r="I157">
        <v>46.802720000000001</v>
      </c>
    </row>
    <row r="158" spans="1:9" x14ac:dyDescent="0.3">
      <c r="A158" t="s">
        <v>36</v>
      </c>
      <c r="B158" t="s">
        <v>118</v>
      </c>
      <c r="C158">
        <v>71</v>
      </c>
      <c r="D158">
        <v>4.0000000000000001E-3</v>
      </c>
      <c r="E158">
        <v>21.511913772002242</v>
      </c>
      <c r="F158">
        <v>2074.910363550609</v>
      </c>
      <c r="G158">
        <v>9.0579999999999998</v>
      </c>
      <c r="H158">
        <v>0</v>
      </c>
      <c r="I158">
        <v>47.000529999999998</v>
      </c>
    </row>
    <row r="159" spans="1:9" x14ac:dyDescent="0.3">
      <c r="A159" t="s">
        <v>36</v>
      </c>
      <c r="B159" t="s">
        <v>120</v>
      </c>
      <c r="C159">
        <v>71</v>
      </c>
      <c r="D159">
        <v>-3.0000000000000001E-3</v>
      </c>
      <c r="E159">
        <v>21.612409134530779</v>
      </c>
      <c r="F159">
        <v>2191.017626866972</v>
      </c>
      <c r="G159">
        <v>9.0579999999999998</v>
      </c>
      <c r="H159">
        <v>1.6000000000000001E-3</v>
      </c>
      <c r="I159">
        <v>47.20129</v>
      </c>
    </row>
    <row r="160" spans="1:9" x14ac:dyDescent="0.3">
      <c r="A160" t="s">
        <v>36</v>
      </c>
      <c r="B160" t="s">
        <v>122</v>
      </c>
      <c r="C160">
        <v>71</v>
      </c>
      <c r="D160">
        <v>-2.5000000000000001E-3</v>
      </c>
      <c r="E160">
        <v>21.90103708145401</v>
      </c>
      <c r="F160">
        <v>2218.4084190299859</v>
      </c>
      <c r="G160">
        <v>9.0579999999999998</v>
      </c>
      <c r="H160">
        <v>6.0000000000000001E-3</v>
      </c>
      <c r="I160">
        <v>47.401029999999999</v>
      </c>
    </row>
    <row r="161" spans="1:9" x14ac:dyDescent="0.3">
      <c r="A161" t="s">
        <v>36</v>
      </c>
      <c r="B161" t="s">
        <v>124</v>
      </c>
      <c r="C161">
        <v>71</v>
      </c>
      <c r="D161">
        <v>-8.0000000000000004E-4</v>
      </c>
      <c r="E161">
        <v>22.347980758323651</v>
      </c>
      <c r="F161">
        <v>2260.823373964914</v>
      </c>
      <c r="G161">
        <v>9.0579999999999998</v>
      </c>
      <c r="H161">
        <v>1.2999999999999999E-2</v>
      </c>
      <c r="I161">
        <v>47.600140000000003</v>
      </c>
    </row>
    <row r="162" spans="1:9" x14ac:dyDescent="0.3">
      <c r="A162" t="s">
        <v>36</v>
      </c>
      <c r="B162" t="s">
        <v>126</v>
      </c>
      <c r="C162">
        <v>71</v>
      </c>
      <c r="D162">
        <v>4.0000000000000001E-3</v>
      </c>
      <c r="E162">
        <v>22.921782284662871</v>
      </c>
      <c r="F162">
        <v>2315.277138814507</v>
      </c>
      <c r="G162">
        <v>9.0579999999999998</v>
      </c>
      <c r="H162">
        <v>2.1899999999999999E-2</v>
      </c>
      <c r="I162">
        <v>47.802970000000002</v>
      </c>
    </row>
    <row r="163" spans="1:9" x14ac:dyDescent="0.3">
      <c r="A163" t="s">
        <v>36</v>
      </c>
      <c r="B163" t="s">
        <v>128</v>
      </c>
      <c r="C163">
        <v>71</v>
      </c>
      <c r="D163">
        <v>0.01</v>
      </c>
      <c r="E163">
        <v>23.551130465451759</v>
      </c>
      <c r="F163">
        <v>2375.002281171372</v>
      </c>
      <c r="G163">
        <v>9.0579999999999998</v>
      </c>
      <c r="H163">
        <v>3.1699999999999999E-2</v>
      </c>
      <c r="I163">
        <v>48.003720000000001</v>
      </c>
    </row>
    <row r="164" spans="1:9" x14ac:dyDescent="0.3">
      <c r="A164" t="s">
        <v>36</v>
      </c>
      <c r="B164" t="s">
        <v>130</v>
      </c>
      <c r="C164">
        <v>71</v>
      </c>
      <c r="D164">
        <v>1.7000000000000001E-2</v>
      </c>
      <c r="E164">
        <v>24.17703376674897</v>
      </c>
      <c r="F164">
        <v>2434.4005044644782</v>
      </c>
      <c r="G164">
        <v>9.0579999999999998</v>
      </c>
      <c r="H164">
        <v>4.1399999999999999E-2</v>
      </c>
      <c r="I164">
        <v>48.20373</v>
      </c>
    </row>
    <row r="165" spans="1:9" x14ac:dyDescent="0.3">
      <c r="A165" t="s">
        <v>36</v>
      </c>
      <c r="B165" t="s">
        <v>132</v>
      </c>
      <c r="C165">
        <v>71</v>
      </c>
      <c r="D165">
        <v>2.47E-2</v>
      </c>
      <c r="E165">
        <v>24.734117328596479</v>
      </c>
      <c r="F165">
        <v>2487.2677344838062</v>
      </c>
      <c r="G165">
        <v>9.0579999999999998</v>
      </c>
      <c r="H165">
        <v>5.0099999999999999E-2</v>
      </c>
      <c r="I165">
        <v>48.401240000000001</v>
      </c>
    </row>
    <row r="166" spans="1:9" x14ac:dyDescent="0.3">
      <c r="A166" t="s">
        <v>36</v>
      </c>
      <c r="B166" t="s">
        <v>134</v>
      </c>
      <c r="C166">
        <v>71</v>
      </c>
      <c r="D166">
        <v>3.27E-2</v>
      </c>
      <c r="E166">
        <v>25.183725191575821</v>
      </c>
      <c r="F166">
        <v>2529.9355206805449</v>
      </c>
      <c r="G166">
        <v>9.0579999999999998</v>
      </c>
      <c r="H166">
        <v>5.7099999999999998E-2</v>
      </c>
      <c r="I166">
        <v>48.6023</v>
      </c>
    </row>
    <row r="167" spans="1:9" x14ac:dyDescent="0.3">
      <c r="A167" t="s">
        <v>36</v>
      </c>
      <c r="B167" t="s">
        <v>136</v>
      </c>
      <c r="C167">
        <v>71</v>
      </c>
      <c r="D167">
        <v>4.0599999999999997E-2</v>
      </c>
      <c r="E167">
        <v>25.469719119413138</v>
      </c>
      <c r="F167">
        <v>2557.076344432307</v>
      </c>
      <c r="G167">
        <v>9.0579999999999998</v>
      </c>
      <c r="H167">
        <v>6.1499999999999999E-2</v>
      </c>
      <c r="I167">
        <v>48.802379999999999</v>
      </c>
    </row>
    <row r="168" spans="1:9" x14ac:dyDescent="0.3">
      <c r="A168" t="s">
        <v>36</v>
      </c>
      <c r="B168" t="s">
        <v>138</v>
      </c>
      <c r="C168">
        <v>71</v>
      </c>
      <c r="D168">
        <v>4.7500000000000001E-2</v>
      </c>
      <c r="E168">
        <v>25.56661324811952</v>
      </c>
      <c r="F168">
        <v>2566.271597246543</v>
      </c>
      <c r="G168">
        <v>9.0579999999999998</v>
      </c>
      <c r="H168">
        <v>6.3E-2</v>
      </c>
      <c r="I168">
        <v>49.001719999999999</v>
      </c>
    </row>
    <row r="169" spans="1:9" x14ac:dyDescent="0.3">
      <c r="A169" t="s">
        <v>36</v>
      </c>
      <c r="B169" t="s">
        <v>140</v>
      </c>
      <c r="C169">
        <v>71</v>
      </c>
      <c r="D169">
        <v>5.2499999999999998E-2</v>
      </c>
      <c r="E169">
        <v>25.466412099976449</v>
      </c>
      <c r="F169">
        <v>2443.469607717805</v>
      </c>
      <c r="G169">
        <v>9.0579999999999998</v>
      </c>
      <c r="H169">
        <v>6.1400000000000003E-2</v>
      </c>
      <c r="I169">
        <v>49.200989999999997</v>
      </c>
    </row>
    <row r="170" spans="1:9" x14ac:dyDescent="0.3">
      <c r="A170" t="s">
        <v>36</v>
      </c>
      <c r="B170" t="s">
        <v>142</v>
      </c>
      <c r="C170">
        <v>71</v>
      </c>
      <c r="D170">
        <v>5.3499999999999999E-2</v>
      </c>
      <c r="E170">
        <v>25.177823159339361</v>
      </c>
      <c r="F170">
        <v>2416.573118450428</v>
      </c>
      <c r="G170">
        <v>9.0579999999999998</v>
      </c>
      <c r="H170">
        <v>5.7000000000000002E-2</v>
      </c>
      <c r="I170">
        <v>49.400860000000002</v>
      </c>
    </row>
    <row r="171" spans="1:9" x14ac:dyDescent="0.3">
      <c r="A171" t="s">
        <v>36</v>
      </c>
      <c r="B171" t="s">
        <v>144</v>
      </c>
      <c r="C171">
        <v>71</v>
      </c>
      <c r="D171">
        <v>5.2900000000000003E-2</v>
      </c>
      <c r="E171">
        <v>24.725889921608982</v>
      </c>
      <c r="F171">
        <v>2374.4529406939569</v>
      </c>
      <c r="G171">
        <v>9.0579999999999998</v>
      </c>
      <c r="H171">
        <v>4.99E-2</v>
      </c>
      <c r="I171">
        <v>49.601950000000002</v>
      </c>
    </row>
    <row r="172" spans="1:9" x14ac:dyDescent="0.3">
      <c r="A172" t="s">
        <v>36</v>
      </c>
      <c r="B172" t="s">
        <v>146</v>
      </c>
      <c r="C172">
        <v>71</v>
      </c>
      <c r="D172">
        <v>5.11E-2</v>
      </c>
      <c r="E172">
        <v>24.162035403707851</v>
      </c>
      <c r="F172">
        <v>2321.9016996255709</v>
      </c>
      <c r="G172">
        <v>9.0579999999999998</v>
      </c>
      <c r="H172">
        <v>4.1200000000000001E-2</v>
      </c>
      <c r="I172">
        <v>49.801220000000001</v>
      </c>
    </row>
    <row r="173" spans="1:9" x14ac:dyDescent="0.3">
      <c r="A173" t="s">
        <v>36</v>
      </c>
      <c r="B173" t="s">
        <v>148</v>
      </c>
      <c r="C173">
        <v>71</v>
      </c>
      <c r="D173">
        <v>4.5699999999999998E-2</v>
      </c>
      <c r="E173">
        <v>23.52786455381889</v>
      </c>
      <c r="F173">
        <v>2262.7969764159211</v>
      </c>
      <c r="G173">
        <v>9.0579999999999998</v>
      </c>
      <c r="H173">
        <v>3.1300000000000001E-2</v>
      </c>
      <c r="I173">
        <v>50.003579999999999</v>
      </c>
    </row>
    <row r="174" spans="1:9" x14ac:dyDescent="0.3">
      <c r="A174" t="s">
        <v>36</v>
      </c>
      <c r="B174" t="s">
        <v>150</v>
      </c>
      <c r="C174">
        <v>71</v>
      </c>
      <c r="D174">
        <v>3.8100000000000002E-2</v>
      </c>
      <c r="E174">
        <v>22.900176370280349</v>
      </c>
      <c r="F174">
        <v>2204.2964377101289</v>
      </c>
      <c r="G174">
        <v>9.0579999999999998</v>
      </c>
      <c r="H174">
        <v>2.1600000000000001E-2</v>
      </c>
      <c r="I174">
        <v>50.204169999999998</v>
      </c>
    </row>
    <row r="175" spans="1:9" x14ac:dyDescent="0.3">
      <c r="A175" t="s">
        <v>36</v>
      </c>
      <c r="B175" t="s">
        <v>152</v>
      </c>
      <c r="C175">
        <v>71</v>
      </c>
      <c r="D175">
        <v>2.9700000000000001E-2</v>
      </c>
      <c r="E175">
        <v>22.33259963089456</v>
      </c>
      <c r="F175">
        <v>2151.3982855993731</v>
      </c>
      <c r="G175">
        <v>9.0579999999999998</v>
      </c>
      <c r="H175">
        <v>1.2800000000000001E-2</v>
      </c>
      <c r="I175">
        <v>50.405850000000001</v>
      </c>
    </row>
    <row r="176" spans="1:9" x14ac:dyDescent="0.3">
      <c r="A176" t="s">
        <v>36</v>
      </c>
      <c r="B176" t="s">
        <v>154</v>
      </c>
      <c r="C176">
        <v>71</v>
      </c>
      <c r="D176">
        <v>2.0199999999999999E-2</v>
      </c>
      <c r="E176">
        <v>21.897116787508001</v>
      </c>
      <c r="F176">
        <v>2110.8112845957448</v>
      </c>
      <c r="G176">
        <v>9.0579999999999998</v>
      </c>
      <c r="H176">
        <v>6.0000000000000001E-3</v>
      </c>
      <c r="I176">
        <v>50.601059999999997</v>
      </c>
    </row>
    <row r="177" spans="1:9" x14ac:dyDescent="0.3">
      <c r="A177" t="s">
        <v>36</v>
      </c>
      <c r="B177" t="s">
        <v>156</v>
      </c>
      <c r="C177">
        <v>71</v>
      </c>
      <c r="D177">
        <v>1.2699999999999999E-2</v>
      </c>
      <c r="E177">
        <v>21.60930103904402</v>
      </c>
      <c r="F177">
        <v>2083.986856838902</v>
      </c>
      <c r="G177">
        <v>9.0579999999999998</v>
      </c>
      <c r="H177">
        <v>1.5E-3</v>
      </c>
      <c r="I177">
        <v>50.801870000000001</v>
      </c>
    </row>
    <row r="178" spans="1:9" x14ac:dyDescent="0.3">
      <c r="A178" t="s">
        <v>36</v>
      </c>
      <c r="B178" t="s">
        <v>158</v>
      </c>
      <c r="C178">
        <v>71</v>
      </c>
      <c r="D178">
        <v>5.1000000000000004E-3</v>
      </c>
      <c r="E178">
        <v>21.511913651162629</v>
      </c>
      <c r="F178">
        <v>2074.910352288357</v>
      </c>
      <c r="G178">
        <v>9.0579999999999998</v>
      </c>
      <c r="H178">
        <v>0</v>
      </c>
      <c r="I178">
        <v>51.000500000000002</v>
      </c>
    </row>
    <row r="179" spans="1:9" x14ac:dyDescent="0.3">
      <c r="A179" t="s">
        <v>36</v>
      </c>
      <c r="B179" t="s">
        <v>160</v>
      </c>
      <c r="C179">
        <v>71</v>
      </c>
      <c r="D179">
        <v>-2.8E-3</v>
      </c>
      <c r="E179">
        <v>21.613012839930398</v>
      </c>
      <c r="F179">
        <v>2191.074918509395</v>
      </c>
      <c r="G179">
        <v>9.0579999999999998</v>
      </c>
      <c r="H179">
        <v>1.6000000000000001E-3</v>
      </c>
      <c r="I179">
        <v>51.201900000000002</v>
      </c>
    </row>
    <row r="180" spans="1:9" x14ac:dyDescent="0.3">
      <c r="A180" t="s">
        <v>36</v>
      </c>
      <c r="B180" t="s">
        <v>162</v>
      </c>
      <c r="C180">
        <v>71</v>
      </c>
      <c r="D180">
        <v>-2.3E-3</v>
      </c>
      <c r="E180">
        <v>21.902983057224311</v>
      </c>
      <c r="F180">
        <v>2218.5930921305871</v>
      </c>
      <c r="G180">
        <v>9.0579999999999998</v>
      </c>
      <c r="H180">
        <v>6.1000000000000004E-3</v>
      </c>
      <c r="I180">
        <v>51.402070000000002</v>
      </c>
    </row>
    <row r="181" spans="1:9" x14ac:dyDescent="0.3">
      <c r="A181" t="s">
        <v>36</v>
      </c>
      <c r="B181" t="s">
        <v>164</v>
      </c>
      <c r="C181">
        <v>71</v>
      </c>
      <c r="D181">
        <v>-8.9999999999999998E-4</v>
      </c>
      <c r="E181">
        <v>22.354828753819771</v>
      </c>
      <c r="F181">
        <v>2261.4732487374972</v>
      </c>
      <c r="G181">
        <v>9.0579999999999998</v>
      </c>
      <c r="H181">
        <v>1.3100000000000001E-2</v>
      </c>
      <c r="I181">
        <v>51.602789999999999</v>
      </c>
    </row>
    <row r="182" spans="1:9" x14ac:dyDescent="0.3">
      <c r="A182" t="s">
        <v>36</v>
      </c>
      <c r="B182" t="s">
        <v>166</v>
      </c>
      <c r="C182">
        <v>71</v>
      </c>
      <c r="D182">
        <v>4.4999999999999997E-3</v>
      </c>
      <c r="E182">
        <v>22.91870881637816</v>
      </c>
      <c r="F182">
        <v>2314.9854666742872</v>
      </c>
      <c r="G182">
        <v>9.0579999999999998</v>
      </c>
      <c r="H182">
        <v>2.1899999999999999E-2</v>
      </c>
      <c r="I182">
        <v>51.801960000000001</v>
      </c>
    </row>
    <row r="183" spans="1:9" x14ac:dyDescent="0.3">
      <c r="A183" t="s">
        <v>36</v>
      </c>
      <c r="B183" t="s">
        <v>168</v>
      </c>
      <c r="C183">
        <v>71</v>
      </c>
      <c r="D183">
        <v>0.01</v>
      </c>
      <c r="E183">
        <v>23.54067986234222</v>
      </c>
      <c r="F183">
        <v>2374.0105189362771</v>
      </c>
      <c r="G183">
        <v>9.0579999999999998</v>
      </c>
      <c r="H183">
        <v>3.15E-2</v>
      </c>
      <c r="I183">
        <v>52.000439999999998</v>
      </c>
    </row>
    <row r="184" spans="1:9" x14ac:dyDescent="0.3">
      <c r="A184" t="s">
        <v>36</v>
      </c>
      <c r="B184" t="s">
        <v>170</v>
      </c>
      <c r="C184">
        <v>71</v>
      </c>
      <c r="D184">
        <v>1.6899999999999998E-2</v>
      </c>
      <c r="E184">
        <v>24.173131921722081</v>
      </c>
      <c r="F184">
        <v>2434.0302193714251</v>
      </c>
      <c r="G184">
        <v>9.0579999999999998</v>
      </c>
      <c r="H184">
        <v>4.1300000000000003E-2</v>
      </c>
      <c r="I184">
        <v>52.202440000000003</v>
      </c>
    </row>
    <row r="185" spans="1:9" x14ac:dyDescent="0.3">
      <c r="A185" t="s">
        <v>36</v>
      </c>
      <c r="B185" t="s">
        <v>172</v>
      </c>
      <c r="C185">
        <v>71</v>
      </c>
      <c r="D185">
        <v>2.4400000000000002E-2</v>
      </c>
      <c r="E185">
        <v>24.73367171624227</v>
      </c>
      <c r="F185">
        <v>2487.225445871391</v>
      </c>
      <c r="G185">
        <v>9.0579999999999998</v>
      </c>
      <c r="H185">
        <v>5.0099999999999999E-2</v>
      </c>
      <c r="I185">
        <v>52.401069999999997</v>
      </c>
    </row>
    <row r="186" spans="1:9" x14ac:dyDescent="0.3">
      <c r="A186" t="s">
        <v>36</v>
      </c>
      <c r="B186" t="s">
        <v>174</v>
      </c>
      <c r="C186">
        <v>71</v>
      </c>
      <c r="D186">
        <v>3.2800000000000003E-2</v>
      </c>
      <c r="E186">
        <v>25.182977098042141</v>
      </c>
      <c r="F186">
        <v>2529.864526604199</v>
      </c>
      <c r="G186">
        <v>9.0579999999999998</v>
      </c>
      <c r="H186">
        <v>5.7000000000000002E-2</v>
      </c>
      <c r="I186">
        <v>52.601900000000001</v>
      </c>
    </row>
    <row r="187" spans="1:9" x14ac:dyDescent="0.3">
      <c r="A187" t="s">
        <v>36</v>
      </c>
      <c r="B187" t="s">
        <v>176</v>
      </c>
      <c r="C187">
        <v>71</v>
      </c>
      <c r="D187">
        <v>4.0800000000000003E-2</v>
      </c>
      <c r="E187">
        <v>25.470300969939341</v>
      </c>
      <c r="F187">
        <v>2557.1315620472442</v>
      </c>
      <c r="G187">
        <v>9.0579999999999998</v>
      </c>
      <c r="H187">
        <v>6.1499999999999999E-2</v>
      </c>
      <c r="I187">
        <v>52.802970000000002</v>
      </c>
    </row>
    <row r="188" spans="1:9" x14ac:dyDescent="0.3">
      <c r="A188" t="s">
        <v>36</v>
      </c>
      <c r="B188" t="s">
        <v>178</v>
      </c>
      <c r="C188">
        <v>71</v>
      </c>
      <c r="D188">
        <v>4.8399999999999999E-2</v>
      </c>
      <c r="E188">
        <v>25.566620141122279</v>
      </c>
      <c r="F188">
        <v>2566.2722513925041</v>
      </c>
      <c r="G188">
        <v>9.0579999999999998</v>
      </c>
      <c r="H188">
        <v>6.3E-2</v>
      </c>
      <c r="I188">
        <v>53.000459999999997</v>
      </c>
    </row>
    <row r="189" spans="1:9" x14ac:dyDescent="0.3">
      <c r="A189" t="s">
        <v>36</v>
      </c>
      <c r="B189" t="s">
        <v>180</v>
      </c>
      <c r="C189">
        <v>71</v>
      </c>
      <c r="D189">
        <v>5.2699999999999997E-2</v>
      </c>
      <c r="E189">
        <v>25.466942861188151</v>
      </c>
      <c r="F189">
        <v>2443.519074662735</v>
      </c>
      <c r="G189">
        <v>9.0579999999999998</v>
      </c>
      <c r="H189">
        <v>6.1499999999999999E-2</v>
      </c>
      <c r="I189">
        <v>53.20046</v>
      </c>
    </row>
    <row r="190" spans="1:9" x14ac:dyDescent="0.3">
      <c r="A190" t="s">
        <v>36</v>
      </c>
      <c r="B190" t="s">
        <v>182</v>
      </c>
      <c r="C190">
        <v>71</v>
      </c>
      <c r="D190">
        <v>5.3699999999999998E-2</v>
      </c>
      <c r="E190">
        <v>25.17602368015103</v>
      </c>
      <c r="F190">
        <v>2416.4054069900758</v>
      </c>
      <c r="G190">
        <v>9.0579999999999998</v>
      </c>
      <c r="H190">
        <v>5.6899999999999999E-2</v>
      </c>
      <c r="I190">
        <v>53.401809999999998</v>
      </c>
    </row>
    <row r="191" spans="1:9" x14ac:dyDescent="0.3">
      <c r="A191" t="s">
        <v>36</v>
      </c>
      <c r="B191" t="s">
        <v>184</v>
      </c>
      <c r="C191">
        <v>71</v>
      </c>
      <c r="D191">
        <v>5.3199999999999997E-2</v>
      </c>
      <c r="E191">
        <v>24.72881863683596</v>
      </c>
      <c r="F191">
        <v>2374.7258969531122</v>
      </c>
      <c r="G191">
        <v>9.0579999999999998</v>
      </c>
      <c r="H191">
        <v>0.05</v>
      </c>
      <c r="I191">
        <v>53.600810000000003</v>
      </c>
    </row>
    <row r="192" spans="1:9" x14ac:dyDescent="0.3">
      <c r="A192" t="s">
        <v>36</v>
      </c>
      <c r="B192" t="s">
        <v>186</v>
      </c>
      <c r="C192">
        <v>71</v>
      </c>
      <c r="D192">
        <v>5.16E-2</v>
      </c>
      <c r="E192">
        <v>24.163296417740231</v>
      </c>
      <c r="F192">
        <v>2322.0192261333891</v>
      </c>
      <c r="G192">
        <v>9.0579999999999998</v>
      </c>
      <c r="H192">
        <v>4.1200000000000001E-2</v>
      </c>
      <c r="I192">
        <v>53.800809999999998</v>
      </c>
    </row>
    <row r="193" spans="1:9" x14ac:dyDescent="0.3">
      <c r="A193" t="s">
        <v>36</v>
      </c>
      <c r="B193" t="s">
        <v>188</v>
      </c>
      <c r="C193">
        <v>71</v>
      </c>
      <c r="D193">
        <v>4.6199999999999998E-2</v>
      </c>
      <c r="E193">
        <v>23.527410426578939</v>
      </c>
      <c r="F193">
        <v>2262.7546517571568</v>
      </c>
      <c r="G193">
        <v>9.0579999999999998</v>
      </c>
      <c r="H193">
        <v>3.1300000000000001E-2</v>
      </c>
      <c r="I193">
        <v>54.003720000000001</v>
      </c>
    </row>
    <row r="194" spans="1:9" x14ac:dyDescent="0.3">
      <c r="A194" t="s">
        <v>36</v>
      </c>
      <c r="B194" t="s">
        <v>190</v>
      </c>
      <c r="C194">
        <v>71</v>
      </c>
      <c r="D194">
        <v>3.8300000000000001E-2</v>
      </c>
      <c r="E194">
        <v>22.89557873744652</v>
      </c>
      <c r="F194">
        <v>2203.8679383300159</v>
      </c>
      <c r="G194">
        <v>9.0579999999999998</v>
      </c>
      <c r="H194">
        <v>2.1499999999999998E-2</v>
      </c>
      <c r="I194">
        <v>54.205680000000001</v>
      </c>
    </row>
    <row r="195" spans="1:9" x14ac:dyDescent="0.3">
      <c r="A195" t="s">
        <v>36</v>
      </c>
      <c r="B195" t="s">
        <v>192</v>
      </c>
      <c r="C195">
        <v>71</v>
      </c>
      <c r="D195">
        <v>3.0300000000000001E-2</v>
      </c>
      <c r="E195">
        <v>22.34107599692253</v>
      </c>
      <c r="F195">
        <v>2152.18828291318</v>
      </c>
      <c r="G195">
        <v>9.0579999999999998</v>
      </c>
      <c r="H195">
        <v>1.29E-2</v>
      </c>
      <c r="I195">
        <v>54.402540000000002</v>
      </c>
    </row>
    <row r="196" spans="1:9" x14ac:dyDescent="0.3">
      <c r="A196" t="s">
        <v>36</v>
      </c>
      <c r="B196" t="s">
        <v>194</v>
      </c>
      <c r="C196">
        <v>71</v>
      </c>
      <c r="D196">
        <v>2.1299999999999999E-2</v>
      </c>
      <c r="E196">
        <v>21.89882969869122</v>
      </c>
      <c r="F196">
        <v>2110.970927918022</v>
      </c>
      <c r="G196">
        <v>9.0579999999999998</v>
      </c>
      <c r="H196">
        <v>6.0000000000000001E-3</v>
      </c>
      <c r="I196">
        <v>54.600140000000003</v>
      </c>
    </row>
    <row r="197" spans="1:9" x14ac:dyDescent="0.3">
      <c r="A197" t="s">
        <v>36</v>
      </c>
      <c r="B197" t="s">
        <v>196</v>
      </c>
      <c r="C197">
        <v>71</v>
      </c>
      <c r="D197">
        <v>1.17E-2</v>
      </c>
      <c r="E197">
        <v>21.607601548942618</v>
      </c>
      <c r="F197">
        <v>2083.828464361452</v>
      </c>
      <c r="G197">
        <v>9.0579999999999998</v>
      </c>
      <c r="H197">
        <v>1.5E-3</v>
      </c>
      <c r="I197">
        <v>54.803620000000002</v>
      </c>
    </row>
    <row r="198" spans="1:9" x14ac:dyDescent="0.3">
      <c r="A198" t="s">
        <v>36</v>
      </c>
      <c r="B198" t="s">
        <v>198</v>
      </c>
      <c r="C198">
        <v>71</v>
      </c>
      <c r="D198">
        <v>4.7000000000000002E-3</v>
      </c>
      <c r="E198">
        <v>21.511939994217741</v>
      </c>
      <c r="F198">
        <v>2074.912807461094</v>
      </c>
      <c r="G198">
        <v>9.0579999999999998</v>
      </c>
      <c r="H198">
        <v>0</v>
      </c>
      <c r="I198">
        <v>55.003279999999997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AA103"/>
  <sheetViews>
    <sheetView topLeftCell="F1" zoomScale="70" zoomScaleNormal="70" workbookViewId="0">
      <selection activeCell="AB17" sqref="AB17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5" width="10" bestFit="1" customWidth="1"/>
    <col min="36" max="36" width="16.5546875" customWidth="1"/>
    <col min="37" max="37" width="13.33203125" bestFit="1" customWidth="1"/>
    <col min="38" max="38" width="10.44140625" bestFit="1" customWidth="1"/>
    <col min="39" max="40" width="10" bestFit="1" customWidth="1"/>
    <col min="41" max="41" width="10.109375" bestFit="1" customWidth="1"/>
    <col min="42" max="42" width="12.44140625" bestFit="1" customWidth="1"/>
    <col min="43" max="43" width="12" bestFit="1" customWidth="1"/>
    <col min="44" max="44" width="16.77734375" bestFit="1" customWidth="1"/>
    <col min="45" max="46" width="13.33203125" bestFit="1" customWidth="1"/>
    <col min="47" max="47" width="10.44140625" bestFit="1" customWidth="1"/>
    <col min="48" max="49" width="10" bestFit="1" customWidth="1"/>
    <col min="50" max="50" width="10.109375" bestFit="1" customWidth="1"/>
    <col min="51" max="51" width="12.44140625" bestFit="1" customWidth="1"/>
    <col min="52" max="52" width="12" bestFit="1" customWidth="1"/>
    <col min="53" max="53" width="16.77734375" bestFit="1" customWidth="1"/>
    <col min="54" max="55" width="13.33203125" bestFit="1" customWidth="1"/>
    <col min="56" max="56" width="10.44140625" bestFit="1" customWidth="1"/>
    <col min="57" max="58" width="10" bestFit="1" customWidth="1"/>
    <col min="59" max="59" width="10.88671875" bestFit="1" customWidth="1"/>
    <col min="60" max="60" width="12.44140625" bestFit="1" customWidth="1"/>
    <col min="61" max="61" width="13.109375" bestFit="1" customWidth="1"/>
    <col min="62" max="62" width="18" bestFit="1" customWidth="1"/>
    <col min="63" max="63" width="14.44140625" bestFit="1" customWidth="1"/>
    <col min="64" max="64" width="14.109375" bestFit="1" customWidth="1"/>
    <col min="65" max="65" width="11.5546875" bestFit="1" customWidth="1"/>
    <col min="66" max="66" width="11.109375" bestFit="1" customWidth="1"/>
    <col min="67" max="67" width="10.77734375" bestFit="1" customWidth="1"/>
    <col min="68" max="68" width="10.44140625" bestFit="1" customWidth="1"/>
    <col min="69" max="69" width="11.6640625" bestFit="1" customWidth="1"/>
    <col min="70" max="70" width="12.44140625" bestFit="1" customWidth="1"/>
    <col min="71" max="71" width="17.21875" bestFit="1" customWidth="1"/>
    <col min="72" max="72" width="13.88671875" bestFit="1" customWidth="1"/>
    <col min="73" max="73" width="13.33203125" bestFit="1" customWidth="1"/>
    <col min="74" max="74" width="11" bestFit="1" customWidth="1"/>
    <col min="75" max="75" width="10.44140625" bestFit="1" customWidth="1"/>
    <col min="76" max="76" width="10.218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</cols>
  <sheetData>
    <row r="1" spans="1:27" x14ac:dyDescent="0.3">
      <c r="A1" t="s">
        <v>9</v>
      </c>
      <c r="B1" t="s">
        <v>12</v>
      </c>
      <c r="C1" t="s">
        <v>15</v>
      </c>
      <c r="D1" t="s">
        <v>18</v>
      </c>
      <c r="E1" t="s">
        <v>21</v>
      </c>
      <c r="F1" t="s">
        <v>24</v>
      </c>
      <c r="G1" t="s">
        <v>27</v>
      </c>
      <c r="H1" t="s">
        <v>30</v>
      </c>
      <c r="I1" t="s">
        <v>33</v>
      </c>
      <c r="J1" t="s">
        <v>10</v>
      </c>
      <c r="K1" t="s">
        <v>13</v>
      </c>
      <c r="L1" t="s">
        <v>16</v>
      </c>
      <c r="M1" t="s">
        <v>19</v>
      </c>
      <c r="N1" t="s">
        <v>22</v>
      </c>
      <c r="O1" t="s">
        <v>25</v>
      </c>
      <c r="P1" t="s">
        <v>28</v>
      </c>
      <c r="Q1" t="s">
        <v>31</v>
      </c>
      <c r="R1" t="s">
        <v>34</v>
      </c>
      <c r="S1" t="s">
        <v>11</v>
      </c>
      <c r="T1" t="s">
        <v>14</v>
      </c>
      <c r="U1" t="s">
        <v>17</v>
      </c>
      <c r="V1" t="s">
        <v>20</v>
      </c>
      <c r="W1" t="s">
        <v>23</v>
      </c>
      <c r="X1" t="s">
        <v>26</v>
      </c>
      <c r="Y1" t="s">
        <v>29</v>
      </c>
      <c r="Z1" t="s">
        <v>32</v>
      </c>
      <c r="AA1" t="s">
        <v>35</v>
      </c>
    </row>
    <row r="2" spans="1:27" x14ac:dyDescent="0.3">
      <c r="A2" t="s">
        <v>36</v>
      </c>
      <c r="B2" t="s">
        <v>37</v>
      </c>
      <c r="C2">
        <v>71</v>
      </c>
      <c r="D2">
        <v>5.5999999999999999E-3</v>
      </c>
      <c r="E2">
        <v>21.511924405894749</v>
      </c>
      <c r="F2">
        <v>2074.9113546293911</v>
      </c>
      <c r="G2">
        <v>9.0579999999999998</v>
      </c>
      <c r="H2">
        <v>0</v>
      </c>
      <c r="I2">
        <v>0</v>
      </c>
      <c r="J2" t="s">
        <v>36</v>
      </c>
      <c r="K2" t="s">
        <v>38</v>
      </c>
      <c r="L2">
        <v>71</v>
      </c>
      <c r="M2">
        <v>5.1000000000000004E-3</v>
      </c>
      <c r="N2">
        <v>21.51191679299491</v>
      </c>
      <c r="O2">
        <v>2074.9106451071261</v>
      </c>
      <c r="P2">
        <v>9.0579999999999998</v>
      </c>
      <c r="Q2">
        <v>0</v>
      </c>
      <c r="R2">
        <v>0</v>
      </c>
      <c r="S2" t="s">
        <v>36</v>
      </c>
      <c r="T2" t="s">
        <v>117</v>
      </c>
      <c r="U2">
        <v>71</v>
      </c>
      <c r="V2">
        <v>5.1999999999999998E-3</v>
      </c>
      <c r="W2">
        <v>21.511937456583102</v>
      </c>
      <c r="X2">
        <v>2074.9125709535451</v>
      </c>
      <c r="Y2">
        <v>9.0579999999999998</v>
      </c>
      <c r="Z2">
        <v>0</v>
      </c>
      <c r="AA2">
        <v>0</v>
      </c>
    </row>
    <row r="3" spans="1:27" x14ac:dyDescent="0.3">
      <c r="A3" t="s">
        <v>36</v>
      </c>
      <c r="B3" t="s">
        <v>39</v>
      </c>
      <c r="C3">
        <v>71</v>
      </c>
      <c r="D3">
        <v>-1.6999999999999999E-3</v>
      </c>
      <c r="E3">
        <v>21.611624994647428</v>
      </c>
      <c r="F3">
        <v>2190.9432119920411</v>
      </c>
      <c r="G3">
        <v>9.0579999999999998</v>
      </c>
      <c r="H3">
        <v>1.5E-3</v>
      </c>
      <c r="I3">
        <v>0.19835999999999743</v>
      </c>
      <c r="J3" t="s">
        <v>36</v>
      </c>
      <c r="K3" t="s">
        <v>40</v>
      </c>
      <c r="L3">
        <v>71</v>
      </c>
      <c r="M3">
        <v>-2.7000000000000001E-3</v>
      </c>
      <c r="N3">
        <v>21.6124733205505</v>
      </c>
      <c r="O3">
        <v>2191.0237181202419</v>
      </c>
      <c r="P3">
        <v>9.0579999999999998</v>
      </c>
      <c r="Q3">
        <v>1.6000000000000001E-3</v>
      </c>
      <c r="R3">
        <v>0.19835999999999743</v>
      </c>
      <c r="S3" t="s">
        <v>36</v>
      </c>
      <c r="T3" t="s">
        <v>119</v>
      </c>
      <c r="U3">
        <v>71</v>
      </c>
      <c r="V3">
        <v>-2.3999999999999998E-3</v>
      </c>
      <c r="W3">
        <v>21.612122385616409</v>
      </c>
      <c r="X3">
        <v>2190.990414394998</v>
      </c>
      <c r="Y3">
        <v>9.0579999999999998</v>
      </c>
      <c r="Z3">
        <v>1.6000000000000001E-3</v>
      </c>
      <c r="AA3">
        <v>0.19788000000000139</v>
      </c>
    </row>
    <row r="4" spans="1:27" x14ac:dyDescent="0.3">
      <c r="A4" t="s">
        <v>36</v>
      </c>
      <c r="B4" t="s">
        <v>41</v>
      </c>
      <c r="C4">
        <v>71</v>
      </c>
      <c r="D4">
        <v>-2E-3</v>
      </c>
      <c r="E4">
        <v>21.90136648589128</v>
      </c>
      <c r="F4">
        <v>2218.4396795110829</v>
      </c>
      <c r="G4">
        <v>9.0579999999999998</v>
      </c>
      <c r="H4">
        <v>6.1000000000000004E-3</v>
      </c>
      <c r="I4">
        <v>0.39907999999999788</v>
      </c>
      <c r="J4" t="s">
        <v>36</v>
      </c>
      <c r="K4" t="s">
        <v>42</v>
      </c>
      <c r="L4">
        <v>71</v>
      </c>
      <c r="M4">
        <v>-2E-3</v>
      </c>
      <c r="N4">
        <v>21.89973803426528</v>
      </c>
      <c r="O4">
        <v>2218.2851394517752</v>
      </c>
      <c r="P4">
        <v>9.0579999999999998</v>
      </c>
      <c r="Q4">
        <v>6.0000000000000001E-3</v>
      </c>
      <c r="R4">
        <v>0.39907999999999788</v>
      </c>
      <c r="S4" t="s">
        <v>36</v>
      </c>
      <c r="T4" t="s">
        <v>121</v>
      </c>
      <c r="U4">
        <v>71</v>
      </c>
      <c r="V4">
        <v>-1.2999999999999999E-3</v>
      </c>
      <c r="W4">
        <v>21.920361168644039</v>
      </c>
      <c r="X4">
        <v>2220.2422749043199</v>
      </c>
      <c r="Y4">
        <v>9.0579999999999998</v>
      </c>
      <c r="Z4">
        <v>6.3E-3</v>
      </c>
      <c r="AA4">
        <v>0.40810000000000102</v>
      </c>
    </row>
    <row r="5" spans="1:27" x14ac:dyDescent="0.3">
      <c r="A5" t="s">
        <v>36</v>
      </c>
      <c r="B5" t="s">
        <v>43</v>
      </c>
      <c r="C5">
        <v>71</v>
      </c>
      <c r="D5">
        <v>-1.1000000000000001E-3</v>
      </c>
      <c r="E5">
        <v>22.354801587279521</v>
      </c>
      <c r="F5">
        <v>2261.470670632827</v>
      </c>
      <c r="G5">
        <v>9.0579999999999998</v>
      </c>
      <c r="H5">
        <v>1.3100000000000001E-2</v>
      </c>
      <c r="I5">
        <v>0.60064999999999813</v>
      </c>
      <c r="J5" t="s">
        <v>36</v>
      </c>
      <c r="K5" t="s">
        <v>44</v>
      </c>
      <c r="L5">
        <v>71</v>
      </c>
      <c r="M5">
        <v>-8.9999999999999998E-4</v>
      </c>
      <c r="N5">
        <v>22.352507839246989</v>
      </c>
      <c r="O5">
        <v>2261.252993944539</v>
      </c>
      <c r="P5">
        <v>9.0579999999999998</v>
      </c>
      <c r="Q5">
        <v>1.3100000000000001E-2</v>
      </c>
      <c r="R5">
        <v>0.60064999999999813</v>
      </c>
      <c r="S5" t="s">
        <v>36</v>
      </c>
      <c r="T5" t="s">
        <v>123</v>
      </c>
      <c r="U5">
        <v>71</v>
      </c>
      <c r="V5">
        <v>-5.9999999999999995E-4</v>
      </c>
      <c r="W5">
        <v>22.352300643693749</v>
      </c>
      <c r="X5">
        <v>2261.233331086537</v>
      </c>
      <c r="Y5">
        <v>9.0579999999999998</v>
      </c>
      <c r="Z5">
        <v>1.3100000000000001E-2</v>
      </c>
      <c r="AA5">
        <v>0.59869000000000128</v>
      </c>
    </row>
    <row r="6" spans="1:27" x14ac:dyDescent="0.3">
      <c r="A6" t="s">
        <v>36</v>
      </c>
      <c r="B6" t="s">
        <v>45</v>
      </c>
      <c r="C6">
        <v>71</v>
      </c>
      <c r="D6">
        <v>3.3999999999999998E-3</v>
      </c>
      <c r="E6">
        <v>22.922432659745819</v>
      </c>
      <c r="F6">
        <v>2315.3388594098778</v>
      </c>
      <c r="G6">
        <v>9.0579999999999998</v>
      </c>
      <c r="H6">
        <v>2.1899999999999999E-2</v>
      </c>
      <c r="I6">
        <v>0.80105000000000004</v>
      </c>
      <c r="J6" t="s">
        <v>36</v>
      </c>
      <c r="K6" t="s">
        <v>46</v>
      </c>
      <c r="L6">
        <v>71</v>
      </c>
      <c r="M6">
        <v>3.0999999999999999E-3</v>
      </c>
      <c r="N6">
        <v>22.916875683117571</v>
      </c>
      <c r="O6">
        <v>2314.8115023278579</v>
      </c>
      <c r="P6">
        <v>9.0579999999999998</v>
      </c>
      <c r="Q6">
        <v>2.18E-2</v>
      </c>
      <c r="R6">
        <v>0.80105000000000004</v>
      </c>
      <c r="S6" t="s">
        <v>36</v>
      </c>
      <c r="T6" t="s">
        <v>125</v>
      </c>
      <c r="U6">
        <v>71</v>
      </c>
      <c r="V6">
        <v>3.2000000000000002E-3</v>
      </c>
      <c r="W6">
        <v>22.923658397822951</v>
      </c>
      <c r="X6">
        <v>2315.4551819533981</v>
      </c>
      <c r="Y6">
        <v>9.0579999999999998</v>
      </c>
      <c r="Z6">
        <v>2.1899999999999999E-2</v>
      </c>
      <c r="AA6">
        <v>0.80047000000000068</v>
      </c>
    </row>
    <row r="7" spans="1:27" x14ac:dyDescent="0.3">
      <c r="A7" t="s">
        <v>36</v>
      </c>
      <c r="B7" t="s">
        <v>47</v>
      </c>
      <c r="C7">
        <v>71</v>
      </c>
      <c r="D7">
        <v>9.7999999999999997E-3</v>
      </c>
      <c r="E7">
        <v>23.551202639245261</v>
      </c>
      <c r="F7">
        <v>2375.0091304643761</v>
      </c>
      <c r="G7">
        <v>9.0579999999999998</v>
      </c>
      <c r="H7">
        <v>3.1699999999999999E-2</v>
      </c>
      <c r="I7">
        <v>1.0016199999999991</v>
      </c>
      <c r="J7" t="s">
        <v>36</v>
      </c>
      <c r="K7" t="s">
        <v>48</v>
      </c>
      <c r="L7">
        <v>71</v>
      </c>
      <c r="M7">
        <v>9.9000000000000008E-3</v>
      </c>
      <c r="N7">
        <v>23.547663285068829</v>
      </c>
      <c r="O7">
        <v>2374.673245753032</v>
      </c>
      <c r="P7">
        <v>9.0579999999999998</v>
      </c>
      <c r="Q7">
        <v>3.1600000000000003E-2</v>
      </c>
      <c r="R7">
        <v>1.0016199999999991</v>
      </c>
      <c r="S7" t="s">
        <v>36</v>
      </c>
      <c r="T7" t="s">
        <v>127</v>
      </c>
      <c r="U7">
        <v>71</v>
      </c>
      <c r="V7">
        <v>9.7000000000000003E-3</v>
      </c>
      <c r="W7">
        <v>23.554646707795438</v>
      </c>
      <c r="X7">
        <v>2375.3359725697869</v>
      </c>
      <c r="Y7">
        <v>9.0579999999999998</v>
      </c>
      <c r="Z7">
        <v>3.1699999999999999E-2</v>
      </c>
      <c r="AA7">
        <v>1.0017099999999992</v>
      </c>
    </row>
    <row r="8" spans="1:27" x14ac:dyDescent="0.3">
      <c r="A8" t="s">
        <v>36</v>
      </c>
      <c r="B8" t="s">
        <v>49</v>
      </c>
      <c r="C8">
        <v>71</v>
      </c>
      <c r="D8">
        <v>1.61E-2</v>
      </c>
      <c r="E8">
        <v>24.178826758405311</v>
      </c>
      <c r="F8">
        <v>2434.5706593726641</v>
      </c>
      <c r="G8">
        <v>9.0579999999999998</v>
      </c>
      <c r="H8">
        <v>4.1399999999999999E-2</v>
      </c>
      <c r="I8">
        <v>1.2021899999999981</v>
      </c>
      <c r="J8" t="s">
        <v>36</v>
      </c>
      <c r="K8" t="s">
        <v>50</v>
      </c>
      <c r="L8">
        <v>71</v>
      </c>
      <c r="M8">
        <v>1.7000000000000001E-2</v>
      </c>
      <c r="N8">
        <v>24.16715649927988</v>
      </c>
      <c r="O8">
        <v>2433.4631517816611</v>
      </c>
      <c r="P8">
        <v>9.0579999999999998</v>
      </c>
      <c r="Q8">
        <v>4.1300000000000003E-2</v>
      </c>
      <c r="R8">
        <v>1.2021899999999981</v>
      </c>
      <c r="S8" t="s">
        <v>36</v>
      </c>
      <c r="T8" t="s">
        <v>129</v>
      </c>
      <c r="U8">
        <v>71</v>
      </c>
      <c r="V8">
        <v>1.6799999999999999E-2</v>
      </c>
      <c r="W8">
        <v>24.176032659467321</v>
      </c>
      <c r="X8">
        <v>2434.305499383448</v>
      </c>
      <c r="Y8">
        <v>9.0579999999999998</v>
      </c>
      <c r="Z8">
        <v>4.1399999999999999E-2</v>
      </c>
      <c r="AA8">
        <v>1.2002799999999993</v>
      </c>
    </row>
    <row r="9" spans="1:27" x14ac:dyDescent="0.3">
      <c r="A9" t="s">
        <v>36</v>
      </c>
      <c r="B9" t="s">
        <v>51</v>
      </c>
      <c r="C9">
        <v>71</v>
      </c>
      <c r="D9">
        <v>2.3699999999999999E-2</v>
      </c>
      <c r="E9">
        <v>24.731581109055458</v>
      </c>
      <c r="F9">
        <v>2487.027047249363</v>
      </c>
      <c r="G9">
        <v>9.0579999999999998</v>
      </c>
      <c r="H9">
        <v>0.05</v>
      </c>
      <c r="I9">
        <v>1.3981299999999983</v>
      </c>
      <c r="J9" t="s">
        <v>36</v>
      </c>
      <c r="K9" t="s">
        <v>52</v>
      </c>
      <c r="L9">
        <v>71</v>
      </c>
      <c r="M9">
        <v>2.5600000000000001E-2</v>
      </c>
      <c r="N9">
        <v>24.7332962503278</v>
      </c>
      <c r="O9">
        <v>2487.1898141561078</v>
      </c>
      <c r="P9">
        <v>9.0579999999999998</v>
      </c>
      <c r="Q9">
        <v>5.0099999999999999E-2</v>
      </c>
      <c r="R9">
        <v>1.3981299999999983</v>
      </c>
      <c r="S9" t="s">
        <v>36</v>
      </c>
      <c r="T9" t="s">
        <v>131</v>
      </c>
      <c r="U9">
        <v>71</v>
      </c>
      <c r="V9">
        <v>2.4400000000000002E-2</v>
      </c>
      <c r="W9">
        <v>24.734421026188201</v>
      </c>
      <c r="X9">
        <v>2487.29655538526</v>
      </c>
      <c r="Y9">
        <v>9.0579999999999998</v>
      </c>
      <c r="Z9">
        <v>5.0099999999999999E-2</v>
      </c>
      <c r="AA9">
        <v>1.3982400000000013</v>
      </c>
    </row>
    <row r="10" spans="1:27" x14ac:dyDescent="0.3">
      <c r="A10" t="s">
        <v>36</v>
      </c>
      <c r="B10" t="s">
        <v>53</v>
      </c>
      <c r="C10">
        <v>71</v>
      </c>
      <c r="D10">
        <v>3.2599999999999997E-2</v>
      </c>
      <c r="E10">
        <v>25.183934819953549</v>
      </c>
      <c r="F10">
        <v>2529.9554144135918</v>
      </c>
      <c r="G10">
        <v>9.0579999999999998</v>
      </c>
      <c r="H10">
        <v>5.7099999999999998E-2</v>
      </c>
      <c r="I10">
        <v>1.6002799999999979</v>
      </c>
      <c r="J10" t="s">
        <v>36</v>
      </c>
      <c r="K10" t="s">
        <v>54</v>
      </c>
      <c r="L10">
        <v>71</v>
      </c>
      <c r="M10">
        <v>3.2199999999999999E-2</v>
      </c>
      <c r="N10">
        <v>25.180465612216871</v>
      </c>
      <c r="O10">
        <v>2529.6261865993811</v>
      </c>
      <c r="P10">
        <v>9.0579999999999998</v>
      </c>
      <c r="Q10">
        <v>5.7000000000000002E-2</v>
      </c>
      <c r="R10">
        <v>1.6002799999999979</v>
      </c>
      <c r="S10" t="s">
        <v>36</v>
      </c>
      <c r="T10" t="s">
        <v>133</v>
      </c>
      <c r="U10">
        <v>71</v>
      </c>
      <c r="V10">
        <v>3.2500000000000001E-2</v>
      </c>
      <c r="W10">
        <v>25.180819588181581</v>
      </c>
      <c r="X10">
        <v>2529.659778918432</v>
      </c>
      <c r="Y10">
        <v>9.0579999999999998</v>
      </c>
      <c r="Z10">
        <v>5.7000000000000002E-2</v>
      </c>
      <c r="AA10">
        <v>1.5976199999999992</v>
      </c>
    </row>
    <row r="11" spans="1:27" x14ac:dyDescent="0.3">
      <c r="A11" t="s">
        <v>36</v>
      </c>
      <c r="B11" t="s">
        <v>55</v>
      </c>
      <c r="C11">
        <v>71</v>
      </c>
      <c r="D11">
        <v>4.1000000000000002E-2</v>
      </c>
      <c r="E11">
        <v>25.46949529955916</v>
      </c>
      <c r="F11">
        <v>2557.055103928165</v>
      </c>
      <c r="G11">
        <v>9.0579999999999998</v>
      </c>
      <c r="H11">
        <v>6.1499999999999999E-2</v>
      </c>
      <c r="I11">
        <v>1.80002</v>
      </c>
      <c r="J11" t="s">
        <v>36</v>
      </c>
      <c r="K11" t="s">
        <v>56</v>
      </c>
      <c r="L11">
        <v>71</v>
      </c>
      <c r="M11">
        <v>4.0599999999999997E-2</v>
      </c>
      <c r="N11">
        <v>25.468654758694491</v>
      </c>
      <c r="O11">
        <v>2556.9753366001069</v>
      </c>
      <c r="P11">
        <v>9.0579999999999998</v>
      </c>
      <c r="Q11">
        <v>6.1499999999999999E-2</v>
      </c>
      <c r="R11">
        <v>1.80002</v>
      </c>
      <c r="S11" t="s">
        <v>36</v>
      </c>
      <c r="T11" t="s">
        <v>135</v>
      </c>
      <c r="U11">
        <v>71</v>
      </c>
      <c r="V11">
        <v>4.0800000000000003E-2</v>
      </c>
      <c r="W11">
        <v>25.468100480179292</v>
      </c>
      <c r="X11">
        <v>2556.922735569015</v>
      </c>
      <c r="Y11">
        <v>9.0579999999999998</v>
      </c>
      <c r="Z11">
        <v>6.1499999999999999E-2</v>
      </c>
      <c r="AA11">
        <v>1.7975999999999992</v>
      </c>
    </row>
    <row r="12" spans="1:27" x14ac:dyDescent="0.3">
      <c r="A12" t="s">
        <v>36</v>
      </c>
      <c r="B12" t="s">
        <v>57</v>
      </c>
      <c r="C12">
        <v>71</v>
      </c>
      <c r="D12">
        <v>4.8000000000000001E-2</v>
      </c>
      <c r="E12">
        <v>25.56661811376852</v>
      </c>
      <c r="F12">
        <v>2566.2720589966329</v>
      </c>
      <c r="G12">
        <v>9.0579999999999998</v>
      </c>
      <c r="H12">
        <v>6.3E-2</v>
      </c>
      <c r="I12">
        <v>1.9988799999999998</v>
      </c>
      <c r="J12" t="s">
        <v>36</v>
      </c>
      <c r="K12" t="s">
        <v>58</v>
      </c>
      <c r="L12">
        <v>71</v>
      </c>
      <c r="M12">
        <v>4.7800000000000002E-2</v>
      </c>
      <c r="N12">
        <v>25.566609598882771</v>
      </c>
      <c r="O12">
        <v>2566.2712509339749</v>
      </c>
      <c r="P12">
        <v>9.0579999999999998</v>
      </c>
      <c r="Q12">
        <v>6.3E-2</v>
      </c>
      <c r="R12">
        <v>1.9988799999999998</v>
      </c>
      <c r="S12" t="s">
        <v>36</v>
      </c>
      <c r="T12" t="s">
        <v>137</v>
      </c>
      <c r="U12">
        <v>71</v>
      </c>
      <c r="V12">
        <v>4.8000000000000001E-2</v>
      </c>
      <c r="W12">
        <v>25.56660878794127</v>
      </c>
      <c r="X12">
        <v>2566.2711739756269</v>
      </c>
      <c r="Y12">
        <v>9.0579999999999998</v>
      </c>
      <c r="Z12">
        <v>6.3E-2</v>
      </c>
      <c r="AA12">
        <v>1.9990400000000008</v>
      </c>
    </row>
    <row r="13" spans="1:27" x14ac:dyDescent="0.3">
      <c r="A13" t="s">
        <v>36</v>
      </c>
      <c r="B13" t="s">
        <v>59</v>
      </c>
      <c r="C13">
        <v>71</v>
      </c>
      <c r="D13">
        <v>5.3999999999999999E-2</v>
      </c>
      <c r="E13">
        <v>25.465221637854551</v>
      </c>
      <c r="F13">
        <v>2443.358656648044</v>
      </c>
      <c r="G13">
        <v>9.0579999999999998</v>
      </c>
      <c r="H13">
        <v>6.1400000000000003E-2</v>
      </c>
      <c r="I13">
        <v>2.2000700000000002</v>
      </c>
      <c r="J13" t="s">
        <v>36</v>
      </c>
      <c r="K13" t="s">
        <v>60</v>
      </c>
      <c r="L13">
        <v>71</v>
      </c>
      <c r="M13">
        <v>5.2999999999999999E-2</v>
      </c>
      <c r="N13">
        <v>25.463162251915492</v>
      </c>
      <c r="O13">
        <v>2443.1667218785242</v>
      </c>
      <c r="P13">
        <v>9.0579999999999998</v>
      </c>
      <c r="Q13">
        <v>6.1400000000000003E-2</v>
      </c>
      <c r="R13">
        <v>2.2000700000000002</v>
      </c>
      <c r="S13" t="s">
        <v>36</v>
      </c>
      <c r="T13" t="s">
        <v>139</v>
      </c>
      <c r="U13">
        <v>71</v>
      </c>
      <c r="V13">
        <v>5.3199999999999997E-2</v>
      </c>
      <c r="W13">
        <v>25.467215743002871</v>
      </c>
      <c r="X13">
        <v>2443.5445072478678</v>
      </c>
      <c r="Y13">
        <v>9.0579999999999998</v>
      </c>
      <c r="Z13">
        <v>6.1499999999999999E-2</v>
      </c>
      <c r="AA13">
        <v>2.1970600000000005</v>
      </c>
    </row>
    <row r="14" spans="1:27" x14ac:dyDescent="0.3">
      <c r="A14" t="s">
        <v>36</v>
      </c>
      <c r="B14" t="s">
        <v>61</v>
      </c>
      <c r="C14">
        <v>71</v>
      </c>
      <c r="D14">
        <v>5.5100000000000003E-2</v>
      </c>
      <c r="E14">
        <v>25.176440909552738</v>
      </c>
      <c r="F14">
        <v>2416.4442927703149</v>
      </c>
      <c r="G14">
        <v>9.0579999999999998</v>
      </c>
      <c r="H14">
        <v>5.6899999999999999E-2</v>
      </c>
      <c r="I14">
        <v>2.3994599999999977</v>
      </c>
      <c r="J14" t="s">
        <v>36</v>
      </c>
      <c r="K14" t="s">
        <v>62</v>
      </c>
      <c r="L14">
        <v>71</v>
      </c>
      <c r="M14">
        <v>5.3800000000000001E-2</v>
      </c>
      <c r="N14">
        <v>25.175402904432829</v>
      </c>
      <c r="O14">
        <v>2416.34755069314</v>
      </c>
      <c r="P14">
        <v>9.0579999999999998</v>
      </c>
      <c r="Q14">
        <v>5.6899999999999999E-2</v>
      </c>
      <c r="R14">
        <v>2.3994599999999977</v>
      </c>
      <c r="S14" t="s">
        <v>36</v>
      </c>
      <c r="T14" t="s">
        <v>141</v>
      </c>
      <c r="U14">
        <v>71</v>
      </c>
      <c r="V14">
        <v>5.4399999999999997E-2</v>
      </c>
      <c r="W14">
        <v>25.178152401588331</v>
      </c>
      <c r="X14">
        <v>2416.6038038280331</v>
      </c>
      <c r="Y14">
        <v>9.0579999999999998</v>
      </c>
      <c r="Z14">
        <v>5.7000000000000002E-2</v>
      </c>
      <c r="AA14">
        <v>2.3975600000000021</v>
      </c>
    </row>
    <row r="15" spans="1:27" x14ac:dyDescent="0.3">
      <c r="A15" t="s">
        <v>36</v>
      </c>
      <c r="B15" t="s">
        <v>63</v>
      </c>
      <c r="C15">
        <v>71</v>
      </c>
      <c r="D15">
        <v>5.4199999999999998E-2</v>
      </c>
      <c r="E15">
        <v>24.727242166560099</v>
      </c>
      <c r="F15">
        <v>2374.578969923401</v>
      </c>
      <c r="G15">
        <v>9.0579999999999998</v>
      </c>
      <c r="H15">
        <v>0.05</v>
      </c>
      <c r="I15">
        <v>2.5992899999999999</v>
      </c>
      <c r="J15" t="s">
        <v>36</v>
      </c>
      <c r="K15" t="s">
        <v>64</v>
      </c>
      <c r="L15">
        <v>71</v>
      </c>
      <c r="M15">
        <v>5.3100000000000001E-2</v>
      </c>
      <c r="N15">
        <v>24.725735437253249</v>
      </c>
      <c r="O15">
        <v>2374.4385427520019</v>
      </c>
      <c r="P15">
        <v>9.0579999999999998</v>
      </c>
      <c r="Q15">
        <v>4.99E-2</v>
      </c>
      <c r="R15">
        <v>2.5992899999999999</v>
      </c>
      <c r="S15" t="s">
        <v>36</v>
      </c>
      <c r="T15" t="s">
        <v>143</v>
      </c>
      <c r="U15">
        <v>71</v>
      </c>
      <c r="V15">
        <v>5.3100000000000001E-2</v>
      </c>
      <c r="W15">
        <v>24.722390303566051</v>
      </c>
      <c r="X15">
        <v>2374.1267762923562</v>
      </c>
      <c r="Y15">
        <v>9.0579999999999998</v>
      </c>
      <c r="Z15">
        <v>4.99E-2</v>
      </c>
      <c r="AA15">
        <v>2.6001800000000017</v>
      </c>
    </row>
    <row r="16" spans="1:27" x14ac:dyDescent="0.3">
      <c r="A16" t="s">
        <v>36</v>
      </c>
      <c r="B16" t="s">
        <v>65</v>
      </c>
      <c r="C16">
        <v>71</v>
      </c>
      <c r="D16">
        <v>5.11E-2</v>
      </c>
      <c r="E16">
        <v>24.159986560008281</v>
      </c>
      <c r="F16">
        <v>2321.7107473927722</v>
      </c>
      <c r="G16">
        <v>9.0579999999999998</v>
      </c>
      <c r="H16">
        <v>4.1099999999999998E-2</v>
      </c>
      <c r="I16">
        <v>2.7997699999999988</v>
      </c>
      <c r="J16" t="s">
        <v>36</v>
      </c>
      <c r="K16" t="s">
        <v>66</v>
      </c>
      <c r="L16">
        <v>71</v>
      </c>
      <c r="M16">
        <v>5.0900000000000001E-2</v>
      </c>
      <c r="N16">
        <v>24.164149933668899</v>
      </c>
      <c r="O16">
        <v>2322.0987738179419</v>
      </c>
      <c r="P16">
        <v>9.0579999999999998</v>
      </c>
      <c r="Q16">
        <v>4.1200000000000001E-2</v>
      </c>
      <c r="R16">
        <v>2.7997699999999988</v>
      </c>
      <c r="S16" t="s">
        <v>36</v>
      </c>
      <c r="T16" t="s">
        <v>145</v>
      </c>
      <c r="U16">
        <v>71</v>
      </c>
      <c r="V16">
        <v>5.0900000000000001E-2</v>
      </c>
      <c r="W16">
        <v>24.156736711947332</v>
      </c>
      <c r="X16">
        <v>2321.4078615534909</v>
      </c>
      <c r="Y16">
        <v>9.0579999999999998</v>
      </c>
      <c r="Z16">
        <v>4.1099999999999998E-2</v>
      </c>
      <c r="AA16">
        <v>2.7998499999999993</v>
      </c>
    </row>
    <row r="17" spans="1:27" x14ac:dyDescent="0.3">
      <c r="A17" t="s">
        <v>36</v>
      </c>
      <c r="B17" t="s">
        <v>67</v>
      </c>
      <c r="C17">
        <v>71</v>
      </c>
      <c r="D17">
        <v>4.5699999999999998E-2</v>
      </c>
      <c r="E17">
        <v>23.527467597954679</v>
      </c>
      <c r="F17">
        <v>2262.7599801293759</v>
      </c>
      <c r="G17">
        <v>9.0579999999999998</v>
      </c>
      <c r="H17">
        <v>3.1300000000000001E-2</v>
      </c>
      <c r="I17">
        <v>3.0015699999999974</v>
      </c>
      <c r="J17" t="s">
        <v>36</v>
      </c>
      <c r="K17" t="s">
        <v>68</v>
      </c>
      <c r="L17">
        <v>71</v>
      </c>
      <c r="M17">
        <v>4.5600000000000002E-2</v>
      </c>
      <c r="N17">
        <v>23.536025869074152</v>
      </c>
      <c r="O17">
        <v>2263.557610997711</v>
      </c>
      <c r="P17">
        <v>9.0579999999999998</v>
      </c>
      <c r="Q17">
        <v>3.1399999999999997E-2</v>
      </c>
      <c r="R17">
        <v>3.0015699999999974</v>
      </c>
      <c r="S17" t="s">
        <v>36</v>
      </c>
      <c r="T17" t="s">
        <v>147</v>
      </c>
      <c r="U17">
        <v>71</v>
      </c>
      <c r="V17">
        <v>4.5199999999999997E-2</v>
      </c>
      <c r="W17">
        <v>23.53318797929516</v>
      </c>
      <c r="X17">
        <v>2263.2931196703089</v>
      </c>
      <c r="Y17">
        <v>9.0579999999999998</v>
      </c>
      <c r="Z17">
        <v>3.1399999999999997E-2</v>
      </c>
      <c r="AA17">
        <v>2.9987899999999996</v>
      </c>
    </row>
    <row r="18" spans="1:27" x14ac:dyDescent="0.3">
      <c r="A18" t="s">
        <v>36</v>
      </c>
      <c r="B18" t="s">
        <v>69</v>
      </c>
      <c r="C18">
        <v>71</v>
      </c>
      <c r="D18">
        <v>3.8100000000000002E-2</v>
      </c>
      <c r="E18">
        <v>22.903572998752789</v>
      </c>
      <c r="F18">
        <v>2204.6130034837602</v>
      </c>
      <c r="G18">
        <v>9.0579999999999998</v>
      </c>
      <c r="H18">
        <v>2.1600000000000001E-2</v>
      </c>
      <c r="I18">
        <v>3.2009100000000004</v>
      </c>
      <c r="J18" t="s">
        <v>36</v>
      </c>
      <c r="K18" t="s">
        <v>70</v>
      </c>
      <c r="L18">
        <v>71</v>
      </c>
      <c r="M18">
        <v>3.8199999999999998E-2</v>
      </c>
      <c r="N18">
        <v>22.907589186531169</v>
      </c>
      <c r="O18">
        <v>2204.9873121847049</v>
      </c>
      <c r="P18">
        <v>9.0579999999999998</v>
      </c>
      <c r="Q18">
        <v>2.1700000000000001E-2</v>
      </c>
      <c r="R18">
        <v>3.2009100000000004</v>
      </c>
      <c r="S18" t="s">
        <v>36</v>
      </c>
      <c r="T18" t="s">
        <v>149</v>
      </c>
      <c r="U18">
        <v>71</v>
      </c>
      <c r="V18">
        <v>3.7999999999999999E-2</v>
      </c>
      <c r="W18">
        <v>22.901815688522451</v>
      </c>
      <c r="X18">
        <v>2204.4492221702931</v>
      </c>
      <c r="Y18">
        <v>9.0579999999999998</v>
      </c>
      <c r="Z18">
        <v>2.1600000000000001E-2</v>
      </c>
      <c r="AA18">
        <v>3.2005000000000017</v>
      </c>
    </row>
    <row r="19" spans="1:27" x14ac:dyDescent="0.3">
      <c r="A19" t="s">
        <v>36</v>
      </c>
      <c r="B19" t="s">
        <v>71</v>
      </c>
      <c r="C19">
        <v>71</v>
      </c>
      <c r="D19">
        <v>2.9000000000000001E-2</v>
      </c>
      <c r="E19">
        <v>22.341215478860519</v>
      </c>
      <c r="F19">
        <v>2152.201282629801</v>
      </c>
      <c r="G19">
        <v>9.0579999999999998</v>
      </c>
      <c r="H19">
        <v>1.29E-2</v>
      </c>
      <c r="I19">
        <v>3.4003599999999992</v>
      </c>
      <c r="J19" t="s">
        <v>36</v>
      </c>
      <c r="K19" t="s">
        <v>72</v>
      </c>
      <c r="L19">
        <v>71</v>
      </c>
      <c r="M19">
        <v>2.9700000000000001E-2</v>
      </c>
      <c r="N19">
        <v>22.346810569739251</v>
      </c>
      <c r="O19">
        <v>2152.7227450996979</v>
      </c>
      <c r="P19">
        <v>9.0579999999999998</v>
      </c>
      <c r="Q19">
        <v>1.2999999999999999E-2</v>
      </c>
      <c r="R19">
        <v>3.4003599999999992</v>
      </c>
      <c r="S19" t="s">
        <v>36</v>
      </c>
      <c r="T19" t="s">
        <v>151</v>
      </c>
      <c r="U19">
        <v>71</v>
      </c>
      <c r="V19">
        <v>2.9499999999999998E-2</v>
      </c>
      <c r="W19">
        <v>22.344054179581011</v>
      </c>
      <c r="X19">
        <v>2152.4658495369499</v>
      </c>
      <c r="Y19">
        <v>9.0579999999999998</v>
      </c>
      <c r="Z19">
        <v>1.29E-2</v>
      </c>
      <c r="AA19">
        <v>3.3982600000000005</v>
      </c>
    </row>
    <row r="20" spans="1:27" x14ac:dyDescent="0.3">
      <c r="A20" t="s">
        <v>36</v>
      </c>
      <c r="B20" t="s">
        <v>73</v>
      </c>
      <c r="C20">
        <v>71</v>
      </c>
      <c r="D20">
        <v>2.1499999999999998E-2</v>
      </c>
      <c r="E20">
        <v>21.8989722622069</v>
      </c>
      <c r="F20">
        <v>2110.9842148376829</v>
      </c>
      <c r="G20">
        <v>9.0579999999999998</v>
      </c>
      <c r="H20">
        <v>6.0000000000000001E-3</v>
      </c>
      <c r="I20">
        <v>3.5979399999999977</v>
      </c>
      <c r="J20" t="s">
        <v>36</v>
      </c>
      <c r="K20" t="s">
        <v>74</v>
      </c>
      <c r="L20">
        <v>71</v>
      </c>
      <c r="M20">
        <v>2.1700000000000001E-2</v>
      </c>
      <c r="N20">
        <v>21.89853905725764</v>
      </c>
      <c r="O20">
        <v>2110.9438401364118</v>
      </c>
      <c r="P20">
        <v>9.0579999999999998</v>
      </c>
      <c r="Q20">
        <v>6.0000000000000001E-3</v>
      </c>
      <c r="R20">
        <v>3.5979399999999977</v>
      </c>
      <c r="S20" t="s">
        <v>36</v>
      </c>
      <c r="T20" t="s">
        <v>153</v>
      </c>
      <c r="U20">
        <v>71</v>
      </c>
      <c r="V20">
        <v>2.1600000000000001E-2</v>
      </c>
      <c r="W20">
        <v>21.895428285663929</v>
      </c>
      <c r="X20">
        <v>2110.6539162238778</v>
      </c>
      <c r="Y20">
        <v>9.0579999999999998</v>
      </c>
      <c r="Z20">
        <v>6.0000000000000001E-3</v>
      </c>
      <c r="AA20">
        <v>3.5988500000000023</v>
      </c>
    </row>
    <row r="21" spans="1:27" x14ac:dyDescent="0.3">
      <c r="A21" t="s">
        <v>36</v>
      </c>
      <c r="B21" t="s">
        <v>75</v>
      </c>
      <c r="C21">
        <v>71</v>
      </c>
      <c r="D21">
        <v>1.34E-2</v>
      </c>
      <c r="E21">
        <v>21.61001191036285</v>
      </c>
      <c r="F21">
        <v>2084.053110045817</v>
      </c>
      <c r="G21">
        <v>9.0579999999999998</v>
      </c>
      <c r="H21">
        <v>1.5E-3</v>
      </c>
      <c r="I21">
        <v>3.7990199999999987</v>
      </c>
      <c r="J21" t="s">
        <v>36</v>
      </c>
      <c r="K21" t="s">
        <v>76</v>
      </c>
      <c r="L21">
        <v>71</v>
      </c>
      <c r="M21">
        <v>1.21E-2</v>
      </c>
      <c r="N21">
        <v>21.610630009974091</v>
      </c>
      <c r="O21">
        <v>2084.110716929586</v>
      </c>
      <c r="P21">
        <v>9.0579999999999998</v>
      </c>
      <c r="Q21">
        <v>1.5E-3</v>
      </c>
      <c r="R21">
        <v>3.7990199999999987</v>
      </c>
      <c r="S21" t="s">
        <v>36</v>
      </c>
      <c r="T21" t="s">
        <v>155</v>
      </c>
      <c r="U21">
        <v>71</v>
      </c>
      <c r="V21">
        <v>1.34E-2</v>
      </c>
      <c r="W21">
        <v>21.609401311960479</v>
      </c>
      <c r="X21">
        <v>2083.9962022747168</v>
      </c>
      <c r="Y21">
        <v>9.0579999999999998</v>
      </c>
      <c r="Z21">
        <v>1.5E-3</v>
      </c>
      <c r="AA21">
        <v>3.7986500000000021</v>
      </c>
    </row>
    <row r="22" spans="1:27" x14ac:dyDescent="0.3">
      <c r="A22" t="s">
        <v>36</v>
      </c>
      <c r="B22" t="s">
        <v>77</v>
      </c>
      <c r="C22">
        <v>71</v>
      </c>
      <c r="D22">
        <v>5.4999999999999997E-3</v>
      </c>
      <c r="E22">
        <v>21.511925010094831</v>
      </c>
      <c r="F22">
        <v>2074.9114109408379</v>
      </c>
      <c r="G22">
        <v>9.0579999999999998</v>
      </c>
      <c r="H22">
        <v>0</v>
      </c>
      <c r="I22">
        <v>4.0000499999999981</v>
      </c>
      <c r="J22" t="s">
        <v>36</v>
      </c>
      <c r="K22" t="s">
        <v>78</v>
      </c>
      <c r="L22">
        <v>71</v>
      </c>
      <c r="M22">
        <v>5.1000000000000004E-3</v>
      </c>
      <c r="N22">
        <v>21.511913167803868</v>
      </c>
      <c r="O22">
        <v>2074.9103072393209</v>
      </c>
      <c r="P22">
        <v>9.0579999999999998</v>
      </c>
      <c r="Q22">
        <v>0</v>
      </c>
      <c r="R22">
        <v>4.0000499999999981</v>
      </c>
      <c r="S22" t="s">
        <v>36</v>
      </c>
      <c r="T22" t="s">
        <v>157</v>
      </c>
      <c r="U22">
        <v>71</v>
      </c>
      <c r="V22">
        <v>5.3E-3</v>
      </c>
      <c r="W22">
        <v>21.51191606795685</v>
      </c>
      <c r="X22">
        <v>2074.9105775335779</v>
      </c>
      <c r="Y22">
        <v>9.0579999999999998</v>
      </c>
      <c r="Z22">
        <v>0</v>
      </c>
      <c r="AA22">
        <v>3.9979800000000019</v>
      </c>
    </row>
    <row r="23" spans="1:27" x14ac:dyDescent="0.3">
      <c r="A23" t="s">
        <v>36</v>
      </c>
      <c r="B23" t="s">
        <v>79</v>
      </c>
      <c r="C23">
        <v>71</v>
      </c>
      <c r="D23">
        <v>-2.3E-3</v>
      </c>
      <c r="E23">
        <v>21.619336521199749</v>
      </c>
      <c r="F23">
        <v>2191.675035861856</v>
      </c>
      <c r="G23">
        <v>9.0579999999999998</v>
      </c>
      <c r="H23">
        <v>1.6999999999999999E-3</v>
      </c>
      <c r="I23">
        <v>4.206039999999998</v>
      </c>
      <c r="J23" t="s">
        <v>36</v>
      </c>
      <c r="K23" t="s">
        <v>80</v>
      </c>
      <c r="L23">
        <v>71</v>
      </c>
      <c r="M23">
        <v>-2.5000000000000001E-3</v>
      </c>
      <c r="N23">
        <v>21.613255757456709</v>
      </c>
      <c r="O23">
        <v>2191.0979713826409</v>
      </c>
      <c r="P23">
        <v>9.0579999999999998</v>
      </c>
      <c r="Q23">
        <v>1.6000000000000001E-3</v>
      </c>
      <c r="R23">
        <v>4.206039999999998</v>
      </c>
      <c r="S23" t="s">
        <v>36</v>
      </c>
      <c r="T23" t="s">
        <v>159</v>
      </c>
      <c r="U23">
        <v>71</v>
      </c>
      <c r="V23">
        <v>-2.2000000000000001E-3</v>
      </c>
      <c r="W23">
        <v>21.612385819962661</v>
      </c>
      <c r="X23">
        <v>2191.0154143144559</v>
      </c>
      <c r="Y23">
        <v>9.0579999999999998</v>
      </c>
      <c r="Z23">
        <v>1.6000000000000001E-3</v>
      </c>
      <c r="AA23">
        <v>4.1981400000000022</v>
      </c>
    </row>
    <row r="24" spans="1:27" x14ac:dyDescent="0.3">
      <c r="A24" t="s">
        <v>36</v>
      </c>
      <c r="B24" t="s">
        <v>81</v>
      </c>
      <c r="C24">
        <v>71</v>
      </c>
      <c r="D24">
        <v>-1.9E-3</v>
      </c>
      <c r="E24">
        <v>21.90025367141801</v>
      </c>
      <c r="F24">
        <v>2218.334073417569</v>
      </c>
      <c r="G24">
        <v>9.0579999999999998</v>
      </c>
      <c r="H24">
        <v>6.0000000000000001E-3</v>
      </c>
      <c r="I24">
        <v>4.3984799999999993</v>
      </c>
      <c r="J24" t="s">
        <v>36</v>
      </c>
      <c r="K24" t="s">
        <v>82</v>
      </c>
      <c r="L24">
        <v>71</v>
      </c>
      <c r="M24">
        <v>-2.2000000000000001E-3</v>
      </c>
      <c r="N24">
        <v>21.905665935535591</v>
      </c>
      <c r="O24">
        <v>2218.8476972823269</v>
      </c>
      <c r="P24">
        <v>9.0579999999999998</v>
      </c>
      <c r="Q24">
        <v>6.1000000000000004E-3</v>
      </c>
      <c r="R24">
        <v>4.3984799999999993</v>
      </c>
      <c r="S24" t="s">
        <v>36</v>
      </c>
      <c r="T24" t="s">
        <v>161</v>
      </c>
      <c r="U24">
        <v>71</v>
      </c>
      <c r="V24">
        <v>-2.3999999999999998E-3</v>
      </c>
      <c r="W24">
        <v>21.904142054815999</v>
      </c>
      <c r="X24">
        <v>2218.7030810020392</v>
      </c>
      <c r="Y24">
        <v>9.0579999999999998</v>
      </c>
      <c r="Z24">
        <v>6.1000000000000004E-3</v>
      </c>
      <c r="AA24">
        <v>4.399560000000001</v>
      </c>
    </row>
    <row r="25" spans="1:27" x14ac:dyDescent="0.3">
      <c r="A25" t="s">
        <v>36</v>
      </c>
      <c r="B25" t="s">
        <v>83</v>
      </c>
      <c r="C25">
        <v>71</v>
      </c>
      <c r="D25">
        <v>-2.9999999999999997E-4</v>
      </c>
      <c r="E25">
        <v>22.35624344126639</v>
      </c>
      <c r="F25">
        <v>2261.6075025761811</v>
      </c>
      <c r="G25">
        <v>9.0579999999999998</v>
      </c>
      <c r="H25">
        <v>1.3100000000000001E-2</v>
      </c>
      <c r="I25">
        <v>4.6012099999999982</v>
      </c>
      <c r="J25" t="s">
        <v>36</v>
      </c>
      <c r="K25" t="s">
        <v>84</v>
      </c>
      <c r="L25">
        <v>71</v>
      </c>
      <c r="M25">
        <v>-1E-3</v>
      </c>
      <c r="N25">
        <v>22.351809618615551</v>
      </c>
      <c r="O25">
        <v>2261.186732806616</v>
      </c>
      <c r="P25">
        <v>9.0579999999999998</v>
      </c>
      <c r="Q25">
        <v>1.2999999999999999E-2</v>
      </c>
      <c r="R25">
        <v>4.6012099999999982</v>
      </c>
      <c r="S25" t="s">
        <v>36</v>
      </c>
      <c r="T25" t="s">
        <v>163</v>
      </c>
      <c r="U25">
        <v>71</v>
      </c>
      <c r="V25">
        <v>-8.9999999999999998E-4</v>
      </c>
      <c r="W25">
        <v>22.349629402392999</v>
      </c>
      <c r="X25">
        <v>2260.9798302870959</v>
      </c>
      <c r="Y25">
        <v>9.0579999999999998</v>
      </c>
      <c r="Z25">
        <v>1.2999999999999999E-2</v>
      </c>
      <c r="AA25">
        <v>4.5976600000000012</v>
      </c>
    </row>
    <row r="26" spans="1:27" x14ac:dyDescent="0.3">
      <c r="A26" t="s">
        <v>36</v>
      </c>
      <c r="B26" t="s">
        <v>85</v>
      </c>
      <c r="C26">
        <v>71</v>
      </c>
      <c r="D26">
        <v>2.7000000000000001E-3</v>
      </c>
      <c r="E26">
        <v>22.91300789763368</v>
      </c>
      <c r="F26">
        <v>2314.444449485437</v>
      </c>
      <c r="G26">
        <v>9.0579999999999998</v>
      </c>
      <c r="H26">
        <v>2.18E-2</v>
      </c>
      <c r="I26">
        <v>4.7979500000000002</v>
      </c>
      <c r="J26" t="s">
        <v>36</v>
      </c>
      <c r="K26" t="s">
        <v>86</v>
      </c>
      <c r="L26">
        <v>71</v>
      </c>
      <c r="M26">
        <v>3.5999999999999999E-3</v>
      </c>
      <c r="N26">
        <v>22.917197221422299</v>
      </c>
      <c r="O26">
        <v>2314.8420163129758</v>
      </c>
      <c r="P26">
        <v>9.0579999999999998</v>
      </c>
      <c r="Q26">
        <v>2.18E-2</v>
      </c>
      <c r="R26">
        <v>4.7979500000000002</v>
      </c>
      <c r="S26" t="s">
        <v>36</v>
      </c>
      <c r="T26" t="s">
        <v>165</v>
      </c>
      <c r="U26">
        <v>71</v>
      </c>
      <c r="V26">
        <v>3.5000000000000001E-3</v>
      </c>
      <c r="W26">
        <v>22.922322371701821</v>
      </c>
      <c r="X26">
        <v>2315.3283930745029</v>
      </c>
      <c r="Y26">
        <v>9.0579999999999998</v>
      </c>
      <c r="Z26">
        <v>2.1899999999999999E-2</v>
      </c>
      <c r="AA26">
        <v>4.8000299999999996</v>
      </c>
    </row>
    <row r="27" spans="1:27" x14ac:dyDescent="0.3">
      <c r="A27" t="s">
        <v>36</v>
      </c>
      <c r="B27" t="s">
        <v>87</v>
      </c>
      <c r="C27">
        <v>71</v>
      </c>
      <c r="D27">
        <v>8.8000000000000005E-3</v>
      </c>
      <c r="E27">
        <v>23.54517572201781</v>
      </c>
      <c r="F27">
        <v>2374.4371760194899</v>
      </c>
      <c r="G27">
        <v>9.0579999999999998</v>
      </c>
      <c r="H27">
        <v>3.1600000000000003E-2</v>
      </c>
      <c r="I27">
        <v>4.9997299999999996</v>
      </c>
      <c r="J27" t="s">
        <v>36</v>
      </c>
      <c r="K27" t="s">
        <v>88</v>
      </c>
      <c r="L27">
        <v>71</v>
      </c>
      <c r="M27">
        <v>1.0200000000000001E-2</v>
      </c>
      <c r="N27">
        <v>23.54688761952416</v>
      </c>
      <c r="O27">
        <v>2374.5996350928431</v>
      </c>
      <c r="P27">
        <v>9.0579999999999998</v>
      </c>
      <c r="Q27">
        <v>3.1600000000000003E-2</v>
      </c>
      <c r="R27">
        <v>4.9997299999999996</v>
      </c>
      <c r="S27" t="s">
        <v>36</v>
      </c>
      <c r="T27" t="s">
        <v>167</v>
      </c>
      <c r="U27">
        <v>71</v>
      </c>
      <c r="V27">
        <v>9.7000000000000003E-3</v>
      </c>
      <c r="W27">
        <v>23.542115634267841</v>
      </c>
      <c r="X27">
        <v>2374.1467736920181</v>
      </c>
      <c r="Y27">
        <v>9.0579999999999998</v>
      </c>
      <c r="Z27">
        <v>3.15E-2</v>
      </c>
      <c r="AA27">
        <v>4.9977699999999992</v>
      </c>
    </row>
    <row r="28" spans="1:27" x14ac:dyDescent="0.3">
      <c r="A28" t="s">
        <v>36</v>
      </c>
      <c r="B28" t="s">
        <v>89</v>
      </c>
      <c r="C28">
        <v>71</v>
      </c>
      <c r="D28">
        <v>1.7399999999999999E-2</v>
      </c>
      <c r="E28">
        <v>24.173949350754011</v>
      </c>
      <c r="F28">
        <v>2434.1077933865549</v>
      </c>
      <c r="G28">
        <v>9.0579999999999998</v>
      </c>
      <c r="H28">
        <v>4.1399999999999999E-2</v>
      </c>
      <c r="I28">
        <v>5.2005799999999986</v>
      </c>
      <c r="J28" t="s">
        <v>36</v>
      </c>
      <c r="K28" t="s">
        <v>90</v>
      </c>
      <c r="L28">
        <v>71</v>
      </c>
      <c r="M28">
        <v>1.7299999999999999E-2</v>
      </c>
      <c r="N28">
        <v>24.171475979179231</v>
      </c>
      <c r="O28">
        <v>2433.8730704241088</v>
      </c>
      <c r="P28">
        <v>9.0579999999999998</v>
      </c>
      <c r="Q28">
        <v>4.1300000000000003E-2</v>
      </c>
      <c r="R28">
        <v>5.2005799999999986</v>
      </c>
      <c r="S28" t="s">
        <v>36</v>
      </c>
      <c r="T28" t="s">
        <v>169</v>
      </c>
      <c r="U28">
        <v>71</v>
      </c>
      <c r="V28">
        <v>1.6899999999999998E-2</v>
      </c>
      <c r="W28">
        <v>24.170667875974559</v>
      </c>
      <c r="X28">
        <v>2433.796381429986</v>
      </c>
      <c r="Y28">
        <v>9.0579999999999998</v>
      </c>
      <c r="Z28">
        <v>4.1300000000000003E-2</v>
      </c>
      <c r="AA28">
        <v>5.1984999999999992</v>
      </c>
    </row>
    <row r="29" spans="1:27" x14ac:dyDescent="0.3">
      <c r="A29" t="s">
        <v>36</v>
      </c>
      <c r="B29" t="s">
        <v>91</v>
      </c>
      <c r="C29">
        <v>71</v>
      </c>
      <c r="D29">
        <v>2.3900000000000001E-2</v>
      </c>
      <c r="E29">
        <v>24.73799362896612</v>
      </c>
      <c r="F29">
        <v>2487.6355953888851</v>
      </c>
      <c r="G29">
        <v>9.0579999999999998</v>
      </c>
      <c r="H29">
        <v>5.0099999999999999E-2</v>
      </c>
      <c r="I29">
        <v>5.40062</v>
      </c>
      <c r="J29" t="s">
        <v>36</v>
      </c>
      <c r="K29" t="s">
        <v>92</v>
      </c>
      <c r="L29">
        <v>71</v>
      </c>
      <c r="M29">
        <v>2.46E-2</v>
      </c>
      <c r="N29">
        <v>24.735799221267321</v>
      </c>
      <c r="O29">
        <v>2487.427346098269</v>
      </c>
      <c r="P29">
        <v>9.0579999999999998</v>
      </c>
      <c r="Q29">
        <v>5.0099999999999999E-2</v>
      </c>
      <c r="R29">
        <v>5.40062</v>
      </c>
      <c r="S29" t="s">
        <v>36</v>
      </c>
      <c r="T29" t="s">
        <v>171</v>
      </c>
      <c r="U29">
        <v>71</v>
      </c>
      <c r="V29">
        <v>2.4400000000000002E-2</v>
      </c>
      <c r="W29">
        <v>24.73461281385293</v>
      </c>
      <c r="X29">
        <v>2487.3147560346429</v>
      </c>
      <c r="Y29">
        <v>9.0579999999999998</v>
      </c>
      <c r="Z29">
        <v>5.0099999999999999E-2</v>
      </c>
      <c r="AA29">
        <v>5.3983200000000018</v>
      </c>
    </row>
    <row r="30" spans="1:27" x14ac:dyDescent="0.3">
      <c r="A30" t="s">
        <v>36</v>
      </c>
      <c r="B30" t="s">
        <v>93</v>
      </c>
      <c r="C30">
        <v>71</v>
      </c>
      <c r="D30">
        <v>3.2099999999999997E-2</v>
      </c>
      <c r="E30">
        <v>25.18702977818802</v>
      </c>
      <c r="F30">
        <v>2530.249125950043</v>
      </c>
      <c r="G30">
        <v>9.0579999999999998</v>
      </c>
      <c r="H30">
        <v>5.7099999999999998E-2</v>
      </c>
      <c r="I30">
        <v>5.6019499999999987</v>
      </c>
      <c r="J30" t="s">
        <v>36</v>
      </c>
      <c r="K30" t="s">
        <v>94</v>
      </c>
      <c r="L30">
        <v>71</v>
      </c>
      <c r="M30">
        <v>3.3700000000000001E-2</v>
      </c>
      <c r="N30">
        <v>25.184084033189539</v>
      </c>
      <c r="O30">
        <v>2529.969574749688</v>
      </c>
      <c r="P30">
        <v>9.0579999999999998</v>
      </c>
      <c r="Q30">
        <v>5.7099999999999998E-2</v>
      </c>
      <c r="R30">
        <v>5.6019499999999987</v>
      </c>
      <c r="S30" t="s">
        <v>36</v>
      </c>
      <c r="T30" t="s">
        <v>173</v>
      </c>
      <c r="U30">
        <v>71</v>
      </c>
      <c r="V30">
        <v>3.2399999999999998E-2</v>
      </c>
      <c r="W30">
        <v>25.18210128122222</v>
      </c>
      <c r="X30">
        <v>2529.7814115879892</v>
      </c>
      <c r="Y30">
        <v>9.0579999999999998</v>
      </c>
      <c r="Z30">
        <v>5.7000000000000002E-2</v>
      </c>
      <c r="AA30">
        <v>5.5983100000000015</v>
      </c>
    </row>
    <row r="31" spans="1:27" x14ac:dyDescent="0.3">
      <c r="A31" t="s">
        <v>36</v>
      </c>
      <c r="B31" t="s">
        <v>95</v>
      </c>
      <c r="C31">
        <v>71</v>
      </c>
      <c r="D31">
        <v>4.1500000000000002E-2</v>
      </c>
      <c r="E31">
        <v>25.46903022460895</v>
      </c>
      <c r="F31">
        <v>2557.0109683153901</v>
      </c>
      <c r="G31">
        <v>9.0579999999999998</v>
      </c>
      <c r="H31">
        <v>6.1499999999999999E-2</v>
      </c>
      <c r="I31">
        <v>5.7995400000000004</v>
      </c>
      <c r="J31" t="s">
        <v>36</v>
      </c>
      <c r="K31" t="s">
        <v>96</v>
      </c>
      <c r="L31">
        <v>71</v>
      </c>
      <c r="M31">
        <v>4.0399999999999998E-2</v>
      </c>
      <c r="N31">
        <v>25.470617642595059</v>
      </c>
      <c r="O31">
        <v>2557.1616142822718</v>
      </c>
      <c r="P31">
        <v>9.0579999999999998</v>
      </c>
      <c r="Q31">
        <v>6.1499999999999999E-2</v>
      </c>
      <c r="R31">
        <v>5.7995400000000004</v>
      </c>
      <c r="S31" t="s">
        <v>36</v>
      </c>
      <c r="T31" t="s">
        <v>175</v>
      </c>
      <c r="U31">
        <v>71</v>
      </c>
      <c r="V31">
        <v>4.0800000000000003E-2</v>
      </c>
      <c r="W31">
        <v>25.470090530620109</v>
      </c>
      <c r="X31">
        <v>2557.1115913558478</v>
      </c>
      <c r="Y31">
        <v>9.0579999999999998</v>
      </c>
      <c r="Z31">
        <v>6.1499999999999999E-2</v>
      </c>
      <c r="AA31">
        <v>5.7996400000000001</v>
      </c>
    </row>
    <row r="32" spans="1:27" x14ac:dyDescent="0.3">
      <c r="A32" t="s">
        <v>36</v>
      </c>
      <c r="B32" t="s">
        <v>97</v>
      </c>
      <c r="C32">
        <v>71</v>
      </c>
      <c r="D32">
        <v>4.7800000000000002E-2</v>
      </c>
      <c r="E32">
        <v>25.566620546593018</v>
      </c>
      <c r="F32">
        <v>2566.2722898716779</v>
      </c>
      <c r="G32">
        <v>9.0579999999999998</v>
      </c>
      <c r="H32">
        <v>6.3E-2</v>
      </c>
      <c r="I32">
        <v>5.9979499999999994</v>
      </c>
      <c r="J32" t="s">
        <v>36</v>
      </c>
      <c r="K32" t="s">
        <v>98</v>
      </c>
      <c r="L32">
        <v>71</v>
      </c>
      <c r="M32">
        <v>4.7100000000000003E-2</v>
      </c>
      <c r="N32">
        <v>25.566605544175271</v>
      </c>
      <c r="O32">
        <v>2566.270866142233</v>
      </c>
      <c r="P32">
        <v>9.0579999999999998</v>
      </c>
      <c r="Q32">
        <v>6.3E-2</v>
      </c>
      <c r="R32">
        <v>5.9979499999999994</v>
      </c>
      <c r="S32" t="s">
        <v>36</v>
      </c>
      <c r="T32" t="s">
        <v>177</v>
      </c>
      <c r="U32">
        <v>71</v>
      </c>
      <c r="V32">
        <v>4.7800000000000002E-2</v>
      </c>
      <c r="W32">
        <v>25.566618924710021</v>
      </c>
      <c r="X32">
        <v>2566.272135954981</v>
      </c>
      <c r="Y32">
        <v>9.0579999999999998</v>
      </c>
      <c r="Z32">
        <v>6.3E-2</v>
      </c>
      <c r="AA32">
        <v>5.9976599999999998</v>
      </c>
    </row>
    <row r="33" spans="1:27" x14ac:dyDescent="0.3">
      <c r="A33" t="s">
        <v>36</v>
      </c>
      <c r="B33" t="s">
        <v>99</v>
      </c>
      <c r="C33">
        <v>71</v>
      </c>
      <c r="D33">
        <v>5.3100000000000001E-2</v>
      </c>
      <c r="E33">
        <v>25.46704503981714</v>
      </c>
      <c r="F33">
        <v>2443.528597710957</v>
      </c>
      <c r="G33">
        <v>9.0579999999999998</v>
      </c>
      <c r="H33">
        <v>6.1499999999999999E-2</v>
      </c>
      <c r="I33">
        <v>6.1982199999999992</v>
      </c>
      <c r="J33" t="s">
        <v>36</v>
      </c>
      <c r="K33" t="s">
        <v>100</v>
      </c>
      <c r="L33">
        <v>71</v>
      </c>
      <c r="M33">
        <v>5.2499999999999998E-2</v>
      </c>
      <c r="N33">
        <v>25.466134757983468</v>
      </c>
      <c r="O33">
        <v>2443.4437594440601</v>
      </c>
      <c r="P33">
        <v>9.0579999999999998</v>
      </c>
      <c r="Q33">
        <v>6.1400000000000003E-2</v>
      </c>
      <c r="R33">
        <v>6.1982199999999992</v>
      </c>
      <c r="S33" t="s">
        <v>36</v>
      </c>
      <c r="T33" t="s">
        <v>179</v>
      </c>
      <c r="U33">
        <v>71</v>
      </c>
      <c r="V33">
        <v>5.3499999999999999E-2</v>
      </c>
      <c r="W33">
        <v>25.46648549018219</v>
      </c>
      <c r="X33">
        <v>2443.47644768498</v>
      </c>
      <c r="Y33">
        <v>9.0579999999999998</v>
      </c>
      <c r="Z33">
        <v>6.1400000000000003E-2</v>
      </c>
      <c r="AA33">
        <v>6.1978000000000044</v>
      </c>
    </row>
    <row r="34" spans="1:27" x14ac:dyDescent="0.3">
      <c r="A34" t="s">
        <v>36</v>
      </c>
      <c r="B34" t="s">
        <v>101</v>
      </c>
      <c r="C34">
        <v>71</v>
      </c>
      <c r="D34">
        <v>5.4300000000000001E-2</v>
      </c>
      <c r="E34">
        <v>25.175209494885099</v>
      </c>
      <c r="F34">
        <v>2416.329524923292</v>
      </c>
      <c r="G34">
        <v>9.0579999999999998</v>
      </c>
      <c r="H34">
        <v>5.6899999999999999E-2</v>
      </c>
      <c r="I34">
        <v>6.4001199999999976</v>
      </c>
      <c r="J34" t="s">
        <v>36</v>
      </c>
      <c r="K34" t="s">
        <v>102</v>
      </c>
      <c r="L34">
        <v>71</v>
      </c>
      <c r="M34">
        <v>5.3699999999999998E-2</v>
      </c>
      <c r="N34">
        <v>25.17295751033981</v>
      </c>
      <c r="O34">
        <v>2416.1196399636701</v>
      </c>
      <c r="P34">
        <v>9.0579999999999998</v>
      </c>
      <c r="Q34">
        <v>5.6899999999999999E-2</v>
      </c>
      <c r="R34">
        <v>6.4001199999999976</v>
      </c>
      <c r="S34" t="s">
        <v>36</v>
      </c>
      <c r="T34" t="s">
        <v>181</v>
      </c>
      <c r="U34">
        <v>71</v>
      </c>
      <c r="V34">
        <v>5.4399999999999997E-2</v>
      </c>
      <c r="W34">
        <v>25.17509393572136</v>
      </c>
      <c r="X34">
        <v>2416.318754809231</v>
      </c>
      <c r="Y34">
        <v>9.0579999999999998</v>
      </c>
      <c r="Z34">
        <v>5.6899999999999999E-2</v>
      </c>
      <c r="AA34">
        <v>6.3991900000000008</v>
      </c>
    </row>
    <row r="35" spans="1:27" x14ac:dyDescent="0.3">
      <c r="A35" t="s">
        <v>36</v>
      </c>
      <c r="B35" t="s">
        <v>103</v>
      </c>
      <c r="C35">
        <v>71</v>
      </c>
      <c r="D35">
        <v>5.3600000000000002E-2</v>
      </c>
      <c r="E35">
        <v>24.728428168503751</v>
      </c>
      <c r="F35">
        <v>2374.6895053045491</v>
      </c>
      <c r="G35">
        <v>9.0579999999999998</v>
      </c>
      <c r="H35">
        <v>0.05</v>
      </c>
      <c r="I35">
        <v>6.5988299999999995</v>
      </c>
      <c r="J35" t="s">
        <v>36</v>
      </c>
      <c r="K35" t="s">
        <v>104</v>
      </c>
      <c r="L35">
        <v>71</v>
      </c>
      <c r="M35">
        <v>5.3199999999999997E-2</v>
      </c>
      <c r="N35">
        <v>24.725129258482049</v>
      </c>
      <c r="O35">
        <v>2374.3820468905269</v>
      </c>
      <c r="P35">
        <v>9.0579999999999998</v>
      </c>
      <c r="Q35">
        <v>4.99E-2</v>
      </c>
      <c r="R35">
        <v>6.5988299999999995</v>
      </c>
      <c r="S35" t="s">
        <v>36</v>
      </c>
      <c r="T35" t="s">
        <v>183</v>
      </c>
      <c r="U35">
        <v>71</v>
      </c>
      <c r="V35">
        <v>5.3499999999999999E-2</v>
      </c>
      <c r="W35">
        <v>24.726044405964721</v>
      </c>
      <c r="X35">
        <v>2374.4673386359118</v>
      </c>
      <c r="Y35">
        <v>9.0579999999999998</v>
      </c>
      <c r="Z35">
        <v>4.99E-2</v>
      </c>
      <c r="AA35">
        <v>6.5987699999999982</v>
      </c>
    </row>
    <row r="36" spans="1:27" x14ac:dyDescent="0.3">
      <c r="A36" t="s">
        <v>36</v>
      </c>
      <c r="B36" t="s">
        <v>105</v>
      </c>
      <c r="C36">
        <v>71</v>
      </c>
      <c r="D36">
        <v>5.1499999999999997E-2</v>
      </c>
      <c r="E36">
        <v>24.149606914279989</v>
      </c>
      <c r="F36">
        <v>2320.7433644108951</v>
      </c>
      <c r="G36">
        <v>9.0579999999999998</v>
      </c>
      <c r="H36">
        <v>4.1000000000000002E-2</v>
      </c>
      <c r="I36">
        <v>6.8031899999999972</v>
      </c>
      <c r="J36" t="s">
        <v>36</v>
      </c>
      <c r="K36" t="s">
        <v>106</v>
      </c>
      <c r="L36">
        <v>71</v>
      </c>
      <c r="M36">
        <v>5.16E-2</v>
      </c>
      <c r="N36">
        <v>24.161377730151401</v>
      </c>
      <c r="O36">
        <v>2321.8404044501108</v>
      </c>
      <c r="P36">
        <v>9.0579999999999998</v>
      </c>
      <c r="Q36">
        <v>4.1200000000000001E-2</v>
      </c>
      <c r="R36">
        <v>6.8031899999999972</v>
      </c>
      <c r="S36" t="s">
        <v>36</v>
      </c>
      <c r="T36" t="s">
        <v>185</v>
      </c>
      <c r="U36">
        <v>71</v>
      </c>
      <c r="V36">
        <v>5.11E-2</v>
      </c>
      <c r="W36">
        <v>24.162217054603829</v>
      </c>
      <c r="X36">
        <v>2321.9186294890769</v>
      </c>
      <c r="Y36">
        <v>9.0579999999999998</v>
      </c>
      <c r="Z36">
        <v>4.1200000000000001E-2</v>
      </c>
      <c r="AA36">
        <v>6.7980499999999999</v>
      </c>
    </row>
    <row r="37" spans="1:27" x14ac:dyDescent="0.3">
      <c r="A37" t="s">
        <v>36</v>
      </c>
      <c r="B37" t="s">
        <v>107</v>
      </c>
      <c r="C37">
        <v>71</v>
      </c>
      <c r="D37">
        <v>4.5100000000000001E-2</v>
      </c>
      <c r="E37">
        <v>23.528823492142561</v>
      </c>
      <c r="F37">
        <v>2262.8863494676871</v>
      </c>
      <c r="G37">
        <v>9.0579999999999998</v>
      </c>
      <c r="H37">
        <v>3.1300000000000001E-2</v>
      </c>
      <c r="I37">
        <v>7.0011499999999991</v>
      </c>
      <c r="J37" t="s">
        <v>36</v>
      </c>
      <c r="K37" t="s">
        <v>108</v>
      </c>
      <c r="L37">
        <v>71</v>
      </c>
      <c r="M37">
        <v>4.6199999999999998E-2</v>
      </c>
      <c r="N37">
        <v>23.534613208981281</v>
      </c>
      <c r="O37">
        <v>2263.4259510770548</v>
      </c>
      <c r="P37">
        <v>9.0579999999999998</v>
      </c>
      <c r="Q37">
        <v>3.1399999999999997E-2</v>
      </c>
      <c r="R37">
        <v>7.0011499999999991</v>
      </c>
      <c r="S37" t="s">
        <v>36</v>
      </c>
      <c r="T37" t="s">
        <v>187</v>
      </c>
      <c r="U37">
        <v>71</v>
      </c>
      <c r="V37">
        <v>4.5400000000000003E-2</v>
      </c>
      <c r="W37">
        <v>23.538510999300669</v>
      </c>
      <c r="X37">
        <v>2263.789225134823</v>
      </c>
      <c r="Y37">
        <v>9.0579999999999998</v>
      </c>
      <c r="Z37">
        <v>3.15E-2</v>
      </c>
      <c r="AA37">
        <v>6.9971199999999989</v>
      </c>
    </row>
    <row r="38" spans="1:27" x14ac:dyDescent="0.3">
      <c r="A38" t="s">
        <v>36</v>
      </c>
      <c r="B38" t="s">
        <v>109</v>
      </c>
      <c r="C38">
        <v>71</v>
      </c>
      <c r="D38">
        <v>3.85E-2</v>
      </c>
      <c r="E38">
        <v>22.90537491076563</v>
      </c>
      <c r="F38">
        <v>2204.780941683357</v>
      </c>
      <c r="G38">
        <v>9.0579999999999998</v>
      </c>
      <c r="H38">
        <v>2.1700000000000001E-2</v>
      </c>
      <c r="I38">
        <v>7.2003199999999978</v>
      </c>
      <c r="J38" t="s">
        <v>36</v>
      </c>
      <c r="K38" t="s">
        <v>110</v>
      </c>
      <c r="L38">
        <v>71</v>
      </c>
      <c r="M38">
        <v>3.8600000000000002E-2</v>
      </c>
      <c r="N38">
        <v>22.910921345154371</v>
      </c>
      <c r="O38">
        <v>2205.2978693683881</v>
      </c>
      <c r="P38">
        <v>9.0579999999999998</v>
      </c>
      <c r="Q38">
        <v>2.1700000000000001E-2</v>
      </c>
      <c r="R38">
        <v>7.2003199999999978</v>
      </c>
      <c r="S38" t="s">
        <v>36</v>
      </c>
      <c r="T38" t="s">
        <v>189</v>
      </c>
      <c r="U38">
        <v>71</v>
      </c>
      <c r="V38">
        <v>3.78E-2</v>
      </c>
      <c r="W38">
        <v>22.899293254986929</v>
      </c>
      <c r="X38">
        <v>2204.2141313647821</v>
      </c>
      <c r="Y38">
        <v>9.0579999999999998</v>
      </c>
      <c r="Z38">
        <v>2.1600000000000001E-2</v>
      </c>
      <c r="AA38">
        <v>7.2013399999999983</v>
      </c>
    </row>
    <row r="39" spans="1:27" x14ac:dyDescent="0.3">
      <c r="A39" t="s">
        <v>36</v>
      </c>
      <c r="B39" t="s">
        <v>111</v>
      </c>
      <c r="C39">
        <v>71</v>
      </c>
      <c r="D39">
        <v>2.9899999999999999E-2</v>
      </c>
      <c r="E39">
        <v>22.33949020081943</v>
      </c>
      <c r="F39">
        <v>2152.0404867163711</v>
      </c>
      <c r="G39">
        <v>9.0579999999999998</v>
      </c>
      <c r="H39">
        <v>1.29E-2</v>
      </c>
      <c r="I39">
        <v>7.4010299999999987</v>
      </c>
      <c r="J39" t="s">
        <v>36</v>
      </c>
      <c r="K39" t="s">
        <v>112</v>
      </c>
      <c r="L39">
        <v>71</v>
      </c>
      <c r="M39">
        <v>2.9899999999999999E-2</v>
      </c>
      <c r="N39">
        <v>22.339338554758939</v>
      </c>
      <c r="O39">
        <v>2152.0263533035341</v>
      </c>
      <c r="P39">
        <v>9.0579999999999998</v>
      </c>
      <c r="Q39">
        <v>1.29E-2</v>
      </c>
      <c r="R39">
        <v>7.4010299999999987</v>
      </c>
      <c r="S39" t="s">
        <v>36</v>
      </c>
      <c r="T39" t="s">
        <v>191</v>
      </c>
      <c r="U39">
        <v>71</v>
      </c>
      <c r="V39">
        <v>2.98E-2</v>
      </c>
      <c r="W39">
        <v>22.34177097378797</v>
      </c>
      <c r="X39">
        <v>2152.2530547570391</v>
      </c>
      <c r="Y39">
        <v>9.0579999999999998</v>
      </c>
      <c r="Z39">
        <v>1.29E-2</v>
      </c>
      <c r="AA39">
        <v>7.3991500000000023</v>
      </c>
    </row>
    <row r="40" spans="1:27" x14ac:dyDescent="0.3">
      <c r="A40" t="s">
        <v>36</v>
      </c>
      <c r="B40" t="s">
        <v>113</v>
      </c>
      <c r="C40">
        <v>71</v>
      </c>
      <c r="D40">
        <v>2.1299999999999999E-2</v>
      </c>
      <c r="E40">
        <v>21.894390888750149</v>
      </c>
      <c r="F40">
        <v>2110.5572308315141</v>
      </c>
      <c r="G40">
        <v>9.0579999999999998</v>
      </c>
      <c r="H40">
        <v>5.8999999999999999E-3</v>
      </c>
      <c r="I40">
        <v>7.6003899999999973</v>
      </c>
      <c r="J40" t="s">
        <v>36</v>
      </c>
      <c r="K40" t="s">
        <v>114</v>
      </c>
      <c r="L40">
        <v>71</v>
      </c>
      <c r="M40">
        <v>2.1399999999999999E-2</v>
      </c>
      <c r="N40">
        <v>21.897310237602799</v>
      </c>
      <c r="O40">
        <v>2110.8293141445811</v>
      </c>
      <c r="P40">
        <v>9.0579999999999998</v>
      </c>
      <c r="Q40">
        <v>6.0000000000000001E-3</v>
      </c>
      <c r="R40">
        <v>7.6003899999999973</v>
      </c>
      <c r="S40" t="s">
        <v>36</v>
      </c>
      <c r="T40" t="s">
        <v>193</v>
      </c>
      <c r="U40">
        <v>71</v>
      </c>
      <c r="V40">
        <v>2.1600000000000001E-2</v>
      </c>
      <c r="W40">
        <v>21.897578010486079</v>
      </c>
      <c r="X40">
        <v>2110.854270577302</v>
      </c>
      <c r="Y40">
        <v>9.0579999999999998</v>
      </c>
      <c r="Z40">
        <v>6.0000000000000001E-3</v>
      </c>
      <c r="AA40">
        <v>7.5976900000000036</v>
      </c>
    </row>
    <row r="41" spans="1:27" x14ac:dyDescent="0.3">
      <c r="A41" t="s">
        <v>36</v>
      </c>
      <c r="B41" t="s">
        <v>115</v>
      </c>
      <c r="C41">
        <v>71</v>
      </c>
      <c r="D41">
        <v>1.2999999999999999E-2</v>
      </c>
      <c r="E41">
        <v>21.608580112050578</v>
      </c>
      <c r="F41">
        <v>2083.9196664431138</v>
      </c>
      <c r="G41">
        <v>9.0579999999999998</v>
      </c>
      <c r="H41">
        <v>1.5E-3</v>
      </c>
      <c r="I41">
        <v>7.8004899999999999</v>
      </c>
      <c r="J41" t="s">
        <v>36</v>
      </c>
      <c r="K41" t="s">
        <v>116</v>
      </c>
      <c r="L41">
        <v>71</v>
      </c>
      <c r="M41">
        <v>1.2800000000000001E-2</v>
      </c>
      <c r="N41">
        <v>21.60848486697142</v>
      </c>
      <c r="O41">
        <v>2083.9107896017358</v>
      </c>
      <c r="P41">
        <v>9.0579999999999998</v>
      </c>
      <c r="Q41">
        <v>1.5E-3</v>
      </c>
      <c r="R41">
        <v>7.8004899999999999</v>
      </c>
      <c r="S41" t="s">
        <v>36</v>
      </c>
      <c r="T41" t="s">
        <v>195</v>
      </c>
      <c r="U41">
        <v>71</v>
      </c>
      <c r="V41">
        <v>1.32E-2</v>
      </c>
      <c r="W41">
        <v>21.610023750108748</v>
      </c>
      <c r="X41">
        <v>2084.054213510135</v>
      </c>
      <c r="Y41">
        <v>9.0579999999999998</v>
      </c>
      <c r="Z41">
        <v>1.5E-3</v>
      </c>
      <c r="AA41">
        <v>7.7980199999999975</v>
      </c>
    </row>
    <row r="42" spans="1:27" x14ac:dyDescent="0.3">
      <c r="A42" t="s">
        <v>36</v>
      </c>
      <c r="B42" t="s">
        <v>117</v>
      </c>
      <c r="C42">
        <v>71</v>
      </c>
      <c r="D42">
        <v>5.1999999999999998E-3</v>
      </c>
      <c r="E42">
        <v>21.511937456583102</v>
      </c>
      <c r="F42">
        <v>2074.9125709535451</v>
      </c>
      <c r="G42">
        <v>9.0579999999999998</v>
      </c>
      <c r="H42">
        <v>0</v>
      </c>
      <c r="I42">
        <v>8.000989999999998</v>
      </c>
      <c r="J42" t="s">
        <v>36</v>
      </c>
      <c r="K42" t="s">
        <v>118</v>
      </c>
      <c r="L42">
        <v>71</v>
      </c>
      <c r="M42">
        <v>4.0000000000000001E-3</v>
      </c>
      <c r="N42">
        <v>21.511913772002242</v>
      </c>
      <c r="O42">
        <v>2074.910363550609</v>
      </c>
      <c r="P42">
        <v>9.0579999999999998</v>
      </c>
      <c r="Q42">
        <v>0</v>
      </c>
      <c r="R42">
        <v>8.000989999999998</v>
      </c>
      <c r="S42" t="s">
        <v>36</v>
      </c>
      <c r="T42" t="s">
        <v>197</v>
      </c>
      <c r="U42">
        <v>71</v>
      </c>
      <c r="V42">
        <v>5.3E-3</v>
      </c>
      <c r="W42">
        <v>21.51191993482556</v>
      </c>
      <c r="X42">
        <v>2074.910937925742</v>
      </c>
      <c r="Y42">
        <v>9.0579999999999998</v>
      </c>
      <c r="Z42">
        <v>0</v>
      </c>
      <c r="AA42">
        <v>7.9985299999999988</v>
      </c>
    </row>
    <row r="43" spans="1:27" x14ac:dyDescent="0.3">
      <c r="A43" t="s">
        <v>36</v>
      </c>
      <c r="B43" t="s">
        <v>119</v>
      </c>
      <c r="C43">
        <v>71</v>
      </c>
      <c r="D43">
        <v>-2.3999999999999998E-3</v>
      </c>
      <c r="E43">
        <v>21.612122385616409</v>
      </c>
      <c r="F43">
        <v>2190.990414394998</v>
      </c>
      <c r="G43">
        <v>9.0579999999999998</v>
      </c>
      <c r="H43">
        <v>1.6000000000000001E-3</v>
      </c>
      <c r="I43">
        <v>8.1988699999999994</v>
      </c>
      <c r="J43" t="s">
        <v>36</v>
      </c>
      <c r="K43" t="s">
        <v>120</v>
      </c>
      <c r="L43">
        <v>71</v>
      </c>
      <c r="M43">
        <v>-3.0000000000000001E-3</v>
      </c>
      <c r="N43">
        <v>21.612409134530779</v>
      </c>
      <c r="O43">
        <v>2191.017626866972</v>
      </c>
      <c r="P43">
        <v>9.0579999999999998</v>
      </c>
      <c r="Q43">
        <v>1.6000000000000001E-3</v>
      </c>
      <c r="R43">
        <v>8.1988699999999994</v>
      </c>
      <c r="S43" t="s">
        <v>36</v>
      </c>
      <c r="T43" t="s">
        <v>199</v>
      </c>
      <c r="U43">
        <v>71</v>
      </c>
      <c r="V43">
        <v>-2.5999999999999999E-3</v>
      </c>
      <c r="W43">
        <v>21.614215709457241</v>
      </c>
      <c r="X43">
        <v>2191.1890708274918</v>
      </c>
      <c r="Y43">
        <v>9.0579999999999998</v>
      </c>
      <c r="Z43">
        <v>1.6000000000000001E-3</v>
      </c>
      <c r="AA43">
        <v>8.19998</v>
      </c>
    </row>
    <row r="44" spans="1:27" x14ac:dyDescent="0.3">
      <c r="A44" t="s">
        <v>36</v>
      </c>
      <c r="B44" t="s">
        <v>121</v>
      </c>
      <c r="C44">
        <v>71</v>
      </c>
      <c r="D44">
        <v>-1.2999999999999999E-3</v>
      </c>
      <c r="E44">
        <v>21.920361168644039</v>
      </c>
      <c r="F44">
        <v>2220.2422749043199</v>
      </c>
      <c r="G44">
        <v>9.0579999999999998</v>
      </c>
      <c r="H44">
        <v>6.3E-3</v>
      </c>
      <c r="I44">
        <v>8.4090899999999991</v>
      </c>
      <c r="J44" t="s">
        <v>36</v>
      </c>
      <c r="K44" t="s">
        <v>122</v>
      </c>
      <c r="L44">
        <v>71</v>
      </c>
      <c r="M44">
        <v>-2.5000000000000001E-3</v>
      </c>
      <c r="N44">
        <v>21.90103708145401</v>
      </c>
      <c r="O44">
        <v>2218.4084190299859</v>
      </c>
      <c r="P44">
        <v>9.0579999999999998</v>
      </c>
      <c r="Q44">
        <v>6.0000000000000001E-3</v>
      </c>
      <c r="R44">
        <v>8.4090899999999991</v>
      </c>
      <c r="S44" t="s">
        <v>36</v>
      </c>
      <c r="T44" t="s">
        <v>200</v>
      </c>
      <c r="U44">
        <v>71</v>
      </c>
      <c r="V44">
        <v>-8.0000000000000004E-4</v>
      </c>
      <c r="W44">
        <v>21.90565977238019</v>
      </c>
      <c r="X44">
        <v>2218.8471123988802</v>
      </c>
      <c r="Y44">
        <v>9.0579999999999998</v>
      </c>
      <c r="Z44">
        <v>6.1000000000000004E-3</v>
      </c>
      <c r="AA44">
        <v>8.4003699999999988</v>
      </c>
    </row>
    <row r="45" spans="1:27" x14ac:dyDescent="0.3">
      <c r="A45" t="s">
        <v>36</v>
      </c>
      <c r="B45" t="s">
        <v>123</v>
      </c>
      <c r="C45">
        <v>71</v>
      </c>
      <c r="D45">
        <v>-5.9999999999999995E-4</v>
      </c>
      <c r="E45">
        <v>22.352300643693749</v>
      </c>
      <c r="F45">
        <v>2261.233331086537</v>
      </c>
      <c r="G45">
        <v>9.0579999999999998</v>
      </c>
      <c r="H45">
        <v>1.3100000000000001E-2</v>
      </c>
      <c r="I45">
        <v>8.5996799999999993</v>
      </c>
      <c r="J45" t="s">
        <v>36</v>
      </c>
      <c r="K45" t="s">
        <v>124</v>
      </c>
      <c r="L45">
        <v>71</v>
      </c>
      <c r="M45">
        <v>-8.0000000000000004E-4</v>
      </c>
      <c r="N45">
        <v>22.347980758323651</v>
      </c>
      <c r="O45">
        <v>2260.823373964914</v>
      </c>
      <c r="P45">
        <v>9.0579999999999998</v>
      </c>
      <c r="Q45">
        <v>1.2999999999999999E-2</v>
      </c>
      <c r="R45">
        <v>8.5996799999999993</v>
      </c>
      <c r="S45" t="s">
        <v>36</v>
      </c>
      <c r="T45" t="s">
        <v>201</v>
      </c>
      <c r="U45">
        <v>71</v>
      </c>
      <c r="V45">
        <v>-1E-4</v>
      </c>
      <c r="W45">
        <v>22.351443883999082</v>
      </c>
      <c r="X45">
        <v>2261.1520245915131</v>
      </c>
      <c r="Y45">
        <v>9.0579999999999998</v>
      </c>
      <c r="Z45">
        <v>1.2999999999999999E-2</v>
      </c>
      <c r="AA45">
        <v>8.5983600000000031</v>
      </c>
    </row>
    <row r="46" spans="1:27" x14ac:dyDescent="0.3">
      <c r="A46" t="s">
        <v>36</v>
      </c>
      <c r="B46" t="s">
        <v>125</v>
      </c>
      <c r="C46">
        <v>71</v>
      </c>
      <c r="D46">
        <v>3.2000000000000002E-3</v>
      </c>
      <c r="E46">
        <v>22.923658397822951</v>
      </c>
      <c r="F46">
        <v>2315.4551819533981</v>
      </c>
      <c r="G46">
        <v>9.0579999999999998</v>
      </c>
      <c r="H46">
        <v>2.1899999999999999E-2</v>
      </c>
      <c r="I46">
        <v>8.8014599999999987</v>
      </c>
      <c r="J46" t="s">
        <v>36</v>
      </c>
      <c r="K46" t="s">
        <v>126</v>
      </c>
      <c r="L46">
        <v>71</v>
      </c>
      <c r="M46">
        <v>4.0000000000000001E-3</v>
      </c>
      <c r="N46">
        <v>22.921782284662871</v>
      </c>
      <c r="O46">
        <v>2315.277138814507</v>
      </c>
      <c r="P46">
        <v>9.0579999999999998</v>
      </c>
      <c r="Q46">
        <v>2.1899999999999999E-2</v>
      </c>
      <c r="R46">
        <v>8.8014599999999987</v>
      </c>
      <c r="S46" t="s">
        <v>36</v>
      </c>
      <c r="T46" t="s">
        <v>202</v>
      </c>
      <c r="U46">
        <v>71</v>
      </c>
      <c r="V46">
        <v>3.3999999999999998E-3</v>
      </c>
      <c r="W46">
        <v>22.91320657830116</v>
      </c>
      <c r="X46">
        <v>2314.46330428078</v>
      </c>
      <c r="Y46">
        <v>9.0579999999999998</v>
      </c>
      <c r="Z46">
        <v>2.18E-2</v>
      </c>
      <c r="AA46">
        <v>8.7970199999999998</v>
      </c>
    </row>
    <row r="47" spans="1:27" x14ac:dyDescent="0.3">
      <c r="A47" t="s">
        <v>36</v>
      </c>
      <c r="B47" t="s">
        <v>127</v>
      </c>
      <c r="C47">
        <v>71</v>
      </c>
      <c r="D47">
        <v>9.7000000000000003E-3</v>
      </c>
      <c r="E47">
        <v>23.554646707795438</v>
      </c>
      <c r="F47">
        <v>2375.3359725697869</v>
      </c>
      <c r="G47">
        <v>9.0579999999999998</v>
      </c>
      <c r="H47">
        <v>3.1699999999999999E-2</v>
      </c>
      <c r="I47">
        <v>9.0026999999999973</v>
      </c>
      <c r="J47" t="s">
        <v>36</v>
      </c>
      <c r="K47" t="s">
        <v>128</v>
      </c>
      <c r="L47">
        <v>71</v>
      </c>
      <c r="M47">
        <v>0.01</v>
      </c>
      <c r="N47">
        <v>23.551130465451759</v>
      </c>
      <c r="O47">
        <v>2375.002281171372</v>
      </c>
      <c r="P47">
        <v>9.0579999999999998</v>
      </c>
      <c r="Q47">
        <v>3.1699999999999999E-2</v>
      </c>
      <c r="R47">
        <v>9.0026999999999973</v>
      </c>
      <c r="S47" t="s">
        <v>36</v>
      </c>
      <c r="T47" t="s">
        <v>203</v>
      </c>
      <c r="U47">
        <v>71</v>
      </c>
      <c r="V47">
        <v>9.4999999999999998E-3</v>
      </c>
      <c r="W47">
        <v>23.5425616520928</v>
      </c>
      <c r="X47">
        <v>2374.189100783607</v>
      </c>
      <c r="Y47">
        <v>9.0579999999999998</v>
      </c>
      <c r="Z47">
        <v>3.1600000000000003E-2</v>
      </c>
      <c r="AA47">
        <v>8.997910000000001</v>
      </c>
    </row>
    <row r="48" spans="1:27" x14ac:dyDescent="0.3">
      <c r="A48" t="s">
        <v>36</v>
      </c>
      <c r="B48" t="s">
        <v>129</v>
      </c>
      <c r="C48">
        <v>71</v>
      </c>
      <c r="D48">
        <v>1.6799999999999999E-2</v>
      </c>
      <c r="E48">
        <v>24.176032659467321</v>
      </c>
      <c r="F48">
        <v>2434.305499383448</v>
      </c>
      <c r="G48">
        <v>9.0579999999999998</v>
      </c>
      <c r="H48">
        <v>4.1399999999999999E-2</v>
      </c>
      <c r="I48">
        <v>9.2012699999999974</v>
      </c>
      <c r="J48" t="s">
        <v>36</v>
      </c>
      <c r="K48" t="s">
        <v>130</v>
      </c>
      <c r="L48">
        <v>71</v>
      </c>
      <c r="M48">
        <v>1.7000000000000001E-2</v>
      </c>
      <c r="N48">
        <v>24.17703376674897</v>
      </c>
      <c r="O48">
        <v>2434.4005044644782</v>
      </c>
      <c r="P48">
        <v>9.0579999999999998</v>
      </c>
      <c r="Q48">
        <v>4.1399999999999999E-2</v>
      </c>
      <c r="R48">
        <v>9.2012699999999974</v>
      </c>
      <c r="S48" t="s">
        <v>36</v>
      </c>
      <c r="T48" t="s">
        <v>204</v>
      </c>
      <c r="U48">
        <v>71</v>
      </c>
      <c r="V48">
        <v>1.6799999999999999E-2</v>
      </c>
      <c r="W48">
        <v>24.166033750773231</v>
      </c>
      <c r="X48">
        <v>2433.35660294838</v>
      </c>
      <c r="Y48">
        <v>9.0579999999999998</v>
      </c>
      <c r="Z48">
        <v>4.1200000000000001E-2</v>
      </c>
      <c r="AA48">
        <v>9.1969700000000039</v>
      </c>
    </row>
    <row r="49" spans="1:27" x14ac:dyDescent="0.3">
      <c r="A49" t="s">
        <v>36</v>
      </c>
      <c r="B49" t="s">
        <v>131</v>
      </c>
      <c r="C49">
        <v>71</v>
      </c>
      <c r="D49">
        <v>2.4400000000000002E-2</v>
      </c>
      <c r="E49">
        <v>24.734421026188201</v>
      </c>
      <c r="F49">
        <v>2487.29655538526</v>
      </c>
      <c r="G49">
        <v>9.0579999999999998</v>
      </c>
      <c r="H49">
        <v>5.0099999999999999E-2</v>
      </c>
      <c r="I49">
        <v>9.3992299999999993</v>
      </c>
      <c r="J49" t="s">
        <v>36</v>
      </c>
      <c r="K49" t="s">
        <v>132</v>
      </c>
      <c r="L49">
        <v>71</v>
      </c>
      <c r="M49">
        <v>2.47E-2</v>
      </c>
      <c r="N49">
        <v>24.734117328596479</v>
      </c>
      <c r="O49">
        <v>2487.2677344838062</v>
      </c>
      <c r="P49">
        <v>9.0579999999999998</v>
      </c>
      <c r="Q49">
        <v>5.0099999999999999E-2</v>
      </c>
      <c r="R49">
        <v>9.3992299999999993</v>
      </c>
      <c r="S49" t="s">
        <v>36</v>
      </c>
      <c r="T49" t="s">
        <v>205</v>
      </c>
      <c r="U49">
        <v>71</v>
      </c>
      <c r="V49">
        <v>2.4799999999999999E-2</v>
      </c>
      <c r="W49">
        <v>24.732798737717602</v>
      </c>
      <c r="X49">
        <v>2487.1426002093999</v>
      </c>
      <c r="Y49">
        <v>9.0579999999999998</v>
      </c>
      <c r="Z49">
        <v>0.05</v>
      </c>
      <c r="AA49">
        <v>9.3976100000000038</v>
      </c>
    </row>
    <row r="50" spans="1:27" x14ac:dyDescent="0.3">
      <c r="A50" t="s">
        <v>36</v>
      </c>
      <c r="B50" t="s">
        <v>133</v>
      </c>
      <c r="C50">
        <v>71</v>
      </c>
      <c r="D50">
        <v>3.2500000000000001E-2</v>
      </c>
      <c r="E50">
        <v>25.180819588181581</v>
      </c>
      <c r="F50">
        <v>2529.659778918432</v>
      </c>
      <c r="G50">
        <v>9.0579999999999998</v>
      </c>
      <c r="H50">
        <v>5.7000000000000002E-2</v>
      </c>
      <c r="I50">
        <v>9.5986099999999972</v>
      </c>
      <c r="J50" t="s">
        <v>36</v>
      </c>
      <c r="K50" t="s">
        <v>134</v>
      </c>
      <c r="L50">
        <v>71</v>
      </c>
      <c r="M50">
        <v>3.27E-2</v>
      </c>
      <c r="N50">
        <v>25.183725191575821</v>
      </c>
      <c r="O50">
        <v>2529.9355206805449</v>
      </c>
      <c r="P50">
        <v>9.0579999999999998</v>
      </c>
      <c r="Q50">
        <v>5.7099999999999998E-2</v>
      </c>
      <c r="R50">
        <v>9.5986099999999972</v>
      </c>
      <c r="S50" t="s">
        <v>36</v>
      </c>
      <c r="T50" t="s">
        <v>206</v>
      </c>
      <c r="U50">
        <v>71</v>
      </c>
      <c r="V50">
        <v>3.2599999999999997E-2</v>
      </c>
      <c r="W50">
        <v>25.184620065520988</v>
      </c>
      <c r="X50">
        <v>2530.020444217942</v>
      </c>
      <c r="Y50">
        <v>9.0579999999999998</v>
      </c>
      <c r="Z50">
        <v>5.7099999999999998E-2</v>
      </c>
      <c r="AA50">
        <v>9.5996600000000036</v>
      </c>
    </row>
    <row r="51" spans="1:27" x14ac:dyDescent="0.3">
      <c r="A51" t="s">
        <v>36</v>
      </c>
      <c r="B51" t="s">
        <v>135</v>
      </c>
      <c r="C51">
        <v>71</v>
      </c>
      <c r="D51">
        <v>4.0800000000000003E-2</v>
      </c>
      <c r="E51">
        <v>25.468100480179292</v>
      </c>
      <c r="F51">
        <v>2556.922735569015</v>
      </c>
      <c r="G51">
        <v>9.0579999999999998</v>
      </c>
      <c r="H51">
        <v>6.1499999999999999E-2</v>
      </c>
      <c r="I51">
        <v>9.7985899999999972</v>
      </c>
      <c r="J51" t="s">
        <v>36</v>
      </c>
      <c r="K51" t="s">
        <v>136</v>
      </c>
      <c r="L51">
        <v>71</v>
      </c>
      <c r="M51">
        <v>4.0599999999999997E-2</v>
      </c>
      <c r="N51">
        <v>25.469719119413138</v>
      </c>
      <c r="O51">
        <v>2557.076344432307</v>
      </c>
      <c r="P51">
        <v>9.0579999999999998</v>
      </c>
      <c r="Q51">
        <v>6.1499999999999999E-2</v>
      </c>
      <c r="R51">
        <v>9.7985899999999972</v>
      </c>
      <c r="S51" t="s">
        <v>36</v>
      </c>
      <c r="T51" t="s">
        <v>207</v>
      </c>
      <c r="U51">
        <v>71</v>
      </c>
      <c r="V51">
        <v>4.1700000000000001E-2</v>
      </c>
      <c r="W51">
        <v>25.46894021010246</v>
      </c>
      <c r="X51">
        <v>2557.0024259387242</v>
      </c>
      <c r="Y51">
        <v>9.0579999999999998</v>
      </c>
      <c r="Z51">
        <v>6.1499999999999999E-2</v>
      </c>
      <c r="AA51">
        <v>9.798449999999999</v>
      </c>
    </row>
    <row r="52" spans="1:27" x14ac:dyDescent="0.3">
      <c r="A52" t="s">
        <v>36</v>
      </c>
      <c r="B52" t="s">
        <v>137</v>
      </c>
      <c r="C52">
        <v>71</v>
      </c>
      <c r="D52">
        <v>4.8000000000000001E-2</v>
      </c>
      <c r="E52">
        <v>25.56660878794127</v>
      </c>
      <c r="F52">
        <v>2566.2711739756269</v>
      </c>
      <c r="G52">
        <v>9.0579999999999998</v>
      </c>
      <c r="H52">
        <v>6.3E-2</v>
      </c>
      <c r="I52">
        <v>10.000029999999999</v>
      </c>
      <c r="J52" t="s">
        <v>36</v>
      </c>
      <c r="K52" t="s">
        <v>138</v>
      </c>
      <c r="L52">
        <v>71</v>
      </c>
      <c r="M52">
        <v>4.7500000000000001E-2</v>
      </c>
      <c r="N52">
        <v>25.56661324811952</v>
      </c>
      <c r="O52">
        <v>2566.271597246543</v>
      </c>
      <c r="P52">
        <v>9.0579999999999998</v>
      </c>
      <c r="Q52">
        <v>6.3E-2</v>
      </c>
      <c r="R52">
        <v>10.000029999999999</v>
      </c>
      <c r="S52" t="s">
        <v>36</v>
      </c>
      <c r="T52" t="s">
        <v>208</v>
      </c>
      <c r="U52">
        <v>71</v>
      </c>
      <c r="V52">
        <v>4.7800000000000002E-2</v>
      </c>
      <c r="W52">
        <v>25.566620546593018</v>
      </c>
      <c r="X52">
        <v>2566.2722898716779</v>
      </c>
      <c r="Y52">
        <v>9.0579999999999998</v>
      </c>
      <c r="Z52">
        <v>6.3E-2</v>
      </c>
      <c r="AA52">
        <v>9.9970200000000027</v>
      </c>
    </row>
    <row r="53" spans="1:27" x14ac:dyDescent="0.3">
      <c r="A53" t="s">
        <v>36</v>
      </c>
      <c r="B53" t="s">
        <v>139</v>
      </c>
      <c r="C53">
        <v>71</v>
      </c>
      <c r="D53">
        <v>5.3199999999999997E-2</v>
      </c>
      <c r="E53">
        <v>25.467215743002871</v>
      </c>
      <c r="F53">
        <v>2443.5445072478678</v>
      </c>
      <c r="G53">
        <v>9.0579999999999998</v>
      </c>
      <c r="H53">
        <v>6.1499999999999999E-2</v>
      </c>
      <c r="I53">
        <v>10.198049999999999</v>
      </c>
      <c r="J53" t="s">
        <v>36</v>
      </c>
      <c r="K53" t="s">
        <v>140</v>
      </c>
      <c r="L53">
        <v>71</v>
      </c>
      <c r="M53">
        <v>5.2499999999999998E-2</v>
      </c>
      <c r="N53">
        <v>25.466412099976449</v>
      </c>
      <c r="O53">
        <v>2443.469607717805</v>
      </c>
      <c r="P53">
        <v>9.0579999999999998</v>
      </c>
      <c r="Q53">
        <v>6.1400000000000003E-2</v>
      </c>
      <c r="R53">
        <v>10.198049999999999</v>
      </c>
      <c r="S53" t="s">
        <v>36</v>
      </c>
      <c r="T53" t="s">
        <v>209</v>
      </c>
      <c r="U53">
        <v>71</v>
      </c>
      <c r="V53">
        <v>5.2900000000000003E-2</v>
      </c>
      <c r="W53">
        <v>25.46486685094834</v>
      </c>
      <c r="X53">
        <v>2443.3255905083852</v>
      </c>
      <c r="Y53">
        <v>9.0579999999999998</v>
      </c>
      <c r="Z53">
        <v>6.1400000000000003E-2</v>
      </c>
      <c r="AA53">
        <v>10.199430000000003</v>
      </c>
    </row>
    <row r="54" spans="1:27" x14ac:dyDescent="0.3">
      <c r="A54" t="s">
        <v>36</v>
      </c>
      <c r="B54" t="s">
        <v>141</v>
      </c>
      <c r="C54">
        <v>71</v>
      </c>
      <c r="D54">
        <v>5.4399999999999997E-2</v>
      </c>
      <c r="E54">
        <v>25.178152401588331</v>
      </c>
      <c r="F54">
        <v>2416.6038038280331</v>
      </c>
      <c r="G54">
        <v>9.0579999999999998</v>
      </c>
      <c r="H54">
        <v>5.7000000000000002E-2</v>
      </c>
      <c r="I54">
        <v>10.39855</v>
      </c>
      <c r="J54" t="s">
        <v>36</v>
      </c>
      <c r="K54" t="s">
        <v>142</v>
      </c>
      <c r="L54">
        <v>71</v>
      </c>
      <c r="M54">
        <v>5.3499999999999999E-2</v>
      </c>
      <c r="N54">
        <v>25.177823159339361</v>
      </c>
      <c r="O54">
        <v>2416.573118450428</v>
      </c>
      <c r="P54">
        <v>9.0579999999999998</v>
      </c>
      <c r="Q54">
        <v>5.7000000000000002E-2</v>
      </c>
      <c r="R54">
        <v>10.39855</v>
      </c>
      <c r="S54" t="s">
        <v>36</v>
      </c>
      <c r="T54" t="s">
        <v>210</v>
      </c>
      <c r="U54">
        <v>71</v>
      </c>
      <c r="V54">
        <v>5.3699999999999998E-2</v>
      </c>
      <c r="W54">
        <v>25.176241012473</v>
      </c>
      <c r="X54">
        <v>2416.4256623624842</v>
      </c>
      <c r="Y54">
        <v>9.0579999999999998</v>
      </c>
      <c r="Z54">
        <v>5.6899999999999999E-2</v>
      </c>
      <c r="AA54">
        <v>10.398579999999999</v>
      </c>
    </row>
    <row r="55" spans="1:27" x14ac:dyDescent="0.3">
      <c r="A55" t="s">
        <v>36</v>
      </c>
      <c r="B55" t="s">
        <v>143</v>
      </c>
      <c r="C55">
        <v>71</v>
      </c>
      <c r="D55">
        <v>5.3100000000000001E-2</v>
      </c>
      <c r="E55">
        <v>24.722390303566051</v>
      </c>
      <c r="F55">
        <v>2374.1267762923562</v>
      </c>
      <c r="G55">
        <v>9.0579999999999998</v>
      </c>
      <c r="H55">
        <v>4.99E-2</v>
      </c>
      <c r="I55">
        <v>10.60117</v>
      </c>
      <c r="J55" t="s">
        <v>36</v>
      </c>
      <c r="K55" t="s">
        <v>144</v>
      </c>
      <c r="L55">
        <v>71</v>
      </c>
      <c r="M55">
        <v>5.2900000000000003E-2</v>
      </c>
      <c r="N55">
        <v>24.725889921608982</v>
      </c>
      <c r="O55">
        <v>2374.4529406939569</v>
      </c>
      <c r="P55">
        <v>9.0579999999999998</v>
      </c>
      <c r="Q55">
        <v>4.99E-2</v>
      </c>
      <c r="R55">
        <v>10.60117</v>
      </c>
      <c r="S55" t="s">
        <v>36</v>
      </c>
      <c r="T55" t="s">
        <v>211</v>
      </c>
      <c r="U55">
        <v>71</v>
      </c>
      <c r="V55">
        <v>5.3100000000000001E-2</v>
      </c>
      <c r="W55">
        <v>24.72825908720101</v>
      </c>
      <c r="X55">
        <v>2374.6737469271352</v>
      </c>
      <c r="Y55">
        <v>9.0579999999999998</v>
      </c>
      <c r="Z55">
        <v>0.05</v>
      </c>
      <c r="AA55">
        <v>10.597910000000002</v>
      </c>
    </row>
    <row r="56" spans="1:27" x14ac:dyDescent="0.3">
      <c r="A56" t="s">
        <v>36</v>
      </c>
      <c r="B56" t="s">
        <v>145</v>
      </c>
      <c r="C56">
        <v>71</v>
      </c>
      <c r="D56">
        <v>5.0900000000000001E-2</v>
      </c>
      <c r="E56">
        <v>24.156736711947332</v>
      </c>
      <c r="F56">
        <v>2321.4078615534909</v>
      </c>
      <c r="G56">
        <v>9.0579999999999998</v>
      </c>
      <c r="H56">
        <v>4.1099999999999998E-2</v>
      </c>
      <c r="I56">
        <v>10.800839999999997</v>
      </c>
      <c r="J56" t="s">
        <v>36</v>
      </c>
      <c r="K56" t="s">
        <v>146</v>
      </c>
      <c r="L56">
        <v>71</v>
      </c>
      <c r="M56">
        <v>5.11E-2</v>
      </c>
      <c r="N56">
        <v>24.162035403707851</v>
      </c>
      <c r="O56">
        <v>2321.9016996255709</v>
      </c>
      <c r="P56">
        <v>9.0579999999999998</v>
      </c>
      <c r="Q56">
        <v>4.1200000000000001E-2</v>
      </c>
      <c r="R56">
        <v>10.800839999999997</v>
      </c>
      <c r="S56" t="s">
        <v>36</v>
      </c>
      <c r="T56" t="s">
        <v>212</v>
      </c>
      <c r="U56">
        <v>71</v>
      </c>
      <c r="V56">
        <v>5.0900000000000001E-2</v>
      </c>
      <c r="W56">
        <v>24.15453865501178</v>
      </c>
      <c r="X56">
        <v>2321.2030026470979</v>
      </c>
      <c r="Y56">
        <v>9.0579999999999998</v>
      </c>
      <c r="Z56">
        <v>4.1099999999999998E-2</v>
      </c>
      <c r="AA56">
        <v>10.80058</v>
      </c>
    </row>
    <row r="57" spans="1:27" x14ac:dyDescent="0.3">
      <c r="A57" t="s">
        <v>36</v>
      </c>
      <c r="B57" t="s">
        <v>147</v>
      </c>
      <c r="C57">
        <v>71</v>
      </c>
      <c r="D57">
        <v>4.5199999999999997E-2</v>
      </c>
      <c r="E57">
        <v>23.53318797929516</v>
      </c>
      <c r="F57">
        <v>2263.2931196703089</v>
      </c>
      <c r="G57">
        <v>9.0579999999999998</v>
      </c>
      <c r="H57">
        <v>3.1399999999999997E-2</v>
      </c>
      <c r="I57">
        <v>10.999779999999998</v>
      </c>
      <c r="J57" t="s">
        <v>36</v>
      </c>
      <c r="K57" t="s">
        <v>148</v>
      </c>
      <c r="L57">
        <v>71</v>
      </c>
      <c r="M57">
        <v>4.5699999999999998E-2</v>
      </c>
      <c r="N57">
        <v>23.52786455381889</v>
      </c>
      <c r="O57">
        <v>2262.7969764159211</v>
      </c>
      <c r="P57">
        <v>9.0579999999999998</v>
      </c>
      <c r="Q57">
        <v>3.1300000000000001E-2</v>
      </c>
      <c r="R57">
        <v>10.999779999999998</v>
      </c>
      <c r="S57" t="s">
        <v>36</v>
      </c>
      <c r="T57" t="s">
        <v>213</v>
      </c>
      <c r="U57">
        <v>71</v>
      </c>
      <c r="V57">
        <v>4.5600000000000002E-2</v>
      </c>
      <c r="W57">
        <v>23.51836761791327</v>
      </c>
      <c r="X57">
        <v>2261.9118619895171</v>
      </c>
      <c r="Y57">
        <v>9.0579999999999998</v>
      </c>
      <c r="Z57">
        <v>3.1199999999999999E-2</v>
      </c>
      <c r="AA57">
        <v>11.003440000000001</v>
      </c>
    </row>
    <row r="58" spans="1:27" x14ac:dyDescent="0.3">
      <c r="A58" t="s">
        <v>36</v>
      </c>
      <c r="B58" t="s">
        <v>149</v>
      </c>
      <c r="C58">
        <v>71</v>
      </c>
      <c r="D58">
        <v>3.7999999999999999E-2</v>
      </c>
      <c r="E58">
        <v>22.901815688522451</v>
      </c>
      <c r="F58">
        <v>2204.4492221702931</v>
      </c>
      <c r="G58">
        <v>9.0579999999999998</v>
      </c>
      <c r="H58">
        <v>2.1600000000000001E-2</v>
      </c>
      <c r="I58">
        <v>11.20149</v>
      </c>
      <c r="J58" t="s">
        <v>36</v>
      </c>
      <c r="K58" t="s">
        <v>150</v>
      </c>
      <c r="L58">
        <v>71</v>
      </c>
      <c r="M58">
        <v>3.8100000000000002E-2</v>
      </c>
      <c r="N58">
        <v>22.900176370280349</v>
      </c>
      <c r="O58">
        <v>2204.2964377101289</v>
      </c>
      <c r="P58">
        <v>9.0579999999999998</v>
      </c>
      <c r="Q58">
        <v>2.1600000000000001E-2</v>
      </c>
      <c r="R58">
        <v>11.20149</v>
      </c>
      <c r="S58" t="s">
        <v>36</v>
      </c>
      <c r="T58" t="s">
        <v>214</v>
      </c>
      <c r="U58">
        <v>71</v>
      </c>
      <c r="V58">
        <v>3.7999999999999999E-2</v>
      </c>
      <c r="W58">
        <v>22.888862925414891</v>
      </c>
      <c r="X58">
        <v>2203.2420246486681</v>
      </c>
      <c r="Y58">
        <v>9.0579999999999998</v>
      </c>
      <c r="Z58">
        <v>2.1399999999999999E-2</v>
      </c>
      <c r="AA58">
        <v>11.204789999999999</v>
      </c>
    </row>
    <row r="59" spans="1:27" x14ac:dyDescent="0.3">
      <c r="A59" t="s">
        <v>36</v>
      </c>
      <c r="B59" t="s">
        <v>151</v>
      </c>
      <c r="C59">
        <v>71</v>
      </c>
      <c r="D59">
        <v>2.9499999999999998E-2</v>
      </c>
      <c r="E59">
        <v>22.344054179581011</v>
      </c>
      <c r="F59">
        <v>2152.4658495369499</v>
      </c>
      <c r="G59">
        <v>9.0579999999999998</v>
      </c>
      <c r="H59">
        <v>1.29E-2</v>
      </c>
      <c r="I59">
        <v>11.399249999999999</v>
      </c>
      <c r="J59" t="s">
        <v>36</v>
      </c>
      <c r="K59" t="s">
        <v>152</v>
      </c>
      <c r="L59">
        <v>71</v>
      </c>
      <c r="M59">
        <v>2.9700000000000001E-2</v>
      </c>
      <c r="N59">
        <v>22.33259963089456</v>
      </c>
      <c r="O59">
        <v>2151.3982855993731</v>
      </c>
      <c r="P59">
        <v>9.0579999999999998</v>
      </c>
      <c r="Q59">
        <v>1.2800000000000001E-2</v>
      </c>
      <c r="R59">
        <v>11.399249999999999</v>
      </c>
      <c r="S59" t="s">
        <v>36</v>
      </c>
      <c r="T59" t="s">
        <v>215</v>
      </c>
      <c r="U59">
        <v>71</v>
      </c>
      <c r="V59">
        <v>2.98E-2</v>
      </c>
      <c r="W59">
        <v>22.345939213097591</v>
      </c>
      <c r="X59">
        <v>2152.641534660695</v>
      </c>
      <c r="Y59">
        <v>9.0579999999999998</v>
      </c>
      <c r="Z59">
        <v>1.2999999999999999E-2</v>
      </c>
      <c r="AA59">
        <v>11.39753</v>
      </c>
    </row>
    <row r="60" spans="1:27" x14ac:dyDescent="0.3">
      <c r="A60" t="s">
        <v>36</v>
      </c>
      <c r="B60" t="s">
        <v>153</v>
      </c>
      <c r="C60">
        <v>71</v>
      </c>
      <c r="D60">
        <v>2.1600000000000001E-2</v>
      </c>
      <c r="E60">
        <v>21.895428285663929</v>
      </c>
      <c r="F60">
        <v>2110.6539162238778</v>
      </c>
      <c r="G60">
        <v>9.0579999999999998</v>
      </c>
      <c r="H60">
        <v>6.0000000000000001E-3</v>
      </c>
      <c r="I60">
        <v>11.59984</v>
      </c>
      <c r="J60" t="s">
        <v>36</v>
      </c>
      <c r="K60" t="s">
        <v>154</v>
      </c>
      <c r="L60">
        <v>71</v>
      </c>
      <c r="M60">
        <v>2.0199999999999999E-2</v>
      </c>
      <c r="N60">
        <v>21.897116787508001</v>
      </c>
      <c r="O60">
        <v>2110.8112845957448</v>
      </c>
      <c r="P60">
        <v>9.0579999999999998</v>
      </c>
      <c r="Q60">
        <v>6.0000000000000001E-3</v>
      </c>
      <c r="R60">
        <v>11.59984</v>
      </c>
      <c r="S60" t="s">
        <v>36</v>
      </c>
      <c r="T60" t="s">
        <v>216</v>
      </c>
      <c r="U60">
        <v>71</v>
      </c>
      <c r="V60">
        <v>2.1499999999999998E-2</v>
      </c>
      <c r="W60">
        <v>21.89279191484767</v>
      </c>
      <c r="X60">
        <v>2110.4082064638019</v>
      </c>
      <c r="Y60">
        <v>9.0579999999999998</v>
      </c>
      <c r="Z60">
        <v>5.8999999999999999E-3</v>
      </c>
      <c r="AA60">
        <v>11.600260000000002</v>
      </c>
    </row>
    <row r="61" spans="1:27" x14ac:dyDescent="0.3">
      <c r="A61" t="s">
        <v>36</v>
      </c>
      <c r="B61" t="s">
        <v>155</v>
      </c>
      <c r="C61">
        <v>71</v>
      </c>
      <c r="D61">
        <v>1.34E-2</v>
      </c>
      <c r="E61">
        <v>21.609401311960479</v>
      </c>
      <c r="F61">
        <v>2083.9962022747168</v>
      </c>
      <c r="G61">
        <v>9.0579999999999998</v>
      </c>
      <c r="H61">
        <v>1.5E-3</v>
      </c>
      <c r="I61">
        <v>11.79964</v>
      </c>
      <c r="J61" t="s">
        <v>36</v>
      </c>
      <c r="K61" t="s">
        <v>156</v>
      </c>
      <c r="L61">
        <v>71</v>
      </c>
      <c r="M61">
        <v>1.2699999999999999E-2</v>
      </c>
      <c r="N61">
        <v>21.60930103904402</v>
      </c>
      <c r="O61">
        <v>2083.986856838902</v>
      </c>
      <c r="P61">
        <v>9.0579999999999998</v>
      </c>
      <c r="Q61">
        <v>1.5E-3</v>
      </c>
      <c r="R61">
        <v>11.79964</v>
      </c>
      <c r="S61" t="s">
        <v>36</v>
      </c>
      <c r="T61" t="s">
        <v>217</v>
      </c>
      <c r="U61">
        <v>71</v>
      </c>
      <c r="V61">
        <v>1.2800000000000001E-2</v>
      </c>
      <c r="W61">
        <v>21.608341816890832</v>
      </c>
      <c r="X61">
        <v>2083.8974573342261</v>
      </c>
      <c r="Y61">
        <v>9.0579999999999998</v>
      </c>
      <c r="Z61">
        <v>1.5E-3</v>
      </c>
      <c r="AA61">
        <v>11.799740000000003</v>
      </c>
    </row>
    <row r="62" spans="1:27" x14ac:dyDescent="0.3">
      <c r="A62" t="s">
        <v>36</v>
      </c>
      <c r="B62" t="s">
        <v>157</v>
      </c>
      <c r="C62">
        <v>71</v>
      </c>
      <c r="D62">
        <v>5.3E-3</v>
      </c>
      <c r="E62">
        <v>21.51191606795685</v>
      </c>
      <c r="F62">
        <v>2074.9105775335779</v>
      </c>
      <c r="G62">
        <v>9.0579999999999998</v>
      </c>
      <c r="H62">
        <v>0</v>
      </c>
      <c r="I62">
        <v>11.99897</v>
      </c>
      <c r="J62" t="s">
        <v>36</v>
      </c>
      <c r="K62" t="s">
        <v>158</v>
      </c>
      <c r="L62">
        <v>71</v>
      </c>
      <c r="M62">
        <v>5.1000000000000004E-3</v>
      </c>
      <c r="N62">
        <v>21.511913651162629</v>
      </c>
      <c r="O62">
        <v>2074.910352288357</v>
      </c>
      <c r="P62">
        <v>9.0579999999999998</v>
      </c>
      <c r="Q62">
        <v>0</v>
      </c>
      <c r="R62">
        <v>11.99897</v>
      </c>
      <c r="S62" t="s">
        <v>36</v>
      </c>
      <c r="T62" t="s">
        <v>38</v>
      </c>
      <c r="U62">
        <v>71</v>
      </c>
      <c r="V62">
        <v>5.1000000000000004E-3</v>
      </c>
      <c r="W62">
        <v>21.51191679299491</v>
      </c>
      <c r="X62">
        <v>2074.9106451071261</v>
      </c>
      <c r="Y62">
        <v>9.0579999999999998</v>
      </c>
      <c r="Z62">
        <v>0</v>
      </c>
      <c r="AA62">
        <v>11.998100000000004</v>
      </c>
    </row>
    <row r="63" spans="1:27" x14ac:dyDescent="0.3">
      <c r="A63" t="s">
        <v>36</v>
      </c>
      <c r="B63" t="s">
        <v>159</v>
      </c>
      <c r="C63">
        <v>71</v>
      </c>
      <c r="D63">
        <v>-2.2000000000000001E-3</v>
      </c>
      <c r="E63">
        <v>21.612385819962661</v>
      </c>
      <c r="F63">
        <v>2191.0154143144559</v>
      </c>
      <c r="G63">
        <v>9.0579999999999998</v>
      </c>
      <c r="H63">
        <v>1.6000000000000001E-3</v>
      </c>
      <c r="I63">
        <v>12.19913</v>
      </c>
      <c r="J63" t="s">
        <v>36</v>
      </c>
      <c r="K63" t="s">
        <v>160</v>
      </c>
      <c r="L63">
        <v>71</v>
      </c>
      <c r="M63">
        <v>-2.8E-3</v>
      </c>
      <c r="N63">
        <v>21.613012839930398</v>
      </c>
      <c r="O63">
        <v>2191.074918509395</v>
      </c>
      <c r="P63">
        <v>9.0579999999999998</v>
      </c>
      <c r="Q63">
        <v>1.6000000000000001E-3</v>
      </c>
      <c r="R63">
        <v>12.19913</v>
      </c>
      <c r="S63" t="s">
        <v>36</v>
      </c>
      <c r="T63" t="s">
        <v>40</v>
      </c>
      <c r="U63">
        <v>71</v>
      </c>
      <c r="V63">
        <v>-2.7000000000000001E-3</v>
      </c>
      <c r="W63">
        <v>21.6124733205505</v>
      </c>
      <c r="X63">
        <v>2191.0237181202419</v>
      </c>
      <c r="Y63">
        <v>9.0579999999999998</v>
      </c>
      <c r="Z63">
        <v>1.6000000000000001E-3</v>
      </c>
      <c r="AA63">
        <v>12.198229999999999</v>
      </c>
    </row>
    <row r="64" spans="1:27" x14ac:dyDescent="0.3">
      <c r="A64" t="s">
        <v>36</v>
      </c>
      <c r="B64" t="s">
        <v>161</v>
      </c>
      <c r="C64">
        <v>71</v>
      </c>
      <c r="D64">
        <v>-2.3999999999999998E-3</v>
      </c>
      <c r="E64">
        <v>21.904142054815999</v>
      </c>
      <c r="F64">
        <v>2218.7030810020392</v>
      </c>
      <c r="G64">
        <v>9.0579999999999998</v>
      </c>
      <c r="H64">
        <v>6.1000000000000004E-3</v>
      </c>
      <c r="I64">
        <v>12.400549999999999</v>
      </c>
      <c r="J64" t="s">
        <v>36</v>
      </c>
      <c r="K64" t="s">
        <v>162</v>
      </c>
      <c r="L64">
        <v>71</v>
      </c>
      <c r="M64">
        <v>-2.3E-3</v>
      </c>
      <c r="N64">
        <v>21.902983057224311</v>
      </c>
      <c r="O64">
        <v>2218.5930921305871</v>
      </c>
      <c r="P64">
        <v>9.0579999999999998</v>
      </c>
      <c r="Q64">
        <v>6.1000000000000004E-3</v>
      </c>
      <c r="R64">
        <v>12.400549999999999</v>
      </c>
      <c r="S64" t="s">
        <v>36</v>
      </c>
      <c r="T64" t="s">
        <v>42</v>
      </c>
      <c r="U64">
        <v>71</v>
      </c>
      <c r="V64">
        <v>-2E-3</v>
      </c>
      <c r="W64">
        <v>21.89973803426528</v>
      </c>
      <c r="X64">
        <v>2218.2851394517752</v>
      </c>
      <c r="Y64">
        <v>9.0579999999999998</v>
      </c>
      <c r="Z64">
        <v>6.0000000000000001E-3</v>
      </c>
      <c r="AA64">
        <v>12.397220000000001</v>
      </c>
    </row>
    <row r="65" spans="1:27" x14ac:dyDescent="0.3">
      <c r="A65" t="s">
        <v>36</v>
      </c>
      <c r="B65" t="s">
        <v>163</v>
      </c>
      <c r="C65">
        <v>71</v>
      </c>
      <c r="D65">
        <v>-8.9999999999999998E-4</v>
      </c>
      <c r="E65">
        <v>22.349629402392999</v>
      </c>
      <c r="F65">
        <v>2260.9798302870959</v>
      </c>
      <c r="G65">
        <v>9.0579999999999998</v>
      </c>
      <c r="H65">
        <v>1.2999999999999999E-2</v>
      </c>
      <c r="I65">
        <v>12.598649999999999</v>
      </c>
      <c r="J65" t="s">
        <v>36</v>
      </c>
      <c r="K65" t="s">
        <v>164</v>
      </c>
      <c r="L65">
        <v>71</v>
      </c>
      <c r="M65">
        <v>-8.9999999999999998E-4</v>
      </c>
      <c r="N65">
        <v>22.354828753819771</v>
      </c>
      <c r="O65">
        <v>2261.4732487374972</v>
      </c>
      <c r="P65">
        <v>9.0579999999999998</v>
      </c>
      <c r="Q65">
        <v>1.3100000000000001E-2</v>
      </c>
      <c r="R65">
        <v>12.598649999999999</v>
      </c>
      <c r="S65" t="s">
        <v>36</v>
      </c>
      <c r="T65" t="s">
        <v>44</v>
      </c>
      <c r="U65">
        <v>71</v>
      </c>
      <c r="V65">
        <v>-8.9999999999999998E-4</v>
      </c>
      <c r="W65">
        <v>22.352507839246989</v>
      </c>
      <c r="X65">
        <v>2261.252993944539</v>
      </c>
      <c r="Y65">
        <v>9.0579999999999998</v>
      </c>
      <c r="Z65">
        <v>1.3100000000000001E-2</v>
      </c>
      <c r="AA65">
        <v>12.598769999999998</v>
      </c>
    </row>
    <row r="66" spans="1:27" x14ac:dyDescent="0.3">
      <c r="A66" t="s">
        <v>36</v>
      </c>
      <c r="B66" t="s">
        <v>165</v>
      </c>
      <c r="C66">
        <v>71</v>
      </c>
      <c r="D66">
        <v>3.5000000000000001E-3</v>
      </c>
      <c r="E66">
        <v>22.922322371701821</v>
      </c>
      <c r="F66">
        <v>2315.3283930745029</v>
      </c>
      <c r="G66">
        <v>9.0579999999999998</v>
      </c>
      <c r="H66">
        <v>2.1899999999999999E-2</v>
      </c>
      <c r="I66">
        <v>12.801019999999998</v>
      </c>
      <c r="J66" t="s">
        <v>36</v>
      </c>
      <c r="K66" t="s">
        <v>166</v>
      </c>
      <c r="L66">
        <v>71</v>
      </c>
      <c r="M66">
        <v>4.4999999999999997E-3</v>
      </c>
      <c r="N66">
        <v>22.91870881637816</v>
      </c>
      <c r="O66">
        <v>2314.9854666742872</v>
      </c>
      <c r="P66">
        <v>9.0579999999999998</v>
      </c>
      <c r="Q66">
        <v>2.1899999999999999E-2</v>
      </c>
      <c r="R66">
        <v>12.801019999999998</v>
      </c>
      <c r="S66" t="s">
        <v>36</v>
      </c>
      <c r="T66" t="s">
        <v>46</v>
      </c>
      <c r="U66">
        <v>71</v>
      </c>
      <c r="V66">
        <v>3.0999999999999999E-3</v>
      </c>
      <c r="W66">
        <v>22.916875683117571</v>
      </c>
      <c r="X66">
        <v>2314.8115023278579</v>
      </c>
      <c r="Y66">
        <v>9.0579999999999998</v>
      </c>
      <c r="Z66">
        <v>2.18E-2</v>
      </c>
      <c r="AA66">
        <v>12.79823</v>
      </c>
    </row>
    <row r="67" spans="1:27" x14ac:dyDescent="0.3">
      <c r="A67" t="s">
        <v>36</v>
      </c>
      <c r="B67" t="s">
        <v>167</v>
      </c>
      <c r="C67">
        <v>71</v>
      </c>
      <c r="D67">
        <v>9.7000000000000003E-3</v>
      </c>
      <c r="E67">
        <v>23.542115634267841</v>
      </c>
      <c r="F67">
        <v>2374.1467736920181</v>
      </c>
      <c r="G67">
        <v>9.0579999999999998</v>
      </c>
      <c r="H67">
        <v>3.15E-2</v>
      </c>
      <c r="I67">
        <v>12.998759999999997</v>
      </c>
      <c r="J67" t="s">
        <v>36</v>
      </c>
      <c r="K67" t="s">
        <v>168</v>
      </c>
      <c r="L67">
        <v>71</v>
      </c>
      <c r="M67">
        <v>0.01</v>
      </c>
      <c r="N67">
        <v>23.54067986234222</v>
      </c>
      <c r="O67">
        <v>2374.0105189362771</v>
      </c>
      <c r="P67">
        <v>9.0579999999999998</v>
      </c>
      <c r="Q67">
        <v>3.15E-2</v>
      </c>
      <c r="R67">
        <v>12.998759999999997</v>
      </c>
      <c r="S67" t="s">
        <v>36</v>
      </c>
      <c r="T67" t="s">
        <v>48</v>
      </c>
      <c r="U67">
        <v>71</v>
      </c>
      <c r="V67">
        <v>9.9000000000000008E-3</v>
      </c>
      <c r="W67">
        <v>23.547663285068829</v>
      </c>
      <c r="X67">
        <v>2374.673245753032</v>
      </c>
      <c r="Y67">
        <v>9.0579999999999998</v>
      </c>
      <c r="Z67">
        <v>3.1600000000000003E-2</v>
      </c>
      <c r="AA67">
        <v>12.99952</v>
      </c>
    </row>
    <row r="68" spans="1:27" x14ac:dyDescent="0.3">
      <c r="A68" t="s">
        <v>36</v>
      </c>
      <c r="B68" t="s">
        <v>169</v>
      </c>
      <c r="C68">
        <v>71</v>
      </c>
      <c r="D68">
        <v>1.6899999999999998E-2</v>
      </c>
      <c r="E68">
        <v>24.170667875974559</v>
      </c>
      <c r="F68">
        <v>2433.796381429986</v>
      </c>
      <c r="G68">
        <v>9.0579999999999998</v>
      </c>
      <c r="H68">
        <v>4.1300000000000003E-2</v>
      </c>
      <c r="I68">
        <v>13.199489999999997</v>
      </c>
      <c r="J68" t="s">
        <v>36</v>
      </c>
      <c r="K68" t="s">
        <v>170</v>
      </c>
      <c r="L68">
        <v>71</v>
      </c>
      <c r="M68">
        <v>1.6899999999999998E-2</v>
      </c>
      <c r="N68">
        <v>24.173131921722081</v>
      </c>
      <c r="O68">
        <v>2434.0302193714251</v>
      </c>
      <c r="P68">
        <v>9.0579999999999998</v>
      </c>
      <c r="Q68">
        <v>4.1300000000000003E-2</v>
      </c>
      <c r="R68">
        <v>13.199489999999997</v>
      </c>
      <c r="S68" t="s">
        <v>36</v>
      </c>
      <c r="T68" t="s">
        <v>50</v>
      </c>
      <c r="U68">
        <v>71</v>
      </c>
      <c r="V68">
        <v>1.7000000000000001E-2</v>
      </c>
      <c r="W68">
        <v>24.16715649927988</v>
      </c>
      <c r="X68">
        <v>2433.4631517816611</v>
      </c>
      <c r="Y68">
        <v>9.0579999999999998</v>
      </c>
      <c r="Z68">
        <v>4.1300000000000003E-2</v>
      </c>
      <c r="AA68">
        <v>13.197340000000001</v>
      </c>
    </row>
    <row r="69" spans="1:27" x14ac:dyDescent="0.3">
      <c r="A69" t="s">
        <v>36</v>
      </c>
      <c r="B69" t="s">
        <v>171</v>
      </c>
      <c r="C69">
        <v>71</v>
      </c>
      <c r="D69">
        <v>2.4400000000000002E-2</v>
      </c>
      <c r="E69">
        <v>24.73461281385293</v>
      </c>
      <c r="F69">
        <v>2487.3147560346429</v>
      </c>
      <c r="G69">
        <v>9.0579999999999998</v>
      </c>
      <c r="H69">
        <v>5.0099999999999999E-2</v>
      </c>
      <c r="I69">
        <v>13.39931</v>
      </c>
      <c r="J69" t="s">
        <v>36</v>
      </c>
      <c r="K69" t="s">
        <v>172</v>
      </c>
      <c r="L69">
        <v>71</v>
      </c>
      <c r="M69">
        <v>2.4400000000000002E-2</v>
      </c>
      <c r="N69">
        <v>24.73367171624227</v>
      </c>
      <c r="O69">
        <v>2487.225445871391</v>
      </c>
      <c r="P69">
        <v>9.0579999999999998</v>
      </c>
      <c r="Q69">
        <v>5.0099999999999999E-2</v>
      </c>
      <c r="R69">
        <v>13.39931</v>
      </c>
      <c r="S69" t="s">
        <v>36</v>
      </c>
      <c r="T69" t="s">
        <v>52</v>
      </c>
      <c r="U69">
        <v>71</v>
      </c>
      <c r="V69">
        <v>2.5600000000000001E-2</v>
      </c>
      <c r="W69">
        <v>24.7332962503278</v>
      </c>
      <c r="X69">
        <v>2487.1898141561078</v>
      </c>
      <c r="Y69">
        <v>9.0579999999999998</v>
      </c>
      <c r="Z69">
        <v>5.0099999999999999E-2</v>
      </c>
      <c r="AA69">
        <v>13.3978</v>
      </c>
    </row>
    <row r="70" spans="1:27" x14ac:dyDescent="0.3">
      <c r="A70" t="s">
        <v>36</v>
      </c>
      <c r="B70" t="s">
        <v>173</v>
      </c>
      <c r="C70">
        <v>71</v>
      </c>
      <c r="D70">
        <v>3.2399999999999998E-2</v>
      </c>
      <c r="E70">
        <v>25.18210128122222</v>
      </c>
      <c r="F70">
        <v>2529.7814115879892</v>
      </c>
      <c r="G70">
        <v>9.0579999999999998</v>
      </c>
      <c r="H70">
        <v>5.7000000000000002E-2</v>
      </c>
      <c r="I70">
        <v>13.599299999999999</v>
      </c>
      <c r="J70" t="s">
        <v>36</v>
      </c>
      <c r="K70" t="s">
        <v>174</v>
      </c>
      <c r="L70">
        <v>71</v>
      </c>
      <c r="M70">
        <v>3.2800000000000003E-2</v>
      </c>
      <c r="N70">
        <v>25.182977098042141</v>
      </c>
      <c r="O70">
        <v>2529.864526604199</v>
      </c>
      <c r="P70">
        <v>9.0579999999999998</v>
      </c>
      <c r="Q70">
        <v>5.7000000000000002E-2</v>
      </c>
      <c r="R70">
        <v>13.599299999999999</v>
      </c>
      <c r="S70" t="s">
        <v>36</v>
      </c>
      <c r="T70" t="s">
        <v>54</v>
      </c>
      <c r="U70">
        <v>71</v>
      </c>
      <c r="V70">
        <v>3.2199999999999999E-2</v>
      </c>
      <c r="W70">
        <v>25.180465612216871</v>
      </c>
      <c r="X70">
        <v>2529.6261865993811</v>
      </c>
      <c r="Y70">
        <v>9.0579999999999998</v>
      </c>
      <c r="Z70">
        <v>5.7000000000000002E-2</v>
      </c>
      <c r="AA70">
        <v>13.597429999999999</v>
      </c>
    </row>
    <row r="71" spans="1:27" x14ac:dyDescent="0.3">
      <c r="A71" t="s">
        <v>36</v>
      </c>
      <c r="B71" t="s">
        <v>175</v>
      </c>
      <c r="C71">
        <v>71</v>
      </c>
      <c r="D71">
        <v>4.0800000000000003E-2</v>
      </c>
      <c r="E71">
        <v>25.470090530620109</v>
      </c>
      <c r="F71">
        <v>2557.1115913558478</v>
      </c>
      <c r="G71">
        <v>9.0579999999999998</v>
      </c>
      <c r="H71">
        <v>6.1499999999999999E-2</v>
      </c>
      <c r="I71">
        <v>13.800629999999998</v>
      </c>
      <c r="J71" t="s">
        <v>36</v>
      </c>
      <c r="K71" t="s">
        <v>176</v>
      </c>
      <c r="L71">
        <v>71</v>
      </c>
      <c r="M71">
        <v>4.0800000000000003E-2</v>
      </c>
      <c r="N71">
        <v>25.470300969939341</v>
      </c>
      <c r="O71">
        <v>2557.1315620472442</v>
      </c>
      <c r="P71">
        <v>9.0579999999999998</v>
      </c>
      <c r="Q71">
        <v>6.1499999999999999E-2</v>
      </c>
      <c r="R71">
        <v>13.800629999999998</v>
      </c>
      <c r="S71" t="s">
        <v>36</v>
      </c>
      <c r="T71" t="s">
        <v>56</v>
      </c>
      <c r="U71">
        <v>71</v>
      </c>
      <c r="V71">
        <v>4.0599999999999997E-2</v>
      </c>
      <c r="W71">
        <v>25.468654758694491</v>
      </c>
      <c r="X71">
        <v>2556.9753366001069</v>
      </c>
      <c r="Y71">
        <v>9.0579999999999998</v>
      </c>
      <c r="Z71">
        <v>6.1499999999999999E-2</v>
      </c>
      <c r="AA71">
        <v>13.798159999999999</v>
      </c>
    </row>
    <row r="72" spans="1:27" x14ac:dyDescent="0.3">
      <c r="A72" t="s">
        <v>36</v>
      </c>
      <c r="B72" t="s">
        <v>177</v>
      </c>
      <c r="C72">
        <v>71</v>
      </c>
      <c r="D72">
        <v>4.7800000000000002E-2</v>
      </c>
      <c r="E72">
        <v>25.566618924710021</v>
      </c>
      <c r="F72">
        <v>2566.272135954981</v>
      </c>
      <c r="G72">
        <v>9.0579999999999998</v>
      </c>
      <c r="H72">
        <v>6.3E-2</v>
      </c>
      <c r="I72">
        <v>13.998649999999998</v>
      </c>
      <c r="J72" t="s">
        <v>36</v>
      </c>
      <c r="K72" t="s">
        <v>178</v>
      </c>
      <c r="L72">
        <v>71</v>
      </c>
      <c r="M72">
        <v>4.8399999999999999E-2</v>
      </c>
      <c r="N72">
        <v>25.566620141122279</v>
      </c>
      <c r="O72">
        <v>2566.2722513925041</v>
      </c>
      <c r="P72">
        <v>9.0579999999999998</v>
      </c>
      <c r="Q72">
        <v>6.3E-2</v>
      </c>
      <c r="R72">
        <v>13.998649999999998</v>
      </c>
      <c r="S72" t="s">
        <v>36</v>
      </c>
      <c r="T72" t="s">
        <v>58</v>
      </c>
      <c r="U72">
        <v>71</v>
      </c>
      <c r="V72">
        <v>4.7800000000000002E-2</v>
      </c>
      <c r="W72">
        <v>25.566609598882771</v>
      </c>
      <c r="X72">
        <v>2566.2712509339749</v>
      </c>
      <c r="Y72">
        <v>9.0579999999999998</v>
      </c>
      <c r="Z72">
        <v>6.3E-2</v>
      </c>
      <c r="AA72">
        <v>13.998990000000003</v>
      </c>
    </row>
    <row r="73" spans="1:27" x14ac:dyDescent="0.3">
      <c r="A73" t="s">
        <v>36</v>
      </c>
      <c r="B73" t="s">
        <v>179</v>
      </c>
      <c r="C73">
        <v>71</v>
      </c>
      <c r="D73">
        <v>5.3499999999999999E-2</v>
      </c>
      <c r="E73">
        <v>25.46648549018219</v>
      </c>
      <c r="F73">
        <v>2443.47644768498</v>
      </c>
      <c r="G73">
        <v>9.0579999999999998</v>
      </c>
      <c r="H73">
        <v>6.1400000000000003E-2</v>
      </c>
      <c r="I73">
        <v>14.198790000000002</v>
      </c>
      <c r="J73" t="s">
        <v>36</v>
      </c>
      <c r="K73" t="s">
        <v>180</v>
      </c>
      <c r="L73">
        <v>71</v>
      </c>
      <c r="M73">
        <v>5.2699999999999997E-2</v>
      </c>
      <c r="N73">
        <v>25.466942861188151</v>
      </c>
      <c r="O73">
        <v>2443.519074662735</v>
      </c>
      <c r="P73">
        <v>9.0579999999999998</v>
      </c>
      <c r="Q73">
        <v>6.1499999999999999E-2</v>
      </c>
      <c r="R73">
        <v>14.198790000000002</v>
      </c>
      <c r="S73" t="s">
        <v>36</v>
      </c>
      <c r="T73" t="s">
        <v>60</v>
      </c>
      <c r="U73">
        <v>71</v>
      </c>
      <c r="V73">
        <v>5.2999999999999999E-2</v>
      </c>
      <c r="W73">
        <v>25.463162251915492</v>
      </c>
      <c r="X73">
        <v>2443.1667218785242</v>
      </c>
      <c r="Y73">
        <v>9.0579999999999998</v>
      </c>
      <c r="Z73">
        <v>6.1400000000000003E-2</v>
      </c>
      <c r="AA73">
        <v>14.201139999999999</v>
      </c>
    </row>
    <row r="74" spans="1:27" x14ac:dyDescent="0.3">
      <c r="A74" t="s">
        <v>36</v>
      </c>
      <c r="B74" t="s">
        <v>181</v>
      </c>
      <c r="C74">
        <v>71</v>
      </c>
      <c r="D74">
        <v>5.4399999999999997E-2</v>
      </c>
      <c r="E74">
        <v>25.17509393572136</v>
      </c>
      <c r="F74">
        <v>2416.318754809231</v>
      </c>
      <c r="G74">
        <v>9.0579999999999998</v>
      </c>
      <c r="H74">
        <v>5.6899999999999999E-2</v>
      </c>
      <c r="I74">
        <v>14.400179999999999</v>
      </c>
      <c r="J74" t="s">
        <v>36</v>
      </c>
      <c r="K74" t="s">
        <v>182</v>
      </c>
      <c r="L74">
        <v>71</v>
      </c>
      <c r="M74">
        <v>5.3699999999999998E-2</v>
      </c>
      <c r="N74">
        <v>25.17602368015103</v>
      </c>
      <c r="O74">
        <v>2416.4054069900758</v>
      </c>
      <c r="P74">
        <v>9.0579999999999998</v>
      </c>
      <c r="Q74">
        <v>5.6899999999999999E-2</v>
      </c>
      <c r="R74">
        <v>14.400179999999999</v>
      </c>
      <c r="S74" t="s">
        <v>36</v>
      </c>
      <c r="T74" t="s">
        <v>62</v>
      </c>
      <c r="U74">
        <v>71</v>
      </c>
      <c r="V74">
        <v>5.3800000000000001E-2</v>
      </c>
      <c r="W74">
        <v>25.175402904432829</v>
      </c>
      <c r="X74">
        <v>2416.34755069314</v>
      </c>
      <c r="Y74">
        <v>9.0579999999999998</v>
      </c>
      <c r="Z74">
        <v>5.6899999999999999E-2</v>
      </c>
      <c r="AA74">
        <v>14.39903</v>
      </c>
    </row>
    <row r="75" spans="1:27" x14ac:dyDescent="0.3">
      <c r="A75" t="s">
        <v>36</v>
      </c>
      <c r="B75" t="s">
        <v>183</v>
      </c>
      <c r="C75">
        <v>71</v>
      </c>
      <c r="D75">
        <v>5.3499999999999999E-2</v>
      </c>
      <c r="E75">
        <v>24.726044405964721</v>
      </c>
      <c r="F75">
        <v>2374.4673386359118</v>
      </c>
      <c r="G75">
        <v>9.0579999999999998</v>
      </c>
      <c r="H75">
        <v>4.99E-2</v>
      </c>
      <c r="I75">
        <v>14.599759999999996</v>
      </c>
      <c r="J75" t="s">
        <v>36</v>
      </c>
      <c r="K75" t="s">
        <v>184</v>
      </c>
      <c r="L75">
        <v>71</v>
      </c>
      <c r="M75">
        <v>5.3199999999999997E-2</v>
      </c>
      <c r="N75">
        <v>24.72881863683596</v>
      </c>
      <c r="O75">
        <v>2374.7258969531122</v>
      </c>
      <c r="P75">
        <v>9.0579999999999998</v>
      </c>
      <c r="Q75">
        <v>0.05</v>
      </c>
      <c r="R75">
        <v>14.599759999999996</v>
      </c>
      <c r="S75" t="s">
        <v>36</v>
      </c>
      <c r="T75" t="s">
        <v>64</v>
      </c>
      <c r="U75">
        <v>71</v>
      </c>
      <c r="V75">
        <v>5.3100000000000001E-2</v>
      </c>
      <c r="W75">
        <v>24.725735437253249</v>
      </c>
      <c r="X75">
        <v>2374.4385427520019</v>
      </c>
      <c r="Y75">
        <v>9.0579999999999998</v>
      </c>
      <c r="Z75">
        <v>4.99E-2</v>
      </c>
      <c r="AA75">
        <v>14.598890000000001</v>
      </c>
    </row>
    <row r="76" spans="1:27" x14ac:dyDescent="0.3">
      <c r="A76" t="s">
        <v>36</v>
      </c>
      <c r="B76" t="s">
        <v>185</v>
      </c>
      <c r="C76">
        <v>71</v>
      </c>
      <c r="D76">
        <v>5.11E-2</v>
      </c>
      <c r="E76">
        <v>24.162217054603829</v>
      </c>
      <c r="F76">
        <v>2321.9186294890769</v>
      </c>
      <c r="G76">
        <v>9.0579999999999998</v>
      </c>
      <c r="H76">
        <v>4.1200000000000001E-2</v>
      </c>
      <c r="I76">
        <v>14.799039999999998</v>
      </c>
      <c r="J76" t="s">
        <v>36</v>
      </c>
      <c r="K76" t="s">
        <v>186</v>
      </c>
      <c r="L76">
        <v>71</v>
      </c>
      <c r="M76">
        <v>5.16E-2</v>
      </c>
      <c r="N76">
        <v>24.163296417740231</v>
      </c>
      <c r="O76">
        <v>2322.0192261333891</v>
      </c>
      <c r="P76">
        <v>9.0579999999999998</v>
      </c>
      <c r="Q76">
        <v>4.1200000000000001E-2</v>
      </c>
      <c r="R76">
        <v>14.799039999999998</v>
      </c>
      <c r="S76" t="s">
        <v>36</v>
      </c>
      <c r="T76" t="s">
        <v>66</v>
      </c>
      <c r="U76">
        <v>71</v>
      </c>
      <c r="V76">
        <v>5.0900000000000001E-2</v>
      </c>
      <c r="W76">
        <v>24.164149933668899</v>
      </c>
      <c r="X76">
        <v>2322.0987738179419</v>
      </c>
      <c r="Y76">
        <v>9.0579999999999998</v>
      </c>
      <c r="Z76">
        <v>4.1200000000000001E-2</v>
      </c>
      <c r="AA76">
        <v>14.797410000000003</v>
      </c>
    </row>
    <row r="77" spans="1:27" x14ac:dyDescent="0.3">
      <c r="A77" t="s">
        <v>36</v>
      </c>
      <c r="B77" t="s">
        <v>187</v>
      </c>
      <c r="C77">
        <v>71</v>
      </c>
      <c r="D77">
        <v>4.5400000000000003E-2</v>
      </c>
      <c r="E77">
        <v>23.538510999300669</v>
      </c>
      <c r="F77">
        <v>2263.789225134823</v>
      </c>
      <c r="G77">
        <v>9.0579999999999998</v>
      </c>
      <c r="H77">
        <v>3.15E-2</v>
      </c>
      <c r="I77">
        <v>14.998109999999997</v>
      </c>
      <c r="J77" t="s">
        <v>36</v>
      </c>
      <c r="K77" t="s">
        <v>188</v>
      </c>
      <c r="L77">
        <v>71</v>
      </c>
      <c r="M77">
        <v>4.6199999999999998E-2</v>
      </c>
      <c r="N77">
        <v>23.527410426578939</v>
      </c>
      <c r="O77">
        <v>2262.7546517571568</v>
      </c>
      <c r="P77">
        <v>9.0579999999999998</v>
      </c>
      <c r="Q77">
        <v>3.1300000000000001E-2</v>
      </c>
      <c r="R77">
        <v>14.998109999999997</v>
      </c>
      <c r="S77" t="s">
        <v>36</v>
      </c>
      <c r="T77" t="s">
        <v>68</v>
      </c>
      <c r="U77">
        <v>71</v>
      </c>
      <c r="V77">
        <v>4.5600000000000002E-2</v>
      </c>
      <c r="W77">
        <v>23.536025869074152</v>
      </c>
      <c r="X77">
        <v>2263.557610997711</v>
      </c>
      <c r="Y77">
        <v>9.0579999999999998</v>
      </c>
      <c r="Z77">
        <v>3.1399999999999997E-2</v>
      </c>
      <c r="AA77">
        <v>14.997899999999998</v>
      </c>
    </row>
    <row r="78" spans="1:27" x14ac:dyDescent="0.3">
      <c r="A78" t="s">
        <v>36</v>
      </c>
      <c r="B78" t="s">
        <v>189</v>
      </c>
      <c r="C78">
        <v>71</v>
      </c>
      <c r="D78">
        <v>3.78E-2</v>
      </c>
      <c r="E78">
        <v>22.899293254986929</v>
      </c>
      <c r="F78">
        <v>2204.2141313647821</v>
      </c>
      <c r="G78">
        <v>9.0579999999999998</v>
      </c>
      <c r="H78">
        <v>2.1600000000000001E-2</v>
      </c>
      <c r="I78">
        <v>15.202329999999996</v>
      </c>
      <c r="J78" t="s">
        <v>36</v>
      </c>
      <c r="K78" t="s">
        <v>190</v>
      </c>
      <c r="L78">
        <v>71</v>
      </c>
      <c r="M78">
        <v>3.8300000000000001E-2</v>
      </c>
      <c r="N78">
        <v>22.89557873744652</v>
      </c>
      <c r="O78">
        <v>2203.8679383300159</v>
      </c>
      <c r="P78">
        <v>9.0579999999999998</v>
      </c>
      <c r="Q78">
        <v>2.1499999999999998E-2</v>
      </c>
      <c r="R78">
        <v>15.202329999999996</v>
      </c>
      <c r="S78" t="s">
        <v>36</v>
      </c>
      <c r="T78" t="s">
        <v>70</v>
      </c>
      <c r="U78">
        <v>71</v>
      </c>
      <c r="V78">
        <v>3.8199999999999998E-2</v>
      </c>
      <c r="W78">
        <v>22.907589186531169</v>
      </c>
      <c r="X78">
        <v>2204.9873121847049</v>
      </c>
      <c r="Y78">
        <v>9.0579999999999998</v>
      </c>
      <c r="Z78">
        <v>2.1700000000000001E-2</v>
      </c>
      <c r="AA78">
        <v>15.198589999999999</v>
      </c>
    </row>
    <row r="79" spans="1:27" x14ac:dyDescent="0.3">
      <c r="A79" t="s">
        <v>36</v>
      </c>
      <c r="B79" t="s">
        <v>191</v>
      </c>
      <c r="C79">
        <v>71</v>
      </c>
      <c r="D79">
        <v>2.98E-2</v>
      </c>
      <c r="E79">
        <v>22.34177097378797</v>
      </c>
      <c r="F79">
        <v>2152.2530547570391</v>
      </c>
      <c r="G79">
        <v>9.0579999999999998</v>
      </c>
      <c r="H79">
        <v>1.29E-2</v>
      </c>
      <c r="I79">
        <v>15.40014</v>
      </c>
      <c r="J79" t="s">
        <v>36</v>
      </c>
      <c r="K79" t="s">
        <v>192</v>
      </c>
      <c r="L79">
        <v>71</v>
      </c>
      <c r="M79">
        <v>3.0300000000000001E-2</v>
      </c>
      <c r="N79">
        <v>22.34107599692253</v>
      </c>
      <c r="O79">
        <v>2152.18828291318</v>
      </c>
      <c r="P79">
        <v>9.0579999999999998</v>
      </c>
      <c r="Q79">
        <v>1.29E-2</v>
      </c>
      <c r="R79">
        <v>15.40014</v>
      </c>
      <c r="S79" t="s">
        <v>36</v>
      </c>
      <c r="T79" t="s">
        <v>72</v>
      </c>
      <c r="U79">
        <v>71</v>
      </c>
      <c r="V79">
        <v>2.9700000000000001E-2</v>
      </c>
      <c r="W79">
        <v>22.346810569739251</v>
      </c>
      <c r="X79">
        <v>2152.7227450996979</v>
      </c>
      <c r="Y79">
        <v>9.0579999999999998</v>
      </c>
      <c r="Z79">
        <v>1.2999999999999999E-2</v>
      </c>
      <c r="AA79">
        <v>15.397189999999998</v>
      </c>
    </row>
    <row r="80" spans="1:27" x14ac:dyDescent="0.3">
      <c r="A80" t="s">
        <v>36</v>
      </c>
      <c r="B80" t="s">
        <v>193</v>
      </c>
      <c r="C80">
        <v>71</v>
      </c>
      <c r="D80">
        <v>2.1600000000000001E-2</v>
      </c>
      <c r="E80">
        <v>21.897578010486079</v>
      </c>
      <c r="F80">
        <v>2110.854270577302</v>
      </c>
      <c r="G80">
        <v>9.0579999999999998</v>
      </c>
      <c r="H80">
        <v>6.0000000000000001E-3</v>
      </c>
      <c r="I80">
        <v>15.598680000000002</v>
      </c>
      <c r="J80" t="s">
        <v>36</v>
      </c>
      <c r="K80" t="s">
        <v>194</v>
      </c>
      <c r="L80">
        <v>71</v>
      </c>
      <c r="M80">
        <v>2.1299999999999999E-2</v>
      </c>
      <c r="N80">
        <v>21.89882969869122</v>
      </c>
      <c r="O80">
        <v>2110.970927918022</v>
      </c>
      <c r="P80">
        <v>9.0579999999999998</v>
      </c>
      <c r="Q80">
        <v>6.0000000000000001E-3</v>
      </c>
      <c r="R80">
        <v>15.598680000000002</v>
      </c>
      <c r="S80" t="s">
        <v>36</v>
      </c>
      <c r="T80" t="s">
        <v>74</v>
      </c>
      <c r="U80">
        <v>71</v>
      </c>
      <c r="V80">
        <v>2.1700000000000001E-2</v>
      </c>
      <c r="W80">
        <v>21.89853905725764</v>
      </c>
      <c r="X80">
        <v>2110.9438401364118</v>
      </c>
      <c r="Y80">
        <v>9.0579999999999998</v>
      </c>
      <c r="Z80">
        <v>6.0000000000000001E-3</v>
      </c>
      <c r="AA80">
        <v>15.597179999999998</v>
      </c>
    </row>
    <row r="81" spans="1:27" x14ac:dyDescent="0.3">
      <c r="A81" t="s">
        <v>36</v>
      </c>
      <c r="B81" t="s">
        <v>195</v>
      </c>
      <c r="C81">
        <v>71</v>
      </c>
      <c r="D81">
        <v>1.32E-2</v>
      </c>
      <c r="E81">
        <v>21.610023750108748</v>
      </c>
      <c r="F81">
        <v>2084.054213510135</v>
      </c>
      <c r="G81">
        <v>9.0579999999999998</v>
      </c>
      <c r="H81">
        <v>1.5E-3</v>
      </c>
      <c r="I81">
        <v>15.799009999999996</v>
      </c>
      <c r="J81" t="s">
        <v>36</v>
      </c>
      <c r="K81" t="s">
        <v>196</v>
      </c>
      <c r="L81">
        <v>71</v>
      </c>
      <c r="M81">
        <v>1.17E-2</v>
      </c>
      <c r="N81">
        <v>21.607601548942618</v>
      </c>
      <c r="O81">
        <v>2083.828464361452</v>
      </c>
      <c r="P81">
        <v>9.0579999999999998</v>
      </c>
      <c r="Q81">
        <v>1.5E-3</v>
      </c>
      <c r="R81">
        <v>15.799009999999996</v>
      </c>
      <c r="S81" t="s">
        <v>36</v>
      </c>
      <c r="T81" t="s">
        <v>76</v>
      </c>
      <c r="U81">
        <v>71</v>
      </c>
      <c r="V81">
        <v>1.21E-2</v>
      </c>
      <c r="W81">
        <v>21.610630009974091</v>
      </c>
      <c r="X81">
        <v>2084.110716929586</v>
      </c>
      <c r="Y81">
        <v>9.0579999999999998</v>
      </c>
      <c r="Z81">
        <v>1.5E-3</v>
      </c>
      <c r="AA81">
        <v>15.7974</v>
      </c>
    </row>
    <row r="82" spans="1:27" x14ac:dyDescent="0.3">
      <c r="A82" t="s">
        <v>36</v>
      </c>
      <c r="B82" t="s">
        <v>197</v>
      </c>
      <c r="C82">
        <v>71</v>
      </c>
      <c r="D82">
        <v>5.3E-3</v>
      </c>
      <c r="E82">
        <v>21.51191993482556</v>
      </c>
      <c r="F82">
        <v>2074.910937925742</v>
      </c>
      <c r="G82">
        <v>9.0579999999999998</v>
      </c>
      <c r="H82">
        <v>0</v>
      </c>
      <c r="I82">
        <v>15.999519999999997</v>
      </c>
      <c r="J82" t="s">
        <v>36</v>
      </c>
      <c r="K82" t="s">
        <v>198</v>
      </c>
      <c r="L82">
        <v>71</v>
      </c>
      <c r="M82">
        <v>4.7000000000000002E-3</v>
      </c>
      <c r="N82">
        <v>21.511939994217741</v>
      </c>
      <c r="O82">
        <v>2074.912807461094</v>
      </c>
      <c r="P82">
        <v>9.0579999999999998</v>
      </c>
      <c r="Q82">
        <v>0</v>
      </c>
      <c r="R82">
        <v>15.999519999999997</v>
      </c>
      <c r="S82" t="s">
        <v>36</v>
      </c>
      <c r="T82" t="s">
        <v>78</v>
      </c>
      <c r="U82">
        <v>71</v>
      </c>
      <c r="V82">
        <v>5.1000000000000004E-3</v>
      </c>
      <c r="W82">
        <v>21.511913167803868</v>
      </c>
      <c r="X82">
        <v>2074.9103072393209</v>
      </c>
      <c r="Y82">
        <v>9.0579999999999998</v>
      </c>
      <c r="Z82">
        <v>0</v>
      </c>
      <c r="AA82">
        <v>15.997130000000002</v>
      </c>
    </row>
    <row r="83" spans="1:27" x14ac:dyDescent="0.3">
      <c r="A83" t="s">
        <v>36</v>
      </c>
      <c r="B83" t="s">
        <v>199</v>
      </c>
      <c r="C83">
        <v>71</v>
      </c>
      <c r="D83">
        <v>-2.5999999999999999E-3</v>
      </c>
      <c r="E83">
        <v>21.614215709457241</v>
      </c>
      <c r="F83">
        <v>2191.1890708274918</v>
      </c>
      <c r="G83">
        <v>9.0579999999999998</v>
      </c>
      <c r="H83">
        <v>1.6000000000000001E-3</v>
      </c>
      <c r="I83">
        <v>16.200969999999998</v>
      </c>
      <c r="J83" t="s">
        <v>36</v>
      </c>
      <c r="K83" t="s">
        <v>160</v>
      </c>
      <c r="L83">
        <v>71</v>
      </c>
      <c r="M83">
        <v>-2.8E-3</v>
      </c>
      <c r="N83">
        <v>21.613012839930398</v>
      </c>
      <c r="O83">
        <v>2191.074918509395</v>
      </c>
      <c r="P83">
        <v>9.0579999999999998</v>
      </c>
      <c r="Q83">
        <v>1.6000000000000001E-3</v>
      </c>
      <c r="R83">
        <v>16.200969999999998</v>
      </c>
      <c r="S83" t="s">
        <v>36</v>
      </c>
      <c r="T83" t="s">
        <v>80</v>
      </c>
      <c r="U83">
        <v>71</v>
      </c>
      <c r="V83">
        <v>-2.5000000000000001E-3</v>
      </c>
      <c r="W83">
        <v>21.613255757456709</v>
      </c>
      <c r="X83">
        <v>2191.0979713826409</v>
      </c>
      <c r="Y83">
        <v>9.0579999999999998</v>
      </c>
      <c r="Z83">
        <v>1.6000000000000001E-3</v>
      </c>
      <c r="AA83">
        <v>16.199020000000001</v>
      </c>
    </row>
    <row r="84" spans="1:27" x14ac:dyDescent="0.3">
      <c r="A84" t="s">
        <v>36</v>
      </c>
      <c r="B84" t="s">
        <v>200</v>
      </c>
      <c r="C84">
        <v>71</v>
      </c>
      <c r="D84">
        <v>-8.0000000000000004E-4</v>
      </c>
      <c r="E84">
        <v>21.90565977238019</v>
      </c>
      <c r="F84">
        <v>2218.8471123988802</v>
      </c>
      <c r="G84">
        <v>9.0579999999999998</v>
      </c>
      <c r="H84">
        <v>6.1000000000000004E-3</v>
      </c>
      <c r="I84">
        <v>16.401359999999997</v>
      </c>
      <c r="J84" t="s">
        <v>36</v>
      </c>
      <c r="K84" t="s">
        <v>162</v>
      </c>
      <c r="L84">
        <v>71</v>
      </c>
      <c r="M84">
        <v>-2.3E-3</v>
      </c>
      <c r="N84">
        <v>21.902983057224311</v>
      </c>
      <c r="O84">
        <v>2218.5930921305871</v>
      </c>
      <c r="P84">
        <v>9.0579999999999998</v>
      </c>
      <c r="Q84">
        <v>6.1000000000000004E-3</v>
      </c>
      <c r="R84">
        <v>16.401359999999997</v>
      </c>
      <c r="S84" t="s">
        <v>36</v>
      </c>
      <c r="T84" t="s">
        <v>82</v>
      </c>
      <c r="U84">
        <v>71</v>
      </c>
      <c r="V84">
        <v>-2.2000000000000001E-3</v>
      </c>
      <c r="W84">
        <v>21.905665935535591</v>
      </c>
      <c r="X84">
        <v>2218.8476972823269</v>
      </c>
      <c r="Y84">
        <v>9.0579999999999998</v>
      </c>
      <c r="Z84">
        <v>6.1000000000000004E-3</v>
      </c>
      <c r="AA84">
        <v>16.400369999999999</v>
      </c>
    </row>
    <row r="85" spans="1:27" x14ac:dyDescent="0.3">
      <c r="A85" t="s">
        <v>36</v>
      </c>
      <c r="B85" t="s">
        <v>201</v>
      </c>
      <c r="C85">
        <v>71</v>
      </c>
      <c r="D85">
        <v>-1E-4</v>
      </c>
      <c r="E85">
        <v>22.351443883999082</v>
      </c>
      <c r="F85">
        <v>2261.1520245915131</v>
      </c>
      <c r="G85">
        <v>9.0579999999999998</v>
      </c>
      <c r="H85">
        <v>1.2999999999999999E-2</v>
      </c>
      <c r="I85">
        <v>16.599350000000001</v>
      </c>
      <c r="J85" t="s">
        <v>36</v>
      </c>
      <c r="K85" t="s">
        <v>164</v>
      </c>
      <c r="L85">
        <v>71</v>
      </c>
      <c r="M85">
        <v>-8.9999999999999998E-4</v>
      </c>
      <c r="N85">
        <v>22.354828753819771</v>
      </c>
      <c r="O85">
        <v>2261.4732487374972</v>
      </c>
      <c r="P85">
        <v>9.0579999999999998</v>
      </c>
      <c r="Q85">
        <v>1.3100000000000001E-2</v>
      </c>
      <c r="R85">
        <v>16.599350000000001</v>
      </c>
      <c r="S85" t="s">
        <v>36</v>
      </c>
      <c r="T85" t="s">
        <v>84</v>
      </c>
      <c r="U85">
        <v>71</v>
      </c>
      <c r="V85">
        <v>-1E-3</v>
      </c>
      <c r="W85">
        <v>22.351809618615551</v>
      </c>
      <c r="X85">
        <v>2261.186732806616</v>
      </c>
      <c r="Y85">
        <v>9.0579999999999998</v>
      </c>
      <c r="Z85">
        <v>1.2999999999999999E-2</v>
      </c>
      <c r="AA85">
        <v>16.598499999999998</v>
      </c>
    </row>
    <row r="86" spans="1:27" x14ac:dyDescent="0.3">
      <c r="A86" t="s">
        <v>36</v>
      </c>
      <c r="B86" t="s">
        <v>202</v>
      </c>
      <c r="C86">
        <v>71</v>
      </c>
      <c r="D86">
        <v>3.3999999999999998E-3</v>
      </c>
      <c r="E86">
        <v>22.91320657830116</v>
      </c>
      <c r="F86">
        <v>2314.46330428078</v>
      </c>
      <c r="G86">
        <v>9.0579999999999998</v>
      </c>
      <c r="H86">
        <v>2.18E-2</v>
      </c>
      <c r="I86">
        <v>16.798009999999998</v>
      </c>
      <c r="J86" t="s">
        <v>36</v>
      </c>
      <c r="K86" t="s">
        <v>166</v>
      </c>
      <c r="L86">
        <v>71</v>
      </c>
      <c r="M86">
        <v>4.4999999999999997E-3</v>
      </c>
      <c r="N86">
        <v>22.91870881637816</v>
      </c>
      <c r="O86">
        <v>2314.9854666742872</v>
      </c>
      <c r="P86">
        <v>9.0579999999999998</v>
      </c>
      <c r="Q86">
        <v>2.1899999999999999E-2</v>
      </c>
      <c r="R86">
        <v>16.798009999999998</v>
      </c>
      <c r="S86" t="s">
        <v>36</v>
      </c>
      <c r="T86" t="s">
        <v>86</v>
      </c>
      <c r="U86">
        <v>71</v>
      </c>
      <c r="V86">
        <v>3.5999999999999999E-3</v>
      </c>
      <c r="W86">
        <v>22.917197221422299</v>
      </c>
      <c r="X86">
        <v>2314.8420163129758</v>
      </c>
      <c r="Y86">
        <v>9.0579999999999998</v>
      </c>
      <c r="Z86">
        <v>2.18E-2</v>
      </c>
      <c r="AA86">
        <v>16.79834</v>
      </c>
    </row>
    <row r="87" spans="1:27" x14ac:dyDescent="0.3">
      <c r="A87" t="s">
        <v>36</v>
      </c>
      <c r="B87" t="s">
        <v>203</v>
      </c>
      <c r="C87">
        <v>71</v>
      </c>
      <c r="D87">
        <v>9.4999999999999998E-3</v>
      </c>
      <c r="E87">
        <v>23.5425616520928</v>
      </c>
      <c r="F87">
        <v>2374.189100783607</v>
      </c>
      <c r="G87">
        <v>9.0579999999999998</v>
      </c>
      <c r="H87">
        <v>3.1600000000000003E-2</v>
      </c>
      <c r="I87">
        <v>16.998899999999999</v>
      </c>
      <c r="J87" t="s">
        <v>36</v>
      </c>
      <c r="K87" t="s">
        <v>168</v>
      </c>
      <c r="L87">
        <v>71</v>
      </c>
      <c r="M87">
        <v>0.01</v>
      </c>
      <c r="N87">
        <v>23.54067986234222</v>
      </c>
      <c r="O87">
        <v>2374.0105189362771</v>
      </c>
      <c r="P87">
        <v>9.0579999999999998</v>
      </c>
      <c r="Q87">
        <v>3.15E-2</v>
      </c>
      <c r="R87">
        <v>16.998899999999999</v>
      </c>
      <c r="S87" t="s">
        <v>36</v>
      </c>
      <c r="T87" t="s">
        <v>88</v>
      </c>
      <c r="U87">
        <v>71</v>
      </c>
      <c r="V87">
        <v>1.0200000000000001E-2</v>
      </c>
      <c r="W87">
        <v>23.54688761952416</v>
      </c>
      <c r="X87">
        <v>2374.5996350928431</v>
      </c>
      <c r="Y87">
        <v>9.0579999999999998</v>
      </c>
      <c r="Z87">
        <v>3.1600000000000003E-2</v>
      </c>
      <c r="AA87">
        <v>16.999269999999999</v>
      </c>
    </row>
    <row r="88" spans="1:27" x14ac:dyDescent="0.3">
      <c r="A88" t="s">
        <v>36</v>
      </c>
      <c r="B88" t="s">
        <v>204</v>
      </c>
      <c r="C88">
        <v>71</v>
      </c>
      <c r="D88">
        <v>1.6799999999999999E-2</v>
      </c>
      <c r="E88">
        <v>24.166033750773231</v>
      </c>
      <c r="F88">
        <v>2433.35660294838</v>
      </c>
      <c r="G88">
        <v>9.0579999999999998</v>
      </c>
      <c r="H88">
        <v>4.1200000000000001E-2</v>
      </c>
      <c r="I88">
        <v>17.197960000000002</v>
      </c>
      <c r="J88" t="s">
        <v>36</v>
      </c>
      <c r="K88" t="s">
        <v>170</v>
      </c>
      <c r="L88">
        <v>71</v>
      </c>
      <c r="M88">
        <v>1.6899999999999998E-2</v>
      </c>
      <c r="N88">
        <v>24.173131921722081</v>
      </c>
      <c r="O88">
        <v>2434.0302193714251</v>
      </c>
      <c r="P88">
        <v>9.0579999999999998</v>
      </c>
      <c r="Q88">
        <v>4.1300000000000003E-2</v>
      </c>
      <c r="R88">
        <v>17.197960000000002</v>
      </c>
      <c r="S88" t="s">
        <v>36</v>
      </c>
      <c r="T88" t="s">
        <v>90</v>
      </c>
      <c r="U88">
        <v>71</v>
      </c>
      <c r="V88">
        <v>1.7299999999999999E-2</v>
      </c>
      <c r="W88">
        <v>24.171475979179231</v>
      </c>
      <c r="X88">
        <v>2433.8730704241088</v>
      </c>
      <c r="Y88">
        <v>9.0579999999999998</v>
      </c>
      <c r="Z88">
        <v>4.1300000000000003E-2</v>
      </c>
      <c r="AA88">
        <v>17.19877</v>
      </c>
    </row>
    <row r="89" spans="1:27" x14ac:dyDescent="0.3">
      <c r="A89" t="s">
        <v>36</v>
      </c>
      <c r="B89" t="s">
        <v>205</v>
      </c>
      <c r="C89">
        <v>71</v>
      </c>
      <c r="D89">
        <v>2.4799999999999999E-2</v>
      </c>
      <c r="E89">
        <v>24.732798737717602</v>
      </c>
      <c r="F89">
        <v>2487.1426002093999</v>
      </c>
      <c r="G89">
        <v>9.0579999999999998</v>
      </c>
      <c r="H89">
        <v>0.05</v>
      </c>
      <c r="I89">
        <v>17.398600000000002</v>
      </c>
      <c r="J89" t="s">
        <v>36</v>
      </c>
      <c r="K89" t="s">
        <v>172</v>
      </c>
      <c r="L89">
        <v>71</v>
      </c>
      <c r="M89">
        <v>2.4400000000000002E-2</v>
      </c>
      <c r="N89">
        <v>24.73367171624227</v>
      </c>
      <c r="O89">
        <v>2487.225445871391</v>
      </c>
      <c r="P89">
        <v>9.0579999999999998</v>
      </c>
      <c r="Q89">
        <v>5.0099999999999999E-2</v>
      </c>
      <c r="R89">
        <v>17.398600000000002</v>
      </c>
      <c r="S89" t="s">
        <v>36</v>
      </c>
      <c r="T89" t="s">
        <v>92</v>
      </c>
      <c r="U89">
        <v>71</v>
      </c>
      <c r="V89">
        <v>2.46E-2</v>
      </c>
      <c r="W89">
        <v>24.735799221267321</v>
      </c>
      <c r="X89">
        <v>2487.427346098269</v>
      </c>
      <c r="Y89">
        <v>9.0579999999999998</v>
      </c>
      <c r="Z89">
        <v>5.0099999999999999E-2</v>
      </c>
      <c r="AA89">
        <v>17.398779999999999</v>
      </c>
    </row>
    <row r="90" spans="1:27" x14ac:dyDescent="0.3">
      <c r="A90" t="s">
        <v>36</v>
      </c>
      <c r="B90" t="s">
        <v>206</v>
      </c>
      <c r="C90">
        <v>71</v>
      </c>
      <c r="D90">
        <v>3.2599999999999997E-2</v>
      </c>
      <c r="E90">
        <v>25.184620065520988</v>
      </c>
      <c r="F90">
        <v>2530.020444217942</v>
      </c>
      <c r="G90">
        <v>9.0579999999999998</v>
      </c>
      <c r="H90">
        <v>5.7099999999999998E-2</v>
      </c>
      <c r="I90">
        <v>17.600650000000002</v>
      </c>
      <c r="J90" t="s">
        <v>36</v>
      </c>
      <c r="K90" t="s">
        <v>174</v>
      </c>
      <c r="L90">
        <v>71</v>
      </c>
      <c r="M90">
        <v>3.2800000000000003E-2</v>
      </c>
      <c r="N90">
        <v>25.182977098042141</v>
      </c>
      <c r="O90">
        <v>2529.864526604199</v>
      </c>
      <c r="P90">
        <v>9.0579999999999998</v>
      </c>
      <c r="Q90">
        <v>5.7000000000000002E-2</v>
      </c>
      <c r="R90">
        <v>17.600650000000002</v>
      </c>
      <c r="S90" t="s">
        <v>36</v>
      </c>
      <c r="T90" t="s">
        <v>94</v>
      </c>
      <c r="U90">
        <v>71</v>
      </c>
      <c r="V90">
        <v>3.3700000000000001E-2</v>
      </c>
      <c r="W90">
        <v>25.184084033189539</v>
      </c>
      <c r="X90">
        <v>2529.969574749688</v>
      </c>
      <c r="Y90">
        <v>9.0579999999999998</v>
      </c>
      <c r="Z90">
        <v>5.7099999999999998E-2</v>
      </c>
      <c r="AA90">
        <v>17.599370000000004</v>
      </c>
    </row>
    <row r="91" spans="1:27" x14ac:dyDescent="0.3">
      <c r="A91" t="s">
        <v>36</v>
      </c>
      <c r="B91" t="s">
        <v>207</v>
      </c>
      <c r="C91">
        <v>71</v>
      </c>
      <c r="D91">
        <v>4.1700000000000001E-2</v>
      </c>
      <c r="E91">
        <v>25.46894021010246</v>
      </c>
      <c r="F91">
        <v>2557.0024259387242</v>
      </c>
      <c r="G91">
        <v>9.0579999999999998</v>
      </c>
      <c r="H91">
        <v>6.1499999999999999E-2</v>
      </c>
      <c r="I91">
        <v>17.799439999999997</v>
      </c>
      <c r="J91" t="s">
        <v>36</v>
      </c>
      <c r="K91" t="s">
        <v>176</v>
      </c>
      <c r="L91">
        <v>71</v>
      </c>
      <c r="M91">
        <v>4.0800000000000003E-2</v>
      </c>
      <c r="N91">
        <v>25.470300969939341</v>
      </c>
      <c r="O91">
        <v>2557.1315620472442</v>
      </c>
      <c r="P91">
        <v>9.0579999999999998</v>
      </c>
      <c r="Q91">
        <v>6.1499999999999999E-2</v>
      </c>
      <c r="R91">
        <v>17.799439999999997</v>
      </c>
      <c r="S91" t="s">
        <v>36</v>
      </c>
      <c r="T91" t="s">
        <v>96</v>
      </c>
      <c r="U91">
        <v>71</v>
      </c>
      <c r="V91">
        <v>4.0399999999999998E-2</v>
      </c>
      <c r="W91">
        <v>25.470617642595059</v>
      </c>
      <c r="X91">
        <v>2557.1616142822718</v>
      </c>
      <c r="Y91">
        <v>9.0579999999999998</v>
      </c>
      <c r="Z91">
        <v>6.1499999999999999E-2</v>
      </c>
      <c r="AA91">
        <v>17.800180000000001</v>
      </c>
    </row>
    <row r="92" spans="1:27" x14ac:dyDescent="0.3">
      <c r="A92" t="s">
        <v>36</v>
      </c>
      <c r="B92" t="s">
        <v>208</v>
      </c>
      <c r="C92">
        <v>71</v>
      </c>
      <c r="D92">
        <v>4.7800000000000002E-2</v>
      </c>
      <c r="E92">
        <v>25.566620546593018</v>
      </c>
      <c r="F92">
        <v>2566.2722898716779</v>
      </c>
      <c r="G92">
        <v>9.0579999999999998</v>
      </c>
      <c r="H92">
        <v>6.3E-2</v>
      </c>
      <c r="I92">
        <v>17.998010000000001</v>
      </c>
      <c r="J92" t="s">
        <v>36</v>
      </c>
      <c r="K92" t="s">
        <v>178</v>
      </c>
      <c r="L92">
        <v>71</v>
      </c>
      <c r="M92">
        <v>4.8399999999999999E-2</v>
      </c>
      <c r="N92">
        <v>25.566620141122279</v>
      </c>
      <c r="O92">
        <v>2566.2722513925041</v>
      </c>
      <c r="P92">
        <v>9.0579999999999998</v>
      </c>
      <c r="Q92">
        <v>6.3E-2</v>
      </c>
      <c r="R92">
        <v>17.998010000000001</v>
      </c>
      <c r="S92" t="s">
        <v>36</v>
      </c>
      <c r="T92" t="s">
        <v>98</v>
      </c>
      <c r="U92">
        <v>71</v>
      </c>
      <c r="V92">
        <v>4.7100000000000003E-2</v>
      </c>
      <c r="W92">
        <v>25.566605544175271</v>
      </c>
      <c r="X92">
        <v>2566.270866142233</v>
      </c>
      <c r="Y92">
        <v>9.0579999999999998</v>
      </c>
      <c r="Z92">
        <v>6.3E-2</v>
      </c>
      <c r="AA92">
        <v>17.999330000000004</v>
      </c>
    </row>
    <row r="93" spans="1:27" x14ac:dyDescent="0.3">
      <c r="A93" t="s">
        <v>36</v>
      </c>
      <c r="B93" t="s">
        <v>209</v>
      </c>
      <c r="C93">
        <v>71</v>
      </c>
      <c r="D93">
        <v>5.2900000000000003E-2</v>
      </c>
      <c r="E93">
        <v>25.46486685094834</v>
      </c>
      <c r="F93">
        <v>2443.3255905083852</v>
      </c>
      <c r="G93">
        <v>9.0579999999999998</v>
      </c>
      <c r="H93">
        <v>6.1400000000000003E-2</v>
      </c>
      <c r="I93">
        <v>18.200420000000001</v>
      </c>
      <c r="J93" t="s">
        <v>36</v>
      </c>
      <c r="K93" t="s">
        <v>180</v>
      </c>
      <c r="L93">
        <v>71</v>
      </c>
      <c r="M93">
        <v>5.2699999999999997E-2</v>
      </c>
      <c r="N93">
        <v>25.466942861188151</v>
      </c>
      <c r="O93">
        <v>2443.519074662735</v>
      </c>
      <c r="P93">
        <v>9.0579999999999998</v>
      </c>
      <c r="Q93">
        <v>6.1499999999999999E-2</v>
      </c>
      <c r="R93">
        <v>18.200420000000001</v>
      </c>
      <c r="S93" t="s">
        <v>36</v>
      </c>
      <c r="T93" t="s">
        <v>100</v>
      </c>
      <c r="U93">
        <v>71</v>
      </c>
      <c r="V93">
        <v>5.2499999999999998E-2</v>
      </c>
      <c r="W93">
        <v>25.466134757983468</v>
      </c>
      <c r="X93">
        <v>2443.4437594440601</v>
      </c>
      <c r="Y93">
        <v>9.0579999999999998</v>
      </c>
      <c r="Z93">
        <v>6.1400000000000003E-2</v>
      </c>
      <c r="AA93">
        <v>18.198150000000002</v>
      </c>
    </row>
    <row r="94" spans="1:27" x14ac:dyDescent="0.3">
      <c r="A94" t="s">
        <v>36</v>
      </c>
      <c r="B94" t="s">
        <v>210</v>
      </c>
      <c r="C94">
        <v>71</v>
      </c>
      <c r="D94">
        <v>5.3699999999999998E-2</v>
      </c>
      <c r="E94">
        <v>25.176241012473</v>
      </c>
      <c r="F94">
        <v>2416.4256623624842</v>
      </c>
      <c r="G94">
        <v>9.0579999999999998</v>
      </c>
      <c r="H94">
        <v>5.6899999999999999E-2</v>
      </c>
      <c r="I94">
        <v>18.399569999999997</v>
      </c>
      <c r="J94" t="s">
        <v>36</v>
      </c>
      <c r="K94" t="s">
        <v>182</v>
      </c>
      <c r="L94">
        <v>71</v>
      </c>
      <c r="M94">
        <v>5.3699999999999998E-2</v>
      </c>
      <c r="N94">
        <v>25.17602368015103</v>
      </c>
      <c r="O94">
        <v>2416.4054069900758</v>
      </c>
      <c r="P94">
        <v>9.0579999999999998</v>
      </c>
      <c r="Q94">
        <v>5.6899999999999999E-2</v>
      </c>
      <c r="R94">
        <v>18.399569999999997</v>
      </c>
      <c r="S94" t="s">
        <v>36</v>
      </c>
      <c r="T94" t="s">
        <v>102</v>
      </c>
      <c r="U94">
        <v>71</v>
      </c>
      <c r="V94">
        <v>5.3699999999999998E-2</v>
      </c>
      <c r="W94">
        <v>25.17295751033981</v>
      </c>
      <c r="X94">
        <v>2416.1196399636701</v>
      </c>
      <c r="Y94">
        <v>9.0579999999999998</v>
      </c>
      <c r="Z94">
        <v>5.6899999999999999E-2</v>
      </c>
      <c r="AA94">
        <v>18.400320000000004</v>
      </c>
    </row>
    <row r="95" spans="1:27" x14ac:dyDescent="0.3">
      <c r="A95" t="s">
        <v>36</v>
      </c>
      <c r="B95" t="s">
        <v>211</v>
      </c>
      <c r="C95">
        <v>71</v>
      </c>
      <c r="D95">
        <v>5.3100000000000001E-2</v>
      </c>
      <c r="E95">
        <v>24.72825908720101</v>
      </c>
      <c r="F95">
        <v>2374.6737469271352</v>
      </c>
      <c r="G95">
        <v>9.0579999999999998</v>
      </c>
      <c r="H95">
        <v>0.05</v>
      </c>
      <c r="I95">
        <v>18.5989</v>
      </c>
      <c r="J95" t="s">
        <v>36</v>
      </c>
      <c r="K95" t="s">
        <v>184</v>
      </c>
      <c r="L95">
        <v>71</v>
      </c>
      <c r="M95">
        <v>5.3199999999999997E-2</v>
      </c>
      <c r="N95">
        <v>24.72881863683596</v>
      </c>
      <c r="O95">
        <v>2374.7258969531122</v>
      </c>
      <c r="P95">
        <v>9.0579999999999998</v>
      </c>
      <c r="Q95">
        <v>0.05</v>
      </c>
      <c r="R95">
        <v>18.5989</v>
      </c>
      <c r="S95" t="s">
        <v>36</v>
      </c>
      <c r="T95" t="s">
        <v>104</v>
      </c>
      <c r="U95">
        <v>71</v>
      </c>
      <c r="V95">
        <v>5.3199999999999997E-2</v>
      </c>
      <c r="W95">
        <v>24.725129258482049</v>
      </c>
      <c r="X95">
        <v>2374.3820468905269</v>
      </c>
      <c r="Y95">
        <v>9.0579999999999998</v>
      </c>
      <c r="Z95">
        <v>4.99E-2</v>
      </c>
      <c r="AA95">
        <v>18.599120000000003</v>
      </c>
    </row>
    <row r="96" spans="1:27" x14ac:dyDescent="0.3">
      <c r="A96" t="s">
        <v>36</v>
      </c>
      <c r="B96" t="s">
        <v>212</v>
      </c>
      <c r="C96">
        <v>71</v>
      </c>
      <c r="D96">
        <v>5.0900000000000001E-2</v>
      </c>
      <c r="E96">
        <v>24.15453865501178</v>
      </c>
      <c r="F96">
        <v>2321.2030026470979</v>
      </c>
      <c r="G96">
        <v>9.0579999999999998</v>
      </c>
      <c r="H96">
        <v>4.1099999999999998E-2</v>
      </c>
      <c r="I96">
        <v>18.801569999999998</v>
      </c>
      <c r="J96" t="s">
        <v>36</v>
      </c>
      <c r="K96" t="s">
        <v>186</v>
      </c>
      <c r="L96">
        <v>71</v>
      </c>
      <c r="M96">
        <v>5.16E-2</v>
      </c>
      <c r="N96">
        <v>24.163296417740231</v>
      </c>
      <c r="O96">
        <v>2322.0192261333891</v>
      </c>
      <c r="P96">
        <v>9.0579999999999998</v>
      </c>
      <c r="Q96">
        <v>4.1200000000000001E-2</v>
      </c>
      <c r="R96">
        <v>18.801569999999998</v>
      </c>
      <c r="S96" t="s">
        <v>36</v>
      </c>
      <c r="T96" t="s">
        <v>106</v>
      </c>
      <c r="U96">
        <v>71</v>
      </c>
      <c r="V96">
        <v>5.16E-2</v>
      </c>
      <c r="W96">
        <v>24.161377730151401</v>
      </c>
      <c r="X96">
        <v>2321.8404044501108</v>
      </c>
      <c r="Y96">
        <v>9.0579999999999998</v>
      </c>
      <c r="Z96">
        <v>4.1200000000000001E-2</v>
      </c>
      <c r="AA96">
        <v>18.79832</v>
      </c>
    </row>
    <row r="97" spans="1:27" x14ac:dyDescent="0.3">
      <c r="A97" t="s">
        <v>36</v>
      </c>
      <c r="B97" t="s">
        <v>213</v>
      </c>
      <c r="C97">
        <v>71</v>
      </c>
      <c r="D97">
        <v>4.5600000000000002E-2</v>
      </c>
      <c r="E97">
        <v>23.51836761791327</v>
      </c>
      <c r="F97">
        <v>2261.9118619895171</v>
      </c>
      <c r="G97">
        <v>9.0579999999999998</v>
      </c>
      <c r="H97">
        <v>3.1199999999999999E-2</v>
      </c>
      <c r="I97">
        <v>19.004429999999999</v>
      </c>
      <c r="J97" t="s">
        <v>36</v>
      </c>
      <c r="K97" t="s">
        <v>188</v>
      </c>
      <c r="L97">
        <v>71</v>
      </c>
      <c r="M97">
        <v>4.6199999999999998E-2</v>
      </c>
      <c r="N97">
        <v>23.527410426578939</v>
      </c>
      <c r="O97">
        <v>2262.7546517571568</v>
      </c>
      <c r="P97">
        <v>9.0579999999999998</v>
      </c>
      <c r="Q97">
        <v>3.1300000000000001E-2</v>
      </c>
      <c r="R97">
        <v>19.004429999999999</v>
      </c>
      <c r="S97" t="s">
        <v>36</v>
      </c>
      <c r="T97" t="s">
        <v>108</v>
      </c>
      <c r="U97">
        <v>71</v>
      </c>
      <c r="V97">
        <v>4.6199999999999998E-2</v>
      </c>
      <c r="W97">
        <v>23.534613208981281</v>
      </c>
      <c r="X97">
        <v>2263.4259510770548</v>
      </c>
      <c r="Y97">
        <v>9.0579999999999998</v>
      </c>
      <c r="Z97">
        <v>3.1399999999999997E-2</v>
      </c>
      <c r="AA97">
        <v>18.998340000000002</v>
      </c>
    </row>
    <row r="98" spans="1:27" x14ac:dyDescent="0.3">
      <c r="A98" t="s">
        <v>36</v>
      </c>
      <c r="B98" t="s">
        <v>214</v>
      </c>
      <c r="C98">
        <v>71</v>
      </c>
      <c r="D98">
        <v>3.7999999999999999E-2</v>
      </c>
      <c r="E98">
        <v>22.888862925414891</v>
      </c>
      <c r="F98">
        <v>2203.2420246486681</v>
      </c>
      <c r="G98">
        <v>9.0579999999999998</v>
      </c>
      <c r="H98">
        <v>2.1399999999999999E-2</v>
      </c>
      <c r="I98">
        <v>19.205779999999997</v>
      </c>
      <c r="J98" t="s">
        <v>36</v>
      </c>
      <c r="K98" t="s">
        <v>190</v>
      </c>
      <c r="L98">
        <v>71</v>
      </c>
      <c r="M98">
        <v>3.8300000000000001E-2</v>
      </c>
      <c r="N98">
        <v>22.89557873744652</v>
      </c>
      <c r="O98">
        <v>2203.8679383300159</v>
      </c>
      <c r="P98">
        <v>9.0579999999999998</v>
      </c>
      <c r="Q98">
        <v>2.1499999999999998E-2</v>
      </c>
      <c r="R98">
        <v>19.205779999999997</v>
      </c>
      <c r="S98" t="s">
        <v>36</v>
      </c>
      <c r="T98" t="s">
        <v>110</v>
      </c>
      <c r="U98">
        <v>71</v>
      </c>
      <c r="V98">
        <v>3.8600000000000002E-2</v>
      </c>
      <c r="W98">
        <v>22.910921345154371</v>
      </c>
      <c r="X98">
        <v>2205.2978693683881</v>
      </c>
      <c r="Y98">
        <v>9.0579999999999998</v>
      </c>
      <c r="Z98">
        <v>2.1700000000000001E-2</v>
      </c>
      <c r="AA98">
        <v>19.197489999999998</v>
      </c>
    </row>
    <row r="99" spans="1:27" x14ac:dyDescent="0.3">
      <c r="A99" t="s">
        <v>36</v>
      </c>
      <c r="B99" t="s">
        <v>215</v>
      </c>
      <c r="C99">
        <v>71</v>
      </c>
      <c r="D99">
        <v>2.98E-2</v>
      </c>
      <c r="E99">
        <v>22.345939213097591</v>
      </c>
      <c r="F99">
        <v>2152.641534660695</v>
      </c>
      <c r="G99">
        <v>9.0579999999999998</v>
      </c>
      <c r="H99">
        <v>1.2999999999999999E-2</v>
      </c>
      <c r="I99">
        <v>19.398519999999998</v>
      </c>
      <c r="J99" t="s">
        <v>36</v>
      </c>
      <c r="K99" t="s">
        <v>192</v>
      </c>
      <c r="L99">
        <v>71</v>
      </c>
      <c r="M99">
        <v>3.0300000000000001E-2</v>
      </c>
      <c r="N99">
        <v>22.34107599692253</v>
      </c>
      <c r="O99">
        <v>2152.18828291318</v>
      </c>
      <c r="P99">
        <v>9.0579999999999998</v>
      </c>
      <c r="Q99">
        <v>1.29E-2</v>
      </c>
      <c r="R99">
        <v>19.398519999999998</v>
      </c>
      <c r="S99" t="s">
        <v>36</v>
      </c>
      <c r="T99" t="s">
        <v>112</v>
      </c>
      <c r="U99">
        <v>71</v>
      </c>
      <c r="V99">
        <v>2.9899999999999999E-2</v>
      </c>
      <c r="W99">
        <v>22.339338554758939</v>
      </c>
      <c r="X99">
        <v>2152.0263533035341</v>
      </c>
      <c r="Y99">
        <v>9.0579999999999998</v>
      </c>
      <c r="Z99">
        <v>1.29E-2</v>
      </c>
      <c r="AA99">
        <v>19.400099999999998</v>
      </c>
    </row>
    <row r="100" spans="1:27" x14ac:dyDescent="0.3">
      <c r="A100" t="s">
        <v>36</v>
      </c>
      <c r="B100" t="s">
        <v>216</v>
      </c>
      <c r="C100">
        <v>71</v>
      </c>
      <c r="D100">
        <v>2.1499999999999998E-2</v>
      </c>
      <c r="E100">
        <v>21.89279191484767</v>
      </c>
      <c r="F100">
        <v>2110.4082064638019</v>
      </c>
      <c r="G100">
        <v>9.0579999999999998</v>
      </c>
      <c r="H100">
        <v>5.8999999999999999E-3</v>
      </c>
      <c r="I100">
        <v>19.60125</v>
      </c>
      <c r="J100" t="s">
        <v>36</v>
      </c>
      <c r="K100" t="s">
        <v>194</v>
      </c>
      <c r="L100">
        <v>71</v>
      </c>
      <c r="M100">
        <v>2.1299999999999999E-2</v>
      </c>
      <c r="N100">
        <v>21.89882969869122</v>
      </c>
      <c r="O100">
        <v>2110.970927918022</v>
      </c>
      <c r="P100">
        <v>9.0579999999999998</v>
      </c>
      <c r="Q100">
        <v>6.0000000000000001E-3</v>
      </c>
      <c r="R100">
        <v>19.60125</v>
      </c>
      <c r="S100" t="s">
        <v>36</v>
      </c>
      <c r="T100" t="s">
        <v>114</v>
      </c>
      <c r="U100">
        <v>71</v>
      </c>
      <c r="V100">
        <v>2.1399999999999999E-2</v>
      </c>
      <c r="W100">
        <v>21.897310237602799</v>
      </c>
      <c r="X100">
        <v>2110.8293141445811</v>
      </c>
      <c r="Y100">
        <v>9.0579999999999998</v>
      </c>
      <c r="Z100">
        <v>6.0000000000000001E-3</v>
      </c>
      <c r="AA100">
        <v>19.597840000000001</v>
      </c>
    </row>
    <row r="101" spans="1:27" x14ac:dyDescent="0.3">
      <c r="A101" t="s">
        <v>36</v>
      </c>
      <c r="B101" t="s">
        <v>217</v>
      </c>
      <c r="C101">
        <v>71</v>
      </c>
      <c r="D101">
        <v>1.2800000000000001E-2</v>
      </c>
      <c r="E101">
        <v>21.608341816890832</v>
      </c>
      <c r="F101">
        <v>2083.8974573342261</v>
      </c>
      <c r="G101">
        <v>9.0579999999999998</v>
      </c>
      <c r="H101">
        <v>1.5E-3</v>
      </c>
      <c r="I101">
        <v>19.800730000000001</v>
      </c>
      <c r="J101" t="s">
        <v>36</v>
      </c>
      <c r="K101" t="s">
        <v>196</v>
      </c>
      <c r="L101">
        <v>71</v>
      </c>
      <c r="M101">
        <v>1.17E-2</v>
      </c>
      <c r="N101">
        <v>21.607601548942618</v>
      </c>
      <c r="O101">
        <v>2083.828464361452</v>
      </c>
      <c r="P101">
        <v>9.0579999999999998</v>
      </c>
      <c r="Q101">
        <v>1.5E-3</v>
      </c>
      <c r="R101">
        <v>19.800730000000001</v>
      </c>
      <c r="S101" t="s">
        <v>36</v>
      </c>
      <c r="T101" t="s">
        <v>116</v>
      </c>
      <c r="U101">
        <v>71</v>
      </c>
      <c r="V101">
        <v>1.2800000000000001E-2</v>
      </c>
      <c r="W101">
        <v>21.60848486697142</v>
      </c>
      <c r="X101">
        <v>2083.9107896017358</v>
      </c>
      <c r="Y101">
        <v>9.0579999999999998</v>
      </c>
      <c r="Z101">
        <v>1.5E-3</v>
      </c>
      <c r="AA101">
        <v>19.799600000000002</v>
      </c>
    </row>
    <row r="102" spans="1:27" x14ac:dyDescent="0.3">
      <c r="A102" s="2"/>
      <c r="J102" t="s">
        <v>36</v>
      </c>
      <c r="K102" t="s">
        <v>198</v>
      </c>
      <c r="L102">
        <v>71</v>
      </c>
      <c r="M102">
        <v>4.7000000000000002E-3</v>
      </c>
      <c r="N102">
        <v>21.511939994217741</v>
      </c>
      <c r="O102">
        <v>2074.912807461094</v>
      </c>
      <c r="P102">
        <v>9.0579999999999998</v>
      </c>
      <c r="Q102">
        <v>0</v>
      </c>
      <c r="R102">
        <v>39.001220000000004</v>
      </c>
      <c r="S102" t="s">
        <v>36</v>
      </c>
      <c r="T102" t="s">
        <v>118</v>
      </c>
      <c r="U102">
        <v>71</v>
      </c>
      <c r="V102">
        <v>4.0000000000000001E-3</v>
      </c>
      <c r="W102">
        <v>21.511913772002242</v>
      </c>
      <c r="X102">
        <v>2074.910363550609</v>
      </c>
      <c r="Y102">
        <v>9.0579999999999998</v>
      </c>
      <c r="Z102">
        <v>0</v>
      </c>
      <c r="AA102">
        <v>19.997409999999999</v>
      </c>
    </row>
    <row r="103" spans="1:27" x14ac:dyDescent="0.3">
      <c r="A10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1"/>
  <sheetViews>
    <sheetView topLeftCell="A39" zoomScale="130" zoomScaleNormal="130" workbookViewId="0">
      <selection activeCell="I56" sqref="I5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88671875" bestFit="1" customWidth="1"/>
    <col min="4" max="6" width="12.109375" bestFit="1" customWidth="1"/>
    <col min="7" max="7" width="6" bestFit="1" customWidth="1"/>
    <col min="8" max="9" width="12.109375" bestFit="1" customWidth="1"/>
    <col min="10" max="10" width="7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 t="str">
        <f>IF(COUNT(Resultados!A2,Resultados!J2,Resultados!S2)=0, "", AVERAGE(ABS(Resultados!A2),ABS(Resultados!J2),ABS(Resultados!S2)))</f>
        <v/>
      </c>
      <c r="B2" t="str">
        <f>IF(COUNT(Resultados!B2,Resultados!K2,Resultados!T2)=0, "", AVERAGE(ABS(Resultados!B2),ABS(Resultados!K2),ABS(Resultados!T2)))</f>
        <v/>
      </c>
      <c r="C2">
        <f>IF(COUNT(Resultados!C2,Resultados!L2,Resultados!U2)=0, "", AVERAGE(ABS(Resultados!C2),ABS(Resultados!L2),ABS(Resultados!U2)))</f>
        <v>71</v>
      </c>
      <c r="D2">
        <f>IF(COUNT(Resultados!D2,Resultados!M2,Resultados!V2)=0, "", AVERAGE(ABS(Resultados!D2),ABS(Resultados!M2),ABS(Resultados!V2)))</f>
        <v>5.3E-3</v>
      </c>
      <c r="E2">
        <f>IF(COUNT(Resultados!E2,Resultados!N2,Resultados!W2)=0, "", AVERAGE(ABS(Resultados!E2),ABS(Resultados!N2),ABS(Resultados!W2)))</f>
        <v>21.511926218490917</v>
      </c>
      <c r="F2">
        <f>IF(COUNT(Resultados!F2,Resultados!O2,Resultados!X2)=0, "", AVERAGE(ABS(Resultados!F2),ABS(Resultados!O2),ABS(Resultados!X2)))</f>
        <v>2074.9115235633544</v>
      </c>
      <c r="G2">
        <f>IF(COUNT(Resultados!G2,Resultados!P2,Resultados!Y2)=0, "", AVERAGE(ABS(Resultados!G2),ABS(Resultados!P2),ABS(Resultados!Y2)))</f>
        <v>9.0579999999999998</v>
      </c>
      <c r="H2">
        <f>IF(COUNT(Resultados!H2,Resultados!Q2,Resultados!Z2)=0, "", AVERAGE(ABS(Resultados!H2),ABS(Resultados!Q2),ABS(Resultados!Z2)))</f>
        <v>0</v>
      </c>
      <c r="I2">
        <f>IF(COUNT(Resultados!I2,Resultados!R2,Resultados!AA2)=0, "", AVERAGE(ABS(Resultados!I2),ABS(Resultados!R2),ABS(Resultados!AA2)))</f>
        <v>0</v>
      </c>
      <c r="J2">
        <v>0</v>
      </c>
      <c r="K2">
        <v>5.3E-3</v>
      </c>
    </row>
    <row r="3" spans="1:11" x14ac:dyDescent="0.3">
      <c r="A3" t="str">
        <f>IF(COUNT(Resultados!A3,Resultados!J3,Resultados!S3)=0, "", AVERAGE(ABS(Resultados!A3),ABS(Resultados!J3),ABS(Resultados!S3)))</f>
        <v/>
      </c>
      <c r="B3" t="str">
        <f>IF(COUNT(Resultados!B3,Resultados!K3,Resultados!T3)=0, "", AVERAGE(ABS(Resultados!B3),ABS(Resultados!K3),ABS(Resultados!T3)))</f>
        <v/>
      </c>
      <c r="C3">
        <f>IF(COUNT(Resultados!C3,Resultados!L3,Resultados!U3)=0, "", AVERAGE(ABS(Resultados!C3),ABS(Resultados!L3),ABS(Resultados!U3)))</f>
        <v>71</v>
      </c>
      <c r="D3">
        <f>IF(COUNT(Resultados!D3,Resultados!M3,Resultados!V3)=0, "", AVERAGE(ABS(Resultados!D3),ABS(Resultados!M3),ABS(Resultados!V3)))</f>
        <v>2.2666666666666668E-3</v>
      </c>
      <c r="E3">
        <f>IF(COUNT(Resultados!E3,Resultados!N3,Resultados!W3)=0, "", AVERAGE(ABS(Resultados!E3),ABS(Resultados!N3),ABS(Resultados!W3)))</f>
        <v>21.612073566938111</v>
      </c>
      <c r="F3">
        <f>IF(COUNT(Resultados!F3,Resultados!O3,Resultados!X3)=0, "", AVERAGE(ABS(Resultados!F3),ABS(Resultados!O3),ABS(Resultados!X3)))</f>
        <v>2190.985781502427</v>
      </c>
      <c r="G3">
        <f>IF(COUNT(Resultados!G3,Resultados!P3,Resultados!Y3)=0, "", AVERAGE(ABS(Resultados!G3),ABS(Resultados!P3),ABS(Resultados!Y3)))</f>
        <v>9.0579999999999998</v>
      </c>
      <c r="H3">
        <f>IF(COUNT(Resultados!H3,Resultados!Q3,Resultados!Z3)=0, "", AVERAGE(ABS(Resultados!H3),ABS(Resultados!Q3),ABS(Resultados!Z3)))</f>
        <v>1.5666666666666667E-3</v>
      </c>
      <c r="I3">
        <f>IF(COUNT(Resultados!I3,Resultados!R3,Resultados!AA3)=0, "", AVERAGE(ABS(Resultados!I3),ABS(Resultados!R3),ABS(Resultados!AA3)))</f>
        <v>0.19819999999999874</v>
      </c>
      <c r="J3">
        <v>1.5666666666666667E-3</v>
      </c>
      <c r="K3">
        <v>2.2666666666666668E-3</v>
      </c>
    </row>
    <row r="4" spans="1:11" x14ac:dyDescent="0.3">
      <c r="A4" t="str">
        <f>IF(COUNT(Resultados!A4,Resultados!J4,Resultados!S4)=0, "", AVERAGE(ABS(Resultados!A4),ABS(Resultados!J4),ABS(Resultados!S4)))</f>
        <v/>
      </c>
      <c r="B4" t="str">
        <f>IF(COUNT(Resultados!B4,Resultados!K4,Resultados!T4)=0, "", AVERAGE(ABS(Resultados!B4),ABS(Resultados!K4),ABS(Resultados!T4)))</f>
        <v/>
      </c>
      <c r="C4">
        <f>IF(COUNT(Resultados!C4,Resultados!L4,Resultados!U4)=0, "", AVERAGE(ABS(Resultados!C4),ABS(Resultados!L4),ABS(Resultados!U4)))</f>
        <v>71</v>
      </c>
      <c r="D4">
        <f>IF(COUNT(Resultados!D4,Resultados!M4,Resultados!V4)=0, "", AVERAGE(ABS(Resultados!D4),ABS(Resultados!M4),ABS(Resultados!V4)))</f>
        <v>1.7666666666666666E-3</v>
      </c>
      <c r="E4">
        <f>IF(COUNT(Resultados!E4,Resultados!N4,Resultados!W4)=0, "", AVERAGE(ABS(Resultados!E4),ABS(Resultados!N4),ABS(Resultados!W4)))</f>
        <v>21.907155229600196</v>
      </c>
      <c r="F4">
        <f>IF(COUNT(Resultados!F4,Resultados!O4,Resultados!X4)=0, "", AVERAGE(ABS(Resultados!F4),ABS(Resultados!O4),ABS(Resultados!X4)))</f>
        <v>2218.9890312890593</v>
      </c>
      <c r="G4">
        <f>IF(COUNT(Resultados!G4,Resultados!P4,Resultados!Y4)=0, "", AVERAGE(ABS(Resultados!G4),ABS(Resultados!P4),ABS(Resultados!Y4)))</f>
        <v>9.0579999999999998</v>
      </c>
      <c r="H4">
        <f>IF(COUNT(Resultados!H4,Resultados!Q4,Resultados!Z4)=0, "", AVERAGE(ABS(Resultados!H4),ABS(Resultados!Q4),ABS(Resultados!Z4)))</f>
        <v>6.1333333333333335E-3</v>
      </c>
      <c r="I4">
        <f>IF(COUNT(Resultados!I4,Resultados!R4,Resultados!AA4)=0, "", AVERAGE(ABS(Resultados!I4),ABS(Resultados!R4),ABS(Resultados!AA4)))</f>
        <v>0.40208666666666559</v>
      </c>
      <c r="J4">
        <v>6.1333333333333335E-3</v>
      </c>
      <c r="K4">
        <v>1.7666666666666666E-3</v>
      </c>
    </row>
    <row r="5" spans="1:11" x14ac:dyDescent="0.3">
      <c r="A5" t="str">
        <f>IF(COUNT(Resultados!A5,Resultados!J5,Resultados!S5)=0, "", AVERAGE(ABS(Resultados!A5),ABS(Resultados!J5),ABS(Resultados!S5)))</f>
        <v/>
      </c>
      <c r="B5" t="str">
        <f>IF(COUNT(Resultados!B5,Resultados!K5,Resultados!T5)=0, "", AVERAGE(ABS(Resultados!B5),ABS(Resultados!K5),ABS(Resultados!T5)))</f>
        <v/>
      </c>
      <c r="C5">
        <f>IF(COUNT(Resultados!C5,Resultados!L5,Resultados!U5)=0, "", AVERAGE(ABS(Resultados!C5),ABS(Resultados!L5),ABS(Resultados!U5)))</f>
        <v>71</v>
      </c>
      <c r="D5">
        <f>IF(COUNT(Resultados!D5,Resultados!M5,Resultados!V5)=0, "", AVERAGE(ABS(Resultados!D5),ABS(Resultados!M5),ABS(Resultados!V5)))</f>
        <v>8.6666666666666663E-4</v>
      </c>
      <c r="E5">
        <f>IF(COUNT(Resultados!E5,Resultados!N5,Resultados!W5)=0, "", AVERAGE(ABS(Resultados!E5),ABS(Resultados!N5),ABS(Resultados!W5)))</f>
        <v>22.353203356740085</v>
      </c>
      <c r="F5">
        <f>IF(COUNT(Resultados!F5,Resultados!O5,Resultados!X5)=0, "", AVERAGE(ABS(Resultados!F5),ABS(Resultados!O5),ABS(Resultados!X5)))</f>
        <v>2261.3189985546346</v>
      </c>
      <c r="G5">
        <f>IF(COUNT(Resultados!G5,Resultados!P5,Resultados!Y5)=0, "", AVERAGE(ABS(Resultados!G5),ABS(Resultados!P5),ABS(Resultados!Y5)))</f>
        <v>9.0579999999999998</v>
      </c>
      <c r="H5">
        <f>IF(COUNT(Resultados!H5,Resultados!Q5,Resultados!Z5)=0, "", AVERAGE(ABS(Resultados!H5),ABS(Resultados!Q5),ABS(Resultados!Z5)))</f>
        <v>1.3100000000000001E-2</v>
      </c>
      <c r="I5">
        <f>IF(COUNT(Resultados!I5,Resultados!R5,Resultados!AA5)=0, "", AVERAGE(ABS(Resultados!I5),ABS(Resultados!R5),ABS(Resultados!AA5)))</f>
        <v>0.59999666666666585</v>
      </c>
      <c r="J5">
        <v>1.3100000000000001E-2</v>
      </c>
      <c r="K5">
        <v>8.6666666666666663E-4</v>
      </c>
    </row>
    <row r="6" spans="1:11" x14ac:dyDescent="0.3">
      <c r="A6" t="str">
        <f>IF(COUNT(Resultados!A6,Resultados!J6,Resultados!S6)=0, "", AVERAGE(ABS(Resultados!A6),ABS(Resultados!J6),ABS(Resultados!S6)))</f>
        <v/>
      </c>
      <c r="B6" t="str">
        <f>IF(COUNT(Resultados!B6,Resultados!K6,Resultados!T6)=0, "", AVERAGE(ABS(Resultados!B6),ABS(Resultados!K6),ABS(Resultados!T6)))</f>
        <v/>
      </c>
      <c r="C6">
        <f>IF(COUNT(Resultados!C6,Resultados!L6,Resultados!U6)=0, "", AVERAGE(ABS(Resultados!C6),ABS(Resultados!L6),ABS(Resultados!U6)))</f>
        <v>71</v>
      </c>
      <c r="D6">
        <f>IF(COUNT(Resultados!D6,Resultados!M6,Resultados!V6)=0, "", AVERAGE(ABS(Resultados!D6),ABS(Resultados!M6),ABS(Resultados!V6)))</f>
        <v>3.2333333333333333E-3</v>
      </c>
      <c r="E6">
        <f>IF(COUNT(Resultados!E6,Resultados!N6,Resultados!W6)=0, "", AVERAGE(ABS(Resultados!E6),ABS(Resultados!N6),ABS(Resultados!W6)))</f>
        <v>22.920988913562113</v>
      </c>
      <c r="F6">
        <f>IF(COUNT(Resultados!F6,Resultados!O6,Resultados!X6)=0, "", AVERAGE(ABS(Resultados!F6),ABS(Resultados!O6),ABS(Resultados!X6)))</f>
        <v>2315.2018478970444</v>
      </c>
      <c r="G6">
        <f>IF(COUNT(Resultados!G6,Resultados!P6,Resultados!Y6)=0, "", AVERAGE(ABS(Resultados!G6),ABS(Resultados!P6),ABS(Resultados!Y6)))</f>
        <v>9.0579999999999998</v>
      </c>
      <c r="H6">
        <f>IF(COUNT(Resultados!H6,Resultados!Q6,Resultados!Z6)=0, "", AVERAGE(ABS(Resultados!H6),ABS(Resultados!Q6),ABS(Resultados!Z6)))</f>
        <v>2.186666666666667E-2</v>
      </c>
      <c r="I6">
        <f>IF(COUNT(Resultados!I6,Resultados!R6,Resultados!AA6)=0, "", AVERAGE(ABS(Resultados!I6),ABS(Resultados!R6),ABS(Resultados!AA6)))</f>
        <v>0.80085666666666688</v>
      </c>
      <c r="J6">
        <v>2.186666666666667E-2</v>
      </c>
      <c r="K6">
        <v>3.2333333333333333E-3</v>
      </c>
    </row>
    <row r="7" spans="1:11" x14ac:dyDescent="0.3">
      <c r="A7" t="str">
        <f>IF(COUNT(Resultados!A7,Resultados!J7,Resultados!S7)=0, "", AVERAGE(ABS(Resultados!A7),ABS(Resultados!J7),ABS(Resultados!S7)))</f>
        <v/>
      </c>
      <c r="B7" t="str">
        <f>IF(COUNT(Resultados!B7,Resultados!K7,Resultados!T7)=0, "", AVERAGE(ABS(Resultados!B7),ABS(Resultados!K7),ABS(Resultados!T7)))</f>
        <v/>
      </c>
      <c r="C7">
        <f>IF(COUNT(Resultados!C7,Resultados!L7,Resultados!U7)=0, "", AVERAGE(ABS(Resultados!C7),ABS(Resultados!L7),ABS(Resultados!U7)))</f>
        <v>71</v>
      </c>
      <c r="D7">
        <f>IF(COUNT(Resultados!D7,Resultados!M7,Resultados!V7)=0, "", AVERAGE(ABS(Resultados!D7),ABS(Resultados!M7),ABS(Resultados!V7)))</f>
        <v>9.8000000000000014E-3</v>
      </c>
      <c r="E7">
        <f>IF(COUNT(Resultados!E7,Resultados!N7,Resultados!W7)=0, "", AVERAGE(ABS(Resultados!E7),ABS(Resultados!N7),ABS(Resultados!W7)))</f>
        <v>23.551170877369842</v>
      </c>
      <c r="F7">
        <f>IF(COUNT(Resultados!F7,Resultados!O7,Resultados!X7)=0, "", AVERAGE(ABS(Resultados!F7),ABS(Resultados!O7),ABS(Resultados!X7)))</f>
        <v>2375.0061162623983</v>
      </c>
      <c r="G7">
        <f>IF(COUNT(Resultados!G7,Resultados!P7,Resultados!Y7)=0, "", AVERAGE(ABS(Resultados!G7),ABS(Resultados!P7),ABS(Resultados!Y7)))</f>
        <v>9.0579999999999998</v>
      </c>
      <c r="H7">
        <f>IF(COUNT(Resultados!H7,Resultados!Q7,Resultados!Z7)=0, "", AVERAGE(ABS(Resultados!H7),ABS(Resultados!Q7),ABS(Resultados!Z7)))</f>
        <v>3.1666666666666669E-2</v>
      </c>
      <c r="I7">
        <f>IF(COUNT(Resultados!I7,Resultados!R7,Resultados!AA7)=0, "", AVERAGE(ABS(Resultados!I7),ABS(Resultados!R7),ABS(Resultados!AA7)))</f>
        <v>1.001649999999999</v>
      </c>
      <c r="J7">
        <v>3.1666666666666669E-2</v>
      </c>
      <c r="K7">
        <v>9.8000000000000014E-3</v>
      </c>
    </row>
    <row r="8" spans="1:11" x14ac:dyDescent="0.3">
      <c r="A8" t="str">
        <f>IF(COUNT(Resultados!A8,Resultados!J8,Resultados!S8)=0, "", AVERAGE(ABS(Resultados!A8),ABS(Resultados!J8),ABS(Resultados!S8)))</f>
        <v/>
      </c>
      <c r="B8" t="str">
        <f>IF(COUNT(Resultados!B8,Resultados!K8,Resultados!T8)=0, "", AVERAGE(ABS(Resultados!B8),ABS(Resultados!K8),ABS(Resultados!T8)))</f>
        <v/>
      </c>
      <c r="C8">
        <f>IF(COUNT(Resultados!C8,Resultados!L8,Resultados!U8)=0, "", AVERAGE(ABS(Resultados!C8),ABS(Resultados!L8),ABS(Resultados!U8)))</f>
        <v>71</v>
      </c>
      <c r="D8">
        <f>IF(COUNT(Resultados!D8,Resultados!M8,Resultados!V8)=0, "", AVERAGE(ABS(Resultados!D8),ABS(Resultados!M8),ABS(Resultados!V8)))</f>
        <v>1.6633333333333333E-2</v>
      </c>
      <c r="E8">
        <f>IF(COUNT(Resultados!E8,Resultados!N8,Resultados!W8)=0, "", AVERAGE(ABS(Resultados!E8),ABS(Resultados!N8),ABS(Resultados!W8)))</f>
        <v>24.174005305717504</v>
      </c>
      <c r="F8">
        <f>IF(COUNT(Resultados!F8,Resultados!O8,Resultados!X8)=0, "", AVERAGE(ABS(Resultados!F8),ABS(Resultados!O8),ABS(Resultados!X8)))</f>
        <v>2434.1131035125909</v>
      </c>
      <c r="G8">
        <f>IF(COUNT(Resultados!G8,Resultados!P8,Resultados!Y8)=0, "", AVERAGE(ABS(Resultados!G8),ABS(Resultados!P8),ABS(Resultados!Y8)))</f>
        <v>9.0579999999999998</v>
      </c>
      <c r="H8">
        <f>IF(COUNT(Resultados!H8,Resultados!Q8,Resultados!Z8)=0, "", AVERAGE(ABS(Resultados!H8),ABS(Resultados!Q8),ABS(Resultados!Z8)))</f>
        <v>4.1366666666666663E-2</v>
      </c>
      <c r="I8">
        <f>IF(COUNT(Resultados!I8,Resultados!R8,Resultados!AA8)=0, "", AVERAGE(ABS(Resultados!I8),ABS(Resultados!R8),ABS(Resultados!AA8)))</f>
        <v>1.2015533333333319</v>
      </c>
      <c r="J8">
        <v>4.1366666666666663E-2</v>
      </c>
      <c r="K8">
        <v>1.6633333333333333E-2</v>
      </c>
    </row>
    <row r="9" spans="1:11" x14ac:dyDescent="0.3">
      <c r="A9" t="str">
        <f>IF(COUNT(Resultados!A9,Resultados!J9,Resultados!S9)=0, "", AVERAGE(ABS(Resultados!A9),ABS(Resultados!J9),ABS(Resultados!S9)))</f>
        <v/>
      </c>
      <c r="B9" t="str">
        <f>IF(COUNT(Resultados!B9,Resultados!K9,Resultados!T9)=0, "", AVERAGE(ABS(Resultados!B9),ABS(Resultados!K9),ABS(Resultados!T9)))</f>
        <v/>
      </c>
      <c r="C9">
        <f>IF(COUNT(Resultados!C9,Resultados!L9,Resultados!U9)=0, "", AVERAGE(ABS(Resultados!C9),ABS(Resultados!L9),ABS(Resultados!U9)))</f>
        <v>71</v>
      </c>
      <c r="D9">
        <f>IF(COUNT(Resultados!D9,Resultados!M9,Resultados!V9)=0, "", AVERAGE(ABS(Resultados!D9),ABS(Resultados!M9),ABS(Resultados!V9)))</f>
        <v>2.4566666666666667E-2</v>
      </c>
      <c r="E9">
        <f>IF(COUNT(Resultados!E9,Resultados!N9,Resultados!W9)=0, "", AVERAGE(ABS(Resultados!E9),ABS(Resultados!N9),ABS(Resultados!W9)))</f>
        <v>24.733099461857154</v>
      </c>
      <c r="F9">
        <f>IF(COUNT(Resultados!F9,Resultados!O9,Resultados!X9)=0, "", AVERAGE(ABS(Resultados!F9),ABS(Resultados!O9),ABS(Resultados!X9)))</f>
        <v>2487.1711389302436</v>
      </c>
      <c r="G9">
        <f>IF(COUNT(Resultados!G9,Resultados!P9,Resultados!Y9)=0, "", AVERAGE(ABS(Resultados!G9),ABS(Resultados!P9),ABS(Resultados!Y9)))</f>
        <v>9.0579999999999998</v>
      </c>
      <c r="H9">
        <f>IF(COUNT(Resultados!H9,Resultados!Q9,Resultados!Z9)=0, "", AVERAGE(ABS(Resultados!H9),ABS(Resultados!Q9),ABS(Resultados!Z9)))</f>
        <v>5.0066666666666669E-2</v>
      </c>
      <c r="I9">
        <f>IF(COUNT(Resultados!I9,Resultados!R9,Resultados!AA9)=0, "", AVERAGE(ABS(Resultados!I9),ABS(Resultados!R9),ABS(Resultados!AA9)))</f>
        <v>1.3981666666666659</v>
      </c>
      <c r="J9">
        <v>5.0066666666666669E-2</v>
      </c>
      <c r="K9">
        <v>2.4566666666666667E-2</v>
      </c>
    </row>
    <row r="10" spans="1:11" x14ac:dyDescent="0.3">
      <c r="A10" t="str">
        <f>IF(COUNT(Resultados!A10,Resultados!J10,Resultados!S10)=0, "", AVERAGE(ABS(Resultados!A10),ABS(Resultados!J10),ABS(Resultados!S10)))</f>
        <v/>
      </c>
      <c r="B10" t="str">
        <f>IF(COUNT(Resultados!B10,Resultados!K10,Resultados!T10)=0, "", AVERAGE(ABS(Resultados!B10),ABS(Resultados!K10),ABS(Resultados!T10)))</f>
        <v/>
      </c>
      <c r="C10">
        <f>IF(COUNT(Resultados!C10,Resultados!L10,Resultados!U10)=0, "", AVERAGE(ABS(Resultados!C10),ABS(Resultados!L10),ABS(Resultados!U10)))</f>
        <v>71</v>
      </c>
      <c r="D10">
        <f>IF(COUNT(Resultados!D10,Resultados!M10,Resultados!V10)=0, "", AVERAGE(ABS(Resultados!D10),ABS(Resultados!M10),ABS(Resultados!V10)))</f>
        <v>3.2433333333333335E-2</v>
      </c>
      <c r="E10">
        <f>IF(COUNT(Resultados!E10,Resultados!N10,Resultados!W10)=0, "", AVERAGE(ABS(Resultados!E10),ABS(Resultados!N10),ABS(Resultados!W10)))</f>
        <v>25.181740006784</v>
      </c>
      <c r="F10">
        <f>IF(COUNT(Resultados!F10,Resultados!O10,Resultados!X10)=0, "", AVERAGE(ABS(Resultados!F10),ABS(Resultados!O10),ABS(Resultados!X10)))</f>
        <v>2529.7471266438019</v>
      </c>
      <c r="G10">
        <f>IF(COUNT(Resultados!G10,Resultados!P10,Resultados!Y10)=0, "", AVERAGE(ABS(Resultados!G10),ABS(Resultados!P10),ABS(Resultados!Y10)))</f>
        <v>9.0579999999999998</v>
      </c>
      <c r="H10">
        <f>IF(COUNT(Resultados!H10,Resultados!Q10,Resultados!Z10)=0, "", AVERAGE(ABS(Resultados!H10),ABS(Resultados!Q10),ABS(Resultados!Z10)))</f>
        <v>5.7033333333333332E-2</v>
      </c>
      <c r="I10">
        <f>IF(COUNT(Resultados!I10,Resultados!R10,Resultados!AA10)=0, "", AVERAGE(ABS(Resultados!I10),ABS(Resultados!R10),ABS(Resultados!AA10)))</f>
        <v>1.5993933333333317</v>
      </c>
      <c r="J10">
        <v>5.7033333333333332E-2</v>
      </c>
      <c r="K10">
        <v>3.2433333333333335E-2</v>
      </c>
    </row>
    <row r="11" spans="1:11" x14ac:dyDescent="0.3">
      <c r="A11" t="str">
        <f>IF(COUNT(Resultados!A11,Resultados!J11,Resultados!S11)=0, "", AVERAGE(ABS(Resultados!A11),ABS(Resultados!J11),ABS(Resultados!S11)))</f>
        <v/>
      </c>
      <c r="B11" t="str">
        <f>IF(COUNT(Resultados!B11,Resultados!K11,Resultados!T11)=0, "", AVERAGE(ABS(Resultados!B11),ABS(Resultados!K11),ABS(Resultados!T11)))</f>
        <v/>
      </c>
      <c r="C11">
        <f>IF(COUNT(Resultados!C11,Resultados!L11,Resultados!U11)=0, "", AVERAGE(ABS(Resultados!C11),ABS(Resultados!L11),ABS(Resultados!U11)))</f>
        <v>71</v>
      </c>
      <c r="D11">
        <f>IF(COUNT(Resultados!D11,Resultados!M11,Resultados!V11)=0, "", AVERAGE(ABS(Resultados!D11),ABS(Resultados!M11),ABS(Resultados!V11)))</f>
        <v>4.0800000000000003E-2</v>
      </c>
      <c r="E11">
        <f>IF(COUNT(Resultados!E11,Resultados!N11,Resultados!W11)=0, "", AVERAGE(ABS(Resultados!E11),ABS(Resultados!N11),ABS(Resultados!W11)))</f>
        <v>25.468750179477649</v>
      </c>
      <c r="F11">
        <f>IF(COUNT(Resultados!F11,Resultados!O11,Resultados!X11)=0, "", AVERAGE(ABS(Resultados!F11),ABS(Resultados!O11),ABS(Resultados!X11)))</f>
        <v>2556.9843920324288</v>
      </c>
      <c r="G11">
        <f>IF(COUNT(Resultados!G11,Resultados!P11,Resultados!Y11)=0, "", AVERAGE(ABS(Resultados!G11),ABS(Resultados!P11),ABS(Resultados!Y11)))</f>
        <v>9.0579999999999998</v>
      </c>
      <c r="H11">
        <f>IF(COUNT(Resultados!H11,Resultados!Q11,Resultados!Z11)=0, "", AVERAGE(ABS(Resultados!H11),ABS(Resultados!Q11),ABS(Resultados!Z11)))</f>
        <v>6.1499999999999999E-2</v>
      </c>
      <c r="I11">
        <f>IF(COUNT(Resultados!I11,Resultados!R11,Resultados!AA11)=0, "", AVERAGE(ABS(Resultados!I11),ABS(Resultados!R11),ABS(Resultados!AA11)))</f>
        <v>1.7992133333333331</v>
      </c>
      <c r="J11">
        <v>6.1499999999999999E-2</v>
      </c>
      <c r="K11">
        <v>4.0800000000000003E-2</v>
      </c>
    </row>
    <row r="12" spans="1:11" x14ac:dyDescent="0.3">
      <c r="A12" t="str">
        <f>IF(COUNT(Resultados!A12,Resultados!J12,Resultados!S12)=0, "", AVERAGE(ABS(Resultados!A12),ABS(Resultados!J12),ABS(Resultados!S12)))</f>
        <v/>
      </c>
      <c r="B12" t="str">
        <f>IF(COUNT(Resultados!B12,Resultados!K12,Resultados!T12)=0, "", AVERAGE(ABS(Resultados!B12),ABS(Resultados!K12),ABS(Resultados!T12)))</f>
        <v/>
      </c>
      <c r="C12">
        <f>IF(COUNT(Resultados!C12,Resultados!L12,Resultados!U12)=0, "", AVERAGE(ABS(Resultados!C12),ABS(Resultados!L12),ABS(Resultados!U12)))</f>
        <v>71</v>
      </c>
      <c r="D12">
        <f>IF(COUNT(Resultados!D12,Resultados!M12,Resultados!V12)=0, "", AVERAGE(ABS(Resultados!D12),ABS(Resultados!M12),ABS(Resultados!V12)))</f>
        <v>4.7933333333333328E-2</v>
      </c>
      <c r="E12">
        <f>IF(COUNT(Resultados!E12,Resultados!N12,Resultados!W12)=0, "", AVERAGE(ABS(Resultados!E12),ABS(Resultados!N12),ABS(Resultados!W12)))</f>
        <v>25.566612166864189</v>
      </c>
      <c r="F12">
        <f>IF(COUNT(Resultados!F12,Resultados!O12,Resultados!X12)=0, "", AVERAGE(ABS(Resultados!F12),ABS(Resultados!O12),ABS(Resultados!X12)))</f>
        <v>2566.2714946354117</v>
      </c>
      <c r="G12">
        <f>IF(COUNT(Resultados!G12,Resultados!P12,Resultados!Y12)=0, "", AVERAGE(ABS(Resultados!G12),ABS(Resultados!P12),ABS(Resultados!Y12)))</f>
        <v>9.0579999999999998</v>
      </c>
      <c r="H12">
        <f>IF(COUNT(Resultados!H12,Resultados!Q12,Resultados!Z12)=0, "", AVERAGE(ABS(Resultados!H12),ABS(Resultados!Q12),ABS(Resultados!Z12)))</f>
        <v>6.3E-2</v>
      </c>
      <c r="I12">
        <f>IF(COUNT(Resultados!I12,Resultados!R12,Resultados!AA12)=0, "", AVERAGE(ABS(Resultados!I12),ABS(Resultados!R12),ABS(Resultados!AA12)))</f>
        <v>1.9989333333333335</v>
      </c>
      <c r="J12">
        <v>6.3E-2</v>
      </c>
      <c r="K12">
        <v>4.7933333333333328E-2</v>
      </c>
    </row>
    <row r="13" spans="1:11" x14ac:dyDescent="0.3">
      <c r="A13" t="str">
        <f>IF(COUNT(Resultados!A13,Resultados!J13,Resultados!S13)=0, "", AVERAGE(ABS(Resultados!A13),ABS(Resultados!J13),ABS(Resultados!S13)))</f>
        <v/>
      </c>
      <c r="B13" t="str">
        <f>IF(COUNT(Resultados!B13,Resultados!K13,Resultados!T13)=0, "", AVERAGE(ABS(Resultados!B13),ABS(Resultados!K13),ABS(Resultados!T13)))</f>
        <v/>
      </c>
      <c r="C13">
        <f>IF(COUNT(Resultados!C13,Resultados!L13,Resultados!U13)=0, "", AVERAGE(ABS(Resultados!C13),ABS(Resultados!L13),ABS(Resultados!U13)))</f>
        <v>71</v>
      </c>
      <c r="D13">
        <f>IF(COUNT(Resultados!D13,Resultados!M13,Resultados!V13)=0, "", AVERAGE(ABS(Resultados!D13),ABS(Resultados!M13),ABS(Resultados!V13)))</f>
        <v>5.3400000000000003E-2</v>
      </c>
      <c r="E13">
        <f>IF(COUNT(Resultados!E13,Resultados!N13,Resultados!W13)=0, "", AVERAGE(ABS(Resultados!E13),ABS(Resultados!N13),ABS(Resultados!W13)))</f>
        <v>25.465199877590972</v>
      </c>
      <c r="F13">
        <f>IF(COUNT(Resultados!F13,Resultados!O13,Resultados!X13)=0, "", AVERAGE(ABS(Resultados!F13),ABS(Resultados!O13),ABS(Resultados!X13)))</f>
        <v>2443.356628591479</v>
      </c>
      <c r="G13">
        <f>IF(COUNT(Resultados!G13,Resultados!P13,Resultados!Y13)=0, "", AVERAGE(ABS(Resultados!G13),ABS(Resultados!P13),ABS(Resultados!Y13)))</f>
        <v>9.0579999999999998</v>
      </c>
      <c r="H13">
        <f>IF(COUNT(Resultados!H13,Resultados!Q13,Resultados!Z13)=0, "", AVERAGE(ABS(Resultados!H13),ABS(Resultados!Q13),ABS(Resultados!Z13)))</f>
        <v>6.143333333333334E-2</v>
      </c>
      <c r="I13">
        <f>IF(COUNT(Resultados!I13,Resultados!R13,Resultados!AA13)=0, "", AVERAGE(ABS(Resultados!I13),ABS(Resultados!R13),ABS(Resultados!AA13)))</f>
        <v>2.1990666666666669</v>
      </c>
      <c r="J13">
        <v>6.143333333333334E-2</v>
      </c>
      <c r="K13">
        <v>5.3400000000000003E-2</v>
      </c>
    </row>
    <row r="14" spans="1:11" x14ac:dyDescent="0.3">
      <c r="A14" t="str">
        <f>IF(COUNT(Resultados!A14,Resultados!J14,Resultados!S14)=0, "", AVERAGE(ABS(Resultados!A14),ABS(Resultados!J14),ABS(Resultados!S14)))</f>
        <v/>
      </c>
      <c r="B14" t="str">
        <f>IF(COUNT(Resultados!B14,Resultados!K14,Resultados!T14)=0, "", AVERAGE(ABS(Resultados!B14),ABS(Resultados!K14),ABS(Resultados!T14)))</f>
        <v/>
      </c>
      <c r="C14">
        <f>IF(COUNT(Resultados!C14,Resultados!L14,Resultados!U14)=0, "", AVERAGE(ABS(Resultados!C14),ABS(Resultados!L14),ABS(Resultados!U14)))</f>
        <v>71</v>
      </c>
      <c r="D14">
        <f>IF(COUNT(Resultados!D14,Resultados!M14,Resultados!V14)=0, "", AVERAGE(ABS(Resultados!D14),ABS(Resultados!M14),ABS(Resultados!V14)))</f>
        <v>5.4433333333333334E-2</v>
      </c>
      <c r="E14">
        <f>IF(COUNT(Resultados!E14,Resultados!N14,Resultados!W14)=0, "", AVERAGE(ABS(Resultados!E14),ABS(Resultados!N14),ABS(Resultados!W14)))</f>
        <v>25.176665405191301</v>
      </c>
      <c r="F14">
        <f>IF(COUNT(Resultados!F14,Resultados!O14,Resultados!X14)=0, "", AVERAGE(ABS(Resultados!F14),ABS(Resultados!O14),ABS(Resultados!X14)))</f>
        <v>2416.4652157638293</v>
      </c>
      <c r="G14">
        <f>IF(COUNT(Resultados!G14,Resultados!P14,Resultados!Y14)=0, "", AVERAGE(ABS(Resultados!G14),ABS(Resultados!P14),ABS(Resultados!Y14)))</f>
        <v>9.0579999999999998</v>
      </c>
      <c r="H14">
        <f>IF(COUNT(Resultados!H14,Resultados!Q14,Resultados!Z14)=0, "", AVERAGE(ABS(Resultados!H14),ABS(Resultados!Q14),ABS(Resultados!Z14)))</f>
        <v>5.6933333333333336E-2</v>
      </c>
      <c r="I14">
        <f>IF(COUNT(Resultados!I14,Resultados!R14,Resultados!AA14)=0, "", AVERAGE(ABS(Resultados!I14),ABS(Resultados!R14),ABS(Resultados!AA14)))</f>
        <v>2.398826666666666</v>
      </c>
      <c r="J14">
        <v>5.6933333333333336E-2</v>
      </c>
      <c r="K14">
        <v>5.4433333333333334E-2</v>
      </c>
    </row>
    <row r="15" spans="1:11" x14ac:dyDescent="0.3">
      <c r="A15" t="str">
        <f>IF(COUNT(Resultados!A15,Resultados!J15,Resultados!S15)=0, "", AVERAGE(ABS(Resultados!A15),ABS(Resultados!J15),ABS(Resultados!S15)))</f>
        <v/>
      </c>
      <c r="B15" t="str">
        <f>IF(COUNT(Resultados!B15,Resultados!K15,Resultados!T15)=0, "", AVERAGE(ABS(Resultados!B15),ABS(Resultados!K15),ABS(Resultados!T15)))</f>
        <v/>
      </c>
      <c r="C15">
        <f>IF(COUNT(Resultados!C15,Resultados!L15,Resultados!U15)=0, "", AVERAGE(ABS(Resultados!C15),ABS(Resultados!L15),ABS(Resultados!U15)))</f>
        <v>71</v>
      </c>
      <c r="D15">
        <f>IF(COUNT(Resultados!D15,Resultados!M15,Resultados!V15)=0, "", AVERAGE(ABS(Resultados!D15),ABS(Resultados!M15),ABS(Resultados!V15)))</f>
        <v>5.3466666666666669E-2</v>
      </c>
      <c r="E15">
        <f>IF(COUNT(Resultados!E15,Resultados!N15,Resultados!W15)=0, "", AVERAGE(ABS(Resultados!E15),ABS(Resultados!N15),ABS(Resultados!W15)))</f>
        <v>24.725122635793138</v>
      </c>
      <c r="F15">
        <f>IF(COUNT(Resultados!F15,Resultados!O15,Resultados!X15)=0, "", AVERAGE(ABS(Resultados!F15),ABS(Resultados!O15),ABS(Resultados!X15)))</f>
        <v>2374.3814296559199</v>
      </c>
      <c r="G15">
        <f>IF(COUNT(Resultados!G15,Resultados!P15,Resultados!Y15)=0, "", AVERAGE(ABS(Resultados!G15),ABS(Resultados!P15),ABS(Resultados!Y15)))</f>
        <v>9.0579999999999998</v>
      </c>
      <c r="H15">
        <f>IF(COUNT(Resultados!H15,Resultados!Q15,Resultados!Z15)=0, "", AVERAGE(ABS(Resultados!H15),ABS(Resultados!Q15),ABS(Resultados!Z15)))</f>
        <v>4.993333333333333E-2</v>
      </c>
      <c r="I15">
        <f>IF(COUNT(Resultados!I15,Resultados!R15,Resultados!AA15)=0, "", AVERAGE(ABS(Resultados!I15),ABS(Resultados!R15),ABS(Resultados!AA15)))</f>
        <v>2.5995866666666672</v>
      </c>
      <c r="J15">
        <v>4.993333333333333E-2</v>
      </c>
      <c r="K15">
        <v>5.3466666666666669E-2</v>
      </c>
    </row>
    <row r="16" spans="1:11" x14ac:dyDescent="0.3">
      <c r="A16" t="str">
        <f>IF(COUNT(Resultados!A16,Resultados!J16,Resultados!S16)=0, "", AVERAGE(ABS(Resultados!A16),ABS(Resultados!J16),ABS(Resultados!S16)))</f>
        <v/>
      </c>
      <c r="B16" t="str">
        <f>IF(COUNT(Resultados!B16,Resultados!K16,Resultados!T16)=0, "", AVERAGE(ABS(Resultados!B16),ABS(Resultados!K16),ABS(Resultados!T16)))</f>
        <v/>
      </c>
      <c r="C16">
        <f>IF(COUNT(Resultados!C16,Resultados!L16,Resultados!U16)=0, "", AVERAGE(ABS(Resultados!C16),ABS(Resultados!L16),ABS(Resultados!U16)))</f>
        <v>71</v>
      </c>
      <c r="D16">
        <f>IF(COUNT(Resultados!D16,Resultados!M16,Resultados!V16)=0, "", AVERAGE(ABS(Resultados!D16),ABS(Resultados!M16),ABS(Resultados!V16)))</f>
        <v>5.0966666666666667E-2</v>
      </c>
      <c r="E16">
        <f>IF(COUNT(Resultados!E16,Resultados!N16,Resultados!W16)=0, "", AVERAGE(ABS(Resultados!E16),ABS(Resultados!N16),ABS(Resultados!W16)))</f>
        <v>24.1602910685415</v>
      </c>
      <c r="F16">
        <f>IF(COUNT(Resultados!F16,Resultados!O16,Resultados!X16)=0, "", AVERAGE(ABS(Resultados!F16),ABS(Resultados!O16),ABS(Resultados!X16)))</f>
        <v>2321.7391275880686</v>
      </c>
      <c r="G16">
        <f>IF(COUNT(Resultados!G16,Resultados!P16,Resultados!Y16)=0, "", AVERAGE(ABS(Resultados!G16),ABS(Resultados!P16),ABS(Resultados!Y16)))</f>
        <v>9.0579999999999998</v>
      </c>
      <c r="H16">
        <f>IF(COUNT(Resultados!H16,Resultados!Q16,Resultados!Z16)=0, "", AVERAGE(ABS(Resultados!H16),ABS(Resultados!Q16),ABS(Resultados!Z16)))</f>
        <v>4.1133333333333334E-2</v>
      </c>
      <c r="I16">
        <f>IF(COUNT(Resultados!I16,Resultados!R16,Resultados!AA16)=0, "", AVERAGE(ABS(Resultados!I16),ABS(Resultados!R16),ABS(Resultados!AA16)))</f>
        <v>2.7997966666666656</v>
      </c>
      <c r="J16">
        <v>4.1133333333333334E-2</v>
      </c>
      <c r="K16">
        <v>5.0966666666666667E-2</v>
      </c>
    </row>
    <row r="17" spans="1:11" x14ac:dyDescent="0.3">
      <c r="A17" t="str">
        <f>IF(COUNT(Resultados!A17,Resultados!J17,Resultados!S17)=0, "", AVERAGE(ABS(Resultados!A17),ABS(Resultados!J17),ABS(Resultados!S17)))</f>
        <v/>
      </c>
      <c r="B17" t="str">
        <f>IF(COUNT(Resultados!B17,Resultados!K17,Resultados!T17)=0, "", AVERAGE(ABS(Resultados!B17),ABS(Resultados!K17),ABS(Resultados!T17)))</f>
        <v/>
      </c>
      <c r="C17">
        <f>IF(COUNT(Resultados!C17,Resultados!L17,Resultados!U17)=0, "", AVERAGE(ABS(Resultados!C17),ABS(Resultados!L17),ABS(Resultados!U17)))</f>
        <v>71</v>
      </c>
      <c r="D17">
        <f>IF(COUNT(Resultados!D17,Resultados!M17,Resultados!V17)=0, "", AVERAGE(ABS(Resultados!D17),ABS(Resultados!M17),ABS(Resultados!V17)))</f>
        <v>4.5499999999999992E-2</v>
      </c>
      <c r="E17">
        <f>IF(COUNT(Resultados!E17,Resultados!N17,Resultados!W17)=0, "", AVERAGE(ABS(Resultados!E17),ABS(Resultados!N17),ABS(Resultados!W17)))</f>
        <v>23.532227148774666</v>
      </c>
      <c r="F17">
        <f>IF(COUNT(Resultados!F17,Resultados!O17,Resultados!X17)=0, "", AVERAGE(ABS(Resultados!F17),ABS(Resultados!O17),ABS(Resultados!X17)))</f>
        <v>2263.2035702657981</v>
      </c>
      <c r="G17">
        <f>IF(COUNT(Resultados!G17,Resultados!P17,Resultados!Y17)=0, "", AVERAGE(ABS(Resultados!G17),ABS(Resultados!P17),ABS(Resultados!Y17)))</f>
        <v>9.0579999999999998</v>
      </c>
      <c r="H17">
        <f>IF(COUNT(Resultados!H17,Resultados!Q17,Resultados!Z17)=0, "", AVERAGE(ABS(Resultados!H17),ABS(Resultados!Q17),ABS(Resultados!Z17)))</f>
        <v>3.1366666666666668E-2</v>
      </c>
      <c r="I17">
        <f>IF(COUNT(Resultados!I17,Resultados!R17,Resultados!AA17)=0, "", AVERAGE(ABS(Resultados!I17),ABS(Resultados!R17),ABS(Resultados!AA17)))</f>
        <v>3.0006433333333313</v>
      </c>
      <c r="J17">
        <v>3.1366666666666668E-2</v>
      </c>
      <c r="K17">
        <v>4.5499999999999992E-2</v>
      </c>
    </row>
    <row r="18" spans="1:11" x14ac:dyDescent="0.3">
      <c r="A18" t="str">
        <f>IF(COUNT(Resultados!A18,Resultados!J18,Resultados!S18)=0, "", AVERAGE(ABS(Resultados!A18),ABS(Resultados!J18),ABS(Resultados!S18)))</f>
        <v/>
      </c>
      <c r="B18" t="str">
        <f>IF(COUNT(Resultados!B18,Resultados!K18,Resultados!T18)=0, "", AVERAGE(ABS(Resultados!B18),ABS(Resultados!K18),ABS(Resultados!T18)))</f>
        <v/>
      </c>
      <c r="C18">
        <f>IF(COUNT(Resultados!C18,Resultados!L18,Resultados!U18)=0, "", AVERAGE(ABS(Resultados!C18),ABS(Resultados!L18),ABS(Resultados!U18)))</f>
        <v>71</v>
      </c>
      <c r="D18">
        <f>IF(COUNT(Resultados!D18,Resultados!M18,Resultados!V18)=0, "", AVERAGE(ABS(Resultados!D18),ABS(Resultados!M18),ABS(Resultados!V18)))</f>
        <v>3.8100000000000002E-2</v>
      </c>
      <c r="E18">
        <f>IF(COUNT(Resultados!E18,Resultados!N18,Resultados!W18)=0, "", AVERAGE(ABS(Resultados!E18),ABS(Resultados!N18),ABS(Resultados!W18)))</f>
        <v>22.90432595793547</v>
      </c>
      <c r="F18">
        <f>IF(COUNT(Resultados!F18,Resultados!O18,Resultados!X18)=0, "", AVERAGE(ABS(Resultados!F18),ABS(Resultados!O18),ABS(Resultados!X18)))</f>
        <v>2204.6831792795861</v>
      </c>
      <c r="G18">
        <f>IF(COUNT(Resultados!G18,Resultados!P18,Resultados!Y18)=0, "", AVERAGE(ABS(Resultados!G18),ABS(Resultados!P18),ABS(Resultados!Y18)))</f>
        <v>9.0579999999999998</v>
      </c>
      <c r="H18">
        <f>IF(COUNT(Resultados!H18,Resultados!Q18,Resultados!Z18)=0, "", AVERAGE(ABS(Resultados!H18),ABS(Resultados!Q18),ABS(Resultados!Z18)))</f>
        <v>2.1633333333333338E-2</v>
      </c>
      <c r="I18">
        <f>IF(COUNT(Resultados!I18,Resultados!R18,Resultados!AA18)=0, "", AVERAGE(ABS(Resultados!I18),ABS(Resultados!R18),ABS(Resultados!AA18)))</f>
        <v>3.2007733333333341</v>
      </c>
      <c r="J18">
        <v>2.1633333333333338E-2</v>
      </c>
      <c r="K18">
        <v>3.8100000000000002E-2</v>
      </c>
    </row>
    <row r="19" spans="1:11" x14ac:dyDescent="0.3">
      <c r="A19" t="str">
        <f>IF(COUNT(Resultados!A19,Resultados!J19,Resultados!S19)=0, "", AVERAGE(ABS(Resultados!A19),ABS(Resultados!J19),ABS(Resultados!S19)))</f>
        <v/>
      </c>
      <c r="B19" t="str">
        <f>IF(COUNT(Resultados!B19,Resultados!K19,Resultados!T19)=0, "", AVERAGE(ABS(Resultados!B19),ABS(Resultados!K19),ABS(Resultados!T19)))</f>
        <v/>
      </c>
      <c r="C19">
        <f>IF(COUNT(Resultados!C19,Resultados!L19,Resultados!U19)=0, "", AVERAGE(ABS(Resultados!C19),ABS(Resultados!L19),ABS(Resultados!U19)))</f>
        <v>71</v>
      </c>
      <c r="D19">
        <f>IF(COUNT(Resultados!D19,Resultados!M19,Resultados!V19)=0, "", AVERAGE(ABS(Resultados!D19),ABS(Resultados!M19),ABS(Resultados!V19)))</f>
        <v>2.9399999999999999E-2</v>
      </c>
      <c r="E19">
        <f>IF(COUNT(Resultados!E19,Resultados!N19,Resultados!W19)=0, "", AVERAGE(ABS(Resultados!E19),ABS(Resultados!N19),ABS(Resultados!W19)))</f>
        <v>22.344026742726925</v>
      </c>
      <c r="F19">
        <f>IF(COUNT(Resultados!F19,Resultados!O19,Resultados!X19)=0, "", AVERAGE(ABS(Resultados!F19),ABS(Resultados!O19),ABS(Resultados!X19)))</f>
        <v>2152.4632924221496</v>
      </c>
      <c r="G19">
        <f>IF(COUNT(Resultados!G19,Resultados!P19,Resultados!Y19)=0, "", AVERAGE(ABS(Resultados!G19),ABS(Resultados!P19),ABS(Resultados!Y19)))</f>
        <v>9.0579999999999998</v>
      </c>
      <c r="H19">
        <f>IF(COUNT(Resultados!H19,Resultados!Q19,Resultados!Z19)=0, "", AVERAGE(ABS(Resultados!H19),ABS(Resultados!Q19),ABS(Resultados!Z19)))</f>
        <v>1.2933333333333333E-2</v>
      </c>
      <c r="I19">
        <f>IF(COUNT(Resultados!I19,Resultados!R19,Resultados!AA19)=0, "", AVERAGE(ABS(Resultados!I19),ABS(Resultados!R19),ABS(Resultados!AA19)))</f>
        <v>3.3996599999999995</v>
      </c>
      <c r="J19">
        <v>1.2933333333333333E-2</v>
      </c>
      <c r="K19">
        <v>2.9399999999999999E-2</v>
      </c>
    </row>
    <row r="20" spans="1:11" x14ac:dyDescent="0.3">
      <c r="A20" t="str">
        <f>IF(COUNT(Resultados!A20,Resultados!J20,Resultados!S20)=0, "", AVERAGE(ABS(Resultados!A20),ABS(Resultados!J20),ABS(Resultados!S20)))</f>
        <v/>
      </c>
      <c r="B20" t="str">
        <f>IF(COUNT(Resultados!B20,Resultados!K20,Resultados!T20)=0, "", AVERAGE(ABS(Resultados!B20),ABS(Resultados!K20),ABS(Resultados!T20)))</f>
        <v/>
      </c>
      <c r="C20">
        <f>IF(COUNT(Resultados!C20,Resultados!L20,Resultados!U20)=0, "", AVERAGE(ABS(Resultados!C20),ABS(Resultados!L20),ABS(Resultados!U20)))</f>
        <v>71</v>
      </c>
      <c r="D20">
        <f>IF(COUNT(Resultados!D20,Resultados!M20,Resultados!V20)=0, "", AVERAGE(ABS(Resultados!D20),ABS(Resultados!M20),ABS(Resultados!V20)))</f>
        <v>2.1599999999999998E-2</v>
      </c>
      <c r="E20">
        <f>IF(COUNT(Resultados!E20,Resultados!N20,Resultados!W20)=0, "", AVERAGE(ABS(Resultados!E20),ABS(Resultados!N20),ABS(Resultados!W20)))</f>
        <v>21.897646535042824</v>
      </c>
      <c r="F20">
        <f>IF(COUNT(Resultados!F20,Resultados!O20,Resultados!X20)=0, "", AVERAGE(ABS(Resultados!F20),ABS(Resultados!O20),ABS(Resultados!X20)))</f>
        <v>2110.8606570659908</v>
      </c>
      <c r="G20">
        <f>IF(COUNT(Resultados!G20,Resultados!P20,Resultados!Y20)=0, "", AVERAGE(ABS(Resultados!G20),ABS(Resultados!P20),ABS(Resultados!Y20)))</f>
        <v>9.0579999999999998</v>
      </c>
      <c r="H20">
        <f>IF(COUNT(Resultados!H20,Resultados!Q20,Resultados!Z20)=0, "", AVERAGE(ABS(Resultados!H20),ABS(Resultados!Q20),ABS(Resultados!Z20)))</f>
        <v>6.000000000000001E-3</v>
      </c>
      <c r="I20">
        <f>IF(COUNT(Resultados!I20,Resultados!R20,Resultados!AA20)=0, "", AVERAGE(ABS(Resultados!I20),ABS(Resultados!R20),ABS(Resultados!AA20)))</f>
        <v>3.5982433333333326</v>
      </c>
      <c r="J20">
        <v>6.000000000000001E-3</v>
      </c>
      <c r="K20">
        <v>2.1599999999999998E-2</v>
      </c>
    </row>
    <row r="21" spans="1:11" x14ac:dyDescent="0.3">
      <c r="A21" t="str">
        <f>IF(COUNT(Resultados!A21,Resultados!J21,Resultados!S21)=0, "", AVERAGE(ABS(Resultados!A21),ABS(Resultados!J21),ABS(Resultados!S21)))</f>
        <v/>
      </c>
      <c r="B21" t="str">
        <f>IF(COUNT(Resultados!B21,Resultados!K21,Resultados!T21)=0, "", AVERAGE(ABS(Resultados!B21),ABS(Resultados!K21),ABS(Resultados!T21)))</f>
        <v/>
      </c>
      <c r="C21">
        <f>IF(COUNT(Resultados!C21,Resultados!L21,Resultados!U21)=0, "", AVERAGE(ABS(Resultados!C21),ABS(Resultados!L21),ABS(Resultados!U21)))</f>
        <v>71</v>
      </c>
      <c r="D21">
        <f>IF(COUNT(Resultados!D21,Resultados!M21,Resultados!V21)=0, "", AVERAGE(ABS(Resultados!D21),ABS(Resultados!M21),ABS(Resultados!V21)))</f>
        <v>1.2966666666666668E-2</v>
      </c>
      <c r="E21">
        <f>IF(COUNT(Resultados!E21,Resultados!N21,Resultados!W21)=0, "", AVERAGE(ABS(Resultados!E21),ABS(Resultados!N21),ABS(Resultados!W21)))</f>
        <v>21.61001441076581</v>
      </c>
      <c r="F21">
        <f>IF(COUNT(Resultados!F21,Resultados!O21,Resultados!X21)=0, "", AVERAGE(ABS(Resultados!F21),ABS(Resultados!O21),ABS(Resultados!X21)))</f>
        <v>2084.0533430833734</v>
      </c>
      <c r="G21">
        <f>IF(COUNT(Resultados!G21,Resultados!P21,Resultados!Y21)=0, "", AVERAGE(ABS(Resultados!G21),ABS(Resultados!P21),ABS(Resultados!Y21)))</f>
        <v>9.0579999999999998</v>
      </c>
      <c r="H21">
        <f>IF(COUNT(Resultados!H21,Resultados!Q21,Resultados!Z21)=0, "", AVERAGE(ABS(Resultados!H21),ABS(Resultados!Q21),ABS(Resultados!Z21)))</f>
        <v>1.5000000000000002E-3</v>
      </c>
      <c r="I21">
        <f>IF(COUNT(Resultados!I21,Resultados!R21,Resultados!AA21)=0, "", AVERAGE(ABS(Resultados!I21),ABS(Resultados!R21),ABS(Resultados!AA21)))</f>
        <v>3.7988966666666664</v>
      </c>
      <c r="J21">
        <v>1.5000000000000002E-3</v>
      </c>
      <c r="K21">
        <v>1.2966666666666668E-2</v>
      </c>
    </row>
    <row r="22" spans="1:11" x14ac:dyDescent="0.3">
      <c r="A22" t="str">
        <f>IF(COUNT(Resultados!A22,Resultados!J22,Resultados!S22)=0, "", AVERAGE(ABS(Resultados!A22),ABS(Resultados!J22),ABS(Resultados!S22)))</f>
        <v/>
      </c>
      <c r="B22" t="str">
        <f>IF(COUNT(Resultados!B22,Resultados!K22,Resultados!T22)=0, "", AVERAGE(ABS(Resultados!B22),ABS(Resultados!K22),ABS(Resultados!T22)))</f>
        <v/>
      </c>
      <c r="C22">
        <f>IF(COUNT(Resultados!C22,Resultados!L22,Resultados!U22)=0, "", AVERAGE(ABS(Resultados!C22),ABS(Resultados!L22),ABS(Resultados!U22)))</f>
        <v>71</v>
      </c>
      <c r="D22">
        <f>IF(COUNT(Resultados!D22,Resultados!M22,Resultados!V22)=0, "", AVERAGE(ABS(Resultados!D22),ABS(Resultados!M22),ABS(Resultados!V22)))</f>
        <v>5.3E-3</v>
      </c>
      <c r="E22">
        <f>IF(COUNT(Resultados!E22,Resultados!N22,Resultados!W22)=0, "", AVERAGE(ABS(Resultados!E22),ABS(Resultados!N22),ABS(Resultados!W22)))</f>
        <v>21.511918081951848</v>
      </c>
      <c r="F22">
        <f>IF(COUNT(Resultados!F22,Resultados!O22,Resultados!X22)=0, "", AVERAGE(ABS(Resultados!F22),ABS(Resultados!O22),ABS(Resultados!X22)))</f>
        <v>2074.9107652379121</v>
      </c>
      <c r="G22">
        <f>IF(COUNT(Resultados!G22,Resultados!P22,Resultados!Y22)=0, "", AVERAGE(ABS(Resultados!G22),ABS(Resultados!P22),ABS(Resultados!Y22)))</f>
        <v>9.0579999999999998</v>
      </c>
      <c r="H22">
        <f>IF(COUNT(Resultados!H22,Resultados!Q22,Resultados!Z22)=0, "", AVERAGE(ABS(Resultados!H22),ABS(Resultados!Q22),ABS(Resultados!Z22)))</f>
        <v>0</v>
      </c>
      <c r="I22">
        <f>IF(COUNT(Resultados!I22,Resultados!R22,Resultados!AA22)=0, "", AVERAGE(ABS(Resultados!I22),ABS(Resultados!R22),ABS(Resultados!AA22)))</f>
        <v>3.9993599999999994</v>
      </c>
      <c r="J22">
        <v>0</v>
      </c>
      <c r="K22">
        <v>5.3E-3</v>
      </c>
    </row>
    <row r="23" spans="1:11" x14ac:dyDescent="0.3">
      <c r="A23" t="str">
        <f>IF(COUNT(Resultados!A23,Resultados!J23,Resultados!S23)=0, "", AVERAGE(ABS(Resultados!A23),ABS(Resultados!J23),ABS(Resultados!S23)))</f>
        <v/>
      </c>
      <c r="B23" t="str">
        <f>IF(COUNT(Resultados!B23,Resultados!K23,Resultados!T23)=0, "", AVERAGE(ABS(Resultados!B23),ABS(Resultados!K23),ABS(Resultados!T23)))</f>
        <v/>
      </c>
      <c r="C23">
        <f>IF(COUNT(Resultados!C23,Resultados!L23,Resultados!U23)=0, "", AVERAGE(ABS(Resultados!C23),ABS(Resultados!L23),ABS(Resultados!U23)))</f>
        <v>71</v>
      </c>
      <c r="D23">
        <f>IF(COUNT(Resultados!D23,Resultados!M23,Resultados!V23)=0, "", AVERAGE(ABS(Resultados!D23),ABS(Resultados!M23),ABS(Resultados!V23)))</f>
        <v>2.3333333333333335E-3</v>
      </c>
      <c r="E23">
        <f>IF(COUNT(Resultados!E23,Resultados!N23,Resultados!W23)=0, "", AVERAGE(ABS(Resultados!E23),ABS(Resultados!N23),ABS(Resultados!W23)))</f>
        <v>21.614992699539709</v>
      </c>
      <c r="F23">
        <f>IF(COUNT(Resultados!F23,Resultados!O23,Resultados!X23)=0, "", AVERAGE(ABS(Resultados!F23),ABS(Resultados!O23),ABS(Resultados!X23)))</f>
        <v>2191.2628071863178</v>
      </c>
      <c r="G23">
        <f>IF(COUNT(Resultados!G23,Resultados!P23,Resultados!Y23)=0, "", AVERAGE(ABS(Resultados!G23),ABS(Resultados!P23),ABS(Resultados!Y23)))</f>
        <v>9.0579999999999998</v>
      </c>
      <c r="H23">
        <f>IF(COUNT(Resultados!H23,Resultados!Q23,Resultados!Z23)=0, "", AVERAGE(ABS(Resultados!H23),ABS(Resultados!Q23),ABS(Resultados!Z23)))</f>
        <v>1.6333333333333332E-3</v>
      </c>
      <c r="I23">
        <f>IF(COUNT(Resultados!I23,Resultados!R23,Resultados!AA23)=0, "", AVERAGE(ABS(Resultados!I23),ABS(Resultados!R23),ABS(Resultados!AA23)))</f>
        <v>4.2034066666666661</v>
      </c>
      <c r="J23">
        <v>1.6333333333333332E-3</v>
      </c>
      <c r="K23">
        <v>2.3333333333333335E-3</v>
      </c>
    </row>
    <row r="24" spans="1:11" x14ac:dyDescent="0.3">
      <c r="A24" t="str">
        <f>IF(COUNT(Resultados!A24,Resultados!J24,Resultados!S24)=0, "", AVERAGE(ABS(Resultados!A24),ABS(Resultados!J24),ABS(Resultados!S24)))</f>
        <v/>
      </c>
      <c r="B24" t="str">
        <f>IF(COUNT(Resultados!B24,Resultados!K24,Resultados!T24)=0, "", AVERAGE(ABS(Resultados!B24),ABS(Resultados!K24),ABS(Resultados!T24)))</f>
        <v/>
      </c>
      <c r="C24">
        <f>IF(COUNT(Resultados!C24,Resultados!L24,Resultados!U24)=0, "", AVERAGE(ABS(Resultados!C24),ABS(Resultados!L24),ABS(Resultados!U24)))</f>
        <v>71</v>
      </c>
      <c r="D24">
        <f>IF(COUNT(Resultados!D24,Resultados!M24,Resultados!V24)=0, "", AVERAGE(ABS(Resultados!D24),ABS(Resultados!M24),ABS(Resultados!V24)))</f>
        <v>2.166666666666667E-3</v>
      </c>
      <c r="E24">
        <f>IF(COUNT(Resultados!E24,Resultados!N24,Resultados!W24)=0, "", AVERAGE(ABS(Resultados!E24),ABS(Resultados!N24),ABS(Resultados!W24)))</f>
        <v>21.903353887256532</v>
      </c>
      <c r="F24">
        <f>IF(COUNT(Resultados!F24,Resultados!O24,Resultados!X24)=0, "", AVERAGE(ABS(Resultados!F24),ABS(Resultados!O24),ABS(Resultados!X24)))</f>
        <v>2218.6282839006449</v>
      </c>
      <c r="G24">
        <f>IF(COUNT(Resultados!G24,Resultados!P24,Resultados!Y24)=0, "", AVERAGE(ABS(Resultados!G24),ABS(Resultados!P24),ABS(Resultados!Y24)))</f>
        <v>9.0579999999999998</v>
      </c>
      <c r="H24">
        <f>IF(COUNT(Resultados!H24,Resultados!Q24,Resultados!Z24)=0, "", AVERAGE(ABS(Resultados!H24),ABS(Resultados!Q24),ABS(Resultados!Z24)))</f>
        <v>6.0666666666666673E-3</v>
      </c>
      <c r="I24">
        <f>IF(COUNT(Resultados!I24,Resultados!R24,Resultados!AA24)=0, "", AVERAGE(ABS(Resultados!I24),ABS(Resultados!R24),ABS(Resultados!AA24)))</f>
        <v>4.3988399999999999</v>
      </c>
      <c r="J24">
        <v>6.0666666666666673E-3</v>
      </c>
      <c r="K24">
        <v>2.166666666666667E-3</v>
      </c>
    </row>
    <row r="25" spans="1:11" x14ac:dyDescent="0.3">
      <c r="A25" t="str">
        <f>IF(COUNT(Resultados!A25,Resultados!J25,Resultados!S25)=0, "", AVERAGE(ABS(Resultados!A25),ABS(Resultados!J25),ABS(Resultados!S25)))</f>
        <v/>
      </c>
      <c r="B25" t="str">
        <f>IF(COUNT(Resultados!B25,Resultados!K25,Resultados!T25)=0, "", AVERAGE(ABS(Resultados!B25),ABS(Resultados!K25),ABS(Resultados!T25)))</f>
        <v/>
      </c>
      <c r="C25">
        <f>IF(COUNT(Resultados!C25,Resultados!L25,Resultados!U25)=0, "", AVERAGE(ABS(Resultados!C25),ABS(Resultados!L25),ABS(Resultados!U25)))</f>
        <v>71</v>
      </c>
      <c r="D25">
        <f>IF(COUNT(Resultados!D25,Resultados!M25,Resultados!V25)=0, "", AVERAGE(ABS(Resultados!D25),ABS(Resultados!M25),ABS(Resultados!V25)))</f>
        <v>7.3333333333333323E-4</v>
      </c>
      <c r="E25">
        <f>IF(COUNT(Resultados!E25,Resultados!N25,Resultados!W25)=0, "", AVERAGE(ABS(Resultados!E25),ABS(Resultados!N25),ABS(Resultados!W25)))</f>
        <v>22.352560820758313</v>
      </c>
      <c r="F25">
        <f>IF(COUNT(Resultados!F25,Resultados!O25,Resultados!X25)=0, "", AVERAGE(ABS(Resultados!F25),ABS(Resultados!O25),ABS(Resultados!X25)))</f>
        <v>2261.2580218899643</v>
      </c>
      <c r="G25">
        <f>IF(COUNT(Resultados!G25,Resultados!P25,Resultados!Y25)=0, "", AVERAGE(ABS(Resultados!G25),ABS(Resultados!P25),ABS(Resultados!Y25)))</f>
        <v>9.0579999999999998</v>
      </c>
      <c r="H25">
        <f>IF(COUNT(Resultados!H25,Resultados!Q25,Resultados!Z25)=0, "", AVERAGE(ABS(Resultados!H25),ABS(Resultados!Q25),ABS(Resultados!Z25)))</f>
        <v>1.3033333333333333E-2</v>
      </c>
      <c r="I25">
        <f>IF(COUNT(Resultados!I25,Resultados!R25,Resultados!AA25)=0, "", AVERAGE(ABS(Resultados!I25),ABS(Resultados!R25),ABS(Resultados!AA25)))</f>
        <v>4.6000266666666656</v>
      </c>
      <c r="J25">
        <v>1.3033333333333333E-2</v>
      </c>
      <c r="K25">
        <v>7.3333333333333323E-4</v>
      </c>
    </row>
    <row r="26" spans="1:11" x14ac:dyDescent="0.3">
      <c r="A26" t="str">
        <f>IF(COUNT(Resultados!A26,Resultados!J26,Resultados!S26)=0, "", AVERAGE(ABS(Resultados!A26),ABS(Resultados!J26),ABS(Resultados!S26)))</f>
        <v/>
      </c>
      <c r="B26" t="str">
        <f>IF(COUNT(Resultados!B26,Resultados!K26,Resultados!T26)=0, "", AVERAGE(ABS(Resultados!B26),ABS(Resultados!K26),ABS(Resultados!T26)))</f>
        <v/>
      </c>
      <c r="C26">
        <f>IF(COUNT(Resultados!C26,Resultados!L26,Resultados!U26)=0, "", AVERAGE(ABS(Resultados!C26),ABS(Resultados!L26),ABS(Resultados!U26)))</f>
        <v>71</v>
      </c>
      <c r="D26">
        <f>IF(COUNT(Resultados!D26,Resultados!M26,Resultados!V26)=0, "", AVERAGE(ABS(Resultados!D26),ABS(Resultados!M26),ABS(Resultados!V26)))</f>
        <v>3.2666666666666664E-3</v>
      </c>
      <c r="E26">
        <f>IF(COUNT(Resultados!E26,Resultados!N26,Resultados!W26)=0, "", AVERAGE(ABS(Resultados!E26),ABS(Resultados!N26),ABS(Resultados!W26)))</f>
        <v>22.917509163585933</v>
      </c>
      <c r="F26">
        <f>IF(COUNT(Resultados!F26,Resultados!O26,Resultados!X26)=0, "", AVERAGE(ABS(Resultados!F26),ABS(Resultados!O26),ABS(Resultados!X26)))</f>
        <v>2314.8716196243054</v>
      </c>
      <c r="G26">
        <f>IF(COUNT(Resultados!G26,Resultados!P26,Resultados!Y26)=0, "", AVERAGE(ABS(Resultados!G26),ABS(Resultados!P26),ABS(Resultados!Y26)))</f>
        <v>9.0579999999999998</v>
      </c>
      <c r="H26">
        <f>IF(COUNT(Resultados!H26,Resultados!Q26,Resultados!Z26)=0, "", AVERAGE(ABS(Resultados!H26),ABS(Resultados!Q26),ABS(Resultados!Z26)))</f>
        <v>2.1833333333333333E-2</v>
      </c>
      <c r="I26">
        <f>IF(COUNT(Resultados!I26,Resultados!R26,Resultados!AA26)=0, "", AVERAGE(ABS(Resultados!I26),ABS(Resultados!R26),ABS(Resultados!AA26)))</f>
        <v>4.7986433333333336</v>
      </c>
      <c r="J26">
        <v>2.1833333333333333E-2</v>
      </c>
      <c r="K26">
        <v>3.2666666666666664E-3</v>
      </c>
    </row>
    <row r="27" spans="1:11" x14ac:dyDescent="0.3">
      <c r="A27" t="str">
        <f>IF(COUNT(Resultados!A27,Resultados!J27,Resultados!S27)=0, "", AVERAGE(ABS(Resultados!A27),ABS(Resultados!J27),ABS(Resultados!S27)))</f>
        <v/>
      </c>
      <c r="B27" t="str">
        <f>IF(COUNT(Resultados!B27,Resultados!K27,Resultados!T27)=0, "", AVERAGE(ABS(Resultados!B27),ABS(Resultados!K27),ABS(Resultados!T27)))</f>
        <v/>
      </c>
      <c r="C27">
        <f>IF(COUNT(Resultados!C27,Resultados!L27,Resultados!U27)=0, "", AVERAGE(ABS(Resultados!C27),ABS(Resultados!L27),ABS(Resultados!U27)))</f>
        <v>71</v>
      </c>
      <c r="D27">
        <f>IF(COUNT(Resultados!D27,Resultados!M27,Resultados!V27)=0, "", AVERAGE(ABS(Resultados!D27),ABS(Resultados!M27),ABS(Resultados!V27)))</f>
        <v>9.5666666666666678E-3</v>
      </c>
      <c r="E27">
        <f>IF(COUNT(Resultados!E27,Resultados!N27,Resultados!W27)=0, "", AVERAGE(ABS(Resultados!E27),ABS(Resultados!N27),ABS(Resultados!W27)))</f>
        <v>23.544726325269938</v>
      </c>
      <c r="F27">
        <f>IF(COUNT(Resultados!F27,Resultados!O27,Resultados!X27)=0, "", AVERAGE(ABS(Resultados!F27),ABS(Resultados!O27),ABS(Resultados!X27)))</f>
        <v>2374.3945282681175</v>
      </c>
      <c r="G27">
        <f>IF(COUNT(Resultados!G27,Resultados!P27,Resultados!Y27)=0, "", AVERAGE(ABS(Resultados!G27),ABS(Resultados!P27),ABS(Resultados!Y27)))</f>
        <v>9.0579999999999998</v>
      </c>
      <c r="H27">
        <f>IF(COUNT(Resultados!H27,Resultados!Q27,Resultados!Z27)=0, "", AVERAGE(ABS(Resultados!H27),ABS(Resultados!Q27),ABS(Resultados!Z27)))</f>
        <v>3.1566666666666666E-2</v>
      </c>
      <c r="I27">
        <f>IF(COUNT(Resultados!I27,Resultados!R27,Resultados!AA27)=0, "", AVERAGE(ABS(Resultados!I27),ABS(Resultados!R27),ABS(Resultados!AA27)))</f>
        <v>4.9990766666666664</v>
      </c>
      <c r="J27">
        <v>3.1566666666666666E-2</v>
      </c>
      <c r="K27">
        <v>9.5666666666666678E-3</v>
      </c>
    </row>
    <row r="28" spans="1:11" x14ac:dyDescent="0.3">
      <c r="A28" t="str">
        <f>IF(COUNT(Resultados!A28,Resultados!J28,Resultados!S28)=0, "", AVERAGE(ABS(Resultados!A28),ABS(Resultados!J28),ABS(Resultados!S28)))</f>
        <v/>
      </c>
      <c r="B28" t="str">
        <f>IF(COUNT(Resultados!B28,Resultados!K28,Resultados!T28)=0, "", AVERAGE(ABS(Resultados!B28),ABS(Resultados!K28),ABS(Resultados!T28)))</f>
        <v/>
      </c>
      <c r="C28">
        <f>IF(COUNT(Resultados!C28,Resultados!L28,Resultados!U28)=0, "", AVERAGE(ABS(Resultados!C28),ABS(Resultados!L28),ABS(Resultados!U28)))</f>
        <v>71</v>
      </c>
      <c r="D28">
        <f>IF(COUNT(Resultados!D28,Resultados!M28,Resultados!V28)=0, "", AVERAGE(ABS(Resultados!D28),ABS(Resultados!M28),ABS(Resultados!V28)))</f>
        <v>1.7199999999999997E-2</v>
      </c>
      <c r="E28">
        <f>IF(COUNT(Resultados!E28,Resultados!N28,Resultados!W28)=0, "", AVERAGE(ABS(Resultados!E28),ABS(Resultados!N28),ABS(Resultados!W28)))</f>
        <v>24.172031068635931</v>
      </c>
      <c r="F28">
        <f>IF(COUNT(Resultados!F28,Resultados!O28,Resultados!X28)=0, "", AVERAGE(ABS(Resultados!F28),ABS(Resultados!O28),ABS(Resultados!X28)))</f>
        <v>2433.9257484135501</v>
      </c>
      <c r="G28">
        <f>IF(COUNT(Resultados!G28,Resultados!P28,Resultados!Y28)=0, "", AVERAGE(ABS(Resultados!G28),ABS(Resultados!P28),ABS(Resultados!Y28)))</f>
        <v>9.0579999999999998</v>
      </c>
      <c r="H28">
        <f>IF(COUNT(Resultados!H28,Resultados!Q28,Resultados!Z28)=0, "", AVERAGE(ABS(Resultados!H28),ABS(Resultados!Q28),ABS(Resultados!Z28)))</f>
        <v>4.1333333333333333E-2</v>
      </c>
      <c r="I28">
        <f>IF(COUNT(Resultados!I28,Resultados!R28,Resultados!AA28)=0, "", AVERAGE(ABS(Resultados!I28),ABS(Resultados!R28),ABS(Resultados!AA28)))</f>
        <v>5.1998866666666652</v>
      </c>
      <c r="J28">
        <v>4.1333333333333333E-2</v>
      </c>
      <c r="K28">
        <v>1.7199999999999997E-2</v>
      </c>
    </row>
    <row r="29" spans="1:11" x14ac:dyDescent="0.3">
      <c r="A29" t="str">
        <f>IF(COUNT(Resultados!A29,Resultados!J29,Resultados!S29)=0, "", AVERAGE(ABS(Resultados!A29),ABS(Resultados!J29),ABS(Resultados!S29)))</f>
        <v/>
      </c>
      <c r="B29" t="str">
        <f>IF(COUNT(Resultados!B29,Resultados!K29,Resultados!T29)=0, "", AVERAGE(ABS(Resultados!B29),ABS(Resultados!K29),ABS(Resultados!T29)))</f>
        <v/>
      </c>
      <c r="C29">
        <f>IF(COUNT(Resultados!C29,Resultados!L29,Resultados!U29)=0, "", AVERAGE(ABS(Resultados!C29),ABS(Resultados!L29),ABS(Resultados!U29)))</f>
        <v>71</v>
      </c>
      <c r="D29">
        <f>IF(COUNT(Resultados!D29,Resultados!M29,Resultados!V29)=0, "", AVERAGE(ABS(Resultados!D29),ABS(Resultados!M29),ABS(Resultados!V29)))</f>
        <v>2.4300000000000002E-2</v>
      </c>
      <c r="E29">
        <f>IF(COUNT(Resultados!E29,Resultados!N29,Resultados!W29)=0, "", AVERAGE(ABS(Resultados!E29),ABS(Resultados!N29),ABS(Resultados!W29)))</f>
        <v>24.736135221362122</v>
      </c>
      <c r="F29">
        <f>IF(COUNT(Resultados!F29,Resultados!O29,Resultados!X29)=0, "", AVERAGE(ABS(Resultados!F29),ABS(Resultados!O29),ABS(Resultados!X29)))</f>
        <v>2487.4592325072658</v>
      </c>
      <c r="G29">
        <f>IF(COUNT(Resultados!G29,Resultados!P29,Resultados!Y29)=0, "", AVERAGE(ABS(Resultados!G29),ABS(Resultados!P29),ABS(Resultados!Y29)))</f>
        <v>9.0579999999999998</v>
      </c>
      <c r="H29">
        <f>IF(COUNT(Resultados!H29,Resultados!Q29,Resultados!Z29)=0, "", AVERAGE(ABS(Resultados!H29),ABS(Resultados!Q29),ABS(Resultados!Z29)))</f>
        <v>5.0099999999999999E-2</v>
      </c>
      <c r="I29">
        <f>IF(COUNT(Resultados!I29,Resultados!R29,Resultados!AA29)=0, "", AVERAGE(ABS(Resultados!I29),ABS(Resultados!R29),ABS(Resultados!AA29)))</f>
        <v>5.3998533333333336</v>
      </c>
      <c r="J29">
        <v>5.0099999999999999E-2</v>
      </c>
      <c r="K29">
        <v>2.4300000000000002E-2</v>
      </c>
    </row>
    <row r="30" spans="1:11" x14ac:dyDescent="0.3">
      <c r="A30" t="str">
        <f>IF(COUNT(Resultados!A30,Resultados!J30,Resultados!S30)=0, "", AVERAGE(ABS(Resultados!A30),ABS(Resultados!J30),ABS(Resultados!S30)))</f>
        <v/>
      </c>
      <c r="B30" t="str">
        <f>IF(COUNT(Resultados!B30,Resultados!K30,Resultados!T30)=0, "", AVERAGE(ABS(Resultados!B30),ABS(Resultados!K30),ABS(Resultados!T30)))</f>
        <v/>
      </c>
      <c r="C30">
        <f>IF(COUNT(Resultados!C30,Resultados!L30,Resultados!U30)=0, "", AVERAGE(ABS(Resultados!C30),ABS(Resultados!L30),ABS(Resultados!U30)))</f>
        <v>71</v>
      </c>
      <c r="D30">
        <f>IF(COUNT(Resultados!D30,Resultados!M30,Resultados!V30)=0, "", AVERAGE(ABS(Resultados!D30),ABS(Resultados!M30),ABS(Resultados!V30)))</f>
        <v>3.273333333333333E-2</v>
      </c>
      <c r="E30">
        <f>IF(COUNT(Resultados!E30,Resultados!N30,Resultados!W30)=0, "", AVERAGE(ABS(Resultados!E30),ABS(Resultados!N30),ABS(Resultados!W30)))</f>
        <v>25.184405030866589</v>
      </c>
      <c r="F30">
        <f>IF(COUNT(Resultados!F30,Resultados!O30,Resultados!X30)=0, "", AVERAGE(ABS(Resultados!F30),ABS(Resultados!O30),ABS(Resultados!X30)))</f>
        <v>2530.0000374292399</v>
      </c>
      <c r="G30">
        <f>IF(COUNT(Resultados!G30,Resultados!P30,Resultados!Y30)=0, "", AVERAGE(ABS(Resultados!G30),ABS(Resultados!P30),ABS(Resultados!Y30)))</f>
        <v>9.0579999999999998</v>
      </c>
      <c r="H30">
        <f>IF(COUNT(Resultados!H30,Resultados!Q30,Resultados!Z30)=0, "", AVERAGE(ABS(Resultados!H30),ABS(Resultados!Q30),ABS(Resultados!Z30)))</f>
        <v>5.7066666666666661E-2</v>
      </c>
      <c r="I30">
        <f>IF(COUNT(Resultados!I30,Resultados!R30,Resultados!AA30)=0, "", AVERAGE(ABS(Resultados!I30),ABS(Resultados!R30),ABS(Resultados!AA30)))</f>
        <v>5.6007366666666663</v>
      </c>
      <c r="J30">
        <v>5.7066666666666661E-2</v>
      </c>
      <c r="K30">
        <v>3.273333333333333E-2</v>
      </c>
    </row>
    <row r="31" spans="1:11" x14ac:dyDescent="0.3">
      <c r="A31" t="str">
        <f>IF(COUNT(Resultados!A31,Resultados!J31,Resultados!S31)=0, "", AVERAGE(ABS(Resultados!A31),ABS(Resultados!J31),ABS(Resultados!S31)))</f>
        <v/>
      </c>
      <c r="B31" t="str">
        <f>IF(COUNT(Resultados!B31,Resultados!K31,Resultados!T31)=0, "", AVERAGE(ABS(Resultados!B31),ABS(Resultados!K31),ABS(Resultados!T31)))</f>
        <v/>
      </c>
      <c r="C31">
        <f>IF(COUNT(Resultados!C31,Resultados!L31,Resultados!U31)=0, "", AVERAGE(ABS(Resultados!C31),ABS(Resultados!L31),ABS(Resultados!U31)))</f>
        <v>71</v>
      </c>
      <c r="D31">
        <f>IF(COUNT(Resultados!D31,Resultados!M31,Resultados!V31)=0, "", AVERAGE(ABS(Resultados!D31),ABS(Resultados!M31),ABS(Resultados!V31)))</f>
        <v>4.0899999999999999E-2</v>
      </c>
      <c r="E31">
        <f>IF(COUNT(Resultados!E31,Resultados!N31,Resultados!W31)=0, "", AVERAGE(ABS(Resultados!E31),ABS(Resultados!N31),ABS(Resultados!W31)))</f>
        <v>25.469912799274706</v>
      </c>
      <c r="F31">
        <f>IF(COUNT(Resultados!F31,Resultados!O31,Resultados!X31)=0, "", AVERAGE(ABS(Resultados!F31),ABS(Resultados!O31),ABS(Resultados!X31)))</f>
        <v>2557.0947246511701</v>
      </c>
      <c r="G31">
        <f>IF(COUNT(Resultados!G31,Resultados!P31,Resultados!Y31)=0, "", AVERAGE(ABS(Resultados!G31),ABS(Resultados!P31),ABS(Resultados!Y31)))</f>
        <v>9.0579999999999998</v>
      </c>
      <c r="H31">
        <f>IF(COUNT(Resultados!H31,Resultados!Q31,Resultados!Z31)=0, "", AVERAGE(ABS(Resultados!H31),ABS(Resultados!Q31),ABS(Resultados!Z31)))</f>
        <v>6.1499999999999999E-2</v>
      </c>
      <c r="I31">
        <f>IF(COUNT(Resultados!I31,Resultados!R31,Resultados!AA31)=0, "", AVERAGE(ABS(Resultados!I31),ABS(Resultados!R31),ABS(Resultados!AA31)))</f>
        <v>5.7995733333333339</v>
      </c>
      <c r="J31">
        <v>6.1499999999999999E-2</v>
      </c>
      <c r="K31">
        <v>4.0899999999999999E-2</v>
      </c>
    </row>
    <row r="32" spans="1:11" x14ac:dyDescent="0.3">
      <c r="A32" t="str">
        <f>IF(COUNT(Resultados!A32,Resultados!J32,Resultados!S32)=0, "", AVERAGE(ABS(Resultados!A32),ABS(Resultados!J32),ABS(Resultados!S32)))</f>
        <v/>
      </c>
      <c r="B32" t="str">
        <f>IF(COUNT(Resultados!B32,Resultados!K32,Resultados!T32)=0, "", AVERAGE(ABS(Resultados!B32),ABS(Resultados!K32),ABS(Resultados!T32)))</f>
        <v/>
      </c>
      <c r="C32">
        <f>IF(COUNT(Resultados!C32,Resultados!L32,Resultados!U32)=0, "", AVERAGE(ABS(Resultados!C32),ABS(Resultados!L32),ABS(Resultados!U32)))</f>
        <v>71</v>
      </c>
      <c r="D32">
        <f>IF(COUNT(Resultados!D32,Resultados!M32,Resultados!V32)=0, "", AVERAGE(ABS(Resultados!D32),ABS(Resultados!M32),ABS(Resultados!V32)))</f>
        <v>4.7566666666666674E-2</v>
      </c>
      <c r="E32">
        <f>IF(COUNT(Resultados!E32,Resultados!N32,Resultados!W32)=0, "", AVERAGE(ABS(Resultados!E32),ABS(Resultados!N32),ABS(Resultados!W32)))</f>
        <v>25.566615005159434</v>
      </c>
      <c r="F32">
        <f>IF(COUNT(Resultados!F32,Resultados!O32,Resultados!X32)=0, "", AVERAGE(ABS(Resultados!F32),ABS(Resultados!O32),ABS(Resultados!X32)))</f>
        <v>2566.2717639896309</v>
      </c>
      <c r="G32">
        <f>IF(COUNT(Resultados!G32,Resultados!P32,Resultados!Y32)=0, "", AVERAGE(ABS(Resultados!G32),ABS(Resultados!P32),ABS(Resultados!Y32)))</f>
        <v>9.0579999999999998</v>
      </c>
      <c r="H32">
        <f>IF(COUNT(Resultados!H32,Resultados!Q32,Resultados!Z32)=0, "", AVERAGE(ABS(Resultados!H32),ABS(Resultados!Q32),ABS(Resultados!Z32)))</f>
        <v>6.3E-2</v>
      </c>
      <c r="I32">
        <f>IF(COUNT(Resultados!I32,Resultados!R32,Resultados!AA32)=0, "", AVERAGE(ABS(Resultados!I32),ABS(Resultados!R32),ABS(Resultados!AA32)))</f>
        <v>5.9978533333333326</v>
      </c>
      <c r="J32">
        <v>6.3E-2</v>
      </c>
      <c r="K32">
        <v>4.7566666666666674E-2</v>
      </c>
    </row>
    <row r="33" spans="1:11" x14ac:dyDescent="0.3">
      <c r="A33" t="str">
        <f>IF(COUNT(Resultados!A33,Resultados!J33,Resultados!S33)=0, "", AVERAGE(ABS(Resultados!A33),ABS(Resultados!J33),ABS(Resultados!S33)))</f>
        <v/>
      </c>
      <c r="B33" t="str">
        <f>IF(COUNT(Resultados!B33,Resultados!K33,Resultados!T33)=0, "", AVERAGE(ABS(Resultados!B33),ABS(Resultados!K33),ABS(Resultados!T33)))</f>
        <v/>
      </c>
      <c r="C33">
        <f>IF(COUNT(Resultados!C33,Resultados!L33,Resultados!U33)=0, "", AVERAGE(ABS(Resultados!C33),ABS(Resultados!L33),ABS(Resultados!U33)))</f>
        <v>71</v>
      </c>
      <c r="D33">
        <f>IF(COUNT(Resultados!D33,Resultados!M33,Resultados!V33)=0, "", AVERAGE(ABS(Resultados!D33),ABS(Resultados!M33),ABS(Resultados!V33)))</f>
        <v>5.3033333333333328E-2</v>
      </c>
      <c r="E33">
        <f>IF(COUNT(Resultados!E33,Resultados!N33,Resultados!W33)=0, "", AVERAGE(ABS(Resultados!E33),ABS(Resultados!N33),ABS(Resultados!W33)))</f>
        <v>25.466555095994266</v>
      </c>
      <c r="F33">
        <f>IF(COUNT(Resultados!F33,Resultados!O33,Resultados!X33)=0, "", AVERAGE(ABS(Resultados!F33),ABS(Resultados!O33),ABS(Resultados!X33)))</f>
        <v>2443.4829349466654</v>
      </c>
      <c r="G33">
        <f>IF(COUNT(Resultados!G33,Resultados!P33,Resultados!Y33)=0, "", AVERAGE(ABS(Resultados!G33),ABS(Resultados!P33),ABS(Resultados!Y33)))</f>
        <v>9.0579999999999998</v>
      </c>
      <c r="H33">
        <f>IF(COUNT(Resultados!H33,Resultados!Q33,Resultados!Z33)=0, "", AVERAGE(ABS(Resultados!H33),ABS(Resultados!Q33),ABS(Resultados!Z33)))</f>
        <v>6.143333333333334E-2</v>
      </c>
      <c r="I33">
        <f>IF(COUNT(Resultados!I33,Resultados!R33,Resultados!AA33)=0, "", AVERAGE(ABS(Resultados!I33),ABS(Resultados!R33),ABS(Resultados!AA33)))</f>
        <v>6.1980800000000009</v>
      </c>
      <c r="J33">
        <v>6.143333333333334E-2</v>
      </c>
      <c r="K33">
        <v>5.3033333333333328E-2</v>
      </c>
    </row>
    <row r="34" spans="1:11" x14ac:dyDescent="0.3">
      <c r="A34" t="str">
        <f>IF(COUNT(Resultados!A34,Resultados!J34,Resultados!S34)=0, "", AVERAGE(ABS(Resultados!A34),ABS(Resultados!J34),ABS(Resultados!S34)))</f>
        <v/>
      </c>
      <c r="B34" t="str">
        <f>IF(COUNT(Resultados!B34,Resultados!K34,Resultados!T34)=0, "", AVERAGE(ABS(Resultados!B34),ABS(Resultados!K34),ABS(Resultados!T34)))</f>
        <v/>
      </c>
      <c r="C34">
        <f>IF(COUNT(Resultados!C34,Resultados!L34,Resultados!U34)=0, "", AVERAGE(ABS(Resultados!C34),ABS(Resultados!L34),ABS(Resultados!U34)))</f>
        <v>71</v>
      </c>
      <c r="D34">
        <f>IF(COUNT(Resultados!D34,Resultados!M34,Resultados!V34)=0, "", AVERAGE(ABS(Resultados!D34),ABS(Resultados!M34),ABS(Resultados!V34)))</f>
        <v>5.4133333333333332E-2</v>
      </c>
      <c r="E34">
        <f>IF(COUNT(Resultados!E34,Resultados!N34,Resultados!W34)=0, "", AVERAGE(ABS(Resultados!E34),ABS(Resultados!N34),ABS(Resultados!W34)))</f>
        <v>25.174420313648756</v>
      </c>
      <c r="F34">
        <f>IF(COUNT(Resultados!F34,Resultados!O34,Resultados!X34)=0, "", AVERAGE(ABS(Resultados!F34),ABS(Resultados!O34),ABS(Resultados!X34)))</f>
        <v>2416.2559732320647</v>
      </c>
      <c r="G34">
        <f>IF(COUNT(Resultados!G34,Resultados!P34,Resultados!Y34)=0, "", AVERAGE(ABS(Resultados!G34),ABS(Resultados!P34),ABS(Resultados!Y34)))</f>
        <v>9.0579999999999998</v>
      </c>
      <c r="H34">
        <f>IF(COUNT(Resultados!H34,Resultados!Q34,Resultados!Z34)=0, "", AVERAGE(ABS(Resultados!H34),ABS(Resultados!Q34),ABS(Resultados!Z34)))</f>
        <v>5.6899999999999999E-2</v>
      </c>
      <c r="I34">
        <f>IF(COUNT(Resultados!I34,Resultados!R34,Resultados!AA34)=0, "", AVERAGE(ABS(Resultados!I34),ABS(Resultados!R34),ABS(Resultados!AA34)))</f>
        <v>6.3998099999999987</v>
      </c>
      <c r="J34">
        <v>5.6899999999999999E-2</v>
      </c>
      <c r="K34">
        <v>5.4133333333333332E-2</v>
      </c>
    </row>
    <row r="35" spans="1:11" x14ac:dyDescent="0.3">
      <c r="A35" t="str">
        <f>IF(COUNT(Resultados!A35,Resultados!J35,Resultados!S35)=0, "", AVERAGE(ABS(Resultados!A35),ABS(Resultados!J35),ABS(Resultados!S35)))</f>
        <v/>
      </c>
      <c r="B35" t="str">
        <f>IF(COUNT(Resultados!B35,Resultados!K35,Resultados!T35)=0, "", AVERAGE(ABS(Resultados!B35),ABS(Resultados!K35),ABS(Resultados!T35)))</f>
        <v/>
      </c>
      <c r="C35">
        <f>IF(COUNT(Resultados!C35,Resultados!L35,Resultados!U35)=0, "", AVERAGE(ABS(Resultados!C35),ABS(Resultados!L35),ABS(Resultados!U35)))</f>
        <v>71</v>
      </c>
      <c r="D35">
        <f>IF(COUNT(Resultados!D35,Resultados!M35,Resultados!V35)=0, "", AVERAGE(ABS(Resultados!D35),ABS(Resultados!M35),ABS(Resultados!V35)))</f>
        <v>5.3433333333333333E-2</v>
      </c>
      <c r="E35">
        <f>IF(COUNT(Resultados!E35,Resultados!N35,Resultados!W35)=0, "", AVERAGE(ABS(Resultados!E35),ABS(Resultados!N35),ABS(Resultados!W35)))</f>
        <v>24.726533944316838</v>
      </c>
      <c r="F35">
        <f>IF(COUNT(Resultados!F35,Resultados!O35,Resultados!X35)=0, "", AVERAGE(ABS(Resultados!F35),ABS(Resultados!O35),ABS(Resultados!X35)))</f>
        <v>2374.5129636103293</v>
      </c>
      <c r="G35">
        <f>IF(COUNT(Resultados!G35,Resultados!P35,Resultados!Y35)=0, "", AVERAGE(ABS(Resultados!G35),ABS(Resultados!P35),ABS(Resultados!Y35)))</f>
        <v>9.0579999999999998</v>
      </c>
      <c r="H35">
        <f>IF(COUNT(Resultados!H35,Resultados!Q35,Resultados!Z35)=0, "", AVERAGE(ABS(Resultados!H35),ABS(Resultados!Q35),ABS(Resultados!Z35)))</f>
        <v>4.993333333333333E-2</v>
      </c>
      <c r="I35">
        <f>IF(COUNT(Resultados!I35,Resultados!R35,Resultados!AA35)=0, "", AVERAGE(ABS(Resultados!I35),ABS(Resultados!R35),ABS(Resultados!AA35)))</f>
        <v>6.5988099999999994</v>
      </c>
      <c r="J35">
        <v>4.993333333333333E-2</v>
      </c>
      <c r="K35">
        <v>5.3433333333333333E-2</v>
      </c>
    </row>
    <row r="36" spans="1:11" x14ac:dyDescent="0.3">
      <c r="A36" t="str">
        <f>IF(COUNT(Resultados!A36,Resultados!J36,Resultados!S36)=0, "", AVERAGE(ABS(Resultados!A36),ABS(Resultados!J36),ABS(Resultados!S36)))</f>
        <v/>
      </c>
      <c r="B36" t="str">
        <f>IF(COUNT(Resultados!B36,Resultados!K36,Resultados!T36)=0, "", AVERAGE(ABS(Resultados!B36),ABS(Resultados!K36),ABS(Resultados!T36)))</f>
        <v/>
      </c>
      <c r="C36">
        <f>IF(COUNT(Resultados!C36,Resultados!L36,Resultados!U36)=0, "", AVERAGE(ABS(Resultados!C36),ABS(Resultados!L36),ABS(Resultados!U36)))</f>
        <v>71</v>
      </c>
      <c r="D36">
        <f>IF(COUNT(Resultados!D36,Resultados!M36,Resultados!V36)=0, "", AVERAGE(ABS(Resultados!D36),ABS(Resultados!M36),ABS(Resultados!V36)))</f>
        <v>5.1400000000000001E-2</v>
      </c>
      <c r="E36">
        <f>IF(COUNT(Resultados!E36,Resultados!N36,Resultados!W36)=0, "", AVERAGE(ABS(Resultados!E36),ABS(Resultados!N36),ABS(Resultados!W36)))</f>
        <v>24.157733899678405</v>
      </c>
      <c r="F36">
        <f>IF(COUNT(Resultados!F36,Resultados!O36,Resultados!X36)=0, "", AVERAGE(ABS(Resultados!F36),ABS(Resultados!O36),ABS(Resultados!X36)))</f>
        <v>2321.5007994500279</v>
      </c>
      <c r="G36">
        <f>IF(COUNT(Resultados!G36,Resultados!P36,Resultados!Y36)=0, "", AVERAGE(ABS(Resultados!G36),ABS(Resultados!P36),ABS(Resultados!Y36)))</f>
        <v>9.0579999999999998</v>
      </c>
      <c r="H36">
        <f>IF(COUNT(Resultados!H36,Resultados!Q36,Resultados!Z36)=0, "", AVERAGE(ABS(Resultados!H36),ABS(Resultados!Q36),ABS(Resultados!Z36)))</f>
        <v>4.1133333333333334E-2</v>
      </c>
      <c r="I36">
        <f>IF(COUNT(Resultados!I36,Resultados!R36,Resultados!AA36)=0, "", AVERAGE(ABS(Resultados!I36),ABS(Resultados!R36),ABS(Resultados!AA36)))</f>
        <v>6.8014766666666651</v>
      </c>
      <c r="J36">
        <v>4.1133333333333334E-2</v>
      </c>
      <c r="K36">
        <v>5.1400000000000001E-2</v>
      </c>
    </row>
    <row r="37" spans="1:11" x14ac:dyDescent="0.3">
      <c r="A37" t="str">
        <f>IF(COUNT(Resultados!A37,Resultados!J37,Resultados!S37)=0, "", AVERAGE(ABS(Resultados!A37),ABS(Resultados!J37),ABS(Resultados!S37)))</f>
        <v/>
      </c>
      <c r="B37" t="str">
        <f>IF(COUNT(Resultados!B37,Resultados!K37,Resultados!T37)=0, "", AVERAGE(ABS(Resultados!B37),ABS(Resultados!K37),ABS(Resultados!T37)))</f>
        <v/>
      </c>
      <c r="C37">
        <f>IF(COUNT(Resultados!C37,Resultados!L37,Resultados!U37)=0, "", AVERAGE(ABS(Resultados!C37),ABS(Resultados!L37),ABS(Resultados!U37)))</f>
        <v>71</v>
      </c>
      <c r="D37">
        <f>IF(COUNT(Resultados!D37,Resultados!M37,Resultados!V37)=0, "", AVERAGE(ABS(Resultados!D37),ABS(Resultados!M37),ABS(Resultados!V37)))</f>
        <v>4.5566666666666665E-2</v>
      </c>
      <c r="E37">
        <f>IF(COUNT(Resultados!E37,Resultados!N37,Resultados!W37)=0, "", AVERAGE(ABS(Resultados!E37),ABS(Resultados!N37),ABS(Resultados!W37)))</f>
        <v>23.533982566808174</v>
      </c>
      <c r="F37">
        <f>IF(COUNT(Resultados!F37,Resultados!O37,Resultados!X37)=0, "", AVERAGE(ABS(Resultados!F37),ABS(Resultados!O37),ABS(Resultados!X37)))</f>
        <v>2263.3671752265213</v>
      </c>
      <c r="G37">
        <f>IF(COUNT(Resultados!G37,Resultados!P37,Resultados!Y37)=0, "", AVERAGE(ABS(Resultados!G37),ABS(Resultados!P37),ABS(Resultados!Y37)))</f>
        <v>9.0579999999999998</v>
      </c>
      <c r="H37">
        <f>IF(COUNT(Resultados!H37,Resultados!Q37,Resultados!Z37)=0, "", AVERAGE(ABS(Resultados!H37),ABS(Resultados!Q37),ABS(Resultados!Z37)))</f>
        <v>3.1400000000000004E-2</v>
      </c>
      <c r="I37">
        <f>IF(COUNT(Resultados!I37,Resultados!R37,Resultados!AA37)=0, "", AVERAGE(ABS(Resultados!I37),ABS(Resultados!R37),ABS(Resultados!AA37)))</f>
        <v>6.9998066666666654</v>
      </c>
      <c r="J37">
        <v>3.1400000000000004E-2</v>
      </c>
      <c r="K37">
        <v>4.5566666666666665E-2</v>
      </c>
    </row>
    <row r="38" spans="1:11" x14ac:dyDescent="0.3">
      <c r="A38" t="str">
        <f>IF(COUNT(Resultados!A38,Resultados!J38,Resultados!S38)=0, "", AVERAGE(ABS(Resultados!A38),ABS(Resultados!J38),ABS(Resultados!S38)))</f>
        <v/>
      </c>
      <c r="B38" t="str">
        <f>IF(COUNT(Resultados!B38,Resultados!K38,Resultados!T38)=0, "", AVERAGE(ABS(Resultados!B38),ABS(Resultados!K38),ABS(Resultados!T38)))</f>
        <v/>
      </c>
      <c r="C38">
        <f>IF(COUNT(Resultados!C38,Resultados!L38,Resultados!U38)=0, "", AVERAGE(ABS(Resultados!C38),ABS(Resultados!L38),ABS(Resultados!U38)))</f>
        <v>71</v>
      </c>
      <c r="D38">
        <f>IF(COUNT(Resultados!D38,Resultados!M38,Resultados!V38)=0, "", AVERAGE(ABS(Resultados!D38),ABS(Resultados!M38),ABS(Resultados!V38)))</f>
        <v>3.8300000000000001E-2</v>
      </c>
      <c r="E38">
        <f>IF(COUNT(Resultados!E38,Resultados!N38,Resultados!W38)=0, "", AVERAGE(ABS(Resultados!E38),ABS(Resultados!N38),ABS(Resultados!W38)))</f>
        <v>22.905196503635647</v>
      </c>
      <c r="F38">
        <f>IF(COUNT(Resultados!F38,Resultados!O38,Resultados!X38)=0, "", AVERAGE(ABS(Resultados!F38),ABS(Resultados!O38),ABS(Resultados!X38)))</f>
        <v>2204.7643141388421</v>
      </c>
      <c r="G38">
        <f>IF(COUNT(Resultados!G38,Resultados!P38,Resultados!Y38)=0, "", AVERAGE(ABS(Resultados!G38),ABS(Resultados!P38),ABS(Resultados!Y38)))</f>
        <v>9.0579999999999998</v>
      </c>
      <c r="H38">
        <f>IF(COUNT(Resultados!H38,Resultados!Q38,Resultados!Z38)=0, "", AVERAGE(ABS(Resultados!H38),ABS(Resultados!Q38),ABS(Resultados!Z38)))</f>
        <v>2.1666666666666667E-2</v>
      </c>
      <c r="I38">
        <f>IF(COUNT(Resultados!I38,Resultados!R38,Resultados!AA38)=0, "", AVERAGE(ABS(Resultados!I38),ABS(Resultados!R38),ABS(Resultados!AA38)))</f>
        <v>7.2006599999999983</v>
      </c>
      <c r="J38">
        <v>2.1666666666666667E-2</v>
      </c>
      <c r="K38">
        <v>3.8300000000000001E-2</v>
      </c>
    </row>
    <row r="39" spans="1:11" x14ac:dyDescent="0.3">
      <c r="A39" t="str">
        <f>IF(COUNT(Resultados!A39,Resultados!J39,Resultados!S39)=0, "", AVERAGE(ABS(Resultados!A39),ABS(Resultados!J39),ABS(Resultados!S39)))</f>
        <v/>
      </c>
      <c r="B39" t="str">
        <f>IF(COUNT(Resultados!B39,Resultados!K39,Resultados!T39)=0, "", AVERAGE(ABS(Resultados!B39),ABS(Resultados!K39),ABS(Resultados!T39)))</f>
        <v/>
      </c>
      <c r="C39">
        <f>IF(COUNT(Resultados!C39,Resultados!L39,Resultados!U39)=0, "", AVERAGE(ABS(Resultados!C39),ABS(Resultados!L39),ABS(Resultados!U39)))</f>
        <v>71</v>
      </c>
      <c r="D39">
        <f>IF(COUNT(Resultados!D39,Resultados!M39,Resultados!V39)=0, "", AVERAGE(ABS(Resultados!D39),ABS(Resultados!M39),ABS(Resultados!V39)))</f>
        <v>2.9866666666666666E-2</v>
      </c>
      <c r="E39">
        <f>IF(COUNT(Resultados!E39,Resultados!N39,Resultados!W39)=0, "", AVERAGE(ABS(Resultados!E39),ABS(Resultados!N39),ABS(Resultados!W39)))</f>
        <v>22.34019990978878</v>
      </c>
      <c r="F39">
        <f>IF(COUNT(Resultados!F39,Resultados!O39,Resultados!X39)=0, "", AVERAGE(ABS(Resultados!F39),ABS(Resultados!O39),ABS(Resultados!X39)))</f>
        <v>2152.1066315923144</v>
      </c>
      <c r="G39">
        <f>IF(COUNT(Resultados!G39,Resultados!P39,Resultados!Y39)=0, "", AVERAGE(ABS(Resultados!G39),ABS(Resultados!P39),ABS(Resultados!Y39)))</f>
        <v>9.0579999999999998</v>
      </c>
      <c r="H39">
        <f>IF(COUNT(Resultados!H39,Resultados!Q39,Resultados!Z39)=0, "", AVERAGE(ABS(Resultados!H39),ABS(Resultados!Q39),ABS(Resultados!Z39)))</f>
        <v>1.29E-2</v>
      </c>
      <c r="I39">
        <f>IF(COUNT(Resultados!I39,Resultados!R39,Resultados!AA39)=0, "", AVERAGE(ABS(Resultados!I39),ABS(Resultados!R39),ABS(Resultados!AA39)))</f>
        <v>7.4004033333333332</v>
      </c>
      <c r="J39">
        <v>1.29E-2</v>
      </c>
      <c r="K39">
        <v>2.9866666666666666E-2</v>
      </c>
    </row>
    <row r="40" spans="1:11" x14ac:dyDescent="0.3">
      <c r="A40" t="str">
        <f>IF(COUNT(Resultados!A40,Resultados!J40,Resultados!S40)=0, "", AVERAGE(ABS(Resultados!A40),ABS(Resultados!J40),ABS(Resultados!S40)))</f>
        <v/>
      </c>
      <c r="B40" t="str">
        <f>IF(COUNT(Resultados!B40,Resultados!K40,Resultados!T40)=0, "", AVERAGE(ABS(Resultados!B40),ABS(Resultados!K40),ABS(Resultados!T40)))</f>
        <v/>
      </c>
      <c r="C40">
        <f>IF(COUNT(Resultados!C40,Resultados!L40,Resultados!U40)=0, "", AVERAGE(ABS(Resultados!C40),ABS(Resultados!L40),ABS(Resultados!U40)))</f>
        <v>71</v>
      </c>
      <c r="D40">
        <f>IF(COUNT(Resultados!D40,Resultados!M40,Resultados!V40)=0, "", AVERAGE(ABS(Resultados!D40),ABS(Resultados!M40),ABS(Resultados!V40)))</f>
        <v>2.1433333333333332E-2</v>
      </c>
      <c r="E40">
        <f>IF(COUNT(Resultados!E40,Resultados!N40,Resultados!W40)=0, "", AVERAGE(ABS(Resultados!E40),ABS(Resultados!N40),ABS(Resultados!W40)))</f>
        <v>21.896426378946341</v>
      </c>
      <c r="F40">
        <f>IF(COUNT(Resultados!F40,Resultados!O40,Resultados!X40)=0, "", AVERAGE(ABS(Resultados!F40),ABS(Resultados!O40),ABS(Resultados!X40)))</f>
        <v>2110.7469385177992</v>
      </c>
      <c r="G40">
        <f>IF(COUNT(Resultados!G40,Resultados!P40,Resultados!Y40)=0, "", AVERAGE(ABS(Resultados!G40),ABS(Resultados!P40),ABS(Resultados!Y40)))</f>
        <v>9.0579999999999998</v>
      </c>
      <c r="H40">
        <f>IF(COUNT(Resultados!H40,Resultados!Q40,Resultados!Z40)=0, "", AVERAGE(ABS(Resultados!H40),ABS(Resultados!Q40),ABS(Resultados!Z40)))</f>
        <v>5.9666666666666661E-3</v>
      </c>
      <c r="I40">
        <f>IF(COUNT(Resultados!I40,Resultados!R40,Resultados!AA40)=0, "", AVERAGE(ABS(Resultados!I40),ABS(Resultados!R40),ABS(Resultados!AA40)))</f>
        <v>7.5994899999999994</v>
      </c>
      <c r="J40">
        <v>5.9666666666666661E-3</v>
      </c>
      <c r="K40">
        <v>2.1433333333333332E-2</v>
      </c>
    </row>
    <row r="41" spans="1:11" x14ac:dyDescent="0.3">
      <c r="A41" t="str">
        <f>IF(COUNT(Resultados!A41,Resultados!J41,Resultados!S41)=0, "", AVERAGE(ABS(Resultados!A41),ABS(Resultados!J41),ABS(Resultados!S41)))</f>
        <v/>
      </c>
      <c r="B41" t="str">
        <f>IF(COUNT(Resultados!B41,Resultados!K41,Resultados!T41)=0, "", AVERAGE(ABS(Resultados!B41),ABS(Resultados!K41),ABS(Resultados!T41)))</f>
        <v/>
      </c>
      <c r="C41">
        <f>IF(COUNT(Resultados!C41,Resultados!L41,Resultados!U41)=0, "", AVERAGE(ABS(Resultados!C41),ABS(Resultados!L41),ABS(Resultados!U41)))</f>
        <v>71</v>
      </c>
      <c r="D41">
        <f>IF(COUNT(Resultados!D41,Resultados!M41,Resultados!V41)=0, "", AVERAGE(ABS(Resultados!D41),ABS(Resultados!M41),ABS(Resultados!V41)))</f>
        <v>1.2999999999999999E-2</v>
      </c>
      <c r="E41">
        <f>IF(COUNT(Resultados!E41,Resultados!N41,Resultados!W41)=0, "", AVERAGE(ABS(Resultados!E41),ABS(Resultados!N41),ABS(Resultados!W41)))</f>
        <v>21.609029576376916</v>
      </c>
      <c r="F41">
        <f>IF(COUNT(Resultados!F41,Resultados!O41,Resultados!X41)=0, "", AVERAGE(ABS(Resultados!F41),ABS(Resultados!O41),ABS(Resultados!X41)))</f>
        <v>2083.9615565183281</v>
      </c>
      <c r="G41">
        <f>IF(COUNT(Resultados!G41,Resultados!P41,Resultados!Y41)=0, "", AVERAGE(ABS(Resultados!G41),ABS(Resultados!P41),ABS(Resultados!Y41)))</f>
        <v>9.0579999999999998</v>
      </c>
      <c r="H41">
        <f>IF(COUNT(Resultados!H41,Resultados!Q41,Resultados!Z41)=0, "", AVERAGE(ABS(Resultados!H41),ABS(Resultados!Q41),ABS(Resultados!Z41)))</f>
        <v>1.5000000000000002E-3</v>
      </c>
      <c r="I41">
        <f>IF(COUNT(Resultados!I41,Resultados!R41,Resultados!AA41)=0, "", AVERAGE(ABS(Resultados!I41),ABS(Resultados!R41),ABS(Resultados!AA41)))</f>
        <v>7.7996666666666661</v>
      </c>
      <c r="J41">
        <v>1.5000000000000002E-3</v>
      </c>
      <c r="K41">
        <v>1.2999999999999999E-2</v>
      </c>
    </row>
    <row r="42" spans="1:11" x14ac:dyDescent="0.3">
      <c r="A42" t="str">
        <f>IF(COUNT(Resultados!A42,Resultados!J42,Resultados!S42)=0, "", AVERAGE(ABS(Resultados!A42),ABS(Resultados!J42),ABS(Resultados!S42)))</f>
        <v/>
      </c>
      <c r="B42" t="str">
        <f>IF(COUNT(Resultados!B42,Resultados!K42,Resultados!T42)=0, "", AVERAGE(ABS(Resultados!B42),ABS(Resultados!K42),ABS(Resultados!T42)))</f>
        <v/>
      </c>
      <c r="C42">
        <f>IF(COUNT(Resultados!C42,Resultados!L42,Resultados!U42)=0, "", AVERAGE(ABS(Resultados!C42),ABS(Resultados!L42),ABS(Resultados!U42)))</f>
        <v>71</v>
      </c>
      <c r="D42">
        <f>IF(COUNT(Resultados!D42,Resultados!M42,Resultados!V42)=0, "", AVERAGE(ABS(Resultados!D42),ABS(Resultados!M42),ABS(Resultados!V42)))</f>
        <v>4.8333333333333327E-3</v>
      </c>
      <c r="E42">
        <f>IF(COUNT(Resultados!E42,Resultados!N42,Resultados!W42)=0, "", AVERAGE(ABS(Resultados!E42),ABS(Resultados!N42),ABS(Resultados!W42)))</f>
        <v>21.511923721136966</v>
      </c>
      <c r="F42">
        <f>IF(COUNT(Resultados!F42,Resultados!O42,Resultados!X42)=0, "", AVERAGE(ABS(Resultados!F42),ABS(Resultados!O42),ABS(Resultados!X42)))</f>
        <v>2074.9112908099655</v>
      </c>
      <c r="G42">
        <f>IF(COUNT(Resultados!G42,Resultados!P42,Resultados!Y42)=0, "", AVERAGE(ABS(Resultados!G42),ABS(Resultados!P42),ABS(Resultados!Y42)))</f>
        <v>9.0579999999999998</v>
      </c>
      <c r="H42">
        <f>IF(COUNT(Resultados!H42,Resultados!Q42,Resultados!Z42)=0, "", AVERAGE(ABS(Resultados!H42),ABS(Resultados!Q42),ABS(Resultados!Z42)))</f>
        <v>0</v>
      </c>
      <c r="I42">
        <f>IF(COUNT(Resultados!I42,Resultados!R42,Resultados!AA42)=0, "", AVERAGE(ABS(Resultados!I42),ABS(Resultados!R42),ABS(Resultados!AA42)))</f>
        <v>8.0001699999999989</v>
      </c>
      <c r="J42">
        <v>0</v>
      </c>
      <c r="K42">
        <v>4.8333333333333327E-3</v>
      </c>
    </row>
    <row r="43" spans="1:11" x14ac:dyDescent="0.3">
      <c r="A43" t="str">
        <f>IF(COUNT(Resultados!A43,Resultados!J43,Resultados!S43)=0, "", AVERAGE(ABS(Resultados!A43),ABS(Resultados!J43),ABS(Resultados!S43)))</f>
        <v/>
      </c>
      <c r="B43" t="str">
        <f>IF(COUNT(Resultados!B43,Resultados!K43,Resultados!T43)=0, "", AVERAGE(ABS(Resultados!B43),ABS(Resultados!K43),ABS(Resultados!T43)))</f>
        <v/>
      </c>
      <c r="C43">
        <f>IF(COUNT(Resultados!C43,Resultados!L43,Resultados!U43)=0, "", AVERAGE(ABS(Resultados!C43),ABS(Resultados!L43),ABS(Resultados!U43)))</f>
        <v>71</v>
      </c>
      <c r="D43">
        <f>IF(COUNT(Resultados!D43,Resultados!M43,Resultados!V43)=0, "", AVERAGE(ABS(Resultados!D43),ABS(Resultados!M43),ABS(Resultados!V43)))</f>
        <v>2.6666666666666666E-3</v>
      </c>
      <c r="E43">
        <f>IF(COUNT(Resultados!E43,Resultados!N43,Resultados!W43)=0, "", AVERAGE(ABS(Resultados!E43),ABS(Resultados!N43),ABS(Resultados!W43)))</f>
        <v>21.612915743201473</v>
      </c>
      <c r="F43">
        <f>IF(COUNT(Resultados!F43,Resultados!O43,Resultados!X43)=0, "", AVERAGE(ABS(Resultados!F43),ABS(Resultados!O43),ABS(Resultados!X43)))</f>
        <v>2191.0657040298206</v>
      </c>
      <c r="G43">
        <f>IF(COUNT(Resultados!G43,Resultados!P43,Resultados!Y43)=0, "", AVERAGE(ABS(Resultados!G43),ABS(Resultados!P43),ABS(Resultados!Y43)))</f>
        <v>9.0579999999999998</v>
      </c>
      <c r="H43">
        <f>IF(COUNT(Resultados!H43,Resultados!Q43,Resultados!Z43)=0, "", AVERAGE(ABS(Resultados!H43),ABS(Resultados!Q43),ABS(Resultados!Z43)))</f>
        <v>1.6000000000000001E-3</v>
      </c>
      <c r="I43">
        <f>IF(COUNT(Resultados!I43,Resultados!R43,Resultados!AA43)=0, "", AVERAGE(ABS(Resultados!I43),ABS(Resultados!R43),ABS(Resultados!AA43)))</f>
        <v>8.1992399999999996</v>
      </c>
      <c r="J43">
        <v>1.6000000000000001E-3</v>
      </c>
      <c r="K43">
        <v>2.6666666666666666E-3</v>
      </c>
    </row>
    <row r="44" spans="1:11" x14ac:dyDescent="0.3">
      <c r="A44" t="str">
        <f>IF(COUNT(Resultados!A44,Resultados!J44,Resultados!S44)=0, "", AVERAGE(ABS(Resultados!A44),ABS(Resultados!J44),ABS(Resultados!S44)))</f>
        <v/>
      </c>
      <c r="B44" t="str">
        <f>IF(COUNT(Resultados!B44,Resultados!K44,Resultados!T44)=0, "", AVERAGE(ABS(Resultados!B44),ABS(Resultados!K44),ABS(Resultados!T44)))</f>
        <v/>
      </c>
      <c r="C44">
        <f>IF(COUNT(Resultados!C44,Resultados!L44,Resultados!U44)=0, "", AVERAGE(ABS(Resultados!C44),ABS(Resultados!L44),ABS(Resultados!U44)))</f>
        <v>71</v>
      </c>
      <c r="D44">
        <f>IF(COUNT(Resultados!D44,Resultados!M44,Resultados!V44)=0, "", AVERAGE(ABS(Resultados!D44),ABS(Resultados!M44),ABS(Resultados!V44)))</f>
        <v>1.5333333333333334E-3</v>
      </c>
      <c r="E44">
        <f>IF(COUNT(Resultados!E44,Resultados!N44,Resultados!W44)=0, "", AVERAGE(ABS(Resultados!E44),ABS(Resultados!N44),ABS(Resultados!W44)))</f>
        <v>21.909019340826081</v>
      </c>
      <c r="F44">
        <f>IF(COUNT(Resultados!F44,Resultados!O44,Resultados!X44)=0, "", AVERAGE(ABS(Resultados!F44),ABS(Resultados!O44),ABS(Resultados!X44)))</f>
        <v>2219.165935444395</v>
      </c>
      <c r="G44">
        <f>IF(COUNT(Resultados!G44,Resultados!P44,Resultados!Y44)=0, "", AVERAGE(ABS(Resultados!G44),ABS(Resultados!P44),ABS(Resultados!Y44)))</f>
        <v>9.0579999999999998</v>
      </c>
      <c r="H44">
        <f>IF(COUNT(Resultados!H44,Resultados!Q44,Resultados!Z44)=0, "", AVERAGE(ABS(Resultados!H44),ABS(Resultados!Q44),ABS(Resultados!Z44)))</f>
        <v>6.1333333333333335E-3</v>
      </c>
      <c r="I44">
        <f>IF(COUNT(Resultados!I44,Resultados!R44,Resultados!AA44)=0, "", AVERAGE(ABS(Resultados!I44),ABS(Resultados!R44),ABS(Resultados!AA44)))</f>
        <v>8.4061833333333329</v>
      </c>
      <c r="J44">
        <v>6.1333333333333335E-3</v>
      </c>
      <c r="K44">
        <v>1.5333333333333334E-3</v>
      </c>
    </row>
    <row r="45" spans="1:11" x14ac:dyDescent="0.3">
      <c r="A45" t="str">
        <f>IF(COUNT(Resultados!A45,Resultados!J45,Resultados!S45)=0, "", AVERAGE(ABS(Resultados!A45),ABS(Resultados!J45),ABS(Resultados!S45)))</f>
        <v/>
      </c>
      <c r="B45" t="str">
        <f>IF(COUNT(Resultados!B45,Resultados!K45,Resultados!T45)=0, "", AVERAGE(ABS(Resultados!B45),ABS(Resultados!K45),ABS(Resultados!T45)))</f>
        <v/>
      </c>
      <c r="C45">
        <f>IF(COUNT(Resultados!C45,Resultados!L45,Resultados!U45)=0, "", AVERAGE(ABS(Resultados!C45),ABS(Resultados!L45),ABS(Resultados!U45)))</f>
        <v>71</v>
      </c>
      <c r="D45">
        <f>IF(COUNT(Resultados!D45,Resultados!M45,Resultados!V45)=0, "", AVERAGE(ABS(Resultados!D45),ABS(Resultados!M45),ABS(Resultados!V45)))</f>
        <v>5.0000000000000001E-4</v>
      </c>
      <c r="E45">
        <f>IF(COUNT(Resultados!E45,Resultados!N45,Resultados!W45)=0, "", AVERAGE(ABS(Resultados!E45),ABS(Resultados!N45),ABS(Resultados!W45)))</f>
        <v>22.350575095338826</v>
      </c>
      <c r="F45">
        <f>IF(COUNT(Resultados!F45,Resultados!O45,Resultados!X45)=0, "", AVERAGE(ABS(Resultados!F45),ABS(Resultados!O45),ABS(Resultados!X45)))</f>
        <v>2261.0695765476544</v>
      </c>
      <c r="G45">
        <f>IF(COUNT(Resultados!G45,Resultados!P45,Resultados!Y45)=0, "", AVERAGE(ABS(Resultados!G45),ABS(Resultados!P45),ABS(Resultados!Y45)))</f>
        <v>9.0579999999999998</v>
      </c>
      <c r="H45">
        <f>IF(COUNT(Resultados!H45,Resultados!Q45,Resultados!Z45)=0, "", AVERAGE(ABS(Resultados!H45),ABS(Resultados!Q45),ABS(Resultados!Z45)))</f>
        <v>1.3033333333333333E-2</v>
      </c>
      <c r="I45">
        <f>IF(COUNT(Resultados!I45,Resultados!R45,Resultados!AA45)=0, "", AVERAGE(ABS(Resultados!I45),ABS(Resultados!R45),ABS(Resultados!AA45)))</f>
        <v>8.59924</v>
      </c>
      <c r="J45">
        <v>1.3033333333333333E-2</v>
      </c>
      <c r="K45">
        <v>5.0000000000000001E-4</v>
      </c>
    </row>
    <row r="46" spans="1:11" x14ac:dyDescent="0.3">
      <c r="A46" t="str">
        <f>IF(COUNT(Resultados!A46,Resultados!J46,Resultados!S46)=0, "", AVERAGE(ABS(Resultados!A46),ABS(Resultados!J46),ABS(Resultados!S46)))</f>
        <v/>
      </c>
      <c r="B46" t="str">
        <f>IF(COUNT(Resultados!B46,Resultados!K46,Resultados!T46)=0, "", AVERAGE(ABS(Resultados!B46),ABS(Resultados!K46),ABS(Resultados!T46)))</f>
        <v/>
      </c>
      <c r="C46">
        <f>IF(COUNT(Resultados!C46,Resultados!L46,Resultados!U46)=0, "", AVERAGE(ABS(Resultados!C46),ABS(Resultados!L46),ABS(Resultados!U46)))</f>
        <v>71</v>
      </c>
      <c r="D46">
        <f>IF(COUNT(Resultados!D46,Resultados!M46,Resultados!V46)=0, "", AVERAGE(ABS(Resultados!D46),ABS(Resultados!M46),ABS(Resultados!V46)))</f>
        <v>3.5333333333333332E-3</v>
      </c>
      <c r="E46">
        <f>IF(COUNT(Resultados!E46,Resultados!N46,Resultados!W46)=0, "", AVERAGE(ABS(Resultados!E46),ABS(Resultados!N46),ABS(Resultados!W46)))</f>
        <v>22.919549086928996</v>
      </c>
      <c r="F46">
        <f>IF(COUNT(Resultados!F46,Resultados!O46,Resultados!X46)=0, "", AVERAGE(ABS(Resultados!F46),ABS(Resultados!O46),ABS(Resultados!X46)))</f>
        <v>2315.065208349562</v>
      </c>
      <c r="G46">
        <f>IF(COUNT(Resultados!G46,Resultados!P46,Resultados!Y46)=0, "", AVERAGE(ABS(Resultados!G46),ABS(Resultados!P46),ABS(Resultados!Y46)))</f>
        <v>9.0579999999999998</v>
      </c>
      <c r="H46">
        <f>IF(COUNT(Resultados!H46,Resultados!Q46,Resultados!Z46)=0, "", AVERAGE(ABS(Resultados!H46),ABS(Resultados!Q46),ABS(Resultados!Z46)))</f>
        <v>2.1866666666666663E-2</v>
      </c>
      <c r="I46">
        <f>IF(COUNT(Resultados!I46,Resultados!R46,Resultados!AA46)=0, "", AVERAGE(ABS(Resultados!I46),ABS(Resultados!R46),ABS(Resultados!AA46)))</f>
        <v>8.7999799999999997</v>
      </c>
      <c r="J46">
        <v>2.1866666666666663E-2</v>
      </c>
      <c r="K46">
        <v>3.5333333333333332E-3</v>
      </c>
    </row>
    <row r="47" spans="1:11" x14ac:dyDescent="0.3">
      <c r="A47" t="str">
        <f>IF(COUNT(Resultados!A47,Resultados!J47,Resultados!S47)=0, "", AVERAGE(ABS(Resultados!A47),ABS(Resultados!J47),ABS(Resultados!S47)))</f>
        <v/>
      </c>
      <c r="B47" t="str">
        <f>IF(COUNT(Resultados!B47,Resultados!K47,Resultados!T47)=0, "", AVERAGE(ABS(Resultados!B47),ABS(Resultados!K47),ABS(Resultados!T47)))</f>
        <v/>
      </c>
      <c r="C47">
        <f>IF(COUNT(Resultados!C47,Resultados!L47,Resultados!U47)=0, "", AVERAGE(ABS(Resultados!C47),ABS(Resultados!L47),ABS(Resultados!U47)))</f>
        <v>71</v>
      </c>
      <c r="D47">
        <f>IF(COUNT(Resultados!D47,Resultados!M47,Resultados!V47)=0, "", AVERAGE(ABS(Resultados!D47),ABS(Resultados!M47),ABS(Resultados!V47)))</f>
        <v>9.7333333333333352E-3</v>
      </c>
      <c r="E47">
        <f>IF(COUNT(Resultados!E47,Resultados!N47,Resultados!W47)=0, "", AVERAGE(ABS(Resultados!E47),ABS(Resultados!N47),ABS(Resultados!W47)))</f>
        <v>23.549446275113336</v>
      </c>
      <c r="F47">
        <f>IF(COUNT(Resultados!F47,Resultados!O47,Resultados!X47)=0, "", AVERAGE(ABS(Resultados!F47),ABS(Resultados!O47),ABS(Resultados!X47)))</f>
        <v>2374.8424515082552</v>
      </c>
      <c r="G47">
        <f>IF(COUNT(Resultados!G47,Resultados!P47,Resultados!Y47)=0, "", AVERAGE(ABS(Resultados!G47),ABS(Resultados!P47),ABS(Resultados!Y47)))</f>
        <v>9.0579999999999998</v>
      </c>
      <c r="H47">
        <f>IF(COUNT(Resultados!H47,Resultados!Q47,Resultados!Z47)=0, "", AVERAGE(ABS(Resultados!H47),ABS(Resultados!Q47),ABS(Resultados!Z47)))</f>
        <v>3.1666666666666669E-2</v>
      </c>
      <c r="I47">
        <f>IF(COUNT(Resultados!I47,Resultados!R47,Resultados!AA47)=0, "", AVERAGE(ABS(Resultados!I47),ABS(Resultados!R47),ABS(Resultados!AA47)))</f>
        <v>9.0011033333333312</v>
      </c>
      <c r="J47">
        <v>3.1666666666666669E-2</v>
      </c>
      <c r="K47">
        <v>9.7333333333333352E-3</v>
      </c>
    </row>
    <row r="48" spans="1:11" x14ac:dyDescent="0.3">
      <c r="A48" t="str">
        <f>IF(COUNT(Resultados!A48,Resultados!J48,Resultados!S48)=0, "", AVERAGE(ABS(Resultados!A48),ABS(Resultados!J48),ABS(Resultados!S48)))</f>
        <v/>
      </c>
      <c r="B48" t="str">
        <f>IF(COUNT(Resultados!B48,Resultados!K48,Resultados!T48)=0, "", AVERAGE(ABS(Resultados!B48),ABS(Resultados!K48),ABS(Resultados!T48)))</f>
        <v/>
      </c>
      <c r="C48">
        <f>IF(COUNT(Resultados!C48,Resultados!L48,Resultados!U48)=0, "", AVERAGE(ABS(Resultados!C48),ABS(Resultados!L48),ABS(Resultados!U48)))</f>
        <v>71</v>
      </c>
      <c r="D48">
        <f>IF(COUNT(Resultados!D48,Resultados!M48,Resultados!V48)=0, "", AVERAGE(ABS(Resultados!D48),ABS(Resultados!M48),ABS(Resultados!V48)))</f>
        <v>1.6866666666666665E-2</v>
      </c>
      <c r="E48">
        <f>IF(COUNT(Resultados!E48,Resultados!N48,Resultados!W48)=0, "", AVERAGE(ABS(Resultados!E48),ABS(Resultados!N48),ABS(Resultados!W48)))</f>
        <v>24.173033392329842</v>
      </c>
      <c r="F48">
        <f>IF(COUNT(Resultados!F48,Resultados!O48,Resultados!X48)=0, "", AVERAGE(ABS(Resultados!F48),ABS(Resultados!O48),ABS(Resultados!X48)))</f>
        <v>2434.0208689321021</v>
      </c>
      <c r="G48">
        <f>IF(COUNT(Resultados!G48,Resultados!P48,Resultados!Y48)=0, "", AVERAGE(ABS(Resultados!G48),ABS(Resultados!P48),ABS(Resultados!Y48)))</f>
        <v>9.0579999999999998</v>
      </c>
      <c r="H48">
        <f>IF(COUNT(Resultados!H48,Resultados!Q48,Resultados!Z48)=0, "", AVERAGE(ABS(Resultados!H48),ABS(Resultados!Q48),ABS(Resultados!Z48)))</f>
        <v>4.1333333333333333E-2</v>
      </c>
      <c r="I48">
        <f>IF(COUNT(Resultados!I48,Resultados!R48,Resultados!AA48)=0, "", AVERAGE(ABS(Resultados!I48),ABS(Resultados!R48),ABS(Resultados!AA48)))</f>
        <v>9.1998366666666662</v>
      </c>
      <c r="J48">
        <v>4.1333333333333333E-2</v>
      </c>
      <c r="K48">
        <v>1.6866666666666665E-2</v>
      </c>
    </row>
    <row r="49" spans="1:11" x14ac:dyDescent="0.3">
      <c r="A49" t="str">
        <f>IF(COUNT(Resultados!A49,Resultados!J49,Resultados!S49)=0, "", AVERAGE(ABS(Resultados!A49),ABS(Resultados!J49),ABS(Resultados!S49)))</f>
        <v/>
      </c>
      <c r="B49" t="str">
        <f>IF(COUNT(Resultados!B49,Resultados!K49,Resultados!T49)=0, "", AVERAGE(ABS(Resultados!B49),ABS(Resultados!K49),ABS(Resultados!T49)))</f>
        <v/>
      </c>
      <c r="C49">
        <f>IF(COUNT(Resultados!C49,Resultados!L49,Resultados!U49)=0, "", AVERAGE(ABS(Resultados!C49),ABS(Resultados!L49),ABS(Resultados!U49)))</f>
        <v>71</v>
      </c>
      <c r="D49">
        <f>IF(COUNT(Resultados!D49,Resultados!M49,Resultados!V49)=0, "", AVERAGE(ABS(Resultados!D49),ABS(Resultados!M49),ABS(Resultados!V49)))</f>
        <v>2.4633333333333337E-2</v>
      </c>
      <c r="E49">
        <f>IF(COUNT(Resultados!E49,Resultados!N49,Resultados!W49)=0, "", AVERAGE(ABS(Resultados!E49),ABS(Resultados!N49),ABS(Resultados!W49)))</f>
        <v>24.733779030834096</v>
      </c>
      <c r="F49">
        <f>IF(COUNT(Resultados!F49,Resultados!O49,Resultados!X49)=0, "", AVERAGE(ABS(Resultados!F49),ABS(Resultados!O49),ABS(Resultados!X49)))</f>
        <v>2487.2356300261549</v>
      </c>
      <c r="G49">
        <f>IF(COUNT(Resultados!G49,Resultados!P49,Resultados!Y49)=0, "", AVERAGE(ABS(Resultados!G49),ABS(Resultados!P49),ABS(Resultados!Y49)))</f>
        <v>9.0579999999999998</v>
      </c>
      <c r="H49">
        <f>IF(COUNT(Resultados!H49,Resultados!Q49,Resultados!Z49)=0, "", AVERAGE(ABS(Resultados!H49),ABS(Resultados!Q49),ABS(Resultados!Z49)))</f>
        <v>5.0066666666666669E-2</v>
      </c>
      <c r="I49">
        <f>IF(COUNT(Resultados!I49,Resultados!R49,Resultados!AA49)=0, "", AVERAGE(ABS(Resultados!I49),ABS(Resultados!R49),ABS(Resultados!AA49)))</f>
        <v>9.3986900000000002</v>
      </c>
      <c r="J49">
        <v>5.0066666666666669E-2</v>
      </c>
      <c r="K49">
        <v>2.4633333333333337E-2</v>
      </c>
    </row>
    <row r="50" spans="1:11" x14ac:dyDescent="0.3">
      <c r="A50" t="str">
        <f>IF(COUNT(Resultados!A50,Resultados!J50,Resultados!S50)=0, "", AVERAGE(ABS(Resultados!A50),ABS(Resultados!J50),ABS(Resultados!S50)))</f>
        <v/>
      </c>
      <c r="B50" t="str">
        <f>IF(COUNT(Resultados!B50,Resultados!K50,Resultados!T50)=0, "", AVERAGE(ABS(Resultados!B50),ABS(Resultados!K50),ABS(Resultados!T50)))</f>
        <v/>
      </c>
      <c r="C50">
        <f>IF(COUNT(Resultados!C50,Resultados!L50,Resultados!U50)=0, "", AVERAGE(ABS(Resultados!C50),ABS(Resultados!L50),ABS(Resultados!U50)))</f>
        <v>71</v>
      </c>
      <c r="D50">
        <f>IF(COUNT(Resultados!D50,Resultados!M50,Resultados!V50)=0, "", AVERAGE(ABS(Resultados!D50),ABS(Resultados!M50),ABS(Resultados!V50)))</f>
        <v>3.2599999999999997E-2</v>
      </c>
      <c r="E50">
        <f>IF(COUNT(Resultados!E50,Resultados!N50,Resultados!W50)=0, "", AVERAGE(ABS(Resultados!E50),ABS(Resultados!N50),ABS(Resultados!W50)))</f>
        <v>25.183054948426133</v>
      </c>
      <c r="F50">
        <f>IF(COUNT(Resultados!F50,Resultados!O50,Resultados!X50)=0, "", AVERAGE(ABS(Resultados!F50),ABS(Resultados!O50),ABS(Resultados!X50)))</f>
        <v>2529.8719146056396</v>
      </c>
      <c r="G50">
        <f>IF(COUNT(Resultados!G50,Resultados!P50,Resultados!Y50)=0, "", AVERAGE(ABS(Resultados!G50),ABS(Resultados!P50),ABS(Resultados!Y50)))</f>
        <v>9.0579999999999998</v>
      </c>
      <c r="H50">
        <f>IF(COUNT(Resultados!H50,Resultados!Q50,Resultados!Z50)=0, "", AVERAGE(ABS(Resultados!H50),ABS(Resultados!Q50),ABS(Resultados!Z50)))</f>
        <v>5.7066666666666675E-2</v>
      </c>
      <c r="I50">
        <f>IF(COUNT(Resultados!I50,Resultados!R50,Resultados!AA50)=0, "", AVERAGE(ABS(Resultados!I50),ABS(Resultados!R50),ABS(Resultados!AA50)))</f>
        <v>9.5989599999999999</v>
      </c>
      <c r="J50">
        <v>5.7066666666666675E-2</v>
      </c>
      <c r="K50">
        <v>3.2599999999999997E-2</v>
      </c>
    </row>
    <row r="51" spans="1:11" x14ac:dyDescent="0.3">
      <c r="A51" t="str">
        <f>IF(COUNT(Resultados!A51,Resultados!J51,Resultados!S51)=0, "", AVERAGE(ABS(Resultados!A51),ABS(Resultados!J51),ABS(Resultados!S51)))</f>
        <v/>
      </c>
      <c r="B51" t="str">
        <f>IF(COUNT(Resultados!B51,Resultados!K51,Resultados!T51)=0, "", AVERAGE(ABS(Resultados!B51),ABS(Resultados!K51),ABS(Resultados!T51)))</f>
        <v/>
      </c>
      <c r="C51">
        <f>IF(COUNT(Resultados!C51,Resultados!L51,Resultados!U51)=0, "", AVERAGE(ABS(Resultados!C51),ABS(Resultados!L51),ABS(Resultados!U51)))</f>
        <v>71</v>
      </c>
      <c r="D51">
        <f>IF(COUNT(Resultados!D51,Resultados!M51,Resultados!V51)=0, "", AVERAGE(ABS(Resultados!D51),ABS(Resultados!M51),ABS(Resultados!V51)))</f>
        <v>4.1033333333333331E-2</v>
      </c>
      <c r="E51">
        <f>IF(COUNT(Resultados!E51,Resultados!N51,Resultados!W51)=0, "", AVERAGE(ABS(Resultados!E51),ABS(Resultados!N51),ABS(Resultados!W51)))</f>
        <v>25.468919936564962</v>
      </c>
      <c r="F51">
        <f>IF(COUNT(Resultados!F51,Resultados!O51,Resultados!X51)=0, "", AVERAGE(ABS(Resultados!F51),ABS(Resultados!O51),ABS(Resultados!X51)))</f>
        <v>2557.0005019800155</v>
      </c>
      <c r="G51">
        <f>IF(COUNT(Resultados!G51,Resultados!P51,Resultados!Y51)=0, "", AVERAGE(ABS(Resultados!G51),ABS(Resultados!P51),ABS(Resultados!Y51)))</f>
        <v>9.0579999999999998</v>
      </c>
      <c r="H51">
        <f>IF(COUNT(Resultados!H51,Resultados!Q51,Resultados!Z51)=0, "", AVERAGE(ABS(Resultados!H51),ABS(Resultados!Q51),ABS(Resultados!Z51)))</f>
        <v>6.1499999999999999E-2</v>
      </c>
      <c r="I51">
        <f>IF(COUNT(Resultados!I51,Resultados!R51,Resultados!AA51)=0, "", AVERAGE(ABS(Resultados!I51),ABS(Resultados!R51),ABS(Resultados!AA51)))</f>
        <v>9.7985433333333312</v>
      </c>
      <c r="J51">
        <v>6.1499999999999999E-2</v>
      </c>
      <c r="K51">
        <v>4.1033333333333331E-2</v>
      </c>
    </row>
    <row r="52" spans="1:11" x14ac:dyDescent="0.3">
      <c r="A52" t="str">
        <f>IF(COUNT(Resultados!A52,Resultados!J52,Resultados!S52)=0, "", AVERAGE(ABS(Resultados!A52),ABS(Resultados!J52),ABS(Resultados!S52)))</f>
        <v/>
      </c>
      <c r="B52" t="str">
        <f>IF(COUNT(Resultados!B52,Resultados!K52,Resultados!T52)=0, "", AVERAGE(ABS(Resultados!B52),ABS(Resultados!K52),ABS(Resultados!T52)))</f>
        <v/>
      </c>
      <c r="C52">
        <f>IF(COUNT(Resultados!C52,Resultados!L52,Resultados!U52)=0, "", AVERAGE(ABS(Resultados!C52),ABS(Resultados!L52),ABS(Resultados!U52)))</f>
        <v>71</v>
      </c>
      <c r="D52">
        <f>IF(COUNT(Resultados!D52,Resultados!M52,Resultados!V52)=0, "", AVERAGE(ABS(Resultados!D52),ABS(Resultados!M52),ABS(Resultados!V52)))</f>
        <v>4.7766666666666673E-2</v>
      </c>
      <c r="E52">
        <f>IF(COUNT(Resultados!E52,Resultados!N52,Resultados!W52)=0, "", AVERAGE(ABS(Resultados!E52),ABS(Resultados!N52),ABS(Resultados!W52)))</f>
        <v>25.566614194217934</v>
      </c>
      <c r="F52">
        <f>IF(COUNT(Resultados!F52,Resultados!O52,Resultados!X52)=0, "", AVERAGE(ABS(Resultados!F52),ABS(Resultados!O52),ABS(Resultados!X52)))</f>
        <v>2566.2716870312829</v>
      </c>
      <c r="G52">
        <f>IF(COUNT(Resultados!G52,Resultados!P52,Resultados!Y52)=0, "", AVERAGE(ABS(Resultados!G52),ABS(Resultados!P52),ABS(Resultados!Y52)))</f>
        <v>9.0579999999999998</v>
      </c>
      <c r="H52">
        <f>IF(COUNT(Resultados!H52,Resultados!Q52,Resultados!Z52)=0, "", AVERAGE(ABS(Resultados!H52),ABS(Resultados!Q52),ABS(Resultados!Z52)))</f>
        <v>6.3E-2</v>
      </c>
      <c r="I52">
        <f>IF(COUNT(Resultados!I52,Resultados!R52,Resultados!AA52)=0, "", AVERAGE(ABS(Resultados!I52),ABS(Resultados!R52),ABS(Resultados!AA52)))</f>
        <v>9.9990266666666674</v>
      </c>
      <c r="J52">
        <v>6.3E-2</v>
      </c>
      <c r="K52">
        <v>4.7766666666666673E-2</v>
      </c>
    </row>
    <row r="53" spans="1:11" x14ac:dyDescent="0.3">
      <c r="A53" t="str">
        <f>IF(COUNT(Resultados!A53,Resultados!J53,Resultados!S53)=0, "", AVERAGE(ABS(Resultados!A53),ABS(Resultados!J53),ABS(Resultados!S53)))</f>
        <v/>
      </c>
      <c r="B53" t="str">
        <f>IF(COUNT(Resultados!B53,Resultados!K53,Resultados!T53)=0, "", AVERAGE(ABS(Resultados!B53),ABS(Resultados!K53),ABS(Resultados!T53)))</f>
        <v/>
      </c>
      <c r="C53">
        <f>IF(COUNT(Resultados!C53,Resultados!L53,Resultados!U53)=0, "", AVERAGE(ABS(Resultados!C53),ABS(Resultados!L53),ABS(Resultados!U53)))</f>
        <v>71</v>
      </c>
      <c r="D53">
        <f>IF(COUNT(Resultados!D53,Resultados!M53,Resultados!V53)=0, "", AVERAGE(ABS(Resultados!D53),ABS(Resultados!M53),ABS(Resultados!V53)))</f>
        <v>5.2866666666666666E-2</v>
      </c>
      <c r="E53">
        <f>IF(COUNT(Resultados!E53,Resultados!N53,Resultados!W53)=0, "", AVERAGE(ABS(Resultados!E53),ABS(Resultados!N53),ABS(Resultados!W53)))</f>
        <v>25.466164897975887</v>
      </c>
      <c r="F53">
        <f>IF(COUNT(Resultados!F53,Resultados!O53,Resultados!X53)=0, "", AVERAGE(ABS(Resultados!F53),ABS(Resultados!O53),ABS(Resultados!X53)))</f>
        <v>2443.4465684913525</v>
      </c>
      <c r="G53">
        <f>IF(COUNT(Resultados!G53,Resultados!P53,Resultados!Y53)=0, "", AVERAGE(ABS(Resultados!G53),ABS(Resultados!P53),ABS(Resultados!Y53)))</f>
        <v>9.0579999999999998</v>
      </c>
      <c r="H53">
        <f>IF(COUNT(Resultados!H53,Resultados!Q53,Resultados!Z53)=0, "", AVERAGE(ABS(Resultados!H53),ABS(Resultados!Q53),ABS(Resultados!Z53)))</f>
        <v>6.143333333333334E-2</v>
      </c>
      <c r="I53">
        <f>IF(COUNT(Resultados!I53,Resultados!R53,Resultados!AA53)=0, "", AVERAGE(ABS(Resultados!I53),ABS(Resultados!R53),ABS(Resultados!AA53)))</f>
        <v>10.198510000000001</v>
      </c>
      <c r="J53">
        <v>6.143333333333334E-2</v>
      </c>
      <c r="K53">
        <v>5.2866666666666666E-2</v>
      </c>
    </row>
    <row r="54" spans="1:11" x14ac:dyDescent="0.3">
      <c r="A54" t="str">
        <f>IF(COUNT(Resultados!A54,Resultados!J54,Resultados!S54)=0, "", AVERAGE(ABS(Resultados!A54),ABS(Resultados!J54),ABS(Resultados!S54)))</f>
        <v/>
      </c>
      <c r="B54" t="str">
        <f>IF(COUNT(Resultados!B54,Resultados!K54,Resultados!T54)=0, "", AVERAGE(ABS(Resultados!B54),ABS(Resultados!K54),ABS(Resultados!T54)))</f>
        <v/>
      </c>
      <c r="C54">
        <f>IF(COUNT(Resultados!C54,Resultados!L54,Resultados!U54)=0, "", AVERAGE(ABS(Resultados!C54),ABS(Resultados!L54),ABS(Resultados!U54)))</f>
        <v>71</v>
      </c>
      <c r="D54">
        <f>IF(COUNT(Resultados!D54,Resultados!M54,Resultados!V54)=0, "", AVERAGE(ABS(Resultados!D54),ABS(Resultados!M54),ABS(Resultados!V54)))</f>
        <v>5.3866666666666667E-2</v>
      </c>
      <c r="E54">
        <f>IF(COUNT(Resultados!E54,Resultados!N54,Resultados!W54)=0, "", AVERAGE(ABS(Resultados!E54),ABS(Resultados!N54),ABS(Resultados!W54)))</f>
        <v>25.177405524466895</v>
      </c>
      <c r="F54">
        <f>IF(COUNT(Resultados!F54,Resultados!O54,Resultados!X54)=0, "", AVERAGE(ABS(Resultados!F54),ABS(Resultados!O54),ABS(Resultados!X54)))</f>
        <v>2416.5341948803148</v>
      </c>
      <c r="G54">
        <f>IF(COUNT(Resultados!G54,Resultados!P54,Resultados!Y54)=0, "", AVERAGE(ABS(Resultados!G54),ABS(Resultados!P54),ABS(Resultados!Y54)))</f>
        <v>9.0579999999999998</v>
      </c>
      <c r="H54">
        <f>IF(COUNT(Resultados!H54,Resultados!Q54,Resultados!Z54)=0, "", AVERAGE(ABS(Resultados!H54),ABS(Resultados!Q54),ABS(Resultados!Z54)))</f>
        <v>5.6966666666666665E-2</v>
      </c>
      <c r="I54">
        <f>IF(COUNT(Resultados!I54,Resultados!R54,Resultados!AA54)=0, "", AVERAGE(ABS(Resultados!I54),ABS(Resultados!R54),ABS(Resultados!AA54)))</f>
        <v>10.39856</v>
      </c>
      <c r="J54">
        <v>5.6966666666666665E-2</v>
      </c>
      <c r="K54">
        <v>5.3866666666666667E-2</v>
      </c>
    </row>
    <row r="55" spans="1:11" x14ac:dyDescent="0.3">
      <c r="A55" t="str">
        <f>IF(COUNT(Resultados!A55,Resultados!J55,Resultados!S55)=0, "", AVERAGE(ABS(Resultados!A55),ABS(Resultados!J55),ABS(Resultados!S55)))</f>
        <v/>
      </c>
      <c r="B55" t="str">
        <f>IF(COUNT(Resultados!B55,Resultados!K55,Resultados!T55)=0, "", AVERAGE(ABS(Resultados!B55),ABS(Resultados!K55),ABS(Resultados!T55)))</f>
        <v/>
      </c>
      <c r="C55">
        <f>IF(COUNT(Resultados!C55,Resultados!L55,Resultados!U55)=0, "", AVERAGE(ABS(Resultados!C55),ABS(Resultados!L55),ABS(Resultados!U55)))</f>
        <v>71</v>
      </c>
      <c r="D55">
        <f>IF(COUNT(Resultados!D55,Resultados!M55,Resultados!V55)=0, "", AVERAGE(ABS(Resultados!D55),ABS(Resultados!M55),ABS(Resultados!V55)))</f>
        <v>5.3033333333333342E-2</v>
      </c>
      <c r="E55">
        <f>IF(COUNT(Resultados!E55,Resultados!N55,Resultados!W55)=0, "", AVERAGE(ABS(Resultados!E55),ABS(Resultados!N55),ABS(Resultados!W55)))</f>
        <v>24.725513104125344</v>
      </c>
      <c r="F55">
        <f>IF(COUNT(Resultados!F55,Resultados!O55,Resultados!X55)=0, "", AVERAGE(ABS(Resultados!F55),ABS(Resultados!O55),ABS(Resultados!X55)))</f>
        <v>2374.4178213044829</v>
      </c>
      <c r="G55">
        <f>IF(COUNT(Resultados!G55,Resultados!P55,Resultados!Y55)=0, "", AVERAGE(ABS(Resultados!G55),ABS(Resultados!P55),ABS(Resultados!Y55)))</f>
        <v>9.0579999999999998</v>
      </c>
      <c r="H55">
        <f>IF(COUNT(Resultados!H55,Resultados!Q55,Resultados!Z55)=0, "", AVERAGE(ABS(Resultados!H55),ABS(Resultados!Q55),ABS(Resultados!Z55)))</f>
        <v>4.993333333333333E-2</v>
      </c>
      <c r="I55">
        <f>IF(COUNT(Resultados!I55,Resultados!R55,Resultados!AA55)=0, "", AVERAGE(ABS(Resultados!I55),ABS(Resultados!R55),ABS(Resultados!AA55)))</f>
        <v>10.600083333333334</v>
      </c>
      <c r="J55">
        <v>4.993333333333333E-2</v>
      </c>
      <c r="K55">
        <v>5.3033333333333342E-2</v>
      </c>
    </row>
    <row r="56" spans="1:11" x14ac:dyDescent="0.3">
      <c r="A56" t="str">
        <f>IF(COUNT(Resultados!A56,Resultados!J56,Resultados!S56)=0, "", AVERAGE(ABS(Resultados!A56),ABS(Resultados!J56),ABS(Resultados!S56)))</f>
        <v/>
      </c>
      <c r="B56" t="str">
        <f>IF(COUNT(Resultados!B56,Resultados!K56,Resultados!T56)=0, "", AVERAGE(ABS(Resultados!B56),ABS(Resultados!K56),ABS(Resultados!T56)))</f>
        <v/>
      </c>
      <c r="C56">
        <f>IF(COUNT(Resultados!C56,Resultados!L56,Resultados!U56)=0, "", AVERAGE(ABS(Resultados!C56),ABS(Resultados!L56),ABS(Resultados!U56)))</f>
        <v>71</v>
      </c>
      <c r="D56">
        <f>IF(COUNT(Resultados!D56,Resultados!M56,Resultados!V56)=0, "", AVERAGE(ABS(Resultados!D56),ABS(Resultados!M56),ABS(Resultados!V56)))</f>
        <v>5.0966666666666667E-2</v>
      </c>
      <c r="E56">
        <f>IF(COUNT(Resultados!E56,Resultados!N56,Resultados!W56)=0, "", AVERAGE(ABS(Resultados!E56),ABS(Resultados!N56),ABS(Resultados!W56)))</f>
        <v>24.157770256888984</v>
      </c>
      <c r="F56">
        <f>IF(COUNT(Resultados!F56,Resultados!O56,Resultados!X56)=0, "", AVERAGE(ABS(Resultados!F56),ABS(Resultados!O56),ABS(Resultados!X56)))</f>
        <v>2321.5041879420532</v>
      </c>
      <c r="G56">
        <f>IF(COUNT(Resultados!G56,Resultados!P56,Resultados!Y56)=0, "", AVERAGE(ABS(Resultados!G56),ABS(Resultados!P56),ABS(Resultados!Y56)))</f>
        <v>9.0579999999999998</v>
      </c>
      <c r="H56">
        <f>IF(COUNT(Resultados!H56,Resultados!Q56,Resultados!Z56)=0, "", AVERAGE(ABS(Resultados!H56),ABS(Resultados!Q56),ABS(Resultados!Z56)))</f>
        <v>4.1133333333333334E-2</v>
      </c>
      <c r="I56">
        <f>IF(COUNT(Resultados!I56,Resultados!R56,Resultados!AA56)=0, "", AVERAGE(ABS(Resultados!I56),ABS(Resultados!R56),ABS(Resultados!AA56)))</f>
        <v>10.800753333333333</v>
      </c>
      <c r="J56">
        <v>4.1133333333333334E-2</v>
      </c>
      <c r="K56">
        <v>5.0966666666666667E-2</v>
      </c>
    </row>
    <row r="57" spans="1:11" x14ac:dyDescent="0.3">
      <c r="A57" t="str">
        <f>IF(COUNT(Resultados!A57,Resultados!J57,Resultados!S57)=0, "", AVERAGE(ABS(Resultados!A57),ABS(Resultados!J57),ABS(Resultados!S57)))</f>
        <v/>
      </c>
      <c r="B57" t="str">
        <f>IF(COUNT(Resultados!B57,Resultados!K57,Resultados!T57)=0, "", AVERAGE(ABS(Resultados!B57),ABS(Resultados!K57),ABS(Resultados!T57)))</f>
        <v/>
      </c>
      <c r="C57">
        <f>IF(COUNT(Resultados!C57,Resultados!L57,Resultados!U57)=0, "", AVERAGE(ABS(Resultados!C57),ABS(Resultados!L57),ABS(Resultados!U57)))</f>
        <v>71</v>
      </c>
      <c r="D57">
        <f>IF(COUNT(Resultados!D57,Resultados!M57,Resultados!V57)=0, "", AVERAGE(ABS(Resultados!D57),ABS(Resultados!M57),ABS(Resultados!V57)))</f>
        <v>4.5500000000000006E-2</v>
      </c>
      <c r="E57">
        <f>IF(COUNT(Resultados!E57,Resultados!N57,Resultados!W57)=0, "", AVERAGE(ABS(Resultados!E57),ABS(Resultados!N57),ABS(Resultados!W57)))</f>
        <v>23.526473383675775</v>
      </c>
      <c r="F57">
        <f>IF(COUNT(Resultados!F57,Resultados!O57,Resultados!X57)=0, "", AVERAGE(ABS(Resultados!F57),ABS(Resultados!O57),ABS(Resultados!X57)))</f>
        <v>2262.6673193585825</v>
      </c>
      <c r="G57">
        <f>IF(COUNT(Resultados!G57,Resultados!P57,Resultados!Y57)=0, "", AVERAGE(ABS(Resultados!G57),ABS(Resultados!P57),ABS(Resultados!Y57)))</f>
        <v>9.0579999999999998</v>
      </c>
      <c r="H57">
        <f>IF(COUNT(Resultados!H57,Resultados!Q57,Resultados!Z57)=0, "", AVERAGE(ABS(Resultados!H57),ABS(Resultados!Q57),ABS(Resultados!Z57)))</f>
        <v>3.1300000000000001E-2</v>
      </c>
      <c r="I57">
        <f>IF(COUNT(Resultados!I57,Resultados!R57,Resultados!AA57)=0, "", AVERAGE(ABS(Resultados!I57),ABS(Resultados!R57),ABS(Resultados!AA57)))</f>
        <v>11.000999999999999</v>
      </c>
      <c r="J57">
        <v>3.1300000000000001E-2</v>
      </c>
      <c r="K57">
        <v>4.5500000000000006E-2</v>
      </c>
    </row>
    <row r="58" spans="1:11" x14ac:dyDescent="0.3">
      <c r="A58" t="str">
        <f>IF(COUNT(Resultados!A58,Resultados!J58,Resultados!S58)=0, "", AVERAGE(ABS(Resultados!A58),ABS(Resultados!J58),ABS(Resultados!S58)))</f>
        <v/>
      </c>
      <c r="B58" t="str">
        <f>IF(COUNT(Resultados!B58,Resultados!K58,Resultados!T58)=0, "", AVERAGE(ABS(Resultados!B58),ABS(Resultados!K58),ABS(Resultados!T58)))</f>
        <v/>
      </c>
      <c r="C58">
        <f>IF(COUNT(Resultados!C58,Resultados!L58,Resultados!U58)=0, "", AVERAGE(ABS(Resultados!C58),ABS(Resultados!L58),ABS(Resultados!U58)))</f>
        <v>71</v>
      </c>
      <c r="D58">
        <f>IF(COUNT(Resultados!D58,Resultados!M58,Resultados!V58)=0, "", AVERAGE(ABS(Resultados!D58),ABS(Resultados!M58),ABS(Resultados!V58)))</f>
        <v>3.8033333333333336E-2</v>
      </c>
      <c r="E58">
        <f>IF(COUNT(Resultados!E58,Resultados!N58,Resultados!W58)=0, "", AVERAGE(ABS(Resultados!E58),ABS(Resultados!N58),ABS(Resultados!W58)))</f>
        <v>22.896951661405893</v>
      </c>
      <c r="F58">
        <f>IF(COUNT(Resultados!F58,Resultados!O58,Resultados!X58)=0, "", AVERAGE(ABS(Resultados!F58),ABS(Resultados!O58),ABS(Resultados!X58)))</f>
        <v>2203.9958948430299</v>
      </c>
      <c r="G58">
        <f>IF(COUNT(Resultados!G58,Resultados!P58,Resultados!Y58)=0, "", AVERAGE(ABS(Resultados!G58),ABS(Resultados!P58),ABS(Resultados!Y58)))</f>
        <v>9.0579999999999998</v>
      </c>
      <c r="H58">
        <f>IF(COUNT(Resultados!H58,Resultados!Q58,Resultados!Z58)=0, "", AVERAGE(ABS(Resultados!H58),ABS(Resultados!Q58),ABS(Resultados!Z58)))</f>
        <v>2.1533333333333335E-2</v>
      </c>
      <c r="I58">
        <f>IF(COUNT(Resultados!I58,Resultados!R58,Resultados!AA58)=0, "", AVERAGE(ABS(Resultados!I58),ABS(Resultados!R58),ABS(Resultados!AA58)))</f>
        <v>11.202590000000001</v>
      </c>
      <c r="J58">
        <v>2.1533333333333335E-2</v>
      </c>
      <c r="K58">
        <v>3.8033333333333336E-2</v>
      </c>
    </row>
    <row r="59" spans="1:11" x14ac:dyDescent="0.3">
      <c r="A59" t="str">
        <f>IF(COUNT(Resultados!A59,Resultados!J59,Resultados!S59)=0, "", AVERAGE(ABS(Resultados!A59),ABS(Resultados!J59),ABS(Resultados!S59)))</f>
        <v/>
      </c>
      <c r="B59" t="str">
        <f>IF(COUNT(Resultados!B59,Resultados!K59,Resultados!T59)=0, "", AVERAGE(ABS(Resultados!B59),ABS(Resultados!K59),ABS(Resultados!T59)))</f>
        <v/>
      </c>
      <c r="C59">
        <f>IF(COUNT(Resultados!C59,Resultados!L59,Resultados!U59)=0, "", AVERAGE(ABS(Resultados!C59),ABS(Resultados!L59),ABS(Resultados!U59)))</f>
        <v>71</v>
      </c>
      <c r="D59">
        <f>IF(COUNT(Resultados!D59,Resultados!M59,Resultados!V59)=0, "", AVERAGE(ABS(Resultados!D59),ABS(Resultados!M59),ABS(Resultados!V59)))</f>
        <v>2.9666666666666664E-2</v>
      </c>
      <c r="E59">
        <f>IF(COUNT(Resultados!E59,Resultados!N59,Resultados!W59)=0, "", AVERAGE(ABS(Resultados!E59),ABS(Resultados!N59),ABS(Resultados!W59)))</f>
        <v>22.340864341191054</v>
      </c>
      <c r="F59">
        <f>IF(COUNT(Resultados!F59,Resultados!O59,Resultados!X59)=0, "", AVERAGE(ABS(Resultados!F59),ABS(Resultados!O59),ABS(Resultados!X59)))</f>
        <v>2152.168556599006</v>
      </c>
      <c r="G59">
        <f>IF(COUNT(Resultados!G59,Resultados!P59,Resultados!Y59)=0, "", AVERAGE(ABS(Resultados!G59),ABS(Resultados!P59),ABS(Resultados!Y59)))</f>
        <v>9.0579999999999998</v>
      </c>
      <c r="H59">
        <f>IF(COUNT(Resultados!H59,Resultados!Q59,Resultados!Z59)=0, "", AVERAGE(ABS(Resultados!H59),ABS(Resultados!Q59),ABS(Resultados!Z59)))</f>
        <v>1.29E-2</v>
      </c>
      <c r="I59">
        <f>IF(COUNT(Resultados!I59,Resultados!R59,Resultados!AA59)=0, "", AVERAGE(ABS(Resultados!I59),ABS(Resultados!R59),ABS(Resultados!AA59)))</f>
        <v>11.398676666666665</v>
      </c>
      <c r="J59">
        <v>1.29E-2</v>
      </c>
      <c r="K59">
        <v>2.9666666666666664E-2</v>
      </c>
    </row>
    <row r="60" spans="1:11" x14ac:dyDescent="0.3">
      <c r="A60" t="str">
        <f>IF(COUNT(Resultados!A60,Resultados!J60,Resultados!S60)=0, "", AVERAGE(ABS(Resultados!A60),ABS(Resultados!J60),ABS(Resultados!S60)))</f>
        <v/>
      </c>
      <c r="B60" t="str">
        <f>IF(COUNT(Resultados!B60,Resultados!K60,Resultados!T60)=0, "", AVERAGE(ABS(Resultados!B60),ABS(Resultados!K60),ABS(Resultados!T60)))</f>
        <v/>
      </c>
      <c r="C60">
        <f>IF(COUNT(Resultados!C60,Resultados!L60,Resultados!U60)=0, "", AVERAGE(ABS(Resultados!C60),ABS(Resultados!L60),ABS(Resultados!U60)))</f>
        <v>71</v>
      </c>
      <c r="D60">
        <f>IF(COUNT(Resultados!D60,Resultados!M60,Resultados!V60)=0, "", AVERAGE(ABS(Resultados!D60),ABS(Resultados!M60),ABS(Resultados!V60)))</f>
        <v>2.1099999999999997E-2</v>
      </c>
      <c r="E60">
        <f>IF(COUNT(Resultados!E60,Resultados!N60,Resultados!W60)=0, "", AVERAGE(ABS(Resultados!E60),ABS(Resultados!N60),ABS(Resultados!W60)))</f>
        <v>21.895112329339867</v>
      </c>
      <c r="F60">
        <f>IF(COUNT(Resultados!F60,Resultados!O60,Resultados!X60)=0, "", AVERAGE(ABS(Resultados!F60),ABS(Resultados!O60),ABS(Resultados!X60)))</f>
        <v>2110.624469094475</v>
      </c>
      <c r="G60">
        <f>IF(COUNT(Resultados!G60,Resultados!P60,Resultados!Y60)=0, "", AVERAGE(ABS(Resultados!G60),ABS(Resultados!P60),ABS(Resultados!Y60)))</f>
        <v>9.0579999999999998</v>
      </c>
      <c r="H60">
        <f>IF(COUNT(Resultados!H60,Resultados!Q60,Resultados!Z60)=0, "", AVERAGE(ABS(Resultados!H60),ABS(Resultados!Q60),ABS(Resultados!Z60)))</f>
        <v>5.9666666666666661E-3</v>
      </c>
      <c r="I60">
        <f>IF(COUNT(Resultados!I60,Resultados!R60,Resultados!AA60)=0, "", AVERAGE(ABS(Resultados!I60),ABS(Resultados!R60),ABS(Resultados!AA60)))</f>
        <v>11.599980000000002</v>
      </c>
      <c r="J60">
        <v>5.9666666666666661E-3</v>
      </c>
      <c r="K60">
        <v>2.1099999999999997E-2</v>
      </c>
    </row>
    <row r="61" spans="1:11" x14ac:dyDescent="0.3">
      <c r="A61" t="str">
        <f>IF(COUNT(Resultados!A61,Resultados!J61,Resultados!S61)=0, "", AVERAGE(ABS(Resultados!A61),ABS(Resultados!J61),ABS(Resultados!S61)))</f>
        <v/>
      </c>
      <c r="B61" t="str">
        <f>IF(COUNT(Resultados!B61,Resultados!K61,Resultados!T61)=0, "", AVERAGE(ABS(Resultados!B61),ABS(Resultados!K61),ABS(Resultados!T61)))</f>
        <v/>
      </c>
      <c r="C61">
        <f>IF(COUNT(Resultados!C61,Resultados!L61,Resultados!U61)=0, "", AVERAGE(ABS(Resultados!C61),ABS(Resultados!L61),ABS(Resultados!U61)))</f>
        <v>71</v>
      </c>
      <c r="D61">
        <f>IF(COUNT(Resultados!D61,Resultados!M61,Resultados!V61)=0, "", AVERAGE(ABS(Resultados!D61),ABS(Resultados!M61),ABS(Resultados!V61)))</f>
        <v>1.2966666666666666E-2</v>
      </c>
      <c r="E61">
        <f>IF(COUNT(Resultados!E61,Resultados!N61,Resultados!W61)=0, "", AVERAGE(ABS(Resultados!E61),ABS(Resultados!N61),ABS(Resultados!W61)))</f>
        <v>21.609014722631773</v>
      </c>
      <c r="F61">
        <f>IF(COUNT(Resultados!F61,Resultados!O61,Resultados!X61)=0, "", AVERAGE(ABS(Resultados!F61),ABS(Resultados!O61),ABS(Resultados!X61)))</f>
        <v>2083.9601721492818</v>
      </c>
      <c r="G61">
        <f>IF(COUNT(Resultados!G61,Resultados!P61,Resultados!Y61)=0, "", AVERAGE(ABS(Resultados!G61),ABS(Resultados!P61),ABS(Resultados!Y61)))</f>
        <v>9.0579999999999998</v>
      </c>
      <c r="H61">
        <f>IF(COUNT(Resultados!H61,Resultados!Q61,Resultados!Z61)=0, "", AVERAGE(ABS(Resultados!H61),ABS(Resultados!Q61),ABS(Resultados!Z61)))</f>
        <v>1.5000000000000002E-3</v>
      </c>
      <c r="I61">
        <f>IF(COUNT(Resultados!I61,Resultados!R61,Resultados!AA61)=0, "", AVERAGE(ABS(Resultados!I61),ABS(Resultados!R61),ABS(Resultados!AA61)))</f>
        <v>11.799673333333336</v>
      </c>
      <c r="J61">
        <v>1.5000000000000002E-3</v>
      </c>
      <c r="K61">
        <v>1.2966666666666666E-2</v>
      </c>
    </row>
    <row r="62" spans="1:11" x14ac:dyDescent="0.3">
      <c r="A62" t="str">
        <f>IF(COUNT(Resultados!A62,Resultados!J62,Resultados!S62)=0, "", AVERAGE(ABS(Resultados!A62),ABS(Resultados!J62),ABS(Resultados!S62)))</f>
        <v/>
      </c>
      <c r="B62" t="str">
        <f>IF(COUNT(Resultados!B62,Resultados!K62,Resultados!T62)=0, "", AVERAGE(ABS(Resultados!B62),ABS(Resultados!K62),ABS(Resultados!T62)))</f>
        <v/>
      </c>
      <c r="C62">
        <f>IF(COUNT(Resultados!C62,Resultados!L62,Resultados!U62)=0, "", AVERAGE(ABS(Resultados!C62),ABS(Resultados!L62),ABS(Resultados!U62)))</f>
        <v>71</v>
      </c>
      <c r="D62">
        <f>IF(COUNT(Resultados!D62,Resultados!M62,Resultados!V62)=0, "", AVERAGE(ABS(Resultados!D62),ABS(Resultados!M62),ABS(Resultados!V62)))</f>
        <v>5.1666666666666666E-3</v>
      </c>
      <c r="E62">
        <f>IF(COUNT(Resultados!E62,Resultados!N62,Resultados!W62)=0, "", AVERAGE(ABS(Resultados!E62),ABS(Resultados!N62),ABS(Resultados!W62)))</f>
        <v>21.511915504038129</v>
      </c>
      <c r="F62">
        <f>IF(COUNT(Resultados!F62,Resultados!O62,Resultados!X62)=0, "", AVERAGE(ABS(Resultados!F62),ABS(Resultados!O62),ABS(Resultados!X62)))</f>
        <v>2074.9105249763538</v>
      </c>
      <c r="G62">
        <f>IF(COUNT(Resultados!G62,Resultados!P62,Resultados!Y62)=0, "", AVERAGE(ABS(Resultados!G62),ABS(Resultados!P62),ABS(Resultados!Y62)))</f>
        <v>9.0579999999999998</v>
      </c>
      <c r="H62">
        <f>IF(COUNT(Resultados!H62,Resultados!Q62,Resultados!Z62)=0, "", AVERAGE(ABS(Resultados!H62),ABS(Resultados!Q62),ABS(Resultados!Z62)))</f>
        <v>0</v>
      </c>
      <c r="I62">
        <f>IF(COUNT(Resultados!I62,Resultados!R62,Resultados!AA62)=0, "", AVERAGE(ABS(Resultados!I62),ABS(Resultados!R62),ABS(Resultados!AA62)))</f>
        <v>11.998680000000002</v>
      </c>
      <c r="J62">
        <v>0</v>
      </c>
      <c r="K62">
        <v>5.1666666666666666E-3</v>
      </c>
    </row>
    <row r="63" spans="1:11" x14ac:dyDescent="0.3">
      <c r="A63" t="str">
        <f>IF(COUNT(Resultados!A63,Resultados!J63,Resultados!S63)=0, "", AVERAGE(ABS(Resultados!A63),ABS(Resultados!J63),ABS(Resultados!S63)))</f>
        <v/>
      </c>
      <c r="B63" t="str">
        <f>IF(COUNT(Resultados!B63,Resultados!K63,Resultados!T63)=0, "", AVERAGE(ABS(Resultados!B63),ABS(Resultados!K63),ABS(Resultados!T63)))</f>
        <v/>
      </c>
      <c r="C63">
        <f>IF(COUNT(Resultados!C63,Resultados!L63,Resultados!U63)=0, "", AVERAGE(ABS(Resultados!C63),ABS(Resultados!L63),ABS(Resultados!U63)))</f>
        <v>71</v>
      </c>
      <c r="D63">
        <f>IF(COUNT(Resultados!D63,Resultados!M63,Resultados!V63)=0, "", AVERAGE(ABS(Resultados!D63),ABS(Resultados!M63),ABS(Resultados!V63)))</f>
        <v>2.5666666666666667E-3</v>
      </c>
      <c r="E63">
        <f>IF(COUNT(Resultados!E63,Resultados!N63,Resultados!W63)=0, "", AVERAGE(ABS(Resultados!E63),ABS(Resultados!N63),ABS(Resultados!W63)))</f>
        <v>21.61262399348119</v>
      </c>
      <c r="F63">
        <f>IF(COUNT(Resultados!F63,Resultados!O63,Resultados!X63)=0, "", AVERAGE(ABS(Resultados!F63),ABS(Resultados!O63),ABS(Resultados!X63)))</f>
        <v>2191.0380169813643</v>
      </c>
      <c r="G63">
        <f>IF(COUNT(Resultados!G63,Resultados!P63,Resultados!Y63)=0, "", AVERAGE(ABS(Resultados!G63),ABS(Resultados!P63),ABS(Resultados!Y63)))</f>
        <v>9.0579999999999998</v>
      </c>
      <c r="H63">
        <f>IF(COUNT(Resultados!H63,Resultados!Q63,Resultados!Z63)=0, "", AVERAGE(ABS(Resultados!H63),ABS(Resultados!Q63),ABS(Resultados!Z63)))</f>
        <v>1.6000000000000001E-3</v>
      </c>
      <c r="I63">
        <f>IF(COUNT(Resultados!I63,Resultados!R63,Resultados!AA63)=0, "", AVERAGE(ABS(Resultados!I63),ABS(Resultados!R63),ABS(Resultados!AA63)))</f>
        <v>12.198830000000001</v>
      </c>
      <c r="J63">
        <v>1.6000000000000001E-3</v>
      </c>
      <c r="K63">
        <v>2.5666666666666667E-3</v>
      </c>
    </row>
    <row r="64" spans="1:11" x14ac:dyDescent="0.3">
      <c r="A64" t="str">
        <f>IF(COUNT(Resultados!A64,Resultados!J64,Resultados!S64)=0, "", AVERAGE(ABS(Resultados!A64),ABS(Resultados!J64),ABS(Resultados!S64)))</f>
        <v/>
      </c>
      <c r="B64" t="str">
        <f>IF(COUNT(Resultados!B64,Resultados!K64,Resultados!T64)=0, "", AVERAGE(ABS(Resultados!B64),ABS(Resultados!K64),ABS(Resultados!T64)))</f>
        <v/>
      </c>
      <c r="C64">
        <f>IF(COUNT(Resultados!C64,Resultados!L64,Resultados!U64)=0, "", AVERAGE(ABS(Resultados!C64),ABS(Resultados!L64),ABS(Resultados!U64)))</f>
        <v>71</v>
      </c>
      <c r="D64">
        <f>IF(COUNT(Resultados!D64,Resultados!M64,Resultados!V64)=0, "", AVERAGE(ABS(Resultados!D64),ABS(Resultados!M64),ABS(Resultados!V64)))</f>
        <v>2.2333333333333333E-3</v>
      </c>
      <c r="E64">
        <f>IF(COUNT(Resultados!E64,Resultados!N64,Resultados!W64)=0, "", AVERAGE(ABS(Resultados!E64),ABS(Resultados!N64),ABS(Resultados!W64)))</f>
        <v>21.902287715435197</v>
      </c>
      <c r="F64">
        <f>IF(COUNT(Resultados!F64,Resultados!O64,Resultados!X64)=0, "", AVERAGE(ABS(Resultados!F64),ABS(Resultados!O64),ABS(Resultados!X64)))</f>
        <v>2218.5271041948004</v>
      </c>
      <c r="G64">
        <f>IF(COUNT(Resultados!G64,Resultados!P64,Resultados!Y64)=0, "", AVERAGE(ABS(Resultados!G64),ABS(Resultados!P64),ABS(Resultados!Y64)))</f>
        <v>9.0579999999999998</v>
      </c>
      <c r="H64">
        <f>IF(COUNT(Resultados!H64,Resultados!Q64,Resultados!Z64)=0, "", AVERAGE(ABS(Resultados!H64),ABS(Resultados!Q64),ABS(Resultados!Z64)))</f>
        <v>6.0666666666666673E-3</v>
      </c>
      <c r="I64">
        <f>IF(COUNT(Resultados!I64,Resultados!R64,Resultados!AA64)=0, "", AVERAGE(ABS(Resultados!I64),ABS(Resultados!R64),ABS(Resultados!AA64)))</f>
        <v>12.399439999999998</v>
      </c>
      <c r="J64">
        <v>6.0666666666666673E-3</v>
      </c>
      <c r="K64">
        <v>2.2333333333333333E-3</v>
      </c>
    </row>
    <row r="65" spans="1:11" x14ac:dyDescent="0.3">
      <c r="A65" t="str">
        <f>IF(COUNT(Resultados!A65,Resultados!J65,Resultados!S65)=0, "", AVERAGE(ABS(Resultados!A65),ABS(Resultados!J65),ABS(Resultados!S65)))</f>
        <v/>
      </c>
      <c r="B65" t="str">
        <f>IF(COUNT(Resultados!B65,Resultados!K65,Resultados!T65)=0, "", AVERAGE(ABS(Resultados!B65),ABS(Resultados!K65),ABS(Resultados!T65)))</f>
        <v/>
      </c>
      <c r="C65">
        <f>IF(COUNT(Resultados!C65,Resultados!L65,Resultados!U65)=0, "", AVERAGE(ABS(Resultados!C65),ABS(Resultados!L65),ABS(Resultados!U65)))</f>
        <v>71</v>
      </c>
      <c r="D65">
        <f>IF(COUNT(Resultados!D65,Resultados!M65,Resultados!V65)=0, "", AVERAGE(ABS(Resultados!D65),ABS(Resultados!M65),ABS(Resultados!V65)))</f>
        <v>9.0000000000000008E-4</v>
      </c>
      <c r="E65">
        <f>IF(COUNT(Resultados!E65,Resultados!N65,Resultados!W65)=0, "", AVERAGE(ABS(Resultados!E65),ABS(Resultados!N65),ABS(Resultados!W65)))</f>
        <v>22.352321998486588</v>
      </c>
      <c r="F65">
        <f>IF(COUNT(Resultados!F65,Resultados!O65,Resultados!X65)=0, "", AVERAGE(ABS(Resultados!F65),ABS(Resultados!O65),ABS(Resultados!X65)))</f>
        <v>2261.2353576563778</v>
      </c>
      <c r="G65">
        <f>IF(COUNT(Resultados!G65,Resultados!P65,Resultados!Y65)=0, "", AVERAGE(ABS(Resultados!G65),ABS(Resultados!P65),ABS(Resultados!Y65)))</f>
        <v>9.0579999999999998</v>
      </c>
      <c r="H65">
        <f>IF(COUNT(Resultados!H65,Resultados!Q65,Resultados!Z65)=0, "", AVERAGE(ABS(Resultados!H65),ABS(Resultados!Q65),ABS(Resultados!Z65)))</f>
        <v>1.3066666666666666E-2</v>
      </c>
      <c r="I65">
        <f>IF(COUNT(Resultados!I65,Resultados!R65,Resultados!AA65)=0, "", AVERAGE(ABS(Resultados!I65),ABS(Resultados!R65),ABS(Resultados!AA65)))</f>
        <v>12.59869</v>
      </c>
      <c r="J65">
        <v>1.3066666666666666E-2</v>
      </c>
      <c r="K65">
        <v>9.0000000000000008E-4</v>
      </c>
    </row>
    <row r="66" spans="1:11" x14ac:dyDescent="0.3">
      <c r="A66" t="str">
        <f>IF(COUNT(Resultados!A66,Resultados!J66,Resultados!S66)=0, "", AVERAGE(ABS(Resultados!A66),ABS(Resultados!J66),ABS(Resultados!S66)))</f>
        <v/>
      </c>
      <c r="B66" t="str">
        <f>IF(COUNT(Resultados!B66,Resultados!K66,Resultados!T66)=0, "", AVERAGE(ABS(Resultados!B66),ABS(Resultados!K66),ABS(Resultados!T66)))</f>
        <v/>
      </c>
      <c r="C66">
        <f>IF(COUNT(Resultados!C66,Resultados!L66,Resultados!U66)=0, "", AVERAGE(ABS(Resultados!C66),ABS(Resultados!L66),ABS(Resultados!U66)))</f>
        <v>71</v>
      </c>
      <c r="D66">
        <f>IF(COUNT(Resultados!D66,Resultados!M66,Resultados!V66)=0, "", AVERAGE(ABS(Resultados!D66),ABS(Resultados!M66),ABS(Resultados!V66)))</f>
        <v>3.7000000000000002E-3</v>
      </c>
      <c r="E66">
        <f>IF(COUNT(Resultados!E66,Resultados!N66,Resultados!W66)=0, "", AVERAGE(ABS(Resultados!E66),ABS(Resultados!N66),ABS(Resultados!W66)))</f>
        <v>22.919302290399184</v>
      </c>
      <c r="F66">
        <f>IF(COUNT(Resultados!F66,Resultados!O66,Resultados!X66)=0, "", AVERAGE(ABS(Resultados!F66),ABS(Resultados!O66),ABS(Resultados!X66)))</f>
        <v>2315.0417873588826</v>
      </c>
      <c r="G66">
        <f>IF(COUNT(Resultados!G66,Resultados!P66,Resultados!Y66)=0, "", AVERAGE(ABS(Resultados!G66),ABS(Resultados!P66),ABS(Resultados!Y66)))</f>
        <v>9.0579999999999998</v>
      </c>
      <c r="H66">
        <f>IF(COUNT(Resultados!H66,Resultados!Q66,Resultados!Z66)=0, "", AVERAGE(ABS(Resultados!H66),ABS(Resultados!Q66),ABS(Resultados!Z66)))</f>
        <v>2.1866666666666663E-2</v>
      </c>
      <c r="I66">
        <f>IF(COUNT(Resultados!I66,Resultados!R66,Resultados!AA66)=0, "", AVERAGE(ABS(Resultados!I66),ABS(Resultados!R66),ABS(Resultados!AA66)))</f>
        <v>12.800089999999997</v>
      </c>
      <c r="J66">
        <v>2.1866666666666663E-2</v>
      </c>
      <c r="K66">
        <v>3.7000000000000002E-3</v>
      </c>
    </row>
    <row r="67" spans="1:11" x14ac:dyDescent="0.3">
      <c r="A67" t="str">
        <f>IF(COUNT(Resultados!A67,Resultados!J67,Resultados!S67)=0, "", AVERAGE(ABS(Resultados!A67),ABS(Resultados!J67),ABS(Resultados!S67)))</f>
        <v/>
      </c>
      <c r="B67" t="str">
        <f>IF(COUNT(Resultados!B67,Resultados!K67,Resultados!T67)=0, "", AVERAGE(ABS(Resultados!B67),ABS(Resultados!K67),ABS(Resultados!T67)))</f>
        <v/>
      </c>
      <c r="C67">
        <f>IF(COUNT(Resultados!C67,Resultados!L67,Resultados!U67)=0, "", AVERAGE(ABS(Resultados!C67),ABS(Resultados!L67),ABS(Resultados!U67)))</f>
        <v>71</v>
      </c>
      <c r="D67">
        <f>IF(COUNT(Resultados!D67,Resultados!M67,Resultados!V67)=0, "", AVERAGE(ABS(Resultados!D67),ABS(Resultados!M67),ABS(Resultados!V67)))</f>
        <v>9.8666666666666677E-3</v>
      </c>
      <c r="E67">
        <f>IF(COUNT(Resultados!E67,Resultados!N67,Resultados!W67)=0, "", AVERAGE(ABS(Resultados!E67),ABS(Resultados!N67),ABS(Resultados!W67)))</f>
        <v>23.543486260559632</v>
      </c>
      <c r="F67">
        <f>IF(COUNT(Resultados!F67,Resultados!O67,Resultados!X67)=0, "", AVERAGE(ABS(Resultados!F67),ABS(Resultados!O67),ABS(Resultados!X67)))</f>
        <v>2374.2768461271094</v>
      </c>
      <c r="G67">
        <f>IF(COUNT(Resultados!G67,Resultados!P67,Resultados!Y67)=0, "", AVERAGE(ABS(Resultados!G67),ABS(Resultados!P67),ABS(Resultados!Y67)))</f>
        <v>9.0579999999999998</v>
      </c>
      <c r="H67">
        <f>IF(COUNT(Resultados!H67,Resultados!Q67,Resultados!Z67)=0, "", AVERAGE(ABS(Resultados!H67),ABS(Resultados!Q67),ABS(Resultados!Z67)))</f>
        <v>3.1533333333333337E-2</v>
      </c>
      <c r="I67">
        <f>IF(COUNT(Resultados!I67,Resultados!R67,Resultados!AA67)=0, "", AVERAGE(ABS(Resultados!I67),ABS(Resultados!R67),ABS(Resultados!AA67)))</f>
        <v>12.999013333333332</v>
      </c>
      <c r="J67">
        <v>3.1533333333333337E-2</v>
      </c>
      <c r="K67">
        <v>9.8666666666666677E-3</v>
      </c>
    </row>
    <row r="68" spans="1:11" x14ac:dyDescent="0.3">
      <c r="A68" t="str">
        <f>IF(COUNT(Resultados!A68,Resultados!J68,Resultados!S68)=0, "", AVERAGE(ABS(Resultados!A68),ABS(Resultados!J68),ABS(Resultados!S68)))</f>
        <v/>
      </c>
      <c r="B68" t="str">
        <f>IF(COUNT(Resultados!B68,Resultados!K68,Resultados!T68)=0, "", AVERAGE(ABS(Resultados!B68),ABS(Resultados!K68),ABS(Resultados!T68)))</f>
        <v/>
      </c>
      <c r="C68">
        <f>IF(COUNT(Resultados!C68,Resultados!L68,Resultados!U68)=0, "", AVERAGE(ABS(Resultados!C68),ABS(Resultados!L68),ABS(Resultados!U68)))</f>
        <v>71</v>
      </c>
      <c r="D68">
        <f>IF(COUNT(Resultados!D68,Resultados!M68,Resultados!V68)=0, "", AVERAGE(ABS(Resultados!D68),ABS(Resultados!M68),ABS(Resultados!V68)))</f>
        <v>1.6933333333333331E-2</v>
      </c>
      <c r="E68">
        <f>IF(COUNT(Resultados!E68,Resultados!N68,Resultados!W68)=0, "", AVERAGE(ABS(Resultados!E68),ABS(Resultados!N68),ABS(Resultados!W68)))</f>
        <v>24.170318765658838</v>
      </c>
      <c r="F68">
        <f>IF(COUNT(Resultados!F68,Resultados!O68,Resultados!X68)=0, "", AVERAGE(ABS(Resultados!F68),ABS(Resultados!O68),ABS(Resultados!X68)))</f>
        <v>2433.7632508610241</v>
      </c>
      <c r="G68">
        <f>IF(COUNT(Resultados!G68,Resultados!P68,Resultados!Y68)=0, "", AVERAGE(ABS(Resultados!G68),ABS(Resultados!P68),ABS(Resultados!Y68)))</f>
        <v>9.0579999999999998</v>
      </c>
      <c r="H68">
        <f>IF(COUNT(Resultados!H68,Resultados!Q68,Resultados!Z68)=0, "", AVERAGE(ABS(Resultados!H68),ABS(Resultados!Q68),ABS(Resultados!Z68)))</f>
        <v>4.1300000000000003E-2</v>
      </c>
      <c r="I68">
        <f>IF(COUNT(Resultados!I68,Resultados!R68,Resultados!AA68)=0, "", AVERAGE(ABS(Resultados!I68),ABS(Resultados!R68),ABS(Resultados!AA68)))</f>
        <v>13.19877333333333</v>
      </c>
      <c r="J68">
        <v>4.1300000000000003E-2</v>
      </c>
      <c r="K68">
        <v>1.6933333333333331E-2</v>
      </c>
    </row>
    <row r="69" spans="1:11" x14ac:dyDescent="0.3">
      <c r="A69" t="str">
        <f>IF(COUNT(Resultados!A69,Resultados!J69,Resultados!S69)=0, "", AVERAGE(ABS(Resultados!A69),ABS(Resultados!J69),ABS(Resultados!S69)))</f>
        <v/>
      </c>
      <c r="B69" t="str">
        <f>IF(COUNT(Resultados!B69,Resultados!K69,Resultados!T69)=0, "", AVERAGE(ABS(Resultados!B69),ABS(Resultados!K69),ABS(Resultados!T69)))</f>
        <v/>
      </c>
      <c r="C69">
        <f>IF(COUNT(Resultados!C69,Resultados!L69,Resultados!U69)=0, "", AVERAGE(ABS(Resultados!C69),ABS(Resultados!L69),ABS(Resultados!U69)))</f>
        <v>71</v>
      </c>
      <c r="D69">
        <f>IF(COUNT(Resultados!D69,Resultados!M69,Resultados!V69)=0, "", AVERAGE(ABS(Resultados!D69),ABS(Resultados!M69),ABS(Resultados!V69)))</f>
        <v>2.4800000000000003E-2</v>
      </c>
      <c r="E69">
        <f>IF(COUNT(Resultados!E69,Resultados!N69,Resultados!W69)=0, "", AVERAGE(ABS(Resultados!E69),ABS(Resultados!N69),ABS(Resultados!W69)))</f>
        <v>24.733860260141</v>
      </c>
      <c r="F69">
        <f>IF(COUNT(Resultados!F69,Resultados!O69,Resultados!X69)=0, "", AVERAGE(ABS(Resultados!F69),ABS(Resultados!O69),ABS(Resultados!X69)))</f>
        <v>2487.2433386873804</v>
      </c>
      <c r="G69">
        <f>IF(COUNT(Resultados!G69,Resultados!P69,Resultados!Y69)=0, "", AVERAGE(ABS(Resultados!G69),ABS(Resultados!P69),ABS(Resultados!Y69)))</f>
        <v>9.0579999999999998</v>
      </c>
      <c r="H69">
        <f>IF(COUNT(Resultados!H69,Resultados!Q69,Resultados!Z69)=0, "", AVERAGE(ABS(Resultados!H69),ABS(Resultados!Q69),ABS(Resultados!Z69)))</f>
        <v>5.0099999999999999E-2</v>
      </c>
      <c r="I69">
        <f>IF(COUNT(Resultados!I69,Resultados!R69,Resultados!AA69)=0, "", AVERAGE(ABS(Resultados!I69),ABS(Resultados!R69),ABS(Resultados!AA69)))</f>
        <v>13.398806666666667</v>
      </c>
      <c r="J69">
        <v>5.0099999999999999E-2</v>
      </c>
      <c r="K69">
        <v>2.4800000000000003E-2</v>
      </c>
    </row>
    <row r="70" spans="1:11" x14ac:dyDescent="0.3">
      <c r="A70" t="str">
        <f>IF(COUNT(Resultados!A70,Resultados!J70,Resultados!S70)=0, "", AVERAGE(ABS(Resultados!A70),ABS(Resultados!J70),ABS(Resultados!S70)))</f>
        <v/>
      </c>
      <c r="B70" t="str">
        <f>IF(COUNT(Resultados!B70,Resultados!K70,Resultados!T70)=0, "", AVERAGE(ABS(Resultados!B70),ABS(Resultados!K70),ABS(Resultados!T70)))</f>
        <v/>
      </c>
      <c r="C70">
        <f>IF(COUNT(Resultados!C70,Resultados!L70,Resultados!U70)=0, "", AVERAGE(ABS(Resultados!C70),ABS(Resultados!L70),ABS(Resultados!U70)))</f>
        <v>71</v>
      </c>
      <c r="D70">
        <f>IF(COUNT(Resultados!D70,Resultados!M70,Resultados!V70)=0, "", AVERAGE(ABS(Resultados!D70),ABS(Resultados!M70),ABS(Resultados!V70)))</f>
        <v>3.2466666666666671E-2</v>
      </c>
      <c r="E70">
        <f>IF(COUNT(Resultados!E70,Resultados!N70,Resultados!W70)=0, "", AVERAGE(ABS(Resultados!E70),ABS(Resultados!N70),ABS(Resultados!W70)))</f>
        <v>25.181847997160407</v>
      </c>
      <c r="F70">
        <f>IF(COUNT(Resultados!F70,Resultados!O70,Resultados!X70)=0, "", AVERAGE(ABS(Resultados!F70),ABS(Resultados!O70),ABS(Resultados!X70)))</f>
        <v>2529.7573749305234</v>
      </c>
      <c r="G70">
        <f>IF(COUNT(Resultados!G70,Resultados!P70,Resultados!Y70)=0, "", AVERAGE(ABS(Resultados!G70),ABS(Resultados!P70),ABS(Resultados!Y70)))</f>
        <v>9.0579999999999998</v>
      </c>
      <c r="H70">
        <f>IF(COUNT(Resultados!H70,Resultados!Q70,Resultados!Z70)=0, "", AVERAGE(ABS(Resultados!H70),ABS(Resultados!Q70),ABS(Resultados!Z70)))</f>
        <v>5.7000000000000002E-2</v>
      </c>
      <c r="I70">
        <f>IF(COUNT(Resultados!I70,Resultados!R70,Resultados!AA70)=0, "", AVERAGE(ABS(Resultados!I70),ABS(Resultados!R70),ABS(Resultados!AA70)))</f>
        <v>13.598676666666668</v>
      </c>
      <c r="J70">
        <v>5.7000000000000002E-2</v>
      </c>
      <c r="K70">
        <v>3.2466666666666671E-2</v>
      </c>
    </row>
    <row r="71" spans="1:11" x14ac:dyDescent="0.3">
      <c r="A71" t="str">
        <f>IF(COUNT(Resultados!A71,Resultados!J71,Resultados!S71)=0, "", AVERAGE(ABS(Resultados!A71),ABS(Resultados!J71),ABS(Resultados!S71)))</f>
        <v/>
      </c>
      <c r="B71" t="str">
        <f>IF(COUNT(Resultados!B71,Resultados!K71,Resultados!T71)=0, "", AVERAGE(ABS(Resultados!B71),ABS(Resultados!K71),ABS(Resultados!T71)))</f>
        <v/>
      </c>
      <c r="C71">
        <f>IF(COUNT(Resultados!C71,Resultados!L71,Resultados!U71)=0, "", AVERAGE(ABS(Resultados!C71),ABS(Resultados!L71),ABS(Resultados!U71)))</f>
        <v>71</v>
      </c>
      <c r="D71">
        <f>IF(COUNT(Resultados!D71,Resultados!M71,Resultados!V71)=0, "", AVERAGE(ABS(Resultados!D71),ABS(Resultados!M71),ABS(Resultados!V71)))</f>
        <v>4.0733333333333337E-2</v>
      </c>
      <c r="E71">
        <f>IF(COUNT(Resultados!E71,Resultados!N71,Resultados!W71)=0, "", AVERAGE(ABS(Resultados!E71),ABS(Resultados!N71),ABS(Resultados!W71)))</f>
        <v>25.469682086417979</v>
      </c>
      <c r="F71">
        <f>IF(COUNT(Resultados!F71,Resultados!O71,Resultados!X71)=0, "", AVERAGE(ABS(Resultados!F71),ABS(Resultados!O71),ABS(Resultados!X71)))</f>
        <v>2557.0728300010664</v>
      </c>
      <c r="G71">
        <f>IF(COUNT(Resultados!G71,Resultados!P71,Resultados!Y71)=0, "", AVERAGE(ABS(Resultados!G71),ABS(Resultados!P71),ABS(Resultados!Y71)))</f>
        <v>9.0579999999999998</v>
      </c>
      <c r="H71">
        <f>IF(COUNT(Resultados!H71,Resultados!Q71,Resultados!Z71)=0, "", AVERAGE(ABS(Resultados!H71),ABS(Resultados!Q71),ABS(Resultados!Z71)))</f>
        <v>6.1499999999999999E-2</v>
      </c>
      <c r="I71">
        <f>IF(COUNT(Resultados!I71,Resultados!R71,Resultados!AA71)=0, "", AVERAGE(ABS(Resultados!I71),ABS(Resultados!R71),ABS(Resultados!AA71)))</f>
        <v>13.799806666666663</v>
      </c>
      <c r="J71">
        <v>6.1499999999999999E-2</v>
      </c>
      <c r="K71">
        <v>4.0733333333333337E-2</v>
      </c>
    </row>
    <row r="72" spans="1:11" x14ac:dyDescent="0.3">
      <c r="A72" t="str">
        <f>IF(COUNT(Resultados!A72,Resultados!J72,Resultados!S72)=0, "", AVERAGE(ABS(Resultados!A72),ABS(Resultados!J72),ABS(Resultados!S72)))</f>
        <v/>
      </c>
      <c r="B72" t="str">
        <f>IF(COUNT(Resultados!B72,Resultados!K72,Resultados!T72)=0, "", AVERAGE(ABS(Resultados!B72),ABS(Resultados!K72),ABS(Resultados!T72)))</f>
        <v/>
      </c>
      <c r="C72">
        <f>IF(COUNT(Resultados!C72,Resultados!L72,Resultados!U72)=0, "", AVERAGE(ABS(Resultados!C72),ABS(Resultados!L72),ABS(Resultados!U72)))</f>
        <v>71</v>
      </c>
      <c r="D72">
        <f>IF(COUNT(Resultados!D72,Resultados!M72,Resultados!V72)=0, "", AVERAGE(ABS(Resultados!D72),ABS(Resultados!M72),ABS(Resultados!V72)))</f>
        <v>4.8000000000000008E-2</v>
      </c>
      <c r="E72">
        <f>IF(COUNT(Resultados!E72,Resultados!N72,Resultados!W72)=0, "", AVERAGE(ABS(Resultados!E72),ABS(Resultados!N72),ABS(Resultados!W72)))</f>
        <v>25.566616221571689</v>
      </c>
      <c r="F72">
        <f>IF(COUNT(Resultados!F72,Resultados!O72,Resultados!X72)=0, "", AVERAGE(ABS(Resultados!F72),ABS(Resultados!O72),ABS(Resultados!X72)))</f>
        <v>2566.2718794271532</v>
      </c>
      <c r="G72">
        <f>IF(COUNT(Resultados!G72,Resultados!P72,Resultados!Y72)=0, "", AVERAGE(ABS(Resultados!G72),ABS(Resultados!P72),ABS(Resultados!Y72)))</f>
        <v>9.0579999999999998</v>
      </c>
      <c r="H72">
        <f>IF(COUNT(Resultados!H72,Resultados!Q72,Resultados!Z72)=0, "", AVERAGE(ABS(Resultados!H72),ABS(Resultados!Q72),ABS(Resultados!Z72)))</f>
        <v>6.3E-2</v>
      </c>
      <c r="I72">
        <f>IF(COUNT(Resultados!I72,Resultados!R72,Resultados!AA72)=0, "", AVERAGE(ABS(Resultados!I72),ABS(Resultados!R72),ABS(Resultados!AA72)))</f>
        <v>13.998763333333335</v>
      </c>
      <c r="J72">
        <v>6.3E-2</v>
      </c>
      <c r="K72">
        <v>4.8000000000000008E-2</v>
      </c>
    </row>
    <row r="73" spans="1:11" x14ac:dyDescent="0.3">
      <c r="A73" t="str">
        <f>IF(COUNT(Resultados!A73,Resultados!J73,Resultados!S73)=0, "", AVERAGE(ABS(Resultados!A73),ABS(Resultados!J73),ABS(Resultados!S73)))</f>
        <v/>
      </c>
      <c r="B73" t="str">
        <f>IF(COUNT(Resultados!B73,Resultados!K73,Resultados!T73)=0, "", AVERAGE(ABS(Resultados!B73),ABS(Resultados!K73),ABS(Resultados!T73)))</f>
        <v/>
      </c>
      <c r="C73">
        <f>IF(COUNT(Resultados!C73,Resultados!L73,Resultados!U73)=0, "", AVERAGE(ABS(Resultados!C73),ABS(Resultados!L73),ABS(Resultados!U73)))</f>
        <v>71</v>
      </c>
      <c r="D73">
        <f>IF(COUNT(Resultados!D73,Resultados!M73,Resultados!V73)=0, "", AVERAGE(ABS(Resultados!D73),ABS(Resultados!M73),ABS(Resultados!V73)))</f>
        <v>5.3066666666666658E-2</v>
      </c>
      <c r="E73">
        <f>IF(COUNT(Resultados!E73,Resultados!N73,Resultados!W73)=0, "", AVERAGE(ABS(Resultados!E73),ABS(Resultados!N73),ABS(Resultados!W73)))</f>
        <v>25.465530201095277</v>
      </c>
      <c r="F73">
        <f>IF(COUNT(Resultados!F73,Resultados!O73,Resultados!X73)=0, "", AVERAGE(ABS(Resultados!F73),ABS(Resultados!O73),ABS(Resultados!X73)))</f>
        <v>2443.3874147420797</v>
      </c>
      <c r="G73">
        <f>IF(COUNT(Resultados!G73,Resultados!P73,Resultados!Y73)=0, "", AVERAGE(ABS(Resultados!G73),ABS(Resultados!P73),ABS(Resultados!Y73)))</f>
        <v>9.0579999999999998</v>
      </c>
      <c r="H73">
        <f>IF(COUNT(Resultados!H73,Resultados!Q73,Resultados!Z73)=0, "", AVERAGE(ABS(Resultados!H73),ABS(Resultados!Q73),ABS(Resultados!Z73)))</f>
        <v>6.143333333333334E-2</v>
      </c>
      <c r="I73">
        <f>IF(COUNT(Resultados!I73,Resultados!R73,Resultados!AA73)=0, "", AVERAGE(ABS(Resultados!I73),ABS(Resultados!R73),ABS(Resultados!AA73)))</f>
        <v>14.199573333333333</v>
      </c>
      <c r="J73">
        <v>6.143333333333334E-2</v>
      </c>
      <c r="K73">
        <v>5.3066666666666658E-2</v>
      </c>
    </row>
    <row r="74" spans="1:11" x14ac:dyDescent="0.3">
      <c r="A74" t="str">
        <f>IF(COUNT(Resultados!A74,Resultados!J74,Resultados!S74)=0, "", AVERAGE(ABS(Resultados!A74),ABS(Resultados!J74),ABS(Resultados!S74)))</f>
        <v/>
      </c>
      <c r="B74" t="str">
        <f>IF(COUNT(Resultados!B74,Resultados!K74,Resultados!T74)=0, "", AVERAGE(ABS(Resultados!B74),ABS(Resultados!K74),ABS(Resultados!T74)))</f>
        <v/>
      </c>
      <c r="C74">
        <f>IF(COUNT(Resultados!C74,Resultados!L74,Resultados!U74)=0, "", AVERAGE(ABS(Resultados!C74),ABS(Resultados!L74),ABS(Resultados!U74)))</f>
        <v>71</v>
      </c>
      <c r="D74">
        <f>IF(COUNT(Resultados!D74,Resultados!M74,Resultados!V74)=0, "", AVERAGE(ABS(Resultados!D74),ABS(Resultados!M74),ABS(Resultados!V74)))</f>
        <v>5.3966666666666663E-2</v>
      </c>
      <c r="E74">
        <f>IF(COUNT(Resultados!E74,Resultados!N74,Resultados!W74)=0, "", AVERAGE(ABS(Resultados!E74),ABS(Resultados!N74),ABS(Resultados!W74)))</f>
        <v>25.175506840101736</v>
      </c>
      <c r="F74">
        <f>IF(COUNT(Resultados!F74,Resultados!O74,Resultados!X74)=0, "", AVERAGE(ABS(Resultados!F74),ABS(Resultados!O74),ABS(Resultados!X74)))</f>
        <v>2416.3572374974824</v>
      </c>
      <c r="G74">
        <f>IF(COUNT(Resultados!G74,Resultados!P74,Resultados!Y74)=0, "", AVERAGE(ABS(Resultados!G74),ABS(Resultados!P74),ABS(Resultados!Y74)))</f>
        <v>9.0579999999999998</v>
      </c>
      <c r="H74">
        <f>IF(COUNT(Resultados!H74,Resultados!Q74,Resultados!Z74)=0, "", AVERAGE(ABS(Resultados!H74),ABS(Resultados!Q74),ABS(Resultados!Z74)))</f>
        <v>5.6899999999999999E-2</v>
      </c>
      <c r="I74">
        <f>IF(COUNT(Resultados!I74,Resultados!R74,Resultados!AA74)=0, "", AVERAGE(ABS(Resultados!I74),ABS(Resultados!R74),ABS(Resultados!AA74)))</f>
        <v>14.399796666666665</v>
      </c>
      <c r="J74">
        <v>5.6899999999999999E-2</v>
      </c>
      <c r="K74">
        <v>5.3966666666666663E-2</v>
      </c>
    </row>
    <row r="75" spans="1:11" x14ac:dyDescent="0.3">
      <c r="A75" t="str">
        <f>IF(COUNT(Resultados!A75,Resultados!J75,Resultados!S75)=0, "", AVERAGE(ABS(Resultados!A75),ABS(Resultados!J75),ABS(Resultados!S75)))</f>
        <v/>
      </c>
      <c r="B75" t="str">
        <f>IF(COUNT(Resultados!B75,Resultados!K75,Resultados!T75)=0, "", AVERAGE(ABS(Resultados!B75),ABS(Resultados!K75),ABS(Resultados!T75)))</f>
        <v/>
      </c>
      <c r="C75">
        <f>IF(COUNT(Resultados!C75,Resultados!L75,Resultados!U75)=0, "", AVERAGE(ABS(Resultados!C75),ABS(Resultados!L75),ABS(Resultados!U75)))</f>
        <v>71</v>
      </c>
      <c r="D75">
        <f>IF(COUNT(Resultados!D75,Resultados!M75,Resultados!V75)=0, "", AVERAGE(ABS(Resultados!D75),ABS(Resultados!M75),ABS(Resultados!V75)))</f>
        <v>5.3266666666666664E-2</v>
      </c>
      <c r="E75">
        <f>IF(COUNT(Resultados!E75,Resultados!N75,Resultados!W75)=0, "", AVERAGE(ABS(Resultados!E75),ABS(Resultados!N75),ABS(Resultados!W75)))</f>
        <v>24.726866160017977</v>
      </c>
      <c r="F75">
        <f>IF(COUNT(Resultados!F75,Resultados!O75,Resultados!X75)=0, "", AVERAGE(ABS(Resultados!F75),ABS(Resultados!O75),ABS(Resultados!X75)))</f>
        <v>2374.5439261136753</v>
      </c>
      <c r="G75">
        <f>IF(COUNT(Resultados!G75,Resultados!P75,Resultados!Y75)=0, "", AVERAGE(ABS(Resultados!G75),ABS(Resultados!P75),ABS(Resultados!Y75)))</f>
        <v>9.0579999999999998</v>
      </c>
      <c r="H75">
        <f>IF(COUNT(Resultados!H75,Resultados!Q75,Resultados!Z75)=0, "", AVERAGE(ABS(Resultados!H75),ABS(Resultados!Q75),ABS(Resultados!Z75)))</f>
        <v>4.993333333333333E-2</v>
      </c>
      <c r="I75">
        <f>IF(COUNT(Resultados!I75,Resultados!R75,Resultados!AA75)=0, "", AVERAGE(ABS(Resultados!I75),ABS(Resultados!R75),ABS(Resultados!AA75)))</f>
        <v>14.599469999999997</v>
      </c>
      <c r="J75">
        <v>4.993333333333333E-2</v>
      </c>
      <c r="K75">
        <v>5.3266666666666664E-2</v>
      </c>
    </row>
    <row r="76" spans="1:11" x14ac:dyDescent="0.3">
      <c r="A76" t="str">
        <f>IF(COUNT(Resultados!A76,Resultados!J76,Resultados!S76)=0, "", AVERAGE(ABS(Resultados!A76),ABS(Resultados!J76),ABS(Resultados!S76)))</f>
        <v/>
      </c>
      <c r="B76" t="str">
        <f>IF(COUNT(Resultados!B76,Resultados!K76,Resultados!T76)=0, "", AVERAGE(ABS(Resultados!B76),ABS(Resultados!K76),ABS(Resultados!T76)))</f>
        <v/>
      </c>
      <c r="C76">
        <f>IF(COUNT(Resultados!C76,Resultados!L76,Resultados!U76)=0, "", AVERAGE(ABS(Resultados!C76),ABS(Resultados!L76),ABS(Resultados!U76)))</f>
        <v>71</v>
      </c>
      <c r="D76">
        <f>IF(COUNT(Resultados!D76,Resultados!M76,Resultados!V76)=0, "", AVERAGE(ABS(Resultados!D76),ABS(Resultados!M76),ABS(Resultados!V76)))</f>
        <v>5.1200000000000002E-2</v>
      </c>
      <c r="E76">
        <f>IF(COUNT(Resultados!E76,Resultados!N76,Resultados!W76)=0, "", AVERAGE(ABS(Resultados!E76),ABS(Resultados!N76),ABS(Resultados!W76)))</f>
        <v>24.16322113533765</v>
      </c>
      <c r="F76">
        <f>IF(COUNT(Resultados!F76,Resultados!O76,Resultados!X76)=0, "", AVERAGE(ABS(Resultados!F76),ABS(Resultados!O76),ABS(Resultados!X76)))</f>
        <v>2322.0122098134693</v>
      </c>
      <c r="G76">
        <f>IF(COUNT(Resultados!G76,Resultados!P76,Resultados!Y76)=0, "", AVERAGE(ABS(Resultados!G76),ABS(Resultados!P76),ABS(Resultados!Y76)))</f>
        <v>9.0579999999999998</v>
      </c>
      <c r="H76">
        <f>IF(COUNT(Resultados!H76,Resultados!Q76,Resultados!Z76)=0, "", AVERAGE(ABS(Resultados!H76),ABS(Resultados!Q76),ABS(Resultados!Z76)))</f>
        <v>4.1200000000000001E-2</v>
      </c>
      <c r="I76">
        <f>IF(COUNT(Resultados!I76,Resultados!R76,Resultados!AA76)=0, "", AVERAGE(ABS(Resultados!I76),ABS(Resultados!R76),ABS(Resultados!AA76)))</f>
        <v>14.798496666666665</v>
      </c>
      <c r="J76">
        <v>4.1200000000000001E-2</v>
      </c>
      <c r="K76">
        <v>5.1200000000000002E-2</v>
      </c>
    </row>
    <row r="77" spans="1:11" x14ac:dyDescent="0.3">
      <c r="A77" t="str">
        <f>IF(COUNT(Resultados!A77,Resultados!J77,Resultados!S77)=0, "", AVERAGE(ABS(Resultados!A77),ABS(Resultados!J77),ABS(Resultados!S77)))</f>
        <v/>
      </c>
      <c r="B77" t="str">
        <f>IF(COUNT(Resultados!B77,Resultados!K77,Resultados!T77)=0, "", AVERAGE(ABS(Resultados!B77),ABS(Resultados!K77),ABS(Resultados!T77)))</f>
        <v/>
      </c>
      <c r="C77">
        <f>IF(COUNT(Resultados!C77,Resultados!L77,Resultados!U77)=0, "", AVERAGE(ABS(Resultados!C77),ABS(Resultados!L77),ABS(Resultados!U77)))</f>
        <v>71</v>
      </c>
      <c r="D77">
        <f>IF(COUNT(Resultados!D77,Resultados!M77,Resultados!V77)=0, "", AVERAGE(ABS(Resultados!D77),ABS(Resultados!M77),ABS(Resultados!V77)))</f>
        <v>4.5733333333333327E-2</v>
      </c>
      <c r="E77">
        <f>IF(COUNT(Resultados!E77,Resultados!N77,Resultados!W77)=0, "", AVERAGE(ABS(Resultados!E77),ABS(Resultados!N77),ABS(Resultados!W77)))</f>
        <v>23.533982431651253</v>
      </c>
      <c r="F77">
        <f>IF(COUNT(Resultados!F77,Resultados!O77,Resultados!X77)=0, "", AVERAGE(ABS(Resultados!F77),ABS(Resultados!O77),ABS(Resultados!X77)))</f>
        <v>2263.3671626298969</v>
      </c>
      <c r="G77">
        <f>IF(COUNT(Resultados!G77,Resultados!P77,Resultados!Y77)=0, "", AVERAGE(ABS(Resultados!G77),ABS(Resultados!P77),ABS(Resultados!Y77)))</f>
        <v>9.0579999999999998</v>
      </c>
      <c r="H77">
        <f>IF(COUNT(Resultados!H77,Resultados!Q77,Resultados!Z77)=0, "", AVERAGE(ABS(Resultados!H77),ABS(Resultados!Q77),ABS(Resultados!Z77)))</f>
        <v>3.1399999999999997E-2</v>
      </c>
      <c r="I77">
        <f>IF(COUNT(Resultados!I77,Resultados!R77,Resultados!AA77)=0, "", AVERAGE(ABS(Resultados!I77),ABS(Resultados!R77),ABS(Resultados!AA77)))</f>
        <v>14.998039999999998</v>
      </c>
      <c r="J77">
        <v>3.1399999999999997E-2</v>
      </c>
      <c r="K77">
        <v>4.5733333333333327E-2</v>
      </c>
    </row>
    <row r="78" spans="1:11" x14ac:dyDescent="0.3">
      <c r="A78" t="str">
        <f>IF(COUNT(Resultados!A78,Resultados!J78,Resultados!S78)=0, "", AVERAGE(ABS(Resultados!A78),ABS(Resultados!J78),ABS(Resultados!S78)))</f>
        <v/>
      </c>
      <c r="B78" t="str">
        <f>IF(COUNT(Resultados!B78,Resultados!K78,Resultados!T78)=0, "", AVERAGE(ABS(Resultados!B78),ABS(Resultados!K78),ABS(Resultados!T78)))</f>
        <v/>
      </c>
      <c r="C78">
        <f>IF(COUNT(Resultados!C78,Resultados!L78,Resultados!U78)=0, "", AVERAGE(ABS(Resultados!C78),ABS(Resultados!L78),ABS(Resultados!U78)))</f>
        <v>71</v>
      </c>
      <c r="D78">
        <f>IF(COUNT(Resultados!D78,Resultados!M78,Resultados!V78)=0, "", AVERAGE(ABS(Resultados!D78),ABS(Resultados!M78),ABS(Resultados!V78)))</f>
        <v>3.8100000000000002E-2</v>
      </c>
      <c r="E78">
        <f>IF(COUNT(Resultados!E78,Resultados!N78,Resultados!W78)=0, "", AVERAGE(ABS(Resultados!E78),ABS(Resultados!N78),ABS(Resultados!W78)))</f>
        <v>22.900820392988209</v>
      </c>
      <c r="F78">
        <f>IF(COUNT(Resultados!F78,Resultados!O78,Resultados!X78)=0, "", AVERAGE(ABS(Resultados!F78),ABS(Resultados!O78),ABS(Resultados!X78)))</f>
        <v>2204.3564606265008</v>
      </c>
      <c r="G78">
        <f>IF(COUNT(Resultados!G78,Resultados!P78,Resultados!Y78)=0, "", AVERAGE(ABS(Resultados!G78),ABS(Resultados!P78),ABS(Resultados!Y78)))</f>
        <v>9.0579999999999998</v>
      </c>
      <c r="H78">
        <f>IF(COUNT(Resultados!H78,Resultados!Q78,Resultados!Z78)=0, "", AVERAGE(ABS(Resultados!H78),ABS(Resultados!Q78),ABS(Resultados!Z78)))</f>
        <v>2.1599999999999998E-2</v>
      </c>
      <c r="I78">
        <f>IF(COUNT(Resultados!I78,Resultados!R78,Resultados!AA78)=0, "", AVERAGE(ABS(Resultados!I78),ABS(Resultados!R78),ABS(Resultados!AA78)))</f>
        <v>15.20108333333333</v>
      </c>
      <c r="J78">
        <v>2.1599999999999998E-2</v>
      </c>
      <c r="K78">
        <v>3.8100000000000002E-2</v>
      </c>
    </row>
    <row r="79" spans="1:11" x14ac:dyDescent="0.3">
      <c r="A79" t="str">
        <f>IF(COUNT(Resultados!A79,Resultados!J79,Resultados!S79)=0, "", AVERAGE(ABS(Resultados!A79),ABS(Resultados!J79),ABS(Resultados!S79)))</f>
        <v/>
      </c>
      <c r="B79" t="str">
        <f>IF(COUNT(Resultados!B79,Resultados!K79,Resultados!T79)=0, "", AVERAGE(ABS(Resultados!B79),ABS(Resultados!K79),ABS(Resultados!T79)))</f>
        <v/>
      </c>
      <c r="C79">
        <f>IF(COUNT(Resultados!C79,Resultados!L79,Resultados!U79)=0, "", AVERAGE(ABS(Resultados!C79),ABS(Resultados!L79),ABS(Resultados!U79)))</f>
        <v>71</v>
      </c>
      <c r="D79">
        <f>IF(COUNT(Resultados!D79,Resultados!M79,Resultados!V79)=0, "", AVERAGE(ABS(Resultados!D79),ABS(Resultados!M79),ABS(Resultados!V79)))</f>
        <v>2.9933333333333336E-2</v>
      </c>
      <c r="E79">
        <f>IF(COUNT(Resultados!E79,Resultados!N79,Resultados!W79)=0, "", AVERAGE(ABS(Resultados!E79),ABS(Resultados!N79),ABS(Resultados!W79)))</f>
        <v>22.343219180149916</v>
      </c>
      <c r="F79">
        <f>IF(COUNT(Resultados!F79,Resultados!O79,Resultados!X79)=0, "", AVERAGE(ABS(Resultados!F79),ABS(Resultados!O79),ABS(Resultados!X79)))</f>
        <v>2152.3880275899724</v>
      </c>
      <c r="G79">
        <f>IF(COUNT(Resultados!G79,Resultados!P79,Resultados!Y79)=0, "", AVERAGE(ABS(Resultados!G79),ABS(Resultados!P79),ABS(Resultados!Y79)))</f>
        <v>9.0579999999999998</v>
      </c>
      <c r="H79">
        <f>IF(COUNT(Resultados!H79,Resultados!Q79,Resultados!Z79)=0, "", AVERAGE(ABS(Resultados!H79),ABS(Resultados!Q79),ABS(Resultados!Z79)))</f>
        <v>1.2933333333333333E-2</v>
      </c>
      <c r="I79">
        <f>IF(COUNT(Resultados!I79,Resultados!R79,Resultados!AA79)=0, "", AVERAGE(ABS(Resultados!I79),ABS(Resultados!R79),ABS(Resultados!AA79)))</f>
        <v>15.399156666666665</v>
      </c>
      <c r="J79">
        <v>1.2933333333333333E-2</v>
      </c>
      <c r="K79">
        <v>2.9933333333333336E-2</v>
      </c>
    </row>
    <row r="80" spans="1:11" x14ac:dyDescent="0.3">
      <c r="A80" t="str">
        <f>IF(COUNT(Resultados!A80,Resultados!J80,Resultados!S80)=0, "", AVERAGE(ABS(Resultados!A80),ABS(Resultados!J80),ABS(Resultados!S80)))</f>
        <v/>
      </c>
      <c r="B80" t="str">
        <f>IF(COUNT(Resultados!B80,Resultados!K80,Resultados!T80)=0, "", AVERAGE(ABS(Resultados!B80),ABS(Resultados!K80),ABS(Resultados!T80)))</f>
        <v/>
      </c>
      <c r="C80">
        <f>IF(COUNT(Resultados!C80,Resultados!L80,Resultados!U80)=0, "", AVERAGE(ABS(Resultados!C80),ABS(Resultados!L80),ABS(Resultados!U80)))</f>
        <v>71</v>
      </c>
      <c r="D80">
        <f>IF(COUNT(Resultados!D80,Resultados!M80,Resultados!V80)=0, "", AVERAGE(ABS(Resultados!D80),ABS(Resultados!M80),ABS(Resultados!V80)))</f>
        <v>2.1533333333333335E-2</v>
      </c>
      <c r="E80">
        <f>IF(COUNT(Resultados!E80,Resultados!N80,Resultados!W80)=0, "", AVERAGE(ABS(Resultados!E80),ABS(Resultados!N80),ABS(Resultados!W80)))</f>
        <v>21.898315588811645</v>
      </c>
      <c r="F80">
        <f>IF(COUNT(Resultados!F80,Resultados!O80,Resultados!X80)=0, "", AVERAGE(ABS(Resultados!F80),ABS(Resultados!O80),ABS(Resultados!X80)))</f>
        <v>2110.9230128772451</v>
      </c>
      <c r="G80">
        <f>IF(COUNT(Resultados!G80,Resultados!P80,Resultados!Y80)=0, "", AVERAGE(ABS(Resultados!G80),ABS(Resultados!P80),ABS(Resultados!Y80)))</f>
        <v>9.0579999999999998</v>
      </c>
      <c r="H80">
        <f>IF(COUNT(Resultados!H80,Resultados!Q80,Resultados!Z80)=0, "", AVERAGE(ABS(Resultados!H80),ABS(Resultados!Q80),ABS(Resultados!Z80)))</f>
        <v>6.000000000000001E-3</v>
      </c>
      <c r="I80">
        <f>IF(COUNT(Resultados!I80,Resultados!R80,Resultados!AA80)=0, "", AVERAGE(ABS(Resultados!I80),ABS(Resultados!R80),ABS(Resultados!AA80)))</f>
        <v>15.598179999999999</v>
      </c>
      <c r="J80">
        <v>6.000000000000001E-3</v>
      </c>
      <c r="K80">
        <v>2.1533333333333335E-2</v>
      </c>
    </row>
    <row r="81" spans="1:11" x14ac:dyDescent="0.3">
      <c r="A81" t="str">
        <f>IF(COUNT(Resultados!A81,Resultados!J81,Resultados!S81)=0, "", AVERAGE(ABS(Resultados!A81),ABS(Resultados!J81),ABS(Resultados!S81)))</f>
        <v/>
      </c>
      <c r="B81" t="str">
        <f>IF(COUNT(Resultados!B81,Resultados!K81,Resultados!T81)=0, "", AVERAGE(ABS(Resultados!B81),ABS(Resultados!K81),ABS(Resultados!T81)))</f>
        <v/>
      </c>
      <c r="C81">
        <f>IF(COUNT(Resultados!C81,Resultados!L81,Resultados!U81)=0, "", AVERAGE(ABS(Resultados!C81),ABS(Resultados!L81),ABS(Resultados!U81)))</f>
        <v>71</v>
      </c>
      <c r="D81">
        <f>IF(COUNT(Resultados!D81,Resultados!M81,Resultados!V81)=0, "", AVERAGE(ABS(Resultados!D81),ABS(Resultados!M81),ABS(Resultados!V81)))</f>
        <v>1.2333333333333333E-2</v>
      </c>
      <c r="E81">
        <f>IF(COUNT(Resultados!E81,Resultados!N81,Resultados!W81)=0, "", AVERAGE(ABS(Resultados!E81),ABS(Resultados!N81),ABS(Resultados!W81)))</f>
        <v>21.609418436341816</v>
      </c>
      <c r="F81">
        <f>IF(COUNT(Resultados!F81,Resultados!O81,Resultados!X81)=0, "", AVERAGE(ABS(Resultados!F81),ABS(Resultados!O81),ABS(Resultados!X81)))</f>
        <v>2083.9977982670575</v>
      </c>
      <c r="G81">
        <f>IF(COUNT(Resultados!G81,Resultados!P81,Resultados!Y81)=0, "", AVERAGE(ABS(Resultados!G81),ABS(Resultados!P81),ABS(Resultados!Y81)))</f>
        <v>9.0579999999999998</v>
      </c>
      <c r="H81">
        <f>IF(COUNT(Resultados!H81,Resultados!Q81,Resultados!Z81)=0, "", AVERAGE(ABS(Resultados!H81),ABS(Resultados!Q81),ABS(Resultados!Z81)))</f>
        <v>1.5000000000000002E-3</v>
      </c>
      <c r="I81">
        <f>IF(COUNT(Resultados!I81,Resultados!R81,Resultados!AA81)=0, "", AVERAGE(ABS(Resultados!I81),ABS(Resultados!R81),ABS(Resultados!AA81)))</f>
        <v>15.798473333333328</v>
      </c>
      <c r="J81">
        <v>1.5000000000000002E-3</v>
      </c>
      <c r="K81">
        <v>1.2333333333333333E-2</v>
      </c>
    </row>
    <row r="82" spans="1:11" x14ac:dyDescent="0.3">
      <c r="A82" t="str">
        <f>IF(COUNT(Resultados!A82,Resultados!J82,Resultados!S82)=0, "", AVERAGE(ABS(Resultados!A82),ABS(Resultados!J82),ABS(Resultados!S82)))</f>
        <v/>
      </c>
      <c r="B82" t="str">
        <f>IF(COUNT(Resultados!B82,Resultados!K82,Resultados!T82)=0, "", AVERAGE(ABS(Resultados!B82),ABS(Resultados!K82),ABS(Resultados!T82)))</f>
        <v/>
      </c>
      <c r="C82">
        <f>IF(COUNT(Resultados!C82,Resultados!L82,Resultados!U82)=0, "", AVERAGE(ABS(Resultados!C82),ABS(Resultados!L82),ABS(Resultados!U82)))</f>
        <v>71</v>
      </c>
      <c r="D82">
        <f>IF(COUNT(Resultados!D82,Resultados!M82,Resultados!V82)=0, "", AVERAGE(ABS(Resultados!D82),ABS(Resultados!M82),ABS(Resultados!V82)))</f>
        <v>5.0333333333333332E-3</v>
      </c>
      <c r="E82">
        <f>IF(COUNT(Resultados!E82,Resultados!N82,Resultados!W82)=0, "", AVERAGE(ABS(Resultados!E82),ABS(Resultados!N82),ABS(Resultados!W82)))</f>
        <v>21.511924365615723</v>
      </c>
      <c r="F82">
        <f>IF(COUNT(Resultados!F82,Resultados!O82,Resultados!X82)=0, "", AVERAGE(ABS(Resultados!F82),ABS(Resultados!O82),ABS(Resultados!X82)))</f>
        <v>2074.9113508753858</v>
      </c>
      <c r="G82">
        <f>IF(COUNT(Resultados!G82,Resultados!P82,Resultados!Y82)=0, "", AVERAGE(ABS(Resultados!G82),ABS(Resultados!P82),ABS(Resultados!Y82)))</f>
        <v>9.0579999999999998</v>
      </c>
      <c r="H82">
        <f>IF(COUNT(Resultados!H82,Resultados!Q82,Resultados!Z82)=0, "", AVERAGE(ABS(Resultados!H82),ABS(Resultados!Q82),ABS(Resultados!Z82)))</f>
        <v>0</v>
      </c>
      <c r="I82">
        <f>IF(COUNT(Resultados!I82,Resultados!R82,Resultados!AA82)=0, "", AVERAGE(ABS(Resultados!I82),ABS(Resultados!R82),ABS(Resultados!AA82)))</f>
        <v>15.998723333333331</v>
      </c>
      <c r="J82">
        <v>0</v>
      </c>
      <c r="K82">
        <v>5.0333333333333332E-3</v>
      </c>
    </row>
    <row r="83" spans="1:11" x14ac:dyDescent="0.3">
      <c r="A83" t="str">
        <f>IF(COUNT(Resultados!A83,Resultados!J83,Resultados!S83)=0, "", AVERAGE(ABS(Resultados!A83),ABS(Resultados!J83),ABS(Resultados!S83)))</f>
        <v/>
      </c>
      <c r="B83" t="str">
        <f>IF(COUNT(Resultados!B83,Resultados!K83,Resultados!T83)=0, "", AVERAGE(ABS(Resultados!B83),ABS(Resultados!K83),ABS(Resultados!T83)))</f>
        <v/>
      </c>
      <c r="C83">
        <f>IF(COUNT(Resultados!C83,Resultados!L83,Resultados!U83)=0, "", AVERAGE(ABS(Resultados!C83),ABS(Resultados!L83),ABS(Resultados!U83)))</f>
        <v>71</v>
      </c>
      <c r="D83">
        <f>IF(COUNT(Resultados!D83,Resultados!M83,Resultados!V83)=0, "", AVERAGE(ABS(Resultados!D83),ABS(Resultados!M83),ABS(Resultados!V83)))</f>
        <v>2.6333333333333334E-3</v>
      </c>
      <c r="E83">
        <f>IF(COUNT(Resultados!E83,Resultados!N83,Resultados!W83)=0, "", AVERAGE(ABS(Resultados!E83),ABS(Resultados!N83),ABS(Resultados!W83)))</f>
        <v>21.613494768948115</v>
      </c>
      <c r="F83">
        <f>IF(COUNT(Resultados!F83,Resultados!O83,Resultados!X83)=0, "", AVERAGE(ABS(Resultados!F83),ABS(Resultados!O83),ABS(Resultados!X83)))</f>
        <v>2191.1206535731758</v>
      </c>
      <c r="G83">
        <f>IF(COUNT(Resultados!G83,Resultados!P83,Resultados!Y83)=0, "", AVERAGE(ABS(Resultados!G83),ABS(Resultados!P83),ABS(Resultados!Y83)))</f>
        <v>9.0579999999999998</v>
      </c>
      <c r="H83">
        <f>IF(COUNT(Resultados!H83,Resultados!Q83,Resultados!Z83)=0, "", AVERAGE(ABS(Resultados!H83),ABS(Resultados!Q83),ABS(Resultados!Z83)))</f>
        <v>1.6000000000000001E-3</v>
      </c>
      <c r="I83">
        <f>IF(COUNT(Resultados!I83,Resultados!R83,Resultados!AA83)=0, "", AVERAGE(ABS(Resultados!I83),ABS(Resultados!R83),ABS(Resultados!AA83)))</f>
        <v>16.200320000000001</v>
      </c>
      <c r="J83">
        <v>1.6000000000000001E-3</v>
      </c>
      <c r="K83">
        <v>2.6333333333333334E-3</v>
      </c>
    </row>
    <row r="84" spans="1:11" x14ac:dyDescent="0.3">
      <c r="A84" t="str">
        <f>IF(COUNT(Resultados!A84,Resultados!J84,Resultados!S84)=0, "", AVERAGE(ABS(Resultados!A84),ABS(Resultados!J84),ABS(Resultados!S84)))</f>
        <v/>
      </c>
      <c r="B84" t="str">
        <f>IF(COUNT(Resultados!B84,Resultados!K84,Resultados!T84)=0, "", AVERAGE(ABS(Resultados!B84),ABS(Resultados!K84),ABS(Resultados!T84)))</f>
        <v/>
      </c>
      <c r="C84">
        <f>IF(COUNT(Resultados!C84,Resultados!L84,Resultados!U84)=0, "", AVERAGE(ABS(Resultados!C84),ABS(Resultados!L84),ABS(Resultados!U84)))</f>
        <v>71</v>
      </c>
      <c r="D84">
        <f>IF(COUNT(Resultados!D84,Resultados!M84,Resultados!V84)=0, "", AVERAGE(ABS(Resultados!D84),ABS(Resultados!M84),ABS(Resultados!V84)))</f>
        <v>1.7666666666666666E-3</v>
      </c>
      <c r="E84">
        <f>IF(COUNT(Resultados!E84,Resultados!N84,Resultados!W84)=0, "", AVERAGE(ABS(Resultados!E84),ABS(Resultados!N84),ABS(Resultados!W84)))</f>
        <v>21.904769588380031</v>
      </c>
      <c r="F84">
        <f>IF(COUNT(Resultados!F84,Resultados!O84,Resultados!X84)=0, "", AVERAGE(ABS(Resultados!F84),ABS(Resultados!O84),ABS(Resultados!X84)))</f>
        <v>2218.762633937265</v>
      </c>
      <c r="G84">
        <f>IF(COUNT(Resultados!G84,Resultados!P84,Resultados!Y84)=0, "", AVERAGE(ABS(Resultados!G84),ABS(Resultados!P84),ABS(Resultados!Y84)))</f>
        <v>9.0579999999999998</v>
      </c>
      <c r="H84">
        <f>IF(COUNT(Resultados!H84,Resultados!Q84,Resultados!Z84)=0, "", AVERAGE(ABS(Resultados!H84),ABS(Resultados!Q84),ABS(Resultados!Z84)))</f>
        <v>6.1000000000000004E-3</v>
      </c>
      <c r="I84">
        <f>IF(COUNT(Resultados!I84,Resultados!R84,Resultados!AA84)=0, "", AVERAGE(ABS(Resultados!I84),ABS(Resultados!R84),ABS(Resultados!AA84)))</f>
        <v>16.401029999999995</v>
      </c>
      <c r="J84">
        <v>6.1000000000000004E-3</v>
      </c>
      <c r="K84">
        <v>1.7666666666666666E-3</v>
      </c>
    </row>
    <row r="85" spans="1:11" x14ac:dyDescent="0.3">
      <c r="A85" t="str">
        <f>IF(COUNT(Resultados!A85,Resultados!J85,Resultados!S85)=0, "", AVERAGE(ABS(Resultados!A85),ABS(Resultados!J85),ABS(Resultados!S85)))</f>
        <v/>
      </c>
      <c r="B85" t="str">
        <f>IF(COUNT(Resultados!B85,Resultados!K85,Resultados!T85)=0, "", AVERAGE(ABS(Resultados!B85),ABS(Resultados!K85),ABS(Resultados!T85)))</f>
        <v/>
      </c>
      <c r="C85">
        <f>IF(COUNT(Resultados!C85,Resultados!L85,Resultados!U85)=0, "", AVERAGE(ABS(Resultados!C85),ABS(Resultados!L85),ABS(Resultados!U85)))</f>
        <v>71</v>
      </c>
      <c r="D85">
        <f>IF(COUNT(Resultados!D85,Resultados!M85,Resultados!V85)=0, "", AVERAGE(ABS(Resultados!D85),ABS(Resultados!M85),ABS(Resultados!V85)))</f>
        <v>6.6666666666666664E-4</v>
      </c>
      <c r="E85">
        <f>IF(COUNT(Resultados!E85,Resultados!N85,Resultados!W85)=0, "", AVERAGE(ABS(Resultados!E85),ABS(Resultados!N85),ABS(Resultados!W85)))</f>
        <v>22.352694085478134</v>
      </c>
      <c r="F85">
        <f>IF(COUNT(Resultados!F85,Resultados!O85,Resultados!X85)=0, "", AVERAGE(ABS(Resultados!F85),ABS(Resultados!O85),ABS(Resultados!X85)))</f>
        <v>2261.2706687118753</v>
      </c>
      <c r="G85">
        <f>IF(COUNT(Resultados!G85,Resultados!P85,Resultados!Y85)=0, "", AVERAGE(ABS(Resultados!G85),ABS(Resultados!P85),ABS(Resultados!Y85)))</f>
        <v>9.0579999999999998</v>
      </c>
      <c r="H85">
        <f>IF(COUNT(Resultados!H85,Resultados!Q85,Resultados!Z85)=0, "", AVERAGE(ABS(Resultados!H85),ABS(Resultados!Q85),ABS(Resultados!Z85)))</f>
        <v>1.3033333333333333E-2</v>
      </c>
      <c r="I85">
        <f>IF(COUNT(Resultados!I85,Resultados!R85,Resultados!AA85)=0, "", AVERAGE(ABS(Resultados!I85),ABS(Resultados!R85),ABS(Resultados!AA85)))</f>
        <v>16.599066666666669</v>
      </c>
      <c r="J85">
        <v>1.3033333333333333E-2</v>
      </c>
      <c r="K85">
        <v>6.6666666666666664E-4</v>
      </c>
    </row>
    <row r="86" spans="1:11" x14ac:dyDescent="0.3">
      <c r="A86" t="str">
        <f>IF(COUNT(Resultados!A86,Resultados!J86,Resultados!S86)=0, "", AVERAGE(ABS(Resultados!A86),ABS(Resultados!J86),ABS(Resultados!S86)))</f>
        <v/>
      </c>
      <c r="B86" t="str">
        <f>IF(COUNT(Resultados!B86,Resultados!K86,Resultados!T86)=0, "", AVERAGE(ABS(Resultados!B86),ABS(Resultados!K86),ABS(Resultados!T86)))</f>
        <v/>
      </c>
      <c r="C86">
        <f>IF(COUNT(Resultados!C86,Resultados!L86,Resultados!U86)=0, "", AVERAGE(ABS(Resultados!C86),ABS(Resultados!L86),ABS(Resultados!U86)))</f>
        <v>71</v>
      </c>
      <c r="D86">
        <f>IF(COUNT(Resultados!D86,Resultados!M86,Resultados!V86)=0, "", AVERAGE(ABS(Resultados!D86),ABS(Resultados!M86),ABS(Resultados!V86)))</f>
        <v>3.8333333333333331E-3</v>
      </c>
      <c r="E86">
        <f>IF(COUNT(Resultados!E86,Resultados!N86,Resultados!W86)=0, "", AVERAGE(ABS(Resultados!E86),ABS(Resultados!N86),ABS(Resultados!W86)))</f>
        <v>22.916370872033877</v>
      </c>
      <c r="F86">
        <f>IF(COUNT(Resultados!F86,Resultados!O86,Resultados!X86)=0, "", AVERAGE(ABS(Resultados!F86),ABS(Resultados!O86),ABS(Resultados!X86)))</f>
        <v>2314.7635957560142</v>
      </c>
      <c r="G86">
        <f>IF(COUNT(Resultados!G86,Resultados!P86,Resultados!Y86)=0, "", AVERAGE(ABS(Resultados!G86),ABS(Resultados!P86),ABS(Resultados!Y86)))</f>
        <v>9.0579999999999998</v>
      </c>
      <c r="H86">
        <f>IF(COUNT(Resultados!H86,Resultados!Q86,Resultados!Z86)=0, "", AVERAGE(ABS(Resultados!H86),ABS(Resultados!Q86),ABS(Resultados!Z86)))</f>
        <v>2.1833333333333333E-2</v>
      </c>
      <c r="I86">
        <f>IF(COUNT(Resultados!I86,Resultados!R86,Resultados!AA86)=0, "", AVERAGE(ABS(Resultados!I86),ABS(Resultados!R86),ABS(Resultados!AA86)))</f>
        <v>16.798119999999997</v>
      </c>
      <c r="J86">
        <v>2.1833333333333333E-2</v>
      </c>
      <c r="K86">
        <v>3.8333333333333331E-3</v>
      </c>
    </row>
    <row r="87" spans="1:11" x14ac:dyDescent="0.3">
      <c r="A87" t="str">
        <f>IF(COUNT(Resultados!A87,Resultados!J87,Resultados!S87)=0, "", AVERAGE(ABS(Resultados!A87),ABS(Resultados!J87),ABS(Resultados!S87)))</f>
        <v/>
      </c>
      <c r="B87" t="str">
        <f>IF(COUNT(Resultados!B87,Resultados!K87,Resultados!T87)=0, "", AVERAGE(ABS(Resultados!B87),ABS(Resultados!K87),ABS(Resultados!T87)))</f>
        <v/>
      </c>
      <c r="C87">
        <f>IF(COUNT(Resultados!C87,Resultados!L87,Resultados!U87)=0, "", AVERAGE(ABS(Resultados!C87),ABS(Resultados!L87),ABS(Resultados!U87)))</f>
        <v>71</v>
      </c>
      <c r="D87">
        <f>IF(COUNT(Resultados!D87,Resultados!M87,Resultados!V87)=0, "", AVERAGE(ABS(Resultados!D87),ABS(Resultados!M87),ABS(Resultados!V87)))</f>
        <v>9.9000000000000008E-3</v>
      </c>
      <c r="E87">
        <f>IF(COUNT(Resultados!E87,Resultados!N87,Resultados!W87)=0, "", AVERAGE(ABS(Resultados!E87),ABS(Resultados!N87),ABS(Resultados!W87)))</f>
        <v>23.543376377986391</v>
      </c>
      <c r="F87">
        <f>IF(COUNT(Resultados!F87,Resultados!O87,Resultados!X87)=0, "", AVERAGE(ABS(Resultados!F87),ABS(Resultados!O87),ABS(Resultados!X87)))</f>
        <v>2374.2664182709091</v>
      </c>
      <c r="G87">
        <f>IF(COUNT(Resultados!G87,Resultados!P87,Resultados!Y87)=0, "", AVERAGE(ABS(Resultados!G87),ABS(Resultados!P87),ABS(Resultados!Y87)))</f>
        <v>9.0579999999999998</v>
      </c>
      <c r="H87">
        <f>IF(COUNT(Resultados!H87,Resultados!Q87,Resultados!Z87)=0, "", AVERAGE(ABS(Resultados!H87),ABS(Resultados!Q87),ABS(Resultados!Z87)))</f>
        <v>3.1566666666666666E-2</v>
      </c>
      <c r="I87">
        <f>IF(COUNT(Resultados!I87,Resultados!R87,Resultados!AA87)=0, "", AVERAGE(ABS(Resultados!I87),ABS(Resultados!R87),ABS(Resultados!AA87)))</f>
        <v>16.99902333333333</v>
      </c>
      <c r="J87">
        <v>3.1566666666666666E-2</v>
      </c>
      <c r="K87">
        <v>9.9000000000000008E-3</v>
      </c>
    </row>
    <row r="88" spans="1:11" x14ac:dyDescent="0.3">
      <c r="A88" t="str">
        <f>IF(COUNT(Resultados!A88,Resultados!J88,Resultados!S88)=0, "", AVERAGE(ABS(Resultados!A88),ABS(Resultados!J88),ABS(Resultados!S88)))</f>
        <v/>
      </c>
      <c r="B88" t="str">
        <f>IF(COUNT(Resultados!B88,Resultados!K88,Resultados!T88)=0, "", AVERAGE(ABS(Resultados!B88),ABS(Resultados!K88),ABS(Resultados!T88)))</f>
        <v/>
      </c>
      <c r="C88">
        <f>IF(COUNT(Resultados!C88,Resultados!L88,Resultados!U88)=0, "", AVERAGE(ABS(Resultados!C88),ABS(Resultados!L88),ABS(Resultados!U88)))</f>
        <v>71</v>
      </c>
      <c r="D88">
        <f>IF(COUNT(Resultados!D88,Resultados!M88,Resultados!V88)=0, "", AVERAGE(ABS(Resultados!D88),ABS(Resultados!M88),ABS(Resultados!V88)))</f>
        <v>1.6999999999999998E-2</v>
      </c>
      <c r="E88">
        <f>IF(COUNT(Resultados!E88,Resultados!N88,Resultados!W88)=0, "", AVERAGE(ABS(Resultados!E88),ABS(Resultados!N88),ABS(Resultados!W88)))</f>
        <v>24.170213883891517</v>
      </c>
      <c r="F88">
        <f>IF(COUNT(Resultados!F88,Resultados!O88,Resultados!X88)=0, "", AVERAGE(ABS(Resultados!F88),ABS(Resultados!O88),ABS(Resultados!X88)))</f>
        <v>2433.7532975813047</v>
      </c>
      <c r="G88">
        <f>IF(COUNT(Resultados!G88,Resultados!P88,Resultados!Y88)=0, "", AVERAGE(ABS(Resultados!G88),ABS(Resultados!P88),ABS(Resultados!Y88)))</f>
        <v>9.0579999999999998</v>
      </c>
      <c r="H88">
        <f>IF(COUNT(Resultados!H88,Resultados!Q88,Resultados!Z88)=0, "", AVERAGE(ABS(Resultados!H88),ABS(Resultados!Q88),ABS(Resultados!Z88)))</f>
        <v>4.1266666666666667E-2</v>
      </c>
      <c r="I88">
        <f>IF(COUNT(Resultados!I88,Resultados!R88,Resultados!AA88)=0, "", AVERAGE(ABS(Resultados!I88),ABS(Resultados!R88),ABS(Resultados!AA88)))</f>
        <v>17.198229999999999</v>
      </c>
      <c r="J88">
        <v>4.1266666666666667E-2</v>
      </c>
      <c r="K88">
        <v>1.6999999999999998E-2</v>
      </c>
    </row>
    <row r="89" spans="1:11" x14ac:dyDescent="0.3">
      <c r="A89" t="str">
        <f>IF(COUNT(Resultados!A89,Resultados!J89,Resultados!S89)=0, "", AVERAGE(ABS(Resultados!A89),ABS(Resultados!J89),ABS(Resultados!S89)))</f>
        <v/>
      </c>
      <c r="B89" t="str">
        <f>IF(COUNT(Resultados!B89,Resultados!K89,Resultados!T89)=0, "", AVERAGE(ABS(Resultados!B89),ABS(Resultados!K89),ABS(Resultados!T89)))</f>
        <v/>
      </c>
      <c r="C89">
        <f>IF(COUNT(Resultados!C89,Resultados!L89,Resultados!U89)=0, "", AVERAGE(ABS(Resultados!C89),ABS(Resultados!L89),ABS(Resultados!U89)))</f>
        <v>71</v>
      </c>
      <c r="D89">
        <f>IF(COUNT(Resultados!D89,Resultados!M89,Resultados!V89)=0, "", AVERAGE(ABS(Resultados!D89),ABS(Resultados!M89),ABS(Resultados!V89)))</f>
        <v>2.46E-2</v>
      </c>
      <c r="E89">
        <f>IF(COUNT(Resultados!E89,Resultados!N89,Resultados!W89)=0, "", AVERAGE(ABS(Resultados!E89),ABS(Resultados!N89),ABS(Resultados!W89)))</f>
        <v>24.7340898917424</v>
      </c>
      <c r="F89">
        <f>IF(COUNT(Resultados!F89,Resultados!O89,Resultados!X89)=0, "", AVERAGE(ABS(Resultados!F89),ABS(Resultados!O89),ABS(Resultados!X89)))</f>
        <v>2487.2651307263532</v>
      </c>
      <c r="G89">
        <f>IF(COUNT(Resultados!G89,Resultados!P89,Resultados!Y89)=0, "", AVERAGE(ABS(Resultados!G89),ABS(Resultados!P89),ABS(Resultados!Y89)))</f>
        <v>9.0579999999999998</v>
      </c>
      <c r="H89">
        <f>IF(COUNT(Resultados!H89,Resultados!Q89,Resultados!Z89)=0, "", AVERAGE(ABS(Resultados!H89),ABS(Resultados!Q89),ABS(Resultados!Z89)))</f>
        <v>5.0066666666666669E-2</v>
      </c>
      <c r="I89">
        <f>IF(COUNT(Resultados!I89,Resultados!R89,Resultados!AA89)=0, "", AVERAGE(ABS(Resultados!I89),ABS(Resultados!R89),ABS(Resultados!AA89)))</f>
        <v>17.398660000000003</v>
      </c>
      <c r="J89">
        <v>5.0066666666666669E-2</v>
      </c>
      <c r="K89">
        <v>2.46E-2</v>
      </c>
    </row>
    <row r="90" spans="1:11" x14ac:dyDescent="0.3">
      <c r="A90" t="str">
        <f>IF(COUNT(Resultados!A90,Resultados!J90,Resultados!S90)=0, "", AVERAGE(ABS(Resultados!A90),ABS(Resultados!J90),ABS(Resultados!S90)))</f>
        <v/>
      </c>
      <c r="B90" t="str">
        <f>IF(COUNT(Resultados!B90,Resultados!K90,Resultados!T90)=0, "", AVERAGE(ABS(Resultados!B90),ABS(Resultados!K90),ABS(Resultados!T90)))</f>
        <v/>
      </c>
      <c r="C90">
        <f>IF(COUNT(Resultados!C90,Resultados!L90,Resultados!U90)=0, "", AVERAGE(ABS(Resultados!C90),ABS(Resultados!L90),ABS(Resultados!U90)))</f>
        <v>71</v>
      </c>
      <c r="D90">
        <f>IF(COUNT(Resultados!D90,Resultados!M90,Resultados!V90)=0, "", AVERAGE(ABS(Resultados!D90),ABS(Resultados!M90),ABS(Resultados!V90)))</f>
        <v>3.3033333333333331E-2</v>
      </c>
      <c r="E90">
        <f>IF(COUNT(Resultados!E90,Resultados!N90,Resultados!W90)=0, "", AVERAGE(ABS(Resultados!E90),ABS(Resultados!N90),ABS(Resultados!W90)))</f>
        <v>25.18389373225089</v>
      </c>
      <c r="F90">
        <f>IF(COUNT(Resultados!F90,Resultados!O90,Resultados!X90)=0, "", AVERAGE(ABS(Resultados!F90),ABS(Resultados!O90),ABS(Resultados!X90)))</f>
        <v>2529.9515151906094</v>
      </c>
      <c r="G90">
        <f>IF(COUNT(Resultados!G90,Resultados!P90,Resultados!Y90)=0, "", AVERAGE(ABS(Resultados!G90),ABS(Resultados!P90),ABS(Resultados!Y90)))</f>
        <v>9.0579999999999998</v>
      </c>
      <c r="H90">
        <f>IF(COUNT(Resultados!H90,Resultados!Q90,Resultados!Z90)=0, "", AVERAGE(ABS(Resultados!H90),ABS(Resultados!Q90),ABS(Resultados!Z90)))</f>
        <v>5.7066666666666675E-2</v>
      </c>
      <c r="I90">
        <f>IF(COUNT(Resultados!I90,Resultados!R90,Resultados!AA90)=0, "", AVERAGE(ABS(Resultados!I90),ABS(Resultados!R90),ABS(Resultados!AA90)))</f>
        <v>17.600223333333336</v>
      </c>
      <c r="J90">
        <v>5.7066666666666675E-2</v>
      </c>
      <c r="K90">
        <v>3.3033333333333331E-2</v>
      </c>
    </row>
    <row r="91" spans="1:11" x14ac:dyDescent="0.3">
      <c r="A91" t="str">
        <f>IF(COUNT(Resultados!A91,Resultados!J91,Resultados!S91)=0, "", AVERAGE(ABS(Resultados!A91),ABS(Resultados!J91),ABS(Resultados!S91)))</f>
        <v/>
      </c>
      <c r="B91" t="str">
        <f>IF(COUNT(Resultados!B91,Resultados!K91,Resultados!T91)=0, "", AVERAGE(ABS(Resultados!B91),ABS(Resultados!K91),ABS(Resultados!T91)))</f>
        <v/>
      </c>
      <c r="C91">
        <f>IF(COUNT(Resultados!C91,Resultados!L91,Resultados!U91)=0, "", AVERAGE(ABS(Resultados!C91),ABS(Resultados!L91),ABS(Resultados!U91)))</f>
        <v>71</v>
      </c>
      <c r="D91">
        <f>IF(COUNT(Resultados!D91,Resultados!M91,Resultados!V91)=0, "", AVERAGE(ABS(Resultados!D91),ABS(Resultados!M91),ABS(Resultados!V91)))</f>
        <v>4.0966666666666672E-2</v>
      </c>
      <c r="E91">
        <f>IF(COUNT(Resultados!E91,Resultados!N91,Resultados!W91)=0, "", AVERAGE(ABS(Resultados!E91),ABS(Resultados!N91),ABS(Resultados!W91)))</f>
        <v>25.469952940878954</v>
      </c>
      <c r="F91">
        <f>IF(COUNT(Resultados!F91,Resultados!O91,Resultados!X91)=0, "", AVERAGE(ABS(Resultados!F91),ABS(Resultados!O91),ABS(Resultados!X91)))</f>
        <v>2557.0985340894131</v>
      </c>
      <c r="G91">
        <f>IF(COUNT(Resultados!G91,Resultados!P91,Resultados!Y91)=0, "", AVERAGE(ABS(Resultados!G91),ABS(Resultados!P91),ABS(Resultados!Y91)))</f>
        <v>9.0579999999999998</v>
      </c>
      <c r="H91">
        <f>IF(COUNT(Resultados!H91,Resultados!Q91,Resultados!Z91)=0, "", AVERAGE(ABS(Resultados!H91),ABS(Resultados!Q91),ABS(Resultados!Z91)))</f>
        <v>6.1499999999999999E-2</v>
      </c>
      <c r="I91">
        <f>IF(COUNT(Resultados!I91,Resultados!R91,Resultados!AA91)=0, "", AVERAGE(ABS(Resultados!I91),ABS(Resultados!R91),ABS(Resultados!AA91)))</f>
        <v>17.799686666666663</v>
      </c>
      <c r="J91">
        <v>6.1499999999999999E-2</v>
      </c>
      <c r="K91">
        <v>4.0966666666666672E-2</v>
      </c>
    </row>
    <row r="92" spans="1:11" x14ac:dyDescent="0.3">
      <c r="A92" t="str">
        <f>IF(COUNT(Resultados!A92,Resultados!J92,Resultados!S92)=0, "", AVERAGE(ABS(Resultados!A92),ABS(Resultados!J92),ABS(Resultados!S92)))</f>
        <v/>
      </c>
      <c r="B92" t="str">
        <f>IF(COUNT(Resultados!B92,Resultados!K92,Resultados!T92)=0, "", AVERAGE(ABS(Resultados!B92),ABS(Resultados!K92),ABS(Resultados!T92)))</f>
        <v/>
      </c>
      <c r="C92">
        <f>IF(COUNT(Resultados!C92,Resultados!L92,Resultados!U92)=0, "", AVERAGE(ABS(Resultados!C92),ABS(Resultados!L92),ABS(Resultados!U92)))</f>
        <v>71</v>
      </c>
      <c r="D92">
        <f>IF(COUNT(Resultados!D92,Resultados!M92,Resultados!V92)=0, "", AVERAGE(ABS(Resultados!D92),ABS(Resultados!M92),ABS(Resultados!V92)))</f>
        <v>4.7766666666666673E-2</v>
      </c>
      <c r="E92">
        <f>IF(COUNT(Resultados!E92,Resultados!N92,Resultados!W92)=0, "", AVERAGE(ABS(Resultados!E92),ABS(Resultados!N92),ABS(Resultados!W92)))</f>
        <v>25.566615410630192</v>
      </c>
      <c r="F92">
        <f>IF(COUNT(Resultados!F92,Resultados!O92,Resultados!X92)=0, "", AVERAGE(ABS(Resultados!F92),ABS(Resultados!O92),ABS(Resultados!X92)))</f>
        <v>2566.2718024688052</v>
      </c>
      <c r="G92">
        <f>IF(COUNT(Resultados!G92,Resultados!P92,Resultados!Y92)=0, "", AVERAGE(ABS(Resultados!G92),ABS(Resultados!P92),ABS(Resultados!Y92)))</f>
        <v>9.0579999999999998</v>
      </c>
      <c r="H92">
        <f>IF(COUNT(Resultados!H92,Resultados!Q92,Resultados!Z92)=0, "", AVERAGE(ABS(Resultados!H92),ABS(Resultados!Q92),ABS(Resultados!Z92)))</f>
        <v>6.3E-2</v>
      </c>
      <c r="I92">
        <f>IF(COUNT(Resultados!I92,Resultados!R92,Resultados!AA92)=0, "", AVERAGE(ABS(Resultados!I92),ABS(Resultados!R92),ABS(Resultados!AA92)))</f>
        <v>17.998450000000002</v>
      </c>
      <c r="J92">
        <v>6.3E-2</v>
      </c>
      <c r="K92">
        <v>4.7766666666666673E-2</v>
      </c>
    </row>
    <row r="93" spans="1:11" x14ac:dyDescent="0.3">
      <c r="A93" t="str">
        <f>IF(COUNT(Resultados!A93,Resultados!J93,Resultados!S93)=0, "", AVERAGE(ABS(Resultados!A93),ABS(Resultados!J93),ABS(Resultados!S93)))</f>
        <v/>
      </c>
      <c r="B93" t="str">
        <f>IF(COUNT(Resultados!B93,Resultados!K93,Resultados!T93)=0, "", AVERAGE(ABS(Resultados!B93),ABS(Resultados!K93),ABS(Resultados!T93)))</f>
        <v/>
      </c>
      <c r="C93">
        <f>IF(COUNT(Resultados!C93,Resultados!L93,Resultados!U93)=0, "", AVERAGE(ABS(Resultados!C93),ABS(Resultados!L93),ABS(Resultados!U93)))</f>
        <v>71</v>
      </c>
      <c r="D93">
        <f>IF(COUNT(Resultados!D93,Resultados!M93,Resultados!V93)=0, "", AVERAGE(ABS(Resultados!D93),ABS(Resultados!M93),ABS(Resultados!V93)))</f>
        <v>5.2699999999999997E-2</v>
      </c>
      <c r="E93">
        <f>IF(COUNT(Resultados!E93,Resultados!N93,Resultados!W93)=0, "", AVERAGE(ABS(Resultados!E93),ABS(Resultados!N93),ABS(Resultados!W93)))</f>
        <v>25.46598149003999</v>
      </c>
      <c r="F93">
        <f>IF(COUNT(Resultados!F93,Resultados!O93,Resultados!X93)=0, "", AVERAGE(ABS(Resultados!F93),ABS(Resultados!O93),ABS(Resultados!X93)))</f>
        <v>2443.4294748717271</v>
      </c>
      <c r="G93">
        <f>IF(COUNT(Resultados!G93,Resultados!P93,Resultados!Y93)=0, "", AVERAGE(ABS(Resultados!G93),ABS(Resultados!P93),ABS(Resultados!Y93)))</f>
        <v>9.0579999999999998</v>
      </c>
      <c r="H93">
        <f>IF(COUNT(Resultados!H93,Resultados!Q93,Resultados!Z93)=0, "", AVERAGE(ABS(Resultados!H93),ABS(Resultados!Q93),ABS(Resultados!Z93)))</f>
        <v>6.143333333333334E-2</v>
      </c>
      <c r="I93">
        <f>IF(COUNT(Resultados!I93,Resultados!R93,Resultados!AA93)=0, "", AVERAGE(ABS(Resultados!I93),ABS(Resultados!R93),ABS(Resultados!AA93)))</f>
        <v>18.199663333333334</v>
      </c>
      <c r="J93">
        <v>6.143333333333334E-2</v>
      </c>
      <c r="K93">
        <v>5.2699999999999997E-2</v>
      </c>
    </row>
    <row r="94" spans="1:11" x14ac:dyDescent="0.3">
      <c r="A94" t="str">
        <f>IF(COUNT(Resultados!A94,Resultados!J94,Resultados!S94)=0, "", AVERAGE(ABS(Resultados!A94),ABS(Resultados!J94),ABS(Resultados!S94)))</f>
        <v/>
      </c>
      <c r="B94" t="str">
        <f>IF(COUNT(Resultados!B94,Resultados!K94,Resultados!T94)=0, "", AVERAGE(ABS(Resultados!B94),ABS(Resultados!K94),ABS(Resultados!T94)))</f>
        <v/>
      </c>
      <c r="C94">
        <f>IF(COUNT(Resultados!C94,Resultados!L94,Resultados!U94)=0, "", AVERAGE(ABS(Resultados!C94),ABS(Resultados!L94),ABS(Resultados!U94)))</f>
        <v>71</v>
      </c>
      <c r="D94">
        <f>IF(COUNT(Resultados!D94,Resultados!M94,Resultados!V94)=0, "", AVERAGE(ABS(Resultados!D94),ABS(Resultados!M94),ABS(Resultados!V94)))</f>
        <v>5.3699999999999998E-2</v>
      </c>
      <c r="E94">
        <f>IF(COUNT(Resultados!E94,Resultados!N94,Resultados!W94)=0, "", AVERAGE(ABS(Resultados!E94),ABS(Resultados!N94),ABS(Resultados!W94)))</f>
        <v>25.175074067654617</v>
      </c>
      <c r="F94">
        <f>IF(COUNT(Resultados!F94,Resultados!O94,Resultados!X94)=0, "", AVERAGE(ABS(Resultados!F94),ABS(Resultados!O94),ABS(Resultados!X94)))</f>
        <v>2416.3169031054099</v>
      </c>
      <c r="G94">
        <f>IF(COUNT(Resultados!G94,Resultados!P94,Resultados!Y94)=0, "", AVERAGE(ABS(Resultados!G94),ABS(Resultados!P94),ABS(Resultados!Y94)))</f>
        <v>9.0579999999999998</v>
      </c>
      <c r="H94">
        <f>IF(COUNT(Resultados!H94,Resultados!Q94,Resultados!Z94)=0, "", AVERAGE(ABS(Resultados!H94),ABS(Resultados!Q94),ABS(Resultados!Z94)))</f>
        <v>5.6899999999999999E-2</v>
      </c>
      <c r="I94">
        <f>IF(COUNT(Resultados!I94,Resultados!R94,Resultados!AA94)=0, "", AVERAGE(ABS(Resultados!I94),ABS(Resultados!R94),ABS(Resultados!AA94)))</f>
        <v>18.399820000000002</v>
      </c>
      <c r="J94">
        <v>5.6899999999999999E-2</v>
      </c>
      <c r="K94">
        <v>5.3699999999999998E-2</v>
      </c>
    </row>
    <row r="95" spans="1:11" x14ac:dyDescent="0.3">
      <c r="A95" t="str">
        <f>IF(COUNT(Resultados!A95,Resultados!J95,Resultados!S95)=0, "", AVERAGE(ABS(Resultados!A95),ABS(Resultados!J95),ABS(Resultados!S95)))</f>
        <v/>
      </c>
      <c r="B95" t="str">
        <f>IF(COUNT(Resultados!B95,Resultados!K95,Resultados!T95)=0, "", AVERAGE(ABS(Resultados!B95),ABS(Resultados!K95),ABS(Resultados!T95)))</f>
        <v/>
      </c>
      <c r="C95">
        <f>IF(COUNT(Resultados!C95,Resultados!L95,Resultados!U95)=0, "", AVERAGE(ABS(Resultados!C95),ABS(Resultados!L95),ABS(Resultados!U95)))</f>
        <v>71</v>
      </c>
      <c r="D95">
        <f>IF(COUNT(Resultados!D95,Resultados!M95,Resultados!V95)=0, "", AVERAGE(ABS(Resultados!D95),ABS(Resultados!M95),ABS(Resultados!V95)))</f>
        <v>5.3166666666666668E-2</v>
      </c>
      <c r="E95">
        <f>IF(COUNT(Resultados!E95,Resultados!N95,Resultados!W95)=0, "", AVERAGE(ABS(Resultados!E95),ABS(Resultados!N95),ABS(Resultados!W95)))</f>
        <v>24.72740232750634</v>
      </c>
      <c r="F95">
        <f>IF(COUNT(Resultados!F95,Resultados!O95,Resultados!X95)=0, "", AVERAGE(ABS(Resultados!F95),ABS(Resultados!O95),ABS(Resultados!X95)))</f>
        <v>2374.5938969235917</v>
      </c>
      <c r="G95">
        <f>IF(COUNT(Resultados!G95,Resultados!P95,Resultados!Y95)=0, "", AVERAGE(ABS(Resultados!G95),ABS(Resultados!P95),ABS(Resultados!Y95)))</f>
        <v>9.0579999999999998</v>
      </c>
      <c r="H95">
        <f>IF(COUNT(Resultados!H95,Resultados!Q95,Resultados!Z95)=0, "", AVERAGE(ABS(Resultados!H95),ABS(Resultados!Q95),ABS(Resultados!Z95)))</f>
        <v>4.9966666666666666E-2</v>
      </c>
      <c r="I95">
        <f>IF(COUNT(Resultados!I95,Resultados!R95,Resultados!AA95)=0, "", AVERAGE(ABS(Resultados!I95),ABS(Resultados!R95),ABS(Resultados!AA95)))</f>
        <v>18.598973333333333</v>
      </c>
      <c r="J95">
        <v>4.9966666666666666E-2</v>
      </c>
      <c r="K95">
        <v>5.3166666666666668E-2</v>
      </c>
    </row>
    <row r="96" spans="1:11" x14ac:dyDescent="0.3">
      <c r="A96" t="str">
        <f>IF(COUNT(Resultados!A96,Resultados!J96,Resultados!S96)=0, "", AVERAGE(ABS(Resultados!A96),ABS(Resultados!J96),ABS(Resultados!S96)))</f>
        <v/>
      </c>
      <c r="B96" t="str">
        <f>IF(COUNT(Resultados!B96,Resultados!K96,Resultados!T96)=0, "", AVERAGE(ABS(Resultados!B96),ABS(Resultados!K96),ABS(Resultados!T96)))</f>
        <v/>
      </c>
      <c r="C96">
        <f>IF(COUNT(Resultados!C96,Resultados!L96,Resultados!U96)=0, "", AVERAGE(ABS(Resultados!C96),ABS(Resultados!L96),ABS(Resultados!U96)))</f>
        <v>71</v>
      </c>
      <c r="D96">
        <f>IF(COUNT(Resultados!D96,Resultados!M96,Resultados!V96)=0, "", AVERAGE(ABS(Resultados!D96),ABS(Resultados!M96),ABS(Resultados!V96)))</f>
        <v>5.1366666666666672E-2</v>
      </c>
      <c r="E96">
        <f>IF(COUNT(Resultados!E96,Resultados!N96,Resultados!W96)=0, "", AVERAGE(ABS(Resultados!E96),ABS(Resultados!N96),ABS(Resultados!W96)))</f>
        <v>24.159737600967805</v>
      </c>
      <c r="F96">
        <f>IF(COUNT(Resultados!F96,Resultados!O96,Resultados!X96)=0, "", AVERAGE(ABS(Resultados!F96),ABS(Resultados!O96),ABS(Resultados!X96)))</f>
        <v>2321.6875444101993</v>
      </c>
      <c r="G96">
        <f>IF(COUNT(Resultados!G96,Resultados!P96,Resultados!Y96)=0, "", AVERAGE(ABS(Resultados!G96),ABS(Resultados!P96),ABS(Resultados!Y96)))</f>
        <v>9.0579999999999998</v>
      </c>
      <c r="H96">
        <f>IF(COUNT(Resultados!H96,Resultados!Q96,Resultados!Z96)=0, "", AVERAGE(ABS(Resultados!H96),ABS(Resultados!Q96),ABS(Resultados!Z96)))</f>
        <v>4.1166666666666664E-2</v>
      </c>
      <c r="I96">
        <f>IF(COUNT(Resultados!I96,Resultados!R96,Resultados!AA96)=0, "", AVERAGE(ABS(Resultados!I96),ABS(Resultados!R96),ABS(Resultados!AA96)))</f>
        <v>18.800486666666668</v>
      </c>
      <c r="J96">
        <v>4.1166666666666664E-2</v>
      </c>
      <c r="K96">
        <v>5.1366666666666672E-2</v>
      </c>
    </row>
    <row r="97" spans="1:11" x14ac:dyDescent="0.3">
      <c r="A97" t="str">
        <f>IF(COUNT(Resultados!A97,Resultados!J97,Resultados!S97)=0, "", AVERAGE(ABS(Resultados!A97),ABS(Resultados!J97),ABS(Resultados!S97)))</f>
        <v/>
      </c>
      <c r="B97" t="str">
        <f>IF(COUNT(Resultados!B97,Resultados!K97,Resultados!T97)=0, "", AVERAGE(ABS(Resultados!B97),ABS(Resultados!K97),ABS(Resultados!T97)))</f>
        <v/>
      </c>
      <c r="C97">
        <f>IF(COUNT(Resultados!C97,Resultados!L97,Resultados!U97)=0, "", AVERAGE(ABS(Resultados!C97),ABS(Resultados!L97),ABS(Resultados!U97)))</f>
        <v>71</v>
      </c>
      <c r="D97">
        <f>IF(COUNT(Resultados!D97,Resultados!M97,Resultados!V97)=0, "", AVERAGE(ABS(Resultados!D97),ABS(Resultados!M97),ABS(Resultados!V97)))</f>
        <v>4.5999999999999992E-2</v>
      </c>
      <c r="E97">
        <f>IF(COUNT(Resultados!E97,Resultados!N97,Resultados!W97)=0, "", AVERAGE(ABS(Resultados!E97),ABS(Resultados!N97),ABS(Resultados!W97)))</f>
        <v>23.526797084491164</v>
      </c>
      <c r="F97">
        <f>IF(COUNT(Resultados!F97,Resultados!O97,Resultados!X97)=0, "", AVERAGE(ABS(Resultados!F97),ABS(Resultados!O97),ABS(Resultados!X97)))</f>
        <v>2262.6974882745762</v>
      </c>
      <c r="G97">
        <f>IF(COUNT(Resultados!G97,Resultados!P97,Resultados!Y97)=0, "", AVERAGE(ABS(Resultados!G97),ABS(Resultados!P97),ABS(Resultados!Y97)))</f>
        <v>9.0579999999999998</v>
      </c>
      <c r="H97">
        <f>IF(COUNT(Resultados!H97,Resultados!Q97,Resultados!Z97)=0, "", AVERAGE(ABS(Resultados!H97),ABS(Resultados!Q97),ABS(Resultados!Z97)))</f>
        <v>3.1300000000000001E-2</v>
      </c>
      <c r="I97">
        <f>IF(COUNT(Resultados!I97,Resultados!R97,Resultados!AA97)=0, "", AVERAGE(ABS(Resultados!I97),ABS(Resultados!R97),ABS(Resultados!AA97)))</f>
        <v>19.002399999999998</v>
      </c>
      <c r="J97">
        <v>3.1300000000000001E-2</v>
      </c>
      <c r="K97">
        <v>4.5999999999999992E-2</v>
      </c>
    </row>
    <row r="98" spans="1:11" x14ac:dyDescent="0.3">
      <c r="A98" t="str">
        <f>IF(COUNT(Resultados!A98,Resultados!J98,Resultados!S98)=0, "", AVERAGE(ABS(Resultados!A98),ABS(Resultados!J98),ABS(Resultados!S98)))</f>
        <v/>
      </c>
      <c r="B98" t="str">
        <f>IF(COUNT(Resultados!B98,Resultados!K98,Resultados!T98)=0, "", AVERAGE(ABS(Resultados!B98),ABS(Resultados!K98),ABS(Resultados!T98)))</f>
        <v/>
      </c>
      <c r="C98">
        <f>IF(COUNT(Resultados!C98,Resultados!L98,Resultados!U98)=0, "", AVERAGE(ABS(Resultados!C98),ABS(Resultados!L98),ABS(Resultados!U98)))</f>
        <v>71</v>
      </c>
      <c r="D98">
        <f>IF(COUNT(Resultados!D98,Resultados!M98,Resultados!V98)=0, "", AVERAGE(ABS(Resultados!D98),ABS(Resultados!M98),ABS(Resultados!V98)))</f>
        <v>3.8300000000000001E-2</v>
      </c>
      <c r="E98">
        <f>IF(COUNT(Resultados!E98,Resultados!N98,Resultados!W98)=0, "", AVERAGE(ABS(Resultados!E98),ABS(Resultados!N98),ABS(Resultados!W98)))</f>
        <v>22.898454336005262</v>
      </c>
      <c r="F98">
        <f>IF(COUNT(Resultados!F98,Resultados!O98,Resultados!X98)=0, "", AVERAGE(ABS(Resultados!F98),ABS(Resultados!O98),ABS(Resultados!X98)))</f>
        <v>2204.1359441156906</v>
      </c>
      <c r="G98">
        <f>IF(COUNT(Resultados!G98,Resultados!P98,Resultados!Y98)=0, "", AVERAGE(ABS(Resultados!G98),ABS(Resultados!P98),ABS(Resultados!Y98)))</f>
        <v>9.0579999999999998</v>
      </c>
      <c r="H98">
        <f>IF(COUNT(Resultados!H98,Resultados!Q98,Resultados!Z98)=0, "", AVERAGE(ABS(Resultados!H98),ABS(Resultados!Q98),ABS(Resultados!Z98)))</f>
        <v>2.1533333333333331E-2</v>
      </c>
      <c r="I98">
        <f>IF(COUNT(Resultados!I98,Resultados!R98,Resultados!AA98)=0, "", AVERAGE(ABS(Resultados!I98),ABS(Resultados!R98),ABS(Resultados!AA98)))</f>
        <v>19.203016666666667</v>
      </c>
      <c r="J98">
        <v>2.1533333333333331E-2</v>
      </c>
      <c r="K98">
        <v>3.8300000000000001E-2</v>
      </c>
    </row>
    <row r="99" spans="1:11" x14ac:dyDescent="0.3">
      <c r="A99" t="str">
        <f>IF(COUNT(Resultados!A99,Resultados!J99,Resultados!S99)=0, "", AVERAGE(ABS(Resultados!A99),ABS(Resultados!J99),ABS(Resultados!S99)))</f>
        <v/>
      </c>
      <c r="B99" t="str">
        <f>IF(COUNT(Resultados!B99,Resultados!K99,Resultados!T99)=0, "", AVERAGE(ABS(Resultados!B99),ABS(Resultados!K99),ABS(Resultados!T99)))</f>
        <v/>
      </c>
      <c r="C99">
        <f>IF(COUNT(Resultados!C99,Resultados!L99,Resultados!U99)=0, "", AVERAGE(ABS(Resultados!C99),ABS(Resultados!L99),ABS(Resultados!U99)))</f>
        <v>71</v>
      </c>
      <c r="D99">
        <f>IF(COUNT(Resultados!D99,Resultados!M99,Resultados!V99)=0, "", AVERAGE(ABS(Resultados!D99),ABS(Resultados!M99),ABS(Resultados!V99)))</f>
        <v>0.03</v>
      </c>
      <c r="E99">
        <f>IF(COUNT(Resultados!E99,Resultados!N99,Resultados!W99)=0, "", AVERAGE(ABS(Resultados!E99),ABS(Resultados!N99),ABS(Resultados!W99)))</f>
        <v>22.342117921593019</v>
      </c>
      <c r="F99">
        <f>IF(COUNT(Resultados!F99,Resultados!O99,Resultados!X99)=0, "", AVERAGE(ABS(Resultados!F99),ABS(Resultados!O99),ABS(Resultados!X99)))</f>
        <v>2152.2853902924694</v>
      </c>
      <c r="G99">
        <f>IF(COUNT(Resultados!G99,Resultados!P99,Resultados!Y99)=0, "", AVERAGE(ABS(Resultados!G99),ABS(Resultados!P99),ABS(Resultados!Y99)))</f>
        <v>9.0579999999999998</v>
      </c>
      <c r="H99">
        <f>IF(COUNT(Resultados!H99,Resultados!Q99,Resultados!Z99)=0, "", AVERAGE(ABS(Resultados!H99),ABS(Resultados!Q99),ABS(Resultados!Z99)))</f>
        <v>1.2933333333333333E-2</v>
      </c>
      <c r="I99">
        <f>IF(COUNT(Resultados!I99,Resultados!R99,Resultados!AA99)=0, "", AVERAGE(ABS(Resultados!I99),ABS(Resultados!R99),ABS(Resultados!AA99)))</f>
        <v>19.399046666666663</v>
      </c>
      <c r="J99">
        <v>1.2933333333333333E-2</v>
      </c>
      <c r="K99">
        <v>0.03</v>
      </c>
    </row>
    <row r="100" spans="1:11" x14ac:dyDescent="0.3">
      <c r="A100" t="str">
        <f>IF(COUNT(Resultados!A100,Resultados!J100,Resultados!S100)=0, "", AVERAGE(ABS(Resultados!A100),ABS(Resultados!J100),ABS(Resultados!S100)))</f>
        <v/>
      </c>
      <c r="B100" t="str">
        <f>IF(COUNT(Resultados!B100,Resultados!K100,Resultados!T100)=0, "", AVERAGE(ABS(Resultados!B100),ABS(Resultados!K100),ABS(Resultados!T100)))</f>
        <v/>
      </c>
      <c r="C100">
        <f>IF(COUNT(Resultados!C100,Resultados!L100,Resultados!U100)=0, "", AVERAGE(ABS(Resultados!C100),ABS(Resultados!L100),ABS(Resultados!U100)))</f>
        <v>71</v>
      </c>
      <c r="D100">
        <f>IF(COUNT(Resultados!D100,Resultados!M100,Resultados!V100)=0, "", AVERAGE(ABS(Resultados!D100),ABS(Resultados!M100),ABS(Resultados!V100)))</f>
        <v>2.1399999999999999E-2</v>
      </c>
      <c r="E100">
        <f>IF(COUNT(Resultados!E100,Resultados!N100,Resultados!W100)=0, "", AVERAGE(ABS(Resultados!E100),ABS(Resultados!N100),ABS(Resultados!W100)))</f>
        <v>21.896310617047231</v>
      </c>
      <c r="F100">
        <f>IF(COUNT(Resultados!F100,Resultados!O100,Resultados!X100)=0, "", AVERAGE(ABS(Resultados!F100),ABS(Resultados!O100),ABS(Resultados!X100)))</f>
        <v>2110.7361495088016</v>
      </c>
      <c r="G100">
        <f>IF(COUNT(Resultados!G100,Resultados!P100,Resultados!Y100)=0, "", AVERAGE(ABS(Resultados!G100),ABS(Resultados!P100),ABS(Resultados!Y100)))</f>
        <v>9.0579999999999998</v>
      </c>
      <c r="H100">
        <f>IF(COUNT(Resultados!H100,Resultados!Q100,Resultados!Z100)=0, "", AVERAGE(ABS(Resultados!H100),ABS(Resultados!Q100),ABS(Resultados!Z100)))</f>
        <v>5.9666666666666661E-3</v>
      </c>
      <c r="I100">
        <f>IF(COUNT(Resultados!I100,Resultados!R100,Resultados!AA100)=0, "", AVERAGE(ABS(Resultados!I100),ABS(Resultados!R100),ABS(Resultados!AA100)))</f>
        <v>19.600113333333336</v>
      </c>
      <c r="J100">
        <v>5.9666666666666661E-3</v>
      </c>
      <c r="K100">
        <v>2.1399999999999999E-2</v>
      </c>
    </row>
    <row r="101" spans="1:11" x14ac:dyDescent="0.3">
      <c r="A101" t="str">
        <f>IF(COUNT(Resultados!A101,Resultados!J101,Resultados!S101)=0, "", AVERAGE(ABS(Resultados!A101),ABS(Resultados!J101),ABS(Resultados!S101)))</f>
        <v/>
      </c>
      <c r="B101" t="str">
        <f>IF(COUNT(Resultados!B101,Resultados!K101,Resultados!T101)=0, "", AVERAGE(ABS(Resultados!B101),ABS(Resultados!K101),ABS(Resultados!T101)))</f>
        <v/>
      </c>
      <c r="C101">
        <f>IF(COUNT(Resultados!C101,Resultados!L101,Resultados!U101)=0, "", AVERAGE(ABS(Resultados!C101),ABS(Resultados!L101),ABS(Resultados!U101)))</f>
        <v>71</v>
      </c>
      <c r="D101">
        <f>IF(COUNT(Resultados!D101,Resultados!M101,Resultados!V101)=0, "", AVERAGE(ABS(Resultados!D101),ABS(Resultados!M101),ABS(Resultados!V101)))</f>
        <v>1.2433333333333333E-2</v>
      </c>
      <c r="E101">
        <f>IF(COUNT(Resultados!E101,Resultados!N101,Resultados!W101)=0, "", AVERAGE(ABS(Resultados!E101),ABS(Resultados!N101),ABS(Resultados!W101)))</f>
        <v>21.608142744268292</v>
      </c>
      <c r="F101">
        <f>IF(COUNT(Resultados!F101,Resultados!O101,Resultados!X101)=0, "", AVERAGE(ABS(Resultados!F101),ABS(Resultados!O101),ABS(Resultados!X101)))</f>
        <v>2083.8789037658048</v>
      </c>
      <c r="G101">
        <f>IF(COUNT(Resultados!G101,Resultados!P101,Resultados!Y101)=0, "", AVERAGE(ABS(Resultados!G101),ABS(Resultados!P101),ABS(Resultados!Y101)))</f>
        <v>9.0579999999999998</v>
      </c>
      <c r="H101">
        <f>IF(COUNT(Resultados!H101,Resultados!Q101,Resultados!Z101)=0, "", AVERAGE(ABS(Resultados!H101),ABS(Resultados!Q101),ABS(Resultados!Z101)))</f>
        <v>1.5000000000000002E-3</v>
      </c>
      <c r="I101">
        <f>IF(COUNT(Resultados!I101,Resultados!R101,Resultados!AA101)=0, "", AVERAGE(ABS(Resultados!I101),ABS(Resultados!R101),ABS(Resultados!AA101)))</f>
        <v>19.800353333333334</v>
      </c>
      <c r="J101">
        <v>1.5000000000000002E-3</v>
      </c>
      <c r="K101">
        <v>1.2433333333333333E-2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01"/>
  <sheetViews>
    <sheetView tabSelected="1" topLeftCell="A13" workbookViewId="0">
      <selection activeCell="K11" sqref="K11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77734375" bestFit="1" customWidth="1"/>
    <col min="4" max="6" width="12" bestFit="1" customWidth="1"/>
    <col min="7" max="7" width="5.33203125" bestFit="1" customWidth="1"/>
    <col min="8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tr">
        <f>IF(COUNT(Resultados!A2,Resultados!J2,Resultados!S2)&lt;=1, "", _xlfn.STDEV.S(ABS(Resultados!A2),ABS(Resultados!J2),ABS(Resultados!S2))/SQRT(COUNT(Resultados!A2,Resultados!J2,Resultados!S2)))</f>
        <v/>
      </c>
      <c r="B2" t="str">
        <f>IF(COUNT(Resultados!B2,Resultados!K2,Resultados!T2)&lt;=1, "", _xlfn.STDEV.S(ABS(Resultados!B2),ABS(Resultados!K2),ABS(Resultados!T2))/SQRT(COUNT(Resultados!B2,Resultados!K2,Resultados!T2)))</f>
        <v/>
      </c>
      <c r="C2">
        <f>IF(COUNT(Resultados!C2,Resultados!L2,Resultados!U2)&lt;=1, "", _xlfn.STDEV.S(ABS(Resultados!C2),ABS(Resultados!L2),ABS(Resultados!U2))/SQRT(COUNT(Resultados!C2,Resultados!L2,Resultados!U2)))</f>
        <v>0</v>
      </c>
      <c r="D2">
        <f>IF(COUNT(Resultados!D2,Resultados!M2,Resultados!V2)&lt;=1, "", _xlfn.STDEV.S(ABS(Resultados!D2),ABS(Resultados!M2),ABS(Resultados!V2))/SQRT(COUNT(Resultados!D2,Resultados!M2,Resultados!V2)))</f>
        <v>1.527525231651946E-4</v>
      </c>
      <c r="E2">
        <f>IF(COUNT(Resultados!E2,Resultados!N2,Resultados!W2)&lt;=1, "", _xlfn.STDEV.S(ABS(Resultados!E2),ABS(Resultados!N2),ABS(Resultados!W2))/SQRT(COUNT(Resultados!E2,Resultados!N2,Resultados!W2)))</f>
        <v>6.0335201968550348E-6</v>
      </c>
      <c r="F2">
        <f>IF(COUNT(Resultados!F2,Resultados!O2,Resultados!X2)&lt;=1, "", _xlfn.STDEV.S(ABS(Resultados!F2),ABS(Resultados!O2),ABS(Resultados!X2))/SQRT(COUNT(Resultados!F2,Resultados!O2,Resultados!X2)))</f>
        <v>5.6232408220671594E-4</v>
      </c>
      <c r="G2">
        <f>IF(COUNT(Resultados!G2,Resultados!P2,Resultados!Y2)&lt;=1, "", _xlfn.STDEV.S(ABS(Resultados!G2),ABS(Resultados!P2),ABS(Resultados!Y2))/SQRT(COUNT(Resultados!G2,Resultados!P2,Resultados!Y2)))</f>
        <v>0</v>
      </c>
      <c r="H2">
        <f>IF(COUNT(Resultados!H2,Resultados!Q2,Resultados!Z2)&lt;=1, "", _xlfn.STDEV.S(ABS(Resultados!H2),ABS(Resultados!Q2),ABS(Resultados!Z2))/SQRT(COUNT(Resultados!H2,Resultados!Q2,Resultados!Z2)))</f>
        <v>0</v>
      </c>
      <c r="I2">
        <f>IF(COUNT(Resultados!I2,Resultados!R2,Resultados!AA2)&lt;=1, "", _xlfn.STDEV.S(ABS(Resultados!I2),ABS(Resultados!R2),ABS(Resultados!AA2))/SQRT(COUNT(Resultados!I2,Resultados!R2,Resultados!AA2)))</f>
        <v>0</v>
      </c>
    </row>
    <row r="3" spans="1:9" x14ac:dyDescent="0.3">
      <c r="A3" t="str">
        <f>IF(COUNT(Resultados!A3,Resultados!J3,Resultados!S3)&lt;=1, "", _xlfn.STDEV.S(ABS(Resultados!A3),ABS(Resultados!J3),ABS(Resultados!S3))/SQRT(COUNT(Resultados!A3,Resultados!J3,Resultados!S3)))</f>
        <v/>
      </c>
      <c r="B3" t="str">
        <f>IF(COUNT(Resultados!B3,Resultados!K3,Resultados!T3)&lt;=1, "", _xlfn.STDEV.S(ABS(Resultados!B3),ABS(Resultados!K3),ABS(Resultados!T3))/SQRT(COUNT(Resultados!B3,Resultados!K3,Resultados!T3)))</f>
        <v/>
      </c>
      <c r="C3">
        <f>IF(COUNT(Resultados!C3,Resultados!L3,Resultados!U3)&lt;=1, "", _xlfn.STDEV.S(ABS(Resultados!C3),ABS(Resultados!L3),ABS(Resultados!U3))/SQRT(COUNT(Resultados!C3,Resultados!L3,Resultados!U3)))</f>
        <v>0</v>
      </c>
      <c r="D3">
        <f>IF(COUNT(Resultados!D3,Resultados!M3,Resultados!V3)&lt;=1, "", _xlfn.STDEV.S(ABS(Resultados!D3),ABS(Resultados!M3),ABS(Resultados!V3))/SQRT(COUNT(Resultados!D3,Resultados!M3,Resultados!V3)))</f>
        <v>2.9627314724385302E-4</v>
      </c>
      <c r="E3">
        <f>IF(COUNT(Resultados!E3,Resultados!N3,Resultados!W3)&lt;=1, "", _xlfn.STDEV.S(ABS(Resultados!E3),ABS(Resultados!N3),ABS(Resultados!W3))/SQRT(COUNT(Resultados!E3,Resultados!N3,Resultados!W3)))</f>
        <v>2.4610408161884539E-4</v>
      </c>
      <c r="F3">
        <f>IF(COUNT(Resultados!F3,Resultados!O3,Resultados!X3)&lt;=1, "", _xlfn.STDEV.S(ABS(Resultados!F3),ABS(Resultados!O3),ABS(Resultados!X3))/SQRT(COUNT(Resultados!F3,Resultados!O3,Resultados!X3)))</f>
        <v>2.3355277345468235E-2</v>
      </c>
      <c r="G3">
        <f>IF(COUNT(Resultados!G3,Resultados!P3,Resultados!Y3)&lt;=1, "", _xlfn.STDEV.S(ABS(Resultados!G3),ABS(Resultados!P3),ABS(Resultados!Y3))/SQRT(COUNT(Resultados!G3,Resultados!P3,Resultados!Y3)))</f>
        <v>0</v>
      </c>
      <c r="H3">
        <f>IF(COUNT(Resultados!H3,Resultados!Q3,Resultados!Z3)&lt;=1, "", _xlfn.STDEV.S(ABS(Resultados!H3),ABS(Resultados!Q3),ABS(Resultados!Z3))/SQRT(COUNT(Resultados!H3,Resultados!Q3,Resultados!Z3)))</f>
        <v>3.3333333333333348E-5</v>
      </c>
      <c r="I3">
        <f>IF(COUNT(Resultados!I3,Resultados!R3,Resultados!AA3)&lt;=1, "", _xlfn.STDEV.S(ABS(Resultados!I3),ABS(Resultados!R3),ABS(Resultados!AA3))/SQRT(COUNT(Resultados!I3,Resultados!R3,Resultados!AA3)))</f>
        <v>1.5999999999867973E-4</v>
      </c>
    </row>
    <row r="4" spans="1:9" x14ac:dyDescent="0.3">
      <c r="A4" t="str">
        <f>IF(COUNT(Resultados!A4,Resultados!J4,Resultados!S4)&lt;=1, "", _xlfn.STDEV.S(ABS(Resultados!A4),ABS(Resultados!J4),ABS(Resultados!S4))/SQRT(COUNT(Resultados!A4,Resultados!J4,Resultados!S4)))</f>
        <v/>
      </c>
      <c r="B4" t="str">
        <f>IF(COUNT(Resultados!B4,Resultados!K4,Resultados!T4)&lt;=1, "", _xlfn.STDEV.S(ABS(Resultados!B4),ABS(Resultados!K4),ABS(Resultados!T4))/SQRT(COUNT(Resultados!B4,Resultados!K4,Resultados!T4)))</f>
        <v/>
      </c>
      <c r="C4">
        <f>IF(COUNT(Resultados!C4,Resultados!L4,Resultados!U4)&lt;=1, "", _xlfn.STDEV.S(ABS(Resultados!C4),ABS(Resultados!L4),ABS(Resultados!U4))/SQRT(COUNT(Resultados!C4,Resultados!L4,Resultados!U4)))</f>
        <v>0</v>
      </c>
      <c r="D4">
        <f>IF(COUNT(Resultados!D4,Resultados!M4,Resultados!V4)&lt;=1, "", _xlfn.STDEV.S(ABS(Resultados!D4),ABS(Resultados!M4),ABS(Resultados!V4))/SQRT(COUNT(Resultados!D4,Resultados!M4,Resultados!V4)))</f>
        <v>2.3333333333333339E-4</v>
      </c>
      <c r="E4">
        <f>IF(COUNT(Resultados!E4,Resultados!N4,Resultados!W4)&lt;=1, "", _xlfn.STDEV.S(ABS(Resultados!E4),ABS(Resultados!N4),ABS(Resultados!W4))/SQRT(COUNT(Resultados!E4,Resultados!N4,Resultados!W4)))</f>
        <v>6.6196823487927508E-3</v>
      </c>
      <c r="F4">
        <f>IF(COUNT(Resultados!F4,Resultados!O4,Resultados!X4)&lt;=1, "", _xlfn.STDEV.S(ABS(Resultados!F4),ABS(Resultados!O4),ABS(Resultados!X4))/SQRT(COUNT(Resultados!F4,Resultados!O4,Resultados!X4)))</f>
        <v>0.62820785490053521</v>
      </c>
      <c r="G4">
        <f>IF(COUNT(Resultados!G4,Resultados!P4,Resultados!Y4)&lt;=1, "", _xlfn.STDEV.S(ABS(Resultados!G4),ABS(Resultados!P4),ABS(Resultados!Y4))/SQRT(COUNT(Resultados!G4,Resultados!P4,Resultados!Y4)))</f>
        <v>0</v>
      </c>
      <c r="H4">
        <f>IF(COUNT(Resultados!H4,Resultados!Q4,Resultados!Z4)&lt;=1, "", _xlfn.STDEV.S(ABS(Resultados!H4),ABS(Resultados!Q4),ABS(Resultados!Z4))/SQRT(COUNT(Resultados!H4,Resultados!Q4,Resultados!Z4)))</f>
        <v>8.8191710368819658E-5</v>
      </c>
      <c r="I4">
        <f>IF(COUNT(Resultados!I4,Resultados!R4,Resultados!AA4)&lt;=1, "", _xlfn.STDEV.S(ABS(Resultados!I4),ABS(Resultados!R4),ABS(Resultados!AA4))/SQRT(COUNT(Resultados!I4,Resultados!R4,Resultados!AA4)))</f>
        <v>3.0066666666677126E-3</v>
      </c>
    </row>
    <row r="5" spans="1:9" x14ac:dyDescent="0.3">
      <c r="A5" t="str">
        <f>IF(COUNT(Resultados!A5,Resultados!J5,Resultados!S5)&lt;=1, "", _xlfn.STDEV.S(ABS(Resultados!A5),ABS(Resultados!J5),ABS(Resultados!S5))/SQRT(COUNT(Resultados!A5,Resultados!J5,Resultados!S5)))</f>
        <v/>
      </c>
      <c r="B5" t="str">
        <f>IF(COUNT(Resultados!B5,Resultados!K5,Resultados!T5)&lt;=1, "", _xlfn.STDEV.S(ABS(Resultados!B5),ABS(Resultados!K5),ABS(Resultados!T5))/SQRT(COUNT(Resultados!B5,Resultados!K5,Resultados!T5)))</f>
        <v/>
      </c>
      <c r="C5">
        <f>IF(COUNT(Resultados!C5,Resultados!L5,Resultados!U5)&lt;=1, "", _xlfn.STDEV.S(ABS(Resultados!C5),ABS(Resultados!L5),ABS(Resultados!U5))/SQRT(COUNT(Resultados!C5,Resultados!L5,Resultados!U5)))</f>
        <v>0</v>
      </c>
      <c r="D5">
        <f>IF(COUNT(Resultados!D5,Resultados!M5,Resultados!V5)&lt;=1, "", _xlfn.STDEV.S(ABS(Resultados!D5),ABS(Resultados!M5),ABS(Resultados!V5))/SQRT(COUNT(Resultados!D5,Resultados!M5,Resultados!V5)))</f>
        <v>1.4529663145135583E-4</v>
      </c>
      <c r="E5">
        <f>IF(COUNT(Resultados!E5,Resultados!N5,Resultados!W5)&lt;=1, "", _xlfn.STDEV.S(ABS(Resultados!E5),ABS(Resultados!N5),ABS(Resultados!W5))/SQRT(COUNT(Resultados!E5,Resultados!N5,Resultados!W5)))</f>
        <v>8.0135055629173147E-4</v>
      </c>
      <c r="F5">
        <f>IF(COUNT(Resultados!F5,Resultados!O5,Resultados!X5)&lt;=1, "", _xlfn.STDEV.S(ABS(Resultados!F5),ABS(Resultados!O5),ABS(Resultados!X5))/SQRT(COUNT(Resultados!F5,Resultados!O5,Resultados!X5)))</f>
        <v>7.6048167792246157E-2</v>
      </c>
      <c r="G5">
        <f>IF(COUNT(Resultados!G5,Resultados!P5,Resultados!Y5)&lt;=1, "", _xlfn.STDEV.S(ABS(Resultados!G5),ABS(Resultados!P5),ABS(Resultados!Y5))/SQRT(COUNT(Resultados!G5,Resultados!P5,Resultados!Y5)))</f>
        <v>0</v>
      </c>
      <c r="H5">
        <f>IF(COUNT(Resultados!H5,Resultados!Q5,Resultados!Z5)&lt;=1, "", _xlfn.STDEV.S(ABS(Resultados!H5),ABS(Resultados!Q5),ABS(Resultados!Z5))/SQRT(COUNT(Resultados!H5,Resultados!Q5,Resultados!Z5)))</f>
        <v>0</v>
      </c>
      <c r="I5">
        <f>IF(COUNT(Resultados!I5,Resultados!R5,Resultados!AA5)&lt;=1, "", _xlfn.STDEV.S(ABS(Resultados!I5),ABS(Resultados!R5),ABS(Resultados!AA5))/SQRT(COUNT(Resultados!I5,Resultados!R5,Resultados!AA5)))</f>
        <v>6.5333333333228449E-4</v>
      </c>
    </row>
    <row r="6" spans="1:9" x14ac:dyDescent="0.3">
      <c r="A6" t="str">
        <f>IF(COUNT(Resultados!A6,Resultados!J6,Resultados!S6)&lt;=1, "", _xlfn.STDEV.S(ABS(Resultados!A6),ABS(Resultados!J6),ABS(Resultados!S6))/SQRT(COUNT(Resultados!A6,Resultados!J6,Resultados!S6)))</f>
        <v/>
      </c>
      <c r="B6" t="str">
        <f>IF(COUNT(Resultados!B6,Resultados!K6,Resultados!T6)&lt;=1, "", _xlfn.STDEV.S(ABS(Resultados!B6),ABS(Resultados!K6),ABS(Resultados!T6))/SQRT(COUNT(Resultados!B6,Resultados!K6,Resultados!T6)))</f>
        <v/>
      </c>
      <c r="C6">
        <f>IF(COUNT(Resultados!C6,Resultados!L6,Resultados!U6)&lt;=1, "", _xlfn.STDEV.S(ABS(Resultados!C6),ABS(Resultados!L6),ABS(Resultados!U6))/SQRT(COUNT(Resultados!C6,Resultados!L6,Resultados!U6)))</f>
        <v>0</v>
      </c>
      <c r="D6">
        <f>IF(COUNT(Resultados!D6,Resultados!M6,Resultados!V6)&lt;=1, "", _xlfn.STDEV.S(ABS(Resultados!D6),ABS(Resultados!M6),ABS(Resultados!V6))/SQRT(COUNT(Resultados!D6,Resultados!M6,Resultados!V6)))</f>
        <v>8.8191710368819658E-5</v>
      </c>
      <c r="E6">
        <f>IF(COUNT(Resultados!E6,Resultados!N6,Resultados!W6)&lt;=1, "", _xlfn.STDEV.S(ABS(Resultados!E6),ABS(Resultados!N6),ABS(Resultados!W6))/SQRT(COUNT(Resultados!E6,Resultados!N6,Resultados!W6)))</f>
        <v>2.0868322864946807E-3</v>
      </c>
      <c r="F6">
        <f>IF(COUNT(Resultados!F6,Resultados!O6,Resultados!X6)&lt;=1, "", _xlfn.STDEV.S(ABS(Resultados!F6),ABS(Resultados!O6),ABS(Resultados!X6))/SQRT(COUNT(Resultados!F6,Resultados!O6,Resultados!X6)))</f>
        <v>0.19804038398817217</v>
      </c>
      <c r="G6">
        <f>IF(COUNT(Resultados!G6,Resultados!P6,Resultados!Y6)&lt;=1, "", _xlfn.STDEV.S(ABS(Resultados!G6),ABS(Resultados!P6),ABS(Resultados!Y6))/SQRT(COUNT(Resultados!G6,Resultados!P6,Resultados!Y6)))</f>
        <v>0</v>
      </c>
      <c r="H6">
        <f>IF(COUNT(Resultados!H6,Resultados!Q6,Resultados!Z6)&lt;=1, "", _xlfn.STDEV.S(ABS(Resultados!H6),ABS(Resultados!Q6),ABS(Resultados!Z6))/SQRT(COUNT(Resultados!H6,Resultados!Q6,Resultados!Z6)))</f>
        <v>3.3333333333333132E-5</v>
      </c>
      <c r="I6">
        <f>IF(COUNT(Resultados!I6,Resultados!R6,Resultados!AA6)&lt;=1, "", _xlfn.STDEV.S(ABS(Resultados!I6),ABS(Resultados!R6),ABS(Resultados!AA6))/SQRT(COUNT(Resultados!I6,Resultados!R6,Resultados!AA6)))</f>
        <v>1.9333333333311961E-4</v>
      </c>
    </row>
    <row r="7" spans="1:9" x14ac:dyDescent="0.3">
      <c r="A7" t="str">
        <f>IF(COUNT(Resultados!A7,Resultados!J7,Resultados!S7)&lt;=1, "", _xlfn.STDEV.S(ABS(Resultados!A7),ABS(Resultados!J7),ABS(Resultados!S7))/SQRT(COUNT(Resultados!A7,Resultados!J7,Resultados!S7)))</f>
        <v/>
      </c>
      <c r="B7" t="str">
        <f>IF(COUNT(Resultados!B7,Resultados!K7,Resultados!T7)&lt;=1, "", _xlfn.STDEV.S(ABS(Resultados!B7),ABS(Resultados!K7),ABS(Resultados!T7))/SQRT(COUNT(Resultados!B7,Resultados!K7,Resultados!T7)))</f>
        <v/>
      </c>
      <c r="C7">
        <f>IF(COUNT(Resultados!C7,Resultados!L7,Resultados!U7)&lt;=1, "", _xlfn.STDEV.S(ABS(Resultados!C7),ABS(Resultados!L7),ABS(Resultados!U7))/SQRT(COUNT(Resultados!C7,Resultados!L7,Resultados!U7)))</f>
        <v>0</v>
      </c>
      <c r="D7">
        <f>IF(COUNT(Resultados!D7,Resultados!M7,Resultados!V7)&lt;=1, "", _xlfn.STDEV.S(ABS(Resultados!D7),ABS(Resultados!M7),ABS(Resultados!V7))/SQRT(COUNT(Resultados!D7,Resultados!M7,Resultados!V7)))</f>
        <v>5.7735026918962734E-5</v>
      </c>
      <c r="E7">
        <f>IF(COUNT(Resultados!E7,Resultados!N7,Resultados!W7)&lt;=1, "", _xlfn.STDEV.S(ABS(Resultados!E7),ABS(Resultados!N7),ABS(Resultados!W7))/SQRT(COUNT(Resultados!E7,Resultados!N7,Resultados!W7)))</f>
        <v>2.0160030470527698E-3</v>
      </c>
      <c r="F7">
        <f>IF(COUNT(Resultados!F7,Resultados!O7,Resultados!X7)&lt;=1, "", _xlfn.STDEV.S(ABS(Resultados!F7),ABS(Resultados!O7),ABS(Resultados!X7))/SQRT(COUNT(Resultados!F7,Resultados!O7,Resultados!X7)))</f>
        <v>0.19131868916522213</v>
      </c>
      <c r="G7">
        <f>IF(COUNT(Resultados!G7,Resultados!P7,Resultados!Y7)&lt;=1, "", _xlfn.STDEV.S(ABS(Resultados!G7),ABS(Resultados!P7),ABS(Resultados!Y7))/SQRT(COUNT(Resultados!G7,Resultados!P7,Resultados!Y7)))</f>
        <v>0</v>
      </c>
      <c r="H7">
        <f>IF(COUNT(Resultados!H7,Resultados!Q7,Resultados!Z7)&lt;=1, "", _xlfn.STDEV.S(ABS(Resultados!H7),ABS(Resultados!Q7),ABS(Resultados!Z7))/SQRT(COUNT(Resultados!H7,Resultados!Q7,Resultados!Z7)))</f>
        <v>3.333333333333198E-5</v>
      </c>
      <c r="I7">
        <f>IF(COUNT(Resultados!I7,Resultados!R7,Resultados!AA7)&lt;=1, "", _xlfn.STDEV.S(ABS(Resultados!I7),ABS(Resultados!R7),ABS(Resultados!AA7))/SQRT(COUNT(Resultados!I7,Resultados!R7,Resultados!AA7)))</f>
        <v>3.0000000000048509E-5</v>
      </c>
    </row>
    <row r="8" spans="1:9" x14ac:dyDescent="0.3">
      <c r="A8" t="str">
        <f>IF(COUNT(Resultados!A8,Resultados!J8,Resultados!S8)&lt;=1, "", _xlfn.STDEV.S(ABS(Resultados!A8),ABS(Resultados!J8),ABS(Resultados!S8))/SQRT(COUNT(Resultados!A8,Resultados!J8,Resultados!S8)))</f>
        <v/>
      </c>
      <c r="B8" t="str">
        <f>IF(COUNT(Resultados!B8,Resultados!K8,Resultados!T8)&lt;=1, "", _xlfn.STDEV.S(ABS(Resultados!B8),ABS(Resultados!K8),ABS(Resultados!T8))/SQRT(COUNT(Resultados!B8,Resultados!K8,Resultados!T8)))</f>
        <v/>
      </c>
      <c r="C8">
        <f>IF(COUNT(Resultados!C8,Resultados!L8,Resultados!U8)&lt;=1, "", _xlfn.STDEV.S(ABS(Resultados!C8),ABS(Resultados!L8),ABS(Resultados!U8))/SQRT(COUNT(Resultados!C8,Resultados!L8,Resultados!U8)))</f>
        <v>0</v>
      </c>
      <c r="D8">
        <f>IF(COUNT(Resultados!D8,Resultados!M8,Resultados!V8)&lt;=1, "", _xlfn.STDEV.S(ABS(Resultados!D8),ABS(Resultados!M8),ABS(Resultados!V8))/SQRT(COUNT(Resultados!D8,Resultados!M8,Resultados!V8)))</f>
        <v>2.7284509239574863E-4</v>
      </c>
      <c r="E8">
        <f>IF(COUNT(Resultados!E8,Resultados!N8,Resultados!W8)&lt;=1, "", _xlfn.STDEV.S(ABS(Resultados!E8),ABS(Resultados!N8),ABS(Resultados!W8))/SQRT(COUNT(Resultados!E8,Resultados!N8,Resultados!W8)))</f>
        <v>3.518113103821845E-3</v>
      </c>
      <c r="F8">
        <f>IF(COUNT(Resultados!F8,Resultados!O8,Resultados!X8)&lt;=1, "", _xlfn.STDEV.S(ABS(Resultados!F8),ABS(Resultados!O8),ABS(Resultados!X8))/SQRT(COUNT(Resultados!F8,Resultados!O8,Resultados!X8)))</f>
        <v>0.33386893355249203</v>
      </c>
      <c r="G8">
        <f>IF(COUNT(Resultados!G8,Resultados!P8,Resultados!Y8)&lt;=1, "", _xlfn.STDEV.S(ABS(Resultados!G8),ABS(Resultados!P8),ABS(Resultados!Y8))/SQRT(COUNT(Resultados!G8,Resultados!P8,Resultados!Y8)))</f>
        <v>0</v>
      </c>
      <c r="H8">
        <f>IF(COUNT(Resultados!H8,Resultados!Q8,Resultados!Z8)&lt;=1, "", _xlfn.STDEV.S(ABS(Resultados!H8),ABS(Resultados!Q8),ABS(Resultados!Z8))/SQRT(COUNT(Resultados!H8,Resultados!Q8,Resultados!Z8)))</f>
        <v>3.333333333333198E-5</v>
      </c>
      <c r="I8">
        <f>IF(COUNT(Resultados!I8,Resultados!R8,Resultados!AA8)&lt;=1, "", _xlfn.STDEV.S(ABS(Resultados!I8),ABS(Resultados!R8),ABS(Resultados!AA8))/SQRT(COUNT(Resultados!I8,Resultados!R8,Resultados!AA8)))</f>
        <v>6.3666666666624871E-4</v>
      </c>
    </row>
    <row r="9" spans="1:9" x14ac:dyDescent="0.3">
      <c r="A9" t="str">
        <f>IF(COUNT(Resultados!A9,Resultados!J9,Resultados!S9)&lt;=1, "", _xlfn.STDEV.S(ABS(Resultados!A9),ABS(Resultados!J9),ABS(Resultados!S9))/SQRT(COUNT(Resultados!A9,Resultados!J9,Resultados!S9)))</f>
        <v/>
      </c>
      <c r="B9" t="str">
        <f>IF(COUNT(Resultados!B9,Resultados!K9,Resultados!T9)&lt;=1, "", _xlfn.STDEV.S(ABS(Resultados!B9),ABS(Resultados!K9),ABS(Resultados!T9))/SQRT(COUNT(Resultados!B9,Resultados!K9,Resultados!T9)))</f>
        <v/>
      </c>
      <c r="C9">
        <f>IF(COUNT(Resultados!C9,Resultados!L9,Resultados!U9)&lt;=1, "", _xlfn.STDEV.S(ABS(Resultados!C9),ABS(Resultados!L9),ABS(Resultados!U9))/SQRT(COUNT(Resultados!C9,Resultados!L9,Resultados!U9)))</f>
        <v>0</v>
      </c>
      <c r="D9">
        <f>IF(COUNT(Resultados!D9,Resultados!M9,Resultados!V9)&lt;=1, "", _xlfn.STDEV.S(ABS(Resultados!D9),ABS(Resultados!M9),ABS(Resultados!V9))/SQRT(COUNT(Resultados!D9,Resultados!M9,Resultados!V9)))</f>
        <v>5.5477723256977529E-4</v>
      </c>
      <c r="E9">
        <f>IF(COUNT(Resultados!E9,Resultados!N9,Resultados!W9)&lt;=1, "", _xlfn.STDEV.S(ABS(Resultados!E9),ABS(Resultados!N9),ABS(Resultados!W9))/SQRT(COUNT(Resultados!E9,Resultados!N9,Resultados!W9)))</f>
        <v>8.2569699988280503E-4</v>
      </c>
      <c r="F9">
        <f>IF(COUNT(Resultados!F9,Resultados!O9,Resultados!X9)&lt;=1, "", _xlfn.STDEV.S(ABS(Resultados!F9),ABS(Resultados!O9),ABS(Resultados!X9))/SQRT(COUNT(Resultados!F9,Resultados!O9,Resultados!X9)))</f>
        <v>7.8358645288781129E-2</v>
      </c>
      <c r="G9">
        <f>IF(COUNT(Resultados!G9,Resultados!P9,Resultados!Y9)&lt;=1, "", _xlfn.STDEV.S(ABS(Resultados!G9),ABS(Resultados!P9),ABS(Resultados!Y9))/SQRT(COUNT(Resultados!G9,Resultados!P9,Resultados!Y9)))</f>
        <v>0</v>
      </c>
      <c r="H9">
        <f>IF(COUNT(Resultados!H9,Resultados!Q9,Resultados!Z9)&lt;=1, "", _xlfn.STDEV.S(ABS(Resultados!H9),ABS(Resultados!Q9),ABS(Resultados!Z9))/SQRT(COUNT(Resultados!H9,Resultados!Q9,Resultados!Z9)))</f>
        <v>3.333333333333198E-5</v>
      </c>
      <c r="I9">
        <f>IF(COUNT(Resultados!I9,Resultados!R9,Resultados!AA9)&lt;=1, "", _xlfn.STDEV.S(ABS(Resultados!I9),ABS(Resultados!R9),ABS(Resultados!AA9))/SQRT(COUNT(Resultados!I9,Resultados!R9,Resultados!AA9)))</f>
        <v>3.6666666667647028E-5</v>
      </c>
    </row>
    <row r="10" spans="1:9" x14ac:dyDescent="0.3">
      <c r="A10" t="str">
        <f>IF(COUNT(Resultados!A10,Resultados!J10,Resultados!S10)&lt;=1, "", _xlfn.STDEV.S(ABS(Resultados!A10),ABS(Resultados!J10),ABS(Resultados!S10))/SQRT(COUNT(Resultados!A10,Resultados!J10,Resultados!S10)))</f>
        <v/>
      </c>
      <c r="B10" t="str">
        <f>IF(COUNT(Resultados!B10,Resultados!K10,Resultados!T10)&lt;=1, "", _xlfn.STDEV.S(ABS(Resultados!B10),ABS(Resultados!K10),ABS(Resultados!T10))/SQRT(COUNT(Resultados!B10,Resultados!K10,Resultados!T10)))</f>
        <v/>
      </c>
      <c r="C10">
        <f>IF(COUNT(Resultados!C10,Resultados!L10,Resultados!U10)&lt;=1, "", _xlfn.STDEV.S(ABS(Resultados!C10),ABS(Resultados!L10),ABS(Resultados!U10))/SQRT(COUNT(Resultados!C10,Resultados!L10,Resultados!U10)))</f>
        <v>0</v>
      </c>
      <c r="D10">
        <f>IF(COUNT(Resultados!D10,Resultados!M10,Resultados!V10)&lt;=1, "", _xlfn.STDEV.S(ABS(Resultados!D10),ABS(Resultados!M10),ABS(Resultados!V10))/SQRT(COUNT(Resultados!D10,Resultados!M10,Resultados!V10)))</f>
        <v>1.2018504251546591E-4</v>
      </c>
      <c r="E10">
        <f>IF(COUNT(Resultados!E10,Resultados!N10,Resultados!W10)&lt;=1, "", _xlfn.STDEV.S(ABS(Resultados!E10),ABS(Resultados!N10),ABS(Resultados!W10))/SQRT(COUNT(Resultados!E10,Resultados!N10,Resultados!W10)))</f>
        <v>1.102153707189841E-3</v>
      </c>
      <c r="F10">
        <f>IF(COUNT(Resultados!F10,Resultados!O10,Resultados!X10)&lt;=1, "", _xlfn.STDEV.S(ABS(Resultados!F10),ABS(Resultados!O10),ABS(Resultados!X10))/SQRT(COUNT(Resultados!F10,Resultados!O10,Resultados!X10)))</f>
        <v>0.1045943868123121</v>
      </c>
      <c r="G10">
        <f>IF(COUNT(Resultados!G10,Resultados!P10,Resultados!Y10)&lt;=1, "", _xlfn.STDEV.S(ABS(Resultados!G10),ABS(Resultados!P10),ABS(Resultados!Y10))/SQRT(COUNT(Resultados!G10,Resultados!P10,Resultados!Y10)))</f>
        <v>0</v>
      </c>
      <c r="H10">
        <f>IF(COUNT(Resultados!H10,Resultados!Q10,Resultados!Z10)&lt;=1, "", _xlfn.STDEV.S(ABS(Resultados!H10),ABS(Resultados!Q10),ABS(Resultados!Z10))/SQRT(COUNT(Resultados!H10,Resultados!Q10,Resultados!Z10)))</f>
        <v>3.333333333333198E-5</v>
      </c>
      <c r="I10">
        <f>IF(COUNT(Resultados!I10,Resultados!R10,Resultados!AA10)&lt;=1, "", _xlfn.STDEV.S(ABS(Resultados!I10),ABS(Resultados!R10),ABS(Resultados!AA10))/SQRT(COUNT(Resultados!I10,Resultados!R10,Resultados!AA10)))</f>
        <v>8.8666666666625826E-4</v>
      </c>
    </row>
    <row r="11" spans="1:9" x14ac:dyDescent="0.3">
      <c r="A11" t="str">
        <f>IF(COUNT(Resultados!A11,Resultados!J11,Resultados!S11)&lt;=1, "", _xlfn.STDEV.S(ABS(Resultados!A11),ABS(Resultados!J11),ABS(Resultados!S11))/SQRT(COUNT(Resultados!A11,Resultados!J11,Resultados!S11)))</f>
        <v/>
      </c>
      <c r="B11" t="str">
        <f>IF(COUNT(Resultados!B11,Resultados!K11,Resultados!T11)&lt;=1, "", _xlfn.STDEV.S(ABS(Resultados!B11),ABS(Resultados!K11),ABS(Resultados!T11))/SQRT(COUNT(Resultados!B11,Resultados!K11,Resultados!T11)))</f>
        <v/>
      </c>
      <c r="C11">
        <f>IF(COUNT(Resultados!C11,Resultados!L11,Resultados!U11)&lt;=1, "", _xlfn.STDEV.S(ABS(Resultados!C11),ABS(Resultados!L11),ABS(Resultados!U11))/SQRT(COUNT(Resultados!C11,Resultados!L11,Resultados!U11)))</f>
        <v>0</v>
      </c>
      <c r="D11">
        <f>IF(COUNT(Resultados!D11,Resultados!M11,Resultados!V11)&lt;=1, "", _xlfn.STDEV.S(ABS(Resultados!D11),ABS(Resultados!M11),ABS(Resultados!V11))/SQRT(COUNT(Resultados!D11,Resultados!M11,Resultados!V11)))</f>
        <v>1.1547005383792646E-4</v>
      </c>
      <c r="E11">
        <f>IF(COUNT(Resultados!E11,Resultados!N11,Resultados!W11)&lt;=1, "", _xlfn.STDEV.S(ABS(Resultados!E11),ABS(Resultados!N11),ABS(Resultados!W11))/SQRT(COUNT(Resultados!E11,Resultados!N11,Resultados!W11)))</f>
        <v>4.0546644744363357E-4</v>
      </c>
      <c r="F11">
        <f>IF(COUNT(Resultados!F11,Resultados!O11,Resultados!X11)&lt;=1, "", _xlfn.STDEV.S(ABS(Resultados!F11),ABS(Resultados!O11),ABS(Resultados!X11))/SQRT(COUNT(Resultados!F11,Resultados!O11,Resultados!X11)))</f>
        <v>3.8478765862561125E-2</v>
      </c>
      <c r="G11">
        <f>IF(COUNT(Resultados!G11,Resultados!P11,Resultados!Y11)&lt;=1, "", _xlfn.STDEV.S(ABS(Resultados!G11),ABS(Resultados!P11),ABS(Resultados!Y11))/SQRT(COUNT(Resultados!G11,Resultados!P11,Resultados!Y11)))</f>
        <v>0</v>
      </c>
      <c r="H11">
        <f>IF(COUNT(Resultados!H11,Resultados!Q11,Resultados!Z11)&lt;=1, "", _xlfn.STDEV.S(ABS(Resultados!H11),ABS(Resultados!Q11),ABS(Resultados!Z11))/SQRT(COUNT(Resultados!H11,Resultados!Q11,Resultados!Z11)))</f>
        <v>0</v>
      </c>
      <c r="I11">
        <f>IF(COUNT(Resultados!I11,Resultados!R11,Resultados!AA11)&lt;=1, "", _xlfn.STDEV.S(ABS(Resultados!I11),ABS(Resultados!R11),ABS(Resultados!AA11))/SQRT(COUNT(Resultados!I11,Resultados!R11,Resultados!AA11)))</f>
        <v>8.0666666666691822E-4</v>
      </c>
    </row>
    <row r="12" spans="1:9" x14ac:dyDescent="0.3">
      <c r="A12" t="str">
        <f>IF(COUNT(Resultados!A12,Resultados!J12,Resultados!S12)&lt;=1, "", _xlfn.STDEV.S(ABS(Resultados!A12),ABS(Resultados!J12),ABS(Resultados!S12))/SQRT(COUNT(Resultados!A12,Resultados!J12,Resultados!S12)))</f>
        <v/>
      </c>
      <c r="B12" t="str">
        <f>IF(COUNT(Resultados!B12,Resultados!K12,Resultados!T12)&lt;=1, "", _xlfn.STDEV.S(ABS(Resultados!B12),ABS(Resultados!K12),ABS(Resultados!T12))/SQRT(COUNT(Resultados!B12,Resultados!K12,Resultados!T12)))</f>
        <v/>
      </c>
      <c r="C12">
        <f>IF(COUNT(Resultados!C12,Resultados!L12,Resultados!U12)&lt;=1, "", _xlfn.STDEV.S(ABS(Resultados!C12),ABS(Resultados!L12),ABS(Resultados!U12))/SQRT(COUNT(Resultados!C12,Resultados!L12,Resultados!U12)))</f>
        <v>0</v>
      </c>
      <c r="D12">
        <f>IF(COUNT(Resultados!D12,Resultados!M12,Resultados!V12)&lt;=1, "", _xlfn.STDEV.S(ABS(Resultados!D12),ABS(Resultados!M12),ABS(Resultados!V12))/SQRT(COUNT(Resultados!D12,Resultados!M12,Resultados!V12)))</f>
        <v>6.6666666666666277E-5</v>
      </c>
      <c r="E12">
        <f>IF(COUNT(Resultados!E12,Resultados!N12,Resultados!W12)&lt;=1, "", _xlfn.STDEV.S(ABS(Resultados!E12),ABS(Resultados!N12),ABS(Resultados!W12))/SQRT(COUNT(Resultados!E12,Resultados!N12,Resultados!W12)))</f>
        <v>2.9826531751588504E-6</v>
      </c>
      <c r="F12">
        <f>IF(COUNT(Resultados!F12,Resultados!O12,Resultados!X12)&lt;=1, "", _xlfn.STDEV.S(ABS(Resultados!F12),ABS(Resultados!O12),ABS(Resultados!X12))/SQRT(COUNT(Resultados!F12,Resultados!O12,Resultados!X12)))</f>
        <v>2.830537863937642E-4</v>
      </c>
      <c r="G12">
        <f>IF(COUNT(Resultados!G12,Resultados!P12,Resultados!Y12)&lt;=1, "", _xlfn.STDEV.S(ABS(Resultados!G12),ABS(Resultados!P12),ABS(Resultados!Y12))/SQRT(COUNT(Resultados!G12,Resultados!P12,Resultados!Y12)))</f>
        <v>0</v>
      </c>
      <c r="H12">
        <f>IF(COUNT(Resultados!H12,Resultados!Q12,Resultados!Z12)&lt;=1, "", _xlfn.STDEV.S(ABS(Resultados!H12),ABS(Resultados!Q12),ABS(Resultados!Z12))/SQRT(COUNT(Resultados!H12,Resultados!Q12,Resultados!Z12)))</f>
        <v>0</v>
      </c>
      <c r="I12">
        <f>IF(COUNT(Resultados!I12,Resultados!R12,Resultados!AA12)&lt;=1, "", _xlfn.STDEV.S(ABS(Resultados!I12),ABS(Resultados!R12),ABS(Resultados!AA12))/SQRT(COUNT(Resultados!I12,Resultados!R12,Resultados!AA12)))</f>
        <v>5.3333333333682738E-5</v>
      </c>
    </row>
    <row r="13" spans="1:9" x14ac:dyDescent="0.3">
      <c r="A13" t="str">
        <f>IF(COUNT(Resultados!A13,Resultados!J13,Resultados!S13)&lt;=1, "", _xlfn.STDEV.S(ABS(Resultados!A13),ABS(Resultados!J13),ABS(Resultados!S13))/SQRT(COUNT(Resultados!A13,Resultados!J13,Resultados!S13)))</f>
        <v/>
      </c>
      <c r="B13" t="str">
        <f>IF(COUNT(Resultados!B13,Resultados!K13,Resultados!T13)&lt;=1, "", _xlfn.STDEV.S(ABS(Resultados!B13),ABS(Resultados!K13),ABS(Resultados!T13))/SQRT(COUNT(Resultados!B13,Resultados!K13,Resultados!T13)))</f>
        <v/>
      </c>
      <c r="C13">
        <f>IF(COUNT(Resultados!C13,Resultados!L13,Resultados!U13)&lt;=1, "", _xlfn.STDEV.S(ABS(Resultados!C13),ABS(Resultados!L13),ABS(Resultados!U13))/SQRT(COUNT(Resultados!C13,Resultados!L13,Resultados!U13)))</f>
        <v>0</v>
      </c>
      <c r="D13">
        <f>IF(COUNT(Resultados!D13,Resultados!M13,Resultados!V13)&lt;=1, "", _xlfn.STDEV.S(ABS(Resultados!D13),ABS(Resultados!M13),ABS(Resultados!V13))/SQRT(COUNT(Resultados!D13,Resultados!M13,Resultados!V13)))</f>
        <v>3.055050463303898E-4</v>
      </c>
      <c r="E13">
        <f>IF(COUNT(Resultados!E13,Resultados!N13,Resultados!W13)&lt;=1, "", _xlfn.STDEV.S(ABS(Resultados!E13),ABS(Resultados!N13),ABS(Resultados!W13))/SQRT(COUNT(Resultados!E13,Resultados!N13,Resultados!W13)))</f>
        <v>1.1701926665681429E-3</v>
      </c>
      <c r="F13">
        <f>IF(COUNT(Resultados!F13,Resultados!O13,Resultados!X13)&lt;=1, "", _xlfn.STDEV.S(ABS(Resultados!F13),ABS(Resultados!O13),ABS(Resultados!X13))/SQRT(COUNT(Resultados!F13,Resultados!O13,Resultados!X13)))</f>
        <v>0.10906195652411613</v>
      </c>
      <c r="G13">
        <f>IF(COUNT(Resultados!G13,Resultados!P13,Resultados!Y13)&lt;=1, "", _xlfn.STDEV.S(ABS(Resultados!G13),ABS(Resultados!P13),ABS(Resultados!Y13))/SQRT(COUNT(Resultados!G13,Resultados!P13,Resultados!Y13)))</f>
        <v>0</v>
      </c>
      <c r="H13">
        <f>IF(COUNT(Resultados!H13,Resultados!Q13,Resultados!Z13)&lt;=1, "", _xlfn.STDEV.S(ABS(Resultados!H13),ABS(Resultados!Q13),ABS(Resultados!Z13))/SQRT(COUNT(Resultados!H13,Resultados!Q13,Resultados!Z13)))</f>
        <v>3.333333333333198E-5</v>
      </c>
      <c r="I13">
        <f>IF(COUNT(Resultados!I13,Resultados!R13,Resultados!AA13)&lt;=1, "", _xlfn.STDEV.S(ABS(Resultados!I13),ABS(Resultados!R13),ABS(Resultados!AA13))/SQRT(COUNT(Resultados!I13,Resultados!R13,Resultados!AA13)))</f>
        <v>1.003333333333245E-3</v>
      </c>
    </row>
    <row r="14" spans="1:9" x14ac:dyDescent="0.3">
      <c r="A14" t="str">
        <f>IF(COUNT(Resultados!A14,Resultados!J14,Resultados!S14)&lt;=1, "", _xlfn.STDEV.S(ABS(Resultados!A14),ABS(Resultados!J14),ABS(Resultados!S14))/SQRT(COUNT(Resultados!A14,Resultados!J14,Resultados!S14)))</f>
        <v/>
      </c>
      <c r="B14" t="str">
        <f>IF(COUNT(Resultados!B14,Resultados!K14,Resultados!T14)&lt;=1, "", _xlfn.STDEV.S(ABS(Resultados!B14),ABS(Resultados!K14),ABS(Resultados!T14))/SQRT(COUNT(Resultados!B14,Resultados!K14,Resultados!T14)))</f>
        <v/>
      </c>
      <c r="C14">
        <f>IF(COUNT(Resultados!C14,Resultados!L14,Resultados!U14)&lt;=1, "", _xlfn.STDEV.S(ABS(Resultados!C14),ABS(Resultados!L14),ABS(Resultados!U14))/SQRT(COUNT(Resultados!C14,Resultados!L14,Resultados!U14)))</f>
        <v>0</v>
      </c>
      <c r="D14">
        <f>IF(COUNT(Resultados!D14,Resultados!M14,Resultados!V14)&lt;=1, "", _xlfn.STDEV.S(ABS(Resultados!D14),ABS(Resultados!M14),ABS(Resultados!V14))/SQRT(COUNT(Resultados!D14,Resultados!M14,Resultados!V14)))</f>
        <v>3.7564758898615564E-4</v>
      </c>
      <c r="E14">
        <f>IF(COUNT(Resultados!E14,Resultados!N14,Resultados!W14)&lt;=1, "", _xlfn.STDEV.S(ABS(Resultados!E14),ABS(Resultados!N14),ABS(Resultados!W14))/SQRT(COUNT(Resultados!E14,Resultados!N14,Resultados!W14)))</f>
        <v>8.0160929195139492E-4</v>
      </c>
      <c r="F14">
        <f>IF(COUNT(Resultados!F14,Resultados!O14,Resultados!X14)&lt;=1, "", _xlfn.STDEV.S(ABS(Resultados!F14),ABS(Resultados!O14),ABS(Resultados!X14))/SQRT(COUNT(Resultados!F14,Resultados!O14,Resultados!X14)))</f>
        <v>7.4709986009986823E-2</v>
      </c>
      <c r="G14">
        <f>IF(COUNT(Resultados!G14,Resultados!P14,Resultados!Y14)&lt;=1, "", _xlfn.STDEV.S(ABS(Resultados!G14),ABS(Resultados!P14),ABS(Resultados!Y14))/SQRT(COUNT(Resultados!G14,Resultados!P14,Resultados!Y14)))</f>
        <v>0</v>
      </c>
      <c r="H14">
        <f>IF(COUNT(Resultados!H14,Resultados!Q14,Resultados!Z14)&lt;=1, "", _xlfn.STDEV.S(ABS(Resultados!H14),ABS(Resultados!Q14),ABS(Resultados!Z14))/SQRT(COUNT(Resultados!H14,Resultados!Q14,Resultados!Z14)))</f>
        <v>3.333333333333429E-5</v>
      </c>
      <c r="I14">
        <f>IF(COUNT(Resultados!I14,Resultados!R14,Resultados!AA14)&lt;=1, "", _xlfn.STDEV.S(ABS(Resultados!I14),ABS(Resultados!R14),ABS(Resultados!AA14))/SQRT(COUNT(Resultados!I14,Resultados!R14,Resultados!AA14)))</f>
        <v>6.3333333333185737E-4</v>
      </c>
    </row>
    <row r="15" spans="1:9" x14ac:dyDescent="0.3">
      <c r="A15" t="str">
        <f>IF(COUNT(Resultados!A15,Resultados!J15,Resultados!S15)&lt;=1, "", _xlfn.STDEV.S(ABS(Resultados!A15),ABS(Resultados!J15),ABS(Resultados!S15))/SQRT(COUNT(Resultados!A15,Resultados!J15,Resultados!S15)))</f>
        <v/>
      </c>
      <c r="B15" t="str">
        <f>IF(COUNT(Resultados!B15,Resultados!K15,Resultados!T15)&lt;=1, "", _xlfn.STDEV.S(ABS(Resultados!B15),ABS(Resultados!K15),ABS(Resultados!T15))/SQRT(COUNT(Resultados!B15,Resultados!K15,Resultados!T15)))</f>
        <v/>
      </c>
      <c r="C15">
        <f>IF(COUNT(Resultados!C15,Resultados!L15,Resultados!U15)&lt;=1, "", _xlfn.STDEV.S(ABS(Resultados!C15),ABS(Resultados!L15),ABS(Resultados!U15))/SQRT(COUNT(Resultados!C15,Resultados!L15,Resultados!U15)))</f>
        <v>0</v>
      </c>
      <c r="D15">
        <f>IF(COUNT(Resultados!D15,Resultados!M15,Resultados!V15)&lt;=1, "", _xlfn.STDEV.S(ABS(Resultados!D15),ABS(Resultados!M15),ABS(Resultados!V15))/SQRT(COUNT(Resultados!D15,Resultados!M15,Resultados!V15)))</f>
        <v>3.6666666666666564E-4</v>
      </c>
      <c r="E15">
        <f>IF(COUNT(Resultados!E15,Resultados!N15,Resultados!W15)&lt;=1, "", _xlfn.STDEV.S(ABS(Resultados!E15),ABS(Resultados!N15),ABS(Resultados!W15))/SQRT(COUNT(Resultados!E15,Resultados!N15,Resultados!W15)))</f>
        <v>1.4337349650933263E-3</v>
      </c>
      <c r="F15">
        <f>IF(COUNT(Resultados!F15,Resultados!O15,Resultados!X15)&lt;=1, "", _xlfn.STDEV.S(ABS(Resultados!F15),ABS(Resultados!O15),ABS(Resultados!X15))/SQRT(COUNT(Resultados!F15,Resultados!O15,Resultados!X15)))</f>
        <v>0.13362409874649542</v>
      </c>
      <c r="G15">
        <f>IF(COUNT(Resultados!G15,Resultados!P15,Resultados!Y15)&lt;=1, "", _xlfn.STDEV.S(ABS(Resultados!G15),ABS(Resultados!P15),ABS(Resultados!Y15))/SQRT(COUNT(Resultados!G15,Resultados!P15,Resultados!Y15)))</f>
        <v>0</v>
      </c>
      <c r="H15">
        <f>IF(COUNT(Resultados!H15,Resultados!Q15,Resultados!Z15)&lt;=1, "", _xlfn.STDEV.S(ABS(Resultados!H15),ABS(Resultados!Q15),ABS(Resultados!Z15))/SQRT(COUNT(Resultados!H15,Resultados!Q15,Resultados!Z15)))</f>
        <v>3.333333333333429E-5</v>
      </c>
      <c r="I15">
        <f>IF(COUNT(Resultados!I15,Resultados!R15,Resultados!AA15)&lt;=1, "", _xlfn.STDEV.S(ABS(Resultados!I15),ABS(Resultados!R15),ABS(Resultados!AA15))/SQRT(COUNT(Resultados!I15,Resultados!R15,Resultados!AA15)))</f>
        <v>2.9666666666727792E-4</v>
      </c>
    </row>
    <row r="16" spans="1:9" x14ac:dyDescent="0.3">
      <c r="A16" t="str">
        <f>IF(COUNT(Resultados!A16,Resultados!J16,Resultados!S16)&lt;=1, "", _xlfn.STDEV.S(ABS(Resultados!A16),ABS(Resultados!J16),ABS(Resultados!S16))/SQRT(COUNT(Resultados!A16,Resultados!J16,Resultados!S16)))</f>
        <v/>
      </c>
      <c r="B16" t="str">
        <f>IF(COUNT(Resultados!B16,Resultados!K16,Resultados!T16)&lt;=1, "", _xlfn.STDEV.S(ABS(Resultados!B16),ABS(Resultados!K16),ABS(Resultados!T16))/SQRT(COUNT(Resultados!B16,Resultados!K16,Resultados!T16)))</f>
        <v/>
      </c>
      <c r="C16">
        <f>IF(COUNT(Resultados!C16,Resultados!L16,Resultados!U16)&lt;=1, "", _xlfn.STDEV.S(ABS(Resultados!C16),ABS(Resultados!L16),ABS(Resultados!U16))/SQRT(COUNT(Resultados!C16,Resultados!L16,Resultados!U16)))</f>
        <v>0</v>
      </c>
      <c r="D16">
        <f>IF(COUNT(Resultados!D16,Resultados!M16,Resultados!V16)&lt;=1, "", _xlfn.STDEV.S(ABS(Resultados!D16),ABS(Resultados!M16),ABS(Resultados!V16))/SQRT(COUNT(Resultados!D16,Resultados!M16,Resultados!V16)))</f>
        <v>6.6666666666666263E-5</v>
      </c>
      <c r="E16">
        <f>IF(COUNT(Resultados!E16,Resultados!N16,Resultados!W16)&lt;=1, "", _xlfn.STDEV.S(ABS(Resultados!E16),ABS(Resultados!N16),ABS(Resultados!W16))/SQRT(COUNT(Resultados!E16,Resultados!N16,Resultados!W16)))</f>
        <v>2.1454221152943449E-3</v>
      </c>
      <c r="F16">
        <f>IF(COUNT(Resultados!F16,Resultados!O16,Resultados!X16)&lt;=1, "", _xlfn.STDEV.S(ABS(Resultados!F16),ABS(Resultados!O16),ABS(Resultados!X16))/SQRT(COUNT(Resultados!F16,Resultados!O16,Resultados!X16)))</f>
        <v>0.199953341145722</v>
      </c>
      <c r="G16">
        <f>IF(COUNT(Resultados!G16,Resultados!P16,Resultados!Y16)&lt;=1, "", _xlfn.STDEV.S(ABS(Resultados!G16),ABS(Resultados!P16),ABS(Resultados!Y16))/SQRT(COUNT(Resultados!G16,Resultados!P16,Resultados!Y16)))</f>
        <v>0</v>
      </c>
      <c r="H16">
        <f>IF(COUNT(Resultados!H16,Resultados!Q16,Resultados!Z16)&lt;=1, "", _xlfn.STDEV.S(ABS(Resultados!H16),ABS(Resultados!Q16),ABS(Resultados!Z16))/SQRT(COUNT(Resultados!H16,Resultados!Q16,Resultados!Z16)))</f>
        <v>3.333333333333429E-5</v>
      </c>
      <c r="I16">
        <f>IF(COUNT(Resultados!I16,Resultados!R16,Resultados!AA16)&lt;=1, "", _xlfn.STDEV.S(ABS(Resultados!I16),ABS(Resultados!R16),ABS(Resultados!AA16))/SQRT(COUNT(Resultados!I16,Resultados!R16,Resultados!AA16)))</f>
        <v>2.6666666666841369E-5</v>
      </c>
    </row>
    <row r="17" spans="1:9" x14ac:dyDescent="0.3">
      <c r="A17" t="str">
        <f>IF(COUNT(Resultados!A17,Resultados!J17,Resultados!S17)&lt;=1, "", _xlfn.STDEV.S(ABS(Resultados!A17),ABS(Resultados!J17),ABS(Resultados!S17))/SQRT(COUNT(Resultados!A17,Resultados!J17,Resultados!S17)))</f>
        <v/>
      </c>
      <c r="B17" t="str">
        <f>IF(COUNT(Resultados!B17,Resultados!K17,Resultados!T17)&lt;=1, "", _xlfn.STDEV.S(ABS(Resultados!B17),ABS(Resultados!K17),ABS(Resultados!T17))/SQRT(COUNT(Resultados!B17,Resultados!K17,Resultados!T17)))</f>
        <v/>
      </c>
      <c r="C17">
        <f>IF(COUNT(Resultados!C17,Resultados!L17,Resultados!U17)&lt;=1, "", _xlfn.STDEV.S(ABS(Resultados!C17),ABS(Resultados!L17),ABS(Resultados!U17))/SQRT(COUNT(Resultados!C17,Resultados!L17,Resultados!U17)))</f>
        <v>0</v>
      </c>
      <c r="D17">
        <f>IF(COUNT(Resultados!D17,Resultados!M17,Resultados!V17)&lt;=1, "", _xlfn.STDEV.S(ABS(Resultados!D17),ABS(Resultados!M17),ABS(Resultados!V17))/SQRT(COUNT(Resultados!D17,Resultados!M17,Resultados!V17)))</f>
        <v>1.5275252316519525E-4</v>
      </c>
      <c r="E17">
        <f>IF(COUNT(Resultados!E17,Resultados!N17,Resultados!W17)&lt;=1, "", _xlfn.STDEV.S(ABS(Resultados!E17),ABS(Resultados!N17),ABS(Resultados!W17))/SQRT(COUNT(Resultados!E17,Resultados!N17,Resultados!W17)))</f>
        <v>2.5168364802821792E-3</v>
      </c>
      <c r="F17">
        <f>IF(COUNT(Resultados!F17,Resultados!O17,Resultados!X17)&lt;=1, "", _xlfn.STDEV.S(ABS(Resultados!F17),ABS(Resultados!O17),ABS(Resultados!X17))/SQRT(COUNT(Resultados!F17,Resultados!O17,Resultados!X17)))</f>
        <v>0.23456915996237354</v>
      </c>
      <c r="G17">
        <f>IF(COUNT(Resultados!G17,Resultados!P17,Resultados!Y17)&lt;=1, "", _xlfn.STDEV.S(ABS(Resultados!G17),ABS(Resultados!P17),ABS(Resultados!Y17))/SQRT(COUNT(Resultados!G17,Resultados!P17,Resultados!Y17)))</f>
        <v>0</v>
      </c>
      <c r="H17">
        <f>IF(COUNT(Resultados!H17,Resultados!Q17,Resultados!Z17)&lt;=1, "", _xlfn.STDEV.S(ABS(Resultados!H17),ABS(Resultados!Q17),ABS(Resultados!Z17))/SQRT(COUNT(Resultados!H17,Resultados!Q17,Resultados!Z17)))</f>
        <v>3.333333333333198E-5</v>
      </c>
      <c r="I17">
        <f>IF(COUNT(Resultados!I17,Resultados!R17,Resultados!AA17)&lt;=1, "", _xlfn.STDEV.S(ABS(Resultados!I17),ABS(Resultados!R17),ABS(Resultados!AA17))/SQRT(COUNT(Resultados!I17,Resultados!R17,Resultados!AA17)))</f>
        <v>9.2666666666592812E-4</v>
      </c>
    </row>
    <row r="18" spans="1:9" x14ac:dyDescent="0.3">
      <c r="A18" t="str">
        <f>IF(COUNT(Resultados!A18,Resultados!J18,Resultados!S18)&lt;=1, "", _xlfn.STDEV.S(ABS(Resultados!A18),ABS(Resultados!J18),ABS(Resultados!S18))/SQRT(COUNT(Resultados!A18,Resultados!J18,Resultados!S18)))</f>
        <v/>
      </c>
      <c r="B18" t="str">
        <f>IF(COUNT(Resultados!B18,Resultados!K18,Resultados!T18)&lt;=1, "", _xlfn.STDEV.S(ABS(Resultados!B18),ABS(Resultados!K18),ABS(Resultados!T18))/SQRT(COUNT(Resultados!B18,Resultados!K18,Resultados!T18)))</f>
        <v/>
      </c>
      <c r="C18">
        <f>IF(COUNT(Resultados!C18,Resultados!L18,Resultados!U18)&lt;=1, "", _xlfn.STDEV.S(ABS(Resultados!C18),ABS(Resultados!L18),ABS(Resultados!U18))/SQRT(COUNT(Resultados!C18,Resultados!L18,Resultados!U18)))</f>
        <v>0</v>
      </c>
      <c r="D18">
        <f>IF(COUNT(Resultados!D18,Resultados!M18,Resultados!V18)&lt;=1, "", _xlfn.STDEV.S(ABS(Resultados!D18),ABS(Resultados!M18),ABS(Resultados!V18))/SQRT(COUNT(Resultados!D18,Resultados!M18,Resultados!V18)))</f>
        <v>5.7735026918962233E-5</v>
      </c>
      <c r="E18">
        <f>IF(COUNT(Resultados!E18,Resultados!N18,Resultados!W18)&lt;=1, "", _xlfn.STDEV.S(ABS(Resultados!E18),ABS(Resultados!N18),ABS(Resultados!W18))/SQRT(COUNT(Resultados!E18,Resultados!N18,Resultados!W18)))</f>
        <v>1.7086574127323291E-3</v>
      </c>
      <c r="F18">
        <f>IF(COUNT(Resultados!F18,Resultados!O18,Resultados!X18)&lt;=1, "", _xlfn.STDEV.S(ABS(Resultados!F18),ABS(Resultados!O18),ABS(Resultados!X18))/SQRT(COUNT(Resultados!F18,Resultados!O18,Resultados!X18)))</f>
        <v>0.1592468708664713</v>
      </c>
      <c r="G18">
        <f>IF(COUNT(Resultados!G18,Resultados!P18,Resultados!Y18)&lt;=1, "", _xlfn.STDEV.S(ABS(Resultados!G18),ABS(Resultados!P18),ABS(Resultados!Y18))/SQRT(COUNT(Resultados!G18,Resultados!P18,Resultados!Y18)))</f>
        <v>0</v>
      </c>
      <c r="H18">
        <f>IF(COUNT(Resultados!H18,Resultados!Q18,Resultados!Z18)&lt;=1, "", _xlfn.STDEV.S(ABS(Resultados!H18),ABS(Resultados!Q18),ABS(Resultados!Z18))/SQRT(COUNT(Resultados!H18,Resultados!Q18,Resultados!Z18)))</f>
        <v>3.3333333333333138E-5</v>
      </c>
      <c r="I18">
        <f>IF(COUNT(Resultados!I18,Resultados!R18,Resultados!AA18)&lt;=1, "", _xlfn.STDEV.S(ABS(Resultados!I18),ABS(Resultados!R18),ABS(Resultados!AA18))/SQRT(COUNT(Resultados!I18,Resultados!R18,Resultados!AA18)))</f>
        <v>1.3666666666622973E-4</v>
      </c>
    </row>
    <row r="19" spans="1:9" x14ac:dyDescent="0.3">
      <c r="A19" t="str">
        <f>IF(COUNT(Resultados!A19,Resultados!J19,Resultados!S19)&lt;=1, "", _xlfn.STDEV.S(ABS(Resultados!A19),ABS(Resultados!J19),ABS(Resultados!S19))/SQRT(COUNT(Resultados!A19,Resultados!J19,Resultados!S19)))</f>
        <v/>
      </c>
      <c r="B19" t="str">
        <f>IF(COUNT(Resultados!B19,Resultados!K19,Resultados!T19)&lt;=1, "", _xlfn.STDEV.S(ABS(Resultados!B19),ABS(Resultados!K19),ABS(Resultados!T19))/SQRT(COUNT(Resultados!B19,Resultados!K19,Resultados!T19)))</f>
        <v/>
      </c>
      <c r="C19">
        <f>IF(COUNT(Resultados!C19,Resultados!L19,Resultados!U19)&lt;=1, "", _xlfn.STDEV.S(ABS(Resultados!C19),ABS(Resultados!L19),ABS(Resultados!U19))/SQRT(COUNT(Resultados!C19,Resultados!L19,Resultados!U19)))</f>
        <v>0</v>
      </c>
      <c r="D19">
        <f>IF(COUNT(Resultados!D19,Resultados!M19,Resultados!V19)&lt;=1, "", _xlfn.STDEV.S(ABS(Resultados!D19),ABS(Resultados!M19),ABS(Resultados!V19))/SQRT(COUNT(Resultados!D19,Resultados!M19,Resultados!V19)))</f>
        <v>2.0816659994661287E-4</v>
      </c>
      <c r="E19">
        <f>IF(COUNT(Resultados!E19,Resultados!N19,Resultados!W19)&lt;=1, "", _xlfn.STDEV.S(ABS(Resultados!E19),ABS(Resultados!N19),ABS(Resultados!W19))/SQRT(COUNT(Resultados!E19,Resultados!N19,Resultados!W19)))</f>
        <v>1.6152218703156644E-3</v>
      </c>
      <c r="F19">
        <f>IF(COUNT(Resultados!F19,Resultados!O19,Resultados!X19)&lt;=1, "", _xlfn.STDEV.S(ABS(Resultados!F19),ABS(Resultados!O19),ABS(Resultados!X19))/SQRT(COUNT(Resultados!F19,Resultados!O19,Resultados!X19)))</f>
        <v>0.15053867831317858</v>
      </c>
      <c r="G19">
        <f>IF(COUNT(Resultados!G19,Resultados!P19,Resultados!Y19)&lt;=1, "", _xlfn.STDEV.S(ABS(Resultados!G19),ABS(Resultados!P19),ABS(Resultados!Y19))/SQRT(COUNT(Resultados!G19,Resultados!P19,Resultados!Y19)))</f>
        <v>0</v>
      </c>
      <c r="H19">
        <f>IF(COUNT(Resultados!H19,Resultados!Q19,Resultados!Z19)&lt;=1, "", _xlfn.STDEV.S(ABS(Resultados!H19),ABS(Resultados!Q19),ABS(Resultados!Z19))/SQRT(COUNT(Resultados!H19,Resultados!Q19,Resultados!Z19)))</f>
        <v>3.3333333333333132E-5</v>
      </c>
      <c r="I19">
        <f>IF(COUNT(Resultados!I19,Resultados!R19,Resultados!AA19)&lt;=1, "", _xlfn.STDEV.S(ABS(Resultados!I19),ABS(Resultados!R19),ABS(Resultados!AA19))/SQRT(COUNT(Resultados!I19,Resultados!R19,Resultados!AA19)))</f>
        <v>6.9999999999955298E-4</v>
      </c>
    </row>
    <row r="20" spans="1:9" x14ac:dyDescent="0.3">
      <c r="A20" t="str">
        <f>IF(COUNT(Resultados!A20,Resultados!J20,Resultados!S20)&lt;=1, "", _xlfn.STDEV.S(ABS(Resultados!A20),ABS(Resultados!J20),ABS(Resultados!S20))/SQRT(COUNT(Resultados!A20,Resultados!J20,Resultados!S20)))</f>
        <v/>
      </c>
      <c r="B20" t="str">
        <f>IF(COUNT(Resultados!B20,Resultados!K20,Resultados!T20)&lt;=1, "", _xlfn.STDEV.S(ABS(Resultados!B20),ABS(Resultados!K20),ABS(Resultados!T20))/SQRT(COUNT(Resultados!B20,Resultados!K20,Resultados!T20)))</f>
        <v/>
      </c>
      <c r="C20">
        <f>IF(COUNT(Resultados!C20,Resultados!L20,Resultados!U20)&lt;=1, "", _xlfn.STDEV.S(ABS(Resultados!C20),ABS(Resultados!L20),ABS(Resultados!U20))/SQRT(COUNT(Resultados!C20,Resultados!L20,Resultados!U20)))</f>
        <v>0</v>
      </c>
      <c r="D20">
        <f>IF(COUNT(Resultados!D20,Resultados!M20,Resultados!V20)&lt;=1, "", _xlfn.STDEV.S(ABS(Resultados!D20),ABS(Resultados!M20),ABS(Resultados!V20))/SQRT(COUNT(Resultados!D20,Resultados!M20,Resultados!V20)))</f>
        <v>5.7735026918963229E-5</v>
      </c>
      <c r="E20">
        <f>IF(COUNT(Resultados!E20,Resultados!N20,Resultados!W20)&lt;=1, "", _xlfn.STDEV.S(ABS(Resultados!E20),ABS(Resultados!N20),ABS(Resultados!W20))/SQRT(COUNT(Resultados!E20,Resultados!N20,Resultados!W20)))</f>
        <v>1.1161525227672711E-3</v>
      </c>
      <c r="F20">
        <f>IF(COUNT(Resultados!F20,Resultados!O20,Resultados!X20)&lt;=1, "", _xlfn.STDEV.S(ABS(Resultados!F20),ABS(Resultados!O20),ABS(Resultados!X20))/SQRT(COUNT(Resultados!F20,Resultados!O20,Resultados!X20)))</f>
        <v>0.10402541512196468</v>
      </c>
      <c r="G20">
        <f>IF(COUNT(Resultados!G20,Resultados!P20,Resultados!Y20)&lt;=1, "", _xlfn.STDEV.S(ABS(Resultados!G20),ABS(Resultados!P20),ABS(Resultados!Y20))/SQRT(COUNT(Resultados!G20,Resultados!P20,Resultados!Y20)))</f>
        <v>0</v>
      </c>
      <c r="H20">
        <f>IF(COUNT(Resultados!H20,Resultados!Q20,Resultados!Z20)&lt;=1, "", _xlfn.STDEV.S(ABS(Resultados!H20),ABS(Resultados!Q20),ABS(Resultados!Z20))/SQRT(COUNT(Resultados!H20,Resultados!Q20,Resultados!Z20)))</f>
        <v>6.1331736667334958E-19</v>
      </c>
      <c r="I20">
        <f>IF(COUNT(Resultados!I20,Resultados!R20,Resultados!AA20)&lt;=1, "", _xlfn.STDEV.S(ABS(Resultados!I20),ABS(Resultados!R20),ABS(Resultados!AA20))/SQRT(COUNT(Resultados!I20,Resultados!R20,Resultados!AA20)))</f>
        <v>3.0333333333487644E-4</v>
      </c>
    </row>
    <row r="21" spans="1:9" x14ac:dyDescent="0.3">
      <c r="A21" t="str">
        <f>IF(COUNT(Resultados!A21,Resultados!J21,Resultados!S21)&lt;=1, "", _xlfn.STDEV.S(ABS(Resultados!A21),ABS(Resultados!J21),ABS(Resultados!S21))/SQRT(COUNT(Resultados!A21,Resultados!J21,Resultados!S21)))</f>
        <v/>
      </c>
      <c r="B21" t="str">
        <f>IF(COUNT(Resultados!B21,Resultados!K21,Resultados!T21)&lt;=1, "", _xlfn.STDEV.S(ABS(Resultados!B21),ABS(Resultados!K21),ABS(Resultados!T21))/SQRT(COUNT(Resultados!B21,Resultados!K21,Resultados!T21)))</f>
        <v/>
      </c>
      <c r="C21">
        <f>IF(COUNT(Resultados!C21,Resultados!L21,Resultados!U21)&lt;=1, "", _xlfn.STDEV.S(ABS(Resultados!C21),ABS(Resultados!L21),ABS(Resultados!U21))/SQRT(COUNT(Resultados!C21,Resultados!L21,Resultados!U21)))</f>
        <v>0</v>
      </c>
      <c r="D21">
        <f>IF(COUNT(Resultados!D21,Resultados!M21,Resultados!V21)&lt;=1, "", _xlfn.STDEV.S(ABS(Resultados!D21),ABS(Resultados!M21),ABS(Resultados!V21))/SQRT(COUNT(Resultados!D21,Resultados!M21,Resultados!V21)))</f>
        <v>4.3333333333333358E-4</v>
      </c>
      <c r="E21">
        <f>IF(COUNT(Resultados!E21,Resultados!N21,Resultados!W21)&lt;=1, "", _xlfn.STDEV.S(ABS(Resultados!E21),ABS(Resultados!N21),ABS(Resultados!W21))/SQRT(COUNT(Resultados!E21,Resultados!N21,Resultados!W21)))</f>
        <v>3.5469676775851713E-4</v>
      </c>
      <c r="F21">
        <f>IF(COUNT(Resultados!F21,Resultados!O21,Resultados!X21)&lt;=1, "", _xlfn.STDEV.S(ABS(Resultados!F21),ABS(Resultados!O21),ABS(Resultados!X21))/SQRT(COUNT(Resultados!F21,Resultados!O21,Resultados!X21)))</f>
        <v>3.3057738755259962E-2</v>
      </c>
      <c r="G21">
        <f>IF(COUNT(Resultados!G21,Resultados!P21,Resultados!Y21)&lt;=1, "", _xlfn.STDEV.S(ABS(Resultados!G21),ABS(Resultados!P21),ABS(Resultados!Y21))/SQRT(COUNT(Resultados!G21,Resultados!P21,Resultados!Y21)))</f>
        <v>0</v>
      </c>
      <c r="H21">
        <f>IF(COUNT(Resultados!H21,Resultados!Q21,Resultados!Z21)&lt;=1, "", _xlfn.STDEV.S(ABS(Resultados!H21),ABS(Resultados!Q21),ABS(Resultados!Z21))/SQRT(COUNT(Resultados!H21,Resultados!Q21,Resultados!Z21)))</f>
        <v>1.5332934166833739E-19</v>
      </c>
      <c r="I21">
        <f>IF(COUNT(Resultados!I21,Resultados!R21,Resultados!AA21)&lt;=1, "", _xlfn.STDEV.S(ABS(Resultados!I21),ABS(Resultados!R21),ABS(Resultados!AA21))/SQRT(COUNT(Resultados!I21,Resultados!R21,Resultados!AA21)))</f>
        <v>1.2333333333221694E-4</v>
      </c>
    </row>
    <row r="22" spans="1:9" x14ac:dyDescent="0.3">
      <c r="A22" t="str">
        <f>IF(COUNT(Resultados!A22,Resultados!J22,Resultados!S22)&lt;=1, "", _xlfn.STDEV.S(ABS(Resultados!A22),ABS(Resultados!J22),ABS(Resultados!S22))/SQRT(COUNT(Resultados!A22,Resultados!J22,Resultados!S22)))</f>
        <v/>
      </c>
      <c r="B22" t="str">
        <f>IF(COUNT(Resultados!B22,Resultados!K22,Resultados!T22)&lt;=1, "", _xlfn.STDEV.S(ABS(Resultados!B22),ABS(Resultados!K22),ABS(Resultados!T22))/SQRT(COUNT(Resultados!B22,Resultados!K22,Resultados!T22)))</f>
        <v/>
      </c>
      <c r="C22">
        <f>IF(COUNT(Resultados!C22,Resultados!L22,Resultados!U22)&lt;=1, "", _xlfn.STDEV.S(ABS(Resultados!C22),ABS(Resultados!L22),ABS(Resultados!U22))/SQRT(COUNT(Resultados!C22,Resultados!L22,Resultados!U22)))</f>
        <v>0</v>
      </c>
      <c r="D22">
        <f>IF(COUNT(Resultados!D22,Resultados!M22,Resultados!V22)&lt;=1, "", _xlfn.STDEV.S(ABS(Resultados!D22),ABS(Resultados!M22),ABS(Resultados!V22))/SQRT(COUNT(Resultados!D22,Resultados!M22,Resultados!V22)))</f>
        <v>1.1547005383792497E-4</v>
      </c>
      <c r="E22">
        <f>IF(COUNT(Resultados!E22,Resultados!N22,Resultados!W22)&lt;=1, "", _xlfn.STDEV.S(ABS(Resultados!E22),ABS(Resultados!N22),ABS(Resultados!W22))/SQRT(COUNT(Resultados!E22,Resultados!N22,Resultados!W22)))</f>
        <v>3.5638039465012557E-6</v>
      </c>
      <c r="F22">
        <f>IF(COUNT(Resultados!F22,Resultados!O22,Resultados!X22)&lt;=1, "", _xlfn.STDEV.S(ABS(Resultados!F22),ABS(Resultados!O22),ABS(Resultados!X22))/SQRT(COUNT(Resultados!F22,Resultados!O22,Resultados!X22)))</f>
        <v>3.3214652764532681E-4</v>
      </c>
      <c r="G22">
        <f>IF(COUNT(Resultados!G22,Resultados!P22,Resultados!Y22)&lt;=1, "", _xlfn.STDEV.S(ABS(Resultados!G22),ABS(Resultados!P22),ABS(Resultados!Y22))/SQRT(COUNT(Resultados!G22,Resultados!P22,Resultados!Y22)))</f>
        <v>0</v>
      </c>
      <c r="H22">
        <f>IF(COUNT(Resultados!H22,Resultados!Q22,Resultados!Z22)&lt;=1, "", _xlfn.STDEV.S(ABS(Resultados!H22),ABS(Resultados!Q22),ABS(Resultados!Z22))/SQRT(COUNT(Resultados!H22,Resultados!Q22,Resultados!Z22)))</f>
        <v>0</v>
      </c>
      <c r="I22">
        <f>IF(COUNT(Resultados!I22,Resultados!R22,Resultados!AA22)&lt;=1, "", _xlfn.STDEV.S(ABS(Resultados!I22),ABS(Resultados!R22),ABS(Resultados!AA22))/SQRT(COUNT(Resultados!I22,Resultados!R22,Resultados!AA22)))</f>
        <v>6.8999999999874717E-4</v>
      </c>
    </row>
    <row r="23" spans="1:9" x14ac:dyDescent="0.3">
      <c r="A23" t="str">
        <f>IF(COUNT(Resultados!A23,Resultados!J23,Resultados!S23)&lt;=1, "", _xlfn.STDEV.S(ABS(Resultados!A23),ABS(Resultados!J23),ABS(Resultados!S23))/SQRT(COUNT(Resultados!A23,Resultados!J23,Resultados!S23)))</f>
        <v/>
      </c>
      <c r="B23" t="str">
        <f>IF(COUNT(Resultados!B23,Resultados!K23,Resultados!T23)&lt;=1, "", _xlfn.STDEV.S(ABS(Resultados!B23),ABS(Resultados!K23),ABS(Resultados!T23))/SQRT(COUNT(Resultados!B23,Resultados!K23,Resultados!T23)))</f>
        <v/>
      </c>
      <c r="C23">
        <f>IF(COUNT(Resultados!C23,Resultados!L23,Resultados!U23)&lt;=1, "", _xlfn.STDEV.S(ABS(Resultados!C23),ABS(Resultados!L23),ABS(Resultados!U23))/SQRT(COUNT(Resultados!C23,Resultados!L23,Resultados!U23)))</f>
        <v>0</v>
      </c>
      <c r="D23">
        <f>IF(COUNT(Resultados!D23,Resultados!M23,Resultados!V23)&lt;=1, "", _xlfn.STDEV.S(ABS(Resultados!D23),ABS(Resultados!M23),ABS(Resultados!V23))/SQRT(COUNT(Resultados!D23,Resultados!M23,Resultados!V23)))</f>
        <v>8.8191710368819672E-5</v>
      </c>
      <c r="E23">
        <f>IF(COUNT(Resultados!E23,Resultados!N23,Resultados!W23)&lt;=1, "", _xlfn.STDEV.S(ABS(Resultados!E23),ABS(Resultados!N23),ABS(Resultados!W23))/SQRT(COUNT(Resultados!E23,Resultados!N23,Resultados!W23)))</f>
        <v>2.1863811631382792E-3</v>
      </c>
      <c r="F23">
        <f>IF(COUNT(Resultados!F23,Resultados!O23,Resultados!X23)&lt;=1, "", _xlfn.STDEV.S(ABS(Resultados!F23),ABS(Resultados!O23),ABS(Resultados!X23))/SQRT(COUNT(Resultados!F23,Resultados!O23,Resultados!X23)))</f>
        <v>0.20748757238200305</v>
      </c>
      <c r="G23">
        <f>IF(COUNT(Resultados!G23,Resultados!P23,Resultados!Y23)&lt;=1, "", _xlfn.STDEV.S(ABS(Resultados!G23),ABS(Resultados!P23),ABS(Resultados!Y23))/SQRT(COUNT(Resultados!G23,Resultados!P23,Resultados!Y23)))</f>
        <v>0</v>
      </c>
      <c r="H23">
        <f>IF(COUNT(Resultados!H23,Resultados!Q23,Resultados!Z23)&lt;=1, "", _xlfn.STDEV.S(ABS(Resultados!H23),ABS(Resultados!Q23),ABS(Resultados!Z23))/SQRT(COUNT(Resultados!H23,Resultados!Q23,Resultados!Z23)))</f>
        <v>3.3333333333333281E-5</v>
      </c>
      <c r="I23">
        <f>IF(COUNT(Resultados!I23,Resultados!R23,Resultados!AA23)&lt;=1, "", _xlfn.STDEV.S(ABS(Resultados!I23),ABS(Resultados!R23),ABS(Resultados!AA23))/SQRT(COUNT(Resultados!I23,Resultados!R23,Resultados!AA23)))</f>
        <v>2.6333333333319331E-3</v>
      </c>
    </row>
    <row r="24" spans="1:9" x14ac:dyDescent="0.3">
      <c r="A24" t="str">
        <f>IF(COUNT(Resultados!A24,Resultados!J24,Resultados!S24)&lt;=1, "", _xlfn.STDEV.S(ABS(Resultados!A24),ABS(Resultados!J24),ABS(Resultados!S24))/SQRT(COUNT(Resultados!A24,Resultados!J24,Resultados!S24)))</f>
        <v/>
      </c>
      <c r="B24" t="str">
        <f>IF(COUNT(Resultados!B24,Resultados!K24,Resultados!T24)&lt;=1, "", _xlfn.STDEV.S(ABS(Resultados!B24),ABS(Resultados!K24),ABS(Resultados!T24))/SQRT(COUNT(Resultados!B24,Resultados!K24,Resultados!T24)))</f>
        <v/>
      </c>
      <c r="C24">
        <f>IF(COUNT(Resultados!C24,Resultados!L24,Resultados!U24)&lt;=1, "", _xlfn.STDEV.S(ABS(Resultados!C24),ABS(Resultados!L24),ABS(Resultados!U24))/SQRT(COUNT(Resultados!C24,Resultados!L24,Resultados!U24)))</f>
        <v>0</v>
      </c>
      <c r="D24">
        <f>IF(COUNT(Resultados!D24,Resultados!M24,Resultados!V24)&lt;=1, "", _xlfn.STDEV.S(ABS(Resultados!D24),ABS(Resultados!M24),ABS(Resultados!V24))/SQRT(COUNT(Resultados!D24,Resultados!M24,Resultados!V24)))</f>
        <v>1.4529663145135575E-4</v>
      </c>
      <c r="E24">
        <f>IF(COUNT(Resultados!E24,Resultados!N24,Resultados!W24)&lt;=1, "", _xlfn.STDEV.S(ABS(Resultados!E24),ABS(Resultados!N24),ABS(Resultados!W24))/SQRT(COUNT(Resultados!E24,Resultados!N24,Resultados!W24)))</f>
        <v>1.6113200381425215E-3</v>
      </c>
      <c r="F24">
        <f>IF(COUNT(Resultados!F24,Resultados!O24,Resultados!X24)&lt;=1, "", _xlfn.STDEV.S(ABS(Resultados!F24),ABS(Resultados!O24),ABS(Resultados!X24))/SQRT(COUNT(Resultados!F24,Resultados!O24,Resultados!X24)))</f>
        <v>0.1529142716196718</v>
      </c>
      <c r="G24">
        <f>IF(COUNT(Resultados!G24,Resultados!P24,Resultados!Y24)&lt;=1, "", _xlfn.STDEV.S(ABS(Resultados!G24),ABS(Resultados!P24),ABS(Resultados!Y24))/SQRT(COUNT(Resultados!G24,Resultados!P24,Resultados!Y24)))</f>
        <v>0</v>
      </c>
      <c r="H24">
        <f>IF(COUNT(Resultados!H24,Resultados!Q24,Resultados!Z24)&lt;=1, "", _xlfn.STDEV.S(ABS(Resultados!H24),ABS(Resultados!Q24),ABS(Resultados!Z24))/SQRT(COUNT(Resultados!H24,Resultados!Q24,Resultados!Z24)))</f>
        <v>3.3333333333333423E-5</v>
      </c>
      <c r="I24">
        <f>IF(COUNT(Resultados!I24,Resultados!R24,Resultados!AA24)&lt;=1, "", _xlfn.STDEV.S(ABS(Resultados!I24),ABS(Resultados!R24),ABS(Resultados!AA24))/SQRT(COUNT(Resultados!I24,Resultados!R24,Resultados!AA24)))</f>
        <v>3.6000000000058208E-4</v>
      </c>
    </row>
    <row r="25" spans="1:9" x14ac:dyDescent="0.3">
      <c r="A25" t="str">
        <f>IF(COUNT(Resultados!A25,Resultados!J25,Resultados!S25)&lt;=1, "", _xlfn.STDEV.S(ABS(Resultados!A25),ABS(Resultados!J25),ABS(Resultados!S25))/SQRT(COUNT(Resultados!A25,Resultados!J25,Resultados!S25)))</f>
        <v/>
      </c>
      <c r="B25" t="str">
        <f>IF(COUNT(Resultados!B25,Resultados!K25,Resultados!T25)&lt;=1, "", _xlfn.STDEV.S(ABS(Resultados!B25),ABS(Resultados!K25),ABS(Resultados!T25))/SQRT(COUNT(Resultados!B25,Resultados!K25,Resultados!T25)))</f>
        <v/>
      </c>
      <c r="C25">
        <f>IF(COUNT(Resultados!C25,Resultados!L25,Resultados!U25)&lt;=1, "", _xlfn.STDEV.S(ABS(Resultados!C25),ABS(Resultados!L25),ABS(Resultados!U25))/SQRT(COUNT(Resultados!C25,Resultados!L25,Resultados!U25)))</f>
        <v>0</v>
      </c>
      <c r="D25">
        <f>IF(COUNT(Resultados!D25,Resultados!M25,Resultados!V25)&lt;=1, "", _xlfn.STDEV.S(ABS(Resultados!D25),ABS(Resultados!M25),ABS(Resultados!V25))/SQRT(COUNT(Resultados!D25,Resultados!M25,Resultados!V25)))</f>
        <v>2.1858128414340003E-4</v>
      </c>
      <c r="E25">
        <f>IF(COUNT(Resultados!E25,Resultados!N25,Resultados!W25)&lt;=1, "", _xlfn.STDEV.S(ABS(Resultados!E25),ABS(Resultados!N25),ABS(Resultados!W25))/SQRT(COUNT(Resultados!E25,Resultados!N25,Resultados!W25)))</f>
        <v>1.9459021942832017E-3</v>
      </c>
      <c r="F25">
        <f>IF(COUNT(Resultados!F25,Resultados!O25,Resultados!X25)&lt;=1, "", _xlfn.STDEV.S(ABS(Resultados!F25),ABS(Resultados!O25),ABS(Resultados!X25))/SQRT(COUNT(Resultados!F25,Resultados!O25,Resultados!X25)))</f>
        <v>0.18466611823762896</v>
      </c>
      <c r="G25">
        <f>IF(COUNT(Resultados!G25,Resultados!P25,Resultados!Y25)&lt;=1, "", _xlfn.STDEV.S(ABS(Resultados!G25),ABS(Resultados!P25),ABS(Resultados!Y25))/SQRT(COUNT(Resultados!G25,Resultados!P25,Resultados!Y25)))</f>
        <v>0</v>
      </c>
      <c r="H25">
        <f>IF(COUNT(Resultados!H25,Resultados!Q25,Resultados!Z25)&lt;=1, "", _xlfn.STDEV.S(ABS(Resultados!H25),ABS(Resultados!Q25),ABS(Resultados!Z25))/SQRT(COUNT(Resultados!H25,Resultados!Q25,Resultados!Z25)))</f>
        <v>3.3333333333333714E-5</v>
      </c>
      <c r="I25">
        <f>IF(COUNT(Resultados!I25,Resultados!R25,Resultados!AA25)&lt;=1, "", _xlfn.STDEV.S(ABS(Resultados!I25),ABS(Resultados!R25),ABS(Resultados!AA25))/SQRT(COUNT(Resultados!I25,Resultados!R25,Resultados!AA25)))</f>
        <v>1.1833333333323517E-3</v>
      </c>
    </row>
    <row r="26" spans="1:9" x14ac:dyDescent="0.3">
      <c r="A26" t="str">
        <f>IF(COUNT(Resultados!A26,Resultados!J26,Resultados!S26)&lt;=1, "", _xlfn.STDEV.S(ABS(Resultados!A26),ABS(Resultados!J26),ABS(Resultados!S26))/SQRT(COUNT(Resultados!A26,Resultados!J26,Resultados!S26)))</f>
        <v/>
      </c>
      <c r="B26" t="str">
        <f>IF(COUNT(Resultados!B26,Resultados!K26,Resultados!T26)&lt;=1, "", _xlfn.STDEV.S(ABS(Resultados!B26),ABS(Resultados!K26),ABS(Resultados!T26))/SQRT(COUNT(Resultados!B26,Resultados!K26,Resultados!T26)))</f>
        <v/>
      </c>
      <c r="C26">
        <f>IF(COUNT(Resultados!C26,Resultados!L26,Resultados!U26)&lt;=1, "", _xlfn.STDEV.S(ABS(Resultados!C26),ABS(Resultados!L26),ABS(Resultados!U26))/SQRT(COUNT(Resultados!C26,Resultados!L26,Resultados!U26)))</f>
        <v>0</v>
      </c>
      <c r="D26">
        <f>IF(COUNT(Resultados!D26,Resultados!M26,Resultados!V26)&lt;=1, "", _xlfn.STDEV.S(ABS(Resultados!D26),ABS(Resultados!M26),ABS(Resultados!V26))/SQRT(COUNT(Resultados!D26,Resultados!M26,Resultados!V26)))</f>
        <v>2.8480012484391763E-4</v>
      </c>
      <c r="E26">
        <f>IF(COUNT(Resultados!E26,Resultados!N26,Resultados!W26)&lt;=1, "", _xlfn.STDEV.S(ABS(Resultados!E26),ABS(Resultados!N26),ABS(Resultados!W26))/SQRT(COUNT(Resultados!E26,Resultados!N26,Resultados!W26)))</f>
        <v>2.693376921673324E-3</v>
      </c>
      <c r="F26">
        <f>IF(COUNT(Resultados!F26,Resultados!O26,Resultados!X26)&lt;=1, "", _xlfn.STDEV.S(ABS(Resultados!F26),ABS(Resultados!O26),ABS(Resultados!X26))/SQRT(COUNT(Resultados!F26,Resultados!O26,Resultados!X26)))</f>
        <v>0.25560146986661458</v>
      </c>
      <c r="G26">
        <f>IF(COUNT(Resultados!G26,Resultados!P26,Resultados!Y26)&lt;=1, "", _xlfn.STDEV.S(ABS(Resultados!G26),ABS(Resultados!P26),ABS(Resultados!Y26))/SQRT(COUNT(Resultados!G26,Resultados!P26,Resultados!Y26)))</f>
        <v>0</v>
      </c>
      <c r="H26">
        <f>IF(COUNT(Resultados!H26,Resultados!Q26,Resultados!Z26)&lt;=1, "", _xlfn.STDEV.S(ABS(Resultados!H26),ABS(Resultados!Q26),ABS(Resultados!Z26))/SQRT(COUNT(Resultados!H26,Resultados!Q26,Resultados!Z26)))</f>
        <v>3.3333333333333132E-5</v>
      </c>
      <c r="I26">
        <f>IF(COUNT(Resultados!I26,Resultados!R26,Resultados!AA26)&lt;=1, "", _xlfn.STDEV.S(ABS(Resultados!I26),ABS(Resultados!R26),ABS(Resultados!AA26))/SQRT(COUNT(Resultados!I26,Resultados!R26,Resultados!AA26)))</f>
        <v>6.9333333333313862E-4</v>
      </c>
    </row>
    <row r="27" spans="1:9" x14ac:dyDescent="0.3">
      <c r="A27" t="str">
        <f>IF(COUNT(Resultados!A27,Resultados!J27,Resultados!S27)&lt;=1, "", _xlfn.STDEV.S(ABS(Resultados!A27),ABS(Resultados!J27),ABS(Resultados!S27))/SQRT(COUNT(Resultados!A27,Resultados!J27,Resultados!S27)))</f>
        <v/>
      </c>
      <c r="B27" t="str">
        <f>IF(COUNT(Resultados!B27,Resultados!K27,Resultados!T27)&lt;=1, "", _xlfn.STDEV.S(ABS(Resultados!B27),ABS(Resultados!K27),ABS(Resultados!T27))/SQRT(COUNT(Resultados!B27,Resultados!K27,Resultados!T27)))</f>
        <v/>
      </c>
      <c r="C27">
        <f>IF(COUNT(Resultados!C27,Resultados!L27,Resultados!U27)&lt;=1, "", _xlfn.STDEV.S(ABS(Resultados!C27),ABS(Resultados!L27),ABS(Resultados!U27))/SQRT(COUNT(Resultados!C27,Resultados!L27,Resultados!U27)))</f>
        <v>0</v>
      </c>
      <c r="D27">
        <f>IF(COUNT(Resultados!D27,Resultados!M27,Resultados!V27)&lt;=1, "", _xlfn.STDEV.S(ABS(Resultados!D27),ABS(Resultados!M27),ABS(Resultados!V27))/SQRT(COUNT(Resultados!D27,Resultados!M27,Resultados!V27)))</f>
        <v>4.0960685758148366E-4</v>
      </c>
      <c r="E27">
        <f>IF(COUNT(Resultados!E27,Resultados!N27,Resultados!W27)&lt;=1, "", _xlfn.STDEV.S(ABS(Resultados!E27),ABS(Resultados!N27),ABS(Resultados!W27))/SQRT(COUNT(Resultados!E27,Resultados!N27,Resultados!W27)))</f>
        <v>1.3957589213256685E-3</v>
      </c>
      <c r="F27">
        <f>IF(COUNT(Resultados!F27,Resultados!O27,Resultados!X27)&lt;=1, "", _xlfn.STDEV.S(ABS(Resultados!F27),ABS(Resultados!O27),ABS(Resultados!X27))/SQRT(COUNT(Resultados!F27,Resultados!O27,Resultados!X27)))</f>
        <v>0.13245752163387514</v>
      </c>
      <c r="G27">
        <f>IF(COUNT(Resultados!G27,Resultados!P27,Resultados!Y27)&lt;=1, "", _xlfn.STDEV.S(ABS(Resultados!G27),ABS(Resultados!P27),ABS(Resultados!Y27))/SQRT(COUNT(Resultados!G27,Resultados!P27,Resultados!Y27)))</f>
        <v>0</v>
      </c>
      <c r="H27">
        <f>IF(COUNT(Resultados!H27,Resultados!Q27,Resultados!Z27)&lt;=1, "", _xlfn.STDEV.S(ABS(Resultados!H27),ABS(Resultados!Q27),ABS(Resultados!Z27))/SQRT(COUNT(Resultados!H27,Resultados!Q27,Resultados!Z27)))</f>
        <v>3.333333333333429E-5</v>
      </c>
      <c r="I27">
        <f>IF(COUNT(Resultados!I27,Resultados!R27,Resultados!AA27)&lt;=1, "", _xlfn.STDEV.S(ABS(Resultados!I27),ABS(Resultados!R27),ABS(Resultados!AA27))/SQRT(COUNT(Resultados!I27,Resultados!R27,Resultados!AA27)))</f>
        <v>6.5333333333346866E-4</v>
      </c>
    </row>
    <row r="28" spans="1:9" x14ac:dyDescent="0.3">
      <c r="A28" t="str">
        <f>IF(COUNT(Resultados!A28,Resultados!J28,Resultados!S28)&lt;=1, "", _xlfn.STDEV.S(ABS(Resultados!A28),ABS(Resultados!J28),ABS(Resultados!S28))/SQRT(COUNT(Resultados!A28,Resultados!J28,Resultados!S28)))</f>
        <v/>
      </c>
      <c r="B28" t="str">
        <f>IF(COUNT(Resultados!B28,Resultados!K28,Resultados!T28)&lt;=1, "", _xlfn.STDEV.S(ABS(Resultados!B28),ABS(Resultados!K28),ABS(Resultados!T28))/SQRT(COUNT(Resultados!B28,Resultados!K28,Resultados!T28)))</f>
        <v/>
      </c>
      <c r="C28">
        <f>IF(COUNT(Resultados!C28,Resultados!L28,Resultados!U28)&lt;=1, "", _xlfn.STDEV.S(ABS(Resultados!C28),ABS(Resultados!L28),ABS(Resultados!U28))/SQRT(COUNT(Resultados!C28,Resultados!L28,Resultados!U28)))</f>
        <v>0</v>
      </c>
      <c r="D28">
        <f>IF(COUNT(Resultados!D28,Resultados!M28,Resultados!V28)&lt;=1, "", _xlfn.STDEV.S(ABS(Resultados!D28),ABS(Resultados!M28),ABS(Resultados!V28))/SQRT(COUNT(Resultados!D28,Resultados!M28,Resultados!V28)))</f>
        <v>1.527525231651949E-4</v>
      </c>
      <c r="E28">
        <f>IF(COUNT(Resultados!E28,Resultados!N28,Resultados!W28)&lt;=1, "", _xlfn.STDEV.S(ABS(Resultados!E28),ABS(Resultados!N28),ABS(Resultados!W28))/SQRT(COUNT(Resultados!E28,Resultados!N28,Resultados!W28)))</f>
        <v>9.8710222549852644E-4</v>
      </c>
      <c r="F28">
        <f>IF(COUNT(Resultados!F28,Resultados!O28,Resultados!X28)&lt;=1, "", _xlfn.STDEV.S(ABS(Resultados!F28),ABS(Resultados!O28),ABS(Resultados!X28))/SQRT(COUNT(Resultados!F28,Resultados!O28,Resultados!X28)))</f>
        <v>9.3676001199500813E-2</v>
      </c>
      <c r="G28">
        <f>IF(COUNT(Resultados!G28,Resultados!P28,Resultados!Y28)&lt;=1, "", _xlfn.STDEV.S(ABS(Resultados!G28),ABS(Resultados!P28),ABS(Resultados!Y28))/SQRT(COUNT(Resultados!G28,Resultados!P28,Resultados!Y28)))</f>
        <v>0</v>
      </c>
      <c r="H28">
        <f>IF(COUNT(Resultados!H28,Resultados!Q28,Resultados!Z28)&lt;=1, "", _xlfn.STDEV.S(ABS(Resultados!H28),ABS(Resultados!Q28),ABS(Resultados!Z28))/SQRT(COUNT(Resultados!H28,Resultados!Q28,Resultados!Z28)))</f>
        <v>3.333333333333198E-5</v>
      </c>
      <c r="I28">
        <f>IF(COUNT(Resultados!I28,Resultados!R28,Resultados!AA28)&lt;=1, "", _xlfn.STDEV.S(ABS(Resultados!I28),ABS(Resultados!R28),ABS(Resultados!AA28))/SQRT(COUNT(Resultados!I28,Resultados!R28,Resultados!AA28)))</f>
        <v>6.9333333333313862E-4</v>
      </c>
    </row>
    <row r="29" spans="1:9" x14ac:dyDescent="0.3">
      <c r="A29" t="str">
        <f>IF(COUNT(Resultados!A29,Resultados!J29,Resultados!S29)&lt;=1, "", _xlfn.STDEV.S(ABS(Resultados!A29),ABS(Resultados!J29),ABS(Resultados!S29))/SQRT(COUNT(Resultados!A29,Resultados!J29,Resultados!S29)))</f>
        <v/>
      </c>
      <c r="B29" t="str">
        <f>IF(COUNT(Resultados!B29,Resultados!K29,Resultados!T29)&lt;=1, "", _xlfn.STDEV.S(ABS(Resultados!B29),ABS(Resultados!K29),ABS(Resultados!T29))/SQRT(COUNT(Resultados!B29,Resultados!K29,Resultados!T29)))</f>
        <v/>
      </c>
      <c r="C29">
        <f>IF(COUNT(Resultados!C29,Resultados!L29,Resultados!U29)&lt;=1, "", _xlfn.STDEV.S(ABS(Resultados!C29),ABS(Resultados!L29),ABS(Resultados!U29))/SQRT(COUNT(Resultados!C29,Resultados!L29,Resultados!U29)))</f>
        <v>0</v>
      </c>
      <c r="D29">
        <f>IF(COUNT(Resultados!D29,Resultados!M29,Resultados!V29)&lt;=1, "", _xlfn.STDEV.S(ABS(Resultados!D29),ABS(Resultados!M29),ABS(Resultados!V29))/SQRT(COUNT(Resultados!D29,Resultados!M29,Resultados!V29)))</f>
        <v>2.0816659994661317E-4</v>
      </c>
      <c r="E29">
        <f>IF(COUNT(Resultados!E29,Resultados!N29,Resultados!W29)&lt;=1, "", _xlfn.STDEV.S(ABS(Resultados!E29),ABS(Resultados!N29),ABS(Resultados!W29))/SQRT(COUNT(Resultados!E29,Resultados!N29,Resultados!W29)))</f>
        <v>9.903113576333535E-4</v>
      </c>
      <c r="F29">
        <f>IF(COUNT(Resultados!F29,Resultados!O29,Resultados!X29)&lt;=1, "", _xlfn.STDEV.S(ABS(Resultados!F29),ABS(Resultados!O29),ABS(Resultados!X29))/SQRT(COUNT(Resultados!F29,Resultados!O29,Resultados!X29)))</f>
        <v>9.3980547839561765E-2</v>
      </c>
      <c r="G29">
        <f>IF(COUNT(Resultados!G29,Resultados!P29,Resultados!Y29)&lt;=1, "", _xlfn.STDEV.S(ABS(Resultados!G29),ABS(Resultados!P29),ABS(Resultados!Y29))/SQRT(COUNT(Resultados!G29,Resultados!P29,Resultados!Y29)))</f>
        <v>0</v>
      </c>
      <c r="H29">
        <f>IF(COUNT(Resultados!H29,Resultados!Q29,Resultados!Z29)&lt;=1, "", _xlfn.STDEV.S(ABS(Resultados!H29),ABS(Resultados!Q29),ABS(Resultados!Z29))/SQRT(COUNT(Resultados!H29,Resultados!Q29,Resultados!Z29)))</f>
        <v>0</v>
      </c>
      <c r="I29">
        <f>IF(COUNT(Resultados!I29,Resultados!R29,Resultados!AA29)&lt;=1, "", _xlfn.STDEV.S(ABS(Resultados!I29),ABS(Resultados!R29),ABS(Resultados!AA29))/SQRT(COUNT(Resultados!I29,Resultados!R29,Resultados!AA29)))</f>
        <v>7.666666666660642E-4</v>
      </c>
    </row>
    <row r="30" spans="1:9" x14ac:dyDescent="0.3">
      <c r="A30" t="str">
        <f>IF(COUNT(Resultados!A30,Resultados!J30,Resultados!S30)&lt;=1, "", _xlfn.STDEV.S(ABS(Resultados!A30),ABS(Resultados!J30),ABS(Resultados!S30))/SQRT(COUNT(Resultados!A30,Resultados!J30,Resultados!S30)))</f>
        <v/>
      </c>
      <c r="B30" t="str">
        <f>IF(COUNT(Resultados!B30,Resultados!K30,Resultados!T30)&lt;=1, "", _xlfn.STDEV.S(ABS(Resultados!B30),ABS(Resultados!K30),ABS(Resultados!T30))/SQRT(COUNT(Resultados!B30,Resultados!K30,Resultados!T30)))</f>
        <v/>
      </c>
      <c r="C30">
        <f>IF(COUNT(Resultados!C30,Resultados!L30,Resultados!U30)&lt;=1, "", _xlfn.STDEV.S(ABS(Resultados!C30),ABS(Resultados!L30),ABS(Resultados!U30))/SQRT(COUNT(Resultados!C30,Resultados!L30,Resultados!U30)))</f>
        <v>0</v>
      </c>
      <c r="D30">
        <f>IF(COUNT(Resultados!D30,Resultados!M30,Resultados!V30)&lt;=1, "", _xlfn.STDEV.S(ABS(Resultados!D30),ABS(Resultados!M30),ABS(Resultados!V30))/SQRT(COUNT(Resultados!D30,Resultados!M30,Resultados!V30)))</f>
        <v>4.9103066208854246E-4</v>
      </c>
      <c r="E30">
        <f>IF(COUNT(Resultados!E30,Resultados!N30,Resultados!W30)&lt;=1, "", _xlfn.STDEV.S(ABS(Resultados!E30),ABS(Resultados!N30),ABS(Resultados!W30))/SQRT(COUNT(Resultados!E30,Resultados!N30,Resultados!W30)))</f>
        <v>1.4317588503864477E-3</v>
      </c>
      <c r="F30">
        <f>IF(COUNT(Resultados!F30,Resultados!O30,Resultados!X30)&lt;=1, "", _xlfn.STDEV.S(ABS(Resultados!F30),ABS(Resultados!O30),ABS(Resultados!X30))/SQRT(COUNT(Resultados!F30,Resultados!O30,Resultados!X30)))</f>
        <v>0.13587391490148518</v>
      </c>
      <c r="G30">
        <f>IF(COUNT(Resultados!G30,Resultados!P30,Resultados!Y30)&lt;=1, "", _xlfn.STDEV.S(ABS(Resultados!G30),ABS(Resultados!P30),ABS(Resultados!Y30))/SQRT(COUNT(Resultados!G30,Resultados!P30,Resultados!Y30)))</f>
        <v>0</v>
      </c>
      <c r="H30">
        <f>IF(COUNT(Resultados!H30,Resultados!Q30,Resultados!Z30)&lt;=1, "", _xlfn.STDEV.S(ABS(Resultados!H30),ABS(Resultados!Q30),ABS(Resultados!Z30))/SQRT(COUNT(Resultados!H30,Resultados!Q30,Resultados!Z30)))</f>
        <v>3.333333333333198E-5</v>
      </c>
      <c r="I30">
        <f>IF(COUNT(Resultados!I30,Resultados!R30,Resultados!AA30)&lt;=1, "", _xlfn.STDEV.S(ABS(Resultados!I30),ABS(Resultados!R30),ABS(Resultados!AA30))/SQRT(COUNT(Resultados!I30,Resultados!R30,Resultados!AA30)))</f>
        <v>1.2133333333324003E-3</v>
      </c>
    </row>
    <row r="31" spans="1:9" x14ac:dyDescent="0.3">
      <c r="A31" t="str">
        <f>IF(COUNT(Resultados!A31,Resultados!J31,Resultados!S31)&lt;=1, "", _xlfn.STDEV.S(ABS(Resultados!A31),ABS(Resultados!J31),ABS(Resultados!S31))/SQRT(COUNT(Resultados!A31,Resultados!J31,Resultados!S31)))</f>
        <v/>
      </c>
      <c r="B31" t="str">
        <f>IF(COUNT(Resultados!B31,Resultados!K31,Resultados!T31)&lt;=1, "", _xlfn.STDEV.S(ABS(Resultados!B31),ABS(Resultados!K31),ABS(Resultados!T31))/SQRT(COUNT(Resultados!B31,Resultados!K31,Resultados!T31)))</f>
        <v/>
      </c>
      <c r="C31">
        <f>IF(COUNT(Resultados!C31,Resultados!L31,Resultados!U31)&lt;=1, "", _xlfn.STDEV.S(ABS(Resultados!C31),ABS(Resultados!L31),ABS(Resultados!U31))/SQRT(COUNT(Resultados!C31,Resultados!L31,Resultados!U31)))</f>
        <v>0</v>
      </c>
      <c r="D31">
        <f>IF(COUNT(Resultados!D31,Resultados!M31,Resultados!V31)&lt;=1, "", _xlfn.STDEV.S(ABS(Resultados!D31),ABS(Resultados!M31),ABS(Resultados!V31))/SQRT(COUNT(Resultados!D31,Resultados!M31,Resultados!V31)))</f>
        <v>3.2145502536643275E-4</v>
      </c>
      <c r="E31">
        <f>IF(COUNT(Resultados!E31,Resultados!N31,Resultados!W31)&lt;=1, "", _xlfn.STDEV.S(ABS(Resultados!E31),ABS(Resultados!N31),ABS(Resultados!W31))/SQRT(COUNT(Resultados!E31,Resultados!N31,Resultados!W31)))</f>
        <v>4.667852072096604E-4</v>
      </c>
      <c r="F31">
        <f>IF(COUNT(Resultados!F31,Resultados!O31,Resultados!X31)&lt;=1, "", _xlfn.STDEV.S(ABS(Resultados!F31),ABS(Resultados!O31),ABS(Resultados!X31))/SQRT(COUNT(Resultados!F31,Resultados!O31,Resultados!X31)))</f>
        <v>4.4297916164123867E-2</v>
      </c>
      <c r="G31">
        <f>IF(COUNT(Resultados!G31,Resultados!P31,Resultados!Y31)&lt;=1, "", _xlfn.STDEV.S(ABS(Resultados!G31),ABS(Resultados!P31),ABS(Resultados!Y31))/SQRT(COUNT(Resultados!G31,Resultados!P31,Resultados!Y31)))</f>
        <v>0</v>
      </c>
      <c r="H31">
        <f>IF(COUNT(Resultados!H31,Resultados!Q31,Resultados!Z31)&lt;=1, "", _xlfn.STDEV.S(ABS(Resultados!H31),ABS(Resultados!Q31),ABS(Resultados!Z31))/SQRT(COUNT(Resultados!H31,Resultados!Q31,Resultados!Z31)))</f>
        <v>0</v>
      </c>
      <c r="I31">
        <f>IF(COUNT(Resultados!I31,Resultados!R31,Resultados!AA31)&lt;=1, "", _xlfn.STDEV.S(ABS(Resultados!I31),ABS(Resultados!R31),ABS(Resultados!AA31))/SQRT(COUNT(Resultados!I31,Resultados!R31,Resultados!AA31)))</f>
        <v>3.3333333333255652E-5</v>
      </c>
    </row>
    <row r="32" spans="1:9" x14ac:dyDescent="0.3">
      <c r="A32" t="str">
        <f>IF(COUNT(Resultados!A32,Resultados!J32,Resultados!S32)&lt;=1, "", _xlfn.STDEV.S(ABS(Resultados!A32),ABS(Resultados!J32),ABS(Resultados!S32))/SQRT(COUNT(Resultados!A32,Resultados!J32,Resultados!S32)))</f>
        <v/>
      </c>
      <c r="B32" t="str">
        <f>IF(COUNT(Resultados!B32,Resultados!K32,Resultados!T32)&lt;=1, "", _xlfn.STDEV.S(ABS(Resultados!B32),ABS(Resultados!K32),ABS(Resultados!T32))/SQRT(COUNT(Resultados!B32,Resultados!K32,Resultados!T32)))</f>
        <v/>
      </c>
      <c r="C32">
        <f>IF(COUNT(Resultados!C32,Resultados!L32,Resultados!U32)&lt;=1, "", _xlfn.STDEV.S(ABS(Resultados!C32),ABS(Resultados!L32),ABS(Resultados!U32))/SQRT(COUNT(Resultados!C32,Resultados!L32,Resultados!U32)))</f>
        <v>0</v>
      </c>
      <c r="D32">
        <f>IF(COUNT(Resultados!D32,Resultados!M32,Resultados!V32)&lt;=1, "", _xlfn.STDEV.S(ABS(Resultados!D32),ABS(Resultados!M32),ABS(Resultados!V32))/SQRT(COUNT(Resultados!D32,Resultados!M32,Resultados!V32)))</f>
        <v>2.3333333333333311E-4</v>
      </c>
      <c r="E32">
        <f>IF(COUNT(Resultados!E32,Resultados!N32,Resultados!W32)&lt;=1, "", _xlfn.STDEV.S(ABS(Resultados!E32),ABS(Resultados!N32),ABS(Resultados!W32))/SQRT(COUNT(Resultados!E32,Resultados!N32,Resultados!W32)))</f>
        <v>4.7536053738387833E-6</v>
      </c>
      <c r="F32">
        <f>IF(COUNT(Resultados!F32,Resultados!O32,Resultados!X32)&lt;=1, "", _xlfn.STDEV.S(ABS(Resultados!F32),ABS(Resultados!O32),ABS(Resultados!X32))/SQRT(COUNT(Resultados!F32,Resultados!O32,Resultados!X32)))</f>
        <v>4.5111715014979463E-4</v>
      </c>
      <c r="G32">
        <f>IF(COUNT(Resultados!G32,Resultados!P32,Resultados!Y32)&lt;=1, "", _xlfn.STDEV.S(ABS(Resultados!G32),ABS(Resultados!P32),ABS(Resultados!Y32))/SQRT(COUNT(Resultados!G32,Resultados!P32,Resultados!Y32)))</f>
        <v>0</v>
      </c>
      <c r="H32">
        <f>IF(COUNT(Resultados!H32,Resultados!Q32,Resultados!Z32)&lt;=1, "", _xlfn.STDEV.S(ABS(Resultados!H32),ABS(Resultados!Q32),ABS(Resultados!Z32))/SQRT(COUNT(Resultados!H32,Resultados!Q32,Resultados!Z32)))</f>
        <v>0</v>
      </c>
      <c r="I32">
        <f>IF(COUNT(Resultados!I32,Resultados!R32,Resultados!AA32)&lt;=1, "", _xlfn.STDEV.S(ABS(Resultados!I32),ABS(Resultados!R32),ABS(Resultados!AA32))/SQRT(COUNT(Resultados!I32,Resultados!R32,Resultados!AA32)))</f>
        <v>9.6666666666559806E-5</v>
      </c>
    </row>
    <row r="33" spans="1:9" x14ac:dyDescent="0.3">
      <c r="A33" t="str">
        <f>IF(COUNT(Resultados!A33,Resultados!J33,Resultados!S33)&lt;=1, "", _xlfn.STDEV.S(ABS(Resultados!A33),ABS(Resultados!J33),ABS(Resultados!S33))/SQRT(COUNT(Resultados!A33,Resultados!J33,Resultados!S33)))</f>
        <v/>
      </c>
      <c r="B33" t="str">
        <f>IF(COUNT(Resultados!B33,Resultados!K33,Resultados!T33)&lt;=1, "", _xlfn.STDEV.S(ABS(Resultados!B33),ABS(Resultados!K33),ABS(Resultados!T33))/SQRT(COUNT(Resultados!B33,Resultados!K33,Resultados!T33)))</f>
        <v/>
      </c>
      <c r="C33">
        <f>IF(COUNT(Resultados!C33,Resultados!L33,Resultados!U33)&lt;=1, "", _xlfn.STDEV.S(ABS(Resultados!C33),ABS(Resultados!L33),ABS(Resultados!U33))/SQRT(COUNT(Resultados!C33,Resultados!L33,Resultados!U33)))</f>
        <v>0</v>
      </c>
      <c r="D33">
        <f>IF(COUNT(Resultados!D33,Resultados!M33,Resultados!V33)&lt;=1, "", _xlfn.STDEV.S(ABS(Resultados!D33),ABS(Resultados!M33),ABS(Resultados!V33))/SQRT(COUNT(Resultados!D33,Resultados!M33,Resultados!V33)))</f>
        <v>2.9059326290271193E-4</v>
      </c>
      <c r="E33">
        <f>IF(COUNT(Resultados!E33,Resultados!N33,Resultados!W33)&lt;=1, "", _xlfn.STDEV.S(ABS(Resultados!E33),ABS(Resultados!N33),ABS(Resultados!W33))/SQRT(COUNT(Resultados!E33,Resultados!N33,Resultados!W33)))</f>
        <v>2.6507041893582609E-4</v>
      </c>
      <c r="F33">
        <f>IF(COUNT(Resultados!F33,Resultados!O33,Resultados!X33)&lt;=1, "", _xlfn.STDEV.S(ABS(Resultados!F33),ABS(Resultados!O33),ABS(Resultados!X33))/SQRT(COUNT(Resultados!F33,Resultados!O33,Resultados!X33)))</f>
        <v>2.4704563044446518E-2</v>
      </c>
      <c r="G33">
        <f>IF(COUNT(Resultados!G33,Resultados!P33,Resultados!Y33)&lt;=1, "", _xlfn.STDEV.S(ABS(Resultados!G33),ABS(Resultados!P33),ABS(Resultados!Y33))/SQRT(COUNT(Resultados!G33,Resultados!P33,Resultados!Y33)))</f>
        <v>0</v>
      </c>
      <c r="H33">
        <f>IF(COUNT(Resultados!H33,Resultados!Q33,Resultados!Z33)&lt;=1, "", _xlfn.STDEV.S(ABS(Resultados!H33),ABS(Resultados!Q33),ABS(Resultados!Z33))/SQRT(COUNT(Resultados!H33,Resultados!Q33,Resultados!Z33)))</f>
        <v>3.333333333333198E-5</v>
      </c>
      <c r="I33">
        <f>IF(COUNT(Resultados!I33,Resultados!R33,Resultados!AA33)&lt;=1, "", _xlfn.STDEV.S(ABS(Resultados!I33),ABS(Resultados!R33),ABS(Resultados!AA33))/SQRT(COUNT(Resultados!I33,Resultados!R33,Resultados!AA33)))</f>
        <v>1.3999999999825263E-4</v>
      </c>
    </row>
    <row r="34" spans="1:9" x14ac:dyDescent="0.3">
      <c r="A34" t="str">
        <f>IF(COUNT(Resultados!A34,Resultados!J34,Resultados!S34)&lt;=1, "", _xlfn.STDEV.S(ABS(Resultados!A34),ABS(Resultados!J34),ABS(Resultados!S34))/SQRT(COUNT(Resultados!A34,Resultados!J34,Resultados!S34)))</f>
        <v/>
      </c>
      <c r="B34" t="str">
        <f>IF(COUNT(Resultados!B34,Resultados!K34,Resultados!T34)&lt;=1, "", _xlfn.STDEV.S(ABS(Resultados!B34),ABS(Resultados!K34),ABS(Resultados!T34))/SQRT(COUNT(Resultados!B34,Resultados!K34,Resultados!T34)))</f>
        <v/>
      </c>
      <c r="C34">
        <f>IF(COUNT(Resultados!C34,Resultados!L34,Resultados!U34)&lt;=1, "", _xlfn.STDEV.S(ABS(Resultados!C34),ABS(Resultados!L34),ABS(Resultados!U34))/SQRT(COUNT(Resultados!C34,Resultados!L34,Resultados!U34)))</f>
        <v>0</v>
      </c>
      <c r="D34">
        <f>IF(COUNT(Resultados!D34,Resultados!M34,Resultados!V34)&lt;=1, "", _xlfn.STDEV.S(ABS(Resultados!D34),ABS(Resultados!M34),ABS(Resultados!V34))/SQRT(COUNT(Resultados!D34,Resultados!M34,Resultados!V34)))</f>
        <v>2.1858128414340032E-4</v>
      </c>
      <c r="E34">
        <f>IF(COUNT(Resultados!E34,Resultados!N34,Resultados!W34)&lt;=1, "", _xlfn.STDEV.S(ABS(Resultados!E34),ABS(Resultados!N34),ABS(Resultados!W34))/SQRT(COUNT(Resultados!E34,Resultados!N34,Resultados!W34)))</f>
        <v>7.3216200861551408E-4</v>
      </c>
      <c r="F34">
        <f>IF(COUNT(Resultados!F34,Resultados!O34,Resultados!X34)&lt;=1, "", _xlfn.STDEV.S(ABS(Resultados!F34),ABS(Resultados!O34),ABS(Resultados!X34))/SQRT(COUNT(Resultados!F34,Resultados!O34,Resultados!X34)))</f>
        <v>6.8237499203180646E-2</v>
      </c>
      <c r="G34">
        <f>IF(COUNT(Resultados!G34,Resultados!P34,Resultados!Y34)&lt;=1, "", _xlfn.STDEV.S(ABS(Resultados!G34),ABS(Resultados!P34),ABS(Resultados!Y34))/SQRT(COUNT(Resultados!G34,Resultados!P34,Resultados!Y34)))</f>
        <v>0</v>
      </c>
      <c r="H34">
        <f>IF(COUNT(Resultados!H34,Resultados!Q34,Resultados!Z34)&lt;=1, "", _xlfn.STDEV.S(ABS(Resultados!H34),ABS(Resultados!Q34),ABS(Resultados!Z34))/SQRT(COUNT(Resultados!H34,Resultados!Q34,Resultados!Z34)))</f>
        <v>0</v>
      </c>
      <c r="I34">
        <f>IF(COUNT(Resultados!I34,Resultados!R34,Resultados!AA34)&lt;=1, "", _xlfn.STDEV.S(ABS(Resultados!I34),ABS(Resultados!R34),ABS(Resultados!AA34))/SQRT(COUNT(Resultados!I34,Resultados!R34,Resultados!AA34)))</f>
        <v>3.0999999999892225E-4</v>
      </c>
    </row>
    <row r="35" spans="1:9" x14ac:dyDescent="0.3">
      <c r="A35" t="str">
        <f>IF(COUNT(Resultados!A35,Resultados!J35,Resultados!S35)&lt;=1, "", _xlfn.STDEV.S(ABS(Resultados!A35),ABS(Resultados!J35),ABS(Resultados!S35))/SQRT(COUNT(Resultados!A35,Resultados!J35,Resultados!S35)))</f>
        <v/>
      </c>
      <c r="B35" t="str">
        <f>IF(COUNT(Resultados!B35,Resultados!K35,Resultados!T35)&lt;=1, "", _xlfn.STDEV.S(ABS(Resultados!B35),ABS(Resultados!K35),ABS(Resultados!T35))/SQRT(COUNT(Resultados!B35,Resultados!K35,Resultados!T35)))</f>
        <v/>
      </c>
      <c r="C35">
        <f>IF(COUNT(Resultados!C35,Resultados!L35,Resultados!U35)&lt;=1, "", _xlfn.STDEV.S(ABS(Resultados!C35),ABS(Resultados!L35),ABS(Resultados!U35))/SQRT(COUNT(Resultados!C35,Resultados!L35,Resultados!U35)))</f>
        <v>0</v>
      </c>
      <c r="D35">
        <f>IF(COUNT(Resultados!D35,Resultados!M35,Resultados!V35)&lt;=1, "", _xlfn.STDEV.S(ABS(Resultados!D35),ABS(Resultados!M35),ABS(Resultados!V35))/SQRT(COUNT(Resultados!D35,Resultados!M35,Resultados!V35)))</f>
        <v>1.2018504251546752E-4</v>
      </c>
      <c r="E35">
        <f>IF(COUNT(Resultados!E35,Resultados!N35,Resultados!W35)&lt;=1, "", _xlfn.STDEV.S(ABS(Resultados!E35),ABS(Resultados!N35),ABS(Resultados!W35))/SQRT(COUNT(Resultados!E35,Resultados!N35,Resultados!W35)))</f>
        <v>9.8326627140825958E-4</v>
      </c>
      <c r="F35">
        <f>IF(COUNT(Resultados!F35,Resultados!O35,Resultados!X35)&lt;=1, "", _xlfn.STDEV.S(ABS(Resultados!F35),ABS(Resultados!O35),ABS(Resultados!X35))/SQRT(COUNT(Resultados!F35,Resultados!O35,Resultados!X35)))</f>
        <v>9.1640416495146218E-2</v>
      </c>
      <c r="G35">
        <f>IF(COUNT(Resultados!G35,Resultados!P35,Resultados!Y35)&lt;=1, "", _xlfn.STDEV.S(ABS(Resultados!G35),ABS(Resultados!P35),ABS(Resultados!Y35))/SQRT(COUNT(Resultados!G35,Resultados!P35,Resultados!Y35)))</f>
        <v>0</v>
      </c>
      <c r="H35">
        <f>IF(COUNT(Resultados!H35,Resultados!Q35,Resultados!Z35)&lt;=1, "", _xlfn.STDEV.S(ABS(Resultados!H35),ABS(Resultados!Q35),ABS(Resultados!Z35))/SQRT(COUNT(Resultados!H35,Resultados!Q35,Resultados!Z35)))</f>
        <v>3.333333333333429E-5</v>
      </c>
      <c r="I35">
        <f>IF(COUNT(Resultados!I35,Resultados!R35,Resultados!AA35)&lt;=1, "", _xlfn.STDEV.S(ABS(Resultados!I35),ABS(Resultados!R35),ABS(Resultados!AA35))/SQRT(COUNT(Resultados!I35,Resultados!R35,Resultados!AA35)))</f>
        <v>2.0000000000427086E-5</v>
      </c>
    </row>
    <row r="36" spans="1:9" x14ac:dyDescent="0.3">
      <c r="A36" t="str">
        <f>IF(COUNT(Resultados!A36,Resultados!J36,Resultados!S36)&lt;=1, "", _xlfn.STDEV.S(ABS(Resultados!A36),ABS(Resultados!J36),ABS(Resultados!S36))/SQRT(COUNT(Resultados!A36,Resultados!J36,Resultados!S36)))</f>
        <v/>
      </c>
      <c r="B36" t="str">
        <f>IF(COUNT(Resultados!B36,Resultados!K36,Resultados!T36)&lt;=1, "", _xlfn.STDEV.S(ABS(Resultados!B36),ABS(Resultados!K36),ABS(Resultados!T36))/SQRT(COUNT(Resultados!B36,Resultados!K36,Resultados!T36)))</f>
        <v/>
      </c>
      <c r="C36">
        <f>IF(COUNT(Resultados!C36,Resultados!L36,Resultados!U36)&lt;=1, "", _xlfn.STDEV.S(ABS(Resultados!C36),ABS(Resultados!L36),ABS(Resultados!U36))/SQRT(COUNT(Resultados!C36,Resultados!L36,Resultados!U36)))</f>
        <v>0</v>
      </c>
      <c r="D36">
        <f>IF(COUNT(Resultados!D36,Resultados!M36,Resultados!V36)&lt;=1, "", _xlfn.STDEV.S(ABS(Resultados!D36),ABS(Resultados!M36),ABS(Resultados!V36))/SQRT(COUNT(Resultados!D36,Resultados!M36,Resultados!V36)))</f>
        <v>1.5275252316519452E-4</v>
      </c>
      <c r="E36">
        <f>IF(COUNT(Resultados!E36,Resultados!N36,Resultados!W36)&lt;=1, "", _xlfn.STDEV.S(ABS(Resultados!E36),ABS(Resultados!N36),ABS(Resultados!W36))/SQRT(COUNT(Resultados!E36,Resultados!N36,Resultados!W36)))</f>
        <v>4.0707098125378717E-3</v>
      </c>
      <c r="F36">
        <f>IF(COUNT(Resultados!F36,Resultados!O36,Resultados!X36)&lt;=1, "", _xlfn.STDEV.S(ABS(Resultados!F36),ABS(Resultados!O36),ABS(Resultados!X36))/SQRT(COUNT(Resultados!F36,Resultados!O36,Resultados!X36)))</f>
        <v>0.37939015452853903</v>
      </c>
      <c r="G36">
        <f>IF(COUNT(Resultados!G36,Resultados!P36,Resultados!Y36)&lt;=1, "", _xlfn.STDEV.S(ABS(Resultados!G36),ABS(Resultados!P36),ABS(Resultados!Y36))/SQRT(COUNT(Resultados!G36,Resultados!P36,Resultados!Y36)))</f>
        <v>0</v>
      </c>
      <c r="H36">
        <f>IF(COUNT(Resultados!H36,Resultados!Q36,Resultados!Z36)&lt;=1, "", _xlfn.STDEV.S(ABS(Resultados!H36),ABS(Resultados!Q36),ABS(Resultados!Z36))/SQRT(COUNT(Resultados!H36,Resultados!Q36,Resultados!Z36)))</f>
        <v>6.6666666666666263E-5</v>
      </c>
      <c r="I36">
        <f>IF(COUNT(Resultados!I36,Resultados!R36,Resultados!AA36)&lt;=1, "", _xlfn.STDEV.S(ABS(Resultados!I36),ABS(Resultados!R36),ABS(Resultados!AA36))/SQRT(COUNT(Resultados!I36,Resultados!R36,Resultados!AA36)))</f>
        <v>1.7133333333324194E-3</v>
      </c>
    </row>
    <row r="37" spans="1:9" x14ac:dyDescent="0.3">
      <c r="A37" t="str">
        <f>IF(COUNT(Resultados!A37,Resultados!J37,Resultados!S37)&lt;=1, "", _xlfn.STDEV.S(ABS(Resultados!A37),ABS(Resultados!J37),ABS(Resultados!S37))/SQRT(COUNT(Resultados!A37,Resultados!J37,Resultados!S37)))</f>
        <v/>
      </c>
      <c r="B37" t="str">
        <f>IF(COUNT(Resultados!B37,Resultados!K37,Resultados!T37)&lt;=1, "", _xlfn.STDEV.S(ABS(Resultados!B37),ABS(Resultados!K37),ABS(Resultados!T37))/SQRT(COUNT(Resultados!B37,Resultados!K37,Resultados!T37)))</f>
        <v/>
      </c>
      <c r="C37">
        <f>IF(COUNT(Resultados!C37,Resultados!L37,Resultados!U37)&lt;=1, "", _xlfn.STDEV.S(ABS(Resultados!C37),ABS(Resultados!L37),ABS(Resultados!U37))/SQRT(COUNT(Resultados!C37,Resultados!L37,Resultados!U37)))</f>
        <v>0</v>
      </c>
      <c r="D37">
        <f>IF(COUNT(Resultados!D37,Resultados!M37,Resultados!V37)&lt;=1, "", _xlfn.STDEV.S(ABS(Resultados!D37),ABS(Resultados!M37),ABS(Resultados!V37))/SQRT(COUNT(Resultados!D37,Resultados!M37,Resultados!V37)))</f>
        <v>3.2829526005986903E-4</v>
      </c>
      <c r="E37">
        <f>IF(COUNT(Resultados!E37,Resultados!N37,Resultados!W37)&lt;=1, "", _xlfn.STDEV.S(ABS(Resultados!E37),ABS(Resultados!N37),ABS(Resultados!W37))/SQRT(COUNT(Resultados!E37,Resultados!N37,Resultados!W37)))</f>
        <v>2.8142631301687451E-3</v>
      </c>
      <c r="F37">
        <f>IF(COUNT(Resultados!F37,Resultados!O37,Resultados!X37)&lt;=1, "", _xlfn.STDEV.S(ABS(Resultados!F37),ABS(Resultados!O37),ABS(Resultados!X37))/SQRT(COUNT(Resultados!F37,Resultados!O37,Resultados!X37)))</f>
        <v>0.26228932373174957</v>
      </c>
      <c r="G37">
        <f>IF(COUNT(Resultados!G37,Resultados!P37,Resultados!Y37)&lt;=1, "", _xlfn.STDEV.S(ABS(Resultados!G37),ABS(Resultados!P37),ABS(Resultados!Y37))/SQRT(COUNT(Resultados!G37,Resultados!P37,Resultados!Y37)))</f>
        <v>0</v>
      </c>
      <c r="H37">
        <f>IF(COUNT(Resultados!H37,Resultados!Q37,Resultados!Z37)&lt;=1, "", _xlfn.STDEV.S(ABS(Resultados!H37),ABS(Resultados!Q37),ABS(Resultados!Z37))/SQRT(COUNT(Resultados!H37,Resultados!Q37,Resultados!Z37)))</f>
        <v>5.7735026918962233E-5</v>
      </c>
      <c r="I37">
        <f>IF(COUNT(Resultados!I37,Resultados!R37,Resultados!AA37)&lt;=1, "", _xlfn.STDEV.S(ABS(Resultados!I37),ABS(Resultados!R37),ABS(Resultados!AA37))/SQRT(COUNT(Resultados!I37,Resultados!R37,Resultados!AA37)))</f>
        <v>1.3433333333334001E-3</v>
      </c>
    </row>
    <row r="38" spans="1:9" x14ac:dyDescent="0.3">
      <c r="A38" t="str">
        <f>IF(COUNT(Resultados!A38,Resultados!J38,Resultados!S38)&lt;=1, "", _xlfn.STDEV.S(ABS(Resultados!A38),ABS(Resultados!J38),ABS(Resultados!S38))/SQRT(COUNT(Resultados!A38,Resultados!J38,Resultados!S38)))</f>
        <v/>
      </c>
      <c r="B38" t="str">
        <f>IF(COUNT(Resultados!B38,Resultados!K38,Resultados!T38)&lt;=1, "", _xlfn.STDEV.S(ABS(Resultados!B38),ABS(Resultados!K38),ABS(Resultados!T38))/SQRT(COUNT(Resultados!B38,Resultados!K38,Resultados!T38)))</f>
        <v/>
      </c>
      <c r="C38">
        <f>IF(COUNT(Resultados!C38,Resultados!L38,Resultados!U38)&lt;=1, "", _xlfn.STDEV.S(ABS(Resultados!C38),ABS(Resultados!L38),ABS(Resultados!U38))/SQRT(COUNT(Resultados!C38,Resultados!L38,Resultados!U38)))</f>
        <v>0</v>
      </c>
      <c r="D38">
        <f>IF(COUNT(Resultados!D38,Resultados!M38,Resultados!V38)&lt;=1, "", _xlfn.STDEV.S(ABS(Resultados!D38),ABS(Resultados!M38),ABS(Resultados!V38))/SQRT(COUNT(Resultados!D38,Resultados!M38,Resultados!V38)))</f>
        <v>2.5166114784235866E-4</v>
      </c>
      <c r="E38">
        <f>IF(COUNT(Resultados!E38,Resultados!N38,Resultados!W38)&lt;=1, "", _xlfn.STDEV.S(ABS(Resultados!E38),ABS(Resultados!N38),ABS(Resultados!W38))/SQRT(COUNT(Resultados!E38,Resultados!N38,Resultados!W38)))</f>
        <v>3.3579255532525778E-3</v>
      </c>
      <c r="F38">
        <f>IF(COUNT(Resultados!F38,Resultados!O38,Resultados!X38)&lt;=1, "", _xlfn.STDEV.S(ABS(Resultados!F38),ABS(Resultados!O38),ABS(Resultados!X38))/SQRT(COUNT(Resultados!F38,Resultados!O38,Resultados!X38)))</f>
        <v>0.31295866156325713</v>
      </c>
      <c r="G38">
        <f>IF(COUNT(Resultados!G38,Resultados!P38,Resultados!Y38)&lt;=1, "", _xlfn.STDEV.S(ABS(Resultados!G38),ABS(Resultados!P38),ABS(Resultados!Y38))/SQRT(COUNT(Resultados!G38,Resultados!P38,Resultados!Y38)))</f>
        <v>0</v>
      </c>
      <c r="H38">
        <f>IF(COUNT(Resultados!H38,Resultados!Q38,Resultados!Z38)&lt;=1, "", _xlfn.STDEV.S(ABS(Resultados!H38),ABS(Resultados!Q38),ABS(Resultados!Z38))/SQRT(COUNT(Resultados!H38,Resultados!Q38,Resultados!Z38)))</f>
        <v>3.3333333333333132E-5</v>
      </c>
      <c r="I38">
        <f>IF(COUNT(Resultados!I38,Resultados!R38,Resultados!AA38)&lt;=1, "", _xlfn.STDEV.S(ABS(Resultados!I38),ABS(Resultados!R38),ABS(Resultados!AA38))/SQRT(COUNT(Resultados!I38,Resultados!R38,Resultados!AA38)))</f>
        <v>3.4000000000015501E-4</v>
      </c>
    </row>
    <row r="39" spans="1:9" x14ac:dyDescent="0.3">
      <c r="A39" t="str">
        <f>IF(COUNT(Resultados!A39,Resultados!J39,Resultados!S39)&lt;=1, "", _xlfn.STDEV.S(ABS(Resultados!A39),ABS(Resultados!J39),ABS(Resultados!S39))/SQRT(COUNT(Resultados!A39,Resultados!J39,Resultados!S39)))</f>
        <v/>
      </c>
      <c r="B39" t="str">
        <f>IF(COUNT(Resultados!B39,Resultados!K39,Resultados!T39)&lt;=1, "", _xlfn.STDEV.S(ABS(Resultados!B39),ABS(Resultados!K39),ABS(Resultados!T39))/SQRT(COUNT(Resultados!B39,Resultados!K39,Resultados!T39)))</f>
        <v/>
      </c>
      <c r="C39">
        <f>IF(COUNT(Resultados!C39,Resultados!L39,Resultados!U39)&lt;=1, "", _xlfn.STDEV.S(ABS(Resultados!C39),ABS(Resultados!L39),ABS(Resultados!U39))/SQRT(COUNT(Resultados!C39,Resultados!L39,Resultados!U39)))</f>
        <v>0</v>
      </c>
      <c r="D39">
        <f>IF(COUNT(Resultados!D39,Resultados!M39,Resultados!V39)&lt;=1, "", _xlfn.STDEV.S(ABS(Resultados!D39),ABS(Resultados!M39),ABS(Resultados!V39))/SQRT(COUNT(Resultados!D39,Resultados!M39,Resultados!V39)))</f>
        <v>3.3333333333333132E-5</v>
      </c>
      <c r="E39">
        <f>IF(COUNT(Resultados!E39,Resultados!N39,Resultados!W39)&lt;=1, "", _xlfn.STDEV.S(ABS(Resultados!E39),ABS(Resultados!N39),ABS(Resultados!W39))/SQRT(COUNT(Resultados!E39,Resultados!N39,Resultados!W39)))</f>
        <v>7.8675084982035462E-4</v>
      </c>
      <c r="F39">
        <f>IF(COUNT(Resultados!F39,Resultados!O39,Resultados!X39)&lt;=1, "", _xlfn.STDEV.S(ABS(Resultados!F39),ABS(Resultados!O39),ABS(Resultados!X39))/SQRT(COUNT(Resultados!F39,Resultados!O39,Resultados!X39)))</f>
        <v>7.3325179203151625E-2</v>
      </c>
      <c r="G39">
        <f>IF(COUNT(Resultados!G39,Resultados!P39,Resultados!Y39)&lt;=1, "", _xlfn.STDEV.S(ABS(Resultados!G39),ABS(Resultados!P39),ABS(Resultados!Y39))/SQRT(COUNT(Resultados!G39,Resultados!P39,Resultados!Y39)))</f>
        <v>0</v>
      </c>
      <c r="H39">
        <f>IF(COUNT(Resultados!H39,Resultados!Q39,Resultados!Z39)&lt;=1, "", _xlfn.STDEV.S(ABS(Resultados!H39),ABS(Resultados!Q39),ABS(Resultados!Z39))/SQRT(COUNT(Resultados!H39,Resultados!Q39,Resultados!Z39)))</f>
        <v>0</v>
      </c>
      <c r="I39">
        <f>IF(COUNT(Resultados!I39,Resultados!R39,Resultados!AA39)&lt;=1, "", _xlfn.STDEV.S(ABS(Resultados!I39),ABS(Resultados!R39),ABS(Resultados!AA39))/SQRT(COUNT(Resultados!I39,Resultados!R39,Resultados!AA39)))</f>
        <v>6.2666666666544302E-4</v>
      </c>
    </row>
    <row r="40" spans="1:9" x14ac:dyDescent="0.3">
      <c r="A40" t="str">
        <f>IF(COUNT(Resultados!A40,Resultados!J40,Resultados!S40)&lt;=1, "", _xlfn.STDEV.S(ABS(Resultados!A40),ABS(Resultados!J40),ABS(Resultados!S40))/SQRT(COUNT(Resultados!A40,Resultados!J40,Resultados!S40)))</f>
        <v/>
      </c>
      <c r="B40" t="str">
        <f>IF(COUNT(Resultados!B40,Resultados!K40,Resultados!T40)&lt;=1, "", _xlfn.STDEV.S(ABS(Resultados!B40),ABS(Resultados!K40),ABS(Resultados!T40))/SQRT(COUNT(Resultados!B40,Resultados!K40,Resultados!T40)))</f>
        <v/>
      </c>
      <c r="C40">
        <f>IF(COUNT(Resultados!C40,Resultados!L40,Resultados!U40)&lt;=1, "", _xlfn.STDEV.S(ABS(Resultados!C40),ABS(Resultados!L40),ABS(Resultados!U40))/SQRT(COUNT(Resultados!C40,Resultados!L40,Resultados!U40)))</f>
        <v>0</v>
      </c>
      <c r="D40">
        <f>IF(COUNT(Resultados!D40,Resultados!M40,Resultados!V40)&lt;=1, "", _xlfn.STDEV.S(ABS(Resultados!D40),ABS(Resultados!M40),ABS(Resultados!V40))/SQRT(COUNT(Resultados!D40,Resultados!M40,Resultados!V40)))</f>
        <v>8.8191710368820241E-5</v>
      </c>
      <c r="E40">
        <f>IF(COUNT(Resultados!E40,Resultados!N40,Resultados!W40)&lt;=1, "", _xlfn.STDEV.S(ABS(Resultados!E40),ABS(Resultados!N40),ABS(Resultados!W40))/SQRT(COUNT(Resultados!E40,Resultados!N40,Resultados!W40)))</f>
        <v>1.0206763824959265E-3</v>
      </c>
      <c r="F40">
        <f>IF(COUNT(Resultados!F40,Resultados!O40,Resultados!X40)&lt;=1, "", _xlfn.STDEV.S(ABS(Resultados!F40),ABS(Resultados!O40),ABS(Resultados!X40))/SQRT(COUNT(Resultados!F40,Resultados!O40,Resultados!X40)))</f>
        <v>9.5127038848484752E-2</v>
      </c>
      <c r="G40">
        <f>IF(COUNT(Resultados!G40,Resultados!P40,Resultados!Y40)&lt;=1, "", _xlfn.STDEV.S(ABS(Resultados!G40),ABS(Resultados!P40),ABS(Resultados!Y40))/SQRT(COUNT(Resultados!G40,Resultados!P40,Resultados!Y40)))</f>
        <v>0</v>
      </c>
      <c r="H40">
        <f>IF(COUNT(Resultados!H40,Resultados!Q40,Resultados!Z40)&lt;=1, "", _xlfn.STDEV.S(ABS(Resultados!H40),ABS(Resultados!Q40),ABS(Resultados!Z40))/SQRT(COUNT(Resultados!H40,Resultados!Q40,Resultados!Z40)))</f>
        <v>3.3333333333333423E-5</v>
      </c>
      <c r="I40">
        <f>IF(COUNT(Resultados!I40,Resultados!R40,Resultados!AA40)&lt;=1, "", _xlfn.STDEV.S(ABS(Resultados!I40),ABS(Resultados!R40),ABS(Resultados!AA40))/SQRT(COUNT(Resultados!I40,Resultados!R40,Resultados!AA40)))</f>
        <v>8.9999999999790248E-4</v>
      </c>
    </row>
    <row r="41" spans="1:9" x14ac:dyDescent="0.3">
      <c r="A41" t="str">
        <f>IF(COUNT(Resultados!A41,Resultados!J41,Resultados!S41)&lt;=1, "", _xlfn.STDEV.S(ABS(Resultados!A41),ABS(Resultados!J41),ABS(Resultados!S41))/SQRT(COUNT(Resultados!A41,Resultados!J41,Resultados!S41)))</f>
        <v/>
      </c>
      <c r="B41" t="str">
        <f>IF(COUNT(Resultados!B41,Resultados!K41,Resultados!T41)&lt;=1, "", _xlfn.STDEV.S(ABS(Resultados!B41),ABS(Resultados!K41),ABS(Resultados!T41))/SQRT(COUNT(Resultados!B41,Resultados!K41,Resultados!T41)))</f>
        <v/>
      </c>
      <c r="C41">
        <f>IF(COUNT(Resultados!C41,Resultados!L41,Resultados!U41)&lt;=1, "", _xlfn.STDEV.S(ABS(Resultados!C41),ABS(Resultados!L41),ABS(Resultados!U41))/SQRT(COUNT(Resultados!C41,Resultados!L41,Resultados!U41)))</f>
        <v>0</v>
      </c>
      <c r="D41">
        <f>IF(COUNT(Resultados!D41,Resultados!M41,Resultados!V41)&lt;=1, "", _xlfn.STDEV.S(ABS(Resultados!D41),ABS(Resultados!M41),ABS(Resultados!V41))/SQRT(COUNT(Resultados!D41,Resultados!M41,Resultados!V41)))</f>
        <v>1.1547005383792498E-4</v>
      </c>
      <c r="E41">
        <f>IF(COUNT(Resultados!E41,Resultados!N41,Resultados!W41)&lt;=1, "", _xlfn.STDEV.S(ABS(Resultados!E41),ABS(Resultados!N41),ABS(Resultados!W41))/SQRT(COUNT(Resultados!E41,Resultados!N41,Resultados!W41)))</f>
        <v>4.9784668425659E-4</v>
      </c>
      <c r="F41">
        <f>IF(COUNT(Resultados!F41,Resultados!O41,Resultados!X41)&lt;=1, "", _xlfn.STDEV.S(ABS(Resultados!F41),ABS(Resultados!O41),ABS(Resultados!X41))/SQRT(COUNT(Resultados!F41,Resultados!O41,Resultados!X41)))</f>
        <v>4.6399310972714061E-2</v>
      </c>
      <c r="G41">
        <f>IF(COUNT(Resultados!G41,Resultados!P41,Resultados!Y41)&lt;=1, "", _xlfn.STDEV.S(ABS(Resultados!G41),ABS(Resultados!P41),ABS(Resultados!Y41))/SQRT(COUNT(Resultados!G41,Resultados!P41,Resultados!Y41)))</f>
        <v>0</v>
      </c>
      <c r="H41">
        <f>IF(COUNT(Resultados!H41,Resultados!Q41,Resultados!Z41)&lt;=1, "", _xlfn.STDEV.S(ABS(Resultados!H41),ABS(Resultados!Q41),ABS(Resultados!Z41))/SQRT(COUNT(Resultados!H41,Resultados!Q41,Resultados!Z41)))</f>
        <v>1.5332934166833739E-19</v>
      </c>
      <c r="I41">
        <f>IF(COUNT(Resultados!I41,Resultados!R41,Resultados!AA41)&lt;=1, "", _xlfn.STDEV.S(ABS(Resultados!I41),ABS(Resultados!R41),ABS(Resultados!AA41))/SQRT(COUNT(Resultados!I41,Resultados!R41,Resultados!AA41)))</f>
        <v>8.2333333333413838E-4</v>
      </c>
    </row>
    <row r="42" spans="1:9" x14ac:dyDescent="0.3">
      <c r="A42" t="str">
        <f>IF(COUNT(Resultados!A42,Resultados!J42,Resultados!S42)&lt;=1, "", _xlfn.STDEV.S(ABS(Resultados!A42),ABS(Resultados!J42),ABS(Resultados!S42))/SQRT(COUNT(Resultados!A42,Resultados!J42,Resultados!S42)))</f>
        <v/>
      </c>
      <c r="B42" t="str">
        <f>IF(COUNT(Resultados!B42,Resultados!K42,Resultados!T42)&lt;=1, "", _xlfn.STDEV.S(ABS(Resultados!B42),ABS(Resultados!K42),ABS(Resultados!T42))/SQRT(COUNT(Resultados!B42,Resultados!K42,Resultados!T42)))</f>
        <v/>
      </c>
      <c r="C42">
        <f>IF(COUNT(Resultados!C42,Resultados!L42,Resultados!U42)&lt;=1, "", _xlfn.STDEV.S(ABS(Resultados!C42),ABS(Resultados!L42),ABS(Resultados!U42))/SQRT(COUNT(Resultados!C42,Resultados!L42,Resultados!U42)))</f>
        <v>0</v>
      </c>
      <c r="D42">
        <f>IF(COUNT(Resultados!D42,Resultados!M42,Resultados!V42)&lt;=1, "", _xlfn.STDEV.S(ABS(Resultados!D42),ABS(Resultados!M42),ABS(Resultados!V42))/SQRT(COUNT(Resultados!D42,Resultados!M42,Resultados!V42)))</f>
        <v>4.1766546953805558E-4</v>
      </c>
      <c r="E42">
        <f>IF(COUNT(Resultados!E42,Resultados!N42,Resultados!W42)&lt;=1, "", _xlfn.STDEV.S(ABS(Resultados!E42),ABS(Resultados!N42),ABS(Resultados!W42))/SQRT(COUNT(Resultados!E42,Resultados!N42,Resultados!W42)))</f>
        <v>7.0944099634248235E-6</v>
      </c>
      <c r="F42">
        <f>IF(COUNT(Resultados!F42,Resultados!O42,Resultados!X42)&lt;=1, "", _xlfn.STDEV.S(ABS(Resultados!F42),ABS(Resultados!O42),ABS(Resultados!X42))/SQRT(COUNT(Resultados!F42,Resultados!O42,Resultados!X42)))</f>
        <v>6.611990086110715E-4</v>
      </c>
      <c r="G42">
        <f>IF(COUNT(Resultados!G42,Resultados!P42,Resultados!Y42)&lt;=1, "", _xlfn.STDEV.S(ABS(Resultados!G42),ABS(Resultados!P42),ABS(Resultados!Y42))/SQRT(COUNT(Resultados!G42,Resultados!P42,Resultados!Y42)))</f>
        <v>0</v>
      </c>
      <c r="H42">
        <f>IF(COUNT(Resultados!H42,Resultados!Q42,Resultados!Z42)&lt;=1, "", _xlfn.STDEV.S(ABS(Resultados!H42),ABS(Resultados!Q42),ABS(Resultados!Z42))/SQRT(COUNT(Resultados!H42,Resultados!Q42,Resultados!Z42)))</f>
        <v>0</v>
      </c>
      <c r="I42">
        <f>IF(COUNT(Resultados!I42,Resultados!R42,Resultados!AA42)&lt;=1, "", _xlfn.STDEV.S(ABS(Resultados!I42),ABS(Resultados!R42),ABS(Resultados!AA42))/SQRT(COUNT(Resultados!I42,Resultados!R42,Resultados!AA42)))</f>
        <v>8.1999999999974704E-4</v>
      </c>
    </row>
    <row r="43" spans="1:9" x14ac:dyDescent="0.3">
      <c r="A43" t="str">
        <f>IF(COUNT(Resultados!A43,Resultados!J43,Resultados!S43)&lt;=1, "", _xlfn.STDEV.S(ABS(Resultados!A43),ABS(Resultados!J43),ABS(Resultados!S43))/SQRT(COUNT(Resultados!A43,Resultados!J43,Resultados!S43)))</f>
        <v/>
      </c>
      <c r="B43" t="str">
        <f>IF(COUNT(Resultados!B43,Resultados!K43,Resultados!T43)&lt;=1, "", _xlfn.STDEV.S(ABS(Resultados!B43),ABS(Resultados!K43),ABS(Resultados!T43))/SQRT(COUNT(Resultados!B43,Resultados!K43,Resultados!T43)))</f>
        <v/>
      </c>
      <c r="C43">
        <f>IF(COUNT(Resultados!C43,Resultados!L43,Resultados!U43)&lt;=1, "", _xlfn.STDEV.S(ABS(Resultados!C43),ABS(Resultados!L43),ABS(Resultados!U43))/SQRT(COUNT(Resultados!C43,Resultados!L43,Resultados!U43)))</f>
        <v>0</v>
      </c>
      <c r="D43">
        <f>IF(COUNT(Resultados!D43,Resultados!M43,Resultados!V43)&lt;=1, "", _xlfn.STDEV.S(ABS(Resultados!D43),ABS(Resultados!M43),ABS(Resultados!V43))/SQRT(COUNT(Resultados!D43,Resultados!M43,Resultados!V43)))</f>
        <v>1.7638342073763945E-4</v>
      </c>
      <c r="E43">
        <f>IF(COUNT(Resultados!E43,Resultados!N43,Resultados!W43)&lt;=1, "", _xlfn.STDEV.S(ABS(Resultados!E43),ABS(Resultados!N43),ABS(Resultados!W43))/SQRT(COUNT(Resultados!E43,Resultados!N43,Resultados!W43)))</f>
        <v>6.5523289360047623E-4</v>
      </c>
      <c r="F43">
        <f>IF(COUNT(Resultados!F43,Resultados!O43,Resultados!X43)&lt;=1, "", _xlfn.STDEV.S(ABS(Resultados!F43),ABS(Resultados!O43),ABS(Resultados!X43))/SQRT(COUNT(Resultados!F43,Resultados!O43,Resultados!X43)))</f>
        <v>6.218160160228052E-2</v>
      </c>
      <c r="G43">
        <f>IF(COUNT(Resultados!G43,Resultados!P43,Resultados!Y43)&lt;=1, "", _xlfn.STDEV.S(ABS(Resultados!G43),ABS(Resultados!P43),ABS(Resultados!Y43))/SQRT(COUNT(Resultados!G43,Resultados!P43,Resultados!Y43)))</f>
        <v>0</v>
      </c>
      <c r="H43">
        <f>IF(COUNT(Resultados!H43,Resultados!Q43,Resultados!Z43)&lt;=1, "", _xlfn.STDEV.S(ABS(Resultados!H43),ABS(Resultados!Q43),ABS(Resultados!Z43))/SQRT(COUNT(Resultados!H43,Resultados!Q43,Resultados!Z43)))</f>
        <v>0</v>
      </c>
      <c r="I43">
        <f>IF(COUNT(Resultados!I43,Resultados!R43,Resultados!AA43)&lt;=1, "", _xlfn.STDEV.S(ABS(Resultados!I43),ABS(Resultados!R43),ABS(Resultados!AA43))/SQRT(COUNT(Resultados!I43,Resultados!R43,Resultados!AA43)))</f>
        <v>3.7000000000020355E-4</v>
      </c>
    </row>
    <row r="44" spans="1:9" x14ac:dyDescent="0.3">
      <c r="A44" t="str">
        <f>IF(COUNT(Resultados!A44,Resultados!J44,Resultados!S44)&lt;=1, "", _xlfn.STDEV.S(ABS(Resultados!A44),ABS(Resultados!J44),ABS(Resultados!S44))/SQRT(COUNT(Resultados!A44,Resultados!J44,Resultados!S44)))</f>
        <v/>
      </c>
      <c r="B44" t="str">
        <f>IF(COUNT(Resultados!B44,Resultados!K44,Resultados!T44)&lt;=1, "", _xlfn.STDEV.S(ABS(Resultados!B44),ABS(Resultados!K44),ABS(Resultados!T44))/SQRT(COUNT(Resultados!B44,Resultados!K44,Resultados!T44)))</f>
        <v/>
      </c>
      <c r="C44">
        <f>IF(COUNT(Resultados!C44,Resultados!L44,Resultados!U44)&lt;=1, "", _xlfn.STDEV.S(ABS(Resultados!C44),ABS(Resultados!L44),ABS(Resultados!U44))/SQRT(COUNT(Resultados!C44,Resultados!L44,Resultados!U44)))</f>
        <v>0</v>
      </c>
      <c r="D44">
        <f>IF(COUNT(Resultados!D44,Resultados!M44,Resultados!V44)&lt;=1, "", _xlfn.STDEV.S(ABS(Resultados!D44),ABS(Resultados!M44),ABS(Resultados!V44))/SQRT(COUNT(Resultados!D44,Resultados!M44,Resultados!V44)))</f>
        <v>5.0442486501405188E-4</v>
      </c>
      <c r="E44">
        <f>IF(COUNT(Resultados!E44,Resultados!N44,Resultados!W44)&lt;=1, "", _xlfn.STDEV.S(ABS(Resultados!E44),ABS(Resultados!N44),ABS(Resultados!W44))/SQRT(COUNT(Resultados!E44,Resultados!N44,Resultados!W44)))</f>
        <v>5.8258078563955627E-3</v>
      </c>
      <c r="F44">
        <f>IF(COUNT(Resultados!F44,Resultados!O44,Resultados!X44)&lt;=1, "", _xlfn.STDEV.S(ABS(Resultados!F44),ABS(Resultados!O44),ABS(Resultados!X44))/SQRT(COUNT(Resultados!F44,Resultados!O44,Resultados!X44)))</f>
        <v>0.55286916557202948</v>
      </c>
      <c r="G44">
        <f>IF(COUNT(Resultados!G44,Resultados!P44,Resultados!Y44)&lt;=1, "", _xlfn.STDEV.S(ABS(Resultados!G44),ABS(Resultados!P44),ABS(Resultados!Y44))/SQRT(COUNT(Resultados!G44,Resultados!P44,Resultados!Y44)))</f>
        <v>0</v>
      </c>
      <c r="H44">
        <f>IF(COUNT(Resultados!H44,Resultados!Q44,Resultados!Z44)&lt;=1, "", _xlfn.STDEV.S(ABS(Resultados!H44),ABS(Resultados!Q44),ABS(Resultados!Z44))/SQRT(COUNT(Resultados!H44,Resultados!Q44,Resultados!Z44)))</f>
        <v>8.8191710368819658E-5</v>
      </c>
      <c r="I44">
        <f>IF(COUNT(Resultados!I44,Resultados!R44,Resultados!AA44)&lt;=1, "", _xlfn.STDEV.S(ABS(Resultados!I44),ABS(Resultados!R44),ABS(Resultados!AA44))/SQRT(COUNT(Resultados!I44,Resultados!R44,Resultados!AA44)))</f>
        <v>2.9066666666667613E-3</v>
      </c>
    </row>
    <row r="45" spans="1:9" x14ac:dyDescent="0.3">
      <c r="A45" t="str">
        <f>IF(COUNT(Resultados!A45,Resultados!J45,Resultados!S45)&lt;=1, "", _xlfn.STDEV.S(ABS(Resultados!A45),ABS(Resultados!J45),ABS(Resultados!S45))/SQRT(COUNT(Resultados!A45,Resultados!J45,Resultados!S45)))</f>
        <v/>
      </c>
      <c r="B45" t="str">
        <f>IF(COUNT(Resultados!B45,Resultados!K45,Resultados!T45)&lt;=1, "", _xlfn.STDEV.S(ABS(Resultados!B45),ABS(Resultados!K45),ABS(Resultados!T45))/SQRT(COUNT(Resultados!B45,Resultados!K45,Resultados!T45)))</f>
        <v/>
      </c>
      <c r="C45">
        <f>IF(COUNT(Resultados!C45,Resultados!L45,Resultados!U45)&lt;=1, "", _xlfn.STDEV.S(ABS(Resultados!C45),ABS(Resultados!L45),ABS(Resultados!U45))/SQRT(COUNT(Resultados!C45,Resultados!L45,Resultados!U45)))</f>
        <v>0</v>
      </c>
      <c r="D45">
        <f>IF(COUNT(Resultados!D45,Resultados!M45,Resultados!V45)&lt;=1, "", _xlfn.STDEV.S(ABS(Resultados!D45),ABS(Resultados!M45),ABS(Resultados!V45))/SQRT(COUNT(Resultados!D45,Resultados!M45,Resultados!V45)))</f>
        <v>2.0816659994661328E-4</v>
      </c>
      <c r="E45">
        <f>IF(COUNT(Resultados!E45,Resultados!N45,Resultados!W45)&lt;=1, "", _xlfn.STDEV.S(ABS(Resultados!E45),ABS(Resultados!N45),ABS(Resultados!W45))/SQRT(COUNT(Resultados!E45,Resultados!N45,Resultados!W45)))</f>
        <v>1.3205362174557129E-3</v>
      </c>
      <c r="F45">
        <f>IF(COUNT(Resultados!F45,Resultados!O45,Resultados!X45)&lt;=1, "", _xlfn.STDEV.S(ABS(Resultados!F45),ABS(Resultados!O45),ABS(Resultados!X45))/SQRT(COUNT(Resultados!F45,Resultados!O45,Resultados!X45)))</f>
        <v>0.12531888703675809</v>
      </c>
      <c r="G45">
        <f>IF(COUNT(Resultados!G45,Resultados!P45,Resultados!Y45)&lt;=1, "", _xlfn.STDEV.S(ABS(Resultados!G45),ABS(Resultados!P45),ABS(Resultados!Y45))/SQRT(COUNT(Resultados!G45,Resultados!P45,Resultados!Y45)))</f>
        <v>0</v>
      </c>
      <c r="H45">
        <f>IF(COUNT(Resultados!H45,Resultados!Q45,Resultados!Z45)&lt;=1, "", _xlfn.STDEV.S(ABS(Resultados!H45),ABS(Resultados!Q45),ABS(Resultados!Z45))/SQRT(COUNT(Resultados!H45,Resultados!Q45,Resultados!Z45)))</f>
        <v>3.3333333333333714E-5</v>
      </c>
      <c r="I45">
        <f>IF(COUNT(Resultados!I45,Resultados!R45,Resultados!AA45)&lt;=1, "", _xlfn.STDEV.S(ABS(Resultados!I45),ABS(Resultados!R45),ABS(Resultados!AA45))/SQRT(COUNT(Resultados!I45,Resultados!R45,Resultados!AA45)))</f>
        <v>4.3999999999873773E-4</v>
      </c>
    </row>
    <row r="46" spans="1:9" x14ac:dyDescent="0.3">
      <c r="A46" t="str">
        <f>IF(COUNT(Resultados!A46,Resultados!J46,Resultados!S46)&lt;=1, "", _xlfn.STDEV.S(ABS(Resultados!A46),ABS(Resultados!J46),ABS(Resultados!S46))/SQRT(COUNT(Resultados!A46,Resultados!J46,Resultados!S46)))</f>
        <v/>
      </c>
      <c r="B46" t="str">
        <f>IF(COUNT(Resultados!B46,Resultados!K46,Resultados!T46)&lt;=1, "", _xlfn.STDEV.S(ABS(Resultados!B46),ABS(Resultados!K46),ABS(Resultados!T46))/SQRT(COUNT(Resultados!B46,Resultados!K46,Resultados!T46)))</f>
        <v/>
      </c>
      <c r="C46">
        <f>IF(COUNT(Resultados!C46,Resultados!L46,Resultados!U46)&lt;=1, "", _xlfn.STDEV.S(ABS(Resultados!C46),ABS(Resultados!L46),ABS(Resultados!U46))/SQRT(COUNT(Resultados!C46,Resultados!L46,Resultados!U46)))</f>
        <v>0</v>
      </c>
      <c r="D46">
        <f>IF(COUNT(Resultados!D46,Resultados!M46,Resultados!V46)&lt;=1, "", _xlfn.STDEV.S(ABS(Resultados!D46),ABS(Resultados!M46),ABS(Resultados!V46))/SQRT(COUNT(Resultados!D46,Resultados!M46,Resultados!V46)))</f>
        <v>2.4037008503093263E-4</v>
      </c>
      <c r="E46">
        <f>IF(COUNT(Resultados!E46,Resultados!N46,Resultados!W46)&lt;=1, "", _xlfn.STDEV.S(ABS(Resultados!E46),ABS(Resultados!N46),ABS(Resultados!W46))/SQRT(COUNT(Resultados!E46,Resultados!N46,Resultados!W46)))</f>
        <v>3.2171681086511569E-3</v>
      </c>
      <c r="F46">
        <f>IF(COUNT(Resultados!F46,Resultados!O46,Resultados!X46)&lt;=1, "", _xlfn.STDEV.S(ABS(Resultados!F46),ABS(Resultados!O46),ABS(Resultados!X46))/SQRT(COUNT(Resultados!F46,Resultados!O46,Resultados!X46)))</f>
        <v>0.30530925351110505</v>
      </c>
      <c r="G46">
        <f>IF(COUNT(Resultados!G46,Resultados!P46,Resultados!Y46)&lt;=1, "", _xlfn.STDEV.S(ABS(Resultados!G46),ABS(Resultados!P46),ABS(Resultados!Y46))/SQRT(COUNT(Resultados!G46,Resultados!P46,Resultados!Y46)))</f>
        <v>0</v>
      </c>
      <c r="H46">
        <f>IF(COUNT(Resultados!H46,Resultados!Q46,Resultados!Z46)&lt;=1, "", _xlfn.STDEV.S(ABS(Resultados!H46),ABS(Resultados!Q46),ABS(Resultados!Z46))/SQRT(COUNT(Resultados!H46,Resultados!Q46,Resultados!Z46)))</f>
        <v>3.3333333333333132E-5</v>
      </c>
      <c r="I46">
        <f>IF(COUNT(Resultados!I46,Resultados!R46,Resultados!AA46)&lt;=1, "", _xlfn.STDEV.S(ABS(Resultados!I46),ABS(Resultados!R46),ABS(Resultados!AA46))/SQRT(COUNT(Resultados!I46,Resultados!R46,Resultados!AA46)))</f>
        <v>1.4799999999996298E-3</v>
      </c>
    </row>
    <row r="47" spans="1:9" x14ac:dyDescent="0.3">
      <c r="A47" t="str">
        <f>IF(COUNT(Resultados!A47,Resultados!J47,Resultados!S47)&lt;=1, "", _xlfn.STDEV.S(ABS(Resultados!A47),ABS(Resultados!J47),ABS(Resultados!S47))/SQRT(COUNT(Resultados!A47,Resultados!J47,Resultados!S47)))</f>
        <v/>
      </c>
      <c r="B47" t="str">
        <f>IF(COUNT(Resultados!B47,Resultados!K47,Resultados!T47)&lt;=1, "", _xlfn.STDEV.S(ABS(Resultados!B47),ABS(Resultados!K47),ABS(Resultados!T47))/SQRT(COUNT(Resultados!B47,Resultados!K47,Resultados!T47)))</f>
        <v/>
      </c>
      <c r="C47">
        <f>IF(COUNT(Resultados!C47,Resultados!L47,Resultados!U47)&lt;=1, "", _xlfn.STDEV.S(ABS(Resultados!C47),ABS(Resultados!L47),ABS(Resultados!U47))/SQRT(COUNT(Resultados!C47,Resultados!L47,Resultados!U47)))</f>
        <v>0</v>
      </c>
      <c r="D47">
        <f>IF(COUNT(Resultados!D47,Resultados!M47,Resultados!V47)&lt;=1, "", _xlfn.STDEV.S(ABS(Resultados!D47),ABS(Resultados!M47),ABS(Resultados!V47))/SQRT(COUNT(Resultados!D47,Resultados!M47,Resultados!V47)))</f>
        <v>1.4529663145135588E-4</v>
      </c>
      <c r="E47">
        <f>IF(COUNT(Resultados!E47,Resultados!N47,Resultados!W47)&lt;=1, "", _xlfn.STDEV.S(ABS(Resultados!E47),ABS(Resultados!N47),ABS(Resultados!W47))/SQRT(COUNT(Resultados!E47,Resultados!N47,Resultados!W47)))</f>
        <v>3.5888491960517203E-3</v>
      </c>
      <c r="F47">
        <f>IF(COUNT(Resultados!F47,Resultados!O47,Resultados!X47)&lt;=1, "", _xlfn.STDEV.S(ABS(Resultados!F47),ABS(Resultados!O47),ABS(Resultados!X47))/SQRT(COUNT(Resultados!F47,Resultados!O47,Resultados!X47)))</f>
        <v>0.34058178870517591</v>
      </c>
      <c r="G47">
        <f>IF(COUNT(Resultados!G47,Resultados!P47,Resultados!Y47)&lt;=1, "", _xlfn.STDEV.S(ABS(Resultados!G47),ABS(Resultados!P47),ABS(Resultados!Y47))/SQRT(COUNT(Resultados!G47,Resultados!P47,Resultados!Y47)))</f>
        <v>0</v>
      </c>
      <c r="H47">
        <f>IF(COUNT(Resultados!H47,Resultados!Q47,Resultados!Z47)&lt;=1, "", _xlfn.STDEV.S(ABS(Resultados!H47),ABS(Resultados!Q47),ABS(Resultados!Z47))/SQRT(COUNT(Resultados!H47,Resultados!Q47,Resultados!Z47)))</f>
        <v>3.333333333333198E-5</v>
      </c>
      <c r="I47">
        <f>IF(COUNT(Resultados!I47,Resultados!R47,Resultados!AA47)&lt;=1, "", _xlfn.STDEV.S(ABS(Resultados!I47),ABS(Resultados!R47),ABS(Resultados!AA47))/SQRT(COUNT(Resultados!I47,Resultados!R47,Resultados!AA47)))</f>
        <v>1.5966666666654326E-3</v>
      </c>
    </row>
    <row r="48" spans="1:9" x14ac:dyDescent="0.3">
      <c r="A48" t="str">
        <f>IF(COUNT(Resultados!A48,Resultados!J48,Resultados!S48)&lt;=1, "", _xlfn.STDEV.S(ABS(Resultados!A48),ABS(Resultados!J48),ABS(Resultados!S48))/SQRT(COUNT(Resultados!A48,Resultados!J48,Resultados!S48)))</f>
        <v/>
      </c>
      <c r="B48" t="str">
        <f>IF(COUNT(Resultados!B48,Resultados!K48,Resultados!T48)&lt;=1, "", _xlfn.STDEV.S(ABS(Resultados!B48),ABS(Resultados!K48),ABS(Resultados!T48))/SQRT(COUNT(Resultados!B48,Resultados!K48,Resultados!T48)))</f>
        <v/>
      </c>
      <c r="C48">
        <f>IF(COUNT(Resultados!C48,Resultados!L48,Resultados!U48)&lt;=1, "", _xlfn.STDEV.S(ABS(Resultados!C48),ABS(Resultados!L48),ABS(Resultados!U48))/SQRT(COUNT(Resultados!C48,Resultados!L48,Resultados!U48)))</f>
        <v>0</v>
      </c>
      <c r="D48">
        <f>IF(COUNT(Resultados!D48,Resultados!M48,Resultados!V48)&lt;=1, "", _xlfn.STDEV.S(ABS(Resultados!D48),ABS(Resultados!M48),ABS(Resultados!V48))/SQRT(COUNT(Resultados!D48,Resultados!M48,Resultados!V48)))</f>
        <v>6.6666666666667429E-5</v>
      </c>
      <c r="E48">
        <f>IF(COUNT(Resultados!E48,Resultados!N48,Resultados!W48)&lt;=1, "", _xlfn.STDEV.S(ABS(Resultados!E48),ABS(Resultados!N48),ABS(Resultados!W48))/SQRT(COUNT(Resultados!E48,Resultados!N48,Resultados!W48)))</f>
        <v>3.511732259541159E-3</v>
      </c>
      <c r="F48">
        <f>IF(COUNT(Resultados!F48,Resultados!O48,Resultados!X48)&lt;=1, "", _xlfn.STDEV.S(ABS(Resultados!F48),ABS(Resultados!O48),ABS(Resultados!X48))/SQRT(COUNT(Resultados!F48,Resultados!O48,Resultados!X48)))</f>
        <v>0.33326339143040917</v>
      </c>
      <c r="G48">
        <f>IF(COUNT(Resultados!G48,Resultados!P48,Resultados!Y48)&lt;=1, "", _xlfn.STDEV.S(ABS(Resultados!G48),ABS(Resultados!P48),ABS(Resultados!Y48))/SQRT(COUNT(Resultados!G48,Resultados!P48,Resultados!Y48)))</f>
        <v>0</v>
      </c>
      <c r="H48">
        <f>IF(COUNT(Resultados!H48,Resultados!Q48,Resultados!Z48)&lt;=1, "", _xlfn.STDEV.S(ABS(Resultados!H48),ABS(Resultados!Q48),ABS(Resultados!Z48))/SQRT(COUNT(Resultados!H48,Resultados!Q48,Resultados!Z48)))</f>
        <v>6.6666666666666263E-5</v>
      </c>
      <c r="I48">
        <f>IF(COUNT(Resultados!I48,Resultados!R48,Resultados!AA48)&lt;=1, "", _xlfn.STDEV.S(ABS(Resultados!I48),ABS(Resultados!R48),ABS(Resultados!AA48))/SQRT(COUNT(Resultados!I48,Resultados!R48,Resultados!AA48)))</f>
        <v>1.4333333333311773E-3</v>
      </c>
    </row>
    <row r="49" spans="1:9" x14ac:dyDescent="0.3">
      <c r="A49" t="str">
        <f>IF(COUNT(Resultados!A49,Resultados!J49,Resultados!S49)&lt;=1, "", _xlfn.STDEV.S(ABS(Resultados!A49),ABS(Resultados!J49),ABS(Resultados!S49))/SQRT(COUNT(Resultados!A49,Resultados!J49,Resultados!S49)))</f>
        <v/>
      </c>
      <c r="B49" t="str">
        <f>IF(COUNT(Resultados!B49,Resultados!K49,Resultados!T49)&lt;=1, "", _xlfn.STDEV.S(ABS(Resultados!B49),ABS(Resultados!K49),ABS(Resultados!T49))/SQRT(COUNT(Resultados!B49,Resultados!K49,Resultados!T49)))</f>
        <v/>
      </c>
      <c r="C49">
        <f>IF(COUNT(Resultados!C49,Resultados!L49,Resultados!U49)&lt;=1, "", _xlfn.STDEV.S(ABS(Resultados!C49),ABS(Resultados!L49),ABS(Resultados!U49))/SQRT(COUNT(Resultados!C49,Resultados!L49,Resultados!U49)))</f>
        <v>0</v>
      </c>
      <c r="D49">
        <f>IF(COUNT(Resultados!D49,Resultados!M49,Resultados!V49)&lt;=1, "", _xlfn.STDEV.S(ABS(Resultados!D49),ABS(Resultados!M49),ABS(Resultados!V49))/SQRT(COUNT(Resultados!D49,Resultados!M49,Resultados!V49)))</f>
        <v>1.2018504251546558E-4</v>
      </c>
      <c r="E49">
        <f>IF(COUNT(Resultados!E49,Resultados!N49,Resultados!W49)&lt;=1, "", _xlfn.STDEV.S(ABS(Resultados!E49),ABS(Resultados!N49),ABS(Resultados!W49))/SQRT(COUNT(Resultados!E49,Resultados!N49,Resultados!W49)))</f>
        <v>4.9792536337832209E-4</v>
      </c>
      <c r="F49">
        <f>IF(COUNT(Resultados!F49,Resultados!O49,Resultados!X49)&lt;=1, "", _xlfn.STDEV.S(ABS(Resultados!F49),ABS(Resultados!O49),ABS(Resultados!X49))/SQRT(COUNT(Resultados!F49,Resultados!O49,Resultados!X49)))</f>
        <v>4.7253116984735187E-2</v>
      </c>
      <c r="G49">
        <f>IF(COUNT(Resultados!G49,Resultados!P49,Resultados!Y49)&lt;=1, "", _xlfn.STDEV.S(ABS(Resultados!G49),ABS(Resultados!P49),ABS(Resultados!Y49))/SQRT(COUNT(Resultados!G49,Resultados!P49,Resultados!Y49)))</f>
        <v>0</v>
      </c>
      <c r="H49">
        <f>IF(COUNT(Resultados!H49,Resultados!Q49,Resultados!Z49)&lt;=1, "", _xlfn.STDEV.S(ABS(Resultados!H49),ABS(Resultados!Q49),ABS(Resultados!Z49))/SQRT(COUNT(Resultados!H49,Resultados!Q49,Resultados!Z49)))</f>
        <v>3.333333333333198E-5</v>
      </c>
      <c r="I49">
        <f>IF(COUNT(Resultados!I49,Resultados!R49,Resultados!AA49)&lt;=1, "", _xlfn.STDEV.S(ABS(Resultados!I49),ABS(Resultados!R49),ABS(Resultados!AA49))/SQRT(COUNT(Resultados!I49,Resultados!R49,Resultados!AA49)))</f>
        <v>5.3999999999850468E-4</v>
      </c>
    </row>
    <row r="50" spans="1:9" x14ac:dyDescent="0.3">
      <c r="A50" t="str">
        <f>IF(COUNT(Resultados!A50,Resultados!J50,Resultados!S50)&lt;=1, "", _xlfn.STDEV.S(ABS(Resultados!A50),ABS(Resultados!J50),ABS(Resultados!S50))/SQRT(COUNT(Resultados!A50,Resultados!J50,Resultados!S50)))</f>
        <v/>
      </c>
      <c r="B50" t="str">
        <f>IF(COUNT(Resultados!B50,Resultados!K50,Resultados!T50)&lt;=1, "", _xlfn.STDEV.S(ABS(Resultados!B50),ABS(Resultados!K50),ABS(Resultados!T50))/SQRT(COUNT(Resultados!B50,Resultados!K50,Resultados!T50)))</f>
        <v/>
      </c>
      <c r="C50">
        <f>IF(COUNT(Resultados!C50,Resultados!L50,Resultados!U50)&lt;=1, "", _xlfn.STDEV.S(ABS(Resultados!C50),ABS(Resultados!L50),ABS(Resultados!U50))/SQRT(COUNT(Resultados!C50,Resultados!L50,Resultados!U50)))</f>
        <v>0</v>
      </c>
      <c r="D50">
        <f>IF(COUNT(Resultados!D50,Resultados!M50,Resultados!V50)&lt;=1, "", _xlfn.STDEV.S(ABS(Resultados!D50),ABS(Resultados!M50),ABS(Resultados!V50))/SQRT(COUNT(Resultados!D50,Resultados!M50,Resultados!V50)))</f>
        <v>5.7735026918962233E-5</v>
      </c>
      <c r="E50">
        <f>IF(COUNT(Resultados!E50,Resultados!N50,Resultados!W50)&lt;=1, "", _xlfn.STDEV.S(ABS(Resultados!E50),ABS(Resultados!N50),ABS(Resultados!W50))/SQRT(COUNT(Resultados!E50,Resultados!N50,Resultados!W50)))</f>
        <v>1.1471452119090058E-3</v>
      </c>
      <c r="F50">
        <f>IF(COUNT(Resultados!F50,Resultados!O50,Resultados!X50)&lt;=1, "", _xlfn.STDEV.S(ABS(Resultados!F50),ABS(Resultados!O50),ABS(Resultados!X50))/SQRT(COUNT(Resultados!F50,Resultados!O50,Resultados!X50)))</f>
        <v>0.10886408061016255</v>
      </c>
      <c r="G50">
        <f>IF(COUNT(Resultados!G50,Resultados!P50,Resultados!Y50)&lt;=1, "", _xlfn.STDEV.S(ABS(Resultados!G50),ABS(Resultados!P50),ABS(Resultados!Y50))/SQRT(COUNT(Resultados!G50,Resultados!P50,Resultados!Y50)))</f>
        <v>0</v>
      </c>
      <c r="H50">
        <f>IF(COUNT(Resultados!H50,Resultados!Q50,Resultados!Z50)&lt;=1, "", _xlfn.STDEV.S(ABS(Resultados!H50),ABS(Resultados!Q50),ABS(Resultados!Z50))/SQRT(COUNT(Resultados!H50,Resultados!Q50,Resultados!Z50)))</f>
        <v>3.333333333333198E-5</v>
      </c>
      <c r="I50">
        <f>IF(COUNT(Resultados!I50,Resultados!R50,Resultados!AA50)&lt;=1, "", _xlfn.STDEV.S(ABS(Resultados!I50),ABS(Resultados!R50),ABS(Resultados!AA50))/SQRT(COUNT(Resultados!I50,Resultados!R50,Resultados!AA50)))</f>
        <v>3.5000000000214493E-4</v>
      </c>
    </row>
    <row r="51" spans="1:9" x14ac:dyDescent="0.3">
      <c r="A51" t="str">
        <f>IF(COUNT(Resultados!A51,Resultados!J51,Resultados!S51)&lt;=1, "", _xlfn.STDEV.S(ABS(Resultados!A51),ABS(Resultados!J51),ABS(Resultados!S51))/SQRT(COUNT(Resultados!A51,Resultados!J51,Resultados!S51)))</f>
        <v/>
      </c>
      <c r="B51" t="str">
        <f>IF(COUNT(Resultados!B51,Resultados!K51,Resultados!T51)&lt;=1, "", _xlfn.STDEV.S(ABS(Resultados!B51),ABS(Resultados!K51),ABS(Resultados!T51))/SQRT(COUNT(Resultados!B51,Resultados!K51,Resultados!T51)))</f>
        <v/>
      </c>
      <c r="C51">
        <f>IF(COUNT(Resultados!C51,Resultados!L51,Resultados!U51)&lt;=1, "", _xlfn.STDEV.S(ABS(Resultados!C51),ABS(Resultados!L51),ABS(Resultados!U51))/SQRT(COUNT(Resultados!C51,Resultados!L51,Resultados!U51)))</f>
        <v>0</v>
      </c>
      <c r="D51">
        <f>IF(COUNT(Resultados!D51,Resultados!M51,Resultados!V51)&lt;=1, "", _xlfn.STDEV.S(ABS(Resultados!D51),ABS(Resultados!M51),ABS(Resultados!V51))/SQRT(COUNT(Resultados!D51,Resultados!M51,Resultados!V51)))</f>
        <v>3.3829638550307459E-4</v>
      </c>
      <c r="E51">
        <f>IF(COUNT(Resultados!E51,Resultados!N51,Resultados!W51)&lt;=1, "", _xlfn.STDEV.S(ABS(Resultados!E51),ABS(Resultados!N51),ABS(Resultados!W51))/SQRT(COUNT(Resultados!E51,Resultados!N51,Resultados!W51)))</f>
        <v>4.6737083940523314E-4</v>
      </c>
      <c r="F51">
        <f>IF(COUNT(Resultados!F51,Resultados!O51,Resultados!X51)&lt;=1, "", _xlfn.STDEV.S(ABS(Resultados!F51),ABS(Resultados!O51),ABS(Resultados!X51))/SQRT(COUNT(Resultados!F51,Resultados!O51,Resultados!X51)))</f>
        <v>4.435349265953905E-2</v>
      </c>
      <c r="G51">
        <f>IF(COUNT(Resultados!G51,Resultados!P51,Resultados!Y51)&lt;=1, "", _xlfn.STDEV.S(ABS(Resultados!G51),ABS(Resultados!P51),ABS(Resultados!Y51))/SQRT(COUNT(Resultados!G51,Resultados!P51,Resultados!Y51)))</f>
        <v>0</v>
      </c>
      <c r="H51">
        <f>IF(COUNT(Resultados!H51,Resultados!Q51,Resultados!Z51)&lt;=1, "", _xlfn.STDEV.S(ABS(Resultados!H51),ABS(Resultados!Q51),ABS(Resultados!Z51))/SQRT(COUNT(Resultados!H51,Resultados!Q51,Resultados!Z51)))</f>
        <v>0</v>
      </c>
      <c r="I51">
        <f>IF(COUNT(Resultados!I51,Resultados!R51,Resultados!AA51)&lt;=1, "", _xlfn.STDEV.S(ABS(Resultados!I51),ABS(Resultados!R51),ABS(Resultados!AA51))/SQRT(COUNT(Resultados!I51,Resultados!R51,Resultados!AA51)))</f>
        <v>4.6666666666084218E-5</v>
      </c>
    </row>
    <row r="52" spans="1:9" x14ac:dyDescent="0.3">
      <c r="A52" t="str">
        <f>IF(COUNT(Resultados!A52,Resultados!J52,Resultados!S52)&lt;=1, "", _xlfn.STDEV.S(ABS(Resultados!A52),ABS(Resultados!J52),ABS(Resultados!S52))/SQRT(COUNT(Resultados!A52,Resultados!J52,Resultados!S52)))</f>
        <v/>
      </c>
      <c r="B52" t="str">
        <f>IF(COUNT(Resultados!B52,Resultados!K52,Resultados!T52)&lt;=1, "", _xlfn.STDEV.S(ABS(Resultados!B52),ABS(Resultados!K52),ABS(Resultados!T52))/SQRT(COUNT(Resultados!B52,Resultados!K52,Resultados!T52)))</f>
        <v/>
      </c>
      <c r="C52">
        <f>IF(COUNT(Resultados!C52,Resultados!L52,Resultados!U52)&lt;=1, "", _xlfn.STDEV.S(ABS(Resultados!C52),ABS(Resultados!L52),ABS(Resultados!U52))/SQRT(COUNT(Resultados!C52,Resultados!L52,Resultados!U52)))</f>
        <v>0</v>
      </c>
      <c r="D52">
        <f>IF(COUNT(Resultados!D52,Resultados!M52,Resultados!V52)&lt;=1, "", _xlfn.STDEV.S(ABS(Resultados!D52),ABS(Resultados!M52),ABS(Resultados!V52))/SQRT(COUNT(Resultados!D52,Resultados!M52,Resultados!V52)))</f>
        <v>1.4529663145135597E-4</v>
      </c>
      <c r="E52">
        <f>IF(COUNT(Resultados!E52,Resultados!N52,Resultados!W52)&lt;=1, "", _xlfn.STDEV.S(ABS(Resultados!E52),ABS(Resultados!N52),ABS(Resultados!W52))/SQRT(COUNT(Resultados!E52,Resultados!N52,Resultados!W52)))</f>
        <v>3.4272340351112725E-6</v>
      </c>
      <c r="F52">
        <f>IF(COUNT(Resultados!F52,Resultados!O52,Resultados!X52)&lt;=1, "", _xlfn.STDEV.S(ABS(Resultados!F52),ABS(Resultados!O52),ABS(Resultados!X52))/SQRT(COUNT(Resultados!F52,Resultados!O52,Resultados!X52)))</f>
        <v>3.252445099582735E-4</v>
      </c>
      <c r="G52">
        <f>IF(COUNT(Resultados!G52,Resultados!P52,Resultados!Y52)&lt;=1, "", _xlfn.STDEV.S(ABS(Resultados!G52),ABS(Resultados!P52),ABS(Resultados!Y52))/SQRT(COUNT(Resultados!G52,Resultados!P52,Resultados!Y52)))</f>
        <v>0</v>
      </c>
      <c r="H52">
        <f>IF(COUNT(Resultados!H52,Resultados!Q52,Resultados!Z52)&lt;=1, "", _xlfn.STDEV.S(ABS(Resultados!H52),ABS(Resultados!Q52),ABS(Resultados!Z52))/SQRT(COUNT(Resultados!H52,Resultados!Q52,Resultados!Z52)))</f>
        <v>0</v>
      </c>
      <c r="I52">
        <f>IF(COUNT(Resultados!I52,Resultados!R52,Resultados!AA52)&lt;=1, "", _xlfn.STDEV.S(ABS(Resultados!I52),ABS(Resultados!R52),ABS(Resultados!AA52))/SQRT(COUNT(Resultados!I52,Resultados!R52,Resultados!AA52)))</f>
        <v>1.0033333333320609E-3</v>
      </c>
    </row>
    <row r="53" spans="1:9" x14ac:dyDescent="0.3">
      <c r="A53" t="str">
        <f>IF(COUNT(Resultados!A53,Resultados!J53,Resultados!S53)&lt;=1, "", _xlfn.STDEV.S(ABS(Resultados!A53),ABS(Resultados!J53),ABS(Resultados!S53))/SQRT(COUNT(Resultados!A53,Resultados!J53,Resultados!S53)))</f>
        <v/>
      </c>
      <c r="B53" t="str">
        <f>IF(COUNT(Resultados!B53,Resultados!K53,Resultados!T53)&lt;=1, "", _xlfn.STDEV.S(ABS(Resultados!B53),ABS(Resultados!K53),ABS(Resultados!T53))/SQRT(COUNT(Resultados!B53,Resultados!K53,Resultados!T53)))</f>
        <v/>
      </c>
      <c r="C53">
        <f>IF(COUNT(Resultados!C53,Resultados!L53,Resultados!U53)&lt;=1, "", _xlfn.STDEV.S(ABS(Resultados!C53),ABS(Resultados!L53),ABS(Resultados!U53))/SQRT(COUNT(Resultados!C53,Resultados!L53,Resultados!U53)))</f>
        <v>0</v>
      </c>
      <c r="D53">
        <f>IF(COUNT(Resultados!D53,Resultados!M53,Resultados!V53)&lt;=1, "", _xlfn.STDEV.S(ABS(Resultados!D53),ABS(Resultados!M53),ABS(Resultados!V53))/SQRT(COUNT(Resultados!D53,Resultados!M53,Resultados!V53)))</f>
        <v>2.0275875100994061E-4</v>
      </c>
      <c r="E53">
        <f>IF(COUNT(Resultados!E53,Resultados!N53,Resultados!W53)&lt;=1, "", _xlfn.STDEV.S(ABS(Resultados!E53),ABS(Resultados!N53),ABS(Resultados!W53))/SQRT(COUNT(Resultados!E53,Resultados!N53,Resultados!W53)))</f>
        <v>6.8923994195811071E-4</v>
      </c>
      <c r="F53">
        <f>IF(COUNT(Resultados!F53,Resultados!O53,Resultados!X53)&lt;=1, "", _xlfn.STDEV.S(ABS(Resultados!F53),ABS(Resultados!O53),ABS(Resultados!X53))/SQRT(COUNT(Resultados!F53,Resultados!O53,Resultados!X53)))</f>
        <v>6.4237162590597613E-2</v>
      </c>
      <c r="G53">
        <f>IF(COUNT(Resultados!G53,Resultados!P53,Resultados!Y53)&lt;=1, "", _xlfn.STDEV.S(ABS(Resultados!G53),ABS(Resultados!P53),ABS(Resultados!Y53))/SQRT(COUNT(Resultados!G53,Resultados!P53,Resultados!Y53)))</f>
        <v>0</v>
      </c>
      <c r="H53">
        <f>IF(COUNT(Resultados!H53,Resultados!Q53,Resultados!Z53)&lt;=1, "", _xlfn.STDEV.S(ABS(Resultados!H53),ABS(Resultados!Q53),ABS(Resultados!Z53))/SQRT(COUNT(Resultados!H53,Resultados!Q53,Resultados!Z53)))</f>
        <v>3.333333333333198E-5</v>
      </c>
      <c r="I53">
        <f>IF(COUNT(Resultados!I53,Resultados!R53,Resultados!AA53)&lt;=1, "", _xlfn.STDEV.S(ABS(Resultados!I53),ABS(Resultados!R53),ABS(Resultados!AA53))/SQRT(COUNT(Resultados!I53,Resultados!R53,Resultados!AA53)))</f>
        <v>4.6000000000153329E-4</v>
      </c>
    </row>
    <row r="54" spans="1:9" x14ac:dyDescent="0.3">
      <c r="A54" t="str">
        <f>IF(COUNT(Resultados!A54,Resultados!J54,Resultados!S54)&lt;=1, "", _xlfn.STDEV.S(ABS(Resultados!A54),ABS(Resultados!J54),ABS(Resultados!S54))/SQRT(COUNT(Resultados!A54,Resultados!J54,Resultados!S54)))</f>
        <v/>
      </c>
      <c r="B54" t="str">
        <f>IF(COUNT(Resultados!B54,Resultados!K54,Resultados!T54)&lt;=1, "", _xlfn.STDEV.S(ABS(Resultados!B54),ABS(Resultados!K54),ABS(Resultados!T54))/SQRT(COUNT(Resultados!B54,Resultados!K54,Resultados!T54)))</f>
        <v/>
      </c>
      <c r="C54">
        <f>IF(COUNT(Resultados!C54,Resultados!L54,Resultados!U54)&lt;=1, "", _xlfn.STDEV.S(ABS(Resultados!C54),ABS(Resultados!L54),ABS(Resultados!U54))/SQRT(COUNT(Resultados!C54,Resultados!L54,Resultados!U54)))</f>
        <v>0</v>
      </c>
      <c r="D54">
        <f>IF(COUNT(Resultados!D54,Resultados!M54,Resultados!V54)&lt;=1, "", _xlfn.STDEV.S(ABS(Resultados!D54),ABS(Resultados!M54),ABS(Resultados!V54))/SQRT(COUNT(Resultados!D54,Resultados!M54,Resultados!V54)))</f>
        <v>2.7284509239574781E-4</v>
      </c>
      <c r="E54">
        <f>IF(COUNT(Resultados!E54,Resultados!N54,Resultados!W54)&lt;=1, "", _xlfn.STDEV.S(ABS(Resultados!E54),ABS(Resultados!N54),ABS(Resultados!W54))/SQRT(COUNT(Resultados!E54,Resultados!N54,Resultados!W54)))</f>
        <v>5.8996221703190598E-4</v>
      </c>
      <c r="F54">
        <f>IF(COUNT(Resultados!F54,Resultados!O54,Resultados!X54)&lt;=1, "", _xlfn.STDEV.S(ABS(Resultados!F54),ABS(Resultados!O54),ABS(Resultados!X54))/SQRT(COUNT(Resultados!F54,Resultados!O54,Resultados!X54)))</f>
        <v>5.4984478627217455E-2</v>
      </c>
      <c r="G54">
        <f>IF(COUNT(Resultados!G54,Resultados!P54,Resultados!Y54)&lt;=1, "", _xlfn.STDEV.S(ABS(Resultados!G54),ABS(Resultados!P54),ABS(Resultados!Y54))/SQRT(COUNT(Resultados!G54,Resultados!P54,Resultados!Y54)))</f>
        <v>0</v>
      </c>
      <c r="H54">
        <f>IF(COUNT(Resultados!H54,Resultados!Q54,Resultados!Z54)&lt;=1, "", _xlfn.STDEV.S(ABS(Resultados!H54),ABS(Resultados!Q54),ABS(Resultados!Z54))/SQRT(COUNT(Resultados!H54,Resultados!Q54,Resultados!Z54)))</f>
        <v>3.333333333333429E-5</v>
      </c>
      <c r="I54">
        <f>IF(COUNT(Resultados!I54,Resultados!R54,Resultados!AA54)&lt;=1, "", _xlfn.STDEV.S(ABS(Resultados!I54),ABS(Resultados!R54),ABS(Resultados!AA54))/SQRT(COUNT(Resultados!I54,Resultados!R54,Resultados!AA54)))</f>
        <v>9.9999999996214228E-6</v>
      </c>
    </row>
    <row r="55" spans="1:9" x14ac:dyDescent="0.3">
      <c r="A55" t="str">
        <f>IF(COUNT(Resultados!A55,Resultados!J55,Resultados!S55)&lt;=1, "", _xlfn.STDEV.S(ABS(Resultados!A55),ABS(Resultados!J55),ABS(Resultados!S55))/SQRT(COUNT(Resultados!A55,Resultados!J55,Resultados!S55)))</f>
        <v/>
      </c>
      <c r="B55" t="str">
        <f>IF(COUNT(Resultados!B55,Resultados!K55,Resultados!T55)&lt;=1, "", _xlfn.STDEV.S(ABS(Resultados!B55),ABS(Resultados!K55),ABS(Resultados!T55))/SQRT(COUNT(Resultados!B55,Resultados!K55,Resultados!T55)))</f>
        <v/>
      </c>
      <c r="C55">
        <f>IF(COUNT(Resultados!C55,Resultados!L55,Resultados!U55)&lt;=1, "", _xlfn.STDEV.S(ABS(Resultados!C55),ABS(Resultados!L55),ABS(Resultados!U55))/SQRT(COUNT(Resultados!C55,Resultados!L55,Resultados!U55)))</f>
        <v>0</v>
      </c>
      <c r="D55">
        <f>IF(COUNT(Resultados!D55,Resultados!M55,Resultados!V55)&lt;=1, "", _xlfn.STDEV.S(ABS(Resultados!D55),ABS(Resultados!M55),ABS(Resultados!V55))/SQRT(COUNT(Resultados!D55,Resultados!M55,Resultados!V55)))</f>
        <v>6.6666666666666263E-5</v>
      </c>
      <c r="E55">
        <f>IF(COUNT(Resultados!E55,Resultados!N55,Resultados!W55)&lt;=1, "", _xlfn.STDEV.S(ABS(Resultados!E55),ABS(Resultados!N55),ABS(Resultados!W55))/SQRT(COUNT(Resultados!E55,Resultados!N55,Resultados!W55)))</f>
        <v>1.7046161738516702E-3</v>
      </c>
      <c r="F55">
        <f>IF(COUNT(Resultados!F55,Resultados!O55,Resultados!X55)&lt;=1, "", _xlfn.STDEV.S(ABS(Resultados!F55),ABS(Resultados!O55),ABS(Resultados!X55))/SQRT(COUNT(Resultados!F55,Resultados!O55,Resultados!X55)))</f>
        <v>0.15887022740316822</v>
      </c>
      <c r="G55">
        <f>IF(COUNT(Resultados!G55,Resultados!P55,Resultados!Y55)&lt;=1, "", _xlfn.STDEV.S(ABS(Resultados!G55),ABS(Resultados!P55),ABS(Resultados!Y55))/SQRT(COUNT(Resultados!G55,Resultados!P55,Resultados!Y55)))</f>
        <v>0</v>
      </c>
      <c r="H55">
        <f>IF(COUNT(Resultados!H55,Resultados!Q55,Resultados!Z55)&lt;=1, "", _xlfn.STDEV.S(ABS(Resultados!H55),ABS(Resultados!Q55),ABS(Resultados!Z55))/SQRT(COUNT(Resultados!H55,Resultados!Q55,Resultados!Z55)))</f>
        <v>3.333333333333429E-5</v>
      </c>
      <c r="I55">
        <f>IF(COUNT(Resultados!I55,Resultados!R55,Resultados!AA55)&lt;=1, "", _xlfn.STDEV.S(ABS(Resultados!I55),ABS(Resultados!R55),ABS(Resultados!AA55))/SQRT(COUNT(Resultados!I55,Resultados!R55,Resultados!AA55)))</f>
        <v>1.0866666666657923E-3</v>
      </c>
    </row>
    <row r="56" spans="1:9" x14ac:dyDescent="0.3">
      <c r="A56" t="str">
        <f>IF(COUNT(Resultados!A56,Resultados!J56,Resultados!S56)&lt;=1, "", _xlfn.STDEV.S(ABS(Resultados!A56),ABS(Resultados!J56),ABS(Resultados!S56))/SQRT(COUNT(Resultados!A56,Resultados!J56,Resultados!S56)))</f>
        <v/>
      </c>
      <c r="B56" t="str">
        <f>IF(COUNT(Resultados!B56,Resultados!K56,Resultados!T56)&lt;=1, "", _xlfn.STDEV.S(ABS(Resultados!B56),ABS(Resultados!K56),ABS(Resultados!T56))/SQRT(COUNT(Resultados!B56,Resultados!K56,Resultados!T56)))</f>
        <v/>
      </c>
      <c r="C56">
        <f>IF(COUNT(Resultados!C56,Resultados!L56,Resultados!U56)&lt;=1, "", _xlfn.STDEV.S(ABS(Resultados!C56),ABS(Resultados!L56),ABS(Resultados!U56))/SQRT(COUNT(Resultados!C56,Resultados!L56,Resultados!U56)))</f>
        <v>0</v>
      </c>
      <c r="D56">
        <f>IF(COUNT(Resultados!D56,Resultados!M56,Resultados!V56)&lt;=1, "", _xlfn.STDEV.S(ABS(Resultados!D56),ABS(Resultados!M56),ABS(Resultados!V56))/SQRT(COUNT(Resultados!D56,Resultados!M56,Resultados!V56)))</f>
        <v>6.6666666666666263E-5</v>
      </c>
      <c r="E56">
        <f>IF(COUNT(Resultados!E56,Resultados!N56,Resultados!W56)&lt;=1, "", _xlfn.STDEV.S(ABS(Resultados!E56),ABS(Resultados!N56),ABS(Resultados!W56))/SQRT(COUNT(Resultados!E56,Resultados!N56,Resultados!W56)))</f>
        <v>2.2249697835269866E-3</v>
      </c>
      <c r="F56">
        <f>IF(COUNT(Resultados!F56,Resultados!O56,Resultados!X56)&lt;=1, "", _xlfn.STDEV.S(ABS(Resultados!F56),ABS(Resultados!O56),ABS(Resultados!X56))/SQRT(COUNT(Resultados!F56,Resultados!O56,Resultados!X56)))</f>
        <v>0.20736718382450686</v>
      </c>
      <c r="G56">
        <f>IF(COUNT(Resultados!G56,Resultados!P56,Resultados!Y56)&lt;=1, "", _xlfn.STDEV.S(ABS(Resultados!G56),ABS(Resultados!P56),ABS(Resultados!Y56))/SQRT(COUNT(Resultados!G56,Resultados!P56,Resultados!Y56)))</f>
        <v>0</v>
      </c>
      <c r="H56">
        <f>IF(COUNT(Resultados!H56,Resultados!Q56,Resultados!Z56)&lt;=1, "", _xlfn.STDEV.S(ABS(Resultados!H56),ABS(Resultados!Q56),ABS(Resultados!Z56))/SQRT(COUNT(Resultados!H56,Resultados!Q56,Resultados!Z56)))</f>
        <v>3.333333333333429E-5</v>
      </c>
      <c r="I56">
        <f>IF(COUNT(Resultados!I56,Resultados!R56,Resultados!AA56)&lt;=1, "", _xlfn.STDEV.S(ABS(Resultados!I56),ABS(Resultados!R56),ABS(Resultados!AA56))/SQRT(COUNT(Resultados!I56,Resultados!R56,Resultados!AA56)))</f>
        <v>8.6666666665754149E-5</v>
      </c>
    </row>
    <row r="57" spans="1:9" x14ac:dyDescent="0.3">
      <c r="A57" t="str">
        <f>IF(COUNT(Resultados!A57,Resultados!J57,Resultados!S57)&lt;=1, "", _xlfn.STDEV.S(ABS(Resultados!A57),ABS(Resultados!J57),ABS(Resultados!S57))/SQRT(COUNT(Resultados!A57,Resultados!J57,Resultados!S57)))</f>
        <v/>
      </c>
      <c r="B57" t="str">
        <f>IF(COUNT(Resultados!B57,Resultados!K57,Resultados!T57)&lt;=1, "", _xlfn.STDEV.S(ABS(Resultados!B57),ABS(Resultados!K57),ABS(Resultados!T57))/SQRT(COUNT(Resultados!B57,Resultados!K57,Resultados!T57)))</f>
        <v/>
      </c>
      <c r="C57">
        <f>IF(COUNT(Resultados!C57,Resultados!L57,Resultados!U57)&lt;=1, "", _xlfn.STDEV.S(ABS(Resultados!C57),ABS(Resultados!L57),ABS(Resultados!U57))/SQRT(COUNT(Resultados!C57,Resultados!L57,Resultados!U57)))</f>
        <v>0</v>
      </c>
      <c r="D57">
        <f>IF(COUNT(Resultados!D57,Resultados!M57,Resultados!V57)&lt;=1, "", _xlfn.STDEV.S(ABS(Resultados!D57),ABS(Resultados!M57),ABS(Resultados!V57))/SQRT(COUNT(Resultados!D57,Resultados!M57,Resultados!V57)))</f>
        <v>1.5275252316519525E-4</v>
      </c>
      <c r="E57">
        <f>IF(COUNT(Resultados!E57,Resultados!N57,Resultados!W57)&lt;=1, "", _xlfn.STDEV.S(ABS(Resultados!E57),ABS(Resultados!N57),ABS(Resultados!W57))/SQRT(COUNT(Resultados!E57,Resultados!N57,Resultados!W57)))</f>
        <v>4.3344470484626141E-3</v>
      </c>
      <c r="F57">
        <f>IF(COUNT(Resultados!F57,Resultados!O57,Resultados!X57)&lt;=1, "", _xlfn.STDEV.S(ABS(Resultados!F57),ABS(Resultados!O57),ABS(Resultados!X57))/SQRT(COUNT(Resultados!F57,Resultados!O57,Resultados!X57)))</f>
        <v>0.40397046491663857</v>
      </c>
      <c r="G57">
        <f>IF(COUNT(Resultados!G57,Resultados!P57,Resultados!Y57)&lt;=1, "", _xlfn.STDEV.S(ABS(Resultados!G57),ABS(Resultados!P57),ABS(Resultados!Y57))/SQRT(COUNT(Resultados!G57,Resultados!P57,Resultados!Y57)))</f>
        <v>0</v>
      </c>
      <c r="H57">
        <f>IF(COUNT(Resultados!H57,Resultados!Q57,Resultados!Z57)&lt;=1, "", _xlfn.STDEV.S(ABS(Resultados!H57),ABS(Resultados!Q57),ABS(Resultados!Z57))/SQRT(COUNT(Resultados!H57,Resultados!Q57,Resultados!Z57)))</f>
        <v>5.7735026918962233E-5</v>
      </c>
      <c r="I57">
        <f>IF(COUNT(Resultados!I57,Resultados!R57,Resultados!AA57)&lt;=1, "", _xlfn.STDEV.S(ABS(Resultados!I57),ABS(Resultados!R57),ABS(Resultados!AA57))/SQRT(COUNT(Resultados!I57,Resultados!R57,Resultados!AA57)))</f>
        <v>1.220000000001183E-3</v>
      </c>
    </row>
    <row r="58" spans="1:9" x14ac:dyDescent="0.3">
      <c r="A58" t="str">
        <f>IF(COUNT(Resultados!A58,Resultados!J58,Resultados!S58)&lt;=1, "", _xlfn.STDEV.S(ABS(Resultados!A58),ABS(Resultados!J58),ABS(Resultados!S58))/SQRT(COUNT(Resultados!A58,Resultados!J58,Resultados!S58)))</f>
        <v/>
      </c>
      <c r="B58" t="str">
        <f>IF(COUNT(Resultados!B58,Resultados!K58,Resultados!T58)&lt;=1, "", _xlfn.STDEV.S(ABS(Resultados!B58),ABS(Resultados!K58),ABS(Resultados!T58))/SQRT(COUNT(Resultados!B58,Resultados!K58,Resultados!T58)))</f>
        <v/>
      </c>
      <c r="C58">
        <f>IF(COUNT(Resultados!C58,Resultados!L58,Resultados!U58)&lt;=1, "", _xlfn.STDEV.S(ABS(Resultados!C58),ABS(Resultados!L58),ABS(Resultados!U58))/SQRT(COUNT(Resultados!C58,Resultados!L58,Resultados!U58)))</f>
        <v>0</v>
      </c>
      <c r="D58">
        <f>IF(COUNT(Resultados!D58,Resultados!M58,Resultados!V58)&lt;=1, "", _xlfn.STDEV.S(ABS(Resultados!D58),ABS(Resultados!M58),ABS(Resultados!V58))/SQRT(COUNT(Resultados!D58,Resultados!M58,Resultados!V58)))</f>
        <v>3.333333333333429E-5</v>
      </c>
      <c r="E58">
        <f>IF(COUNT(Resultados!E58,Resultados!N58,Resultados!W58)&lt;=1, "", _xlfn.STDEV.S(ABS(Resultados!E58),ABS(Resultados!N58),ABS(Resultados!W58))/SQRT(COUNT(Resultados!E58,Resultados!N58,Resultados!W58)))</f>
        <v>4.0719601554970383E-3</v>
      </c>
      <c r="F58">
        <f>IF(COUNT(Resultados!F58,Resultados!O58,Resultados!X58)&lt;=1, "", _xlfn.STDEV.S(ABS(Resultados!F58),ABS(Resultados!O58),ABS(Resultados!X58))/SQRT(COUNT(Resultados!F58,Resultados!O58,Resultados!X58)))</f>
        <v>0.37950668649241509</v>
      </c>
      <c r="G58">
        <f>IF(COUNT(Resultados!G58,Resultados!P58,Resultados!Y58)&lt;=1, "", _xlfn.STDEV.S(ABS(Resultados!G58),ABS(Resultados!P58),ABS(Resultados!Y58))/SQRT(COUNT(Resultados!G58,Resultados!P58,Resultados!Y58)))</f>
        <v>0</v>
      </c>
      <c r="H58">
        <f>IF(COUNT(Resultados!H58,Resultados!Q58,Resultados!Z58)&lt;=1, "", _xlfn.STDEV.S(ABS(Resultados!H58),ABS(Resultados!Q58),ABS(Resultados!Z58))/SQRT(COUNT(Resultados!H58,Resultados!Q58,Resultados!Z58)))</f>
        <v>6.6666666666667429E-5</v>
      </c>
      <c r="I58">
        <f>IF(COUNT(Resultados!I58,Resultados!R58,Resultados!AA58)&lt;=1, "", _xlfn.STDEV.S(ABS(Resultados!I58),ABS(Resultados!R58),ABS(Resultados!AA58))/SQRT(COUNT(Resultados!I58,Resultados!R58,Resultados!AA58)))</f>
        <v>1.0999999999998049E-3</v>
      </c>
    </row>
    <row r="59" spans="1:9" x14ac:dyDescent="0.3">
      <c r="A59" t="str">
        <f>IF(COUNT(Resultados!A59,Resultados!J59,Resultados!S59)&lt;=1, "", _xlfn.STDEV.S(ABS(Resultados!A59),ABS(Resultados!J59),ABS(Resultados!S59))/SQRT(COUNT(Resultados!A59,Resultados!J59,Resultados!S59)))</f>
        <v/>
      </c>
      <c r="B59" t="str">
        <f>IF(COUNT(Resultados!B59,Resultados!K59,Resultados!T59)&lt;=1, "", _xlfn.STDEV.S(ABS(Resultados!B59),ABS(Resultados!K59),ABS(Resultados!T59))/SQRT(COUNT(Resultados!B59,Resultados!K59,Resultados!T59)))</f>
        <v/>
      </c>
      <c r="C59">
        <f>IF(COUNT(Resultados!C59,Resultados!L59,Resultados!U59)&lt;=1, "", _xlfn.STDEV.S(ABS(Resultados!C59),ABS(Resultados!L59),ABS(Resultados!U59))/SQRT(COUNT(Resultados!C59,Resultados!L59,Resultados!U59)))</f>
        <v>0</v>
      </c>
      <c r="D59">
        <f>IF(COUNT(Resultados!D59,Resultados!M59,Resultados!V59)&lt;=1, "", _xlfn.STDEV.S(ABS(Resultados!D59),ABS(Resultados!M59),ABS(Resultados!V59))/SQRT(COUNT(Resultados!D59,Resultados!M59,Resultados!V59)))</f>
        <v>8.8191710368820241E-5</v>
      </c>
      <c r="E59">
        <f>IF(COUNT(Resultados!E59,Resultados!N59,Resultados!W59)&lt;=1, "", _xlfn.STDEV.S(ABS(Resultados!E59),ABS(Resultados!N59),ABS(Resultados!W59))/SQRT(COUNT(Resultados!E59,Resultados!N59,Resultados!W59)))</f>
        <v>4.168029712521607E-3</v>
      </c>
      <c r="F59">
        <f>IF(COUNT(Resultados!F59,Resultados!O59,Resultados!X59)&lt;=1, "", _xlfn.STDEV.S(ABS(Resultados!F59),ABS(Resultados!O59),ABS(Resultados!X59))/SQRT(COUNT(Resultados!F59,Resultados!O59,Resultados!X59)))</f>
        <v>0.38846036920682803</v>
      </c>
      <c r="G59">
        <f>IF(COUNT(Resultados!G59,Resultados!P59,Resultados!Y59)&lt;=1, "", _xlfn.STDEV.S(ABS(Resultados!G59),ABS(Resultados!P59),ABS(Resultados!Y59))/SQRT(COUNT(Resultados!G59,Resultados!P59,Resultados!Y59)))</f>
        <v>0</v>
      </c>
      <c r="H59">
        <f>IF(COUNT(Resultados!H59,Resultados!Q59,Resultados!Z59)&lt;=1, "", _xlfn.STDEV.S(ABS(Resultados!H59),ABS(Resultados!Q59),ABS(Resultados!Z59))/SQRT(COUNT(Resultados!H59,Resultados!Q59,Resultados!Z59)))</f>
        <v>5.7735026918962233E-5</v>
      </c>
      <c r="I59">
        <f>IF(COUNT(Resultados!I59,Resultados!R59,Resultados!AA59)&lt;=1, "", _xlfn.STDEV.S(ABS(Resultados!I59),ABS(Resultados!R59),ABS(Resultados!AA59))/SQRT(COUNT(Resultados!I59,Resultados!R59,Resultados!AA59)))</f>
        <v>5.7333333333294456E-4</v>
      </c>
    </row>
    <row r="60" spans="1:9" x14ac:dyDescent="0.3">
      <c r="A60" t="str">
        <f>IF(COUNT(Resultados!A60,Resultados!J60,Resultados!S60)&lt;=1, "", _xlfn.STDEV.S(ABS(Resultados!A60),ABS(Resultados!J60),ABS(Resultados!S60))/SQRT(COUNT(Resultados!A60,Resultados!J60,Resultados!S60)))</f>
        <v/>
      </c>
      <c r="B60" t="str">
        <f>IF(COUNT(Resultados!B60,Resultados!K60,Resultados!T60)&lt;=1, "", _xlfn.STDEV.S(ABS(Resultados!B60),ABS(Resultados!K60),ABS(Resultados!T60))/SQRT(COUNT(Resultados!B60,Resultados!K60,Resultados!T60)))</f>
        <v/>
      </c>
      <c r="C60">
        <f>IF(COUNT(Resultados!C60,Resultados!L60,Resultados!U60)&lt;=1, "", _xlfn.STDEV.S(ABS(Resultados!C60),ABS(Resultados!L60),ABS(Resultados!U60))/SQRT(COUNT(Resultados!C60,Resultados!L60,Resultados!U60)))</f>
        <v>0</v>
      </c>
      <c r="D60">
        <f>IF(COUNT(Resultados!D60,Resultados!M60,Resultados!V60)&lt;=1, "", _xlfn.STDEV.S(ABS(Resultados!D60),ABS(Resultados!M60),ABS(Resultados!V60))/SQRT(COUNT(Resultados!D60,Resultados!M60,Resultados!V60)))</f>
        <v>4.5092497528228972E-4</v>
      </c>
      <c r="E60">
        <f>IF(COUNT(Resultados!E60,Resultados!N60,Resultados!W60)&lt;=1, "", _xlfn.STDEV.S(ABS(Resultados!E60),ABS(Resultados!N60),ABS(Resultados!W60))/SQRT(COUNT(Resultados!E60,Resultados!N60,Resultados!W60)))</f>
        <v>1.2584384743342474E-3</v>
      </c>
      <c r="F60">
        <f>IF(COUNT(Resultados!F60,Resultados!O60,Resultados!X60)&lt;=1, "", _xlfn.STDEV.S(ABS(Resultados!F60),ABS(Resultados!O60),ABS(Resultados!X60))/SQRT(COUNT(Resultados!F60,Resultados!O60,Resultados!X60)))</f>
        <v>0.117286465808023</v>
      </c>
      <c r="G60">
        <f>IF(COUNT(Resultados!G60,Resultados!P60,Resultados!Y60)&lt;=1, "", _xlfn.STDEV.S(ABS(Resultados!G60),ABS(Resultados!P60),ABS(Resultados!Y60))/SQRT(COUNT(Resultados!G60,Resultados!P60,Resultados!Y60)))</f>
        <v>0</v>
      </c>
      <c r="H60">
        <f>IF(COUNT(Resultados!H60,Resultados!Q60,Resultados!Z60)&lt;=1, "", _xlfn.STDEV.S(ABS(Resultados!H60),ABS(Resultados!Q60),ABS(Resultados!Z60))/SQRT(COUNT(Resultados!H60,Resultados!Q60,Resultados!Z60)))</f>
        <v>3.3333333333333423E-5</v>
      </c>
      <c r="I60">
        <f>IF(COUNT(Resultados!I60,Resultados!R60,Resultados!AA60)&lt;=1, "", _xlfn.STDEV.S(ABS(Resultados!I60),ABS(Resultados!R60),ABS(Resultados!AA60))/SQRT(COUNT(Resultados!I60,Resultados!R60,Resultados!AA60)))</f>
        <v>1.4000000000062113E-4</v>
      </c>
    </row>
    <row r="61" spans="1:9" x14ac:dyDescent="0.3">
      <c r="A61" t="str">
        <f>IF(COUNT(Resultados!A61,Resultados!J61,Resultados!S61)&lt;=1, "", _xlfn.STDEV.S(ABS(Resultados!A61),ABS(Resultados!J61),ABS(Resultados!S61))/SQRT(COUNT(Resultados!A61,Resultados!J61,Resultados!S61)))</f>
        <v/>
      </c>
      <c r="B61" t="str">
        <f>IF(COUNT(Resultados!B61,Resultados!K61,Resultados!T61)&lt;=1, "", _xlfn.STDEV.S(ABS(Resultados!B61),ABS(Resultados!K61),ABS(Resultados!T61))/SQRT(COUNT(Resultados!B61,Resultados!K61,Resultados!T61)))</f>
        <v/>
      </c>
      <c r="C61">
        <f>IF(COUNT(Resultados!C61,Resultados!L61,Resultados!U61)&lt;=1, "", _xlfn.STDEV.S(ABS(Resultados!C61),ABS(Resultados!L61),ABS(Resultados!U61))/SQRT(COUNT(Resultados!C61,Resultados!L61,Resultados!U61)))</f>
        <v>0</v>
      </c>
      <c r="D61">
        <f>IF(COUNT(Resultados!D61,Resultados!M61,Resultados!V61)&lt;=1, "", _xlfn.STDEV.S(ABS(Resultados!D61),ABS(Resultados!M61),ABS(Resultados!V61))/SQRT(COUNT(Resultados!D61,Resultados!M61,Resultados!V61)))</f>
        <v>2.1858128414340021E-4</v>
      </c>
      <c r="E61">
        <f>IF(COUNT(Resultados!E61,Resultados!N61,Resultados!W61)&lt;=1, "", _xlfn.STDEV.S(ABS(Resultados!E61),ABS(Resultados!N61),ABS(Resultados!W61))/SQRT(COUNT(Resultados!E61,Resultados!N61,Resultados!W61)))</f>
        <v>3.3769575389270797E-4</v>
      </c>
      <c r="F61">
        <f>IF(COUNT(Resultados!F61,Resultados!O61,Resultados!X61)&lt;=1, "", _xlfn.STDEV.S(ABS(Resultados!F61),ABS(Resultados!O61),ABS(Resultados!X61))/SQRT(COUNT(Resultados!F61,Resultados!O61,Resultados!X61)))</f>
        <v>3.1473244262523507E-2</v>
      </c>
      <c r="G61">
        <f>IF(COUNT(Resultados!G61,Resultados!P61,Resultados!Y61)&lt;=1, "", _xlfn.STDEV.S(ABS(Resultados!G61),ABS(Resultados!P61),ABS(Resultados!Y61))/SQRT(COUNT(Resultados!G61,Resultados!P61,Resultados!Y61)))</f>
        <v>0</v>
      </c>
      <c r="H61">
        <f>IF(COUNT(Resultados!H61,Resultados!Q61,Resultados!Z61)&lt;=1, "", _xlfn.STDEV.S(ABS(Resultados!H61),ABS(Resultados!Q61),ABS(Resultados!Z61))/SQRT(COUNT(Resultados!H61,Resultados!Q61,Resultados!Z61)))</f>
        <v>1.5332934166833739E-19</v>
      </c>
      <c r="I61">
        <f>IF(COUNT(Resultados!I61,Resultados!R61,Resultados!AA61)&lt;=1, "", _xlfn.STDEV.S(ABS(Resultados!I61),ABS(Resultados!R61),ABS(Resultados!AA61))/SQRT(COUNT(Resultados!I61,Resultados!R61,Resultados!AA61)))</f>
        <v>3.3333333334439892E-5</v>
      </c>
    </row>
    <row r="62" spans="1:9" x14ac:dyDescent="0.3">
      <c r="A62" t="str">
        <f>IF(COUNT(Resultados!A62,Resultados!J62,Resultados!S62)&lt;=1, "", _xlfn.STDEV.S(ABS(Resultados!A62),ABS(Resultados!J62),ABS(Resultados!S62))/SQRT(COUNT(Resultados!A62,Resultados!J62,Resultados!S62)))</f>
        <v/>
      </c>
      <c r="B62" t="str">
        <f>IF(COUNT(Resultados!B62,Resultados!K62,Resultados!T62)&lt;=1, "", _xlfn.STDEV.S(ABS(Resultados!B62),ABS(Resultados!K62),ABS(Resultados!T62))/SQRT(COUNT(Resultados!B62,Resultados!K62,Resultados!T62)))</f>
        <v/>
      </c>
      <c r="C62">
        <f>IF(COUNT(Resultados!C62,Resultados!L62,Resultados!U62)&lt;=1, "", _xlfn.STDEV.S(ABS(Resultados!C62),ABS(Resultados!L62),ABS(Resultados!U62))/SQRT(COUNT(Resultados!C62,Resultados!L62,Resultados!U62)))</f>
        <v>0</v>
      </c>
      <c r="D62">
        <f>IF(COUNT(Resultados!D62,Resultados!M62,Resultados!V62)&lt;=1, "", _xlfn.STDEV.S(ABS(Resultados!D62),ABS(Resultados!M62),ABS(Resultados!V62))/SQRT(COUNT(Resultados!D62,Resultados!M62,Resultados!V62)))</f>
        <v>6.6666666666666561E-5</v>
      </c>
      <c r="E62">
        <f>IF(COUNT(Resultados!E62,Resultados!N62,Resultados!W62)&lt;=1, "", _xlfn.STDEV.S(ABS(Resultados!E62),ABS(Resultados!N62),ABS(Resultados!W62))/SQRT(COUNT(Resultados!E62,Resultados!N62,Resultados!W62)))</f>
        <v>9.4978607453374498E-7</v>
      </c>
      <c r="F62">
        <f>IF(COUNT(Resultados!F62,Resultados!O62,Resultados!X62)&lt;=1, "", _xlfn.STDEV.S(ABS(Resultados!F62),ABS(Resultados!O62),ABS(Resultados!X62))/SQRT(COUNT(Resultados!F62,Resultados!O62,Resultados!X62)))</f>
        <v>8.8520062235118073E-5</v>
      </c>
      <c r="G62">
        <f>IF(COUNT(Resultados!G62,Resultados!P62,Resultados!Y62)&lt;=1, "", _xlfn.STDEV.S(ABS(Resultados!G62),ABS(Resultados!P62),ABS(Resultados!Y62))/SQRT(COUNT(Resultados!G62,Resultados!P62,Resultados!Y62)))</f>
        <v>0</v>
      </c>
      <c r="H62">
        <f>IF(COUNT(Resultados!H62,Resultados!Q62,Resultados!Z62)&lt;=1, "", _xlfn.STDEV.S(ABS(Resultados!H62),ABS(Resultados!Q62),ABS(Resultados!Z62))/SQRT(COUNT(Resultados!H62,Resultados!Q62,Resultados!Z62)))</f>
        <v>0</v>
      </c>
      <c r="I62">
        <f>IF(COUNT(Resultados!I62,Resultados!R62,Resultados!AA62)&lt;=1, "", _xlfn.STDEV.S(ABS(Resultados!I62),ABS(Resultados!R62),ABS(Resultados!AA62))/SQRT(COUNT(Resultados!I62,Resultados!R62,Resultados!AA62)))</f>
        <v>2.8999999999849518E-4</v>
      </c>
    </row>
    <row r="63" spans="1:9" x14ac:dyDescent="0.3">
      <c r="A63" t="str">
        <f>IF(COUNT(Resultados!A63,Resultados!J63,Resultados!S63)&lt;=1, "", _xlfn.STDEV.S(ABS(Resultados!A63),ABS(Resultados!J63),ABS(Resultados!S63))/SQRT(COUNT(Resultados!A63,Resultados!J63,Resultados!S63)))</f>
        <v/>
      </c>
      <c r="B63" t="str">
        <f>IF(COUNT(Resultados!B63,Resultados!K63,Resultados!T63)&lt;=1, "", _xlfn.STDEV.S(ABS(Resultados!B63),ABS(Resultados!K63),ABS(Resultados!T63))/SQRT(COUNT(Resultados!B63,Resultados!K63,Resultados!T63)))</f>
        <v/>
      </c>
      <c r="C63">
        <f>IF(COUNT(Resultados!C63,Resultados!L63,Resultados!U63)&lt;=1, "", _xlfn.STDEV.S(ABS(Resultados!C63),ABS(Resultados!L63),ABS(Resultados!U63))/SQRT(COUNT(Resultados!C63,Resultados!L63,Resultados!U63)))</f>
        <v>0</v>
      </c>
      <c r="D63">
        <f>IF(COUNT(Resultados!D63,Resultados!M63,Resultados!V63)&lt;=1, "", _xlfn.STDEV.S(ABS(Resultados!D63),ABS(Resultados!M63),ABS(Resultados!V63))/SQRT(COUNT(Resultados!D63,Resultados!M63,Resultados!V63)))</f>
        <v>1.8559214542766738E-4</v>
      </c>
      <c r="E63">
        <f>IF(COUNT(Resultados!E63,Resultados!N63,Resultados!W63)&lt;=1, "", _xlfn.STDEV.S(ABS(Resultados!E63),ABS(Resultados!N63),ABS(Resultados!W63))/SQRT(COUNT(Resultados!E63,Resultados!N63,Resultados!W63)))</f>
        <v>1.960571846993191E-4</v>
      </c>
      <c r="F63">
        <f>IF(COUNT(Resultados!F63,Resultados!O63,Resultados!X63)&lt;=1, "", _xlfn.STDEV.S(ABS(Resultados!F63),ABS(Resultados!O63),ABS(Resultados!X63))/SQRT(COUNT(Resultados!F63,Resultados!O63,Resultados!X63)))</f>
        <v>1.8605826828223156E-2</v>
      </c>
      <c r="G63">
        <f>IF(COUNT(Resultados!G63,Resultados!P63,Resultados!Y63)&lt;=1, "", _xlfn.STDEV.S(ABS(Resultados!G63),ABS(Resultados!P63),ABS(Resultados!Y63))/SQRT(COUNT(Resultados!G63,Resultados!P63,Resultados!Y63)))</f>
        <v>0</v>
      </c>
      <c r="H63">
        <f>IF(COUNT(Resultados!H63,Resultados!Q63,Resultados!Z63)&lt;=1, "", _xlfn.STDEV.S(ABS(Resultados!H63),ABS(Resultados!Q63),ABS(Resultados!Z63))/SQRT(COUNT(Resultados!H63,Resultados!Q63,Resultados!Z63)))</f>
        <v>0</v>
      </c>
      <c r="I63">
        <f>IF(COUNT(Resultados!I63,Resultados!R63,Resultados!AA63)&lt;=1, "", _xlfn.STDEV.S(ABS(Resultados!I63),ABS(Resultados!R63),ABS(Resultados!AA63))/SQRT(COUNT(Resultados!I63,Resultados!R63,Resultados!AA63)))</f>
        <v>3.000000000004851E-4</v>
      </c>
    </row>
    <row r="64" spans="1:9" x14ac:dyDescent="0.3">
      <c r="A64" t="str">
        <f>IF(COUNT(Resultados!A64,Resultados!J64,Resultados!S64)&lt;=1, "", _xlfn.STDEV.S(ABS(Resultados!A64),ABS(Resultados!J64),ABS(Resultados!S64))/SQRT(COUNT(Resultados!A64,Resultados!J64,Resultados!S64)))</f>
        <v/>
      </c>
      <c r="B64" t="str">
        <f>IF(COUNT(Resultados!B64,Resultados!K64,Resultados!T64)&lt;=1, "", _xlfn.STDEV.S(ABS(Resultados!B64),ABS(Resultados!K64),ABS(Resultados!T64))/SQRT(COUNT(Resultados!B64,Resultados!K64,Resultados!T64)))</f>
        <v/>
      </c>
      <c r="C64">
        <f>IF(COUNT(Resultados!C64,Resultados!L64,Resultados!U64)&lt;=1, "", _xlfn.STDEV.S(ABS(Resultados!C64),ABS(Resultados!L64),ABS(Resultados!U64))/SQRT(COUNT(Resultados!C64,Resultados!L64,Resultados!U64)))</f>
        <v>0</v>
      </c>
      <c r="D64">
        <f>IF(COUNT(Resultados!D64,Resultados!M64,Resultados!V64)&lt;=1, "", _xlfn.STDEV.S(ABS(Resultados!D64),ABS(Resultados!M64),ABS(Resultados!V64))/SQRT(COUNT(Resultados!D64,Resultados!M64,Resultados!V64)))</f>
        <v>1.2018504251546626E-4</v>
      </c>
      <c r="E64">
        <f>IF(COUNT(Resultados!E64,Resultados!N64,Resultados!W64)&lt;=1, "", _xlfn.STDEV.S(ABS(Resultados!E64),ABS(Resultados!N64),ABS(Resultados!W64))/SQRT(COUNT(Resultados!E64,Resultados!N64,Resultados!W64)))</f>
        <v>1.3180129495515406E-3</v>
      </c>
      <c r="F64">
        <f>IF(COUNT(Resultados!F64,Resultados!O64,Resultados!X64)&lt;=1, "", _xlfn.STDEV.S(ABS(Resultados!F64),ABS(Resultados!O64),ABS(Resultados!X64))/SQRT(COUNT(Resultados!F64,Resultados!O64,Resultados!X64)))</f>
        <v>0.12507942891259782</v>
      </c>
      <c r="G64">
        <f>IF(COUNT(Resultados!G64,Resultados!P64,Resultados!Y64)&lt;=1, "", _xlfn.STDEV.S(ABS(Resultados!G64),ABS(Resultados!P64),ABS(Resultados!Y64))/SQRT(COUNT(Resultados!G64,Resultados!P64,Resultados!Y64)))</f>
        <v>0</v>
      </c>
      <c r="H64">
        <f>IF(COUNT(Resultados!H64,Resultados!Q64,Resultados!Z64)&lt;=1, "", _xlfn.STDEV.S(ABS(Resultados!H64),ABS(Resultados!Q64),ABS(Resultados!Z64))/SQRT(COUNT(Resultados!H64,Resultados!Q64,Resultados!Z64)))</f>
        <v>3.3333333333333423E-5</v>
      </c>
      <c r="I64">
        <f>IF(COUNT(Resultados!I64,Resultados!R64,Resultados!AA64)&lt;=1, "", _xlfn.STDEV.S(ABS(Resultados!I64),ABS(Resultados!R64),ABS(Resultados!AA64))/SQRT(COUNT(Resultados!I64,Resultados!R64,Resultados!AA64)))</f>
        <v>1.1099999999994263E-3</v>
      </c>
    </row>
    <row r="65" spans="1:9" x14ac:dyDescent="0.3">
      <c r="A65" t="str">
        <f>IF(COUNT(Resultados!A65,Resultados!J65,Resultados!S65)&lt;=1, "", _xlfn.STDEV.S(ABS(Resultados!A65),ABS(Resultados!J65),ABS(Resultados!S65))/SQRT(COUNT(Resultados!A65,Resultados!J65,Resultados!S65)))</f>
        <v/>
      </c>
      <c r="B65" t="str">
        <f>IF(COUNT(Resultados!B65,Resultados!K65,Resultados!T65)&lt;=1, "", _xlfn.STDEV.S(ABS(Resultados!B65),ABS(Resultados!K65),ABS(Resultados!T65))/SQRT(COUNT(Resultados!B65,Resultados!K65,Resultados!T65)))</f>
        <v/>
      </c>
      <c r="C65">
        <f>IF(COUNT(Resultados!C65,Resultados!L65,Resultados!U65)&lt;=1, "", _xlfn.STDEV.S(ABS(Resultados!C65),ABS(Resultados!L65),ABS(Resultados!U65))/SQRT(COUNT(Resultados!C65,Resultados!L65,Resultados!U65)))</f>
        <v>0</v>
      </c>
      <c r="D65">
        <f>IF(COUNT(Resultados!D65,Resultados!M65,Resultados!V65)&lt;=1, "", _xlfn.STDEV.S(ABS(Resultados!D65),ABS(Resultados!M65),ABS(Resultados!V65))/SQRT(COUNT(Resultados!D65,Resultados!M65,Resultados!V65)))</f>
        <v>7.6664670834168697E-20</v>
      </c>
      <c r="E65">
        <f>IF(COUNT(Resultados!E65,Resultados!N65,Resultados!W65)&lt;=1, "", _xlfn.STDEV.S(ABS(Resultados!E65),ABS(Resultados!N65),ABS(Resultados!W65))/SQRT(COUNT(Resultados!E65,Resultados!N65,Resultados!W65)))</f>
        <v>1.5037970171023602E-3</v>
      </c>
      <c r="F65">
        <f>IF(COUNT(Resultados!F65,Resultados!O65,Resultados!X65)&lt;=1, "", _xlfn.STDEV.S(ABS(Resultados!F65),ABS(Resultados!O65),ABS(Resultados!X65))/SQRT(COUNT(Resultados!F65,Resultados!O65,Resultados!X65)))</f>
        <v>0.14271033692320836</v>
      </c>
      <c r="G65">
        <f>IF(COUNT(Resultados!G65,Resultados!P65,Resultados!Y65)&lt;=1, "", _xlfn.STDEV.S(ABS(Resultados!G65),ABS(Resultados!P65),ABS(Resultados!Y65))/SQRT(COUNT(Resultados!G65,Resultados!P65,Resultados!Y65)))</f>
        <v>0</v>
      </c>
      <c r="H65">
        <f>IF(COUNT(Resultados!H65,Resultados!Q65,Resultados!Z65)&lt;=1, "", _xlfn.STDEV.S(ABS(Resultados!H65),ABS(Resultados!Q65),ABS(Resultados!Z65))/SQRT(COUNT(Resultados!H65,Resultados!Q65,Resultados!Z65)))</f>
        <v>3.3333333333333714E-5</v>
      </c>
      <c r="I65">
        <f>IF(COUNT(Resultados!I65,Resultados!R65,Resultados!AA65)&lt;=1, "", _xlfn.STDEV.S(ABS(Resultados!I65),ABS(Resultados!R65),ABS(Resultados!AA65))/SQRT(COUNT(Resultados!I65,Resultados!R65,Resultados!AA65)))</f>
        <v>3.9999999999669931E-5</v>
      </c>
    </row>
    <row r="66" spans="1:9" x14ac:dyDescent="0.3">
      <c r="A66" t="str">
        <f>IF(COUNT(Resultados!A66,Resultados!J66,Resultados!S66)&lt;=1, "", _xlfn.STDEV.S(ABS(Resultados!A66),ABS(Resultados!J66),ABS(Resultados!S66))/SQRT(COUNT(Resultados!A66,Resultados!J66,Resultados!S66)))</f>
        <v/>
      </c>
      <c r="B66" t="str">
        <f>IF(COUNT(Resultados!B66,Resultados!K66,Resultados!T66)&lt;=1, "", _xlfn.STDEV.S(ABS(Resultados!B66),ABS(Resultados!K66),ABS(Resultados!T66))/SQRT(COUNT(Resultados!B66,Resultados!K66,Resultados!T66)))</f>
        <v/>
      </c>
      <c r="C66">
        <f>IF(COUNT(Resultados!C66,Resultados!L66,Resultados!U66)&lt;=1, "", _xlfn.STDEV.S(ABS(Resultados!C66),ABS(Resultados!L66),ABS(Resultados!U66))/SQRT(COUNT(Resultados!C66,Resultados!L66,Resultados!U66)))</f>
        <v>0</v>
      </c>
      <c r="D66">
        <f>IF(COUNT(Resultados!D66,Resultados!M66,Resultados!V66)&lt;=1, "", _xlfn.STDEV.S(ABS(Resultados!D66),ABS(Resultados!M66),ABS(Resultados!V66))/SQRT(COUNT(Resultados!D66,Resultados!M66,Resultados!V66)))</f>
        <v>4.163331998932265E-4</v>
      </c>
      <c r="E66">
        <f>IF(COUNT(Resultados!E66,Resultados!N66,Resultados!W66)&lt;=1, "", _xlfn.STDEV.S(ABS(Resultados!E66),ABS(Resultados!N66),ABS(Resultados!W66))/SQRT(COUNT(Resultados!E66,Resultados!N66,Resultados!W66)))</f>
        <v>1.6000794452852029E-3</v>
      </c>
      <c r="F66">
        <f>IF(COUNT(Resultados!F66,Resultados!O66,Resultados!X66)&lt;=1, "", _xlfn.STDEV.S(ABS(Resultados!F66),ABS(Resultados!O66),ABS(Resultados!X66))/SQRT(COUNT(Resultados!F66,Resultados!O66,Resultados!X66)))</f>
        <v>0.15184753935749976</v>
      </c>
      <c r="G66">
        <f>IF(COUNT(Resultados!G66,Resultados!P66,Resultados!Y66)&lt;=1, "", _xlfn.STDEV.S(ABS(Resultados!G66),ABS(Resultados!P66),ABS(Resultados!Y66))/SQRT(COUNT(Resultados!G66,Resultados!P66,Resultados!Y66)))</f>
        <v>0</v>
      </c>
      <c r="H66">
        <f>IF(COUNT(Resultados!H66,Resultados!Q66,Resultados!Z66)&lt;=1, "", _xlfn.STDEV.S(ABS(Resultados!H66),ABS(Resultados!Q66),ABS(Resultados!Z66))/SQRT(COUNT(Resultados!H66,Resultados!Q66,Resultados!Z66)))</f>
        <v>3.3333333333333132E-5</v>
      </c>
      <c r="I66">
        <f>IF(COUNT(Resultados!I66,Resultados!R66,Resultados!AA66)&lt;=1, "", _xlfn.STDEV.S(ABS(Resultados!I66),ABS(Resultados!R66),ABS(Resultados!AA66))/SQRT(COUNT(Resultados!I66,Resultados!R66,Resultados!AA66)))</f>
        <v>9.2999999999913529E-4</v>
      </c>
    </row>
    <row r="67" spans="1:9" x14ac:dyDescent="0.3">
      <c r="A67" t="str">
        <f>IF(COUNT(Resultados!A67,Resultados!J67,Resultados!S67)&lt;=1, "", _xlfn.STDEV.S(ABS(Resultados!A67),ABS(Resultados!J67),ABS(Resultados!S67))/SQRT(COUNT(Resultados!A67,Resultados!J67,Resultados!S67)))</f>
        <v/>
      </c>
      <c r="B67" t="str">
        <f>IF(COUNT(Resultados!B67,Resultados!K67,Resultados!T67)&lt;=1, "", _xlfn.STDEV.S(ABS(Resultados!B67),ABS(Resultados!K67),ABS(Resultados!T67))/SQRT(COUNT(Resultados!B67,Resultados!K67,Resultados!T67)))</f>
        <v/>
      </c>
      <c r="C67">
        <f>IF(COUNT(Resultados!C67,Resultados!L67,Resultados!U67)&lt;=1, "", _xlfn.STDEV.S(ABS(Resultados!C67),ABS(Resultados!L67),ABS(Resultados!U67))/SQRT(COUNT(Resultados!C67,Resultados!L67,Resultados!U67)))</f>
        <v>0</v>
      </c>
      <c r="D67">
        <f>IF(COUNT(Resultados!D67,Resultados!M67,Resultados!V67)&lt;=1, "", _xlfn.STDEV.S(ABS(Resultados!D67),ABS(Resultados!M67),ABS(Resultados!V67))/SQRT(COUNT(Resultados!D67,Resultados!M67,Resultados!V67)))</f>
        <v>8.8191710368819699E-5</v>
      </c>
      <c r="E67">
        <f>IF(COUNT(Resultados!E67,Resultados!N67,Resultados!W67)&lt;=1, "", _xlfn.STDEV.S(ABS(Resultados!E67),ABS(Resultados!N67),ABS(Resultados!W67))/SQRT(COUNT(Resultados!E67,Resultados!N67,Resultados!W67)))</f>
        <v>2.1292416935330227E-3</v>
      </c>
      <c r="F67">
        <f>IF(COUNT(Resultados!F67,Resultados!O67,Resultados!X67)&lt;=1, "", _xlfn.STDEV.S(ABS(Resultados!F67),ABS(Resultados!O67),ABS(Resultados!X67))/SQRT(COUNT(Resultados!F67,Resultados!O67,Resultados!X67)))</f>
        <v>0.2020650367162321</v>
      </c>
      <c r="G67">
        <f>IF(COUNT(Resultados!G67,Resultados!P67,Resultados!Y67)&lt;=1, "", _xlfn.STDEV.S(ABS(Resultados!G67),ABS(Resultados!P67),ABS(Resultados!Y67))/SQRT(COUNT(Resultados!G67,Resultados!P67,Resultados!Y67)))</f>
        <v>0</v>
      </c>
      <c r="H67">
        <f>IF(COUNT(Resultados!H67,Resultados!Q67,Resultados!Z67)&lt;=1, "", _xlfn.STDEV.S(ABS(Resultados!H67),ABS(Resultados!Q67),ABS(Resultados!Z67))/SQRT(COUNT(Resultados!H67,Resultados!Q67,Resultados!Z67)))</f>
        <v>3.333333333333429E-5</v>
      </c>
      <c r="I67">
        <f>IF(COUNT(Resultados!I67,Resultados!R67,Resultados!AA67)&lt;=1, "", _xlfn.STDEV.S(ABS(Resultados!I67),ABS(Resultados!R67),ABS(Resultados!AA67))/SQRT(COUNT(Resultados!I67,Resultados!R67,Resultados!AA67)))</f>
        <v>2.5333333333440089E-4</v>
      </c>
    </row>
    <row r="68" spans="1:9" x14ac:dyDescent="0.3">
      <c r="A68" t="str">
        <f>IF(COUNT(Resultados!A68,Resultados!J68,Resultados!S68)&lt;=1, "", _xlfn.STDEV.S(ABS(Resultados!A68),ABS(Resultados!J68),ABS(Resultados!S68))/SQRT(COUNT(Resultados!A68,Resultados!J68,Resultados!S68)))</f>
        <v/>
      </c>
      <c r="B68" t="str">
        <f>IF(COUNT(Resultados!B68,Resultados!K68,Resultados!T68)&lt;=1, "", _xlfn.STDEV.S(ABS(Resultados!B68),ABS(Resultados!K68),ABS(Resultados!T68))/SQRT(COUNT(Resultados!B68,Resultados!K68,Resultados!T68)))</f>
        <v/>
      </c>
      <c r="C68">
        <f>IF(COUNT(Resultados!C68,Resultados!L68,Resultados!U68)&lt;=1, "", _xlfn.STDEV.S(ABS(Resultados!C68),ABS(Resultados!L68),ABS(Resultados!U68))/SQRT(COUNT(Resultados!C68,Resultados!L68,Resultados!U68)))</f>
        <v>0</v>
      </c>
      <c r="D68">
        <f>IF(COUNT(Resultados!D68,Resultados!M68,Resultados!V68)&lt;=1, "", _xlfn.STDEV.S(ABS(Resultados!D68),ABS(Resultados!M68),ABS(Resultados!V68))/SQRT(COUNT(Resultados!D68,Resultados!M68,Resultados!V68)))</f>
        <v>3.333333333333429E-5</v>
      </c>
      <c r="E68">
        <f>IF(COUNT(Resultados!E68,Resultados!N68,Resultados!W68)&lt;=1, "", _xlfn.STDEV.S(ABS(Resultados!E68),ABS(Resultados!N68),ABS(Resultados!W68))/SQRT(COUNT(Resultados!E68,Resultados!N68,Resultados!W68)))</f>
        <v>1.7337653484153297E-3</v>
      </c>
      <c r="F68">
        <f>IF(COUNT(Resultados!F68,Resultados!O68,Resultados!X68)&lt;=1, "", _xlfn.STDEV.S(ABS(Resultados!F68),ABS(Resultados!O68),ABS(Resultados!X68))/SQRT(COUNT(Resultados!F68,Resultados!O68,Resultados!X68)))</f>
        <v>0.16453433156438144</v>
      </c>
      <c r="G68">
        <f>IF(COUNT(Resultados!G68,Resultados!P68,Resultados!Y68)&lt;=1, "", _xlfn.STDEV.S(ABS(Resultados!G68),ABS(Resultados!P68),ABS(Resultados!Y68))/SQRT(COUNT(Resultados!G68,Resultados!P68,Resultados!Y68)))</f>
        <v>0</v>
      </c>
      <c r="H68">
        <f>IF(COUNT(Resultados!H68,Resultados!Q68,Resultados!Z68)&lt;=1, "", _xlfn.STDEV.S(ABS(Resultados!H68),ABS(Resultados!Q68),ABS(Resultados!Z68))/SQRT(COUNT(Resultados!H68,Resultados!Q68,Resultados!Z68)))</f>
        <v>0</v>
      </c>
      <c r="I68">
        <f>IF(COUNT(Resultados!I68,Resultados!R68,Resultados!AA68)&lt;=1, "", _xlfn.STDEV.S(ABS(Resultados!I68),ABS(Resultados!R68),ABS(Resultados!AA68))/SQRT(COUNT(Resultados!I68,Resultados!R68,Resultados!AA68)))</f>
        <v>7.1666666666558864E-4</v>
      </c>
    </row>
    <row r="69" spans="1:9" x14ac:dyDescent="0.3">
      <c r="A69" t="str">
        <f>IF(COUNT(Resultados!A69,Resultados!J69,Resultados!S69)&lt;=1, "", _xlfn.STDEV.S(ABS(Resultados!A69),ABS(Resultados!J69),ABS(Resultados!S69))/SQRT(COUNT(Resultados!A69,Resultados!J69,Resultados!S69)))</f>
        <v/>
      </c>
      <c r="B69" t="str">
        <f>IF(COUNT(Resultados!B69,Resultados!K69,Resultados!T69)&lt;=1, "", _xlfn.STDEV.S(ABS(Resultados!B69),ABS(Resultados!K69),ABS(Resultados!T69))/SQRT(COUNT(Resultados!B69,Resultados!K69,Resultados!T69)))</f>
        <v/>
      </c>
      <c r="C69">
        <f>IF(COUNT(Resultados!C69,Resultados!L69,Resultados!U69)&lt;=1, "", _xlfn.STDEV.S(ABS(Resultados!C69),ABS(Resultados!L69),ABS(Resultados!U69))/SQRT(COUNT(Resultados!C69,Resultados!L69,Resultados!U69)))</f>
        <v>0</v>
      </c>
      <c r="D69">
        <f>IF(COUNT(Resultados!D69,Resultados!M69,Resultados!V69)&lt;=1, "", _xlfn.STDEV.S(ABS(Resultados!D69),ABS(Resultados!M69),ABS(Resultados!V69))/SQRT(COUNT(Resultados!D69,Resultados!M69,Resultados!V69)))</f>
        <v>3.9999999999999991E-4</v>
      </c>
      <c r="E69">
        <f>IF(COUNT(Resultados!E69,Resultados!N69,Resultados!W69)&lt;=1, "", _xlfn.STDEV.S(ABS(Resultados!E69),ABS(Resultados!N69),ABS(Resultados!W69))/SQRT(COUNT(Resultados!E69,Resultados!N69,Resultados!W69)))</f>
        <v>3.9157650603545213E-4</v>
      </c>
      <c r="F69">
        <f>IF(COUNT(Resultados!F69,Resultados!O69,Resultados!X69)&lt;=1, "", _xlfn.STDEV.S(ABS(Resultados!F69),ABS(Resultados!O69),ABS(Resultados!X69))/SQRT(COUNT(Resultados!F69,Resultados!O69,Resultados!X69)))</f>
        <v>3.7160610422846761E-2</v>
      </c>
      <c r="G69">
        <f>IF(COUNT(Resultados!G69,Resultados!P69,Resultados!Y69)&lt;=1, "", _xlfn.STDEV.S(ABS(Resultados!G69),ABS(Resultados!P69),ABS(Resultados!Y69))/SQRT(COUNT(Resultados!G69,Resultados!P69,Resultados!Y69)))</f>
        <v>0</v>
      </c>
      <c r="H69">
        <f>IF(COUNT(Resultados!H69,Resultados!Q69,Resultados!Z69)&lt;=1, "", _xlfn.STDEV.S(ABS(Resultados!H69),ABS(Resultados!Q69),ABS(Resultados!Z69))/SQRT(COUNT(Resultados!H69,Resultados!Q69,Resultados!Z69)))</f>
        <v>0</v>
      </c>
      <c r="I69">
        <f>IF(COUNT(Resultados!I69,Resultados!R69,Resultados!AA69)&lt;=1, "", _xlfn.STDEV.S(ABS(Resultados!I69),ABS(Resultados!R69),ABS(Resultados!AA69))/SQRT(COUNT(Resultados!I69,Resultados!R69,Resultados!AA69)))</f>
        <v>5.0333333333322616E-4</v>
      </c>
    </row>
    <row r="70" spans="1:9" x14ac:dyDescent="0.3">
      <c r="A70" t="str">
        <f>IF(COUNT(Resultados!A70,Resultados!J70,Resultados!S70)&lt;=1, "", _xlfn.STDEV.S(ABS(Resultados!A70),ABS(Resultados!J70),ABS(Resultados!S70))/SQRT(COUNT(Resultados!A70,Resultados!J70,Resultados!S70)))</f>
        <v/>
      </c>
      <c r="B70" t="str">
        <f>IF(COUNT(Resultados!B70,Resultados!K70,Resultados!T70)&lt;=1, "", _xlfn.STDEV.S(ABS(Resultados!B70),ABS(Resultados!K70),ABS(Resultados!T70))/SQRT(COUNT(Resultados!B70,Resultados!K70,Resultados!T70)))</f>
        <v/>
      </c>
      <c r="C70">
        <f>IF(COUNT(Resultados!C70,Resultados!L70,Resultados!U70)&lt;=1, "", _xlfn.STDEV.S(ABS(Resultados!C70),ABS(Resultados!L70),ABS(Resultados!U70))/SQRT(COUNT(Resultados!C70,Resultados!L70,Resultados!U70)))</f>
        <v>0</v>
      </c>
      <c r="D70">
        <f>IF(COUNT(Resultados!D70,Resultados!M70,Resultados!V70)&lt;=1, "", _xlfn.STDEV.S(ABS(Resultados!D70),ABS(Resultados!M70),ABS(Resultados!V70))/SQRT(COUNT(Resultados!D70,Resultados!M70,Resultados!V70)))</f>
        <v>1.7638342073764048E-4</v>
      </c>
      <c r="E70">
        <f>IF(COUNT(Resultados!E70,Resultados!N70,Resultados!W70)&lt;=1, "", _xlfn.STDEV.S(ABS(Resultados!E70),ABS(Resultados!N70),ABS(Resultados!W70))/SQRT(COUNT(Resultados!E70,Resultados!N70,Resultados!W70)))</f>
        <v>7.3598117607449464E-4</v>
      </c>
      <c r="F70">
        <f>IF(COUNT(Resultados!F70,Resultados!O70,Resultados!X70)&lt;=1, "", _xlfn.STDEV.S(ABS(Resultados!F70),ABS(Resultados!O70),ABS(Resultados!X70))/SQRT(COUNT(Resultados!F70,Resultados!O70,Resultados!X70)))</f>
        <v>6.9844613609447548E-2</v>
      </c>
      <c r="G70">
        <f>IF(COUNT(Resultados!G70,Resultados!P70,Resultados!Y70)&lt;=1, "", _xlfn.STDEV.S(ABS(Resultados!G70),ABS(Resultados!P70),ABS(Resultados!Y70))/SQRT(COUNT(Resultados!G70,Resultados!P70,Resultados!Y70)))</f>
        <v>0</v>
      </c>
      <c r="H70">
        <f>IF(COUNT(Resultados!H70,Resultados!Q70,Resultados!Z70)&lt;=1, "", _xlfn.STDEV.S(ABS(Resultados!H70),ABS(Resultados!Q70),ABS(Resultados!Z70))/SQRT(COUNT(Resultados!H70,Resultados!Q70,Resultados!Z70)))</f>
        <v>0</v>
      </c>
      <c r="I70">
        <f>IF(COUNT(Resultados!I70,Resultados!R70,Resultados!AA70)&lt;=1, "", _xlfn.STDEV.S(ABS(Resultados!I70),ABS(Resultados!R70),ABS(Resultados!AA70))/SQRT(COUNT(Resultados!I70,Resultados!R70,Resultados!AA70)))</f>
        <v>6.2333333333342022E-4</v>
      </c>
    </row>
    <row r="71" spans="1:9" x14ac:dyDescent="0.3">
      <c r="A71" t="str">
        <f>IF(COUNT(Resultados!A71,Resultados!J71,Resultados!S71)&lt;=1, "", _xlfn.STDEV.S(ABS(Resultados!A71),ABS(Resultados!J71),ABS(Resultados!S71))/SQRT(COUNT(Resultados!A71,Resultados!J71,Resultados!S71)))</f>
        <v/>
      </c>
      <c r="B71" t="str">
        <f>IF(COUNT(Resultados!B71,Resultados!K71,Resultados!T71)&lt;=1, "", _xlfn.STDEV.S(ABS(Resultados!B71),ABS(Resultados!K71),ABS(Resultados!T71))/SQRT(COUNT(Resultados!B71,Resultados!K71,Resultados!T71)))</f>
        <v/>
      </c>
      <c r="C71">
        <f>IF(COUNT(Resultados!C71,Resultados!L71,Resultados!U71)&lt;=1, "", _xlfn.STDEV.S(ABS(Resultados!C71),ABS(Resultados!L71),ABS(Resultados!U71))/SQRT(COUNT(Resultados!C71,Resultados!L71,Resultados!U71)))</f>
        <v>0</v>
      </c>
      <c r="D71">
        <f>IF(COUNT(Resultados!D71,Resultados!M71,Resultados!V71)&lt;=1, "", _xlfn.STDEV.S(ABS(Resultados!D71),ABS(Resultados!M71),ABS(Resultados!V71))/SQRT(COUNT(Resultados!D71,Resultados!M71,Resultados!V71)))</f>
        <v>6.6666666666668581E-5</v>
      </c>
      <c r="E71">
        <f>IF(COUNT(Resultados!E71,Resultados!N71,Resultados!W71)&lt;=1, "", _xlfn.STDEV.S(ABS(Resultados!E71),ABS(Resultados!N71),ABS(Resultados!W71))/SQRT(COUNT(Resultados!E71,Resultados!N71,Resultados!W71)))</f>
        <v>5.1724361293201517E-4</v>
      </c>
      <c r="F71">
        <f>IF(COUNT(Resultados!F71,Resultados!O71,Resultados!X71)&lt;=1, "", _xlfn.STDEV.S(ABS(Resultados!F71),ABS(Resultados!O71),ABS(Resultados!X71))/SQRT(COUNT(Resultados!F71,Resultados!O71,Resultados!X71)))</f>
        <v>4.9086418867444755E-2</v>
      </c>
      <c r="G71">
        <f>IF(COUNT(Resultados!G71,Resultados!P71,Resultados!Y71)&lt;=1, "", _xlfn.STDEV.S(ABS(Resultados!G71),ABS(Resultados!P71),ABS(Resultados!Y71))/SQRT(COUNT(Resultados!G71,Resultados!P71,Resultados!Y71)))</f>
        <v>0</v>
      </c>
      <c r="H71">
        <f>IF(COUNT(Resultados!H71,Resultados!Q71,Resultados!Z71)&lt;=1, "", _xlfn.STDEV.S(ABS(Resultados!H71),ABS(Resultados!Q71),ABS(Resultados!Z71))/SQRT(COUNT(Resultados!H71,Resultados!Q71,Resultados!Z71)))</f>
        <v>0</v>
      </c>
      <c r="I71">
        <f>IF(COUNT(Resultados!I71,Resultados!R71,Resultados!AA71)&lt;=1, "", _xlfn.STDEV.S(ABS(Resultados!I71),ABS(Resultados!R71),ABS(Resultados!AA71))/SQRT(COUNT(Resultados!I71,Resultados!R71,Resultados!AA71)))</f>
        <v>8.23333333332954E-4</v>
      </c>
    </row>
    <row r="72" spans="1:9" x14ac:dyDescent="0.3">
      <c r="A72" t="str">
        <f>IF(COUNT(Resultados!A72,Resultados!J72,Resultados!S72)&lt;=1, "", _xlfn.STDEV.S(ABS(Resultados!A72),ABS(Resultados!J72),ABS(Resultados!S72))/SQRT(COUNT(Resultados!A72,Resultados!J72,Resultados!S72)))</f>
        <v/>
      </c>
      <c r="B72" t="str">
        <f>IF(COUNT(Resultados!B72,Resultados!K72,Resultados!T72)&lt;=1, "", _xlfn.STDEV.S(ABS(Resultados!B72),ABS(Resultados!K72),ABS(Resultados!T72))/SQRT(COUNT(Resultados!B72,Resultados!K72,Resultados!T72)))</f>
        <v/>
      </c>
      <c r="C72">
        <f>IF(COUNT(Resultados!C72,Resultados!L72,Resultados!U72)&lt;=1, "", _xlfn.STDEV.S(ABS(Resultados!C72),ABS(Resultados!L72),ABS(Resultados!U72))/SQRT(COUNT(Resultados!C72,Resultados!L72,Resultados!U72)))</f>
        <v>0</v>
      </c>
      <c r="D72">
        <f>IF(COUNT(Resultados!D72,Resultados!M72,Resultados!V72)&lt;=1, "", _xlfn.STDEV.S(ABS(Resultados!D72),ABS(Resultados!M72),ABS(Resultados!V72))/SQRT(COUNT(Resultados!D72,Resultados!M72,Resultados!V72)))</f>
        <v>1.9999999999999879E-4</v>
      </c>
      <c r="E72">
        <f>IF(COUNT(Resultados!E72,Resultados!N72,Resultados!W72)&lt;=1, "", _xlfn.STDEV.S(ABS(Resultados!E72),ABS(Resultados!N72),ABS(Resultados!W72))/SQRT(COUNT(Resultados!E72,Resultados!N72,Resultados!W72)))</f>
        <v>3.3299109641320546E-6</v>
      </c>
      <c r="F72">
        <f>IF(COUNT(Resultados!F72,Resultados!O72,Resultados!X72)&lt;=1, "", _xlfn.STDEV.S(ABS(Resultados!F72),ABS(Resultados!O72),ABS(Resultados!X72))/SQRT(COUNT(Resultados!F72,Resultados!O72,Resultados!X72)))</f>
        <v>3.1600855048695127E-4</v>
      </c>
      <c r="G72">
        <f>IF(COUNT(Resultados!G72,Resultados!P72,Resultados!Y72)&lt;=1, "", _xlfn.STDEV.S(ABS(Resultados!G72),ABS(Resultados!P72),ABS(Resultados!Y72))/SQRT(COUNT(Resultados!G72,Resultados!P72,Resultados!Y72)))</f>
        <v>0</v>
      </c>
      <c r="H72">
        <f>IF(COUNT(Resultados!H72,Resultados!Q72,Resultados!Z72)&lt;=1, "", _xlfn.STDEV.S(ABS(Resultados!H72),ABS(Resultados!Q72),ABS(Resultados!Z72))/SQRT(COUNT(Resultados!H72,Resultados!Q72,Resultados!Z72)))</f>
        <v>0</v>
      </c>
      <c r="I72">
        <f>IF(COUNT(Resultados!I72,Resultados!R72,Resultados!AA72)&lt;=1, "", _xlfn.STDEV.S(ABS(Resultados!I72),ABS(Resultados!R72),ABS(Resultados!AA72))/SQRT(COUNT(Resultados!I72,Resultados!R72,Resultados!AA72)))</f>
        <v>1.1333333333496398E-4</v>
      </c>
    </row>
    <row r="73" spans="1:9" x14ac:dyDescent="0.3">
      <c r="A73" t="str">
        <f>IF(COUNT(Resultados!A73,Resultados!J73,Resultados!S73)&lt;=1, "", _xlfn.STDEV.S(ABS(Resultados!A73),ABS(Resultados!J73),ABS(Resultados!S73))/SQRT(COUNT(Resultados!A73,Resultados!J73,Resultados!S73)))</f>
        <v/>
      </c>
      <c r="B73" t="str">
        <f>IF(COUNT(Resultados!B73,Resultados!K73,Resultados!T73)&lt;=1, "", _xlfn.STDEV.S(ABS(Resultados!B73),ABS(Resultados!K73),ABS(Resultados!T73))/SQRT(COUNT(Resultados!B73,Resultados!K73,Resultados!T73)))</f>
        <v/>
      </c>
      <c r="C73">
        <f>IF(COUNT(Resultados!C73,Resultados!L73,Resultados!U73)&lt;=1, "", _xlfn.STDEV.S(ABS(Resultados!C73),ABS(Resultados!L73),ABS(Resultados!U73))/SQRT(COUNT(Resultados!C73,Resultados!L73,Resultados!U73)))</f>
        <v>0</v>
      </c>
      <c r="D73">
        <f>IF(COUNT(Resultados!D73,Resultados!M73,Resultados!V73)&lt;=1, "", _xlfn.STDEV.S(ABS(Resultados!D73),ABS(Resultados!M73),ABS(Resultados!V73))/SQRT(COUNT(Resultados!D73,Resultados!M73,Resultados!V73)))</f>
        <v>2.3333333333333393E-4</v>
      </c>
      <c r="E73">
        <f>IF(COUNT(Resultados!E73,Resultados!N73,Resultados!W73)&lt;=1, "", _xlfn.STDEV.S(ABS(Resultados!E73),ABS(Resultados!N73),ABS(Resultados!W73))/SQRT(COUNT(Resultados!E73,Resultados!N73,Resultados!W73)))</f>
        <v>1.1913136373783624E-3</v>
      </c>
      <c r="F73">
        <f>IF(COUNT(Resultados!F73,Resultados!O73,Resultados!X73)&lt;=1, "", _xlfn.STDEV.S(ABS(Resultados!F73),ABS(Resultados!O73),ABS(Resultados!X73))/SQRT(COUNT(Resultados!F73,Resultados!O73,Resultados!X73)))</f>
        <v>0.11103043100337937</v>
      </c>
      <c r="G73">
        <f>IF(COUNT(Resultados!G73,Resultados!P73,Resultados!Y73)&lt;=1, "", _xlfn.STDEV.S(ABS(Resultados!G73),ABS(Resultados!P73),ABS(Resultados!Y73))/SQRT(COUNT(Resultados!G73,Resultados!P73,Resultados!Y73)))</f>
        <v>0</v>
      </c>
      <c r="H73">
        <f>IF(COUNT(Resultados!H73,Resultados!Q73,Resultados!Z73)&lt;=1, "", _xlfn.STDEV.S(ABS(Resultados!H73),ABS(Resultados!Q73),ABS(Resultados!Z73))/SQRT(COUNT(Resultados!H73,Resultados!Q73,Resultados!Z73)))</f>
        <v>3.333333333333198E-5</v>
      </c>
      <c r="I73">
        <f>IF(COUNT(Resultados!I73,Resultados!R73,Resultados!AA73)&lt;=1, "", _xlfn.STDEV.S(ABS(Resultados!I73),ABS(Resultados!R73),ABS(Resultados!AA73))/SQRT(COUNT(Resultados!I73,Resultados!R73,Resultados!AA73)))</f>
        <v>7.8333333333209987E-4</v>
      </c>
    </row>
    <row r="74" spans="1:9" x14ac:dyDescent="0.3">
      <c r="A74" t="str">
        <f>IF(COUNT(Resultados!A74,Resultados!J74,Resultados!S74)&lt;=1, "", _xlfn.STDEV.S(ABS(Resultados!A74),ABS(Resultados!J74),ABS(Resultados!S74))/SQRT(COUNT(Resultados!A74,Resultados!J74,Resultados!S74)))</f>
        <v/>
      </c>
      <c r="B74" t="str">
        <f>IF(COUNT(Resultados!B74,Resultados!K74,Resultados!T74)&lt;=1, "", _xlfn.STDEV.S(ABS(Resultados!B74),ABS(Resultados!K74),ABS(Resultados!T74))/SQRT(COUNT(Resultados!B74,Resultados!K74,Resultados!T74)))</f>
        <v/>
      </c>
      <c r="C74">
        <f>IF(COUNT(Resultados!C74,Resultados!L74,Resultados!U74)&lt;=1, "", _xlfn.STDEV.S(ABS(Resultados!C74),ABS(Resultados!L74),ABS(Resultados!U74))/SQRT(COUNT(Resultados!C74,Resultados!L74,Resultados!U74)))</f>
        <v>0</v>
      </c>
      <c r="D74">
        <f>IF(COUNT(Resultados!D74,Resultados!M74,Resultados!V74)&lt;=1, "", _xlfn.STDEV.S(ABS(Resultados!D74),ABS(Resultados!M74),ABS(Resultados!V74))/SQRT(COUNT(Resultados!D74,Resultados!M74,Resultados!V74)))</f>
        <v>2.185812841433994E-4</v>
      </c>
      <c r="E74">
        <f>IF(COUNT(Resultados!E74,Resultados!N74,Resultados!W74)&lt;=1, "", _xlfn.STDEV.S(ABS(Resultados!E74),ABS(Resultados!N74),ABS(Resultados!W74))/SQRT(COUNT(Resultados!E74,Resultados!N74,Resultados!W74)))</f>
        <v>2.7337894553112948E-4</v>
      </c>
      <c r="F74">
        <f>IF(COUNT(Resultados!F74,Resultados!O74,Resultados!X74)&lt;=1, "", _xlfn.STDEV.S(ABS(Resultados!F74),ABS(Resultados!O74),ABS(Resultados!X74))/SQRT(COUNT(Resultados!F74,Resultados!O74,Resultados!X74)))</f>
        <v>2.5478917723378104E-2</v>
      </c>
      <c r="G74">
        <f>IF(COUNT(Resultados!G74,Resultados!P74,Resultados!Y74)&lt;=1, "", _xlfn.STDEV.S(ABS(Resultados!G74),ABS(Resultados!P74),ABS(Resultados!Y74))/SQRT(COUNT(Resultados!G74,Resultados!P74,Resultados!Y74)))</f>
        <v>0</v>
      </c>
      <c r="H74">
        <f>IF(COUNT(Resultados!H74,Resultados!Q74,Resultados!Z74)&lt;=1, "", _xlfn.STDEV.S(ABS(Resultados!H74),ABS(Resultados!Q74),ABS(Resultados!Z74))/SQRT(COUNT(Resultados!H74,Resultados!Q74,Resultados!Z74)))</f>
        <v>0</v>
      </c>
      <c r="I74">
        <f>IF(COUNT(Resultados!I74,Resultados!R74,Resultados!AA74)&lt;=1, "", _xlfn.STDEV.S(ABS(Resultados!I74),ABS(Resultados!R74),ABS(Resultados!AA74))/SQRT(COUNT(Resultados!I74,Resultados!R74,Resultados!AA74)))</f>
        <v>3.833333333330321E-4</v>
      </c>
    </row>
    <row r="75" spans="1:9" x14ac:dyDescent="0.3">
      <c r="A75" t="str">
        <f>IF(COUNT(Resultados!A75,Resultados!J75,Resultados!S75)&lt;=1, "", _xlfn.STDEV.S(ABS(Resultados!A75),ABS(Resultados!J75),ABS(Resultados!S75))/SQRT(COUNT(Resultados!A75,Resultados!J75,Resultados!S75)))</f>
        <v/>
      </c>
      <c r="B75" t="str">
        <f>IF(COUNT(Resultados!B75,Resultados!K75,Resultados!T75)&lt;=1, "", _xlfn.STDEV.S(ABS(Resultados!B75),ABS(Resultados!K75),ABS(Resultados!T75))/SQRT(COUNT(Resultados!B75,Resultados!K75,Resultados!T75)))</f>
        <v/>
      </c>
      <c r="C75">
        <f>IF(COUNT(Resultados!C75,Resultados!L75,Resultados!U75)&lt;=1, "", _xlfn.STDEV.S(ABS(Resultados!C75),ABS(Resultados!L75),ABS(Resultados!U75))/SQRT(COUNT(Resultados!C75,Resultados!L75,Resultados!U75)))</f>
        <v>0</v>
      </c>
      <c r="D75">
        <f>IF(COUNT(Resultados!D75,Resultados!M75,Resultados!V75)&lt;=1, "", _xlfn.STDEV.S(ABS(Resultados!D75),ABS(Resultados!M75),ABS(Resultados!V75))/SQRT(COUNT(Resultados!D75,Resultados!M75,Resultados!V75)))</f>
        <v>1.2018504251546591E-4</v>
      </c>
      <c r="E75">
        <f>IF(COUNT(Resultados!E75,Resultados!N75,Resultados!W75)&lt;=1, "", _xlfn.STDEV.S(ABS(Resultados!E75),ABS(Resultados!N75),ABS(Resultados!W75))/SQRT(COUNT(Resultados!E75,Resultados!N75,Resultados!W75)))</f>
        <v>9.8030432515272808E-4</v>
      </c>
      <c r="F75">
        <f>IF(COUNT(Resultados!F75,Resultados!O75,Resultados!X75)&lt;=1, "", _xlfn.STDEV.S(ABS(Resultados!F75),ABS(Resultados!O75),ABS(Resultados!X75))/SQRT(COUNT(Resultados!F75,Resultados!O75,Resultados!X75)))</f>
        <v>9.1364363104654817E-2</v>
      </c>
      <c r="G75">
        <f>IF(COUNT(Resultados!G75,Resultados!P75,Resultados!Y75)&lt;=1, "", _xlfn.STDEV.S(ABS(Resultados!G75),ABS(Resultados!P75),ABS(Resultados!Y75))/SQRT(COUNT(Resultados!G75,Resultados!P75,Resultados!Y75)))</f>
        <v>0</v>
      </c>
      <c r="H75">
        <f>IF(COUNT(Resultados!H75,Resultados!Q75,Resultados!Z75)&lt;=1, "", _xlfn.STDEV.S(ABS(Resultados!H75),ABS(Resultados!Q75),ABS(Resultados!Z75))/SQRT(COUNT(Resultados!H75,Resultados!Q75,Resultados!Z75)))</f>
        <v>3.333333333333429E-5</v>
      </c>
      <c r="I75">
        <f>IF(COUNT(Resultados!I75,Resultados!R75,Resultados!AA75)&lt;=1, "", _xlfn.STDEV.S(ABS(Resultados!I75),ABS(Resultados!R75),ABS(Resultados!AA75))/SQRT(COUNT(Resultados!I75,Resultados!R75,Resultados!AA75)))</f>
        <v>2.8999999999849518E-4</v>
      </c>
    </row>
    <row r="76" spans="1:9" x14ac:dyDescent="0.3">
      <c r="A76" t="str">
        <f>IF(COUNT(Resultados!A76,Resultados!J76,Resultados!S76)&lt;=1, "", _xlfn.STDEV.S(ABS(Resultados!A76),ABS(Resultados!J76),ABS(Resultados!S76))/SQRT(COUNT(Resultados!A76,Resultados!J76,Resultados!S76)))</f>
        <v/>
      </c>
      <c r="B76" t="str">
        <f>IF(COUNT(Resultados!B76,Resultados!K76,Resultados!T76)&lt;=1, "", _xlfn.STDEV.S(ABS(Resultados!B76),ABS(Resultados!K76),ABS(Resultados!T76))/SQRT(COUNT(Resultados!B76,Resultados!K76,Resultados!T76)))</f>
        <v/>
      </c>
      <c r="C76">
        <f>IF(COUNT(Resultados!C76,Resultados!L76,Resultados!U76)&lt;=1, "", _xlfn.STDEV.S(ABS(Resultados!C76),ABS(Resultados!L76),ABS(Resultados!U76))/SQRT(COUNT(Resultados!C76,Resultados!L76,Resultados!U76)))</f>
        <v>0</v>
      </c>
      <c r="D76">
        <f>IF(COUNT(Resultados!D76,Resultados!M76,Resultados!V76)&lt;=1, "", _xlfn.STDEV.S(ABS(Resultados!D76),ABS(Resultados!M76),ABS(Resultados!V76))/SQRT(COUNT(Resultados!D76,Resultados!M76,Resultados!V76)))</f>
        <v>2.0816659994661314E-4</v>
      </c>
      <c r="E76">
        <f>IF(COUNT(Resultados!E76,Resultados!N76,Resultados!W76)&lt;=1, "", _xlfn.STDEV.S(ABS(Resultados!E76),ABS(Resultados!N76),ABS(Resultados!W76))/SQRT(COUNT(Resultados!E76,Resultados!N76,Resultados!W76)))</f>
        <v>5.5924232974909169E-4</v>
      </c>
      <c r="F76">
        <f>IF(COUNT(Resultados!F76,Resultados!O76,Resultados!X76)&lt;=1, "", _xlfn.STDEV.S(ABS(Resultados!F76),ABS(Resultados!O76),ABS(Resultados!X76))/SQRT(COUNT(Resultados!F76,Resultados!O76,Resultados!X76)))</f>
        <v>5.2121385132752877E-2</v>
      </c>
      <c r="G76">
        <f>IF(COUNT(Resultados!G76,Resultados!P76,Resultados!Y76)&lt;=1, "", _xlfn.STDEV.S(ABS(Resultados!G76),ABS(Resultados!P76),ABS(Resultados!Y76))/SQRT(COUNT(Resultados!G76,Resultados!P76,Resultados!Y76)))</f>
        <v>0</v>
      </c>
      <c r="H76">
        <f>IF(COUNT(Resultados!H76,Resultados!Q76,Resultados!Z76)&lt;=1, "", _xlfn.STDEV.S(ABS(Resultados!H76),ABS(Resultados!Q76),ABS(Resultados!Z76))/SQRT(COUNT(Resultados!H76,Resultados!Q76,Resultados!Z76)))</f>
        <v>0</v>
      </c>
      <c r="I76">
        <f>IF(COUNT(Resultados!I76,Resultados!R76,Resultados!AA76)&lt;=1, "", _xlfn.STDEV.S(ABS(Resultados!I76),ABS(Resultados!R76),ABS(Resultados!AA76))/SQRT(COUNT(Resultados!I76,Resultados!R76,Resultados!AA76)))</f>
        <v>5.4333333333171185E-4</v>
      </c>
    </row>
    <row r="77" spans="1:9" x14ac:dyDescent="0.3">
      <c r="A77" t="str">
        <f>IF(COUNT(Resultados!A77,Resultados!J77,Resultados!S77)&lt;=1, "", _xlfn.STDEV.S(ABS(Resultados!A77),ABS(Resultados!J77),ABS(Resultados!S77))/SQRT(COUNT(Resultados!A77,Resultados!J77,Resultados!S77)))</f>
        <v/>
      </c>
      <c r="B77" t="str">
        <f>IF(COUNT(Resultados!B77,Resultados!K77,Resultados!T77)&lt;=1, "", _xlfn.STDEV.S(ABS(Resultados!B77),ABS(Resultados!K77),ABS(Resultados!T77))/SQRT(COUNT(Resultados!B77,Resultados!K77,Resultados!T77)))</f>
        <v/>
      </c>
      <c r="C77">
        <f>IF(COUNT(Resultados!C77,Resultados!L77,Resultados!U77)&lt;=1, "", _xlfn.STDEV.S(ABS(Resultados!C77),ABS(Resultados!L77),ABS(Resultados!U77))/SQRT(COUNT(Resultados!C77,Resultados!L77,Resultados!U77)))</f>
        <v>0</v>
      </c>
      <c r="D77">
        <f>IF(COUNT(Resultados!D77,Resultados!M77,Resultados!V77)&lt;=1, "", _xlfn.STDEV.S(ABS(Resultados!D77),ABS(Resultados!M77),ABS(Resultados!V77))/SQRT(COUNT(Resultados!D77,Resultados!M77,Resultados!V77)))</f>
        <v>2.4037008503093117E-4</v>
      </c>
      <c r="E77">
        <f>IF(COUNT(Resultados!E77,Resultados!N77,Resultados!W77)&lt;=1, "", _xlfn.STDEV.S(ABS(Resultados!E77),ABS(Resultados!N77),ABS(Resultados!W77))/SQRT(COUNT(Resultados!E77,Resultados!N77,Resultados!W77)))</f>
        <v>3.3634013569392445E-3</v>
      </c>
      <c r="F77">
        <f>IF(COUNT(Resultados!F77,Resultados!O77,Resultados!X77)&lt;=1, "", _xlfn.STDEV.S(ABS(Resultados!F77),ABS(Resultados!O77),ABS(Resultados!X77))/SQRT(COUNT(Resultados!F77,Resultados!O77,Resultados!X77)))</f>
        <v>0.31346900646698572</v>
      </c>
      <c r="G77">
        <f>IF(COUNT(Resultados!G77,Resultados!P77,Resultados!Y77)&lt;=1, "", _xlfn.STDEV.S(ABS(Resultados!G77),ABS(Resultados!P77),ABS(Resultados!Y77))/SQRT(COUNT(Resultados!G77,Resultados!P77,Resultados!Y77)))</f>
        <v>0</v>
      </c>
      <c r="H77">
        <f>IF(COUNT(Resultados!H77,Resultados!Q77,Resultados!Z77)&lt;=1, "", _xlfn.STDEV.S(ABS(Resultados!H77),ABS(Resultados!Q77),ABS(Resultados!Z77))/SQRT(COUNT(Resultados!H77,Resultados!Q77,Resultados!Z77)))</f>
        <v>5.7735026918962233E-5</v>
      </c>
      <c r="I77">
        <f>IF(COUNT(Resultados!I77,Resultados!R77,Resultados!AA77)&lt;=1, "", _xlfn.STDEV.S(ABS(Resultados!I77),ABS(Resultados!R77),ABS(Resultados!AA77))/SQRT(COUNT(Resultados!I77,Resultados!R77,Resultados!AA77)))</f>
        <v>6.999999999971844E-5</v>
      </c>
    </row>
    <row r="78" spans="1:9" x14ac:dyDescent="0.3">
      <c r="A78" t="str">
        <f>IF(COUNT(Resultados!A78,Resultados!J78,Resultados!S78)&lt;=1, "", _xlfn.STDEV.S(ABS(Resultados!A78),ABS(Resultados!J78),ABS(Resultados!S78))/SQRT(COUNT(Resultados!A78,Resultados!J78,Resultados!S78)))</f>
        <v/>
      </c>
      <c r="B78" t="str">
        <f>IF(COUNT(Resultados!B78,Resultados!K78,Resultados!T78)&lt;=1, "", _xlfn.STDEV.S(ABS(Resultados!B78),ABS(Resultados!K78),ABS(Resultados!T78))/SQRT(COUNT(Resultados!B78,Resultados!K78,Resultados!T78)))</f>
        <v/>
      </c>
      <c r="C78">
        <f>IF(COUNT(Resultados!C78,Resultados!L78,Resultados!U78)&lt;=1, "", _xlfn.STDEV.S(ABS(Resultados!C78),ABS(Resultados!L78),ABS(Resultados!U78))/SQRT(COUNT(Resultados!C78,Resultados!L78,Resultados!U78)))</f>
        <v>0</v>
      </c>
      <c r="D78">
        <f>IF(COUNT(Resultados!D78,Resultados!M78,Resultados!V78)&lt;=1, "", _xlfn.STDEV.S(ABS(Resultados!D78),ABS(Resultados!M78),ABS(Resultados!V78))/SQRT(COUNT(Resultados!D78,Resultados!M78,Resultados!V78)))</f>
        <v>1.5275252316519452E-4</v>
      </c>
      <c r="E78">
        <f>IF(COUNT(Resultados!E78,Resultados!N78,Resultados!W78)&lt;=1, "", _xlfn.STDEV.S(ABS(Resultados!E78),ABS(Resultados!N78),ABS(Resultados!W78))/SQRT(COUNT(Resultados!E78,Resultados!N78,Resultados!W78)))</f>
        <v>3.5502034993289285E-3</v>
      </c>
      <c r="F78">
        <f>IF(COUNT(Resultados!F78,Resultados!O78,Resultados!X78)&lt;=1, "", _xlfn.STDEV.S(ABS(Resultados!F78),ABS(Resultados!O78),ABS(Resultados!X78))/SQRT(COUNT(Resultados!F78,Resultados!O78,Resultados!X78)))</f>
        <v>0.33087896613737111</v>
      </c>
      <c r="G78">
        <f>IF(COUNT(Resultados!G78,Resultados!P78,Resultados!Y78)&lt;=1, "", _xlfn.STDEV.S(ABS(Resultados!G78),ABS(Resultados!P78),ABS(Resultados!Y78))/SQRT(COUNT(Resultados!G78,Resultados!P78,Resultados!Y78)))</f>
        <v>0</v>
      </c>
      <c r="H78">
        <f>IF(COUNT(Resultados!H78,Resultados!Q78,Resultados!Z78)&lt;=1, "", _xlfn.STDEV.S(ABS(Resultados!H78),ABS(Resultados!Q78),ABS(Resultados!Z78))/SQRT(COUNT(Resultados!H78,Resultados!Q78,Resultados!Z78)))</f>
        <v>5.7735026918963229E-5</v>
      </c>
      <c r="I78">
        <f>IF(COUNT(Resultados!I78,Resultados!R78,Resultados!AA78)&lt;=1, "", _xlfn.STDEV.S(ABS(Resultados!I78),ABS(Resultados!R78),ABS(Resultados!AA78))/SQRT(COUNT(Resultados!I78,Resultados!R78,Resultados!AA78)))</f>
        <v>1.2466666666656561E-3</v>
      </c>
    </row>
    <row r="79" spans="1:9" x14ac:dyDescent="0.3">
      <c r="A79" t="str">
        <f>IF(COUNT(Resultados!A79,Resultados!J79,Resultados!S79)&lt;=1, "", _xlfn.STDEV.S(ABS(Resultados!A79),ABS(Resultados!J79),ABS(Resultados!S79))/SQRT(COUNT(Resultados!A79,Resultados!J79,Resultados!S79)))</f>
        <v/>
      </c>
      <c r="B79" t="str">
        <f>IF(COUNT(Resultados!B79,Resultados!K79,Resultados!T79)&lt;=1, "", _xlfn.STDEV.S(ABS(Resultados!B79),ABS(Resultados!K79),ABS(Resultados!T79))/SQRT(COUNT(Resultados!B79,Resultados!K79,Resultados!T79)))</f>
        <v/>
      </c>
      <c r="C79">
        <f>IF(COUNT(Resultados!C79,Resultados!L79,Resultados!U79)&lt;=1, "", _xlfn.STDEV.S(ABS(Resultados!C79),ABS(Resultados!L79),ABS(Resultados!U79))/SQRT(COUNT(Resultados!C79,Resultados!L79,Resultados!U79)))</f>
        <v>0</v>
      </c>
      <c r="D79">
        <f>IF(COUNT(Resultados!D79,Resultados!M79,Resultados!V79)&lt;=1, "", _xlfn.STDEV.S(ABS(Resultados!D79),ABS(Resultados!M79),ABS(Resultados!V79))/SQRT(COUNT(Resultados!D79,Resultados!M79,Resultados!V79)))</f>
        <v>1.8559214542766743E-4</v>
      </c>
      <c r="E79">
        <f>IF(COUNT(Resultados!E79,Resultados!N79,Resultados!W79)&lt;=1, "", _xlfn.STDEV.S(ABS(Resultados!E79),ABS(Resultados!N79),ABS(Resultados!W79))/SQRT(COUNT(Resultados!E79,Resultados!N79,Resultados!W79)))</f>
        <v>1.8068672334232913E-3</v>
      </c>
      <c r="F79">
        <f>IF(COUNT(Resultados!F79,Resultados!O79,Resultados!X79)&lt;=1, "", _xlfn.STDEV.S(ABS(Resultados!F79),ABS(Resultados!O79),ABS(Resultados!X79))/SQRT(COUNT(Resultados!F79,Resultados!O79,Resultados!X79)))</f>
        <v>0.16840002615488156</v>
      </c>
      <c r="G79">
        <f>IF(COUNT(Resultados!G79,Resultados!P79,Resultados!Y79)&lt;=1, "", _xlfn.STDEV.S(ABS(Resultados!G79),ABS(Resultados!P79),ABS(Resultados!Y79))/SQRT(COUNT(Resultados!G79,Resultados!P79,Resultados!Y79)))</f>
        <v>0</v>
      </c>
      <c r="H79">
        <f>IF(COUNT(Resultados!H79,Resultados!Q79,Resultados!Z79)&lt;=1, "", _xlfn.STDEV.S(ABS(Resultados!H79),ABS(Resultados!Q79),ABS(Resultados!Z79))/SQRT(COUNT(Resultados!H79,Resultados!Q79,Resultados!Z79)))</f>
        <v>3.3333333333333132E-5</v>
      </c>
      <c r="I79">
        <f>IF(COUNT(Resultados!I79,Resultados!R79,Resultados!AA79)&lt;=1, "", _xlfn.STDEV.S(ABS(Resultados!I79),ABS(Resultados!R79),ABS(Resultados!AA79))/SQRT(COUNT(Resultados!I79,Resultados!R79,Resultados!AA79)))</f>
        <v>9.8333333333400219E-4</v>
      </c>
    </row>
    <row r="80" spans="1:9" x14ac:dyDescent="0.3">
      <c r="A80" t="str">
        <f>IF(COUNT(Resultados!A80,Resultados!J80,Resultados!S80)&lt;=1, "", _xlfn.STDEV.S(ABS(Resultados!A80),ABS(Resultados!J80),ABS(Resultados!S80))/SQRT(COUNT(Resultados!A80,Resultados!J80,Resultados!S80)))</f>
        <v/>
      </c>
      <c r="B80" t="str">
        <f>IF(COUNT(Resultados!B80,Resultados!K80,Resultados!T80)&lt;=1, "", _xlfn.STDEV.S(ABS(Resultados!B80),ABS(Resultados!K80),ABS(Resultados!T80))/SQRT(COUNT(Resultados!B80,Resultados!K80,Resultados!T80)))</f>
        <v/>
      </c>
      <c r="C80">
        <f>IF(COUNT(Resultados!C80,Resultados!L80,Resultados!U80)&lt;=1, "", _xlfn.STDEV.S(ABS(Resultados!C80),ABS(Resultados!L80),ABS(Resultados!U80))/SQRT(COUNT(Resultados!C80,Resultados!L80,Resultados!U80)))</f>
        <v>0</v>
      </c>
      <c r="D80">
        <f>IF(COUNT(Resultados!D80,Resultados!M80,Resultados!V80)&lt;=1, "", _xlfn.STDEV.S(ABS(Resultados!D80),ABS(Resultados!M80),ABS(Resultados!V80))/SQRT(COUNT(Resultados!D80,Resultados!M80,Resultados!V80)))</f>
        <v>1.2018504251546671E-4</v>
      </c>
      <c r="E80">
        <f>IF(COUNT(Resultados!E80,Resultados!N80,Resultados!W80)&lt;=1, "", _xlfn.STDEV.S(ABS(Resultados!E80),ABS(Resultados!N80),ABS(Resultados!W80))/SQRT(COUNT(Resultados!E80,Resultados!N80,Resultados!W80)))</f>
        <v>3.7821266085289709E-4</v>
      </c>
      <c r="F80">
        <f>IF(COUNT(Resultados!F80,Resultados!O80,Resultados!X80)&lt;=1, "", _xlfn.STDEV.S(ABS(Resultados!F80),ABS(Resultados!O80),ABS(Resultados!X80))/SQRT(COUNT(Resultados!F80,Resultados!O80,Resultados!X80)))</f>
        <v>3.52494199917067E-2</v>
      </c>
      <c r="G80">
        <f>IF(COUNT(Resultados!G80,Resultados!P80,Resultados!Y80)&lt;=1, "", _xlfn.STDEV.S(ABS(Resultados!G80),ABS(Resultados!P80),ABS(Resultados!Y80))/SQRT(COUNT(Resultados!G80,Resultados!P80,Resultados!Y80)))</f>
        <v>0</v>
      </c>
      <c r="H80">
        <f>IF(COUNT(Resultados!H80,Resultados!Q80,Resultados!Z80)&lt;=1, "", _xlfn.STDEV.S(ABS(Resultados!H80),ABS(Resultados!Q80),ABS(Resultados!Z80))/SQRT(COUNT(Resultados!H80,Resultados!Q80,Resultados!Z80)))</f>
        <v>6.1331736667334958E-19</v>
      </c>
      <c r="I80">
        <f>IF(COUNT(Resultados!I80,Resultados!R80,Resultados!AA80)&lt;=1, "", _xlfn.STDEV.S(ABS(Resultados!I80),ABS(Resultados!R80),ABS(Resultados!AA80))/SQRT(COUNT(Resultados!I80,Resultados!R80,Resultados!AA80)))</f>
        <v>5.0000000000120326E-4</v>
      </c>
    </row>
    <row r="81" spans="1:9" x14ac:dyDescent="0.3">
      <c r="A81" t="str">
        <f>IF(COUNT(Resultados!A81,Resultados!J81,Resultados!S81)&lt;=1, "", _xlfn.STDEV.S(ABS(Resultados!A81),ABS(Resultados!J81),ABS(Resultados!S81))/SQRT(COUNT(Resultados!A81,Resultados!J81,Resultados!S81)))</f>
        <v/>
      </c>
      <c r="B81" t="str">
        <f>IF(COUNT(Resultados!B81,Resultados!K81,Resultados!T81)&lt;=1, "", _xlfn.STDEV.S(ABS(Resultados!B81),ABS(Resultados!K81),ABS(Resultados!T81))/SQRT(COUNT(Resultados!B81,Resultados!K81,Resultados!T81)))</f>
        <v/>
      </c>
      <c r="C81">
        <f>IF(COUNT(Resultados!C81,Resultados!L81,Resultados!U81)&lt;=1, "", _xlfn.STDEV.S(ABS(Resultados!C81),ABS(Resultados!L81),ABS(Resultados!U81))/SQRT(COUNT(Resultados!C81,Resultados!L81,Resultados!U81)))</f>
        <v>0</v>
      </c>
      <c r="D81">
        <f>IF(COUNT(Resultados!D81,Resultados!M81,Resultados!V81)&lt;=1, "", _xlfn.STDEV.S(ABS(Resultados!D81),ABS(Resultados!M81),ABS(Resultados!V81))/SQRT(COUNT(Resultados!D81,Resultados!M81,Resultados!V81)))</f>
        <v>4.4845413490245703E-4</v>
      </c>
      <c r="E81">
        <f>IF(COUNT(Resultados!E81,Resultados!N81,Resultados!W81)&lt;=1, "", _xlfn.STDEV.S(ABS(Resultados!E81),ABS(Resultados!N81),ABS(Resultados!W81))/SQRT(COUNT(Resultados!E81,Resultados!N81,Resultados!W81)))</f>
        <v>9.2514820832719695E-4</v>
      </c>
      <c r="F81">
        <f>IF(COUNT(Resultados!F81,Resultados!O81,Resultados!X81)&lt;=1, "", _xlfn.STDEV.S(ABS(Resultados!F81),ABS(Resultados!O81),ABS(Resultados!X81))/SQRT(COUNT(Resultados!F81,Resultados!O81,Resultados!X81)))</f>
        <v>8.6223813016221493E-2</v>
      </c>
      <c r="G81">
        <f>IF(COUNT(Resultados!G81,Resultados!P81,Resultados!Y81)&lt;=1, "", _xlfn.STDEV.S(ABS(Resultados!G81),ABS(Resultados!P81),ABS(Resultados!Y81))/SQRT(COUNT(Resultados!G81,Resultados!P81,Resultados!Y81)))</f>
        <v>0</v>
      </c>
      <c r="H81">
        <f>IF(COUNT(Resultados!H81,Resultados!Q81,Resultados!Z81)&lt;=1, "", _xlfn.STDEV.S(ABS(Resultados!H81),ABS(Resultados!Q81),ABS(Resultados!Z81))/SQRT(COUNT(Resultados!H81,Resultados!Q81,Resultados!Z81)))</f>
        <v>1.5332934166833739E-19</v>
      </c>
      <c r="I81">
        <f>IF(COUNT(Resultados!I81,Resultados!R81,Resultados!AA81)&lt;=1, "", _xlfn.STDEV.S(ABS(Resultados!I81),ABS(Resultados!R81),ABS(Resultados!AA81))/SQRT(COUNT(Resultados!I81,Resultados!R81,Resultados!AA81)))</f>
        <v>5.366666666652975E-4</v>
      </c>
    </row>
    <row r="82" spans="1:9" x14ac:dyDescent="0.3">
      <c r="A82" t="str">
        <f>IF(COUNT(Resultados!A82,Resultados!J82,Resultados!S82)&lt;=1, "", _xlfn.STDEV.S(ABS(Resultados!A82),ABS(Resultados!J82),ABS(Resultados!S82))/SQRT(COUNT(Resultados!A82,Resultados!J82,Resultados!S82)))</f>
        <v/>
      </c>
      <c r="B82" t="str">
        <f>IF(COUNT(Resultados!B82,Resultados!K82,Resultados!T82)&lt;=1, "", _xlfn.STDEV.S(ABS(Resultados!B82),ABS(Resultados!K82),ABS(Resultados!T82))/SQRT(COUNT(Resultados!B82,Resultados!K82,Resultados!T82)))</f>
        <v/>
      </c>
      <c r="C82">
        <f>IF(COUNT(Resultados!C82,Resultados!L82,Resultados!U82)&lt;=1, "", _xlfn.STDEV.S(ABS(Resultados!C82),ABS(Resultados!L82),ABS(Resultados!U82))/SQRT(COUNT(Resultados!C82,Resultados!L82,Resultados!U82)))</f>
        <v>0</v>
      </c>
      <c r="D82">
        <f>IF(COUNT(Resultados!D82,Resultados!M82,Resultados!V82)&lt;=1, "", _xlfn.STDEV.S(ABS(Resultados!D82),ABS(Resultados!M82),ABS(Resultados!V82))/SQRT(COUNT(Resultados!D82,Resultados!M82,Resultados!V82)))</f>
        <v>1.7638342073763934E-4</v>
      </c>
      <c r="E82">
        <f>IF(COUNT(Resultados!E82,Resultados!N82,Resultados!W82)&lt;=1, "", _xlfn.STDEV.S(ABS(Resultados!E82),ABS(Resultados!N82),ABS(Resultados!W82))/SQRT(COUNT(Resultados!E82,Resultados!N82,Resultados!W82)))</f>
        <v>8.0547718034682998E-6</v>
      </c>
      <c r="F82">
        <f>IF(COUNT(Resultados!F82,Resultados!O82,Resultados!X82)&lt;=1, "", _xlfn.STDEV.S(ABS(Resultados!F82),ABS(Resultados!O82),ABS(Resultados!X82))/SQRT(COUNT(Resultados!F82,Resultados!O82,Resultados!X82)))</f>
        <v>7.5070473217727621E-4</v>
      </c>
      <c r="G82">
        <f>IF(COUNT(Resultados!G82,Resultados!P82,Resultados!Y82)&lt;=1, "", _xlfn.STDEV.S(ABS(Resultados!G82),ABS(Resultados!P82),ABS(Resultados!Y82))/SQRT(COUNT(Resultados!G82,Resultados!P82,Resultados!Y82)))</f>
        <v>0</v>
      </c>
      <c r="H82">
        <f>IF(COUNT(Resultados!H82,Resultados!Q82,Resultados!Z82)&lt;=1, "", _xlfn.STDEV.S(ABS(Resultados!H82),ABS(Resultados!Q82),ABS(Resultados!Z82))/SQRT(COUNT(Resultados!H82,Resultados!Q82,Resultados!Z82)))</f>
        <v>0</v>
      </c>
      <c r="I82">
        <f>IF(COUNT(Resultados!I82,Resultados!R82,Resultados!AA82)&lt;=1, "", _xlfn.STDEV.S(ABS(Resultados!I82),ABS(Resultados!R82),ABS(Resultados!AA82))/SQRT(COUNT(Resultados!I82,Resultados!R82,Resultados!AA82)))</f>
        <v>7.9666666666492836E-4</v>
      </c>
    </row>
    <row r="83" spans="1:9" x14ac:dyDescent="0.3">
      <c r="A83" t="str">
        <f>IF(COUNT(Resultados!A83,Resultados!J83,Resultados!S83)&lt;=1, "", _xlfn.STDEV.S(ABS(Resultados!A83),ABS(Resultados!J83),ABS(Resultados!S83))/SQRT(COUNT(Resultados!A83,Resultados!J83,Resultados!S83)))</f>
        <v/>
      </c>
      <c r="B83" t="str">
        <f>IF(COUNT(Resultados!B83,Resultados!K83,Resultados!T83)&lt;=1, "", _xlfn.STDEV.S(ABS(Resultados!B83),ABS(Resultados!K83),ABS(Resultados!T83))/SQRT(COUNT(Resultados!B83,Resultados!K83,Resultados!T83)))</f>
        <v/>
      </c>
      <c r="C83">
        <f>IF(COUNT(Resultados!C83,Resultados!L83,Resultados!U83)&lt;=1, "", _xlfn.STDEV.S(ABS(Resultados!C83),ABS(Resultados!L83),ABS(Resultados!U83))/SQRT(COUNT(Resultados!C83,Resultados!L83,Resultados!U83)))</f>
        <v>0</v>
      </c>
      <c r="D83">
        <f>IF(COUNT(Resultados!D83,Resultados!M83,Resultados!V83)&lt;=1, "", _xlfn.STDEV.S(ABS(Resultados!D83),ABS(Resultados!M83),ABS(Resultados!V83))/SQRT(COUNT(Resultados!D83,Resultados!M83,Resultados!V83)))</f>
        <v>8.8191710368819672E-5</v>
      </c>
      <c r="E83">
        <f>IF(COUNT(Resultados!E83,Resultados!N83,Resultados!W83)&lt;=1, "", _xlfn.STDEV.S(ABS(Resultados!E83),ABS(Resultados!N83),ABS(Resultados!W83))/SQRT(COUNT(Resultados!E83,Resultados!N83,Resultados!W83)))</f>
        <v>3.672277424251831E-4</v>
      </c>
      <c r="F83">
        <f>IF(COUNT(Resultados!F83,Resultados!O83,Resultados!X83)&lt;=1, "", _xlfn.STDEV.S(ABS(Resultados!F83),ABS(Resultados!O83),ABS(Resultados!X83))/SQRT(COUNT(Resultados!F83,Resultados!O83,Resultados!X83)))</f>
        <v>3.4849912756069877E-2</v>
      </c>
      <c r="G83">
        <f>IF(COUNT(Resultados!G83,Resultados!P83,Resultados!Y83)&lt;=1, "", _xlfn.STDEV.S(ABS(Resultados!G83),ABS(Resultados!P83),ABS(Resultados!Y83))/SQRT(COUNT(Resultados!G83,Resultados!P83,Resultados!Y83)))</f>
        <v>0</v>
      </c>
      <c r="H83">
        <f>IF(COUNT(Resultados!H83,Resultados!Q83,Resultados!Z83)&lt;=1, "", _xlfn.STDEV.S(ABS(Resultados!H83),ABS(Resultados!Q83),ABS(Resultados!Z83))/SQRT(COUNT(Resultados!H83,Resultados!Q83,Resultados!Z83)))</f>
        <v>0</v>
      </c>
      <c r="I83">
        <f>IF(COUNT(Resultados!I83,Resultados!R83,Resultados!AA83)&lt;=1, "", _xlfn.STDEV.S(ABS(Resultados!I83),ABS(Resultados!R83),ABS(Resultados!AA83))/SQRT(COUNT(Resultados!I83,Resultados!R83,Resultados!AA83)))</f>
        <v>6.4999999999907721E-4</v>
      </c>
    </row>
    <row r="84" spans="1:9" x14ac:dyDescent="0.3">
      <c r="A84" t="str">
        <f>IF(COUNT(Resultados!A84,Resultados!J84,Resultados!S84)&lt;=1, "", _xlfn.STDEV.S(ABS(Resultados!A84),ABS(Resultados!J84),ABS(Resultados!S84))/SQRT(COUNT(Resultados!A84,Resultados!J84,Resultados!S84)))</f>
        <v/>
      </c>
      <c r="B84" t="str">
        <f>IF(COUNT(Resultados!B84,Resultados!K84,Resultados!T84)&lt;=1, "", _xlfn.STDEV.S(ABS(Resultados!B84),ABS(Resultados!K84),ABS(Resultados!T84))/SQRT(COUNT(Resultados!B84,Resultados!K84,Resultados!T84)))</f>
        <v/>
      </c>
      <c r="C84">
        <f>IF(COUNT(Resultados!C84,Resultados!L84,Resultados!U84)&lt;=1, "", _xlfn.STDEV.S(ABS(Resultados!C84),ABS(Resultados!L84),ABS(Resultados!U84))/SQRT(COUNT(Resultados!C84,Resultados!L84,Resultados!U84)))</f>
        <v>0</v>
      </c>
      <c r="D84">
        <f>IF(COUNT(Resultados!D84,Resultados!M84,Resultados!V84)&lt;=1, "", _xlfn.STDEV.S(ABS(Resultados!D84),ABS(Resultados!M84),ABS(Resultados!V84))/SQRT(COUNT(Resultados!D84,Resultados!M84,Resultados!V84)))</f>
        <v>4.8419463487779841E-4</v>
      </c>
      <c r="E84">
        <f>IF(COUNT(Resultados!E84,Resultados!N84,Resultados!W84)&lt;=1, "", _xlfn.STDEV.S(ABS(Resultados!E84),ABS(Resultados!N84),ABS(Resultados!W84))/SQRT(COUNT(Resultados!E84,Resultados!N84,Resultados!W84)))</f>
        <v>8.9326734965675158E-4</v>
      </c>
      <c r="F84">
        <f>IF(COUNT(Resultados!F84,Resultados!O84,Resultados!X84)&lt;=1, "", _xlfn.STDEV.S(ABS(Resultados!F84),ABS(Resultados!O84),ABS(Resultados!X84))/SQRT(COUNT(Resultados!F84,Resultados!O84,Resultados!X84)))</f>
        <v>8.4771071482333843E-2</v>
      </c>
      <c r="G84">
        <f>IF(COUNT(Resultados!G84,Resultados!P84,Resultados!Y84)&lt;=1, "", _xlfn.STDEV.S(ABS(Resultados!G84),ABS(Resultados!P84),ABS(Resultados!Y84))/SQRT(COUNT(Resultados!G84,Resultados!P84,Resultados!Y84)))</f>
        <v>0</v>
      </c>
      <c r="H84">
        <f>IF(COUNT(Resultados!H84,Resultados!Q84,Resultados!Z84)&lt;=1, "", _xlfn.STDEV.S(ABS(Resultados!H84),ABS(Resultados!Q84),ABS(Resultados!Z84))/SQRT(COUNT(Resultados!H84,Resultados!Q84,Resultados!Z84)))</f>
        <v>0</v>
      </c>
      <c r="I84">
        <f>IF(COUNT(Resultados!I84,Resultados!R84,Resultados!AA84)&lt;=1, "", _xlfn.STDEV.S(ABS(Resultados!I84),ABS(Resultados!R84),ABS(Resultados!AA84))/SQRT(COUNT(Resultados!I84,Resultados!R84,Resultados!AA84)))</f>
        <v>3.2999999999934931E-4</v>
      </c>
    </row>
    <row r="85" spans="1:9" x14ac:dyDescent="0.3">
      <c r="A85" t="str">
        <f>IF(COUNT(Resultados!A85,Resultados!J85,Resultados!S85)&lt;=1, "", _xlfn.STDEV.S(ABS(Resultados!A85),ABS(Resultados!J85),ABS(Resultados!S85))/SQRT(COUNT(Resultados!A85,Resultados!J85,Resultados!S85)))</f>
        <v/>
      </c>
      <c r="B85" t="str">
        <f>IF(COUNT(Resultados!B85,Resultados!K85,Resultados!T85)&lt;=1, "", _xlfn.STDEV.S(ABS(Resultados!B85),ABS(Resultados!K85),ABS(Resultados!T85))/SQRT(COUNT(Resultados!B85,Resultados!K85,Resultados!T85)))</f>
        <v/>
      </c>
      <c r="C85">
        <f>IF(COUNT(Resultados!C85,Resultados!L85,Resultados!U85)&lt;=1, "", _xlfn.STDEV.S(ABS(Resultados!C85),ABS(Resultados!L85),ABS(Resultados!U85))/SQRT(COUNT(Resultados!C85,Resultados!L85,Resultados!U85)))</f>
        <v>0</v>
      </c>
      <c r="D85">
        <f>IF(COUNT(Resultados!D85,Resultados!M85,Resultados!V85)&lt;=1, "", _xlfn.STDEV.S(ABS(Resultados!D85),ABS(Resultados!M85),ABS(Resultados!V85))/SQRT(COUNT(Resultados!D85,Resultados!M85,Resultados!V85)))</f>
        <v>2.8480012484391769E-4</v>
      </c>
      <c r="E85">
        <f>IF(COUNT(Resultados!E85,Resultados!N85,Resultados!W85)&lt;=1, "", _xlfn.STDEV.S(ABS(Resultados!E85),ABS(Resultados!N85),ABS(Resultados!W85))/SQRT(COUNT(Resultados!E85,Resultados!N85,Resultados!W85)))</f>
        <v>1.0725432623766452E-3</v>
      </c>
      <c r="F85">
        <f>IF(COUNT(Resultados!F85,Resultados!O85,Resultados!X85)&lt;=1, "", _xlfn.STDEV.S(ABS(Resultados!F85),ABS(Resultados!O85),ABS(Resultados!X85))/SQRT(COUNT(Resultados!F85,Resultados!O85,Resultados!X85)))</f>
        <v>0.10178435559980964</v>
      </c>
      <c r="G85">
        <f>IF(COUNT(Resultados!G85,Resultados!P85,Resultados!Y85)&lt;=1, "", _xlfn.STDEV.S(ABS(Resultados!G85),ABS(Resultados!P85),ABS(Resultados!Y85))/SQRT(COUNT(Resultados!G85,Resultados!P85,Resultados!Y85)))</f>
        <v>0</v>
      </c>
      <c r="H85">
        <f>IF(COUNT(Resultados!H85,Resultados!Q85,Resultados!Z85)&lt;=1, "", _xlfn.STDEV.S(ABS(Resultados!H85),ABS(Resultados!Q85),ABS(Resultados!Z85))/SQRT(COUNT(Resultados!H85,Resultados!Q85,Resultados!Z85)))</f>
        <v>3.3333333333333714E-5</v>
      </c>
      <c r="I85">
        <f>IF(COUNT(Resultados!I85,Resultados!R85,Resultados!AA85)&lt;=1, "", _xlfn.STDEV.S(ABS(Resultados!I85),ABS(Resultados!R85),ABS(Resultados!AA85))/SQRT(COUNT(Resultados!I85,Resultados!R85,Resultados!AA85)))</f>
        <v>2.8333333333444938E-4</v>
      </c>
    </row>
    <row r="86" spans="1:9" x14ac:dyDescent="0.3">
      <c r="A86" t="str">
        <f>IF(COUNT(Resultados!A86,Resultados!J86,Resultados!S86)&lt;=1, "", _xlfn.STDEV.S(ABS(Resultados!A86),ABS(Resultados!J86),ABS(Resultados!S86))/SQRT(COUNT(Resultados!A86,Resultados!J86,Resultados!S86)))</f>
        <v/>
      </c>
      <c r="B86" t="str">
        <f>IF(COUNT(Resultados!B86,Resultados!K86,Resultados!T86)&lt;=1, "", _xlfn.STDEV.S(ABS(Resultados!B86),ABS(Resultados!K86),ABS(Resultados!T86))/SQRT(COUNT(Resultados!B86,Resultados!K86,Resultados!T86)))</f>
        <v/>
      </c>
      <c r="C86">
        <f>IF(COUNT(Resultados!C86,Resultados!L86,Resultados!U86)&lt;=1, "", _xlfn.STDEV.S(ABS(Resultados!C86),ABS(Resultados!L86),ABS(Resultados!U86))/SQRT(COUNT(Resultados!C86,Resultados!L86,Resultados!U86)))</f>
        <v>0</v>
      </c>
      <c r="D86">
        <f>IF(COUNT(Resultados!D86,Resultados!M86,Resultados!V86)&lt;=1, "", _xlfn.STDEV.S(ABS(Resultados!D86),ABS(Resultados!M86),ABS(Resultados!V86))/SQRT(COUNT(Resultados!D86,Resultados!M86,Resultados!V86)))</f>
        <v>3.3829638550307394E-4</v>
      </c>
      <c r="E86">
        <f>IF(COUNT(Resultados!E86,Resultados!N86,Resultados!W86)&lt;=1, "", _xlfn.STDEV.S(ABS(Resultados!E86),ABS(Resultados!N86),ABS(Resultados!W86))/SQRT(COUNT(Resultados!E86,Resultados!N86,Resultados!W86)))</f>
        <v>1.6412186476122228E-3</v>
      </c>
      <c r="F86">
        <f>IF(COUNT(Resultados!F86,Resultados!O86,Resultados!X86)&lt;=1, "", _xlfn.STDEV.S(ABS(Resultados!F86),ABS(Resultados!O86),ABS(Resultados!X86))/SQRT(COUNT(Resultados!F86,Resultados!O86,Resultados!X86)))</f>
        <v>0.15575164965836047</v>
      </c>
      <c r="G86">
        <f>IF(COUNT(Resultados!G86,Resultados!P86,Resultados!Y86)&lt;=1, "", _xlfn.STDEV.S(ABS(Resultados!G86),ABS(Resultados!P86),ABS(Resultados!Y86))/SQRT(COUNT(Resultados!G86,Resultados!P86,Resultados!Y86)))</f>
        <v>0</v>
      </c>
      <c r="H86">
        <f>IF(COUNT(Resultados!H86,Resultados!Q86,Resultados!Z86)&lt;=1, "", _xlfn.STDEV.S(ABS(Resultados!H86),ABS(Resultados!Q86),ABS(Resultados!Z86))/SQRT(COUNT(Resultados!H86,Resultados!Q86,Resultados!Z86)))</f>
        <v>3.3333333333333132E-5</v>
      </c>
      <c r="I86">
        <f>IF(COUNT(Resultados!I86,Resultados!R86,Resultados!AA86)&lt;=1, "", _xlfn.STDEV.S(ABS(Resultados!I86),ABS(Resultados!R86),ABS(Resultados!AA86))/SQRT(COUNT(Resultados!I86,Resultados!R86,Resultados!AA86)))</f>
        <v>1.1000000000057261E-4</v>
      </c>
    </row>
    <row r="87" spans="1:9" x14ac:dyDescent="0.3">
      <c r="A87" t="str">
        <f>IF(COUNT(Resultados!A87,Resultados!J87,Resultados!S87)&lt;=1, "", _xlfn.STDEV.S(ABS(Resultados!A87),ABS(Resultados!J87),ABS(Resultados!S87))/SQRT(COUNT(Resultados!A87,Resultados!J87,Resultados!S87)))</f>
        <v/>
      </c>
      <c r="B87" t="str">
        <f>IF(COUNT(Resultados!B87,Resultados!K87,Resultados!T87)&lt;=1, "", _xlfn.STDEV.S(ABS(Resultados!B87),ABS(Resultados!K87),ABS(Resultados!T87))/SQRT(COUNT(Resultados!B87,Resultados!K87,Resultados!T87)))</f>
        <v/>
      </c>
      <c r="C87">
        <f>IF(COUNT(Resultados!C87,Resultados!L87,Resultados!U87)&lt;=1, "", _xlfn.STDEV.S(ABS(Resultados!C87),ABS(Resultados!L87),ABS(Resultados!U87))/SQRT(COUNT(Resultados!C87,Resultados!L87,Resultados!U87)))</f>
        <v>0</v>
      </c>
      <c r="D87">
        <f>IF(COUNT(Resultados!D87,Resultados!M87,Resultados!V87)&lt;=1, "", _xlfn.STDEV.S(ABS(Resultados!D87),ABS(Resultados!M87),ABS(Resultados!V87))/SQRT(COUNT(Resultados!D87,Resultados!M87,Resultados!V87)))</f>
        <v>2.0816659994661357E-4</v>
      </c>
      <c r="E87">
        <f>IF(COUNT(Resultados!E87,Resultados!N87,Resultados!W87)&lt;=1, "", _xlfn.STDEV.S(ABS(Resultados!E87),ABS(Resultados!N87),ABS(Resultados!W87))/SQRT(COUNT(Resultados!E87,Resultados!N87,Resultados!W87)))</f>
        <v>1.8377428201238675E-3</v>
      </c>
      <c r="F87">
        <f>IF(COUNT(Resultados!F87,Resultados!O87,Resultados!X87)&lt;=1, "", _xlfn.STDEV.S(ABS(Resultados!F87),ABS(Resultados!O87),ABS(Resultados!X87))/SQRT(COUNT(Resultados!F87,Resultados!O87,Resultados!X87)))</f>
        <v>0.17440179362972139</v>
      </c>
      <c r="G87">
        <f>IF(COUNT(Resultados!G87,Resultados!P87,Resultados!Y87)&lt;=1, "", _xlfn.STDEV.S(ABS(Resultados!G87),ABS(Resultados!P87),ABS(Resultados!Y87))/SQRT(COUNT(Resultados!G87,Resultados!P87,Resultados!Y87)))</f>
        <v>0</v>
      </c>
      <c r="H87">
        <f>IF(COUNT(Resultados!H87,Resultados!Q87,Resultados!Z87)&lt;=1, "", _xlfn.STDEV.S(ABS(Resultados!H87),ABS(Resultados!Q87),ABS(Resultados!Z87))/SQRT(COUNT(Resultados!H87,Resultados!Q87,Resultados!Z87)))</f>
        <v>3.333333333333429E-5</v>
      </c>
      <c r="I87">
        <f>IF(COUNT(Resultados!I87,Resultados!R87,Resultados!AA87)&lt;=1, "", _xlfn.STDEV.S(ABS(Resultados!I87),ABS(Resultados!R87),ABS(Resultados!AA87))/SQRT(COUNT(Resultados!I87,Resultados!R87,Resultados!AA87)))</f>
        <v>1.2333333333340118E-4</v>
      </c>
    </row>
    <row r="88" spans="1:9" x14ac:dyDescent="0.3">
      <c r="A88" t="str">
        <f>IF(COUNT(Resultados!A88,Resultados!J88,Resultados!S88)&lt;=1, "", _xlfn.STDEV.S(ABS(Resultados!A88),ABS(Resultados!J88),ABS(Resultados!S88))/SQRT(COUNT(Resultados!A88,Resultados!J88,Resultados!S88)))</f>
        <v/>
      </c>
      <c r="B88" t="str">
        <f>IF(COUNT(Resultados!B88,Resultados!K88,Resultados!T88)&lt;=1, "", _xlfn.STDEV.S(ABS(Resultados!B88),ABS(Resultados!K88),ABS(Resultados!T88))/SQRT(COUNT(Resultados!B88,Resultados!K88,Resultados!T88)))</f>
        <v/>
      </c>
      <c r="C88">
        <f>IF(COUNT(Resultados!C88,Resultados!L88,Resultados!U88)&lt;=1, "", _xlfn.STDEV.S(ABS(Resultados!C88),ABS(Resultados!L88),ABS(Resultados!U88))/SQRT(COUNT(Resultados!C88,Resultados!L88,Resultados!U88)))</f>
        <v>0</v>
      </c>
      <c r="D88">
        <f>IF(COUNT(Resultados!D88,Resultados!M88,Resultados!V88)&lt;=1, "", _xlfn.STDEV.S(ABS(Resultados!D88),ABS(Resultados!M88),ABS(Resultados!V88))/SQRT(COUNT(Resultados!D88,Resultados!M88,Resultados!V88)))</f>
        <v>1.527525231651949E-4</v>
      </c>
      <c r="E88">
        <f>IF(COUNT(Resultados!E88,Resultados!N88,Resultados!W88)&lt;=1, "", _xlfn.STDEV.S(ABS(Resultados!E88),ABS(Resultados!N88),ABS(Resultados!W88))/SQRT(COUNT(Resultados!E88,Resultados!N88,Resultados!W88)))</f>
        <v>2.1440359987054268E-3</v>
      </c>
      <c r="F88">
        <f>IF(COUNT(Resultados!F88,Resultados!O88,Resultados!X88)&lt;=1, "", _xlfn.STDEV.S(ABS(Resultados!F88),ABS(Resultados!O88),ABS(Resultados!X88))/SQRT(COUNT(Resultados!F88,Resultados!O88,Resultados!X88)))</f>
        <v>0.20346901627690853</v>
      </c>
      <c r="G88">
        <f>IF(COUNT(Resultados!G88,Resultados!P88,Resultados!Y88)&lt;=1, "", _xlfn.STDEV.S(ABS(Resultados!G88),ABS(Resultados!P88),ABS(Resultados!Y88))/SQRT(COUNT(Resultados!G88,Resultados!P88,Resultados!Y88)))</f>
        <v>0</v>
      </c>
      <c r="H88">
        <f>IF(COUNT(Resultados!H88,Resultados!Q88,Resultados!Z88)&lt;=1, "", _xlfn.STDEV.S(ABS(Resultados!H88),ABS(Resultados!Q88),ABS(Resultados!Z88))/SQRT(COUNT(Resultados!H88,Resultados!Q88,Resultados!Z88)))</f>
        <v>3.333333333333429E-5</v>
      </c>
      <c r="I88">
        <f>IF(COUNT(Resultados!I88,Resultados!R88,Resultados!AA88)&lt;=1, "", _xlfn.STDEV.S(ABS(Resultados!I88),ABS(Resultados!R88),ABS(Resultados!AA88))/SQRT(COUNT(Resultados!I88,Resultados!R88,Resultados!AA88)))</f>
        <v>2.6999999999925234E-4</v>
      </c>
    </row>
    <row r="89" spans="1:9" x14ac:dyDescent="0.3">
      <c r="A89" t="str">
        <f>IF(COUNT(Resultados!A89,Resultados!J89,Resultados!S89)&lt;=1, "", _xlfn.STDEV.S(ABS(Resultados!A89),ABS(Resultados!J89),ABS(Resultados!S89))/SQRT(COUNT(Resultados!A89,Resultados!J89,Resultados!S89)))</f>
        <v/>
      </c>
      <c r="B89" t="str">
        <f>IF(COUNT(Resultados!B89,Resultados!K89,Resultados!T89)&lt;=1, "", _xlfn.STDEV.S(ABS(Resultados!B89),ABS(Resultados!K89),ABS(Resultados!T89))/SQRT(COUNT(Resultados!B89,Resultados!K89,Resultados!T89)))</f>
        <v/>
      </c>
      <c r="C89">
        <f>IF(COUNT(Resultados!C89,Resultados!L89,Resultados!U89)&lt;=1, "", _xlfn.STDEV.S(ABS(Resultados!C89),ABS(Resultados!L89),ABS(Resultados!U89))/SQRT(COUNT(Resultados!C89,Resultados!L89,Resultados!U89)))</f>
        <v>0</v>
      </c>
      <c r="D89">
        <f>IF(COUNT(Resultados!D89,Resultados!M89,Resultados!V89)&lt;=1, "", _xlfn.STDEV.S(ABS(Resultados!D89),ABS(Resultados!M89),ABS(Resultados!V89))/SQRT(COUNT(Resultados!D89,Resultados!M89,Resultados!V89)))</f>
        <v>1.1547005383792447E-4</v>
      </c>
      <c r="E89">
        <f>IF(COUNT(Resultados!E89,Resultados!N89,Resultados!W89)&lt;=1, "", _xlfn.STDEV.S(ABS(Resultados!E89),ABS(Resultados!N89),ABS(Resultados!W89))/SQRT(COUNT(Resultados!E89,Resultados!N89,Resultados!W89)))</f>
        <v>8.9104404019749661E-4</v>
      </c>
      <c r="F89">
        <f>IF(COUNT(Resultados!F89,Resultados!O89,Resultados!X89)&lt;=1, "", _xlfn.STDEV.S(ABS(Resultados!F89),ABS(Resultados!O89),ABS(Resultados!X89))/SQRT(COUNT(Resultados!F89,Resultados!O89,Resultados!X89)))</f>
        <v>8.4560079414973427E-2</v>
      </c>
      <c r="G89">
        <f>IF(COUNT(Resultados!G89,Resultados!P89,Resultados!Y89)&lt;=1, "", _xlfn.STDEV.S(ABS(Resultados!G89),ABS(Resultados!P89),ABS(Resultados!Y89))/SQRT(COUNT(Resultados!G89,Resultados!P89,Resultados!Y89)))</f>
        <v>0</v>
      </c>
      <c r="H89">
        <f>IF(COUNT(Resultados!H89,Resultados!Q89,Resultados!Z89)&lt;=1, "", _xlfn.STDEV.S(ABS(Resultados!H89),ABS(Resultados!Q89),ABS(Resultados!Z89))/SQRT(COUNT(Resultados!H89,Resultados!Q89,Resultados!Z89)))</f>
        <v>3.333333333333198E-5</v>
      </c>
      <c r="I89">
        <f>IF(COUNT(Resultados!I89,Resultados!R89,Resultados!AA89)&lt;=1, "", _xlfn.STDEV.S(ABS(Resultados!I89),ABS(Resultados!R89),ABS(Resultados!AA89))/SQRT(COUNT(Resultados!I89,Resultados!R89,Resultados!AA89)))</f>
        <v>5.9999999998912777E-5</v>
      </c>
    </row>
    <row r="90" spans="1:9" x14ac:dyDescent="0.3">
      <c r="A90" t="str">
        <f>IF(COUNT(Resultados!A90,Resultados!J90,Resultados!S90)&lt;=1, "", _xlfn.STDEV.S(ABS(Resultados!A90),ABS(Resultados!J90),ABS(Resultados!S90))/SQRT(COUNT(Resultados!A90,Resultados!J90,Resultados!S90)))</f>
        <v/>
      </c>
      <c r="B90" t="str">
        <f>IF(COUNT(Resultados!B90,Resultados!K90,Resultados!T90)&lt;=1, "", _xlfn.STDEV.S(ABS(Resultados!B90),ABS(Resultados!K90),ABS(Resultados!T90))/SQRT(COUNT(Resultados!B90,Resultados!K90,Resultados!T90)))</f>
        <v/>
      </c>
      <c r="C90">
        <f>IF(COUNT(Resultados!C90,Resultados!L90,Resultados!U90)&lt;=1, "", _xlfn.STDEV.S(ABS(Resultados!C90),ABS(Resultados!L90),ABS(Resultados!U90))/SQRT(COUNT(Resultados!C90,Resultados!L90,Resultados!U90)))</f>
        <v>0</v>
      </c>
      <c r="D90">
        <f>IF(COUNT(Resultados!D90,Resultados!M90,Resultados!V90)&lt;=1, "", _xlfn.STDEV.S(ABS(Resultados!D90),ABS(Resultados!M90),ABS(Resultados!V90))/SQRT(COUNT(Resultados!D90,Resultados!M90,Resultados!V90)))</f>
        <v>3.3829638550307459E-4</v>
      </c>
      <c r="E90">
        <f>IF(COUNT(Resultados!E90,Resultados!N90,Resultados!W90)&lt;=1, "", _xlfn.STDEV.S(ABS(Resultados!E90),ABS(Resultados!N90),ABS(Resultados!W90))/SQRT(COUNT(Resultados!E90,Resultados!N90,Resultados!W90)))</f>
        <v>4.8373421406658096E-4</v>
      </c>
      <c r="F90">
        <f>IF(COUNT(Resultados!F90,Resultados!O90,Resultados!X90)&lt;=1, "", _xlfn.STDEV.S(ABS(Resultados!F90),ABS(Resultados!O90),ABS(Resultados!X90))/SQRT(COUNT(Resultados!F90,Resultados!O90,Resultados!X90)))</f>
        <v>4.5906376915069831E-2</v>
      </c>
      <c r="G90">
        <f>IF(COUNT(Resultados!G90,Resultados!P90,Resultados!Y90)&lt;=1, "", _xlfn.STDEV.S(ABS(Resultados!G90),ABS(Resultados!P90),ABS(Resultados!Y90))/SQRT(COUNT(Resultados!G90,Resultados!P90,Resultados!Y90)))</f>
        <v>0</v>
      </c>
      <c r="H90">
        <f>IF(COUNT(Resultados!H90,Resultados!Q90,Resultados!Z90)&lt;=1, "", _xlfn.STDEV.S(ABS(Resultados!H90),ABS(Resultados!Q90),ABS(Resultados!Z90))/SQRT(COUNT(Resultados!H90,Resultados!Q90,Resultados!Z90)))</f>
        <v>3.333333333333198E-5</v>
      </c>
      <c r="I90">
        <f>IF(COUNT(Resultados!I90,Resultados!R90,Resultados!AA90)&lt;=1, "", _xlfn.STDEV.S(ABS(Resultados!I90),ABS(Resultados!R90),ABS(Resultados!AA90))/SQRT(COUNT(Resultados!I90,Resultados!R90,Resultados!AA90)))</f>
        <v>4.2666666666590919E-4</v>
      </c>
    </row>
    <row r="91" spans="1:9" x14ac:dyDescent="0.3">
      <c r="A91" t="str">
        <f>IF(COUNT(Resultados!A91,Resultados!J91,Resultados!S91)&lt;=1, "", _xlfn.STDEV.S(ABS(Resultados!A91),ABS(Resultados!J91),ABS(Resultados!S91))/SQRT(COUNT(Resultados!A91,Resultados!J91,Resultados!S91)))</f>
        <v/>
      </c>
      <c r="B91" t="str">
        <f>IF(COUNT(Resultados!B91,Resultados!K91,Resultados!T91)&lt;=1, "", _xlfn.STDEV.S(ABS(Resultados!B91),ABS(Resultados!K91),ABS(Resultados!T91))/SQRT(COUNT(Resultados!B91,Resultados!K91,Resultados!T91)))</f>
        <v/>
      </c>
      <c r="C91">
        <f>IF(COUNT(Resultados!C91,Resultados!L91,Resultados!U91)&lt;=1, "", _xlfn.STDEV.S(ABS(Resultados!C91),ABS(Resultados!L91),ABS(Resultados!U91))/SQRT(COUNT(Resultados!C91,Resultados!L91,Resultados!U91)))</f>
        <v>0</v>
      </c>
      <c r="D91">
        <f>IF(COUNT(Resultados!D91,Resultados!M91,Resultados!V91)&lt;=1, "", _xlfn.STDEV.S(ABS(Resultados!D91),ABS(Resultados!M91),ABS(Resultados!V91))/SQRT(COUNT(Resultados!D91,Resultados!M91,Resultados!V91)))</f>
        <v>3.8441875315569366E-4</v>
      </c>
      <c r="E91">
        <f>IF(COUNT(Resultados!E91,Resultados!N91,Resultados!W91)&lt;=1, "", _xlfn.STDEV.S(ABS(Resultados!E91),ABS(Resultados!N91),ABS(Resultados!W91))/SQRT(COUNT(Resultados!E91,Resultados!N91,Resultados!W91)))</f>
        <v>5.1455097316741982E-4</v>
      </c>
      <c r="F91">
        <f>IF(COUNT(Resultados!F91,Resultados!O91,Resultados!X91)&lt;=1, "", _xlfn.STDEV.S(ABS(Resultados!F91),ABS(Resultados!O91),ABS(Resultados!X91))/SQRT(COUNT(Resultados!F91,Resultados!O91,Resultados!X91)))</f>
        <v>4.8830887353577303E-2</v>
      </c>
      <c r="G91">
        <f>IF(COUNT(Resultados!G91,Resultados!P91,Resultados!Y91)&lt;=1, "", _xlfn.STDEV.S(ABS(Resultados!G91),ABS(Resultados!P91),ABS(Resultados!Y91))/SQRT(COUNT(Resultados!G91,Resultados!P91,Resultados!Y91)))</f>
        <v>0</v>
      </c>
      <c r="H91">
        <f>IF(COUNT(Resultados!H91,Resultados!Q91,Resultados!Z91)&lt;=1, "", _xlfn.STDEV.S(ABS(Resultados!H91),ABS(Resultados!Q91),ABS(Resultados!Z91))/SQRT(COUNT(Resultados!H91,Resultados!Q91,Resultados!Z91)))</f>
        <v>0</v>
      </c>
      <c r="I91">
        <f>IF(COUNT(Resultados!I91,Resultados!R91,Resultados!AA91)&lt;=1, "", _xlfn.STDEV.S(ABS(Resultados!I91),ABS(Resultados!R91),ABS(Resultados!AA91))/SQRT(COUNT(Resultados!I91,Resultados!R91,Resultados!AA91)))</f>
        <v>2.4666666666798659E-4</v>
      </c>
    </row>
    <row r="92" spans="1:9" x14ac:dyDescent="0.3">
      <c r="A92" t="str">
        <f>IF(COUNT(Resultados!A92,Resultados!J92,Resultados!S92)&lt;=1, "", _xlfn.STDEV.S(ABS(Resultados!A92),ABS(Resultados!J92),ABS(Resultados!S92))/SQRT(COUNT(Resultados!A92,Resultados!J92,Resultados!S92)))</f>
        <v/>
      </c>
      <c r="B92" t="str">
        <f>IF(COUNT(Resultados!B92,Resultados!K92,Resultados!T92)&lt;=1, "", _xlfn.STDEV.S(ABS(Resultados!B92),ABS(Resultados!K92),ABS(Resultados!T92))/SQRT(COUNT(Resultados!B92,Resultados!K92,Resultados!T92)))</f>
        <v/>
      </c>
      <c r="C92">
        <f>IF(COUNT(Resultados!C92,Resultados!L92,Resultados!U92)&lt;=1, "", _xlfn.STDEV.S(ABS(Resultados!C92),ABS(Resultados!L92),ABS(Resultados!U92))/SQRT(COUNT(Resultados!C92,Resultados!L92,Resultados!U92)))</f>
        <v>0</v>
      </c>
      <c r="D92">
        <f>IF(COUNT(Resultados!D92,Resultados!M92,Resultados!V92)&lt;=1, "", _xlfn.STDEV.S(ABS(Resultados!D92),ABS(Resultados!M92),ABS(Resultados!V92))/SQRT(COUNT(Resultados!D92,Resultados!M92,Resultados!V92)))</f>
        <v>3.7564758898615358E-4</v>
      </c>
      <c r="E92">
        <f>IF(COUNT(Resultados!E92,Resultados!N92,Resultados!W92)&lt;=1, "", _xlfn.STDEV.S(ABS(Resultados!E92),ABS(Resultados!N92),ABS(Resultados!W92))/SQRT(COUNT(Resultados!E92,Resultados!N92,Resultados!W92)))</f>
        <v>4.9346158621412261E-6</v>
      </c>
      <c r="F92">
        <f>IF(COUNT(Resultados!F92,Resultados!O92,Resultados!X92)&lt;=1, "", _xlfn.STDEV.S(ABS(Resultados!F92),ABS(Resultados!O92),ABS(Resultados!X92))/SQRT(COUNT(Resultados!F92,Resultados!O92,Resultados!X92)))</f>
        <v>4.6829504546063805E-4</v>
      </c>
      <c r="G92">
        <f>IF(COUNT(Resultados!G92,Resultados!P92,Resultados!Y92)&lt;=1, "", _xlfn.STDEV.S(ABS(Resultados!G92),ABS(Resultados!P92),ABS(Resultados!Y92))/SQRT(COUNT(Resultados!G92,Resultados!P92,Resultados!Y92)))</f>
        <v>0</v>
      </c>
      <c r="H92">
        <f>IF(COUNT(Resultados!H92,Resultados!Q92,Resultados!Z92)&lt;=1, "", _xlfn.STDEV.S(ABS(Resultados!H92),ABS(Resultados!Q92),ABS(Resultados!Z92))/SQRT(COUNT(Resultados!H92,Resultados!Q92,Resultados!Z92)))</f>
        <v>0</v>
      </c>
      <c r="I92">
        <f>IF(COUNT(Resultados!I92,Resultados!R92,Resultados!AA92)&lt;=1, "", _xlfn.STDEV.S(ABS(Resultados!I92),ABS(Resultados!R92),ABS(Resultados!AA92))/SQRT(COUNT(Resultados!I92,Resultados!R92,Resultados!AA92)))</f>
        <v>4.4000000000110623E-4</v>
      </c>
    </row>
    <row r="93" spans="1:9" x14ac:dyDescent="0.3">
      <c r="A93" t="str">
        <f>IF(COUNT(Resultados!A93,Resultados!J93,Resultados!S93)&lt;=1, "", _xlfn.STDEV.S(ABS(Resultados!A93),ABS(Resultados!J93),ABS(Resultados!S93))/SQRT(COUNT(Resultados!A93,Resultados!J93,Resultados!S93)))</f>
        <v/>
      </c>
      <c r="B93" t="str">
        <f>IF(COUNT(Resultados!B93,Resultados!K93,Resultados!T93)&lt;=1, "", _xlfn.STDEV.S(ABS(Resultados!B93),ABS(Resultados!K93),ABS(Resultados!T93))/SQRT(COUNT(Resultados!B93,Resultados!K93,Resultados!T93)))</f>
        <v/>
      </c>
      <c r="C93">
        <f>IF(COUNT(Resultados!C93,Resultados!L93,Resultados!U93)&lt;=1, "", _xlfn.STDEV.S(ABS(Resultados!C93),ABS(Resultados!L93),ABS(Resultados!U93))/SQRT(COUNT(Resultados!C93,Resultados!L93,Resultados!U93)))</f>
        <v>0</v>
      </c>
      <c r="D93">
        <f>IF(COUNT(Resultados!D93,Resultados!M93,Resultados!V93)&lt;=1, "", _xlfn.STDEV.S(ABS(Resultados!D93),ABS(Resultados!M93),ABS(Resultados!V93))/SQRT(COUNT(Resultados!D93,Resultados!M93,Resultados!V93)))</f>
        <v>1.1547005383792646E-4</v>
      </c>
      <c r="E93">
        <f>IF(COUNT(Resultados!E93,Resultados!N93,Resultados!W93)&lt;=1, "", _xlfn.STDEV.S(ABS(Resultados!E93),ABS(Resultados!N93),ABS(Resultados!W93))/SQRT(COUNT(Resultados!E93,Resultados!N93,Resultados!W93)))</f>
        <v>6.0417241629212332E-4</v>
      </c>
      <c r="F93">
        <f>IF(COUNT(Resultados!F93,Resultados!O93,Resultados!X93)&lt;=1, "", _xlfn.STDEV.S(ABS(Resultados!F93),ABS(Resultados!O93),ABS(Resultados!X93))/SQRT(COUNT(Resultados!F93,Resultados!O93,Resultados!X93)))</f>
        <v>5.6308869198299132E-2</v>
      </c>
      <c r="G93">
        <f>IF(COUNT(Resultados!G93,Resultados!P93,Resultados!Y93)&lt;=1, "", _xlfn.STDEV.S(ABS(Resultados!G93),ABS(Resultados!P93),ABS(Resultados!Y93))/SQRT(COUNT(Resultados!G93,Resultados!P93,Resultados!Y93)))</f>
        <v>0</v>
      </c>
      <c r="H93">
        <f>IF(COUNT(Resultados!H93,Resultados!Q93,Resultados!Z93)&lt;=1, "", _xlfn.STDEV.S(ABS(Resultados!H93),ABS(Resultados!Q93),ABS(Resultados!Z93))/SQRT(COUNT(Resultados!H93,Resultados!Q93,Resultados!Z93)))</f>
        <v>3.333333333333198E-5</v>
      </c>
      <c r="I93">
        <f>IF(COUNT(Resultados!I93,Resultados!R93,Resultados!AA93)&lt;=1, "", _xlfn.STDEV.S(ABS(Resultados!I93),ABS(Resultados!R93),ABS(Resultados!AA93))/SQRT(COUNT(Resultados!I93,Resultados!R93,Resultados!AA93)))</f>
        <v>7.5666666666644278E-4</v>
      </c>
    </row>
    <row r="94" spans="1:9" x14ac:dyDescent="0.3">
      <c r="A94" t="str">
        <f>IF(COUNT(Resultados!A94,Resultados!J94,Resultados!S94)&lt;=1, "", _xlfn.STDEV.S(ABS(Resultados!A94),ABS(Resultados!J94),ABS(Resultados!S94))/SQRT(COUNT(Resultados!A94,Resultados!J94,Resultados!S94)))</f>
        <v/>
      </c>
      <c r="B94" t="str">
        <f>IF(COUNT(Resultados!B94,Resultados!K94,Resultados!T94)&lt;=1, "", _xlfn.STDEV.S(ABS(Resultados!B94),ABS(Resultados!K94),ABS(Resultados!T94))/SQRT(COUNT(Resultados!B94,Resultados!K94,Resultados!T94)))</f>
        <v/>
      </c>
      <c r="C94">
        <f>IF(COUNT(Resultados!C94,Resultados!L94,Resultados!U94)&lt;=1, "", _xlfn.STDEV.S(ABS(Resultados!C94),ABS(Resultados!L94),ABS(Resultados!U94))/SQRT(COUNT(Resultados!C94,Resultados!L94,Resultados!U94)))</f>
        <v>0</v>
      </c>
      <c r="D94">
        <f>IF(COUNT(Resultados!D94,Resultados!M94,Resultados!V94)&lt;=1, "", _xlfn.STDEV.S(ABS(Resultados!D94),ABS(Resultados!M94),ABS(Resultados!V94))/SQRT(COUNT(Resultados!D94,Resultados!M94,Resultados!V94)))</f>
        <v>0</v>
      </c>
      <c r="E94">
        <f>IF(COUNT(Resultados!E94,Resultados!N94,Resultados!W94)&lt;=1, "", _xlfn.STDEV.S(ABS(Resultados!E94),ABS(Resultados!N94),ABS(Resultados!W94))/SQRT(COUNT(Resultados!E94,Resultados!N94,Resultados!W94)))</f>
        <v>1.0601367026125191E-3</v>
      </c>
      <c r="F94">
        <f>IF(COUNT(Resultados!F94,Resultados!O94,Resultados!X94)&lt;=1, "", _xlfn.STDEV.S(ABS(Resultados!F94),ABS(Resultados!O94),ABS(Resultados!X94))/SQRT(COUNT(Resultados!F94,Resultados!O94,Resultados!X94)))</f>
        <v>9.8804740683630987E-2</v>
      </c>
      <c r="G94">
        <f>IF(COUNT(Resultados!G94,Resultados!P94,Resultados!Y94)&lt;=1, "", _xlfn.STDEV.S(ABS(Resultados!G94),ABS(Resultados!P94),ABS(Resultados!Y94))/SQRT(COUNT(Resultados!G94,Resultados!P94,Resultados!Y94)))</f>
        <v>0</v>
      </c>
      <c r="H94">
        <f>IF(COUNT(Resultados!H94,Resultados!Q94,Resultados!Z94)&lt;=1, "", _xlfn.STDEV.S(ABS(Resultados!H94),ABS(Resultados!Q94),ABS(Resultados!Z94))/SQRT(COUNT(Resultados!H94,Resultados!Q94,Resultados!Z94)))</f>
        <v>0</v>
      </c>
      <c r="I94">
        <f>IF(COUNT(Resultados!I94,Resultados!R94,Resultados!AA94)&lt;=1, "", _xlfn.STDEV.S(ABS(Resultados!I94),ABS(Resultados!R94),ABS(Resultados!AA94))/SQRT(COUNT(Resultados!I94,Resultados!R94,Resultados!AA94)))</f>
        <v>2.5000000000237793E-4</v>
      </c>
    </row>
    <row r="95" spans="1:9" x14ac:dyDescent="0.3">
      <c r="A95" t="str">
        <f>IF(COUNT(Resultados!A95,Resultados!J95,Resultados!S95)&lt;=1, "", _xlfn.STDEV.S(ABS(Resultados!A95),ABS(Resultados!J95),ABS(Resultados!S95))/SQRT(COUNT(Resultados!A95,Resultados!J95,Resultados!S95)))</f>
        <v/>
      </c>
      <c r="B95" t="str">
        <f>IF(COUNT(Resultados!B95,Resultados!K95,Resultados!T95)&lt;=1, "", _xlfn.STDEV.S(ABS(Resultados!B95),ABS(Resultados!K95),ABS(Resultados!T95))/SQRT(COUNT(Resultados!B95,Resultados!K95,Resultados!T95)))</f>
        <v/>
      </c>
      <c r="C95">
        <f>IF(COUNT(Resultados!C95,Resultados!L95,Resultados!U95)&lt;=1, "", _xlfn.STDEV.S(ABS(Resultados!C95),ABS(Resultados!L95),ABS(Resultados!U95))/SQRT(COUNT(Resultados!C95,Resultados!L95,Resultados!U95)))</f>
        <v>0</v>
      </c>
      <c r="D95">
        <f>IF(COUNT(Resultados!D95,Resultados!M95,Resultados!V95)&lt;=1, "", _xlfn.STDEV.S(ABS(Resultados!D95),ABS(Resultados!M95),ABS(Resultados!V95))/SQRT(COUNT(Resultados!D95,Resultados!M95,Resultados!V95)))</f>
        <v>3.333333333333198E-5</v>
      </c>
      <c r="E95">
        <f>IF(COUNT(Resultados!E95,Resultados!N95,Resultados!W95)&lt;=1, "", _xlfn.STDEV.S(ABS(Resultados!E95),ABS(Resultados!N95),ABS(Resultados!W95))/SQRT(COUNT(Resultados!E95,Resultados!N95,Resultados!W95)))</f>
        <v>1.1479555799167951E-3</v>
      </c>
      <c r="F95">
        <f>IF(COUNT(Resultados!F95,Resultados!O95,Resultados!X95)&lt;=1, "", _xlfn.STDEV.S(ABS(Resultados!F95),ABS(Resultados!O95),ABS(Resultados!X95))/SQRT(COUNT(Resultados!F95,Resultados!O95,Resultados!X95)))</f>
        <v>0.10698946004852915</v>
      </c>
      <c r="G95">
        <f>IF(COUNT(Resultados!G95,Resultados!P95,Resultados!Y95)&lt;=1, "", _xlfn.STDEV.S(ABS(Resultados!G95),ABS(Resultados!P95),ABS(Resultados!Y95))/SQRT(COUNT(Resultados!G95,Resultados!P95,Resultados!Y95)))</f>
        <v>0</v>
      </c>
      <c r="H95">
        <f>IF(COUNT(Resultados!H95,Resultados!Q95,Resultados!Z95)&lt;=1, "", _xlfn.STDEV.S(ABS(Resultados!H95),ABS(Resultados!Q95),ABS(Resultados!Z95))/SQRT(COUNT(Resultados!H95,Resultados!Q95,Resultados!Z95)))</f>
        <v>3.333333333333429E-5</v>
      </c>
      <c r="I95">
        <f>IF(COUNT(Resultados!I95,Resultados!R95,Resultados!AA95)&lt;=1, "", _xlfn.STDEV.S(ABS(Resultados!I95),ABS(Resultados!R95),ABS(Resultados!AA95))/SQRT(COUNT(Resultados!I95,Resultados!R95,Resultados!AA95)))</f>
        <v>7.333333333410981E-5</v>
      </c>
    </row>
    <row r="96" spans="1:9" x14ac:dyDescent="0.3">
      <c r="A96" t="str">
        <f>IF(COUNT(Resultados!A96,Resultados!J96,Resultados!S96)&lt;=1, "", _xlfn.STDEV.S(ABS(Resultados!A96),ABS(Resultados!J96),ABS(Resultados!S96))/SQRT(COUNT(Resultados!A96,Resultados!J96,Resultados!S96)))</f>
        <v/>
      </c>
      <c r="B96" t="str">
        <f>IF(COUNT(Resultados!B96,Resultados!K96,Resultados!T96)&lt;=1, "", _xlfn.STDEV.S(ABS(Resultados!B96),ABS(Resultados!K96),ABS(Resultados!T96))/SQRT(COUNT(Resultados!B96,Resultados!K96,Resultados!T96)))</f>
        <v/>
      </c>
      <c r="C96">
        <f>IF(COUNT(Resultados!C96,Resultados!L96,Resultados!U96)&lt;=1, "", _xlfn.STDEV.S(ABS(Resultados!C96),ABS(Resultados!L96),ABS(Resultados!U96))/SQRT(COUNT(Resultados!C96,Resultados!L96,Resultados!U96)))</f>
        <v>0</v>
      </c>
      <c r="D96">
        <f>IF(COUNT(Resultados!D96,Resultados!M96,Resultados!V96)&lt;=1, "", _xlfn.STDEV.S(ABS(Resultados!D96),ABS(Resultados!M96),ABS(Resultados!V96))/SQRT(COUNT(Resultados!D96,Resultados!M96,Resultados!V96)))</f>
        <v>2.3333333333333311E-4</v>
      </c>
      <c r="E96">
        <f>IF(COUNT(Resultados!E96,Resultados!N96,Resultados!W96)&lt;=1, "", _xlfn.STDEV.S(ABS(Resultados!E96),ABS(Resultados!N96),ABS(Resultados!W96))/SQRT(COUNT(Resultados!E96,Resultados!N96,Resultados!W96)))</f>
        <v>2.6578261672604033E-3</v>
      </c>
      <c r="F96">
        <f>IF(COUNT(Resultados!F96,Resultados!O96,Resultados!X96)&lt;=1, "", _xlfn.STDEV.S(ABS(Resultados!F96),ABS(Resultados!O96),ABS(Resultados!X96))/SQRT(COUNT(Resultados!F96,Resultados!O96,Resultados!X96)))</f>
        <v>0.24770939878860423</v>
      </c>
      <c r="G96">
        <f>IF(COUNT(Resultados!G96,Resultados!P96,Resultados!Y96)&lt;=1, "", _xlfn.STDEV.S(ABS(Resultados!G96),ABS(Resultados!P96),ABS(Resultados!Y96))/SQRT(COUNT(Resultados!G96,Resultados!P96,Resultados!Y96)))</f>
        <v>0</v>
      </c>
      <c r="H96">
        <f>IF(COUNT(Resultados!H96,Resultados!Q96,Resultados!Z96)&lt;=1, "", _xlfn.STDEV.S(ABS(Resultados!H96),ABS(Resultados!Q96),ABS(Resultados!Z96))/SQRT(COUNT(Resultados!H96,Resultados!Q96,Resultados!Z96)))</f>
        <v>3.333333333333429E-5</v>
      </c>
      <c r="I96">
        <f>IF(COUNT(Resultados!I96,Resultados!R96,Resultados!AA96)&lt;=1, "", _xlfn.STDEV.S(ABS(Resultados!I96),ABS(Resultados!R96),ABS(Resultados!AA96))/SQRT(COUNT(Resultados!I96,Resultados!R96,Resultados!AA96)))</f>
        <v>1.083333333332585E-3</v>
      </c>
    </row>
    <row r="97" spans="1:9" x14ac:dyDescent="0.3">
      <c r="A97" t="str">
        <f>IF(COUNT(Resultados!A97,Resultados!J97,Resultados!S97)&lt;=1, "", _xlfn.STDEV.S(ABS(Resultados!A97),ABS(Resultados!J97),ABS(Resultados!S97))/SQRT(COUNT(Resultados!A97,Resultados!J97,Resultados!S97)))</f>
        <v/>
      </c>
      <c r="B97" t="str">
        <f>IF(COUNT(Resultados!B97,Resultados!K97,Resultados!T97)&lt;=1, "", _xlfn.STDEV.S(ABS(Resultados!B97),ABS(Resultados!K97),ABS(Resultados!T97))/SQRT(COUNT(Resultados!B97,Resultados!K97,Resultados!T97)))</f>
        <v/>
      </c>
      <c r="C97">
        <f>IF(COUNT(Resultados!C97,Resultados!L97,Resultados!U97)&lt;=1, "", _xlfn.STDEV.S(ABS(Resultados!C97),ABS(Resultados!L97),ABS(Resultados!U97))/SQRT(COUNT(Resultados!C97,Resultados!L97,Resultados!U97)))</f>
        <v>0</v>
      </c>
      <c r="D97">
        <f>IF(COUNT(Resultados!D97,Resultados!M97,Resultados!V97)&lt;=1, "", _xlfn.STDEV.S(ABS(Resultados!D97),ABS(Resultados!M97),ABS(Resultados!V97))/SQRT(COUNT(Resultados!D97,Resultados!M97,Resultados!V97)))</f>
        <v>1.9999999999999879E-4</v>
      </c>
      <c r="E97">
        <f>IF(COUNT(Resultados!E97,Resultados!N97,Resultados!W97)&lt;=1, "", _xlfn.STDEV.S(ABS(Resultados!E97),ABS(Resultados!N97),ABS(Resultados!W97))/SQRT(COUNT(Resultados!E97,Resultados!N97,Resultados!W97)))</f>
        <v>4.69971448333941E-3</v>
      </c>
      <c r="F97">
        <f>IF(COUNT(Resultados!F97,Resultados!O97,Resultados!X97)&lt;=1, "", _xlfn.STDEV.S(ABS(Resultados!F97),ABS(Resultados!O97),ABS(Resultados!X97))/SQRT(COUNT(Resultados!F97,Resultados!O97,Resultados!X97)))</f>
        <v>0.43801338984699661</v>
      </c>
      <c r="G97">
        <f>IF(COUNT(Resultados!G97,Resultados!P97,Resultados!Y97)&lt;=1, "", _xlfn.STDEV.S(ABS(Resultados!G97),ABS(Resultados!P97),ABS(Resultados!Y97))/SQRT(COUNT(Resultados!G97,Resultados!P97,Resultados!Y97)))</f>
        <v>0</v>
      </c>
      <c r="H97">
        <f>IF(COUNT(Resultados!H97,Resultados!Q97,Resultados!Z97)&lt;=1, "", _xlfn.STDEV.S(ABS(Resultados!H97),ABS(Resultados!Q97),ABS(Resultados!Z97))/SQRT(COUNT(Resultados!H97,Resultados!Q97,Resultados!Z97)))</f>
        <v>5.7735026918962233E-5</v>
      </c>
      <c r="I97">
        <f>IF(COUNT(Resultados!I97,Resultados!R97,Resultados!AA97)&lt;=1, "", _xlfn.STDEV.S(ABS(Resultados!I97),ABS(Resultados!R97),ABS(Resultados!AA97))/SQRT(COUNT(Resultados!I97,Resultados!R97,Resultados!AA97)))</f>
        <v>2.0299999999989402E-3</v>
      </c>
    </row>
    <row r="98" spans="1:9" x14ac:dyDescent="0.3">
      <c r="A98" t="str">
        <f>IF(COUNT(Resultados!A98,Resultados!J98,Resultados!S98)&lt;=1, "", _xlfn.STDEV.S(ABS(Resultados!A98),ABS(Resultados!J98),ABS(Resultados!S98))/SQRT(COUNT(Resultados!A98,Resultados!J98,Resultados!S98)))</f>
        <v/>
      </c>
      <c r="B98" t="str">
        <f>IF(COUNT(Resultados!B98,Resultados!K98,Resultados!T98)&lt;=1, "", _xlfn.STDEV.S(ABS(Resultados!B98),ABS(Resultados!K98),ABS(Resultados!T98))/SQRT(COUNT(Resultados!B98,Resultados!K98,Resultados!T98)))</f>
        <v/>
      </c>
      <c r="C98">
        <f>IF(COUNT(Resultados!C98,Resultados!L98,Resultados!U98)&lt;=1, "", _xlfn.STDEV.S(ABS(Resultados!C98),ABS(Resultados!L98),ABS(Resultados!U98))/SQRT(COUNT(Resultados!C98,Resultados!L98,Resultados!U98)))</f>
        <v>0</v>
      </c>
      <c r="D98">
        <f>IF(COUNT(Resultados!D98,Resultados!M98,Resultados!V98)&lt;=1, "", _xlfn.STDEV.S(ABS(Resultados!D98),ABS(Resultados!M98),ABS(Resultados!V98))/SQRT(COUNT(Resultados!D98,Resultados!M98,Resultados!V98)))</f>
        <v>1.732050807568887E-4</v>
      </c>
      <c r="E98">
        <f>IF(COUNT(Resultados!E98,Resultados!N98,Resultados!W98)&lt;=1, "", _xlfn.STDEV.S(ABS(Resultados!E98),ABS(Resultados!N98),ABS(Resultados!W98))/SQRT(COUNT(Resultados!E98,Resultados!N98,Resultados!W98)))</f>
        <v>6.5280234541562577E-3</v>
      </c>
      <c r="F98">
        <f>IF(COUNT(Resultados!F98,Resultados!O98,Resultados!X98)&lt;=1, "", _xlfn.STDEV.S(ABS(Resultados!F98),ABS(Resultados!O98),ABS(Resultados!X98))/SQRT(COUNT(Resultados!F98,Resultados!O98,Resultados!X98)))</f>
        <v>0.60841178592750556</v>
      </c>
      <c r="G98">
        <f>IF(COUNT(Resultados!G98,Resultados!P98,Resultados!Y98)&lt;=1, "", _xlfn.STDEV.S(ABS(Resultados!G98),ABS(Resultados!P98),ABS(Resultados!Y98))/SQRT(COUNT(Resultados!G98,Resultados!P98,Resultados!Y98)))</f>
        <v>0</v>
      </c>
      <c r="H98">
        <f>IF(COUNT(Resultados!H98,Resultados!Q98,Resultados!Z98)&lt;=1, "", _xlfn.STDEV.S(ABS(Resultados!H98),ABS(Resultados!Q98),ABS(Resultados!Z98))/SQRT(COUNT(Resultados!H98,Resultados!Q98,Resultados!Z98)))</f>
        <v>8.8191710368820241E-5</v>
      </c>
      <c r="I98">
        <f>IF(COUNT(Resultados!I98,Resultados!R98,Resultados!AA98)&lt;=1, "", _xlfn.STDEV.S(ABS(Resultados!I98),ABS(Resultados!R98),ABS(Resultados!AA98))/SQRT(COUNT(Resultados!I98,Resultados!R98,Resultados!AA98)))</f>
        <v>2.7633333333329326E-3</v>
      </c>
    </row>
    <row r="99" spans="1:9" x14ac:dyDescent="0.3">
      <c r="A99" t="str">
        <f>IF(COUNT(Resultados!A99,Resultados!J99,Resultados!S99)&lt;=1, "", _xlfn.STDEV.S(ABS(Resultados!A99),ABS(Resultados!J99),ABS(Resultados!S99))/SQRT(COUNT(Resultados!A99,Resultados!J99,Resultados!S99)))</f>
        <v/>
      </c>
      <c r="B99" t="str">
        <f>IF(COUNT(Resultados!B99,Resultados!K99,Resultados!T99)&lt;=1, "", _xlfn.STDEV.S(ABS(Resultados!B99),ABS(Resultados!K99),ABS(Resultados!T99))/SQRT(COUNT(Resultados!B99,Resultados!K99,Resultados!T99)))</f>
        <v/>
      </c>
      <c r="C99">
        <f>IF(COUNT(Resultados!C99,Resultados!L99,Resultados!U99)&lt;=1, "", _xlfn.STDEV.S(ABS(Resultados!C99),ABS(Resultados!L99),ABS(Resultados!U99))/SQRT(COUNT(Resultados!C99,Resultados!L99,Resultados!U99)))</f>
        <v>0</v>
      </c>
      <c r="D99">
        <f>IF(COUNT(Resultados!D99,Resultados!M99,Resultados!V99)&lt;=1, "", _xlfn.STDEV.S(ABS(Resultados!D99),ABS(Resultados!M99),ABS(Resultados!V99))/SQRT(COUNT(Resultados!D99,Resultados!M99,Resultados!V99)))</f>
        <v>1.527525231651949E-4</v>
      </c>
      <c r="E99">
        <f>IF(COUNT(Resultados!E99,Resultados!N99,Resultados!W99)&lt;=1, "", _xlfn.STDEV.S(ABS(Resultados!E99),ABS(Resultados!N99),ABS(Resultados!W99))/SQRT(COUNT(Resultados!E99,Resultados!N99,Resultados!W99)))</f>
        <v>1.9753799541805004E-3</v>
      </c>
      <c r="F99">
        <f>IF(COUNT(Resultados!F99,Resultados!O99,Resultados!X99)&lt;=1, "", _xlfn.STDEV.S(ABS(Resultados!F99),ABS(Resultados!O99),ABS(Resultados!X99))/SQRT(COUNT(Resultados!F99,Resultados!O99,Resultados!X99)))</f>
        <v>0.18410541172924133</v>
      </c>
      <c r="G99">
        <f>IF(COUNT(Resultados!G99,Resultados!P99,Resultados!Y99)&lt;=1, "", _xlfn.STDEV.S(ABS(Resultados!G99),ABS(Resultados!P99),ABS(Resultados!Y99))/SQRT(COUNT(Resultados!G99,Resultados!P99,Resultados!Y99)))</f>
        <v>0</v>
      </c>
      <c r="H99">
        <f>IF(COUNT(Resultados!H99,Resultados!Q99,Resultados!Z99)&lt;=1, "", _xlfn.STDEV.S(ABS(Resultados!H99),ABS(Resultados!Q99),ABS(Resultados!Z99))/SQRT(COUNT(Resultados!H99,Resultados!Q99,Resultados!Z99)))</f>
        <v>3.3333333333333132E-5</v>
      </c>
      <c r="I99">
        <f>IF(COUNT(Resultados!I99,Resultados!R99,Resultados!AA99)&lt;=1, "", _xlfn.STDEV.S(ABS(Resultados!I99),ABS(Resultados!R99),ABS(Resultados!AA99))/SQRT(COUNT(Resultados!I99,Resultados!R99,Resultados!AA99)))</f>
        <v>5.2666666666686035E-4</v>
      </c>
    </row>
    <row r="100" spans="1:9" x14ac:dyDescent="0.3">
      <c r="A100" t="str">
        <f>IF(COUNT(Resultados!A100,Resultados!J100,Resultados!S100)&lt;=1, "", _xlfn.STDEV.S(ABS(Resultados!A100),ABS(Resultados!J100),ABS(Resultados!S100))/SQRT(COUNT(Resultados!A100,Resultados!J100,Resultados!S100)))</f>
        <v/>
      </c>
      <c r="B100" t="str">
        <f>IF(COUNT(Resultados!B100,Resultados!K100,Resultados!T100)&lt;=1, "", _xlfn.STDEV.S(ABS(Resultados!B100),ABS(Resultados!K100),ABS(Resultados!T100))/SQRT(COUNT(Resultados!B100,Resultados!K100,Resultados!T100)))</f>
        <v/>
      </c>
      <c r="C100">
        <f>IF(COUNT(Resultados!C100,Resultados!L100,Resultados!U100)&lt;=1, "", _xlfn.STDEV.S(ABS(Resultados!C100),ABS(Resultados!L100),ABS(Resultados!U100))/SQRT(COUNT(Resultados!C100,Resultados!L100,Resultados!U100)))</f>
        <v>0</v>
      </c>
      <c r="D100">
        <f>IF(COUNT(Resultados!D100,Resultados!M100,Resultados!V100)&lt;=1, "", _xlfn.STDEV.S(ABS(Resultados!D100),ABS(Resultados!M100),ABS(Resultados!V100))/SQRT(COUNT(Resultados!D100,Resultados!M100,Resultados!V100)))</f>
        <v>5.7735026918962233E-5</v>
      </c>
      <c r="E100">
        <f>IF(COUNT(Resultados!E100,Resultados!N100,Resultados!W100)&lt;=1, "", _xlfn.STDEV.S(ABS(Resultados!E100),ABS(Resultados!N100),ABS(Resultados!W100))/SQRT(COUNT(Resultados!E100,Resultados!N100,Resultados!W100)))</f>
        <v>1.8132052077921245E-3</v>
      </c>
      <c r="F100">
        <f>IF(COUNT(Resultados!F100,Resultados!O100,Resultados!X100)&lt;=1, "", _xlfn.STDEV.S(ABS(Resultados!F100),ABS(Resultados!O100),ABS(Resultados!X100))/SQRT(COUNT(Resultados!F100,Resultados!O100,Resultados!X100)))</f>
        <v>0.16899072536663698</v>
      </c>
      <c r="G100">
        <f>IF(COUNT(Resultados!G100,Resultados!P100,Resultados!Y100)&lt;=1, "", _xlfn.STDEV.S(ABS(Resultados!G100),ABS(Resultados!P100),ABS(Resultados!Y100))/SQRT(COUNT(Resultados!G100,Resultados!P100,Resultados!Y100)))</f>
        <v>0</v>
      </c>
      <c r="H100">
        <f>IF(COUNT(Resultados!H100,Resultados!Q100,Resultados!Z100)&lt;=1, "", _xlfn.STDEV.S(ABS(Resultados!H100),ABS(Resultados!Q100),ABS(Resultados!Z100))/SQRT(COUNT(Resultados!H100,Resultados!Q100,Resultados!Z100)))</f>
        <v>3.3333333333333423E-5</v>
      </c>
      <c r="I100">
        <f>IF(COUNT(Resultados!I100,Resultados!R100,Resultados!AA100)&lt;=1, "", _xlfn.STDEV.S(ABS(Resultados!I100),ABS(Resultados!R100),ABS(Resultados!AA100))/SQRT(COUNT(Resultados!I100,Resultados!R100,Resultados!AA100)))</f>
        <v>1.1366666666662677E-3</v>
      </c>
    </row>
    <row r="101" spans="1:9" x14ac:dyDescent="0.3">
      <c r="A101" t="str">
        <f>IF(COUNT(Resultados!A101,Resultados!J101,Resultados!S101)&lt;=1, "", _xlfn.STDEV.S(ABS(Resultados!A101),ABS(Resultados!J101),ABS(Resultados!S101))/SQRT(COUNT(Resultados!A101,Resultados!J101,Resultados!S101)))</f>
        <v/>
      </c>
      <c r="B101" t="str">
        <f>IF(COUNT(Resultados!B101,Resultados!K101,Resultados!T101)&lt;=1, "", _xlfn.STDEV.S(ABS(Resultados!B101),ABS(Resultados!K101),ABS(Resultados!T101))/SQRT(COUNT(Resultados!B101,Resultados!K101,Resultados!T101)))</f>
        <v/>
      </c>
      <c r="C101">
        <f>IF(COUNT(Resultados!C101,Resultados!L101,Resultados!U101)&lt;=1, "", _xlfn.STDEV.S(ABS(Resultados!C101),ABS(Resultados!L101),ABS(Resultados!U101))/SQRT(COUNT(Resultados!C101,Resultados!L101,Resultados!U101)))</f>
        <v>0</v>
      </c>
      <c r="D101">
        <f>IF(COUNT(Resultados!D101,Resultados!M101,Resultados!V101)&lt;=1, "", _xlfn.STDEV.S(ABS(Resultados!D101),ABS(Resultados!M101),ABS(Resultados!V101))/SQRT(COUNT(Resultados!D101,Resultados!M101,Resultados!V101)))</f>
        <v>3.6666666666666683E-4</v>
      </c>
      <c r="E101">
        <f>IF(COUNT(Resultados!E101,Resultados!N101,Resultados!W101)&lt;=1, "", _xlfn.STDEV.S(ABS(Resultados!E101),ABS(Resultados!N101),ABS(Resultados!W101))/SQRT(COUNT(Resultados!E101,Resultados!N101,Resultados!W101)))</f>
        <v>2.7373047375454945E-4</v>
      </c>
      <c r="F101">
        <f>IF(COUNT(Resultados!F101,Resultados!O101,Resultados!X101)&lt;=1, "", _xlfn.STDEV.S(ABS(Resultados!F101),ABS(Resultados!O101),ABS(Resultados!X101))/SQRT(COUNT(Resultados!F101,Resultados!O101,Resultados!X101)))</f>
        <v>2.5511680153901286E-2</v>
      </c>
      <c r="G101">
        <f>IF(COUNT(Resultados!G101,Resultados!P101,Resultados!Y101)&lt;=1, "", _xlfn.STDEV.S(ABS(Resultados!G101),ABS(Resultados!P101),ABS(Resultados!Y101))/SQRT(COUNT(Resultados!G101,Resultados!P101,Resultados!Y101)))</f>
        <v>0</v>
      </c>
      <c r="H101">
        <f>IF(COUNT(Resultados!H101,Resultados!Q101,Resultados!Z101)&lt;=1, "", _xlfn.STDEV.S(ABS(Resultados!H101),ABS(Resultados!Q101),ABS(Resultados!Z101))/SQRT(COUNT(Resultados!H101,Resultados!Q101,Resultados!Z101)))</f>
        <v>1.5332934166833739E-19</v>
      </c>
      <c r="I101">
        <f>IF(COUNT(Resultados!I101,Resultados!R101,Resultados!AA101)&lt;=1, "", _xlfn.STDEV.S(ABS(Resultados!I101),ABS(Resultados!R101),ABS(Resultados!AA101))/SQRT(COUNT(Resultados!I101,Resultados!R101,Resultados!AA101)))</f>
        <v>3.766666666666178E-4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2025-04-21T01:53:35Z</dcterms:modified>
</cp:coreProperties>
</file>