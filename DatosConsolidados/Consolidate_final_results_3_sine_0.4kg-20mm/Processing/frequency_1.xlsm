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3_sine\Processing\"/>
    </mc:Choice>
  </mc:AlternateContent>
  <xr:revisionPtr revIDLastSave="0" documentId="13_ncr:1_{CC3AEAF5-2D39-41DB-8877-EF9329F71DD1}" xr6:coauthVersionLast="47" xr6:coauthVersionMax="47" xr10:uidLastSave="{00000000-0000-0000-0000-000000000000}"/>
  <bookViews>
    <workbookView xWindow="-108" yWindow="-108" windowWidth="23256" windowHeight="12456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7" i="16" l="1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<sst xmlns="http://schemas.openxmlformats.org/spreadsheetml/2006/main" count="5697" uniqueCount="2046">
  <si>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</si>
  <si>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</si>
  <si>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</si>
  <si>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</si>
  <si>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</si>
  <si>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</si>
  <si>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</si>
  <si>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</si>
  <si>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</si>
  <si>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</si>
  <si>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</si>
  <si>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</si>
  <si>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</si>
  <si>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</si>
  <si>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</si>
  <si>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</si>
  <si>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</si>
  <si>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</si>
  <si>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</si>
  <si>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</si>
  <si>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</si>
  <si>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</si>
  <si>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</si>
  <si>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</si>
  <si>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</si>
  <si>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</si>
  <si>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</si>
  <si>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</si>
  <si>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</si>
  <si>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</si>
  <si>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</si>
  <si>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</si>
  <si>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</si>
  <si>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</si>
  <si>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</si>
  <si>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</si>
  <si>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</si>
  <si>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</si>
  <si>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</si>
  <si>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</si>
  <si>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</si>
  <si>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</si>
  <si>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</si>
  <si>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</si>
  <si>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</si>
  <si>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</si>
  <si>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</si>
  <si>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</si>
  <si>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</si>
  <si>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</si>
  <si>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</si>
  <si>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</si>
  <si>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</si>
  <si>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</si>
  <si>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</si>
  <si>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</si>
  <si>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</si>
  <si>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</si>
  <si>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</si>
  <si>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</si>
  <si>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</si>
  <si>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</si>
  <si>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</si>
  <si>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</si>
  <si>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</si>
  <si>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</si>
  <si>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</si>
  <si>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</si>
  <si>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</si>
  <si>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</si>
  <si>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</si>
  <si>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</si>
  <si>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</si>
  <si>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</si>
  <si>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</si>
  <si>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</si>
  <si>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</si>
  <si>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</si>
  <si>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</si>
  <si>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</si>
  <si>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</si>
  <si>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</si>
  <si>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</si>
  <si>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</si>
  <si>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</si>
  <si>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</si>
  <si>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</si>
  <si>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</si>
  <si>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</si>
  <si>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</si>
  <si>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</si>
  <si>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</si>
  <si>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</si>
  <si>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</si>
  <si>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</si>
  <si>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</si>
  <si>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</si>
  <si>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</si>
  <si>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</si>
  <si>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</si>
  <si>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Date_Seg11</t>
  </si>
  <si>
    <t>Date_Seg12</t>
  </si>
  <si>
    <t>Date_Seg13</t>
  </si>
  <si>
    <t>Time_Seg11</t>
  </si>
  <si>
    <t>Time_Seg12</t>
  </si>
  <si>
    <t>Time_Seg13</t>
  </si>
  <si>
    <t>Test_ID_Seg11</t>
  </si>
  <si>
    <t>Test_ID_Seg12</t>
  </si>
  <si>
    <t>Test_ID_Seg13</t>
  </si>
  <si>
    <t>Experimental_Seg11</t>
  </si>
  <si>
    <t>Experimental_Seg12</t>
  </si>
  <si>
    <t>Experimental_Seg13</t>
  </si>
  <si>
    <t>Pressure_Seg11</t>
  </si>
  <si>
    <t>Pressure_Seg12</t>
  </si>
  <si>
    <t>Pressure_Seg13</t>
  </si>
  <si>
    <t>dac_bits_Seg11</t>
  </si>
  <si>
    <t>dac_bits_Seg12</t>
  </si>
  <si>
    <t>dac_bits_Seg13</t>
  </si>
  <si>
    <t>mass_Seg11</t>
  </si>
  <si>
    <t>mass_Seg12</t>
  </si>
  <si>
    <t>mass_Seg13</t>
  </si>
  <si>
    <t>slide_Seg11</t>
  </si>
  <si>
    <t>slide_Seg12</t>
  </si>
  <si>
    <t>slide_Seg13</t>
  </si>
  <si>
    <t>time_Seg11</t>
  </si>
  <si>
    <t>time_Seg12</t>
  </si>
  <si>
    <t>time_Seg13</t>
  </si>
  <si>
    <t>21:34:12:093</t>
  </si>
  <si>
    <t>21:34:13:660</t>
  </si>
  <si>
    <t>21:34:13:861</t>
  </si>
  <si>
    <t>21:34:14:062</t>
  </si>
  <si>
    <t>21:34:14:264</t>
  </si>
  <si>
    <t>21:34:14:470</t>
  </si>
  <si>
    <t>21:34:14:674</t>
  </si>
  <si>
    <t>21:34:14:862</t>
  </si>
  <si>
    <t>21:34:15:064</t>
  </si>
  <si>
    <t>21:34:15:267</t>
  </si>
  <si>
    <t>21:34:15:467</t>
  </si>
  <si>
    <t>21:34:15:659</t>
  </si>
  <si>
    <t>21:34:15:865</t>
  </si>
  <si>
    <t>21:34:16:061</t>
  </si>
  <si>
    <t>21:34:16:287</t>
  </si>
  <si>
    <t>21:34:16:467</t>
  </si>
  <si>
    <t>21:34:16:661</t>
  </si>
  <si>
    <t>21:34:16:877</t>
  </si>
  <si>
    <t>21:34:17:068</t>
  </si>
  <si>
    <t>21:34:17:259</t>
  </si>
  <si>
    <t>21:34:17:463</t>
  </si>
  <si>
    <t>21:34:17:665</t>
  </si>
  <si>
    <t>21:34:17:968</t>
  </si>
  <si>
    <t>21:34:18:065</t>
  </si>
  <si>
    <t>21:34:18:264</t>
  </si>
  <si>
    <t>21:34:18:463</t>
  </si>
  <si>
    <t>21:34:18:667</t>
  </si>
  <si>
    <t>21:34:18:881</t>
  </si>
  <si>
    <t>21:34:19:094</t>
  </si>
  <si>
    <t>21:34:19:263</t>
  </si>
  <si>
    <t>21:34:19:463</t>
  </si>
  <si>
    <t>21:34:19:664</t>
  </si>
  <si>
    <t>21:34:19:864</t>
  </si>
  <si>
    <t>21:34:20:063</t>
  </si>
  <si>
    <t>21:34:20:264</t>
  </si>
  <si>
    <t>21:34:20:479</t>
  </si>
  <si>
    <t>21:34:20:663</t>
  </si>
  <si>
    <t>21:34:20:864</t>
  </si>
  <si>
    <t>21:34:21:064</t>
  </si>
  <si>
    <t>21:34:21:260</t>
  </si>
  <si>
    <t>21:34:21:497</t>
  </si>
  <si>
    <t>21:34:21:678</t>
  </si>
  <si>
    <t>21:34:21:866</t>
  </si>
  <si>
    <t>21:34:22:065</t>
  </si>
  <si>
    <t>21:34:22:260</t>
  </si>
  <si>
    <t>21:34:22:463</t>
  </si>
  <si>
    <t>21:34:22:697</t>
  </si>
  <si>
    <t>21:34:22:877</t>
  </si>
  <si>
    <t>21:34:23:069</t>
  </si>
  <si>
    <t>21:34:23:306</t>
  </si>
  <si>
    <t>21:34:23:480</t>
  </si>
  <si>
    <t>21:34:23:663</t>
  </si>
  <si>
    <t>21:34:23:862</t>
  </si>
  <si>
    <t>21:34:24:062</t>
  </si>
  <si>
    <t>21:34:24:260</t>
  </si>
  <si>
    <t>21:34:24:497</t>
  </si>
  <si>
    <t>21:34:24:677</t>
  </si>
  <si>
    <t>21:34:24:863</t>
  </si>
  <si>
    <t>21:34:25:064</t>
  </si>
  <si>
    <t>21:34:25:278</t>
  </si>
  <si>
    <t>21:34:25:464</t>
  </si>
  <si>
    <t>21:34:25:662</t>
  </si>
  <si>
    <t>21:34:25:862</t>
  </si>
  <si>
    <t>21:34:26:066</t>
  </si>
  <si>
    <t>21:34:26:264</t>
  </si>
  <si>
    <t>21:34:26:477</t>
  </si>
  <si>
    <t>21:34:26:665</t>
  </si>
  <si>
    <t>21:34:26:868</t>
  </si>
  <si>
    <t>21:34:27:065</t>
  </si>
  <si>
    <t>21:34:27:266</t>
  </si>
  <si>
    <t>21:34:27:473</t>
  </si>
  <si>
    <t>21:34:27:679</t>
  </si>
  <si>
    <t>21:34:27:864</t>
  </si>
  <si>
    <t>21:34:28:063</t>
  </si>
  <si>
    <t>21:34:28:260</t>
  </si>
  <si>
    <t>21:34:28:463</t>
  </si>
  <si>
    <t>21:34:28:662</t>
  </si>
  <si>
    <t>21:34:28:879</t>
  </si>
  <si>
    <t>21:34:29:069</t>
  </si>
  <si>
    <t>21:34:29:260</t>
  </si>
  <si>
    <t>21:34:29:478</t>
  </si>
  <si>
    <t>21:34:29:664</t>
  </si>
  <si>
    <t>21:34:29:859</t>
  </si>
  <si>
    <t>21:34:30:060</t>
  </si>
  <si>
    <t>21:34:30:312</t>
  </si>
  <si>
    <t>21:34:30:460</t>
  </si>
  <si>
    <t>21:34:30:663</t>
  </si>
  <si>
    <t>21:34:30:864</t>
  </si>
  <si>
    <t>21:34:31:082</t>
  </si>
  <si>
    <t>21:34:31:263</t>
  </si>
  <si>
    <t>21:34:31:467</t>
  </si>
  <si>
    <t>21:34:31:673</t>
  </si>
  <si>
    <t>21:34:31:877</t>
  </si>
  <si>
    <t>21:34:32:064</t>
  </si>
  <si>
    <t>21:34:32:263</t>
  </si>
  <si>
    <t>21:34:32:464</t>
  </si>
  <si>
    <t>21:34:32:664</t>
  </si>
  <si>
    <t>21:34:32:864</t>
  </si>
  <si>
    <t>21:34:33:077</t>
  </si>
  <si>
    <t>21:34:33:263</t>
  </si>
  <si>
    <t>21:34:33:464</t>
  </si>
  <si>
    <t>21:34:33:667</t>
  </si>
  <si>
    <t>21:34:33:860</t>
  </si>
  <si>
    <t>21:34:34:060</t>
  </si>
  <si>
    <t>21:34:34:265</t>
  </si>
  <si>
    <t>21:34:34:462</t>
  </si>
  <si>
    <t>21:34:34:664</t>
  </si>
  <si>
    <t>21:34:34:877</t>
  </si>
  <si>
    <t>21:34:35:060</t>
  </si>
  <si>
    <t>21:34:35:263</t>
  </si>
  <si>
    <t>21:34:35:489</t>
  </si>
  <si>
    <t>21:34:35:673</t>
  </si>
  <si>
    <t>21:34:35:865</t>
  </si>
  <si>
    <t>21:34:36:073</t>
  </si>
  <si>
    <t>21:34:36:262</t>
  </si>
  <si>
    <t>21:34:36:464</t>
  </si>
  <si>
    <t>21:34:36:690</t>
  </si>
  <si>
    <t>21:34:36:863</t>
  </si>
  <si>
    <t>21:34:37:060</t>
  </si>
  <si>
    <t>21:34:37:274</t>
  </si>
  <si>
    <t>21:34:37:464</t>
  </si>
  <si>
    <t>21:34:37:663</t>
  </si>
  <si>
    <t>21:34:37:864</t>
  </si>
  <si>
    <t>21:34:38:064</t>
  </si>
  <si>
    <t>21:34:38:264</t>
  </si>
  <si>
    <t>21:34:38:468</t>
  </si>
  <si>
    <t>21:34:38:663</t>
  </si>
  <si>
    <t>21:34:38:861</t>
  </si>
  <si>
    <t>21:34:39:060</t>
  </si>
  <si>
    <t>21:34:39:264</t>
  </si>
  <si>
    <t>21:34:39:464</t>
  </si>
  <si>
    <t>21:34:39:661</t>
  </si>
  <si>
    <t>21:34:39:864</t>
  </si>
  <si>
    <t>21:34:40:067</t>
  </si>
  <si>
    <t>21:34:40:275</t>
  </si>
  <si>
    <t>21:34:40:478</t>
  </si>
  <si>
    <t>21:34:40:661</t>
  </si>
  <si>
    <t>21:34:40:890</t>
  </si>
  <si>
    <t>21:34:41:064</t>
  </si>
  <si>
    <t>21:34:41:264</t>
  </si>
  <si>
    <t>21:34:41:464</t>
  </si>
  <si>
    <t>21:34:41:664</t>
  </si>
  <si>
    <t>21:34:41:900</t>
  </si>
  <si>
    <t>21:34:42:078</t>
  </si>
  <si>
    <t>21:34:42:265</t>
  </si>
  <si>
    <t>21:34:42:460</t>
  </si>
  <si>
    <t>21:34:42:660</t>
  </si>
  <si>
    <t>21:34:42:863</t>
  </si>
  <si>
    <t>21:34:43:061</t>
  </si>
  <si>
    <t>21:34:43:277</t>
  </si>
  <si>
    <t>21:34:43:464</t>
  </si>
  <si>
    <t>21:34:43:727</t>
  </si>
  <si>
    <t>21:34:43:866</t>
  </si>
  <si>
    <t>21:34:44:063</t>
  </si>
  <si>
    <t>21:34:44:264</t>
  </si>
  <si>
    <t>21:34:44:503</t>
  </si>
  <si>
    <t>21:34:44:677</t>
  </si>
  <si>
    <t>21:34:44:865</t>
  </si>
  <si>
    <t>21:34:45:078</t>
  </si>
  <si>
    <t>21:34:45:265</t>
  </si>
  <si>
    <t>21:34:45:469</t>
  </si>
  <si>
    <t>21:34:45:668</t>
  </si>
  <si>
    <t>21:34:45:859</t>
  </si>
  <si>
    <t>21:34:46:061</t>
  </si>
  <si>
    <t>21:34:46:265</t>
  </si>
  <si>
    <t>21:34:46:466</t>
  </si>
  <si>
    <t>21:34:46:664</t>
  </si>
  <si>
    <t>21:34:46:864</t>
  </si>
  <si>
    <t>21:34:47:061</t>
  </si>
  <si>
    <t>21:34:47:264</t>
  </si>
  <si>
    <t>21:34:47:464</t>
  </si>
  <si>
    <t>21:34:47:660</t>
  </si>
  <si>
    <t>21:34:47:861</t>
  </si>
  <si>
    <t>21:34:48:080</t>
  </si>
  <si>
    <t>21:34:48:268</t>
  </si>
  <si>
    <t>21:34:48:466</t>
  </si>
  <si>
    <t>21:34:48:671</t>
  </si>
  <si>
    <t>21:34:48:866</t>
  </si>
  <si>
    <t>21:34:49:063</t>
  </si>
  <si>
    <t>21:34:49:262</t>
  </si>
  <si>
    <t>21:34:49:465</t>
  </si>
  <si>
    <t>21:34:49:663</t>
  </si>
  <si>
    <t>21:34:49:862</t>
  </si>
  <si>
    <t>21:34:50:062</t>
  </si>
  <si>
    <t>21:34:50:263</t>
  </si>
  <si>
    <t>21:34:50:477</t>
  </si>
  <si>
    <t>21:34:50:664</t>
  </si>
  <si>
    <t>21:34:50:864</t>
  </si>
  <si>
    <t>21:34:51:066</t>
  </si>
  <si>
    <t>21:34:51:264</t>
  </si>
  <si>
    <t>21:34:51:466</t>
  </si>
  <si>
    <t>21:34:51:661</t>
  </si>
  <si>
    <t>21:34:51:864</t>
  </si>
  <si>
    <t>21:34:52:065</t>
  </si>
  <si>
    <t>21:34:52:262</t>
  </si>
  <si>
    <t>21:34:52:461</t>
  </si>
  <si>
    <t>21:34:52:666</t>
  </si>
  <si>
    <t>21:34:52:870</t>
  </si>
  <si>
    <t>21:34:53:067</t>
  </si>
  <si>
    <t>21:34:53:278</t>
  </si>
  <si>
    <t>21:34:53:464</t>
  </si>
  <si>
    <t>21:34:53:665</t>
  </si>
  <si>
    <t>21:34:53:864</t>
  </si>
  <si>
    <t>21:34:54:064</t>
  </si>
  <si>
    <t>21:34:54:265</t>
  </si>
  <si>
    <t>21:34:54:557</t>
  </si>
  <si>
    <t>21:34:54:737</t>
  </si>
  <si>
    <t>21:34:54:880</t>
  </si>
  <si>
    <t>21:34:55:065</t>
  </si>
  <si>
    <t>21:34:55:262</t>
  </si>
  <si>
    <t>21:34:55:475</t>
  </si>
  <si>
    <t>21:34:55:662</t>
  </si>
  <si>
    <t>21:34:55:864</t>
  </si>
  <si>
    <t>21:34:56:064</t>
  </si>
  <si>
    <t>21:34:56:263</t>
  </si>
  <si>
    <t>21:34:56:465</t>
  </si>
  <si>
    <t>21:34:56:662</t>
  </si>
  <si>
    <t>21:34:56:863</t>
  </si>
  <si>
    <t>21:34:57:068</t>
  </si>
  <si>
    <t>21:34:57:273</t>
  </si>
  <si>
    <t>21:34:57:478</t>
  </si>
  <si>
    <t>21:34:57:667</t>
  </si>
  <si>
    <t>21:34:57:865</t>
  </si>
  <si>
    <t>21:34:58:075</t>
  </si>
  <si>
    <t>21:34:58:263</t>
  </si>
  <si>
    <t>21:34:58:468</t>
  </si>
  <si>
    <t>21:34:58:666</t>
  </si>
  <si>
    <t>21:34:58:867</t>
  </si>
  <si>
    <t>21:34:59:066</t>
  </si>
  <si>
    <t>21:34:59:299</t>
  </si>
  <si>
    <t>21:34:59:464</t>
  </si>
  <si>
    <t>21:34:59:664</t>
  </si>
  <si>
    <t>21:34:59:865</t>
  </si>
  <si>
    <t>21:35:00:060</t>
  </si>
  <si>
    <t>21:35:00:263</t>
  </si>
  <si>
    <t>21:35:00:467</t>
  </si>
  <si>
    <t>21:35:00:661</t>
  </si>
  <si>
    <t>21:35:01:655</t>
  </si>
  <si>
    <t>21:35:01:726</t>
  </si>
  <si>
    <t>21:35:01:787</t>
  </si>
  <si>
    <t>21:35:01:844</t>
  </si>
  <si>
    <t>21:35:01:912</t>
  </si>
  <si>
    <t>21:35:01:971</t>
  </si>
  <si>
    <t>21:35:02:061</t>
  </si>
  <si>
    <t>21:35:02:267</t>
  </si>
  <si>
    <t>21:35:02:466</t>
  </si>
  <si>
    <t>21:35:02:665</t>
  </si>
  <si>
    <t>21:35:02:899</t>
  </si>
  <si>
    <t>21:35:03:065</t>
  </si>
  <si>
    <t>21:35:03:264</t>
  </si>
  <si>
    <t>21:35:03:465</t>
  </si>
  <si>
    <t>21:35:03:667</t>
  </si>
  <si>
    <t>21:35:03:865</t>
  </si>
  <si>
    <t>21:35:04:098</t>
  </si>
  <si>
    <t>21:35:04:263</t>
  </si>
  <si>
    <t>21:35:04:467</t>
  </si>
  <si>
    <t>21:35:04:674</t>
  </si>
  <si>
    <t>21:35:04:867</t>
  </si>
  <si>
    <t>21:35:05:066</t>
  </si>
  <si>
    <t>21:35:05:266</t>
  </si>
  <si>
    <t>21:35:05:478</t>
  </si>
  <si>
    <t>21:35:05:671</t>
  </si>
  <si>
    <t>21:35:05:911</t>
  </si>
  <si>
    <t>21:35:06:083</t>
  </si>
  <si>
    <t>21:35:06:262</t>
  </si>
  <si>
    <t>21:35:06:462</t>
  </si>
  <si>
    <t>21:35:06:678</t>
  </si>
  <si>
    <t>21:35:06:865</t>
  </si>
  <si>
    <t>21:35:07:067</t>
  </si>
  <si>
    <t>21:35:07:266</t>
  </si>
  <si>
    <t>21:35:07:471</t>
  </si>
  <si>
    <t>21:35:07:666</t>
  </si>
  <si>
    <t>21:35:07:902</t>
  </si>
  <si>
    <t>21:35:08:063</t>
  </si>
  <si>
    <t>21:35:08:261</t>
  </si>
  <si>
    <t>21:35:08:465</t>
  </si>
  <si>
    <t>21:35:08:666</t>
  </si>
  <si>
    <t>21:35:08:898</t>
  </si>
  <si>
    <t>21:35:09:067</t>
  </si>
  <si>
    <t>21:35:09:267</t>
  </si>
  <si>
    <t>21:35:09:462</t>
  </si>
  <si>
    <t>21:35:09:666</t>
  </si>
  <si>
    <t>21:35:09:869</t>
  </si>
  <si>
    <t>21:35:10:177</t>
  </si>
  <si>
    <t>21:35:10:282</t>
  </si>
  <si>
    <t>21:35:10:462</t>
  </si>
  <si>
    <t>21:35:10:671</t>
  </si>
  <si>
    <t>21:35:10:866</t>
  </si>
  <si>
    <t>21:35:11:064</t>
  </si>
  <si>
    <t>21:35:11:264</t>
  </si>
  <si>
    <t>21:35:11:466</t>
  </si>
  <si>
    <t>21:35:11:666</t>
  </si>
  <si>
    <t>21:35:11:867</t>
  </si>
  <si>
    <t>21:35:12:077</t>
  </si>
  <si>
    <t>21:35:12:265</t>
  </si>
  <si>
    <t>21:35:12:464</t>
  </si>
  <si>
    <t>21:35:12:679</t>
  </si>
  <si>
    <t>21:35:12:862</t>
  </si>
  <si>
    <t>21:35:13:066</t>
  </si>
  <si>
    <t>21:35:13:266</t>
  </si>
  <si>
    <t>21:35:13:462</t>
  </si>
  <si>
    <t>21:35:13:700</t>
  </si>
  <si>
    <t>21:35:13:890</t>
  </si>
  <si>
    <t>21:35:14:063</t>
  </si>
  <si>
    <t>21:35:14:339</t>
  </si>
  <si>
    <t>21:35:14:478</t>
  </si>
  <si>
    <t>21:35:14:684</t>
  </si>
  <si>
    <t>21:35:14:866</t>
  </si>
  <si>
    <t>21:35:15:063</t>
  </si>
  <si>
    <t>21:35:15:267</t>
  </si>
  <si>
    <t>21:35:15:479</t>
  </si>
  <si>
    <t>21:35:15:666</t>
  </si>
  <si>
    <t>21:35:15:912</t>
  </si>
  <si>
    <t>21:35:16:065</t>
  </si>
  <si>
    <t>21:35:16:265</t>
  </si>
  <si>
    <t>21:35:16:466</t>
  </si>
  <si>
    <t>21:35:16:662</t>
  </si>
  <si>
    <t>21:35:16:878</t>
  </si>
  <si>
    <t>21:35:17:066</t>
  </si>
  <si>
    <t>21:35:17:265</t>
  </si>
  <si>
    <t>21:35:17:475</t>
  </si>
  <si>
    <t>21:35:17:666</t>
  </si>
  <si>
    <t>21:35:17:866</t>
  </si>
  <si>
    <t>21:35:18:077</t>
  </si>
  <si>
    <t>21:35:18:265</t>
  </si>
  <si>
    <t>21:35:18:470</t>
  </si>
  <si>
    <t>21:35:18:676</t>
  </si>
  <si>
    <t>21:35:18:866</t>
  </si>
  <si>
    <t>21:35:19:064</t>
  </si>
  <si>
    <t>21:35:19:267</t>
  </si>
  <si>
    <t>21:35:19:462</t>
  </si>
  <si>
    <t>21:35:19:662</t>
  </si>
  <si>
    <t>21:35:19:878</t>
  </si>
  <si>
    <t>21:35:20:073</t>
  </si>
  <si>
    <t>21:35:20:299</t>
  </si>
  <si>
    <t>21:35:20:464</t>
  </si>
  <si>
    <t>21:35:20:676</t>
  </si>
  <si>
    <t>21:35:20:861</t>
  </si>
  <si>
    <t>21:35:21:065</t>
  </si>
  <si>
    <t>21:35:21:266</t>
  </si>
  <si>
    <t>21:35:21:465</t>
  </si>
  <si>
    <t>21:35:21:666</t>
  </si>
  <si>
    <t>21:35:21:867</t>
  </si>
  <si>
    <t>21:35:22:063</t>
  </si>
  <si>
    <t>21:35:22:266</t>
  </si>
  <si>
    <t>21:35:22:466</t>
  </si>
  <si>
    <t>21:35:22:672</t>
  </si>
  <si>
    <t>21:35:22:873</t>
  </si>
  <si>
    <t>21:35:23:071</t>
  </si>
  <si>
    <t>21:35:23:265</t>
  </si>
  <si>
    <t>21:35:23:468</t>
  </si>
  <si>
    <t>21:35:23:665</t>
  </si>
  <si>
    <t>21:35:23:865</t>
  </si>
  <si>
    <t>21:35:24:065</t>
  </si>
  <si>
    <t>21:35:24:263</t>
  </si>
  <si>
    <t>21:35:24:563</t>
  </si>
  <si>
    <t>21:35:24:678</t>
  </si>
  <si>
    <t>21:35:24:866</t>
  </si>
  <si>
    <t>21:35:25:068</t>
  </si>
  <si>
    <t>21:35:25:265</t>
  </si>
  <si>
    <t>21:35:25:463</t>
  </si>
  <si>
    <t>21:35:25:667</t>
  </si>
  <si>
    <t>21:35:25:866</t>
  </si>
  <si>
    <t>21:35:26:061</t>
  </si>
  <si>
    <t>21:35:26:268</t>
  </si>
  <si>
    <t>21:35:26:475</t>
  </si>
  <si>
    <t>21:35:26:665</t>
  </si>
  <si>
    <t>21:35:26:867</t>
  </si>
  <si>
    <t>21:35:27:072</t>
  </si>
  <si>
    <t>21:35:27:276</t>
  </si>
  <si>
    <t>21:35:27:481</t>
  </si>
  <si>
    <t>21:35:27:686</t>
  </si>
  <si>
    <t>21:35:27:867</t>
  </si>
  <si>
    <t>21:35:28:067</t>
  </si>
  <si>
    <t>21:35:28:266</t>
  </si>
  <si>
    <t>21:35:28:466</t>
  </si>
  <si>
    <t>21:35:28:710</t>
  </si>
  <si>
    <t>21:35:28:875</t>
  </si>
  <si>
    <t>21:35:29:067</t>
  </si>
  <si>
    <t>21:35:29:288</t>
  </si>
  <si>
    <t>21:35:29:478</t>
  </si>
  <si>
    <t>21:35:29:666</t>
  </si>
  <si>
    <t>21:35:29:864</t>
  </si>
  <si>
    <t>21:35:30:066</t>
  </si>
  <si>
    <t>21:35:30:265</t>
  </si>
  <si>
    <t>21:35:30:466</t>
  </si>
  <si>
    <t>21:35:30:675</t>
  </si>
  <si>
    <t>21:35:30:869</t>
  </si>
  <si>
    <t>21:35:31:066</t>
  </si>
  <si>
    <t>21:35:31:272</t>
  </si>
  <si>
    <t>21:35:31:475</t>
  </si>
  <si>
    <t>21:35:31:680</t>
  </si>
  <si>
    <t>21:35:31:866</t>
  </si>
  <si>
    <t>21:35:32:066</t>
  </si>
  <si>
    <t>21:35:32:266</t>
  </si>
  <si>
    <t>21:35:32:466</t>
  </si>
  <si>
    <t>21:35:32:667</t>
  </si>
  <si>
    <t>21:35:32:865</t>
  </si>
  <si>
    <t>21:35:33:089</t>
  </si>
  <si>
    <t>21:35:33:263</t>
  </si>
  <si>
    <t>21:35:33:467</t>
  </si>
  <si>
    <t>21:35:33:665</t>
  </si>
  <si>
    <t>21:35:33:865</t>
  </si>
  <si>
    <t>21:35:34:063</t>
  </si>
  <si>
    <t>21:35:34:272</t>
  </si>
  <si>
    <t>21:35:34:467</t>
  </si>
  <si>
    <t>21:35:34:749</t>
  </si>
  <si>
    <t>21:35:34:863</t>
  </si>
  <si>
    <t>21:35:35:062</t>
  </si>
  <si>
    <t>21:35:35:265</t>
  </si>
  <si>
    <t>21:35:35:469</t>
  </si>
  <si>
    <t>21:35:35:719</t>
  </si>
  <si>
    <t>21:35:35:879</t>
  </si>
  <si>
    <t>21:35:36:067</t>
  </si>
  <si>
    <t>21:35:36:262</t>
  </si>
  <si>
    <t>21:35:36:467</t>
  </si>
  <si>
    <t>21:35:36:665</t>
  </si>
  <si>
    <t>21:35:36:866</t>
  </si>
  <si>
    <t>21:35:37:069</t>
  </si>
  <si>
    <t>21:35:37:266</t>
  </si>
  <si>
    <t>21:35:37:463</t>
  </si>
  <si>
    <t>21:35:37:696</t>
  </si>
  <si>
    <t>21:35:37:878</t>
  </si>
  <si>
    <t>21:35:38:062</t>
  </si>
  <si>
    <t>21:35:38:264</t>
  </si>
  <si>
    <t>21:35:38:467</t>
  </si>
  <si>
    <t>21:35:38:662</t>
  </si>
  <si>
    <t>21:35:38:867</t>
  </si>
  <si>
    <t>21:35:39:067</t>
  </si>
  <si>
    <t>21:35:39:264</t>
  </si>
  <si>
    <t>21:35:39:500</t>
  </si>
  <si>
    <t>21:35:39:678</t>
  </si>
  <si>
    <t>21:35:39:875</t>
  </si>
  <si>
    <t>21:35:40:074</t>
  </si>
  <si>
    <t>21:35:40:281</t>
  </si>
  <si>
    <t>21:35:40:465</t>
  </si>
  <si>
    <t>21:35:40:668</t>
  </si>
  <si>
    <t>21:35:40:878</t>
  </si>
  <si>
    <t>21:35:41:066</t>
  </si>
  <si>
    <t>21:35:41:267</t>
  </si>
  <si>
    <t>21:35:41:466</t>
  </si>
  <si>
    <t>21:35:41:665</t>
  </si>
  <si>
    <t>21:35:41:867</t>
  </si>
  <si>
    <t>21:35:42:064</t>
  </si>
  <si>
    <t>21:35:42:267</t>
  </si>
  <si>
    <t>21:35:42:467</t>
  </si>
  <si>
    <t>21:35:42:679</t>
  </si>
  <si>
    <t>21:35:42:863</t>
  </si>
  <si>
    <t>21:35:43:072</t>
  </si>
  <si>
    <t>21:35:43:261</t>
  </si>
  <si>
    <t>21:35:43:465</t>
  </si>
  <si>
    <t>21:35:43:665</t>
  </si>
  <si>
    <t>21:35:43:870</t>
  </si>
  <si>
    <t>21:35:44:071</t>
  </si>
  <si>
    <t>21:35:44:275</t>
  </si>
  <si>
    <t>21:35:44:478</t>
  </si>
  <si>
    <t>21:35:44:665</t>
  </si>
  <si>
    <t>21:35:44:863</t>
  </si>
  <si>
    <t>21:35:45:079</t>
  </si>
  <si>
    <t>21:35:45:264</t>
  </si>
  <si>
    <t>21:35:45:464</t>
  </si>
  <si>
    <t>21:35:45:668</t>
  </si>
  <si>
    <t>21:35:45:869</t>
  </si>
  <si>
    <t>21:35:46:069</t>
  </si>
  <si>
    <t>21:35:46:269</t>
  </si>
  <si>
    <t>21:35:46:466</t>
  </si>
  <si>
    <t>21:35:46:701</t>
  </si>
  <si>
    <t>21:35:46:879</t>
  </si>
  <si>
    <t>21:35:47:066</t>
  </si>
  <si>
    <t>21:35:47:267</t>
  </si>
  <si>
    <t>21:35:47:468</t>
  </si>
  <si>
    <t>21:35:47:668</t>
  </si>
  <si>
    <t>21:35:47:864</t>
  </si>
  <si>
    <t>21:35:48:067</t>
  </si>
  <si>
    <t>21:35:48:269</t>
  </si>
  <si>
    <t>21:35:48:496</t>
  </si>
  <si>
    <t>21:35:48:679</t>
  </si>
  <si>
    <t>21:35:48:865</t>
  </si>
  <si>
    <t>21:35:49:066</t>
  </si>
  <si>
    <t>21:35:49:266</t>
  </si>
  <si>
    <t>21:35:49:465</t>
  </si>
  <si>
    <t>21:35:49:667</t>
  </si>
  <si>
    <t>21:35:49:878</t>
  </si>
  <si>
    <t>21:35:50:065</t>
  </si>
  <si>
    <t>21:35:50:263</t>
  </si>
  <si>
    <t>21:35:50:462</t>
  </si>
  <si>
    <t>21:35:50:667</t>
  </si>
  <si>
    <t>21:35:50:866</t>
  </si>
  <si>
    <t>21:35:51:065</t>
  </si>
  <si>
    <t>21:35:51:272</t>
  </si>
  <si>
    <t>21:35:51:466</t>
  </si>
  <si>
    <t>21:35:51:686</t>
  </si>
  <si>
    <t>21:35:51:862</t>
  </si>
  <si>
    <t>21:35:52:065</t>
  </si>
  <si>
    <t>21:35:52:287</t>
  </si>
  <si>
    <t>21:35:52:470</t>
  </si>
  <si>
    <t>21:35:52:672</t>
  </si>
  <si>
    <t>21:35:52:868</t>
  </si>
  <si>
    <t>21:35:53:079</t>
  </si>
  <si>
    <t>21:35:53:267</t>
  </si>
  <si>
    <t>21:35:53:467</t>
  </si>
  <si>
    <t>21:35:53:665</t>
  </si>
  <si>
    <t>21:35:53:866</t>
  </si>
  <si>
    <t>21:35:54:068</t>
  </si>
  <si>
    <t>21:35:54:266</t>
  </si>
  <si>
    <t>21:35:54:556</t>
  </si>
  <si>
    <t>21:35:54:739</t>
  </si>
  <si>
    <t>21:35:54:893</t>
  </si>
  <si>
    <t>21:35:55:508</t>
  </si>
  <si>
    <t>21:35:55:667</t>
  </si>
  <si>
    <t>21:35:55:865</t>
  </si>
  <si>
    <t>21:35:56:067</t>
  </si>
  <si>
    <t>21:35:56:263</t>
  </si>
  <si>
    <t>21:35:56:462</t>
  </si>
  <si>
    <t>21:35:56:667</t>
  </si>
  <si>
    <t>21:35:56:869</t>
  </si>
  <si>
    <t>21:35:57:078</t>
  </si>
  <si>
    <t>21:35:57:280</t>
  </si>
  <si>
    <t>21:35:57:463</t>
  </si>
  <si>
    <t>21:35:57:666</t>
  </si>
  <si>
    <t>21:35:57:868</t>
  </si>
  <si>
    <t>21:35:58:100</t>
  </si>
  <si>
    <t>21:35:58:278</t>
  </si>
  <si>
    <t>21:35:58:467</t>
  </si>
  <si>
    <t>21:35:58:711</t>
  </si>
  <si>
    <t>21:35:58:880</t>
  </si>
  <si>
    <t>21:35:59:067</t>
  </si>
  <si>
    <t>21:35:59:267</t>
  </si>
  <si>
    <t>21:35:59:466</t>
  </si>
  <si>
    <t>21:35:59:668</t>
  </si>
  <si>
    <t>21:35:59:864</t>
  </si>
  <si>
    <t>21:36:00:065</t>
  </si>
  <si>
    <t>21:36:00:263</t>
  </si>
  <si>
    <t>21:36:00:465</t>
  </si>
  <si>
    <t>21:36:00:668</t>
  </si>
  <si>
    <t>21:36:00:867</t>
  </si>
  <si>
    <t>21:36:01:070</t>
  </si>
  <si>
    <t>21:36:01:274</t>
  </si>
  <si>
    <t>21:36:01:468</t>
  </si>
  <si>
    <t>21:36:01:667</t>
  </si>
  <si>
    <t>21:36:01:867</t>
  </si>
  <si>
    <t>21:36:02:065</t>
  </si>
  <si>
    <t>21:36:02:267</t>
  </si>
  <si>
    <t>21:36:02:467</t>
  </si>
  <si>
    <t>21:36:02:663</t>
  </si>
  <si>
    <t>21:36:02:866</t>
  </si>
  <si>
    <t>21:36:03:078</t>
  </si>
  <si>
    <t>21:36:03:263</t>
  </si>
  <si>
    <t>21:36:03:466</t>
  </si>
  <si>
    <t>21:36:03:662</t>
  </si>
  <si>
    <t>21:36:03:864</t>
  </si>
  <si>
    <t>21:36:04:073</t>
  </si>
  <si>
    <t>21:36:04:264</t>
  </si>
  <si>
    <t>21:36:04:470</t>
  </si>
  <si>
    <t>21:36:04:667</t>
  </si>
  <si>
    <t>21:36:04:876</t>
  </si>
  <si>
    <t>21:36:05:068</t>
  </si>
  <si>
    <t>21:36:05:302</t>
  </si>
  <si>
    <t>21:36:05:479</t>
  </si>
  <si>
    <t>21:36:05:677</t>
  </si>
  <si>
    <t>21:36:05:871</t>
  </si>
  <si>
    <t>21:36:06:068</t>
  </si>
  <si>
    <t>21:36:06:268</t>
  </si>
  <si>
    <t>21:36:06:464</t>
  </si>
  <si>
    <t>21:36:06:664</t>
  </si>
  <si>
    <t>21:36:06:867</t>
  </si>
  <si>
    <t>21:36:07:067</t>
  </si>
  <si>
    <t>21:36:07:270</t>
  </si>
  <si>
    <t>21:36:07:469</t>
  </si>
  <si>
    <t>21:36:07:667</t>
  </si>
  <si>
    <t>21:36:07:864</t>
  </si>
  <si>
    <t>21:36:08:065</t>
  </si>
  <si>
    <t>21:36:08:266</t>
  </si>
  <si>
    <t>21:36:08:467</t>
  </si>
  <si>
    <t>21:36:08:664</t>
  </si>
  <si>
    <t>21:36:08:909</t>
  </si>
  <si>
    <t>21:36:09:116</t>
  </si>
  <si>
    <t>21:36:09:262</t>
  </si>
  <si>
    <t>21:36:09:466</t>
  </si>
  <si>
    <t>21:36:09:676</t>
  </si>
  <si>
    <t>21:36:09:876</t>
  </si>
  <si>
    <t>21:36:10:080</t>
  </si>
  <si>
    <t>21:36:10:269</t>
  </si>
  <si>
    <t>21:36:10:467</t>
  </si>
  <si>
    <t>21:36:10:699</t>
  </si>
  <si>
    <t>21:36:10:878</t>
  </si>
  <si>
    <t>21:36:11:068</t>
  </si>
  <si>
    <t>21:36:11:265</t>
  </si>
  <si>
    <t>21:36:11:494</t>
  </si>
  <si>
    <t>21:36:11:664</t>
  </si>
  <si>
    <t>21:36:11:865</t>
  </si>
  <si>
    <t>21:36:12:079</t>
  </si>
  <si>
    <t>21:36:12:266</t>
  </si>
  <si>
    <t>21:36:12:464</t>
  </si>
  <si>
    <t>21:36:12:667</t>
  </si>
  <si>
    <t>21:36:12:866</t>
  </si>
  <si>
    <t>21:36:13:159</t>
  </si>
  <si>
    <t>21:36:13:265</t>
  </si>
  <si>
    <t>21:36:13:476</t>
  </si>
  <si>
    <t>21:36:13:667</t>
  </si>
  <si>
    <t>21:36:13:869</t>
  </si>
  <si>
    <t>21:36:14:075</t>
  </si>
  <si>
    <t>21:36:14:280</t>
  </si>
  <si>
    <t>21:36:14:484</t>
  </si>
  <si>
    <t>21:36:14:665</t>
  </si>
  <si>
    <t>21:36:14:867</t>
  </si>
  <si>
    <t>21:36:15:079</t>
  </si>
  <si>
    <t>21:36:15:267</t>
  </si>
  <si>
    <t>21:36:15:467</t>
  </si>
  <si>
    <t>21:36:15:679</t>
  </si>
  <si>
    <t>21:36:15:864</t>
  </si>
  <si>
    <t>21:36:16:067</t>
  </si>
  <si>
    <t>21:36:16:265</t>
  </si>
  <si>
    <t>21:36:16:463</t>
  </si>
  <si>
    <t>21:36:16:666</t>
  </si>
  <si>
    <t>21:36:16:879</t>
  </si>
  <si>
    <t>21:36:17:063</t>
  </si>
  <si>
    <t>21:36:17:352</t>
  </si>
  <si>
    <t>21:36:17:466</t>
  </si>
  <si>
    <t>21:36:17:666</t>
  </si>
  <si>
    <t>21:36:17:900</t>
  </si>
  <si>
    <t>21:36:18:079</t>
  </si>
  <si>
    <t>21:36:18:274</t>
  </si>
  <si>
    <t>21:36:18:471</t>
  </si>
  <si>
    <t>21:36:18:665</t>
  </si>
  <si>
    <t>21:36:18:867</t>
  </si>
  <si>
    <t>21:36:19:071</t>
  </si>
  <si>
    <t>21:36:19:266</t>
  </si>
  <si>
    <t>21:36:19:472</t>
  </si>
  <si>
    <t>21:36:19:667</t>
  </si>
  <si>
    <t>21:36:19:864</t>
  </si>
  <si>
    <t>21:36:20:068</t>
  </si>
  <si>
    <t>21:36:20:300</t>
  </si>
  <si>
    <t>21:36:20:464</t>
  </si>
  <si>
    <t>21:36:20:666</t>
  </si>
  <si>
    <t>21:36:20:899</t>
  </si>
  <si>
    <t>21:36:21:079</t>
  </si>
  <si>
    <t>21:36:21:275</t>
  </si>
  <si>
    <t>21:36:21:466</t>
  </si>
  <si>
    <t>21:36:21:668</t>
  </si>
  <si>
    <t>21:36:21:868</t>
  </si>
  <si>
    <t>21:36:22:066</t>
  </si>
  <si>
    <t>21:36:22:276</t>
  </si>
  <si>
    <t>21:36:22:471</t>
  </si>
  <si>
    <t>21:36:22:670</t>
  </si>
  <si>
    <t>21:36:22:885</t>
  </si>
  <si>
    <t>21:36:23:065</t>
  </si>
  <si>
    <t>21:36:23:264</t>
  </si>
  <si>
    <t>21:36:23:473</t>
  </si>
  <si>
    <t>21:36:23:667</t>
  </si>
  <si>
    <t>21:36:23:869</t>
  </si>
  <si>
    <t>21:36:24:079</t>
  </si>
  <si>
    <t>21:36:24:269</t>
  </si>
  <si>
    <t>21:36:24:469</t>
  </si>
  <si>
    <t>21:36:24:668</t>
  </si>
  <si>
    <t>21:36:24:881</t>
  </si>
  <si>
    <t>21:36:25:099</t>
  </si>
  <si>
    <t>21:36:25:279</t>
  </si>
  <si>
    <t>21:36:25:468</t>
  </si>
  <si>
    <t>21:36:25:714</t>
  </si>
  <si>
    <t>21:36:25:869</t>
  </si>
  <si>
    <t>21:36:26:068</t>
  </si>
  <si>
    <t>21:36:26:264</t>
  </si>
  <si>
    <t>21:36:26:469</t>
  </si>
  <si>
    <t>21:36:26:670</t>
  </si>
  <si>
    <t>21:36:26:869</t>
  </si>
  <si>
    <t>21:36:27:079</t>
  </si>
  <si>
    <t>21:36:27:272</t>
  </si>
  <si>
    <t>21:36:27:471</t>
  </si>
  <si>
    <t>21:36:27:666</t>
  </si>
  <si>
    <t>21:36:27:866</t>
  </si>
  <si>
    <t>21:36:28:069</t>
  </si>
  <si>
    <t>21:36:28:279</t>
  </si>
  <si>
    <t>21:36:28:465</t>
  </si>
  <si>
    <t>21:36:28:667</t>
  </si>
  <si>
    <t>21:36:28:865</t>
  </si>
  <si>
    <t>21:36:29:065</t>
  </si>
  <si>
    <t>21:36:29:267</t>
  </si>
  <si>
    <t>21:36:29:479</t>
  </si>
  <si>
    <t>21:36:29:663</t>
  </si>
  <si>
    <t>21:36:29:867</t>
  </si>
  <si>
    <t>21:36:30:071</t>
  </si>
  <si>
    <t>21:36:30:266</t>
  </si>
  <si>
    <t>21:36:30:499</t>
  </si>
  <si>
    <t>21:36:30:690</t>
  </si>
  <si>
    <t>21:36:30:870</t>
  </si>
  <si>
    <t>21:36:31:073</t>
  </si>
  <si>
    <t>21:36:31:275</t>
  </si>
  <si>
    <t>21:36:31:469</t>
  </si>
  <si>
    <t>21:36:31:669</t>
  </si>
  <si>
    <t>21:36:31:863</t>
  </si>
  <si>
    <t>21:36:32:068</t>
  </si>
  <si>
    <t>21:36:32:265</t>
  </si>
  <si>
    <t>21:36:32:464</t>
  </si>
  <si>
    <t>21:36:32:666</t>
  </si>
  <si>
    <t>21:36:32:900</t>
  </si>
  <si>
    <t>21:36:33:079</t>
  </si>
  <si>
    <t>21:36:33:266</t>
  </si>
  <si>
    <t>21:36:33:464</t>
  </si>
  <si>
    <t>21:36:33:664</t>
  </si>
  <si>
    <t>21:36:33:866</t>
  </si>
  <si>
    <t>21:36:34:067</t>
  </si>
  <si>
    <t>21:36:34:263</t>
  </si>
  <si>
    <t>21:36:34:468</t>
  </si>
  <si>
    <t>21:36:34:669</t>
  </si>
  <si>
    <t>21:36:34:868</t>
  </si>
  <si>
    <t>21:36:35:067</t>
  </si>
  <si>
    <t>21:36:35:271</t>
  </si>
  <si>
    <t>21:36:35:476</t>
  </si>
  <si>
    <t>21:36:35:672</t>
  </si>
  <si>
    <t>21:36:35:867</t>
  </si>
  <si>
    <t>21:36:36:091</t>
  </si>
  <si>
    <t>21:36:36:267</t>
  </si>
  <si>
    <t>21:36:36:466</t>
  </si>
  <si>
    <t>21:36:36:668</t>
  </si>
  <si>
    <t>21:36:36:872</t>
  </si>
  <si>
    <t>21:36:37:106</t>
  </si>
  <si>
    <t>21:36:37:279</t>
  </si>
  <si>
    <t>21:36:37:466</t>
  </si>
  <si>
    <t>21:36:37:664</t>
  </si>
  <si>
    <t>21:36:37:866</t>
  </si>
  <si>
    <t>21:36:38:069</t>
  </si>
  <si>
    <t>21:36:38:263</t>
  </si>
  <si>
    <t>21:36:38:468</t>
  </si>
  <si>
    <t>21:36:38:669</t>
  </si>
  <si>
    <t>21:36:38:863</t>
  </si>
  <si>
    <t>21:36:39:080</t>
  </si>
  <si>
    <t>21:36:39:266</t>
  </si>
  <si>
    <t>21:36:39:470</t>
  </si>
  <si>
    <t>21:36:39:671</t>
  </si>
  <si>
    <t>21:36:39:879</t>
  </si>
  <si>
    <t>21:36:40:067</t>
  </si>
  <si>
    <t>21:36:40:280</t>
  </si>
  <si>
    <t>21:36:40:468</t>
  </si>
  <si>
    <t>21:36:40:666</t>
  </si>
  <si>
    <t>21:36:40:866</t>
  </si>
  <si>
    <t>21:36:41:066</t>
  </si>
  <si>
    <t>21:36:41:266</t>
  </si>
  <si>
    <t>21:36:41:464</t>
  </si>
  <si>
    <t>21:36:41:672</t>
  </si>
  <si>
    <t>21:36:41:867</t>
  </si>
  <si>
    <t>21:36:42:080</t>
  </si>
  <si>
    <t>21:36:42:265</t>
  </si>
  <si>
    <t>21:36:42:499</t>
  </si>
  <si>
    <t>21:36:43:151</t>
  </si>
  <si>
    <t>21:36:43:203</t>
  </si>
  <si>
    <t>21:36:43:276</t>
  </si>
  <si>
    <t>21:36:43:342</t>
  </si>
  <si>
    <t>21:36:43:468</t>
  </si>
  <si>
    <t>21:36:43:668</t>
  </si>
  <si>
    <t>21:36:43:873</t>
  </si>
  <si>
    <t>21:36:44:071</t>
  </si>
  <si>
    <t>21:36:44:266</t>
  </si>
  <si>
    <t>21:36:44:465</t>
  </si>
  <si>
    <t>21:36:44:664</t>
  </si>
  <si>
    <t>21:36:44:866</t>
  </si>
  <si>
    <t>21:36:45:067</t>
  </si>
  <si>
    <t>21:36:45:267</t>
  </si>
  <si>
    <t>21:36:45:504</t>
  </si>
  <si>
    <t>21:36:45:676</t>
  </si>
  <si>
    <t>21:36:45:867</t>
  </si>
  <si>
    <t>21:36:46:092</t>
  </si>
  <si>
    <t>21:36:46:279</t>
  </si>
  <si>
    <t>21:36:46:467</t>
  </si>
  <si>
    <t>21:36:46:668</t>
  </si>
  <si>
    <t>21:36:46:864</t>
  </si>
  <si>
    <t>21:36:47:069</t>
  </si>
  <si>
    <t>21:36:47:266</t>
  </si>
  <si>
    <t>21:36:47:477</t>
  </si>
  <si>
    <t>21:36:47:668</t>
  </si>
  <si>
    <t>21:36:47:868</t>
  </si>
  <si>
    <t>21:36:48:075</t>
  </si>
  <si>
    <t>21:36:48:273</t>
  </si>
  <si>
    <t>21:36:48:468</t>
  </si>
  <si>
    <t>21:36:48:666</t>
  </si>
  <si>
    <t>21:36:48:868</t>
  </si>
  <si>
    <t>21:36:49:068</t>
  </si>
  <si>
    <t>21:36:49:271</t>
  </si>
  <si>
    <t>21:36:49:472</t>
  </si>
  <si>
    <t>21:36:49:666</t>
  </si>
  <si>
    <t>21:36:49:887</t>
  </si>
  <si>
    <t>21:36:50:067</t>
  </si>
  <si>
    <t>21:36:50:265</t>
  </si>
  <si>
    <t>21:36:50:477</t>
  </si>
  <si>
    <t>21:36:50:667</t>
  </si>
  <si>
    <t>21:36:50:866</t>
  </si>
  <si>
    <t>21:36:51:070</t>
  </si>
  <si>
    <t>21:36:51:269</t>
  </si>
  <si>
    <t>21:36:51:466</t>
  </si>
  <si>
    <t>21:36:51:669</t>
  </si>
  <si>
    <t>21:36:51:868</t>
  </si>
  <si>
    <t>21:36:52:096</t>
  </si>
  <si>
    <t>21:36:52:280</t>
  </si>
  <si>
    <t>21:36:52:475</t>
  </si>
  <si>
    <t>21:36:52:670</t>
  </si>
  <si>
    <t>21:36:52:864</t>
  </si>
  <si>
    <t>21:36:53:072</t>
  </si>
  <si>
    <t>21:36:53:266</t>
  </si>
  <si>
    <t>21:36:53:467</t>
  </si>
  <si>
    <t>21:36:53:667</t>
  </si>
  <si>
    <t>21:36:53:864</t>
  </si>
  <si>
    <t>21:36:54:067</t>
  </si>
  <si>
    <t>21:36:54:274</t>
  </si>
  <si>
    <t>21:36:54:557</t>
  </si>
  <si>
    <t>21:36:54:739</t>
  </si>
  <si>
    <t>21:36:54:892</t>
  </si>
  <si>
    <t>21:36:55:070</t>
  </si>
  <si>
    <t>21:36:55:264</t>
  </si>
  <si>
    <t>21:36:55:469</t>
  </si>
  <si>
    <t>21:36:55:701</t>
  </si>
  <si>
    <t>21:36:55:879</t>
  </si>
  <si>
    <t>21:36:56:067</t>
  </si>
  <si>
    <t>21:36:56:707</t>
  </si>
  <si>
    <t>21:36:56:759</t>
  </si>
  <si>
    <t>21:36:56:816</t>
  </si>
  <si>
    <t>21:36:56:886</t>
  </si>
  <si>
    <t>21:36:57:084</t>
  </si>
  <si>
    <t>21:36:57:315</t>
  </si>
  <si>
    <t>21:36:57:467</t>
  </si>
  <si>
    <t>21:36:57:679</t>
  </si>
  <si>
    <t>21:36:57:867</t>
  </si>
  <si>
    <t>21:36:58:078</t>
  </si>
  <si>
    <t>21:36:58:267</t>
  </si>
  <si>
    <t>21:36:58:467</t>
  </si>
  <si>
    <t>21:36:58:664</t>
  </si>
  <si>
    <t>21:36:58:880</t>
  </si>
  <si>
    <t>21:36:59:069</t>
  </si>
  <si>
    <t>21:36:59:269</t>
  </si>
  <si>
    <t>21:36:59:466</t>
  </si>
  <si>
    <t>21:36:59:669</t>
  </si>
  <si>
    <t>21:36:59:867</t>
  </si>
  <si>
    <t>21:37:00:079</t>
  </si>
  <si>
    <t>21:37:00:269</t>
  </si>
  <si>
    <t>21:37:00:467</t>
  </si>
  <si>
    <t>21:37:00:668</t>
  </si>
  <si>
    <t>21:37:00:872</t>
  </si>
  <si>
    <t>21:37:01:100</t>
  </si>
  <si>
    <t>21:37:01:282</t>
  </si>
  <si>
    <t>21:37:01:469</t>
  </si>
  <si>
    <t>21:37:01:666</t>
  </si>
  <si>
    <t>21:37:01:866</t>
  </si>
  <si>
    <t>21:37:02:068</t>
  </si>
  <si>
    <t>21:37:02:306</t>
  </si>
  <si>
    <t>21:37:02:477</t>
  </si>
  <si>
    <t>21:37:02:670</t>
  </si>
  <si>
    <t>21:37:02:867</t>
  </si>
  <si>
    <t>21:37:03:080</t>
  </si>
  <si>
    <t>21:37:03:267</t>
  </si>
  <si>
    <t>21:37:03:465</t>
  </si>
  <si>
    <t>21:37:03:667</t>
  </si>
  <si>
    <t>21:37:03:864</t>
  </si>
  <si>
    <t>21:37:04:065</t>
  </si>
  <si>
    <t>21:37:04:269</t>
  </si>
  <si>
    <t>21:37:04:469</t>
  </si>
  <si>
    <t>21:37:04:700</t>
  </si>
  <si>
    <t>21:37:04:868</t>
  </si>
  <si>
    <t>21:37:05:070</t>
  </si>
  <si>
    <t>21:37:05:277</t>
  </si>
  <si>
    <t>21:37:05:468</t>
  </si>
  <si>
    <t>21:37:05:679</t>
  </si>
  <si>
    <t>21:37:05:870</t>
  </si>
  <si>
    <t>21:37:06:081</t>
  </si>
  <si>
    <t>21:37:06:268</t>
  </si>
  <si>
    <t>21:37:06:467</t>
  </si>
  <si>
    <t>21:37:06:668</t>
  </si>
  <si>
    <t>21:37:06:865</t>
  </si>
  <si>
    <t>21:37:07:100</t>
  </si>
  <si>
    <t>21:37:07:277</t>
  </si>
  <si>
    <t>21:37:07:469</t>
  </si>
  <si>
    <t>21:37:07:670</t>
  </si>
  <si>
    <t>21:37:07:867</t>
  </si>
  <si>
    <t>21:37:08:066</t>
  </si>
  <si>
    <t>21:37:08:268</t>
  </si>
  <si>
    <t>21:37:08:468</t>
  </si>
  <si>
    <t>21:37:08:664</t>
  </si>
  <si>
    <t>21:37:08:866</t>
  </si>
  <si>
    <t>21:37:09:092</t>
  </si>
  <si>
    <t>21:37:09:271</t>
  </si>
  <si>
    <t>21:37:09:474</t>
  </si>
  <si>
    <t>21:37:09:676</t>
  </si>
  <si>
    <t>21:37:09:880</t>
  </si>
  <si>
    <t>21:37:10:069</t>
  </si>
  <si>
    <t>21:37:10:264</t>
  </si>
  <si>
    <t>21:37:10:537</t>
  </si>
  <si>
    <t>21:37:10:668</t>
  </si>
  <si>
    <t>21:37:10:867</t>
  </si>
  <si>
    <t>21:37:11:069</t>
  </si>
  <si>
    <t>21:37:11:272</t>
  </si>
  <si>
    <t>21:37:11:464</t>
  </si>
  <si>
    <t>21:37:11:669</t>
  </si>
  <si>
    <t>21:37:11:899</t>
  </si>
  <si>
    <t>21:37:12:065</t>
  </si>
  <si>
    <t>21:37:12:266</t>
  </si>
  <si>
    <t>21:37:12:468</t>
  </si>
  <si>
    <t>21:37:12:664</t>
  </si>
  <si>
    <t>21:37:12:865</t>
  </si>
  <si>
    <t>21:37:13:063</t>
  </si>
  <si>
    <t>21:37:13:266</t>
  </si>
  <si>
    <t>21:37:13:467</t>
  </si>
  <si>
    <t>21:37:13:666</t>
  </si>
  <si>
    <t>21:37:13:868</t>
  </si>
  <si>
    <t>21:37:14:070</t>
  </si>
  <si>
    <t>21:37:14:264</t>
  </si>
  <si>
    <t>21:37:14:466</t>
  </si>
  <si>
    <t>21:37:14:667</t>
  </si>
  <si>
    <t>21:37:14:867</t>
  </si>
  <si>
    <t>21:37:15:069</t>
  </si>
  <si>
    <t>21:37:15:269</t>
  </si>
  <si>
    <t>21:37:15:502</t>
  </si>
  <si>
    <t>21:37:15:667</t>
  </si>
  <si>
    <t>21:37:15:869</t>
  </si>
  <si>
    <t>21:37:16:100</t>
  </si>
  <si>
    <t>21:37:16:280</t>
  </si>
  <si>
    <t>21:37:16:473</t>
  </si>
  <si>
    <t>21:37:16:709</t>
  </si>
  <si>
    <t>21:37:16:880</t>
  </si>
  <si>
    <t>21:37:17:068</t>
  </si>
  <si>
    <t>21:37:17:266</t>
  </si>
  <si>
    <t>21:37:17:466</t>
  </si>
  <si>
    <t>21:37:17:667</t>
  </si>
  <si>
    <t>21:37:17:872</t>
  </si>
  <si>
    <t>21:37:18:075</t>
  </si>
  <si>
    <t>21:37:18:268</t>
  </si>
  <si>
    <t>21:37:18:467</t>
  </si>
  <si>
    <t>21:37:18:668</t>
  </si>
  <si>
    <t>21:37:18:866</t>
  </si>
  <si>
    <t>21:37:19:065</t>
  </si>
  <si>
    <t>21:37:19:280</t>
  </si>
  <si>
    <t>21:37:19:471</t>
  </si>
  <si>
    <t>21:37:19:667</t>
  </si>
  <si>
    <t>21:37:19:881</t>
  </si>
  <si>
    <t>21:37:20:072</t>
  </si>
  <si>
    <t>21:37:20:268</t>
  </si>
  <si>
    <t>21:37:20:470</t>
  </si>
  <si>
    <t>21:37:20:664</t>
  </si>
  <si>
    <t>21:37:20:900</t>
  </si>
  <si>
    <t>21:37:21:080</t>
  </si>
  <si>
    <t>21:37:21:266</t>
  </si>
  <si>
    <t>21:37:21:468</t>
  </si>
  <si>
    <t>21:37:21:666</t>
  </si>
  <si>
    <t>21:37:21:869</t>
  </si>
  <si>
    <t>21:37:22:066</t>
  </si>
  <si>
    <t>21:37:22:268</t>
  </si>
  <si>
    <t>21:37:22:468</t>
  </si>
  <si>
    <t>21:37:22:672</t>
  </si>
  <si>
    <t>21:37:22:887</t>
  </si>
  <si>
    <t>21:37:23:067</t>
  </si>
  <si>
    <t>21:37:23:269</t>
  </si>
  <si>
    <t>21:37:23:471</t>
  </si>
  <si>
    <t>21:37:23:667</t>
  </si>
  <si>
    <t>21:37:23:868</t>
  </si>
  <si>
    <t>21:37:24:080</t>
  </si>
  <si>
    <t>21:37:24:267</t>
  </si>
  <si>
    <t>21:37:24:466</t>
  </si>
  <si>
    <t>21:37:24:680</t>
  </si>
  <si>
    <t>21:37:24:867</t>
  </si>
  <si>
    <t>21:37:25:065</t>
  </si>
  <si>
    <t>21:37:25:265</t>
  </si>
  <si>
    <t>21:37:25:469</t>
  </si>
  <si>
    <t>21:37:25:664</t>
  </si>
  <si>
    <t>21:37:25:865</t>
  </si>
  <si>
    <t>21:37:26:067</t>
  </si>
  <si>
    <t>21:37:26:300</t>
  </si>
  <si>
    <t>21:37:26:471</t>
  </si>
  <si>
    <t>21:37:26:669</t>
  </si>
  <si>
    <t>21:37:26:870</t>
  </si>
  <si>
    <t>21:37:27:087</t>
  </si>
  <si>
    <t>21:37:27:272</t>
  </si>
  <si>
    <t>21:37:27:468</t>
  </si>
  <si>
    <t>21:37:27:667</t>
  </si>
  <si>
    <t>21:37:27:867</t>
  </si>
  <si>
    <t>21:37:28:066</t>
  </si>
  <si>
    <t>21:37:28:290</t>
  </si>
  <si>
    <t>21:37:28:467</t>
  </si>
  <si>
    <t>21:37:28:670</t>
  </si>
  <si>
    <t>21:37:28:881</t>
  </si>
  <si>
    <t>21:37:29:068</t>
  </si>
  <si>
    <t>21:37:29:271</t>
  </si>
  <si>
    <t>21:37:29:468</t>
  </si>
  <si>
    <t>21:37:29:669</t>
  </si>
  <si>
    <t>21:37:29:864</t>
  </si>
  <si>
    <t>21:37:30:080</t>
  </si>
  <si>
    <t>21:37:30:268</t>
  </si>
  <si>
    <t>21:37:30:467</t>
  </si>
  <si>
    <t>21:37:30:671</t>
  </si>
  <si>
    <t>21:37:30:872</t>
  </si>
  <si>
    <t>21:37:31:074</t>
  </si>
  <si>
    <t>21:37:31:268</t>
  </si>
  <si>
    <t>21:37:31:470</t>
  </si>
  <si>
    <t>21:37:31:665</t>
  </si>
  <si>
    <t>21:37:31:880</t>
  </si>
  <si>
    <t>21:37:32:069</t>
  </si>
  <si>
    <t>21:37:32:267</t>
  </si>
  <si>
    <t>21:37:32:467</t>
  </si>
  <si>
    <t>21:37:32:666</t>
  </si>
  <si>
    <t>21:37:32:900</t>
  </si>
  <si>
    <t>21:37:33:066</t>
  </si>
  <si>
    <t>21:37:33:271</t>
  </si>
  <si>
    <t>21:37:33:465</t>
  </si>
  <si>
    <t>21:37:33:680</t>
  </si>
  <si>
    <t>21:37:33:865</t>
  </si>
  <si>
    <t>21:37:34:066</t>
  </si>
  <si>
    <t>21:37:34:276</t>
  </si>
  <si>
    <t>21:37:34:464</t>
  </si>
  <si>
    <t>21:37:34:701</t>
  </si>
  <si>
    <t>21:37:34:881</t>
  </si>
  <si>
    <t>21:37:35:075</t>
  </si>
  <si>
    <t>21:37:35:266</t>
  </si>
  <si>
    <t>21:37:35:470</t>
  </si>
  <si>
    <t>21:37:35:672</t>
  </si>
  <si>
    <t>21:37:35:867</t>
  </si>
  <si>
    <t>21:37:36:065</t>
  </si>
  <si>
    <t>21:37:36:267</t>
  </si>
  <si>
    <t>21:37:36:468</t>
  </si>
  <si>
    <t>21:37:36:680</t>
  </si>
  <si>
    <t>21:37:36:869</t>
  </si>
  <si>
    <t>21:37:37:122</t>
  </si>
  <si>
    <t>21:37:37:264</t>
  </si>
  <si>
    <t>21:37:37:466</t>
  </si>
  <si>
    <t>21:37:37:668</t>
  </si>
  <si>
    <t>21:37:37:880</t>
  </si>
  <si>
    <t>21:37:38:068</t>
  </si>
  <si>
    <t>21:37:38:269</t>
  </si>
  <si>
    <t>21:37:38:467</t>
  </si>
  <si>
    <t>21:37:38:667</t>
  </si>
  <si>
    <t>21:37:38:868</t>
  </si>
  <si>
    <t>21:37:39:077</t>
  </si>
  <si>
    <t>21:37:39:273</t>
  </si>
  <si>
    <t>21:37:39:471</t>
  </si>
  <si>
    <t>21:37:39:683</t>
  </si>
  <si>
    <t>21:37:39:870</t>
  </si>
  <si>
    <t>21:37:40:069</t>
  </si>
  <si>
    <t>21:37:40:285</t>
  </si>
  <si>
    <t>21:37:40:468</t>
  </si>
  <si>
    <t>21:37:40:670</t>
  </si>
  <si>
    <t>21:37:40:868</t>
  </si>
  <si>
    <t>21:37:41:070</t>
  </si>
  <si>
    <t>21:37:41:267</t>
  </si>
  <si>
    <t>21:37:41:468</t>
  </si>
  <si>
    <t>21:37:41:669</t>
  </si>
  <si>
    <t>21:37:41:864</t>
  </si>
  <si>
    <t>21:37:42:080</t>
  </si>
  <si>
    <t>21:37:42:268</t>
  </si>
  <si>
    <t>21:37:42:465</t>
  </si>
  <si>
    <t>21:37:42:668</t>
  </si>
  <si>
    <t>21:37:42:869</t>
  </si>
  <si>
    <t>21:37:43:101</t>
  </si>
  <si>
    <t>21:37:43:280</t>
  </si>
  <si>
    <t>21:37:43:471</t>
  </si>
  <si>
    <t>21:37:43:676</t>
  </si>
  <si>
    <t>21:37:43:878</t>
  </si>
  <si>
    <t>21:37:44:068</t>
  </si>
  <si>
    <t>21:37:44:269</t>
  </si>
  <si>
    <t>21:37:44:470</t>
  </si>
  <si>
    <t>21:37:44:670</t>
  </si>
  <si>
    <t>21:37:44:912</t>
  </si>
  <si>
    <t>21:37:45:070</t>
  </si>
  <si>
    <t>21:37:45:265</t>
  </si>
  <si>
    <t>21:37:45:468</t>
  </si>
  <si>
    <t>21:37:45:682</t>
  </si>
  <si>
    <t>21:37:45:868</t>
  </si>
  <si>
    <t>21:37:46:070</t>
  </si>
  <si>
    <t>21:37:46:268</t>
  </si>
  <si>
    <t>21:37:46:464</t>
  </si>
  <si>
    <t>21:37:46:664</t>
  </si>
  <si>
    <t>21:37:46:869</t>
  </si>
  <si>
    <t>21:37:47:066</t>
  </si>
  <si>
    <t>21:37:47:294</t>
  </si>
  <si>
    <t>21:37:47:492</t>
  </si>
  <si>
    <t>21:37:47:670</t>
  </si>
  <si>
    <t>21:37:47:870</t>
  </si>
  <si>
    <t>21:37:48:072</t>
  </si>
  <si>
    <t>21:37:48:284</t>
  </si>
  <si>
    <t>21:37:48:467</t>
  </si>
  <si>
    <t>21:37:48:680</t>
  </si>
  <si>
    <t>21:37:48:867</t>
  </si>
  <si>
    <t>21:37:49:068</t>
  </si>
  <si>
    <t>21:37:49:270</t>
  </si>
  <si>
    <t>21:37:49:473</t>
  </si>
  <si>
    <t>21:37:49:671</t>
  </si>
  <si>
    <t>21:37:49:868</t>
  </si>
  <si>
    <t>21:37:50:067</t>
  </si>
  <si>
    <t>21:37:50:300</t>
  </si>
  <si>
    <t>21:37:50:481</t>
  </si>
  <si>
    <t>21:37:50:669</t>
  </si>
  <si>
    <t>21:37:50:865</t>
  </si>
  <si>
    <t>21:37:51:070</t>
  </si>
  <si>
    <t>21:37:51:268</t>
  </si>
  <si>
    <t>21:37:51:469</t>
  </si>
  <si>
    <t>21:37:51:665</t>
  </si>
  <si>
    <t>21:37:51:868</t>
  </si>
  <si>
    <t>21:37:52:070</t>
  </si>
  <si>
    <t>21:37:52:271</t>
  </si>
  <si>
    <t>21:37:52:465</t>
  </si>
  <si>
    <t>21:37:52:666</t>
  </si>
  <si>
    <t>21:37:52:868</t>
  </si>
  <si>
    <t>21:37:53:069</t>
  </si>
  <si>
    <t>21:37:53:302</t>
  </si>
  <si>
    <t>21:37:53:486</t>
  </si>
  <si>
    <t>21:37:53:666</t>
  </si>
  <si>
    <t>21:37:53:902</t>
  </si>
  <si>
    <t>21:37:54:083</t>
  </si>
  <si>
    <t>21:37:54:268</t>
  </si>
  <si>
    <t>21:37:54:565</t>
  </si>
  <si>
    <t>21:37:54:848</t>
  </si>
  <si>
    <t>21:37:54:890</t>
  </si>
  <si>
    <t>21:37:55:065</t>
  </si>
  <si>
    <t>21:37:55:267</t>
  </si>
  <si>
    <t>21:37:55:474</t>
  </si>
  <si>
    <t>21:37:55:701</t>
  </si>
  <si>
    <t>21:37:55:881</t>
  </si>
  <si>
    <t>21:37:56:849</t>
  </si>
  <si>
    <t>21:37:56:907</t>
  </si>
  <si>
    <t>21:37:57:083</t>
  </si>
  <si>
    <t>21:37:57:284</t>
  </si>
  <si>
    <t>21:37:57:482</t>
  </si>
  <si>
    <t>21:37:57:679</t>
  </si>
  <si>
    <t>21:37:57:881</t>
  </si>
  <si>
    <t>21:37:58:080</t>
  </si>
  <si>
    <t>21:37:58:282</t>
  </si>
  <si>
    <t>21:37:58:525</t>
  </si>
  <si>
    <t>21:37:58:701</t>
  </si>
  <si>
    <t>21:37:58:882</t>
  </si>
  <si>
    <t>21:37:59:082</t>
  </si>
  <si>
    <t>21:37:59:354</t>
  </si>
  <si>
    <t>21:37:59:482</t>
  </si>
  <si>
    <t>21:37:59:680</t>
  </si>
  <si>
    <t>21:37:59:879</t>
  </si>
  <si>
    <t>21:38:00:080</t>
  </si>
  <si>
    <t>21:38:00:280</t>
  </si>
  <si>
    <t>21:38:00:500</t>
  </si>
  <si>
    <t>21:38:00:681</t>
  </si>
  <si>
    <t>21:38:00:882</t>
  </si>
  <si>
    <t>21:38:01:082</t>
  </si>
  <si>
    <t>21:38:01:281</t>
  </si>
  <si>
    <t>21:38:01:498</t>
  </si>
  <si>
    <t>21:38:01:700</t>
  </si>
  <si>
    <t>21:38:01:881</t>
  </si>
  <si>
    <t>21:38:02:083</t>
  </si>
  <si>
    <t>21:38:03:033</t>
  </si>
  <si>
    <t>21:38:03:086</t>
  </si>
  <si>
    <t>21:38:03:203</t>
  </si>
  <si>
    <t>21:38:03:401</t>
  </si>
  <si>
    <t>21:38:03:621</t>
  </si>
  <si>
    <t>21:38:03:781</t>
  </si>
  <si>
    <t>21:38:03:988</t>
  </si>
  <si>
    <t>21:38:04:163</t>
  </si>
  <si>
    <t>21:38:04:355</t>
  </si>
  <si>
    <t>21:38:04:544</t>
  </si>
  <si>
    <t>21:38:04:772</t>
  </si>
  <si>
    <t>21:38:04:948</t>
  </si>
  <si>
    <t>21:38:05:144</t>
  </si>
  <si>
    <t>21:38:05:346</t>
  </si>
  <si>
    <t>21:38:05:546</t>
  </si>
  <si>
    <t>21:38:05:745</t>
  </si>
  <si>
    <t>21:38:05:945</t>
  </si>
  <si>
    <t>21:38:06:147</t>
  </si>
  <si>
    <t>21:38:06:343</t>
  </si>
  <si>
    <t>21:38:06:546</t>
  </si>
  <si>
    <t>21:38:06:742</t>
  </si>
  <si>
    <t>21:38:06:945</t>
  </si>
  <si>
    <t>21:38:07:145</t>
  </si>
  <si>
    <t>21:38:07:343</t>
  </si>
  <si>
    <t>21:38:07:546</t>
  </si>
  <si>
    <t>21:38:07:747</t>
  </si>
  <si>
    <t>21:38:07:950</t>
  </si>
  <si>
    <t>21:38:08:151</t>
  </si>
  <si>
    <t>21:38:08:355</t>
  </si>
  <si>
    <t>21:38:08:552</t>
  </si>
  <si>
    <t>21:38:08:743</t>
  </si>
  <si>
    <t>21:38:08:945</t>
  </si>
  <si>
    <t>21:38:09:146</t>
  </si>
  <si>
    <t>21:38:09:346</t>
  </si>
  <si>
    <t>21:38:09:562</t>
  </si>
  <si>
    <t>21:38:09:746</t>
  </si>
  <si>
    <t>21:38:09:949</t>
  </si>
  <si>
    <t>21:38:10:144</t>
  </si>
  <si>
    <t>21:38:10:346</t>
  </si>
  <si>
    <t>21:38:10:547</t>
  </si>
  <si>
    <t>21:38:10:749</t>
  </si>
  <si>
    <t>21:38:10:944</t>
  </si>
  <si>
    <t>21:38:11:143</t>
  </si>
  <si>
    <t>21:38:11:361</t>
  </si>
  <si>
    <t>21:38:11:552</t>
  </si>
  <si>
    <t>21:38:11:749</t>
  </si>
  <si>
    <t>21:38:11:943</t>
  </si>
  <si>
    <t>21:38:12:148</t>
  </si>
  <si>
    <t>21:38:12:346</t>
  </si>
  <si>
    <t>21:38:12:547</t>
  </si>
  <si>
    <t>21:38:12:747</t>
  </si>
  <si>
    <t>21:38:12:945</t>
  </si>
  <si>
    <t>21:38:13:161</t>
  </si>
  <si>
    <t>21:38:13:346</t>
  </si>
  <si>
    <t>21:38:13:544</t>
  </si>
  <si>
    <t>21:38:13:757</t>
  </si>
  <si>
    <t>21:38:13:946</t>
  </si>
  <si>
    <t>21:38:14:144</t>
  </si>
  <si>
    <t>21:38:14:373</t>
  </si>
  <si>
    <t>21:38:14:550</t>
  </si>
  <si>
    <t>21:38:14:746</t>
  </si>
  <si>
    <t>21:38:14:961</t>
  </si>
  <si>
    <t>21:38:15:148</t>
  </si>
  <si>
    <t>21:38:15:342</t>
  </si>
  <si>
    <t>21:38:15:544</t>
  </si>
  <si>
    <t>21:38:15:744</t>
  </si>
  <si>
    <t>21:38:15:943</t>
  </si>
  <si>
    <t>21:38:16:145</t>
  </si>
  <si>
    <t>21:38:16:346</t>
  </si>
  <si>
    <t>21:38:16:548</t>
  </si>
  <si>
    <t>21:38:16:761</t>
  </si>
  <si>
    <t>21:38:16:953</t>
  </si>
  <si>
    <t>21:38:17:150</t>
  </si>
  <si>
    <t>21:38:17:346</t>
  </si>
  <si>
    <t>21:38:17:546</t>
  </si>
  <si>
    <t>21:38:17:746</t>
  </si>
  <si>
    <t>21:38:17:943</t>
  </si>
  <si>
    <t>21:38:18:146</t>
  </si>
  <si>
    <t>21:38:18:343</t>
  </si>
  <si>
    <t>21:38:18:561</t>
  </si>
  <si>
    <t>21:38:18:748</t>
  </si>
  <si>
    <t>21:38:18:948</t>
  </si>
  <si>
    <t>21:38:19:147</t>
  </si>
  <si>
    <t>21:38:19:342</t>
  </si>
  <si>
    <t>21:38:19:544</t>
  </si>
  <si>
    <t>21:38:19:744</t>
  </si>
  <si>
    <t>21:38:19:943</t>
  </si>
  <si>
    <t>21:38:20:147</t>
  </si>
  <si>
    <t>21:38:20:342</t>
  </si>
  <si>
    <t>21:38:20:556</t>
  </si>
  <si>
    <t>21:38:20:783</t>
  </si>
  <si>
    <t>21:38:20:963</t>
  </si>
  <si>
    <t>21:38:21:150</t>
  </si>
  <si>
    <t>21:38:21:345</t>
  </si>
  <si>
    <t>21:38:21:546</t>
  </si>
  <si>
    <t>21:38:21:746</t>
  </si>
  <si>
    <t>21:38:21:945</t>
  </si>
  <si>
    <t>21:38:22:146</t>
  </si>
  <si>
    <t>21:38:22:347</t>
  </si>
  <si>
    <t>21:38:22:547</t>
  </si>
  <si>
    <t>21:38:22:745</t>
  </si>
  <si>
    <t>21:38:22:945</t>
  </si>
  <si>
    <t>21:38:23:145</t>
  </si>
  <si>
    <t>21:38:23:361</t>
  </si>
  <si>
    <t>21:38:23:552</t>
  </si>
  <si>
    <t>21:38:23:745</t>
  </si>
  <si>
    <t>21:38:23:961</t>
  </si>
  <si>
    <t>21:38:24:145</t>
  </si>
  <si>
    <t>21:38:24:350</t>
  </si>
  <si>
    <t>21:38:24:542</t>
  </si>
  <si>
    <t>21:38:24:747</t>
  </si>
  <si>
    <t>21:38:24:943</t>
  </si>
  <si>
    <t>21:38:25:159</t>
  </si>
  <si>
    <t>21:38:25:353</t>
  </si>
  <si>
    <t>21:38:25:547</t>
  </si>
  <si>
    <t>21:38:25:746</t>
  </si>
  <si>
    <t>21:38:25:946</t>
  </si>
  <si>
    <t>21:38:26:145</t>
  </si>
  <si>
    <t>21:38:26:347</t>
  </si>
  <si>
    <t>21:38:26:546</t>
  </si>
  <si>
    <t>21:38:26:745</t>
  </si>
  <si>
    <t>21:38:26:945</t>
  </si>
  <si>
    <t>21:38:27:153</t>
  </si>
  <si>
    <t>21:38:27:347</t>
  </si>
  <si>
    <t>21:38:27:545</t>
  </si>
  <si>
    <t>21:38:27:747</t>
  </si>
  <si>
    <t>21:38:27:944</t>
  </si>
  <si>
    <t>21:38:28:161</t>
  </si>
  <si>
    <t>21:38:28:348</t>
  </si>
  <si>
    <t>21:38:28:543</t>
  </si>
  <si>
    <t>21:38:28:748</t>
  </si>
  <si>
    <t>21:38:28:943</t>
  </si>
  <si>
    <t>21:38:29:144</t>
  </si>
  <si>
    <t>21:38:29:361</t>
  </si>
  <si>
    <t>21:38:29:558</t>
  </si>
  <si>
    <t>21:38:29:757</t>
  </si>
  <si>
    <t>21:38:29:964</t>
  </si>
  <si>
    <t>21:38:30:145</t>
  </si>
  <si>
    <t>21:38:30:351</t>
  </si>
  <si>
    <t>21:38:30:547</t>
  </si>
  <si>
    <t>21:38:30:743</t>
  </si>
  <si>
    <t>21:38:30:948</t>
  </si>
  <si>
    <t>21:38:31:161</t>
  </si>
  <si>
    <t>21:38:31:345</t>
  </si>
  <si>
    <t>21:38:31:544</t>
  </si>
  <si>
    <t>21:38:31:747</t>
  </si>
  <si>
    <t>21:38:31:948</t>
  </si>
  <si>
    <t>21:38:32:142</t>
  </si>
  <si>
    <t>21:38:32:361</t>
  </si>
  <si>
    <t>21:38:32:562</t>
  </si>
  <si>
    <t>21:38:32:758</t>
  </si>
  <si>
    <t>21:38:32:946</t>
  </si>
  <si>
    <t>21:38:33:142</t>
  </si>
  <si>
    <t>21:38:33:345</t>
  </si>
  <si>
    <t>21:38:33:578</t>
  </si>
  <si>
    <t>21:38:33:752</t>
  </si>
  <si>
    <t>21:38:33:952</t>
  </si>
  <si>
    <t>21:38:34:157</t>
  </si>
  <si>
    <t>21:38:34:343</t>
  </si>
  <si>
    <t>21:38:34:547</t>
  </si>
  <si>
    <t>21:38:34:775</t>
  </si>
  <si>
    <t>21:38:34:944</t>
  </si>
  <si>
    <t>21:38:35:146</t>
  </si>
  <si>
    <t>21:38:35:346</t>
  </si>
  <si>
    <t>21:38:35:545</t>
  </si>
  <si>
    <t>21:38:35:746</t>
  </si>
  <si>
    <t>21:38:35:961</t>
  </si>
  <si>
    <t>21:38:36:147</t>
  </si>
  <si>
    <t>21:38:36:346</t>
  </si>
  <si>
    <t>21:38:36:630</t>
  </si>
  <si>
    <t>21:38:36:744</t>
  </si>
  <si>
    <t>21:38:36:946</t>
  </si>
  <si>
    <t>21:38:37:145</t>
  </si>
  <si>
    <t>21:38:37:347</t>
  </si>
  <si>
    <t>21:38:37:550</t>
  </si>
  <si>
    <t>21:38:37:747</t>
  </si>
  <si>
    <t>21:38:37:953</t>
  </si>
  <si>
    <t>21:38:38:154</t>
  </si>
  <si>
    <t>21:38:38:355</t>
  </si>
  <si>
    <t>21:38:38:547</t>
  </si>
  <si>
    <t>21:38:38:748</t>
  </si>
  <si>
    <t>21:38:38:947</t>
  </si>
  <si>
    <t>21:38:39:144</t>
  </si>
  <si>
    <t>21:38:39:347</t>
  </si>
  <si>
    <t>21:38:39:553</t>
  </si>
  <si>
    <t>21:38:39:746</t>
  </si>
  <si>
    <t>21:38:39:999</t>
  </si>
  <si>
    <t>21:38:40:147</t>
  </si>
  <si>
    <t>21:38:40:346</t>
  </si>
  <si>
    <t>21:38:40:547</t>
  </si>
  <si>
    <t>21:38:41:011</t>
  </si>
  <si>
    <t>21:38:41:083</t>
  </si>
  <si>
    <t>21:38:41:143</t>
  </si>
  <si>
    <t>21:38:41:361</t>
  </si>
  <si>
    <t>21:38:41:546</t>
  </si>
  <si>
    <t>21:38:41:746</t>
  </si>
  <si>
    <t>21:38:41:943</t>
  </si>
  <si>
    <t>21:38:42:148</t>
  </si>
  <si>
    <t>21:38:42:344</t>
  </si>
  <si>
    <t>21:38:42:557</t>
  </si>
  <si>
    <t>21:38:42:747</t>
  </si>
  <si>
    <t>21:38:42:954</t>
  </si>
  <si>
    <t>21:38:43:145</t>
  </si>
  <si>
    <t>21:38:43:444</t>
  </si>
  <si>
    <t>21:38:43:546</t>
  </si>
  <si>
    <t>21:38:43:761</t>
  </si>
  <si>
    <t>21:38:43:947</t>
  </si>
  <si>
    <t>21:38:44:147</t>
  </si>
  <si>
    <t>21:38:44:348</t>
  </si>
  <si>
    <t>21:38:44:544</t>
  </si>
  <si>
    <t>21:38:44:746</t>
  </si>
  <si>
    <t>21:38:44:961</t>
  </si>
  <si>
    <t>21:38:45:145</t>
  </si>
  <si>
    <t>21:38:45:348</t>
  </si>
  <si>
    <t>21:38:45:546</t>
  </si>
  <si>
    <t>21:38:45:747</t>
  </si>
  <si>
    <t>21:38:45:948</t>
  </si>
  <si>
    <t>21:38:46:159</t>
  </si>
  <si>
    <t>21:38:46:353</t>
  </si>
  <si>
    <t>21:38:46:549</t>
  </si>
  <si>
    <t>21:38:46:761</t>
  </si>
  <si>
    <t>21:38:46:961</t>
  </si>
  <si>
    <t>21:38:47:147</t>
  </si>
  <si>
    <t>21:38:47:344</t>
  </si>
  <si>
    <t>21:38:47:549</t>
  </si>
  <si>
    <t>21:38:47:748</t>
  </si>
  <si>
    <t>21:38:47:946</t>
  </si>
  <si>
    <t>21:38:48:147</t>
  </si>
  <si>
    <t>21:38:48:348</t>
  </si>
  <si>
    <t>21:38:48:562</t>
  </si>
  <si>
    <t>21:38:48:747</t>
  </si>
  <si>
    <t>21:38:48:950</t>
  </si>
  <si>
    <t>21:38:49:146</t>
  </si>
  <si>
    <t>21:38:49:349</t>
  </si>
  <si>
    <t>21:38:49:548</t>
  </si>
  <si>
    <t>21:38:49:746</t>
  </si>
  <si>
    <t>21:38:49:950</t>
  </si>
  <si>
    <t>21:38:50:147</t>
  </si>
  <si>
    <t>21:38:50:344</t>
  </si>
  <si>
    <t>21:38:50:548</t>
  </si>
  <si>
    <t>21:38:50:746</t>
  </si>
  <si>
    <t>21:38:50:959</t>
  </si>
  <si>
    <t>21:38:51:158</t>
  </si>
  <si>
    <t>21:38:51:363</t>
  </si>
  <si>
    <t>21:38:51:549</t>
  </si>
  <si>
    <t>21:38:51:746</t>
  </si>
  <si>
    <t>21:38:51:947</t>
  </si>
  <si>
    <t>21:38:52:148</t>
  </si>
  <si>
    <t>21:38:52:350</t>
  </si>
  <si>
    <t>21:38:52:592</t>
  </si>
  <si>
    <t>21:38:52:774</t>
  </si>
  <si>
    <t>21:38:52:949</t>
  </si>
  <si>
    <t>21:38:53:145</t>
  </si>
  <si>
    <t>21:38:53:362</t>
  </si>
  <si>
    <t>21:38:53:551</t>
  </si>
  <si>
    <t>21:38:53:749</t>
  </si>
  <si>
    <t>21:38:53:947</t>
  </si>
  <si>
    <t>21:38:54:147</t>
  </si>
  <si>
    <t>21:38:54:384</t>
  </si>
  <si>
    <t>21:38:54:882</t>
  </si>
  <si>
    <t>21:38:55:151</t>
  </si>
  <si>
    <t>21:38:55:218</t>
  </si>
  <si>
    <t>21:38:55:271</t>
  </si>
  <si>
    <t>21:38:55:355</t>
  </si>
  <si>
    <t>21:38:55:549</t>
  </si>
  <si>
    <t>21:38:55:764</t>
  </si>
  <si>
    <t>21:38:55:950</t>
  </si>
  <si>
    <t>21:38:56:146</t>
  </si>
  <si>
    <t>21:38:56:351</t>
  </si>
  <si>
    <t>21:38:56:560</t>
  </si>
  <si>
    <t>21:38:56:747</t>
  </si>
  <si>
    <t>21:38:56:962</t>
  </si>
  <si>
    <t>21:38:57:150</t>
  </si>
  <si>
    <t>21:38:57:350</t>
  </si>
  <si>
    <t>21:38:57:552</t>
  </si>
  <si>
    <t>21:38:57:746</t>
  </si>
  <si>
    <t>21:38:57:949</t>
  </si>
  <si>
    <t>21:38:58:161</t>
  </si>
  <si>
    <t>21:38:58:345</t>
  </si>
  <si>
    <t>21:38:58:550</t>
  </si>
  <si>
    <t>21:38:58:749</t>
  </si>
  <si>
    <t>21:38:58:947</t>
  </si>
  <si>
    <t>21:38:59:181</t>
  </si>
  <si>
    <t>21:38:59:353</t>
  </si>
  <si>
    <t>21:38:59:558</t>
  </si>
  <si>
    <t>21:38:59:760</t>
  </si>
  <si>
    <t>21:38:59:947</t>
  </si>
  <si>
    <t>21:39:00:150</t>
  </si>
  <si>
    <t>21:39:00:349</t>
  </si>
  <si>
    <t>21:39:00:551</t>
  </si>
  <si>
    <t>21:39:00:751</t>
  </si>
  <si>
    <t>21:39:00:990</t>
  </si>
  <si>
    <t>21:39:01:156</t>
  </si>
  <si>
    <t>21:39:01:351</t>
  </si>
  <si>
    <t>21:39:01:553</t>
  </si>
  <si>
    <t>21:39:01:762</t>
  </si>
  <si>
    <t>21:39:01:948</t>
  </si>
  <si>
    <t>21:39:02:148</t>
  </si>
  <si>
    <t>21:39:02:347</t>
  </si>
  <si>
    <t>21:39:02:549</t>
  </si>
  <si>
    <t>21:39:02:782</t>
  </si>
  <si>
    <t>21:39:02:960</t>
  </si>
  <si>
    <t>21:39:03:148</t>
  </si>
  <si>
    <t>21:39:03:350</t>
  </si>
  <si>
    <t>21:39:03:551</t>
  </si>
  <si>
    <t>21:39:03:754</t>
  </si>
  <si>
    <t>21:39:03:950</t>
  </si>
  <si>
    <t>21:39:04:164</t>
  </si>
  <si>
    <t>21:39:04:348</t>
  </si>
  <si>
    <t>21:39:04:549</t>
  </si>
  <si>
    <t>21:39:04:762</t>
  </si>
  <si>
    <t>21:39:04:951</t>
  </si>
  <si>
    <t>21:39:05:149</t>
  </si>
  <si>
    <t>21:39:05:350</t>
  </si>
  <si>
    <t>21:39:05:553</t>
  </si>
  <si>
    <t>21:39:05:748</t>
  </si>
  <si>
    <t>21:39:05:951</t>
  </si>
  <si>
    <t>21:39:06:149</t>
  </si>
  <si>
    <t>21:39:06:346</t>
  </si>
  <si>
    <t>21:39:06:550</t>
  </si>
  <si>
    <t>21:39:06:745</t>
  </si>
  <si>
    <t>21:39:06:947</t>
  </si>
  <si>
    <t>21:39:07:161</t>
  </si>
  <si>
    <t>21:39:07:349</t>
  </si>
  <si>
    <t>21:39:07:547</t>
  </si>
  <si>
    <t>21:39:07:751</t>
  </si>
  <si>
    <t>21:39:07:953</t>
  </si>
  <si>
    <t>21:39:08:159</t>
  </si>
  <si>
    <t>21:39:08:349</t>
  </si>
  <si>
    <t>21:39:08:551</t>
  </si>
  <si>
    <t>21:39:08:748</t>
  </si>
  <si>
    <t>21:39:08:963</t>
  </si>
  <si>
    <t>21:39:09:151</t>
  </si>
  <si>
    <t>21:39:09:353</t>
  </si>
  <si>
    <t>21:39:09:549</t>
  </si>
  <si>
    <t>21:39:09:747</t>
  </si>
  <si>
    <t>21:39:09:949</t>
  </si>
  <si>
    <t>21:39:10:161</t>
  </si>
  <si>
    <t>21:39:10:349</t>
  </si>
  <si>
    <t>21:39:10:550</t>
  </si>
  <si>
    <t>21:39:10:749</t>
  </si>
  <si>
    <t>21:39:10:948</t>
  </si>
  <si>
    <t>21:39:11:151</t>
  </si>
  <si>
    <t>21:39:11:350</t>
  </si>
  <si>
    <t>21:39:11:549</t>
  </si>
  <si>
    <t>21:39:11:748</t>
  </si>
  <si>
    <t>21:39:11:975</t>
  </si>
  <si>
    <t>21:39:12:153</t>
  </si>
  <si>
    <t>21:39:12:351</t>
  </si>
  <si>
    <t>21:39:12:562</t>
  </si>
  <si>
    <t>21:39:12:751</t>
  </si>
  <si>
    <t>21:39:12:949</t>
  </si>
  <si>
    <t>21:39:13:146</t>
  </si>
  <si>
    <t>21:39:13:351</t>
  </si>
  <si>
    <t>21:39:13:550</t>
  </si>
  <si>
    <t>21:39:13:748</t>
  </si>
  <si>
    <t>21:39:13:947</t>
  </si>
  <si>
    <t>21:39:14:149</t>
  </si>
  <si>
    <t>21:39:14:348</t>
  </si>
  <si>
    <t>21:39:14:549</t>
  </si>
  <si>
    <t>21:39:14:749</t>
  </si>
  <si>
    <t>21:39:14:947</t>
  </si>
  <si>
    <t>21:39:15:151</t>
  </si>
  <si>
    <t>21:39:15:348</t>
  </si>
  <si>
    <t>21:39:15:549</t>
  </si>
  <si>
    <t>21:39:15:750</t>
  </si>
  <si>
    <t>21:39:15:952</t>
  </si>
  <si>
    <t>21:39:16:152</t>
  </si>
  <si>
    <t>21:39:16:352</t>
  </si>
  <si>
    <t>21:39:16:581</t>
  </si>
  <si>
    <t>21:39:16:760</t>
  </si>
  <si>
    <t>21:39:16:956</t>
  </si>
  <si>
    <t>21:39:17:150</t>
  </si>
  <si>
    <t>21:39:17:347</t>
  </si>
  <si>
    <t>21:39:17:555</t>
  </si>
  <si>
    <t>21:39:17:781</t>
  </si>
  <si>
    <t>21:39:17:963</t>
  </si>
  <si>
    <t>21:39:18:151</t>
  </si>
  <si>
    <t>21:39:18:381</t>
  </si>
  <si>
    <t>21:39:18:551</t>
  </si>
  <si>
    <t>21:39:18:747</t>
  </si>
  <si>
    <t>21:39:18:960</t>
  </si>
  <si>
    <t>21:39:19:148</t>
  </si>
  <si>
    <t>21:39:19:352</t>
  </si>
  <si>
    <t>21:39:19:582</t>
  </si>
  <si>
    <t>21:39:19:750</t>
  </si>
  <si>
    <t>21:39:19:953</t>
  </si>
  <si>
    <t>21:39:20:150</t>
  </si>
  <si>
    <t>21:39:20:348</t>
  </si>
  <si>
    <t>21:39:20:553</t>
  </si>
  <si>
    <t>21:39:20:753</t>
  </si>
  <si>
    <t>21:39:20:958</t>
  </si>
  <si>
    <t>21:39:21:158</t>
  </si>
  <si>
    <t>21:39:21:355</t>
  </si>
  <si>
    <t>21:39:21:566</t>
  </si>
  <si>
    <t>21:39:21:751</t>
  </si>
  <si>
    <t>21:39:21:953</t>
  </si>
  <si>
    <t>21:39:22:152</t>
  </si>
  <si>
    <t>21:39:22:349</t>
  </si>
  <si>
    <t>21:39:22:581</t>
  </si>
  <si>
    <t>21:39:22:805</t>
  </si>
  <si>
    <t>21:39:22:952</t>
  </si>
  <si>
    <t>21:39:23:150</t>
  </si>
  <si>
    <t>21:39:23:353</t>
  </si>
  <si>
    <t>21:39:23:552</t>
  </si>
  <si>
    <t>21:39:23:752</t>
  </si>
  <si>
    <t>21:39:23:952</t>
  </si>
  <si>
    <t>21:39:24:149</t>
  </si>
  <si>
    <t>21:39:24:378</t>
  </si>
  <si>
    <t>21:39:24:562</t>
  </si>
  <si>
    <t>21:39:24:753</t>
  </si>
  <si>
    <t>21:39:24:953</t>
  </si>
  <si>
    <t>21:39:25:156</t>
  </si>
  <si>
    <t>21:39:25:354</t>
  </si>
  <si>
    <t>21:39:25:582</t>
  </si>
  <si>
    <t>21:39:25:771</t>
  </si>
  <si>
    <t>21:39:25:952</t>
  </si>
  <si>
    <t>21:39:26:153</t>
  </si>
  <si>
    <t>21:39:26:350</t>
  </si>
  <si>
    <t>21:39:26:549</t>
  </si>
  <si>
    <t>21:39:26:781</t>
  </si>
  <si>
    <t>21:39:26:962</t>
  </si>
  <si>
    <t>21:39:27:152</t>
  </si>
  <si>
    <t>21:39:27:352</t>
  </si>
  <si>
    <t>21:39:27:547</t>
  </si>
  <si>
    <t>21:39:27:752</t>
  </si>
  <si>
    <t>21:39:27:982</t>
  </si>
  <si>
    <t>21:39:28:158</t>
  </si>
  <si>
    <t>21:39:28:353</t>
  </si>
  <si>
    <t>21:39:28:551</t>
  </si>
  <si>
    <t>21:39:28:758</t>
  </si>
  <si>
    <t>21:39:28:951</t>
  </si>
  <si>
    <t>21:39:29:151</t>
  </si>
  <si>
    <t>21:39:29:355</t>
  </si>
  <si>
    <t>21:39:29:555</t>
  </si>
  <si>
    <t>21:39:29:783</t>
  </si>
  <si>
    <t>21:39:29:970</t>
  </si>
  <si>
    <t>21:39:30:151</t>
  </si>
  <si>
    <t>21:39:30:350</t>
  </si>
  <si>
    <t>21:39:30:552</t>
  </si>
  <si>
    <t>21:39:30:751</t>
  </si>
  <si>
    <t>21:39:30:953</t>
  </si>
  <si>
    <t>21:39:31:177</t>
  </si>
  <si>
    <t>21:39:31:356</t>
  </si>
  <si>
    <t>21:39:31:552</t>
  </si>
  <si>
    <t>21:39:31:755</t>
  </si>
  <si>
    <t>21:39:31:954</t>
  </si>
  <si>
    <t>21:39:32:182</t>
  </si>
  <si>
    <t>21:39:32:353</t>
  </si>
  <si>
    <t>21:39:32:549</t>
  </si>
  <si>
    <t>21:39:32:782</t>
  </si>
  <si>
    <t>21:39:32:962</t>
  </si>
  <si>
    <t>21:39:33:153</t>
  </si>
  <si>
    <t>21:39:33:350</t>
  </si>
  <si>
    <t>21:39:33:553</t>
  </si>
  <si>
    <t>21:39:33:759</t>
  </si>
  <si>
    <t>21:39:33:987</t>
  </si>
  <si>
    <t>21:39:34:152</t>
  </si>
  <si>
    <t>21:39:34:351</t>
  </si>
  <si>
    <t>21:39:34:555</t>
  </si>
  <si>
    <t>21:39:34:755</t>
  </si>
  <si>
    <t>21:39:34:949</t>
  </si>
  <si>
    <t>21:39:35:187</t>
  </si>
  <si>
    <t>21:39:35:362</t>
  </si>
  <si>
    <t>21:39:35:552</t>
  </si>
  <si>
    <t>21:39:35:752</t>
  </si>
  <si>
    <t>21:39:35:953</t>
  </si>
  <si>
    <t>21:39:36:148</t>
  </si>
  <si>
    <t>21:39:36:384</t>
  </si>
  <si>
    <t>21:39:36:562</t>
  </si>
  <si>
    <t>21:39:36:749</t>
  </si>
  <si>
    <t>21:39:36:949</t>
  </si>
  <si>
    <t>21:39:37:153</t>
  </si>
  <si>
    <t>21:39:37:348</t>
  </si>
  <si>
    <t>21:39:37:582</t>
  </si>
  <si>
    <t>21:39:37:749</t>
  </si>
  <si>
    <t>21:39:37:958</t>
  </si>
  <si>
    <t>21:39:38:179</t>
  </si>
  <si>
    <t>21:39:38:366</t>
  </si>
  <si>
    <t>21:39:38:552</t>
  </si>
  <si>
    <t>21:39:38:753</t>
  </si>
  <si>
    <t>21:39:38:953</t>
  </si>
  <si>
    <t>21:39:39:155</t>
  </si>
  <si>
    <t>21:39:39:353</t>
  </si>
  <si>
    <t>21:39:39:556</t>
  </si>
  <si>
    <t>21:39:39:758</t>
  </si>
  <si>
    <t>21:39:39:953</t>
  </si>
  <si>
    <t>21:39:40:155</t>
  </si>
  <si>
    <t>21:39:40:355</t>
  </si>
  <si>
    <t>21:39:40:556</t>
  </si>
  <si>
    <t>21:39:40:752</t>
  </si>
  <si>
    <t>21:39:40:954</t>
  </si>
  <si>
    <t>21:39:41:183</t>
  </si>
  <si>
    <t>21:39:41:361</t>
  </si>
  <si>
    <t>21:39:41:577</t>
  </si>
  <si>
    <t>21:39:41:755</t>
  </si>
  <si>
    <t>21:39:41:950</t>
  </si>
  <si>
    <t>21:39:42:156</t>
  </si>
  <si>
    <t>21:39:42:360</t>
  </si>
  <si>
    <t>21:39:42:552</t>
  </si>
  <si>
    <t>21:39:42:755</t>
  </si>
  <si>
    <t>21:39:42:950</t>
  </si>
  <si>
    <t>21:39:43:153</t>
  </si>
  <si>
    <t>21:39:43:355</t>
  </si>
  <si>
    <t>21:39:43:557</t>
  </si>
  <si>
    <t>21:39:43:754</t>
  </si>
  <si>
    <t>21:39:43:951</t>
  </si>
  <si>
    <t>21:39:44:182</t>
  </si>
  <si>
    <t>21:39:44:362</t>
  </si>
  <si>
    <t>21:39:44:551</t>
  </si>
  <si>
    <t>21:39:44:750</t>
  </si>
  <si>
    <t>21:39:44:955</t>
  </si>
  <si>
    <t>21:39:45:155</t>
  </si>
  <si>
    <t>21:39:45:354</t>
  </si>
  <si>
    <t>21:39:45:564</t>
  </si>
  <si>
    <t>21:39:45:754</t>
  </si>
  <si>
    <t>21:39:45:949</t>
  </si>
  <si>
    <t>21:39:46:154</t>
  </si>
  <si>
    <t>21:39:46:354</t>
  </si>
  <si>
    <t>21:39:46:579</t>
  </si>
  <si>
    <t>21:39:46:763</t>
  </si>
  <si>
    <t>21:39:46:954</t>
  </si>
  <si>
    <t>21:39:47:153</t>
  </si>
  <si>
    <t>21:39:47:353</t>
  </si>
  <si>
    <t>21:39:47:553</t>
  </si>
  <si>
    <t>21:39:47:753</t>
  </si>
  <si>
    <t>21:39:47:954</t>
  </si>
  <si>
    <t>21:39:48:149</t>
  </si>
  <si>
    <t>21:39:48:382</t>
  </si>
  <si>
    <t>21:39:48:556</t>
  </si>
  <si>
    <t>21:39:48:752</t>
  </si>
  <si>
    <t>21:39:48:953</t>
  </si>
  <si>
    <t>21:39:49:153</t>
  </si>
  <si>
    <t>21:39:49:352</t>
  </si>
  <si>
    <t>21:39:49:583</t>
  </si>
  <si>
    <t>21:39:49:762</t>
  </si>
  <si>
    <t>21:39:49:956</t>
  </si>
  <si>
    <t>21:39:50:153</t>
  </si>
  <si>
    <t>21:39:50:373</t>
  </si>
  <si>
    <t>21:39:50:553</t>
  </si>
  <si>
    <t>21:39:50:758</t>
  </si>
  <si>
    <t>21:39:50:956</t>
  </si>
  <si>
    <t>21:39:51:175</t>
  </si>
  <si>
    <t>21:39:51:354</t>
  </si>
  <si>
    <t>21:39:51:555</t>
  </si>
  <si>
    <t>21:39:51:754</t>
  </si>
  <si>
    <t>21:39:51:953</t>
  </si>
  <si>
    <t>21:39:52:155</t>
  </si>
  <si>
    <t>21:39:52:358</t>
  </si>
  <si>
    <t>21:39:52:563</t>
  </si>
  <si>
    <t>21:39:52:754</t>
  </si>
  <si>
    <t>21:39:52:951</t>
  </si>
  <si>
    <t>21:39:53:179</t>
  </si>
  <si>
    <t>21:39:53:351</t>
  </si>
  <si>
    <t>21:39:53:555</t>
  </si>
  <si>
    <t>21:39:53:751</t>
  </si>
  <si>
    <t>21:39:53:954</t>
  </si>
  <si>
    <t>21:39:54:151</t>
  </si>
  <si>
    <t>21:39:54:382</t>
  </si>
  <si>
    <t>21:39:54:562</t>
  </si>
  <si>
    <t>21:39:54:751</t>
  </si>
  <si>
    <t>21:39:55:361</t>
  </si>
  <si>
    <t>21:39:55:558</t>
  </si>
  <si>
    <t>21:39:55:754</t>
  </si>
  <si>
    <t>21:39:55:953</t>
  </si>
  <si>
    <t>21:39:56:184</t>
  </si>
  <si>
    <t>21:39:56:362</t>
  </si>
  <si>
    <t>21:39:56:556</t>
  </si>
  <si>
    <t>21:39:56:782</t>
  </si>
  <si>
    <t>21:39:56:958</t>
  </si>
  <si>
    <t>21:39:57:154</t>
  </si>
  <si>
    <t>21:39:57:352</t>
  </si>
  <si>
    <t>21:39:57:557</t>
  </si>
  <si>
    <t>21:39:57:755</t>
  </si>
  <si>
    <t>21:39:57:982</t>
  </si>
  <si>
    <t>21:39:58:156</t>
  </si>
  <si>
    <t>21:39:58:354</t>
  </si>
  <si>
    <t>21:39:58:583</t>
  </si>
  <si>
    <t>21:39:58:763</t>
  </si>
  <si>
    <t>21:39:58:951</t>
  </si>
  <si>
    <t>21:39:59:156</t>
  </si>
  <si>
    <t>21:39:59:362</t>
  </si>
  <si>
    <t>21:39:59:563</t>
  </si>
  <si>
    <t>21:39:59:754</t>
  </si>
  <si>
    <t>21:39:59:970</t>
  </si>
  <si>
    <t>21:40:00:155</t>
  </si>
  <si>
    <t>21:40:00:356</t>
  </si>
  <si>
    <t>21:40:00:552</t>
  </si>
  <si>
    <t>21:40:00:754</t>
  </si>
  <si>
    <t>21:40:00:985</t>
  </si>
  <si>
    <t>21:40:01:160</t>
  </si>
  <si>
    <t>21:40:01:354</t>
  </si>
  <si>
    <t>21:40:01:582</t>
  </si>
  <si>
    <t>21:40:01:763</t>
  </si>
  <si>
    <t>21:40:01:953</t>
  </si>
  <si>
    <t>21:40:02:155</t>
  </si>
  <si>
    <t>21:40:02:362</t>
  </si>
  <si>
    <t>21:40:02:556</t>
  </si>
  <si>
    <t>21:40:02:756</t>
  </si>
  <si>
    <t>21:40:02:953</t>
  </si>
  <si>
    <t>21:40:03:151</t>
  </si>
  <si>
    <t>21:40:03:381</t>
  </si>
  <si>
    <t>21:40:03:563</t>
  </si>
  <si>
    <t>21:40:03:765</t>
  </si>
  <si>
    <t>21:40:03:958</t>
  </si>
  <si>
    <t>21:40:04:158</t>
  </si>
  <si>
    <t>21:40:04:355</t>
  </si>
  <si>
    <t>21:40:04:582</t>
  </si>
  <si>
    <t>21:40:04:762</t>
  </si>
  <si>
    <t>21:40:04:955</t>
  </si>
  <si>
    <t>21:40:05:182</t>
  </si>
  <si>
    <t>21:40:05:363</t>
  </si>
  <si>
    <t>21:40:05:555</t>
  </si>
  <si>
    <t>21:40:05:756</t>
  </si>
  <si>
    <t>21:40:05:960</t>
  </si>
  <si>
    <t>21:40:06:154</t>
  </si>
  <si>
    <t>21:40:06:352</t>
  </si>
  <si>
    <t>21:40:06:553</t>
  </si>
  <si>
    <t>21:40:06:756</t>
  </si>
  <si>
    <t>21:40:06:956</t>
  </si>
  <si>
    <t>21:40:07:936</t>
  </si>
  <si>
    <t>21:40:07:984</t>
  </si>
  <si>
    <t>21:40:08:049</t>
  </si>
  <si>
    <t>21:40:08:099</t>
  </si>
  <si>
    <t>21:40:08:153</t>
  </si>
  <si>
    <t>21:40:08:233</t>
  </si>
  <si>
    <t>21:40:08:353</t>
  </si>
  <si>
    <t>21:40:08:562</t>
  </si>
  <si>
    <t>21:40:08:779</t>
  </si>
  <si>
    <t>21:40:08:956</t>
  </si>
  <si>
    <t>21:40:09:154</t>
  </si>
  <si>
    <t>21:40:09:382</t>
  </si>
  <si>
    <t>21:40:09:573</t>
  </si>
  <si>
    <t>21:40:09:754</t>
  </si>
  <si>
    <t>21:40:09:952</t>
  </si>
  <si>
    <t>21:40:10:229</t>
  </si>
  <si>
    <t>21:40:10:354</t>
  </si>
  <si>
    <t>21:40:10:583</t>
  </si>
  <si>
    <t>21:40:10:764</t>
  </si>
  <si>
    <t>21:40:10:951</t>
  </si>
  <si>
    <t>21:40:11:179</t>
  </si>
  <si>
    <t>21:40:11:354</t>
  </si>
  <si>
    <t>21:40:11:557</t>
  </si>
  <si>
    <t>21:40:11:774</t>
  </si>
  <si>
    <t>21:40:11:962</t>
  </si>
  <si>
    <t>21:40:12:158</t>
  </si>
  <si>
    <t>21:40:12:357</t>
  </si>
  <si>
    <t>21:40:12:558</t>
  </si>
  <si>
    <t>21:40:12:758</t>
  </si>
  <si>
    <t>21:40:12:979</t>
  </si>
  <si>
    <t>21:40:13:155</t>
  </si>
  <si>
    <t>21:40:13:357</t>
  </si>
  <si>
    <t>21:40:13:587</t>
  </si>
  <si>
    <t>21:40:13:756</t>
  </si>
  <si>
    <t>21:40:13:953</t>
  </si>
  <si>
    <t>21:40:14:157</t>
  </si>
  <si>
    <t>21:40:14:364</t>
  </si>
  <si>
    <t>21:40:14:556</t>
  </si>
  <si>
    <t>21:40:14:755</t>
  </si>
  <si>
    <t>21:40:14:958</t>
  </si>
  <si>
    <t>21:40:15:153</t>
  </si>
  <si>
    <t>21:40:15:382</t>
  </si>
  <si>
    <t>21:40:15:564</t>
  </si>
  <si>
    <t>21:40:15:752</t>
  </si>
  <si>
    <t>21:40:15:982</t>
  </si>
  <si>
    <t>21:40:16:164</t>
  </si>
  <si>
    <t>21:40:16:364</t>
  </si>
  <si>
    <t>21:40:16:557</t>
  </si>
  <si>
    <t>21:40:16:767</t>
  </si>
  <si>
    <t>21:40:16:958</t>
  </si>
  <si>
    <t>21:40:17:156</t>
  </si>
  <si>
    <t>21:40:17:356</t>
  </si>
  <si>
    <t>21:40:17:560</t>
  </si>
  <si>
    <t>21:40:17:757</t>
  </si>
  <si>
    <t>21:40:17:954</t>
  </si>
  <si>
    <t>21:40:18:156</t>
  </si>
  <si>
    <t>21:40:18:382</t>
  </si>
  <si>
    <t>21:40:18:558</t>
  </si>
  <si>
    <t>21:40:18:753</t>
  </si>
  <si>
    <t>21:40:18:979</t>
  </si>
  <si>
    <t>21:40:19:191</t>
  </si>
  <si>
    <t>21:40:19:357</t>
  </si>
  <si>
    <t>21:40:19:552</t>
  </si>
  <si>
    <t>21:40:19:754</t>
  </si>
  <si>
    <t>21:40:19:959</t>
  </si>
  <si>
    <t>21:40:20:156</t>
  </si>
  <si>
    <t>21:40:20:353</t>
  </si>
  <si>
    <t>21:40:20:557</t>
  </si>
  <si>
    <t>21:40:20:782</t>
  </si>
  <si>
    <t>21:40:20:965</t>
  </si>
  <si>
    <t>21:40:21:160</t>
  </si>
  <si>
    <t>21:40:21:356</t>
  </si>
  <si>
    <t>21:40:21:567</t>
  </si>
  <si>
    <t>21:40:21:756</t>
  </si>
  <si>
    <t>21:40:21:955</t>
  </si>
  <si>
    <t>21:40:22:157</t>
  </si>
  <si>
    <t>21:40:22:356</t>
  </si>
  <si>
    <t>21:40:22:556</t>
  </si>
  <si>
    <t>21:40:22:758</t>
  </si>
  <si>
    <t>21:40:22:964</t>
  </si>
  <si>
    <t>21:40:23:156</t>
  </si>
  <si>
    <t>21:40:23:359</t>
  </si>
  <si>
    <t>21:40:23:553</t>
  </si>
  <si>
    <t>21:40:23:753</t>
  </si>
  <si>
    <t>21:40:23:954</t>
  </si>
  <si>
    <t>21:40:24:158</t>
  </si>
  <si>
    <t>21:40:24:379</t>
  </si>
  <si>
    <t>21:40:24:556</t>
  </si>
  <si>
    <t>21:40:24:756</t>
  </si>
  <si>
    <t>21:40:24:980</t>
  </si>
  <si>
    <t>21:40:25:158</t>
  </si>
  <si>
    <t>21:40:25:355</t>
  </si>
  <si>
    <t>21:40:25:567</t>
  </si>
  <si>
    <t>21:40:25:756</t>
  </si>
  <si>
    <t>21:40:25:953</t>
  </si>
  <si>
    <t>21:40:26:181</t>
  </si>
  <si>
    <t>21:40:26:358</t>
  </si>
  <si>
    <t>21:40:26:555</t>
  </si>
  <si>
    <t>21:40:26:779</t>
  </si>
  <si>
    <t>21:40:27:003</t>
  </si>
  <si>
    <t>21:40:27:157</t>
  </si>
  <si>
    <t>21:40:27:357</t>
  </si>
  <si>
    <t>21:40:27:557</t>
  </si>
  <si>
    <t>21:40:27:753</t>
  </si>
  <si>
    <t>21:40:27:959</t>
  </si>
  <si>
    <t>21:40:28:156</t>
  </si>
  <si>
    <t>21:40:28:357</t>
  </si>
  <si>
    <t>21:40:28:557</t>
  </si>
  <si>
    <t>21:40:28:774</t>
  </si>
  <si>
    <t>21:40:28:957</t>
  </si>
  <si>
    <t>21:40:29:158</t>
  </si>
  <si>
    <t>21:40:29:362</t>
  </si>
  <si>
    <t>21:40:29:562</t>
  </si>
  <si>
    <t>21:40:29:766</t>
  </si>
  <si>
    <t>21:40:29:971</t>
  </si>
  <si>
    <t>21:40:30:154</t>
  </si>
  <si>
    <t>21:40:30:358</t>
  </si>
  <si>
    <t>21:40:30:558</t>
  </si>
  <si>
    <t>21:40:30:760</t>
  </si>
  <si>
    <t>21:40:30:959</t>
  </si>
  <si>
    <t>21:40:31:157</t>
  </si>
  <si>
    <t>21:40:31:359</t>
  </si>
  <si>
    <t>21:40:31:554</t>
  </si>
  <si>
    <t>21:40:31:759</t>
  </si>
  <si>
    <t>21:40:31:958</t>
  </si>
  <si>
    <t>21:40:32:182</t>
  </si>
  <si>
    <t>21:40:32:360</t>
  </si>
  <si>
    <t>21:40:32:558</t>
  </si>
  <si>
    <t>21:40:32:783</t>
  </si>
  <si>
    <t>21:40:32:959</t>
  </si>
  <si>
    <t>21:40:33:158</t>
  </si>
  <si>
    <t>21:40:33:358</t>
  </si>
  <si>
    <t>21:40:33:561</t>
  </si>
  <si>
    <t>21:40:33:760</t>
  </si>
  <si>
    <t>21:40:33:957</t>
  </si>
  <si>
    <t>21:40:34:156</t>
  </si>
  <si>
    <t>21:40:34:357</t>
  </si>
  <si>
    <t>21:40:34:556</t>
  </si>
  <si>
    <t>21:40:34:755</t>
  </si>
  <si>
    <t>21:40:34:959</t>
  </si>
  <si>
    <t>21:40:35:501</t>
  </si>
  <si>
    <t>21:40:35:602</t>
  </si>
  <si>
    <t>Date_Seg14</t>
  </si>
  <si>
    <t>Date_Seg15</t>
  </si>
  <si>
    <t>Time_Seg14</t>
  </si>
  <si>
    <t>Time_Seg15</t>
  </si>
  <si>
    <t>Test_ID_Seg14</t>
  </si>
  <si>
    <t>Test_ID_Seg15</t>
  </si>
  <si>
    <t>Experimental_Seg14</t>
  </si>
  <si>
    <t>Experimental_Seg15</t>
  </si>
  <si>
    <t>Pressure_Seg14</t>
  </si>
  <si>
    <t>Pressure_Seg15</t>
  </si>
  <si>
    <t>dac_bits_Seg14</t>
  </si>
  <si>
    <t>dac_bits_Seg15</t>
  </si>
  <si>
    <t>mass_Seg14</t>
  </si>
  <si>
    <t>mass_Seg15</t>
  </si>
  <si>
    <t>slide_Seg14</t>
  </si>
  <si>
    <t>slide_Seg15</t>
  </si>
  <si>
    <t>time_Seg14</t>
  </si>
  <si>
    <t>time_Seg15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</si>
</sst>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152.7996</c:v>
                </c:pt>
                <c:pt idx="1">
                  <c:v>152.99979999999999</c:v>
                </c:pt>
                <c:pt idx="2">
                  <c:v>153.2011</c:v>
                </c:pt>
                <c:pt idx="3">
                  <c:v>153.40039999999999</c:v>
                </c:pt>
                <c:pt idx="4">
                  <c:v>153.60069999999999</c:v>
                </c:pt>
                <c:pt idx="5">
                  <c:v>153.79949999999999</c:v>
                </c:pt>
                <c:pt idx="6">
                  <c:v>153.99959999999999</c:v>
                </c:pt>
                <c:pt idx="7">
                  <c:v>154.2003</c:v>
                </c:pt>
                <c:pt idx="8">
                  <c:v>154.4006</c:v>
                </c:pt>
                <c:pt idx="9">
                  <c:v>154.60120000000001</c:v>
                </c:pt>
                <c:pt idx="10">
                  <c:v>154.80410000000001</c:v>
                </c:pt>
                <c:pt idx="11">
                  <c:v>154.99969999999999</c:v>
                </c:pt>
                <c:pt idx="12">
                  <c:v>155.19900000000001</c:v>
                </c:pt>
                <c:pt idx="13">
                  <c:v>155.40090000000001</c:v>
                </c:pt>
                <c:pt idx="14">
                  <c:v>155.60059999999999</c:v>
                </c:pt>
                <c:pt idx="15">
                  <c:v>155.80250000000001</c:v>
                </c:pt>
                <c:pt idx="16">
                  <c:v>156.00360000000001</c:v>
                </c:pt>
                <c:pt idx="17">
                  <c:v>156.20070000000001</c:v>
                </c:pt>
                <c:pt idx="18">
                  <c:v>156.399</c:v>
                </c:pt>
                <c:pt idx="19">
                  <c:v>156.6009</c:v>
                </c:pt>
                <c:pt idx="20">
                  <c:v>156.8004</c:v>
                </c:pt>
                <c:pt idx="21">
                  <c:v>157.00149999999999</c:v>
                </c:pt>
                <c:pt idx="22">
                  <c:v>157.19909999999999</c:v>
                </c:pt>
                <c:pt idx="23">
                  <c:v>157.4016</c:v>
                </c:pt>
                <c:pt idx="24">
                  <c:v>157.5993</c:v>
                </c:pt>
                <c:pt idx="25">
                  <c:v>157.8015</c:v>
                </c:pt>
                <c:pt idx="26">
                  <c:v>158.0008</c:v>
                </c:pt>
                <c:pt idx="27">
                  <c:v>158.20079999999999</c:v>
                </c:pt>
                <c:pt idx="28">
                  <c:v>158.4007</c:v>
                </c:pt>
                <c:pt idx="29">
                  <c:v>158.5993</c:v>
                </c:pt>
                <c:pt idx="30">
                  <c:v>158.80109999999999</c:v>
                </c:pt>
                <c:pt idx="31">
                  <c:v>158.99969999999999</c:v>
                </c:pt>
                <c:pt idx="32">
                  <c:v>159.2011</c:v>
                </c:pt>
                <c:pt idx="33">
                  <c:v>159.39940000000001</c:v>
                </c:pt>
                <c:pt idx="34">
                  <c:v>159.6011</c:v>
                </c:pt>
                <c:pt idx="35">
                  <c:v>159.7989</c:v>
                </c:pt>
                <c:pt idx="36">
                  <c:v>160.0001</c:v>
                </c:pt>
                <c:pt idx="37">
                  <c:v>160.20009999999999</c:v>
                </c:pt>
                <c:pt idx="38">
                  <c:v>160.3998</c:v>
                </c:pt>
                <c:pt idx="39">
                  <c:v>160.5992</c:v>
                </c:pt>
                <c:pt idx="40">
                  <c:v>160.80009999999999</c:v>
                </c:pt>
                <c:pt idx="41">
                  <c:v>161.00120000000001</c:v>
                </c:pt>
                <c:pt idx="42">
                  <c:v>161.2011</c:v>
                </c:pt>
                <c:pt idx="43">
                  <c:v>161.39869999999999</c:v>
                </c:pt>
                <c:pt idx="44">
                  <c:v>161.6</c:v>
                </c:pt>
                <c:pt idx="45">
                  <c:v>161.7996</c:v>
                </c:pt>
                <c:pt idx="46">
                  <c:v>162.00460000000001</c:v>
                </c:pt>
                <c:pt idx="47">
                  <c:v>162.20060000000001</c:v>
                </c:pt>
                <c:pt idx="48">
                  <c:v>162.39879999999999</c:v>
                </c:pt>
                <c:pt idx="49">
                  <c:v>162.60169999999999</c:v>
                </c:pt>
                <c:pt idx="50">
                  <c:v>162.8005</c:v>
                </c:pt>
                <c:pt idx="51">
                  <c:v>162.99879999999999</c:v>
                </c:pt>
                <c:pt idx="52">
                  <c:v>163.2004</c:v>
                </c:pt>
                <c:pt idx="53">
                  <c:v>163.3991</c:v>
                </c:pt>
                <c:pt idx="54">
                  <c:v>163.59870000000001</c:v>
                </c:pt>
                <c:pt idx="55">
                  <c:v>163.8047</c:v>
                </c:pt>
                <c:pt idx="56">
                  <c:v>163.999</c:v>
                </c:pt>
                <c:pt idx="57">
                  <c:v>164.19890000000001</c:v>
                </c:pt>
                <c:pt idx="58">
                  <c:v>164.39949999999999</c:v>
                </c:pt>
                <c:pt idx="59">
                  <c:v>164.601</c:v>
                </c:pt>
                <c:pt idx="60">
                  <c:v>164.7996</c:v>
                </c:pt>
                <c:pt idx="61">
                  <c:v>164.99969999999999</c:v>
                </c:pt>
                <c:pt idx="62">
                  <c:v>165.1995</c:v>
                </c:pt>
                <c:pt idx="63">
                  <c:v>165.3989</c:v>
                </c:pt>
                <c:pt idx="64">
                  <c:v>165.6001</c:v>
                </c:pt>
                <c:pt idx="65">
                  <c:v>165.80080000000001</c:v>
                </c:pt>
                <c:pt idx="66">
                  <c:v>166.00120000000001</c:v>
                </c:pt>
                <c:pt idx="67">
                  <c:v>166.1994</c:v>
                </c:pt>
                <c:pt idx="68">
                  <c:v>166.3989</c:v>
                </c:pt>
                <c:pt idx="69">
                  <c:v>166.5993</c:v>
                </c:pt>
                <c:pt idx="70">
                  <c:v>166.80119999999999</c:v>
                </c:pt>
                <c:pt idx="71">
                  <c:v>166.99940000000001</c:v>
                </c:pt>
                <c:pt idx="72">
                  <c:v>167.19900000000001</c:v>
                </c:pt>
                <c:pt idx="73">
                  <c:v>167.40049999999999</c:v>
                </c:pt>
                <c:pt idx="74">
                  <c:v>167.6011</c:v>
                </c:pt>
                <c:pt idx="75">
                  <c:v>167.7989</c:v>
                </c:pt>
                <c:pt idx="76">
                  <c:v>168.00069999999999</c:v>
                </c:pt>
                <c:pt idx="77">
                  <c:v>168.20089999999999</c:v>
                </c:pt>
                <c:pt idx="78">
                  <c:v>168.40020000000001</c:v>
                </c:pt>
                <c:pt idx="79">
                  <c:v>168.60059999999999</c:v>
                </c:pt>
                <c:pt idx="80">
                  <c:v>168.80170000000001</c:v>
                </c:pt>
                <c:pt idx="81">
                  <c:v>168.99889999999999</c:v>
                </c:pt>
                <c:pt idx="82">
                  <c:v>169.19919999999999</c:v>
                </c:pt>
                <c:pt idx="83">
                  <c:v>169.3991</c:v>
                </c:pt>
                <c:pt idx="84">
                  <c:v>169.6002</c:v>
                </c:pt>
                <c:pt idx="85">
                  <c:v>169.7997</c:v>
                </c:pt>
                <c:pt idx="86">
                  <c:v>170.00059999999999</c:v>
                </c:pt>
                <c:pt idx="87">
                  <c:v>170.1986</c:v>
                </c:pt>
                <c:pt idx="88">
                  <c:v>170.39920000000001</c:v>
                </c:pt>
                <c:pt idx="89">
                  <c:v>170.6</c:v>
                </c:pt>
                <c:pt idx="90">
                  <c:v>170.79900000000001</c:v>
                </c:pt>
                <c:pt idx="91">
                  <c:v>171.0025</c:v>
                </c:pt>
                <c:pt idx="92">
                  <c:v>171.2011</c:v>
                </c:pt>
                <c:pt idx="93">
                  <c:v>171.3999</c:v>
                </c:pt>
                <c:pt idx="94">
                  <c:v>171.6001</c:v>
                </c:pt>
                <c:pt idx="95">
                  <c:v>171.80090000000001</c:v>
                </c:pt>
                <c:pt idx="96">
                  <c:v>171.99950000000001</c:v>
                </c:pt>
                <c:pt idx="97">
                  <c:v>172.2004</c:v>
                </c:pt>
                <c:pt idx="98">
                  <c:v>172.40020000000001</c:v>
                </c:pt>
                <c:pt idx="99">
                  <c:v>172.5992</c:v>
                </c:pt>
                <c:pt idx="100">
                  <c:v>172.80009999999999</c:v>
                </c:pt>
                <c:pt idx="101">
                  <c:v>172.9992</c:v>
                </c:pt>
                <c:pt idx="102">
                  <c:v>173.19909999999999</c:v>
                </c:pt>
                <c:pt idx="103">
                  <c:v>173.39920000000001</c:v>
                </c:pt>
                <c:pt idx="104">
                  <c:v>173.6002</c:v>
                </c:pt>
                <c:pt idx="105">
                  <c:v>173.7987</c:v>
                </c:pt>
                <c:pt idx="106">
                  <c:v>173.99969999999999</c:v>
                </c:pt>
                <c:pt idx="107">
                  <c:v>174.20160000000001</c:v>
                </c:pt>
                <c:pt idx="108">
                  <c:v>174.39930000000001</c:v>
                </c:pt>
                <c:pt idx="109">
                  <c:v>174.601</c:v>
                </c:pt>
                <c:pt idx="110">
                  <c:v>174.7988</c:v>
                </c:pt>
                <c:pt idx="111">
                  <c:v>174.99979999999999</c:v>
                </c:pt>
                <c:pt idx="112">
                  <c:v>175.1995</c:v>
                </c:pt>
                <c:pt idx="113">
                  <c:v>175.4007</c:v>
                </c:pt>
                <c:pt idx="114">
                  <c:v>175.60079999999999</c:v>
                </c:pt>
                <c:pt idx="115">
                  <c:v>175.79859999999999</c:v>
                </c:pt>
                <c:pt idx="116">
                  <c:v>176.0025</c:v>
                </c:pt>
                <c:pt idx="117">
                  <c:v>176.20099999999999</c:v>
                </c:pt>
                <c:pt idx="118">
                  <c:v>176.39859999999999</c:v>
                </c:pt>
                <c:pt idx="119">
                  <c:v>176.6003</c:v>
                </c:pt>
                <c:pt idx="120">
                  <c:v>176.79949999999999</c:v>
                </c:pt>
                <c:pt idx="121">
                  <c:v>176.99979999999999</c:v>
                </c:pt>
                <c:pt idx="122">
                  <c:v>177.1996</c:v>
                </c:pt>
                <c:pt idx="123">
                  <c:v>177.40110000000001</c:v>
                </c:pt>
                <c:pt idx="124">
                  <c:v>177.60120000000001</c:v>
                </c:pt>
                <c:pt idx="125">
                  <c:v>177.80080000000001</c:v>
                </c:pt>
                <c:pt idx="126">
                  <c:v>177.99959999999999</c:v>
                </c:pt>
                <c:pt idx="127">
                  <c:v>178.20160000000001</c:v>
                </c:pt>
                <c:pt idx="128">
                  <c:v>178.4008</c:v>
                </c:pt>
                <c:pt idx="129">
                  <c:v>178.6003</c:v>
                </c:pt>
                <c:pt idx="130">
                  <c:v>178.79859999999999</c:v>
                </c:pt>
                <c:pt idx="131">
                  <c:v>178.9999</c:v>
                </c:pt>
                <c:pt idx="132">
                  <c:v>179.19900000000001</c:v>
                </c:pt>
                <c:pt idx="133">
                  <c:v>179.40049999999999</c:v>
                </c:pt>
                <c:pt idx="134">
                  <c:v>179.5985</c:v>
                </c:pt>
                <c:pt idx="135">
                  <c:v>179.8005</c:v>
                </c:pt>
                <c:pt idx="136">
                  <c:v>179.99889999999999</c:v>
                </c:pt>
                <c:pt idx="137">
                  <c:v>180.19880000000001</c:v>
                </c:pt>
                <c:pt idx="138">
                  <c:v>180.39930000000001</c:v>
                </c:pt>
                <c:pt idx="139">
                  <c:v>180.5984</c:v>
                </c:pt>
                <c:pt idx="140">
                  <c:v>180.7989</c:v>
                </c:pt>
                <c:pt idx="141">
                  <c:v>180.9984</c:v>
                </c:pt>
                <c:pt idx="142">
                  <c:v>181.1995</c:v>
                </c:pt>
                <c:pt idx="143">
                  <c:v>181.39879999999999</c:v>
                </c:pt>
                <c:pt idx="144">
                  <c:v>181.60319999999999</c:v>
                </c:pt>
                <c:pt idx="145">
                  <c:v>181.80090000000001</c:v>
                </c:pt>
                <c:pt idx="146">
                  <c:v>181.99850000000001</c:v>
                </c:pt>
                <c:pt idx="147">
                  <c:v>182.1987</c:v>
                </c:pt>
                <c:pt idx="148">
                  <c:v>182.40029999999999</c:v>
                </c:pt>
                <c:pt idx="149">
                  <c:v>182.59909999999999</c:v>
                </c:pt>
                <c:pt idx="150">
                  <c:v>182.7988</c:v>
                </c:pt>
                <c:pt idx="151">
                  <c:v>183.0017</c:v>
                </c:pt>
                <c:pt idx="152">
                  <c:v>183.1987</c:v>
                </c:pt>
                <c:pt idx="153">
                  <c:v>183.40010000000001</c:v>
                </c:pt>
                <c:pt idx="154">
                  <c:v>183.5994</c:v>
                </c:pt>
                <c:pt idx="155">
                  <c:v>183.79929999999999</c:v>
                </c:pt>
                <c:pt idx="156">
                  <c:v>184.00069999999999</c:v>
                </c:pt>
                <c:pt idx="157">
                  <c:v>184.1986</c:v>
                </c:pt>
                <c:pt idx="158">
                  <c:v>184.40039999999999</c:v>
                </c:pt>
                <c:pt idx="159">
                  <c:v>184.60079999999999</c:v>
                </c:pt>
                <c:pt idx="160">
                  <c:v>184.79949999999999</c:v>
                </c:pt>
                <c:pt idx="161">
                  <c:v>184.99940000000001</c:v>
                </c:pt>
                <c:pt idx="162">
                  <c:v>185.19990000000001</c:v>
                </c:pt>
                <c:pt idx="163">
                  <c:v>185.4006</c:v>
                </c:pt>
                <c:pt idx="164">
                  <c:v>185.5993</c:v>
                </c:pt>
                <c:pt idx="165">
                  <c:v>185.79839999999999</c:v>
                </c:pt>
                <c:pt idx="166">
                  <c:v>186.0025</c:v>
                </c:pt>
                <c:pt idx="167">
                  <c:v>186.1995</c:v>
                </c:pt>
                <c:pt idx="168">
                  <c:v>186.3999</c:v>
                </c:pt>
                <c:pt idx="169">
                  <c:v>186.59970000000001</c:v>
                </c:pt>
                <c:pt idx="170">
                  <c:v>186.79949999999999</c:v>
                </c:pt>
                <c:pt idx="171">
                  <c:v>187.00129999999999</c:v>
                </c:pt>
                <c:pt idx="172">
                  <c:v>187.1986</c:v>
                </c:pt>
                <c:pt idx="173">
                  <c:v>187.40020000000001</c:v>
                </c:pt>
                <c:pt idx="174">
                  <c:v>187.5993</c:v>
                </c:pt>
                <c:pt idx="175">
                  <c:v>187.7996</c:v>
                </c:pt>
                <c:pt idx="176">
                  <c:v>187.99940000000001</c:v>
                </c:pt>
                <c:pt idx="177">
                  <c:v>188.1985</c:v>
                </c:pt>
                <c:pt idx="178">
                  <c:v>188.40039999999999</c:v>
                </c:pt>
                <c:pt idx="179">
                  <c:v>188.59989999999999</c:v>
                </c:pt>
                <c:pt idx="180">
                  <c:v>188.79939999999999</c:v>
                </c:pt>
                <c:pt idx="181">
                  <c:v>188.99860000000001</c:v>
                </c:pt>
                <c:pt idx="182">
                  <c:v>189.1994</c:v>
                </c:pt>
                <c:pt idx="183">
                  <c:v>189.4015</c:v>
                </c:pt>
                <c:pt idx="184">
                  <c:v>189.59829999999999</c:v>
                </c:pt>
                <c:pt idx="185">
                  <c:v>189.80019999999999</c:v>
                </c:pt>
                <c:pt idx="186">
                  <c:v>190.00049999999999</c:v>
                </c:pt>
                <c:pt idx="187">
                  <c:v>190.20079999999999</c:v>
                </c:pt>
                <c:pt idx="188">
                  <c:v>190.399</c:v>
                </c:pt>
                <c:pt idx="189">
                  <c:v>190.59889999999999</c:v>
                </c:pt>
                <c:pt idx="190">
                  <c:v>190.79830000000001</c:v>
                </c:pt>
                <c:pt idx="191">
                  <c:v>190.99940000000001</c:v>
                </c:pt>
                <c:pt idx="192">
                  <c:v>191.19839999999999</c:v>
                </c:pt>
                <c:pt idx="193">
                  <c:v>191.39850000000001</c:v>
                </c:pt>
                <c:pt idx="194">
                  <c:v>191.5994</c:v>
                </c:pt>
                <c:pt idx="195">
                  <c:v>191.7997</c:v>
                </c:pt>
                <c:pt idx="196">
                  <c:v>192.00040000000001</c:v>
                </c:pt>
                <c:pt idx="197">
                  <c:v>192.19909999999999</c:v>
                </c:pt>
                <c:pt idx="198">
                  <c:v>192.3997</c:v>
                </c:pt>
                <c:pt idx="199">
                  <c:v>192.59880000000001</c:v>
                </c:pt>
                <c:pt idx="200">
                  <c:v>192.8</c:v>
                </c:pt>
                <c:pt idx="201">
                  <c:v>192.99940000000001</c:v>
                </c:pt>
                <c:pt idx="202">
                  <c:v>193.20079999999999</c:v>
                </c:pt>
                <c:pt idx="203">
                  <c:v>193.40119999999999</c:v>
                </c:pt>
                <c:pt idx="204">
                  <c:v>193.5986</c:v>
                </c:pt>
                <c:pt idx="205">
                  <c:v>193.79839999999999</c:v>
                </c:pt>
                <c:pt idx="206">
                  <c:v>193.999</c:v>
                </c:pt>
                <c:pt idx="207">
                  <c:v>194.19820000000001</c:v>
                </c:pt>
                <c:pt idx="208">
                  <c:v>194.39859999999999</c:v>
                </c:pt>
                <c:pt idx="209">
                  <c:v>194.6001</c:v>
                </c:pt>
                <c:pt idx="210">
                  <c:v>194.79830000000001</c:v>
                </c:pt>
                <c:pt idx="211">
                  <c:v>195.00120000000001</c:v>
                </c:pt>
                <c:pt idx="212">
                  <c:v>195.1987</c:v>
                </c:pt>
                <c:pt idx="213">
                  <c:v>195.39859999999999</c:v>
                </c:pt>
                <c:pt idx="214">
                  <c:v>195.5994</c:v>
                </c:pt>
                <c:pt idx="215">
                  <c:v>195.8015</c:v>
                </c:pt>
                <c:pt idx="216">
                  <c:v>195.99889999999999</c:v>
                </c:pt>
                <c:pt idx="217">
                  <c:v>196.20009999999999</c:v>
                </c:pt>
                <c:pt idx="218">
                  <c:v>196.3991</c:v>
                </c:pt>
                <c:pt idx="219">
                  <c:v>196.6001</c:v>
                </c:pt>
                <c:pt idx="220">
                  <c:v>196.79920000000001</c:v>
                </c:pt>
                <c:pt idx="221">
                  <c:v>196.9991</c:v>
                </c:pt>
                <c:pt idx="222">
                  <c:v>197.19919999999999</c:v>
                </c:pt>
                <c:pt idx="223">
                  <c:v>197.4006</c:v>
                </c:pt>
                <c:pt idx="224">
                  <c:v>197.60140000000001</c:v>
                </c:pt>
                <c:pt idx="225">
                  <c:v>197.79949999999999</c:v>
                </c:pt>
                <c:pt idx="226">
                  <c:v>198.00069999999999</c:v>
                </c:pt>
                <c:pt idx="227">
                  <c:v>198.19929999999999</c:v>
                </c:pt>
                <c:pt idx="228">
                  <c:v>198.39920000000001</c:v>
                </c:pt>
                <c:pt idx="229">
                  <c:v>198.6003</c:v>
                </c:pt>
                <c:pt idx="230">
                  <c:v>198.79849999999999</c:v>
                </c:pt>
                <c:pt idx="231">
                  <c:v>199.00059999999999</c:v>
                </c:pt>
                <c:pt idx="232">
                  <c:v>199.2</c:v>
                </c:pt>
                <c:pt idx="233">
                  <c:v>199.4006</c:v>
                </c:pt>
                <c:pt idx="234">
                  <c:v>199.5994</c:v>
                </c:pt>
                <c:pt idx="235">
                  <c:v>199.80099999999999</c:v>
                </c:pt>
                <c:pt idx="236">
                  <c:v>199.99950000000001</c:v>
                </c:pt>
                <c:pt idx="237">
                  <c:v>200.20070000000001</c:v>
                </c:pt>
                <c:pt idx="238">
                  <c:v>200.39949999999999</c:v>
                </c:pt>
                <c:pt idx="239">
                  <c:v>200.59960000000001</c:v>
                </c:pt>
                <c:pt idx="240">
                  <c:v>200.8004</c:v>
                </c:pt>
                <c:pt idx="241">
                  <c:v>200.99870000000001</c:v>
                </c:pt>
                <c:pt idx="242">
                  <c:v>201.2</c:v>
                </c:pt>
                <c:pt idx="243">
                  <c:v>201.3999</c:v>
                </c:pt>
                <c:pt idx="244">
                  <c:v>201.601</c:v>
                </c:pt>
                <c:pt idx="245">
                  <c:v>201.7988</c:v>
                </c:pt>
                <c:pt idx="246">
                  <c:v>202.00049999999999</c:v>
                </c:pt>
                <c:pt idx="247">
                  <c:v>202.20050000000001</c:v>
                </c:pt>
                <c:pt idx="248">
                  <c:v>202.39850000000001</c:v>
                </c:pt>
                <c:pt idx="249">
                  <c:v>202.59880000000001</c:v>
                </c:pt>
                <c:pt idx="250">
                  <c:v>202.79820000000001</c:v>
                </c:pt>
                <c:pt idx="251">
                  <c:v>202.9991</c:v>
                </c:pt>
                <c:pt idx="252">
                  <c:v>203.2003</c:v>
                </c:pt>
                <c:pt idx="253">
                  <c:v>203.39959999999999</c:v>
                </c:pt>
                <c:pt idx="254">
                  <c:v>203.59950000000001</c:v>
                </c:pt>
                <c:pt idx="255">
                  <c:v>203.79839999999999</c:v>
                </c:pt>
                <c:pt idx="256">
                  <c:v>204.00020000000001</c:v>
                </c:pt>
                <c:pt idx="257">
                  <c:v>204.19900000000001</c:v>
                </c:pt>
                <c:pt idx="258">
                  <c:v>204.4006</c:v>
                </c:pt>
                <c:pt idx="259">
                  <c:v>204.59889999999999</c:v>
                </c:pt>
                <c:pt idx="260">
                  <c:v>204.80019999999999</c:v>
                </c:pt>
                <c:pt idx="261">
                  <c:v>205.00040000000001</c:v>
                </c:pt>
                <c:pt idx="262">
                  <c:v>205.19839999999999</c:v>
                </c:pt>
                <c:pt idx="263">
                  <c:v>205.39859999999999</c:v>
                </c:pt>
                <c:pt idx="264">
                  <c:v>205.59870000000001</c:v>
                </c:pt>
                <c:pt idx="265">
                  <c:v>205.7997</c:v>
                </c:pt>
                <c:pt idx="266">
                  <c:v>205.99889999999999</c:v>
                </c:pt>
                <c:pt idx="267">
                  <c:v>206.20050000000001</c:v>
                </c:pt>
                <c:pt idx="268">
                  <c:v>206.4007</c:v>
                </c:pt>
                <c:pt idx="269">
                  <c:v>206.5992</c:v>
                </c:pt>
                <c:pt idx="270">
                  <c:v>206.7997</c:v>
                </c:pt>
                <c:pt idx="271">
                  <c:v>206.9984</c:v>
                </c:pt>
                <c:pt idx="272">
                  <c:v>207.19919999999999</c:v>
                </c:pt>
                <c:pt idx="273">
                  <c:v>207.39949999999999</c:v>
                </c:pt>
                <c:pt idx="274">
                  <c:v>207.59989999999999</c:v>
                </c:pt>
                <c:pt idx="275">
                  <c:v>207.79849999999999</c:v>
                </c:pt>
                <c:pt idx="276">
                  <c:v>207.999</c:v>
                </c:pt>
                <c:pt idx="277">
                  <c:v>208.19990000000001</c:v>
                </c:pt>
                <c:pt idx="278">
                  <c:v>208.3982</c:v>
                </c:pt>
                <c:pt idx="279">
                  <c:v>208.5993</c:v>
                </c:pt>
                <c:pt idx="280">
                  <c:v>208.7988</c:v>
                </c:pt>
                <c:pt idx="281">
                  <c:v>208.99879999999999</c:v>
                </c:pt>
                <c:pt idx="282">
                  <c:v>209.19890000000001</c:v>
                </c:pt>
                <c:pt idx="283">
                  <c:v>209.39930000000001</c:v>
                </c:pt>
                <c:pt idx="284">
                  <c:v>209.59979999999999</c:v>
                </c:pt>
                <c:pt idx="285">
                  <c:v>209.79920000000001</c:v>
                </c:pt>
                <c:pt idx="286">
                  <c:v>209.9992</c:v>
                </c:pt>
                <c:pt idx="287">
                  <c:v>210.19980000000001</c:v>
                </c:pt>
                <c:pt idx="288">
                  <c:v>210.4006</c:v>
                </c:pt>
                <c:pt idx="289">
                  <c:v>210.5985</c:v>
                </c:pt>
                <c:pt idx="290">
                  <c:v>210.7998</c:v>
                </c:pt>
                <c:pt idx="291">
                  <c:v>210.9999</c:v>
                </c:pt>
                <c:pt idx="292">
                  <c:v>211.20060000000001</c:v>
                </c:pt>
                <c:pt idx="293">
                  <c:v>211.40039999999999</c:v>
                </c:pt>
                <c:pt idx="294">
                  <c:v>211.6</c:v>
                </c:pt>
                <c:pt idx="295">
                  <c:v>211.79939999999999</c:v>
                </c:pt>
                <c:pt idx="296">
                  <c:v>211.9982</c:v>
                </c:pt>
                <c:pt idx="297">
                  <c:v>212.19880000000001</c:v>
                </c:pt>
                <c:pt idx="298">
                  <c:v>212.39879999999999</c:v>
                </c:pt>
                <c:pt idx="299">
                  <c:v>212.6003</c:v>
                </c:pt>
                <c:pt idx="300">
                  <c:v>212.79920000000001</c:v>
                </c:pt>
                <c:pt idx="301">
                  <c:v>212.9983</c:v>
                </c:pt>
                <c:pt idx="302">
                  <c:v>213.1979</c:v>
                </c:pt>
                <c:pt idx="303">
                  <c:v>213.3982</c:v>
                </c:pt>
                <c:pt idx="304">
                  <c:v>213.5993</c:v>
                </c:pt>
                <c:pt idx="305">
                  <c:v>213.80029999999999</c:v>
                </c:pt>
                <c:pt idx="306">
                  <c:v>213.9999</c:v>
                </c:pt>
                <c:pt idx="307">
                  <c:v>214.2</c:v>
                </c:pt>
                <c:pt idx="308">
                  <c:v>214.39930000000001</c:v>
                </c:pt>
                <c:pt idx="309">
                  <c:v>214.6001</c:v>
                </c:pt>
                <c:pt idx="310">
                  <c:v>214.8005</c:v>
                </c:pt>
                <c:pt idx="311">
                  <c:v>214.99799999999999</c:v>
                </c:pt>
                <c:pt idx="312">
                  <c:v>215.1985</c:v>
                </c:pt>
                <c:pt idx="313">
                  <c:v>215.398</c:v>
                </c:pt>
                <c:pt idx="314">
                  <c:v>215.59870000000001</c:v>
                </c:pt>
                <c:pt idx="315">
                  <c:v>215.80070000000001</c:v>
                </c:pt>
                <c:pt idx="316">
                  <c:v>216.0033</c:v>
                </c:pt>
                <c:pt idx="317">
                  <c:v>216.2004</c:v>
                </c:pt>
                <c:pt idx="318">
                  <c:v>216.39830000000001</c:v>
                </c:pt>
                <c:pt idx="319">
                  <c:v>216.59829999999999</c:v>
                </c:pt>
                <c:pt idx="320">
                  <c:v>216.7996</c:v>
                </c:pt>
                <c:pt idx="321">
                  <c:v>217.00059999999999</c:v>
                </c:pt>
                <c:pt idx="322">
                  <c:v>217.19980000000001</c:v>
                </c:pt>
                <c:pt idx="323">
                  <c:v>217.3989</c:v>
                </c:pt>
                <c:pt idx="324">
                  <c:v>217.6001</c:v>
                </c:pt>
                <c:pt idx="325">
                  <c:v>217.79810000000001</c:v>
                </c:pt>
                <c:pt idx="326">
                  <c:v>217.9999</c:v>
                </c:pt>
                <c:pt idx="327">
                  <c:v>218.19820000000001</c:v>
                </c:pt>
                <c:pt idx="328">
                  <c:v>218.39779999999999</c:v>
                </c:pt>
                <c:pt idx="329">
                  <c:v>218.5992</c:v>
                </c:pt>
                <c:pt idx="330">
                  <c:v>218.8005</c:v>
                </c:pt>
                <c:pt idx="331">
                  <c:v>218.9992</c:v>
                </c:pt>
                <c:pt idx="332">
                  <c:v>219.2</c:v>
                </c:pt>
                <c:pt idx="333">
                  <c:v>219.39869999999999</c:v>
                </c:pt>
                <c:pt idx="334">
                  <c:v>219.59889999999999</c:v>
                </c:pt>
                <c:pt idx="335">
                  <c:v>219.80009999999999</c:v>
                </c:pt>
                <c:pt idx="336">
                  <c:v>219.99789999999999</c:v>
                </c:pt>
                <c:pt idx="337">
                  <c:v>220.19970000000001</c:v>
                </c:pt>
                <c:pt idx="338">
                  <c:v>220.3981</c:v>
                </c:pt>
                <c:pt idx="339">
                  <c:v>220.59880000000001</c:v>
                </c:pt>
                <c:pt idx="340">
                  <c:v>220.79830000000001</c:v>
                </c:pt>
                <c:pt idx="341">
                  <c:v>220.99889999999999</c:v>
                </c:pt>
                <c:pt idx="342">
                  <c:v>221.20060000000001</c:v>
                </c:pt>
                <c:pt idx="343">
                  <c:v>221.3997</c:v>
                </c:pt>
                <c:pt idx="344">
                  <c:v>221.59870000000001</c:v>
                </c:pt>
                <c:pt idx="345">
                  <c:v>221.8</c:v>
                </c:pt>
                <c:pt idx="346">
                  <c:v>221.99850000000001</c:v>
                </c:pt>
                <c:pt idx="347">
                  <c:v>222.19970000000001</c:v>
                </c:pt>
                <c:pt idx="348">
                  <c:v>222.39869999999999</c:v>
                </c:pt>
                <c:pt idx="349">
                  <c:v>222.76300000000001</c:v>
                </c:pt>
                <c:pt idx="350">
                  <c:v>222.80029999999999</c:v>
                </c:pt>
                <c:pt idx="351">
                  <c:v>223.0001</c:v>
                </c:pt>
                <c:pt idx="352">
                  <c:v>223.1985</c:v>
                </c:pt>
                <c:pt idx="353">
                  <c:v>223.40049999999999</c:v>
                </c:pt>
                <c:pt idx="354">
                  <c:v>223.59909999999999</c:v>
                </c:pt>
                <c:pt idx="355">
                  <c:v>223.79920000000001</c:v>
                </c:pt>
                <c:pt idx="356">
                  <c:v>223.9984</c:v>
                </c:pt>
                <c:pt idx="357">
                  <c:v>224.1994</c:v>
                </c:pt>
                <c:pt idx="358">
                  <c:v>224.398</c:v>
                </c:pt>
                <c:pt idx="359">
                  <c:v>224.5985</c:v>
                </c:pt>
                <c:pt idx="360">
                  <c:v>224.80070000000001</c:v>
                </c:pt>
                <c:pt idx="361">
                  <c:v>225.0009</c:v>
                </c:pt>
                <c:pt idx="362">
                  <c:v>225.1979</c:v>
                </c:pt>
                <c:pt idx="363">
                  <c:v>225.4</c:v>
                </c:pt>
                <c:pt idx="364">
                  <c:v>225.59829999999999</c:v>
                </c:pt>
                <c:pt idx="365">
                  <c:v>225.7979</c:v>
                </c:pt>
                <c:pt idx="366">
                  <c:v>225.99850000000001</c:v>
                </c:pt>
                <c:pt idx="367">
                  <c:v>226.2012</c:v>
                </c:pt>
                <c:pt idx="368">
                  <c:v>226.3981</c:v>
                </c:pt>
                <c:pt idx="369">
                  <c:v>226.59829999999999</c:v>
                </c:pt>
                <c:pt idx="370">
                  <c:v>226.79900000000001</c:v>
                </c:pt>
                <c:pt idx="371">
                  <c:v>227.00020000000001</c:v>
                </c:pt>
                <c:pt idx="372">
                  <c:v>227.1987</c:v>
                </c:pt>
                <c:pt idx="373">
                  <c:v>227.4008</c:v>
                </c:pt>
                <c:pt idx="374">
                  <c:v>227.59809999999999</c:v>
                </c:pt>
                <c:pt idx="375">
                  <c:v>227.79810000000001</c:v>
                </c:pt>
                <c:pt idx="376">
                  <c:v>228.00069999999999</c:v>
                </c:pt>
                <c:pt idx="377">
                  <c:v>228.46010000000001</c:v>
                </c:pt>
                <c:pt idx="378">
                  <c:v>228.46530000000001</c:v>
                </c:pt>
                <c:pt idx="379">
                  <c:v>228.5993</c:v>
                </c:pt>
                <c:pt idx="380">
                  <c:v>228.79939999999999</c:v>
                </c:pt>
                <c:pt idx="381">
                  <c:v>228.99780000000001</c:v>
                </c:pt>
                <c:pt idx="382">
                  <c:v>229.19839999999999</c:v>
                </c:pt>
                <c:pt idx="383">
                  <c:v>229.40029999999999</c:v>
                </c:pt>
                <c:pt idx="384">
                  <c:v>229.60319999999999</c:v>
                </c:pt>
                <c:pt idx="385">
                  <c:v>229.8004</c:v>
                </c:pt>
                <c:pt idx="386">
                  <c:v>229.99879999999999</c:v>
                </c:pt>
                <c:pt idx="387">
                  <c:v>230.20009999999999</c:v>
                </c:pt>
                <c:pt idx="388">
                  <c:v>230.399</c:v>
                </c:pt>
                <c:pt idx="389">
                  <c:v>230.59870000000001</c:v>
                </c:pt>
                <c:pt idx="390">
                  <c:v>230.79949999999999</c:v>
                </c:pt>
                <c:pt idx="391">
                  <c:v>230.9991</c:v>
                </c:pt>
                <c:pt idx="392">
                  <c:v>231.19890000000001</c:v>
                </c:pt>
                <c:pt idx="393">
                  <c:v>231.39789999999999</c:v>
                </c:pt>
                <c:pt idx="394">
                  <c:v>231.5994</c:v>
                </c:pt>
                <c:pt idx="395">
                  <c:v>231.79929999999999</c:v>
                </c:pt>
                <c:pt idx="396">
                  <c:v>231.99950000000001</c:v>
                </c:pt>
                <c:pt idx="397">
                  <c:v>232.19890000000001</c:v>
                </c:pt>
                <c:pt idx="398">
                  <c:v>232.4007</c:v>
                </c:pt>
                <c:pt idx="399">
                  <c:v>232.5993</c:v>
                </c:pt>
                <c:pt idx="400">
                  <c:v>232.7987</c:v>
                </c:pt>
                <c:pt idx="401">
                  <c:v>232.99959999999999</c:v>
                </c:pt>
                <c:pt idx="402">
                  <c:v>233.19990000000001</c:v>
                </c:pt>
                <c:pt idx="403">
                  <c:v>233.39879999999999</c:v>
                </c:pt>
                <c:pt idx="404">
                  <c:v>233.59989999999999</c:v>
                </c:pt>
                <c:pt idx="405">
                  <c:v>233.79759999999999</c:v>
                </c:pt>
                <c:pt idx="406">
                  <c:v>234.0044</c:v>
                </c:pt>
                <c:pt idx="407">
                  <c:v>234.19990000000001</c:v>
                </c:pt>
                <c:pt idx="408">
                  <c:v>234.398</c:v>
                </c:pt>
                <c:pt idx="409">
                  <c:v>234.59950000000001</c:v>
                </c:pt>
                <c:pt idx="410">
                  <c:v>234.7989</c:v>
                </c:pt>
                <c:pt idx="411">
                  <c:v>235.0001</c:v>
                </c:pt>
                <c:pt idx="412">
                  <c:v>235.1978</c:v>
                </c:pt>
                <c:pt idx="413">
                  <c:v>235.39949999999999</c:v>
                </c:pt>
                <c:pt idx="414">
                  <c:v>235.5977</c:v>
                </c:pt>
                <c:pt idx="415">
                  <c:v>235.7988</c:v>
                </c:pt>
                <c:pt idx="416">
                  <c:v>235.99959999999999</c:v>
                </c:pt>
                <c:pt idx="417">
                  <c:v>236.1985</c:v>
                </c:pt>
                <c:pt idx="418">
                  <c:v>236.39760000000001</c:v>
                </c:pt>
                <c:pt idx="419">
                  <c:v>236.59979999999999</c:v>
                </c:pt>
                <c:pt idx="420">
                  <c:v>236.79910000000001</c:v>
                </c:pt>
                <c:pt idx="421">
                  <c:v>236.9984</c:v>
                </c:pt>
                <c:pt idx="422">
                  <c:v>237.1979</c:v>
                </c:pt>
                <c:pt idx="423">
                  <c:v>237.39920000000001</c:v>
                </c:pt>
                <c:pt idx="424">
                  <c:v>237.6003</c:v>
                </c:pt>
                <c:pt idx="425">
                  <c:v>237.7987</c:v>
                </c:pt>
                <c:pt idx="426">
                  <c:v>237.99930000000001</c:v>
                </c:pt>
                <c:pt idx="427">
                  <c:v>238.19810000000001</c:v>
                </c:pt>
                <c:pt idx="428">
                  <c:v>238.39850000000001</c:v>
                </c:pt>
                <c:pt idx="429">
                  <c:v>238.5994</c:v>
                </c:pt>
                <c:pt idx="430">
                  <c:v>238.79839999999999</c:v>
                </c:pt>
                <c:pt idx="431">
                  <c:v>238.99959999999999</c:v>
                </c:pt>
                <c:pt idx="432">
                  <c:v>239.20820000000001</c:v>
                </c:pt>
                <c:pt idx="433">
                  <c:v>239.3991</c:v>
                </c:pt>
                <c:pt idx="434">
                  <c:v>239.59989999999999</c:v>
                </c:pt>
                <c:pt idx="435">
                  <c:v>239.79910000000001</c:v>
                </c:pt>
                <c:pt idx="436">
                  <c:v>239.99969999999999</c:v>
                </c:pt>
                <c:pt idx="437">
                  <c:v>240.1994</c:v>
                </c:pt>
                <c:pt idx="438">
                  <c:v>240.3998</c:v>
                </c:pt>
                <c:pt idx="439">
                  <c:v>240.6003</c:v>
                </c:pt>
                <c:pt idx="440">
                  <c:v>240.79820000000001</c:v>
                </c:pt>
                <c:pt idx="441">
                  <c:v>240.99770000000001</c:v>
                </c:pt>
                <c:pt idx="442">
                  <c:v>241.1977</c:v>
                </c:pt>
                <c:pt idx="443">
                  <c:v>241.39879999999999</c:v>
                </c:pt>
                <c:pt idx="444">
                  <c:v>241.59829999999999</c:v>
                </c:pt>
                <c:pt idx="445">
                  <c:v>241.79900000000001</c:v>
                </c:pt>
                <c:pt idx="446">
                  <c:v>241.9983</c:v>
                </c:pt>
                <c:pt idx="447">
                  <c:v>242.2002</c:v>
                </c:pt>
                <c:pt idx="448">
                  <c:v>242.3982</c:v>
                </c:pt>
                <c:pt idx="449">
                  <c:v>242.59880000000001</c:v>
                </c:pt>
                <c:pt idx="450">
                  <c:v>242.79920000000001</c:v>
                </c:pt>
                <c:pt idx="451">
                  <c:v>242.9991</c:v>
                </c:pt>
                <c:pt idx="452">
                  <c:v>243.1994</c:v>
                </c:pt>
                <c:pt idx="453">
                  <c:v>243.3997</c:v>
                </c:pt>
                <c:pt idx="454">
                  <c:v>243.59960000000001</c:v>
                </c:pt>
                <c:pt idx="455">
                  <c:v>243.7987</c:v>
                </c:pt>
                <c:pt idx="456">
                  <c:v>243.99940000000001</c:v>
                </c:pt>
                <c:pt idx="457">
                  <c:v>244.2004</c:v>
                </c:pt>
                <c:pt idx="458">
                  <c:v>244.40090000000001</c:v>
                </c:pt>
                <c:pt idx="459">
                  <c:v>244.59960000000001</c:v>
                </c:pt>
                <c:pt idx="460">
                  <c:v>244.7978</c:v>
                </c:pt>
                <c:pt idx="461">
                  <c:v>244.9974</c:v>
                </c:pt>
                <c:pt idx="462">
                  <c:v>245.19749999999999</c:v>
                </c:pt>
                <c:pt idx="463">
                  <c:v>245.39920000000001</c:v>
                </c:pt>
                <c:pt idx="464">
                  <c:v>245.59989999999999</c:v>
                </c:pt>
                <c:pt idx="465">
                  <c:v>245.79820000000001</c:v>
                </c:pt>
                <c:pt idx="466">
                  <c:v>245.99930000000001</c:v>
                </c:pt>
                <c:pt idx="467">
                  <c:v>246.19800000000001</c:v>
                </c:pt>
                <c:pt idx="468">
                  <c:v>246.39789999999999</c:v>
                </c:pt>
                <c:pt idx="469">
                  <c:v>246.59780000000001</c:v>
                </c:pt>
                <c:pt idx="470">
                  <c:v>246.7979</c:v>
                </c:pt>
                <c:pt idx="471">
                  <c:v>246.99860000000001</c:v>
                </c:pt>
                <c:pt idx="472">
                  <c:v>247.19880000000001</c:v>
                </c:pt>
                <c:pt idx="473">
                  <c:v>247.39850000000001</c:v>
                </c:pt>
                <c:pt idx="474">
                  <c:v>247.59909999999999</c:v>
                </c:pt>
                <c:pt idx="475">
                  <c:v>247.79990000000001</c:v>
                </c:pt>
                <c:pt idx="476">
                  <c:v>247.99969999999999</c:v>
                </c:pt>
                <c:pt idx="477">
                  <c:v>248.19800000000001</c:v>
                </c:pt>
                <c:pt idx="478">
                  <c:v>248.3974</c:v>
                </c:pt>
                <c:pt idx="479">
                  <c:v>248.5976</c:v>
                </c:pt>
                <c:pt idx="480">
                  <c:v>248.79820000000001</c:v>
                </c:pt>
                <c:pt idx="481">
                  <c:v>249.00470000000001</c:v>
                </c:pt>
                <c:pt idx="482">
                  <c:v>249.1987</c:v>
                </c:pt>
                <c:pt idx="483">
                  <c:v>249.39789999999999</c:v>
                </c:pt>
                <c:pt idx="484">
                  <c:v>249.59800000000001</c:v>
                </c:pt>
                <c:pt idx="485">
                  <c:v>249.79740000000001</c:v>
                </c:pt>
                <c:pt idx="486">
                  <c:v>249.9974</c:v>
                </c:pt>
                <c:pt idx="487">
                  <c:v>250.19970000000001</c:v>
                </c:pt>
                <c:pt idx="488">
                  <c:v>250.39840000000001</c:v>
                </c:pt>
                <c:pt idx="489">
                  <c:v>250.59989999999999</c:v>
                </c:pt>
                <c:pt idx="490">
                  <c:v>250.798</c:v>
                </c:pt>
                <c:pt idx="491">
                  <c:v>250.99930000000001</c:v>
                </c:pt>
                <c:pt idx="492">
                  <c:v>251.19820000000001</c:v>
                </c:pt>
                <c:pt idx="493">
                  <c:v>251.39879999999999</c:v>
                </c:pt>
                <c:pt idx="494">
                  <c:v>251.59729999999999</c:v>
                </c:pt>
                <c:pt idx="495">
                  <c:v>251.79990000000001</c:v>
                </c:pt>
                <c:pt idx="496">
                  <c:v>251.999</c:v>
                </c:pt>
                <c:pt idx="497">
                  <c:v>252.19739999999999</c:v>
                </c:pt>
                <c:pt idx="498">
                  <c:v>252.3974</c:v>
                </c:pt>
                <c:pt idx="499">
                  <c:v>252.59809999999999</c:v>
                </c:pt>
                <c:pt idx="500">
                  <c:v>252.79939999999999</c:v>
                </c:pt>
                <c:pt idx="501">
                  <c:v>252.99780000000001</c:v>
                </c:pt>
                <c:pt idx="502">
                  <c:v>253.19909999999999</c:v>
                </c:pt>
                <c:pt idx="503">
                  <c:v>253.39959999999999</c:v>
                </c:pt>
                <c:pt idx="504">
                  <c:v>253.59780000000001</c:v>
                </c:pt>
                <c:pt idx="505">
                  <c:v>253.79730000000001</c:v>
                </c:pt>
                <c:pt idx="506">
                  <c:v>253.9975</c:v>
                </c:pt>
                <c:pt idx="507">
                  <c:v>254.20009999999999</c:v>
                </c:pt>
                <c:pt idx="508">
                  <c:v>254.399</c:v>
                </c:pt>
                <c:pt idx="509">
                  <c:v>254.59950000000001</c:v>
                </c:pt>
                <c:pt idx="510">
                  <c:v>254.79830000000001</c:v>
                </c:pt>
                <c:pt idx="511">
                  <c:v>255.0094</c:v>
                </c:pt>
                <c:pt idx="512">
                  <c:v>255.1985</c:v>
                </c:pt>
                <c:pt idx="513">
                  <c:v>255.39949999999999</c:v>
                </c:pt>
                <c:pt idx="514">
                  <c:v>255.5976</c:v>
                </c:pt>
                <c:pt idx="515">
                  <c:v>255.79849999999999</c:v>
                </c:pt>
                <c:pt idx="516">
                  <c:v>255.9992</c:v>
                </c:pt>
                <c:pt idx="517">
                  <c:v>256.19850000000002</c:v>
                </c:pt>
                <c:pt idx="518">
                  <c:v>256.39999999999998</c:v>
                </c:pt>
                <c:pt idx="519">
                  <c:v>256.59989999999999</c:v>
                </c:pt>
                <c:pt idx="520">
                  <c:v>256.79739999999998</c:v>
                </c:pt>
                <c:pt idx="521">
                  <c:v>256.99849999999998</c:v>
                </c:pt>
                <c:pt idx="522">
                  <c:v>257.19799999999998</c:v>
                </c:pt>
                <c:pt idx="523">
                  <c:v>257.39729999999997</c:v>
                </c:pt>
                <c:pt idx="524">
                  <c:v>257.59789999999998</c:v>
                </c:pt>
                <c:pt idx="525">
                  <c:v>257.79969999999997</c:v>
                </c:pt>
                <c:pt idx="526">
                  <c:v>257.99939999999998</c:v>
                </c:pt>
                <c:pt idx="527">
                  <c:v>258.20060000000001</c:v>
                </c:pt>
                <c:pt idx="528">
                  <c:v>258.39879999999999</c:v>
                </c:pt>
                <c:pt idx="529">
                  <c:v>258.59800000000001</c:v>
                </c:pt>
                <c:pt idx="530">
                  <c:v>258.79790000000003</c:v>
                </c:pt>
                <c:pt idx="531">
                  <c:v>258.99860000000001</c:v>
                </c:pt>
                <c:pt idx="532">
                  <c:v>259.19959999999998</c:v>
                </c:pt>
                <c:pt idx="533">
                  <c:v>259.39870000000002</c:v>
                </c:pt>
                <c:pt idx="534">
                  <c:v>259.60039999999998</c:v>
                </c:pt>
                <c:pt idx="535">
                  <c:v>259.79910000000001</c:v>
                </c:pt>
                <c:pt idx="536">
                  <c:v>259.99829999999997</c:v>
                </c:pt>
                <c:pt idx="537">
                  <c:v>260.19839999999999</c:v>
                </c:pt>
                <c:pt idx="538">
                  <c:v>260.39890000000003</c:v>
                </c:pt>
                <c:pt idx="539">
                  <c:v>260.59809999999999</c:v>
                </c:pt>
                <c:pt idx="540">
                  <c:v>260.79809999999998</c:v>
                </c:pt>
                <c:pt idx="541">
                  <c:v>260.99759999999998</c:v>
                </c:pt>
                <c:pt idx="542">
                  <c:v>261.19810000000001</c:v>
                </c:pt>
                <c:pt idx="543">
                  <c:v>261.39999999999998</c:v>
                </c:pt>
                <c:pt idx="544">
                  <c:v>261.59910000000002</c:v>
                </c:pt>
                <c:pt idx="545">
                  <c:v>261.7987</c:v>
                </c:pt>
                <c:pt idx="546">
                  <c:v>261.99860000000001</c:v>
                </c:pt>
                <c:pt idx="547">
                  <c:v>262.19909999999999</c:v>
                </c:pt>
                <c:pt idx="548">
                  <c:v>262.39789999999999</c:v>
                </c:pt>
                <c:pt idx="549">
                  <c:v>262.59949999999998</c:v>
                </c:pt>
                <c:pt idx="550">
                  <c:v>262.79930000000002</c:v>
                </c:pt>
                <c:pt idx="551">
                  <c:v>262.99880000000002</c:v>
                </c:pt>
                <c:pt idx="552">
                  <c:v>263.19959999999998</c:v>
                </c:pt>
                <c:pt idx="553">
                  <c:v>263.39879999999999</c:v>
                </c:pt>
                <c:pt idx="554">
                  <c:v>263.601</c:v>
                </c:pt>
                <c:pt idx="555">
                  <c:v>263.80029999999999</c:v>
                </c:pt>
                <c:pt idx="556">
                  <c:v>263.99869999999999</c:v>
                </c:pt>
                <c:pt idx="557">
                  <c:v>264.19990000000001</c:v>
                </c:pt>
                <c:pt idx="558">
                  <c:v>264.3999</c:v>
                </c:pt>
                <c:pt idx="559">
                  <c:v>264.59859999999998</c:v>
                </c:pt>
                <c:pt idx="560">
                  <c:v>264.7996</c:v>
                </c:pt>
                <c:pt idx="561">
                  <c:v>264.99990000000003</c:v>
                </c:pt>
                <c:pt idx="562">
                  <c:v>265.19830000000002</c:v>
                </c:pt>
                <c:pt idx="563">
                  <c:v>265.39859999999999</c:v>
                </c:pt>
                <c:pt idx="564">
                  <c:v>265.59989999999999</c:v>
                </c:pt>
                <c:pt idx="565">
                  <c:v>265.7989</c:v>
                </c:pt>
                <c:pt idx="566">
                  <c:v>266.00119999999998</c:v>
                </c:pt>
                <c:pt idx="567">
                  <c:v>266.19799999999998</c:v>
                </c:pt>
                <c:pt idx="568">
                  <c:v>266.40010000000001</c:v>
                </c:pt>
                <c:pt idx="569">
                  <c:v>266.59820000000002</c:v>
                </c:pt>
                <c:pt idx="570">
                  <c:v>266.79899999999998</c:v>
                </c:pt>
                <c:pt idx="571">
                  <c:v>267.00040000000001</c:v>
                </c:pt>
                <c:pt idx="572">
                  <c:v>267.20060000000001</c:v>
                </c:pt>
                <c:pt idx="573">
                  <c:v>267.39859999999999</c:v>
                </c:pt>
                <c:pt idx="574">
                  <c:v>267.59899999999999</c:v>
                </c:pt>
                <c:pt idx="575">
                  <c:v>267.79840000000002</c:v>
                </c:pt>
                <c:pt idx="576">
                  <c:v>267.99880000000002</c:v>
                </c:pt>
                <c:pt idx="577">
                  <c:v>268.19839999999999</c:v>
                </c:pt>
                <c:pt idx="578">
                  <c:v>268.40179999999998</c:v>
                </c:pt>
                <c:pt idx="579">
                  <c:v>268.59989999999999</c:v>
                </c:pt>
                <c:pt idx="580">
                  <c:v>268.7987</c:v>
                </c:pt>
                <c:pt idx="581">
                  <c:v>268.99829999999997</c:v>
                </c:pt>
                <c:pt idx="582">
                  <c:v>269.19889999999998</c:v>
                </c:pt>
                <c:pt idx="583">
                  <c:v>269.39920000000001</c:v>
                </c:pt>
                <c:pt idx="584">
                  <c:v>269.59890000000001</c:v>
                </c:pt>
                <c:pt idx="585">
                  <c:v>269.79950000000002</c:v>
                </c:pt>
                <c:pt idx="586">
                  <c:v>269.99900000000002</c:v>
                </c:pt>
                <c:pt idx="587">
                  <c:v>270.19819999999999</c:v>
                </c:pt>
                <c:pt idx="588">
                  <c:v>270.3997</c:v>
                </c:pt>
                <c:pt idx="589">
                  <c:v>270.60059999999999</c:v>
                </c:pt>
                <c:pt idx="590">
                  <c:v>270.79919999999998</c:v>
                </c:pt>
                <c:pt idx="591">
                  <c:v>270.9984</c:v>
                </c:pt>
                <c:pt idx="592">
                  <c:v>271.20100000000002</c:v>
                </c:pt>
                <c:pt idx="593">
                  <c:v>271.39949999999999</c:v>
                </c:pt>
                <c:pt idx="594">
                  <c:v>271.59989999999999</c:v>
                </c:pt>
                <c:pt idx="595">
                  <c:v>271.8005</c:v>
                </c:pt>
                <c:pt idx="596">
                  <c:v>271.99849999999998</c:v>
                </c:pt>
                <c:pt idx="597">
                  <c:v>272.20010000000002</c:v>
                </c:pt>
                <c:pt idx="598">
                  <c:v>272.40039999999999</c:v>
                </c:pt>
                <c:pt idx="599">
                  <c:v>272.59910000000002</c:v>
                </c:pt>
                <c:pt idx="600">
                  <c:v>272.79880000000003</c:v>
                </c:pt>
                <c:pt idx="601">
                  <c:v>273.00009999999997</c:v>
                </c:pt>
                <c:pt idx="602">
                  <c:v>273.1995</c:v>
                </c:pt>
                <c:pt idx="603">
                  <c:v>273.4008</c:v>
                </c:pt>
                <c:pt idx="604">
                  <c:v>273.59949999999998</c:v>
                </c:pt>
                <c:pt idx="605">
                  <c:v>273.79919999999998</c:v>
                </c:pt>
                <c:pt idx="606">
                  <c:v>273.9984</c:v>
                </c:pt>
                <c:pt idx="607">
                  <c:v>274.1986</c:v>
                </c:pt>
                <c:pt idx="608">
                  <c:v>274.4008</c:v>
                </c:pt>
                <c:pt idx="609">
                  <c:v>274.59840000000003</c:v>
                </c:pt>
                <c:pt idx="610">
                  <c:v>274.80040000000002</c:v>
                </c:pt>
                <c:pt idx="611">
                  <c:v>275.00020000000001</c:v>
                </c:pt>
                <c:pt idx="612">
                  <c:v>275.2011</c:v>
                </c:pt>
                <c:pt idx="613">
                  <c:v>275.4015</c:v>
                </c:pt>
                <c:pt idx="614">
                  <c:v>275.59879999999998</c:v>
                </c:pt>
                <c:pt idx="615">
                  <c:v>275.79930000000002</c:v>
                </c:pt>
                <c:pt idx="616">
                  <c:v>275.99900000000002</c:v>
                </c:pt>
                <c:pt idx="617">
                  <c:v>276.19979999999998</c:v>
                </c:pt>
                <c:pt idx="618">
                  <c:v>276.39850000000001</c:v>
                </c:pt>
                <c:pt idx="619">
                  <c:v>276.60000000000002</c:v>
                </c:pt>
                <c:pt idx="620">
                  <c:v>276.79969999999997</c:v>
                </c:pt>
                <c:pt idx="621">
                  <c:v>277.00009999999997</c:v>
                </c:pt>
                <c:pt idx="622">
                  <c:v>277.20010000000002</c:v>
                </c:pt>
                <c:pt idx="623">
                  <c:v>277.40100000000001</c:v>
                </c:pt>
                <c:pt idx="624">
                  <c:v>277.5992</c:v>
                </c:pt>
                <c:pt idx="625">
                  <c:v>277.80160000000001</c:v>
                </c:pt>
                <c:pt idx="626">
                  <c:v>278.0016</c:v>
                </c:pt>
                <c:pt idx="627">
                  <c:v>278.1995</c:v>
                </c:pt>
                <c:pt idx="628">
                  <c:v>278.39999999999998</c:v>
                </c:pt>
                <c:pt idx="629">
                  <c:v>278.6003</c:v>
                </c:pt>
                <c:pt idx="630">
                  <c:v>278.80079999999998</c:v>
                </c:pt>
                <c:pt idx="631">
                  <c:v>279.00189999999998</c:v>
                </c:pt>
                <c:pt idx="632">
                  <c:v>279.2002</c:v>
                </c:pt>
                <c:pt idx="633">
                  <c:v>279.399</c:v>
                </c:pt>
                <c:pt idx="634">
                  <c:v>279.5992</c:v>
                </c:pt>
                <c:pt idx="635">
                  <c:v>279.79989999999998</c:v>
                </c:pt>
                <c:pt idx="636">
                  <c:v>280.00029999999998</c:v>
                </c:pt>
                <c:pt idx="637">
                  <c:v>280.2002</c:v>
                </c:pt>
                <c:pt idx="638">
                  <c:v>280.40069999999997</c:v>
                </c:pt>
                <c:pt idx="639">
                  <c:v>280.59949999999998</c:v>
                </c:pt>
                <c:pt idx="640">
                  <c:v>280.8005</c:v>
                </c:pt>
                <c:pt idx="641">
                  <c:v>280.99959999999999</c:v>
                </c:pt>
                <c:pt idx="642">
                  <c:v>281.19880000000001</c:v>
                </c:pt>
                <c:pt idx="643">
                  <c:v>281.40120000000002</c:v>
                </c:pt>
                <c:pt idx="644">
                  <c:v>281.60120000000001</c:v>
                </c:pt>
                <c:pt idx="645">
                  <c:v>281.80189999999999</c:v>
                </c:pt>
                <c:pt idx="646">
                  <c:v>282.00020000000001</c:v>
                </c:pt>
                <c:pt idx="647">
                  <c:v>282.19920000000002</c:v>
                </c:pt>
                <c:pt idx="648">
                  <c:v>282.39960000000002</c:v>
                </c:pt>
                <c:pt idx="649">
                  <c:v>282.60120000000001</c:v>
                </c:pt>
                <c:pt idx="650">
                  <c:v>282.80149999999998</c:v>
                </c:pt>
                <c:pt idx="651">
                  <c:v>283.00049999999999</c:v>
                </c:pt>
                <c:pt idx="652">
                  <c:v>283.20030000000003</c:v>
                </c:pt>
                <c:pt idx="653">
                  <c:v>283.40030000000002</c:v>
                </c:pt>
                <c:pt idx="654">
                  <c:v>283.60059999999999</c:v>
                </c:pt>
                <c:pt idx="655">
                  <c:v>283.80029999999999</c:v>
                </c:pt>
                <c:pt idx="656">
                  <c:v>284.00080000000003</c:v>
                </c:pt>
                <c:pt idx="657">
                  <c:v>284.20030000000003</c:v>
                </c:pt>
                <c:pt idx="658">
                  <c:v>284.4015</c:v>
                </c:pt>
                <c:pt idx="659">
                  <c:v>284.601</c:v>
                </c:pt>
                <c:pt idx="660">
                  <c:v>284.8</c:v>
                </c:pt>
                <c:pt idx="661">
                  <c:v>284.99900000000002</c:v>
                </c:pt>
                <c:pt idx="662">
                  <c:v>285.19909999999999</c:v>
                </c:pt>
                <c:pt idx="663">
                  <c:v>285.40050000000002</c:v>
                </c:pt>
                <c:pt idx="664">
                  <c:v>285.60129999999998</c:v>
                </c:pt>
                <c:pt idx="665">
                  <c:v>285.80079999999998</c:v>
                </c:pt>
                <c:pt idx="666">
                  <c:v>286.0009</c:v>
                </c:pt>
                <c:pt idx="667">
                  <c:v>286.20209999999997</c:v>
                </c:pt>
                <c:pt idx="668">
                  <c:v>286.4015</c:v>
                </c:pt>
                <c:pt idx="669">
                  <c:v>286.59960000000001</c:v>
                </c:pt>
                <c:pt idx="670">
                  <c:v>286.79939999999999</c:v>
                </c:pt>
                <c:pt idx="671">
                  <c:v>287.00290000000001</c:v>
                </c:pt>
                <c:pt idx="672">
                  <c:v>287.20100000000002</c:v>
                </c:pt>
                <c:pt idx="673">
                  <c:v>287.39920000000001</c:v>
                </c:pt>
                <c:pt idx="674">
                  <c:v>287.59949999999998</c:v>
                </c:pt>
                <c:pt idx="675">
                  <c:v>287.80099999999999</c:v>
                </c:pt>
                <c:pt idx="676">
                  <c:v>288</c:v>
                </c:pt>
                <c:pt idx="677">
                  <c:v>288.20190000000002</c:v>
                </c:pt>
                <c:pt idx="678">
                  <c:v>288.40010000000001</c:v>
                </c:pt>
                <c:pt idx="679">
                  <c:v>288.59949999999998</c:v>
                </c:pt>
                <c:pt idx="680">
                  <c:v>288.80059999999997</c:v>
                </c:pt>
                <c:pt idx="681">
                  <c:v>289.00040000000001</c:v>
                </c:pt>
                <c:pt idx="682">
                  <c:v>289.20209999999997</c:v>
                </c:pt>
                <c:pt idx="683">
                  <c:v>289.40100000000001</c:v>
                </c:pt>
                <c:pt idx="684">
                  <c:v>289.60059999999999</c:v>
                </c:pt>
                <c:pt idx="685">
                  <c:v>289.79969999999997</c:v>
                </c:pt>
                <c:pt idx="686">
                  <c:v>290.00029999999998</c:v>
                </c:pt>
                <c:pt idx="687">
                  <c:v>290.20170000000002</c:v>
                </c:pt>
                <c:pt idx="688">
                  <c:v>290.4015</c:v>
                </c:pt>
                <c:pt idx="689">
                  <c:v>290.60039999999998</c:v>
                </c:pt>
                <c:pt idx="690">
                  <c:v>290.80059999999997</c:v>
                </c:pt>
                <c:pt idx="691">
                  <c:v>290.99950000000001</c:v>
                </c:pt>
                <c:pt idx="692">
                  <c:v>291.19940000000003</c:v>
                </c:pt>
                <c:pt idx="693">
                  <c:v>291.40190000000001</c:v>
                </c:pt>
                <c:pt idx="694">
                  <c:v>291.60059999999999</c:v>
                </c:pt>
                <c:pt idx="695">
                  <c:v>291.8</c:v>
                </c:pt>
                <c:pt idx="696">
                  <c:v>292.00099999999998</c:v>
                </c:pt>
                <c:pt idx="697">
                  <c:v>292.19990000000001</c:v>
                </c:pt>
                <c:pt idx="698">
                  <c:v>292.40039999999999</c:v>
                </c:pt>
                <c:pt idx="699">
                  <c:v>292.6028</c:v>
                </c:pt>
                <c:pt idx="700">
                  <c:v>292.8</c:v>
                </c:pt>
                <c:pt idx="701">
                  <c:v>293.00020000000001</c:v>
                </c:pt>
                <c:pt idx="702">
                  <c:v>293.20139999999998</c:v>
                </c:pt>
                <c:pt idx="703">
                  <c:v>293.40010000000001</c:v>
                </c:pt>
                <c:pt idx="704">
                  <c:v>293.60109999999997</c:v>
                </c:pt>
                <c:pt idx="705">
                  <c:v>293.7996</c:v>
                </c:pt>
                <c:pt idx="706">
                  <c:v>294.0009</c:v>
                </c:pt>
                <c:pt idx="707">
                  <c:v>294.19970000000001</c:v>
                </c:pt>
                <c:pt idx="708">
                  <c:v>294.39960000000002</c:v>
                </c:pt>
                <c:pt idx="709">
                  <c:v>294.6019</c:v>
                </c:pt>
                <c:pt idx="710">
                  <c:v>294.80290000000002</c:v>
                </c:pt>
                <c:pt idx="711">
                  <c:v>294.99979999999999</c:v>
                </c:pt>
                <c:pt idx="712">
                  <c:v>295.20150000000001</c:v>
                </c:pt>
                <c:pt idx="713">
                  <c:v>295.39960000000002</c:v>
                </c:pt>
                <c:pt idx="714">
                  <c:v>295.6019</c:v>
                </c:pt>
                <c:pt idx="715">
                  <c:v>295.7998</c:v>
                </c:pt>
                <c:pt idx="716">
                  <c:v>296.0009</c:v>
                </c:pt>
                <c:pt idx="717">
                  <c:v>296.2004</c:v>
                </c:pt>
                <c:pt idx="718">
                  <c:v>296.40230000000003</c:v>
                </c:pt>
                <c:pt idx="719">
                  <c:v>296.60210000000001</c:v>
                </c:pt>
                <c:pt idx="720">
                  <c:v>296.80099999999999</c:v>
                </c:pt>
                <c:pt idx="721">
                  <c:v>297.0016</c:v>
                </c:pt>
                <c:pt idx="722">
                  <c:v>297.20170000000002</c:v>
                </c:pt>
                <c:pt idx="723">
                  <c:v>297.40199999999999</c:v>
                </c:pt>
                <c:pt idx="724">
                  <c:v>297.6001</c:v>
                </c:pt>
                <c:pt idx="725">
                  <c:v>297.80110000000002</c:v>
                </c:pt>
                <c:pt idx="726">
                  <c:v>298.00060000000002</c:v>
                </c:pt>
                <c:pt idx="727">
                  <c:v>298.20010000000002</c:v>
                </c:pt>
                <c:pt idx="728">
                  <c:v>298.40230000000003</c:v>
                </c:pt>
                <c:pt idx="729">
                  <c:v>298.6003</c:v>
                </c:pt>
                <c:pt idx="730">
                  <c:v>298.80160000000001</c:v>
                </c:pt>
                <c:pt idx="731">
                  <c:v>299.00040000000001</c:v>
                </c:pt>
                <c:pt idx="732">
                  <c:v>299.20190000000002</c:v>
                </c:pt>
                <c:pt idx="733">
                  <c:v>299.40100000000001</c:v>
                </c:pt>
                <c:pt idx="734">
                  <c:v>299.60019999999997</c:v>
                </c:pt>
                <c:pt idx="735">
                  <c:v>299.8021</c:v>
                </c:pt>
                <c:pt idx="736">
                  <c:v>299.99990000000003</c:v>
                </c:pt>
                <c:pt idx="737">
                  <c:v>300.202</c:v>
                </c:pt>
                <c:pt idx="738">
                  <c:v>300.40069999999997</c:v>
                </c:pt>
                <c:pt idx="739">
                  <c:v>300.60149999999999</c:v>
                </c:pt>
                <c:pt idx="740">
                  <c:v>300.80220000000003</c:v>
                </c:pt>
                <c:pt idx="741">
                  <c:v>301.00200000000001</c:v>
                </c:pt>
                <c:pt idx="742">
                  <c:v>301.20249999999999</c:v>
                </c:pt>
                <c:pt idx="743">
                  <c:v>301.40260000000001</c:v>
                </c:pt>
                <c:pt idx="744">
                  <c:v>301.6019</c:v>
                </c:pt>
                <c:pt idx="745">
                  <c:v>301.803</c:v>
                </c:pt>
                <c:pt idx="746">
                  <c:v>302.00170000000003</c:v>
                </c:pt>
                <c:pt idx="747">
                  <c:v>302.20319999999998</c:v>
                </c:pt>
                <c:pt idx="748">
                  <c:v>302.40230000000003</c:v>
                </c:pt>
                <c:pt idx="749">
                  <c:v>302.6001</c:v>
                </c:pt>
                <c:pt idx="750">
                  <c:v>302.80059999999997</c:v>
                </c:pt>
                <c:pt idx="751">
                  <c:v>303.00450000000001</c:v>
                </c:pt>
                <c:pt idx="752">
                  <c:v>303.20409999999998</c:v>
                </c:pt>
                <c:pt idx="753">
                  <c:v>303.40699999999998</c:v>
                </c:pt>
                <c:pt idx="754">
                  <c:v>303.60219999999998</c:v>
                </c:pt>
                <c:pt idx="755">
                  <c:v>303.80349999999999</c:v>
                </c:pt>
                <c:pt idx="756">
                  <c:v>304.00099999999998</c:v>
                </c:pt>
                <c:pt idx="757">
                  <c:v>304.20069999999998</c:v>
                </c:pt>
                <c:pt idx="758">
                  <c:v>304.4033</c:v>
                </c:pt>
                <c:pt idx="759">
                  <c:v>304.60160000000002</c:v>
                </c:pt>
                <c:pt idx="760">
                  <c:v>304.8014</c:v>
                </c:pt>
                <c:pt idx="761">
                  <c:v>305.01130000000001</c:v>
                </c:pt>
                <c:pt idx="762">
                  <c:v>305.20069999999998</c:v>
                </c:pt>
                <c:pt idx="763">
                  <c:v>305.40129999999999</c:v>
                </c:pt>
                <c:pt idx="764">
                  <c:v>305.60340000000002</c:v>
                </c:pt>
                <c:pt idx="765">
                  <c:v>305.80130000000003</c:v>
                </c:pt>
                <c:pt idx="766">
                  <c:v>306.00220000000002</c:v>
                </c:pt>
                <c:pt idx="767">
                  <c:v>306.20069999999998</c:v>
                </c:pt>
                <c:pt idx="768">
                  <c:v>306.40120000000002</c:v>
                </c:pt>
                <c:pt idx="769">
                  <c:v>306.60239999999999</c:v>
                </c:pt>
                <c:pt idx="770">
                  <c:v>306.80110000000002</c:v>
                </c:pt>
                <c:pt idx="771">
                  <c:v>307.00170000000003</c:v>
                </c:pt>
                <c:pt idx="772">
                  <c:v>307.202</c:v>
                </c:pt>
                <c:pt idx="773">
                  <c:v>307.40249999999997</c:v>
                </c:pt>
                <c:pt idx="774">
                  <c:v>307.60140000000001</c:v>
                </c:pt>
                <c:pt idx="775">
                  <c:v>307.80200000000002</c:v>
                </c:pt>
                <c:pt idx="776">
                  <c:v>308.0018</c:v>
                </c:pt>
                <c:pt idx="777">
                  <c:v>308.20339999999999</c:v>
                </c:pt>
                <c:pt idx="778">
                  <c:v>308.40350000000001</c:v>
                </c:pt>
                <c:pt idx="779">
                  <c:v>308.60079999999999</c:v>
                </c:pt>
                <c:pt idx="780">
                  <c:v>308.80360000000002</c:v>
                </c:pt>
                <c:pt idx="781">
                  <c:v>309.00209999999998</c:v>
                </c:pt>
                <c:pt idx="782">
                  <c:v>309.20209999999997</c:v>
                </c:pt>
                <c:pt idx="783">
                  <c:v>309.40230000000003</c:v>
                </c:pt>
                <c:pt idx="784">
                  <c:v>309.60239999999999</c:v>
                </c:pt>
                <c:pt idx="785">
                  <c:v>309.80200000000002</c:v>
                </c:pt>
                <c:pt idx="786">
                  <c:v>310.00049999999999</c:v>
                </c:pt>
                <c:pt idx="787">
                  <c:v>310.2013</c:v>
                </c:pt>
                <c:pt idx="788">
                  <c:v>310.40309999999999</c:v>
                </c:pt>
                <c:pt idx="789">
                  <c:v>310.60239999999999</c:v>
                </c:pt>
                <c:pt idx="790">
                  <c:v>310.80059999999997</c:v>
                </c:pt>
                <c:pt idx="791">
                  <c:v>311.00209999999998</c:v>
                </c:pt>
                <c:pt idx="792">
                  <c:v>311.20310000000001</c:v>
                </c:pt>
                <c:pt idx="793">
                  <c:v>311.4024</c:v>
                </c:pt>
                <c:pt idx="794">
                  <c:v>311.6026</c:v>
                </c:pt>
                <c:pt idx="795">
                  <c:v>311.80099999999999</c:v>
                </c:pt>
                <c:pt idx="796">
                  <c:v>312.00209999999998</c:v>
                </c:pt>
                <c:pt idx="797">
                  <c:v>312.20370000000003</c:v>
                </c:pt>
                <c:pt idx="798">
                  <c:v>312.40300000000002</c:v>
                </c:pt>
                <c:pt idx="799">
                  <c:v>312.60210000000001</c:v>
                </c:pt>
                <c:pt idx="800">
                  <c:v>312.80180000000001</c:v>
                </c:pt>
                <c:pt idx="801">
                  <c:v>313.0009</c:v>
                </c:pt>
                <c:pt idx="802">
                  <c:v>313.20280000000002</c:v>
                </c:pt>
                <c:pt idx="803">
                  <c:v>313.40359999999998</c:v>
                </c:pt>
                <c:pt idx="804">
                  <c:v>313.601</c:v>
                </c:pt>
                <c:pt idx="805">
                  <c:v>313.80290000000002</c:v>
                </c:pt>
                <c:pt idx="806">
                  <c:v>314.00380000000001</c:v>
                </c:pt>
                <c:pt idx="807">
                  <c:v>314.20170000000002</c:v>
                </c:pt>
                <c:pt idx="808">
                  <c:v>314.40190000000001</c:v>
                </c:pt>
                <c:pt idx="809">
                  <c:v>314.60140000000001</c:v>
                </c:pt>
                <c:pt idx="810">
                  <c:v>314.80279999999999</c:v>
                </c:pt>
                <c:pt idx="811">
                  <c:v>315.00349999999997</c:v>
                </c:pt>
                <c:pt idx="812">
                  <c:v>315.20190000000002</c:v>
                </c:pt>
                <c:pt idx="813">
                  <c:v>315.40089999999998</c:v>
                </c:pt>
                <c:pt idx="814">
                  <c:v>315.60160000000002</c:v>
                </c:pt>
                <c:pt idx="815">
                  <c:v>315.80290000000002</c:v>
                </c:pt>
                <c:pt idx="816">
                  <c:v>316.00420000000003</c:v>
                </c:pt>
                <c:pt idx="817">
                  <c:v>316.20089999999999</c:v>
                </c:pt>
                <c:pt idx="818">
                  <c:v>316.40320000000003</c:v>
                </c:pt>
                <c:pt idx="819">
                  <c:v>316.60250000000002</c:v>
                </c:pt>
                <c:pt idx="820">
                  <c:v>316.80259999999998</c:v>
                </c:pt>
                <c:pt idx="821">
                  <c:v>317.0018</c:v>
                </c:pt>
                <c:pt idx="822">
                  <c:v>317.20370000000003</c:v>
                </c:pt>
                <c:pt idx="823">
                  <c:v>317.40429999999998</c:v>
                </c:pt>
                <c:pt idx="824">
                  <c:v>317.60289999999998</c:v>
                </c:pt>
                <c:pt idx="825">
                  <c:v>317.80290000000002</c:v>
                </c:pt>
                <c:pt idx="826">
                  <c:v>318.00290000000001</c:v>
                </c:pt>
                <c:pt idx="827">
                  <c:v>318.20409999999998</c:v>
                </c:pt>
                <c:pt idx="828">
                  <c:v>318.40210000000002</c:v>
                </c:pt>
                <c:pt idx="829">
                  <c:v>318.60270000000003</c:v>
                </c:pt>
                <c:pt idx="830">
                  <c:v>318.80110000000002</c:v>
                </c:pt>
                <c:pt idx="831">
                  <c:v>319.0034</c:v>
                </c:pt>
                <c:pt idx="832">
                  <c:v>319.20159999999998</c:v>
                </c:pt>
                <c:pt idx="833">
                  <c:v>319.40170000000001</c:v>
                </c:pt>
                <c:pt idx="834">
                  <c:v>319.60399999999998</c:v>
                </c:pt>
                <c:pt idx="835">
                  <c:v>319.80399999999997</c:v>
                </c:pt>
                <c:pt idx="836">
                  <c:v>320.00490000000002</c:v>
                </c:pt>
                <c:pt idx="837">
                  <c:v>320.2045</c:v>
                </c:pt>
                <c:pt idx="838">
                  <c:v>320.40199999999999</c:v>
                </c:pt>
                <c:pt idx="839">
                  <c:v>320.60390000000001</c:v>
                </c:pt>
                <c:pt idx="840">
                  <c:v>320.80329999999998</c:v>
                </c:pt>
                <c:pt idx="841">
                  <c:v>321.0018</c:v>
                </c:pt>
                <c:pt idx="842">
                  <c:v>321.20170000000002</c:v>
                </c:pt>
                <c:pt idx="843">
                  <c:v>321.40199999999999</c:v>
                </c:pt>
                <c:pt idx="844">
                  <c:v>321.60160000000002</c:v>
                </c:pt>
                <c:pt idx="845">
                  <c:v>321.80160000000001</c:v>
                </c:pt>
                <c:pt idx="846">
                  <c:v>322.00439999999998</c:v>
                </c:pt>
                <c:pt idx="847">
                  <c:v>322.20170000000002</c:v>
                </c:pt>
                <c:pt idx="848">
                  <c:v>322.40140000000002</c:v>
                </c:pt>
                <c:pt idx="849">
                  <c:v>322.60309999999998</c:v>
                </c:pt>
                <c:pt idx="850">
                  <c:v>322.80160000000001</c:v>
                </c:pt>
                <c:pt idx="851">
                  <c:v>323.00189999999998</c:v>
                </c:pt>
                <c:pt idx="852">
                  <c:v>323.20249999999999</c:v>
                </c:pt>
                <c:pt idx="853">
                  <c:v>323.4042</c:v>
                </c:pt>
                <c:pt idx="854">
                  <c:v>323.60210000000001</c:v>
                </c:pt>
                <c:pt idx="855">
                  <c:v>323.8014</c:v>
                </c:pt>
                <c:pt idx="856">
                  <c:v>324.00229999999999</c:v>
                </c:pt>
                <c:pt idx="857">
                  <c:v>324.2022</c:v>
                </c:pt>
                <c:pt idx="858">
                  <c:v>324.4042</c:v>
                </c:pt>
                <c:pt idx="859">
                  <c:v>324.60430000000002</c:v>
                </c:pt>
                <c:pt idx="860">
                  <c:v>324.80160000000001</c:v>
                </c:pt>
                <c:pt idx="861">
                  <c:v>325.00349999999997</c:v>
                </c:pt>
                <c:pt idx="862">
                  <c:v>325.20389999999998</c:v>
                </c:pt>
                <c:pt idx="863">
                  <c:v>325.4024</c:v>
                </c:pt>
                <c:pt idx="864">
                  <c:v>325.6046</c:v>
                </c:pt>
                <c:pt idx="865">
                  <c:v>325.80430000000001</c:v>
                </c:pt>
                <c:pt idx="866">
                  <c:v>326.0043</c:v>
                </c:pt>
                <c:pt idx="867">
                  <c:v>326.20389999999998</c:v>
                </c:pt>
                <c:pt idx="868">
                  <c:v>326.40300000000002</c:v>
                </c:pt>
                <c:pt idx="869">
                  <c:v>326.60149999999999</c:v>
                </c:pt>
                <c:pt idx="870">
                  <c:v>326.803</c:v>
                </c:pt>
                <c:pt idx="871">
                  <c:v>327.00479999999999</c:v>
                </c:pt>
                <c:pt idx="872">
                  <c:v>327.20420000000001</c:v>
                </c:pt>
                <c:pt idx="873">
                  <c:v>327.40249999999997</c:v>
                </c:pt>
                <c:pt idx="874">
                  <c:v>327.60289999999998</c:v>
                </c:pt>
                <c:pt idx="875">
                  <c:v>327.80439999999999</c:v>
                </c:pt>
                <c:pt idx="876">
                  <c:v>328.0018</c:v>
                </c:pt>
                <c:pt idx="877">
                  <c:v>328.20159999999998</c:v>
                </c:pt>
                <c:pt idx="878">
                  <c:v>328.40269999999998</c:v>
                </c:pt>
                <c:pt idx="879">
                  <c:v>328.60239999999999</c:v>
                </c:pt>
                <c:pt idx="880">
                  <c:v>328.80529999999999</c:v>
                </c:pt>
                <c:pt idx="881">
                  <c:v>329.00659999999999</c:v>
                </c:pt>
                <c:pt idx="882">
                  <c:v>329.20319999999998</c:v>
                </c:pt>
                <c:pt idx="883">
                  <c:v>329.40390000000002</c:v>
                </c:pt>
                <c:pt idx="884">
                  <c:v>329.60309999999998</c:v>
                </c:pt>
                <c:pt idx="885">
                  <c:v>329.80380000000002</c:v>
                </c:pt>
                <c:pt idx="886">
                  <c:v>330.00310000000002</c:v>
                </c:pt>
                <c:pt idx="887">
                  <c:v>330.20240000000001</c:v>
                </c:pt>
                <c:pt idx="888">
                  <c:v>330.40519999999998</c:v>
                </c:pt>
                <c:pt idx="889">
                  <c:v>330.60419999999999</c:v>
                </c:pt>
                <c:pt idx="890">
                  <c:v>330.80340000000001</c:v>
                </c:pt>
                <c:pt idx="891">
                  <c:v>331.00420000000003</c:v>
                </c:pt>
                <c:pt idx="892">
                  <c:v>331.20359999999999</c:v>
                </c:pt>
                <c:pt idx="893">
                  <c:v>331.40210000000002</c:v>
                </c:pt>
                <c:pt idx="894">
                  <c:v>331.60379999999998</c:v>
                </c:pt>
                <c:pt idx="895">
                  <c:v>331.80329999999998</c:v>
                </c:pt>
                <c:pt idx="896">
                  <c:v>332.00459999999998</c:v>
                </c:pt>
                <c:pt idx="897">
                  <c:v>332.2029</c:v>
                </c:pt>
                <c:pt idx="898">
                  <c:v>332.40440000000001</c:v>
                </c:pt>
                <c:pt idx="899">
                  <c:v>332.60199999999998</c:v>
                </c:pt>
                <c:pt idx="900">
                  <c:v>332.80270000000002</c:v>
                </c:pt>
                <c:pt idx="901">
                  <c:v>333.0034</c:v>
                </c:pt>
                <c:pt idx="902">
                  <c:v>333.20209999999997</c:v>
                </c:pt>
                <c:pt idx="903">
                  <c:v>333.40350000000001</c:v>
                </c:pt>
                <c:pt idx="904">
                  <c:v>333.60230000000001</c:v>
                </c:pt>
                <c:pt idx="905">
                  <c:v>333.80540000000002</c:v>
                </c:pt>
                <c:pt idx="906">
                  <c:v>334.0059</c:v>
                </c:pt>
                <c:pt idx="907">
                  <c:v>334.20409999999998</c:v>
                </c:pt>
                <c:pt idx="908">
                  <c:v>334.40309999999999</c:v>
                </c:pt>
                <c:pt idx="909">
                  <c:v>334.60239999999999</c:v>
                </c:pt>
                <c:pt idx="910">
                  <c:v>334.80540000000002</c:v>
                </c:pt>
                <c:pt idx="911">
                  <c:v>335.00380000000001</c:v>
                </c:pt>
                <c:pt idx="912">
                  <c:v>335.20339999999999</c:v>
                </c:pt>
                <c:pt idx="913">
                  <c:v>335.40550000000002</c:v>
                </c:pt>
                <c:pt idx="914">
                  <c:v>335.60270000000003</c:v>
                </c:pt>
                <c:pt idx="915">
                  <c:v>335.80309999999997</c:v>
                </c:pt>
                <c:pt idx="916">
                  <c:v>336.0025</c:v>
                </c:pt>
                <c:pt idx="917">
                  <c:v>336.20440000000002</c:v>
                </c:pt>
                <c:pt idx="918">
                  <c:v>336.4042</c:v>
                </c:pt>
                <c:pt idx="919">
                  <c:v>336.60550000000001</c:v>
                </c:pt>
                <c:pt idx="920">
                  <c:v>336.80309999999997</c:v>
                </c:pt>
                <c:pt idx="921">
                  <c:v>337.00529999999998</c:v>
                </c:pt>
                <c:pt idx="922">
                  <c:v>337.20310000000001</c:v>
                </c:pt>
                <c:pt idx="923">
                  <c:v>337.40249999999997</c:v>
                </c:pt>
                <c:pt idx="924">
                  <c:v>337.60520000000002</c:v>
                </c:pt>
                <c:pt idx="925">
                  <c:v>337.80610000000001</c:v>
                </c:pt>
                <c:pt idx="926">
                  <c:v>338.00540000000001</c:v>
                </c:pt>
                <c:pt idx="927">
                  <c:v>338.20310000000001</c:v>
                </c:pt>
                <c:pt idx="928">
                  <c:v>338.40359999999998</c:v>
                </c:pt>
                <c:pt idx="929">
                  <c:v>338.60430000000002</c:v>
                </c:pt>
                <c:pt idx="930">
                  <c:v>338.80410000000001</c:v>
                </c:pt>
                <c:pt idx="931">
                  <c:v>339.0052</c:v>
                </c:pt>
                <c:pt idx="932">
                  <c:v>339.20359999999999</c:v>
                </c:pt>
                <c:pt idx="933">
                  <c:v>339.40300000000002</c:v>
                </c:pt>
                <c:pt idx="934">
                  <c:v>339.60289999999998</c:v>
                </c:pt>
                <c:pt idx="935">
                  <c:v>339.80340000000001</c:v>
                </c:pt>
                <c:pt idx="936">
                  <c:v>340.00389999999999</c:v>
                </c:pt>
                <c:pt idx="937">
                  <c:v>340.20429999999999</c:v>
                </c:pt>
                <c:pt idx="938">
                  <c:v>340.80549999999999</c:v>
                </c:pt>
                <c:pt idx="939">
                  <c:v>341.00330000000002</c:v>
                </c:pt>
                <c:pt idx="940">
                  <c:v>341.20249999999999</c:v>
                </c:pt>
                <c:pt idx="941">
                  <c:v>341.40260000000001</c:v>
                </c:pt>
                <c:pt idx="942">
                  <c:v>341.60300000000001</c:v>
                </c:pt>
                <c:pt idx="943">
                  <c:v>341.80360000000002</c:v>
                </c:pt>
                <c:pt idx="944">
                  <c:v>342.0052</c:v>
                </c:pt>
                <c:pt idx="945">
                  <c:v>342.20440000000002</c:v>
                </c:pt>
                <c:pt idx="946">
                  <c:v>342.40480000000002</c:v>
                </c:pt>
                <c:pt idx="947">
                  <c:v>342.60379999999998</c:v>
                </c:pt>
                <c:pt idx="948">
                  <c:v>342.80459999999999</c:v>
                </c:pt>
                <c:pt idx="949">
                  <c:v>343.00619999999998</c:v>
                </c:pt>
                <c:pt idx="950">
                  <c:v>343.20269999999999</c:v>
                </c:pt>
                <c:pt idx="951">
                  <c:v>343.40460000000002</c:v>
                </c:pt>
                <c:pt idx="952">
                  <c:v>343.60509999999999</c:v>
                </c:pt>
                <c:pt idx="953">
                  <c:v>343.80369999999999</c:v>
                </c:pt>
                <c:pt idx="954">
                  <c:v>344.00319999999999</c:v>
                </c:pt>
                <c:pt idx="955">
                  <c:v>344.20280000000002</c:v>
                </c:pt>
                <c:pt idx="956">
                  <c:v>344.40359999999998</c:v>
                </c:pt>
                <c:pt idx="957">
                  <c:v>344.60489999999999</c:v>
                </c:pt>
                <c:pt idx="958">
                  <c:v>344.80489999999998</c:v>
                </c:pt>
                <c:pt idx="959">
                  <c:v>345.00360000000001</c:v>
                </c:pt>
                <c:pt idx="960">
                  <c:v>345.20280000000002</c:v>
                </c:pt>
                <c:pt idx="961">
                  <c:v>345.40480000000002</c:v>
                </c:pt>
                <c:pt idx="962">
                  <c:v>345.60509999999999</c:v>
                </c:pt>
                <c:pt idx="963">
                  <c:v>345.80599999999998</c:v>
                </c:pt>
                <c:pt idx="964">
                  <c:v>346.00380000000001</c:v>
                </c:pt>
                <c:pt idx="965">
                  <c:v>346.20389999999998</c:v>
                </c:pt>
                <c:pt idx="966">
                  <c:v>346.40339999999998</c:v>
                </c:pt>
                <c:pt idx="967">
                  <c:v>346.60899999999998</c:v>
                </c:pt>
                <c:pt idx="968">
                  <c:v>346.8048</c:v>
                </c:pt>
                <c:pt idx="969">
                  <c:v>347.0052</c:v>
                </c:pt>
                <c:pt idx="970">
                  <c:v>347.2063</c:v>
                </c:pt>
                <c:pt idx="971">
                  <c:v>347.40550000000002</c:v>
                </c:pt>
                <c:pt idx="972">
                  <c:v>347.60419999999999</c:v>
                </c:pt>
                <c:pt idx="973">
                  <c:v>347.80349999999999</c:v>
                </c:pt>
                <c:pt idx="974">
                  <c:v>348.00490000000002</c:v>
                </c:pt>
                <c:pt idx="975">
                  <c:v>348.20589999999999</c:v>
                </c:pt>
                <c:pt idx="976">
                  <c:v>348.40300000000002</c:v>
                </c:pt>
                <c:pt idx="977">
                  <c:v>348.60379999999998</c:v>
                </c:pt>
                <c:pt idx="978">
                  <c:v>348.80439999999999</c:v>
                </c:pt>
                <c:pt idx="979">
                  <c:v>349.00420000000003</c:v>
                </c:pt>
                <c:pt idx="980">
                  <c:v>349.20370000000003</c:v>
                </c:pt>
                <c:pt idx="981">
                  <c:v>349.40519999999998</c:v>
                </c:pt>
                <c:pt idx="982">
                  <c:v>349.60590000000002</c:v>
                </c:pt>
                <c:pt idx="983">
                  <c:v>349.80430000000001</c:v>
                </c:pt>
                <c:pt idx="984">
                  <c:v>350.00299999999999</c:v>
                </c:pt>
                <c:pt idx="985">
                  <c:v>350.20460000000003</c:v>
                </c:pt>
                <c:pt idx="986">
                  <c:v>350.40410000000003</c:v>
                </c:pt>
                <c:pt idx="987">
                  <c:v>350.60320000000002</c:v>
                </c:pt>
                <c:pt idx="988">
                  <c:v>350.80439999999999</c:v>
                </c:pt>
                <c:pt idx="989">
                  <c:v>351.0043</c:v>
                </c:pt>
                <c:pt idx="990">
                  <c:v>351.20499999999998</c:v>
                </c:pt>
                <c:pt idx="991">
                  <c:v>351.4051</c:v>
                </c:pt>
                <c:pt idx="992">
                  <c:v>351.60340000000002</c:v>
                </c:pt>
                <c:pt idx="993">
                  <c:v>351.80410000000001</c:v>
                </c:pt>
                <c:pt idx="994">
                  <c:v>352.00470000000001</c:v>
                </c:pt>
                <c:pt idx="995">
                  <c:v>352.2056</c:v>
                </c:pt>
                <c:pt idx="996">
                  <c:v>352.4049</c:v>
                </c:pt>
                <c:pt idx="997">
                  <c:v>352.6037</c:v>
                </c:pt>
                <c:pt idx="998">
                  <c:v>352.80509999999998</c:v>
                </c:pt>
                <c:pt idx="999">
                  <c:v>353.00569999999999</c:v>
                </c:pt>
                <c:pt idx="1000">
                  <c:v>353.20319999999998</c:v>
                </c:pt>
                <c:pt idx="1001">
                  <c:v>353.40530000000001</c:v>
                </c:pt>
                <c:pt idx="1002">
                  <c:v>353.60469999999998</c:v>
                </c:pt>
                <c:pt idx="1003">
                  <c:v>353.8057</c:v>
                </c:pt>
                <c:pt idx="1004">
                  <c:v>354.00560000000002</c:v>
                </c:pt>
                <c:pt idx="1005">
                  <c:v>354.20440000000002</c:v>
                </c:pt>
                <c:pt idx="1006">
                  <c:v>354.40469999999999</c:v>
                </c:pt>
                <c:pt idx="1007">
                  <c:v>354.6037</c:v>
                </c:pt>
                <c:pt idx="1008">
                  <c:v>354.80560000000003</c:v>
                </c:pt>
                <c:pt idx="1009">
                  <c:v>355.00490000000002</c:v>
                </c:pt>
                <c:pt idx="1010">
                  <c:v>355.20620000000002</c:v>
                </c:pt>
                <c:pt idx="1011">
                  <c:v>355.40390000000002</c:v>
                </c:pt>
                <c:pt idx="1012">
                  <c:v>355.60509999999999</c:v>
                </c:pt>
                <c:pt idx="1013">
                  <c:v>355.80349999999999</c:v>
                </c:pt>
                <c:pt idx="1014">
                  <c:v>356.00510000000003</c:v>
                </c:pt>
                <c:pt idx="1015">
                  <c:v>356.2047</c:v>
                </c:pt>
                <c:pt idx="1016">
                  <c:v>356.40359999999998</c:v>
                </c:pt>
                <c:pt idx="1017">
                  <c:v>356.6037</c:v>
                </c:pt>
                <c:pt idx="1018">
                  <c:v>356.80360000000002</c:v>
                </c:pt>
                <c:pt idx="1019">
                  <c:v>357.00569999999999</c:v>
                </c:pt>
                <c:pt idx="1020">
                  <c:v>357.2056</c:v>
                </c:pt>
                <c:pt idx="1021">
                  <c:v>357.40519999999998</c:v>
                </c:pt>
                <c:pt idx="1022">
                  <c:v>357.60550000000001</c:v>
                </c:pt>
                <c:pt idx="1023">
                  <c:v>357.80470000000003</c:v>
                </c:pt>
                <c:pt idx="1024">
                  <c:v>358.00659999999999</c:v>
                </c:pt>
                <c:pt idx="1025">
                  <c:v>358.20499999999998</c:v>
                </c:pt>
                <c:pt idx="1026">
                  <c:v>358.40609999999998</c:v>
                </c:pt>
                <c:pt idx="1027">
                  <c:v>358.60649999999998</c:v>
                </c:pt>
                <c:pt idx="1028">
                  <c:v>358.80610000000001</c:v>
                </c:pt>
                <c:pt idx="1029">
                  <c:v>359.00360000000001</c:v>
                </c:pt>
                <c:pt idx="1030">
                  <c:v>359.20440000000002</c:v>
                </c:pt>
                <c:pt idx="1031">
                  <c:v>359.40480000000002</c:v>
                </c:pt>
                <c:pt idx="1032">
                  <c:v>359.60640000000001</c:v>
                </c:pt>
                <c:pt idx="1033">
                  <c:v>359.8064</c:v>
                </c:pt>
                <c:pt idx="1034">
                  <c:v>360.00560000000002</c:v>
                </c:pt>
                <c:pt idx="1035">
                  <c:v>360.20650000000001</c:v>
                </c:pt>
                <c:pt idx="1036">
                  <c:v>360.4042</c:v>
                </c:pt>
                <c:pt idx="1037">
                  <c:v>360.60520000000002</c:v>
                </c:pt>
                <c:pt idx="1038">
                  <c:v>360.80540000000002</c:v>
                </c:pt>
                <c:pt idx="1039">
                  <c:v>361.00450000000001</c:v>
                </c:pt>
                <c:pt idx="1040">
                  <c:v>361.20409999999998</c:v>
                </c:pt>
                <c:pt idx="1041">
                  <c:v>361.40679999999998</c:v>
                </c:pt>
                <c:pt idx="1042">
                  <c:v>361.6046</c:v>
                </c:pt>
                <c:pt idx="1043">
                  <c:v>361.80439999999999</c:v>
                </c:pt>
                <c:pt idx="1044">
                  <c:v>362.00420000000003</c:v>
                </c:pt>
                <c:pt idx="1045">
                  <c:v>362.20479999999998</c:v>
                </c:pt>
                <c:pt idx="1046">
                  <c:v>362.40429999999998</c:v>
                </c:pt>
                <c:pt idx="1047">
                  <c:v>362.60539999999997</c:v>
                </c:pt>
                <c:pt idx="1048">
                  <c:v>362.80489999999998</c:v>
                </c:pt>
                <c:pt idx="1049">
                  <c:v>363.0086</c:v>
                </c:pt>
                <c:pt idx="1050">
                  <c:v>363.20589999999999</c:v>
                </c:pt>
                <c:pt idx="1051">
                  <c:v>363.40600000000001</c:v>
                </c:pt>
                <c:pt idx="1052">
                  <c:v>363.60480000000001</c:v>
                </c:pt>
                <c:pt idx="1053">
                  <c:v>363.80630000000002</c:v>
                </c:pt>
                <c:pt idx="1054">
                  <c:v>364.00619999999998</c:v>
                </c:pt>
                <c:pt idx="1055">
                  <c:v>364.20510000000002</c:v>
                </c:pt>
                <c:pt idx="1056">
                  <c:v>364.4049</c:v>
                </c:pt>
                <c:pt idx="1057">
                  <c:v>364.60629999999998</c:v>
                </c:pt>
                <c:pt idx="1058">
                  <c:v>364.80610000000001</c:v>
                </c:pt>
                <c:pt idx="1059">
                  <c:v>365.00420000000003</c:v>
                </c:pt>
                <c:pt idx="1060">
                  <c:v>365.2063</c:v>
                </c:pt>
                <c:pt idx="1061">
                  <c:v>365.40640000000002</c:v>
                </c:pt>
                <c:pt idx="1062">
                  <c:v>365.6046</c:v>
                </c:pt>
                <c:pt idx="1063">
                  <c:v>365.80520000000001</c:v>
                </c:pt>
                <c:pt idx="1064">
                  <c:v>366.00599999999997</c:v>
                </c:pt>
                <c:pt idx="1065">
                  <c:v>366.20440000000002</c:v>
                </c:pt>
                <c:pt idx="1066">
                  <c:v>366.40589999999997</c:v>
                </c:pt>
                <c:pt idx="1067">
                  <c:v>366.60680000000002</c:v>
                </c:pt>
                <c:pt idx="1068">
                  <c:v>366.80470000000003</c:v>
                </c:pt>
                <c:pt idx="1069">
                  <c:v>367.00650000000002</c:v>
                </c:pt>
                <c:pt idx="1070">
                  <c:v>367.20409999999998</c:v>
                </c:pt>
                <c:pt idx="1071">
                  <c:v>367.4067</c:v>
                </c:pt>
                <c:pt idx="1072">
                  <c:v>367.60590000000002</c:v>
                </c:pt>
                <c:pt idx="1073">
                  <c:v>367.80500000000001</c:v>
                </c:pt>
                <c:pt idx="1074">
                  <c:v>368.00450000000001</c:v>
                </c:pt>
                <c:pt idx="1075">
                  <c:v>368.20670000000001</c:v>
                </c:pt>
                <c:pt idx="1076">
                  <c:v>368.40690000000001</c:v>
                </c:pt>
                <c:pt idx="1077">
                  <c:v>368.60520000000002</c:v>
                </c:pt>
                <c:pt idx="1078">
                  <c:v>368.80689999999998</c:v>
                </c:pt>
                <c:pt idx="1079">
                  <c:v>369.00470000000001</c:v>
                </c:pt>
                <c:pt idx="1080">
                  <c:v>369.20499999999998</c:v>
                </c:pt>
                <c:pt idx="1081">
                  <c:v>369.40559999999999</c:v>
                </c:pt>
                <c:pt idx="1082">
                  <c:v>369.60629999999998</c:v>
                </c:pt>
                <c:pt idx="1083">
                  <c:v>369.81259999999997</c:v>
                </c:pt>
                <c:pt idx="1084">
                  <c:v>370.00479999999999</c:v>
                </c:pt>
                <c:pt idx="1085">
                  <c:v>370.20519999999999</c:v>
                </c:pt>
                <c:pt idx="1086">
                  <c:v>370.40679999999998</c:v>
                </c:pt>
                <c:pt idx="1087">
                  <c:v>370.60680000000002</c:v>
                </c:pt>
                <c:pt idx="1088">
                  <c:v>370.80540000000002</c:v>
                </c:pt>
                <c:pt idx="1089">
                  <c:v>371.00619999999998</c:v>
                </c:pt>
                <c:pt idx="1090">
                  <c:v>371.20460000000003</c:v>
                </c:pt>
                <c:pt idx="1091">
                  <c:v>371.40499999999997</c:v>
                </c:pt>
                <c:pt idx="1092">
                  <c:v>371.60489999999999</c:v>
                </c:pt>
                <c:pt idx="1093">
                  <c:v>371.80650000000003</c:v>
                </c:pt>
                <c:pt idx="1094">
                  <c:v>372.0068</c:v>
                </c:pt>
                <c:pt idx="1095">
                  <c:v>372.20679999999999</c:v>
                </c:pt>
                <c:pt idx="1096">
                  <c:v>372.40449999999998</c:v>
                </c:pt>
                <c:pt idx="1097">
                  <c:v>372.60509999999999</c:v>
                </c:pt>
                <c:pt idx="1098">
                  <c:v>372.80500000000001</c:v>
                </c:pt>
                <c:pt idx="1099">
                  <c:v>373.00540000000001</c:v>
                </c:pt>
                <c:pt idx="1100">
                  <c:v>373.20440000000002</c:v>
                </c:pt>
                <c:pt idx="1101">
                  <c:v>373.40750000000003</c:v>
                </c:pt>
                <c:pt idx="1102">
                  <c:v>373.60480000000001</c:v>
                </c:pt>
                <c:pt idx="1103">
                  <c:v>373.80779999999999</c:v>
                </c:pt>
                <c:pt idx="1104">
                  <c:v>374.00540000000001</c:v>
                </c:pt>
                <c:pt idx="1105">
                  <c:v>374.20699999999999</c:v>
                </c:pt>
                <c:pt idx="1106">
                  <c:v>374.40550000000002</c:v>
                </c:pt>
                <c:pt idx="1107">
                  <c:v>374.60599999999999</c:v>
                </c:pt>
                <c:pt idx="1108">
                  <c:v>374.80700000000002</c:v>
                </c:pt>
                <c:pt idx="1109">
                  <c:v>375.00810000000001</c:v>
                </c:pt>
                <c:pt idx="1110">
                  <c:v>375.20699999999999</c:v>
                </c:pt>
                <c:pt idx="1111">
                  <c:v>375.40519999999998</c:v>
                </c:pt>
                <c:pt idx="1112">
                  <c:v>375.6046</c:v>
                </c:pt>
                <c:pt idx="1113">
                  <c:v>375.80689999999998</c:v>
                </c:pt>
                <c:pt idx="1114">
                  <c:v>376.00479999999999</c:v>
                </c:pt>
                <c:pt idx="1115">
                  <c:v>376.20690000000002</c:v>
                </c:pt>
                <c:pt idx="1116">
                  <c:v>376.40719999999999</c:v>
                </c:pt>
                <c:pt idx="1117">
                  <c:v>376.60590000000002</c:v>
                </c:pt>
                <c:pt idx="1118">
                  <c:v>376.80810000000002</c:v>
                </c:pt>
                <c:pt idx="1119">
                  <c:v>377.00490000000002</c:v>
                </c:pt>
                <c:pt idx="1120">
                  <c:v>377.20749999999998</c:v>
                </c:pt>
                <c:pt idx="1121">
                  <c:v>377.40570000000002</c:v>
                </c:pt>
                <c:pt idx="1122">
                  <c:v>377.60759999999999</c:v>
                </c:pt>
                <c:pt idx="1123">
                  <c:v>377.80549999999999</c:v>
                </c:pt>
                <c:pt idx="1124">
                  <c:v>378.00599999999997</c:v>
                </c:pt>
                <c:pt idx="1125">
                  <c:v>378.20530000000002</c:v>
                </c:pt>
                <c:pt idx="1126">
                  <c:v>378.40649999999999</c:v>
                </c:pt>
                <c:pt idx="1127">
                  <c:v>378.60559999999998</c:v>
                </c:pt>
                <c:pt idx="1128">
                  <c:v>378.80599999999998</c:v>
                </c:pt>
                <c:pt idx="1129">
                  <c:v>379.00990000000002</c:v>
                </c:pt>
                <c:pt idx="1130">
                  <c:v>379.20729999999998</c:v>
                </c:pt>
                <c:pt idx="1131">
                  <c:v>379.40600000000001</c:v>
                </c:pt>
                <c:pt idx="1132">
                  <c:v>379.6053</c:v>
                </c:pt>
                <c:pt idx="1133">
                  <c:v>379.80579999999998</c:v>
                </c:pt>
                <c:pt idx="1134">
                  <c:v>380.00729999999999</c:v>
                </c:pt>
                <c:pt idx="1135">
                  <c:v>380.20499999999998</c:v>
                </c:pt>
                <c:pt idx="1136">
                  <c:v>380.40780000000001</c:v>
                </c:pt>
                <c:pt idx="1137">
                  <c:v>380.86439999999999</c:v>
                </c:pt>
                <c:pt idx="1138">
                  <c:v>380.96800000000002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Time_Seg9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m/d/yyyy</c:formatCode>
                <c:ptCount val="116"/>
                <c:pt idx="0">
                  <c:v>45681</c:v>
                </c:pt>
                <c:pt idx="1">
                  <c:v>45681</c:v>
                </c:pt>
                <c:pt idx="2">
                  <c:v>45681</c:v>
                </c:pt>
                <c:pt idx="3">
                  <c:v>45681</c:v>
                </c:pt>
                <c:pt idx="4">
                  <c:v>45681</c:v>
                </c:pt>
                <c:pt idx="5">
                  <c:v>45681</c:v>
                </c:pt>
                <c:pt idx="6">
                  <c:v>45681</c:v>
                </c:pt>
                <c:pt idx="7">
                  <c:v>45681</c:v>
                </c:pt>
                <c:pt idx="8">
                  <c:v>45681</c:v>
                </c:pt>
                <c:pt idx="9">
                  <c:v>45681</c:v>
                </c:pt>
                <c:pt idx="10">
                  <c:v>45681</c:v>
                </c:pt>
                <c:pt idx="11">
                  <c:v>45681</c:v>
                </c:pt>
                <c:pt idx="12">
                  <c:v>45681</c:v>
                </c:pt>
                <c:pt idx="13">
                  <c:v>45681</c:v>
                </c:pt>
                <c:pt idx="14">
                  <c:v>45681</c:v>
                </c:pt>
                <c:pt idx="15">
                  <c:v>45681</c:v>
                </c:pt>
                <c:pt idx="16">
                  <c:v>45681</c:v>
                </c:pt>
                <c:pt idx="17">
                  <c:v>45681</c:v>
                </c:pt>
                <c:pt idx="18">
                  <c:v>45681</c:v>
                </c:pt>
                <c:pt idx="19">
                  <c:v>45681</c:v>
                </c:pt>
                <c:pt idx="20">
                  <c:v>45681</c:v>
                </c:pt>
                <c:pt idx="21">
                  <c:v>45681</c:v>
                </c:pt>
                <c:pt idx="22">
                  <c:v>45681</c:v>
                </c:pt>
                <c:pt idx="23">
                  <c:v>45681</c:v>
                </c:pt>
                <c:pt idx="24">
                  <c:v>45681</c:v>
                </c:pt>
                <c:pt idx="25">
                  <c:v>45681</c:v>
                </c:pt>
                <c:pt idx="26">
                  <c:v>45681</c:v>
                </c:pt>
                <c:pt idx="27">
                  <c:v>45681</c:v>
                </c:pt>
                <c:pt idx="28">
                  <c:v>45681</c:v>
                </c:pt>
                <c:pt idx="29">
                  <c:v>45681</c:v>
                </c:pt>
                <c:pt idx="30">
                  <c:v>45681</c:v>
                </c:pt>
                <c:pt idx="31">
                  <c:v>45681</c:v>
                </c:pt>
                <c:pt idx="32">
                  <c:v>45681</c:v>
                </c:pt>
                <c:pt idx="33">
                  <c:v>45681</c:v>
                </c:pt>
                <c:pt idx="34">
                  <c:v>45681</c:v>
                </c:pt>
                <c:pt idx="35">
                  <c:v>45681</c:v>
                </c:pt>
                <c:pt idx="36">
                  <c:v>45681</c:v>
                </c:pt>
                <c:pt idx="37">
                  <c:v>45681</c:v>
                </c:pt>
                <c:pt idx="38">
                  <c:v>45681</c:v>
                </c:pt>
                <c:pt idx="39">
                  <c:v>45681</c:v>
                </c:pt>
                <c:pt idx="40">
                  <c:v>45681</c:v>
                </c:pt>
                <c:pt idx="41">
                  <c:v>45681</c:v>
                </c:pt>
                <c:pt idx="42">
                  <c:v>45681</c:v>
                </c:pt>
                <c:pt idx="43">
                  <c:v>45681</c:v>
                </c:pt>
                <c:pt idx="44">
                  <c:v>45681</c:v>
                </c:pt>
                <c:pt idx="45">
                  <c:v>45681</c:v>
                </c:pt>
                <c:pt idx="46">
                  <c:v>45681</c:v>
                </c:pt>
                <c:pt idx="47">
                  <c:v>45681</c:v>
                </c:pt>
                <c:pt idx="48">
                  <c:v>45681</c:v>
                </c:pt>
                <c:pt idx="49">
                  <c:v>45681</c:v>
                </c:pt>
                <c:pt idx="50">
                  <c:v>45681</c:v>
                </c:pt>
                <c:pt idx="51">
                  <c:v>45681</c:v>
                </c:pt>
                <c:pt idx="52">
                  <c:v>45681</c:v>
                </c:pt>
                <c:pt idx="53">
                  <c:v>45681</c:v>
                </c:pt>
                <c:pt idx="54">
                  <c:v>45681</c:v>
                </c:pt>
                <c:pt idx="55">
                  <c:v>45681</c:v>
                </c:pt>
                <c:pt idx="56">
                  <c:v>45681</c:v>
                </c:pt>
                <c:pt idx="57">
                  <c:v>45681</c:v>
                </c:pt>
                <c:pt idx="58">
                  <c:v>45681</c:v>
                </c:pt>
                <c:pt idx="59">
                  <c:v>45681</c:v>
                </c:pt>
                <c:pt idx="60">
                  <c:v>45681</c:v>
                </c:pt>
                <c:pt idx="61">
                  <c:v>45681</c:v>
                </c:pt>
                <c:pt idx="62">
                  <c:v>45681</c:v>
                </c:pt>
                <c:pt idx="63">
                  <c:v>45681</c:v>
                </c:pt>
                <c:pt idx="64">
                  <c:v>45681</c:v>
                </c:pt>
                <c:pt idx="65">
                  <c:v>45681</c:v>
                </c:pt>
                <c:pt idx="66">
                  <c:v>45681</c:v>
                </c:pt>
                <c:pt idx="67">
                  <c:v>45681</c:v>
                </c:pt>
                <c:pt idx="68">
                  <c:v>45681</c:v>
                </c:pt>
                <c:pt idx="69">
                  <c:v>45681</c:v>
                </c:pt>
                <c:pt idx="70">
                  <c:v>45681</c:v>
                </c:pt>
                <c:pt idx="71">
                  <c:v>45681</c:v>
                </c:pt>
                <c:pt idx="72">
                  <c:v>45681</c:v>
                </c:pt>
                <c:pt idx="73">
                  <c:v>45681</c:v>
                </c:pt>
                <c:pt idx="74">
                  <c:v>45681</c:v>
                </c:pt>
                <c:pt idx="75">
                  <c:v>45681</c:v>
                </c:pt>
                <c:pt idx="76">
                  <c:v>45681</c:v>
                </c:pt>
                <c:pt idx="77">
                  <c:v>45681</c:v>
                </c:pt>
                <c:pt idx="78">
                  <c:v>45681</c:v>
                </c:pt>
                <c:pt idx="79">
                  <c:v>45681</c:v>
                </c:pt>
                <c:pt idx="80">
                  <c:v>45681</c:v>
                </c:pt>
                <c:pt idx="81">
                  <c:v>45681</c:v>
                </c:pt>
                <c:pt idx="82">
                  <c:v>45681</c:v>
                </c:pt>
                <c:pt idx="83">
                  <c:v>45681</c:v>
                </c:pt>
                <c:pt idx="84">
                  <c:v>45681</c:v>
                </c:pt>
                <c:pt idx="85">
                  <c:v>45681</c:v>
                </c:pt>
                <c:pt idx="86">
                  <c:v>45681</c:v>
                </c:pt>
                <c:pt idx="87">
                  <c:v>45681</c:v>
                </c:pt>
                <c:pt idx="88">
                  <c:v>45681</c:v>
                </c:pt>
                <c:pt idx="89">
                  <c:v>45681</c:v>
                </c:pt>
                <c:pt idx="90">
                  <c:v>45681</c:v>
                </c:pt>
                <c:pt idx="91">
                  <c:v>45681</c:v>
                </c:pt>
                <c:pt idx="92">
                  <c:v>45681</c:v>
                </c:pt>
                <c:pt idx="93">
                  <c:v>45681</c:v>
                </c:pt>
                <c:pt idx="94">
                  <c:v>45681</c:v>
                </c:pt>
                <c:pt idx="95">
                  <c:v>45681</c:v>
                </c:pt>
                <c:pt idx="96">
                  <c:v>45681</c:v>
                </c:pt>
                <c:pt idx="97">
                  <c:v>45681</c:v>
                </c:pt>
                <c:pt idx="98">
                  <c:v>45681</c:v>
                </c:pt>
                <c:pt idx="99">
                  <c:v>45681</c:v>
                </c:pt>
                <c:pt idx="100">
                  <c:v>45681</c:v>
                </c:pt>
                <c:pt idx="101">
                  <c:v>45681</c:v>
                </c:pt>
                <c:pt idx="102">
                  <c:v>45681</c:v>
                </c:pt>
                <c:pt idx="103">
                  <c:v>45681</c:v>
                </c:pt>
                <c:pt idx="104">
                  <c:v>45681</c:v>
                </c:pt>
                <c:pt idx="105">
                  <c:v>45681</c:v>
                </c:pt>
                <c:pt idx="106">
                  <c:v>45681</c:v>
                </c:pt>
                <c:pt idx="107">
                  <c:v>45681</c:v>
                </c:pt>
                <c:pt idx="108">
                  <c:v>45681</c:v>
                </c:pt>
                <c:pt idx="109">
                  <c:v>45681</c:v>
                </c:pt>
                <c:pt idx="110">
                  <c:v>45681</c:v>
                </c:pt>
                <c:pt idx="111">
                  <c:v>45681</c:v>
                </c:pt>
                <c:pt idx="112">
                  <c:v>45681</c:v>
                </c:pt>
                <c:pt idx="113">
                  <c:v>45681</c:v>
                </c:pt>
                <c:pt idx="114">
                  <c:v>45681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0.1987433333333346</c:v>
                </c:pt>
                <c:pt idx="2">
                  <c:v>0.39875333333333352</c:v>
                </c:pt>
                <c:pt idx="3">
                  <c:v>0.59864666666666821</c:v>
                </c:pt>
                <c:pt idx="4">
                  <c:v>0.79867866666666376</c:v>
                </c:pt>
                <c:pt idx="5">
                  <c:v>0.9984573333333352</c:v>
                </c:pt>
                <c:pt idx="6">
                  <c:v>1.1985660000000045</c:v>
                </c:pt>
                <c:pt idx="7">
                  <c:v>1.3987579999999975</c:v>
                </c:pt>
                <c:pt idx="8">
                  <c:v>1.5984366666666678</c:v>
                </c:pt>
                <c:pt idx="9">
                  <c:v>1.7987526666666647</c:v>
                </c:pt>
                <c:pt idx="10">
                  <c:v>1.9997413333333314</c:v>
                </c:pt>
                <c:pt idx="11">
                  <c:v>2.1985626666666671</c:v>
                </c:pt>
                <c:pt idx="12">
                  <c:v>2.3984673333333379</c:v>
                </c:pt>
                <c:pt idx="13">
                  <c:v>2.5993753333333331</c:v>
                </c:pt>
                <c:pt idx="14">
                  <c:v>2.7987233333333359</c:v>
                </c:pt>
                <c:pt idx="15">
                  <c:v>3.0002200000000063</c:v>
                </c:pt>
                <c:pt idx="16">
                  <c:v>3.1984406666666754</c:v>
                </c:pt>
                <c:pt idx="17">
                  <c:v>3.3984966666666687</c:v>
                </c:pt>
                <c:pt idx="18">
                  <c:v>3.5992093333333375</c:v>
                </c:pt>
                <c:pt idx="19">
                  <c:v>3.7986266666666739</c:v>
                </c:pt>
                <c:pt idx="20">
                  <c:v>3.9988173333333403</c:v>
                </c:pt>
                <c:pt idx="21">
                  <c:v>4.1995020000000043</c:v>
                </c:pt>
                <c:pt idx="22">
                  <c:v>4.3988020000000052</c:v>
                </c:pt>
                <c:pt idx="23">
                  <c:v>4.5985500000000004</c:v>
                </c:pt>
                <c:pt idx="24">
                  <c:v>4.7986466666666674</c:v>
                </c:pt>
                <c:pt idx="25">
                  <c:v>4.9985466666666696</c:v>
                </c:pt>
                <c:pt idx="26">
                  <c:v>5.1986346666666723</c:v>
                </c:pt>
                <c:pt idx="27">
                  <c:v>5.3985806666666711</c:v>
                </c:pt>
                <c:pt idx="28">
                  <c:v>5.5987433333333323</c:v>
                </c:pt>
                <c:pt idx="29">
                  <c:v>5.798659333333342</c:v>
                </c:pt>
                <c:pt idx="30">
                  <c:v>5.9986860000000011</c:v>
                </c:pt>
                <c:pt idx="31">
                  <c:v>6.1987106666666687</c:v>
                </c:pt>
                <c:pt idx="32">
                  <c:v>6.3988140000000033</c:v>
                </c:pt>
                <c:pt idx="33">
                  <c:v>6.599064000000002</c:v>
                </c:pt>
                <c:pt idx="34">
                  <c:v>6.799060666666672</c:v>
                </c:pt>
                <c:pt idx="35">
                  <c:v>6.9993833333333351</c:v>
                </c:pt>
                <c:pt idx="36">
                  <c:v>7.1985353333333304</c:v>
                </c:pt>
                <c:pt idx="37">
                  <c:v>7.3985653333333357</c:v>
                </c:pt>
                <c:pt idx="38">
                  <c:v>7.5989126666666644</c:v>
                </c:pt>
                <c:pt idx="39">
                  <c:v>7.7987446666666687</c:v>
                </c:pt>
                <c:pt idx="40">
                  <c:v>7.9990340000000062</c:v>
                </c:pt>
                <c:pt idx="41">
                  <c:v>8.1991126666666698</c:v>
                </c:pt>
                <c:pt idx="42">
                  <c:v>8.3986960000000064</c:v>
                </c:pt>
                <c:pt idx="43">
                  <c:v>8.5990306666666694</c:v>
                </c:pt>
                <c:pt idx="44">
                  <c:v>8.7989093333333326</c:v>
                </c:pt>
                <c:pt idx="45">
                  <c:v>8.9990880000000004</c:v>
                </c:pt>
                <c:pt idx="46">
                  <c:v>9.199262000000008</c:v>
                </c:pt>
                <c:pt idx="47">
                  <c:v>9.3987546666666724</c:v>
                </c:pt>
                <c:pt idx="48">
                  <c:v>9.5986626666666712</c:v>
                </c:pt>
                <c:pt idx="49">
                  <c:v>9.7989693333333356</c:v>
                </c:pt>
                <c:pt idx="50">
                  <c:v>9.9989900000000027</c:v>
                </c:pt>
                <c:pt idx="51">
                  <c:v>10.198732666666668</c:v>
                </c:pt>
                <c:pt idx="52">
                  <c:v>10.398660666666665</c:v>
                </c:pt>
                <c:pt idx="53">
                  <c:v>10.598785333333336</c:v>
                </c:pt>
                <c:pt idx="54">
                  <c:v>10.798462666666669</c:v>
                </c:pt>
                <c:pt idx="55">
                  <c:v>10.999080000000003</c:v>
                </c:pt>
                <c:pt idx="56">
                  <c:v>11.198542666666672</c:v>
                </c:pt>
                <c:pt idx="57">
                  <c:v>11.398380000000001</c:v>
                </c:pt>
                <c:pt idx="58">
                  <c:v>11.59876866666667</c:v>
                </c:pt>
                <c:pt idx="59">
                  <c:v>11.798532666666665</c:v>
                </c:pt>
                <c:pt idx="60">
                  <c:v>11.99941466666667</c:v>
                </c:pt>
                <c:pt idx="61">
                  <c:v>12.199524000000004</c:v>
                </c:pt>
                <c:pt idx="62">
                  <c:v>12.399055333333335</c:v>
                </c:pt>
                <c:pt idx="63">
                  <c:v>12.598772666666667</c:v>
                </c:pt>
                <c:pt idx="64">
                  <c:v>12.79907600000001</c:v>
                </c:pt>
                <c:pt idx="65">
                  <c:v>12.998646000000003</c:v>
                </c:pt>
                <c:pt idx="66">
                  <c:v>13.198806666666668</c:v>
                </c:pt>
                <c:pt idx="67">
                  <c:v>13.425936000000004</c:v>
                </c:pt>
                <c:pt idx="68">
                  <c:v>13.625448666666671</c:v>
                </c:pt>
                <c:pt idx="69">
                  <c:v>13.82503866666667</c:v>
                </c:pt>
                <c:pt idx="70">
                  <c:v>14.025676666666669</c:v>
                </c:pt>
                <c:pt idx="71">
                  <c:v>14.225540000000001</c:v>
                </c:pt>
                <c:pt idx="72">
                  <c:v>14.425560000000006</c:v>
                </c:pt>
                <c:pt idx="73">
                  <c:v>14.65254066666667</c:v>
                </c:pt>
                <c:pt idx="74">
                  <c:v>14.852013333333341</c:v>
                </c:pt>
                <c:pt idx="75">
                  <c:v>15.052366666666671</c:v>
                </c:pt>
                <c:pt idx="76">
                  <c:v>15.252112000000004</c:v>
                </c:pt>
                <c:pt idx="77">
                  <c:v>15.451890000000002</c:v>
                </c:pt>
                <c:pt idx="78">
                  <c:v>15.66350333333334</c:v>
                </c:pt>
                <c:pt idx="79">
                  <c:v>15.851742666666672</c:v>
                </c:pt>
                <c:pt idx="80">
                  <c:v>16.052232666666672</c:v>
                </c:pt>
                <c:pt idx="81">
                  <c:v>16.252062000000002</c:v>
                </c:pt>
                <c:pt idx="82">
                  <c:v>16.452348666666673</c:v>
                </c:pt>
                <c:pt idx="83">
                  <c:v>16.652312000000002</c:v>
                </c:pt>
                <c:pt idx="84">
                  <c:v>16.852638000000002</c:v>
                </c:pt>
                <c:pt idx="85">
                  <c:v>17.052218000000003</c:v>
                </c:pt>
                <c:pt idx="86">
                  <c:v>17.252502000000003</c:v>
                </c:pt>
                <c:pt idx="87">
                  <c:v>17.452108000000003</c:v>
                </c:pt>
                <c:pt idx="88">
                  <c:v>17.652073333333345</c:v>
                </c:pt>
                <c:pt idx="89">
                  <c:v>17.852276000000007</c:v>
                </c:pt>
                <c:pt idx="90">
                  <c:v>18.052970000000006</c:v>
                </c:pt>
                <c:pt idx="91">
                  <c:v>18.25228266666667</c:v>
                </c:pt>
                <c:pt idx="92">
                  <c:v>18.452434666666665</c:v>
                </c:pt>
                <c:pt idx="93">
                  <c:v>18.65192866666667</c:v>
                </c:pt>
                <c:pt idx="94">
                  <c:v>18.852327333333335</c:v>
                </c:pt>
                <c:pt idx="95">
                  <c:v>19.051965333333332</c:v>
                </c:pt>
                <c:pt idx="96">
                  <c:v>19.252576666666673</c:v>
                </c:pt>
                <c:pt idx="97">
                  <c:v>19.452147333333343</c:v>
                </c:pt>
                <c:pt idx="98">
                  <c:v>19.652376666666672</c:v>
                </c:pt>
                <c:pt idx="99">
                  <c:v>19.852156000000004</c:v>
                </c:pt>
                <c:pt idx="100">
                  <c:v>20.052499333333337</c:v>
                </c:pt>
                <c:pt idx="101">
                  <c:v>20.252116000000008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0.1987433333333346</c:v>
                </c:pt>
                <c:pt idx="2">
                  <c:v>0.39875333333333352</c:v>
                </c:pt>
                <c:pt idx="3">
                  <c:v>0.59864666666666821</c:v>
                </c:pt>
                <c:pt idx="4">
                  <c:v>0.79867866666666376</c:v>
                </c:pt>
                <c:pt idx="5">
                  <c:v>0.9984573333333352</c:v>
                </c:pt>
                <c:pt idx="6">
                  <c:v>1.1985660000000045</c:v>
                </c:pt>
                <c:pt idx="7">
                  <c:v>1.3987579999999975</c:v>
                </c:pt>
                <c:pt idx="8">
                  <c:v>1.5984366666666678</c:v>
                </c:pt>
                <c:pt idx="9">
                  <c:v>1.7987526666666647</c:v>
                </c:pt>
                <c:pt idx="10">
                  <c:v>1.9997413333333314</c:v>
                </c:pt>
                <c:pt idx="11">
                  <c:v>2.1985626666666671</c:v>
                </c:pt>
                <c:pt idx="12">
                  <c:v>2.3984673333333379</c:v>
                </c:pt>
                <c:pt idx="13">
                  <c:v>2.5993753333333331</c:v>
                </c:pt>
                <c:pt idx="14">
                  <c:v>2.7987233333333359</c:v>
                </c:pt>
                <c:pt idx="15">
                  <c:v>3.0002200000000063</c:v>
                </c:pt>
                <c:pt idx="16">
                  <c:v>3.1984406666666754</c:v>
                </c:pt>
                <c:pt idx="17">
                  <c:v>3.3984966666666687</c:v>
                </c:pt>
                <c:pt idx="18">
                  <c:v>3.5992093333333375</c:v>
                </c:pt>
                <c:pt idx="19">
                  <c:v>3.7986266666666739</c:v>
                </c:pt>
                <c:pt idx="20">
                  <c:v>3.9988173333333403</c:v>
                </c:pt>
                <c:pt idx="21">
                  <c:v>4.1995020000000043</c:v>
                </c:pt>
                <c:pt idx="22">
                  <c:v>4.3988020000000052</c:v>
                </c:pt>
                <c:pt idx="23">
                  <c:v>4.5985500000000004</c:v>
                </c:pt>
                <c:pt idx="24">
                  <c:v>4.7986466666666674</c:v>
                </c:pt>
                <c:pt idx="25">
                  <c:v>4.9985466666666696</c:v>
                </c:pt>
                <c:pt idx="26">
                  <c:v>5.1986346666666723</c:v>
                </c:pt>
                <c:pt idx="27">
                  <c:v>5.3985806666666711</c:v>
                </c:pt>
                <c:pt idx="28">
                  <c:v>5.5987433333333323</c:v>
                </c:pt>
                <c:pt idx="29">
                  <c:v>5.798659333333342</c:v>
                </c:pt>
                <c:pt idx="30">
                  <c:v>5.9986860000000011</c:v>
                </c:pt>
                <c:pt idx="31">
                  <c:v>6.1987106666666687</c:v>
                </c:pt>
                <c:pt idx="32">
                  <c:v>6.3988140000000033</c:v>
                </c:pt>
                <c:pt idx="33">
                  <c:v>6.599064000000002</c:v>
                </c:pt>
                <c:pt idx="34">
                  <c:v>6.799060666666672</c:v>
                </c:pt>
                <c:pt idx="35">
                  <c:v>6.9993833333333351</c:v>
                </c:pt>
                <c:pt idx="36">
                  <c:v>7.1985353333333304</c:v>
                </c:pt>
                <c:pt idx="37">
                  <c:v>7.3985653333333357</c:v>
                </c:pt>
                <c:pt idx="38">
                  <c:v>7.5989126666666644</c:v>
                </c:pt>
                <c:pt idx="39">
                  <c:v>7.7987446666666687</c:v>
                </c:pt>
                <c:pt idx="40">
                  <c:v>7.9990340000000062</c:v>
                </c:pt>
                <c:pt idx="41">
                  <c:v>8.1991126666666698</c:v>
                </c:pt>
                <c:pt idx="42">
                  <c:v>8.3986960000000064</c:v>
                </c:pt>
                <c:pt idx="43">
                  <c:v>8.5990306666666694</c:v>
                </c:pt>
                <c:pt idx="44">
                  <c:v>8.7989093333333326</c:v>
                </c:pt>
                <c:pt idx="45">
                  <c:v>8.9990880000000004</c:v>
                </c:pt>
                <c:pt idx="46">
                  <c:v>9.199262000000008</c:v>
                </c:pt>
                <c:pt idx="47">
                  <c:v>9.3987546666666724</c:v>
                </c:pt>
                <c:pt idx="48">
                  <c:v>9.5986626666666712</c:v>
                </c:pt>
                <c:pt idx="49">
                  <c:v>9.7989693333333356</c:v>
                </c:pt>
                <c:pt idx="50">
                  <c:v>9.9989900000000027</c:v>
                </c:pt>
                <c:pt idx="51">
                  <c:v>10.198732666666668</c:v>
                </c:pt>
                <c:pt idx="52">
                  <c:v>10.398660666666665</c:v>
                </c:pt>
                <c:pt idx="53">
                  <c:v>10.598785333333336</c:v>
                </c:pt>
                <c:pt idx="54">
                  <c:v>10.798462666666669</c:v>
                </c:pt>
                <c:pt idx="55">
                  <c:v>10.999080000000003</c:v>
                </c:pt>
                <c:pt idx="56">
                  <c:v>11.198542666666672</c:v>
                </c:pt>
                <c:pt idx="57">
                  <c:v>11.398380000000001</c:v>
                </c:pt>
                <c:pt idx="58">
                  <c:v>11.59876866666667</c:v>
                </c:pt>
                <c:pt idx="59">
                  <c:v>11.798532666666665</c:v>
                </c:pt>
                <c:pt idx="60">
                  <c:v>11.99941466666667</c:v>
                </c:pt>
                <c:pt idx="61">
                  <c:v>12.199524000000004</c:v>
                </c:pt>
                <c:pt idx="62">
                  <c:v>12.399055333333335</c:v>
                </c:pt>
                <c:pt idx="63">
                  <c:v>12.598772666666667</c:v>
                </c:pt>
                <c:pt idx="64">
                  <c:v>12.79907600000001</c:v>
                </c:pt>
                <c:pt idx="65">
                  <c:v>12.998646000000003</c:v>
                </c:pt>
                <c:pt idx="66">
                  <c:v>13.198806666666668</c:v>
                </c:pt>
                <c:pt idx="67">
                  <c:v>13.425936000000004</c:v>
                </c:pt>
                <c:pt idx="68">
                  <c:v>13.625448666666671</c:v>
                </c:pt>
                <c:pt idx="69">
                  <c:v>13.82503866666667</c:v>
                </c:pt>
                <c:pt idx="70">
                  <c:v>14.025676666666669</c:v>
                </c:pt>
                <c:pt idx="71">
                  <c:v>14.225540000000001</c:v>
                </c:pt>
                <c:pt idx="72">
                  <c:v>14.425560000000006</c:v>
                </c:pt>
                <c:pt idx="73">
                  <c:v>14.65254066666667</c:v>
                </c:pt>
                <c:pt idx="74">
                  <c:v>14.852013333333341</c:v>
                </c:pt>
                <c:pt idx="75">
                  <c:v>15.052366666666671</c:v>
                </c:pt>
                <c:pt idx="76">
                  <c:v>15.252112000000004</c:v>
                </c:pt>
                <c:pt idx="77">
                  <c:v>15.451890000000002</c:v>
                </c:pt>
                <c:pt idx="78">
                  <c:v>15.66350333333334</c:v>
                </c:pt>
                <c:pt idx="79">
                  <c:v>15.851742666666672</c:v>
                </c:pt>
                <c:pt idx="80">
                  <c:v>16.052232666666672</c:v>
                </c:pt>
                <c:pt idx="81">
                  <c:v>16.252062000000002</c:v>
                </c:pt>
                <c:pt idx="82">
                  <c:v>16.452348666666673</c:v>
                </c:pt>
                <c:pt idx="83">
                  <c:v>16.652312000000002</c:v>
                </c:pt>
                <c:pt idx="84">
                  <c:v>16.852638000000002</c:v>
                </c:pt>
                <c:pt idx="85">
                  <c:v>17.052218000000003</c:v>
                </c:pt>
                <c:pt idx="86">
                  <c:v>17.252502000000003</c:v>
                </c:pt>
                <c:pt idx="87">
                  <c:v>17.452108000000003</c:v>
                </c:pt>
                <c:pt idx="88">
                  <c:v>17.652073333333345</c:v>
                </c:pt>
                <c:pt idx="89">
                  <c:v>17.852276000000007</c:v>
                </c:pt>
                <c:pt idx="90">
                  <c:v>18.052970000000006</c:v>
                </c:pt>
                <c:pt idx="91">
                  <c:v>18.25228266666667</c:v>
                </c:pt>
                <c:pt idx="92">
                  <c:v>18.452434666666665</c:v>
                </c:pt>
                <c:pt idx="93">
                  <c:v>18.65192866666667</c:v>
                </c:pt>
                <c:pt idx="94">
                  <c:v>18.852327333333335</c:v>
                </c:pt>
                <c:pt idx="95">
                  <c:v>19.051965333333332</c:v>
                </c:pt>
                <c:pt idx="96">
                  <c:v>19.252576666666673</c:v>
                </c:pt>
                <c:pt idx="97">
                  <c:v>19.452147333333343</c:v>
                </c:pt>
                <c:pt idx="98">
                  <c:v>19.652376666666672</c:v>
                </c:pt>
                <c:pt idx="99">
                  <c:v>19.852156000000004</c:v>
                </c:pt>
                <c:pt idx="100">
                  <c:v>20.052499333333337</c:v>
                </c:pt>
                <c:pt idx="101">
                  <c:v>20.252116000000008</c:v>
                </c:pt>
                <c:pt idx="102">
                  <c:v>20.452442000000005</c:v>
                </c:pt>
                <c:pt idx="103">
                  <c:v>20.651894666666667</c:v>
                </c:pt>
                <c:pt idx="104">
                  <c:v>20.852434000000006</c:v>
                </c:pt>
                <c:pt idx="105">
                  <c:v>21.052438666666671</c:v>
                </c:pt>
                <c:pt idx="106">
                  <c:v>21.269392666666668</c:v>
                </c:pt>
                <c:pt idx="107">
                  <c:v>21.456509333333333</c:v>
                </c:pt>
                <c:pt idx="108">
                  <c:v>21.651968666666672</c:v>
                </c:pt>
                <c:pt idx="109">
                  <c:v>21.852149333333337</c:v>
                </c:pt>
                <c:pt idx="110">
                  <c:v>22.052117333333335</c:v>
                </c:pt>
                <c:pt idx="111">
                  <c:v>22.252248000000005</c:v>
                </c:pt>
                <c:pt idx="112">
                  <c:v>22.452437333333339</c:v>
                </c:pt>
                <c:pt idx="113">
                  <c:v>22.652518666666669</c:v>
                </c:pt>
                <c:pt idx="114">
                  <c:v>22.799486923076927</c:v>
                </c:pt>
                <c:pt idx="115">
                  <c:v>22.998225000000005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0.1987433333333346</c:v>
                </c:pt>
                <c:pt idx="2">
                  <c:v>0.39875333333333352</c:v>
                </c:pt>
                <c:pt idx="3">
                  <c:v>0.59864666666666821</c:v>
                </c:pt>
                <c:pt idx="4">
                  <c:v>0.79867866666666376</c:v>
                </c:pt>
                <c:pt idx="5">
                  <c:v>0.9984573333333352</c:v>
                </c:pt>
                <c:pt idx="6">
                  <c:v>1.1985660000000045</c:v>
                </c:pt>
                <c:pt idx="7">
                  <c:v>1.3987579999999975</c:v>
                </c:pt>
                <c:pt idx="8">
                  <c:v>1.5984366666666678</c:v>
                </c:pt>
                <c:pt idx="9">
                  <c:v>1.7987526666666647</c:v>
                </c:pt>
                <c:pt idx="10">
                  <c:v>1.9997413333333314</c:v>
                </c:pt>
                <c:pt idx="11">
                  <c:v>2.1985626666666671</c:v>
                </c:pt>
                <c:pt idx="12">
                  <c:v>2.3984673333333379</c:v>
                </c:pt>
                <c:pt idx="13">
                  <c:v>2.5993753333333331</c:v>
                </c:pt>
                <c:pt idx="14">
                  <c:v>2.7987233333333359</c:v>
                </c:pt>
                <c:pt idx="15">
                  <c:v>3.0002200000000063</c:v>
                </c:pt>
                <c:pt idx="16">
                  <c:v>3.1984406666666754</c:v>
                </c:pt>
                <c:pt idx="17">
                  <c:v>3.3984966666666687</c:v>
                </c:pt>
                <c:pt idx="18">
                  <c:v>3.5992093333333375</c:v>
                </c:pt>
                <c:pt idx="19">
                  <c:v>3.7986266666666739</c:v>
                </c:pt>
                <c:pt idx="20">
                  <c:v>3.9988173333333403</c:v>
                </c:pt>
                <c:pt idx="21">
                  <c:v>4.1995020000000043</c:v>
                </c:pt>
                <c:pt idx="22">
                  <c:v>4.3988020000000052</c:v>
                </c:pt>
                <c:pt idx="23">
                  <c:v>4.5985500000000004</c:v>
                </c:pt>
                <c:pt idx="24">
                  <c:v>4.7986466666666674</c:v>
                </c:pt>
                <c:pt idx="25">
                  <c:v>4.9985466666666696</c:v>
                </c:pt>
                <c:pt idx="26">
                  <c:v>5.1986346666666723</c:v>
                </c:pt>
                <c:pt idx="27">
                  <c:v>5.3985806666666711</c:v>
                </c:pt>
                <c:pt idx="28">
                  <c:v>5.5987433333333323</c:v>
                </c:pt>
                <c:pt idx="29">
                  <c:v>5.798659333333342</c:v>
                </c:pt>
                <c:pt idx="30">
                  <c:v>5.9986860000000011</c:v>
                </c:pt>
                <c:pt idx="31">
                  <c:v>6.1987106666666687</c:v>
                </c:pt>
                <c:pt idx="32">
                  <c:v>6.3988140000000033</c:v>
                </c:pt>
                <c:pt idx="33">
                  <c:v>6.599064000000002</c:v>
                </c:pt>
                <c:pt idx="34">
                  <c:v>6.799060666666672</c:v>
                </c:pt>
                <c:pt idx="35">
                  <c:v>6.9993833333333351</c:v>
                </c:pt>
                <c:pt idx="36">
                  <c:v>7.1985353333333304</c:v>
                </c:pt>
                <c:pt idx="37">
                  <c:v>7.3985653333333357</c:v>
                </c:pt>
                <c:pt idx="38">
                  <c:v>7.5989126666666644</c:v>
                </c:pt>
                <c:pt idx="39">
                  <c:v>7.7987446666666687</c:v>
                </c:pt>
                <c:pt idx="40">
                  <c:v>7.9990340000000062</c:v>
                </c:pt>
                <c:pt idx="41">
                  <c:v>8.1991126666666698</c:v>
                </c:pt>
                <c:pt idx="42">
                  <c:v>8.3986960000000064</c:v>
                </c:pt>
                <c:pt idx="43">
                  <c:v>8.5990306666666694</c:v>
                </c:pt>
                <c:pt idx="44">
                  <c:v>8.7989093333333326</c:v>
                </c:pt>
                <c:pt idx="45">
                  <c:v>8.9990880000000004</c:v>
                </c:pt>
                <c:pt idx="46">
                  <c:v>9.199262000000008</c:v>
                </c:pt>
                <c:pt idx="47">
                  <c:v>9.3987546666666724</c:v>
                </c:pt>
                <c:pt idx="48">
                  <c:v>9.5986626666666712</c:v>
                </c:pt>
                <c:pt idx="49">
                  <c:v>9.7989693333333356</c:v>
                </c:pt>
                <c:pt idx="50">
                  <c:v>9.9989900000000027</c:v>
                </c:pt>
                <c:pt idx="51">
                  <c:v>10.198732666666668</c:v>
                </c:pt>
                <c:pt idx="52">
                  <c:v>10.398660666666665</c:v>
                </c:pt>
                <c:pt idx="53">
                  <c:v>10.598785333333336</c:v>
                </c:pt>
                <c:pt idx="54">
                  <c:v>10.798462666666669</c:v>
                </c:pt>
                <c:pt idx="55">
                  <c:v>10.999080000000003</c:v>
                </c:pt>
                <c:pt idx="56">
                  <c:v>11.198542666666672</c:v>
                </c:pt>
                <c:pt idx="57">
                  <c:v>11.398380000000001</c:v>
                </c:pt>
                <c:pt idx="58">
                  <c:v>11.59876866666667</c:v>
                </c:pt>
                <c:pt idx="59">
                  <c:v>11.798532666666665</c:v>
                </c:pt>
                <c:pt idx="60">
                  <c:v>11.99941466666667</c:v>
                </c:pt>
                <c:pt idx="61">
                  <c:v>12.199524000000004</c:v>
                </c:pt>
                <c:pt idx="62">
                  <c:v>12.399055333333335</c:v>
                </c:pt>
                <c:pt idx="63">
                  <c:v>12.598772666666667</c:v>
                </c:pt>
                <c:pt idx="64">
                  <c:v>12.79907600000001</c:v>
                </c:pt>
                <c:pt idx="65">
                  <c:v>12.998646000000003</c:v>
                </c:pt>
                <c:pt idx="66">
                  <c:v>13.198806666666668</c:v>
                </c:pt>
                <c:pt idx="67">
                  <c:v>13.425936000000004</c:v>
                </c:pt>
                <c:pt idx="68">
                  <c:v>13.625448666666671</c:v>
                </c:pt>
                <c:pt idx="69">
                  <c:v>13.82503866666667</c:v>
                </c:pt>
                <c:pt idx="70">
                  <c:v>14.025676666666669</c:v>
                </c:pt>
                <c:pt idx="71">
                  <c:v>14.225540000000001</c:v>
                </c:pt>
                <c:pt idx="72">
                  <c:v>14.425560000000006</c:v>
                </c:pt>
                <c:pt idx="73">
                  <c:v>14.65254066666667</c:v>
                </c:pt>
                <c:pt idx="74">
                  <c:v>14.852013333333341</c:v>
                </c:pt>
                <c:pt idx="75">
                  <c:v>15.052366666666671</c:v>
                </c:pt>
                <c:pt idx="76">
                  <c:v>15.252112000000004</c:v>
                </c:pt>
                <c:pt idx="77">
                  <c:v>15.451890000000002</c:v>
                </c:pt>
                <c:pt idx="78">
                  <c:v>15.66350333333334</c:v>
                </c:pt>
                <c:pt idx="79">
                  <c:v>15.851742666666672</c:v>
                </c:pt>
                <c:pt idx="80">
                  <c:v>16.052232666666672</c:v>
                </c:pt>
                <c:pt idx="81">
                  <c:v>16.252062000000002</c:v>
                </c:pt>
                <c:pt idx="82">
                  <c:v>16.452348666666673</c:v>
                </c:pt>
                <c:pt idx="83">
                  <c:v>16.652312000000002</c:v>
                </c:pt>
                <c:pt idx="84">
                  <c:v>16.852638000000002</c:v>
                </c:pt>
                <c:pt idx="85">
                  <c:v>17.052218000000003</c:v>
                </c:pt>
                <c:pt idx="86">
                  <c:v>17.252502000000003</c:v>
                </c:pt>
                <c:pt idx="87">
                  <c:v>17.452108000000003</c:v>
                </c:pt>
                <c:pt idx="88">
                  <c:v>17.652073333333345</c:v>
                </c:pt>
                <c:pt idx="89">
                  <c:v>17.852276000000007</c:v>
                </c:pt>
                <c:pt idx="90">
                  <c:v>18.052970000000006</c:v>
                </c:pt>
                <c:pt idx="91">
                  <c:v>18.25228266666667</c:v>
                </c:pt>
                <c:pt idx="92">
                  <c:v>18.452434666666665</c:v>
                </c:pt>
                <c:pt idx="93">
                  <c:v>18.65192866666667</c:v>
                </c:pt>
                <c:pt idx="94">
                  <c:v>18.852327333333335</c:v>
                </c:pt>
                <c:pt idx="95">
                  <c:v>19.051965333333332</c:v>
                </c:pt>
                <c:pt idx="96">
                  <c:v>19.252576666666673</c:v>
                </c:pt>
                <c:pt idx="97">
                  <c:v>19.452147333333343</c:v>
                </c:pt>
                <c:pt idx="98">
                  <c:v>19.652376666666672</c:v>
                </c:pt>
                <c:pt idx="99">
                  <c:v>19.852156000000004</c:v>
                </c:pt>
                <c:pt idx="100">
                  <c:v>20.052499333333337</c:v>
                </c:pt>
                <c:pt idx="101">
                  <c:v>20.252116000000008</c:v>
                </c:pt>
                <c:pt idx="102">
                  <c:v>20.452442000000005</c:v>
                </c:pt>
                <c:pt idx="103">
                  <c:v>20.651894666666667</c:v>
                </c:pt>
                <c:pt idx="104">
                  <c:v>20.852434000000006</c:v>
                </c:pt>
                <c:pt idx="105">
                  <c:v>21.052438666666671</c:v>
                </c:pt>
                <c:pt idx="106">
                  <c:v>21.269392666666668</c:v>
                </c:pt>
                <c:pt idx="107">
                  <c:v>21.456509333333333</c:v>
                </c:pt>
                <c:pt idx="108">
                  <c:v>21.651968666666672</c:v>
                </c:pt>
                <c:pt idx="109">
                  <c:v>21.852149333333337</c:v>
                </c:pt>
                <c:pt idx="110">
                  <c:v>22.052117333333335</c:v>
                </c:pt>
                <c:pt idx="111">
                  <c:v>22.252248000000005</c:v>
                </c:pt>
                <c:pt idx="112">
                  <c:v>22.452437333333339</c:v>
                </c:pt>
                <c:pt idx="113">
                  <c:v>22.652518666666669</c:v>
                </c:pt>
                <c:pt idx="114">
                  <c:v>22.799486923076927</c:v>
                </c:pt>
                <c:pt idx="115">
                  <c:v>22.998225000000005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178776</xdr:colOff>
      <xdr:row>0</xdr:row>
      <xdr:rowOff>32238</xdr:rowOff>
    </xdr:from>
    <xdr:to>
      <xdr:col>16</xdr:col>
      <xdr:colOff>797169</xdr:colOff>
      <xdr:row>15</xdr:row>
      <xdr:rowOff>146538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1902"/>
  <sheetViews>
    <sheetView tabSelected="1" workbookViewId="0">
      <selection activeCell="K19" sqref="K19"/>
    </sheetView>
  </sheetViews>
  <sheetFormatPr baseColWidth="10" defaultRowHeight="14.4" x14ac:dyDescent="0.3"/>
  <cols>
    <col min="1" max="9" width="8.88671875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9</v>
      </c>
      <c r="B2" t="s">
        <v>127</v>
      </c>
      <c r="C2">
        <v>0</v>
      </c>
      <c r="D2">
        <v>-1.2999999999999999E-3</v>
      </c>
      <c r="E2">
        <v>5.9957334838115024</v>
      </c>
      <c r="F2">
        <v>606.80236069123202</v>
      </c>
      <c r="G2">
        <v>0.42399999999999999</v>
      </c>
      <c r="H2">
        <v>0</v>
      </c>
      <c r="I2">
        <v>0</v>
      </c>
    </row>
    <row r="3" spans="1:9" x14ac:dyDescent="0.3">
      <c r="A3" t="s">
        <v>9</v>
      </c>
      <c r="B3" t="s">
        <v>128</v>
      </c>
      <c r="C3">
        <v>0</v>
      </c>
      <c r="D3">
        <v>-1.4E-3</v>
      </c>
      <c r="E3">
        <v>5.9957334838115024</v>
      </c>
      <c r="F3">
        <v>606.80236069123202</v>
      </c>
      <c r="G3">
        <v>0.42399999999999999</v>
      </c>
      <c r="H3">
        <v>0</v>
      </c>
      <c r="I3">
        <v>0.20040369999999999</v>
      </c>
    </row>
    <row r="4" spans="1:9" x14ac:dyDescent="0.3">
      <c r="A4" t="s">
        <v>9</v>
      </c>
      <c r="B4" t="s">
        <v>129</v>
      </c>
      <c r="C4">
        <v>0</v>
      </c>
      <c r="D4">
        <v>-1.4E-3</v>
      </c>
      <c r="E4">
        <v>5.9957334838115024</v>
      </c>
      <c r="F4">
        <v>606.80236069123202</v>
      </c>
      <c r="G4">
        <v>0.42399999999999999</v>
      </c>
      <c r="H4">
        <v>0</v>
      </c>
      <c r="I4">
        <v>0.40125159999999999</v>
      </c>
    </row>
    <row r="5" spans="1:9" x14ac:dyDescent="0.3">
      <c r="A5" t="s">
        <v>9</v>
      </c>
      <c r="B5" t="s">
        <v>130</v>
      </c>
      <c r="C5">
        <v>0</v>
      </c>
      <c r="D5">
        <v>-1.2999999999999999E-3</v>
      </c>
      <c r="E5">
        <v>5.9957334838115024</v>
      </c>
      <c r="F5">
        <v>606.80236069123202</v>
      </c>
      <c r="G5">
        <v>0.42399999999999999</v>
      </c>
      <c r="H5">
        <v>0</v>
      </c>
      <c r="I5">
        <v>0.60041</v>
      </c>
    </row>
    <row r="6" spans="1:9" x14ac:dyDescent="0.3">
      <c r="A6" t="s">
        <v>9</v>
      </c>
      <c r="B6" t="s">
        <v>131</v>
      </c>
      <c r="C6">
        <v>0</v>
      </c>
      <c r="D6">
        <v>-1.4E-3</v>
      </c>
      <c r="E6">
        <v>5.9957334838115024</v>
      </c>
      <c r="F6">
        <v>606.80236069123202</v>
      </c>
      <c r="G6">
        <v>0.42399999999999999</v>
      </c>
      <c r="H6">
        <v>0</v>
      </c>
      <c r="I6">
        <v>0.80200009999999999</v>
      </c>
    </row>
    <row r="7" spans="1:9" x14ac:dyDescent="0.3">
      <c r="A7" t="s">
        <v>9</v>
      </c>
      <c r="B7" t="s">
        <v>132</v>
      </c>
      <c r="C7">
        <v>0</v>
      </c>
      <c r="D7">
        <v>-1.4E-3</v>
      </c>
      <c r="E7">
        <v>5.9957334838115024</v>
      </c>
      <c r="F7">
        <v>606.80236069123202</v>
      </c>
      <c r="G7">
        <v>0.42399999999999999</v>
      </c>
      <c r="H7">
        <v>0</v>
      </c>
      <c r="I7">
        <v>1.0000009999999999</v>
      </c>
    </row>
    <row r="8" spans="1:9" x14ac:dyDescent="0.3">
      <c r="A8" t="s">
        <v>9</v>
      </c>
      <c r="B8" t="s">
        <v>133</v>
      </c>
      <c r="C8">
        <v>0</v>
      </c>
      <c r="D8">
        <v>-1.4E-3</v>
      </c>
      <c r="E8">
        <v>5.9957334838115024</v>
      </c>
      <c r="F8">
        <v>606.80236069123202</v>
      </c>
      <c r="G8">
        <v>0.42399999999999999</v>
      </c>
      <c r="H8">
        <v>0</v>
      </c>
      <c r="I8">
        <v>1.201166</v>
      </c>
    </row>
    <row r="9" spans="1:9" x14ac:dyDescent="0.3">
      <c r="A9" t="s">
        <v>9</v>
      </c>
      <c r="B9" t="s">
        <v>134</v>
      </c>
      <c r="C9">
        <v>0</v>
      </c>
      <c r="D9">
        <v>-1.4E-3</v>
      </c>
      <c r="E9">
        <v>5.9957334838115024</v>
      </c>
      <c r="F9">
        <v>606.80236069123202</v>
      </c>
      <c r="G9">
        <v>0.42399999999999999</v>
      </c>
      <c r="H9">
        <v>0</v>
      </c>
      <c r="I9">
        <v>1.4013549999999999</v>
      </c>
    </row>
    <row r="10" spans="1:9" x14ac:dyDescent="0.3">
      <c r="A10" t="s">
        <v>9</v>
      </c>
      <c r="B10" t="s">
        <v>135</v>
      </c>
      <c r="C10">
        <v>0</v>
      </c>
      <c r="D10">
        <v>-1.2999999999999999E-3</v>
      </c>
      <c r="E10">
        <v>5.9957334838115024</v>
      </c>
      <c r="F10">
        <v>606.80236069123202</v>
      </c>
      <c r="G10">
        <v>0.42399999999999999</v>
      </c>
      <c r="H10">
        <v>0</v>
      </c>
      <c r="I10">
        <v>1.601944</v>
      </c>
    </row>
    <row r="11" spans="1:9" x14ac:dyDescent="0.3">
      <c r="A11" t="s">
        <v>9</v>
      </c>
      <c r="B11" t="s">
        <v>136</v>
      </c>
      <c r="C11">
        <v>0</v>
      </c>
      <c r="D11">
        <v>-1.4E-3</v>
      </c>
      <c r="E11">
        <v>5.9957334838115024</v>
      </c>
      <c r="F11">
        <v>606.80236069123202</v>
      </c>
      <c r="G11">
        <v>0.42399999999999999</v>
      </c>
      <c r="H11">
        <v>0</v>
      </c>
      <c r="I11">
        <v>1.8024249999999999</v>
      </c>
    </row>
    <row r="12" spans="1:9" x14ac:dyDescent="0.3">
      <c r="A12" t="s">
        <v>9</v>
      </c>
      <c r="B12" t="s">
        <v>137</v>
      </c>
      <c r="C12">
        <v>0</v>
      </c>
      <c r="D12">
        <v>-1.4E-3</v>
      </c>
      <c r="E12">
        <v>5.9957334838115024</v>
      </c>
      <c r="F12">
        <v>606.80236069123202</v>
      </c>
      <c r="G12">
        <v>0.42399999999999999</v>
      </c>
      <c r="H12">
        <v>0</v>
      </c>
      <c r="I12">
        <v>2.0037129999999999</v>
      </c>
    </row>
    <row r="13" spans="1:9" x14ac:dyDescent="0.3">
      <c r="A13" t="s">
        <v>9</v>
      </c>
      <c r="B13" t="s">
        <v>138</v>
      </c>
      <c r="C13">
        <v>0</v>
      </c>
      <c r="D13">
        <v>-1.2999999999999999E-3</v>
      </c>
      <c r="E13">
        <v>5.9957334838115024</v>
      </c>
      <c r="F13">
        <v>606.80236069123202</v>
      </c>
      <c r="G13">
        <v>0.42399999999999999</v>
      </c>
      <c r="H13">
        <v>0</v>
      </c>
      <c r="I13">
        <v>2.2002389999999998</v>
      </c>
    </row>
    <row r="14" spans="1:9" x14ac:dyDescent="0.3">
      <c r="A14" t="s">
        <v>9</v>
      </c>
      <c r="B14" t="s">
        <v>139</v>
      </c>
      <c r="C14">
        <v>0</v>
      </c>
      <c r="D14">
        <v>-1.4E-3</v>
      </c>
      <c r="E14">
        <v>5.9957334838115024</v>
      </c>
      <c r="F14">
        <v>606.80236069123202</v>
      </c>
      <c r="G14">
        <v>0.42399999999999999</v>
      </c>
      <c r="H14">
        <v>0</v>
      </c>
      <c r="I14">
        <v>2.4032429999999998</v>
      </c>
    </row>
    <row r="15" spans="1:9" x14ac:dyDescent="0.3">
      <c r="A15" t="s">
        <v>9</v>
      </c>
      <c r="B15" t="s">
        <v>140</v>
      </c>
      <c r="C15">
        <v>0</v>
      </c>
      <c r="D15">
        <v>-1.2999999999999999E-3</v>
      </c>
      <c r="E15">
        <v>5.9957334838115024</v>
      </c>
      <c r="F15">
        <v>606.80236069123202</v>
      </c>
      <c r="G15">
        <v>0.42399999999999999</v>
      </c>
      <c r="H15">
        <v>0</v>
      </c>
      <c r="I15">
        <v>2.6025320000000001</v>
      </c>
    </row>
    <row r="16" spans="1:9" x14ac:dyDescent="0.3">
      <c r="A16" t="s">
        <v>9</v>
      </c>
      <c r="B16" t="s">
        <v>141</v>
      </c>
      <c r="C16">
        <v>0</v>
      </c>
      <c r="D16">
        <v>-1.4E-3</v>
      </c>
      <c r="E16">
        <v>5.9957334838115024</v>
      </c>
      <c r="F16">
        <v>606.80236069123202</v>
      </c>
      <c r="G16">
        <v>0.42399999999999999</v>
      </c>
      <c r="H16">
        <v>0</v>
      </c>
      <c r="I16">
        <v>2.8013349999999999</v>
      </c>
    </row>
    <row r="17" spans="1:9" x14ac:dyDescent="0.3">
      <c r="A17" t="s">
        <v>9</v>
      </c>
      <c r="B17" t="s">
        <v>142</v>
      </c>
      <c r="C17">
        <v>0</v>
      </c>
      <c r="D17">
        <v>-1.2999999999999999E-3</v>
      </c>
      <c r="E17">
        <v>5.9957334838115024</v>
      </c>
      <c r="F17">
        <v>606.80236069123202</v>
      </c>
      <c r="G17">
        <v>0.42399999999999999</v>
      </c>
      <c r="H17">
        <v>0</v>
      </c>
      <c r="I17">
        <v>3.0056310000000002</v>
      </c>
    </row>
    <row r="18" spans="1:9" x14ac:dyDescent="0.3">
      <c r="A18" t="s">
        <v>9</v>
      </c>
      <c r="B18" t="s">
        <v>143</v>
      </c>
      <c r="C18">
        <v>0</v>
      </c>
      <c r="D18">
        <v>-1.4E-3</v>
      </c>
      <c r="E18">
        <v>5.9957334838115024</v>
      </c>
      <c r="F18">
        <v>606.80236069123202</v>
      </c>
      <c r="G18">
        <v>0.42399999999999999</v>
      </c>
      <c r="H18">
        <v>0</v>
      </c>
      <c r="I18">
        <v>3.2027610000000002</v>
      </c>
    </row>
    <row r="19" spans="1:9" x14ac:dyDescent="0.3">
      <c r="A19" t="s">
        <v>9</v>
      </c>
      <c r="B19" t="s">
        <v>144</v>
      </c>
      <c r="C19">
        <v>0</v>
      </c>
      <c r="D19">
        <v>-1.4E-3</v>
      </c>
      <c r="E19">
        <v>5.9957334838115024</v>
      </c>
      <c r="F19">
        <v>606.80236069123202</v>
      </c>
      <c r="G19">
        <v>0.42399999999999999</v>
      </c>
      <c r="H19">
        <v>0</v>
      </c>
      <c r="I19">
        <v>3.4012419999999999</v>
      </c>
    </row>
    <row r="20" spans="1:9" x14ac:dyDescent="0.3">
      <c r="A20" t="s">
        <v>9</v>
      </c>
      <c r="B20" t="s">
        <v>145</v>
      </c>
      <c r="C20">
        <v>0</v>
      </c>
      <c r="D20">
        <v>-1.4E-3</v>
      </c>
      <c r="E20">
        <v>5.9957334838115024</v>
      </c>
      <c r="F20">
        <v>606.80236069123202</v>
      </c>
      <c r="G20">
        <v>0.42399999999999999</v>
      </c>
      <c r="H20">
        <v>0</v>
      </c>
      <c r="I20">
        <v>3.6058490000000001</v>
      </c>
    </row>
    <row r="21" spans="1:9" x14ac:dyDescent="0.3">
      <c r="A21" t="s">
        <v>9</v>
      </c>
      <c r="B21" t="s">
        <v>146</v>
      </c>
      <c r="C21">
        <v>0</v>
      </c>
      <c r="D21">
        <v>-1.4E-3</v>
      </c>
      <c r="E21">
        <v>5.9957334838115024</v>
      </c>
      <c r="F21">
        <v>606.80236069123202</v>
      </c>
      <c r="G21">
        <v>0.42399999999999999</v>
      </c>
      <c r="H21">
        <v>0</v>
      </c>
      <c r="I21">
        <v>3.800211</v>
      </c>
    </row>
    <row r="22" spans="1:9" x14ac:dyDescent="0.3">
      <c r="A22" t="s">
        <v>9</v>
      </c>
      <c r="B22" t="s">
        <v>147</v>
      </c>
      <c r="C22">
        <v>0</v>
      </c>
      <c r="D22">
        <v>-1.2999999999999999E-3</v>
      </c>
      <c r="E22">
        <v>5.9957334838115024</v>
      </c>
      <c r="F22">
        <v>606.80236069123202</v>
      </c>
      <c r="G22">
        <v>0.42399999999999999</v>
      </c>
      <c r="H22">
        <v>0</v>
      </c>
      <c r="I22">
        <v>4.0006599999999999</v>
      </c>
    </row>
    <row r="23" spans="1:9" x14ac:dyDescent="0.3">
      <c r="A23" t="s">
        <v>9</v>
      </c>
      <c r="B23" t="s">
        <v>148</v>
      </c>
      <c r="C23">
        <v>0</v>
      </c>
      <c r="D23">
        <v>-1.4E-3</v>
      </c>
      <c r="E23">
        <v>5.9957334838115024</v>
      </c>
      <c r="F23">
        <v>606.80236069123202</v>
      </c>
      <c r="G23">
        <v>0.42399999999999999</v>
      </c>
      <c r="H23">
        <v>0</v>
      </c>
      <c r="I23">
        <v>4.2031970000000003</v>
      </c>
    </row>
    <row r="24" spans="1:9" x14ac:dyDescent="0.3">
      <c r="A24" t="s">
        <v>9</v>
      </c>
      <c r="B24" t="s">
        <v>149</v>
      </c>
      <c r="C24">
        <v>0</v>
      </c>
      <c r="D24">
        <v>-1.4E-3</v>
      </c>
      <c r="E24">
        <v>5.9957334838115024</v>
      </c>
      <c r="F24">
        <v>606.80236069123202</v>
      </c>
      <c r="G24">
        <v>0.42399999999999999</v>
      </c>
      <c r="H24">
        <v>0</v>
      </c>
      <c r="I24">
        <v>4.4004279999999998</v>
      </c>
    </row>
    <row r="25" spans="1:9" x14ac:dyDescent="0.3">
      <c r="A25" t="s">
        <v>9</v>
      </c>
      <c r="B25" t="s">
        <v>150</v>
      </c>
      <c r="C25">
        <v>0</v>
      </c>
      <c r="D25">
        <v>-1.4E-3</v>
      </c>
      <c r="E25">
        <v>5.9957334838115024</v>
      </c>
      <c r="F25">
        <v>606.80236069123202</v>
      </c>
      <c r="G25">
        <v>0.42399999999999999</v>
      </c>
      <c r="H25">
        <v>0</v>
      </c>
      <c r="I25">
        <v>4.6037100000000004</v>
      </c>
    </row>
    <row r="26" spans="1:9" x14ac:dyDescent="0.3">
      <c r="A26" t="s">
        <v>9</v>
      </c>
      <c r="B26" t="s">
        <v>151</v>
      </c>
      <c r="C26">
        <v>0</v>
      </c>
      <c r="D26">
        <v>-1.4E-3</v>
      </c>
      <c r="E26">
        <v>5.9957334838115024</v>
      </c>
      <c r="F26">
        <v>606.80236069123202</v>
      </c>
      <c r="G26">
        <v>0.42399999999999999</v>
      </c>
      <c r="H26">
        <v>0</v>
      </c>
      <c r="I26">
        <v>4.802549</v>
      </c>
    </row>
    <row r="27" spans="1:9" x14ac:dyDescent="0.3">
      <c r="A27" t="s">
        <v>9</v>
      </c>
      <c r="B27" t="s">
        <v>152</v>
      </c>
      <c r="C27">
        <v>0</v>
      </c>
      <c r="D27">
        <v>-1.4E-3</v>
      </c>
      <c r="E27">
        <v>5.9957334838115024</v>
      </c>
      <c r="F27">
        <v>606.80236069123202</v>
      </c>
      <c r="G27">
        <v>0.42399999999999999</v>
      </c>
      <c r="H27">
        <v>0</v>
      </c>
      <c r="I27">
        <v>5.0003760000000002</v>
      </c>
    </row>
    <row r="28" spans="1:9" x14ac:dyDescent="0.3">
      <c r="A28" t="s">
        <v>9</v>
      </c>
      <c r="B28" t="s">
        <v>153</v>
      </c>
      <c r="C28">
        <v>0</v>
      </c>
      <c r="D28">
        <v>-1.4E-3</v>
      </c>
      <c r="E28">
        <v>5.9957334838115024</v>
      </c>
      <c r="F28">
        <v>606.80236069123202</v>
      </c>
      <c r="G28">
        <v>0.42399999999999999</v>
      </c>
      <c r="H28">
        <v>0</v>
      </c>
      <c r="I28">
        <v>5.2002819999999996</v>
      </c>
    </row>
    <row r="29" spans="1:9" x14ac:dyDescent="0.3">
      <c r="A29" t="s">
        <v>9</v>
      </c>
      <c r="B29" t="s">
        <v>154</v>
      </c>
      <c r="C29">
        <v>0</v>
      </c>
      <c r="D29">
        <v>-1.2999999999999999E-3</v>
      </c>
      <c r="E29">
        <v>5.9957334838115024</v>
      </c>
      <c r="F29">
        <v>606.80236069123202</v>
      </c>
      <c r="G29">
        <v>0.42399999999999999</v>
      </c>
      <c r="H29">
        <v>0</v>
      </c>
      <c r="I29">
        <v>5.4029090000000002</v>
      </c>
    </row>
    <row r="30" spans="1:9" x14ac:dyDescent="0.3">
      <c r="A30" t="s">
        <v>9</v>
      </c>
      <c r="B30" t="s">
        <v>155</v>
      </c>
      <c r="C30">
        <v>0</v>
      </c>
      <c r="D30">
        <v>-1.4E-3</v>
      </c>
      <c r="E30">
        <v>5.9957334838115024</v>
      </c>
      <c r="F30">
        <v>606.80236069123202</v>
      </c>
      <c r="G30">
        <v>0.42399999999999999</v>
      </c>
      <c r="H30">
        <v>0</v>
      </c>
      <c r="I30">
        <v>5.6008050000000003</v>
      </c>
    </row>
    <row r="31" spans="1:9" x14ac:dyDescent="0.3">
      <c r="A31" t="s">
        <v>9</v>
      </c>
      <c r="B31" t="s">
        <v>156</v>
      </c>
      <c r="C31">
        <v>0</v>
      </c>
      <c r="D31">
        <v>-1.4E-3</v>
      </c>
      <c r="E31">
        <v>5.9957334838115024</v>
      </c>
      <c r="F31">
        <v>606.80236069123202</v>
      </c>
      <c r="G31">
        <v>0.42399999999999999</v>
      </c>
      <c r="H31">
        <v>0</v>
      </c>
      <c r="I31">
        <v>5.8012189999999997</v>
      </c>
    </row>
    <row r="32" spans="1:9" x14ac:dyDescent="0.3">
      <c r="A32" t="s">
        <v>9</v>
      </c>
      <c r="B32" t="s">
        <v>157</v>
      </c>
      <c r="C32">
        <v>0</v>
      </c>
      <c r="D32">
        <v>-1.4E-3</v>
      </c>
      <c r="E32">
        <v>5.9957334838115024</v>
      </c>
      <c r="F32">
        <v>606.80236069123202</v>
      </c>
      <c r="G32">
        <v>0.42399999999999999</v>
      </c>
      <c r="H32">
        <v>0</v>
      </c>
      <c r="I32">
        <v>6.0013180000000004</v>
      </c>
    </row>
    <row r="33" spans="1:9" x14ac:dyDescent="0.3">
      <c r="A33" t="s">
        <v>9</v>
      </c>
      <c r="B33" t="s">
        <v>158</v>
      </c>
      <c r="C33">
        <v>0</v>
      </c>
      <c r="D33">
        <v>-1.4E-3</v>
      </c>
      <c r="E33">
        <v>5.9957334838115024</v>
      </c>
      <c r="F33">
        <v>606.80236069123202</v>
      </c>
      <c r="G33">
        <v>0.42399999999999999</v>
      </c>
      <c r="H33">
        <v>0</v>
      </c>
      <c r="I33">
        <v>6.2015849999999997</v>
      </c>
    </row>
    <row r="34" spans="1:9" x14ac:dyDescent="0.3">
      <c r="A34" t="s">
        <v>9</v>
      </c>
      <c r="B34" t="s">
        <v>159</v>
      </c>
      <c r="C34">
        <v>0</v>
      </c>
      <c r="D34">
        <v>-1.4E-3</v>
      </c>
      <c r="E34">
        <v>5.9957334838115024</v>
      </c>
      <c r="F34">
        <v>606.80236069123202</v>
      </c>
      <c r="G34">
        <v>0.42399999999999999</v>
      </c>
      <c r="H34">
        <v>0</v>
      </c>
      <c r="I34">
        <v>6.4027380000000003</v>
      </c>
    </row>
    <row r="35" spans="1:9" x14ac:dyDescent="0.3">
      <c r="A35" t="s">
        <v>9</v>
      </c>
      <c r="B35" t="s">
        <v>160</v>
      </c>
      <c r="C35">
        <v>0</v>
      </c>
      <c r="D35">
        <v>-1.4E-3</v>
      </c>
      <c r="E35">
        <v>5.9957334838115024</v>
      </c>
      <c r="F35">
        <v>606.80236069123202</v>
      </c>
      <c r="G35">
        <v>0.42399999999999999</v>
      </c>
      <c r="H35">
        <v>0</v>
      </c>
      <c r="I35">
        <v>6.602176</v>
      </c>
    </row>
    <row r="36" spans="1:9" x14ac:dyDescent="0.3">
      <c r="A36" t="s">
        <v>9</v>
      </c>
      <c r="B36" t="s">
        <v>161</v>
      </c>
      <c r="C36">
        <v>0</v>
      </c>
      <c r="D36">
        <v>-1.4E-3</v>
      </c>
      <c r="E36">
        <v>5.9957334838115024</v>
      </c>
      <c r="F36">
        <v>606.80236069123202</v>
      </c>
      <c r="G36">
        <v>0.42399999999999999</v>
      </c>
      <c r="H36">
        <v>0</v>
      </c>
      <c r="I36">
        <v>6.800999</v>
      </c>
    </row>
    <row r="37" spans="1:9" x14ac:dyDescent="0.3">
      <c r="A37" t="s">
        <v>9</v>
      </c>
      <c r="B37" t="s">
        <v>162</v>
      </c>
      <c r="C37">
        <v>0</v>
      </c>
      <c r="D37">
        <v>-1.4E-3</v>
      </c>
      <c r="E37">
        <v>5.9957334838115024</v>
      </c>
      <c r="F37">
        <v>606.80236069123202</v>
      </c>
      <c r="G37">
        <v>0.42399999999999999</v>
      </c>
      <c r="H37">
        <v>0</v>
      </c>
      <c r="I37">
        <v>7.0026039999999998</v>
      </c>
    </row>
    <row r="38" spans="1:9" x14ac:dyDescent="0.3">
      <c r="A38" t="s">
        <v>9</v>
      </c>
      <c r="B38" t="s">
        <v>163</v>
      </c>
      <c r="C38">
        <v>0</v>
      </c>
      <c r="D38">
        <v>-1.4E-3</v>
      </c>
      <c r="E38">
        <v>5.9957334838115024</v>
      </c>
      <c r="F38">
        <v>606.80236069123202</v>
      </c>
      <c r="G38">
        <v>0.42399999999999999</v>
      </c>
      <c r="H38">
        <v>0</v>
      </c>
      <c r="I38">
        <v>7.2000390000000003</v>
      </c>
    </row>
    <row r="39" spans="1:9" x14ac:dyDescent="0.3">
      <c r="A39" t="s">
        <v>9</v>
      </c>
      <c r="B39" t="s">
        <v>164</v>
      </c>
      <c r="C39">
        <v>0</v>
      </c>
      <c r="D39">
        <v>-1.4E-3</v>
      </c>
      <c r="E39">
        <v>5.9957334838115024</v>
      </c>
      <c r="F39">
        <v>606.80236069123202</v>
      </c>
      <c r="G39">
        <v>0.42399999999999999</v>
      </c>
      <c r="H39">
        <v>0</v>
      </c>
      <c r="I39">
        <v>7.4019769999999996</v>
      </c>
    </row>
    <row r="40" spans="1:9" x14ac:dyDescent="0.3">
      <c r="A40" t="s">
        <v>9</v>
      </c>
      <c r="B40" t="s">
        <v>165</v>
      </c>
      <c r="C40">
        <v>0</v>
      </c>
      <c r="D40">
        <v>-1.4E-3</v>
      </c>
      <c r="E40">
        <v>5.9957334838115024</v>
      </c>
      <c r="F40">
        <v>606.80236069123202</v>
      </c>
      <c r="G40">
        <v>0.42399999999999999</v>
      </c>
      <c r="H40">
        <v>0</v>
      </c>
      <c r="I40">
        <v>7.6010540000000004</v>
      </c>
    </row>
    <row r="41" spans="1:9" x14ac:dyDescent="0.3">
      <c r="A41" t="s">
        <v>9</v>
      </c>
      <c r="B41" t="s">
        <v>166</v>
      </c>
      <c r="C41">
        <v>0</v>
      </c>
      <c r="D41">
        <v>-1.4E-3</v>
      </c>
      <c r="E41">
        <v>5.9957334838115024</v>
      </c>
      <c r="F41">
        <v>606.80236069123202</v>
      </c>
      <c r="G41">
        <v>0.42399999999999999</v>
      </c>
      <c r="H41">
        <v>0</v>
      </c>
      <c r="I41">
        <v>7.8003439999999999</v>
      </c>
    </row>
    <row r="42" spans="1:9" x14ac:dyDescent="0.3">
      <c r="A42" t="s">
        <v>9</v>
      </c>
      <c r="B42" t="s">
        <v>167</v>
      </c>
      <c r="C42">
        <v>0</v>
      </c>
      <c r="D42">
        <v>-1.4E-3</v>
      </c>
      <c r="E42">
        <v>5.9957334838115024</v>
      </c>
      <c r="F42">
        <v>606.80236069123202</v>
      </c>
      <c r="G42">
        <v>0.42399999999999999</v>
      </c>
      <c r="H42">
        <v>0</v>
      </c>
      <c r="I42">
        <v>8.0061680000000006</v>
      </c>
    </row>
    <row r="43" spans="1:9" x14ac:dyDescent="0.3">
      <c r="A43" t="s">
        <v>9</v>
      </c>
      <c r="B43" t="s">
        <v>168</v>
      </c>
      <c r="C43">
        <v>0</v>
      </c>
      <c r="D43">
        <v>-1.4E-3</v>
      </c>
      <c r="E43">
        <v>5.9957334838115024</v>
      </c>
      <c r="F43">
        <v>606.80236069123202</v>
      </c>
      <c r="G43">
        <v>0.42399999999999999</v>
      </c>
      <c r="H43">
        <v>0</v>
      </c>
      <c r="I43">
        <v>8.2034099999999999</v>
      </c>
    </row>
    <row r="44" spans="1:9" x14ac:dyDescent="0.3">
      <c r="A44" t="s">
        <v>9</v>
      </c>
      <c r="B44" t="s">
        <v>169</v>
      </c>
      <c r="C44">
        <v>0</v>
      </c>
      <c r="D44">
        <v>-1.4E-3</v>
      </c>
      <c r="E44">
        <v>5.9957334838115024</v>
      </c>
      <c r="F44">
        <v>606.80236069123202</v>
      </c>
      <c r="G44">
        <v>0.42399999999999999</v>
      </c>
      <c r="H44">
        <v>0</v>
      </c>
      <c r="I44">
        <v>8.4026979999999991</v>
      </c>
    </row>
    <row r="45" spans="1:9" x14ac:dyDescent="0.3">
      <c r="A45" t="s">
        <v>9</v>
      </c>
      <c r="B45" t="s">
        <v>170</v>
      </c>
      <c r="C45">
        <v>0</v>
      </c>
      <c r="D45">
        <v>-1.4E-3</v>
      </c>
      <c r="E45">
        <v>5.9957334838115024</v>
      </c>
      <c r="F45">
        <v>606.80236069123202</v>
      </c>
      <c r="G45">
        <v>0.42399999999999999</v>
      </c>
      <c r="H45">
        <v>0</v>
      </c>
      <c r="I45">
        <v>8.6023870000000002</v>
      </c>
    </row>
    <row r="46" spans="1:9" x14ac:dyDescent="0.3">
      <c r="A46" t="s">
        <v>9</v>
      </c>
      <c r="B46" t="s">
        <v>171</v>
      </c>
      <c r="C46">
        <v>0</v>
      </c>
      <c r="D46">
        <v>-1.4E-3</v>
      </c>
      <c r="E46">
        <v>5.9957334838115024</v>
      </c>
      <c r="F46">
        <v>606.80236069123202</v>
      </c>
      <c r="G46">
        <v>0.42399999999999999</v>
      </c>
      <c r="H46">
        <v>0</v>
      </c>
      <c r="I46">
        <v>8.8006960000000003</v>
      </c>
    </row>
    <row r="47" spans="1:9" x14ac:dyDescent="0.3">
      <c r="A47" t="s">
        <v>9</v>
      </c>
      <c r="B47" t="s">
        <v>172</v>
      </c>
      <c r="C47">
        <v>0</v>
      </c>
      <c r="D47">
        <v>-1.4E-3</v>
      </c>
      <c r="E47">
        <v>5.9957334838115024</v>
      </c>
      <c r="F47">
        <v>606.80236069123202</v>
      </c>
      <c r="G47">
        <v>0.42399999999999999</v>
      </c>
      <c r="H47">
        <v>0</v>
      </c>
      <c r="I47">
        <v>9.0033259999999995</v>
      </c>
    </row>
    <row r="48" spans="1:9" x14ac:dyDescent="0.3">
      <c r="A48" t="s">
        <v>9</v>
      </c>
      <c r="B48" t="s">
        <v>173</v>
      </c>
      <c r="C48">
        <v>0</v>
      </c>
      <c r="D48">
        <v>-1.4E-3</v>
      </c>
      <c r="E48">
        <v>5.9957334838115024</v>
      </c>
      <c r="F48">
        <v>606.80236069123202</v>
      </c>
      <c r="G48">
        <v>0.42399999999999999</v>
      </c>
      <c r="H48">
        <v>0</v>
      </c>
      <c r="I48">
        <v>9.2016819999999999</v>
      </c>
    </row>
    <row r="49" spans="1:9" x14ac:dyDescent="0.3">
      <c r="A49" t="s">
        <v>9</v>
      </c>
      <c r="B49" t="s">
        <v>174</v>
      </c>
      <c r="C49">
        <v>0</v>
      </c>
      <c r="D49">
        <v>-1.4E-3</v>
      </c>
      <c r="E49">
        <v>5.9957334838115024</v>
      </c>
      <c r="F49">
        <v>606.80236069123202</v>
      </c>
      <c r="G49">
        <v>0.42399999999999999</v>
      </c>
      <c r="H49">
        <v>0</v>
      </c>
      <c r="I49">
        <v>9.4030159999999992</v>
      </c>
    </row>
    <row r="50" spans="1:9" x14ac:dyDescent="0.3">
      <c r="A50" t="s">
        <v>9</v>
      </c>
      <c r="B50" t="s">
        <v>175</v>
      </c>
      <c r="C50">
        <v>0</v>
      </c>
      <c r="D50">
        <v>-1.4E-3</v>
      </c>
      <c r="E50">
        <v>5.9957334838115024</v>
      </c>
      <c r="F50">
        <v>606.80236069123202</v>
      </c>
      <c r="G50">
        <v>0.42399999999999999</v>
      </c>
      <c r="H50">
        <v>0</v>
      </c>
      <c r="I50">
        <v>9.600009</v>
      </c>
    </row>
    <row r="51" spans="1:9" x14ac:dyDescent="0.3">
      <c r="A51" t="s">
        <v>9</v>
      </c>
      <c r="B51" t="s">
        <v>176</v>
      </c>
      <c r="C51">
        <v>0</v>
      </c>
      <c r="D51">
        <v>-1.4E-3</v>
      </c>
      <c r="E51">
        <v>5.9957334838115024</v>
      </c>
      <c r="F51">
        <v>606.80236069123202</v>
      </c>
      <c r="G51">
        <v>0.42399999999999999</v>
      </c>
      <c r="H51">
        <v>0</v>
      </c>
      <c r="I51">
        <v>9.8009039999999992</v>
      </c>
    </row>
    <row r="52" spans="1:9" x14ac:dyDescent="0.3">
      <c r="A52" t="s">
        <v>9</v>
      </c>
      <c r="B52" t="s">
        <v>177</v>
      </c>
      <c r="C52">
        <v>0</v>
      </c>
      <c r="D52">
        <v>-1.4E-3</v>
      </c>
      <c r="E52">
        <v>5.9957334838115024</v>
      </c>
      <c r="F52">
        <v>606.80236069123202</v>
      </c>
      <c r="G52">
        <v>0.42399999999999999</v>
      </c>
      <c r="H52">
        <v>0</v>
      </c>
      <c r="I52">
        <v>10.001849999999999</v>
      </c>
    </row>
    <row r="53" spans="1:9" x14ac:dyDescent="0.3">
      <c r="A53" t="s">
        <v>9</v>
      </c>
      <c r="B53" t="s">
        <v>178</v>
      </c>
      <c r="C53">
        <v>0</v>
      </c>
      <c r="D53">
        <v>-1.4E-3</v>
      </c>
      <c r="E53">
        <v>5.9957334838115024</v>
      </c>
      <c r="F53">
        <v>606.80236069123202</v>
      </c>
      <c r="G53">
        <v>0.42399999999999999</v>
      </c>
      <c r="H53">
        <v>0</v>
      </c>
      <c r="I53">
        <v>10.20096</v>
      </c>
    </row>
    <row r="54" spans="1:9" x14ac:dyDescent="0.3">
      <c r="A54" t="s">
        <v>9</v>
      </c>
      <c r="B54" t="s">
        <v>179</v>
      </c>
      <c r="C54">
        <v>0</v>
      </c>
      <c r="D54">
        <v>-1.4E-3</v>
      </c>
      <c r="E54">
        <v>5.9957334838115024</v>
      </c>
      <c r="F54">
        <v>606.80236069123202</v>
      </c>
      <c r="G54">
        <v>0.42399999999999999</v>
      </c>
      <c r="H54">
        <v>0</v>
      </c>
      <c r="I54">
        <v>10.401160000000001</v>
      </c>
    </row>
    <row r="55" spans="1:9" x14ac:dyDescent="0.3">
      <c r="A55" t="s">
        <v>9</v>
      </c>
      <c r="B55" t="s">
        <v>180</v>
      </c>
      <c r="C55">
        <v>0</v>
      </c>
      <c r="D55">
        <v>-1.4E-3</v>
      </c>
      <c r="E55">
        <v>5.9957334838115024</v>
      </c>
      <c r="F55">
        <v>606.80236069123202</v>
      </c>
      <c r="G55">
        <v>0.42399999999999999</v>
      </c>
      <c r="H55">
        <v>0</v>
      </c>
      <c r="I55">
        <v>10.600720000000001</v>
      </c>
    </row>
    <row r="56" spans="1:9" x14ac:dyDescent="0.3">
      <c r="A56" t="s">
        <v>9</v>
      </c>
      <c r="B56" t="s">
        <v>181</v>
      </c>
      <c r="C56">
        <v>0</v>
      </c>
      <c r="D56">
        <v>-1.4E-3</v>
      </c>
      <c r="E56">
        <v>5.9957334838115024</v>
      </c>
      <c r="F56">
        <v>606.80236069123202</v>
      </c>
      <c r="G56">
        <v>0.42399999999999999</v>
      </c>
      <c r="H56">
        <v>0</v>
      </c>
      <c r="I56">
        <v>10.8018</v>
      </c>
    </row>
    <row r="57" spans="1:9" x14ac:dyDescent="0.3">
      <c r="A57" t="s">
        <v>9</v>
      </c>
      <c r="B57" t="s">
        <v>182</v>
      </c>
      <c r="C57">
        <v>0</v>
      </c>
      <c r="D57">
        <v>-1.4E-3</v>
      </c>
      <c r="E57">
        <v>5.9957334838115024</v>
      </c>
      <c r="F57">
        <v>606.80236069123202</v>
      </c>
      <c r="G57">
        <v>0.42399999999999999</v>
      </c>
      <c r="H57">
        <v>0</v>
      </c>
      <c r="I57">
        <v>11.000679999999999</v>
      </c>
    </row>
    <row r="58" spans="1:9" x14ac:dyDescent="0.3">
      <c r="A58" t="s">
        <v>9</v>
      </c>
      <c r="B58" t="s">
        <v>183</v>
      </c>
      <c r="C58">
        <v>0</v>
      </c>
      <c r="D58">
        <v>-1.4E-3</v>
      </c>
      <c r="E58">
        <v>5.9957334838115024</v>
      </c>
      <c r="F58">
        <v>606.80236069123202</v>
      </c>
      <c r="G58">
        <v>0.42399999999999999</v>
      </c>
      <c r="H58">
        <v>0</v>
      </c>
      <c r="I58">
        <v>11.20185</v>
      </c>
    </row>
    <row r="59" spans="1:9" x14ac:dyDescent="0.3">
      <c r="A59" t="s">
        <v>9</v>
      </c>
      <c r="B59" t="s">
        <v>184</v>
      </c>
      <c r="C59">
        <v>0</v>
      </c>
      <c r="D59">
        <v>-1.4E-3</v>
      </c>
      <c r="E59">
        <v>5.9957334838115024</v>
      </c>
      <c r="F59">
        <v>606.80236069123202</v>
      </c>
      <c r="G59">
        <v>0.42399999999999999</v>
      </c>
      <c r="H59">
        <v>0</v>
      </c>
      <c r="I59">
        <v>11.40127</v>
      </c>
    </row>
    <row r="60" spans="1:9" x14ac:dyDescent="0.3">
      <c r="A60" t="s">
        <v>9</v>
      </c>
      <c r="B60" t="s">
        <v>185</v>
      </c>
      <c r="C60">
        <v>0</v>
      </c>
      <c r="D60">
        <v>-1.4E-3</v>
      </c>
      <c r="E60">
        <v>5.9957334838115024</v>
      </c>
      <c r="F60">
        <v>606.80236069123202</v>
      </c>
      <c r="G60">
        <v>0.42399999999999999</v>
      </c>
      <c r="H60">
        <v>0</v>
      </c>
      <c r="I60">
        <v>11.60149</v>
      </c>
    </row>
    <row r="61" spans="1:9" x14ac:dyDescent="0.3">
      <c r="A61" t="s">
        <v>9</v>
      </c>
      <c r="B61" t="s">
        <v>186</v>
      </c>
      <c r="C61">
        <v>0</v>
      </c>
      <c r="D61">
        <v>-1.4E-3</v>
      </c>
      <c r="E61">
        <v>5.9957334838115024</v>
      </c>
      <c r="F61">
        <v>606.80236069123202</v>
      </c>
      <c r="G61">
        <v>0.42399999999999999</v>
      </c>
      <c r="H61">
        <v>0</v>
      </c>
      <c r="I61">
        <v>11.80016</v>
      </c>
    </row>
    <row r="62" spans="1:9" x14ac:dyDescent="0.3">
      <c r="A62" t="s">
        <v>9</v>
      </c>
      <c r="B62" t="s">
        <v>187</v>
      </c>
      <c r="C62">
        <v>0</v>
      </c>
      <c r="D62">
        <v>-1.4E-3</v>
      </c>
      <c r="E62">
        <v>5.9957334838115024</v>
      </c>
      <c r="F62">
        <v>606.80236069123202</v>
      </c>
      <c r="G62">
        <v>0.42399999999999999</v>
      </c>
      <c r="H62">
        <v>0</v>
      </c>
      <c r="I62">
        <v>12.00122</v>
      </c>
    </row>
    <row r="63" spans="1:9" x14ac:dyDescent="0.3">
      <c r="A63" t="s">
        <v>9</v>
      </c>
      <c r="B63" t="s">
        <v>188</v>
      </c>
      <c r="C63">
        <v>0</v>
      </c>
      <c r="D63">
        <v>-1.4E-3</v>
      </c>
      <c r="E63">
        <v>5.9957334838115024</v>
      </c>
      <c r="F63">
        <v>606.80236069123202</v>
      </c>
      <c r="G63">
        <v>0.42399999999999999</v>
      </c>
      <c r="H63">
        <v>0</v>
      </c>
      <c r="I63">
        <v>12.20049</v>
      </c>
    </row>
    <row r="64" spans="1:9" x14ac:dyDescent="0.3">
      <c r="A64" t="s">
        <v>9</v>
      </c>
      <c r="B64" t="s">
        <v>189</v>
      </c>
      <c r="C64">
        <v>0</v>
      </c>
      <c r="D64">
        <v>-1.4E-3</v>
      </c>
      <c r="E64">
        <v>5.9957334838115024</v>
      </c>
      <c r="F64">
        <v>606.80236069123202</v>
      </c>
      <c r="G64">
        <v>0.42399999999999999</v>
      </c>
      <c r="H64">
        <v>0</v>
      </c>
      <c r="I64">
        <v>12.40334</v>
      </c>
    </row>
    <row r="65" spans="1:9" x14ac:dyDescent="0.3">
      <c r="A65" t="s">
        <v>9</v>
      </c>
      <c r="B65" t="s">
        <v>190</v>
      </c>
      <c r="C65">
        <v>0</v>
      </c>
      <c r="D65">
        <v>-1.4E-3</v>
      </c>
      <c r="E65">
        <v>5.9957334838115024</v>
      </c>
      <c r="F65">
        <v>606.80236069123202</v>
      </c>
      <c r="G65">
        <v>0.42399999999999999</v>
      </c>
      <c r="H65">
        <v>0</v>
      </c>
      <c r="I65">
        <v>12.603899999999999</v>
      </c>
    </row>
    <row r="66" spans="1:9" x14ac:dyDescent="0.3">
      <c r="A66" t="s">
        <v>9</v>
      </c>
      <c r="B66" t="s">
        <v>191</v>
      </c>
      <c r="C66">
        <v>0</v>
      </c>
      <c r="D66">
        <v>-1.4E-3</v>
      </c>
      <c r="E66">
        <v>5.9957334838115024</v>
      </c>
      <c r="F66">
        <v>606.80236069123202</v>
      </c>
      <c r="G66">
        <v>0.42399999999999999</v>
      </c>
      <c r="H66">
        <v>0</v>
      </c>
      <c r="I66">
        <v>12.80059</v>
      </c>
    </row>
    <row r="67" spans="1:9" x14ac:dyDescent="0.3">
      <c r="A67" t="s">
        <v>9</v>
      </c>
      <c r="B67" t="s">
        <v>192</v>
      </c>
      <c r="C67">
        <v>0</v>
      </c>
      <c r="D67">
        <v>-1.4E-3</v>
      </c>
      <c r="E67">
        <v>5.9957334838115024</v>
      </c>
      <c r="F67">
        <v>606.80236069123202</v>
      </c>
      <c r="G67">
        <v>0.42399999999999999</v>
      </c>
      <c r="H67">
        <v>0</v>
      </c>
      <c r="I67">
        <v>13.002000000000001</v>
      </c>
    </row>
    <row r="68" spans="1:9" x14ac:dyDescent="0.3">
      <c r="A68" t="s">
        <v>9</v>
      </c>
      <c r="B68" t="s">
        <v>193</v>
      </c>
      <c r="C68">
        <v>0</v>
      </c>
      <c r="D68">
        <v>-1.4E-3</v>
      </c>
      <c r="E68">
        <v>5.9957334838115024</v>
      </c>
      <c r="F68">
        <v>606.80236069123202</v>
      </c>
      <c r="G68">
        <v>0.42399999999999999</v>
      </c>
      <c r="H68">
        <v>0</v>
      </c>
      <c r="I68">
        <v>13.20274</v>
      </c>
    </row>
    <row r="69" spans="1:9" x14ac:dyDescent="0.3">
      <c r="A69" t="s">
        <v>9</v>
      </c>
      <c r="B69" t="s">
        <v>194</v>
      </c>
      <c r="C69">
        <v>0</v>
      </c>
      <c r="D69">
        <v>-1.4E-3</v>
      </c>
      <c r="E69">
        <v>5.9957334838115024</v>
      </c>
      <c r="F69">
        <v>606.80236069123202</v>
      </c>
      <c r="G69">
        <v>0.42399999999999999</v>
      </c>
      <c r="H69">
        <v>0</v>
      </c>
      <c r="I69">
        <v>13.40278</v>
      </c>
    </row>
    <row r="70" spans="1:9" x14ac:dyDescent="0.3">
      <c r="A70" t="s">
        <v>9</v>
      </c>
      <c r="B70" t="s">
        <v>195</v>
      </c>
      <c r="C70">
        <v>0</v>
      </c>
      <c r="D70">
        <v>-1.4E-3</v>
      </c>
      <c r="E70">
        <v>5.9957334838115024</v>
      </c>
      <c r="F70">
        <v>606.80236069123202</v>
      </c>
      <c r="G70">
        <v>0.42399999999999999</v>
      </c>
      <c r="H70">
        <v>0</v>
      </c>
      <c r="I70">
        <v>13.60061</v>
      </c>
    </row>
    <row r="71" spans="1:9" x14ac:dyDescent="0.3">
      <c r="A71" t="s">
        <v>9</v>
      </c>
      <c r="B71" t="s">
        <v>196</v>
      </c>
      <c r="C71">
        <v>0</v>
      </c>
      <c r="D71">
        <v>-1.4E-3</v>
      </c>
      <c r="E71">
        <v>5.9957334838115024</v>
      </c>
      <c r="F71">
        <v>606.80236069123202</v>
      </c>
      <c r="G71">
        <v>0.42399999999999999</v>
      </c>
      <c r="H71">
        <v>0</v>
      </c>
      <c r="I71">
        <v>13.80195</v>
      </c>
    </row>
    <row r="72" spans="1:9" x14ac:dyDescent="0.3">
      <c r="A72" t="s">
        <v>9</v>
      </c>
      <c r="B72" t="s">
        <v>197</v>
      </c>
      <c r="C72">
        <v>0</v>
      </c>
      <c r="D72">
        <v>-1.4E-3</v>
      </c>
      <c r="E72">
        <v>5.9957334838115024</v>
      </c>
      <c r="F72">
        <v>606.80236069123202</v>
      </c>
      <c r="G72">
        <v>0.42399999999999999</v>
      </c>
      <c r="H72">
        <v>0</v>
      </c>
      <c r="I72">
        <v>14.00287</v>
      </c>
    </row>
    <row r="73" spans="1:9" x14ac:dyDescent="0.3">
      <c r="A73" t="s">
        <v>9</v>
      </c>
      <c r="B73" t="s">
        <v>198</v>
      </c>
      <c r="C73">
        <v>0</v>
      </c>
      <c r="D73">
        <v>-1.4E-3</v>
      </c>
      <c r="E73">
        <v>6.462532495647773</v>
      </c>
      <c r="F73">
        <v>753.29433383697369</v>
      </c>
      <c r="G73">
        <v>0.42399999999999999</v>
      </c>
      <c r="H73">
        <v>7.3000000000000001E-3</v>
      </c>
      <c r="I73">
        <v>14.20016</v>
      </c>
    </row>
    <row r="74" spans="1:9" x14ac:dyDescent="0.3">
      <c r="A74" t="s">
        <v>9</v>
      </c>
      <c r="B74" t="s">
        <v>199</v>
      </c>
      <c r="C74">
        <v>0</v>
      </c>
      <c r="D74">
        <v>2.0000000000000001E-4</v>
      </c>
      <c r="E74">
        <v>6.2727322052491967</v>
      </c>
      <c r="F74">
        <v>632.6186415292251</v>
      </c>
      <c r="G74">
        <v>0.42399999999999999</v>
      </c>
      <c r="H74">
        <v>4.3E-3</v>
      </c>
      <c r="I74">
        <v>14.40183</v>
      </c>
    </row>
    <row r="75" spans="1:9" x14ac:dyDescent="0.3">
      <c r="A75" t="s">
        <v>9</v>
      </c>
      <c r="B75" t="s">
        <v>200</v>
      </c>
      <c r="C75">
        <v>0</v>
      </c>
      <c r="D75">
        <v>5.0000000000000001E-4</v>
      </c>
      <c r="E75">
        <v>6.1245137106537406</v>
      </c>
      <c r="F75">
        <v>618.80467783292863</v>
      </c>
      <c r="G75">
        <v>0.42399999999999999</v>
      </c>
      <c r="H75">
        <v>2E-3</v>
      </c>
      <c r="I75">
        <v>14.60045</v>
      </c>
    </row>
    <row r="76" spans="1:9" x14ac:dyDescent="0.3">
      <c r="A76" t="s">
        <v>9</v>
      </c>
      <c r="B76" t="s">
        <v>201</v>
      </c>
      <c r="C76">
        <v>0</v>
      </c>
      <c r="D76">
        <v>4.0000000000000002E-4</v>
      </c>
      <c r="E76">
        <v>6.0283803464419776</v>
      </c>
      <c r="F76">
        <v>609.84504828839238</v>
      </c>
      <c r="G76">
        <v>0.42399999999999999</v>
      </c>
      <c r="H76">
        <v>5.0000000000000001E-4</v>
      </c>
      <c r="I76">
        <v>14.801310000000001</v>
      </c>
    </row>
    <row r="77" spans="1:9" x14ac:dyDescent="0.3">
      <c r="A77" t="s">
        <v>9</v>
      </c>
      <c r="B77" t="s">
        <v>202</v>
      </c>
      <c r="C77">
        <v>0</v>
      </c>
      <c r="D77">
        <v>4.0000000000000002E-4</v>
      </c>
      <c r="E77">
        <v>5.995733886610525</v>
      </c>
      <c r="F77">
        <v>606.80239823210093</v>
      </c>
      <c r="G77">
        <v>0.42399999999999999</v>
      </c>
      <c r="H77">
        <v>0</v>
      </c>
      <c r="I77">
        <v>15.000679999999999</v>
      </c>
    </row>
    <row r="78" spans="1:9" x14ac:dyDescent="0.3">
      <c r="A78" t="s">
        <v>9</v>
      </c>
      <c r="B78" t="s">
        <v>203</v>
      </c>
      <c r="C78">
        <v>0</v>
      </c>
      <c r="D78">
        <v>2.0000000000000001E-4</v>
      </c>
      <c r="E78">
        <v>6.0295943380314894</v>
      </c>
      <c r="F78">
        <v>712.20850267918843</v>
      </c>
      <c r="G78">
        <v>0.42399999999999999</v>
      </c>
      <c r="H78">
        <v>5.0000000000000001E-4</v>
      </c>
      <c r="I78">
        <v>15.20238</v>
      </c>
    </row>
    <row r="79" spans="1:9" x14ac:dyDescent="0.3">
      <c r="A79" t="s">
        <v>9</v>
      </c>
      <c r="B79" t="s">
        <v>204</v>
      </c>
      <c r="C79">
        <v>0</v>
      </c>
      <c r="D79">
        <v>2.0000000000000001E-4</v>
      </c>
      <c r="E79">
        <v>6.1252223113363753</v>
      </c>
      <c r="F79">
        <v>721.28359734582205</v>
      </c>
      <c r="G79">
        <v>0.42399999999999999</v>
      </c>
      <c r="H79">
        <v>2E-3</v>
      </c>
      <c r="I79">
        <v>15.400679999999999</v>
      </c>
    </row>
    <row r="80" spans="1:9" x14ac:dyDescent="0.3">
      <c r="A80" t="s">
        <v>9</v>
      </c>
      <c r="B80" t="s">
        <v>205</v>
      </c>
      <c r="C80">
        <v>0</v>
      </c>
      <c r="D80">
        <v>4.0000000000000002E-4</v>
      </c>
      <c r="E80">
        <v>6.274531562796307</v>
      </c>
      <c r="F80">
        <v>735.4530453093696</v>
      </c>
      <c r="G80">
        <v>0.42399999999999999</v>
      </c>
      <c r="H80">
        <v>4.3E-3</v>
      </c>
      <c r="I80">
        <v>15.60027</v>
      </c>
    </row>
    <row r="81" spans="1:9" x14ac:dyDescent="0.3">
      <c r="A81" t="s">
        <v>9</v>
      </c>
      <c r="B81" t="s">
        <v>206</v>
      </c>
      <c r="C81">
        <v>0</v>
      </c>
      <c r="D81">
        <v>1.2999999999999999E-3</v>
      </c>
      <c r="E81">
        <v>6.464347788195357</v>
      </c>
      <c r="F81">
        <v>753.46660509973947</v>
      </c>
      <c r="G81">
        <v>0.42399999999999999</v>
      </c>
      <c r="H81">
        <v>7.3000000000000001E-3</v>
      </c>
      <c r="I81">
        <v>15.801640000000001</v>
      </c>
    </row>
    <row r="82" spans="1:9" x14ac:dyDescent="0.3">
      <c r="A82" t="s">
        <v>9</v>
      </c>
      <c r="B82" t="s">
        <v>207</v>
      </c>
      <c r="C82">
        <v>0</v>
      </c>
      <c r="D82">
        <v>5.3E-3</v>
      </c>
      <c r="E82">
        <v>6.6734016138734722</v>
      </c>
      <c r="F82">
        <v>773.30581315659254</v>
      </c>
      <c r="G82">
        <v>0.42399999999999999</v>
      </c>
      <c r="H82">
        <v>1.0500000000000001E-2</v>
      </c>
      <c r="I82">
        <v>16.00177</v>
      </c>
    </row>
    <row r="83" spans="1:9" x14ac:dyDescent="0.3">
      <c r="A83" t="s">
        <v>9</v>
      </c>
      <c r="B83" t="s">
        <v>208</v>
      </c>
      <c r="C83">
        <v>0</v>
      </c>
      <c r="D83">
        <v>8.8999999999999999E-3</v>
      </c>
      <c r="E83">
        <v>6.8822417564663532</v>
      </c>
      <c r="F83">
        <v>793.12474268865697</v>
      </c>
      <c r="G83">
        <v>0.42399999999999999</v>
      </c>
      <c r="H83">
        <v>1.38E-2</v>
      </c>
      <c r="I83">
        <v>16.201879999999999</v>
      </c>
    </row>
    <row r="84" spans="1:9" x14ac:dyDescent="0.3">
      <c r="A84" t="s">
        <v>9</v>
      </c>
      <c r="B84" t="s">
        <v>209</v>
      </c>
      <c r="C84">
        <v>0</v>
      </c>
      <c r="D84">
        <v>1.23E-2</v>
      </c>
      <c r="E84">
        <v>7.0690976804670003</v>
      </c>
      <c r="F84">
        <v>810.85736987631833</v>
      </c>
      <c r="G84">
        <v>0.42399999999999999</v>
      </c>
      <c r="H84">
        <v>1.67E-2</v>
      </c>
      <c r="I84">
        <v>16.40042</v>
      </c>
    </row>
    <row r="85" spans="1:9" x14ac:dyDescent="0.3">
      <c r="A85" t="s">
        <v>9</v>
      </c>
      <c r="B85" t="s">
        <v>210</v>
      </c>
      <c r="C85">
        <v>0</v>
      </c>
      <c r="D85">
        <v>1.54E-2</v>
      </c>
      <c r="E85">
        <v>7.2189434508232848</v>
      </c>
      <c r="F85">
        <v>825.0777334831298</v>
      </c>
      <c r="G85">
        <v>0.42399999999999999</v>
      </c>
      <c r="H85">
        <v>1.9E-2</v>
      </c>
      <c r="I85">
        <v>16.601130000000001</v>
      </c>
    </row>
    <row r="86" spans="1:9" x14ac:dyDescent="0.3">
      <c r="A86" t="s">
        <v>9</v>
      </c>
      <c r="B86" t="s">
        <v>211</v>
      </c>
      <c r="C86">
        <v>0</v>
      </c>
      <c r="D86">
        <v>1.8200000000000001E-2</v>
      </c>
      <c r="E86">
        <v>7.3146694182990197</v>
      </c>
      <c r="F86">
        <v>834.16212779657701</v>
      </c>
      <c r="G86">
        <v>0.42399999999999999</v>
      </c>
      <c r="H86">
        <v>2.0500000000000001E-2</v>
      </c>
      <c r="I86">
        <v>16.801349999999999</v>
      </c>
    </row>
    <row r="87" spans="1:9" x14ac:dyDescent="0.3">
      <c r="A87" t="s">
        <v>9</v>
      </c>
      <c r="B87" t="s">
        <v>212</v>
      </c>
      <c r="C87">
        <v>0</v>
      </c>
      <c r="D87">
        <v>1.9300000000000001E-2</v>
      </c>
      <c r="E87">
        <v>7.3473017042560347</v>
      </c>
      <c r="F87">
        <v>837.25893173389773</v>
      </c>
      <c r="G87">
        <v>0.42399999999999999</v>
      </c>
      <c r="H87">
        <v>2.1000000000000001E-2</v>
      </c>
      <c r="I87">
        <v>17.00102</v>
      </c>
    </row>
    <row r="88" spans="1:9" x14ac:dyDescent="0.3">
      <c r="A88" t="s">
        <v>9</v>
      </c>
      <c r="B88" t="s">
        <v>213</v>
      </c>
      <c r="C88">
        <v>0</v>
      </c>
      <c r="D88">
        <v>2.06E-2</v>
      </c>
      <c r="E88">
        <v>7.3138978074618413</v>
      </c>
      <c r="F88">
        <v>729.65527565544357</v>
      </c>
      <c r="G88">
        <v>0.42399999999999999</v>
      </c>
      <c r="H88">
        <v>2.0500000000000001E-2</v>
      </c>
      <c r="I88">
        <v>17.201000000000001</v>
      </c>
    </row>
    <row r="89" spans="1:9" x14ac:dyDescent="0.3">
      <c r="A89" t="s">
        <v>9</v>
      </c>
      <c r="B89" t="s">
        <v>214</v>
      </c>
      <c r="C89">
        <v>0</v>
      </c>
      <c r="D89">
        <v>2.0299999999999999E-2</v>
      </c>
      <c r="E89">
        <v>7.2173730626086758</v>
      </c>
      <c r="F89">
        <v>720.65916943512866</v>
      </c>
      <c r="G89">
        <v>0.42399999999999999</v>
      </c>
      <c r="H89">
        <v>1.9E-2</v>
      </c>
      <c r="I89">
        <v>17.401389999999999</v>
      </c>
    </row>
    <row r="90" spans="1:9" x14ac:dyDescent="0.3">
      <c r="A90" t="s">
        <v>9</v>
      </c>
      <c r="B90" t="s">
        <v>215</v>
      </c>
      <c r="C90">
        <v>0</v>
      </c>
      <c r="D90">
        <v>1.9300000000000001E-2</v>
      </c>
      <c r="E90">
        <v>7.06843189749556</v>
      </c>
      <c r="F90">
        <v>706.77785284658626</v>
      </c>
      <c r="G90">
        <v>0.42399999999999999</v>
      </c>
      <c r="H90">
        <v>1.67E-2</v>
      </c>
      <c r="I90">
        <v>17.600349999999999</v>
      </c>
    </row>
    <row r="91" spans="1:9" x14ac:dyDescent="0.3">
      <c r="A91" t="s">
        <v>9</v>
      </c>
      <c r="B91" t="s">
        <v>216</v>
      </c>
      <c r="C91">
        <v>0</v>
      </c>
      <c r="D91">
        <v>1.7899999999999999E-2</v>
      </c>
      <c r="E91">
        <v>6.8794630654168589</v>
      </c>
      <c r="F91">
        <v>689.16595769685125</v>
      </c>
      <c r="G91">
        <v>0.42399999999999999</v>
      </c>
      <c r="H91">
        <v>1.37E-2</v>
      </c>
      <c r="I91">
        <v>17.80087</v>
      </c>
    </row>
    <row r="92" spans="1:9" x14ac:dyDescent="0.3">
      <c r="A92" t="s">
        <v>9</v>
      </c>
      <c r="B92" t="s">
        <v>217</v>
      </c>
      <c r="C92">
        <v>0</v>
      </c>
      <c r="D92">
        <v>1.52E-2</v>
      </c>
      <c r="E92">
        <v>6.6706363033587248</v>
      </c>
      <c r="F92">
        <v>669.7033034730332</v>
      </c>
      <c r="G92">
        <v>0.42399999999999999</v>
      </c>
      <c r="H92">
        <v>1.0500000000000001E-2</v>
      </c>
      <c r="I92">
        <v>18.000830000000001</v>
      </c>
    </row>
    <row r="93" spans="1:9" x14ac:dyDescent="0.3">
      <c r="A93" t="s">
        <v>9</v>
      </c>
      <c r="B93" t="s">
        <v>218</v>
      </c>
      <c r="C93">
        <v>0</v>
      </c>
      <c r="D93">
        <v>1.18E-2</v>
      </c>
      <c r="E93">
        <v>6.4601860364177384</v>
      </c>
      <c r="F93">
        <v>650.08933859413321</v>
      </c>
      <c r="G93">
        <v>0.42399999999999999</v>
      </c>
      <c r="H93">
        <v>7.1999999999999998E-3</v>
      </c>
      <c r="I93">
        <v>18.202480000000001</v>
      </c>
    </row>
    <row r="94" spans="1:9" x14ac:dyDescent="0.3">
      <c r="A94" t="s">
        <v>9</v>
      </c>
      <c r="B94" t="s">
        <v>219</v>
      </c>
      <c r="C94">
        <v>0</v>
      </c>
      <c r="D94">
        <v>8.0000000000000002E-3</v>
      </c>
      <c r="E94">
        <v>6.2735783416102198</v>
      </c>
      <c r="F94">
        <v>632.69750143807255</v>
      </c>
      <c r="G94">
        <v>0.42399999999999999</v>
      </c>
      <c r="H94">
        <v>4.3E-3</v>
      </c>
      <c r="I94">
        <v>18.400839999999999</v>
      </c>
    </row>
    <row r="95" spans="1:9" x14ac:dyDescent="0.3">
      <c r="A95" t="s">
        <v>9</v>
      </c>
      <c r="B95" t="s">
        <v>220</v>
      </c>
      <c r="C95">
        <v>0</v>
      </c>
      <c r="D95">
        <v>4.5999999999999999E-3</v>
      </c>
      <c r="E95">
        <v>6.1238104216379314</v>
      </c>
      <c r="F95">
        <v>618.73913129665516</v>
      </c>
      <c r="G95">
        <v>0.42399999999999999</v>
      </c>
      <c r="H95">
        <v>2E-3</v>
      </c>
      <c r="I95">
        <v>18.601579999999998</v>
      </c>
    </row>
    <row r="96" spans="1:9" x14ac:dyDescent="0.3">
      <c r="A96" t="s">
        <v>9</v>
      </c>
      <c r="B96" t="s">
        <v>221</v>
      </c>
      <c r="C96">
        <v>0</v>
      </c>
      <c r="D96">
        <v>2E-3</v>
      </c>
      <c r="E96">
        <v>6.0285676860925834</v>
      </c>
      <c r="F96">
        <v>609.86250834382872</v>
      </c>
      <c r="G96">
        <v>0.42399999999999999</v>
      </c>
      <c r="H96">
        <v>5.0000000000000001E-4</v>
      </c>
      <c r="I96">
        <v>18.800740000000001</v>
      </c>
    </row>
    <row r="97" spans="1:9" x14ac:dyDescent="0.3">
      <c r="A97" t="s">
        <v>9</v>
      </c>
      <c r="B97" t="s">
        <v>222</v>
      </c>
      <c r="C97">
        <v>0</v>
      </c>
      <c r="D97">
        <v>6.9999999999999999E-4</v>
      </c>
      <c r="E97">
        <v>5.9957368673229956</v>
      </c>
      <c r="F97">
        <v>606.80267603450329</v>
      </c>
      <c r="G97">
        <v>0.42399999999999999</v>
      </c>
      <c r="H97">
        <v>0</v>
      </c>
      <c r="I97">
        <v>19.002009999999999</v>
      </c>
    </row>
    <row r="98" spans="1:9" x14ac:dyDescent="0.3">
      <c r="A98" t="s">
        <v>9</v>
      </c>
      <c r="B98" t="s">
        <v>223</v>
      </c>
      <c r="C98">
        <v>0</v>
      </c>
      <c r="D98">
        <v>2.0000000000000001E-4</v>
      </c>
      <c r="E98">
        <v>6.0294914255004404</v>
      </c>
      <c r="F98">
        <v>712.19873627999186</v>
      </c>
      <c r="G98">
        <v>0.42399999999999999</v>
      </c>
      <c r="H98">
        <v>5.0000000000000001E-4</v>
      </c>
      <c r="I98">
        <v>19.202069999999999</v>
      </c>
    </row>
    <row r="99" spans="1:9" x14ac:dyDescent="0.3">
      <c r="A99" t="s">
        <v>9</v>
      </c>
      <c r="B99" t="s">
        <v>224</v>
      </c>
      <c r="C99">
        <v>0</v>
      </c>
      <c r="D99">
        <v>2.9999999999999997E-4</v>
      </c>
      <c r="E99">
        <v>6.1258819311524144</v>
      </c>
      <c r="F99">
        <v>721.34619526636413</v>
      </c>
      <c r="G99">
        <v>0.42399999999999999</v>
      </c>
      <c r="H99">
        <v>2E-3</v>
      </c>
      <c r="I99">
        <v>19.40174</v>
      </c>
    </row>
    <row r="100" spans="1:9" x14ac:dyDescent="0.3">
      <c r="A100" t="s">
        <v>9</v>
      </c>
      <c r="B100" t="s">
        <v>225</v>
      </c>
      <c r="C100">
        <v>0</v>
      </c>
      <c r="D100">
        <v>6.9999999999999999E-4</v>
      </c>
      <c r="E100">
        <v>6.2745089375284593</v>
      </c>
      <c r="F100">
        <v>735.45089817145083</v>
      </c>
      <c r="G100">
        <v>0.42399999999999999</v>
      </c>
      <c r="H100">
        <v>4.3E-3</v>
      </c>
      <c r="I100">
        <v>19.600239999999999</v>
      </c>
    </row>
    <row r="101" spans="1:9" x14ac:dyDescent="0.3">
      <c r="A101" t="s">
        <v>9</v>
      </c>
      <c r="B101" t="s">
        <v>226</v>
      </c>
      <c r="C101">
        <v>0</v>
      </c>
      <c r="D101">
        <v>2.3999999999999998E-3</v>
      </c>
      <c r="E101">
        <v>6.4627096863655078</v>
      </c>
      <c r="F101">
        <v>753.31114923608675</v>
      </c>
      <c r="G101">
        <v>0.42399999999999999</v>
      </c>
      <c r="H101">
        <v>7.3000000000000001E-3</v>
      </c>
      <c r="I101">
        <v>19.80002</v>
      </c>
    </row>
    <row r="102" spans="1:9" x14ac:dyDescent="0.3">
      <c r="A102" t="s">
        <v>9</v>
      </c>
      <c r="B102" t="s">
        <v>227</v>
      </c>
      <c r="C102">
        <v>0</v>
      </c>
      <c r="D102">
        <v>6.0000000000000001E-3</v>
      </c>
      <c r="E102">
        <v>6.673061829385003</v>
      </c>
      <c r="F102">
        <v>773.27356760863688</v>
      </c>
      <c r="G102">
        <v>0.42399999999999999</v>
      </c>
      <c r="H102">
        <v>1.0500000000000001E-2</v>
      </c>
      <c r="I102">
        <v>20.001449999999998</v>
      </c>
    </row>
    <row r="103" spans="1:9" x14ac:dyDescent="0.3">
      <c r="A103" t="s">
        <v>9</v>
      </c>
      <c r="B103" t="s">
        <v>228</v>
      </c>
      <c r="C103">
        <v>0</v>
      </c>
      <c r="D103">
        <v>9.4000000000000004E-3</v>
      </c>
      <c r="E103">
        <v>6.8835169619749879</v>
      </c>
      <c r="F103">
        <v>793.24575969142643</v>
      </c>
      <c r="G103">
        <v>0.42399999999999999</v>
      </c>
      <c r="H103">
        <v>1.38E-2</v>
      </c>
      <c r="I103">
        <v>20.203140000000001</v>
      </c>
    </row>
    <row r="104" spans="1:9" x14ac:dyDescent="0.3">
      <c r="A104" t="s">
        <v>9</v>
      </c>
      <c r="B104" t="s">
        <v>229</v>
      </c>
      <c r="C104">
        <v>0</v>
      </c>
      <c r="D104">
        <v>1.24E-2</v>
      </c>
      <c r="E104">
        <v>7.0690417255035074</v>
      </c>
      <c r="F104">
        <v>810.85205975028282</v>
      </c>
      <c r="G104">
        <v>0.42399999999999999</v>
      </c>
      <c r="H104">
        <v>1.67E-2</v>
      </c>
      <c r="I104">
        <v>20.400359999999999</v>
      </c>
    </row>
    <row r="105" spans="1:9" x14ac:dyDescent="0.3">
      <c r="A105" t="s">
        <v>9</v>
      </c>
      <c r="B105" t="s">
        <v>230</v>
      </c>
      <c r="C105">
        <v>0</v>
      </c>
      <c r="D105">
        <v>1.5299999999999999E-2</v>
      </c>
      <c r="E105">
        <v>7.2191173977750172</v>
      </c>
      <c r="F105">
        <v>825.0942410488492</v>
      </c>
      <c r="G105">
        <v>0.42399999999999999</v>
      </c>
      <c r="H105">
        <v>1.9E-2</v>
      </c>
      <c r="I105">
        <v>20.601410000000001</v>
      </c>
    </row>
    <row r="106" spans="1:9" x14ac:dyDescent="0.3">
      <c r="A106" t="s">
        <v>9</v>
      </c>
      <c r="B106" t="s">
        <v>231</v>
      </c>
      <c r="C106">
        <v>0</v>
      </c>
      <c r="D106">
        <v>1.77E-2</v>
      </c>
      <c r="E106">
        <v>7.3148101166492578</v>
      </c>
      <c r="F106">
        <v>834.1754800700146</v>
      </c>
      <c r="G106">
        <v>0.42399999999999999</v>
      </c>
      <c r="H106">
        <v>2.0500000000000001E-2</v>
      </c>
      <c r="I106">
        <v>20.801780000000001</v>
      </c>
    </row>
    <row r="107" spans="1:9" x14ac:dyDescent="0.3">
      <c r="A107" t="s">
        <v>9</v>
      </c>
      <c r="B107" t="s">
        <v>232</v>
      </c>
      <c r="C107">
        <v>0</v>
      </c>
      <c r="D107">
        <v>1.9400000000000001E-2</v>
      </c>
      <c r="E107">
        <v>7.3472960276655348</v>
      </c>
      <c r="F107">
        <v>837.25839302545933</v>
      </c>
      <c r="G107">
        <v>0.42399999999999999</v>
      </c>
      <c r="H107">
        <v>2.1000000000000001E-2</v>
      </c>
      <c r="I107">
        <v>21.002859999999998</v>
      </c>
    </row>
    <row r="108" spans="1:9" x14ac:dyDescent="0.3">
      <c r="A108" t="s">
        <v>9</v>
      </c>
      <c r="B108" t="s">
        <v>233</v>
      </c>
      <c r="C108">
        <v>0</v>
      </c>
      <c r="D108">
        <v>2.0199999999999999E-2</v>
      </c>
      <c r="E108">
        <v>7.3139306505925878</v>
      </c>
      <c r="F108">
        <v>729.65833663522926</v>
      </c>
      <c r="G108">
        <v>0.42399999999999999</v>
      </c>
      <c r="H108">
        <v>2.0500000000000001E-2</v>
      </c>
      <c r="I108">
        <v>21.200900000000001</v>
      </c>
    </row>
    <row r="109" spans="1:9" x14ac:dyDescent="0.3">
      <c r="A109" t="s">
        <v>9</v>
      </c>
      <c r="B109" t="s">
        <v>234</v>
      </c>
      <c r="C109">
        <v>0</v>
      </c>
      <c r="D109">
        <v>2.01E-2</v>
      </c>
      <c r="E109">
        <v>7.2180806090673624</v>
      </c>
      <c r="F109">
        <v>720.72511276507817</v>
      </c>
      <c r="G109">
        <v>0.42399999999999999</v>
      </c>
      <c r="H109">
        <v>1.9E-2</v>
      </c>
      <c r="I109">
        <v>21.40025</v>
      </c>
    </row>
    <row r="110" spans="1:9" x14ac:dyDescent="0.3">
      <c r="A110" t="s">
        <v>9</v>
      </c>
      <c r="B110" t="s">
        <v>235</v>
      </c>
      <c r="C110">
        <v>0</v>
      </c>
      <c r="D110">
        <v>1.9300000000000001E-2</v>
      </c>
      <c r="E110">
        <v>7.068205239346331</v>
      </c>
      <c r="F110">
        <v>706.75672830707811</v>
      </c>
      <c r="G110">
        <v>0.42399999999999999</v>
      </c>
      <c r="H110">
        <v>1.67E-2</v>
      </c>
      <c r="I110">
        <v>21.600619999999999</v>
      </c>
    </row>
    <row r="111" spans="1:9" x14ac:dyDescent="0.3">
      <c r="A111" t="s">
        <v>9</v>
      </c>
      <c r="B111" t="s">
        <v>236</v>
      </c>
      <c r="C111">
        <v>0</v>
      </c>
      <c r="D111">
        <v>1.7600000000000001E-2</v>
      </c>
      <c r="E111">
        <v>6.8798794838770707</v>
      </c>
      <c r="F111">
        <v>689.204767897343</v>
      </c>
      <c r="G111">
        <v>0.42399999999999999</v>
      </c>
      <c r="H111">
        <v>1.37E-2</v>
      </c>
      <c r="I111">
        <v>21.800460000000001</v>
      </c>
    </row>
    <row r="112" spans="1:9" x14ac:dyDescent="0.3">
      <c r="A112" t="s">
        <v>9</v>
      </c>
      <c r="B112" t="s">
        <v>237</v>
      </c>
      <c r="C112">
        <v>0</v>
      </c>
      <c r="D112">
        <v>1.4999999999999999E-2</v>
      </c>
      <c r="E112">
        <v>6.6696266811913176</v>
      </c>
      <c r="F112">
        <v>669.60920668703079</v>
      </c>
      <c r="G112">
        <v>0.42399999999999999</v>
      </c>
      <c r="H112">
        <v>1.0500000000000001E-2</v>
      </c>
      <c r="I112">
        <v>22.00178</v>
      </c>
    </row>
    <row r="113" spans="1:9" x14ac:dyDescent="0.3">
      <c r="A113" t="s">
        <v>9</v>
      </c>
      <c r="B113" t="s">
        <v>238</v>
      </c>
      <c r="C113">
        <v>0</v>
      </c>
      <c r="D113">
        <v>1.23E-2</v>
      </c>
      <c r="E113">
        <v>6.4602444242057331</v>
      </c>
      <c r="F113">
        <v>650.09478033597429</v>
      </c>
      <c r="G113">
        <v>0.42399999999999999</v>
      </c>
      <c r="H113">
        <v>7.1999999999999998E-3</v>
      </c>
      <c r="I113">
        <v>22.20242</v>
      </c>
    </row>
    <row r="114" spans="1:9" x14ac:dyDescent="0.3">
      <c r="A114" t="s">
        <v>9</v>
      </c>
      <c r="B114" t="s">
        <v>239</v>
      </c>
      <c r="C114">
        <v>0</v>
      </c>
      <c r="D114">
        <v>8.3999999999999995E-3</v>
      </c>
      <c r="E114">
        <v>6.272115727520954</v>
      </c>
      <c r="F114">
        <v>632.56118580495297</v>
      </c>
      <c r="G114">
        <v>0.42399999999999999</v>
      </c>
      <c r="H114">
        <v>4.3E-3</v>
      </c>
      <c r="I114">
        <v>22.402550000000002</v>
      </c>
    </row>
    <row r="115" spans="1:9" x14ac:dyDescent="0.3">
      <c r="A115" t="s">
        <v>9</v>
      </c>
      <c r="B115" t="s">
        <v>240</v>
      </c>
      <c r="C115">
        <v>0</v>
      </c>
      <c r="D115">
        <v>4.4999999999999997E-3</v>
      </c>
      <c r="E115">
        <v>6.1244715822428182</v>
      </c>
      <c r="F115">
        <v>618.80075146503066</v>
      </c>
      <c r="G115">
        <v>0.42399999999999999</v>
      </c>
      <c r="H115">
        <v>2E-3</v>
      </c>
      <c r="I115">
        <v>22.600519999999999</v>
      </c>
    </row>
    <row r="116" spans="1:9" x14ac:dyDescent="0.3">
      <c r="A116" t="s">
        <v>9</v>
      </c>
      <c r="B116" t="s">
        <v>241</v>
      </c>
      <c r="C116">
        <v>0</v>
      </c>
      <c r="D116">
        <v>1.8E-3</v>
      </c>
      <c r="E116">
        <v>6.0282029894812359</v>
      </c>
      <c r="F116">
        <v>609.82851861965116</v>
      </c>
      <c r="G116">
        <v>0.42399999999999999</v>
      </c>
      <c r="H116">
        <v>5.0000000000000001E-4</v>
      </c>
      <c r="I116">
        <v>22.801850000000002</v>
      </c>
    </row>
    <row r="117" spans="1:9" x14ac:dyDescent="0.3">
      <c r="A117" t="s">
        <v>9</v>
      </c>
      <c r="B117" t="s">
        <v>242</v>
      </c>
      <c r="C117">
        <v>0</v>
      </c>
      <c r="D117">
        <v>6.9999999999999999E-4</v>
      </c>
      <c r="E117">
        <v>5.9957363034044144</v>
      </c>
      <c r="F117">
        <v>606.80262347729138</v>
      </c>
      <c r="G117">
        <v>0.42399999999999999</v>
      </c>
      <c r="H117">
        <v>0</v>
      </c>
      <c r="I117">
        <v>23.001830000000002</v>
      </c>
    </row>
    <row r="118" spans="1:9" x14ac:dyDescent="0.3">
      <c r="A118" t="s">
        <v>9</v>
      </c>
      <c r="B118" t="s">
        <v>243</v>
      </c>
      <c r="C118">
        <v>0</v>
      </c>
      <c r="D118">
        <v>0</v>
      </c>
      <c r="E118">
        <v>6.0289354399533837</v>
      </c>
      <c r="F118">
        <v>712.14597325157615</v>
      </c>
      <c r="G118">
        <v>0.42399999999999999</v>
      </c>
      <c r="H118">
        <v>5.0000000000000001E-4</v>
      </c>
      <c r="I118">
        <v>23.200389999999999</v>
      </c>
    </row>
    <row r="119" spans="1:9" x14ac:dyDescent="0.3">
      <c r="A119" t="s">
        <v>9</v>
      </c>
      <c r="B119" t="s">
        <v>244</v>
      </c>
      <c r="C119">
        <v>0</v>
      </c>
      <c r="D119">
        <v>1E-4</v>
      </c>
      <c r="E119">
        <v>6.125333653604315</v>
      </c>
      <c r="F119">
        <v>721.29416372704952</v>
      </c>
      <c r="G119">
        <v>0.42399999999999999</v>
      </c>
      <c r="H119">
        <v>2E-3</v>
      </c>
      <c r="I119">
        <v>23.400860000000002</v>
      </c>
    </row>
    <row r="120" spans="1:9" x14ac:dyDescent="0.3">
      <c r="A120" t="s">
        <v>9</v>
      </c>
      <c r="B120" t="s">
        <v>245</v>
      </c>
      <c r="C120">
        <v>0</v>
      </c>
      <c r="D120">
        <v>5.9999999999999995E-4</v>
      </c>
      <c r="E120">
        <v>6.2749882445019907</v>
      </c>
      <c r="F120">
        <v>735.49638440323895</v>
      </c>
      <c r="G120">
        <v>0.42399999999999999</v>
      </c>
      <c r="H120">
        <v>4.3E-3</v>
      </c>
      <c r="I120">
        <v>23.6008</v>
      </c>
    </row>
    <row r="121" spans="1:9" x14ac:dyDescent="0.3">
      <c r="A121" t="s">
        <v>9</v>
      </c>
      <c r="B121" t="s">
        <v>246</v>
      </c>
      <c r="C121">
        <v>0</v>
      </c>
      <c r="D121">
        <v>2.5999999999999999E-3</v>
      </c>
      <c r="E121">
        <v>6.4643964446853532</v>
      </c>
      <c r="F121">
        <v>753.47122260064009</v>
      </c>
      <c r="G121">
        <v>0.42399999999999999</v>
      </c>
      <c r="H121">
        <v>7.3000000000000001E-3</v>
      </c>
      <c r="I121">
        <v>23.801690000000001</v>
      </c>
    </row>
    <row r="122" spans="1:9" x14ac:dyDescent="0.3">
      <c r="A122" t="s">
        <v>9</v>
      </c>
      <c r="B122" t="s">
        <v>247</v>
      </c>
      <c r="C122">
        <v>0</v>
      </c>
      <c r="D122">
        <v>6.0000000000000001E-3</v>
      </c>
      <c r="E122">
        <v>6.673918183608925</v>
      </c>
      <c r="F122">
        <v>773.35483562448701</v>
      </c>
      <c r="G122">
        <v>0.42399999999999999</v>
      </c>
      <c r="H122">
        <v>1.0500000000000001E-2</v>
      </c>
      <c r="I122">
        <v>24.00226</v>
      </c>
    </row>
    <row r="123" spans="1:9" x14ac:dyDescent="0.3">
      <c r="A123" t="s">
        <v>9</v>
      </c>
      <c r="B123" t="s">
        <v>248</v>
      </c>
      <c r="C123">
        <v>0</v>
      </c>
      <c r="D123">
        <v>9.2999999999999992E-3</v>
      </c>
      <c r="E123">
        <v>6.8830518870247817</v>
      </c>
      <c r="F123">
        <v>793.20162407865178</v>
      </c>
      <c r="G123">
        <v>0.42399999999999999</v>
      </c>
      <c r="H123">
        <v>1.38E-2</v>
      </c>
      <c r="I123">
        <v>24.202680000000001</v>
      </c>
    </row>
    <row r="124" spans="1:9" x14ac:dyDescent="0.3">
      <c r="A124" t="s">
        <v>9</v>
      </c>
      <c r="B124" t="s">
        <v>249</v>
      </c>
      <c r="C124">
        <v>0</v>
      </c>
      <c r="D124">
        <v>1.2500000000000001E-2</v>
      </c>
      <c r="E124">
        <v>7.0692578414132363</v>
      </c>
      <c r="F124">
        <v>810.87256915011619</v>
      </c>
      <c r="G124">
        <v>0.42399999999999999</v>
      </c>
      <c r="H124">
        <v>1.67E-2</v>
      </c>
      <c r="I124">
        <v>24.40061</v>
      </c>
    </row>
    <row r="125" spans="1:9" x14ac:dyDescent="0.3">
      <c r="A125" t="s">
        <v>9</v>
      </c>
      <c r="B125" t="s">
        <v>250</v>
      </c>
      <c r="C125">
        <v>0</v>
      </c>
      <c r="D125">
        <v>1.5299999999999999E-2</v>
      </c>
      <c r="E125">
        <v>7.2189357468790343</v>
      </c>
      <c r="F125">
        <v>825.07700237882034</v>
      </c>
      <c r="G125">
        <v>0.42399999999999999</v>
      </c>
      <c r="H125">
        <v>1.9E-2</v>
      </c>
      <c r="I125">
        <v>24.601120000000002</v>
      </c>
    </row>
    <row r="126" spans="1:9" x14ac:dyDescent="0.3">
      <c r="A126" t="s">
        <v>9</v>
      </c>
      <c r="B126" t="s">
        <v>251</v>
      </c>
      <c r="C126">
        <v>0</v>
      </c>
      <c r="D126">
        <v>1.7600000000000001E-2</v>
      </c>
      <c r="E126">
        <v>7.3146673909452709</v>
      </c>
      <c r="F126">
        <v>834.16193540070628</v>
      </c>
      <c r="G126">
        <v>0.42399999999999999</v>
      </c>
      <c r="H126">
        <v>2.0500000000000001E-2</v>
      </c>
      <c r="I126">
        <v>24.80134</v>
      </c>
    </row>
    <row r="127" spans="1:9" x14ac:dyDescent="0.3">
      <c r="A127" t="s">
        <v>9</v>
      </c>
      <c r="B127" t="s">
        <v>252</v>
      </c>
      <c r="C127">
        <v>0</v>
      </c>
      <c r="D127">
        <v>1.9E-2</v>
      </c>
      <c r="E127">
        <v>7.3472883237212843</v>
      </c>
      <c r="F127">
        <v>837.25766192114997</v>
      </c>
      <c r="G127">
        <v>0.42399999999999999</v>
      </c>
      <c r="H127">
        <v>2.1000000000000001E-2</v>
      </c>
      <c r="I127">
        <v>25.004169999999998</v>
      </c>
    </row>
    <row r="128" spans="1:9" x14ac:dyDescent="0.3">
      <c r="A128" t="s">
        <v>9</v>
      </c>
      <c r="B128" t="s">
        <v>253</v>
      </c>
      <c r="C128">
        <v>0</v>
      </c>
      <c r="D128">
        <v>2.0199999999999999E-2</v>
      </c>
      <c r="E128">
        <v>7.3140932443633222</v>
      </c>
      <c r="F128">
        <v>729.6734903746617</v>
      </c>
      <c r="G128">
        <v>0.42399999999999999</v>
      </c>
      <c r="H128">
        <v>2.0500000000000001E-2</v>
      </c>
      <c r="I128">
        <v>25.200410000000002</v>
      </c>
    </row>
    <row r="129" spans="1:9" x14ac:dyDescent="0.3">
      <c r="A129" t="s">
        <v>9</v>
      </c>
      <c r="B129" t="s">
        <v>254</v>
      </c>
      <c r="C129">
        <v>0</v>
      </c>
      <c r="D129">
        <v>2.01E-2</v>
      </c>
      <c r="E129">
        <v>7.2174801068866676</v>
      </c>
      <c r="F129">
        <v>720.66914596183744</v>
      </c>
      <c r="G129">
        <v>0.42399999999999999</v>
      </c>
      <c r="H129">
        <v>1.9E-2</v>
      </c>
      <c r="I129">
        <v>25.401209999999999</v>
      </c>
    </row>
    <row r="130" spans="1:9" x14ac:dyDescent="0.3">
      <c r="A130" t="s">
        <v>9</v>
      </c>
      <c r="B130" t="s">
        <v>255</v>
      </c>
      <c r="C130">
        <v>0</v>
      </c>
      <c r="D130">
        <v>1.9400000000000001E-2</v>
      </c>
      <c r="E130">
        <v>7.0682015901095836</v>
      </c>
      <c r="F130">
        <v>706.75638819821324</v>
      </c>
      <c r="G130">
        <v>0.42399999999999999</v>
      </c>
      <c r="H130">
        <v>1.67E-2</v>
      </c>
      <c r="I130">
        <v>25.600619999999999</v>
      </c>
    </row>
    <row r="131" spans="1:9" x14ac:dyDescent="0.3">
      <c r="A131" t="s">
        <v>9</v>
      </c>
      <c r="B131" t="s">
        <v>256</v>
      </c>
      <c r="C131">
        <v>0</v>
      </c>
      <c r="D131">
        <v>1.7899999999999999E-2</v>
      </c>
      <c r="E131">
        <v>6.8794484684698611</v>
      </c>
      <c r="F131">
        <v>689.16459726139112</v>
      </c>
      <c r="G131">
        <v>0.42399999999999999</v>
      </c>
      <c r="H131">
        <v>1.37E-2</v>
      </c>
      <c r="I131">
        <v>25.800889999999999</v>
      </c>
    </row>
    <row r="132" spans="1:9" x14ac:dyDescent="0.3">
      <c r="A132" t="s">
        <v>9</v>
      </c>
      <c r="B132" t="s">
        <v>257</v>
      </c>
      <c r="C132">
        <v>0</v>
      </c>
      <c r="D132">
        <v>1.5800000000000002E-2</v>
      </c>
      <c r="E132">
        <v>6.6698209016805476</v>
      </c>
      <c r="F132">
        <v>669.62730803662703</v>
      </c>
      <c r="G132">
        <v>0.42399999999999999</v>
      </c>
      <c r="H132">
        <v>1.0500000000000001E-2</v>
      </c>
      <c r="I132">
        <v>26.0016</v>
      </c>
    </row>
    <row r="133" spans="1:9" x14ac:dyDescent="0.3">
      <c r="A133" t="s">
        <v>9</v>
      </c>
      <c r="B133" t="s">
        <v>258</v>
      </c>
      <c r="C133">
        <v>0</v>
      </c>
      <c r="D133">
        <v>1.26E-2</v>
      </c>
      <c r="E133">
        <v>6.4616489748836043</v>
      </c>
      <c r="F133">
        <v>650.22568445915192</v>
      </c>
      <c r="G133">
        <v>0.42399999999999999</v>
      </c>
      <c r="H133">
        <v>7.1999999999999998E-3</v>
      </c>
      <c r="I133">
        <v>26.201029999999999</v>
      </c>
    </row>
    <row r="134" spans="1:9" x14ac:dyDescent="0.3">
      <c r="A134" t="s">
        <v>9</v>
      </c>
      <c r="B134" t="s">
        <v>259</v>
      </c>
      <c r="C134">
        <v>0</v>
      </c>
      <c r="D134">
        <v>8.3999999999999995E-3</v>
      </c>
      <c r="E134">
        <v>6.2732422874526499</v>
      </c>
      <c r="F134">
        <v>632.66618119058694</v>
      </c>
      <c r="G134">
        <v>0.42399999999999999</v>
      </c>
      <c r="H134">
        <v>4.3E-3</v>
      </c>
      <c r="I134">
        <v>26.401230000000002</v>
      </c>
    </row>
    <row r="135" spans="1:9" x14ac:dyDescent="0.3">
      <c r="A135" t="s">
        <v>9</v>
      </c>
      <c r="B135" t="s">
        <v>260</v>
      </c>
      <c r="C135">
        <v>0</v>
      </c>
      <c r="D135">
        <v>4.4999999999999997E-3</v>
      </c>
      <c r="E135">
        <v>6.1243404530022802</v>
      </c>
      <c r="F135">
        <v>618.78853021981251</v>
      </c>
      <c r="G135">
        <v>0.42399999999999999</v>
      </c>
      <c r="H135">
        <v>2E-3</v>
      </c>
      <c r="I135">
        <v>26.600729999999999</v>
      </c>
    </row>
    <row r="136" spans="1:9" x14ac:dyDescent="0.3">
      <c r="A136" t="s">
        <v>9</v>
      </c>
      <c r="B136" t="s">
        <v>261</v>
      </c>
      <c r="C136">
        <v>0</v>
      </c>
      <c r="D136">
        <v>1.6000000000000001E-3</v>
      </c>
      <c r="E136">
        <v>6.0279495094418971</v>
      </c>
      <c r="F136">
        <v>609.80489427998486</v>
      </c>
      <c r="G136">
        <v>0.42399999999999999</v>
      </c>
      <c r="H136">
        <v>5.0000000000000001E-4</v>
      </c>
      <c r="I136">
        <v>26.80264</v>
      </c>
    </row>
    <row r="137" spans="1:9" x14ac:dyDescent="0.3">
      <c r="A137" t="s">
        <v>9</v>
      </c>
      <c r="B137" t="s">
        <v>262</v>
      </c>
      <c r="C137">
        <v>0</v>
      </c>
      <c r="D137">
        <v>5.0000000000000001E-4</v>
      </c>
      <c r="E137">
        <v>5.9957360617251956</v>
      </c>
      <c r="F137">
        <v>606.80260095278823</v>
      </c>
      <c r="G137">
        <v>0.42399999999999999</v>
      </c>
      <c r="H137">
        <v>0</v>
      </c>
      <c r="I137">
        <v>27.001760000000001</v>
      </c>
    </row>
    <row r="138" spans="1:9" x14ac:dyDescent="0.3">
      <c r="A138" t="s">
        <v>9</v>
      </c>
      <c r="B138" t="s">
        <v>263</v>
      </c>
      <c r="C138">
        <v>0</v>
      </c>
      <c r="D138">
        <v>-1E-4</v>
      </c>
      <c r="E138">
        <v>6.029295258751608</v>
      </c>
      <c r="F138">
        <v>712.1801200555276</v>
      </c>
      <c r="G138">
        <v>0.42399999999999999</v>
      </c>
      <c r="H138">
        <v>5.0000000000000001E-4</v>
      </c>
      <c r="I138">
        <v>27.20148</v>
      </c>
    </row>
    <row r="139" spans="1:9" x14ac:dyDescent="0.3">
      <c r="A139" t="s">
        <v>9</v>
      </c>
      <c r="B139" t="s">
        <v>264</v>
      </c>
      <c r="C139">
        <v>0</v>
      </c>
      <c r="D139">
        <v>1E-4</v>
      </c>
      <c r="E139">
        <v>6.1265516877372033</v>
      </c>
      <c r="F139">
        <v>721.40975516626065</v>
      </c>
      <c r="G139">
        <v>0.42399999999999999</v>
      </c>
      <c r="H139">
        <v>2E-3</v>
      </c>
      <c r="I139">
        <v>27.402799999999999</v>
      </c>
    </row>
    <row r="140" spans="1:9" x14ac:dyDescent="0.3">
      <c r="A140" t="s">
        <v>9</v>
      </c>
      <c r="B140" t="s">
        <v>265</v>
      </c>
      <c r="C140">
        <v>0</v>
      </c>
      <c r="D140">
        <v>8.0000000000000004E-4</v>
      </c>
      <c r="E140">
        <v>6.2743886749040207</v>
      </c>
      <c r="F140">
        <v>735.43948524839163</v>
      </c>
      <c r="G140">
        <v>0.42399999999999999</v>
      </c>
      <c r="H140">
        <v>4.3E-3</v>
      </c>
      <c r="I140">
        <v>27.600100000000001</v>
      </c>
    </row>
    <row r="141" spans="1:9" x14ac:dyDescent="0.3">
      <c r="A141" t="s">
        <v>9</v>
      </c>
      <c r="B141" t="s">
        <v>266</v>
      </c>
      <c r="C141">
        <v>0</v>
      </c>
      <c r="D141">
        <v>2.8999999999999998E-3</v>
      </c>
      <c r="E141">
        <v>6.464557416573089</v>
      </c>
      <c r="F141">
        <v>753.4864988327862</v>
      </c>
      <c r="G141">
        <v>0.42399999999999999</v>
      </c>
      <c r="H141">
        <v>7.3000000000000001E-3</v>
      </c>
      <c r="I141">
        <v>27.801850000000002</v>
      </c>
    </row>
    <row r="142" spans="1:9" x14ac:dyDescent="0.3">
      <c r="A142" t="s">
        <v>9</v>
      </c>
      <c r="B142" t="s">
        <v>267</v>
      </c>
      <c r="C142">
        <v>0</v>
      </c>
      <c r="D142">
        <v>6.1999999999999998E-3</v>
      </c>
      <c r="E142">
        <v>6.67285787759777</v>
      </c>
      <c r="F142">
        <v>773.25421258402844</v>
      </c>
      <c r="G142">
        <v>0.42399999999999999</v>
      </c>
      <c r="H142">
        <v>1.0500000000000001E-2</v>
      </c>
      <c r="I142">
        <v>28.001259999999998</v>
      </c>
    </row>
    <row r="143" spans="1:9" x14ac:dyDescent="0.3">
      <c r="A143" t="s">
        <v>9</v>
      </c>
      <c r="B143" t="s">
        <v>268</v>
      </c>
      <c r="C143">
        <v>0</v>
      </c>
      <c r="D143">
        <v>9.2999999999999992E-3</v>
      </c>
      <c r="E143">
        <v>6.8818265544183914</v>
      </c>
      <c r="F143">
        <v>793.08534001430542</v>
      </c>
      <c r="G143">
        <v>0.42399999999999999</v>
      </c>
      <c r="H143">
        <v>1.38E-2</v>
      </c>
      <c r="I143">
        <v>28.20147</v>
      </c>
    </row>
    <row r="144" spans="1:9" x14ac:dyDescent="0.3">
      <c r="A144" t="s">
        <v>9</v>
      </c>
      <c r="B144" t="s">
        <v>269</v>
      </c>
      <c r="C144">
        <v>0</v>
      </c>
      <c r="D144">
        <v>1.2800000000000001E-2</v>
      </c>
      <c r="E144">
        <v>7.0703984306328804</v>
      </c>
      <c r="F144">
        <v>810.98081106706036</v>
      </c>
      <c r="G144">
        <v>0.42399999999999999</v>
      </c>
      <c r="H144">
        <v>1.67E-2</v>
      </c>
      <c r="I144">
        <v>28.40194</v>
      </c>
    </row>
    <row r="145" spans="1:9" x14ac:dyDescent="0.3">
      <c r="A145" t="s">
        <v>9</v>
      </c>
      <c r="B145" t="s">
        <v>270</v>
      </c>
      <c r="C145">
        <v>0</v>
      </c>
      <c r="D145">
        <v>1.5100000000000001E-2</v>
      </c>
      <c r="E145">
        <v>7.2193943342972418</v>
      </c>
      <c r="F145">
        <v>825.12052232480823</v>
      </c>
      <c r="G145">
        <v>0.42399999999999999</v>
      </c>
      <c r="H145">
        <v>1.9E-2</v>
      </c>
      <c r="I145">
        <v>28.601849999999999</v>
      </c>
    </row>
    <row r="146" spans="1:9" x14ac:dyDescent="0.3">
      <c r="A146" t="s">
        <v>9</v>
      </c>
      <c r="B146" t="s">
        <v>271</v>
      </c>
      <c r="C146">
        <v>0</v>
      </c>
      <c r="D146">
        <v>1.7399999999999999E-2</v>
      </c>
      <c r="E146">
        <v>7.3143373377548011</v>
      </c>
      <c r="F146">
        <v>834.13061335293071</v>
      </c>
      <c r="G146">
        <v>0.42399999999999999</v>
      </c>
      <c r="H146">
        <v>2.0500000000000001E-2</v>
      </c>
      <c r="I146">
        <v>28.800329999999999</v>
      </c>
    </row>
    <row r="147" spans="1:9" x14ac:dyDescent="0.3">
      <c r="A147" t="s">
        <v>9</v>
      </c>
      <c r="B147" t="s">
        <v>272</v>
      </c>
      <c r="C147">
        <v>0</v>
      </c>
      <c r="D147">
        <v>1.9E-2</v>
      </c>
      <c r="E147">
        <v>7.3473025151975344</v>
      </c>
      <c r="F147">
        <v>837.25900869224608</v>
      </c>
      <c r="G147">
        <v>0.42399999999999999</v>
      </c>
      <c r="H147">
        <v>2.1000000000000001E-2</v>
      </c>
      <c r="I147">
        <v>29.000070000000001</v>
      </c>
    </row>
    <row r="148" spans="1:9" x14ac:dyDescent="0.3">
      <c r="A148" t="s">
        <v>9</v>
      </c>
      <c r="B148" t="s">
        <v>273</v>
      </c>
      <c r="C148">
        <v>0</v>
      </c>
      <c r="D148">
        <v>1.9900000000000001E-2</v>
      </c>
      <c r="E148">
        <v>7.314170283805816</v>
      </c>
      <c r="F148">
        <v>729.68067045070211</v>
      </c>
      <c r="G148">
        <v>0.42399999999999999</v>
      </c>
      <c r="H148">
        <v>2.0500000000000001E-2</v>
      </c>
      <c r="I148">
        <v>29.20017</v>
      </c>
    </row>
    <row r="149" spans="1:9" x14ac:dyDescent="0.3">
      <c r="A149" t="s">
        <v>9</v>
      </c>
      <c r="B149" t="s">
        <v>274</v>
      </c>
      <c r="C149">
        <v>0</v>
      </c>
      <c r="D149">
        <v>1.95E-2</v>
      </c>
      <c r="E149">
        <v>7.218055875351614</v>
      </c>
      <c r="F149">
        <v>720.72280758277043</v>
      </c>
      <c r="G149">
        <v>0.42399999999999999</v>
      </c>
      <c r="H149">
        <v>1.9E-2</v>
      </c>
      <c r="I149">
        <v>29.400289999999998</v>
      </c>
    </row>
    <row r="150" spans="1:9" x14ac:dyDescent="0.3">
      <c r="A150" t="s">
        <v>9</v>
      </c>
      <c r="B150" t="s">
        <v>275</v>
      </c>
      <c r="C150">
        <v>0</v>
      </c>
      <c r="D150">
        <v>1.89E-2</v>
      </c>
      <c r="E150">
        <v>7.0672584651451684</v>
      </c>
      <c r="F150">
        <v>706.66848895152964</v>
      </c>
      <c r="G150">
        <v>0.42399999999999999</v>
      </c>
      <c r="H150">
        <v>1.66E-2</v>
      </c>
      <c r="I150">
        <v>29.60172</v>
      </c>
    </row>
    <row r="151" spans="1:9" x14ac:dyDescent="0.3">
      <c r="A151" t="s">
        <v>9</v>
      </c>
      <c r="B151" t="s">
        <v>276</v>
      </c>
      <c r="C151">
        <v>0</v>
      </c>
      <c r="D151">
        <v>1.78E-2</v>
      </c>
      <c r="E151">
        <v>6.8802979296910323</v>
      </c>
      <c r="F151">
        <v>689.24376704720419</v>
      </c>
      <c r="G151">
        <v>0.42399999999999999</v>
      </c>
      <c r="H151">
        <v>1.37E-2</v>
      </c>
      <c r="I151">
        <v>29.800049999999999</v>
      </c>
    </row>
    <row r="152" spans="1:9" x14ac:dyDescent="0.3">
      <c r="A152" t="s">
        <v>9</v>
      </c>
      <c r="B152" t="s">
        <v>277</v>
      </c>
      <c r="C152">
        <v>0</v>
      </c>
      <c r="D152">
        <v>1.6E-2</v>
      </c>
      <c r="E152">
        <v>6.6699429483762884</v>
      </c>
      <c r="F152">
        <v>669.63868278867005</v>
      </c>
      <c r="G152">
        <v>0.42399999999999999</v>
      </c>
      <c r="H152">
        <v>1.0500000000000001E-2</v>
      </c>
      <c r="I152">
        <v>30.001480000000001</v>
      </c>
    </row>
    <row r="153" spans="1:9" x14ac:dyDescent="0.3">
      <c r="A153" t="s">
        <v>9</v>
      </c>
      <c r="B153" t="s">
        <v>278</v>
      </c>
      <c r="C153">
        <v>0</v>
      </c>
      <c r="D153">
        <v>1.1599999999999999E-2</v>
      </c>
      <c r="E153">
        <v>6.4606600317244451</v>
      </c>
      <c r="F153">
        <v>650.13351495671827</v>
      </c>
      <c r="G153">
        <v>0.42399999999999999</v>
      </c>
      <c r="H153">
        <v>7.1999999999999998E-3</v>
      </c>
      <c r="I153">
        <v>30.202010000000001</v>
      </c>
    </row>
    <row r="154" spans="1:9" x14ac:dyDescent="0.3">
      <c r="A154" t="s">
        <v>9</v>
      </c>
      <c r="B154" t="s">
        <v>279</v>
      </c>
      <c r="C154">
        <v>0</v>
      </c>
      <c r="D154">
        <v>9.1000000000000004E-3</v>
      </c>
      <c r="E154">
        <v>6.2722106887705964</v>
      </c>
      <c r="F154">
        <v>632.57003619341947</v>
      </c>
      <c r="G154">
        <v>0.42399999999999999</v>
      </c>
      <c r="H154">
        <v>4.3E-3</v>
      </c>
      <c r="I154">
        <v>30.402439999999999</v>
      </c>
    </row>
    <row r="155" spans="1:9" x14ac:dyDescent="0.3">
      <c r="A155" t="s">
        <v>9</v>
      </c>
      <c r="B155" t="s">
        <v>280</v>
      </c>
      <c r="C155">
        <v>0</v>
      </c>
      <c r="D155">
        <v>4.8999999999999998E-3</v>
      </c>
      <c r="E155">
        <v>6.1240022498497364</v>
      </c>
      <c r="F155">
        <v>618.7570096859954</v>
      </c>
      <c r="G155">
        <v>0.42399999999999999</v>
      </c>
      <c r="H155">
        <v>2E-3</v>
      </c>
      <c r="I155">
        <v>30.60127</v>
      </c>
    </row>
    <row r="156" spans="1:9" x14ac:dyDescent="0.3">
      <c r="A156" t="s">
        <v>9</v>
      </c>
      <c r="B156" t="s">
        <v>281</v>
      </c>
      <c r="C156">
        <v>0</v>
      </c>
      <c r="D156">
        <v>2E-3</v>
      </c>
      <c r="E156">
        <v>6.0284851525214282</v>
      </c>
      <c r="F156">
        <v>609.85481621499719</v>
      </c>
      <c r="G156">
        <v>0.42399999999999999</v>
      </c>
      <c r="H156">
        <v>5.0000000000000001E-4</v>
      </c>
      <c r="I156">
        <v>30.800989999999999</v>
      </c>
    </row>
    <row r="157" spans="1:9" x14ac:dyDescent="0.3">
      <c r="A157" t="s">
        <v>9</v>
      </c>
      <c r="B157" t="s">
        <v>282</v>
      </c>
      <c r="C157">
        <v>0</v>
      </c>
      <c r="D157">
        <v>2.0000000000000001E-4</v>
      </c>
      <c r="E157">
        <v>5.9957335240914063</v>
      </c>
      <c r="F157">
        <v>606.80236444531909</v>
      </c>
      <c r="G157">
        <v>0.42399999999999999</v>
      </c>
      <c r="H157">
        <v>0</v>
      </c>
      <c r="I157">
        <v>31.000250000000001</v>
      </c>
    </row>
    <row r="158" spans="1:9" x14ac:dyDescent="0.3">
      <c r="A158" t="s">
        <v>9</v>
      </c>
      <c r="B158" t="s">
        <v>283</v>
      </c>
      <c r="C158">
        <v>0</v>
      </c>
      <c r="D158">
        <v>-2.9999999999999997E-4</v>
      </c>
      <c r="E158">
        <v>6.0297271824132999</v>
      </c>
      <c r="F158">
        <v>712.22110961102214</v>
      </c>
      <c r="G158">
        <v>0.42399999999999999</v>
      </c>
      <c r="H158">
        <v>5.0000000000000001E-4</v>
      </c>
      <c r="I158">
        <v>31.202780000000001</v>
      </c>
    </row>
    <row r="159" spans="1:9" x14ac:dyDescent="0.3">
      <c r="A159" t="s">
        <v>9</v>
      </c>
      <c r="B159" t="s">
        <v>284</v>
      </c>
      <c r="C159">
        <v>0</v>
      </c>
      <c r="D159">
        <v>-2.0000000000000001E-4</v>
      </c>
      <c r="E159">
        <v>6.1264566453934126</v>
      </c>
      <c r="F159">
        <v>721.40073564783484</v>
      </c>
      <c r="G159">
        <v>0.42399999999999999</v>
      </c>
      <c r="H159">
        <v>2E-3</v>
      </c>
      <c r="I159">
        <v>31.402650000000001</v>
      </c>
    </row>
    <row r="160" spans="1:9" x14ac:dyDescent="0.3">
      <c r="A160" t="s">
        <v>9</v>
      </c>
      <c r="B160" t="s">
        <v>285</v>
      </c>
      <c r="C160">
        <v>0</v>
      </c>
      <c r="D160">
        <v>2.9999999999999997E-4</v>
      </c>
      <c r="E160">
        <v>6.2765708373861706</v>
      </c>
      <c r="F160">
        <v>735.64657246794775</v>
      </c>
      <c r="G160">
        <v>0.42399999999999999</v>
      </c>
      <c r="H160">
        <v>4.4000000000000003E-3</v>
      </c>
      <c r="I160">
        <v>31.602640000000001</v>
      </c>
    </row>
    <row r="161" spans="1:9" x14ac:dyDescent="0.3">
      <c r="A161" t="s">
        <v>9</v>
      </c>
      <c r="B161" t="s">
        <v>286</v>
      </c>
      <c r="C161">
        <v>0</v>
      </c>
      <c r="D161">
        <v>2.0999999999999999E-3</v>
      </c>
      <c r="E161">
        <v>6.4643676562621062</v>
      </c>
      <c r="F161">
        <v>753.46849057927386</v>
      </c>
      <c r="G161">
        <v>0.42399999999999999</v>
      </c>
      <c r="H161">
        <v>7.3000000000000001E-3</v>
      </c>
      <c r="I161">
        <v>31.801659999999998</v>
      </c>
    </row>
    <row r="162" spans="1:9" x14ac:dyDescent="0.3">
      <c r="A162" t="s">
        <v>9</v>
      </c>
      <c r="B162" t="s">
        <v>287</v>
      </c>
      <c r="C162">
        <v>0</v>
      </c>
      <c r="D162">
        <v>5.8999999999999999E-3</v>
      </c>
      <c r="E162">
        <v>6.6783580883210174</v>
      </c>
      <c r="F162">
        <v>773.77618258166456</v>
      </c>
      <c r="G162">
        <v>0.42399999999999999</v>
      </c>
      <c r="H162">
        <v>1.06E-2</v>
      </c>
      <c r="I162">
        <v>32.006439999999998</v>
      </c>
    </row>
    <row r="163" spans="1:9" x14ac:dyDescent="0.3">
      <c r="A163" t="s">
        <v>9</v>
      </c>
      <c r="B163" t="s">
        <v>288</v>
      </c>
      <c r="C163">
        <v>0</v>
      </c>
      <c r="D163">
        <v>9.4000000000000004E-3</v>
      </c>
      <c r="E163">
        <v>6.8815001504646727</v>
      </c>
      <c r="F163">
        <v>793.05436427909751</v>
      </c>
      <c r="G163">
        <v>0.42399999999999999</v>
      </c>
      <c r="H163">
        <v>1.38E-2</v>
      </c>
      <c r="I163">
        <v>32.201140000000002</v>
      </c>
    </row>
    <row r="164" spans="1:9" x14ac:dyDescent="0.3">
      <c r="A164" t="s">
        <v>9</v>
      </c>
      <c r="B164" t="s">
        <v>289</v>
      </c>
      <c r="C164">
        <v>0</v>
      </c>
      <c r="D164">
        <v>1.24E-2</v>
      </c>
      <c r="E164">
        <v>7.0687895226970268</v>
      </c>
      <c r="F164">
        <v>810.82812570394788</v>
      </c>
      <c r="G164">
        <v>0.42399999999999999</v>
      </c>
      <c r="H164">
        <v>1.67E-2</v>
      </c>
      <c r="I164">
        <v>32.400060000000003</v>
      </c>
    </row>
    <row r="165" spans="1:9" x14ac:dyDescent="0.3">
      <c r="A165" t="s">
        <v>9</v>
      </c>
      <c r="B165" t="s">
        <v>290</v>
      </c>
      <c r="C165">
        <v>0</v>
      </c>
      <c r="D165">
        <v>1.5100000000000001E-2</v>
      </c>
      <c r="E165">
        <v>7.2186170468695634</v>
      </c>
      <c r="F165">
        <v>825.04675774792156</v>
      </c>
      <c r="G165">
        <v>0.42399999999999999</v>
      </c>
      <c r="H165">
        <v>1.9E-2</v>
      </c>
      <c r="I165">
        <v>32.600610000000003</v>
      </c>
    </row>
    <row r="166" spans="1:9" x14ac:dyDescent="0.3">
      <c r="A166" t="s">
        <v>9</v>
      </c>
      <c r="B166" t="s">
        <v>291</v>
      </c>
      <c r="C166">
        <v>0</v>
      </c>
      <c r="D166">
        <v>1.7399999999999999E-2</v>
      </c>
      <c r="E166">
        <v>7.3148052510002586</v>
      </c>
      <c r="F166">
        <v>834.17501831992467</v>
      </c>
      <c r="G166">
        <v>0.42399999999999999</v>
      </c>
      <c r="H166">
        <v>2.0500000000000001E-2</v>
      </c>
      <c r="I166">
        <v>32.801769999999998</v>
      </c>
    </row>
    <row r="167" spans="1:9" x14ac:dyDescent="0.3">
      <c r="A167" t="s">
        <v>9</v>
      </c>
      <c r="B167" t="s">
        <v>292</v>
      </c>
      <c r="C167">
        <v>0</v>
      </c>
      <c r="D167">
        <v>1.9E-2</v>
      </c>
      <c r="E167">
        <v>7.3472988659607834</v>
      </c>
      <c r="F167">
        <v>837.25866237967841</v>
      </c>
      <c r="G167">
        <v>0.42399999999999999</v>
      </c>
      <c r="H167">
        <v>2.1000000000000001E-2</v>
      </c>
      <c r="I167">
        <v>33.002090000000003</v>
      </c>
    </row>
    <row r="168" spans="1:9" x14ac:dyDescent="0.3">
      <c r="A168" t="s">
        <v>9</v>
      </c>
      <c r="B168" t="s">
        <v>293</v>
      </c>
      <c r="C168">
        <v>0</v>
      </c>
      <c r="D168">
        <v>1.95E-2</v>
      </c>
      <c r="E168">
        <v>7.3138227953730972</v>
      </c>
      <c r="F168">
        <v>729.64828452877271</v>
      </c>
      <c r="G168">
        <v>0.42399999999999999</v>
      </c>
      <c r="H168">
        <v>2.0500000000000001E-2</v>
      </c>
      <c r="I168">
        <v>33.201230000000002</v>
      </c>
    </row>
    <row r="169" spans="1:9" x14ac:dyDescent="0.3">
      <c r="A169" t="s">
        <v>9</v>
      </c>
      <c r="B169" t="s">
        <v>294</v>
      </c>
      <c r="C169">
        <v>0</v>
      </c>
      <c r="D169">
        <v>1.9199999999999998E-2</v>
      </c>
      <c r="E169">
        <v>7.2176268872981542</v>
      </c>
      <c r="F169">
        <v>720.68282589618798</v>
      </c>
      <c r="G169">
        <v>0.42399999999999999</v>
      </c>
      <c r="H169">
        <v>1.9E-2</v>
      </c>
      <c r="I169">
        <v>33.400979999999997</v>
      </c>
    </row>
    <row r="170" spans="1:9" x14ac:dyDescent="0.3">
      <c r="A170" t="s">
        <v>9</v>
      </c>
      <c r="B170" t="s">
        <v>295</v>
      </c>
      <c r="C170">
        <v>0</v>
      </c>
      <c r="D170">
        <v>1.8700000000000001E-2</v>
      </c>
      <c r="E170">
        <v>7.0676310927643833</v>
      </c>
      <c r="F170">
        <v>706.70321784564055</v>
      </c>
      <c r="G170">
        <v>0.42399999999999999</v>
      </c>
      <c r="H170">
        <v>1.67E-2</v>
      </c>
      <c r="I170">
        <v>33.601280000000003</v>
      </c>
    </row>
    <row r="171" spans="1:9" x14ac:dyDescent="0.3">
      <c r="A171" t="s">
        <v>9</v>
      </c>
      <c r="B171" t="s">
        <v>296</v>
      </c>
      <c r="C171">
        <v>0</v>
      </c>
      <c r="D171">
        <v>1.77E-2</v>
      </c>
      <c r="E171">
        <v>6.8801466891012959</v>
      </c>
      <c r="F171">
        <v>689.22967142424079</v>
      </c>
      <c r="G171">
        <v>0.42399999999999999</v>
      </c>
      <c r="H171">
        <v>1.37E-2</v>
      </c>
      <c r="I171">
        <v>33.800199999999997</v>
      </c>
    </row>
    <row r="172" spans="1:9" x14ac:dyDescent="0.3">
      <c r="A172" t="s">
        <v>9</v>
      </c>
      <c r="B172" t="s">
        <v>297</v>
      </c>
      <c r="C172">
        <v>0</v>
      </c>
      <c r="D172">
        <v>1.5800000000000002E-2</v>
      </c>
      <c r="E172">
        <v>6.6696757431520632</v>
      </c>
      <c r="F172">
        <v>669.61377926177227</v>
      </c>
      <c r="G172">
        <v>0.42399999999999999</v>
      </c>
      <c r="H172">
        <v>1.0500000000000001E-2</v>
      </c>
      <c r="I172">
        <v>34.001739999999998</v>
      </c>
    </row>
    <row r="173" spans="1:9" x14ac:dyDescent="0.3">
      <c r="A173" t="s">
        <v>9</v>
      </c>
      <c r="B173" t="s">
        <v>298</v>
      </c>
      <c r="C173">
        <v>0</v>
      </c>
      <c r="D173">
        <v>1.2699999999999999E-2</v>
      </c>
      <c r="E173">
        <v>6.4618857698015839</v>
      </c>
      <c r="F173">
        <v>650.24775374550768</v>
      </c>
      <c r="G173">
        <v>0.42399999999999999</v>
      </c>
      <c r="H173">
        <v>7.1999999999999998E-3</v>
      </c>
      <c r="I173">
        <v>34.200789999999998</v>
      </c>
    </row>
    <row r="174" spans="1:9" x14ac:dyDescent="0.3">
      <c r="A174" t="s">
        <v>9</v>
      </c>
      <c r="B174" t="s">
        <v>299</v>
      </c>
      <c r="C174">
        <v>0</v>
      </c>
      <c r="D174">
        <v>8.6E-3</v>
      </c>
      <c r="E174">
        <v>6.2728438718937376</v>
      </c>
      <c r="F174">
        <v>632.62904886049637</v>
      </c>
      <c r="G174">
        <v>0.42399999999999999</v>
      </c>
      <c r="H174">
        <v>4.3E-3</v>
      </c>
      <c r="I174">
        <v>34.401699999999998</v>
      </c>
    </row>
    <row r="175" spans="1:9" x14ac:dyDescent="0.3">
      <c r="A175" t="s">
        <v>9</v>
      </c>
      <c r="B175" t="s">
        <v>300</v>
      </c>
      <c r="C175">
        <v>0</v>
      </c>
      <c r="D175">
        <v>4.4000000000000003E-3</v>
      </c>
      <c r="E175">
        <v>6.123819950200553</v>
      </c>
      <c r="F175">
        <v>618.7400193586916</v>
      </c>
      <c r="G175">
        <v>0.42399999999999999</v>
      </c>
      <c r="H175">
        <v>2E-3</v>
      </c>
      <c r="I175">
        <v>34.601570000000002</v>
      </c>
    </row>
    <row r="176" spans="1:9" x14ac:dyDescent="0.3">
      <c r="A176" t="s">
        <v>9</v>
      </c>
      <c r="B176" t="s">
        <v>301</v>
      </c>
      <c r="C176">
        <v>0</v>
      </c>
      <c r="D176">
        <v>1.9E-3</v>
      </c>
      <c r="E176">
        <v>6.028084648788151</v>
      </c>
      <c r="F176">
        <v>609.81748926705563</v>
      </c>
      <c r="G176">
        <v>0.42399999999999999</v>
      </c>
      <c r="H176">
        <v>5.0000000000000001E-4</v>
      </c>
      <c r="I176">
        <v>34.802219999999998</v>
      </c>
    </row>
    <row r="177" spans="1:9" x14ac:dyDescent="0.3">
      <c r="A177" t="s">
        <v>9</v>
      </c>
      <c r="B177" t="s">
        <v>302</v>
      </c>
      <c r="C177">
        <v>0</v>
      </c>
      <c r="D177">
        <v>5.0000000000000001E-4</v>
      </c>
      <c r="E177">
        <v>5.9957348936081623</v>
      </c>
      <c r="F177">
        <v>606.80249208428074</v>
      </c>
      <c r="G177">
        <v>0.42399999999999999</v>
      </c>
      <c r="H177">
        <v>0</v>
      </c>
      <c r="I177">
        <v>35.001289999999997</v>
      </c>
    </row>
    <row r="178" spans="1:9" x14ac:dyDescent="0.3">
      <c r="A178" t="s">
        <v>9</v>
      </c>
      <c r="B178" t="s">
        <v>303</v>
      </c>
      <c r="C178">
        <v>0</v>
      </c>
      <c r="D178">
        <v>-2.9999999999999997E-4</v>
      </c>
      <c r="E178">
        <v>6.0289833341583714</v>
      </c>
      <c r="F178">
        <v>712.15051841162938</v>
      </c>
      <c r="G178">
        <v>0.42399999999999999</v>
      </c>
      <c r="H178">
        <v>5.0000000000000001E-4</v>
      </c>
      <c r="I178">
        <v>35.200530000000001</v>
      </c>
    </row>
    <row r="179" spans="1:9" x14ac:dyDescent="0.3">
      <c r="A179" t="s">
        <v>9</v>
      </c>
      <c r="B179" t="s">
        <v>304</v>
      </c>
      <c r="C179">
        <v>0</v>
      </c>
      <c r="D179">
        <v>-1E-4</v>
      </c>
      <c r="E179">
        <v>6.1255295365236222</v>
      </c>
      <c r="F179">
        <v>721.31275301609173</v>
      </c>
      <c r="G179">
        <v>0.42399999999999999</v>
      </c>
      <c r="H179">
        <v>2E-3</v>
      </c>
      <c r="I179">
        <v>35.40117</v>
      </c>
    </row>
    <row r="180" spans="1:9" x14ac:dyDescent="0.3">
      <c r="A180" t="s">
        <v>9</v>
      </c>
      <c r="B180" t="s">
        <v>305</v>
      </c>
      <c r="C180">
        <v>0</v>
      </c>
      <c r="D180">
        <v>5.0000000000000001E-4</v>
      </c>
      <c r="E180">
        <v>6.2744185986453678</v>
      </c>
      <c r="F180">
        <v>735.4423250114454</v>
      </c>
      <c r="G180">
        <v>0.42399999999999999</v>
      </c>
      <c r="H180">
        <v>4.3E-3</v>
      </c>
      <c r="I180">
        <v>35.600140000000003</v>
      </c>
    </row>
    <row r="181" spans="1:9" x14ac:dyDescent="0.3">
      <c r="A181" t="s">
        <v>9</v>
      </c>
      <c r="B181" t="s">
        <v>306</v>
      </c>
      <c r="C181">
        <v>0</v>
      </c>
      <c r="D181">
        <v>2.5000000000000001E-3</v>
      </c>
      <c r="E181">
        <v>6.4654863500612523</v>
      </c>
      <c r="F181">
        <v>753.57465462081291</v>
      </c>
      <c r="G181">
        <v>0.42399999999999999</v>
      </c>
      <c r="H181">
        <v>7.3000000000000001E-3</v>
      </c>
      <c r="I181">
        <v>35.802770000000002</v>
      </c>
    </row>
    <row r="182" spans="1:9" x14ac:dyDescent="0.3">
      <c r="A182" t="s">
        <v>9</v>
      </c>
      <c r="B182" t="s">
        <v>307</v>
      </c>
      <c r="C182">
        <v>0</v>
      </c>
      <c r="D182">
        <v>6.1999999999999998E-3</v>
      </c>
      <c r="E182">
        <v>6.6743333856568867</v>
      </c>
      <c r="F182">
        <v>773.39423829883856</v>
      </c>
      <c r="G182">
        <v>0.42399999999999999</v>
      </c>
      <c r="H182">
        <v>1.0500000000000001E-2</v>
      </c>
      <c r="I182">
        <v>36.002650000000003</v>
      </c>
    </row>
    <row r="183" spans="1:9" x14ac:dyDescent="0.3">
      <c r="A183" t="s">
        <v>9</v>
      </c>
      <c r="B183" t="s">
        <v>308</v>
      </c>
      <c r="C183">
        <v>0</v>
      </c>
      <c r="D183">
        <v>9.2999999999999992E-3</v>
      </c>
      <c r="E183">
        <v>6.8807001566749948</v>
      </c>
      <c r="F183">
        <v>792.97844486845702</v>
      </c>
      <c r="G183">
        <v>0.42399999999999999</v>
      </c>
      <c r="H183">
        <v>1.38E-2</v>
      </c>
      <c r="I183">
        <v>36.20035</v>
      </c>
    </row>
    <row r="184" spans="1:9" x14ac:dyDescent="0.3">
      <c r="A184" t="s">
        <v>9</v>
      </c>
      <c r="B184" t="s">
        <v>309</v>
      </c>
      <c r="C184">
        <v>0</v>
      </c>
      <c r="D184">
        <v>1.24E-2</v>
      </c>
      <c r="E184">
        <v>7.0693685349279756</v>
      </c>
      <c r="F184">
        <v>810.88307396466496</v>
      </c>
      <c r="G184">
        <v>0.42399999999999999</v>
      </c>
      <c r="H184">
        <v>1.67E-2</v>
      </c>
      <c r="I184">
        <v>36.400739999999999</v>
      </c>
    </row>
    <row r="185" spans="1:9" x14ac:dyDescent="0.3">
      <c r="A185" t="s">
        <v>9</v>
      </c>
      <c r="B185" t="s">
        <v>310</v>
      </c>
      <c r="C185">
        <v>0</v>
      </c>
      <c r="D185">
        <v>1.4999999999999999E-2</v>
      </c>
      <c r="E185">
        <v>7.2194839433329836</v>
      </c>
      <c r="F185">
        <v>825.12902622230024</v>
      </c>
      <c r="G185">
        <v>0.42399999999999999</v>
      </c>
      <c r="H185">
        <v>1.9E-2</v>
      </c>
      <c r="I185">
        <v>36.601999999999997</v>
      </c>
    </row>
    <row r="186" spans="1:9" x14ac:dyDescent="0.3">
      <c r="A186" t="s">
        <v>9</v>
      </c>
      <c r="B186" t="s">
        <v>311</v>
      </c>
      <c r="C186">
        <v>0</v>
      </c>
      <c r="D186">
        <v>1.72E-2</v>
      </c>
      <c r="E186">
        <v>7.3143024672703048</v>
      </c>
      <c r="F186">
        <v>834.12730414395196</v>
      </c>
      <c r="G186">
        <v>0.42399999999999999</v>
      </c>
      <c r="H186">
        <v>2.0500000000000001E-2</v>
      </c>
      <c r="I186">
        <v>36.800229999999999</v>
      </c>
    </row>
    <row r="187" spans="1:9" x14ac:dyDescent="0.3">
      <c r="A187" t="s">
        <v>9</v>
      </c>
      <c r="B187" t="s">
        <v>312</v>
      </c>
      <c r="C187">
        <v>0</v>
      </c>
      <c r="D187">
        <v>1.8800000000000001E-2</v>
      </c>
      <c r="E187">
        <v>7.3473012987852826</v>
      </c>
      <c r="F187">
        <v>837.25889325472349</v>
      </c>
      <c r="G187">
        <v>0.42399999999999999</v>
      </c>
      <c r="H187">
        <v>2.1000000000000001E-2</v>
      </c>
      <c r="I187">
        <v>37.001379999999997</v>
      </c>
    </row>
    <row r="188" spans="1:9" x14ac:dyDescent="0.3">
      <c r="A188" t="s">
        <v>9</v>
      </c>
      <c r="B188" t="s">
        <v>313</v>
      </c>
      <c r="C188">
        <v>0</v>
      </c>
      <c r="D188">
        <v>1.9800000000000002E-2</v>
      </c>
      <c r="E188">
        <v>7.313928623238839</v>
      </c>
      <c r="F188">
        <v>729.65814768585983</v>
      </c>
      <c r="G188">
        <v>0.42399999999999999</v>
      </c>
      <c r="H188">
        <v>2.0500000000000001E-2</v>
      </c>
      <c r="I188">
        <v>37.20091</v>
      </c>
    </row>
    <row r="189" spans="1:9" x14ac:dyDescent="0.3">
      <c r="A189" t="s">
        <v>9</v>
      </c>
      <c r="B189" t="s">
        <v>314</v>
      </c>
      <c r="C189">
        <v>0</v>
      </c>
      <c r="D189">
        <v>1.9800000000000002E-2</v>
      </c>
      <c r="E189">
        <v>7.2175032187194148</v>
      </c>
      <c r="F189">
        <v>720.67129998464952</v>
      </c>
      <c r="G189">
        <v>0.42399999999999999</v>
      </c>
      <c r="H189">
        <v>1.9E-2</v>
      </c>
      <c r="I189">
        <v>37.401179999999997</v>
      </c>
    </row>
    <row r="190" spans="1:9" x14ac:dyDescent="0.3">
      <c r="A190" t="s">
        <v>9</v>
      </c>
      <c r="B190" t="s">
        <v>315</v>
      </c>
      <c r="C190">
        <v>0</v>
      </c>
      <c r="D190">
        <v>1.9400000000000001E-2</v>
      </c>
      <c r="E190">
        <v>7.0666011970594784</v>
      </c>
      <c r="F190">
        <v>706.60723156594338</v>
      </c>
      <c r="G190">
        <v>0.42399999999999999</v>
      </c>
      <c r="H190">
        <v>1.66E-2</v>
      </c>
      <c r="I190">
        <v>37.60248</v>
      </c>
    </row>
    <row r="191" spans="1:9" x14ac:dyDescent="0.3">
      <c r="A191" t="s">
        <v>9</v>
      </c>
      <c r="B191" t="s">
        <v>316</v>
      </c>
      <c r="C191">
        <v>0</v>
      </c>
      <c r="D191">
        <v>1.7999999999999999E-2</v>
      </c>
      <c r="E191">
        <v>6.8791958601926337</v>
      </c>
      <c r="F191">
        <v>689.14105416995346</v>
      </c>
      <c r="G191">
        <v>0.42399999999999999</v>
      </c>
      <c r="H191">
        <v>1.37E-2</v>
      </c>
      <c r="I191">
        <v>37.801139999999997</v>
      </c>
    </row>
    <row r="192" spans="1:9" x14ac:dyDescent="0.3">
      <c r="A192" t="s">
        <v>9</v>
      </c>
      <c r="B192" t="s">
        <v>317</v>
      </c>
      <c r="C192">
        <v>0</v>
      </c>
      <c r="D192">
        <v>1.61E-2</v>
      </c>
      <c r="E192">
        <v>6.6688129013961408</v>
      </c>
      <c r="F192">
        <v>669.53336241012039</v>
      </c>
      <c r="G192">
        <v>0.42399999999999999</v>
      </c>
      <c r="H192">
        <v>1.0500000000000001E-2</v>
      </c>
      <c r="I192">
        <v>38.002549999999999</v>
      </c>
    </row>
    <row r="193" spans="1:9" x14ac:dyDescent="0.3">
      <c r="A193" t="s">
        <v>9</v>
      </c>
      <c r="B193" t="s">
        <v>318</v>
      </c>
      <c r="C193">
        <v>0</v>
      </c>
      <c r="D193">
        <v>1.2699999999999999E-2</v>
      </c>
      <c r="E193">
        <v>6.4618817150940826</v>
      </c>
      <c r="F193">
        <v>650.24737584676859</v>
      </c>
      <c r="G193">
        <v>0.42399999999999999</v>
      </c>
      <c r="H193">
        <v>7.1999999999999998E-3</v>
      </c>
      <c r="I193">
        <v>38.200800000000001</v>
      </c>
    </row>
    <row r="194" spans="1:9" x14ac:dyDescent="0.3">
      <c r="A194" t="s">
        <v>9</v>
      </c>
      <c r="B194" t="s">
        <v>319</v>
      </c>
      <c r="C194">
        <v>0</v>
      </c>
      <c r="D194">
        <v>8.5000000000000006E-3</v>
      </c>
      <c r="E194">
        <v>6.2735692590654208</v>
      </c>
      <c r="F194">
        <v>632.6966549448972</v>
      </c>
      <c r="G194">
        <v>0.42399999999999999</v>
      </c>
      <c r="H194">
        <v>4.3E-3</v>
      </c>
      <c r="I194">
        <v>38.400849999999998</v>
      </c>
    </row>
    <row r="195" spans="1:9" x14ac:dyDescent="0.3">
      <c r="A195" t="s">
        <v>9</v>
      </c>
      <c r="B195" t="s">
        <v>320</v>
      </c>
      <c r="C195">
        <v>0</v>
      </c>
      <c r="D195">
        <v>4.7999999999999996E-3</v>
      </c>
      <c r="E195">
        <v>6.1239458083213423</v>
      </c>
      <c r="F195">
        <v>618.75174933554911</v>
      </c>
      <c r="G195">
        <v>0.42399999999999999</v>
      </c>
      <c r="H195">
        <v>2E-3</v>
      </c>
      <c r="I195">
        <v>38.60136</v>
      </c>
    </row>
    <row r="196" spans="1:9" x14ac:dyDescent="0.3">
      <c r="A196" t="s">
        <v>9</v>
      </c>
      <c r="B196" t="s">
        <v>321</v>
      </c>
      <c r="C196">
        <v>0</v>
      </c>
      <c r="D196">
        <v>1.6999999999999999E-3</v>
      </c>
      <c r="E196">
        <v>6.0280274084823802</v>
      </c>
      <c r="F196">
        <v>609.81215447055786</v>
      </c>
      <c r="G196">
        <v>0.42399999999999999</v>
      </c>
      <c r="H196">
        <v>5.0000000000000001E-4</v>
      </c>
      <c r="I196">
        <v>38.802390000000003</v>
      </c>
    </row>
    <row r="197" spans="1:9" x14ac:dyDescent="0.3">
      <c r="A197" t="s">
        <v>9</v>
      </c>
      <c r="B197" t="s">
        <v>322</v>
      </c>
      <c r="C197">
        <v>0</v>
      </c>
      <c r="D197">
        <v>5.0000000000000001E-4</v>
      </c>
      <c r="E197">
        <v>5.995734208849564</v>
      </c>
      <c r="F197">
        <v>606.80242826477934</v>
      </c>
      <c r="G197">
        <v>0.42399999999999999</v>
      </c>
      <c r="H197">
        <v>0</v>
      </c>
      <c r="I197">
        <v>39.000920000000001</v>
      </c>
    </row>
    <row r="198" spans="1:9" x14ac:dyDescent="0.3">
      <c r="A198" t="s">
        <v>9</v>
      </c>
      <c r="B198" t="s">
        <v>323</v>
      </c>
      <c r="C198">
        <v>0</v>
      </c>
      <c r="D198">
        <v>2.0000000000000001E-4</v>
      </c>
      <c r="E198">
        <v>6.0289870807080996</v>
      </c>
      <c r="F198">
        <v>712.15087395919863</v>
      </c>
      <c r="G198">
        <v>0.42399999999999999</v>
      </c>
      <c r="H198">
        <v>5.0000000000000001E-4</v>
      </c>
      <c r="I198">
        <v>39.200539999999997</v>
      </c>
    </row>
    <row r="199" spans="1:9" x14ac:dyDescent="0.3">
      <c r="A199" t="s">
        <v>9</v>
      </c>
      <c r="B199" t="s">
        <v>324</v>
      </c>
      <c r="C199">
        <v>0</v>
      </c>
      <c r="D199">
        <v>4.0000000000000002E-4</v>
      </c>
      <c r="E199">
        <v>6.1249220602460266</v>
      </c>
      <c r="F199">
        <v>721.25510351734795</v>
      </c>
      <c r="G199">
        <v>0.42399999999999999</v>
      </c>
      <c r="H199">
        <v>2E-3</v>
      </c>
      <c r="I199">
        <v>39.400199999999998</v>
      </c>
    </row>
    <row r="200" spans="1:9" x14ac:dyDescent="0.3">
      <c r="A200" t="s">
        <v>9</v>
      </c>
      <c r="B200" t="s">
        <v>325</v>
      </c>
      <c r="C200">
        <v>0</v>
      </c>
      <c r="D200">
        <v>1.1999999999999999E-3</v>
      </c>
      <c r="E200">
        <v>6.2762432170202009</v>
      </c>
      <c r="F200">
        <v>735.61548129521714</v>
      </c>
      <c r="G200">
        <v>0.42399999999999999</v>
      </c>
      <c r="H200">
        <v>4.4000000000000003E-3</v>
      </c>
      <c r="I200">
        <v>39.602260000000001</v>
      </c>
    </row>
    <row r="201" spans="1:9" x14ac:dyDescent="0.3">
      <c r="A201" t="s">
        <v>9</v>
      </c>
      <c r="B201" t="s">
        <v>326</v>
      </c>
      <c r="C201">
        <v>0</v>
      </c>
      <c r="D201">
        <v>3.5000000000000001E-3</v>
      </c>
      <c r="E201">
        <v>6.4640838267371317</v>
      </c>
      <c r="F201">
        <v>753.44155515735383</v>
      </c>
      <c r="G201">
        <v>0.42399999999999999</v>
      </c>
      <c r="H201">
        <v>7.3000000000000001E-3</v>
      </c>
      <c r="I201">
        <v>39.801380000000002</v>
      </c>
    </row>
    <row r="202" spans="1:9" x14ac:dyDescent="0.3">
      <c r="A202" t="s">
        <v>9</v>
      </c>
      <c r="B202" t="s">
        <v>327</v>
      </c>
      <c r="C202">
        <v>0</v>
      </c>
      <c r="D202">
        <v>6.1000000000000004E-3</v>
      </c>
      <c r="E202">
        <v>6.6721077567103402</v>
      </c>
      <c r="F202">
        <v>773.18302611181127</v>
      </c>
      <c r="G202">
        <v>0.42399999999999999</v>
      </c>
      <c r="H202">
        <v>1.0500000000000001E-2</v>
      </c>
      <c r="I202">
        <v>40.000549999999997</v>
      </c>
    </row>
    <row r="203" spans="1:9" x14ac:dyDescent="0.3">
      <c r="A203" t="s">
        <v>9</v>
      </c>
      <c r="B203" t="s">
        <v>328</v>
      </c>
      <c r="C203">
        <v>0</v>
      </c>
      <c r="D203">
        <v>9.1999999999999998E-3</v>
      </c>
      <c r="E203">
        <v>6.8824120541813372</v>
      </c>
      <c r="F203">
        <v>793.14090394180892</v>
      </c>
      <c r="G203">
        <v>0.42399999999999999</v>
      </c>
      <c r="H203">
        <v>1.38E-2</v>
      </c>
      <c r="I203">
        <v>40.20205</v>
      </c>
    </row>
    <row r="204" spans="1:9" x14ac:dyDescent="0.3">
      <c r="A204" t="s">
        <v>9</v>
      </c>
      <c r="B204" t="s">
        <v>329</v>
      </c>
      <c r="C204">
        <v>0</v>
      </c>
      <c r="D204">
        <v>1.24E-2</v>
      </c>
      <c r="E204">
        <v>7.0689237335152653</v>
      </c>
      <c r="F204">
        <v>810.84086231059871</v>
      </c>
      <c r="G204">
        <v>0.42399999999999999</v>
      </c>
      <c r="H204">
        <v>1.67E-2</v>
      </c>
      <c r="I204">
        <v>40.400219999999997</v>
      </c>
    </row>
    <row r="205" spans="1:9" x14ac:dyDescent="0.3">
      <c r="A205" t="s">
        <v>9</v>
      </c>
      <c r="B205" t="s">
        <v>330</v>
      </c>
      <c r="C205">
        <v>0</v>
      </c>
      <c r="D205">
        <v>1.5100000000000001E-2</v>
      </c>
      <c r="E205">
        <v>7.2190922585885202</v>
      </c>
      <c r="F205">
        <v>825.09185534005064</v>
      </c>
      <c r="G205">
        <v>0.42399999999999999</v>
      </c>
      <c r="H205">
        <v>1.9E-2</v>
      </c>
      <c r="I205">
        <v>40.601370000000003</v>
      </c>
    </row>
    <row r="206" spans="1:9" x14ac:dyDescent="0.3">
      <c r="A206" t="s">
        <v>9</v>
      </c>
      <c r="B206" t="s">
        <v>331</v>
      </c>
      <c r="C206">
        <v>0</v>
      </c>
      <c r="D206">
        <v>1.7299999999999999E-2</v>
      </c>
      <c r="E206">
        <v>7.3146807714800204</v>
      </c>
      <c r="F206">
        <v>834.16320521345392</v>
      </c>
      <c r="G206">
        <v>0.42399999999999999</v>
      </c>
      <c r="H206">
        <v>2.0500000000000001E-2</v>
      </c>
      <c r="I206">
        <v>40.801380000000002</v>
      </c>
    </row>
    <row r="207" spans="1:9" x14ac:dyDescent="0.3">
      <c r="A207" t="s">
        <v>9</v>
      </c>
      <c r="B207" t="s">
        <v>332</v>
      </c>
      <c r="C207">
        <v>0</v>
      </c>
      <c r="D207">
        <v>1.9400000000000001E-2</v>
      </c>
      <c r="E207">
        <v>7.3472988659607834</v>
      </c>
      <c r="F207">
        <v>837.25866237967841</v>
      </c>
      <c r="G207">
        <v>0.42399999999999999</v>
      </c>
      <c r="H207">
        <v>2.1000000000000001E-2</v>
      </c>
      <c r="I207">
        <v>41.002119999999998</v>
      </c>
    </row>
    <row r="208" spans="1:9" x14ac:dyDescent="0.3">
      <c r="A208" t="s">
        <v>9</v>
      </c>
      <c r="B208" t="s">
        <v>333</v>
      </c>
      <c r="C208">
        <v>0</v>
      </c>
      <c r="D208">
        <v>1.9900000000000001E-2</v>
      </c>
      <c r="E208">
        <v>7.3138528002085952</v>
      </c>
      <c r="F208">
        <v>729.65108097944108</v>
      </c>
      <c r="G208">
        <v>0.42399999999999999</v>
      </c>
      <c r="H208">
        <v>2.0500000000000001E-2</v>
      </c>
      <c r="I208">
        <v>41.201140000000002</v>
      </c>
    </row>
    <row r="209" spans="1:9" x14ac:dyDescent="0.3">
      <c r="A209" t="s">
        <v>9</v>
      </c>
      <c r="B209" t="s">
        <v>334</v>
      </c>
      <c r="C209">
        <v>0</v>
      </c>
      <c r="D209">
        <v>1.9800000000000002E-2</v>
      </c>
      <c r="E209">
        <v>7.2168329755697274</v>
      </c>
      <c r="F209">
        <v>720.60883332309857</v>
      </c>
      <c r="G209">
        <v>0.42399999999999999</v>
      </c>
      <c r="H209">
        <v>1.9E-2</v>
      </c>
      <c r="I209">
        <v>41.402250000000002</v>
      </c>
    </row>
    <row r="210" spans="1:9" x14ac:dyDescent="0.3">
      <c r="A210" t="s">
        <v>9</v>
      </c>
      <c r="B210" t="s">
        <v>335</v>
      </c>
      <c r="C210">
        <v>0</v>
      </c>
      <c r="D210">
        <v>1.9300000000000001E-2</v>
      </c>
      <c r="E210">
        <v>7.0666101174159772</v>
      </c>
      <c r="F210">
        <v>706.6080629431691</v>
      </c>
      <c r="G210">
        <v>0.42399999999999999</v>
      </c>
      <c r="H210">
        <v>1.66E-2</v>
      </c>
      <c r="I210">
        <v>41.602469999999997</v>
      </c>
    </row>
    <row r="211" spans="1:9" x14ac:dyDescent="0.3">
      <c r="A211" t="s">
        <v>9</v>
      </c>
      <c r="B211" t="s">
        <v>336</v>
      </c>
      <c r="C211">
        <v>0</v>
      </c>
      <c r="D211">
        <v>1.8200000000000001E-2</v>
      </c>
      <c r="E211">
        <v>6.8784534432494508</v>
      </c>
      <c r="F211">
        <v>689.07186091084884</v>
      </c>
      <c r="G211">
        <v>0.42399999999999999</v>
      </c>
      <c r="H211">
        <v>1.37E-2</v>
      </c>
      <c r="I211">
        <v>41.801879999999997</v>
      </c>
    </row>
    <row r="212" spans="1:9" x14ac:dyDescent="0.3">
      <c r="A212" t="s">
        <v>9</v>
      </c>
      <c r="B212" t="s">
        <v>337</v>
      </c>
      <c r="C212">
        <v>0</v>
      </c>
      <c r="D212">
        <v>1.61E-2</v>
      </c>
      <c r="E212">
        <v>6.6608741895826169</v>
      </c>
      <c r="F212">
        <v>668.79347446909992</v>
      </c>
      <c r="G212">
        <v>0.42399999999999999</v>
      </c>
      <c r="H212">
        <v>1.03E-2</v>
      </c>
      <c r="I212">
        <v>42.01003</v>
      </c>
    </row>
    <row r="213" spans="1:9" x14ac:dyDescent="0.3">
      <c r="A213" t="s">
        <v>9</v>
      </c>
      <c r="B213" t="s">
        <v>338</v>
      </c>
      <c r="C213">
        <v>0</v>
      </c>
      <c r="D213">
        <v>1.2999999999999999E-2</v>
      </c>
      <c r="E213">
        <v>6.461056987588659</v>
      </c>
      <c r="F213">
        <v>650.17051124326304</v>
      </c>
      <c r="G213">
        <v>0.42399999999999999</v>
      </c>
      <c r="H213">
        <v>7.1999999999999998E-3</v>
      </c>
      <c r="I213">
        <v>42.201619999999998</v>
      </c>
    </row>
    <row r="214" spans="1:9" x14ac:dyDescent="0.3">
      <c r="A214" t="s">
        <v>9</v>
      </c>
      <c r="B214" t="s">
        <v>339</v>
      </c>
      <c r="C214">
        <v>0</v>
      </c>
      <c r="D214">
        <v>8.6999999999999994E-3</v>
      </c>
      <c r="E214">
        <v>6.2739742837975587</v>
      </c>
      <c r="F214">
        <v>632.73440324993248</v>
      </c>
      <c r="G214">
        <v>0.42399999999999999</v>
      </c>
      <c r="H214">
        <v>4.3E-3</v>
      </c>
      <c r="I214">
        <v>42.400379999999998</v>
      </c>
    </row>
    <row r="215" spans="1:9" x14ac:dyDescent="0.3">
      <c r="A215" t="s">
        <v>9</v>
      </c>
      <c r="B215" t="s">
        <v>340</v>
      </c>
      <c r="C215">
        <v>0</v>
      </c>
      <c r="D215">
        <v>4.7999999999999996E-3</v>
      </c>
      <c r="E215">
        <v>6.1245149270659898</v>
      </c>
      <c r="F215">
        <v>618.80479120255029</v>
      </c>
      <c r="G215">
        <v>0.42399999999999999</v>
      </c>
      <c r="H215">
        <v>2E-3</v>
      </c>
      <c r="I215">
        <v>42.600450000000002</v>
      </c>
    </row>
    <row r="216" spans="1:9" x14ac:dyDescent="0.3">
      <c r="A216" t="s">
        <v>9</v>
      </c>
      <c r="B216" t="s">
        <v>341</v>
      </c>
      <c r="C216">
        <v>0</v>
      </c>
      <c r="D216">
        <v>1.8E-3</v>
      </c>
      <c r="E216">
        <v>6.0284487007010057</v>
      </c>
      <c r="F216">
        <v>609.85141890533373</v>
      </c>
      <c r="G216">
        <v>0.42399999999999999</v>
      </c>
      <c r="H216">
        <v>5.0000000000000001E-4</v>
      </c>
      <c r="I216">
        <v>42.801099999999998</v>
      </c>
    </row>
    <row r="217" spans="1:9" x14ac:dyDescent="0.3">
      <c r="A217" t="s">
        <v>9</v>
      </c>
      <c r="B217" t="s">
        <v>342</v>
      </c>
      <c r="C217">
        <v>0</v>
      </c>
      <c r="D217">
        <v>2.0000000000000001E-4</v>
      </c>
      <c r="E217">
        <v>5.9957356992059623</v>
      </c>
      <c r="F217">
        <v>606.8025671659957</v>
      </c>
      <c r="G217">
        <v>0.42399999999999999</v>
      </c>
      <c r="H217">
        <v>0</v>
      </c>
      <c r="I217">
        <v>43.001629999999999</v>
      </c>
    </row>
    <row r="218" spans="1:9" x14ac:dyDescent="0.3">
      <c r="A218" t="s">
        <v>9</v>
      </c>
      <c r="B218" t="s">
        <v>343</v>
      </c>
      <c r="C218">
        <v>0</v>
      </c>
      <c r="D218">
        <v>-2.9999999999999997E-4</v>
      </c>
      <c r="E218">
        <v>6.0292460792043459</v>
      </c>
      <c r="F218">
        <v>712.17545291649242</v>
      </c>
      <c r="G218">
        <v>0.42399999999999999</v>
      </c>
      <c r="H218">
        <v>5.0000000000000001E-4</v>
      </c>
      <c r="I218">
        <v>43.201329999999999</v>
      </c>
    </row>
    <row r="219" spans="1:9" x14ac:dyDescent="0.3">
      <c r="A219" t="s">
        <v>9</v>
      </c>
      <c r="B219" t="s">
        <v>344</v>
      </c>
      <c r="C219">
        <v>0</v>
      </c>
      <c r="D219">
        <v>-2.0000000000000001E-4</v>
      </c>
      <c r="E219">
        <v>6.126593856695199</v>
      </c>
      <c r="F219">
        <v>721.4137570003744</v>
      </c>
      <c r="G219">
        <v>0.42399999999999999</v>
      </c>
      <c r="H219">
        <v>2E-3</v>
      </c>
      <c r="I219">
        <v>43.40287</v>
      </c>
    </row>
    <row r="220" spans="1:9" x14ac:dyDescent="0.3">
      <c r="A220" t="s">
        <v>9</v>
      </c>
      <c r="B220" t="s">
        <v>345</v>
      </c>
      <c r="C220">
        <v>0</v>
      </c>
      <c r="D220">
        <v>5.9999999999999995E-4</v>
      </c>
      <c r="E220">
        <v>6.274780278554335</v>
      </c>
      <c r="F220">
        <v>735.47664843480641</v>
      </c>
      <c r="G220">
        <v>0.42399999999999999</v>
      </c>
      <c r="H220">
        <v>4.3E-3</v>
      </c>
      <c r="I220">
        <v>43.600560000000002</v>
      </c>
    </row>
    <row r="221" spans="1:9" x14ac:dyDescent="0.3">
      <c r="A221" t="s">
        <v>9</v>
      </c>
      <c r="B221" t="s">
        <v>346</v>
      </c>
      <c r="C221">
        <v>0</v>
      </c>
      <c r="D221">
        <v>2.5999999999999999E-3</v>
      </c>
      <c r="E221">
        <v>6.463916367317398</v>
      </c>
      <c r="F221">
        <v>753.42566325842108</v>
      </c>
      <c r="G221">
        <v>0.42399999999999999</v>
      </c>
      <c r="H221">
        <v>7.3000000000000001E-3</v>
      </c>
      <c r="I221">
        <v>43.801209999999998</v>
      </c>
    </row>
    <row r="222" spans="1:9" x14ac:dyDescent="0.3">
      <c r="A222" t="s">
        <v>9</v>
      </c>
      <c r="B222" t="s">
        <v>347</v>
      </c>
      <c r="C222">
        <v>0</v>
      </c>
      <c r="D222">
        <v>6.3E-3</v>
      </c>
      <c r="E222">
        <v>6.6736355704961996</v>
      </c>
      <c r="F222">
        <v>773.32801564008935</v>
      </c>
      <c r="G222">
        <v>0.42399999999999999</v>
      </c>
      <c r="H222">
        <v>1.0500000000000001E-2</v>
      </c>
      <c r="I222">
        <v>44.001989999999999</v>
      </c>
    </row>
    <row r="223" spans="1:9" x14ac:dyDescent="0.3">
      <c r="A223" t="s">
        <v>9</v>
      </c>
      <c r="B223" t="s">
        <v>348</v>
      </c>
      <c r="C223">
        <v>0</v>
      </c>
      <c r="D223">
        <v>9.1999999999999998E-3</v>
      </c>
      <c r="E223">
        <v>6.8823378530340964</v>
      </c>
      <c r="F223">
        <v>793.13386225293573</v>
      </c>
      <c r="G223">
        <v>0.42399999999999999</v>
      </c>
      <c r="H223">
        <v>1.38E-2</v>
      </c>
      <c r="I223">
        <v>44.201970000000003</v>
      </c>
    </row>
    <row r="224" spans="1:9" x14ac:dyDescent="0.3">
      <c r="A224" t="s">
        <v>9</v>
      </c>
      <c r="B224" t="s">
        <v>349</v>
      </c>
      <c r="C224">
        <v>0</v>
      </c>
      <c r="D224">
        <v>1.23E-2</v>
      </c>
      <c r="E224">
        <v>7.0699293009751738</v>
      </c>
      <c r="F224">
        <v>810.93629066254402</v>
      </c>
      <c r="G224">
        <v>0.42399999999999999</v>
      </c>
      <c r="H224">
        <v>1.67E-2</v>
      </c>
      <c r="I224">
        <v>44.401389999999999</v>
      </c>
    </row>
    <row r="225" spans="1:9" x14ac:dyDescent="0.3">
      <c r="A225" t="s">
        <v>9</v>
      </c>
      <c r="B225" t="s">
        <v>350</v>
      </c>
      <c r="C225">
        <v>0</v>
      </c>
      <c r="D225">
        <v>1.5100000000000001E-2</v>
      </c>
      <c r="E225">
        <v>7.2199441526341923</v>
      </c>
      <c r="F225">
        <v>825.17270008498485</v>
      </c>
      <c r="G225">
        <v>0.42399999999999999</v>
      </c>
      <c r="H225">
        <v>1.9E-2</v>
      </c>
      <c r="I225">
        <v>44.602739999999997</v>
      </c>
    </row>
    <row r="226" spans="1:9" x14ac:dyDescent="0.3">
      <c r="A226" t="s">
        <v>9</v>
      </c>
      <c r="B226" t="s">
        <v>351</v>
      </c>
      <c r="C226">
        <v>0</v>
      </c>
      <c r="D226">
        <v>1.7299999999999999E-2</v>
      </c>
      <c r="E226">
        <v>7.3149796034227421</v>
      </c>
      <c r="F226">
        <v>834.1915643648183</v>
      </c>
      <c r="G226">
        <v>0.42399999999999999</v>
      </c>
      <c r="H226">
        <v>2.0500000000000001E-2</v>
      </c>
      <c r="I226">
        <v>44.802300000000002</v>
      </c>
    </row>
    <row r="227" spans="1:9" x14ac:dyDescent="0.3">
      <c r="A227" t="s">
        <v>9</v>
      </c>
      <c r="B227" t="s">
        <v>352</v>
      </c>
      <c r="C227">
        <v>0</v>
      </c>
      <c r="D227">
        <v>1.8700000000000001E-2</v>
      </c>
      <c r="E227">
        <v>7.3472944057825362</v>
      </c>
      <c r="F227">
        <v>837.25823910876272</v>
      </c>
      <c r="G227">
        <v>0.42399999999999999</v>
      </c>
      <c r="H227">
        <v>2.1000000000000001E-2</v>
      </c>
      <c r="I227">
        <v>45.003129999999999</v>
      </c>
    </row>
    <row r="228" spans="1:9" x14ac:dyDescent="0.3">
      <c r="A228" t="s">
        <v>9</v>
      </c>
      <c r="B228" t="s">
        <v>353</v>
      </c>
      <c r="C228">
        <v>0</v>
      </c>
      <c r="D228">
        <v>1.9599999999999999E-2</v>
      </c>
      <c r="E228">
        <v>7.3137465668721058</v>
      </c>
      <c r="F228">
        <v>729.64118003248029</v>
      </c>
      <c r="G228">
        <v>0.42399999999999999</v>
      </c>
      <c r="H228">
        <v>2.0500000000000001E-2</v>
      </c>
      <c r="I228">
        <v>45.201459999999997</v>
      </c>
    </row>
    <row r="229" spans="1:9" x14ac:dyDescent="0.3">
      <c r="A229" t="s">
        <v>9</v>
      </c>
      <c r="B229" t="s">
        <v>354</v>
      </c>
      <c r="C229">
        <v>0</v>
      </c>
      <c r="D229">
        <v>1.95E-2</v>
      </c>
      <c r="E229">
        <v>7.2161826004867864</v>
      </c>
      <c r="F229">
        <v>720.54821836536848</v>
      </c>
      <c r="G229">
        <v>0.42399999999999999</v>
      </c>
      <c r="H229">
        <v>1.9E-2</v>
      </c>
      <c r="I229">
        <v>45.403289999999998</v>
      </c>
    </row>
    <row r="230" spans="1:9" x14ac:dyDescent="0.3">
      <c r="A230" t="s">
        <v>9</v>
      </c>
      <c r="B230" t="s">
        <v>355</v>
      </c>
      <c r="C230">
        <v>0</v>
      </c>
      <c r="D230">
        <v>1.9E-2</v>
      </c>
      <c r="E230">
        <v>7.0648669986618868</v>
      </c>
      <c r="F230">
        <v>706.44560427528791</v>
      </c>
      <c r="G230">
        <v>0.42399999999999999</v>
      </c>
      <c r="H230">
        <v>1.66E-2</v>
      </c>
      <c r="I230">
        <v>45.604489999999998</v>
      </c>
    </row>
    <row r="231" spans="1:9" x14ac:dyDescent="0.3">
      <c r="A231" t="s">
        <v>9</v>
      </c>
      <c r="B231" t="s">
        <v>356</v>
      </c>
      <c r="C231">
        <v>0</v>
      </c>
      <c r="D231">
        <v>1.7999999999999999E-2</v>
      </c>
      <c r="E231">
        <v>6.8774012466532968</v>
      </c>
      <c r="F231">
        <v>688.97379618808725</v>
      </c>
      <c r="G231">
        <v>0.42399999999999999</v>
      </c>
      <c r="H231">
        <v>1.37E-2</v>
      </c>
      <c r="I231">
        <v>45.802909999999997</v>
      </c>
    </row>
    <row r="232" spans="1:9" x14ac:dyDescent="0.3">
      <c r="A232" t="s">
        <v>9</v>
      </c>
      <c r="B232" t="s">
        <v>357</v>
      </c>
      <c r="C232">
        <v>0</v>
      </c>
      <c r="D232">
        <v>1.66E-2</v>
      </c>
      <c r="E232">
        <v>6.6678632888997287</v>
      </c>
      <c r="F232">
        <v>669.44485852545472</v>
      </c>
      <c r="G232">
        <v>0.42399999999999999</v>
      </c>
      <c r="H232">
        <v>1.04E-2</v>
      </c>
      <c r="I232">
        <v>46.003439999999998</v>
      </c>
    </row>
    <row r="233" spans="1:9" x14ac:dyDescent="0.3">
      <c r="A233" t="s">
        <v>9</v>
      </c>
      <c r="B233" t="s">
        <v>358</v>
      </c>
      <c r="C233">
        <v>0</v>
      </c>
      <c r="D233">
        <v>1.3100000000000001E-2</v>
      </c>
      <c r="E233">
        <v>6.4625008689292764</v>
      </c>
      <c r="F233">
        <v>650.30508098420853</v>
      </c>
      <c r="G233">
        <v>0.42399999999999999</v>
      </c>
      <c r="H233">
        <v>7.3000000000000001E-3</v>
      </c>
      <c r="I233">
        <v>46.200180000000003</v>
      </c>
    </row>
    <row r="234" spans="1:9" x14ac:dyDescent="0.3">
      <c r="A234" t="s">
        <v>9</v>
      </c>
      <c r="B234" t="s">
        <v>359</v>
      </c>
      <c r="C234">
        <v>0</v>
      </c>
      <c r="D234">
        <v>8.9999999999999993E-3</v>
      </c>
      <c r="E234">
        <v>6.2733769037416387</v>
      </c>
      <c r="F234">
        <v>632.67872742872078</v>
      </c>
      <c r="G234">
        <v>0.42399999999999999</v>
      </c>
      <c r="H234">
        <v>4.3E-3</v>
      </c>
      <c r="I234">
        <v>46.40108</v>
      </c>
    </row>
    <row r="235" spans="1:9" x14ac:dyDescent="0.3">
      <c r="A235" t="s">
        <v>9</v>
      </c>
      <c r="B235" t="s">
        <v>360</v>
      </c>
      <c r="C235">
        <v>1</v>
      </c>
      <c r="D235">
        <v>5.0000000000000001E-3</v>
      </c>
      <c r="E235">
        <v>6.1246926043486241</v>
      </c>
      <c r="F235">
        <v>618.82135072529184</v>
      </c>
      <c r="G235">
        <v>0.42399999999999999</v>
      </c>
      <c r="H235">
        <v>2E-3</v>
      </c>
      <c r="I235">
        <v>46.600169999999999</v>
      </c>
    </row>
    <row r="236" spans="1:9" x14ac:dyDescent="0.3">
      <c r="A236" t="s">
        <v>9</v>
      </c>
      <c r="B236" t="s">
        <v>361</v>
      </c>
      <c r="C236">
        <v>1</v>
      </c>
      <c r="D236">
        <v>1.9E-3</v>
      </c>
      <c r="E236">
        <v>6.027788991681402</v>
      </c>
      <c r="F236">
        <v>609.78993402470667</v>
      </c>
      <c r="G236">
        <v>0.42399999999999999</v>
      </c>
      <c r="H236">
        <v>5.0000000000000001E-4</v>
      </c>
      <c r="I236">
        <v>46.803130000000003</v>
      </c>
    </row>
    <row r="237" spans="1:9" x14ac:dyDescent="0.3">
      <c r="A237" t="s">
        <v>9</v>
      </c>
      <c r="B237" t="s">
        <v>362</v>
      </c>
      <c r="C237">
        <v>1</v>
      </c>
      <c r="D237">
        <v>4.0000000000000002E-4</v>
      </c>
      <c r="E237">
        <v>5.995743996865218</v>
      </c>
      <c r="F237">
        <v>606.80334050783836</v>
      </c>
      <c r="G237">
        <v>0.42399999999999999</v>
      </c>
      <c r="H237">
        <v>0</v>
      </c>
      <c r="I237">
        <v>47.003549999999997</v>
      </c>
    </row>
    <row r="238" spans="1:9" x14ac:dyDescent="0.3">
      <c r="A238" t="s">
        <v>9</v>
      </c>
      <c r="B238" t="s">
        <v>363</v>
      </c>
      <c r="C238">
        <v>1</v>
      </c>
      <c r="D238">
        <v>-4.0000000000000002E-4</v>
      </c>
      <c r="E238">
        <v>6.0290768640962638</v>
      </c>
      <c r="F238">
        <v>712.15939440273542</v>
      </c>
      <c r="G238">
        <v>0.42399999999999999</v>
      </c>
      <c r="H238">
        <v>5.0000000000000001E-4</v>
      </c>
      <c r="I238">
        <v>47.200809999999997</v>
      </c>
    </row>
    <row r="239" spans="1:9" x14ac:dyDescent="0.3">
      <c r="A239" t="s">
        <v>9</v>
      </c>
      <c r="B239" t="s">
        <v>364</v>
      </c>
      <c r="C239">
        <v>1</v>
      </c>
      <c r="D239">
        <v>-2.0000000000000001E-4</v>
      </c>
      <c r="E239">
        <v>6.1258031481856969</v>
      </c>
      <c r="F239">
        <v>721.33871876282262</v>
      </c>
      <c r="G239">
        <v>0.42399999999999999</v>
      </c>
      <c r="H239">
        <v>2E-3</v>
      </c>
      <c r="I239">
        <v>47.401609999999998</v>
      </c>
    </row>
    <row r="240" spans="1:9" x14ac:dyDescent="0.3">
      <c r="A240" t="s">
        <v>9</v>
      </c>
      <c r="B240" t="s">
        <v>365</v>
      </c>
      <c r="C240">
        <v>1</v>
      </c>
      <c r="D240">
        <v>6.9999999999999999E-4</v>
      </c>
      <c r="E240">
        <v>6.2767835473415996</v>
      </c>
      <c r="F240">
        <v>735.66675864271792</v>
      </c>
      <c r="G240">
        <v>0.42399999999999999</v>
      </c>
      <c r="H240">
        <v>4.4000000000000003E-3</v>
      </c>
      <c r="I240">
        <v>47.602879999999999</v>
      </c>
    </row>
    <row r="241" spans="1:9" x14ac:dyDescent="0.3">
      <c r="A241" t="s">
        <v>9</v>
      </c>
      <c r="B241" t="s">
        <v>366</v>
      </c>
      <c r="C241">
        <v>1</v>
      </c>
      <c r="D241">
        <v>2.3999999999999998E-3</v>
      </c>
      <c r="E241">
        <v>6.4660090018579552</v>
      </c>
      <c r="F241">
        <v>753.62425427632002</v>
      </c>
      <c r="G241">
        <v>0.42399999999999999</v>
      </c>
      <c r="H241">
        <v>7.3000000000000001E-3</v>
      </c>
      <c r="I241">
        <v>47.803280000000001</v>
      </c>
    </row>
    <row r="242" spans="1:9" x14ac:dyDescent="0.3">
      <c r="A242" t="s">
        <v>9</v>
      </c>
      <c r="B242" t="s">
        <v>367</v>
      </c>
      <c r="C242">
        <v>1</v>
      </c>
      <c r="D242">
        <v>6.0000000000000001E-3</v>
      </c>
      <c r="E242">
        <v>6.6745705860456148</v>
      </c>
      <c r="F242">
        <v>773.41674861572892</v>
      </c>
      <c r="G242">
        <v>0.42399999999999999</v>
      </c>
      <c r="H242">
        <v>1.0500000000000001E-2</v>
      </c>
      <c r="I242">
        <v>48.002879999999998</v>
      </c>
    </row>
    <row r="243" spans="1:9" x14ac:dyDescent="0.3">
      <c r="A243" t="s">
        <v>9</v>
      </c>
      <c r="B243" t="s">
        <v>368</v>
      </c>
      <c r="C243">
        <v>1</v>
      </c>
      <c r="D243">
        <v>9.1999999999999998E-3</v>
      </c>
      <c r="E243">
        <v>6.8820601055703712</v>
      </c>
      <c r="F243">
        <v>793.10750401862822</v>
      </c>
      <c r="G243">
        <v>0.42399999999999999</v>
      </c>
      <c r="H243">
        <v>1.38E-2</v>
      </c>
      <c r="I243">
        <v>48.201700000000002</v>
      </c>
    </row>
    <row r="244" spans="1:9" x14ac:dyDescent="0.3">
      <c r="A244" t="s">
        <v>9</v>
      </c>
      <c r="B244" t="s">
        <v>369</v>
      </c>
      <c r="C244">
        <v>1</v>
      </c>
      <c r="D244">
        <v>1.2200000000000001E-2</v>
      </c>
      <c r="E244">
        <v>7.0693515051564777</v>
      </c>
      <c r="F244">
        <v>810.88145783934976</v>
      </c>
      <c r="G244">
        <v>0.42399999999999999</v>
      </c>
      <c r="H244">
        <v>1.67E-2</v>
      </c>
      <c r="I244">
        <v>48.40072</v>
      </c>
    </row>
    <row r="245" spans="1:9" x14ac:dyDescent="0.3">
      <c r="A245" t="s">
        <v>9</v>
      </c>
      <c r="B245" t="s">
        <v>370</v>
      </c>
      <c r="C245">
        <v>1</v>
      </c>
      <c r="D245">
        <v>1.4999999999999999E-2</v>
      </c>
      <c r="E245">
        <v>7.2190038659650284</v>
      </c>
      <c r="F245">
        <v>825.08346688008123</v>
      </c>
      <c r="G245">
        <v>0.42399999999999999</v>
      </c>
      <c r="H245">
        <v>1.9E-2</v>
      </c>
      <c r="I245">
        <v>48.601230000000001</v>
      </c>
    </row>
    <row r="246" spans="1:9" x14ac:dyDescent="0.3">
      <c r="A246" t="s">
        <v>9</v>
      </c>
      <c r="B246" t="s">
        <v>371</v>
      </c>
      <c r="C246">
        <v>1</v>
      </c>
      <c r="D246">
        <v>1.7299999999999999E-2</v>
      </c>
      <c r="E246">
        <v>7.3153116839669616</v>
      </c>
      <c r="F246">
        <v>834.22307880846472</v>
      </c>
      <c r="G246">
        <v>0.42399999999999999</v>
      </c>
      <c r="H246">
        <v>2.0500000000000001E-2</v>
      </c>
      <c r="I246">
        <v>48.803330000000003</v>
      </c>
    </row>
    <row r="247" spans="1:9" x14ac:dyDescent="0.3">
      <c r="A247" t="s">
        <v>9</v>
      </c>
      <c r="B247" t="s">
        <v>372</v>
      </c>
      <c r="C247">
        <v>1</v>
      </c>
      <c r="D247">
        <v>1.8800000000000001E-2</v>
      </c>
      <c r="E247">
        <v>7.3472956221947836</v>
      </c>
      <c r="F247">
        <v>837.25835454628498</v>
      </c>
      <c r="G247">
        <v>0.42399999999999999</v>
      </c>
      <c r="H247">
        <v>2.1000000000000001E-2</v>
      </c>
      <c r="I247">
        <v>49.00291</v>
      </c>
    </row>
    <row r="248" spans="1:9" x14ac:dyDescent="0.3">
      <c r="A248" t="s">
        <v>9</v>
      </c>
      <c r="B248" t="s">
        <v>373</v>
      </c>
      <c r="C248">
        <v>1</v>
      </c>
      <c r="D248">
        <v>1.95E-2</v>
      </c>
      <c r="E248">
        <v>7.3141171671375718</v>
      </c>
      <c r="F248">
        <v>729.67571997722166</v>
      </c>
      <c r="G248">
        <v>0.42399999999999999</v>
      </c>
      <c r="H248">
        <v>2.0500000000000001E-2</v>
      </c>
      <c r="I248">
        <v>49.200339999999997</v>
      </c>
    </row>
    <row r="249" spans="1:9" x14ac:dyDescent="0.3">
      <c r="A249" t="s">
        <v>9</v>
      </c>
      <c r="B249" t="s">
        <v>374</v>
      </c>
      <c r="C249">
        <v>1</v>
      </c>
      <c r="D249">
        <v>1.9400000000000001E-2</v>
      </c>
      <c r="E249">
        <v>7.2165933423564992</v>
      </c>
      <c r="F249">
        <v>720.58649950762572</v>
      </c>
      <c r="G249">
        <v>0.42399999999999999</v>
      </c>
      <c r="H249">
        <v>1.9E-2</v>
      </c>
      <c r="I249">
        <v>49.402630000000002</v>
      </c>
    </row>
    <row r="250" spans="1:9" x14ac:dyDescent="0.3">
      <c r="A250" t="s">
        <v>9</v>
      </c>
      <c r="B250" t="s">
        <v>375</v>
      </c>
      <c r="C250">
        <v>1</v>
      </c>
      <c r="D250">
        <v>1.8700000000000001E-2</v>
      </c>
      <c r="E250">
        <v>7.0675439165531424</v>
      </c>
      <c r="F250">
        <v>706.69509302275276</v>
      </c>
      <c r="G250">
        <v>0.42399999999999999</v>
      </c>
      <c r="H250">
        <v>1.67E-2</v>
      </c>
      <c r="I250">
        <v>49.601379999999999</v>
      </c>
    </row>
    <row r="251" spans="1:9" x14ac:dyDescent="0.3">
      <c r="A251" t="s">
        <v>9</v>
      </c>
      <c r="B251" t="s">
        <v>376</v>
      </c>
      <c r="C251">
        <v>1</v>
      </c>
      <c r="D251">
        <v>1.78E-2</v>
      </c>
      <c r="E251">
        <v>6.8801475000427956</v>
      </c>
      <c r="F251">
        <v>689.22974700398856</v>
      </c>
      <c r="G251">
        <v>0.42399999999999999</v>
      </c>
      <c r="H251">
        <v>1.37E-2</v>
      </c>
      <c r="I251">
        <v>49.800190000000001</v>
      </c>
    </row>
    <row r="252" spans="1:9" x14ac:dyDescent="0.3">
      <c r="A252" t="s">
        <v>9</v>
      </c>
      <c r="B252" t="s">
        <v>377</v>
      </c>
      <c r="C252">
        <v>1</v>
      </c>
      <c r="D252">
        <v>1.6E-2</v>
      </c>
      <c r="E252">
        <v>6.6698257673295487</v>
      </c>
      <c r="F252">
        <v>669.627761515114</v>
      </c>
      <c r="G252">
        <v>0.42399999999999999</v>
      </c>
      <c r="H252">
        <v>1.0500000000000001E-2</v>
      </c>
      <c r="I252">
        <v>50.00159</v>
      </c>
    </row>
    <row r="253" spans="1:9" x14ac:dyDescent="0.3">
      <c r="A253" t="s">
        <v>9</v>
      </c>
      <c r="B253" t="s">
        <v>378</v>
      </c>
      <c r="C253">
        <v>1</v>
      </c>
      <c r="D253">
        <v>1.29E-2</v>
      </c>
      <c r="E253">
        <v>6.4598190853890216</v>
      </c>
      <c r="F253">
        <v>650.05513875825682</v>
      </c>
      <c r="G253">
        <v>0.42399999999999999</v>
      </c>
      <c r="H253">
        <v>7.1999999999999998E-3</v>
      </c>
      <c r="I253">
        <v>50.202840000000002</v>
      </c>
    </row>
    <row r="254" spans="1:9" x14ac:dyDescent="0.3">
      <c r="A254" t="s">
        <v>9</v>
      </c>
      <c r="B254" t="s">
        <v>379</v>
      </c>
      <c r="C254">
        <v>1</v>
      </c>
      <c r="D254">
        <v>8.8000000000000005E-3</v>
      </c>
      <c r="E254">
        <v>6.2736713160531856</v>
      </c>
      <c r="F254">
        <v>632.70616665615694</v>
      </c>
      <c r="G254">
        <v>0.42399999999999999</v>
      </c>
      <c r="H254">
        <v>4.3E-3</v>
      </c>
      <c r="I254">
        <v>50.400730000000003</v>
      </c>
    </row>
    <row r="255" spans="1:9" x14ac:dyDescent="0.3">
      <c r="A255" t="s">
        <v>9</v>
      </c>
      <c r="B255" t="s">
        <v>380</v>
      </c>
      <c r="C255">
        <v>1</v>
      </c>
      <c r="D255">
        <v>4.5999999999999999E-3</v>
      </c>
      <c r="E255">
        <v>6.1225818047184672</v>
      </c>
      <c r="F255">
        <v>618.62462419976112</v>
      </c>
      <c r="G255">
        <v>0.42399999999999999</v>
      </c>
      <c r="H255">
        <v>2E-3</v>
      </c>
      <c r="I255">
        <v>50.603560000000002</v>
      </c>
    </row>
    <row r="256" spans="1:9" x14ac:dyDescent="0.3">
      <c r="A256" t="s">
        <v>9</v>
      </c>
      <c r="B256" t="s">
        <v>381</v>
      </c>
      <c r="C256">
        <v>1</v>
      </c>
      <c r="D256">
        <v>2E-3</v>
      </c>
      <c r="E256">
        <v>6.0285126231647377</v>
      </c>
      <c r="F256">
        <v>609.8573764789536</v>
      </c>
      <c r="G256">
        <v>0.42399999999999999</v>
      </c>
      <c r="H256">
        <v>5.0000000000000001E-4</v>
      </c>
      <c r="I256">
        <v>50.800899999999999</v>
      </c>
    </row>
    <row r="257" spans="1:9" x14ac:dyDescent="0.3">
      <c r="A257" t="s">
        <v>9</v>
      </c>
      <c r="B257" t="s">
        <v>382</v>
      </c>
      <c r="C257">
        <v>1</v>
      </c>
      <c r="D257">
        <v>1E-4</v>
      </c>
      <c r="E257">
        <v>5.9957355380864836</v>
      </c>
      <c r="F257">
        <v>606.8025521496603</v>
      </c>
      <c r="G257">
        <v>0.42399999999999999</v>
      </c>
      <c r="H257">
        <v>0</v>
      </c>
      <c r="I257">
        <v>51.001570000000001</v>
      </c>
    </row>
    <row r="258" spans="1:9" x14ac:dyDescent="0.3">
      <c r="A258" t="s">
        <v>9</v>
      </c>
      <c r="B258" t="s">
        <v>383</v>
      </c>
      <c r="C258">
        <v>1</v>
      </c>
      <c r="D258">
        <v>-1E-4</v>
      </c>
      <c r="E258">
        <v>6.0333775869187241</v>
      </c>
      <c r="F258">
        <v>712.5675329985869</v>
      </c>
      <c r="G258">
        <v>0.42399999999999999</v>
      </c>
      <c r="H258">
        <v>5.9999999999999995E-4</v>
      </c>
      <c r="I258">
        <v>51.21349</v>
      </c>
    </row>
    <row r="259" spans="1:9" x14ac:dyDescent="0.3">
      <c r="A259" t="s">
        <v>9</v>
      </c>
      <c r="B259" t="s">
        <v>384</v>
      </c>
      <c r="C259">
        <v>1</v>
      </c>
      <c r="D259">
        <v>1E-4</v>
      </c>
      <c r="E259">
        <v>6.1291992900932346</v>
      </c>
      <c r="F259">
        <v>721.66101262984807</v>
      </c>
      <c r="G259">
        <v>0.42399999999999999</v>
      </c>
      <c r="H259">
        <v>2.0999999999999999E-3</v>
      </c>
      <c r="I259">
        <v>51.406999999999996</v>
      </c>
    </row>
    <row r="260" spans="1:9" x14ac:dyDescent="0.3">
      <c r="A260" t="s">
        <v>9</v>
      </c>
      <c r="B260" t="s">
        <v>385</v>
      </c>
      <c r="C260">
        <v>1</v>
      </c>
      <c r="D260">
        <v>1.1000000000000001E-3</v>
      </c>
      <c r="E260">
        <v>6.276333150432543</v>
      </c>
      <c r="F260">
        <v>735.62401597604833</v>
      </c>
      <c r="G260">
        <v>0.42399999999999999</v>
      </c>
      <c r="H260">
        <v>4.4000000000000003E-3</v>
      </c>
      <c r="I260">
        <v>51.602359999999997</v>
      </c>
    </row>
    <row r="261" spans="1:9" x14ac:dyDescent="0.3">
      <c r="A261" t="s">
        <v>9</v>
      </c>
      <c r="B261" t="s">
        <v>386</v>
      </c>
      <c r="C261">
        <v>1</v>
      </c>
      <c r="D261">
        <v>3.2000000000000002E-3</v>
      </c>
      <c r="E261">
        <v>6.4639050141363974</v>
      </c>
      <c r="F261">
        <v>753.42458584154406</v>
      </c>
      <c r="G261">
        <v>0.42399999999999999</v>
      </c>
      <c r="H261">
        <v>7.3000000000000001E-3</v>
      </c>
      <c r="I261">
        <v>51.801200000000001</v>
      </c>
    </row>
    <row r="262" spans="1:9" x14ac:dyDescent="0.3">
      <c r="A262" t="s">
        <v>9</v>
      </c>
      <c r="B262" t="s">
        <v>387</v>
      </c>
      <c r="C262">
        <v>1</v>
      </c>
      <c r="D262">
        <v>6.3E-3</v>
      </c>
      <c r="E262">
        <v>6.6718859642101096</v>
      </c>
      <c r="F262">
        <v>773.16197800353939</v>
      </c>
      <c r="G262">
        <v>0.42399999999999999</v>
      </c>
      <c r="H262">
        <v>1.0500000000000001E-2</v>
      </c>
      <c r="I262">
        <v>52.000349999999997</v>
      </c>
    </row>
    <row r="263" spans="1:9" x14ac:dyDescent="0.3">
      <c r="A263" t="s">
        <v>9</v>
      </c>
      <c r="B263" t="s">
        <v>388</v>
      </c>
      <c r="C263">
        <v>1</v>
      </c>
      <c r="D263">
        <v>9.1000000000000004E-3</v>
      </c>
      <c r="E263">
        <v>6.880827069019734</v>
      </c>
      <c r="F263">
        <v>792.99048884997273</v>
      </c>
      <c r="G263">
        <v>0.42399999999999999</v>
      </c>
      <c r="H263">
        <v>1.38E-2</v>
      </c>
      <c r="I263">
        <v>52.200470000000003</v>
      </c>
    </row>
    <row r="264" spans="1:9" x14ac:dyDescent="0.3">
      <c r="A264" t="s">
        <v>9</v>
      </c>
      <c r="B264" t="s">
        <v>389</v>
      </c>
      <c r="C264">
        <v>1</v>
      </c>
      <c r="D264">
        <v>1.26E-2</v>
      </c>
      <c r="E264">
        <v>7.0704231643486279</v>
      </c>
      <c r="F264">
        <v>810.98315829668479</v>
      </c>
      <c r="G264">
        <v>0.42399999999999999</v>
      </c>
      <c r="H264">
        <v>1.67E-2</v>
      </c>
      <c r="I264">
        <v>52.401969999999999</v>
      </c>
    </row>
    <row r="265" spans="1:9" x14ac:dyDescent="0.3">
      <c r="A265" t="s">
        <v>9</v>
      </c>
      <c r="B265" t="s">
        <v>390</v>
      </c>
      <c r="C265">
        <v>1</v>
      </c>
      <c r="D265">
        <v>1.49E-2</v>
      </c>
      <c r="E265">
        <v>7.218372548007336</v>
      </c>
      <c r="F265">
        <v>825.0235548058962</v>
      </c>
      <c r="G265">
        <v>0.42399999999999999</v>
      </c>
      <c r="H265">
        <v>1.9E-2</v>
      </c>
      <c r="I265">
        <v>52.600209999999997</v>
      </c>
    </row>
    <row r="266" spans="1:9" x14ac:dyDescent="0.3">
      <c r="A266" t="s">
        <v>9</v>
      </c>
      <c r="B266" t="s">
        <v>391</v>
      </c>
      <c r="C266">
        <v>1</v>
      </c>
      <c r="D266">
        <v>1.6899999999999998E-2</v>
      </c>
      <c r="E266">
        <v>7.3145887296197776</v>
      </c>
      <c r="F266">
        <v>834.15447044091707</v>
      </c>
      <c r="G266">
        <v>0.42399999999999999</v>
      </c>
      <c r="H266">
        <v>2.0500000000000001E-2</v>
      </c>
      <c r="I266">
        <v>52.801099999999998</v>
      </c>
    </row>
    <row r="267" spans="1:9" x14ac:dyDescent="0.3">
      <c r="A267" t="s">
        <v>9</v>
      </c>
      <c r="B267" t="s">
        <v>392</v>
      </c>
      <c r="C267">
        <v>1</v>
      </c>
      <c r="D267">
        <v>1.8700000000000001E-2</v>
      </c>
      <c r="E267">
        <v>7.3473017042560347</v>
      </c>
      <c r="F267">
        <v>837.25893173389773</v>
      </c>
      <c r="G267">
        <v>0.42399999999999999</v>
      </c>
      <c r="H267">
        <v>2.1000000000000001E-2</v>
      </c>
      <c r="I267">
        <v>53.001080000000002</v>
      </c>
    </row>
    <row r="268" spans="1:9" x14ac:dyDescent="0.3">
      <c r="A268" t="s">
        <v>9</v>
      </c>
      <c r="B268" t="s">
        <v>393</v>
      </c>
      <c r="C268">
        <v>1</v>
      </c>
      <c r="D268">
        <v>1.9199999999999998E-2</v>
      </c>
      <c r="E268">
        <v>7.313697099440609</v>
      </c>
      <c r="F268">
        <v>729.63656966786482</v>
      </c>
      <c r="G268">
        <v>0.42399999999999999</v>
      </c>
      <c r="H268">
        <v>2.0500000000000001E-2</v>
      </c>
      <c r="I268">
        <v>53.201610000000002</v>
      </c>
    </row>
    <row r="269" spans="1:9" x14ac:dyDescent="0.3">
      <c r="A269" t="s">
        <v>9</v>
      </c>
      <c r="B269" t="s">
        <v>394</v>
      </c>
      <c r="C269">
        <v>1</v>
      </c>
      <c r="D269">
        <v>1.9099999999999999E-2</v>
      </c>
      <c r="E269">
        <v>7.2177359589298948</v>
      </c>
      <c r="F269">
        <v>720.69299137226619</v>
      </c>
      <c r="G269">
        <v>0.42399999999999999</v>
      </c>
      <c r="H269">
        <v>1.9E-2</v>
      </c>
      <c r="I269">
        <v>53.40081</v>
      </c>
    </row>
    <row r="270" spans="1:9" x14ac:dyDescent="0.3">
      <c r="A270" t="s">
        <v>9</v>
      </c>
      <c r="B270" t="s">
        <v>395</v>
      </c>
      <c r="C270">
        <v>1</v>
      </c>
      <c r="D270">
        <v>1.8599999999999998E-2</v>
      </c>
      <c r="E270">
        <v>7.0658526980550462</v>
      </c>
      <c r="F270">
        <v>706.53747145873035</v>
      </c>
      <c r="G270">
        <v>0.42399999999999999</v>
      </c>
      <c r="H270">
        <v>1.66E-2</v>
      </c>
      <c r="I270">
        <v>53.603349999999999</v>
      </c>
    </row>
    <row r="271" spans="1:9" x14ac:dyDescent="0.3">
      <c r="A271" t="s">
        <v>9</v>
      </c>
      <c r="B271" t="s">
        <v>396</v>
      </c>
      <c r="C271">
        <v>1</v>
      </c>
      <c r="D271">
        <v>1.78E-2</v>
      </c>
      <c r="E271">
        <v>6.8782863893004667</v>
      </c>
      <c r="F271">
        <v>689.05629148280354</v>
      </c>
      <c r="G271">
        <v>0.42399999999999999</v>
      </c>
      <c r="H271">
        <v>1.37E-2</v>
      </c>
      <c r="I271">
        <v>53.802039999999998</v>
      </c>
    </row>
    <row r="272" spans="1:9" x14ac:dyDescent="0.3">
      <c r="A272" t="s">
        <v>9</v>
      </c>
      <c r="B272" t="s">
        <v>397</v>
      </c>
      <c r="C272">
        <v>1</v>
      </c>
      <c r="D272">
        <v>1.6E-2</v>
      </c>
      <c r="E272">
        <v>6.670262459327259</v>
      </c>
      <c r="F272">
        <v>669.66846120930052</v>
      </c>
      <c r="G272">
        <v>0.42399999999999999</v>
      </c>
      <c r="H272">
        <v>1.0500000000000001E-2</v>
      </c>
      <c r="I272">
        <v>54.001179999999998</v>
      </c>
    </row>
    <row r="273" spans="1:9" x14ac:dyDescent="0.3">
      <c r="A273" t="s">
        <v>9</v>
      </c>
      <c r="B273" t="s">
        <v>398</v>
      </c>
      <c r="C273">
        <v>1</v>
      </c>
      <c r="D273">
        <v>1.2999999999999999E-2</v>
      </c>
      <c r="E273">
        <v>6.4603218691189754</v>
      </c>
      <c r="F273">
        <v>650.10199820188848</v>
      </c>
      <c r="G273">
        <v>0.42399999999999999</v>
      </c>
      <c r="H273">
        <v>7.1999999999999998E-3</v>
      </c>
      <c r="I273">
        <v>54.20234</v>
      </c>
    </row>
    <row r="274" spans="1:9" x14ac:dyDescent="0.3">
      <c r="A274" t="s">
        <v>9</v>
      </c>
      <c r="B274" t="s">
        <v>399</v>
      </c>
      <c r="C274">
        <v>1</v>
      </c>
      <c r="D274">
        <v>8.3999999999999995E-3</v>
      </c>
      <c r="E274">
        <v>6.2723083666742614</v>
      </c>
      <c r="F274">
        <v>632.57913977404121</v>
      </c>
      <c r="G274">
        <v>0.42399999999999999</v>
      </c>
      <c r="H274">
        <v>4.3E-3</v>
      </c>
      <c r="I274">
        <v>54.402320000000003</v>
      </c>
    </row>
    <row r="275" spans="1:9" x14ac:dyDescent="0.3">
      <c r="A275" t="s">
        <v>9</v>
      </c>
      <c r="B275" t="s">
        <v>400</v>
      </c>
      <c r="C275">
        <v>1</v>
      </c>
      <c r="D275">
        <v>5.4000000000000003E-3</v>
      </c>
      <c r="E275">
        <v>6.1245936289385581</v>
      </c>
      <c r="F275">
        <v>618.81212621707368</v>
      </c>
      <c r="G275">
        <v>0.42399999999999999</v>
      </c>
      <c r="H275">
        <v>2E-3</v>
      </c>
      <c r="I275">
        <v>54.600320000000004</v>
      </c>
    </row>
    <row r="276" spans="1:9" x14ac:dyDescent="0.3">
      <c r="A276" t="s">
        <v>9</v>
      </c>
      <c r="B276" t="s">
        <v>401</v>
      </c>
      <c r="C276">
        <v>1</v>
      </c>
      <c r="D276">
        <v>1.9E-3</v>
      </c>
      <c r="E276">
        <v>6.0285978166240124</v>
      </c>
      <c r="F276">
        <v>609.86531650935797</v>
      </c>
      <c r="G276">
        <v>0.42399999999999999</v>
      </c>
      <c r="H276">
        <v>5.0000000000000001E-4</v>
      </c>
      <c r="I276">
        <v>54.800640000000001</v>
      </c>
    </row>
    <row r="277" spans="1:9" x14ac:dyDescent="0.3">
      <c r="A277" t="s">
        <v>9</v>
      </c>
      <c r="B277" t="s">
        <v>402</v>
      </c>
      <c r="C277">
        <v>1</v>
      </c>
      <c r="D277">
        <v>5.0000000000000001E-4</v>
      </c>
      <c r="E277">
        <v>5.995736182564805</v>
      </c>
      <c r="F277">
        <v>606.80261221503986</v>
      </c>
      <c r="G277">
        <v>0.42399999999999999</v>
      </c>
      <c r="H277">
        <v>0</v>
      </c>
      <c r="I277">
        <v>55.00179</v>
      </c>
    </row>
    <row r="278" spans="1:9" x14ac:dyDescent="0.3">
      <c r="A278" t="s">
        <v>9</v>
      </c>
      <c r="B278" t="s">
        <v>403</v>
      </c>
      <c r="C278">
        <v>1</v>
      </c>
      <c r="D278">
        <v>2.0000000000000001E-4</v>
      </c>
      <c r="E278">
        <v>6.0292476929779308</v>
      </c>
      <c r="F278">
        <v>712.17560606360564</v>
      </c>
      <c r="G278">
        <v>0.42399999999999999</v>
      </c>
      <c r="H278">
        <v>5.0000000000000001E-4</v>
      </c>
      <c r="I278">
        <v>55.201329999999999</v>
      </c>
    </row>
    <row r="279" spans="1:9" x14ac:dyDescent="0.3">
      <c r="A279" t="s">
        <v>9</v>
      </c>
      <c r="B279" t="s">
        <v>404</v>
      </c>
      <c r="C279">
        <v>1</v>
      </c>
      <c r="D279">
        <v>5.0000000000000001E-4</v>
      </c>
      <c r="E279">
        <v>6.1268593183951996</v>
      </c>
      <c r="F279">
        <v>721.43894931570458</v>
      </c>
      <c r="G279">
        <v>0.42399999999999999</v>
      </c>
      <c r="H279">
        <v>2E-3</v>
      </c>
      <c r="I279">
        <v>55.403289999999998</v>
      </c>
    </row>
    <row r="280" spans="1:9" x14ac:dyDescent="0.3">
      <c r="A280" t="s">
        <v>9</v>
      </c>
      <c r="B280" t="s">
        <v>405</v>
      </c>
      <c r="C280">
        <v>1</v>
      </c>
      <c r="D280">
        <v>1E-3</v>
      </c>
      <c r="E280">
        <v>6.2762718027080737</v>
      </c>
      <c r="F280">
        <v>735.61819407699625</v>
      </c>
      <c r="G280">
        <v>0.42399999999999999</v>
      </c>
      <c r="H280">
        <v>4.4000000000000003E-3</v>
      </c>
      <c r="I280">
        <v>55.602290000000004</v>
      </c>
    </row>
    <row r="281" spans="1:9" x14ac:dyDescent="0.3">
      <c r="A281" t="s">
        <v>9</v>
      </c>
      <c r="B281" t="s">
        <v>406</v>
      </c>
      <c r="C281">
        <v>1</v>
      </c>
      <c r="D281">
        <v>3.0999999999999999E-3</v>
      </c>
      <c r="E281">
        <v>6.4657766671182273</v>
      </c>
      <c r="F281">
        <v>753.60220570951981</v>
      </c>
      <c r="G281">
        <v>0.42399999999999999</v>
      </c>
      <c r="H281">
        <v>7.3000000000000001E-3</v>
      </c>
      <c r="I281">
        <v>55.803049999999999</v>
      </c>
    </row>
    <row r="282" spans="1:9" x14ac:dyDescent="0.3">
      <c r="A282" t="s">
        <v>9</v>
      </c>
      <c r="B282" t="s">
        <v>407</v>
      </c>
      <c r="C282">
        <v>1</v>
      </c>
      <c r="D282">
        <v>6.3E-3</v>
      </c>
      <c r="E282">
        <v>6.6730942670449984</v>
      </c>
      <c r="F282">
        <v>773.27664594257044</v>
      </c>
      <c r="G282">
        <v>0.42399999999999999</v>
      </c>
      <c r="H282">
        <v>1.0500000000000001E-2</v>
      </c>
      <c r="I282">
        <v>56.001480000000001</v>
      </c>
    </row>
    <row r="283" spans="1:9" x14ac:dyDescent="0.3">
      <c r="A283" t="s">
        <v>9</v>
      </c>
      <c r="B283" t="s">
        <v>408</v>
      </c>
      <c r="C283">
        <v>1</v>
      </c>
      <c r="D283">
        <v>9.1999999999999998E-3</v>
      </c>
      <c r="E283">
        <v>6.8826756101688149</v>
      </c>
      <c r="F283">
        <v>793.16591540502054</v>
      </c>
      <c r="G283">
        <v>0.42399999999999999</v>
      </c>
      <c r="H283">
        <v>1.38E-2</v>
      </c>
      <c r="I283">
        <v>56.202300000000001</v>
      </c>
    </row>
    <row r="284" spans="1:9" x14ac:dyDescent="0.3">
      <c r="A284" t="s">
        <v>9</v>
      </c>
      <c r="B284" t="s">
        <v>409</v>
      </c>
      <c r="C284">
        <v>1</v>
      </c>
      <c r="D284">
        <v>1.24E-2</v>
      </c>
      <c r="E284">
        <v>7.0699459252759214</v>
      </c>
      <c r="F284">
        <v>810.93786830868498</v>
      </c>
      <c r="G284">
        <v>0.42399999999999999</v>
      </c>
      <c r="H284">
        <v>1.67E-2</v>
      </c>
      <c r="I284">
        <v>56.401409999999998</v>
      </c>
    </row>
    <row r="285" spans="1:9" x14ac:dyDescent="0.3">
      <c r="A285" t="s">
        <v>9</v>
      </c>
      <c r="B285" t="s">
        <v>410</v>
      </c>
      <c r="C285">
        <v>1</v>
      </c>
      <c r="D285">
        <v>1.54E-2</v>
      </c>
      <c r="E285">
        <v>7.2184641843968276</v>
      </c>
      <c r="F285">
        <v>825.03225109925904</v>
      </c>
      <c r="G285">
        <v>0.42399999999999999</v>
      </c>
      <c r="H285">
        <v>1.9E-2</v>
      </c>
      <c r="I285">
        <v>56.600360000000002</v>
      </c>
    </row>
    <row r="286" spans="1:9" x14ac:dyDescent="0.3">
      <c r="A286" t="s">
        <v>9</v>
      </c>
      <c r="B286" t="s">
        <v>411</v>
      </c>
      <c r="C286">
        <v>1</v>
      </c>
      <c r="D286">
        <v>1.6199999999999999E-2</v>
      </c>
      <c r="E286">
        <v>7.3150898914667311</v>
      </c>
      <c r="F286">
        <v>834.20203070019284</v>
      </c>
      <c r="G286">
        <v>0.42399999999999999</v>
      </c>
      <c r="H286">
        <v>2.0500000000000001E-2</v>
      </c>
      <c r="I286">
        <v>56.80265</v>
      </c>
    </row>
    <row r="287" spans="1:9" x14ac:dyDescent="0.3">
      <c r="A287" t="s">
        <v>9</v>
      </c>
      <c r="B287" t="s">
        <v>412</v>
      </c>
      <c r="C287">
        <v>1</v>
      </c>
      <c r="D287">
        <v>1.83E-2</v>
      </c>
      <c r="E287">
        <v>7.3473025151975344</v>
      </c>
      <c r="F287">
        <v>837.25900869224608</v>
      </c>
      <c r="G287">
        <v>0.42399999999999999</v>
      </c>
      <c r="H287">
        <v>2.1000000000000001E-2</v>
      </c>
      <c r="I287">
        <v>57.000329999999998</v>
      </c>
    </row>
    <row r="288" spans="1:9" x14ac:dyDescent="0.3">
      <c r="A288" t="s">
        <v>9</v>
      </c>
      <c r="B288" t="s">
        <v>413</v>
      </c>
      <c r="C288">
        <v>1</v>
      </c>
      <c r="D288">
        <v>1.9400000000000001E-2</v>
      </c>
      <c r="E288">
        <v>7.3133248772921444</v>
      </c>
      <c r="F288">
        <v>729.60187856362779</v>
      </c>
      <c r="G288">
        <v>0.42399999999999999</v>
      </c>
      <c r="H288">
        <v>2.0500000000000001E-2</v>
      </c>
      <c r="I288">
        <v>57.202730000000003</v>
      </c>
    </row>
    <row r="289" spans="1:9" x14ac:dyDescent="0.3">
      <c r="A289" t="s">
        <v>9</v>
      </c>
      <c r="B289" t="s">
        <v>414</v>
      </c>
      <c r="C289">
        <v>1</v>
      </c>
      <c r="D289">
        <v>1.9400000000000001E-2</v>
      </c>
      <c r="E289">
        <v>7.2167405282387342</v>
      </c>
      <c r="F289">
        <v>720.60021723185002</v>
      </c>
      <c r="G289">
        <v>0.42399999999999999</v>
      </c>
      <c r="H289">
        <v>1.9E-2</v>
      </c>
      <c r="I289">
        <v>57.402389999999997</v>
      </c>
    </row>
    <row r="290" spans="1:9" x14ac:dyDescent="0.3">
      <c r="A290" t="s">
        <v>9</v>
      </c>
      <c r="B290" t="s">
        <v>415</v>
      </c>
      <c r="C290">
        <v>1</v>
      </c>
      <c r="D290">
        <v>1.8800000000000001E-2</v>
      </c>
      <c r="E290">
        <v>7.0672819824486659</v>
      </c>
      <c r="F290">
        <v>706.67068076421572</v>
      </c>
      <c r="G290">
        <v>0.42399999999999999</v>
      </c>
      <c r="H290">
        <v>1.66E-2</v>
      </c>
      <c r="I290">
        <v>57.601689999999998</v>
      </c>
    </row>
    <row r="291" spans="1:9" x14ac:dyDescent="0.3">
      <c r="A291" t="s">
        <v>9</v>
      </c>
      <c r="B291" t="s">
        <v>416</v>
      </c>
      <c r="C291">
        <v>1</v>
      </c>
      <c r="D291">
        <v>1.7999999999999999E-2</v>
      </c>
      <c r="E291">
        <v>6.8794087323363637</v>
      </c>
      <c r="F291">
        <v>689.16089385374914</v>
      </c>
      <c r="G291">
        <v>0.42399999999999999</v>
      </c>
      <c r="H291">
        <v>1.37E-2</v>
      </c>
      <c r="I291">
        <v>57.800930000000001</v>
      </c>
    </row>
    <row r="292" spans="1:9" x14ac:dyDescent="0.3">
      <c r="A292" t="s">
        <v>9</v>
      </c>
      <c r="B292" t="s">
        <v>417</v>
      </c>
      <c r="C292">
        <v>1</v>
      </c>
      <c r="D292">
        <v>1.6199999999999999E-2</v>
      </c>
      <c r="E292">
        <v>6.6690541564923684</v>
      </c>
      <c r="F292">
        <v>669.55584738508867</v>
      </c>
      <c r="G292">
        <v>0.42399999999999999</v>
      </c>
      <c r="H292">
        <v>1.0500000000000001E-2</v>
      </c>
      <c r="I292">
        <v>58.002319999999997</v>
      </c>
    </row>
    <row r="293" spans="1:9" x14ac:dyDescent="0.3">
      <c r="A293" t="s">
        <v>9</v>
      </c>
      <c r="B293" t="s">
        <v>418</v>
      </c>
      <c r="C293">
        <v>1</v>
      </c>
      <c r="D293">
        <v>1.3100000000000001E-2</v>
      </c>
      <c r="E293">
        <v>6.4601540042284924</v>
      </c>
      <c r="F293">
        <v>650.08635319409541</v>
      </c>
      <c r="G293">
        <v>0.42399999999999999</v>
      </c>
      <c r="H293">
        <v>7.1999999999999998E-3</v>
      </c>
      <c r="I293">
        <v>58.202509999999997</v>
      </c>
    </row>
    <row r="294" spans="1:9" x14ac:dyDescent="0.3">
      <c r="A294" t="s">
        <v>9</v>
      </c>
      <c r="B294" t="s">
        <v>419</v>
      </c>
      <c r="C294">
        <v>1</v>
      </c>
      <c r="D294">
        <v>8.8000000000000005E-3</v>
      </c>
      <c r="E294">
        <v>6.2727688598049944</v>
      </c>
      <c r="F294">
        <v>632.62205773382539</v>
      </c>
      <c r="G294">
        <v>0.42399999999999999</v>
      </c>
      <c r="H294">
        <v>4.3E-3</v>
      </c>
      <c r="I294">
        <v>58.401780000000002</v>
      </c>
    </row>
    <row r="295" spans="1:9" x14ac:dyDescent="0.3">
      <c r="A295" t="s">
        <v>9</v>
      </c>
      <c r="B295" t="s">
        <v>420</v>
      </c>
      <c r="C295">
        <v>1</v>
      </c>
      <c r="D295">
        <v>4.7999999999999996E-3</v>
      </c>
      <c r="E295">
        <v>6.1232783223727516</v>
      </c>
      <c r="F295">
        <v>618.6895396451406</v>
      </c>
      <c r="G295">
        <v>0.42399999999999999</v>
      </c>
      <c r="H295">
        <v>2E-3</v>
      </c>
      <c r="I295">
        <v>58.602440000000001</v>
      </c>
    </row>
    <row r="296" spans="1:9" x14ac:dyDescent="0.3">
      <c r="A296" t="s">
        <v>9</v>
      </c>
      <c r="B296" t="s">
        <v>421</v>
      </c>
      <c r="C296">
        <v>1</v>
      </c>
      <c r="D296">
        <v>1.8E-3</v>
      </c>
      <c r="E296">
        <v>6.0282772271208458</v>
      </c>
      <c r="F296">
        <v>609.83543756766289</v>
      </c>
      <c r="G296">
        <v>0.42399999999999999</v>
      </c>
      <c r="H296">
        <v>5.0000000000000001E-4</v>
      </c>
      <c r="I296">
        <v>58.80162</v>
      </c>
    </row>
    <row r="297" spans="1:9" x14ac:dyDescent="0.3">
      <c r="A297" t="s">
        <v>9</v>
      </c>
      <c r="B297" t="s">
        <v>422</v>
      </c>
      <c r="C297">
        <v>1</v>
      </c>
      <c r="D297">
        <v>5.0000000000000001E-4</v>
      </c>
      <c r="E297">
        <v>5.9957338463306149</v>
      </c>
      <c r="F297">
        <v>606.8023944780133</v>
      </c>
      <c r="G297">
        <v>0.42399999999999999</v>
      </c>
      <c r="H297">
        <v>0</v>
      </c>
      <c r="I297">
        <v>59.00065</v>
      </c>
    </row>
    <row r="298" spans="1:9" x14ac:dyDescent="0.3">
      <c r="A298" t="s">
        <v>9</v>
      </c>
      <c r="B298" t="s">
        <v>423</v>
      </c>
      <c r="C298">
        <v>1</v>
      </c>
      <c r="D298">
        <v>-5.0000000000000001E-4</v>
      </c>
      <c r="E298">
        <v>6.0295600189872109</v>
      </c>
      <c r="F298">
        <v>712.20524580188635</v>
      </c>
      <c r="G298">
        <v>0.42399999999999999</v>
      </c>
      <c r="H298">
        <v>5.0000000000000001E-4</v>
      </c>
      <c r="I298">
        <v>59.202269999999999</v>
      </c>
    </row>
    <row r="299" spans="1:9" x14ac:dyDescent="0.3">
      <c r="A299" t="s">
        <v>9</v>
      </c>
      <c r="B299" t="s">
        <v>424</v>
      </c>
      <c r="C299">
        <v>1</v>
      </c>
      <c r="D299">
        <v>-4.0000000000000002E-4</v>
      </c>
      <c r="E299">
        <v>6.1251803856608298</v>
      </c>
      <c r="F299">
        <v>721.27961859921277</v>
      </c>
      <c r="G299">
        <v>0.42399999999999999</v>
      </c>
      <c r="H299">
        <v>2E-3</v>
      </c>
      <c r="I299">
        <v>59.40061</v>
      </c>
    </row>
    <row r="300" spans="1:9" x14ac:dyDescent="0.3">
      <c r="A300" t="s">
        <v>9</v>
      </c>
      <c r="B300" t="s">
        <v>425</v>
      </c>
      <c r="C300">
        <v>1</v>
      </c>
      <c r="D300">
        <v>5.0000000000000001E-4</v>
      </c>
      <c r="E300">
        <v>6.2757673565480436</v>
      </c>
      <c r="F300">
        <v>735.57032213640935</v>
      </c>
      <c r="G300">
        <v>0.42399999999999999</v>
      </c>
      <c r="H300">
        <v>4.4000000000000003E-3</v>
      </c>
      <c r="I300">
        <v>59.601700000000001</v>
      </c>
    </row>
    <row r="301" spans="1:9" x14ac:dyDescent="0.3">
      <c r="A301" t="s">
        <v>9</v>
      </c>
      <c r="B301" t="s">
        <v>426</v>
      </c>
      <c r="C301">
        <v>1</v>
      </c>
      <c r="D301">
        <v>2.5000000000000001E-3</v>
      </c>
      <c r="E301">
        <v>6.4641434309373764</v>
      </c>
      <c r="F301">
        <v>753.44721159595701</v>
      </c>
      <c r="G301">
        <v>0.42399999999999999</v>
      </c>
      <c r="H301">
        <v>7.3000000000000001E-3</v>
      </c>
      <c r="I301">
        <v>59.801439999999999</v>
      </c>
    </row>
    <row r="302" spans="1:9" x14ac:dyDescent="0.3">
      <c r="A302" t="s">
        <v>9</v>
      </c>
      <c r="B302" t="s">
        <v>427</v>
      </c>
      <c r="C302">
        <v>1</v>
      </c>
      <c r="D302">
        <v>6.1999999999999998E-3</v>
      </c>
      <c r="E302">
        <v>6.6726681172867872</v>
      </c>
      <c r="F302">
        <v>773.2362043305161</v>
      </c>
      <c r="G302">
        <v>0.42399999999999999</v>
      </c>
      <c r="H302">
        <v>1.0500000000000001E-2</v>
      </c>
      <c r="I302">
        <v>60.001080000000002</v>
      </c>
    </row>
    <row r="303" spans="1:9" x14ac:dyDescent="0.3">
      <c r="A303" t="s">
        <v>9</v>
      </c>
      <c r="B303" t="s">
        <v>428</v>
      </c>
      <c r="C303">
        <v>1</v>
      </c>
      <c r="D303">
        <v>9.5999999999999992E-3</v>
      </c>
      <c r="E303">
        <v>6.8819084595098836</v>
      </c>
      <c r="F303">
        <v>793.09311280748796</v>
      </c>
      <c r="G303">
        <v>0.42399999999999999</v>
      </c>
      <c r="H303">
        <v>1.38E-2</v>
      </c>
      <c r="I303">
        <v>60.201549999999997</v>
      </c>
    </row>
    <row r="304" spans="1:9" x14ac:dyDescent="0.3">
      <c r="A304" t="s">
        <v>9</v>
      </c>
      <c r="B304" t="s">
        <v>429</v>
      </c>
      <c r="C304">
        <v>1</v>
      </c>
      <c r="D304">
        <v>1.23E-2</v>
      </c>
      <c r="E304">
        <v>7.069064026394754</v>
      </c>
      <c r="F304">
        <v>810.85417610486218</v>
      </c>
      <c r="G304">
        <v>0.42399999999999999</v>
      </c>
      <c r="H304">
        <v>1.67E-2</v>
      </c>
      <c r="I304">
        <v>60.400379999999998</v>
      </c>
    </row>
    <row r="305" spans="1:9" x14ac:dyDescent="0.3">
      <c r="A305" t="s">
        <v>9</v>
      </c>
      <c r="B305" t="s">
        <v>430</v>
      </c>
      <c r="C305">
        <v>1</v>
      </c>
      <c r="D305">
        <v>1.47E-2</v>
      </c>
      <c r="E305">
        <v>7.2187589616320507</v>
      </c>
      <c r="F305">
        <v>825.06022545888163</v>
      </c>
      <c r="G305">
        <v>0.42399999999999999</v>
      </c>
      <c r="H305">
        <v>1.9E-2</v>
      </c>
      <c r="I305">
        <v>60.600830000000002</v>
      </c>
    </row>
    <row r="306" spans="1:9" x14ac:dyDescent="0.3">
      <c r="A306" t="s">
        <v>9</v>
      </c>
      <c r="B306" t="s">
        <v>431</v>
      </c>
      <c r="C306">
        <v>1</v>
      </c>
      <c r="D306">
        <v>1.7399999999999999E-2</v>
      </c>
      <c r="E306">
        <v>7.3150055535507406</v>
      </c>
      <c r="F306">
        <v>834.19402703196545</v>
      </c>
      <c r="G306">
        <v>0.42399999999999999</v>
      </c>
      <c r="H306">
        <v>2.0500000000000001E-2</v>
      </c>
      <c r="I306">
        <v>60.802379999999999</v>
      </c>
    </row>
    <row r="307" spans="1:9" x14ac:dyDescent="0.3">
      <c r="A307" t="s">
        <v>9</v>
      </c>
      <c r="B307" t="s">
        <v>432</v>
      </c>
      <c r="C307">
        <v>1</v>
      </c>
      <c r="D307">
        <v>1.8200000000000001E-2</v>
      </c>
      <c r="E307">
        <v>7.3473025151975344</v>
      </c>
      <c r="F307">
        <v>837.25900869224608</v>
      </c>
      <c r="G307">
        <v>0.42399999999999999</v>
      </c>
      <c r="H307">
        <v>2.1000000000000001E-2</v>
      </c>
      <c r="I307">
        <v>61.00047</v>
      </c>
    </row>
    <row r="308" spans="1:9" x14ac:dyDescent="0.3">
      <c r="A308" t="s">
        <v>9</v>
      </c>
      <c r="B308" t="s">
        <v>433</v>
      </c>
      <c r="C308">
        <v>1</v>
      </c>
      <c r="D308">
        <v>1.9300000000000001E-2</v>
      </c>
      <c r="E308">
        <v>7.3132016141841563</v>
      </c>
      <c r="F308">
        <v>729.59039044196334</v>
      </c>
      <c r="G308">
        <v>0.42399999999999999</v>
      </c>
      <c r="H308">
        <v>2.0500000000000001E-2</v>
      </c>
      <c r="I308">
        <v>61.203099999999999</v>
      </c>
    </row>
    <row r="309" spans="1:9" x14ac:dyDescent="0.3">
      <c r="A309" t="s">
        <v>9</v>
      </c>
      <c r="B309" t="s">
        <v>434</v>
      </c>
      <c r="C309">
        <v>1</v>
      </c>
      <c r="D309">
        <v>1.9199999999999998E-2</v>
      </c>
      <c r="E309">
        <v>7.2172080360134414</v>
      </c>
      <c r="F309">
        <v>720.64378895645279</v>
      </c>
      <c r="G309">
        <v>0.42399999999999999</v>
      </c>
      <c r="H309">
        <v>1.9E-2</v>
      </c>
      <c r="I309">
        <v>61.401649999999997</v>
      </c>
    </row>
    <row r="310" spans="1:9" x14ac:dyDescent="0.3">
      <c r="A310" t="s">
        <v>9</v>
      </c>
      <c r="B310" t="s">
        <v>435</v>
      </c>
      <c r="C310">
        <v>1</v>
      </c>
      <c r="D310">
        <v>1.8700000000000001E-2</v>
      </c>
      <c r="E310">
        <v>7.0672763058581651</v>
      </c>
      <c r="F310">
        <v>706.67015170598097</v>
      </c>
      <c r="G310">
        <v>0.42399999999999999</v>
      </c>
      <c r="H310">
        <v>1.66E-2</v>
      </c>
      <c r="I310">
        <v>61.601700000000001</v>
      </c>
    </row>
    <row r="311" spans="1:9" x14ac:dyDescent="0.3">
      <c r="A311" t="s">
        <v>9</v>
      </c>
      <c r="B311" t="s">
        <v>436</v>
      </c>
      <c r="C311">
        <v>1</v>
      </c>
      <c r="D311">
        <v>1.7899999999999999E-2</v>
      </c>
      <c r="E311">
        <v>6.8779835026502427</v>
      </c>
      <c r="F311">
        <v>689.02806244700264</v>
      </c>
      <c r="G311">
        <v>0.42399999999999999</v>
      </c>
      <c r="H311">
        <v>1.37E-2</v>
      </c>
      <c r="I311">
        <v>61.802340000000001</v>
      </c>
    </row>
    <row r="312" spans="1:9" x14ac:dyDescent="0.3">
      <c r="A312" t="s">
        <v>9</v>
      </c>
      <c r="B312" t="s">
        <v>437</v>
      </c>
      <c r="C312">
        <v>1</v>
      </c>
      <c r="D312">
        <v>1.6199999999999999E-2</v>
      </c>
      <c r="E312">
        <v>6.6698209016805476</v>
      </c>
      <c r="F312">
        <v>669.62730803662703</v>
      </c>
      <c r="G312">
        <v>0.42399999999999999</v>
      </c>
      <c r="H312">
        <v>1.0500000000000001E-2</v>
      </c>
      <c r="I312">
        <v>62.001600000000003</v>
      </c>
    </row>
    <row r="313" spans="1:9" x14ac:dyDescent="0.3">
      <c r="A313" t="s">
        <v>9</v>
      </c>
      <c r="B313" t="s">
        <v>438</v>
      </c>
      <c r="C313">
        <v>1</v>
      </c>
      <c r="D313">
        <v>1.34E-2</v>
      </c>
      <c r="E313">
        <v>6.4609848137951653</v>
      </c>
      <c r="F313">
        <v>650.16378464570937</v>
      </c>
      <c r="G313">
        <v>0.42399999999999999</v>
      </c>
      <c r="H313">
        <v>7.1999999999999998E-3</v>
      </c>
      <c r="I313">
        <v>62.201689999999999</v>
      </c>
    </row>
    <row r="314" spans="1:9" x14ac:dyDescent="0.3">
      <c r="A314" t="s">
        <v>9</v>
      </c>
      <c r="B314" t="s">
        <v>439</v>
      </c>
      <c r="C314">
        <v>1</v>
      </c>
      <c r="D314">
        <v>8.3999999999999995E-3</v>
      </c>
      <c r="E314">
        <v>6.2728798776963348</v>
      </c>
      <c r="F314">
        <v>632.63240460129839</v>
      </c>
      <c r="G314">
        <v>0.42399999999999999</v>
      </c>
      <c r="H314">
        <v>4.3E-3</v>
      </c>
      <c r="I314">
        <v>62.40166</v>
      </c>
    </row>
    <row r="315" spans="1:9" x14ac:dyDescent="0.3">
      <c r="A315" t="s">
        <v>9</v>
      </c>
      <c r="B315" t="s">
        <v>440</v>
      </c>
      <c r="C315">
        <v>1</v>
      </c>
      <c r="D315">
        <v>5.4999999999999997E-3</v>
      </c>
      <c r="E315">
        <v>6.1244341572925967</v>
      </c>
      <c r="F315">
        <v>618.79726345967003</v>
      </c>
      <c r="G315">
        <v>0.42399999999999999</v>
      </c>
      <c r="H315">
        <v>2E-3</v>
      </c>
      <c r="I315">
        <v>62.600580000000001</v>
      </c>
    </row>
    <row r="316" spans="1:9" x14ac:dyDescent="0.3">
      <c r="A316" t="s">
        <v>9</v>
      </c>
      <c r="B316" t="s">
        <v>441</v>
      </c>
      <c r="C316">
        <v>1</v>
      </c>
      <c r="D316">
        <v>2E-3</v>
      </c>
      <c r="E316">
        <v>6.0284729883989279</v>
      </c>
      <c r="F316">
        <v>609.85368251878015</v>
      </c>
      <c r="G316">
        <v>0.42399999999999999</v>
      </c>
      <c r="H316">
        <v>5.0000000000000001E-4</v>
      </c>
      <c r="I316">
        <v>62.801029999999997</v>
      </c>
    </row>
    <row r="317" spans="1:9" x14ac:dyDescent="0.3">
      <c r="A317" t="s">
        <v>9</v>
      </c>
      <c r="B317" t="s">
        <v>442</v>
      </c>
      <c r="C317">
        <v>1</v>
      </c>
      <c r="D317">
        <v>2.9999999999999997E-4</v>
      </c>
      <c r="E317">
        <v>5.995735618646223</v>
      </c>
      <c r="F317">
        <v>606.80255965782794</v>
      </c>
      <c r="G317">
        <v>0.42399999999999999</v>
      </c>
      <c r="H317">
        <v>0</v>
      </c>
      <c r="I317">
        <v>63.001609999999999</v>
      </c>
    </row>
    <row r="318" spans="1:9" x14ac:dyDescent="0.3">
      <c r="A318" t="s">
        <v>9</v>
      </c>
      <c r="B318" t="s">
        <v>443</v>
      </c>
      <c r="C318">
        <v>1</v>
      </c>
      <c r="D318">
        <v>-5.0000000000000001E-4</v>
      </c>
      <c r="E318">
        <v>6.0293691355222521</v>
      </c>
      <c r="F318">
        <v>712.18713096106171</v>
      </c>
      <c r="G318">
        <v>0.42399999999999999</v>
      </c>
      <c r="H318">
        <v>5.0000000000000001E-4</v>
      </c>
      <c r="I318">
        <v>63.201700000000002</v>
      </c>
    </row>
    <row r="319" spans="1:9" x14ac:dyDescent="0.3">
      <c r="A319" t="s">
        <v>9</v>
      </c>
      <c r="B319" t="s">
        <v>444</v>
      </c>
      <c r="C319">
        <v>1</v>
      </c>
      <c r="D319">
        <v>-2.0000000000000001E-4</v>
      </c>
      <c r="E319">
        <v>6.1259197615733862</v>
      </c>
      <c r="F319">
        <v>721.34978537331438</v>
      </c>
      <c r="G319">
        <v>0.42399999999999999</v>
      </c>
      <c r="H319">
        <v>2E-3</v>
      </c>
      <c r="I319">
        <v>63.401789999999998</v>
      </c>
    </row>
    <row r="320" spans="1:9" x14ac:dyDescent="0.3">
      <c r="A320" t="s">
        <v>9</v>
      </c>
      <c r="B320" t="s">
        <v>445</v>
      </c>
      <c r="C320">
        <v>1</v>
      </c>
      <c r="D320">
        <v>6.9999999999999999E-4</v>
      </c>
      <c r="E320">
        <v>6.276826851617697</v>
      </c>
      <c r="F320">
        <v>735.67086821851944</v>
      </c>
      <c r="G320">
        <v>0.42399999999999999</v>
      </c>
      <c r="H320">
        <v>4.4000000000000003E-3</v>
      </c>
      <c r="I320">
        <v>63.602930000000001</v>
      </c>
    </row>
    <row r="321" spans="1:9" x14ac:dyDescent="0.3">
      <c r="A321" t="s">
        <v>9</v>
      </c>
      <c r="B321" t="s">
        <v>446</v>
      </c>
      <c r="C321">
        <v>1</v>
      </c>
      <c r="D321">
        <v>3.0000000000000001E-3</v>
      </c>
      <c r="E321">
        <v>6.4639050141363974</v>
      </c>
      <c r="F321">
        <v>753.42458584154406</v>
      </c>
      <c r="G321">
        <v>0.42399999999999999</v>
      </c>
      <c r="H321">
        <v>7.3000000000000001E-3</v>
      </c>
      <c r="I321">
        <v>63.801200000000001</v>
      </c>
    </row>
    <row r="322" spans="1:9" x14ac:dyDescent="0.3">
      <c r="A322" t="s">
        <v>9</v>
      </c>
      <c r="B322" t="s">
        <v>447</v>
      </c>
      <c r="C322">
        <v>1</v>
      </c>
      <c r="D322">
        <v>6.1999999999999998E-3</v>
      </c>
      <c r="E322">
        <v>6.6739173726674226</v>
      </c>
      <c r="F322">
        <v>773.35475866613854</v>
      </c>
      <c r="G322">
        <v>0.42399999999999999</v>
      </c>
      <c r="H322">
        <v>1.0500000000000001E-2</v>
      </c>
      <c r="I322">
        <v>64.002260000000007</v>
      </c>
    </row>
    <row r="323" spans="1:9" x14ac:dyDescent="0.3">
      <c r="A323" t="s">
        <v>9</v>
      </c>
      <c r="B323" t="s">
        <v>448</v>
      </c>
      <c r="C323">
        <v>1</v>
      </c>
      <c r="D323">
        <v>9.1000000000000004E-3</v>
      </c>
      <c r="E323">
        <v>6.8826005980800709</v>
      </c>
      <c r="F323">
        <v>793.15879675779877</v>
      </c>
      <c r="G323">
        <v>0.42399999999999999</v>
      </c>
      <c r="H323">
        <v>1.38E-2</v>
      </c>
      <c r="I323">
        <v>64.20223</v>
      </c>
    </row>
    <row r="324" spans="1:9" x14ac:dyDescent="0.3">
      <c r="A324" t="s">
        <v>9</v>
      </c>
      <c r="B324" t="s">
        <v>449</v>
      </c>
      <c r="C324">
        <v>1</v>
      </c>
      <c r="D324">
        <v>1.2200000000000001E-2</v>
      </c>
      <c r="E324">
        <v>7.0702820605276422</v>
      </c>
      <c r="F324">
        <v>810.96976754407331</v>
      </c>
      <c r="G324">
        <v>0.42399999999999999</v>
      </c>
      <c r="H324">
        <v>1.67E-2</v>
      </c>
      <c r="I324">
        <v>64.401799999999994</v>
      </c>
    </row>
    <row r="325" spans="1:9" x14ac:dyDescent="0.3">
      <c r="A325" t="s">
        <v>9</v>
      </c>
      <c r="B325" t="s">
        <v>450</v>
      </c>
      <c r="C325">
        <v>1</v>
      </c>
      <c r="D325">
        <v>1.4999999999999999E-2</v>
      </c>
      <c r="E325">
        <v>7.2192889119022512</v>
      </c>
      <c r="F325">
        <v>825.11051773952363</v>
      </c>
      <c r="G325">
        <v>0.42399999999999999</v>
      </c>
      <c r="H325">
        <v>1.9E-2</v>
      </c>
      <c r="I325">
        <v>64.601680000000002</v>
      </c>
    </row>
    <row r="326" spans="1:9" x14ac:dyDescent="0.3">
      <c r="A326" t="s">
        <v>9</v>
      </c>
      <c r="B326" t="s">
        <v>451</v>
      </c>
      <c r="C326">
        <v>1</v>
      </c>
      <c r="D326">
        <v>1.6899999999999998E-2</v>
      </c>
      <c r="E326">
        <v>7.3145903515027788</v>
      </c>
      <c r="F326">
        <v>834.15462435761378</v>
      </c>
      <c r="G326">
        <v>0.42399999999999999</v>
      </c>
      <c r="H326">
        <v>2.0500000000000001E-2</v>
      </c>
      <c r="I326">
        <v>64.801109999999994</v>
      </c>
    </row>
    <row r="327" spans="1:9" x14ac:dyDescent="0.3">
      <c r="A327" t="s">
        <v>9</v>
      </c>
      <c r="B327" t="s">
        <v>452</v>
      </c>
      <c r="C327">
        <v>1</v>
      </c>
      <c r="D327">
        <v>1.83E-2</v>
      </c>
      <c r="E327">
        <v>7.3472988659607834</v>
      </c>
      <c r="F327">
        <v>837.25866237967841</v>
      </c>
      <c r="G327">
        <v>0.42399999999999999</v>
      </c>
      <c r="H327">
        <v>2.1000000000000001E-2</v>
      </c>
      <c r="I327">
        <v>65.002129999999994</v>
      </c>
    </row>
    <row r="328" spans="1:9" x14ac:dyDescent="0.3">
      <c r="A328" t="s">
        <v>9</v>
      </c>
      <c r="B328" t="s">
        <v>453</v>
      </c>
      <c r="C328">
        <v>1</v>
      </c>
      <c r="D328">
        <v>1.9199999999999998E-2</v>
      </c>
      <c r="E328">
        <v>7.3133609641888899</v>
      </c>
      <c r="F328">
        <v>729.60524186240457</v>
      </c>
      <c r="G328">
        <v>0.42399999999999999</v>
      </c>
      <c r="H328">
        <v>2.0500000000000001E-2</v>
      </c>
      <c r="I328">
        <v>65.202619999999996</v>
      </c>
    </row>
    <row r="329" spans="1:9" x14ac:dyDescent="0.3">
      <c r="A329" t="s">
        <v>9</v>
      </c>
      <c r="B329" t="s">
        <v>454</v>
      </c>
      <c r="C329">
        <v>1</v>
      </c>
      <c r="D329">
        <v>1.9099999999999999E-2</v>
      </c>
      <c r="E329">
        <v>7.2181422406213569</v>
      </c>
      <c r="F329">
        <v>720.73085682591045</v>
      </c>
      <c r="G329">
        <v>0.42399999999999999</v>
      </c>
      <c r="H329">
        <v>1.9E-2</v>
      </c>
      <c r="I329">
        <v>65.400149999999996</v>
      </c>
    </row>
    <row r="330" spans="1:9" x14ac:dyDescent="0.3">
      <c r="A330" t="s">
        <v>9</v>
      </c>
      <c r="B330" t="s">
        <v>455</v>
      </c>
      <c r="C330">
        <v>1</v>
      </c>
      <c r="D330">
        <v>1.8700000000000001E-2</v>
      </c>
      <c r="E330">
        <v>7.0663133128270053</v>
      </c>
      <c r="F330">
        <v>706.58040075547694</v>
      </c>
      <c r="G330">
        <v>0.42399999999999999</v>
      </c>
      <c r="H330">
        <v>1.66E-2</v>
      </c>
      <c r="I330">
        <v>65.602810000000005</v>
      </c>
    </row>
    <row r="331" spans="1:9" x14ac:dyDescent="0.3">
      <c r="A331" t="s">
        <v>9</v>
      </c>
      <c r="B331" t="s">
        <v>456</v>
      </c>
      <c r="C331">
        <v>1</v>
      </c>
      <c r="D331">
        <v>1.7999999999999999E-2</v>
      </c>
      <c r="E331">
        <v>6.875466745705225</v>
      </c>
      <c r="F331">
        <v>688.79350069972702</v>
      </c>
      <c r="G331">
        <v>0.42399999999999999</v>
      </c>
      <c r="H331">
        <v>1.37E-2</v>
      </c>
      <c r="I331">
        <v>65.804820000000007</v>
      </c>
    </row>
    <row r="332" spans="1:9" x14ac:dyDescent="0.3">
      <c r="A332" t="s">
        <v>9</v>
      </c>
      <c r="B332" t="s">
        <v>457</v>
      </c>
      <c r="C332">
        <v>1</v>
      </c>
      <c r="D332">
        <v>1.6400000000000001E-2</v>
      </c>
      <c r="E332">
        <v>6.6700406668270276</v>
      </c>
      <c r="F332">
        <v>669.64779014827911</v>
      </c>
      <c r="G332">
        <v>0.42399999999999999</v>
      </c>
      <c r="H332">
        <v>1.0500000000000001E-2</v>
      </c>
      <c r="I332">
        <v>66.001390000000001</v>
      </c>
    </row>
    <row r="333" spans="1:9" x14ac:dyDescent="0.3">
      <c r="A333" t="s">
        <v>9</v>
      </c>
      <c r="B333" t="s">
        <v>458</v>
      </c>
      <c r="C333">
        <v>1</v>
      </c>
      <c r="D333">
        <v>1.3299999999999999E-2</v>
      </c>
      <c r="E333">
        <v>6.4615269281878662</v>
      </c>
      <c r="F333">
        <v>650.21430970710912</v>
      </c>
      <c r="G333">
        <v>0.42399999999999999</v>
      </c>
      <c r="H333">
        <v>7.1999999999999998E-3</v>
      </c>
      <c r="I333">
        <v>66.201149999999998</v>
      </c>
    </row>
    <row r="334" spans="1:9" x14ac:dyDescent="0.3">
      <c r="A334" t="s">
        <v>9</v>
      </c>
      <c r="B334" t="s">
        <v>459</v>
      </c>
      <c r="C334">
        <v>1</v>
      </c>
      <c r="D334">
        <v>8.8999999999999999E-3</v>
      </c>
      <c r="E334">
        <v>6.2734740950804042</v>
      </c>
      <c r="F334">
        <v>632.68778566149365</v>
      </c>
      <c r="G334">
        <v>0.42399999999999999</v>
      </c>
      <c r="H334">
        <v>4.3E-3</v>
      </c>
      <c r="I334">
        <v>66.400959999999998</v>
      </c>
    </row>
    <row r="335" spans="1:9" x14ac:dyDescent="0.3">
      <c r="A335" t="s">
        <v>9</v>
      </c>
      <c r="B335" t="s">
        <v>460</v>
      </c>
      <c r="C335">
        <v>1</v>
      </c>
      <c r="D335">
        <v>5.0000000000000001E-3</v>
      </c>
      <c r="E335">
        <v>6.1193220631712144</v>
      </c>
      <c r="F335">
        <v>618.32081628755725</v>
      </c>
      <c r="G335">
        <v>0.42399999999999999</v>
      </c>
      <c r="H335">
        <v>1.9E-3</v>
      </c>
      <c r="I335">
        <v>66.608860000000007</v>
      </c>
    </row>
    <row r="336" spans="1:9" x14ac:dyDescent="0.3">
      <c r="A336" t="s">
        <v>9</v>
      </c>
      <c r="B336" t="s">
        <v>461</v>
      </c>
      <c r="C336">
        <v>1</v>
      </c>
      <c r="D336">
        <v>1.4E-3</v>
      </c>
      <c r="E336">
        <v>6.0281466777034813</v>
      </c>
      <c r="F336">
        <v>609.82327036196443</v>
      </c>
      <c r="G336">
        <v>0.42399999999999999</v>
      </c>
      <c r="H336">
        <v>5.0000000000000001E-4</v>
      </c>
      <c r="I336">
        <v>66.802019999999999</v>
      </c>
    </row>
    <row r="337" spans="1:9" x14ac:dyDescent="0.3">
      <c r="A337" t="s">
        <v>9</v>
      </c>
      <c r="B337" t="s">
        <v>462</v>
      </c>
      <c r="C337">
        <v>1</v>
      </c>
      <c r="D337">
        <v>4.0000000000000002E-4</v>
      </c>
      <c r="E337">
        <v>5.9957337254908847</v>
      </c>
      <c r="F337">
        <v>606.80238321575052</v>
      </c>
      <c r="G337">
        <v>0.42399999999999999</v>
      </c>
      <c r="H337">
        <v>0</v>
      </c>
      <c r="I337">
        <v>67.000529999999998</v>
      </c>
    </row>
    <row r="338" spans="1:9" x14ac:dyDescent="0.3">
      <c r="A338" t="s">
        <v>9</v>
      </c>
      <c r="B338" t="s">
        <v>463</v>
      </c>
      <c r="C338">
        <v>1</v>
      </c>
      <c r="D338">
        <v>-4.0000000000000002E-4</v>
      </c>
      <c r="E338">
        <v>6.0327444727256099</v>
      </c>
      <c r="F338">
        <v>712.50745046166037</v>
      </c>
      <c r="G338">
        <v>0.42399999999999999</v>
      </c>
      <c r="H338">
        <v>5.9999999999999995E-4</v>
      </c>
      <c r="I338">
        <v>67.211669999999998</v>
      </c>
    </row>
    <row r="339" spans="1:9" x14ac:dyDescent="0.3">
      <c r="A339" t="s">
        <v>9</v>
      </c>
      <c r="B339" t="s">
        <v>464</v>
      </c>
      <c r="C339">
        <v>1</v>
      </c>
      <c r="D339">
        <v>-2.0000000000000001E-4</v>
      </c>
      <c r="E339">
        <v>6.1252522350777223</v>
      </c>
      <c r="F339">
        <v>721.28643710887593</v>
      </c>
      <c r="G339">
        <v>0.42399999999999999</v>
      </c>
      <c r="H339">
        <v>2E-3</v>
      </c>
      <c r="I339">
        <v>67.400729999999996</v>
      </c>
    </row>
    <row r="340" spans="1:9" x14ac:dyDescent="0.3">
      <c r="A340" t="s">
        <v>9</v>
      </c>
      <c r="B340" t="s">
        <v>465</v>
      </c>
      <c r="C340">
        <v>1</v>
      </c>
      <c r="D340">
        <v>8.0000000000000004E-4</v>
      </c>
      <c r="E340">
        <v>6.2746676387799951</v>
      </c>
      <c r="F340">
        <v>735.46595892022162</v>
      </c>
      <c r="G340">
        <v>0.42399999999999999</v>
      </c>
      <c r="H340">
        <v>4.3E-3</v>
      </c>
      <c r="I340">
        <v>67.600430000000003</v>
      </c>
    </row>
    <row r="341" spans="1:9" x14ac:dyDescent="0.3">
      <c r="A341" t="s">
        <v>9</v>
      </c>
      <c r="B341" t="s">
        <v>466</v>
      </c>
      <c r="C341">
        <v>1</v>
      </c>
      <c r="D341">
        <v>2.8999999999999998E-3</v>
      </c>
      <c r="E341">
        <v>6.4641714084191229</v>
      </c>
      <c r="F341">
        <v>753.44986665897477</v>
      </c>
      <c r="G341">
        <v>0.42399999999999999</v>
      </c>
      <c r="H341">
        <v>7.3000000000000001E-3</v>
      </c>
      <c r="I341">
        <v>67.801469999999995</v>
      </c>
    </row>
    <row r="342" spans="1:9" x14ac:dyDescent="0.3">
      <c r="A342" t="s">
        <v>9</v>
      </c>
      <c r="B342" t="s">
        <v>467</v>
      </c>
      <c r="C342">
        <v>1</v>
      </c>
      <c r="D342">
        <v>6.1000000000000004E-3</v>
      </c>
      <c r="E342">
        <v>6.6718928572128604</v>
      </c>
      <c r="F342">
        <v>773.1626321495005</v>
      </c>
      <c r="G342">
        <v>0.42399999999999999</v>
      </c>
      <c r="H342">
        <v>1.0500000000000001E-2</v>
      </c>
      <c r="I342">
        <v>68.000349999999997</v>
      </c>
    </row>
    <row r="343" spans="1:9" x14ac:dyDescent="0.3">
      <c r="A343" t="s">
        <v>9</v>
      </c>
      <c r="B343" t="s">
        <v>468</v>
      </c>
      <c r="C343">
        <v>1</v>
      </c>
      <c r="D343">
        <v>9.1000000000000004E-3</v>
      </c>
      <c r="E343">
        <v>6.8819850934816271</v>
      </c>
      <c r="F343">
        <v>793.10038537140645</v>
      </c>
      <c r="G343">
        <v>0.42399999999999999</v>
      </c>
      <c r="H343">
        <v>1.38E-2</v>
      </c>
      <c r="I343">
        <v>68.201620000000005</v>
      </c>
    </row>
    <row r="344" spans="1:9" x14ac:dyDescent="0.3">
      <c r="A344" t="s">
        <v>9</v>
      </c>
      <c r="B344" t="s">
        <v>469</v>
      </c>
      <c r="C344">
        <v>1</v>
      </c>
      <c r="D344">
        <v>1.2200000000000001E-2</v>
      </c>
      <c r="E344">
        <v>7.0701835311353998</v>
      </c>
      <c r="F344">
        <v>810.96041710474947</v>
      </c>
      <c r="G344">
        <v>0.42399999999999999</v>
      </c>
      <c r="H344">
        <v>1.67E-2</v>
      </c>
      <c r="I344">
        <v>68.401690000000002</v>
      </c>
    </row>
    <row r="345" spans="1:9" x14ac:dyDescent="0.3">
      <c r="A345" t="s">
        <v>9</v>
      </c>
      <c r="B345" t="s">
        <v>470</v>
      </c>
      <c r="C345">
        <v>1</v>
      </c>
      <c r="D345">
        <v>1.47E-2</v>
      </c>
      <c r="E345">
        <v>7.2193955507094918</v>
      </c>
      <c r="F345">
        <v>825.12063776233083</v>
      </c>
      <c r="G345">
        <v>0.42399999999999999</v>
      </c>
      <c r="H345">
        <v>1.9E-2</v>
      </c>
      <c r="I345">
        <v>68.601849999999999</v>
      </c>
    </row>
    <row r="346" spans="1:9" x14ac:dyDescent="0.3">
      <c r="A346" t="s">
        <v>9</v>
      </c>
      <c r="B346" t="s">
        <v>471</v>
      </c>
      <c r="C346">
        <v>1</v>
      </c>
      <c r="D346">
        <v>1.6899999999999998E-2</v>
      </c>
      <c r="E346">
        <v>7.3149212156347483</v>
      </c>
      <c r="F346">
        <v>834.1860233637376</v>
      </c>
      <c r="G346">
        <v>0.42399999999999999</v>
      </c>
      <c r="H346">
        <v>2.0500000000000001E-2</v>
      </c>
      <c r="I346">
        <v>68.802120000000002</v>
      </c>
    </row>
    <row r="347" spans="1:9" x14ac:dyDescent="0.3">
      <c r="A347" t="s">
        <v>9</v>
      </c>
      <c r="B347" t="s">
        <v>472</v>
      </c>
      <c r="C347">
        <v>1</v>
      </c>
      <c r="D347">
        <v>1.8200000000000001E-2</v>
      </c>
      <c r="E347">
        <v>7.3473004878437846</v>
      </c>
      <c r="F347">
        <v>837.25881629637524</v>
      </c>
      <c r="G347">
        <v>0.42399999999999999</v>
      </c>
      <c r="H347">
        <v>2.1000000000000001E-2</v>
      </c>
      <c r="I347">
        <v>69.001620000000003</v>
      </c>
    </row>
    <row r="348" spans="1:9" x14ac:dyDescent="0.3">
      <c r="A348" t="s">
        <v>9</v>
      </c>
      <c r="B348" t="s">
        <v>473</v>
      </c>
      <c r="C348">
        <v>1</v>
      </c>
      <c r="D348">
        <v>1.9300000000000001E-2</v>
      </c>
      <c r="E348">
        <v>7.3133216335261437</v>
      </c>
      <c r="F348">
        <v>729.60157624463659</v>
      </c>
      <c r="G348">
        <v>0.42399999999999999</v>
      </c>
      <c r="H348">
        <v>2.0500000000000001E-2</v>
      </c>
      <c r="I348">
        <v>69.202740000000006</v>
      </c>
    </row>
    <row r="349" spans="1:9" x14ac:dyDescent="0.3">
      <c r="A349" t="s">
        <v>9</v>
      </c>
      <c r="B349" t="s">
        <v>474</v>
      </c>
      <c r="C349">
        <v>1</v>
      </c>
      <c r="D349">
        <v>1.95E-2</v>
      </c>
      <c r="E349">
        <v>7.2173398140071816</v>
      </c>
      <c r="F349">
        <v>720.65607066546931</v>
      </c>
      <c r="G349">
        <v>0.42399999999999999</v>
      </c>
      <c r="H349">
        <v>1.9E-2</v>
      </c>
      <c r="I349">
        <v>69.401439999999994</v>
      </c>
    </row>
    <row r="350" spans="1:9" x14ac:dyDescent="0.3">
      <c r="A350" t="s">
        <v>9</v>
      </c>
      <c r="B350" t="s">
        <v>475</v>
      </c>
      <c r="C350">
        <v>1</v>
      </c>
      <c r="D350">
        <v>1.9199999999999998E-2</v>
      </c>
      <c r="E350">
        <v>7.0666591793767228</v>
      </c>
      <c r="F350">
        <v>706.61263551791058</v>
      </c>
      <c r="G350">
        <v>0.42399999999999999</v>
      </c>
      <c r="H350">
        <v>1.66E-2</v>
      </c>
      <c r="I350">
        <v>69.602410000000006</v>
      </c>
    </row>
    <row r="351" spans="1:9" x14ac:dyDescent="0.3">
      <c r="A351" t="s">
        <v>9</v>
      </c>
      <c r="B351" t="s">
        <v>476</v>
      </c>
      <c r="C351">
        <v>1</v>
      </c>
      <c r="D351">
        <v>1.84E-2</v>
      </c>
      <c r="E351">
        <v>6.8798352875653226</v>
      </c>
      <c r="F351">
        <v>689.20064880108816</v>
      </c>
      <c r="G351">
        <v>0.42399999999999999</v>
      </c>
      <c r="H351">
        <v>1.37E-2</v>
      </c>
      <c r="I351">
        <v>69.800510000000003</v>
      </c>
    </row>
    <row r="352" spans="1:9" x14ac:dyDescent="0.3">
      <c r="A352" t="s">
        <v>9</v>
      </c>
      <c r="B352" t="s">
        <v>477</v>
      </c>
      <c r="C352">
        <v>1</v>
      </c>
      <c r="D352">
        <v>1.6799999999999999E-2</v>
      </c>
      <c r="E352">
        <v>6.6677963862259846</v>
      </c>
      <c r="F352">
        <v>669.43862319626191</v>
      </c>
      <c r="G352">
        <v>0.42399999999999999</v>
      </c>
      <c r="H352">
        <v>1.04E-2</v>
      </c>
      <c r="I352">
        <v>70.003500000000003</v>
      </c>
    </row>
    <row r="353" spans="1:9" x14ac:dyDescent="0.3">
      <c r="A353" t="s">
        <v>9</v>
      </c>
      <c r="B353" t="s">
        <v>478</v>
      </c>
      <c r="C353">
        <v>1</v>
      </c>
      <c r="D353">
        <v>1.3599999999999999E-2</v>
      </c>
      <c r="E353">
        <v>6.462491137631277</v>
      </c>
      <c r="F353">
        <v>650.30417402723504</v>
      </c>
      <c r="G353">
        <v>0.42399999999999999</v>
      </c>
      <c r="H353">
        <v>7.3000000000000001E-3</v>
      </c>
      <c r="I353">
        <v>70.200199999999995</v>
      </c>
    </row>
    <row r="354" spans="1:9" x14ac:dyDescent="0.3">
      <c r="A354" t="s">
        <v>9</v>
      </c>
      <c r="B354" t="s">
        <v>479</v>
      </c>
      <c r="C354">
        <v>1</v>
      </c>
      <c r="D354">
        <v>9.4000000000000004E-3</v>
      </c>
      <c r="E354">
        <v>6.2736059947153686</v>
      </c>
      <c r="F354">
        <v>632.70007870747236</v>
      </c>
      <c r="G354">
        <v>0.42399999999999999</v>
      </c>
      <c r="H354">
        <v>4.3E-3</v>
      </c>
      <c r="I354">
        <v>70.400810000000007</v>
      </c>
    </row>
    <row r="355" spans="1:9" x14ac:dyDescent="0.3">
      <c r="A355" t="s">
        <v>9</v>
      </c>
      <c r="B355" t="s">
        <v>480</v>
      </c>
      <c r="C355">
        <v>1</v>
      </c>
      <c r="D355">
        <v>5.3E-3</v>
      </c>
      <c r="E355">
        <v>6.1240933591272544</v>
      </c>
      <c r="F355">
        <v>618.76550107066009</v>
      </c>
      <c r="G355">
        <v>0.42399999999999999</v>
      </c>
      <c r="H355">
        <v>2E-3</v>
      </c>
      <c r="I355">
        <v>70.601129999999998</v>
      </c>
    </row>
    <row r="356" spans="1:9" x14ac:dyDescent="0.3">
      <c r="A356" t="s">
        <v>9</v>
      </c>
      <c r="B356" t="s">
        <v>481</v>
      </c>
      <c r="C356">
        <v>1</v>
      </c>
      <c r="D356">
        <v>2E-3</v>
      </c>
      <c r="E356">
        <v>6.028109865014093</v>
      </c>
      <c r="F356">
        <v>609.81983941931344</v>
      </c>
      <c r="G356">
        <v>0.42399999999999999</v>
      </c>
      <c r="H356">
        <v>5.0000000000000001E-4</v>
      </c>
      <c r="I356">
        <v>70.802139999999994</v>
      </c>
    </row>
    <row r="357" spans="1:9" x14ac:dyDescent="0.3">
      <c r="A357" t="s">
        <v>9</v>
      </c>
      <c r="B357" t="s">
        <v>482</v>
      </c>
      <c r="C357">
        <v>1</v>
      </c>
      <c r="D357">
        <v>2.0000000000000001E-4</v>
      </c>
      <c r="E357">
        <v>5.9957534626447497</v>
      </c>
      <c r="F357">
        <v>606.80422271849068</v>
      </c>
      <c r="G357">
        <v>0.42399999999999999</v>
      </c>
      <c r="H357">
        <v>0</v>
      </c>
      <c r="I357">
        <v>71.004890000000003</v>
      </c>
    </row>
    <row r="358" spans="1:9" x14ac:dyDescent="0.3">
      <c r="A358" t="s">
        <v>9</v>
      </c>
      <c r="B358" t="s">
        <v>483</v>
      </c>
      <c r="C358">
        <v>1</v>
      </c>
      <c r="D358">
        <v>-4.0000000000000002E-4</v>
      </c>
      <c r="E358">
        <v>6.0294168269918629</v>
      </c>
      <c r="F358">
        <v>712.19165688152782</v>
      </c>
      <c r="G358">
        <v>0.42399999999999999</v>
      </c>
      <c r="H358">
        <v>5.0000000000000001E-4</v>
      </c>
      <c r="I358">
        <v>71.201840000000004</v>
      </c>
    </row>
    <row r="359" spans="1:9" x14ac:dyDescent="0.3">
      <c r="A359" t="s">
        <v>9</v>
      </c>
      <c r="B359" t="s">
        <v>484</v>
      </c>
      <c r="C359">
        <v>1</v>
      </c>
      <c r="D359">
        <v>-2.0000000000000001E-4</v>
      </c>
      <c r="E359">
        <v>6.1263358556569969</v>
      </c>
      <c r="F359">
        <v>721.38927270184899</v>
      </c>
      <c r="G359">
        <v>0.42399999999999999</v>
      </c>
      <c r="H359">
        <v>2E-3</v>
      </c>
      <c r="I359">
        <v>71.402460000000005</v>
      </c>
    </row>
    <row r="360" spans="1:9" x14ac:dyDescent="0.3">
      <c r="A360" t="s">
        <v>9</v>
      </c>
      <c r="B360" t="s">
        <v>485</v>
      </c>
      <c r="C360">
        <v>1</v>
      </c>
      <c r="D360">
        <v>5.9999999999999995E-4</v>
      </c>
      <c r="E360">
        <v>6.2768087270751751</v>
      </c>
      <c r="F360">
        <v>735.66914819943418</v>
      </c>
      <c r="G360">
        <v>0.42399999999999999</v>
      </c>
      <c r="H360">
        <v>4.4000000000000003E-3</v>
      </c>
      <c r="I360">
        <v>71.602909999999994</v>
      </c>
    </row>
    <row r="361" spans="1:9" x14ac:dyDescent="0.3">
      <c r="A361" t="s">
        <v>9</v>
      </c>
      <c r="B361" t="s">
        <v>486</v>
      </c>
      <c r="C361">
        <v>1</v>
      </c>
      <c r="D361">
        <v>2.5999999999999999E-3</v>
      </c>
      <c r="E361">
        <v>6.4629614837012346</v>
      </c>
      <c r="F361">
        <v>753.33504480324723</v>
      </c>
      <c r="G361">
        <v>0.42399999999999999</v>
      </c>
      <c r="H361">
        <v>7.3000000000000001E-3</v>
      </c>
      <c r="I361">
        <v>71.800269999999998</v>
      </c>
    </row>
    <row r="362" spans="1:9" x14ac:dyDescent="0.3">
      <c r="A362" t="s">
        <v>9</v>
      </c>
      <c r="B362" t="s">
        <v>487</v>
      </c>
      <c r="C362">
        <v>1</v>
      </c>
      <c r="D362">
        <v>6.0000000000000001E-3</v>
      </c>
      <c r="E362">
        <v>6.6738176268629328</v>
      </c>
      <c r="F362">
        <v>773.34529278929233</v>
      </c>
      <c r="G362">
        <v>0.42399999999999999</v>
      </c>
      <c r="H362">
        <v>1.0500000000000001E-2</v>
      </c>
      <c r="I362">
        <v>72.002170000000007</v>
      </c>
    </row>
    <row r="363" spans="1:9" x14ac:dyDescent="0.3">
      <c r="A363" t="s">
        <v>9</v>
      </c>
      <c r="B363" t="s">
        <v>488</v>
      </c>
      <c r="C363">
        <v>1</v>
      </c>
      <c r="D363">
        <v>8.9999999999999993E-3</v>
      </c>
      <c r="E363">
        <v>6.8827607590263069</v>
      </c>
      <c r="F363">
        <v>793.17399603159652</v>
      </c>
      <c r="G363">
        <v>0.42399999999999999</v>
      </c>
      <c r="H363">
        <v>1.38E-2</v>
      </c>
      <c r="I363">
        <v>72.202389999999994</v>
      </c>
    </row>
    <row r="364" spans="1:9" x14ac:dyDescent="0.3">
      <c r="A364" t="s">
        <v>9</v>
      </c>
      <c r="B364" t="s">
        <v>489</v>
      </c>
      <c r="C364">
        <v>1</v>
      </c>
      <c r="D364">
        <v>1.23E-2</v>
      </c>
      <c r="E364">
        <v>7.0702763839371423</v>
      </c>
      <c r="F364">
        <v>810.96922883563479</v>
      </c>
      <c r="G364">
        <v>0.42399999999999999</v>
      </c>
      <c r="H364">
        <v>1.67E-2</v>
      </c>
      <c r="I364">
        <v>72.401790000000005</v>
      </c>
    </row>
    <row r="365" spans="1:9" x14ac:dyDescent="0.3">
      <c r="A365" t="s">
        <v>9</v>
      </c>
      <c r="B365" t="s">
        <v>490</v>
      </c>
      <c r="C365">
        <v>1</v>
      </c>
      <c r="D365">
        <v>1.4800000000000001E-2</v>
      </c>
      <c r="E365">
        <v>7.2183956598400831</v>
      </c>
      <c r="F365">
        <v>825.02574811882391</v>
      </c>
      <c r="G365">
        <v>0.42399999999999999</v>
      </c>
      <c r="H365">
        <v>1.9E-2</v>
      </c>
      <c r="I365">
        <v>72.600250000000003</v>
      </c>
    </row>
    <row r="366" spans="1:9" x14ac:dyDescent="0.3">
      <c r="A366" t="s">
        <v>9</v>
      </c>
      <c r="B366" t="s">
        <v>491</v>
      </c>
      <c r="C366">
        <v>1</v>
      </c>
      <c r="D366">
        <v>1.7000000000000001E-2</v>
      </c>
      <c r="E366">
        <v>7.3148145768275077</v>
      </c>
      <c r="F366">
        <v>834.17590334093052</v>
      </c>
      <c r="G366">
        <v>0.42399999999999999</v>
      </c>
      <c r="H366">
        <v>2.0500000000000001E-2</v>
      </c>
      <c r="I366">
        <v>72.8018</v>
      </c>
    </row>
    <row r="367" spans="1:9" x14ac:dyDescent="0.3">
      <c r="A367" t="s">
        <v>9</v>
      </c>
      <c r="B367" t="s">
        <v>492</v>
      </c>
      <c r="C367">
        <v>1</v>
      </c>
      <c r="D367">
        <v>1.83E-2</v>
      </c>
      <c r="E367">
        <v>7.347297649548536</v>
      </c>
      <c r="F367">
        <v>837.25854694215616</v>
      </c>
      <c r="G367">
        <v>0.42399999999999999</v>
      </c>
      <c r="H367">
        <v>2.1000000000000001E-2</v>
      </c>
      <c r="I367">
        <v>73.002499999999998</v>
      </c>
    </row>
    <row r="368" spans="1:9" x14ac:dyDescent="0.3">
      <c r="A368" t="s">
        <v>9</v>
      </c>
      <c r="B368" t="s">
        <v>493</v>
      </c>
      <c r="C368">
        <v>1</v>
      </c>
      <c r="D368">
        <v>1.9199999999999998E-2</v>
      </c>
      <c r="E368">
        <v>7.313712101858358</v>
      </c>
      <c r="F368">
        <v>729.63796789319895</v>
      </c>
      <c r="G368">
        <v>0.42399999999999999</v>
      </c>
      <c r="H368">
        <v>2.0500000000000001E-2</v>
      </c>
      <c r="I368">
        <v>73.201560000000001</v>
      </c>
    </row>
    <row r="369" spans="1:9" x14ac:dyDescent="0.3">
      <c r="A369" t="s">
        <v>9</v>
      </c>
      <c r="B369" t="s">
        <v>494</v>
      </c>
      <c r="C369">
        <v>1</v>
      </c>
      <c r="D369">
        <v>1.9099999999999999E-2</v>
      </c>
      <c r="E369">
        <v>7.2177096033311452</v>
      </c>
      <c r="F369">
        <v>720.6905350304628</v>
      </c>
      <c r="G369">
        <v>0.42399999999999999</v>
      </c>
      <c r="H369">
        <v>1.9E-2</v>
      </c>
      <c r="I369">
        <v>73.400850000000005</v>
      </c>
    </row>
    <row r="370" spans="1:9" x14ac:dyDescent="0.3">
      <c r="A370" t="s">
        <v>9</v>
      </c>
      <c r="B370" t="s">
        <v>495</v>
      </c>
      <c r="C370">
        <v>1</v>
      </c>
      <c r="D370">
        <v>1.8700000000000001E-2</v>
      </c>
      <c r="E370">
        <v>7.0658372901665487</v>
      </c>
      <c r="F370">
        <v>706.53603544352234</v>
      </c>
      <c r="G370">
        <v>0.42399999999999999</v>
      </c>
      <c r="H370">
        <v>1.66E-2</v>
      </c>
      <c r="I370">
        <v>73.603359999999995</v>
      </c>
    </row>
    <row r="371" spans="1:9" x14ac:dyDescent="0.3">
      <c r="A371" t="s">
        <v>9</v>
      </c>
      <c r="B371" t="s">
        <v>496</v>
      </c>
      <c r="C371">
        <v>1</v>
      </c>
      <c r="D371">
        <v>1.7899999999999999E-2</v>
      </c>
      <c r="E371">
        <v>6.8785823829479389</v>
      </c>
      <c r="F371">
        <v>689.08387809074793</v>
      </c>
      <c r="G371">
        <v>0.42399999999999999</v>
      </c>
      <c r="H371">
        <v>1.37E-2</v>
      </c>
      <c r="I371">
        <v>73.801739999999995</v>
      </c>
    </row>
    <row r="372" spans="1:9" x14ac:dyDescent="0.3">
      <c r="A372" t="s">
        <v>9</v>
      </c>
      <c r="B372" t="s">
        <v>497</v>
      </c>
      <c r="C372">
        <v>1</v>
      </c>
      <c r="D372">
        <v>1.6199999999999999E-2</v>
      </c>
      <c r="E372">
        <v>6.6707129373304683</v>
      </c>
      <c r="F372">
        <v>669.71044575919962</v>
      </c>
      <c r="G372">
        <v>0.42399999999999999</v>
      </c>
      <c r="H372">
        <v>1.0500000000000001E-2</v>
      </c>
      <c r="I372">
        <v>74.00076</v>
      </c>
    </row>
    <row r="373" spans="1:9" x14ac:dyDescent="0.3">
      <c r="A373" t="s">
        <v>9</v>
      </c>
      <c r="B373" t="s">
        <v>498</v>
      </c>
      <c r="C373">
        <v>1</v>
      </c>
      <c r="D373">
        <v>1.32E-2</v>
      </c>
      <c r="E373">
        <v>6.4611514622733992</v>
      </c>
      <c r="F373">
        <v>650.17931628388078</v>
      </c>
      <c r="G373">
        <v>0.42399999999999999</v>
      </c>
      <c r="H373">
        <v>7.1999999999999998E-3</v>
      </c>
      <c r="I373">
        <v>74.201520000000002</v>
      </c>
    </row>
    <row r="374" spans="1:9" x14ac:dyDescent="0.3">
      <c r="A374" t="s">
        <v>9</v>
      </c>
      <c r="B374" t="s">
        <v>499</v>
      </c>
      <c r="C374">
        <v>1</v>
      </c>
      <c r="D374">
        <v>9.4999999999999998E-3</v>
      </c>
      <c r="E374">
        <v>6.2724844220738953</v>
      </c>
      <c r="F374">
        <v>632.5955481372871</v>
      </c>
      <c r="G374">
        <v>0.42399999999999999</v>
      </c>
      <c r="H374">
        <v>4.3E-3</v>
      </c>
      <c r="I374">
        <v>74.402109999999993</v>
      </c>
    </row>
    <row r="375" spans="1:9" x14ac:dyDescent="0.3">
      <c r="A375" t="s">
        <v>9</v>
      </c>
      <c r="B375" t="s">
        <v>500</v>
      </c>
      <c r="C375">
        <v>1</v>
      </c>
      <c r="D375">
        <v>5.4000000000000003E-3</v>
      </c>
      <c r="E375">
        <v>6.1232019316834601</v>
      </c>
      <c r="F375">
        <v>618.68242003289845</v>
      </c>
      <c r="G375">
        <v>0.42399999999999999</v>
      </c>
      <c r="H375">
        <v>2E-3</v>
      </c>
      <c r="I375">
        <v>74.602559999999997</v>
      </c>
    </row>
    <row r="376" spans="1:9" x14ac:dyDescent="0.3">
      <c r="A376" t="s">
        <v>9</v>
      </c>
      <c r="B376" t="s">
        <v>501</v>
      </c>
      <c r="C376">
        <v>1</v>
      </c>
      <c r="D376">
        <v>1.9E-3</v>
      </c>
      <c r="E376">
        <v>6.0281866409005973</v>
      </c>
      <c r="F376">
        <v>609.8269949319357</v>
      </c>
      <c r="G376">
        <v>0.42399999999999999</v>
      </c>
      <c r="H376">
        <v>5.0000000000000001E-4</v>
      </c>
      <c r="I376">
        <v>74.801900000000003</v>
      </c>
    </row>
    <row r="377" spans="1:9" x14ac:dyDescent="0.3">
      <c r="A377" t="s">
        <v>9</v>
      </c>
      <c r="B377" t="s">
        <v>502</v>
      </c>
      <c r="C377">
        <v>1</v>
      </c>
      <c r="D377">
        <v>1E-4</v>
      </c>
      <c r="E377">
        <v>5.995733967170346</v>
      </c>
      <c r="F377">
        <v>606.8024057402763</v>
      </c>
      <c r="G377">
        <v>0.42399999999999999</v>
      </c>
      <c r="H377">
        <v>0</v>
      </c>
      <c r="I377">
        <v>75.00076</v>
      </c>
    </row>
    <row r="378" spans="1:9" x14ac:dyDescent="0.3">
      <c r="A378" t="s">
        <v>9</v>
      </c>
      <c r="B378" t="s">
        <v>503</v>
      </c>
      <c r="C378">
        <v>1</v>
      </c>
      <c r="D378">
        <v>-5.9999999999999995E-4</v>
      </c>
      <c r="E378">
        <v>6.0296185892370442</v>
      </c>
      <c r="F378">
        <v>712.21080411859555</v>
      </c>
      <c r="G378">
        <v>0.42399999999999999</v>
      </c>
      <c r="H378">
        <v>5.0000000000000001E-4</v>
      </c>
      <c r="I378">
        <v>75.202449999999999</v>
      </c>
    </row>
    <row r="379" spans="1:9" x14ac:dyDescent="0.3">
      <c r="A379" t="s">
        <v>9</v>
      </c>
      <c r="B379" t="s">
        <v>504</v>
      </c>
      <c r="C379">
        <v>1</v>
      </c>
      <c r="D379">
        <v>-4.0000000000000002E-4</v>
      </c>
      <c r="E379">
        <v>6.1262302710737071</v>
      </c>
      <c r="F379">
        <v>721.37925272489485</v>
      </c>
      <c r="G379">
        <v>0.42399999999999999</v>
      </c>
      <c r="H379">
        <v>2E-3</v>
      </c>
      <c r="I379">
        <v>75.402289999999994</v>
      </c>
    </row>
    <row r="380" spans="1:9" x14ac:dyDescent="0.3">
      <c r="A380" t="s">
        <v>9</v>
      </c>
      <c r="B380" t="s">
        <v>505</v>
      </c>
      <c r="C380">
        <v>1</v>
      </c>
      <c r="D380">
        <v>5.0000000000000001E-4</v>
      </c>
      <c r="E380">
        <v>6.2758648722634103</v>
      </c>
      <c r="F380">
        <v>735.57957637779771</v>
      </c>
      <c r="G380">
        <v>0.42399999999999999</v>
      </c>
      <c r="H380">
        <v>4.4000000000000003E-3</v>
      </c>
      <c r="I380">
        <v>75.60181</v>
      </c>
    </row>
    <row r="381" spans="1:9" x14ac:dyDescent="0.3">
      <c r="A381" t="s">
        <v>9</v>
      </c>
      <c r="B381" t="s">
        <v>506</v>
      </c>
      <c r="C381">
        <v>1</v>
      </c>
      <c r="D381">
        <v>2.8E-3</v>
      </c>
      <c r="E381">
        <v>6.4636937638756677</v>
      </c>
      <c r="F381">
        <v>753.40453819180095</v>
      </c>
      <c r="G381">
        <v>0.42399999999999999</v>
      </c>
      <c r="H381">
        <v>7.3000000000000001E-3</v>
      </c>
      <c r="I381">
        <v>75.800989999999999</v>
      </c>
    </row>
    <row r="382" spans="1:9" x14ac:dyDescent="0.3">
      <c r="A382" t="s">
        <v>9</v>
      </c>
      <c r="B382" t="s">
        <v>507</v>
      </c>
      <c r="C382">
        <v>1</v>
      </c>
      <c r="D382">
        <v>5.8999999999999999E-3</v>
      </c>
      <c r="E382">
        <v>6.672566749599298</v>
      </c>
      <c r="F382">
        <v>773.22658453697341</v>
      </c>
      <c r="G382">
        <v>0.42399999999999999</v>
      </c>
      <c r="H382">
        <v>1.0500000000000001E-2</v>
      </c>
      <c r="I382">
        <v>76.000979999999998</v>
      </c>
    </row>
    <row r="383" spans="1:9" x14ac:dyDescent="0.3">
      <c r="A383" t="s">
        <v>9</v>
      </c>
      <c r="B383" t="s">
        <v>508</v>
      </c>
      <c r="C383">
        <v>1</v>
      </c>
      <c r="D383">
        <v>8.6999999999999994E-3</v>
      </c>
      <c r="E383">
        <v>6.8818070918223953</v>
      </c>
      <c r="F383">
        <v>793.08349301394537</v>
      </c>
      <c r="G383">
        <v>0.42399999999999999</v>
      </c>
      <c r="H383">
        <v>1.38E-2</v>
      </c>
      <c r="I383">
        <v>76.201449999999994</v>
      </c>
    </row>
    <row r="384" spans="1:9" x14ac:dyDescent="0.3">
      <c r="A384" t="s">
        <v>9</v>
      </c>
      <c r="B384" t="s">
        <v>509</v>
      </c>
      <c r="C384">
        <v>1</v>
      </c>
      <c r="D384">
        <v>1.2E-2</v>
      </c>
      <c r="E384">
        <v>7.0710265048245748</v>
      </c>
      <c r="F384">
        <v>811.04041530785219</v>
      </c>
      <c r="G384">
        <v>0.42399999999999999</v>
      </c>
      <c r="H384">
        <v>1.67E-2</v>
      </c>
      <c r="I384">
        <v>76.402670000000001</v>
      </c>
    </row>
    <row r="385" spans="1:9" x14ac:dyDescent="0.3">
      <c r="A385" t="s">
        <v>9</v>
      </c>
      <c r="B385" t="s">
        <v>510</v>
      </c>
      <c r="C385">
        <v>1</v>
      </c>
      <c r="D385">
        <v>1.47E-2</v>
      </c>
      <c r="E385">
        <v>7.2189381797035352</v>
      </c>
      <c r="F385">
        <v>825.07723325386553</v>
      </c>
      <c r="G385">
        <v>0.42399999999999999</v>
      </c>
      <c r="H385">
        <v>1.9E-2</v>
      </c>
      <c r="I385">
        <v>76.601119999999995</v>
      </c>
    </row>
    <row r="386" spans="1:9" x14ac:dyDescent="0.3">
      <c r="A386" t="s">
        <v>9</v>
      </c>
      <c r="B386" t="s">
        <v>511</v>
      </c>
      <c r="C386">
        <v>1</v>
      </c>
      <c r="D386">
        <v>1.6799999999999999E-2</v>
      </c>
      <c r="E386">
        <v>7.3142712460225567</v>
      </c>
      <c r="F386">
        <v>834.12434124754066</v>
      </c>
      <c r="G386">
        <v>0.42399999999999999</v>
      </c>
      <c r="H386">
        <v>2.0500000000000001E-2</v>
      </c>
      <c r="I386">
        <v>76.800129999999996</v>
      </c>
    </row>
    <row r="387" spans="1:9" x14ac:dyDescent="0.3">
      <c r="A387" t="s">
        <v>9</v>
      </c>
      <c r="B387" t="s">
        <v>512</v>
      </c>
      <c r="C387">
        <v>1</v>
      </c>
      <c r="D387">
        <v>1.8499999999999999E-2</v>
      </c>
      <c r="E387">
        <v>7.3472980550192837</v>
      </c>
      <c r="F387">
        <v>837.25858542133005</v>
      </c>
      <c r="G387">
        <v>0.42399999999999999</v>
      </c>
      <c r="H387">
        <v>2.1000000000000001E-2</v>
      </c>
      <c r="I387">
        <v>77.002409999999998</v>
      </c>
    </row>
    <row r="388" spans="1:9" x14ac:dyDescent="0.3">
      <c r="A388" t="s">
        <v>9</v>
      </c>
      <c r="B388" t="s">
        <v>513</v>
      </c>
      <c r="C388">
        <v>1</v>
      </c>
      <c r="D388">
        <v>1.9300000000000001E-2</v>
      </c>
      <c r="E388">
        <v>7.3134607099933833</v>
      </c>
      <c r="F388">
        <v>729.61453817138329</v>
      </c>
      <c r="G388">
        <v>0.42399999999999999</v>
      </c>
      <c r="H388">
        <v>2.0500000000000001E-2</v>
      </c>
      <c r="I388">
        <v>77.20232</v>
      </c>
    </row>
    <row r="389" spans="1:9" x14ac:dyDescent="0.3">
      <c r="A389" t="s">
        <v>9</v>
      </c>
      <c r="B389" t="s">
        <v>514</v>
      </c>
      <c r="C389">
        <v>1</v>
      </c>
      <c r="D389">
        <v>1.9199999999999998E-2</v>
      </c>
      <c r="E389">
        <v>7.2164518330647622</v>
      </c>
      <c r="F389">
        <v>720.57331084163582</v>
      </c>
      <c r="G389">
        <v>0.42399999999999999</v>
      </c>
      <c r="H389">
        <v>1.9E-2</v>
      </c>
      <c r="I389">
        <v>77.402850000000001</v>
      </c>
    </row>
    <row r="390" spans="1:9" x14ac:dyDescent="0.3">
      <c r="A390" t="s">
        <v>9</v>
      </c>
      <c r="B390" t="s">
        <v>515</v>
      </c>
      <c r="C390">
        <v>1</v>
      </c>
      <c r="D390">
        <v>1.8700000000000001E-2</v>
      </c>
      <c r="E390">
        <v>7.067095465903682</v>
      </c>
      <c r="F390">
        <v>706.6532974222232</v>
      </c>
      <c r="G390">
        <v>0.42399999999999999</v>
      </c>
      <c r="H390">
        <v>1.66E-2</v>
      </c>
      <c r="I390">
        <v>77.601910000000004</v>
      </c>
    </row>
    <row r="391" spans="1:9" x14ac:dyDescent="0.3">
      <c r="A391" t="s">
        <v>9</v>
      </c>
      <c r="B391" t="s">
        <v>516</v>
      </c>
      <c r="C391">
        <v>1</v>
      </c>
      <c r="D391">
        <v>1.8100000000000002E-2</v>
      </c>
      <c r="E391">
        <v>6.8780901414574833</v>
      </c>
      <c r="F391">
        <v>689.03800118383742</v>
      </c>
      <c r="G391">
        <v>0.42399999999999999</v>
      </c>
      <c r="H391">
        <v>1.37E-2</v>
      </c>
      <c r="I391">
        <v>77.802229999999994</v>
      </c>
    </row>
    <row r="392" spans="1:9" x14ac:dyDescent="0.3">
      <c r="A392" t="s">
        <v>9</v>
      </c>
      <c r="B392" t="s">
        <v>517</v>
      </c>
      <c r="C392">
        <v>1</v>
      </c>
      <c r="D392">
        <v>1.6500000000000001E-2</v>
      </c>
      <c r="E392">
        <v>6.6703966701454966</v>
      </c>
      <c r="F392">
        <v>669.68096965756035</v>
      </c>
      <c r="G392">
        <v>0.42399999999999999</v>
      </c>
      <c r="H392">
        <v>1.0500000000000001E-2</v>
      </c>
      <c r="I392">
        <v>78.001050000000006</v>
      </c>
    </row>
    <row r="393" spans="1:9" x14ac:dyDescent="0.3">
      <c r="A393" t="s">
        <v>9</v>
      </c>
      <c r="B393" t="s">
        <v>518</v>
      </c>
      <c r="C393">
        <v>1</v>
      </c>
      <c r="D393">
        <v>1.34E-2</v>
      </c>
      <c r="E393">
        <v>6.4618062975345891</v>
      </c>
      <c r="F393">
        <v>650.24034693022372</v>
      </c>
      <c r="G393">
        <v>0.42399999999999999</v>
      </c>
      <c r="H393">
        <v>7.1999999999999998E-3</v>
      </c>
      <c r="I393">
        <v>78.200869999999995</v>
      </c>
    </row>
    <row r="394" spans="1:9" x14ac:dyDescent="0.3">
      <c r="A394" t="s">
        <v>9</v>
      </c>
      <c r="B394" t="s">
        <v>519</v>
      </c>
      <c r="C394">
        <v>1</v>
      </c>
      <c r="D394">
        <v>9.5999999999999992E-3</v>
      </c>
      <c r="E394">
        <v>6.2729825428902242</v>
      </c>
      <c r="F394">
        <v>632.64197299736895</v>
      </c>
      <c r="G394">
        <v>0.42399999999999999</v>
      </c>
      <c r="H394">
        <v>4.3E-3</v>
      </c>
      <c r="I394">
        <v>78.401539999999997</v>
      </c>
    </row>
    <row r="395" spans="1:9" x14ac:dyDescent="0.3">
      <c r="A395" t="s">
        <v>9</v>
      </c>
      <c r="B395" t="s">
        <v>520</v>
      </c>
      <c r="C395">
        <v>1</v>
      </c>
      <c r="D395">
        <v>5.4000000000000003E-3</v>
      </c>
      <c r="E395">
        <v>6.1241639110377468</v>
      </c>
      <c r="F395">
        <v>618.77207650871799</v>
      </c>
      <c r="G395">
        <v>0.42399999999999999</v>
      </c>
      <c r="H395">
        <v>2E-3</v>
      </c>
      <c r="I395">
        <v>78.601010000000002</v>
      </c>
    </row>
    <row r="396" spans="1:9" x14ac:dyDescent="0.3">
      <c r="A396" t="s">
        <v>9</v>
      </c>
      <c r="B396" t="s">
        <v>521</v>
      </c>
      <c r="C396">
        <v>1</v>
      </c>
      <c r="D396">
        <v>2E-3</v>
      </c>
      <c r="E396">
        <v>6.0283014377793256</v>
      </c>
      <c r="F396">
        <v>609.83769400103324</v>
      </c>
      <c r="G396">
        <v>0.42399999999999999</v>
      </c>
      <c r="H396">
        <v>5.0000000000000001E-4</v>
      </c>
      <c r="I396">
        <v>78.801550000000006</v>
      </c>
    </row>
    <row r="397" spans="1:9" x14ac:dyDescent="0.3">
      <c r="A397" t="s">
        <v>9</v>
      </c>
      <c r="B397" t="s">
        <v>522</v>
      </c>
      <c r="C397">
        <v>1</v>
      </c>
      <c r="D397">
        <v>2.0000000000000001E-4</v>
      </c>
      <c r="E397">
        <v>5.9957351755672503</v>
      </c>
      <c r="F397">
        <v>606.80251836286777</v>
      </c>
      <c r="G397">
        <v>0.42399999999999999</v>
      </c>
      <c r="H397">
        <v>0</v>
      </c>
      <c r="I397">
        <v>79.001419999999996</v>
      </c>
    </row>
    <row r="398" spans="1:9" x14ac:dyDescent="0.3">
      <c r="A398" t="s">
        <v>9</v>
      </c>
      <c r="B398" t="s">
        <v>523</v>
      </c>
      <c r="C398">
        <v>1</v>
      </c>
      <c r="D398">
        <v>-5.0000000000000001E-4</v>
      </c>
      <c r="E398">
        <v>6.0293664756341334</v>
      </c>
      <c r="F398">
        <v>712.18687853767926</v>
      </c>
      <c r="G398">
        <v>0.42399999999999999</v>
      </c>
      <c r="H398">
        <v>5.0000000000000001E-4</v>
      </c>
      <c r="I398">
        <v>79.201689999999999</v>
      </c>
    </row>
    <row r="399" spans="1:9" x14ac:dyDescent="0.3">
      <c r="A399" t="s">
        <v>9</v>
      </c>
      <c r="B399" t="s">
        <v>524</v>
      </c>
      <c r="C399">
        <v>1</v>
      </c>
      <c r="D399">
        <v>-1E-4</v>
      </c>
      <c r="E399">
        <v>6.1251764120474803</v>
      </c>
      <c r="F399">
        <v>721.27924150330591</v>
      </c>
      <c r="G399">
        <v>0.42399999999999999</v>
      </c>
      <c r="H399">
        <v>2E-3</v>
      </c>
      <c r="I399">
        <v>79.400599999999997</v>
      </c>
    </row>
    <row r="400" spans="1:9" x14ac:dyDescent="0.3">
      <c r="A400" t="s">
        <v>9</v>
      </c>
      <c r="B400" t="s">
        <v>525</v>
      </c>
      <c r="C400">
        <v>1</v>
      </c>
      <c r="D400">
        <v>1E-3</v>
      </c>
      <c r="E400">
        <v>6.2766441464977634</v>
      </c>
      <c r="F400">
        <v>735.65352950263775</v>
      </c>
      <c r="G400">
        <v>0.42399999999999999</v>
      </c>
      <c r="H400">
        <v>4.4000000000000003E-3</v>
      </c>
      <c r="I400">
        <v>79.602720000000005</v>
      </c>
    </row>
    <row r="401" spans="1:9" x14ac:dyDescent="0.3">
      <c r="A401" t="s">
        <v>9</v>
      </c>
      <c r="B401" t="s">
        <v>526</v>
      </c>
      <c r="C401">
        <v>1</v>
      </c>
      <c r="D401">
        <v>2.8999999999999998E-3</v>
      </c>
      <c r="E401">
        <v>6.4637347164214134</v>
      </c>
      <c r="F401">
        <v>753.40842458839211</v>
      </c>
      <c r="G401">
        <v>0.42399999999999999</v>
      </c>
      <c r="H401">
        <v>7.3000000000000001E-3</v>
      </c>
      <c r="I401">
        <v>79.801029999999997</v>
      </c>
    </row>
    <row r="402" spans="1:9" x14ac:dyDescent="0.3">
      <c r="A402" t="s">
        <v>9</v>
      </c>
      <c r="B402" t="s">
        <v>527</v>
      </c>
      <c r="C402">
        <v>1</v>
      </c>
      <c r="D402">
        <v>6.1000000000000004E-3</v>
      </c>
      <c r="E402">
        <v>6.6740069817031653</v>
      </c>
      <c r="F402">
        <v>773.36326256363043</v>
      </c>
      <c r="G402">
        <v>0.42399999999999999</v>
      </c>
      <c r="H402">
        <v>1.0500000000000001E-2</v>
      </c>
      <c r="I402">
        <v>80.002340000000004</v>
      </c>
    </row>
    <row r="403" spans="1:9" x14ac:dyDescent="0.3">
      <c r="A403" t="s">
        <v>9</v>
      </c>
      <c r="B403" t="s">
        <v>528</v>
      </c>
      <c r="C403">
        <v>1</v>
      </c>
      <c r="D403">
        <v>9.1000000000000004E-3</v>
      </c>
      <c r="E403">
        <v>6.8809069467574764</v>
      </c>
      <c r="F403">
        <v>792.99806924728455</v>
      </c>
      <c r="G403">
        <v>0.42399999999999999</v>
      </c>
      <c r="H403">
        <v>1.38E-2</v>
      </c>
      <c r="I403">
        <v>80.200550000000007</v>
      </c>
    </row>
    <row r="404" spans="1:9" x14ac:dyDescent="0.3">
      <c r="A404" t="s">
        <v>9</v>
      </c>
      <c r="B404" t="s">
        <v>529</v>
      </c>
      <c r="C404">
        <v>1</v>
      </c>
      <c r="D404">
        <v>1.2200000000000001E-2</v>
      </c>
      <c r="E404">
        <v>7.0693004158419823</v>
      </c>
      <c r="F404">
        <v>810.87660946340418</v>
      </c>
      <c r="G404">
        <v>0.42399999999999999</v>
      </c>
      <c r="H404">
        <v>1.67E-2</v>
      </c>
      <c r="I404">
        <v>80.400660000000002</v>
      </c>
    </row>
    <row r="405" spans="1:9" x14ac:dyDescent="0.3">
      <c r="A405" t="s">
        <v>9</v>
      </c>
      <c r="B405" t="s">
        <v>530</v>
      </c>
      <c r="C405">
        <v>1</v>
      </c>
      <c r="D405">
        <v>1.46E-2</v>
      </c>
      <c r="E405">
        <v>7.2191145594797677</v>
      </c>
      <c r="F405">
        <v>825.09397169463</v>
      </c>
      <c r="G405">
        <v>0.42399999999999999</v>
      </c>
      <c r="H405">
        <v>1.9E-2</v>
      </c>
      <c r="I405">
        <v>80.601399999999998</v>
      </c>
    </row>
    <row r="406" spans="1:9" x14ac:dyDescent="0.3">
      <c r="A406" t="s">
        <v>9</v>
      </c>
      <c r="B406" t="s">
        <v>531</v>
      </c>
      <c r="C406">
        <v>1</v>
      </c>
      <c r="D406">
        <v>1.67E-2</v>
      </c>
      <c r="E406">
        <v>7.3150521826869861</v>
      </c>
      <c r="F406">
        <v>834.198452136995</v>
      </c>
      <c r="G406">
        <v>0.42399999999999999</v>
      </c>
      <c r="H406">
        <v>2.0500000000000001E-2</v>
      </c>
      <c r="I406">
        <v>80.802530000000004</v>
      </c>
    </row>
    <row r="407" spans="1:9" x14ac:dyDescent="0.3">
      <c r="A407" t="s">
        <v>9</v>
      </c>
      <c r="B407" t="s">
        <v>532</v>
      </c>
      <c r="C407">
        <v>1</v>
      </c>
      <c r="D407">
        <v>1.84E-2</v>
      </c>
      <c r="E407">
        <v>7.3472992714315346</v>
      </c>
      <c r="F407">
        <v>837.25870085885265</v>
      </c>
      <c r="G407">
        <v>0.42399999999999999</v>
      </c>
      <c r="H407">
        <v>2.1000000000000001E-2</v>
      </c>
      <c r="I407">
        <v>81.002080000000007</v>
      </c>
    </row>
    <row r="408" spans="1:9" x14ac:dyDescent="0.3">
      <c r="A408" t="s">
        <v>9</v>
      </c>
      <c r="B408" t="s">
        <v>533</v>
      </c>
      <c r="C408">
        <v>1</v>
      </c>
      <c r="D408">
        <v>1.9199999999999998E-2</v>
      </c>
      <c r="E408">
        <v>7.3133135241111464</v>
      </c>
      <c r="F408">
        <v>729.60082044715875</v>
      </c>
      <c r="G408">
        <v>0.42399999999999999</v>
      </c>
      <c r="H408">
        <v>2.0500000000000001E-2</v>
      </c>
      <c r="I408">
        <v>81.202770000000001</v>
      </c>
    </row>
    <row r="409" spans="1:9" x14ac:dyDescent="0.3">
      <c r="A409" t="s">
        <v>9</v>
      </c>
      <c r="B409" t="s">
        <v>534</v>
      </c>
      <c r="C409">
        <v>1</v>
      </c>
      <c r="D409">
        <v>1.9199999999999998E-2</v>
      </c>
      <c r="E409">
        <v>7.2176921680888988</v>
      </c>
      <c r="F409">
        <v>720.68891006588535</v>
      </c>
      <c r="G409">
        <v>0.42399999999999999</v>
      </c>
      <c r="H409">
        <v>1.9E-2</v>
      </c>
      <c r="I409">
        <v>81.400869999999998</v>
      </c>
    </row>
    <row r="410" spans="1:9" x14ac:dyDescent="0.3">
      <c r="A410" t="s">
        <v>9</v>
      </c>
      <c r="B410" t="s">
        <v>535</v>
      </c>
      <c r="C410">
        <v>1</v>
      </c>
      <c r="D410">
        <v>1.89E-2</v>
      </c>
      <c r="E410">
        <v>7.0681046826003424</v>
      </c>
      <c r="F410">
        <v>706.74735641835196</v>
      </c>
      <c r="G410">
        <v>0.42399999999999999</v>
      </c>
      <c r="H410">
        <v>1.67E-2</v>
      </c>
      <c r="I410">
        <v>81.600729999999999</v>
      </c>
    </row>
    <row r="411" spans="1:9" x14ac:dyDescent="0.3">
      <c r="A411" t="s">
        <v>9</v>
      </c>
      <c r="B411" t="s">
        <v>536</v>
      </c>
      <c r="C411">
        <v>1</v>
      </c>
      <c r="D411">
        <v>1.8100000000000002E-2</v>
      </c>
      <c r="E411">
        <v>6.8792222157913807</v>
      </c>
      <c r="F411">
        <v>689.14351051175674</v>
      </c>
      <c r="G411">
        <v>0.42399999999999999</v>
      </c>
      <c r="H411">
        <v>1.37E-2</v>
      </c>
      <c r="I411">
        <v>81.801109999999994</v>
      </c>
    </row>
    <row r="412" spans="1:9" x14ac:dyDescent="0.3">
      <c r="A412" t="s">
        <v>9</v>
      </c>
      <c r="B412" t="s">
        <v>537</v>
      </c>
      <c r="C412">
        <v>1</v>
      </c>
      <c r="D412">
        <v>1.6400000000000001E-2</v>
      </c>
      <c r="E412">
        <v>6.6699514632620378</v>
      </c>
      <c r="F412">
        <v>669.63947637602189</v>
      </c>
      <c r="G412">
        <v>0.42399999999999999</v>
      </c>
      <c r="H412">
        <v>1.0500000000000001E-2</v>
      </c>
      <c r="I412">
        <v>82.001469999999998</v>
      </c>
    </row>
    <row r="413" spans="1:9" x14ac:dyDescent="0.3">
      <c r="A413" t="s">
        <v>9</v>
      </c>
      <c r="B413" t="s">
        <v>538</v>
      </c>
      <c r="C413">
        <v>1</v>
      </c>
      <c r="D413">
        <v>1.2800000000000001E-2</v>
      </c>
      <c r="E413">
        <v>6.4616676265381026</v>
      </c>
      <c r="F413">
        <v>650.22742279335114</v>
      </c>
      <c r="G413">
        <v>0.42399999999999999</v>
      </c>
      <c r="H413">
        <v>7.1999999999999998E-3</v>
      </c>
      <c r="I413">
        <v>82.201009999999997</v>
      </c>
    </row>
    <row r="414" spans="1:9" x14ac:dyDescent="0.3">
      <c r="A414" t="s">
        <v>9</v>
      </c>
      <c r="B414" t="s">
        <v>539</v>
      </c>
      <c r="C414">
        <v>1</v>
      </c>
      <c r="D414">
        <v>9.7999999999999997E-3</v>
      </c>
      <c r="E414">
        <v>6.2741729239179653</v>
      </c>
      <c r="F414">
        <v>632.75291650915437</v>
      </c>
      <c r="G414">
        <v>0.42399999999999999</v>
      </c>
      <c r="H414">
        <v>4.3E-3</v>
      </c>
      <c r="I414">
        <v>82.400149999999996</v>
      </c>
    </row>
    <row r="415" spans="1:9" x14ac:dyDescent="0.3">
      <c r="A415" t="s">
        <v>9</v>
      </c>
      <c r="B415" t="s">
        <v>540</v>
      </c>
      <c r="C415">
        <v>1</v>
      </c>
      <c r="D415">
        <v>5.5999999999999999E-3</v>
      </c>
      <c r="E415">
        <v>6.1239633652048147</v>
      </c>
      <c r="F415">
        <v>618.75338563708874</v>
      </c>
      <c r="G415">
        <v>0.42399999999999999</v>
      </c>
      <c r="H415">
        <v>2E-3</v>
      </c>
      <c r="I415">
        <v>82.601330000000004</v>
      </c>
    </row>
    <row r="416" spans="1:9" x14ac:dyDescent="0.3">
      <c r="A416" t="s">
        <v>9</v>
      </c>
      <c r="B416" t="s">
        <v>541</v>
      </c>
      <c r="C416">
        <v>1</v>
      </c>
      <c r="D416">
        <v>2E-3</v>
      </c>
      <c r="E416">
        <v>6.0288024374379816</v>
      </c>
      <c r="F416">
        <v>609.88438716921985</v>
      </c>
      <c r="G416">
        <v>0.42399999999999999</v>
      </c>
      <c r="H416">
        <v>5.0000000000000001E-4</v>
      </c>
      <c r="I416">
        <v>82.800020000000004</v>
      </c>
    </row>
    <row r="417" spans="1:9" x14ac:dyDescent="0.3">
      <c r="A417" t="s">
        <v>9</v>
      </c>
      <c r="B417" t="s">
        <v>542</v>
      </c>
      <c r="C417">
        <v>1</v>
      </c>
      <c r="D417">
        <v>2.0000000000000001E-4</v>
      </c>
      <c r="E417">
        <v>5.9957382771204646</v>
      </c>
      <c r="F417">
        <v>606.80280742762739</v>
      </c>
      <c r="G417">
        <v>0.42399999999999999</v>
      </c>
      <c r="H417">
        <v>0</v>
      </c>
      <c r="I417">
        <v>83.002399999999994</v>
      </c>
    </row>
    <row r="418" spans="1:9" x14ac:dyDescent="0.3">
      <c r="A418" t="s">
        <v>9</v>
      </c>
      <c r="B418" t="s">
        <v>543</v>
      </c>
      <c r="C418">
        <v>1</v>
      </c>
      <c r="D418">
        <v>-5.0000000000000001E-4</v>
      </c>
      <c r="E418">
        <v>6.0288995922843807</v>
      </c>
      <c r="F418">
        <v>712.14257130778776</v>
      </c>
      <c r="G418">
        <v>0.42399999999999999</v>
      </c>
      <c r="H418">
        <v>5.0000000000000001E-4</v>
      </c>
      <c r="I418">
        <v>83.200280000000006</v>
      </c>
    </row>
    <row r="419" spans="1:9" x14ac:dyDescent="0.3">
      <c r="A419" t="s">
        <v>9</v>
      </c>
      <c r="B419" t="s">
        <v>544</v>
      </c>
      <c r="C419">
        <v>1</v>
      </c>
      <c r="D419">
        <v>-2.0000000000000001E-4</v>
      </c>
      <c r="E419">
        <v>6.1250621503901392</v>
      </c>
      <c r="F419">
        <v>721.2683980720243</v>
      </c>
      <c r="G419">
        <v>0.42399999999999999</v>
      </c>
      <c r="H419">
        <v>2E-3</v>
      </c>
      <c r="I419">
        <v>83.400419999999997</v>
      </c>
    </row>
    <row r="420" spans="1:9" x14ac:dyDescent="0.3">
      <c r="A420" t="s">
        <v>9</v>
      </c>
      <c r="B420" t="s">
        <v>545</v>
      </c>
      <c r="C420">
        <v>1</v>
      </c>
      <c r="D420">
        <v>8.9999999999999998E-4</v>
      </c>
      <c r="E420">
        <v>6.27537883447543</v>
      </c>
      <c r="F420">
        <v>735.53345139171836</v>
      </c>
      <c r="G420">
        <v>0.42399999999999999</v>
      </c>
      <c r="H420">
        <v>4.3E-3</v>
      </c>
      <c r="I420">
        <v>83.601249999999993</v>
      </c>
    </row>
    <row r="421" spans="1:9" x14ac:dyDescent="0.3">
      <c r="A421" t="s">
        <v>9</v>
      </c>
      <c r="B421" t="s">
        <v>546</v>
      </c>
      <c r="C421">
        <v>1</v>
      </c>
      <c r="D421">
        <v>3.0000000000000001E-3</v>
      </c>
      <c r="E421">
        <v>6.4637513407221627</v>
      </c>
      <c r="F421">
        <v>753.41000223453329</v>
      </c>
      <c r="G421">
        <v>0.42399999999999999</v>
      </c>
      <c r="H421">
        <v>7.3000000000000001E-3</v>
      </c>
      <c r="I421">
        <v>83.801050000000004</v>
      </c>
    </row>
    <row r="422" spans="1:9" x14ac:dyDescent="0.3">
      <c r="A422" t="s">
        <v>9</v>
      </c>
      <c r="B422" t="s">
        <v>547</v>
      </c>
      <c r="C422">
        <v>1</v>
      </c>
      <c r="D422">
        <v>6.3E-3</v>
      </c>
      <c r="E422">
        <v>6.6735548818169574</v>
      </c>
      <c r="F422">
        <v>773.32035828442929</v>
      </c>
      <c r="G422">
        <v>0.42399999999999999</v>
      </c>
      <c r="H422">
        <v>1.0500000000000001E-2</v>
      </c>
      <c r="I422">
        <v>84.001909999999995</v>
      </c>
    </row>
    <row r="423" spans="1:9" x14ac:dyDescent="0.3">
      <c r="A423" t="s">
        <v>9</v>
      </c>
      <c r="B423" t="s">
        <v>548</v>
      </c>
      <c r="C423">
        <v>1</v>
      </c>
      <c r="D423">
        <v>9.4999999999999998E-3</v>
      </c>
      <c r="E423">
        <v>6.8830887848630269</v>
      </c>
      <c r="F423">
        <v>793.20512568350125</v>
      </c>
      <c r="G423">
        <v>0.42399999999999999</v>
      </c>
      <c r="H423">
        <v>1.38E-2</v>
      </c>
      <c r="I423">
        <v>84.202709999999996</v>
      </c>
    </row>
    <row r="424" spans="1:9" x14ac:dyDescent="0.3">
      <c r="A424" t="s">
        <v>9</v>
      </c>
      <c r="B424" t="s">
        <v>549</v>
      </c>
      <c r="C424">
        <v>1</v>
      </c>
      <c r="D424">
        <v>1.21E-2</v>
      </c>
      <c r="E424">
        <v>7.0712081557205568</v>
      </c>
      <c r="F424">
        <v>811.05765397788093</v>
      </c>
      <c r="G424">
        <v>0.42399999999999999</v>
      </c>
      <c r="H424">
        <v>1.67E-2</v>
      </c>
      <c r="I424">
        <v>84.402889999999999</v>
      </c>
    </row>
    <row r="425" spans="1:9" x14ac:dyDescent="0.3">
      <c r="A425" t="s">
        <v>9</v>
      </c>
      <c r="B425" t="s">
        <v>550</v>
      </c>
      <c r="C425">
        <v>1</v>
      </c>
      <c r="D425">
        <v>1.4500000000000001E-2</v>
      </c>
      <c r="E425">
        <v>7.2185318980120714</v>
      </c>
      <c r="F425">
        <v>825.03867712134559</v>
      </c>
      <c r="G425">
        <v>0.42399999999999999</v>
      </c>
      <c r="H425">
        <v>1.9E-2</v>
      </c>
      <c r="I425">
        <v>84.600459999999998</v>
      </c>
    </row>
    <row r="426" spans="1:9" x14ac:dyDescent="0.3">
      <c r="A426" t="s">
        <v>9</v>
      </c>
      <c r="B426" t="s">
        <v>551</v>
      </c>
      <c r="C426">
        <v>1</v>
      </c>
      <c r="D426">
        <v>1.67E-2</v>
      </c>
      <c r="E426">
        <v>7.3141909628140658</v>
      </c>
      <c r="F426">
        <v>834.11672237105483</v>
      </c>
      <c r="G426">
        <v>0.42399999999999999</v>
      </c>
      <c r="H426">
        <v>2.0500000000000001E-2</v>
      </c>
      <c r="I426">
        <v>84.799890000000005</v>
      </c>
    </row>
    <row r="427" spans="1:9" x14ac:dyDescent="0.3">
      <c r="A427" t="s">
        <v>9</v>
      </c>
      <c r="B427" t="s">
        <v>552</v>
      </c>
      <c r="C427">
        <v>1</v>
      </c>
      <c r="D427">
        <v>1.8200000000000001E-2</v>
      </c>
      <c r="E427">
        <v>7.3473025151975344</v>
      </c>
      <c r="F427">
        <v>837.25900869224608</v>
      </c>
      <c r="G427">
        <v>0.42399999999999999</v>
      </c>
      <c r="H427">
        <v>2.1000000000000001E-2</v>
      </c>
      <c r="I427">
        <v>85.000039999999998</v>
      </c>
    </row>
    <row r="428" spans="1:9" x14ac:dyDescent="0.3">
      <c r="A428" t="s">
        <v>9</v>
      </c>
      <c r="B428" t="s">
        <v>553</v>
      </c>
      <c r="C428">
        <v>1</v>
      </c>
      <c r="D428">
        <v>1.9E-2</v>
      </c>
      <c r="E428">
        <v>7.3139748469043351</v>
      </c>
      <c r="F428">
        <v>729.6624557314841</v>
      </c>
      <c r="G428">
        <v>0.42399999999999999</v>
      </c>
      <c r="H428">
        <v>2.0500000000000001E-2</v>
      </c>
      <c r="I428">
        <v>85.200770000000006</v>
      </c>
    </row>
    <row r="429" spans="1:9" x14ac:dyDescent="0.3">
      <c r="A429" t="s">
        <v>9</v>
      </c>
      <c r="B429" t="s">
        <v>554</v>
      </c>
      <c r="C429">
        <v>1</v>
      </c>
      <c r="D429">
        <v>1.89E-2</v>
      </c>
      <c r="E429">
        <v>7.2172599362694383</v>
      </c>
      <c r="F429">
        <v>720.6486260603117</v>
      </c>
      <c r="G429">
        <v>0.42399999999999999</v>
      </c>
      <c r="H429">
        <v>1.9E-2</v>
      </c>
      <c r="I429">
        <v>85.401570000000007</v>
      </c>
    </row>
    <row r="430" spans="1:9" x14ac:dyDescent="0.3">
      <c r="A430" t="s">
        <v>9</v>
      </c>
      <c r="B430" t="s">
        <v>555</v>
      </c>
      <c r="C430">
        <v>1</v>
      </c>
      <c r="D430">
        <v>1.8499999999999999E-2</v>
      </c>
      <c r="E430">
        <v>7.0672012937694237</v>
      </c>
      <c r="F430">
        <v>706.66316057931033</v>
      </c>
      <c r="G430">
        <v>0.42399999999999999</v>
      </c>
      <c r="H430">
        <v>1.66E-2</v>
      </c>
      <c r="I430">
        <v>85.601780000000005</v>
      </c>
    </row>
    <row r="431" spans="1:9" x14ac:dyDescent="0.3">
      <c r="A431" t="s">
        <v>9</v>
      </c>
      <c r="B431" t="s">
        <v>556</v>
      </c>
      <c r="C431">
        <v>1</v>
      </c>
      <c r="D431">
        <v>1.7899999999999999E-2</v>
      </c>
      <c r="E431">
        <v>6.8779640400542474</v>
      </c>
      <c r="F431">
        <v>689.02624853305576</v>
      </c>
      <c r="G431">
        <v>0.42399999999999999</v>
      </c>
      <c r="H431">
        <v>1.37E-2</v>
      </c>
      <c r="I431">
        <v>85.802359999999993</v>
      </c>
    </row>
    <row r="432" spans="1:9" x14ac:dyDescent="0.3">
      <c r="A432" t="s">
        <v>9</v>
      </c>
      <c r="B432" t="s">
        <v>557</v>
      </c>
      <c r="C432">
        <v>1</v>
      </c>
      <c r="D432">
        <v>1.61E-2</v>
      </c>
      <c r="E432">
        <v>6.670290031338256</v>
      </c>
      <c r="F432">
        <v>669.67103092072546</v>
      </c>
      <c r="G432">
        <v>0.42399999999999999</v>
      </c>
      <c r="H432">
        <v>1.0500000000000001E-2</v>
      </c>
      <c r="I432">
        <v>86.001149999999996</v>
      </c>
    </row>
    <row r="433" spans="1:9" x14ac:dyDescent="0.3">
      <c r="A433" t="s">
        <v>9</v>
      </c>
      <c r="B433" t="s">
        <v>558</v>
      </c>
      <c r="C433">
        <v>1</v>
      </c>
      <c r="D433">
        <v>1.38E-2</v>
      </c>
      <c r="E433">
        <v>6.4616757359531034</v>
      </c>
      <c r="F433">
        <v>650.2281785908292</v>
      </c>
      <c r="G433">
        <v>0.42399999999999999</v>
      </c>
      <c r="H433">
        <v>7.1999999999999998E-3</v>
      </c>
      <c r="I433">
        <v>86.200999999999993</v>
      </c>
    </row>
    <row r="434" spans="1:9" x14ac:dyDescent="0.3">
      <c r="A434" t="s">
        <v>9</v>
      </c>
      <c r="B434" t="s">
        <v>559</v>
      </c>
      <c r="C434">
        <v>1</v>
      </c>
      <c r="D434">
        <v>9.5999999999999992E-3</v>
      </c>
      <c r="E434">
        <v>6.2727049576148008</v>
      </c>
      <c r="F434">
        <v>632.61610204969941</v>
      </c>
      <c r="G434">
        <v>0.42399999999999999</v>
      </c>
      <c r="H434">
        <v>4.3E-3</v>
      </c>
      <c r="I434">
        <v>86.401859999999999</v>
      </c>
    </row>
    <row r="435" spans="1:9" x14ac:dyDescent="0.3">
      <c r="A435" t="s">
        <v>9</v>
      </c>
      <c r="B435" t="s">
        <v>560</v>
      </c>
      <c r="C435">
        <v>1</v>
      </c>
      <c r="D435">
        <v>5.4000000000000003E-3</v>
      </c>
      <c r="E435">
        <v>6.1235396482711044</v>
      </c>
      <c r="F435">
        <v>618.71389521886681</v>
      </c>
      <c r="G435">
        <v>0.42399999999999999</v>
      </c>
      <c r="H435">
        <v>2E-3</v>
      </c>
      <c r="I435">
        <v>86.602019999999996</v>
      </c>
    </row>
    <row r="436" spans="1:9" x14ac:dyDescent="0.3">
      <c r="A436" t="s">
        <v>9</v>
      </c>
      <c r="B436" t="s">
        <v>561</v>
      </c>
      <c r="C436">
        <v>1</v>
      </c>
      <c r="D436">
        <v>1.8E-3</v>
      </c>
      <c r="E436">
        <v>6.0283383315628667</v>
      </c>
      <c r="F436">
        <v>609.84113250165922</v>
      </c>
      <c r="G436">
        <v>0.42399999999999999</v>
      </c>
      <c r="H436">
        <v>5.0000000000000001E-4</v>
      </c>
      <c r="I436">
        <v>86.801439999999999</v>
      </c>
    </row>
    <row r="437" spans="1:9" x14ac:dyDescent="0.3">
      <c r="A437" t="s">
        <v>9</v>
      </c>
      <c r="B437" t="s">
        <v>562</v>
      </c>
      <c r="C437">
        <v>1</v>
      </c>
      <c r="D437">
        <v>1E-4</v>
      </c>
      <c r="E437">
        <v>5.9957340074502161</v>
      </c>
      <c r="F437">
        <v>606.80240949436018</v>
      </c>
      <c r="G437">
        <v>0.42399999999999999</v>
      </c>
      <c r="H437">
        <v>0</v>
      </c>
      <c r="I437">
        <v>87.000799999999998</v>
      </c>
    </row>
    <row r="438" spans="1:9" x14ac:dyDescent="0.3">
      <c r="A438" t="s">
        <v>9</v>
      </c>
      <c r="B438" t="s">
        <v>563</v>
      </c>
      <c r="C438">
        <v>1</v>
      </c>
      <c r="D438">
        <v>-5.9999999999999995E-4</v>
      </c>
      <c r="E438">
        <v>6.0293547129276757</v>
      </c>
      <c r="F438">
        <v>712.18576225683648</v>
      </c>
      <c r="G438">
        <v>0.42399999999999999</v>
      </c>
      <c r="H438">
        <v>5.0000000000000001E-4</v>
      </c>
      <c r="I438">
        <v>87.201650000000001</v>
      </c>
    </row>
    <row r="439" spans="1:9" x14ac:dyDescent="0.3">
      <c r="A439" t="s">
        <v>9</v>
      </c>
      <c r="B439" t="s">
        <v>564</v>
      </c>
      <c r="C439">
        <v>1</v>
      </c>
      <c r="D439">
        <v>-4.0000000000000002E-4</v>
      </c>
      <c r="E439">
        <v>6.1249782179448973</v>
      </c>
      <c r="F439">
        <v>721.2604328829708</v>
      </c>
      <c r="G439">
        <v>0.42399999999999999</v>
      </c>
      <c r="H439">
        <v>2E-3</v>
      </c>
      <c r="I439">
        <v>87.400279999999995</v>
      </c>
    </row>
    <row r="440" spans="1:9" x14ac:dyDescent="0.3">
      <c r="A440" t="s">
        <v>9</v>
      </c>
      <c r="B440" t="s">
        <v>565</v>
      </c>
      <c r="C440">
        <v>1</v>
      </c>
      <c r="D440">
        <v>5.0000000000000001E-4</v>
      </c>
      <c r="E440">
        <v>6.2756476210355796</v>
      </c>
      <c r="F440">
        <v>735.55895923627668</v>
      </c>
      <c r="G440">
        <v>0.42399999999999999</v>
      </c>
      <c r="H440">
        <v>4.3E-3</v>
      </c>
      <c r="I440">
        <v>87.601560000000006</v>
      </c>
    </row>
    <row r="441" spans="1:9" x14ac:dyDescent="0.3">
      <c r="A441" t="s">
        <v>9</v>
      </c>
      <c r="B441" t="s">
        <v>566</v>
      </c>
      <c r="C441">
        <v>1</v>
      </c>
      <c r="D441">
        <v>2.7000000000000001E-3</v>
      </c>
      <c r="E441">
        <v>6.4650091109885466</v>
      </c>
      <c r="F441">
        <v>753.5293646328131</v>
      </c>
      <c r="G441">
        <v>0.42399999999999999</v>
      </c>
      <c r="H441">
        <v>7.3000000000000001E-3</v>
      </c>
      <c r="I441">
        <v>87.802289999999999</v>
      </c>
    </row>
    <row r="442" spans="1:9" x14ac:dyDescent="0.3">
      <c r="A442" t="s">
        <v>9</v>
      </c>
      <c r="B442" t="s">
        <v>567</v>
      </c>
      <c r="C442">
        <v>1</v>
      </c>
      <c r="D442">
        <v>6.0000000000000001E-3</v>
      </c>
      <c r="E442">
        <v>6.6727625919715301</v>
      </c>
      <c r="F442">
        <v>773.24516997809826</v>
      </c>
      <c r="G442">
        <v>0.42399999999999999</v>
      </c>
      <c r="H442">
        <v>1.0500000000000001E-2</v>
      </c>
      <c r="I442">
        <v>88.001170000000002</v>
      </c>
    </row>
    <row r="443" spans="1:9" x14ac:dyDescent="0.3">
      <c r="A443" t="s">
        <v>9</v>
      </c>
      <c r="B443" t="s">
        <v>568</v>
      </c>
      <c r="C443">
        <v>1</v>
      </c>
      <c r="D443">
        <v>9.1000000000000004E-3</v>
      </c>
      <c r="E443">
        <v>6.8809839861999702</v>
      </c>
      <c r="F443">
        <v>793.00538029037716</v>
      </c>
      <c r="G443">
        <v>0.42399999999999999</v>
      </c>
      <c r="H443">
        <v>1.38E-2</v>
      </c>
      <c r="I443">
        <v>88.200630000000004</v>
      </c>
    </row>
    <row r="444" spans="1:9" x14ac:dyDescent="0.3">
      <c r="A444" t="s">
        <v>9</v>
      </c>
      <c r="B444" t="s">
        <v>569</v>
      </c>
      <c r="C444">
        <v>1</v>
      </c>
      <c r="D444">
        <v>1.2200000000000001E-2</v>
      </c>
      <c r="E444">
        <v>7.0691447150739961</v>
      </c>
      <c r="F444">
        <v>810.86183346052223</v>
      </c>
      <c r="G444">
        <v>0.42399999999999999</v>
      </c>
      <c r="H444">
        <v>1.67E-2</v>
      </c>
      <c r="I444">
        <v>88.400469999999999</v>
      </c>
    </row>
    <row r="445" spans="1:9" x14ac:dyDescent="0.3">
      <c r="A445" t="s">
        <v>9</v>
      </c>
      <c r="B445" t="s">
        <v>570</v>
      </c>
      <c r="C445">
        <v>1</v>
      </c>
      <c r="D445">
        <v>1.47E-2</v>
      </c>
      <c r="E445">
        <v>7.2185087861793233</v>
      </c>
      <c r="F445">
        <v>825.03648380841787</v>
      </c>
      <c r="G445">
        <v>0.42399999999999999</v>
      </c>
      <c r="H445">
        <v>1.9E-2</v>
      </c>
      <c r="I445">
        <v>88.600430000000003</v>
      </c>
    </row>
    <row r="446" spans="1:9" x14ac:dyDescent="0.3">
      <c r="A446" t="s">
        <v>9</v>
      </c>
      <c r="B446" t="s">
        <v>571</v>
      </c>
      <c r="C446">
        <v>1</v>
      </c>
      <c r="D446">
        <v>1.6799999999999999E-2</v>
      </c>
      <c r="E446">
        <v>7.3145761600265304</v>
      </c>
      <c r="F446">
        <v>834.15327758651767</v>
      </c>
      <c r="G446">
        <v>0.42399999999999999</v>
      </c>
      <c r="H446">
        <v>2.0500000000000001E-2</v>
      </c>
      <c r="I446">
        <v>88.801060000000007</v>
      </c>
    </row>
    <row r="447" spans="1:9" x14ac:dyDescent="0.3">
      <c r="A447" t="s">
        <v>9</v>
      </c>
      <c r="B447" t="s">
        <v>572</v>
      </c>
      <c r="C447">
        <v>1</v>
      </c>
      <c r="D447">
        <v>1.8100000000000002E-2</v>
      </c>
      <c r="E447">
        <v>7.3473012987852826</v>
      </c>
      <c r="F447">
        <v>837.25889325472349</v>
      </c>
      <c r="G447">
        <v>0.42399999999999999</v>
      </c>
      <c r="H447">
        <v>2.1000000000000001E-2</v>
      </c>
      <c r="I447">
        <v>89.001199999999997</v>
      </c>
    </row>
    <row r="448" spans="1:9" x14ac:dyDescent="0.3">
      <c r="A448" t="s">
        <v>9</v>
      </c>
      <c r="B448" t="s">
        <v>573</v>
      </c>
      <c r="C448">
        <v>1</v>
      </c>
      <c r="D448">
        <v>1.9300000000000001E-2</v>
      </c>
      <c r="E448">
        <v>7.3134351653361316</v>
      </c>
      <c r="F448">
        <v>729.61215740932755</v>
      </c>
      <c r="G448">
        <v>0.42399999999999999</v>
      </c>
      <c r="H448">
        <v>2.0500000000000001E-2</v>
      </c>
      <c r="I448">
        <v>89.202399999999997</v>
      </c>
    </row>
    <row r="449" spans="1:9" x14ac:dyDescent="0.3">
      <c r="A449" t="s">
        <v>9</v>
      </c>
      <c r="B449" t="s">
        <v>574</v>
      </c>
      <c r="C449">
        <v>1</v>
      </c>
      <c r="D449">
        <v>1.9400000000000001E-2</v>
      </c>
      <c r="E449">
        <v>7.2180542534686154</v>
      </c>
      <c r="F449">
        <v>720.722656423275</v>
      </c>
      <c r="G449">
        <v>0.42399999999999999</v>
      </c>
      <c r="H449">
        <v>1.9E-2</v>
      </c>
      <c r="I449">
        <v>89.400289999999998</v>
      </c>
    </row>
    <row r="450" spans="1:9" x14ac:dyDescent="0.3">
      <c r="A450" t="s">
        <v>9</v>
      </c>
      <c r="B450" t="s">
        <v>575</v>
      </c>
      <c r="C450">
        <v>1</v>
      </c>
      <c r="D450">
        <v>1.89E-2</v>
      </c>
      <c r="E450">
        <v>7.0633700006530242</v>
      </c>
      <c r="F450">
        <v>706.30608406086185</v>
      </c>
      <c r="G450">
        <v>0.42399999999999999</v>
      </c>
      <c r="H450">
        <v>1.66E-2</v>
      </c>
      <c r="I450">
        <v>89.606219999999993</v>
      </c>
    </row>
    <row r="451" spans="1:9" x14ac:dyDescent="0.3">
      <c r="A451" t="s">
        <v>9</v>
      </c>
      <c r="B451" t="s">
        <v>576</v>
      </c>
      <c r="C451">
        <v>1</v>
      </c>
      <c r="D451">
        <v>1.83E-2</v>
      </c>
      <c r="E451">
        <v>6.8803469916517779</v>
      </c>
      <c r="F451">
        <v>689.24833962194577</v>
      </c>
      <c r="G451">
        <v>0.42399999999999999</v>
      </c>
      <c r="H451">
        <v>1.37E-2</v>
      </c>
      <c r="I451">
        <v>89.8</v>
      </c>
    </row>
    <row r="452" spans="1:9" x14ac:dyDescent="0.3">
      <c r="A452" t="s">
        <v>9</v>
      </c>
      <c r="B452" t="s">
        <v>577</v>
      </c>
      <c r="C452">
        <v>1</v>
      </c>
      <c r="D452">
        <v>1.67E-2</v>
      </c>
      <c r="E452">
        <v>6.6707007732079679</v>
      </c>
      <c r="F452">
        <v>669.70931206298258</v>
      </c>
      <c r="G452">
        <v>0.42399999999999999</v>
      </c>
      <c r="H452">
        <v>1.0500000000000001E-2</v>
      </c>
      <c r="I452">
        <v>90.00076</v>
      </c>
    </row>
    <row r="453" spans="1:9" x14ac:dyDescent="0.3">
      <c r="A453" t="s">
        <v>9</v>
      </c>
      <c r="B453" t="s">
        <v>578</v>
      </c>
      <c r="C453">
        <v>1</v>
      </c>
      <c r="D453">
        <v>1.3899999999999999E-2</v>
      </c>
      <c r="E453">
        <v>6.4627429349670047</v>
      </c>
      <c r="F453">
        <v>650.32764153892481</v>
      </c>
      <c r="G453">
        <v>0.42399999999999999</v>
      </c>
      <c r="H453">
        <v>7.3000000000000001E-3</v>
      </c>
      <c r="I453">
        <v>90.199939999999998</v>
      </c>
    </row>
    <row r="454" spans="1:9" x14ac:dyDescent="0.3">
      <c r="A454" t="s">
        <v>9</v>
      </c>
      <c r="B454" t="s">
        <v>579</v>
      </c>
      <c r="C454">
        <v>1</v>
      </c>
      <c r="D454">
        <v>9.7000000000000003E-3</v>
      </c>
      <c r="E454">
        <v>6.2733365188549417</v>
      </c>
      <c r="F454">
        <v>632.67496355728053</v>
      </c>
      <c r="G454">
        <v>0.42399999999999999</v>
      </c>
      <c r="H454">
        <v>4.3E-3</v>
      </c>
      <c r="I454">
        <v>90.401120000000006</v>
      </c>
    </row>
    <row r="455" spans="1:9" x14ac:dyDescent="0.3">
      <c r="A455" t="s">
        <v>9</v>
      </c>
      <c r="B455" t="s">
        <v>580</v>
      </c>
      <c r="C455">
        <v>1</v>
      </c>
      <c r="D455">
        <v>5.4999999999999997E-3</v>
      </c>
      <c r="E455">
        <v>6.1246814133559253</v>
      </c>
      <c r="F455">
        <v>618.82030772477231</v>
      </c>
      <c r="G455">
        <v>0.42399999999999999</v>
      </c>
      <c r="H455">
        <v>2E-3</v>
      </c>
      <c r="I455">
        <v>90.600179999999995</v>
      </c>
    </row>
    <row r="456" spans="1:9" x14ac:dyDescent="0.3">
      <c r="A456" t="s">
        <v>9</v>
      </c>
      <c r="B456" t="s">
        <v>581</v>
      </c>
      <c r="C456">
        <v>1</v>
      </c>
      <c r="D456">
        <v>2E-3</v>
      </c>
      <c r="E456">
        <v>6.0284137775053122</v>
      </c>
      <c r="F456">
        <v>609.84816406349512</v>
      </c>
      <c r="G456">
        <v>0.42399999999999999</v>
      </c>
      <c r="H456">
        <v>5.0000000000000001E-4</v>
      </c>
      <c r="I456">
        <v>90.801209999999998</v>
      </c>
    </row>
    <row r="457" spans="1:9" x14ac:dyDescent="0.3">
      <c r="A457" t="s">
        <v>9</v>
      </c>
      <c r="B457" t="s">
        <v>582</v>
      </c>
      <c r="C457">
        <v>1</v>
      </c>
      <c r="D457">
        <v>2.0000000000000001E-4</v>
      </c>
      <c r="E457">
        <v>5.995734813048017</v>
      </c>
      <c r="F457">
        <v>606.80248457607524</v>
      </c>
      <c r="G457">
        <v>0.42399999999999999</v>
      </c>
      <c r="H457">
        <v>0</v>
      </c>
      <c r="I457">
        <v>91.001270000000005</v>
      </c>
    </row>
    <row r="458" spans="1:9" x14ac:dyDescent="0.3">
      <c r="A458" t="s">
        <v>9</v>
      </c>
      <c r="B458" t="s">
        <v>583</v>
      </c>
      <c r="C458">
        <v>1</v>
      </c>
      <c r="D458">
        <v>-2.9999999999999997E-4</v>
      </c>
      <c r="E458">
        <v>6.0294516690934072</v>
      </c>
      <c r="F458">
        <v>712.19496339696434</v>
      </c>
      <c r="G458">
        <v>0.42399999999999999</v>
      </c>
      <c r="H458">
        <v>5.0000000000000001E-4</v>
      </c>
      <c r="I458">
        <v>91.201949999999997</v>
      </c>
    </row>
    <row r="459" spans="1:9" x14ac:dyDescent="0.3">
      <c r="A459" t="s">
        <v>9</v>
      </c>
      <c r="B459" t="s">
        <v>584</v>
      </c>
      <c r="C459">
        <v>1</v>
      </c>
      <c r="D459">
        <v>0</v>
      </c>
      <c r="E459">
        <v>6.1256653692248593</v>
      </c>
      <c r="F459">
        <v>721.32564353943917</v>
      </c>
      <c r="G459">
        <v>0.42399999999999999</v>
      </c>
      <c r="H459">
        <v>2E-3</v>
      </c>
      <c r="I459">
        <v>91.401390000000006</v>
      </c>
    </row>
    <row r="460" spans="1:9" x14ac:dyDescent="0.3">
      <c r="A460" t="s">
        <v>9</v>
      </c>
      <c r="B460" t="s">
        <v>585</v>
      </c>
      <c r="C460">
        <v>1</v>
      </c>
      <c r="D460">
        <v>6.9999999999999999E-4</v>
      </c>
      <c r="E460">
        <v>6.2750559175701603</v>
      </c>
      <c r="F460">
        <v>735.50280657740825</v>
      </c>
      <c r="G460">
        <v>0.42399999999999999</v>
      </c>
      <c r="H460">
        <v>4.3E-3</v>
      </c>
      <c r="I460">
        <v>91.600880000000004</v>
      </c>
    </row>
    <row r="461" spans="1:9" x14ac:dyDescent="0.3">
      <c r="A461" t="s">
        <v>9</v>
      </c>
      <c r="B461" t="s">
        <v>586</v>
      </c>
      <c r="C461">
        <v>1</v>
      </c>
      <c r="D461">
        <v>2.5999999999999999E-3</v>
      </c>
      <c r="E461">
        <v>6.4637837783821581</v>
      </c>
      <c r="F461">
        <v>753.41308056846685</v>
      </c>
      <c r="G461">
        <v>0.42399999999999999</v>
      </c>
      <c r="H461">
        <v>7.3000000000000001E-3</v>
      </c>
      <c r="I461">
        <v>91.801079999999999</v>
      </c>
    </row>
    <row r="462" spans="1:9" x14ac:dyDescent="0.3">
      <c r="A462" t="s">
        <v>9</v>
      </c>
      <c r="B462" t="s">
        <v>587</v>
      </c>
      <c r="C462">
        <v>1</v>
      </c>
      <c r="D462">
        <v>5.8999999999999999E-3</v>
      </c>
      <c r="E462">
        <v>6.6728469298875233</v>
      </c>
      <c r="F462">
        <v>773.25317364632599</v>
      </c>
      <c r="G462">
        <v>0.42399999999999999</v>
      </c>
      <c r="H462">
        <v>1.0500000000000001E-2</v>
      </c>
      <c r="I462">
        <v>92.001249999999999</v>
      </c>
    </row>
    <row r="463" spans="1:9" x14ac:dyDescent="0.3">
      <c r="A463" t="s">
        <v>9</v>
      </c>
      <c r="B463" t="s">
        <v>588</v>
      </c>
      <c r="C463">
        <v>1</v>
      </c>
      <c r="D463">
        <v>9.1000000000000004E-3</v>
      </c>
      <c r="E463">
        <v>6.8825239641083273</v>
      </c>
      <c r="F463">
        <v>793.15152419388028</v>
      </c>
      <c r="G463">
        <v>0.42399999999999999</v>
      </c>
      <c r="H463">
        <v>1.38E-2</v>
      </c>
      <c r="I463">
        <v>92.202160000000006</v>
      </c>
    </row>
    <row r="464" spans="1:9" x14ac:dyDescent="0.3">
      <c r="A464" t="s">
        <v>9</v>
      </c>
      <c r="B464" t="s">
        <v>589</v>
      </c>
      <c r="C464">
        <v>1</v>
      </c>
      <c r="D464">
        <v>1.2200000000000001E-2</v>
      </c>
      <c r="E464">
        <v>7.0689877978937599</v>
      </c>
      <c r="F464">
        <v>810.84694202011781</v>
      </c>
      <c r="G464">
        <v>0.42399999999999999</v>
      </c>
      <c r="H464">
        <v>1.67E-2</v>
      </c>
      <c r="I464">
        <v>92.400289999999998</v>
      </c>
    </row>
    <row r="465" spans="1:9" x14ac:dyDescent="0.3">
      <c r="A465" t="s">
        <v>9</v>
      </c>
      <c r="B465" t="s">
        <v>590</v>
      </c>
      <c r="C465">
        <v>1</v>
      </c>
      <c r="D465">
        <v>1.46E-2</v>
      </c>
      <c r="E465">
        <v>7.2201160722321749</v>
      </c>
      <c r="F465">
        <v>825.18901525483341</v>
      </c>
      <c r="G465">
        <v>0.42399999999999999</v>
      </c>
      <c r="H465">
        <v>1.9E-2</v>
      </c>
      <c r="I465">
        <v>92.603020000000001</v>
      </c>
    </row>
    <row r="466" spans="1:9" x14ac:dyDescent="0.3">
      <c r="A466" t="s">
        <v>9</v>
      </c>
      <c r="B466" t="s">
        <v>591</v>
      </c>
      <c r="C466">
        <v>1</v>
      </c>
      <c r="D466">
        <v>1.6799999999999999E-2</v>
      </c>
      <c r="E466">
        <v>7.3149970386649921</v>
      </c>
      <c r="F466">
        <v>834.19321896930774</v>
      </c>
      <c r="G466">
        <v>0.42399999999999999</v>
      </c>
      <c r="H466">
        <v>2.0500000000000001E-2</v>
      </c>
      <c r="I466">
        <v>92.802350000000004</v>
      </c>
    </row>
    <row r="467" spans="1:9" x14ac:dyDescent="0.3">
      <c r="A467" t="s">
        <v>9</v>
      </c>
      <c r="B467" t="s">
        <v>592</v>
      </c>
      <c r="C467">
        <v>1</v>
      </c>
      <c r="D467">
        <v>1.84E-2</v>
      </c>
      <c r="E467">
        <v>7.3473025151975344</v>
      </c>
      <c r="F467">
        <v>837.25900869224608</v>
      </c>
      <c r="G467">
        <v>0.42399999999999999</v>
      </c>
      <c r="H467">
        <v>2.1000000000000001E-2</v>
      </c>
      <c r="I467">
        <v>93.00009</v>
      </c>
    </row>
    <row r="468" spans="1:9" x14ac:dyDescent="0.3">
      <c r="A468" t="s">
        <v>9</v>
      </c>
      <c r="B468" t="s">
        <v>593</v>
      </c>
      <c r="C468">
        <v>1</v>
      </c>
      <c r="D468">
        <v>1.89E-2</v>
      </c>
      <c r="E468">
        <v>7.313427866862634</v>
      </c>
      <c r="F468">
        <v>729.61147719159749</v>
      </c>
      <c r="G468">
        <v>0.42399999999999999</v>
      </c>
      <c r="H468">
        <v>2.0500000000000001E-2</v>
      </c>
      <c r="I468">
        <v>93.202420000000004</v>
      </c>
    </row>
    <row r="469" spans="1:9" x14ac:dyDescent="0.3">
      <c r="A469" t="s">
        <v>9</v>
      </c>
      <c r="B469" t="s">
        <v>594</v>
      </c>
      <c r="C469">
        <v>1</v>
      </c>
      <c r="D469">
        <v>1.89E-2</v>
      </c>
      <c r="E469">
        <v>7.2176041809361564</v>
      </c>
      <c r="F469">
        <v>720.68070966324967</v>
      </c>
      <c r="G469">
        <v>0.42399999999999999</v>
      </c>
      <c r="H469">
        <v>1.9E-2</v>
      </c>
      <c r="I469">
        <v>93.401020000000003</v>
      </c>
    </row>
    <row r="470" spans="1:9" x14ac:dyDescent="0.3">
      <c r="A470" t="s">
        <v>9</v>
      </c>
      <c r="B470" t="s">
        <v>595</v>
      </c>
      <c r="C470">
        <v>1</v>
      </c>
      <c r="D470">
        <v>1.8700000000000001E-2</v>
      </c>
      <c r="E470">
        <v>7.0678253132536168</v>
      </c>
      <c r="F470">
        <v>706.72131919523713</v>
      </c>
      <c r="G470">
        <v>0.42399999999999999</v>
      </c>
      <c r="H470">
        <v>1.67E-2</v>
      </c>
      <c r="I470">
        <v>93.601050000000001</v>
      </c>
    </row>
    <row r="471" spans="1:9" x14ac:dyDescent="0.3">
      <c r="A471" t="s">
        <v>9</v>
      </c>
      <c r="B471" t="s">
        <v>596</v>
      </c>
      <c r="C471">
        <v>1</v>
      </c>
      <c r="D471">
        <v>1.7999999999999999E-2</v>
      </c>
      <c r="E471">
        <v>6.8782158373899724</v>
      </c>
      <c r="F471">
        <v>689.04971604474542</v>
      </c>
      <c r="G471">
        <v>0.42399999999999999</v>
      </c>
      <c r="H471">
        <v>1.37E-2</v>
      </c>
      <c r="I471">
        <v>93.802109999999999</v>
      </c>
    </row>
    <row r="472" spans="1:9" x14ac:dyDescent="0.3">
      <c r="A472" t="s">
        <v>9</v>
      </c>
      <c r="B472" t="s">
        <v>597</v>
      </c>
      <c r="C472">
        <v>1</v>
      </c>
      <c r="D472">
        <v>1.6400000000000001E-2</v>
      </c>
      <c r="E472">
        <v>6.6693375805465926</v>
      </c>
      <c r="F472">
        <v>669.58226250694247</v>
      </c>
      <c r="G472">
        <v>0.42399999999999999</v>
      </c>
      <c r="H472">
        <v>1.0500000000000001E-2</v>
      </c>
      <c r="I472">
        <v>94.002049999999997</v>
      </c>
    </row>
    <row r="473" spans="1:9" x14ac:dyDescent="0.3">
      <c r="A473" t="s">
        <v>9</v>
      </c>
      <c r="B473" t="s">
        <v>598</v>
      </c>
      <c r="C473">
        <v>1</v>
      </c>
      <c r="D473">
        <v>1.35E-2</v>
      </c>
      <c r="E473">
        <v>6.4622312308805503</v>
      </c>
      <c r="F473">
        <v>650.27995071806731</v>
      </c>
      <c r="G473">
        <v>0.42399999999999999</v>
      </c>
      <c r="H473">
        <v>7.1999999999999998E-3</v>
      </c>
      <c r="I473">
        <v>94.200450000000004</v>
      </c>
    </row>
    <row r="474" spans="1:9" x14ac:dyDescent="0.3">
      <c r="A474" t="s">
        <v>9</v>
      </c>
      <c r="B474" t="s">
        <v>599</v>
      </c>
      <c r="C474">
        <v>1</v>
      </c>
      <c r="D474">
        <v>9.7000000000000003E-3</v>
      </c>
      <c r="E474">
        <v>6.2729769473938752</v>
      </c>
      <c r="F474">
        <v>632.64145149710919</v>
      </c>
      <c r="G474">
        <v>0.42399999999999999</v>
      </c>
      <c r="H474">
        <v>4.3E-3</v>
      </c>
      <c r="I474">
        <v>94.401539999999997</v>
      </c>
    </row>
    <row r="475" spans="1:9" x14ac:dyDescent="0.3">
      <c r="A475" t="s">
        <v>9</v>
      </c>
      <c r="B475" t="s">
        <v>600</v>
      </c>
      <c r="C475">
        <v>1</v>
      </c>
      <c r="D475">
        <v>5.4999999999999997E-3</v>
      </c>
      <c r="E475">
        <v>6.1243171384341579</v>
      </c>
      <c r="F475">
        <v>618.78635730206349</v>
      </c>
      <c r="G475">
        <v>0.42399999999999999</v>
      </c>
      <c r="H475">
        <v>2E-3</v>
      </c>
      <c r="I475">
        <v>94.600769999999997</v>
      </c>
    </row>
    <row r="476" spans="1:9" x14ac:dyDescent="0.3">
      <c r="A476" t="s">
        <v>9</v>
      </c>
      <c r="B476" t="s">
        <v>601</v>
      </c>
      <c r="C476">
        <v>1</v>
      </c>
      <c r="D476">
        <v>1.9E-3</v>
      </c>
      <c r="E476">
        <v>6.0285305855189604</v>
      </c>
      <c r="F476">
        <v>609.85905057036712</v>
      </c>
      <c r="G476">
        <v>0.42399999999999999</v>
      </c>
      <c r="H476">
        <v>5.0000000000000001E-4</v>
      </c>
      <c r="I476">
        <v>94.800839999999994</v>
      </c>
    </row>
    <row r="477" spans="1:9" x14ac:dyDescent="0.3">
      <c r="A477" t="s">
        <v>9</v>
      </c>
      <c r="B477" t="s">
        <v>602</v>
      </c>
      <c r="C477">
        <v>1</v>
      </c>
      <c r="D477">
        <v>5.0000000000000001E-4</v>
      </c>
      <c r="E477">
        <v>5.995736464524299</v>
      </c>
      <c r="F477">
        <v>606.80263849366463</v>
      </c>
      <c r="G477">
        <v>0.42399999999999999</v>
      </c>
      <c r="H477">
        <v>0</v>
      </c>
      <c r="I477">
        <v>95.001890000000003</v>
      </c>
    </row>
    <row r="478" spans="1:9" x14ac:dyDescent="0.3">
      <c r="A478" t="s">
        <v>9</v>
      </c>
      <c r="B478" t="s">
        <v>603</v>
      </c>
      <c r="C478">
        <v>1</v>
      </c>
      <c r="D478">
        <v>2.0000000000000001E-4</v>
      </c>
      <c r="E478">
        <v>6.0289490556611671</v>
      </c>
      <c r="F478">
        <v>712.14726538224477</v>
      </c>
      <c r="G478">
        <v>0.42399999999999999</v>
      </c>
      <c r="H478">
        <v>5.0000000000000001E-4</v>
      </c>
      <c r="I478">
        <v>95.200419999999994</v>
      </c>
    </row>
    <row r="479" spans="1:9" x14ac:dyDescent="0.3">
      <c r="A479" t="s">
        <v>9</v>
      </c>
      <c r="B479" t="s">
        <v>604</v>
      </c>
      <c r="C479">
        <v>1</v>
      </c>
      <c r="D479">
        <v>2.0000000000000001E-4</v>
      </c>
      <c r="E479">
        <v>6.124931750996951</v>
      </c>
      <c r="F479">
        <v>721.25602316961067</v>
      </c>
      <c r="G479">
        <v>0.42399999999999999</v>
      </c>
      <c r="H479">
        <v>2E-3</v>
      </c>
      <c r="I479">
        <v>95.400220000000004</v>
      </c>
    </row>
    <row r="480" spans="1:9" x14ac:dyDescent="0.3">
      <c r="A480" t="s">
        <v>9</v>
      </c>
      <c r="B480" t="s">
        <v>605</v>
      </c>
      <c r="C480">
        <v>1</v>
      </c>
      <c r="D480">
        <v>1E-3</v>
      </c>
      <c r="E480">
        <v>6.2749487111038693</v>
      </c>
      <c r="F480">
        <v>735.49263268375728</v>
      </c>
      <c r="G480">
        <v>0.42399999999999999</v>
      </c>
      <c r="H480">
        <v>4.3E-3</v>
      </c>
      <c r="I480">
        <v>95.600750000000005</v>
      </c>
    </row>
    <row r="481" spans="1:9" x14ac:dyDescent="0.3">
      <c r="A481" t="s">
        <v>9</v>
      </c>
      <c r="B481" t="s">
        <v>606</v>
      </c>
      <c r="C481">
        <v>1</v>
      </c>
      <c r="D481">
        <v>3.0000000000000001E-3</v>
      </c>
      <c r="E481">
        <v>6.4642468259786154</v>
      </c>
      <c r="F481">
        <v>753.45702378537067</v>
      </c>
      <c r="G481">
        <v>0.42399999999999999</v>
      </c>
      <c r="H481">
        <v>7.3000000000000001E-3</v>
      </c>
      <c r="I481">
        <v>95.801540000000003</v>
      </c>
    </row>
    <row r="482" spans="1:9" x14ac:dyDescent="0.3">
      <c r="A482" t="s">
        <v>9</v>
      </c>
      <c r="B482" t="s">
        <v>607</v>
      </c>
      <c r="C482">
        <v>1</v>
      </c>
      <c r="D482">
        <v>6.0000000000000001E-3</v>
      </c>
      <c r="E482">
        <v>6.6715595602563909</v>
      </c>
      <c r="F482">
        <v>773.13100226833149</v>
      </c>
      <c r="G482">
        <v>0.42399999999999999</v>
      </c>
      <c r="H482">
        <v>1.0500000000000001E-2</v>
      </c>
      <c r="I482">
        <v>96.000039999999998</v>
      </c>
    </row>
    <row r="483" spans="1:9" x14ac:dyDescent="0.3">
      <c r="A483" t="s">
        <v>9</v>
      </c>
      <c r="B483" t="s">
        <v>608</v>
      </c>
      <c r="C483">
        <v>1</v>
      </c>
      <c r="D483">
        <v>9.1000000000000004E-3</v>
      </c>
      <c r="E483">
        <v>6.8817126171376524</v>
      </c>
      <c r="F483">
        <v>793.07452736636321</v>
      </c>
      <c r="G483">
        <v>0.42399999999999999</v>
      </c>
      <c r="H483">
        <v>1.38E-2</v>
      </c>
      <c r="I483">
        <v>96.201350000000005</v>
      </c>
    </row>
    <row r="484" spans="1:9" x14ac:dyDescent="0.3">
      <c r="A484" t="s">
        <v>9</v>
      </c>
      <c r="B484" t="s">
        <v>609</v>
      </c>
      <c r="C484">
        <v>1</v>
      </c>
      <c r="D484">
        <v>1.2200000000000001E-2</v>
      </c>
      <c r="E484">
        <v>7.0710958403228146</v>
      </c>
      <c r="F484">
        <v>811.04699524663522</v>
      </c>
      <c r="G484">
        <v>0.42399999999999999</v>
      </c>
      <c r="H484">
        <v>1.67E-2</v>
      </c>
      <c r="I484">
        <v>96.402749999999997</v>
      </c>
    </row>
    <row r="485" spans="1:9" x14ac:dyDescent="0.3">
      <c r="A485" t="s">
        <v>9</v>
      </c>
      <c r="B485" t="s">
        <v>610</v>
      </c>
      <c r="C485">
        <v>1</v>
      </c>
      <c r="D485">
        <v>1.4500000000000001E-2</v>
      </c>
      <c r="E485">
        <v>7.2183409212888403</v>
      </c>
      <c r="F485">
        <v>825.020553430311</v>
      </c>
      <c r="G485">
        <v>0.42399999999999999</v>
      </c>
      <c r="H485">
        <v>1.9E-2</v>
      </c>
      <c r="I485">
        <v>96.600160000000002</v>
      </c>
    </row>
    <row r="486" spans="1:9" x14ac:dyDescent="0.3">
      <c r="A486" t="s">
        <v>9</v>
      </c>
      <c r="B486" t="s">
        <v>611</v>
      </c>
      <c r="C486">
        <v>1</v>
      </c>
      <c r="D486">
        <v>1.6500000000000001E-2</v>
      </c>
      <c r="E486">
        <v>7.3146596870010203</v>
      </c>
      <c r="F486">
        <v>834.16120429639682</v>
      </c>
      <c r="G486">
        <v>0.42399999999999999</v>
      </c>
      <c r="H486">
        <v>2.0500000000000001E-2</v>
      </c>
      <c r="I486">
        <v>96.801320000000004</v>
      </c>
    </row>
    <row r="487" spans="1:9" x14ac:dyDescent="0.3">
      <c r="A487" t="s">
        <v>9</v>
      </c>
      <c r="B487" t="s">
        <v>612</v>
      </c>
      <c r="C487">
        <v>1</v>
      </c>
      <c r="D487">
        <v>1.8100000000000002E-2</v>
      </c>
      <c r="E487">
        <v>7.3473025151975344</v>
      </c>
      <c r="F487">
        <v>837.25900869224608</v>
      </c>
      <c r="G487">
        <v>0.42399999999999999</v>
      </c>
      <c r="H487">
        <v>2.1000000000000001E-2</v>
      </c>
      <c r="I487">
        <v>96.999979999999994</v>
      </c>
    </row>
    <row r="488" spans="1:9" x14ac:dyDescent="0.3">
      <c r="A488" t="s">
        <v>9</v>
      </c>
      <c r="B488" t="s">
        <v>613</v>
      </c>
      <c r="C488">
        <v>1</v>
      </c>
      <c r="D488">
        <v>1.8800000000000001E-2</v>
      </c>
      <c r="E488">
        <v>7.3136946666161107</v>
      </c>
      <c r="F488">
        <v>729.6363429286215</v>
      </c>
      <c r="G488">
        <v>0.42399999999999999</v>
      </c>
      <c r="H488">
        <v>2.0500000000000001E-2</v>
      </c>
      <c r="I488">
        <v>97.201610000000002</v>
      </c>
    </row>
    <row r="489" spans="1:9" x14ac:dyDescent="0.3">
      <c r="A489" t="s">
        <v>9</v>
      </c>
      <c r="B489" t="s">
        <v>614</v>
      </c>
      <c r="C489">
        <v>1</v>
      </c>
      <c r="D489">
        <v>1.8700000000000001E-2</v>
      </c>
      <c r="E489">
        <v>7.2184098513163333</v>
      </c>
      <c r="F489">
        <v>720.75579814268224</v>
      </c>
      <c r="G489">
        <v>0.42399999999999999</v>
      </c>
      <c r="H489">
        <v>1.9E-2</v>
      </c>
      <c r="I489">
        <v>97.399720000000002</v>
      </c>
    </row>
    <row r="490" spans="1:9" x14ac:dyDescent="0.3">
      <c r="A490" t="s">
        <v>9</v>
      </c>
      <c r="B490" t="s">
        <v>615</v>
      </c>
      <c r="C490">
        <v>1</v>
      </c>
      <c r="D490">
        <v>1.83E-2</v>
      </c>
      <c r="E490">
        <v>7.0688921067967687</v>
      </c>
      <c r="F490">
        <v>706.82074435345885</v>
      </c>
      <c r="G490">
        <v>0.42399999999999999</v>
      </c>
      <c r="H490">
        <v>1.67E-2</v>
      </c>
      <c r="I490">
        <v>97.599819999999994</v>
      </c>
    </row>
    <row r="491" spans="1:9" x14ac:dyDescent="0.3">
      <c r="A491" t="s">
        <v>9</v>
      </c>
      <c r="B491" t="s">
        <v>616</v>
      </c>
      <c r="C491">
        <v>1</v>
      </c>
      <c r="D491">
        <v>1.78E-2</v>
      </c>
      <c r="E491">
        <v>6.8785580547029417</v>
      </c>
      <c r="F491">
        <v>689.08161069831419</v>
      </c>
      <c r="G491">
        <v>0.42399999999999999</v>
      </c>
      <c r="H491">
        <v>1.37E-2</v>
      </c>
      <c r="I491">
        <v>97.801770000000005</v>
      </c>
    </row>
    <row r="492" spans="1:9" x14ac:dyDescent="0.3">
      <c r="A492" t="s">
        <v>9</v>
      </c>
      <c r="B492" t="s">
        <v>617</v>
      </c>
      <c r="C492">
        <v>1</v>
      </c>
      <c r="D492">
        <v>1.6400000000000001E-2</v>
      </c>
      <c r="E492">
        <v>6.6706869872024699</v>
      </c>
      <c r="F492">
        <v>669.70802720727022</v>
      </c>
      <c r="G492">
        <v>0.42399999999999999</v>
      </c>
      <c r="H492">
        <v>1.0500000000000001E-2</v>
      </c>
      <c r="I492">
        <v>98.000780000000006</v>
      </c>
    </row>
    <row r="493" spans="1:9" x14ac:dyDescent="0.3">
      <c r="A493" t="s">
        <v>9</v>
      </c>
      <c r="B493" t="s">
        <v>618</v>
      </c>
      <c r="C493">
        <v>1</v>
      </c>
      <c r="D493">
        <v>1.35E-2</v>
      </c>
      <c r="E493">
        <v>6.4627198231342557</v>
      </c>
      <c r="F493">
        <v>650.32548751611262</v>
      </c>
      <c r="G493">
        <v>0.42399999999999999</v>
      </c>
      <c r="H493">
        <v>7.3000000000000001E-3</v>
      </c>
      <c r="I493">
        <v>98.199969999999993</v>
      </c>
    </row>
    <row r="494" spans="1:9" x14ac:dyDescent="0.3">
      <c r="A494" t="s">
        <v>9</v>
      </c>
      <c r="B494" t="s">
        <v>619</v>
      </c>
      <c r="C494">
        <v>1</v>
      </c>
      <c r="D494">
        <v>0.01</v>
      </c>
      <c r="E494">
        <v>6.2743425323326747</v>
      </c>
      <c r="F494">
        <v>632.76872401340529</v>
      </c>
      <c r="G494">
        <v>0.42399999999999999</v>
      </c>
      <c r="H494">
        <v>4.3E-3</v>
      </c>
      <c r="I494">
        <v>98.399950000000004</v>
      </c>
    </row>
    <row r="495" spans="1:9" x14ac:dyDescent="0.3">
      <c r="A495" t="s">
        <v>9</v>
      </c>
      <c r="B495" t="s">
        <v>620</v>
      </c>
      <c r="C495">
        <v>1</v>
      </c>
      <c r="D495">
        <v>5.7000000000000002E-3</v>
      </c>
      <c r="E495">
        <v>6.1248611990864568</v>
      </c>
      <c r="F495">
        <v>618.83706375485781</v>
      </c>
      <c r="G495">
        <v>0.42399999999999999</v>
      </c>
      <c r="H495">
        <v>2E-3</v>
      </c>
      <c r="I495">
        <v>98.599890000000002</v>
      </c>
    </row>
    <row r="496" spans="1:9" x14ac:dyDescent="0.3">
      <c r="A496" t="s">
        <v>9</v>
      </c>
      <c r="B496" t="s">
        <v>621</v>
      </c>
      <c r="C496">
        <v>1</v>
      </c>
      <c r="D496">
        <v>1.9E-3</v>
      </c>
      <c r="E496">
        <v>6.0285110093911518</v>
      </c>
      <c r="F496">
        <v>609.85722607525531</v>
      </c>
      <c r="G496">
        <v>0.42399999999999999</v>
      </c>
      <c r="H496">
        <v>5.0000000000000001E-4</v>
      </c>
      <c r="I496">
        <v>98.800899999999999</v>
      </c>
    </row>
    <row r="497" spans="1:9" x14ac:dyDescent="0.3">
      <c r="A497" t="s">
        <v>9</v>
      </c>
      <c r="B497" t="s">
        <v>622</v>
      </c>
      <c r="C497">
        <v>1</v>
      </c>
      <c r="D497">
        <v>6.9999999999999999E-4</v>
      </c>
      <c r="E497">
        <v>5.9957336852110146</v>
      </c>
      <c r="F497">
        <v>606.80237946166653</v>
      </c>
      <c r="G497">
        <v>0.42399999999999999</v>
      </c>
      <c r="H497">
        <v>0</v>
      </c>
      <c r="I497">
        <v>99.000489999999999</v>
      </c>
    </row>
    <row r="498" spans="1:9" x14ac:dyDescent="0.3">
      <c r="A498" t="s">
        <v>9</v>
      </c>
      <c r="B498" t="s">
        <v>623</v>
      </c>
      <c r="C498">
        <v>1</v>
      </c>
      <c r="D498">
        <v>-2.0000000000000001E-4</v>
      </c>
      <c r="E498">
        <v>6.02903585883932</v>
      </c>
      <c r="F498">
        <v>712.15550300385155</v>
      </c>
      <c r="G498">
        <v>0.42399999999999999</v>
      </c>
      <c r="H498">
        <v>5.0000000000000001E-4</v>
      </c>
      <c r="I498">
        <v>99.200689999999994</v>
      </c>
    </row>
    <row r="499" spans="1:9" x14ac:dyDescent="0.3">
      <c r="A499" t="s">
        <v>9</v>
      </c>
      <c r="B499" t="s">
        <v>624</v>
      </c>
      <c r="C499">
        <v>1</v>
      </c>
      <c r="D499">
        <v>-1E-4</v>
      </c>
      <c r="E499">
        <v>6.1256126985744386</v>
      </c>
      <c r="F499">
        <v>721.32064509471434</v>
      </c>
      <c r="G499">
        <v>0.42399999999999999</v>
      </c>
      <c r="H499">
        <v>2E-3</v>
      </c>
      <c r="I499">
        <v>99.401309999999995</v>
      </c>
    </row>
    <row r="500" spans="1:9" x14ac:dyDescent="0.3">
      <c r="A500" t="s">
        <v>9</v>
      </c>
      <c r="B500" t="s">
        <v>625</v>
      </c>
      <c r="C500">
        <v>1</v>
      </c>
      <c r="D500">
        <v>6.9999999999999999E-4</v>
      </c>
      <c r="E500">
        <v>6.276437802433108</v>
      </c>
      <c r="F500">
        <v>735.63394745090204</v>
      </c>
      <c r="G500">
        <v>0.42399999999999999</v>
      </c>
      <c r="H500">
        <v>4.4000000000000003E-3</v>
      </c>
      <c r="I500">
        <v>99.602490000000003</v>
      </c>
    </row>
    <row r="501" spans="1:9" x14ac:dyDescent="0.3">
      <c r="A501" t="s">
        <v>9</v>
      </c>
      <c r="B501" t="s">
        <v>626</v>
      </c>
      <c r="C501">
        <v>1</v>
      </c>
      <c r="D501">
        <v>2.5999999999999999E-3</v>
      </c>
      <c r="E501">
        <v>6.4635125184504343</v>
      </c>
      <c r="F501">
        <v>753.38733800094622</v>
      </c>
      <c r="G501">
        <v>0.42399999999999999</v>
      </c>
      <c r="H501">
        <v>7.3000000000000001E-3</v>
      </c>
      <c r="I501">
        <v>99.800809999999998</v>
      </c>
    </row>
    <row r="502" spans="1:9" x14ac:dyDescent="0.3">
      <c r="A502" t="s">
        <v>9</v>
      </c>
      <c r="B502" t="s">
        <v>627</v>
      </c>
      <c r="C502">
        <v>1</v>
      </c>
      <c r="D502">
        <v>5.8999999999999999E-3</v>
      </c>
      <c r="E502">
        <v>6.6729535686947612</v>
      </c>
      <c r="F502">
        <v>773.26329366913285</v>
      </c>
      <c r="G502">
        <v>0.42399999999999999</v>
      </c>
      <c r="H502">
        <v>1.0500000000000001E-2</v>
      </c>
      <c r="I502">
        <v>100.0014</v>
      </c>
    </row>
    <row r="503" spans="1:9" x14ac:dyDescent="0.3">
      <c r="A503" t="s">
        <v>9</v>
      </c>
      <c r="B503" t="s">
        <v>628</v>
      </c>
      <c r="C503">
        <v>1</v>
      </c>
      <c r="D503">
        <v>8.9999999999999993E-3</v>
      </c>
      <c r="E503">
        <v>6.8805671622690072</v>
      </c>
      <c r="F503">
        <v>792.96582369932878</v>
      </c>
      <c r="G503">
        <v>0.42399999999999999</v>
      </c>
      <c r="H503">
        <v>1.37E-2</v>
      </c>
      <c r="I503">
        <v>100.2002</v>
      </c>
    </row>
    <row r="504" spans="1:9" x14ac:dyDescent="0.3">
      <c r="A504" t="s">
        <v>9</v>
      </c>
      <c r="B504" t="s">
        <v>629</v>
      </c>
      <c r="C504">
        <v>1</v>
      </c>
      <c r="D504">
        <v>1.2E-2</v>
      </c>
      <c r="E504">
        <v>7.0698157691651851</v>
      </c>
      <c r="F504">
        <v>810.92551649377606</v>
      </c>
      <c r="G504">
        <v>0.42399999999999999</v>
      </c>
      <c r="H504">
        <v>1.67E-2</v>
      </c>
      <c r="I504">
        <v>100.40130000000001</v>
      </c>
    </row>
    <row r="505" spans="1:9" x14ac:dyDescent="0.3">
      <c r="A505" t="s">
        <v>9</v>
      </c>
      <c r="B505" t="s">
        <v>630</v>
      </c>
      <c r="C505">
        <v>1</v>
      </c>
      <c r="D505">
        <v>1.46E-2</v>
      </c>
      <c r="E505">
        <v>7.2194486673777369</v>
      </c>
      <c r="F505">
        <v>825.12567853414726</v>
      </c>
      <c r="G505">
        <v>0.42399999999999999</v>
      </c>
      <c r="H505">
        <v>1.9E-2</v>
      </c>
      <c r="I505">
        <v>100.6019</v>
      </c>
    </row>
    <row r="506" spans="1:9" x14ac:dyDescent="0.3">
      <c r="A506" t="s">
        <v>9</v>
      </c>
      <c r="B506" t="s">
        <v>631</v>
      </c>
      <c r="C506">
        <v>1</v>
      </c>
      <c r="D506">
        <v>1.66E-2</v>
      </c>
      <c r="E506">
        <v>7.3146377915805241</v>
      </c>
      <c r="F506">
        <v>834.15912642099181</v>
      </c>
      <c r="G506">
        <v>0.42399999999999999</v>
      </c>
      <c r="H506">
        <v>2.0500000000000001E-2</v>
      </c>
      <c r="I506">
        <v>100.8013</v>
      </c>
    </row>
    <row r="507" spans="1:9" x14ac:dyDescent="0.3">
      <c r="A507" t="s">
        <v>9</v>
      </c>
      <c r="B507" t="s">
        <v>632</v>
      </c>
      <c r="C507">
        <v>1</v>
      </c>
      <c r="D507">
        <v>1.8800000000000001E-2</v>
      </c>
      <c r="E507">
        <v>7.3472931893702853</v>
      </c>
      <c r="F507">
        <v>837.25812367124013</v>
      </c>
      <c r="G507">
        <v>0.42399999999999999</v>
      </c>
      <c r="H507">
        <v>2.1000000000000001E-2</v>
      </c>
      <c r="I507">
        <v>101.0034</v>
      </c>
    </row>
    <row r="508" spans="1:9" x14ac:dyDescent="0.3">
      <c r="A508" t="s">
        <v>9</v>
      </c>
      <c r="B508" t="s">
        <v>633</v>
      </c>
      <c r="C508">
        <v>1</v>
      </c>
      <c r="D508">
        <v>1.9099999999999999E-2</v>
      </c>
      <c r="E508">
        <v>7.3140016079738306</v>
      </c>
      <c r="F508">
        <v>729.66494986316104</v>
      </c>
      <c r="G508">
        <v>0.42399999999999999</v>
      </c>
      <c r="H508">
        <v>2.0500000000000001E-2</v>
      </c>
      <c r="I508">
        <v>101.2007</v>
      </c>
    </row>
    <row r="509" spans="1:9" x14ac:dyDescent="0.3">
      <c r="A509" t="s">
        <v>9</v>
      </c>
      <c r="B509" t="s">
        <v>634</v>
      </c>
      <c r="C509">
        <v>1</v>
      </c>
      <c r="D509">
        <v>1.9E-2</v>
      </c>
      <c r="E509">
        <v>7.2184333686198308</v>
      </c>
      <c r="F509">
        <v>720.7579899553682</v>
      </c>
      <c r="G509">
        <v>0.42399999999999999</v>
      </c>
      <c r="H509">
        <v>1.9E-2</v>
      </c>
      <c r="I509">
        <v>101.3997</v>
      </c>
    </row>
    <row r="510" spans="1:9" x14ac:dyDescent="0.3">
      <c r="A510" t="s">
        <v>9</v>
      </c>
      <c r="B510" t="s">
        <v>635</v>
      </c>
      <c r="C510">
        <v>1</v>
      </c>
      <c r="D510">
        <v>1.8599999999999998E-2</v>
      </c>
      <c r="E510">
        <v>6.6695407213923232</v>
      </c>
      <c r="F510">
        <v>669.60119523376454</v>
      </c>
      <c r="G510">
        <v>0.42399999999999999</v>
      </c>
      <c r="H510">
        <v>1.0500000000000001E-2</v>
      </c>
      <c r="I510">
        <v>102.00190000000001</v>
      </c>
    </row>
    <row r="511" spans="1:9" x14ac:dyDescent="0.3">
      <c r="A511" t="s">
        <v>9</v>
      </c>
      <c r="B511" t="s">
        <v>636</v>
      </c>
      <c r="C511">
        <v>1</v>
      </c>
      <c r="D511">
        <v>1.6500000000000001E-2</v>
      </c>
      <c r="E511">
        <v>6.4617183103818494</v>
      </c>
      <c r="F511">
        <v>650.23214652758827</v>
      </c>
      <c r="G511">
        <v>0.42399999999999999</v>
      </c>
      <c r="H511">
        <v>7.1999999999999998E-3</v>
      </c>
      <c r="I511">
        <v>102.20099999999999</v>
      </c>
    </row>
    <row r="512" spans="1:9" x14ac:dyDescent="0.3">
      <c r="A512" t="s">
        <v>9</v>
      </c>
      <c r="B512" t="s">
        <v>637</v>
      </c>
      <c r="C512">
        <v>1</v>
      </c>
      <c r="D512">
        <v>1.17E-2</v>
      </c>
      <c r="E512">
        <v>6.2721252560835774</v>
      </c>
      <c r="F512">
        <v>632.56207386698941</v>
      </c>
      <c r="G512">
        <v>0.42399999999999999</v>
      </c>
      <c r="H512">
        <v>4.3E-3</v>
      </c>
      <c r="I512">
        <v>102.4025</v>
      </c>
    </row>
    <row r="513" spans="1:9" x14ac:dyDescent="0.3">
      <c r="A513" t="s">
        <v>9</v>
      </c>
      <c r="B513" t="s">
        <v>638</v>
      </c>
      <c r="C513">
        <v>1</v>
      </c>
      <c r="D513">
        <v>6.6E-3</v>
      </c>
      <c r="E513">
        <v>6.1233124224628241</v>
      </c>
      <c r="F513">
        <v>618.69271777353526</v>
      </c>
      <c r="G513">
        <v>0.42399999999999999</v>
      </c>
      <c r="H513">
        <v>2E-3</v>
      </c>
      <c r="I513">
        <v>102.6024</v>
      </c>
    </row>
    <row r="514" spans="1:9" x14ac:dyDescent="0.3">
      <c r="A514" t="s">
        <v>9</v>
      </c>
      <c r="B514" t="s">
        <v>639</v>
      </c>
      <c r="C514">
        <v>1</v>
      </c>
      <c r="D514">
        <v>2.5000000000000001E-3</v>
      </c>
      <c r="E514">
        <v>6.0284438634349593</v>
      </c>
      <c r="F514">
        <v>609.85096807213824</v>
      </c>
      <c r="G514">
        <v>0.42399999999999999</v>
      </c>
      <c r="H514">
        <v>5.0000000000000001E-4</v>
      </c>
      <c r="I514">
        <v>102.80110000000001</v>
      </c>
    </row>
    <row r="515" spans="1:9" x14ac:dyDescent="0.3">
      <c r="A515" t="s">
        <v>9</v>
      </c>
      <c r="B515" t="s">
        <v>640</v>
      </c>
      <c r="C515">
        <v>1</v>
      </c>
      <c r="D515">
        <v>5.0000000000000001E-4</v>
      </c>
      <c r="E515">
        <v>5.9957336449311036</v>
      </c>
      <c r="F515">
        <v>606.8023757075789</v>
      </c>
      <c r="G515">
        <v>0.42399999999999999</v>
      </c>
      <c r="H515">
        <v>0</v>
      </c>
      <c r="I515">
        <v>102.9996</v>
      </c>
    </row>
    <row r="516" spans="1:9" x14ac:dyDescent="0.3">
      <c r="A516" t="s">
        <v>9</v>
      </c>
      <c r="B516" t="s">
        <v>641</v>
      </c>
      <c r="C516">
        <v>1</v>
      </c>
      <c r="D516">
        <v>-2.9999999999999997E-4</v>
      </c>
      <c r="E516">
        <v>6.0295240942787647</v>
      </c>
      <c r="F516">
        <v>712.20183654705477</v>
      </c>
      <c r="G516">
        <v>0.42399999999999999</v>
      </c>
      <c r="H516">
        <v>5.0000000000000001E-4</v>
      </c>
      <c r="I516">
        <v>103.2022</v>
      </c>
    </row>
    <row r="517" spans="1:9" x14ac:dyDescent="0.3">
      <c r="A517" t="s">
        <v>9</v>
      </c>
      <c r="B517" t="s">
        <v>642</v>
      </c>
      <c r="C517">
        <v>1</v>
      </c>
      <c r="D517">
        <v>-2.0000000000000001E-4</v>
      </c>
      <c r="E517">
        <v>6.1251764525945536</v>
      </c>
      <c r="F517">
        <v>721.27924535122327</v>
      </c>
      <c r="G517">
        <v>0.42399999999999999</v>
      </c>
      <c r="H517">
        <v>2E-3</v>
      </c>
      <c r="I517">
        <v>103.4006</v>
      </c>
    </row>
    <row r="518" spans="1:9" x14ac:dyDescent="0.3">
      <c r="A518" t="s">
        <v>9</v>
      </c>
      <c r="B518" t="s">
        <v>643</v>
      </c>
      <c r="C518">
        <v>1</v>
      </c>
      <c r="D518">
        <v>4.0000000000000002E-4</v>
      </c>
      <c r="E518">
        <v>6.2744507524758406</v>
      </c>
      <c r="F518">
        <v>735.44537640995736</v>
      </c>
      <c r="G518">
        <v>0.42399999999999999</v>
      </c>
      <c r="H518">
        <v>4.3E-3</v>
      </c>
      <c r="I518">
        <v>103.6002</v>
      </c>
    </row>
    <row r="519" spans="1:9" x14ac:dyDescent="0.3">
      <c r="A519" t="s">
        <v>9</v>
      </c>
      <c r="B519" t="s">
        <v>644</v>
      </c>
      <c r="C519">
        <v>1</v>
      </c>
      <c r="D519">
        <v>2.3999999999999998E-3</v>
      </c>
      <c r="E519">
        <v>6.4637886440311592</v>
      </c>
      <c r="F519">
        <v>753.41354231855701</v>
      </c>
      <c r="G519">
        <v>0.42399999999999999</v>
      </c>
      <c r="H519">
        <v>7.3000000000000001E-3</v>
      </c>
      <c r="I519">
        <v>103.80110000000001</v>
      </c>
    </row>
    <row r="520" spans="1:9" x14ac:dyDescent="0.3">
      <c r="A520" t="s">
        <v>9</v>
      </c>
      <c r="B520" t="s">
        <v>645</v>
      </c>
      <c r="C520">
        <v>1</v>
      </c>
      <c r="D520">
        <v>5.7999999999999996E-3</v>
      </c>
      <c r="E520">
        <v>6.6714289986749016</v>
      </c>
      <c r="F520">
        <v>773.11861197424821</v>
      </c>
      <c r="G520">
        <v>0.42399999999999999</v>
      </c>
      <c r="H520">
        <v>1.0500000000000001E-2</v>
      </c>
      <c r="I520">
        <v>103.9999</v>
      </c>
    </row>
    <row r="521" spans="1:9" x14ac:dyDescent="0.3">
      <c r="A521" t="s">
        <v>9</v>
      </c>
      <c r="B521" t="s">
        <v>646</v>
      </c>
      <c r="C521">
        <v>1</v>
      </c>
      <c r="D521">
        <v>8.8000000000000005E-3</v>
      </c>
      <c r="E521">
        <v>6.8815196130606724</v>
      </c>
      <c r="F521">
        <v>793.05621127945778</v>
      </c>
      <c r="G521">
        <v>0.42399999999999999</v>
      </c>
      <c r="H521">
        <v>1.38E-2</v>
      </c>
      <c r="I521">
        <v>104.2012</v>
      </c>
    </row>
    <row r="522" spans="1:9" x14ac:dyDescent="0.3">
      <c r="A522" t="s">
        <v>9</v>
      </c>
      <c r="B522" t="s">
        <v>647</v>
      </c>
      <c r="C522">
        <v>1</v>
      </c>
      <c r="D522">
        <v>1.21E-2</v>
      </c>
      <c r="E522">
        <v>7.0709072964240853</v>
      </c>
      <c r="F522">
        <v>811.02910243064571</v>
      </c>
      <c r="G522">
        <v>0.42399999999999999</v>
      </c>
      <c r="H522">
        <v>1.67E-2</v>
      </c>
      <c r="I522">
        <v>104.4025</v>
      </c>
    </row>
    <row r="523" spans="1:9" x14ac:dyDescent="0.3">
      <c r="A523" t="s">
        <v>9</v>
      </c>
      <c r="B523" t="s">
        <v>648</v>
      </c>
      <c r="C523">
        <v>1</v>
      </c>
      <c r="D523">
        <v>1.4800000000000001E-2</v>
      </c>
      <c r="E523">
        <v>7.2183855230713352</v>
      </c>
      <c r="F523">
        <v>825.02478613946971</v>
      </c>
      <c r="G523">
        <v>0.42399999999999999</v>
      </c>
      <c r="H523">
        <v>1.9E-2</v>
      </c>
      <c r="I523">
        <v>104.6002</v>
      </c>
    </row>
    <row r="524" spans="1:9" x14ac:dyDescent="0.3">
      <c r="A524" t="s">
        <v>9</v>
      </c>
      <c r="B524" t="s">
        <v>649</v>
      </c>
      <c r="C524">
        <v>1</v>
      </c>
      <c r="D524">
        <v>1.6500000000000001E-2</v>
      </c>
      <c r="E524">
        <v>7.3148502582535064</v>
      </c>
      <c r="F524">
        <v>834.17928950825774</v>
      </c>
      <c r="G524">
        <v>0.42399999999999999</v>
      </c>
      <c r="H524">
        <v>2.0500000000000001E-2</v>
      </c>
      <c r="I524">
        <v>104.8019</v>
      </c>
    </row>
    <row r="525" spans="1:9" x14ac:dyDescent="0.3">
      <c r="A525" t="s">
        <v>9</v>
      </c>
      <c r="B525" t="s">
        <v>650</v>
      </c>
      <c r="C525">
        <v>1</v>
      </c>
      <c r="D525">
        <v>1.8499999999999999E-2</v>
      </c>
      <c r="E525">
        <v>7.3473008933145332</v>
      </c>
      <c r="F525">
        <v>837.25885477554925</v>
      </c>
      <c r="G525">
        <v>0.42399999999999999</v>
      </c>
      <c r="H525">
        <v>2.1000000000000001E-2</v>
      </c>
      <c r="I525">
        <v>105.00149999999999</v>
      </c>
    </row>
    <row r="526" spans="1:9" x14ac:dyDescent="0.3">
      <c r="A526" t="s">
        <v>9</v>
      </c>
      <c r="B526" t="s">
        <v>651</v>
      </c>
      <c r="C526">
        <v>1</v>
      </c>
      <c r="D526">
        <v>1.9199999999999998E-2</v>
      </c>
      <c r="E526">
        <v>7.314071348942826</v>
      </c>
      <c r="F526">
        <v>729.67144972147139</v>
      </c>
      <c r="G526">
        <v>0.42399999999999999</v>
      </c>
      <c r="H526">
        <v>2.0500000000000001E-2</v>
      </c>
      <c r="I526">
        <v>105.20050000000001</v>
      </c>
    </row>
    <row r="527" spans="1:9" x14ac:dyDescent="0.3">
      <c r="A527" t="s">
        <v>9</v>
      </c>
      <c r="B527" t="s">
        <v>652</v>
      </c>
      <c r="C527">
        <v>1</v>
      </c>
      <c r="D527">
        <v>1.9199999999999998E-2</v>
      </c>
      <c r="E527">
        <v>7.2172425010271892</v>
      </c>
      <c r="F527">
        <v>720.64700109573403</v>
      </c>
      <c r="G527">
        <v>0.42399999999999999</v>
      </c>
      <c r="H527">
        <v>1.9E-2</v>
      </c>
      <c r="I527">
        <v>105.4016</v>
      </c>
    </row>
    <row r="528" spans="1:9" x14ac:dyDescent="0.3">
      <c r="A528" t="s">
        <v>9</v>
      </c>
      <c r="B528" t="s">
        <v>653</v>
      </c>
      <c r="C528">
        <v>1</v>
      </c>
      <c r="D528">
        <v>1.8800000000000001E-2</v>
      </c>
      <c r="E528">
        <v>7.0681967244605826</v>
      </c>
      <c r="F528">
        <v>706.75593471972627</v>
      </c>
      <c r="G528">
        <v>0.42399999999999999</v>
      </c>
      <c r="H528">
        <v>1.67E-2</v>
      </c>
      <c r="I528">
        <v>105.6006</v>
      </c>
    </row>
    <row r="529" spans="1:9" x14ac:dyDescent="0.3">
      <c r="A529" t="s">
        <v>9</v>
      </c>
      <c r="B529" t="s">
        <v>654</v>
      </c>
      <c r="C529">
        <v>1</v>
      </c>
      <c r="D529">
        <v>1.7899999999999999E-2</v>
      </c>
      <c r="E529">
        <v>6.8794671201243576</v>
      </c>
      <c r="F529">
        <v>689.16633559559023</v>
      </c>
      <c r="G529">
        <v>0.42399999999999999</v>
      </c>
      <c r="H529">
        <v>1.37E-2</v>
      </c>
      <c r="I529">
        <v>105.8009</v>
      </c>
    </row>
    <row r="530" spans="1:9" x14ac:dyDescent="0.3">
      <c r="A530" t="s">
        <v>9</v>
      </c>
      <c r="B530" t="s">
        <v>655</v>
      </c>
      <c r="C530">
        <v>1</v>
      </c>
      <c r="D530">
        <v>1.6299999999999999E-2</v>
      </c>
      <c r="E530">
        <v>6.6709205383544488</v>
      </c>
      <c r="F530">
        <v>669.72979417463466</v>
      </c>
      <c r="G530">
        <v>0.42399999999999999</v>
      </c>
      <c r="H530">
        <v>1.0500000000000001E-2</v>
      </c>
      <c r="I530">
        <v>106.00060000000001</v>
      </c>
    </row>
    <row r="531" spans="1:9" x14ac:dyDescent="0.3">
      <c r="A531" t="s">
        <v>9</v>
      </c>
      <c r="B531" t="s">
        <v>656</v>
      </c>
      <c r="C531">
        <v>1</v>
      </c>
      <c r="D531">
        <v>1.34E-2</v>
      </c>
      <c r="E531">
        <v>6.4605797485159524</v>
      </c>
      <c r="F531">
        <v>650.12603256168666</v>
      </c>
      <c r="G531">
        <v>0.42399999999999999</v>
      </c>
      <c r="H531">
        <v>7.1999999999999998E-3</v>
      </c>
      <c r="I531">
        <v>106.2021</v>
      </c>
    </row>
    <row r="532" spans="1:9" x14ac:dyDescent="0.3">
      <c r="A532" t="s">
        <v>9</v>
      </c>
      <c r="B532" t="s">
        <v>657</v>
      </c>
      <c r="C532">
        <v>1</v>
      </c>
      <c r="D532">
        <v>9.7000000000000003E-3</v>
      </c>
      <c r="E532">
        <v>6.2731476505796104</v>
      </c>
      <c r="F532">
        <v>632.65736103401969</v>
      </c>
      <c r="G532">
        <v>0.42399999999999999</v>
      </c>
      <c r="H532">
        <v>4.3E-3</v>
      </c>
      <c r="I532">
        <v>106.40130000000001</v>
      </c>
    </row>
    <row r="533" spans="1:9" x14ac:dyDescent="0.3">
      <c r="A533" t="s">
        <v>9</v>
      </c>
      <c r="B533" t="s">
        <v>658</v>
      </c>
      <c r="C533">
        <v>2</v>
      </c>
      <c r="D533">
        <v>5.4999999999999997E-3</v>
      </c>
      <c r="E533">
        <v>6.1250168187602938</v>
      </c>
      <c r="F533">
        <v>618.85156750845942</v>
      </c>
      <c r="G533">
        <v>0.42399999999999999</v>
      </c>
      <c r="H533">
        <v>2E-3</v>
      </c>
      <c r="I533">
        <v>106.5996</v>
      </c>
    </row>
    <row r="534" spans="1:9" x14ac:dyDescent="0.3">
      <c r="A534" t="s">
        <v>9</v>
      </c>
      <c r="B534" t="s">
        <v>659</v>
      </c>
      <c r="C534">
        <v>2</v>
      </c>
      <c r="D534">
        <v>2E-3</v>
      </c>
      <c r="E534">
        <v>6.0286528390047822</v>
      </c>
      <c r="F534">
        <v>609.87044459524577</v>
      </c>
      <c r="G534">
        <v>0.42399999999999999</v>
      </c>
      <c r="H534">
        <v>5.0000000000000001E-4</v>
      </c>
      <c r="I534">
        <v>106.8005</v>
      </c>
    </row>
    <row r="535" spans="1:9" x14ac:dyDescent="0.3">
      <c r="A535" t="s">
        <v>9</v>
      </c>
      <c r="B535" t="s">
        <v>660</v>
      </c>
      <c r="C535">
        <v>2</v>
      </c>
      <c r="D535">
        <v>5.9999999999999995E-4</v>
      </c>
      <c r="E535">
        <v>5.9957383576793948</v>
      </c>
      <c r="F535">
        <v>606.80281493571965</v>
      </c>
      <c r="G535">
        <v>0.42399999999999999</v>
      </c>
      <c r="H535">
        <v>0</v>
      </c>
      <c r="I535">
        <v>107.00239999999999</v>
      </c>
    </row>
    <row r="536" spans="1:9" x14ac:dyDescent="0.3">
      <c r="A536" t="s">
        <v>9</v>
      </c>
      <c r="B536" t="s">
        <v>661</v>
      </c>
      <c r="C536">
        <v>2</v>
      </c>
      <c r="D536">
        <v>1E-4</v>
      </c>
      <c r="E536">
        <v>6.0293284911342759</v>
      </c>
      <c r="F536">
        <v>712.18327380864287</v>
      </c>
      <c r="G536">
        <v>0.42399999999999999</v>
      </c>
      <c r="H536">
        <v>5.0000000000000001E-4</v>
      </c>
      <c r="I536">
        <v>107.2016</v>
      </c>
    </row>
    <row r="537" spans="1:9" x14ac:dyDescent="0.3">
      <c r="A537" t="s">
        <v>9</v>
      </c>
      <c r="B537" t="s">
        <v>662</v>
      </c>
      <c r="C537">
        <v>2</v>
      </c>
      <c r="D537">
        <v>2.9999999999999997E-4</v>
      </c>
      <c r="E537">
        <v>6.1260223051260514</v>
      </c>
      <c r="F537">
        <v>721.35951675646231</v>
      </c>
      <c r="G537">
        <v>0.42399999999999999</v>
      </c>
      <c r="H537">
        <v>2E-3</v>
      </c>
      <c r="I537">
        <v>107.402</v>
      </c>
    </row>
    <row r="538" spans="1:9" x14ac:dyDescent="0.3">
      <c r="A538" t="s">
        <v>9</v>
      </c>
      <c r="B538" t="s">
        <v>663</v>
      </c>
      <c r="C538">
        <v>2</v>
      </c>
      <c r="D538">
        <v>8.9999999999999998E-4</v>
      </c>
      <c r="E538">
        <v>6.2757549085960198</v>
      </c>
      <c r="F538">
        <v>735.56914082576236</v>
      </c>
      <c r="G538">
        <v>0.42399999999999999</v>
      </c>
      <c r="H538">
        <v>4.4000000000000003E-3</v>
      </c>
      <c r="I538">
        <v>107.60169999999999</v>
      </c>
    </row>
    <row r="539" spans="1:9" x14ac:dyDescent="0.3">
      <c r="A539" t="s">
        <v>9</v>
      </c>
      <c r="B539" t="s">
        <v>664</v>
      </c>
      <c r="C539">
        <v>2</v>
      </c>
      <c r="D539">
        <v>2.7000000000000001E-3</v>
      </c>
      <c r="E539">
        <v>6.4641142370433791</v>
      </c>
      <c r="F539">
        <v>753.44444109541666</v>
      </c>
      <c r="G539">
        <v>0.42399999999999999</v>
      </c>
      <c r="H539">
        <v>7.3000000000000001E-3</v>
      </c>
      <c r="I539">
        <v>107.8014</v>
      </c>
    </row>
    <row r="540" spans="1:9" x14ac:dyDescent="0.3">
      <c r="A540" t="s">
        <v>9</v>
      </c>
      <c r="B540" t="s">
        <v>665</v>
      </c>
      <c r="C540">
        <v>2</v>
      </c>
      <c r="D540">
        <v>5.8999999999999999E-3</v>
      </c>
      <c r="E540">
        <v>6.6740394193631634</v>
      </c>
      <c r="F540">
        <v>773.36634089756421</v>
      </c>
      <c r="G540">
        <v>0.42399999999999999</v>
      </c>
      <c r="H540">
        <v>1.0500000000000001E-2</v>
      </c>
      <c r="I540">
        <v>108.00239999999999</v>
      </c>
    </row>
    <row r="541" spans="1:9" x14ac:dyDescent="0.3">
      <c r="A541" t="s">
        <v>9</v>
      </c>
      <c r="B541" t="s">
        <v>666</v>
      </c>
      <c r="C541">
        <v>2</v>
      </c>
      <c r="D541">
        <v>8.8999999999999999E-3</v>
      </c>
      <c r="E541">
        <v>6.8809624962502216</v>
      </c>
      <c r="F541">
        <v>793.00334089414605</v>
      </c>
      <c r="G541">
        <v>0.42399999999999999</v>
      </c>
      <c r="H541">
        <v>1.38E-2</v>
      </c>
      <c r="I541">
        <v>108.20059999999999</v>
      </c>
    </row>
    <row r="542" spans="1:9" x14ac:dyDescent="0.3">
      <c r="A542" t="s">
        <v>9</v>
      </c>
      <c r="B542" t="s">
        <v>667</v>
      </c>
      <c r="C542">
        <v>2</v>
      </c>
      <c r="D542">
        <v>1.2E-2</v>
      </c>
      <c r="E542">
        <v>7.0702516502213939</v>
      </c>
      <c r="F542">
        <v>810.96688160601036</v>
      </c>
      <c r="G542">
        <v>0.42399999999999999</v>
      </c>
      <c r="H542">
        <v>1.67E-2</v>
      </c>
      <c r="I542">
        <v>108.40179999999999</v>
      </c>
    </row>
    <row r="543" spans="1:9" x14ac:dyDescent="0.3">
      <c r="A543" t="s">
        <v>9</v>
      </c>
      <c r="B543" t="s">
        <v>668</v>
      </c>
      <c r="C543">
        <v>2</v>
      </c>
      <c r="D543">
        <v>1.4500000000000001E-2</v>
      </c>
      <c r="E543">
        <v>7.2180956114851114</v>
      </c>
      <c r="F543">
        <v>824.99727352993716</v>
      </c>
      <c r="G543">
        <v>0.42399999999999999</v>
      </c>
      <c r="H543">
        <v>1.9E-2</v>
      </c>
      <c r="I543">
        <v>108.5998</v>
      </c>
    </row>
    <row r="544" spans="1:9" x14ac:dyDescent="0.3">
      <c r="A544" t="s">
        <v>9</v>
      </c>
      <c r="B544" t="s">
        <v>669</v>
      </c>
      <c r="C544">
        <v>2</v>
      </c>
      <c r="D544">
        <v>1.66E-2</v>
      </c>
      <c r="E544">
        <v>7.3148664770835019</v>
      </c>
      <c r="F544">
        <v>834.18082867522435</v>
      </c>
      <c r="G544">
        <v>0.42399999999999999</v>
      </c>
      <c r="H544">
        <v>2.0500000000000001E-2</v>
      </c>
      <c r="I544">
        <v>108.80200000000001</v>
      </c>
    </row>
    <row r="545" spans="1:9" x14ac:dyDescent="0.3">
      <c r="A545" t="s">
        <v>9</v>
      </c>
      <c r="B545" t="s">
        <v>670</v>
      </c>
      <c r="C545">
        <v>2</v>
      </c>
      <c r="D545">
        <v>1.8200000000000001E-2</v>
      </c>
      <c r="E545">
        <v>7.3473017042560347</v>
      </c>
      <c r="F545">
        <v>837.25893173389773</v>
      </c>
      <c r="G545">
        <v>0.42399999999999999</v>
      </c>
      <c r="H545">
        <v>2.1000000000000001E-2</v>
      </c>
      <c r="I545">
        <v>109.001</v>
      </c>
    </row>
    <row r="546" spans="1:9" x14ac:dyDescent="0.3">
      <c r="A546" t="s">
        <v>9</v>
      </c>
      <c r="B546" t="s">
        <v>671</v>
      </c>
      <c r="C546">
        <v>2</v>
      </c>
      <c r="D546">
        <v>1.9E-2</v>
      </c>
      <c r="E546">
        <v>7.3139780906703349</v>
      </c>
      <c r="F546">
        <v>729.66275805047519</v>
      </c>
      <c r="G546">
        <v>0.42399999999999999</v>
      </c>
      <c r="H546">
        <v>2.0500000000000001E-2</v>
      </c>
      <c r="I546">
        <v>109.2008</v>
      </c>
    </row>
    <row r="547" spans="1:9" x14ac:dyDescent="0.3">
      <c r="A547" t="s">
        <v>9</v>
      </c>
      <c r="B547" t="s">
        <v>672</v>
      </c>
      <c r="C547">
        <v>2</v>
      </c>
      <c r="D547">
        <v>1.9E-2</v>
      </c>
      <c r="E547">
        <v>7.2179764030846227</v>
      </c>
      <c r="F547">
        <v>720.71540076748681</v>
      </c>
      <c r="G547">
        <v>0.42399999999999999</v>
      </c>
      <c r="H547">
        <v>1.9E-2</v>
      </c>
      <c r="I547">
        <v>109.4004</v>
      </c>
    </row>
    <row r="548" spans="1:9" x14ac:dyDescent="0.3">
      <c r="A548" t="s">
        <v>9</v>
      </c>
      <c r="B548" t="s">
        <v>673</v>
      </c>
      <c r="C548">
        <v>2</v>
      </c>
      <c r="D548">
        <v>1.8499999999999999E-2</v>
      </c>
      <c r="E548">
        <v>7.0675856800403887</v>
      </c>
      <c r="F548">
        <v>706.69898537976428</v>
      </c>
      <c r="G548">
        <v>0.42399999999999999</v>
      </c>
      <c r="H548">
        <v>1.67E-2</v>
      </c>
      <c r="I548">
        <v>109.60129999999999</v>
      </c>
    </row>
    <row r="549" spans="1:9" x14ac:dyDescent="0.3">
      <c r="A549" t="s">
        <v>9</v>
      </c>
      <c r="B549" t="s">
        <v>674</v>
      </c>
      <c r="C549">
        <v>2</v>
      </c>
      <c r="D549">
        <v>1.7899999999999999E-2</v>
      </c>
      <c r="E549">
        <v>6.8796029528255973</v>
      </c>
      <c r="F549">
        <v>689.17899520334572</v>
      </c>
      <c r="G549">
        <v>0.42399999999999999</v>
      </c>
      <c r="H549">
        <v>1.37E-2</v>
      </c>
      <c r="I549">
        <v>109.80070000000001</v>
      </c>
    </row>
    <row r="550" spans="1:9" x14ac:dyDescent="0.3">
      <c r="A550" t="s">
        <v>9</v>
      </c>
      <c r="B550" t="s">
        <v>675</v>
      </c>
      <c r="C550">
        <v>2</v>
      </c>
      <c r="D550">
        <v>1.61E-2</v>
      </c>
      <c r="E550">
        <v>6.6708881006944507</v>
      </c>
      <c r="F550">
        <v>669.72677098472286</v>
      </c>
      <c r="G550">
        <v>0.42399999999999999</v>
      </c>
      <c r="H550">
        <v>1.0500000000000001E-2</v>
      </c>
      <c r="I550">
        <v>110.00060000000001</v>
      </c>
    </row>
    <row r="551" spans="1:9" x14ac:dyDescent="0.3">
      <c r="A551" t="s">
        <v>9</v>
      </c>
      <c r="B551" t="s">
        <v>676</v>
      </c>
      <c r="C551">
        <v>2</v>
      </c>
      <c r="D551">
        <v>1.35E-2</v>
      </c>
      <c r="E551">
        <v>6.4630190605477278</v>
      </c>
      <c r="F551">
        <v>650.35337644304821</v>
      </c>
      <c r="G551">
        <v>0.42399999999999999</v>
      </c>
      <c r="H551">
        <v>7.3000000000000001E-3</v>
      </c>
      <c r="I551">
        <v>110.19970000000001</v>
      </c>
    </row>
    <row r="552" spans="1:9" x14ac:dyDescent="0.3">
      <c r="A552" t="s">
        <v>9</v>
      </c>
      <c r="B552" t="s">
        <v>677</v>
      </c>
      <c r="C552">
        <v>2</v>
      </c>
      <c r="D552">
        <v>9.7000000000000003E-3</v>
      </c>
      <c r="E552">
        <v>6.2732795502145722</v>
      </c>
      <c r="F552">
        <v>632.66965407999817</v>
      </c>
      <c r="G552">
        <v>0.42399999999999999</v>
      </c>
      <c r="H552">
        <v>4.3E-3</v>
      </c>
      <c r="I552">
        <v>110.4012</v>
      </c>
    </row>
    <row r="553" spans="1:9" x14ac:dyDescent="0.3">
      <c r="A553" t="s">
        <v>9</v>
      </c>
      <c r="B553" t="s">
        <v>678</v>
      </c>
      <c r="C553">
        <v>2</v>
      </c>
      <c r="D553">
        <v>5.4000000000000003E-3</v>
      </c>
      <c r="E553">
        <v>6.1239925590988129</v>
      </c>
      <c r="F553">
        <v>618.75610650800934</v>
      </c>
      <c r="G553">
        <v>0.42399999999999999</v>
      </c>
      <c r="H553">
        <v>2E-3</v>
      </c>
      <c r="I553">
        <v>110.60129999999999</v>
      </c>
    </row>
    <row r="554" spans="1:9" x14ac:dyDescent="0.3">
      <c r="A554" t="s">
        <v>9</v>
      </c>
      <c r="B554" t="s">
        <v>679</v>
      </c>
      <c r="C554">
        <v>2</v>
      </c>
      <c r="D554">
        <v>2.0999999999999999E-3</v>
      </c>
      <c r="E554">
        <v>6.0283446569065644</v>
      </c>
      <c r="F554">
        <v>609.84172202369177</v>
      </c>
      <c r="G554">
        <v>0.42399999999999999</v>
      </c>
      <c r="H554">
        <v>5.0000000000000001E-4</v>
      </c>
      <c r="I554">
        <v>110.8014</v>
      </c>
    </row>
    <row r="555" spans="1:9" x14ac:dyDescent="0.3">
      <c r="A555" t="s">
        <v>9</v>
      </c>
      <c r="B555" t="s">
        <v>680</v>
      </c>
      <c r="C555">
        <v>2</v>
      </c>
      <c r="D555">
        <v>2.9999999999999997E-4</v>
      </c>
      <c r="E555">
        <v>5.9957415800730312</v>
      </c>
      <c r="F555">
        <v>606.8031152628065</v>
      </c>
      <c r="G555">
        <v>0.42399999999999999</v>
      </c>
      <c r="H555">
        <v>0</v>
      </c>
      <c r="I555">
        <v>111.0031</v>
      </c>
    </row>
    <row r="556" spans="1:9" x14ac:dyDescent="0.3">
      <c r="A556" t="s">
        <v>9</v>
      </c>
      <c r="B556" t="s">
        <v>681</v>
      </c>
      <c r="C556">
        <v>2</v>
      </c>
      <c r="D556">
        <v>-2.9999999999999997E-4</v>
      </c>
      <c r="E556">
        <v>6.0291238297732308</v>
      </c>
      <c r="F556">
        <v>712.16385144547962</v>
      </c>
      <c r="G556">
        <v>0.42399999999999999</v>
      </c>
      <c r="H556">
        <v>5.0000000000000001E-4</v>
      </c>
      <c r="I556">
        <v>111.20099999999999</v>
      </c>
    </row>
    <row r="557" spans="1:9" x14ac:dyDescent="0.3">
      <c r="A557" t="s">
        <v>9</v>
      </c>
      <c r="B557" t="s">
        <v>682</v>
      </c>
      <c r="C557">
        <v>2</v>
      </c>
      <c r="D557">
        <v>-1E-4</v>
      </c>
      <c r="E557">
        <v>6.1252816722541699</v>
      </c>
      <c r="F557">
        <v>721.28923069692075</v>
      </c>
      <c r="G557">
        <v>0.42399999999999999</v>
      </c>
      <c r="H557">
        <v>2E-3</v>
      </c>
      <c r="I557">
        <v>111.4008</v>
      </c>
    </row>
    <row r="558" spans="1:9" x14ac:dyDescent="0.3">
      <c r="A558" t="s">
        <v>9</v>
      </c>
      <c r="B558" t="s">
        <v>683</v>
      </c>
      <c r="C558">
        <v>2</v>
      </c>
      <c r="D558">
        <v>5.9999999999999995E-4</v>
      </c>
      <c r="E558">
        <v>6.274520290709459</v>
      </c>
      <c r="F558">
        <v>735.45197558832774</v>
      </c>
      <c r="G558">
        <v>0.42399999999999999</v>
      </c>
      <c r="H558">
        <v>4.3E-3</v>
      </c>
      <c r="I558">
        <v>111.6003</v>
      </c>
    </row>
    <row r="559" spans="1:9" x14ac:dyDescent="0.3">
      <c r="A559" t="s">
        <v>9</v>
      </c>
      <c r="B559" t="s">
        <v>684</v>
      </c>
      <c r="C559">
        <v>2</v>
      </c>
      <c r="D559">
        <v>2.8999999999999998E-3</v>
      </c>
      <c r="E559">
        <v>6.4645578220438384</v>
      </c>
      <c r="F559">
        <v>753.48653731196021</v>
      </c>
      <c r="G559">
        <v>0.42399999999999999</v>
      </c>
      <c r="H559">
        <v>7.3000000000000001E-3</v>
      </c>
      <c r="I559">
        <v>111.8018</v>
      </c>
    </row>
    <row r="560" spans="1:9" x14ac:dyDescent="0.3">
      <c r="A560" t="s">
        <v>9</v>
      </c>
      <c r="B560" t="s">
        <v>685</v>
      </c>
      <c r="C560">
        <v>2</v>
      </c>
      <c r="D560">
        <v>5.7000000000000002E-3</v>
      </c>
      <c r="E560">
        <v>6.6718656906726119</v>
      </c>
      <c r="F560">
        <v>773.16005404483087</v>
      </c>
      <c r="G560">
        <v>0.42399999999999999</v>
      </c>
      <c r="H560">
        <v>1.0500000000000001E-2</v>
      </c>
      <c r="I560">
        <v>112.0003</v>
      </c>
    </row>
    <row r="561" spans="1:9" x14ac:dyDescent="0.3">
      <c r="A561" t="s">
        <v>9</v>
      </c>
      <c r="B561" t="s">
        <v>686</v>
      </c>
      <c r="C561">
        <v>2</v>
      </c>
      <c r="D561">
        <v>8.9999999999999993E-3</v>
      </c>
      <c r="E561">
        <v>6.8820815955201198</v>
      </c>
      <c r="F561">
        <v>793.10954341485944</v>
      </c>
      <c r="G561">
        <v>0.42399999999999999</v>
      </c>
      <c r="H561">
        <v>1.38E-2</v>
      </c>
      <c r="I561">
        <v>112.2017</v>
      </c>
    </row>
    <row r="562" spans="1:9" x14ac:dyDescent="0.3">
      <c r="A562" t="s">
        <v>9</v>
      </c>
      <c r="B562" t="s">
        <v>687</v>
      </c>
      <c r="C562">
        <v>2</v>
      </c>
      <c r="D562">
        <v>1.1900000000000001E-2</v>
      </c>
      <c r="E562">
        <v>7.0696783145809476</v>
      </c>
      <c r="F562">
        <v>810.91247205373202</v>
      </c>
      <c r="G562">
        <v>0.42399999999999999</v>
      </c>
      <c r="H562">
        <v>1.67E-2</v>
      </c>
      <c r="I562">
        <v>112.4011</v>
      </c>
    </row>
    <row r="563" spans="1:9" x14ac:dyDescent="0.3">
      <c r="A563" t="s">
        <v>9</v>
      </c>
      <c r="B563" t="s">
        <v>688</v>
      </c>
      <c r="C563">
        <v>2</v>
      </c>
      <c r="D563">
        <v>1.44E-2</v>
      </c>
      <c r="E563">
        <v>7.2195423311209783</v>
      </c>
      <c r="F563">
        <v>825.13456722338083</v>
      </c>
      <c r="G563">
        <v>0.42399999999999999</v>
      </c>
      <c r="H563">
        <v>1.9E-2</v>
      </c>
      <c r="I563">
        <v>112.60209999999999</v>
      </c>
    </row>
    <row r="564" spans="1:9" x14ac:dyDescent="0.3">
      <c r="A564" t="s">
        <v>9</v>
      </c>
      <c r="B564" t="s">
        <v>689</v>
      </c>
      <c r="C564">
        <v>2</v>
      </c>
      <c r="D564">
        <v>1.6500000000000001E-2</v>
      </c>
      <c r="E564">
        <v>7.3147788954015116</v>
      </c>
      <c r="F564">
        <v>834.17251717360352</v>
      </c>
      <c r="G564">
        <v>0.42399999999999999</v>
      </c>
      <c r="H564">
        <v>2.0500000000000001E-2</v>
      </c>
      <c r="I564">
        <v>112.8017</v>
      </c>
    </row>
    <row r="565" spans="1:9" x14ac:dyDescent="0.3">
      <c r="A565" t="s">
        <v>9</v>
      </c>
      <c r="B565" t="s">
        <v>690</v>
      </c>
      <c r="C565">
        <v>2</v>
      </c>
      <c r="D565">
        <v>1.8200000000000001E-2</v>
      </c>
      <c r="E565">
        <v>7.3473012987852826</v>
      </c>
      <c r="F565">
        <v>837.25889325472349</v>
      </c>
      <c r="G565">
        <v>0.42399999999999999</v>
      </c>
      <c r="H565">
        <v>2.1000000000000001E-2</v>
      </c>
      <c r="I565">
        <v>113.0013</v>
      </c>
    </row>
    <row r="566" spans="1:9" x14ac:dyDescent="0.3">
      <c r="A566" t="s">
        <v>9</v>
      </c>
      <c r="B566" t="s">
        <v>691</v>
      </c>
      <c r="C566">
        <v>2</v>
      </c>
      <c r="D566">
        <v>1.9E-2</v>
      </c>
      <c r="E566">
        <v>7.3137214276856088</v>
      </c>
      <c r="F566">
        <v>729.63883706029878</v>
      </c>
      <c r="G566">
        <v>0.42399999999999999</v>
      </c>
      <c r="H566">
        <v>2.0500000000000001E-2</v>
      </c>
      <c r="I566">
        <v>113.2015</v>
      </c>
    </row>
    <row r="567" spans="1:9" x14ac:dyDescent="0.3">
      <c r="A567" t="s">
        <v>9</v>
      </c>
      <c r="B567" t="s">
        <v>692</v>
      </c>
      <c r="C567">
        <v>2</v>
      </c>
      <c r="D567">
        <v>1.9E-2</v>
      </c>
      <c r="E567">
        <v>7.2177570434088922</v>
      </c>
      <c r="F567">
        <v>720.69495644570873</v>
      </c>
      <c r="G567">
        <v>0.42399999999999999</v>
      </c>
      <c r="H567">
        <v>1.9E-2</v>
      </c>
      <c r="I567">
        <v>113.4008</v>
      </c>
    </row>
    <row r="568" spans="1:9" x14ac:dyDescent="0.3">
      <c r="A568" t="s">
        <v>9</v>
      </c>
      <c r="B568" t="s">
        <v>693</v>
      </c>
      <c r="C568">
        <v>2</v>
      </c>
      <c r="D568">
        <v>1.8599999999999998E-2</v>
      </c>
      <c r="E568">
        <v>7.0672831988609159</v>
      </c>
      <c r="F568">
        <v>706.67079413383738</v>
      </c>
      <c r="G568">
        <v>0.42399999999999999</v>
      </c>
      <c r="H568">
        <v>1.66E-2</v>
      </c>
      <c r="I568">
        <v>113.60169999999999</v>
      </c>
    </row>
    <row r="569" spans="1:9" x14ac:dyDescent="0.3">
      <c r="A569" t="s">
        <v>9</v>
      </c>
      <c r="B569" t="s">
        <v>694</v>
      </c>
      <c r="C569">
        <v>2</v>
      </c>
      <c r="D569">
        <v>1.7999999999999999E-2</v>
      </c>
      <c r="E569">
        <v>6.8798073100835779</v>
      </c>
      <c r="F569">
        <v>689.19804129978945</v>
      </c>
      <c r="G569">
        <v>0.42399999999999999</v>
      </c>
      <c r="H569">
        <v>1.37E-2</v>
      </c>
      <c r="I569">
        <v>113.8005</v>
      </c>
    </row>
    <row r="570" spans="1:9" x14ac:dyDescent="0.3">
      <c r="A570" t="s">
        <v>9</v>
      </c>
      <c r="B570" t="s">
        <v>695</v>
      </c>
      <c r="C570">
        <v>2</v>
      </c>
      <c r="D570">
        <v>1.6500000000000001E-2</v>
      </c>
      <c r="E570">
        <v>6.668854664883388</v>
      </c>
      <c r="F570">
        <v>669.5372547671318</v>
      </c>
      <c r="G570">
        <v>0.42399999999999999</v>
      </c>
      <c r="H570">
        <v>1.0500000000000001E-2</v>
      </c>
      <c r="I570">
        <v>114.0025</v>
      </c>
    </row>
    <row r="571" spans="1:9" x14ac:dyDescent="0.3">
      <c r="A571" t="s">
        <v>9</v>
      </c>
      <c r="B571" t="s">
        <v>696</v>
      </c>
      <c r="C571">
        <v>2</v>
      </c>
      <c r="D571">
        <v>1.3599999999999999E-2</v>
      </c>
      <c r="E571">
        <v>6.4622231214655521</v>
      </c>
      <c r="F571">
        <v>650.27919492058948</v>
      </c>
      <c r="G571">
        <v>0.42399999999999999</v>
      </c>
      <c r="H571">
        <v>7.1999999999999998E-3</v>
      </c>
      <c r="I571">
        <v>114.20050000000001</v>
      </c>
    </row>
    <row r="572" spans="1:9" x14ac:dyDescent="0.3">
      <c r="A572" t="s">
        <v>9</v>
      </c>
      <c r="B572" t="s">
        <v>697</v>
      </c>
      <c r="C572">
        <v>2</v>
      </c>
      <c r="D572">
        <v>9.7999999999999997E-3</v>
      </c>
      <c r="E572">
        <v>6.272994950295173</v>
      </c>
      <c r="F572">
        <v>632.64312936751014</v>
      </c>
      <c r="G572">
        <v>0.42399999999999999</v>
      </c>
      <c r="H572">
        <v>4.3E-3</v>
      </c>
      <c r="I572">
        <v>114.4015</v>
      </c>
    </row>
    <row r="573" spans="1:9" x14ac:dyDescent="0.3">
      <c r="A573" t="s">
        <v>9</v>
      </c>
      <c r="B573" t="s">
        <v>698</v>
      </c>
      <c r="C573">
        <v>2</v>
      </c>
      <c r="D573">
        <v>5.5999999999999999E-3</v>
      </c>
      <c r="E573">
        <v>6.1230743300384463</v>
      </c>
      <c r="F573">
        <v>618.67052755958321</v>
      </c>
      <c r="G573">
        <v>0.42399999999999999</v>
      </c>
      <c r="H573">
        <v>2E-3</v>
      </c>
      <c r="I573">
        <v>114.6028</v>
      </c>
    </row>
    <row r="574" spans="1:9" x14ac:dyDescent="0.3">
      <c r="A574" t="s">
        <v>9</v>
      </c>
      <c r="B574" t="s">
        <v>699</v>
      </c>
      <c r="C574">
        <v>2</v>
      </c>
      <c r="D574">
        <v>2E-3</v>
      </c>
      <c r="E574">
        <v>6.0289385053122544</v>
      </c>
      <c r="F574">
        <v>609.89706869510201</v>
      </c>
      <c r="G574">
        <v>0.42399999999999999</v>
      </c>
      <c r="H574">
        <v>5.0000000000000001E-4</v>
      </c>
      <c r="I574">
        <v>114.7996</v>
      </c>
    </row>
    <row r="575" spans="1:9" x14ac:dyDescent="0.3">
      <c r="A575" t="s">
        <v>9</v>
      </c>
      <c r="B575" t="s">
        <v>700</v>
      </c>
      <c r="C575">
        <v>2</v>
      </c>
      <c r="D575">
        <v>5.0000000000000001E-4</v>
      </c>
      <c r="E575">
        <v>5.99573731040197</v>
      </c>
      <c r="F575">
        <v>606.80271732946358</v>
      </c>
      <c r="G575">
        <v>0.42399999999999999</v>
      </c>
      <c r="H575">
        <v>0</v>
      </c>
      <c r="I575">
        <v>115.0021</v>
      </c>
    </row>
    <row r="576" spans="1:9" x14ac:dyDescent="0.3">
      <c r="A576" t="s">
        <v>9</v>
      </c>
      <c r="B576" t="s">
        <v>701</v>
      </c>
      <c r="C576">
        <v>2</v>
      </c>
      <c r="D576">
        <v>-2.9999999999999997E-4</v>
      </c>
      <c r="E576">
        <v>6.0289453496585139</v>
      </c>
      <c r="F576">
        <v>712.14691368259298</v>
      </c>
      <c r="G576">
        <v>0.42399999999999999</v>
      </c>
      <c r="H576">
        <v>5.0000000000000001E-4</v>
      </c>
      <c r="I576">
        <v>115.2004</v>
      </c>
    </row>
    <row r="577" spans="1:9" x14ac:dyDescent="0.3">
      <c r="A577" t="s">
        <v>9</v>
      </c>
      <c r="B577" t="s">
        <v>702</v>
      </c>
      <c r="C577">
        <v>2</v>
      </c>
      <c r="D577">
        <v>1E-4</v>
      </c>
      <c r="E577">
        <v>6.1259512666506586</v>
      </c>
      <c r="F577">
        <v>721.35277520514751</v>
      </c>
      <c r="G577">
        <v>0.42399999999999999</v>
      </c>
      <c r="H577">
        <v>2E-3</v>
      </c>
      <c r="I577">
        <v>115.40179999999999</v>
      </c>
    </row>
    <row r="578" spans="1:9" x14ac:dyDescent="0.3">
      <c r="A578" t="s">
        <v>9</v>
      </c>
      <c r="B578" t="s">
        <v>703</v>
      </c>
      <c r="C578">
        <v>2</v>
      </c>
      <c r="D578">
        <v>6.9999999999999999E-4</v>
      </c>
      <c r="E578">
        <v>6.2752898336458127</v>
      </c>
      <c r="F578">
        <v>735.52500521298771</v>
      </c>
      <c r="G578">
        <v>0.42399999999999999</v>
      </c>
      <c r="H578">
        <v>4.3E-3</v>
      </c>
      <c r="I578">
        <v>115.6011</v>
      </c>
    </row>
    <row r="579" spans="1:9" x14ac:dyDescent="0.3">
      <c r="A579" t="s">
        <v>9</v>
      </c>
      <c r="B579" t="s">
        <v>704</v>
      </c>
      <c r="C579">
        <v>2</v>
      </c>
      <c r="D579">
        <v>2E-3</v>
      </c>
      <c r="E579">
        <v>6.4622733998385478</v>
      </c>
      <c r="F579">
        <v>753.26974564467821</v>
      </c>
      <c r="G579">
        <v>0.42399999999999999</v>
      </c>
      <c r="H579">
        <v>7.1999999999999998E-3</v>
      </c>
      <c r="I579">
        <v>115.7996</v>
      </c>
    </row>
    <row r="580" spans="1:9" x14ac:dyDescent="0.3">
      <c r="A580" t="s">
        <v>9</v>
      </c>
      <c r="B580" t="s">
        <v>705</v>
      </c>
      <c r="C580">
        <v>2</v>
      </c>
      <c r="D580">
        <v>5.7999999999999996E-3</v>
      </c>
      <c r="E580">
        <v>6.6714342697946503</v>
      </c>
      <c r="F580">
        <v>773.11911220351237</v>
      </c>
      <c r="G580">
        <v>0.42399999999999999</v>
      </c>
      <c r="H580">
        <v>1.0500000000000001E-2</v>
      </c>
      <c r="I580">
        <v>115.9999</v>
      </c>
    </row>
    <row r="581" spans="1:9" x14ac:dyDescent="0.3">
      <c r="A581" t="s">
        <v>9</v>
      </c>
      <c r="B581" t="s">
        <v>706</v>
      </c>
      <c r="C581">
        <v>2</v>
      </c>
      <c r="D581">
        <v>8.8999999999999999E-3</v>
      </c>
      <c r="E581">
        <v>6.8813091737414389</v>
      </c>
      <c r="F581">
        <v>793.03624058806258</v>
      </c>
      <c r="G581">
        <v>0.42399999999999999</v>
      </c>
      <c r="H581">
        <v>1.38E-2</v>
      </c>
      <c r="I581">
        <v>116.20099999999999</v>
      </c>
    </row>
    <row r="582" spans="1:9" x14ac:dyDescent="0.3">
      <c r="A582" t="s">
        <v>9</v>
      </c>
      <c r="B582" t="s">
        <v>707</v>
      </c>
      <c r="C582">
        <v>2</v>
      </c>
      <c r="D582">
        <v>1.1900000000000001E-2</v>
      </c>
      <c r="E582">
        <v>7.0693462340367281</v>
      </c>
      <c r="F582">
        <v>810.88095761008549</v>
      </c>
      <c r="G582">
        <v>0.42399999999999999</v>
      </c>
      <c r="H582">
        <v>1.67E-2</v>
      </c>
      <c r="I582">
        <v>116.4007</v>
      </c>
    </row>
    <row r="583" spans="1:9" x14ac:dyDescent="0.3">
      <c r="A583" t="s">
        <v>9</v>
      </c>
      <c r="B583" t="s">
        <v>708</v>
      </c>
      <c r="C583">
        <v>2</v>
      </c>
      <c r="D583">
        <v>1.44E-2</v>
      </c>
      <c r="E583">
        <v>7.2182975359185919</v>
      </c>
      <c r="F583">
        <v>825.01643615867442</v>
      </c>
      <c r="G583">
        <v>0.42399999999999999</v>
      </c>
      <c r="H583">
        <v>1.9E-2</v>
      </c>
      <c r="I583">
        <v>116.6001</v>
      </c>
    </row>
    <row r="584" spans="1:9" x14ac:dyDescent="0.3">
      <c r="A584" t="s">
        <v>9</v>
      </c>
      <c r="B584" t="s">
        <v>709</v>
      </c>
      <c r="C584">
        <v>2</v>
      </c>
      <c r="D584">
        <v>1.6500000000000001E-2</v>
      </c>
      <c r="E584">
        <v>7.3149402727599959</v>
      </c>
      <c r="F584">
        <v>834.18783188492364</v>
      </c>
      <c r="G584">
        <v>0.42399999999999999</v>
      </c>
      <c r="H584">
        <v>2.0500000000000001E-2</v>
      </c>
      <c r="I584">
        <v>116.8022</v>
      </c>
    </row>
    <row r="585" spans="1:9" x14ac:dyDescent="0.3">
      <c r="A585" t="s">
        <v>9</v>
      </c>
      <c r="B585" t="s">
        <v>710</v>
      </c>
      <c r="C585">
        <v>2</v>
      </c>
      <c r="D585">
        <v>1.8200000000000001E-2</v>
      </c>
      <c r="E585">
        <v>7.3473008933145332</v>
      </c>
      <c r="F585">
        <v>837.25885477554925</v>
      </c>
      <c r="G585">
        <v>0.42399999999999999</v>
      </c>
      <c r="H585">
        <v>2.1000000000000001E-2</v>
      </c>
      <c r="I585">
        <v>117.00149999999999</v>
      </c>
    </row>
    <row r="586" spans="1:9" x14ac:dyDescent="0.3">
      <c r="A586" t="s">
        <v>9</v>
      </c>
      <c r="B586" t="s">
        <v>711</v>
      </c>
      <c r="C586">
        <v>2</v>
      </c>
      <c r="D586">
        <v>1.9E-2</v>
      </c>
      <c r="E586">
        <v>7.3135470752631226</v>
      </c>
      <c r="F586">
        <v>729.62258741452308</v>
      </c>
      <c r="G586">
        <v>0.42399999999999999</v>
      </c>
      <c r="H586">
        <v>2.0500000000000001E-2</v>
      </c>
      <c r="I586">
        <v>117.2021</v>
      </c>
    </row>
    <row r="587" spans="1:9" x14ac:dyDescent="0.3">
      <c r="A587" t="s">
        <v>9</v>
      </c>
      <c r="B587" t="s">
        <v>712</v>
      </c>
      <c r="C587">
        <v>2</v>
      </c>
      <c r="D587">
        <v>1.8800000000000001E-2</v>
      </c>
      <c r="E587">
        <v>7.2177683965898902</v>
      </c>
      <c r="F587">
        <v>720.69601456217777</v>
      </c>
      <c r="G587">
        <v>0.42399999999999999</v>
      </c>
      <c r="H587">
        <v>1.9E-2</v>
      </c>
      <c r="I587">
        <v>117.4007</v>
      </c>
    </row>
    <row r="588" spans="1:9" x14ac:dyDescent="0.3">
      <c r="A588" t="s">
        <v>9</v>
      </c>
      <c r="B588" t="s">
        <v>713</v>
      </c>
      <c r="C588">
        <v>2</v>
      </c>
      <c r="D588">
        <v>1.8499999999999999E-2</v>
      </c>
      <c r="E588">
        <v>7.0671818311734249</v>
      </c>
      <c r="F588">
        <v>706.66134666536323</v>
      </c>
      <c r="G588">
        <v>0.42399999999999999</v>
      </c>
      <c r="H588">
        <v>1.66E-2</v>
      </c>
      <c r="I588">
        <v>117.6018</v>
      </c>
    </row>
    <row r="589" spans="1:9" x14ac:dyDescent="0.3">
      <c r="A589" t="s">
        <v>9</v>
      </c>
      <c r="B589" t="s">
        <v>714</v>
      </c>
      <c r="C589">
        <v>2</v>
      </c>
      <c r="D589">
        <v>1.7899999999999999E-2</v>
      </c>
      <c r="E589">
        <v>6.8804629562862676</v>
      </c>
      <c r="F589">
        <v>689.25914752588017</v>
      </c>
      <c r="G589">
        <v>0.42399999999999999</v>
      </c>
      <c r="H589">
        <v>1.37E-2</v>
      </c>
      <c r="I589">
        <v>117.79989999999999</v>
      </c>
    </row>
    <row r="590" spans="1:9" x14ac:dyDescent="0.3">
      <c r="A590" t="s">
        <v>9</v>
      </c>
      <c r="B590" t="s">
        <v>715</v>
      </c>
      <c r="C590">
        <v>2</v>
      </c>
      <c r="D590">
        <v>1.6400000000000001E-2</v>
      </c>
      <c r="E590">
        <v>6.6721941219800822</v>
      </c>
      <c r="F590">
        <v>669.84849216854366</v>
      </c>
      <c r="G590">
        <v>0.42399999999999999</v>
      </c>
      <c r="H590">
        <v>1.0500000000000001E-2</v>
      </c>
      <c r="I590">
        <v>117.99939999999999</v>
      </c>
    </row>
    <row r="591" spans="1:9" x14ac:dyDescent="0.3">
      <c r="A591" t="s">
        <v>9</v>
      </c>
      <c r="B591" t="s">
        <v>716</v>
      </c>
      <c r="C591">
        <v>2</v>
      </c>
      <c r="D591">
        <v>1.43E-2</v>
      </c>
      <c r="E591">
        <v>6.4612706706738878</v>
      </c>
      <c r="F591">
        <v>650.19042650680638</v>
      </c>
      <c r="G591">
        <v>0.42399999999999999</v>
      </c>
      <c r="H591">
        <v>7.1999999999999998E-3</v>
      </c>
      <c r="I591">
        <v>118.20140000000001</v>
      </c>
    </row>
    <row r="592" spans="1:9" x14ac:dyDescent="0.3">
      <c r="A592" t="s">
        <v>9</v>
      </c>
      <c r="B592" t="s">
        <v>717</v>
      </c>
      <c r="C592">
        <v>2</v>
      </c>
      <c r="D592">
        <v>1.0200000000000001E-2</v>
      </c>
      <c r="E592">
        <v>6.2725938991763854</v>
      </c>
      <c r="F592">
        <v>632.60575140323908</v>
      </c>
      <c r="G592">
        <v>0.42399999999999999</v>
      </c>
      <c r="H592">
        <v>4.3E-3</v>
      </c>
      <c r="I592">
        <v>118.402</v>
      </c>
    </row>
    <row r="593" spans="1:9" x14ac:dyDescent="0.3">
      <c r="A593" t="s">
        <v>9</v>
      </c>
      <c r="B593" t="s">
        <v>718</v>
      </c>
      <c r="C593">
        <v>2</v>
      </c>
      <c r="D593">
        <v>5.5999999999999999E-3</v>
      </c>
      <c r="E593">
        <v>6.1239179930278942</v>
      </c>
      <c r="F593">
        <v>618.74915695019979</v>
      </c>
      <c r="G593">
        <v>0.42399999999999999</v>
      </c>
      <c r="H593">
        <v>2E-3</v>
      </c>
      <c r="I593">
        <v>118.6014</v>
      </c>
    </row>
    <row r="594" spans="1:9" x14ac:dyDescent="0.3">
      <c r="A594" t="s">
        <v>9</v>
      </c>
      <c r="B594" t="s">
        <v>719</v>
      </c>
      <c r="C594">
        <v>2</v>
      </c>
      <c r="D594">
        <v>2.3E-3</v>
      </c>
      <c r="E594">
        <v>6.02897310007664</v>
      </c>
      <c r="F594">
        <v>609.90029292714291</v>
      </c>
      <c r="G594">
        <v>0.42399999999999999</v>
      </c>
      <c r="H594">
        <v>5.0000000000000001E-4</v>
      </c>
      <c r="I594">
        <v>118.79949999999999</v>
      </c>
    </row>
    <row r="595" spans="1:9" x14ac:dyDescent="0.3">
      <c r="A595" t="s">
        <v>9</v>
      </c>
      <c r="B595" t="s">
        <v>720</v>
      </c>
      <c r="C595">
        <v>2</v>
      </c>
      <c r="D595">
        <v>8.0000000000000004E-4</v>
      </c>
      <c r="E595">
        <v>5.9957340074502161</v>
      </c>
      <c r="F595">
        <v>606.80240949436018</v>
      </c>
      <c r="G595">
        <v>0.42399999999999999</v>
      </c>
      <c r="H595">
        <v>0</v>
      </c>
      <c r="I595">
        <v>119.0008</v>
      </c>
    </row>
    <row r="596" spans="1:9" x14ac:dyDescent="0.3">
      <c r="A596" t="s">
        <v>9</v>
      </c>
      <c r="B596" t="s">
        <v>721</v>
      </c>
      <c r="C596">
        <v>2</v>
      </c>
      <c r="D596">
        <v>-4.0000000000000002E-4</v>
      </c>
      <c r="E596">
        <v>6.029105705230708</v>
      </c>
      <c r="F596">
        <v>712.16213142639424</v>
      </c>
      <c r="G596">
        <v>0.42399999999999999</v>
      </c>
      <c r="H596">
        <v>5.0000000000000001E-4</v>
      </c>
      <c r="I596">
        <v>119.2009</v>
      </c>
    </row>
    <row r="597" spans="1:9" x14ac:dyDescent="0.3">
      <c r="A597" t="s">
        <v>9</v>
      </c>
      <c r="B597" t="s">
        <v>722</v>
      </c>
      <c r="C597">
        <v>2</v>
      </c>
      <c r="D597">
        <v>-4.0000000000000002E-4</v>
      </c>
      <c r="E597">
        <v>6.124659031370526</v>
      </c>
      <c r="F597">
        <v>721.23014207706296</v>
      </c>
      <c r="G597">
        <v>0.42399999999999999</v>
      </c>
      <c r="H597">
        <v>2E-3</v>
      </c>
      <c r="I597">
        <v>119.3998</v>
      </c>
    </row>
    <row r="598" spans="1:9" x14ac:dyDescent="0.3">
      <c r="A598" t="s">
        <v>9</v>
      </c>
      <c r="B598" t="s">
        <v>723</v>
      </c>
      <c r="C598">
        <v>2</v>
      </c>
      <c r="D598">
        <v>5.9999999999999995E-4</v>
      </c>
      <c r="E598">
        <v>6.2756254012384822</v>
      </c>
      <c r="F598">
        <v>735.55685057753203</v>
      </c>
      <c r="G598">
        <v>0.42399999999999999</v>
      </c>
      <c r="H598">
        <v>4.3E-3</v>
      </c>
      <c r="I598">
        <v>119.6015</v>
      </c>
    </row>
    <row r="599" spans="1:9" x14ac:dyDescent="0.3">
      <c r="A599" t="s">
        <v>9</v>
      </c>
      <c r="B599" t="s">
        <v>724</v>
      </c>
      <c r="C599">
        <v>2</v>
      </c>
      <c r="D599">
        <v>1.5E-3</v>
      </c>
      <c r="E599">
        <v>6.4643254873041096</v>
      </c>
      <c r="F599">
        <v>753.46448874516</v>
      </c>
      <c r="G599">
        <v>0.42399999999999999</v>
      </c>
      <c r="H599">
        <v>7.3000000000000001E-3</v>
      </c>
      <c r="I599">
        <v>119.80159999999999</v>
      </c>
    </row>
    <row r="600" spans="1:9" x14ac:dyDescent="0.3">
      <c r="A600" t="s">
        <v>9</v>
      </c>
      <c r="B600" t="s">
        <v>725</v>
      </c>
      <c r="C600">
        <v>2</v>
      </c>
      <c r="D600">
        <v>5.4999999999999997E-3</v>
      </c>
      <c r="E600">
        <v>6.672817735993525</v>
      </c>
      <c r="F600">
        <v>773.25040314578553</v>
      </c>
      <c r="G600">
        <v>0.42399999999999999</v>
      </c>
      <c r="H600">
        <v>1.0500000000000001E-2</v>
      </c>
      <c r="I600">
        <v>120.0012</v>
      </c>
    </row>
    <row r="601" spans="1:9" x14ac:dyDescent="0.3">
      <c r="A601" t="s">
        <v>9</v>
      </c>
      <c r="B601" t="s">
        <v>726</v>
      </c>
      <c r="C601">
        <v>2</v>
      </c>
      <c r="D601">
        <v>8.5000000000000006E-3</v>
      </c>
      <c r="E601">
        <v>6.8812029404049504</v>
      </c>
      <c r="F601">
        <v>793.02615904442973</v>
      </c>
      <c r="G601">
        <v>0.42399999999999999</v>
      </c>
      <c r="H601">
        <v>1.38E-2</v>
      </c>
      <c r="I601">
        <v>120.2008</v>
      </c>
    </row>
    <row r="602" spans="1:9" x14ac:dyDescent="0.3">
      <c r="A602" t="s">
        <v>9</v>
      </c>
      <c r="B602" t="s">
        <v>727</v>
      </c>
      <c r="C602">
        <v>2</v>
      </c>
      <c r="D602">
        <v>1.1900000000000001E-2</v>
      </c>
      <c r="E602">
        <v>7.0695643773002077</v>
      </c>
      <c r="F602">
        <v>810.9016594057897</v>
      </c>
      <c r="G602">
        <v>0.42399999999999999</v>
      </c>
      <c r="H602">
        <v>1.67E-2</v>
      </c>
      <c r="I602">
        <v>120.401</v>
      </c>
    </row>
    <row r="603" spans="1:9" x14ac:dyDescent="0.3">
      <c r="A603" t="s">
        <v>9</v>
      </c>
      <c r="B603" t="s">
        <v>728</v>
      </c>
      <c r="C603">
        <v>2</v>
      </c>
      <c r="D603">
        <v>1.4500000000000001E-2</v>
      </c>
      <c r="E603">
        <v>7.219248364827255</v>
      </c>
      <c r="F603">
        <v>825.10666982210648</v>
      </c>
      <c r="G603">
        <v>0.42399999999999999</v>
      </c>
      <c r="H603">
        <v>1.9E-2</v>
      </c>
      <c r="I603">
        <v>120.6016</v>
      </c>
    </row>
    <row r="604" spans="1:9" x14ac:dyDescent="0.3">
      <c r="A604" t="s">
        <v>9</v>
      </c>
      <c r="B604" t="s">
        <v>729</v>
      </c>
      <c r="C604">
        <v>2</v>
      </c>
      <c r="D604">
        <v>1.6299999999999999E-2</v>
      </c>
      <c r="E604">
        <v>7.3146722565942719</v>
      </c>
      <c r="F604">
        <v>834.16239715079644</v>
      </c>
      <c r="G604">
        <v>0.42399999999999999</v>
      </c>
      <c r="H604">
        <v>2.0500000000000001E-2</v>
      </c>
      <c r="I604">
        <v>120.8014</v>
      </c>
    </row>
    <row r="605" spans="1:9" x14ac:dyDescent="0.3">
      <c r="A605" t="s">
        <v>9</v>
      </c>
      <c r="B605" t="s">
        <v>730</v>
      </c>
      <c r="C605">
        <v>2</v>
      </c>
      <c r="D605">
        <v>1.8100000000000002E-2</v>
      </c>
      <c r="E605">
        <v>7.3472972440777848</v>
      </c>
      <c r="F605">
        <v>837.25850846298181</v>
      </c>
      <c r="G605">
        <v>0.42399999999999999</v>
      </c>
      <c r="H605">
        <v>2.1000000000000001E-2</v>
      </c>
      <c r="I605">
        <v>121.0026</v>
      </c>
    </row>
    <row r="606" spans="1:9" x14ac:dyDescent="0.3">
      <c r="A606" t="s">
        <v>9</v>
      </c>
      <c r="B606" t="s">
        <v>731</v>
      </c>
      <c r="C606">
        <v>2</v>
      </c>
      <c r="D606">
        <v>1.89E-2</v>
      </c>
      <c r="E606">
        <v>7.3141552813880679</v>
      </c>
      <c r="F606">
        <v>729.67927222536798</v>
      </c>
      <c r="G606">
        <v>0.42399999999999999</v>
      </c>
      <c r="H606">
        <v>2.0500000000000001E-2</v>
      </c>
      <c r="I606">
        <v>121.2002</v>
      </c>
    </row>
    <row r="607" spans="1:9" x14ac:dyDescent="0.3">
      <c r="A607" t="s">
        <v>9</v>
      </c>
      <c r="B607" t="s">
        <v>732</v>
      </c>
      <c r="C607">
        <v>2</v>
      </c>
      <c r="D607">
        <v>1.8800000000000001E-2</v>
      </c>
      <c r="E607">
        <v>7.217700277503897</v>
      </c>
      <c r="F607">
        <v>720.68966586336319</v>
      </c>
      <c r="G607">
        <v>0.42399999999999999</v>
      </c>
      <c r="H607">
        <v>1.9E-2</v>
      </c>
      <c r="I607">
        <v>121.40089999999999</v>
      </c>
    </row>
    <row r="608" spans="1:9" x14ac:dyDescent="0.3">
      <c r="A608" t="s">
        <v>9</v>
      </c>
      <c r="B608" t="s">
        <v>733</v>
      </c>
      <c r="C608">
        <v>2</v>
      </c>
      <c r="D608">
        <v>1.84E-2</v>
      </c>
      <c r="E608">
        <v>7.0680908965948408</v>
      </c>
      <c r="F608">
        <v>706.74607156263914</v>
      </c>
      <c r="G608">
        <v>0.42399999999999999</v>
      </c>
      <c r="H608">
        <v>1.67E-2</v>
      </c>
      <c r="I608">
        <v>121.6007</v>
      </c>
    </row>
    <row r="609" spans="1:9" x14ac:dyDescent="0.3">
      <c r="A609" t="s">
        <v>9</v>
      </c>
      <c r="B609" t="s">
        <v>734</v>
      </c>
      <c r="C609">
        <v>2</v>
      </c>
      <c r="D609">
        <v>1.78E-2</v>
      </c>
      <c r="E609">
        <v>6.8807650319949891</v>
      </c>
      <c r="F609">
        <v>689.28730098193296</v>
      </c>
      <c r="G609">
        <v>0.42399999999999999</v>
      </c>
      <c r="H609">
        <v>1.38E-2</v>
      </c>
      <c r="I609">
        <v>121.7996</v>
      </c>
    </row>
    <row r="610" spans="1:9" x14ac:dyDescent="0.3">
      <c r="A610" t="s">
        <v>9</v>
      </c>
      <c r="B610" t="s">
        <v>735</v>
      </c>
      <c r="C610">
        <v>2</v>
      </c>
      <c r="D610">
        <v>1.6500000000000001E-2</v>
      </c>
      <c r="E610">
        <v>6.6704084287972458</v>
      </c>
      <c r="F610">
        <v>669.68206556390328</v>
      </c>
      <c r="G610">
        <v>0.42399999999999999</v>
      </c>
      <c r="H610">
        <v>1.0500000000000001E-2</v>
      </c>
      <c r="I610">
        <v>122.001</v>
      </c>
    </row>
    <row r="611" spans="1:9" x14ac:dyDescent="0.3">
      <c r="A611" t="s">
        <v>9</v>
      </c>
      <c r="B611" t="s">
        <v>736</v>
      </c>
      <c r="C611">
        <v>2</v>
      </c>
      <c r="D611">
        <v>1.37E-2</v>
      </c>
      <c r="E611">
        <v>6.4609260205364203</v>
      </c>
      <c r="F611">
        <v>650.1583051139944</v>
      </c>
      <c r="G611">
        <v>0.42399999999999999</v>
      </c>
      <c r="H611">
        <v>7.1999999999999998E-3</v>
      </c>
      <c r="I611">
        <v>122.2017</v>
      </c>
    </row>
    <row r="612" spans="1:9" x14ac:dyDescent="0.3">
      <c r="A612" t="s">
        <v>9</v>
      </c>
      <c r="B612" t="s">
        <v>737</v>
      </c>
      <c r="C612">
        <v>2</v>
      </c>
      <c r="D612">
        <v>1.0200000000000001E-2</v>
      </c>
      <c r="E612">
        <v>6.2739171124218149</v>
      </c>
      <c r="F612">
        <v>632.72907487771317</v>
      </c>
      <c r="G612">
        <v>0.42399999999999999</v>
      </c>
      <c r="H612">
        <v>4.3E-3</v>
      </c>
      <c r="I612">
        <v>122.4004</v>
      </c>
    </row>
    <row r="613" spans="1:9" x14ac:dyDescent="0.3">
      <c r="A613" t="s">
        <v>9</v>
      </c>
      <c r="B613" t="s">
        <v>738</v>
      </c>
      <c r="C613">
        <v>2</v>
      </c>
      <c r="D613">
        <v>6.0000000000000001E-3</v>
      </c>
      <c r="E613">
        <v>6.1240136841248853</v>
      </c>
      <c r="F613">
        <v>618.75807536043931</v>
      </c>
      <c r="G613">
        <v>0.42399999999999999</v>
      </c>
      <c r="H613">
        <v>2E-3</v>
      </c>
      <c r="I613">
        <v>122.60129999999999</v>
      </c>
    </row>
    <row r="614" spans="1:9" x14ac:dyDescent="0.3">
      <c r="A614" t="s">
        <v>9</v>
      </c>
      <c r="B614" t="s">
        <v>739</v>
      </c>
      <c r="C614">
        <v>2</v>
      </c>
      <c r="D614">
        <v>2.3999999999999998E-3</v>
      </c>
      <c r="E614">
        <v>6.0290460523739737</v>
      </c>
      <c r="F614">
        <v>609.9070920812544</v>
      </c>
      <c r="G614">
        <v>0.42399999999999999</v>
      </c>
      <c r="H614">
        <v>5.0000000000000001E-4</v>
      </c>
      <c r="I614">
        <v>122.7993</v>
      </c>
    </row>
    <row r="615" spans="1:9" x14ac:dyDescent="0.3">
      <c r="A615" t="s">
        <v>9</v>
      </c>
      <c r="B615" t="s">
        <v>740</v>
      </c>
      <c r="C615">
        <v>2</v>
      </c>
      <c r="D615">
        <v>5.9999999999999995E-4</v>
      </c>
      <c r="E615">
        <v>5.9957337657708347</v>
      </c>
      <c r="F615">
        <v>606.80238696984179</v>
      </c>
      <c r="G615">
        <v>0.42399999999999999</v>
      </c>
      <c r="H615">
        <v>0</v>
      </c>
      <c r="I615">
        <v>123.00060000000001</v>
      </c>
    </row>
    <row r="616" spans="1:9" x14ac:dyDescent="0.3">
      <c r="A616" t="s">
        <v>9</v>
      </c>
      <c r="B616" t="s">
        <v>741</v>
      </c>
      <c r="C616">
        <v>2</v>
      </c>
      <c r="D616">
        <v>-2.0000000000000001E-4</v>
      </c>
      <c r="E616">
        <v>6.0287296513836548</v>
      </c>
      <c r="F616">
        <v>712.12644391630886</v>
      </c>
      <c r="G616">
        <v>0.42399999999999999</v>
      </c>
      <c r="H616">
        <v>5.0000000000000001E-4</v>
      </c>
      <c r="I616">
        <v>123.1998</v>
      </c>
    </row>
    <row r="617" spans="1:9" x14ac:dyDescent="0.3">
      <c r="A617" t="s">
        <v>9</v>
      </c>
      <c r="B617" t="s">
        <v>742</v>
      </c>
      <c r="C617">
        <v>2</v>
      </c>
      <c r="D617">
        <v>0</v>
      </c>
      <c r="E617">
        <v>6.1260141957110523</v>
      </c>
      <c r="F617">
        <v>721.35874717297895</v>
      </c>
      <c r="G617">
        <v>0.42399999999999999</v>
      </c>
      <c r="H617">
        <v>2E-3</v>
      </c>
      <c r="I617">
        <v>123.4019</v>
      </c>
    </row>
    <row r="618" spans="1:9" x14ac:dyDescent="0.3">
      <c r="A618" t="s">
        <v>9</v>
      </c>
      <c r="B618" t="s">
        <v>743</v>
      </c>
      <c r="C618">
        <v>2</v>
      </c>
      <c r="D618">
        <v>1E-3</v>
      </c>
      <c r="E618">
        <v>6.2743909860872957</v>
      </c>
      <c r="F618">
        <v>735.43970457968442</v>
      </c>
      <c r="G618">
        <v>0.42399999999999999</v>
      </c>
      <c r="H618">
        <v>4.3E-3</v>
      </c>
      <c r="I618">
        <v>123.6001</v>
      </c>
    </row>
    <row r="619" spans="1:9" x14ac:dyDescent="0.3">
      <c r="A619" t="s">
        <v>9</v>
      </c>
      <c r="B619" t="s">
        <v>744</v>
      </c>
      <c r="C619">
        <v>2</v>
      </c>
      <c r="D619">
        <v>3.5999999999999999E-3</v>
      </c>
      <c r="E619">
        <v>6.4637971589169094</v>
      </c>
      <c r="F619">
        <v>753.4143503812146</v>
      </c>
      <c r="G619">
        <v>0.42399999999999999</v>
      </c>
      <c r="H619">
        <v>7.3000000000000001E-3</v>
      </c>
      <c r="I619">
        <v>123.80110000000001</v>
      </c>
    </row>
    <row r="620" spans="1:9" x14ac:dyDescent="0.3">
      <c r="A620" t="s">
        <v>9</v>
      </c>
      <c r="B620" t="s">
        <v>745</v>
      </c>
      <c r="C620">
        <v>2</v>
      </c>
      <c r="D620">
        <v>5.0000000000000001E-3</v>
      </c>
      <c r="E620">
        <v>6.6714066977836533</v>
      </c>
      <c r="F620">
        <v>773.11649561966874</v>
      </c>
      <c r="G620">
        <v>0.42399999999999999</v>
      </c>
      <c r="H620">
        <v>1.0500000000000001E-2</v>
      </c>
      <c r="I620">
        <v>123.9999</v>
      </c>
    </row>
    <row r="621" spans="1:9" x14ac:dyDescent="0.3">
      <c r="A621" t="s">
        <v>9</v>
      </c>
      <c r="B621" t="s">
        <v>746</v>
      </c>
      <c r="C621">
        <v>2</v>
      </c>
      <c r="D621">
        <v>8.6E-3</v>
      </c>
      <c r="E621">
        <v>6.8827234557173096</v>
      </c>
      <c r="F621">
        <v>793.1704559475728</v>
      </c>
      <c r="G621">
        <v>0.42399999999999999</v>
      </c>
      <c r="H621">
        <v>1.38E-2</v>
      </c>
      <c r="I621">
        <v>124.2024</v>
      </c>
    </row>
    <row r="622" spans="1:9" x14ac:dyDescent="0.3">
      <c r="A622" t="s">
        <v>9</v>
      </c>
      <c r="B622" t="s">
        <v>747</v>
      </c>
      <c r="C622">
        <v>2</v>
      </c>
      <c r="D622">
        <v>1.2E-2</v>
      </c>
      <c r="E622">
        <v>7.0695655937124586</v>
      </c>
      <c r="F622">
        <v>810.90177484331241</v>
      </c>
      <c r="G622">
        <v>0.42399999999999999</v>
      </c>
      <c r="H622">
        <v>1.67E-2</v>
      </c>
      <c r="I622">
        <v>124.401</v>
      </c>
    </row>
    <row r="623" spans="1:9" x14ac:dyDescent="0.3">
      <c r="A623" t="s">
        <v>9</v>
      </c>
      <c r="B623" t="s">
        <v>748</v>
      </c>
      <c r="C623">
        <v>2</v>
      </c>
      <c r="D623">
        <v>1.43E-2</v>
      </c>
      <c r="E623">
        <v>7.2177842099491389</v>
      </c>
      <c r="F623">
        <v>824.96772152417327</v>
      </c>
      <c r="G623">
        <v>0.42399999999999999</v>
      </c>
      <c r="H623">
        <v>1.9E-2</v>
      </c>
      <c r="I623">
        <v>124.5993</v>
      </c>
    </row>
    <row r="624" spans="1:9" x14ac:dyDescent="0.3">
      <c r="A624" t="s">
        <v>9</v>
      </c>
      <c r="B624" t="s">
        <v>749</v>
      </c>
      <c r="C624">
        <v>2</v>
      </c>
      <c r="D624">
        <v>1.6500000000000001E-2</v>
      </c>
      <c r="E624">
        <v>7.3140717544135763</v>
      </c>
      <c r="F624">
        <v>834.10540949384847</v>
      </c>
      <c r="G624">
        <v>0.42399999999999999</v>
      </c>
      <c r="H624">
        <v>2.0500000000000001E-2</v>
      </c>
      <c r="I624">
        <v>124.79949999999999</v>
      </c>
    </row>
    <row r="625" spans="1:9" x14ac:dyDescent="0.3">
      <c r="A625" t="s">
        <v>9</v>
      </c>
      <c r="B625" t="s">
        <v>750</v>
      </c>
      <c r="C625">
        <v>2</v>
      </c>
      <c r="D625">
        <v>1.7999999999999999E-2</v>
      </c>
      <c r="E625">
        <v>7.3473008933145332</v>
      </c>
      <c r="F625">
        <v>837.25885477554925</v>
      </c>
      <c r="G625">
        <v>0.42399999999999999</v>
      </c>
      <c r="H625">
        <v>2.1000000000000001E-2</v>
      </c>
      <c r="I625">
        <v>125.0014</v>
      </c>
    </row>
    <row r="626" spans="1:9" x14ac:dyDescent="0.3">
      <c r="A626" t="s">
        <v>9</v>
      </c>
      <c r="B626" t="s">
        <v>751</v>
      </c>
      <c r="C626">
        <v>2</v>
      </c>
      <c r="D626">
        <v>1.9E-2</v>
      </c>
      <c r="E626">
        <v>7.3137262933346072</v>
      </c>
      <c r="F626">
        <v>729.63929053878542</v>
      </c>
      <c r="G626">
        <v>0.42399999999999999</v>
      </c>
      <c r="H626">
        <v>2.0500000000000001E-2</v>
      </c>
      <c r="I626">
        <v>125.2015</v>
      </c>
    </row>
    <row r="627" spans="1:9" x14ac:dyDescent="0.3">
      <c r="A627" t="s">
        <v>9</v>
      </c>
      <c r="B627" t="s">
        <v>752</v>
      </c>
      <c r="C627">
        <v>2</v>
      </c>
      <c r="D627">
        <v>1.9E-2</v>
      </c>
      <c r="E627">
        <v>7.2184998658228237</v>
      </c>
      <c r="F627">
        <v>720.76418749468723</v>
      </c>
      <c r="G627">
        <v>0.42399999999999999</v>
      </c>
      <c r="H627">
        <v>1.9E-2</v>
      </c>
      <c r="I627">
        <v>125.39960000000001</v>
      </c>
    </row>
    <row r="628" spans="1:9" x14ac:dyDescent="0.3">
      <c r="A628" t="s">
        <v>9</v>
      </c>
      <c r="B628" t="s">
        <v>753</v>
      </c>
      <c r="C628">
        <v>2</v>
      </c>
      <c r="D628">
        <v>1.8700000000000001E-2</v>
      </c>
      <c r="E628">
        <v>7.068281467847326</v>
      </c>
      <c r="F628">
        <v>706.76383280337086</v>
      </c>
      <c r="G628">
        <v>0.42399999999999999</v>
      </c>
      <c r="H628">
        <v>1.67E-2</v>
      </c>
      <c r="I628">
        <v>125.6005</v>
      </c>
    </row>
    <row r="629" spans="1:9" x14ac:dyDescent="0.3">
      <c r="A629" t="s">
        <v>9</v>
      </c>
      <c r="B629" t="s">
        <v>754</v>
      </c>
      <c r="C629">
        <v>2</v>
      </c>
      <c r="D629">
        <v>1.8100000000000002E-2</v>
      </c>
      <c r="E629">
        <v>6.8805282370770122</v>
      </c>
      <c r="F629">
        <v>689.26523169557754</v>
      </c>
      <c r="G629">
        <v>0.42399999999999999</v>
      </c>
      <c r="H629">
        <v>1.37E-2</v>
      </c>
      <c r="I629">
        <v>125.7998</v>
      </c>
    </row>
    <row r="630" spans="1:9" x14ac:dyDescent="0.3">
      <c r="A630" t="s">
        <v>9</v>
      </c>
      <c r="B630" t="s">
        <v>755</v>
      </c>
      <c r="C630">
        <v>2</v>
      </c>
      <c r="D630">
        <v>1.66E-2</v>
      </c>
      <c r="E630">
        <v>6.6668905645705667</v>
      </c>
      <c r="F630">
        <v>669.35420061797686</v>
      </c>
      <c r="G630">
        <v>0.42399999999999999</v>
      </c>
      <c r="H630">
        <v>1.04E-2</v>
      </c>
      <c r="I630">
        <v>126.0044</v>
      </c>
    </row>
    <row r="631" spans="1:9" x14ac:dyDescent="0.3">
      <c r="A631" t="s">
        <v>9</v>
      </c>
      <c r="B631" t="s">
        <v>756</v>
      </c>
      <c r="C631">
        <v>2</v>
      </c>
      <c r="D631">
        <v>1.41E-2</v>
      </c>
      <c r="E631">
        <v>6.461747504275845</v>
      </c>
      <c r="F631">
        <v>650.23486739850875</v>
      </c>
      <c r="G631">
        <v>0.42399999999999999</v>
      </c>
      <c r="H631">
        <v>7.1999999999999998E-3</v>
      </c>
      <c r="I631">
        <v>126.2009</v>
      </c>
    </row>
    <row r="632" spans="1:9" x14ac:dyDescent="0.3">
      <c r="A632" t="s">
        <v>9</v>
      </c>
      <c r="B632" t="s">
        <v>757</v>
      </c>
      <c r="C632">
        <v>2</v>
      </c>
      <c r="D632">
        <v>1.0200000000000001E-2</v>
      </c>
      <c r="E632">
        <v>6.2735156152852003</v>
      </c>
      <c r="F632">
        <v>632.69165534458068</v>
      </c>
      <c r="G632">
        <v>0.42399999999999999</v>
      </c>
      <c r="H632">
        <v>4.3E-3</v>
      </c>
      <c r="I632">
        <v>126.40089999999999</v>
      </c>
    </row>
    <row r="633" spans="1:9" x14ac:dyDescent="0.3">
      <c r="A633" t="s">
        <v>9</v>
      </c>
      <c r="B633" t="s">
        <v>758</v>
      </c>
      <c r="C633">
        <v>2</v>
      </c>
      <c r="D633">
        <v>5.7999999999999996E-3</v>
      </c>
      <c r="E633">
        <v>6.1236381776633451</v>
      </c>
      <c r="F633">
        <v>618.72307815822376</v>
      </c>
      <c r="G633">
        <v>0.42399999999999999</v>
      </c>
      <c r="H633">
        <v>2E-3</v>
      </c>
      <c r="I633">
        <v>126.6019</v>
      </c>
    </row>
    <row r="634" spans="1:9" x14ac:dyDescent="0.3">
      <c r="A634" t="s">
        <v>9</v>
      </c>
      <c r="B634" t="s">
        <v>759</v>
      </c>
      <c r="C634">
        <v>2</v>
      </c>
      <c r="D634">
        <v>1.9E-3</v>
      </c>
      <c r="E634">
        <v>6.0285009415524309</v>
      </c>
      <c r="F634">
        <v>609.85628775268663</v>
      </c>
      <c r="G634">
        <v>0.42399999999999999</v>
      </c>
      <c r="H634">
        <v>5.0000000000000001E-4</v>
      </c>
      <c r="I634">
        <v>126.8009</v>
      </c>
    </row>
    <row r="635" spans="1:9" x14ac:dyDescent="0.3">
      <c r="A635" t="s">
        <v>9</v>
      </c>
      <c r="B635" t="s">
        <v>760</v>
      </c>
      <c r="C635">
        <v>2</v>
      </c>
      <c r="D635">
        <v>5.9999999999999995E-4</v>
      </c>
      <c r="E635">
        <v>5.9957336449311036</v>
      </c>
      <c r="F635">
        <v>606.8023757075789</v>
      </c>
      <c r="G635">
        <v>0.42399999999999999</v>
      </c>
      <c r="H635">
        <v>0</v>
      </c>
      <c r="I635">
        <v>126.9996</v>
      </c>
    </row>
    <row r="636" spans="1:9" x14ac:dyDescent="0.3">
      <c r="A636" t="s">
        <v>9</v>
      </c>
      <c r="B636" t="s">
        <v>761</v>
      </c>
      <c r="C636">
        <v>2</v>
      </c>
      <c r="D636">
        <v>1E-4</v>
      </c>
      <c r="E636">
        <v>6.0287429021677639</v>
      </c>
      <c r="F636">
        <v>712.12770141572082</v>
      </c>
      <c r="G636">
        <v>0.42399999999999999</v>
      </c>
      <c r="H636">
        <v>5.0000000000000001E-4</v>
      </c>
      <c r="I636">
        <v>127.1998</v>
      </c>
    </row>
    <row r="637" spans="1:9" x14ac:dyDescent="0.3">
      <c r="A637" t="s">
        <v>9</v>
      </c>
      <c r="B637" t="s">
        <v>762</v>
      </c>
      <c r="C637">
        <v>2</v>
      </c>
      <c r="D637">
        <v>2.0000000000000001E-4</v>
      </c>
      <c r="E637">
        <v>6.1256441631046359</v>
      </c>
      <c r="F637">
        <v>721.32363107863</v>
      </c>
      <c r="G637">
        <v>0.42399999999999999</v>
      </c>
      <c r="H637">
        <v>2E-3</v>
      </c>
      <c r="I637">
        <v>127.4014</v>
      </c>
    </row>
    <row r="638" spans="1:9" x14ac:dyDescent="0.3">
      <c r="A638" t="s">
        <v>9</v>
      </c>
      <c r="B638" t="s">
        <v>763</v>
      </c>
      <c r="C638">
        <v>2</v>
      </c>
      <c r="D638">
        <v>1.1999999999999999E-3</v>
      </c>
      <c r="E638">
        <v>6.2742422188691336</v>
      </c>
      <c r="F638">
        <v>735.42558657068082</v>
      </c>
      <c r="G638">
        <v>0.42399999999999999</v>
      </c>
      <c r="H638">
        <v>4.3E-3</v>
      </c>
      <c r="I638">
        <v>127.59990000000001</v>
      </c>
    </row>
    <row r="639" spans="1:9" x14ac:dyDescent="0.3">
      <c r="A639" t="s">
        <v>9</v>
      </c>
      <c r="B639" t="s">
        <v>764</v>
      </c>
      <c r="C639">
        <v>2</v>
      </c>
      <c r="D639">
        <v>2.8999999999999998E-3</v>
      </c>
      <c r="E639">
        <v>6.469330618241651</v>
      </c>
      <c r="F639">
        <v>753.93947567113275</v>
      </c>
      <c r="G639">
        <v>0.42399999999999999</v>
      </c>
      <c r="H639">
        <v>7.4000000000000003E-3</v>
      </c>
      <c r="I639">
        <v>127.8066</v>
      </c>
    </row>
    <row r="640" spans="1:9" x14ac:dyDescent="0.3">
      <c r="A640" t="s">
        <v>9</v>
      </c>
      <c r="B640" t="s">
        <v>765</v>
      </c>
      <c r="C640">
        <v>2</v>
      </c>
      <c r="D640">
        <v>6.0000000000000001E-3</v>
      </c>
      <c r="E640">
        <v>6.6707692977647124</v>
      </c>
      <c r="F640">
        <v>773.0560063578713</v>
      </c>
      <c r="G640">
        <v>0.42399999999999999</v>
      </c>
      <c r="H640">
        <v>1.0500000000000001E-2</v>
      </c>
      <c r="I640">
        <v>127.99930000000001</v>
      </c>
    </row>
    <row r="641" spans="1:9" x14ac:dyDescent="0.3">
      <c r="A641" t="s">
        <v>9</v>
      </c>
      <c r="B641" t="s">
        <v>766</v>
      </c>
      <c r="C641">
        <v>2</v>
      </c>
      <c r="D641">
        <v>8.8000000000000005E-3</v>
      </c>
      <c r="E641">
        <v>6.8802748178582851</v>
      </c>
      <c r="F641">
        <v>792.93808021475127</v>
      </c>
      <c r="G641">
        <v>0.42399999999999999</v>
      </c>
      <c r="H641">
        <v>1.37E-2</v>
      </c>
      <c r="I641">
        <v>128.19990000000001</v>
      </c>
    </row>
    <row r="642" spans="1:9" x14ac:dyDescent="0.3">
      <c r="A642" t="s">
        <v>9</v>
      </c>
      <c r="B642" t="s">
        <v>767</v>
      </c>
      <c r="C642">
        <v>2</v>
      </c>
      <c r="D642">
        <v>1.1900000000000001E-2</v>
      </c>
      <c r="E642">
        <v>7.068073866823342</v>
      </c>
      <c r="F642">
        <v>810.76020996153522</v>
      </c>
      <c r="G642">
        <v>0.42399999999999999</v>
      </c>
      <c r="H642">
        <v>1.67E-2</v>
      </c>
      <c r="I642">
        <v>128.39920000000001</v>
      </c>
    </row>
    <row r="643" spans="1:9" x14ac:dyDescent="0.3">
      <c r="A643" t="s">
        <v>9</v>
      </c>
      <c r="B643" t="s">
        <v>768</v>
      </c>
      <c r="C643">
        <v>2</v>
      </c>
      <c r="D643">
        <v>1.4200000000000001E-2</v>
      </c>
      <c r="E643">
        <v>7.217900580054379</v>
      </c>
      <c r="F643">
        <v>824.97876504716055</v>
      </c>
      <c r="G643">
        <v>0.42399999999999999</v>
      </c>
      <c r="H643">
        <v>1.9E-2</v>
      </c>
      <c r="I643">
        <v>128.59950000000001</v>
      </c>
    </row>
    <row r="644" spans="1:9" x14ac:dyDescent="0.3">
      <c r="A644" t="s">
        <v>9</v>
      </c>
      <c r="B644" t="s">
        <v>769</v>
      </c>
      <c r="C644">
        <v>2</v>
      </c>
      <c r="D644">
        <v>1.6500000000000001E-2</v>
      </c>
      <c r="E644">
        <v>7.3142254278278109</v>
      </c>
      <c r="F644">
        <v>834.11999310085935</v>
      </c>
      <c r="G644">
        <v>0.42399999999999999</v>
      </c>
      <c r="H644">
        <v>2.0500000000000001E-2</v>
      </c>
      <c r="I644">
        <v>128.80000000000001</v>
      </c>
    </row>
    <row r="645" spans="1:9" x14ac:dyDescent="0.3">
      <c r="A645" t="s">
        <v>9</v>
      </c>
      <c r="B645" t="s">
        <v>770</v>
      </c>
      <c r="C645">
        <v>2</v>
      </c>
      <c r="D645">
        <v>1.78E-2</v>
      </c>
      <c r="E645">
        <v>7.3473004878437846</v>
      </c>
      <c r="F645">
        <v>837.25881629637524</v>
      </c>
      <c r="G645">
        <v>0.42399999999999999</v>
      </c>
      <c r="H645">
        <v>2.1000000000000001E-2</v>
      </c>
      <c r="I645">
        <v>129.0016</v>
      </c>
    </row>
    <row r="646" spans="1:9" x14ac:dyDescent="0.3">
      <c r="A646" t="s">
        <v>9</v>
      </c>
      <c r="B646" t="s">
        <v>771</v>
      </c>
      <c r="C646">
        <v>2</v>
      </c>
      <c r="D646">
        <v>1.89E-2</v>
      </c>
      <c r="E646">
        <v>7.3138665862140932</v>
      </c>
      <c r="F646">
        <v>729.65236583515355</v>
      </c>
      <c r="G646">
        <v>0.42399999999999999</v>
      </c>
      <c r="H646">
        <v>2.0500000000000001E-2</v>
      </c>
      <c r="I646">
        <v>129.2011</v>
      </c>
    </row>
    <row r="647" spans="1:9" x14ac:dyDescent="0.3">
      <c r="A647" t="s">
        <v>9</v>
      </c>
      <c r="B647" t="s">
        <v>772</v>
      </c>
      <c r="C647">
        <v>2</v>
      </c>
      <c r="D647">
        <v>1.89E-2</v>
      </c>
      <c r="E647">
        <v>7.2175826909864096</v>
      </c>
      <c r="F647">
        <v>720.67870679993337</v>
      </c>
      <c r="G647">
        <v>0.42399999999999999</v>
      </c>
      <c r="H647">
        <v>1.9E-2</v>
      </c>
      <c r="I647">
        <v>129.40100000000001</v>
      </c>
    </row>
    <row r="648" spans="1:9" x14ac:dyDescent="0.3">
      <c r="A648" t="s">
        <v>9</v>
      </c>
      <c r="B648" t="s">
        <v>773</v>
      </c>
      <c r="C648">
        <v>2</v>
      </c>
      <c r="D648">
        <v>1.8499999999999999E-2</v>
      </c>
      <c r="E648">
        <v>7.0694228680084716</v>
      </c>
      <c r="F648">
        <v>706.87021129838956</v>
      </c>
      <c r="G648">
        <v>0.42399999999999999</v>
      </c>
      <c r="H648">
        <v>1.67E-2</v>
      </c>
      <c r="I648">
        <v>129.5992</v>
      </c>
    </row>
    <row r="649" spans="1:9" x14ac:dyDescent="0.3">
      <c r="A649" t="s">
        <v>9</v>
      </c>
      <c r="B649" t="s">
        <v>774</v>
      </c>
      <c r="C649">
        <v>2</v>
      </c>
      <c r="D649">
        <v>1.7999999999999999E-2</v>
      </c>
      <c r="E649">
        <v>6.8797124299280874</v>
      </c>
      <c r="F649">
        <v>689.18919846929771</v>
      </c>
      <c r="G649">
        <v>0.42399999999999999</v>
      </c>
      <c r="H649">
        <v>1.37E-2</v>
      </c>
      <c r="I649">
        <v>129.8006</v>
      </c>
    </row>
    <row r="650" spans="1:9" x14ac:dyDescent="0.3">
      <c r="A650" t="s">
        <v>9</v>
      </c>
      <c r="B650" t="s">
        <v>775</v>
      </c>
      <c r="C650">
        <v>2</v>
      </c>
      <c r="D650">
        <v>1.66E-2</v>
      </c>
      <c r="E650">
        <v>6.6720858612898404</v>
      </c>
      <c r="F650">
        <v>669.8384022722131</v>
      </c>
      <c r="G650">
        <v>0.42399999999999999</v>
      </c>
      <c r="H650">
        <v>1.0500000000000001E-2</v>
      </c>
      <c r="I650">
        <v>129.99950000000001</v>
      </c>
    </row>
    <row r="651" spans="1:9" x14ac:dyDescent="0.3">
      <c r="A651" t="s">
        <v>9</v>
      </c>
      <c r="B651" t="s">
        <v>776</v>
      </c>
      <c r="C651">
        <v>2</v>
      </c>
      <c r="D651">
        <v>1.43E-2</v>
      </c>
      <c r="E651">
        <v>6.4618440063143368</v>
      </c>
      <c r="F651">
        <v>650.24386138849616</v>
      </c>
      <c r="G651">
        <v>0.42399999999999999</v>
      </c>
      <c r="H651">
        <v>7.1999999999999998E-3</v>
      </c>
      <c r="I651">
        <v>130.20079999999999</v>
      </c>
    </row>
    <row r="652" spans="1:9" x14ac:dyDescent="0.3">
      <c r="A652" t="s">
        <v>9</v>
      </c>
      <c r="B652" t="s">
        <v>777</v>
      </c>
      <c r="C652">
        <v>2</v>
      </c>
      <c r="D652">
        <v>1.0200000000000001E-2</v>
      </c>
      <c r="E652">
        <v>6.2736642608621356</v>
      </c>
      <c r="F652">
        <v>632.70550911235114</v>
      </c>
      <c r="G652">
        <v>0.42399999999999999</v>
      </c>
      <c r="H652">
        <v>4.3E-3</v>
      </c>
      <c r="I652">
        <v>130.4007</v>
      </c>
    </row>
    <row r="653" spans="1:9" x14ac:dyDescent="0.3">
      <c r="A653" t="s">
        <v>9</v>
      </c>
      <c r="B653" t="s">
        <v>778</v>
      </c>
      <c r="C653">
        <v>2</v>
      </c>
      <c r="D653">
        <v>5.7999999999999996E-3</v>
      </c>
      <c r="E653">
        <v>6.1245985756817074</v>
      </c>
      <c r="F653">
        <v>618.81258725353507</v>
      </c>
      <c r="G653">
        <v>0.42399999999999999</v>
      </c>
      <c r="H653">
        <v>2E-3</v>
      </c>
      <c r="I653">
        <v>130.6003</v>
      </c>
    </row>
    <row r="654" spans="1:9" x14ac:dyDescent="0.3">
      <c r="A654" t="s">
        <v>9</v>
      </c>
      <c r="B654" t="s">
        <v>779</v>
      </c>
      <c r="C654">
        <v>2</v>
      </c>
      <c r="D654">
        <v>2.3999999999999998E-3</v>
      </c>
      <c r="E654">
        <v>6.0287801203279026</v>
      </c>
      <c r="F654">
        <v>609.88230721456057</v>
      </c>
      <c r="G654">
        <v>0.42399999999999999</v>
      </c>
      <c r="H654">
        <v>5.0000000000000001E-4</v>
      </c>
      <c r="I654">
        <v>130.80009999999999</v>
      </c>
    </row>
    <row r="655" spans="1:9" x14ac:dyDescent="0.3">
      <c r="A655" t="s">
        <v>9</v>
      </c>
      <c r="B655" t="s">
        <v>780</v>
      </c>
      <c r="C655">
        <v>2</v>
      </c>
      <c r="D655">
        <v>5.9999999999999995E-4</v>
      </c>
      <c r="E655">
        <v>5.9957396466344166</v>
      </c>
      <c r="F655">
        <v>606.80293506632768</v>
      </c>
      <c r="G655">
        <v>0.42399999999999999</v>
      </c>
      <c r="H655">
        <v>0</v>
      </c>
      <c r="I655">
        <v>131.0027</v>
      </c>
    </row>
    <row r="656" spans="1:9" x14ac:dyDescent="0.3">
      <c r="A656" t="s">
        <v>9</v>
      </c>
      <c r="B656" t="s">
        <v>781</v>
      </c>
      <c r="C656">
        <v>2</v>
      </c>
      <c r="D656">
        <v>-2.0000000000000001E-4</v>
      </c>
      <c r="E656">
        <v>6.0293220887511332</v>
      </c>
      <c r="F656">
        <v>712.18266622248257</v>
      </c>
      <c r="G656">
        <v>0.42399999999999999</v>
      </c>
      <c r="H656">
        <v>5.0000000000000001E-4</v>
      </c>
      <c r="I656">
        <v>131.20160000000001</v>
      </c>
    </row>
    <row r="657" spans="1:9" x14ac:dyDescent="0.3">
      <c r="A657" t="s">
        <v>9</v>
      </c>
      <c r="B657" t="s">
        <v>782</v>
      </c>
      <c r="C657">
        <v>2</v>
      </c>
      <c r="D657">
        <v>-2.9999999999999997E-4</v>
      </c>
      <c r="E657">
        <v>6.1255114930752486</v>
      </c>
      <c r="F657">
        <v>721.31104069284117</v>
      </c>
      <c r="G657">
        <v>0.42399999999999999</v>
      </c>
      <c r="H657">
        <v>2E-3</v>
      </c>
      <c r="I657">
        <v>131.40110000000001</v>
      </c>
    </row>
    <row r="658" spans="1:9" x14ac:dyDescent="0.3">
      <c r="A658" t="s">
        <v>9</v>
      </c>
      <c r="B658" t="s">
        <v>783</v>
      </c>
      <c r="C658">
        <v>2</v>
      </c>
      <c r="D658">
        <v>4.0000000000000002E-4</v>
      </c>
      <c r="E658">
        <v>6.2751617454359003</v>
      </c>
      <c r="F658">
        <v>735.51284964186698</v>
      </c>
      <c r="G658">
        <v>0.42399999999999999</v>
      </c>
      <c r="H658">
        <v>4.3E-3</v>
      </c>
      <c r="I658">
        <v>131.601</v>
      </c>
    </row>
    <row r="659" spans="1:9" x14ac:dyDescent="0.3">
      <c r="A659" t="s">
        <v>9</v>
      </c>
      <c r="B659" t="s">
        <v>784</v>
      </c>
      <c r="C659">
        <v>2</v>
      </c>
      <c r="D659">
        <v>2.0999999999999999E-3</v>
      </c>
      <c r="E659">
        <v>6.4637120100594156</v>
      </c>
      <c r="F659">
        <v>753.40626975463863</v>
      </c>
      <c r="G659">
        <v>0.42399999999999999</v>
      </c>
      <c r="H659">
        <v>7.3000000000000001E-3</v>
      </c>
      <c r="I659">
        <v>131.80099999999999</v>
      </c>
    </row>
    <row r="660" spans="1:9" x14ac:dyDescent="0.3">
      <c r="A660" t="s">
        <v>9</v>
      </c>
      <c r="B660" t="s">
        <v>785</v>
      </c>
      <c r="C660">
        <v>2</v>
      </c>
      <c r="D660">
        <v>5.4000000000000003E-3</v>
      </c>
      <c r="E660">
        <v>6.6731425180642452</v>
      </c>
      <c r="F660">
        <v>773.28122496429694</v>
      </c>
      <c r="G660">
        <v>0.42399999999999999</v>
      </c>
      <c r="H660">
        <v>1.0500000000000001E-2</v>
      </c>
      <c r="I660">
        <v>132.00149999999999</v>
      </c>
    </row>
    <row r="661" spans="1:9" x14ac:dyDescent="0.3">
      <c r="A661" t="s">
        <v>9</v>
      </c>
      <c r="B661" t="s">
        <v>786</v>
      </c>
      <c r="C661">
        <v>2</v>
      </c>
      <c r="D661">
        <v>8.9999999999999993E-3</v>
      </c>
      <c r="E661">
        <v>6.8805018814782626</v>
      </c>
      <c r="F661">
        <v>792.9596285522872</v>
      </c>
      <c r="G661">
        <v>0.42399999999999999</v>
      </c>
      <c r="H661">
        <v>1.37E-2</v>
      </c>
      <c r="I661">
        <v>132.20009999999999</v>
      </c>
    </row>
    <row r="662" spans="1:9" x14ac:dyDescent="0.3">
      <c r="A662" t="s">
        <v>9</v>
      </c>
      <c r="B662" t="s">
        <v>787</v>
      </c>
      <c r="C662">
        <v>2</v>
      </c>
      <c r="D662">
        <v>1.14E-2</v>
      </c>
      <c r="E662">
        <v>7.0701600138319023</v>
      </c>
      <c r="F662">
        <v>810.95818531264752</v>
      </c>
      <c r="G662">
        <v>0.42399999999999999</v>
      </c>
      <c r="H662">
        <v>1.67E-2</v>
      </c>
      <c r="I662">
        <v>132.40170000000001</v>
      </c>
    </row>
    <row r="663" spans="1:9" x14ac:dyDescent="0.3">
      <c r="A663" t="s">
        <v>9</v>
      </c>
      <c r="B663" t="s">
        <v>788</v>
      </c>
      <c r="C663">
        <v>2</v>
      </c>
      <c r="D663">
        <v>1.4200000000000001E-2</v>
      </c>
      <c r="E663">
        <v>7.2187678819885504</v>
      </c>
      <c r="F663">
        <v>825.06107200071347</v>
      </c>
      <c r="G663">
        <v>0.42399999999999999</v>
      </c>
      <c r="H663">
        <v>1.9E-2</v>
      </c>
      <c r="I663">
        <v>132.60079999999999</v>
      </c>
    </row>
    <row r="664" spans="1:9" x14ac:dyDescent="0.3">
      <c r="A664" t="s">
        <v>9</v>
      </c>
      <c r="B664" t="s">
        <v>789</v>
      </c>
      <c r="C664">
        <v>2</v>
      </c>
      <c r="D664">
        <v>1.6400000000000001E-2</v>
      </c>
      <c r="E664">
        <v>7.3143312556935518</v>
      </c>
      <c r="F664">
        <v>834.13003616531807</v>
      </c>
      <c r="G664">
        <v>0.42399999999999999</v>
      </c>
      <c r="H664">
        <v>2.0500000000000001E-2</v>
      </c>
      <c r="I664">
        <v>132.80029999999999</v>
      </c>
    </row>
    <row r="665" spans="1:9" x14ac:dyDescent="0.3">
      <c r="A665" t="s">
        <v>9</v>
      </c>
      <c r="B665" t="s">
        <v>790</v>
      </c>
      <c r="C665">
        <v>2</v>
      </c>
      <c r="D665">
        <v>1.8100000000000002E-2</v>
      </c>
      <c r="E665">
        <v>7.3473025151975344</v>
      </c>
      <c r="F665">
        <v>837.25900869224608</v>
      </c>
      <c r="G665">
        <v>0.42399999999999999</v>
      </c>
      <c r="H665">
        <v>2.1000000000000001E-2</v>
      </c>
      <c r="I665">
        <v>133.00049999999999</v>
      </c>
    </row>
    <row r="666" spans="1:9" x14ac:dyDescent="0.3">
      <c r="A666" t="s">
        <v>9</v>
      </c>
      <c r="B666" t="s">
        <v>791</v>
      </c>
      <c r="C666">
        <v>2</v>
      </c>
      <c r="D666">
        <v>1.89E-2</v>
      </c>
      <c r="E666">
        <v>7.3138053601308508</v>
      </c>
      <c r="F666">
        <v>729.64665956419526</v>
      </c>
      <c r="G666">
        <v>0.42399999999999999</v>
      </c>
      <c r="H666">
        <v>2.0500000000000001E-2</v>
      </c>
      <c r="I666">
        <v>133.2013</v>
      </c>
    </row>
    <row r="667" spans="1:9" x14ac:dyDescent="0.3">
      <c r="A667" t="s">
        <v>9</v>
      </c>
      <c r="B667" t="s">
        <v>792</v>
      </c>
      <c r="C667">
        <v>2</v>
      </c>
      <c r="D667">
        <v>1.9E-2</v>
      </c>
      <c r="E667">
        <v>7.2184856743465762</v>
      </c>
      <c r="F667">
        <v>720.76286484910088</v>
      </c>
      <c r="G667">
        <v>0.42399999999999999</v>
      </c>
      <c r="H667">
        <v>1.9E-2</v>
      </c>
      <c r="I667">
        <v>133.39959999999999</v>
      </c>
    </row>
    <row r="668" spans="1:9" x14ac:dyDescent="0.3">
      <c r="A668" t="s">
        <v>9</v>
      </c>
      <c r="B668" t="s">
        <v>793</v>
      </c>
      <c r="C668">
        <v>2</v>
      </c>
      <c r="D668">
        <v>1.8599999999999998E-2</v>
      </c>
      <c r="E668">
        <v>7.0683872957130642</v>
      </c>
      <c r="F668">
        <v>706.77369596045764</v>
      </c>
      <c r="G668">
        <v>0.42399999999999999</v>
      </c>
      <c r="H668">
        <v>1.67E-2</v>
      </c>
      <c r="I668">
        <v>133.60040000000001</v>
      </c>
    </row>
    <row r="669" spans="1:9" x14ac:dyDescent="0.3">
      <c r="A669" t="s">
        <v>9</v>
      </c>
      <c r="B669" t="s">
        <v>794</v>
      </c>
      <c r="C669">
        <v>2</v>
      </c>
      <c r="D669">
        <v>1.8100000000000002E-2</v>
      </c>
      <c r="E669">
        <v>6.8796812086803394</v>
      </c>
      <c r="F669">
        <v>689.18628864900757</v>
      </c>
      <c r="G669">
        <v>0.42399999999999999</v>
      </c>
      <c r="H669">
        <v>1.37E-2</v>
      </c>
      <c r="I669">
        <v>133.80070000000001</v>
      </c>
    </row>
    <row r="670" spans="1:9" x14ac:dyDescent="0.3">
      <c r="A670" t="s">
        <v>9</v>
      </c>
      <c r="B670" t="s">
        <v>795</v>
      </c>
      <c r="C670">
        <v>2</v>
      </c>
      <c r="D670">
        <v>1.67E-2</v>
      </c>
      <c r="E670">
        <v>6.6698156305607981</v>
      </c>
      <c r="F670">
        <v>669.62681676826639</v>
      </c>
      <c r="G670">
        <v>0.42399999999999999</v>
      </c>
      <c r="H670">
        <v>1.0500000000000001E-2</v>
      </c>
      <c r="I670">
        <v>134.0016</v>
      </c>
    </row>
    <row r="671" spans="1:9" x14ac:dyDescent="0.3">
      <c r="A671" t="s">
        <v>9</v>
      </c>
      <c r="B671" t="s">
        <v>796</v>
      </c>
      <c r="C671">
        <v>2</v>
      </c>
      <c r="D671">
        <v>1.43E-2</v>
      </c>
      <c r="E671">
        <v>6.4625483090070217</v>
      </c>
      <c r="F671">
        <v>650.30950239945446</v>
      </c>
      <c r="G671">
        <v>0.42399999999999999</v>
      </c>
      <c r="H671">
        <v>7.3000000000000001E-3</v>
      </c>
      <c r="I671">
        <v>134.20009999999999</v>
      </c>
    </row>
    <row r="672" spans="1:9" x14ac:dyDescent="0.3">
      <c r="A672" t="s">
        <v>9</v>
      </c>
      <c r="B672" t="s">
        <v>797</v>
      </c>
      <c r="C672">
        <v>2</v>
      </c>
      <c r="D672">
        <v>1.03E-2</v>
      </c>
      <c r="E672">
        <v>6.2744383856179669</v>
      </c>
      <c r="F672">
        <v>632.77765753959454</v>
      </c>
      <c r="G672">
        <v>0.42399999999999999</v>
      </c>
      <c r="H672">
        <v>4.3E-3</v>
      </c>
      <c r="I672">
        <v>134.3998</v>
      </c>
    </row>
    <row r="673" spans="1:9" x14ac:dyDescent="0.3">
      <c r="A673" t="s">
        <v>9</v>
      </c>
      <c r="B673" t="s">
        <v>798</v>
      </c>
      <c r="C673">
        <v>2</v>
      </c>
      <c r="D673">
        <v>6.0000000000000001E-3</v>
      </c>
      <c r="E673">
        <v>6.1233404810387224</v>
      </c>
      <c r="F673">
        <v>618.69533283280896</v>
      </c>
      <c r="G673">
        <v>0.42399999999999999</v>
      </c>
      <c r="H673">
        <v>2E-3</v>
      </c>
      <c r="I673">
        <v>134.60230000000001</v>
      </c>
    </row>
    <row r="674" spans="1:9" x14ac:dyDescent="0.3">
      <c r="A674" t="s">
        <v>9</v>
      </c>
      <c r="B674" t="s">
        <v>799</v>
      </c>
      <c r="C674">
        <v>2</v>
      </c>
      <c r="D674">
        <v>2.3E-3</v>
      </c>
      <c r="E674">
        <v>6.0290988568297408</v>
      </c>
      <c r="F674">
        <v>609.91201345653189</v>
      </c>
      <c r="G674">
        <v>0.42399999999999999</v>
      </c>
      <c r="H674">
        <v>5.0000000000000001E-4</v>
      </c>
      <c r="I674">
        <v>134.79910000000001</v>
      </c>
    </row>
    <row r="675" spans="1:9" x14ac:dyDescent="0.3">
      <c r="A675" t="s">
        <v>9</v>
      </c>
      <c r="B675" t="s">
        <v>800</v>
      </c>
      <c r="C675">
        <v>2</v>
      </c>
      <c r="D675">
        <v>5.9999999999999995E-4</v>
      </c>
      <c r="E675">
        <v>5.9957349741679016</v>
      </c>
      <c r="F675">
        <v>606.8024995924485</v>
      </c>
      <c r="G675">
        <v>0.42399999999999999</v>
      </c>
      <c r="H675">
        <v>0</v>
      </c>
      <c r="I675">
        <v>135.00129999999999</v>
      </c>
    </row>
    <row r="676" spans="1:9" x14ac:dyDescent="0.3">
      <c r="A676" t="s">
        <v>9</v>
      </c>
      <c r="B676" t="s">
        <v>801</v>
      </c>
      <c r="C676">
        <v>2</v>
      </c>
      <c r="D676">
        <v>1E-4</v>
      </c>
      <c r="E676">
        <v>6.0290055296272227</v>
      </c>
      <c r="F676">
        <v>712.15262476162343</v>
      </c>
      <c r="G676">
        <v>0.42399999999999999</v>
      </c>
      <c r="H676">
        <v>5.0000000000000001E-4</v>
      </c>
      <c r="I676">
        <v>135.20060000000001</v>
      </c>
    </row>
    <row r="677" spans="1:9" x14ac:dyDescent="0.3">
      <c r="A677" t="s">
        <v>9</v>
      </c>
      <c r="B677" t="s">
        <v>802</v>
      </c>
      <c r="C677">
        <v>2</v>
      </c>
      <c r="D677">
        <v>0</v>
      </c>
      <c r="E677">
        <v>6.1252817128012449</v>
      </c>
      <c r="F677">
        <v>721.28923454483822</v>
      </c>
      <c r="G677">
        <v>0.42399999999999999</v>
      </c>
      <c r="H677">
        <v>2E-3</v>
      </c>
      <c r="I677">
        <v>135.4008</v>
      </c>
    </row>
    <row r="678" spans="1:9" x14ac:dyDescent="0.3">
      <c r="A678" t="s">
        <v>9</v>
      </c>
      <c r="B678" t="s">
        <v>803</v>
      </c>
      <c r="C678">
        <v>2</v>
      </c>
      <c r="D678">
        <v>5.9999999999999995E-4</v>
      </c>
      <c r="E678">
        <v>6.275597585945035</v>
      </c>
      <c r="F678">
        <v>735.55421090618381</v>
      </c>
      <c r="G678">
        <v>0.42399999999999999</v>
      </c>
      <c r="H678">
        <v>4.3E-3</v>
      </c>
      <c r="I678">
        <v>135.60149999999999</v>
      </c>
    </row>
    <row r="679" spans="1:9" x14ac:dyDescent="0.3">
      <c r="A679" t="s">
        <v>9</v>
      </c>
      <c r="B679" t="s">
        <v>804</v>
      </c>
      <c r="C679">
        <v>2</v>
      </c>
      <c r="D679">
        <v>2.3999999999999998E-3</v>
      </c>
      <c r="E679">
        <v>6.4628799840804918</v>
      </c>
      <c r="F679">
        <v>753.3273104892387</v>
      </c>
      <c r="G679">
        <v>0.42399999999999999</v>
      </c>
      <c r="H679">
        <v>7.3000000000000001E-3</v>
      </c>
      <c r="I679">
        <v>135.80019999999999</v>
      </c>
    </row>
    <row r="680" spans="1:9" x14ac:dyDescent="0.3">
      <c r="A680" t="s">
        <v>9</v>
      </c>
      <c r="B680" t="s">
        <v>805</v>
      </c>
      <c r="C680">
        <v>2</v>
      </c>
      <c r="D680">
        <v>5.8999999999999999E-3</v>
      </c>
      <c r="E680">
        <v>6.671566453259139</v>
      </c>
      <c r="F680">
        <v>773.13165641429237</v>
      </c>
      <c r="G680">
        <v>0.42399999999999999</v>
      </c>
      <c r="H680">
        <v>1.0500000000000001E-2</v>
      </c>
      <c r="I680">
        <v>136</v>
      </c>
    </row>
    <row r="681" spans="1:9" x14ac:dyDescent="0.3">
      <c r="A681" t="s">
        <v>9</v>
      </c>
      <c r="B681" t="s">
        <v>806</v>
      </c>
      <c r="C681">
        <v>2</v>
      </c>
      <c r="D681">
        <v>8.6E-3</v>
      </c>
      <c r="E681">
        <v>6.8801503383380469</v>
      </c>
      <c r="F681">
        <v>792.92626710828074</v>
      </c>
      <c r="G681">
        <v>0.42399999999999999</v>
      </c>
      <c r="H681">
        <v>1.37E-2</v>
      </c>
      <c r="I681">
        <v>136.19980000000001</v>
      </c>
    </row>
    <row r="682" spans="1:9" x14ac:dyDescent="0.3">
      <c r="A682" t="s">
        <v>9</v>
      </c>
      <c r="B682" t="s">
        <v>807</v>
      </c>
      <c r="C682">
        <v>2</v>
      </c>
      <c r="D682">
        <v>1.18E-2</v>
      </c>
      <c r="E682">
        <v>7.0693863756409741</v>
      </c>
      <c r="F682">
        <v>810.88476704832851</v>
      </c>
      <c r="G682">
        <v>0.42399999999999999</v>
      </c>
      <c r="H682">
        <v>1.67E-2</v>
      </c>
      <c r="I682">
        <v>136.4008</v>
      </c>
    </row>
    <row r="683" spans="1:9" x14ac:dyDescent="0.3">
      <c r="A683" t="s">
        <v>9</v>
      </c>
      <c r="B683" t="s">
        <v>808</v>
      </c>
      <c r="C683">
        <v>2</v>
      </c>
      <c r="D683">
        <v>1.44E-2</v>
      </c>
      <c r="E683">
        <v>7.217890443285631</v>
      </c>
      <c r="F683">
        <v>824.97780306780646</v>
      </c>
      <c r="G683">
        <v>0.42399999999999999</v>
      </c>
      <c r="H683">
        <v>1.9E-2</v>
      </c>
      <c r="I683">
        <v>136.5994</v>
      </c>
    </row>
    <row r="684" spans="1:9" x14ac:dyDescent="0.3">
      <c r="A684" t="s">
        <v>9</v>
      </c>
      <c r="B684" t="s">
        <v>809</v>
      </c>
      <c r="C684">
        <v>2</v>
      </c>
      <c r="D684">
        <v>1.6400000000000001E-2</v>
      </c>
      <c r="E684">
        <v>7.3148733700862527</v>
      </c>
      <c r="F684">
        <v>834.18148282118545</v>
      </c>
      <c r="G684">
        <v>0.42399999999999999</v>
      </c>
      <c r="H684">
        <v>2.0500000000000001E-2</v>
      </c>
      <c r="I684">
        <v>136.80199999999999</v>
      </c>
    </row>
    <row r="685" spans="1:9" x14ac:dyDescent="0.3">
      <c r="A685" t="s">
        <v>9</v>
      </c>
      <c r="B685" t="s">
        <v>810</v>
      </c>
      <c r="C685">
        <v>2</v>
      </c>
      <c r="D685">
        <v>1.7999999999999999E-2</v>
      </c>
      <c r="E685">
        <v>7.3473012987852826</v>
      </c>
      <c r="F685">
        <v>837.25889325472349</v>
      </c>
      <c r="G685">
        <v>0.42399999999999999</v>
      </c>
      <c r="H685">
        <v>2.1000000000000001E-2</v>
      </c>
      <c r="I685">
        <v>137.00129999999999</v>
      </c>
    </row>
    <row r="686" spans="1:9" x14ac:dyDescent="0.3">
      <c r="A686" t="s">
        <v>9</v>
      </c>
      <c r="B686" t="s">
        <v>811</v>
      </c>
      <c r="C686">
        <v>2</v>
      </c>
      <c r="D686">
        <v>1.83E-2</v>
      </c>
      <c r="E686">
        <v>7.3143572058215511</v>
      </c>
      <c r="F686">
        <v>729.69809158256862</v>
      </c>
      <c r="G686">
        <v>0.42399999999999999</v>
      </c>
      <c r="H686">
        <v>2.0500000000000001E-2</v>
      </c>
      <c r="I686">
        <v>137.1996</v>
      </c>
    </row>
    <row r="687" spans="1:9" x14ac:dyDescent="0.3">
      <c r="A687" t="s">
        <v>9</v>
      </c>
      <c r="B687" t="s">
        <v>812</v>
      </c>
      <c r="C687">
        <v>2</v>
      </c>
      <c r="D687">
        <v>1.83E-2</v>
      </c>
      <c r="E687">
        <v>7.2175445767359108</v>
      </c>
      <c r="F687">
        <v>720.67515455178693</v>
      </c>
      <c r="G687">
        <v>0.42399999999999999</v>
      </c>
      <c r="H687">
        <v>1.9E-2</v>
      </c>
      <c r="I687">
        <v>137.40110000000001</v>
      </c>
    </row>
    <row r="688" spans="1:9" x14ac:dyDescent="0.3">
      <c r="A688" t="s">
        <v>9</v>
      </c>
      <c r="B688" t="s">
        <v>813</v>
      </c>
      <c r="C688">
        <v>2</v>
      </c>
      <c r="D688">
        <v>1.7899999999999999E-2</v>
      </c>
      <c r="E688">
        <v>7.0675171554836442</v>
      </c>
      <c r="F688">
        <v>706.6925988910757</v>
      </c>
      <c r="G688">
        <v>0.42399999999999999</v>
      </c>
      <c r="H688">
        <v>1.67E-2</v>
      </c>
      <c r="I688">
        <v>137.60140000000001</v>
      </c>
    </row>
    <row r="689" spans="1:9" x14ac:dyDescent="0.3">
      <c r="A689" t="s">
        <v>9</v>
      </c>
      <c r="B689" t="s">
        <v>814</v>
      </c>
      <c r="C689">
        <v>2</v>
      </c>
      <c r="D689">
        <v>1.7399999999999999E-2</v>
      </c>
      <c r="E689">
        <v>6.8807978751257357</v>
      </c>
      <c r="F689">
        <v>689.29036196171853</v>
      </c>
      <c r="G689">
        <v>0.42399999999999999</v>
      </c>
      <c r="H689">
        <v>1.38E-2</v>
      </c>
      <c r="I689">
        <v>137.79949999999999</v>
      </c>
    </row>
    <row r="690" spans="1:9" x14ac:dyDescent="0.3">
      <c r="A690" t="s">
        <v>9</v>
      </c>
      <c r="B690" t="s">
        <v>815</v>
      </c>
      <c r="C690">
        <v>2</v>
      </c>
      <c r="D690">
        <v>1.6500000000000001E-2</v>
      </c>
      <c r="E690">
        <v>6.6706902309684697</v>
      </c>
      <c r="F690">
        <v>669.70832952626142</v>
      </c>
      <c r="G690">
        <v>0.42399999999999999</v>
      </c>
      <c r="H690">
        <v>1.0500000000000001E-2</v>
      </c>
      <c r="I690">
        <v>138.0008</v>
      </c>
    </row>
    <row r="691" spans="1:9" x14ac:dyDescent="0.3">
      <c r="A691" t="s">
        <v>9</v>
      </c>
      <c r="B691" t="s">
        <v>816</v>
      </c>
      <c r="C691">
        <v>2</v>
      </c>
      <c r="D691">
        <v>1.4E-2</v>
      </c>
      <c r="E691">
        <v>6.462997570597981</v>
      </c>
      <c r="F691">
        <v>650.3513735797319</v>
      </c>
      <c r="G691">
        <v>0.42399999999999999</v>
      </c>
      <c r="H691">
        <v>7.3000000000000001E-3</v>
      </c>
      <c r="I691">
        <v>138.19970000000001</v>
      </c>
    </row>
    <row r="692" spans="1:9" x14ac:dyDescent="0.3">
      <c r="A692" t="s">
        <v>9</v>
      </c>
      <c r="B692" t="s">
        <v>817</v>
      </c>
      <c r="C692">
        <v>2</v>
      </c>
      <c r="D692">
        <v>1.04E-2</v>
      </c>
      <c r="E692">
        <v>6.2745538231404803</v>
      </c>
      <c r="F692">
        <v>632.78841631669275</v>
      </c>
      <c r="G692">
        <v>0.42399999999999999</v>
      </c>
      <c r="H692">
        <v>4.3E-3</v>
      </c>
      <c r="I692">
        <v>138.3997</v>
      </c>
    </row>
    <row r="693" spans="1:9" x14ac:dyDescent="0.3">
      <c r="A693" t="s">
        <v>9</v>
      </c>
      <c r="B693" t="s">
        <v>818</v>
      </c>
      <c r="C693">
        <v>2</v>
      </c>
      <c r="D693">
        <v>6.1000000000000004E-3</v>
      </c>
      <c r="E693">
        <v>6.124203120059267</v>
      </c>
      <c r="F693">
        <v>618.77573078952366</v>
      </c>
      <c r="G693">
        <v>0.42399999999999999</v>
      </c>
      <c r="H693">
        <v>2E-3</v>
      </c>
      <c r="I693">
        <v>138.601</v>
      </c>
    </row>
    <row r="694" spans="1:9" x14ac:dyDescent="0.3">
      <c r="A694" t="s">
        <v>9</v>
      </c>
      <c r="B694" t="s">
        <v>819</v>
      </c>
      <c r="C694">
        <v>2</v>
      </c>
      <c r="D694">
        <v>2.3999999999999998E-3</v>
      </c>
      <c r="E694">
        <v>6.0285405803729466</v>
      </c>
      <c r="F694">
        <v>609.85998209075876</v>
      </c>
      <c r="G694">
        <v>0.42399999999999999</v>
      </c>
      <c r="H694">
        <v>5.0000000000000001E-4</v>
      </c>
      <c r="I694">
        <v>138.80080000000001</v>
      </c>
    </row>
    <row r="695" spans="1:9" x14ac:dyDescent="0.3">
      <c r="A695" t="s">
        <v>9</v>
      </c>
      <c r="B695" t="s">
        <v>820</v>
      </c>
      <c r="C695">
        <v>2</v>
      </c>
      <c r="D695">
        <v>8.9999999999999998E-4</v>
      </c>
      <c r="E695">
        <v>5.9957335643713243</v>
      </c>
      <c r="F695">
        <v>606.8023681994074</v>
      </c>
      <c r="G695">
        <v>0.42399999999999999</v>
      </c>
      <c r="H695">
        <v>0</v>
      </c>
      <c r="I695">
        <v>139.00030000000001</v>
      </c>
    </row>
    <row r="696" spans="1:9" x14ac:dyDescent="0.3">
      <c r="A696" t="s">
        <v>9</v>
      </c>
      <c r="B696" t="s">
        <v>821</v>
      </c>
      <c r="C696">
        <v>2</v>
      </c>
      <c r="D696">
        <v>-2.9999999999999997E-4</v>
      </c>
      <c r="E696">
        <v>6.0287954673957902</v>
      </c>
      <c r="F696">
        <v>712.13268985586058</v>
      </c>
      <c r="G696">
        <v>0.42399999999999999</v>
      </c>
      <c r="H696">
        <v>5.0000000000000001E-4</v>
      </c>
      <c r="I696">
        <v>139.19999999999999</v>
      </c>
    </row>
    <row r="697" spans="1:9" x14ac:dyDescent="0.3">
      <c r="A697" t="s">
        <v>9</v>
      </c>
      <c r="B697" t="s">
        <v>822</v>
      </c>
      <c r="C697">
        <v>2</v>
      </c>
      <c r="D697">
        <v>-2.0000000000000001E-4</v>
      </c>
      <c r="E697">
        <v>6.1261217671010177</v>
      </c>
      <c r="F697">
        <v>721.36895569788658</v>
      </c>
      <c r="G697">
        <v>0.42399999999999999</v>
      </c>
      <c r="H697">
        <v>2E-3</v>
      </c>
      <c r="I697">
        <v>139.40209999999999</v>
      </c>
    </row>
    <row r="698" spans="1:9" x14ac:dyDescent="0.3">
      <c r="A698" t="s">
        <v>9</v>
      </c>
      <c r="B698" t="s">
        <v>823</v>
      </c>
      <c r="C698">
        <v>2</v>
      </c>
      <c r="D698">
        <v>5.0000000000000001E-4</v>
      </c>
      <c r="E698">
        <v>6.2752146999158436</v>
      </c>
      <c r="F698">
        <v>735.51787502201364</v>
      </c>
      <c r="G698">
        <v>0.42399999999999999</v>
      </c>
      <c r="H698">
        <v>4.3E-3</v>
      </c>
      <c r="I698">
        <v>139.6011</v>
      </c>
    </row>
    <row r="699" spans="1:9" x14ac:dyDescent="0.3">
      <c r="A699" t="s">
        <v>9</v>
      </c>
      <c r="B699" t="s">
        <v>824</v>
      </c>
      <c r="C699">
        <v>2</v>
      </c>
      <c r="D699">
        <v>2.2000000000000001E-3</v>
      </c>
      <c r="E699">
        <v>6.4619988961408223</v>
      </c>
      <c r="F699">
        <v>753.24369524376402</v>
      </c>
      <c r="G699">
        <v>0.42399999999999999</v>
      </c>
      <c r="H699">
        <v>7.1999999999999998E-3</v>
      </c>
      <c r="I699">
        <v>139.79929999999999</v>
      </c>
    </row>
    <row r="700" spans="1:9" x14ac:dyDescent="0.3">
      <c r="A700" t="s">
        <v>9</v>
      </c>
      <c r="B700" t="s">
        <v>825</v>
      </c>
      <c r="C700">
        <v>2</v>
      </c>
      <c r="D700">
        <v>5.4999999999999997E-3</v>
      </c>
      <c r="E700">
        <v>6.6718259545391154</v>
      </c>
      <c r="F700">
        <v>773.15628308576197</v>
      </c>
      <c r="G700">
        <v>0.42399999999999999</v>
      </c>
      <c r="H700">
        <v>1.0500000000000001E-2</v>
      </c>
      <c r="I700">
        <v>140.00030000000001</v>
      </c>
    </row>
    <row r="701" spans="1:9" x14ac:dyDescent="0.3">
      <c r="A701" t="s">
        <v>9</v>
      </c>
      <c r="B701" t="s">
        <v>826</v>
      </c>
      <c r="C701">
        <v>2</v>
      </c>
      <c r="D701">
        <v>8.6999999999999994E-3</v>
      </c>
      <c r="E701">
        <v>6.8810444013417147</v>
      </c>
      <c r="F701">
        <v>793.01111368732882</v>
      </c>
      <c r="G701">
        <v>0.42399999999999999</v>
      </c>
      <c r="H701">
        <v>1.38E-2</v>
      </c>
      <c r="I701">
        <v>140.20070000000001</v>
      </c>
    </row>
    <row r="702" spans="1:9" x14ac:dyDescent="0.3">
      <c r="A702" t="s">
        <v>9</v>
      </c>
      <c r="B702" t="s">
        <v>827</v>
      </c>
      <c r="C702">
        <v>2</v>
      </c>
      <c r="D702">
        <v>1.18E-2</v>
      </c>
      <c r="E702">
        <v>7.0679696608406024</v>
      </c>
      <c r="F702">
        <v>810.75032081377321</v>
      </c>
      <c r="G702">
        <v>0.42399999999999999</v>
      </c>
      <c r="H702">
        <v>1.67E-2</v>
      </c>
      <c r="I702">
        <v>140.3991</v>
      </c>
    </row>
    <row r="703" spans="1:9" x14ac:dyDescent="0.3">
      <c r="A703" t="s">
        <v>9</v>
      </c>
      <c r="B703" t="s">
        <v>828</v>
      </c>
      <c r="C703">
        <v>2</v>
      </c>
      <c r="D703">
        <v>1.44E-2</v>
      </c>
      <c r="E703">
        <v>7.2188911450965394</v>
      </c>
      <c r="F703">
        <v>825.07276966966151</v>
      </c>
      <c r="G703">
        <v>0.42399999999999999</v>
      </c>
      <c r="H703">
        <v>1.9E-2</v>
      </c>
      <c r="I703">
        <v>140.601</v>
      </c>
    </row>
    <row r="704" spans="1:9" x14ac:dyDescent="0.3">
      <c r="A704" t="s">
        <v>9</v>
      </c>
      <c r="B704" t="s">
        <v>829</v>
      </c>
      <c r="C704">
        <v>2</v>
      </c>
      <c r="D704">
        <v>1.6199999999999999E-2</v>
      </c>
      <c r="E704">
        <v>7.3142238059448124</v>
      </c>
      <c r="F704">
        <v>834.11983918416274</v>
      </c>
      <c r="G704">
        <v>0.42399999999999999</v>
      </c>
      <c r="H704">
        <v>2.0500000000000001E-2</v>
      </c>
      <c r="I704">
        <v>140.80000000000001</v>
      </c>
    </row>
    <row r="705" spans="1:9" x14ac:dyDescent="0.3">
      <c r="A705" t="s">
        <v>9</v>
      </c>
      <c r="B705" t="s">
        <v>830</v>
      </c>
      <c r="C705">
        <v>2</v>
      </c>
      <c r="D705">
        <v>1.78E-2</v>
      </c>
      <c r="E705">
        <v>7.3472887291920346</v>
      </c>
      <c r="F705">
        <v>837.25770040032421</v>
      </c>
      <c r="G705">
        <v>0.42399999999999999</v>
      </c>
      <c r="H705">
        <v>2.1000000000000001E-2</v>
      </c>
      <c r="I705">
        <v>141.00409999999999</v>
      </c>
    </row>
    <row r="706" spans="1:9" x14ac:dyDescent="0.3">
      <c r="A706" t="s">
        <v>9</v>
      </c>
      <c r="B706" t="s">
        <v>831</v>
      </c>
      <c r="C706">
        <v>2</v>
      </c>
      <c r="D706">
        <v>1.8200000000000001E-2</v>
      </c>
      <c r="E706">
        <v>7.3137400793401062</v>
      </c>
      <c r="F706">
        <v>729.64057539449789</v>
      </c>
      <c r="G706">
        <v>0.42399999999999999</v>
      </c>
      <c r="H706">
        <v>2.0500000000000001E-2</v>
      </c>
      <c r="I706">
        <v>141.20150000000001</v>
      </c>
    </row>
    <row r="707" spans="1:9" x14ac:dyDescent="0.3">
      <c r="A707" t="s">
        <v>9</v>
      </c>
      <c r="B707" t="s">
        <v>832</v>
      </c>
      <c r="C707">
        <v>2</v>
      </c>
      <c r="D707">
        <v>1.8200000000000001E-2</v>
      </c>
      <c r="E707">
        <v>7.2179257192408759</v>
      </c>
      <c r="F707">
        <v>720.71067703324968</v>
      </c>
      <c r="G707">
        <v>0.42399999999999999</v>
      </c>
      <c r="H707">
        <v>1.9E-2</v>
      </c>
      <c r="I707">
        <v>141.40049999999999</v>
      </c>
    </row>
    <row r="708" spans="1:9" x14ac:dyDescent="0.3">
      <c r="A708" t="s">
        <v>9</v>
      </c>
      <c r="B708" t="s">
        <v>833</v>
      </c>
      <c r="C708">
        <v>2</v>
      </c>
      <c r="D708">
        <v>1.7999999999999999E-2</v>
      </c>
      <c r="E708">
        <v>7.0681922642823318</v>
      </c>
      <c r="F708">
        <v>706.75551903111329</v>
      </c>
      <c r="G708">
        <v>0.42399999999999999</v>
      </c>
      <c r="H708">
        <v>1.67E-2</v>
      </c>
      <c r="I708">
        <v>141.60059999999999</v>
      </c>
    </row>
    <row r="709" spans="1:9" x14ac:dyDescent="0.3">
      <c r="A709" t="s">
        <v>9</v>
      </c>
      <c r="B709" t="s">
        <v>834</v>
      </c>
      <c r="C709">
        <v>2</v>
      </c>
      <c r="D709">
        <v>1.7500000000000002E-2</v>
      </c>
      <c r="E709">
        <v>6.8788147176876686</v>
      </c>
      <c r="F709">
        <v>689.10553168849071</v>
      </c>
      <c r="G709">
        <v>0.42399999999999999</v>
      </c>
      <c r="H709">
        <v>1.37E-2</v>
      </c>
      <c r="I709">
        <v>141.8015</v>
      </c>
    </row>
    <row r="710" spans="1:9" x14ac:dyDescent="0.3">
      <c r="A710" t="s">
        <v>9</v>
      </c>
      <c r="B710" t="s">
        <v>835</v>
      </c>
      <c r="C710">
        <v>2</v>
      </c>
      <c r="D710">
        <v>1.6199999999999999E-2</v>
      </c>
      <c r="E710">
        <v>6.6709979832676911</v>
      </c>
      <c r="F710">
        <v>669.73701204054885</v>
      </c>
      <c r="G710">
        <v>0.42399999999999999</v>
      </c>
      <c r="H710">
        <v>1.0500000000000001E-2</v>
      </c>
      <c r="I710">
        <v>142.00049999999999</v>
      </c>
    </row>
    <row r="711" spans="1:9" x14ac:dyDescent="0.3">
      <c r="A711" t="s">
        <v>9</v>
      </c>
      <c r="B711" t="s">
        <v>836</v>
      </c>
      <c r="C711">
        <v>2</v>
      </c>
      <c r="D711">
        <v>1.4E-2</v>
      </c>
      <c r="E711">
        <v>6.4633393824401999</v>
      </c>
      <c r="F711">
        <v>650.38323044342667</v>
      </c>
      <c r="G711">
        <v>0.42399999999999999</v>
      </c>
      <c r="H711">
        <v>7.3000000000000001E-3</v>
      </c>
      <c r="I711">
        <v>142.1994</v>
      </c>
    </row>
    <row r="712" spans="1:9" x14ac:dyDescent="0.3">
      <c r="A712" t="s">
        <v>9</v>
      </c>
      <c r="B712" t="s">
        <v>837</v>
      </c>
      <c r="C712">
        <v>2</v>
      </c>
      <c r="D712">
        <v>1.04E-2</v>
      </c>
      <c r="E712">
        <v>6.2745023283552346</v>
      </c>
      <c r="F712">
        <v>632.78361700270796</v>
      </c>
      <c r="G712">
        <v>0.42399999999999999</v>
      </c>
      <c r="H712">
        <v>4.3E-3</v>
      </c>
      <c r="I712">
        <v>142.3998</v>
      </c>
    </row>
    <row r="713" spans="1:9" x14ac:dyDescent="0.3">
      <c r="A713" t="s">
        <v>9</v>
      </c>
      <c r="B713" t="s">
        <v>838</v>
      </c>
      <c r="C713">
        <v>2</v>
      </c>
      <c r="D713">
        <v>5.7999999999999996E-3</v>
      </c>
      <c r="E713">
        <v>6.1211279487973993</v>
      </c>
      <c r="F713">
        <v>618.48912482791764</v>
      </c>
      <c r="G713">
        <v>0.42399999999999999</v>
      </c>
      <c r="H713">
        <v>1.9E-3</v>
      </c>
      <c r="I713">
        <v>142.60589999999999</v>
      </c>
    </row>
    <row r="714" spans="1:9" x14ac:dyDescent="0.3">
      <c r="A714" t="s">
        <v>9</v>
      </c>
      <c r="B714" t="s">
        <v>839</v>
      </c>
      <c r="C714">
        <v>2</v>
      </c>
      <c r="D714">
        <v>2.5999999999999999E-3</v>
      </c>
      <c r="E714">
        <v>6.0287211932638103</v>
      </c>
      <c r="F714">
        <v>609.87681521218713</v>
      </c>
      <c r="G714">
        <v>0.42399999999999999</v>
      </c>
      <c r="H714">
        <v>5.0000000000000001E-4</v>
      </c>
      <c r="I714">
        <v>142.80029999999999</v>
      </c>
    </row>
    <row r="715" spans="1:9" x14ac:dyDescent="0.3">
      <c r="A715" t="s">
        <v>9</v>
      </c>
      <c r="B715" t="s">
        <v>840</v>
      </c>
      <c r="C715">
        <v>2</v>
      </c>
      <c r="D715">
        <v>5.9999999999999995E-4</v>
      </c>
      <c r="E715">
        <v>5.9957338060507048</v>
      </c>
      <c r="F715">
        <v>606.80239072392567</v>
      </c>
      <c r="G715">
        <v>0.42399999999999999</v>
      </c>
      <c r="H715">
        <v>0</v>
      </c>
      <c r="I715">
        <v>142.99940000000001</v>
      </c>
    </row>
    <row r="716" spans="1:9" x14ac:dyDescent="0.3">
      <c r="A716" t="s">
        <v>9</v>
      </c>
      <c r="B716" t="s">
        <v>841</v>
      </c>
      <c r="C716">
        <v>2</v>
      </c>
      <c r="D716">
        <v>-2.0000000000000001E-4</v>
      </c>
      <c r="E716">
        <v>6.0285193904715539</v>
      </c>
      <c r="F716">
        <v>712.10649015575052</v>
      </c>
      <c r="G716">
        <v>0.42399999999999999</v>
      </c>
      <c r="H716">
        <v>5.0000000000000001E-4</v>
      </c>
      <c r="I716">
        <v>143.19909999999999</v>
      </c>
    </row>
    <row r="717" spans="1:9" x14ac:dyDescent="0.3">
      <c r="A717" t="s">
        <v>9</v>
      </c>
      <c r="B717" t="s">
        <v>842</v>
      </c>
      <c r="C717">
        <v>2</v>
      </c>
      <c r="D717">
        <v>0</v>
      </c>
      <c r="E717">
        <v>6.1256543404204606</v>
      </c>
      <c r="F717">
        <v>721.32459690590179</v>
      </c>
      <c r="G717">
        <v>0.42399999999999999</v>
      </c>
      <c r="H717">
        <v>2E-3</v>
      </c>
      <c r="I717">
        <v>143.4014</v>
      </c>
    </row>
    <row r="718" spans="1:9" x14ac:dyDescent="0.3">
      <c r="A718" t="s">
        <v>9</v>
      </c>
      <c r="B718" t="s">
        <v>843</v>
      </c>
      <c r="C718">
        <v>2</v>
      </c>
      <c r="D718">
        <v>8.9999999999999998E-4</v>
      </c>
      <c r="E718">
        <v>6.2743395723962001</v>
      </c>
      <c r="F718">
        <v>735.43482542039942</v>
      </c>
      <c r="G718">
        <v>0.42399999999999999</v>
      </c>
      <c r="H718">
        <v>4.3E-3</v>
      </c>
      <c r="I718">
        <v>143.6</v>
      </c>
    </row>
    <row r="719" spans="1:9" x14ac:dyDescent="0.3">
      <c r="A719" t="s">
        <v>9</v>
      </c>
      <c r="B719" t="s">
        <v>844</v>
      </c>
      <c r="C719">
        <v>2</v>
      </c>
      <c r="D719">
        <v>2.5999999999999999E-3</v>
      </c>
      <c r="E719">
        <v>6.4619713241298236</v>
      </c>
      <c r="F719">
        <v>753.24107865992039</v>
      </c>
      <c r="G719">
        <v>0.42399999999999999</v>
      </c>
      <c r="H719">
        <v>7.1999999999999998E-3</v>
      </c>
      <c r="I719">
        <v>143.79929999999999</v>
      </c>
    </row>
    <row r="720" spans="1:9" x14ac:dyDescent="0.3">
      <c r="A720" t="s">
        <v>9</v>
      </c>
      <c r="B720" t="s">
        <v>845</v>
      </c>
      <c r="C720">
        <v>2</v>
      </c>
      <c r="D720">
        <v>5.5999999999999999E-3</v>
      </c>
      <c r="E720">
        <v>6.6711163807266809</v>
      </c>
      <c r="F720">
        <v>773.08894453096207</v>
      </c>
      <c r="G720">
        <v>0.42399999999999999</v>
      </c>
      <c r="H720">
        <v>1.0500000000000001E-2</v>
      </c>
      <c r="I720">
        <v>143.99959999999999</v>
      </c>
    </row>
    <row r="721" spans="1:9" x14ac:dyDescent="0.3">
      <c r="A721" t="s">
        <v>9</v>
      </c>
      <c r="B721" t="s">
        <v>846</v>
      </c>
      <c r="C721">
        <v>2</v>
      </c>
      <c r="D721">
        <v>8.6E-3</v>
      </c>
      <c r="E721">
        <v>6.8808108501897349</v>
      </c>
      <c r="F721">
        <v>792.9889496830059</v>
      </c>
      <c r="G721">
        <v>0.42399999999999999</v>
      </c>
      <c r="H721">
        <v>1.38E-2</v>
      </c>
      <c r="I721">
        <v>144.20050000000001</v>
      </c>
    </row>
    <row r="722" spans="1:9" x14ac:dyDescent="0.3">
      <c r="A722" t="s">
        <v>9</v>
      </c>
      <c r="B722" t="s">
        <v>847</v>
      </c>
      <c r="C722">
        <v>2</v>
      </c>
      <c r="D722">
        <v>1.18E-2</v>
      </c>
      <c r="E722">
        <v>7.0680880582995922</v>
      </c>
      <c r="F722">
        <v>810.76155673263133</v>
      </c>
      <c r="G722">
        <v>0.42399999999999999</v>
      </c>
      <c r="H722">
        <v>1.67E-2</v>
      </c>
      <c r="I722">
        <v>144.39920000000001</v>
      </c>
    </row>
    <row r="723" spans="1:9" x14ac:dyDescent="0.3">
      <c r="A723" t="s">
        <v>9</v>
      </c>
      <c r="B723" t="s">
        <v>848</v>
      </c>
      <c r="C723">
        <v>2</v>
      </c>
      <c r="D723">
        <v>1.4200000000000001E-2</v>
      </c>
      <c r="E723">
        <v>7.2191396986662646</v>
      </c>
      <c r="F723">
        <v>825.09635740342856</v>
      </c>
      <c r="G723">
        <v>0.42399999999999999</v>
      </c>
      <c r="H723">
        <v>1.9E-2</v>
      </c>
      <c r="I723">
        <v>144.60140000000001</v>
      </c>
    </row>
    <row r="724" spans="1:9" x14ac:dyDescent="0.3">
      <c r="A724" t="s">
        <v>9</v>
      </c>
      <c r="B724" t="s">
        <v>849</v>
      </c>
      <c r="C724">
        <v>2</v>
      </c>
      <c r="D724">
        <v>1.6199999999999999E-2</v>
      </c>
      <c r="E724">
        <v>7.3140328292215786</v>
      </c>
      <c r="F724">
        <v>834.10171549312781</v>
      </c>
      <c r="G724">
        <v>0.42399999999999999</v>
      </c>
      <c r="H724">
        <v>2.0500000000000001E-2</v>
      </c>
      <c r="I724">
        <v>144.79939999999999</v>
      </c>
    </row>
    <row r="725" spans="1:9" x14ac:dyDescent="0.3">
      <c r="A725" t="s">
        <v>9</v>
      </c>
      <c r="B725" t="s">
        <v>850</v>
      </c>
      <c r="C725">
        <v>2</v>
      </c>
      <c r="D725">
        <v>1.7899999999999999E-2</v>
      </c>
      <c r="E725">
        <v>7.3473012987852826</v>
      </c>
      <c r="F725">
        <v>837.25889325472349</v>
      </c>
      <c r="G725">
        <v>0.42399999999999999</v>
      </c>
      <c r="H725">
        <v>2.1000000000000001E-2</v>
      </c>
      <c r="I725">
        <v>145.00139999999999</v>
      </c>
    </row>
    <row r="726" spans="1:9" x14ac:dyDescent="0.3">
      <c r="A726" t="s">
        <v>9</v>
      </c>
      <c r="B726" t="s">
        <v>851</v>
      </c>
      <c r="C726">
        <v>2</v>
      </c>
      <c r="D726">
        <v>1.8499999999999999E-2</v>
      </c>
      <c r="E726">
        <v>7.3138775339243436</v>
      </c>
      <c r="F726">
        <v>729.65338616174881</v>
      </c>
      <c r="G726">
        <v>0.42399999999999999</v>
      </c>
      <c r="H726">
        <v>2.0500000000000001E-2</v>
      </c>
      <c r="I726">
        <v>145.2011</v>
      </c>
    </row>
    <row r="727" spans="1:9" x14ac:dyDescent="0.3">
      <c r="A727" t="s">
        <v>9</v>
      </c>
      <c r="B727" t="s">
        <v>852</v>
      </c>
      <c r="C727">
        <v>2</v>
      </c>
      <c r="D727">
        <v>1.8599999999999998E-2</v>
      </c>
      <c r="E727">
        <v>7.2187731531082999</v>
      </c>
      <c r="F727">
        <v>720.78965786969354</v>
      </c>
      <c r="G727">
        <v>0.42399999999999999</v>
      </c>
      <c r="H727">
        <v>1.9E-2</v>
      </c>
      <c r="I727">
        <v>145.3991</v>
      </c>
    </row>
    <row r="728" spans="1:9" x14ac:dyDescent="0.3">
      <c r="A728" t="s">
        <v>9</v>
      </c>
      <c r="B728" t="s">
        <v>853</v>
      </c>
      <c r="C728">
        <v>2</v>
      </c>
      <c r="D728">
        <v>1.83E-2</v>
      </c>
      <c r="E728">
        <v>7.0675982496336367</v>
      </c>
      <c r="F728">
        <v>706.70015686585498</v>
      </c>
      <c r="G728">
        <v>0.42399999999999999</v>
      </c>
      <c r="H728">
        <v>1.67E-2</v>
      </c>
      <c r="I728">
        <v>145.60130000000001</v>
      </c>
    </row>
    <row r="729" spans="1:9" x14ac:dyDescent="0.3">
      <c r="A729" t="s">
        <v>9</v>
      </c>
      <c r="B729" t="s">
        <v>854</v>
      </c>
      <c r="C729">
        <v>2</v>
      </c>
      <c r="D729">
        <v>1.78E-2</v>
      </c>
      <c r="E729">
        <v>6.8808436933204824</v>
      </c>
      <c r="F729">
        <v>689.29463221746892</v>
      </c>
      <c r="G729">
        <v>0.42399999999999999</v>
      </c>
      <c r="H729">
        <v>1.38E-2</v>
      </c>
      <c r="I729">
        <v>145.79949999999999</v>
      </c>
    </row>
    <row r="730" spans="1:9" x14ac:dyDescent="0.3">
      <c r="A730" t="s">
        <v>9</v>
      </c>
      <c r="B730" t="s">
        <v>855</v>
      </c>
      <c r="C730">
        <v>2</v>
      </c>
      <c r="D730">
        <v>1.6799999999999999E-2</v>
      </c>
      <c r="E730">
        <v>6.6719033994523604</v>
      </c>
      <c r="F730">
        <v>669.82139682895991</v>
      </c>
      <c r="G730">
        <v>0.42399999999999999</v>
      </c>
      <c r="H730">
        <v>1.0500000000000001E-2</v>
      </c>
      <c r="I730">
        <v>145.99959999999999</v>
      </c>
    </row>
    <row r="731" spans="1:9" x14ac:dyDescent="0.3">
      <c r="A731" t="s">
        <v>9</v>
      </c>
      <c r="B731" t="s">
        <v>856</v>
      </c>
      <c r="C731">
        <v>2</v>
      </c>
      <c r="D731">
        <v>1.43E-2</v>
      </c>
      <c r="E731">
        <v>6.4610237389871612</v>
      </c>
      <c r="F731">
        <v>650.16741247360346</v>
      </c>
      <c r="G731">
        <v>0.42399999999999999</v>
      </c>
      <c r="H731">
        <v>7.1999999999999998E-3</v>
      </c>
      <c r="I731">
        <v>146.20160000000001</v>
      </c>
    </row>
    <row r="732" spans="1:9" x14ac:dyDescent="0.3">
      <c r="A732" t="s">
        <v>9</v>
      </c>
      <c r="B732" t="s">
        <v>857</v>
      </c>
      <c r="C732">
        <v>2</v>
      </c>
      <c r="D732">
        <v>1.0200000000000001E-2</v>
      </c>
      <c r="E732">
        <v>6.2738837421790921</v>
      </c>
      <c r="F732">
        <v>632.72596477109141</v>
      </c>
      <c r="G732">
        <v>0.42399999999999999</v>
      </c>
      <c r="H732">
        <v>4.3E-3</v>
      </c>
      <c r="I732">
        <v>146.40049999999999</v>
      </c>
    </row>
    <row r="733" spans="1:9" x14ac:dyDescent="0.3">
      <c r="A733" t="s">
        <v>9</v>
      </c>
      <c r="B733" t="s">
        <v>858</v>
      </c>
      <c r="C733">
        <v>2</v>
      </c>
      <c r="D733">
        <v>6.3E-3</v>
      </c>
      <c r="E733">
        <v>6.1246490162430014</v>
      </c>
      <c r="F733">
        <v>618.81728831384771</v>
      </c>
      <c r="G733">
        <v>0.42399999999999999</v>
      </c>
      <c r="H733">
        <v>2E-3</v>
      </c>
      <c r="I733">
        <v>146.6002</v>
      </c>
    </row>
    <row r="734" spans="1:9" x14ac:dyDescent="0.3">
      <c r="A734" t="s">
        <v>9</v>
      </c>
      <c r="B734" t="s">
        <v>859</v>
      </c>
      <c r="C734">
        <v>2</v>
      </c>
      <c r="D734">
        <v>2.3E-3</v>
      </c>
      <c r="E734">
        <v>6.0287716257156907</v>
      </c>
      <c r="F734">
        <v>609.88151551670239</v>
      </c>
      <c r="G734">
        <v>0.42399999999999999</v>
      </c>
      <c r="H734">
        <v>5.0000000000000001E-4</v>
      </c>
      <c r="I734">
        <v>146.80009999999999</v>
      </c>
    </row>
    <row r="735" spans="1:9" x14ac:dyDescent="0.3">
      <c r="A735" t="s">
        <v>9</v>
      </c>
      <c r="B735" t="s">
        <v>860</v>
      </c>
      <c r="C735">
        <v>2</v>
      </c>
      <c r="D735">
        <v>5.9999999999999995E-4</v>
      </c>
      <c r="E735">
        <v>5.9957351755672503</v>
      </c>
      <c r="F735">
        <v>606.80251836286777</v>
      </c>
      <c r="G735">
        <v>0.42399999999999999</v>
      </c>
      <c r="H735">
        <v>0</v>
      </c>
      <c r="I735">
        <v>147.00139999999999</v>
      </c>
    </row>
    <row r="736" spans="1:9" x14ac:dyDescent="0.3">
      <c r="A736" t="s">
        <v>9</v>
      </c>
      <c r="B736" t="s">
        <v>861</v>
      </c>
      <c r="C736">
        <v>2</v>
      </c>
      <c r="D736">
        <v>2.0000000000000001E-4</v>
      </c>
      <c r="E736">
        <v>6.0285485113808166</v>
      </c>
      <c r="F736">
        <v>712.10925373003965</v>
      </c>
      <c r="G736">
        <v>0.42399999999999999</v>
      </c>
      <c r="H736">
        <v>5.0000000000000001E-4</v>
      </c>
      <c r="I736">
        <v>147.19919999999999</v>
      </c>
    </row>
    <row r="737" spans="1:9" x14ac:dyDescent="0.3">
      <c r="A737" t="s">
        <v>9</v>
      </c>
      <c r="B737" t="s">
        <v>862</v>
      </c>
      <c r="C737">
        <v>2</v>
      </c>
      <c r="D737">
        <v>2.9999999999999997E-4</v>
      </c>
      <c r="E737">
        <v>6.1242907828354101</v>
      </c>
      <c r="F737">
        <v>721.19519529108049</v>
      </c>
      <c r="G737">
        <v>0.42399999999999999</v>
      </c>
      <c r="H737">
        <v>2E-3</v>
      </c>
      <c r="I737">
        <v>147.39920000000001</v>
      </c>
    </row>
    <row r="738" spans="1:9" x14ac:dyDescent="0.3">
      <c r="A738" t="s">
        <v>9</v>
      </c>
      <c r="B738" t="s">
        <v>863</v>
      </c>
      <c r="C738">
        <v>2</v>
      </c>
      <c r="D738">
        <v>1E-3</v>
      </c>
      <c r="E738">
        <v>6.2756853703624014</v>
      </c>
      <c r="F738">
        <v>735.56254164739198</v>
      </c>
      <c r="G738">
        <v>0.42399999999999999</v>
      </c>
      <c r="H738">
        <v>4.3E-3</v>
      </c>
      <c r="I738">
        <v>147.60159999999999</v>
      </c>
    </row>
    <row r="739" spans="1:9" x14ac:dyDescent="0.3">
      <c r="A739" t="s">
        <v>9</v>
      </c>
      <c r="B739" t="s">
        <v>864</v>
      </c>
      <c r="C739">
        <v>2</v>
      </c>
      <c r="D739">
        <v>2.8999999999999998E-3</v>
      </c>
      <c r="E739">
        <v>6.4643271091871091</v>
      </c>
      <c r="F739">
        <v>753.46464266185671</v>
      </c>
      <c r="G739">
        <v>0.42399999999999999</v>
      </c>
      <c r="H739">
        <v>7.3000000000000001E-3</v>
      </c>
      <c r="I739">
        <v>147.80160000000001</v>
      </c>
    </row>
    <row r="740" spans="1:9" x14ac:dyDescent="0.3">
      <c r="A740" t="s">
        <v>9</v>
      </c>
      <c r="B740" t="s">
        <v>865</v>
      </c>
      <c r="C740">
        <v>2</v>
      </c>
      <c r="D740">
        <v>5.8999999999999999E-3</v>
      </c>
      <c r="E740">
        <v>6.671427376791903</v>
      </c>
      <c r="F740">
        <v>773.11845805755161</v>
      </c>
      <c r="G740">
        <v>0.42399999999999999</v>
      </c>
      <c r="H740">
        <v>1.0500000000000001E-2</v>
      </c>
      <c r="I740">
        <v>147.9999</v>
      </c>
    </row>
    <row r="741" spans="1:9" x14ac:dyDescent="0.3">
      <c r="A741" t="s">
        <v>9</v>
      </c>
      <c r="B741" t="s">
        <v>866</v>
      </c>
      <c r="C741">
        <v>2</v>
      </c>
      <c r="D741">
        <v>8.8000000000000005E-3</v>
      </c>
      <c r="E741">
        <v>6.8816554457619077</v>
      </c>
      <c r="F741">
        <v>793.06910180280511</v>
      </c>
      <c r="G741">
        <v>0.42399999999999999</v>
      </c>
      <c r="H741">
        <v>1.38E-2</v>
      </c>
      <c r="I741">
        <v>148.2013</v>
      </c>
    </row>
    <row r="742" spans="1:9" x14ac:dyDescent="0.3">
      <c r="A742" t="s">
        <v>9</v>
      </c>
      <c r="B742" t="s">
        <v>867</v>
      </c>
      <c r="C742">
        <v>2</v>
      </c>
      <c r="D742">
        <v>1.18E-2</v>
      </c>
      <c r="E742">
        <v>7.0683897285375652</v>
      </c>
      <c r="F742">
        <v>810.79018523821503</v>
      </c>
      <c r="G742">
        <v>0.42399999999999999</v>
      </c>
      <c r="H742">
        <v>1.67E-2</v>
      </c>
      <c r="I742">
        <v>148.39959999999999</v>
      </c>
    </row>
    <row r="743" spans="1:9" x14ac:dyDescent="0.3">
      <c r="A743" t="s">
        <v>9</v>
      </c>
      <c r="B743" t="s">
        <v>868</v>
      </c>
      <c r="C743">
        <v>2</v>
      </c>
      <c r="D743">
        <v>1.44E-2</v>
      </c>
      <c r="E743">
        <v>7.2188931724502883</v>
      </c>
      <c r="F743">
        <v>825.07296206553235</v>
      </c>
      <c r="G743">
        <v>0.42399999999999999</v>
      </c>
      <c r="H743">
        <v>1.9E-2</v>
      </c>
      <c r="I743">
        <v>148.601</v>
      </c>
    </row>
    <row r="744" spans="1:9" x14ac:dyDescent="0.3">
      <c r="A744" t="s">
        <v>9</v>
      </c>
      <c r="B744" t="s">
        <v>869</v>
      </c>
      <c r="C744">
        <v>2</v>
      </c>
      <c r="D744">
        <v>1.6299999999999999E-2</v>
      </c>
      <c r="E744">
        <v>7.3144792525172884</v>
      </c>
      <c r="F744">
        <v>834.14408106389067</v>
      </c>
      <c r="G744">
        <v>0.42399999999999999</v>
      </c>
      <c r="H744">
        <v>2.0500000000000001E-2</v>
      </c>
      <c r="I744">
        <v>148.80080000000001</v>
      </c>
    </row>
    <row r="745" spans="1:9" x14ac:dyDescent="0.3">
      <c r="A745" t="s">
        <v>9</v>
      </c>
      <c r="B745" t="s">
        <v>870</v>
      </c>
      <c r="C745">
        <v>2</v>
      </c>
      <c r="D745">
        <v>1.7899999999999999E-2</v>
      </c>
      <c r="E745">
        <v>7.3472453438217897</v>
      </c>
      <c r="F745">
        <v>837.25358312868786</v>
      </c>
      <c r="G745">
        <v>0.42399999999999999</v>
      </c>
      <c r="H745">
        <v>2.1000000000000001E-2</v>
      </c>
      <c r="I745">
        <v>149.00829999999999</v>
      </c>
    </row>
    <row r="746" spans="1:9" x14ac:dyDescent="0.3">
      <c r="A746" t="s">
        <v>9</v>
      </c>
      <c r="B746" t="s">
        <v>871</v>
      </c>
      <c r="C746">
        <v>2</v>
      </c>
      <c r="D746">
        <v>1.8599999999999998E-2</v>
      </c>
      <c r="E746">
        <v>7.3141483883853198</v>
      </c>
      <c r="F746">
        <v>729.6786297975118</v>
      </c>
      <c r="G746">
        <v>0.42399999999999999</v>
      </c>
      <c r="H746">
        <v>2.0500000000000001E-2</v>
      </c>
      <c r="I746">
        <v>149.2002</v>
      </c>
    </row>
    <row r="747" spans="1:9" x14ac:dyDescent="0.3">
      <c r="A747" t="s">
        <v>9</v>
      </c>
      <c r="B747" t="s">
        <v>872</v>
      </c>
      <c r="C747">
        <v>2</v>
      </c>
      <c r="D747">
        <v>1.8700000000000001E-2</v>
      </c>
      <c r="E747">
        <v>7.2178876049903797</v>
      </c>
      <c r="F747">
        <v>720.70712478510336</v>
      </c>
      <c r="G747">
        <v>0.42399999999999999</v>
      </c>
      <c r="H747">
        <v>1.9E-2</v>
      </c>
      <c r="I747">
        <v>149.4006</v>
      </c>
    </row>
    <row r="748" spans="1:9" x14ac:dyDescent="0.3">
      <c r="A748" t="s">
        <v>9</v>
      </c>
      <c r="B748" t="s">
        <v>873</v>
      </c>
      <c r="C748">
        <v>2</v>
      </c>
      <c r="D748">
        <v>1.8499999999999999E-2</v>
      </c>
      <c r="E748">
        <v>7.0686569337617904</v>
      </c>
      <c r="F748">
        <v>706.79882622659886</v>
      </c>
      <c r="G748">
        <v>0.42399999999999999</v>
      </c>
      <c r="H748">
        <v>1.67E-2</v>
      </c>
      <c r="I748">
        <v>149.6001</v>
      </c>
    </row>
    <row r="749" spans="1:9" x14ac:dyDescent="0.3">
      <c r="A749" t="s">
        <v>9</v>
      </c>
      <c r="B749" t="s">
        <v>874</v>
      </c>
      <c r="C749">
        <v>2</v>
      </c>
      <c r="D749">
        <v>1.7999999999999999E-2</v>
      </c>
      <c r="E749">
        <v>6.8791350395801389</v>
      </c>
      <c r="F749">
        <v>689.13538568886895</v>
      </c>
      <c r="G749">
        <v>0.42399999999999999</v>
      </c>
      <c r="H749">
        <v>1.37E-2</v>
      </c>
      <c r="I749">
        <v>149.80119999999999</v>
      </c>
    </row>
    <row r="750" spans="1:9" x14ac:dyDescent="0.3">
      <c r="A750" t="s">
        <v>9</v>
      </c>
      <c r="B750" t="s">
        <v>875</v>
      </c>
      <c r="C750">
        <v>2</v>
      </c>
      <c r="D750">
        <v>1.67E-2</v>
      </c>
      <c r="E750">
        <v>6.6726441945125403</v>
      </c>
      <c r="F750">
        <v>669.89043892856876</v>
      </c>
      <c r="G750">
        <v>0.42399999999999999</v>
      </c>
      <c r="H750">
        <v>1.0500000000000001E-2</v>
      </c>
      <c r="I750">
        <v>149.99889999999999</v>
      </c>
    </row>
    <row r="751" spans="1:9" x14ac:dyDescent="0.3">
      <c r="A751" t="s">
        <v>9</v>
      </c>
      <c r="B751" t="s">
        <v>876</v>
      </c>
      <c r="C751">
        <v>2</v>
      </c>
      <c r="D751">
        <v>1.43E-2</v>
      </c>
      <c r="E751">
        <v>6.4621201318950607</v>
      </c>
      <c r="F751">
        <v>650.26959629261967</v>
      </c>
      <c r="G751">
        <v>0.42399999999999999</v>
      </c>
      <c r="H751">
        <v>7.1999999999999998E-3</v>
      </c>
      <c r="I751">
        <v>150.20060000000001</v>
      </c>
    </row>
    <row r="752" spans="1:9" x14ac:dyDescent="0.3">
      <c r="A752" t="s">
        <v>9</v>
      </c>
      <c r="B752" t="s">
        <v>877</v>
      </c>
      <c r="C752">
        <v>2</v>
      </c>
      <c r="D752">
        <v>1.04E-2</v>
      </c>
      <c r="E752">
        <v>6.27465811021737</v>
      </c>
      <c r="F752">
        <v>632.79813587225885</v>
      </c>
      <c r="G752">
        <v>0.42399999999999999</v>
      </c>
      <c r="H752">
        <v>4.3E-3</v>
      </c>
      <c r="I752">
        <v>150.39959999999999</v>
      </c>
    </row>
    <row r="753" spans="1:9" x14ac:dyDescent="0.3">
      <c r="A753" t="s">
        <v>9</v>
      </c>
      <c r="B753" t="s">
        <v>878</v>
      </c>
      <c r="C753">
        <v>2</v>
      </c>
      <c r="D753">
        <v>6.1999999999999998E-3</v>
      </c>
      <c r="E753">
        <v>6.1235053454456576</v>
      </c>
      <c r="F753">
        <v>618.71069819553531</v>
      </c>
      <c r="G753">
        <v>0.42399999999999999</v>
      </c>
      <c r="H753">
        <v>2E-3</v>
      </c>
      <c r="I753">
        <v>150.60210000000001</v>
      </c>
    </row>
    <row r="754" spans="1:9" x14ac:dyDescent="0.3">
      <c r="A754" t="s">
        <v>9</v>
      </c>
      <c r="B754" t="s">
        <v>879</v>
      </c>
      <c r="C754">
        <v>2</v>
      </c>
      <c r="D754">
        <v>2.5000000000000001E-3</v>
      </c>
      <c r="E754">
        <v>6.0291127117652668</v>
      </c>
      <c r="F754">
        <v>609.91330473652283</v>
      </c>
      <c r="G754">
        <v>0.42399999999999999</v>
      </c>
      <c r="H754">
        <v>5.0000000000000001E-4</v>
      </c>
      <c r="I754">
        <v>150.79910000000001</v>
      </c>
    </row>
    <row r="755" spans="1:9" x14ac:dyDescent="0.3">
      <c r="A755" t="s">
        <v>9</v>
      </c>
      <c r="B755" t="s">
        <v>880</v>
      </c>
      <c r="C755">
        <v>2</v>
      </c>
      <c r="D755">
        <v>8.0000000000000004E-4</v>
      </c>
      <c r="E755">
        <v>5.9957346922084076</v>
      </c>
      <c r="F755">
        <v>606.80247331382361</v>
      </c>
      <c r="G755">
        <v>0.42399999999999999</v>
      </c>
      <c r="H755">
        <v>0</v>
      </c>
      <c r="I755">
        <v>151.00120000000001</v>
      </c>
    </row>
    <row r="756" spans="1:9" x14ac:dyDescent="0.3">
      <c r="A756" t="s">
        <v>9</v>
      </c>
      <c r="B756" t="s">
        <v>881</v>
      </c>
      <c r="C756">
        <v>2</v>
      </c>
      <c r="D756">
        <v>5.0000000000000001E-4</v>
      </c>
      <c r="E756">
        <v>6.0288831585548843</v>
      </c>
      <c r="F756">
        <v>712.14101174685857</v>
      </c>
      <c r="G756">
        <v>0.42399999999999999</v>
      </c>
      <c r="H756">
        <v>5.0000000000000001E-4</v>
      </c>
      <c r="I756">
        <v>151.2002</v>
      </c>
    </row>
    <row r="757" spans="1:9" x14ac:dyDescent="0.3">
      <c r="A757" t="s">
        <v>9</v>
      </c>
      <c r="B757" t="s">
        <v>882</v>
      </c>
      <c r="C757">
        <v>2</v>
      </c>
      <c r="D757">
        <v>5.9999999999999995E-4</v>
      </c>
      <c r="E757">
        <v>6.124388622927377</v>
      </c>
      <c r="F757">
        <v>721.20448031580815</v>
      </c>
      <c r="G757">
        <v>0.42399999999999999</v>
      </c>
      <c r="H757">
        <v>2E-3</v>
      </c>
      <c r="I757">
        <v>151.39930000000001</v>
      </c>
    </row>
    <row r="758" spans="1:9" x14ac:dyDescent="0.3">
      <c r="A758" t="s">
        <v>9</v>
      </c>
      <c r="B758" t="s">
        <v>883</v>
      </c>
      <c r="C758">
        <v>2</v>
      </c>
      <c r="D758">
        <v>1.2999999999999999E-3</v>
      </c>
      <c r="E758">
        <v>6.2740587839018502</v>
      </c>
      <c r="F758">
        <v>735.40817859228559</v>
      </c>
      <c r="G758">
        <v>0.42399999999999999</v>
      </c>
      <c r="H758">
        <v>4.3E-3</v>
      </c>
      <c r="I758">
        <v>151.59970000000001</v>
      </c>
    </row>
    <row r="759" spans="1:9" x14ac:dyDescent="0.3">
      <c r="A759" t="s">
        <v>9</v>
      </c>
      <c r="B759" t="s">
        <v>884</v>
      </c>
      <c r="C759">
        <v>2</v>
      </c>
      <c r="D759">
        <v>3.0000000000000001E-3</v>
      </c>
      <c r="E759">
        <v>6.4630040581299806</v>
      </c>
      <c r="F759">
        <v>753.33908511653522</v>
      </c>
      <c r="G759">
        <v>0.42399999999999999</v>
      </c>
      <c r="H759">
        <v>7.3000000000000001E-3</v>
      </c>
      <c r="I759">
        <v>151.80029999999999</v>
      </c>
    </row>
    <row r="760" spans="1:9" x14ac:dyDescent="0.3">
      <c r="A760" t="s">
        <v>9</v>
      </c>
      <c r="B760" t="s">
        <v>885</v>
      </c>
      <c r="C760">
        <v>2</v>
      </c>
      <c r="D760">
        <v>6.1999999999999998E-3</v>
      </c>
      <c r="E760">
        <v>6.6707899767729586</v>
      </c>
      <c r="F760">
        <v>773.05796879575394</v>
      </c>
      <c r="G760">
        <v>0.42399999999999999</v>
      </c>
      <c r="H760">
        <v>1.0500000000000001E-2</v>
      </c>
      <c r="I760">
        <v>151.99930000000001</v>
      </c>
    </row>
    <row r="761" spans="1:9" x14ac:dyDescent="0.3">
      <c r="A761" t="s">
        <v>9</v>
      </c>
      <c r="B761" t="s">
        <v>886</v>
      </c>
      <c r="C761">
        <v>2</v>
      </c>
      <c r="D761">
        <v>8.6E-3</v>
      </c>
      <c r="E761">
        <v>6.8809024865792274</v>
      </c>
      <c r="F761">
        <v>792.99764597636863</v>
      </c>
      <c r="G761">
        <v>0.42399999999999999</v>
      </c>
      <c r="H761">
        <v>1.38E-2</v>
      </c>
      <c r="I761">
        <v>152.20050000000001</v>
      </c>
    </row>
    <row r="762" spans="1:9" x14ac:dyDescent="0.3">
      <c r="A762" t="s">
        <v>9</v>
      </c>
      <c r="B762" t="s">
        <v>887</v>
      </c>
      <c r="C762">
        <v>2</v>
      </c>
      <c r="D762">
        <v>1.15E-2</v>
      </c>
      <c r="E762">
        <v>7.0689253553982656</v>
      </c>
      <c r="F762">
        <v>810.84101622729554</v>
      </c>
      <c r="G762">
        <v>0.42399999999999999</v>
      </c>
      <c r="H762">
        <v>1.67E-2</v>
      </c>
      <c r="I762">
        <v>152.40020000000001</v>
      </c>
    </row>
    <row r="763" spans="1:9" x14ac:dyDescent="0.3">
      <c r="A763" t="s">
        <v>9</v>
      </c>
      <c r="B763" t="s">
        <v>888</v>
      </c>
      <c r="C763">
        <v>2</v>
      </c>
      <c r="D763">
        <v>1.43E-2</v>
      </c>
      <c r="E763">
        <v>7.2183798464808353</v>
      </c>
      <c r="F763">
        <v>825.02424743103131</v>
      </c>
      <c r="G763">
        <v>0.42399999999999999</v>
      </c>
      <c r="H763">
        <v>1.9E-2</v>
      </c>
      <c r="I763">
        <v>152.6002</v>
      </c>
    </row>
    <row r="764" spans="1:9" x14ac:dyDescent="0.3">
      <c r="A764" t="s">
        <v>9</v>
      </c>
      <c r="B764" t="s">
        <v>889</v>
      </c>
      <c r="C764">
        <v>2</v>
      </c>
      <c r="D764">
        <v>1.6299999999999999E-2</v>
      </c>
      <c r="E764">
        <v>7.314085134948324</v>
      </c>
      <c r="F764">
        <v>834.10667930659599</v>
      </c>
      <c r="G764">
        <v>0.42399999999999999</v>
      </c>
      <c r="H764">
        <v>2.0500000000000001E-2</v>
      </c>
      <c r="I764">
        <v>152.7996</v>
      </c>
    </row>
    <row r="765" spans="1:9" x14ac:dyDescent="0.3">
      <c r="A765" t="s">
        <v>9</v>
      </c>
      <c r="B765" t="s">
        <v>890</v>
      </c>
      <c r="C765">
        <v>2</v>
      </c>
      <c r="D765">
        <v>1.7899999999999999E-2</v>
      </c>
      <c r="E765">
        <v>7.3473025151975344</v>
      </c>
      <c r="F765">
        <v>837.25900869224608</v>
      </c>
      <c r="G765">
        <v>0.42399999999999999</v>
      </c>
      <c r="H765">
        <v>2.1000000000000001E-2</v>
      </c>
      <c r="I765">
        <v>152.99979999999999</v>
      </c>
    </row>
    <row r="766" spans="1:9" x14ac:dyDescent="0.3">
      <c r="A766" t="s">
        <v>9</v>
      </c>
      <c r="B766" t="s">
        <v>891</v>
      </c>
      <c r="C766">
        <v>2</v>
      </c>
      <c r="D766">
        <v>1.8599999999999998E-2</v>
      </c>
      <c r="E766">
        <v>7.3138568549160938</v>
      </c>
      <c r="F766">
        <v>729.65145887817994</v>
      </c>
      <c r="G766">
        <v>0.42399999999999999</v>
      </c>
      <c r="H766">
        <v>2.0500000000000001E-2</v>
      </c>
      <c r="I766">
        <v>153.2011</v>
      </c>
    </row>
    <row r="767" spans="1:9" x14ac:dyDescent="0.3">
      <c r="A767" t="s">
        <v>9</v>
      </c>
      <c r="B767" t="s">
        <v>892</v>
      </c>
      <c r="C767">
        <v>2</v>
      </c>
      <c r="D767">
        <v>1.8599999999999998E-2</v>
      </c>
      <c r="E767">
        <v>7.2179715374356217</v>
      </c>
      <c r="F767">
        <v>720.71494728899995</v>
      </c>
      <c r="G767">
        <v>0.42399999999999999</v>
      </c>
      <c r="H767">
        <v>1.9E-2</v>
      </c>
      <c r="I767">
        <v>153.40039999999999</v>
      </c>
    </row>
    <row r="768" spans="1:9" x14ac:dyDescent="0.3">
      <c r="A768" t="s">
        <v>9</v>
      </c>
      <c r="B768" t="s">
        <v>893</v>
      </c>
      <c r="C768">
        <v>2</v>
      </c>
      <c r="D768">
        <v>1.8200000000000001E-2</v>
      </c>
      <c r="E768">
        <v>7.0681379312018366</v>
      </c>
      <c r="F768">
        <v>706.75045518801119</v>
      </c>
      <c r="G768">
        <v>0.42399999999999999</v>
      </c>
      <c r="H768">
        <v>1.67E-2</v>
      </c>
      <c r="I768">
        <v>153.60069999999999</v>
      </c>
    </row>
    <row r="769" spans="1:9" x14ac:dyDescent="0.3">
      <c r="A769" t="s">
        <v>9</v>
      </c>
      <c r="B769" t="s">
        <v>894</v>
      </c>
      <c r="C769">
        <v>2</v>
      </c>
      <c r="D769">
        <v>1.77E-2</v>
      </c>
      <c r="E769">
        <v>6.8808599121504814</v>
      </c>
      <c r="F769">
        <v>689.29614381242482</v>
      </c>
      <c r="G769">
        <v>0.42399999999999999</v>
      </c>
      <c r="H769">
        <v>1.38E-2</v>
      </c>
      <c r="I769">
        <v>153.79949999999999</v>
      </c>
    </row>
    <row r="770" spans="1:9" x14ac:dyDescent="0.3">
      <c r="A770" t="s">
        <v>9</v>
      </c>
      <c r="B770" t="s">
        <v>895</v>
      </c>
      <c r="C770">
        <v>2</v>
      </c>
      <c r="D770">
        <v>1.66E-2</v>
      </c>
      <c r="E770">
        <v>6.6718896134468606</v>
      </c>
      <c r="F770">
        <v>669.82011197324744</v>
      </c>
      <c r="G770">
        <v>0.42399999999999999</v>
      </c>
      <c r="H770">
        <v>1.0500000000000001E-2</v>
      </c>
      <c r="I770">
        <v>153.99959999999999</v>
      </c>
    </row>
    <row r="771" spans="1:9" x14ac:dyDescent="0.3">
      <c r="A771" t="s">
        <v>9</v>
      </c>
      <c r="B771" t="s">
        <v>896</v>
      </c>
      <c r="C771">
        <v>2</v>
      </c>
      <c r="D771">
        <v>1.43E-2</v>
      </c>
      <c r="E771">
        <v>6.4623828769410379</v>
      </c>
      <c r="F771">
        <v>650.29408413090471</v>
      </c>
      <c r="G771">
        <v>0.42399999999999999</v>
      </c>
      <c r="H771">
        <v>7.3000000000000001E-3</v>
      </c>
      <c r="I771">
        <v>154.2003</v>
      </c>
    </row>
    <row r="772" spans="1:9" x14ac:dyDescent="0.3">
      <c r="A772" t="s">
        <v>9</v>
      </c>
      <c r="B772" t="s">
        <v>897</v>
      </c>
      <c r="C772">
        <v>2</v>
      </c>
      <c r="D772">
        <v>1.06E-2</v>
      </c>
      <c r="E772">
        <v>6.2738058917950994</v>
      </c>
      <c r="F772">
        <v>632.71870911530323</v>
      </c>
      <c r="G772">
        <v>0.42399999999999999</v>
      </c>
      <c r="H772">
        <v>4.3E-3</v>
      </c>
      <c r="I772">
        <v>154.4006</v>
      </c>
    </row>
    <row r="773" spans="1:9" x14ac:dyDescent="0.3">
      <c r="A773" t="s">
        <v>9</v>
      </c>
      <c r="B773" t="s">
        <v>898</v>
      </c>
      <c r="C773">
        <v>2</v>
      </c>
      <c r="D773">
        <v>6.1999999999999998E-3</v>
      </c>
      <c r="E773">
        <v>6.1240781134270552</v>
      </c>
      <c r="F773">
        <v>618.76408017140159</v>
      </c>
      <c r="G773">
        <v>0.42399999999999999</v>
      </c>
      <c r="H773">
        <v>2E-3</v>
      </c>
      <c r="I773">
        <v>154.60120000000001</v>
      </c>
    </row>
    <row r="774" spans="1:9" x14ac:dyDescent="0.3">
      <c r="A774" t="s">
        <v>9</v>
      </c>
      <c r="B774" t="s">
        <v>899</v>
      </c>
      <c r="C774">
        <v>2</v>
      </c>
      <c r="D774">
        <v>2.5000000000000001E-3</v>
      </c>
      <c r="E774">
        <v>6.0274867740579161</v>
      </c>
      <c r="F774">
        <v>609.7617673421978</v>
      </c>
      <c r="G774">
        <v>0.42399999999999999</v>
      </c>
      <c r="H774">
        <v>5.0000000000000001E-4</v>
      </c>
      <c r="I774">
        <v>154.80410000000001</v>
      </c>
    </row>
    <row r="775" spans="1:9" x14ac:dyDescent="0.3">
      <c r="A775" t="s">
        <v>9</v>
      </c>
      <c r="B775" t="s">
        <v>900</v>
      </c>
      <c r="C775">
        <v>2</v>
      </c>
      <c r="D775">
        <v>1E-3</v>
      </c>
      <c r="E775">
        <v>5.9957335643713243</v>
      </c>
      <c r="F775">
        <v>606.8023681994074</v>
      </c>
      <c r="G775">
        <v>0.42399999999999999</v>
      </c>
      <c r="H775">
        <v>0</v>
      </c>
      <c r="I775">
        <v>154.99969999999999</v>
      </c>
    </row>
    <row r="776" spans="1:9" x14ac:dyDescent="0.3">
      <c r="A776" t="s">
        <v>9</v>
      </c>
      <c r="B776" t="s">
        <v>901</v>
      </c>
      <c r="C776">
        <v>2</v>
      </c>
      <c r="D776">
        <v>5.0000000000000001E-4</v>
      </c>
      <c r="E776">
        <v>6.0284861175418119</v>
      </c>
      <c r="F776">
        <v>712.10333255471801</v>
      </c>
      <c r="G776">
        <v>0.42399999999999999</v>
      </c>
      <c r="H776">
        <v>5.0000000000000001E-4</v>
      </c>
      <c r="I776">
        <v>155.19900000000001</v>
      </c>
    </row>
    <row r="777" spans="1:9" x14ac:dyDescent="0.3">
      <c r="A777" t="s">
        <v>9</v>
      </c>
      <c r="B777" t="s">
        <v>902</v>
      </c>
      <c r="C777">
        <v>2</v>
      </c>
      <c r="D777">
        <v>2.9999999999999997E-4</v>
      </c>
      <c r="E777">
        <v>6.1253839725243857</v>
      </c>
      <c r="F777">
        <v>721.29893899256422</v>
      </c>
      <c r="G777">
        <v>0.42399999999999999</v>
      </c>
      <c r="H777">
        <v>2E-3</v>
      </c>
      <c r="I777">
        <v>155.40090000000001</v>
      </c>
    </row>
    <row r="778" spans="1:9" x14ac:dyDescent="0.3">
      <c r="A778" t="s">
        <v>9</v>
      </c>
      <c r="B778" t="s">
        <v>903</v>
      </c>
      <c r="C778">
        <v>2</v>
      </c>
      <c r="D778">
        <v>5.9999999999999995E-4</v>
      </c>
      <c r="E778">
        <v>6.2747943889364333</v>
      </c>
      <c r="F778">
        <v>735.47798751006758</v>
      </c>
      <c r="G778">
        <v>0.42399999999999999</v>
      </c>
      <c r="H778">
        <v>4.3E-3</v>
      </c>
      <c r="I778">
        <v>155.60059999999999</v>
      </c>
    </row>
    <row r="779" spans="1:9" x14ac:dyDescent="0.3">
      <c r="A779" t="s">
        <v>9</v>
      </c>
      <c r="B779" t="s">
        <v>904</v>
      </c>
      <c r="C779">
        <v>2</v>
      </c>
      <c r="D779">
        <v>2.2000000000000001E-3</v>
      </c>
      <c r="E779">
        <v>6.4651944111212796</v>
      </c>
      <c r="F779">
        <v>753.54694961540952</v>
      </c>
      <c r="G779">
        <v>0.42399999999999999</v>
      </c>
      <c r="H779">
        <v>7.3000000000000001E-3</v>
      </c>
      <c r="I779">
        <v>155.80250000000001</v>
      </c>
    </row>
    <row r="780" spans="1:9" x14ac:dyDescent="0.3">
      <c r="A780" t="s">
        <v>9</v>
      </c>
      <c r="B780" t="s">
        <v>905</v>
      </c>
      <c r="C780">
        <v>2</v>
      </c>
      <c r="D780">
        <v>5.4999999999999997E-3</v>
      </c>
      <c r="E780">
        <v>6.6753596321250424</v>
      </c>
      <c r="F780">
        <v>773.49162908866651</v>
      </c>
      <c r="G780">
        <v>0.42399999999999999</v>
      </c>
      <c r="H780">
        <v>1.06E-2</v>
      </c>
      <c r="I780">
        <v>156.00360000000001</v>
      </c>
    </row>
    <row r="781" spans="1:9" x14ac:dyDescent="0.3">
      <c r="A781" t="s">
        <v>9</v>
      </c>
      <c r="B781" t="s">
        <v>906</v>
      </c>
      <c r="C781">
        <v>2</v>
      </c>
      <c r="D781">
        <v>8.8000000000000005E-3</v>
      </c>
      <c r="E781">
        <v>6.8810119636817157</v>
      </c>
      <c r="F781">
        <v>793.00803535339492</v>
      </c>
      <c r="G781">
        <v>0.42399999999999999</v>
      </c>
      <c r="H781">
        <v>1.38E-2</v>
      </c>
      <c r="I781">
        <v>156.20070000000001</v>
      </c>
    </row>
    <row r="782" spans="1:9" x14ac:dyDescent="0.3">
      <c r="A782" t="s">
        <v>9</v>
      </c>
      <c r="B782" t="s">
        <v>907</v>
      </c>
      <c r="C782">
        <v>2</v>
      </c>
      <c r="D782">
        <v>1.18E-2</v>
      </c>
      <c r="E782">
        <v>7.0678918104566124</v>
      </c>
      <c r="F782">
        <v>810.74293281233247</v>
      </c>
      <c r="G782">
        <v>0.42399999999999999</v>
      </c>
      <c r="H782">
        <v>1.67E-2</v>
      </c>
      <c r="I782">
        <v>156.399</v>
      </c>
    </row>
    <row r="783" spans="1:9" x14ac:dyDescent="0.3">
      <c r="A783" t="s">
        <v>9</v>
      </c>
      <c r="B783" t="s">
        <v>908</v>
      </c>
      <c r="C783">
        <v>2</v>
      </c>
      <c r="D783">
        <v>1.4200000000000001E-2</v>
      </c>
      <c r="E783">
        <v>7.2187982922947969</v>
      </c>
      <c r="F783">
        <v>825.0639579387763</v>
      </c>
      <c r="G783">
        <v>0.42399999999999999</v>
      </c>
      <c r="H783">
        <v>1.9E-2</v>
      </c>
      <c r="I783">
        <v>156.6009</v>
      </c>
    </row>
    <row r="784" spans="1:9" x14ac:dyDescent="0.3">
      <c r="A784" t="s">
        <v>9</v>
      </c>
      <c r="B784" t="s">
        <v>909</v>
      </c>
      <c r="C784">
        <v>2</v>
      </c>
      <c r="D784">
        <v>1.6199999999999999E-2</v>
      </c>
      <c r="E784">
        <v>7.3143596386460494</v>
      </c>
      <c r="F784">
        <v>834.13272970751007</v>
      </c>
      <c r="G784">
        <v>0.42399999999999999</v>
      </c>
      <c r="H784">
        <v>2.0500000000000001E-2</v>
      </c>
      <c r="I784">
        <v>156.8004</v>
      </c>
    </row>
    <row r="785" spans="1:9" x14ac:dyDescent="0.3">
      <c r="A785" t="s">
        <v>9</v>
      </c>
      <c r="B785" t="s">
        <v>910</v>
      </c>
      <c r="C785">
        <v>2</v>
      </c>
      <c r="D785">
        <v>1.78E-2</v>
      </c>
      <c r="E785">
        <v>7.3473008933145332</v>
      </c>
      <c r="F785">
        <v>837.25885477554925</v>
      </c>
      <c r="G785">
        <v>0.42399999999999999</v>
      </c>
      <c r="H785">
        <v>2.1000000000000001E-2</v>
      </c>
      <c r="I785">
        <v>157.00149999999999</v>
      </c>
    </row>
    <row r="786" spans="1:9" x14ac:dyDescent="0.3">
      <c r="A786" t="s">
        <v>9</v>
      </c>
      <c r="B786" t="s">
        <v>911</v>
      </c>
      <c r="C786">
        <v>2</v>
      </c>
      <c r="D786">
        <v>1.84E-2</v>
      </c>
      <c r="E786">
        <v>7.3145323691855344</v>
      </c>
      <c r="F786">
        <v>729.71441680809176</v>
      </c>
      <c r="G786">
        <v>0.42399999999999999</v>
      </c>
      <c r="H786">
        <v>2.0500000000000001E-2</v>
      </c>
      <c r="I786">
        <v>157.19909999999999</v>
      </c>
    </row>
    <row r="787" spans="1:9" x14ac:dyDescent="0.3">
      <c r="A787" t="s">
        <v>9</v>
      </c>
      <c r="B787" t="s">
        <v>912</v>
      </c>
      <c r="C787">
        <v>2</v>
      </c>
      <c r="D787">
        <v>1.83E-2</v>
      </c>
      <c r="E787">
        <v>7.2172173618406923</v>
      </c>
      <c r="F787">
        <v>720.64465812355252</v>
      </c>
      <c r="G787">
        <v>0.42399999999999999</v>
      </c>
      <c r="H787">
        <v>1.9E-2</v>
      </c>
      <c r="I787">
        <v>157.4016</v>
      </c>
    </row>
    <row r="788" spans="1:9" x14ac:dyDescent="0.3">
      <c r="A788" t="s">
        <v>9</v>
      </c>
      <c r="B788" t="s">
        <v>913</v>
      </c>
      <c r="C788">
        <v>2</v>
      </c>
      <c r="D788">
        <v>1.7999999999999999E-2</v>
      </c>
      <c r="E788">
        <v>7.0693048760202286</v>
      </c>
      <c r="F788">
        <v>706.8592144450854</v>
      </c>
      <c r="G788">
        <v>0.42399999999999999</v>
      </c>
      <c r="H788">
        <v>1.67E-2</v>
      </c>
      <c r="I788">
        <v>157.5993</v>
      </c>
    </row>
    <row r="789" spans="1:9" x14ac:dyDescent="0.3">
      <c r="A789" t="s">
        <v>9</v>
      </c>
      <c r="B789" t="s">
        <v>914</v>
      </c>
      <c r="C789">
        <v>2</v>
      </c>
      <c r="D789">
        <v>1.7999999999999999E-2</v>
      </c>
      <c r="E789">
        <v>6.8788179614536684</v>
      </c>
      <c r="F789">
        <v>689.10583400748192</v>
      </c>
      <c r="G789">
        <v>0.42399999999999999</v>
      </c>
      <c r="H789">
        <v>1.37E-2</v>
      </c>
      <c r="I789">
        <v>157.8015</v>
      </c>
    </row>
    <row r="790" spans="1:9" x14ac:dyDescent="0.3">
      <c r="A790" t="s">
        <v>9</v>
      </c>
      <c r="B790" t="s">
        <v>915</v>
      </c>
      <c r="C790">
        <v>2</v>
      </c>
      <c r="D790">
        <v>1.67E-2</v>
      </c>
      <c r="E790">
        <v>6.6706918528514683</v>
      </c>
      <c r="F790">
        <v>669.70848068575685</v>
      </c>
      <c r="G790">
        <v>0.42399999999999999</v>
      </c>
      <c r="H790">
        <v>1.0500000000000001E-2</v>
      </c>
      <c r="I790">
        <v>158.0008</v>
      </c>
    </row>
    <row r="791" spans="1:9" x14ac:dyDescent="0.3">
      <c r="A791" t="s">
        <v>9</v>
      </c>
      <c r="B791" t="s">
        <v>916</v>
      </c>
      <c r="C791">
        <v>2</v>
      </c>
      <c r="D791">
        <v>1.4200000000000001E-2</v>
      </c>
      <c r="E791">
        <v>6.4619206402860794</v>
      </c>
      <c r="F791">
        <v>650.25100367466257</v>
      </c>
      <c r="G791">
        <v>0.42399999999999999</v>
      </c>
      <c r="H791">
        <v>7.1999999999999998E-3</v>
      </c>
      <c r="I791">
        <v>158.20079999999999</v>
      </c>
    </row>
    <row r="792" spans="1:9" x14ac:dyDescent="0.3">
      <c r="A792" t="s">
        <v>9</v>
      </c>
      <c r="B792" t="s">
        <v>917</v>
      </c>
      <c r="C792">
        <v>2</v>
      </c>
      <c r="D792">
        <v>1.0500000000000001E-2</v>
      </c>
      <c r="E792">
        <v>6.2737044430134583</v>
      </c>
      <c r="F792">
        <v>632.70925408885432</v>
      </c>
      <c r="G792">
        <v>0.42399999999999999</v>
      </c>
      <c r="H792">
        <v>4.3E-3</v>
      </c>
      <c r="I792">
        <v>158.4007</v>
      </c>
    </row>
    <row r="793" spans="1:9" x14ac:dyDescent="0.3">
      <c r="A793" t="s">
        <v>9</v>
      </c>
      <c r="B793" t="s">
        <v>918</v>
      </c>
      <c r="C793">
        <v>2</v>
      </c>
      <c r="D793">
        <v>5.7999999999999996E-3</v>
      </c>
      <c r="E793">
        <v>6.1251977398089261</v>
      </c>
      <c r="F793">
        <v>618.86842935019195</v>
      </c>
      <c r="G793">
        <v>0.42399999999999999</v>
      </c>
      <c r="H793">
        <v>2E-3</v>
      </c>
      <c r="I793">
        <v>158.5993</v>
      </c>
    </row>
    <row r="794" spans="1:9" x14ac:dyDescent="0.3">
      <c r="A794" t="s">
        <v>9</v>
      </c>
      <c r="B794" t="s">
        <v>919</v>
      </c>
      <c r="C794">
        <v>2</v>
      </c>
      <c r="D794">
        <v>2.5999999999999999E-3</v>
      </c>
      <c r="E794">
        <v>6.0284427767733488</v>
      </c>
      <c r="F794">
        <v>609.85086679527615</v>
      </c>
      <c r="G794">
        <v>0.42399999999999999</v>
      </c>
      <c r="H794">
        <v>5.0000000000000001E-4</v>
      </c>
      <c r="I794">
        <v>158.80109999999999</v>
      </c>
    </row>
    <row r="795" spans="1:9" x14ac:dyDescent="0.3">
      <c r="A795" t="s">
        <v>9</v>
      </c>
      <c r="B795" t="s">
        <v>920</v>
      </c>
      <c r="C795">
        <v>2</v>
      </c>
      <c r="D795">
        <v>1.1000000000000001E-3</v>
      </c>
      <c r="E795">
        <v>5.9957335643713243</v>
      </c>
      <c r="F795">
        <v>606.8023681994074</v>
      </c>
      <c r="G795">
        <v>0.42399999999999999</v>
      </c>
      <c r="H795">
        <v>0</v>
      </c>
      <c r="I795">
        <v>158.99969999999999</v>
      </c>
    </row>
    <row r="796" spans="1:9" x14ac:dyDescent="0.3">
      <c r="A796" t="s">
        <v>9</v>
      </c>
      <c r="B796" t="s">
        <v>921</v>
      </c>
      <c r="C796">
        <v>2</v>
      </c>
      <c r="D796">
        <v>0</v>
      </c>
      <c r="E796">
        <v>6.0291591138378928</v>
      </c>
      <c r="F796">
        <v>712.1671999032161</v>
      </c>
      <c r="G796">
        <v>0.42399999999999999</v>
      </c>
      <c r="H796">
        <v>5.0000000000000001E-4</v>
      </c>
      <c r="I796">
        <v>159.2011</v>
      </c>
    </row>
    <row r="797" spans="1:9" x14ac:dyDescent="0.3">
      <c r="A797" t="s">
        <v>9</v>
      </c>
      <c r="B797" t="s">
        <v>922</v>
      </c>
      <c r="C797">
        <v>2</v>
      </c>
      <c r="D797">
        <v>0</v>
      </c>
      <c r="E797">
        <v>6.1244269804603224</v>
      </c>
      <c r="F797">
        <v>721.20812044568459</v>
      </c>
      <c r="G797">
        <v>0.42399999999999999</v>
      </c>
      <c r="H797">
        <v>2E-3</v>
      </c>
      <c r="I797">
        <v>159.39940000000001</v>
      </c>
    </row>
    <row r="798" spans="1:9" x14ac:dyDescent="0.3">
      <c r="A798" t="s">
        <v>9</v>
      </c>
      <c r="B798" t="s">
        <v>923</v>
      </c>
      <c r="C798">
        <v>2</v>
      </c>
      <c r="D798">
        <v>5.9999999999999995E-4</v>
      </c>
      <c r="E798">
        <v>6.275238379407643</v>
      </c>
      <c r="F798">
        <v>735.52012220578536</v>
      </c>
      <c r="G798">
        <v>0.42399999999999999</v>
      </c>
      <c r="H798">
        <v>4.3E-3</v>
      </c>
      <c r="I798">
        <v>159.6011</v>
      </c>
    </row>
    <row r="799" spans="1:9" x14ac:dyDescent="0.3">
      <c r="A799" t="s">
        <v>9</v>
      </c>
      <c r="B799" t="s">
        <v>924</v>
      </c>
      <c r="C799">
        <v>2</v>
      </c>
      <c r="D799">
        <v>2.0999999999999999E-3</v>
      </c>
      <c r="E799">
        <v>6.4615463907838624</v>
      </c>
      <c r="F799">
        <v>753.20075248538853</v>
      </c>
      <c r="G799">
        <v>0.42399999999999999</v>
      </c>
      <c r="H799">
        <v>7.1999999999999998E-3</v>
      </c>
      <c r="I799">
        <v>159.7989</v>
      </c>
    </row>
    <row r="800" spans="1:9" x14ac:dyDescent="0.3">
      <c r="A800" t="s">
        <v>9</v>
      </c>
      <c r="B800" t="s">
        <v>925</v>
      </c>
      <c r="C800">
        <v>2</v>
      </c>
      <c r="D800">
        <v>5.5999999999999999E-3</v>
      </c>
      <c r="E800">
        <v>6.671607811275635</v>
      </c>
      <c r="F800">
        <v>773.13558129005776</v>
      </c>
      <c r="G800">
        <v>0.42399999999999999</v>
      </c>
      <c r="H800">
        <v>1.0500000000000001E-2</v>
      </c>
      <c r="I800">
        <v>160.0001</v>
      </c>
    </row>
    <row r="801" spans="1:9" x14ac:dyDescent="0.3">
      <c r="A801" t="s">
        <v>9</v>
      </c>
      <c r="B801" t="s">
        <v>926</v>
      </c>
      <c r="C801">
        <v>2</v>
      </c>
      <c r="D801">
        <v>8.6E-3</v>
      </c>
      <c r="E801">
        <v>6.880484040765265</v>
      </c>
      <c r="F801">
        <v>792.95793546862365</v>
      </c>
      <c r="G801">
        <v>0.42399999999999999</v>
      </c>
      <c r="H801">
        <v>1.37E-2</v>
      </c>
      <c r="I801">
        <v>160.20009999999999</v>
      </c>
    </row>
    <row r="802" spans="1:9" x14ac:dyDescent="0.3">
      <c r="A802" t="s">
        <v>9</v>
      </c>
      <c r="B802" t="s">
        <v>927</v>
      </c>
      <c r="C802">
        <v>2</v>
      </c>
      <c r="D802">
        <v>1.1599999999999999E-2</v>
      </c>
      <c r="E802">
        <v>7.0685608371940489</v>
      </c>
      <c r="F802">
        <v>810.80642344971534</v>
      </c>
      <c r="G802">
        <v>0.42399999999999999</v>
      </c>
      <c r="H802">
        <v>1.67E-2</v>
      </c>
      <c r="I802">
        <v>160.3998</v>
      </c>
    </row>
    <row r="803" spans="1:9" x14ac:dyDescent="0.3">
      <c r="A803" t="s">
        <v>9</v>
      </c>
      <c r="B803" t="s">
        <v>928</v>
      </c>
      <c r="C803">
        <v>2</v>
      </c>
      <c r="D803">
        <v>1.41E-2</v>
      </c>
      <c r="E803">
        <v>7.2177144689801462</v>
      </c>
      <c r="F803">
        <v>824.96110310621589</v>
      </c>
      <c r="G803">
        <v>0.42399999999999999</v>
      </c>
      <c r="H803">
        <v>1.9E-2</v>
      </c>
      <c r="I803">
        <v>160.5992</v>
      </c>
    </row>
    <row r="804" spans="1:9" x14ac:dyDescent="0.3">
      <c r="A804" t="s">
        <v>9</v>
      </c>
      <c r="B804" t="s">
        <v>929</v>
      </c>
      <c r="C804">
        <v>2</v>
      </c>
      <c r="D804">
        <v>1.6199999999999999E-2</v>
      </c>
      <c r="E804">
        <v>7.3142744897885574</v>
      </c>
      <c r="F804">
        <v>834.12464908093409</v>
      </c>
      <c r="G804">
        <v>0.42399999999999999</v>
      </c>
      <c r="H804">
        <v>2.0500000000000001E-2</v>
      </c>
      <c r="I804">
        <v>160.80009999999999</v>
      </c>
    </row>
    <row r="805" spans="1:9" x14ac:dyDescent="0.3">
      <c r="A805" t="s">
        <v>9</v>
      </c>
      <c r="B805" t="s">
        <v>930</v>
      </c>
      <c r="C805">
        <v>2</v>
      </c>
      <c r="D805">
        <v>1.7999999999999999E-2</v>
      </c>
      <c r="E805">
        <v>7.3473017042560347</v>
      </c>
      <c r="F805">
        <v>837.25893173389773</v>
      </c>
      <c r="G805">
        <v>0.42399999999999999</v>
      </c>
      <c r="H805">
        <v>2.1000000000000001E-2</v>
      </c>
      <c r="I805">
        <v>161.00120000000001</v>
      </c>
    </row>
    <row r="806" spans="1:9" x14ac:dyDescent="0.3">
      <c r="A806" t="s">
        <v>9</v>
      </c>
      <c r="B806" t="s">
        <v>931</v>
      </c>
      <c r="C806">
        <v>2</v>
      </c>
      <c r="D806">
        <v>1.84E-2</v>
      </c>
      <c r="E806">
        <v>7.3138653698018432</v>
      </c>
      <c r="F806">
        <v>729.65225246553177</v>
      </c>
      <c r="G806">
        <v>0.42399999999999999</v>
      </c>
      <c r="H806">
        <v>2.0500000000000001E-2</v>
      </c>
      <c r="I806">
        <v>161.2011</v>
      </c>
    </row>
    <row r="807" spans="1:9" x14ac:dyDescent="0.3">
      <c r="A807" t="s">
        <v>9</v>
      </c>
      <c r="B807" t="s">
        <v>932</v>
      </c>
      <c r="C807">
        <v>2</v>
      </c>
      <c r="D807">
        <v>1.83E-2</v>
      </c>
      <c r="E807">
        <v>7.2190594154577736</v>
      </c>
      <c r="F807">
        <v>720.81633752066455</v>
      </c>
      <c r="G807">
        <v>0.42399999999999999</v>
      </c>
      <c r="H807">
        <v>1.9E-2</v>
      </c>
      <c r="I807">
        <v>161.39869999999999</v>
      </c>
    </row>
    <row r="808" spans="1:9" x14ac:dyDescent="0.3">
      <c r="A808" t="s">
        <v>9</v>
      </c>
      <c r="B808" t="s">
        <v>933</v>
      </c>
      <c r="C808">
        <v>2</v>
      </c>
      <c r="D808">
        <v>1.83E-2</v>
      </c>
      <c r="E808">
        <v>7.0687112668422856</v>
      </c>
      <c r="F808">
        <v>706.80389006970108</v>
      </c>
      <c r="G808">
        <v>0.42399999999999999</v>
      </c>
      <c r="H808">
        <v>1.67E-2</v>
      </c>
      <c r="I808">
        <v>161.6</v>
      </c>
    </row>
    <row r="809" spans="1:9" x14ac:dyDescent="0.3">
      <c r="A809" t="s">
        <v>9</v>
      </c>
      <c r="B809" t="s">
        <v>934</v>
      </c>
      <c r="C809">
        <v>2</v>
      </c>
      <c r="D809">
        <v>1.77E-2</v>
      </c>
      <c r="E809">
        <v>6.8807094825022439</v>
      </c>
      <c r="F809">
        <v>689.28212376920919</v>
      </c>
      <c r="G809">
        <v>0.42399999999999999</v>
      </c>
      <c r="H809">
        <v>1.38E-2</v>
      </c>
      <c r="I809">
        <v>161.7996</v>
      </c>
    </row>
    <row r="810" spans="1:9" x14ac:dyDescent="0.3">
      <c r="A810" t="s">
        <v>9</v>
      </c>
      <c r="B810" t="s">
        <v>935</v>
      </c>
      <c r="C810">
        <v>2</v>
      </c>
      <c r="D810">
        <v>1.6199999999999999E-2</v>
      </c>
      <c r="E810">
        <v>6.6665860560373442</v>
      </c>
      <c r="F810">
        <v>669.32582042268052</v>
      </c>
      <c r="G810">
        <v>0.42399999999999999</v>
      </c>
      <c r="H810">
        <v>1.04E-2</v>
      </c>
      <c r="I810">
        <v>162.00460000000001</v>
      </c>
    </row>
    <row r="811" spans="1:9" x14ac:dyDescent="0.3">
      <c r="A811" t="s">
        <v>9</v>
      </c>
      <c r="B811" t="s">
        <v>936</v>
      </c>
      <c r="C811">
        <v>2</v>
      </c>
      <c r="D811">
        <v>1.3599999999999999E-2</v>
      </c>
      <c r="E811">
        <v>6.4620560675165679</v>
      </c>
      <c r="F811">
        <v>650.26362549254418</v>
      </c>
      <c r="G811">
        <v>0.42399999999999999</v>
      </c>
      <c r="H811">
        <v>7.1999999999999998E-3</v>
      </c>
      <c r="I811">
        <v>162.20060000000001</v>
      </c>
    </row>
    <row r="812" spans="1:9" x14ac:dyDescent="0.3">
      <c r="A812" t="s">
        <v>9</v>
      </c>
      <c r="B812" t="s">
        <v>937</v>
      </c>
      <c r="C812">
        <v>2</v>
      </c>
      <c r="D812">
        <v>1.04E-2</v>
      </c>
      <c r="E812">
        <v>6.2753553171719316</v>
      </c>
      <c r="F812">
        <v>632.86311556042403</v>
      </c>
      <c r="G812">
        <v>0.42399999999999999</v>
      </c>
      <c r="H812">
        <v>4.3E-3</v>
      </c>
      <c r="I812">
        <v>162.39879999999999</v>
      </c>
    </row>
    <row r="813" spans="1:9" x14ac:dyDescent="0.3">
      <c r="A813" t="s">
        <v>9</v>
      </c>
      <c r="B813" t="s">
        <v>938</v>
      </c>
      <c r="C813">
        <v>2</v>
      </c>
      <c r="D813">
        <v>6.6E-3</v>
      </c>
      <c r="E813">
        <v>6.1237135546757644</v>
      </c>
      <c r="F813">
        <v>618.73010329578119</v>
      </c>
      <c r="G813">
        <v>0.42399999999999999</v>
      </c>
      <c r="H813">
        <v>2E-3</v>
      </c>
      <c r="I813">
        <v>162.60169999999999</v>
      </c>
    </row>
    <row r="814" spans="1:9" x14ac:dyDescent="0.3">
      <c r="A814" t="s">
        <v>9</v>
      </c>
      <c r="B814" t="s">
        <v>939</v>
      </c>
      <c r="C814">
        <v>2</v>
      </c>
      <c r="D814">
        <v>2.2000000000000001E-3</v>
      </c>
      <c r="E814">
        <v>6.0286422035070117</v>
      </c>
      <c r="F814">
        <v>609.86945336685346</v>
      </c>
      <c r="G814">
        <v>0.42399999999999999</v>
      </c>
      <c r="H814">
        <v>5.0000000000000001E-4</v>
      </c>
      <c r="I814">
        <v>162.8005</v>
      </c>
    </row>
    <row r="815" spans="1:9" x14ac:dyDescent="0.3">
      <c r="A815" t="s">
        <v>9</v>
      </c>
      <c r="B815" t="s">
        <v>940</v>
      </c>
      <c r="C815">
        <v>2</v>
      </c>
      <c r="D815">
        <v>8.0000000000000004E-4</v>
      </c>
      <c r="E815">
        <v>5.9957347324886827</v>
      </c>
      <c r="F815">
        <v>606.80247706794523</v>
      </c>
      <c r="G815">
        <v>0.42399999999999999</v>
      </c>
      <c r="H815">
        <v>0</v>
      </c>
      <c r="I815">
        <v>162.99879999999999</v>
      </c>
    </row>
    <row r="816" spans="1:9" x14ac:dyDescent="0.3">
      <c r="A816" t="s">
        <v>9</v>
      </c>
      <c r="B816" t="s">
        <v>941</v>
      </c>
      <c r="C816">
        <v>2</v>
      </c>
      <c r="D816">
        <v>1E-4</v>
      </c>
      <c r="E816">
        <v>6.028945390205589</v>
      </c>
      <c r="F816">
        <v>712.14691753051045</v>
      </c>
      <c r="G816">
        <v>0.42399999999999999</v>
      </c>
      <c r="H816">
        <v>5.0000000000000001E-4</v>
      </c>
      <c r="I816">
        <v>163.2004</v>
      </c>
    </row>
    <row r="817" spans="1:9" x14ac:dyDescent="0.3">
      <c r="A817" t="s">
        <v>9</v>
      </c>
      <c r="B817" t="s">
        <v>942</v>
      </c>
      <c r="C817">
        <v>2</v>
      </c>
      <c r="D817">
        <v>2.9999999999999997E-4</v>
      </c>
      <c r="E817">
        <v>6.1242161762174163</v>
      </c>
      <c r="F817">
        <v>721.18811512303284</v>
      </c>
      <c r="G817">
        <v>0.42399999999999999</v>
      </c>
      <c r="H817">
        <v>2E-3</v>
      </c>
      <c r="I817">
        <v>163.3991</v>
      </c>
    </row>
    <row r="818" spans="1:9" x14ac:dyDescent="0.3">
      <c r="A818" t="s">
        <v>9</v>
      </c>
      <c r="B818" t="s">
        <v>943</v>
      </c>
      <c r="C818">
        <v>2</v>
      </c>
      <c r="D818">
        <v>1E-3</v>
      </c>
      <c r="E818">
        <v>6.2732128097291282</v>
      </c>
      <c r="F818">
        <v>735.32789564329426</v>
      </c>
      <c r="G818">
        <v>0.42399999999999999</v>
      </c>
      <c r="H818">
        <v>4.3E-3</v>
      </c>
      <c r="I818">
        <v>163.59870000000001</v>
      </c>
    </row>
    <row r="819" spans="1:9" x14ac:dyDescent="0.3">
      <c r="A819" t="s">
        <v>9</v>
      </c>
      <c r="B819" t="s">
        <v>944</v>
      </c>
      <c r="C819">
        <v>2</v>
      </c>
      <c r="D819">
        <v>2.8999999999999998E-3</v>
      </c>
      <c r="E819">
        <v>6.467408281416076</v>
      </c>
      <c r="F819">
        <v>753.75704590638566</v>
      </c>
      <c r="G819">
        <v>0.42399999999999999</v>
      </c>
      <c r="H819">
        <v>7.3000000000000001E-3</v>
      </c>
      <c r="I819">
        <v>163.8047</v>
      </c>
    </row>
    <row r="820" spans="1:9" x14ac:dyDescent="0.3">
      <c r="A820" t="s">
        <v>9</v>
      </c>
      <c r="B820" t="s">
        <v>945</v>
      </c>
      <c r="C820">
        <v>2</v>
      </c>
      <c r="D820">
        <v>5.1999999999999998E-3</v>
      </c>
      <c r="E820">
        <v>6.670485468239737</v>
      </c>
      <c r="F820">
        <v>773.02907093595104</v>
      </c>
      <c r="G820">
        <v>0.42399999999999999</v>
      </c>
      <c r="H820">
        <v>1.0500000000000001E-2</v>
      </c>
      <c r="I820">
        <v>163.999</v>
      </c>
    </row>
    <row r="821" spans="1:9" x14ac:dyDescent="0.3">
      <c r="A821" t="s">
        <v>9</v>
      </c>
      <c r="B821" t="s">
        <v>946</v>
      </c>
      <c r="C821">
        <v>2</v>
      </c>
      <c r="D821">
        <v>8.8000000000000005E-3</v>
      </c>
      <c r="E821">
        <v>6.8792201884376309</v>
      </c>
      <c r="F821">
        <v>792.83799588273121</v>
      </c>
      <c r="G821">
        <v>0.42399999999999999</v>
      </c>
      <c r="H821">
        <v>1.37E-2</v>
      </c>
      <c r="I821">
        <v>164.19890000000001</v>
      </c>
    </row>
    <row r="822" spans="1:9" x14ac:dyDescent="0.3">
      <c r="A822" t="s">
        <v>9</v>
      </c>
      <c r="B822" t="s">
        <v>947</v>
      </c>
      <c r="C822">
        <v>2</v>
      </c>
      <c r="D822">
        <v>1.15E-2</v>
      </c>
      <c r="E822">
        <v>7.068320393039321</v>
      </c>
      <c r="F822">
        <v>810.78360529943166</v>
      </c>
      <c r="G822">
        <v>0.42399999999999999</v>
      </c>
      <c r="H822">
        <v>1.67E-2</v>
      </c>
      <c r="I822">
        <v>164.39949999999999</v>
      </c>
    </row>
    <row r="823" spans="1:9" x14ac:dyDescent="0.3">
      <c r="A823" t="s">
        <v>9</v>
      </c>
      <c r="B823" t="s">
        <v>948</v>
      </c>
      <c r="C823">
        <v>2</v>
      </c>
      <c r="D823">
        <v>1.41E-2</v>
      </c>
      <c r="E823">
        <v>7.2188546527290418</v>
      </c>
      <c r="F823">
        <v>825.06930654398616</v>
      </c>
      <c r="G823">
        <v>0.42399999999999999</v>
      </c>
      <c r="H823">
        <v>1.9E-2</v>
      </c>
      <c r="I823">
        <v>164.601</v>
      </c>
    </row>
    <row r="824" spans="1:9" x14ac:dyDescent="0.3">
      <c r="A824" t="s">
        <v>9</v>
      </c>
      <c r="B824" t="s">
        <v>949</v>
      </c>
      <c r="C824">
        <v>2</v>
      </c>
      <c r="D824">
        <v>1.61E-2</v>
      </c>
      <c r="E824">
        <v>7.314102570190574</v>
      </c>
      <c r="F824">
        <v>834.10833391108554</v>
      </c>
      <c r="G824">
        <v>0.42399999999999999</v>
      </c>
      <c r="H824">
        <v>2.0500000000000001E-2</v>
      </c>
      <c r="I824">
        <v>164.7996</v>
      </c>
    </row>
    <row r="825" spans="1:9" x14ac:dyDescent="0.3">
      <c r="A825" t="s">
        <v>9</v>
      </c>
      <c r="B825" t="s">
        <v>950</v>
      </c>
      <c r="C825">
        <v>2</v>
      </c>
      <c r="D825">
        <v>1.77E-2</v>
      </c>
      <c r="E825">
        <v>7.3473025151975344</v>
      </c>
      <c r="F825">
        <v>837.25900869224608</v>
      </c>
      <c r="G825">
        <v>0.42399999999999999</v>
      </c>
      <c r="H825">
        <v>2.1000000000000001E-2</v>
      </c>
      <c r="I825">
        <v>164.99969999999999</v>
      </c>
    </row>
    <row r="826" spans="1:9" x14ac:dyDescent="0.3">
      <c r="A826" t="s">
        <v>9</v>
      </c>
      <c r="B826" t="s">
        <v>951</v>
      </c>
      <c r="C826">
        <v>2</v>
      </c>
      <c r="D826">
        <v>1.8599999999999998E-2</v>
      </c>
      <c r="E826">
        <v>7.3143884270692956</v>
      </c>
      <c r="F826">
        <v>729.70100140285842</v>
      </c>
      <c r="G826">
        <v>0.42399999999999999</v>
      </c>
      <c r="H826">
        <v>2.0500000000000001E-2</v>
      </c>
      <c r="I826">
        <v>165.1995</v>
      </c>
    </row>
    <row r="827" spans="1:9" x14ac:dyDescent="0.3">
      <c r="A827" t="s">
        <v>9</v>
      </c>
      <c r="B827" t="s">
        <v>952</v>
      </c>
      <c r="C827">
        <v>2</v>
      </c>
      <c r="D827">
        <v>1.8599999999999998E-2</v>
      </c>
      <c r="E827">
        <v>7.2189012818652856</v>
      </c>
      <c r="F827">
        <v>720.80159946984475</v>
      </c>
      <c r="G827">
        <v>0.42399999999999999</v>
      </c>
      <c r="H827">
        <v>1.9E-2</v>
      </c>
      <c r="I827">
        <v>165.3989</v>
      </c>
    </row>
    <row r="828" spans="1:9" x14ac:dyDescent="0.3">
      <c r="A828" t="s">
        <v>9</v>
      </c>
      <c r="B828" t="s">
        <v>953</v>
      </c>
      <c r="C828">
        <v>2</v>
      </c>
      <c r="D828">
        <v>1.83E-2</v>
      </c>
      <c r="E828">
        <v>7.0686845057727874</v>
      </c>
      <c r="F828">
        <v>706.8013959380238</v>
      </c>
      <c r="G828">
        <v>0.42399999999999999</v>
      </c>
      <c r="H828">
        <v>1.67E-2</v>
      </c>
      <c r="I828">
        <v>165.6001</v>
      </c>
    </row>
    <row r="829" spans="1:9" x14ac:dyDescent="0.3">
      <c r="A829" t="s">
        <v>9</v>
      </c>
      <c r="B829" t="s">
        <v>954</v>
      </c>
      <c r="C829">
        <v>2</v>
      </c>
      <c r="D829">
        <v>1.8200000000000001E-2</v>
      </c>
      <c r="E829">
        <v>6.8795895722908469</v>
      </c>
      <c r="F829">
        <v>689.17774813750691</v>
      </c>
      <c r="G829">
        <v>0.42399999999999999</v>
      </c>
      <c r="H829">
        <v>1.37E-2</v>
      </c>
      <c r="I829">
        <v>165.80080000000001</v>
      </c>
    </row>
    <row r="830" spans="1:9" x14ac:dyDescent="0.3">
      <c r="A830" t="s">
        <v>9</v>
      </c>
      <c r="B830" t="s">
        <v>955</v>
      </c>
      <c r="C830">
        <v>2</v>
      </c>
      <c r="D830">
        <v>1.7000000000000001E-2</v>
      </c>
      <c r="E830">
        <v>6.6701935292997634</v>
      </c>
      <c r="F830">
        <v>669.66203693073794</v>
      </c>
      <c r="G830">
        <v>0.42399999999999999</v>
      </c>
      <c r="H830">
        <v>1.0500000000000001E-2</v>
      </c>
      <c r="I830">
        <v>166.00120000000001</v>
      </c>
    </row>
    <row r="831" spans="1:9" x14ac:dyDescent="0.3">
      <c r="A831" t="s">
        <v>9</v>
      </c>
      <c r="B831" t="s">
        <v>956</v>
      </c>
      <c r="C831">
        <v>2</v>
      </c>
      <c r="D831">
        <v>1.44E-2</v>
      </c>
      <c r="E831">
        <v>6.4633195143734508</v>
      </c>
      <c r="F831">
        <v>650.38137873960568</v>
      </c>
      <c r="G831">
        <v>0.42399999999999999</v>
      </c>
      <c r="H831">
        <v>7.3000000000000001E-3</v>
      </c>
      <c r="I831">
        <v>166.1994</v>
      </c>
    </row>
    <row r="832" spans="1:9" x14ac:dyDescent="0.3">
      <c r="A832" t="s">
        <v>9</v>
      </c>
      <c r="B832" t="s">
        <v>957</v>
      </c>
      <c r="C832">
        <v>2</v>
      </c>
      <c r="D832">
        <v>1.0699999999999999E-2</v>
      </c>
      <c r="E832">
        <v>6.27521190216767</v>
      </c>
      <c r="F832">
        <v>632.84974928202689</v>
      </c>
      <c r="G832">
        <v>0.42399999999999999</v>
      </c>
      <c r="H832">
        <v>4.3E-3</v>
      </c>
      <c r="I832">
        <v>166.3989</v>
      </c>
    </row>
    <row r="833" spans="1:9" x14ac:dyDescent="0.3">
      <c r="A833" t="s">
        <v>9</v>
      </c>
      <c r="B833" t="s">
        <v>958</v>
      </c>
      <c r="C833">
        <v>3</v>
      </c>
      <c r="D833">
        <v>6.1999999999999998E-3</v>
      </c>
      <c r="E833">
        <v>6.1252321642755998</v>
      </c>
      <c r="F833">
        <v>618.87163771048597</v>
      </c>
      <c r="G833">
        <v>0.42399999999999999</v>
      </c>
      <c r="H833">
        <v>2E-3</v>
      </c>
      <c r="I833">
        <v>166.5993</v>
      </c>
    </row>
    <row r="834" spans="1:9" x14ac:dyDescent="0.3">
      <c r="A834" t="s">
        <v>9</v>
      </c>
      <c r="B834" t="s">
        <v>959</v>
      </c>
      <c r="C834">
        <v>3</v>
      </c>
      <c r="D834">
        <v>2.5999999999999999E-3</v>
      </c>
      <c r="E834">
        <v>6.0284100309555813</v>
      </c>
      <c r="F834">
        <v>609.84781488506019</v>
      </c>
      <c r="G834">
        <v>0.42399999999999999</v>
      </c>
      <c r="H834">
        <v>5.0000000000000001E-4</v>
      </c>
      <c r="I834">
        <v>166.80119999999999</v>
      </c>
    </row>
    <row r="835" spans="1:9" x14ac:dyDescent="0.3">
      <c r="A835" t="s">
        <v>9</v>
      </c>
      <c r="B835" t="s">
        <v>960</v>
      </c>
      <c r="C835">
        <v>3</v>
      </c>
      <c r="D835">
        <v>8.0000000000000004E-4</v>
      </c>
      <c r="E835">
        <v>5.9957337657708347</v>
      </c>
      <c r="F835">
        <v>606.80238696984179</v>
      </c>
      <c r="G835">
        <v>0.42399999999999999</v>
      </c>
      <c r="H835">
        <v>0</v>
      </c>
      <c r="I835">
        <v>166.99940000000001</v>
      </c>
    </row>
    <row r="836" spans="1:9" x14ac:dyDescent="0.3">
      <c r="A836" t="s">
        <v>9</v>
      </c>
      <c r="B836" t="s">
        <v>961</v>
      </c>
      <c r="C836">
        <v>3</v>
      </c>
      <c r="D836">
        <v>4.0000000000000002E-4</v>
      </c>
      <c r="E836">
        <v>6.0284718571355356</v>
      </c>
      <c r="F836">
        <v>712.10197924216243</v>
      </c>
      <c r="G836">
        <v>0.42399999999999999</v>
      </c>
      <c r="H836">
        <v>5.0000000000000001E-4</v>
      </c>
      <c r="I836">
        <v>167.19900000000001</v>
      </c>
    </row>
    <row r="837" spans="1:9" x14ac:dyDescent="0.3">
      <c r="A837" t="s">
        <v>9</v>
      </c>
      <c r="B837" t="s">
        <v>962</v>
      </c>
      <c r="C837">
        <v>3</v>
      </c>
      <c r="D837">
        <v>5.0000000000000001E-4</v>
      </c>
      <c r="E837">
        <v>6.1251441771228574</v>
      </c>
      <c r="F837">
        <v>721.27618240895924</v>
      </c>
      <c r="G837">
        <v>0.42399999999999999</v>
      </c>
      <c r="H837">
        <v>2E-3</v>
      </c>
      <c r="I837">
        <v>167.40049999999999</v>
      </c>
    </row>
    <row r="838" spans="1:9" x14ac:dyDescent="0.3">
      <c r="A838" t="s">
        <v>9</v>
      </c>
      <c r="B838" t="s">
        <v>963</v>
      </c>
      <c r="C838">
        <v>3</v>
      </c>
      <c r="D838">
        <v>1E-3</v>
      </c>
      <c r="E838">
        <v>6.2752244717609189</v>
      </c>
      <c r="F838">
        <v>735.51880237011119</v>
      </c>
      <c r="G838">
        <v>0.42399999999999999</v>
      </c>
      <c r="H838">
        <v>4.3E-3</v>
      </c>
      <c r="I838">
        <v>167.6011</v>
      </c>
    </row>
    <row r="839" spans="1:9" x14ac:dyDescent="0.3">
      <c r="A839" t="s">
        <v>9</v>
      </c>
      <c r="B839" t="s">
        <v>964</v>
      </c>
      <c r="C839">
        <v>3</v>
      </c>
      <c r="D839">
        <v>2.3999999999999998E-3</v>
      </c>
      <c r="E839">
        <v>6.4615889652126102</v>
      </c>
      <c r="F839">
        <v>753.20479279867675</v>
      </c>
      <c r="G839">
        <v>0.42399999999999999</v>
      </c>
      <c r="H839">
        <v>7.1999999999999998E-3</v>
      </c>
      <c r="I839">
        <v>167.7989</v>
      </c>
    </row>
    <row r="840" spans="1:9" x14ac:dyDescent="0.3">
      <c r="A840" t="s">
        <v>9</v>
      </c>
      <c r="B840" t="s">
        <v>965</v>
      </c>
      <c r="C840">
        <v>3</v>
      </c>
      <c r="D840">
        <v>5.4999999999999997E-3</v>
      </c>
      <c r="E840">
        <v>6.6722095298685797</v>
      </c>
      <c r="F840">
        <v>773.19268438452821</v>
      </c>
      <c r="G840">
        <v>0.42399999999999999</v>
      </c>
      <c r="H840">
        <v>1.0500000000000001E-2</v>
      </c>
      <c r="I840">
        <v>168.00069999999999</v>
      </c>
    </row>
    <row r="841" spans="1:9" x14ac:dyDescent="0.3">
      <c r="A841" t="s">
        <v>9</v>
      </c>
      <c r="B841" t="s">
        <v>966</v>
      </c>
      <c r="C841">
        <v>3</v>
      </c>
      <c r="D841">
        <v>8.6E-3</v>
      </c>
      <c r="E841">
        <v>6.8812913330284413</v>
      </c>
      <c r="F841">
        <v>793.03454750439914</v>
      </c>
      <c r="G841">
        <v>0.42399999999999999</v>
      </c>
      <c r="H841">
        <v>1.38E-2</v>
      </c>
      <c r="I841">
        <v>168.20089999999999</v>
      </c>
    </row>
    <row r="842" spans="1:9" x14ac:dyDescent="0.3">
      <c r="A842" t="s">
        <v>9</v>
      </c>
      <c r="B842" t="s">
        <v>967</v>
      </c>
      <c r="C842">
        <v>3</v>
      </c>
      <c r="D842">
        <v>1.1599999999999999E-2</v>
      </c>
      <c r="E842">
        <v>7.0688807536157707</v>
      </c>
      <c r="F842">
        <v>810.83678351813671</v>
      </c>
      <c r="G842">
        <v>0.42399999999999999</v>
      </c>
      <c r="H842">
        <v>1.67E-2</v>
      </c>
      <c r="I842">
        <v>168.40020000000001</v>
      </c>
    </row>
    <row r="843" spans="1:9" x14ac:dyDescent="0.3">
      <c r="A843" t="s">
        <v>9</v>
      </c>
      <c r="B843" t="s">
        <v>968</v>
      </c>
      <c r="C843">
        <v>3</v>
      </c>
      <c r="D843">
        <v>1.41E-2</v>
      </c>
      <c r="E843">
        <v>7.2186442134098119</v>
      </c>
      <c r="F843">
        <v>825.04933585259118</v>
      </c>
      <c r="G843">
        <v>0.42399999999999999</v>
      </c>
      <c r="H843">
        <v>1.9E-2</v>
      </c>
      <c r="I843">
        <v>168.60059999999999</v>
      </c>
    </row>
    <row r="844" spans="1:9" x14ac:dyDescent="0.3">
      <c r="A844" t="s">
        <v>9</v>
      </c>
      <c r="B844" t="s">
        <v>969</v>
      </c>
      <c r="C844">
        <v>3</v>
      </c>
      <c r="D844">
        <v>1.6500000000000001E-2</v>
      </c>
      <c r="E844">
        <v>7.3147736242817629</v>
      </c>
      <c r="F844">
        <v>834.17201694433936</v>
      </c>
      <c r="G844">
        <v>0.42399999999999999</v>
      </c>
      <c r="H844">
        <v>2.0500000000000001E-2</v>
      </c>
      <c r="I844">
        <v>168.80170000000001</v>
      </c>
    </row>
    <row r="845" spans="1:9" x14ac:dyDescent="0.3">
      <c r="A845" t="s">
        <v>9</v>
      </c>
      <c r="B845" t="s">
        <v>970</v>
      </c>
      <c r="C845">
        <v>3</v>
      </c>
      <c r="D845">
        <v>1.7600000000000001E-2</v>
      </c>
      <c r="E845">
        <v>7.3473017042560347</v>
      </c>
      <c r="F845">
        <v>837.25893173389773</v>
      </c>
      <c r="G845">
        <v>0.42399999999999999</v>
      </c>
      <c r="H845">
        <v>2.1000000000000001E-2</v>
      </c>
      <c r="I845">
        <v>168.99889999999999</v>
      </c>
    </row>
    <row r="846" spans="1:9" x14ac:dyDescent="0.3">
      <c r="A846" t="s">
        <v>9</v>
      </c>
      <c r="B846" t="s">
        <v>971</v>
      </c>
      <c r="C846">
        <v>3</v>
      </c>
      <c r="D846">
        <v>1.8599999999999998E-2</v>
      </c>
      <c r="E846">
        <v>7.3144735759267876</v>
      </c>
      <c r="F846">
        <v>729.70893727637667</v>
      </c>
      <c r="G846">
        <v>0.42399999999999999</v>
      </c>
      <c r="H846">
        <v>2.0500000000000001E-2</v>
      </c>
      <c r="I846">
        <v>169.19919999999999</v>
      </c>
    </row>
    <row r="847" spans="1:9" x14ac:dyDescent="0.3">
      <c r="A847" t="s">
        <v>9</v>
      </c>
      <c r="B847" t="s">
        <v>972</v>
      </c>
      <c r="C847">
        <v>3</v>
      </c>
      <c r="D847">
        <v>1.8599999999999998E-2</v>
      </c>
      <c r="E847">
        <v>7.2188092400050463</v>
      </c>
      <c r="F847">
        <v>720.79302116847032</v>
      </c>
      <c r="G847">
        <v>0.42399999999999999</v>
      </c>
      <c r="H847">
        <v>1.9E-2</v>
      </c>
      <c r="I847">
        <v>169.3991</v>
      </c>
    </row>
    <row r="848" spans="1:9" x14ac:dyDescent="0.3">
      <c r="A848" t="s">
        <v>9</v>
      </c>
      <c r="B848" t="s">
        <v>973</v>
      </c>
      <c r="C848">
        <v>3</v>
      </c>
      <c r="D848">
        <v>1.83E-2</v>
      </c>
      <c r="E848">
        <v>7.0685413745980501</v>
      </c>
      <c r="F848">
        <v>706.78805611253824</v>
      </c>
      <c r="G848">
        <v>0.42399999999999999</v>
      </c>
      <c r="H848">
        <v>1.67E-2</v>
      </c>
      <c r="I848">
        <v>169.6002</v>
      </c>
    </row>
    <row r="849" spans="1:9" x14ac:dyDescent="0.3">
      <c r="A849" t="s">
        <v>9</v>
      </c>
      <c r="B849" t="s">
        <v>974</v>
      </c>
      <c r="C849">
        <v>3</v>
      </c>
      <c r="D849">
        <v>1.78E-2</v>
      </c>
      <c r="E849">
        <v>6.8806766393714973</v>
      </c>
      <c r="F849">
        <v>689.27906278942362</v>
      </c>
      <c r="G849">
        <v>0.42399999999999999</v>
      </c>
      <c r="H849">
        <v>1.37E-2</v>
      </c>
      <c r="I849">
        <v>169.7997</v>
      </c>
    </row>
    <row r="850" spans="1:9" x14ac:dyDescent="0.3">
      <c r="A850" t="s">
        <v>9</v>
      </c>
      <c r="B850" t="s">
        <v>975</v>
      </c>
      <c r="C850">
        <v>3</v>
      </c>
      <c r="D850">
        <v>1.7000000000000001E-2</v>
      </c>
      <c r="E850">
        <v>6.6709237821204486</v>
      </c>
      <c r="F850">
        <v>669.73009649362587</v>
      </c>
      <c r="G850">
        <v>0.42399999999999999</v>
      </c>
      <c r="H850">
        <v>1.0500000000000001E-2</v>
      </c>
      <c r="I850">
        <v>170.00059999999999</v>
      </c>
    </row>
    <row r="851" spans="1:9" x14ac:dyDescent="0.3">
      <c r="A851" t="s">
        <v>9</v>
      </c>
      <c r="B851" t="s">
        <v>976</v>
      </c>
      <c r="C851">
        <v>3</v>
      </c>
      <c r="D851">
        <v>1.46E-2</v>
      </c>
      <c r="E851">
        <v>6.4641324832271279</v>
      </c>
      <c r="F851">
        <v>650.45714743676831</v>
      </c>
      <c r="G851">
        <v>0.42399999999999999</v>
      </c>
      <c r="H851">
        <v>7.3000000000000001E-3</v>
      </c>
      <c r="I851">
        <v>170.1986</v>
      </c>
    </row>
    <row r="852" spans="1:9" x14ac:dyDescent="0.3">
      <c r="A852" t="s">
        <v>9</v>
      </c>
      <c r="B852" t="s">
        <v>977</v>
      </c>
      <c r="C852">
        <v>3</v>
      </c>
      <c r="D852">
        <v>1.11E-2</v>
      </c>
      <c r="E852">
        <v>6.2749850412830668</v>
      </c>
      <c r="F852">
        <v>632.8286058475818</v>
      </c>
      <c r="G852">
        <v>0.42399999999999999</v>
      </c>
      <c r="H852">
        <v>4.3E-3</v>
      </c>
      <c r="I852">
        <v>170.39920000000001</v>
      </c>
    </row>
    <row r="853" spans="1:9" x14ac:dyDescent="0.3">
      <c r="A853" t="s">
        <v>9</v>
      </c>
      <c r="B853" t="s">
        <v>978</v>
      </c>
      <c r="C853">
        <v>3</v>
      </c>
      <c r="D853">
        <v>6.6E-3</v>
      </c>
      <c r="E853">
        <v>6.1248126236906124</v>
      </c>
      <c r="F853">
        <v>618.83253652796509</v>
      </c>
      <c r="G853">
        <v>0.42399999999999999</v>
      </c>
      <c r="H853">
        <v>2E-3</v>
      </c>
      <c r="I853">
        <v>170.6</v>
      </c>
    </row>
    <row r="854" spans="1:9" x14ac:dyDescent="0.3">
      <c r="A854" t="s">
        <v>9</v>
      </c>
      <c r="B854" t="s">
        <v>979</v>
      </c>
      <c r="C854">
        <v>3</v>
      </c>
      <c r="D854">
        <v>2.7000000000000001E-3</v>
      </c>
      <c r="E854">
        <v>6.02913881597215</v>
      </c>
      <c r="F854">
        <v>609.91573764860436</v>
      </c>
      <c r="G854">
        <v>0.42399999999999999</v>
      </c>
      <c r="H854">
        <v>5.0000000000000001E-4</v>
      </c>
      <c r="I854">
        <v>170.79900000000001</v>
      </c>
    </row>
    <row r="855" spans="1:9" x14ac:dyDescent="0.3">
      <c r="A855" t="s">
        <v>9</v>
      </c>
      <c r="B855" t="s">
        <v>980</v>
      </c>
      <c r="C855">
        <v>3</v>
      </c>
      <c r="D855">
        <v>1E-3</v>
      </c>
      <c r="E855">
        <v>5.9957387201986281</v>
      </c>
      <c r="F855">
        <v>606.80284872251218</v>
      </c>
      <c r="G855">
        <v>0.42399999999999999</v>
      </c>
      <c r="H855">
        <v>0</v>
      </c>
      <c r="I855">
        <v>171.0025</v>
      </c>
    </row>
    <row r="856" spans="1:9" x14ac:dyDescent="0.3">
      <c r="A856" t="s">
        <v>9</v>
      </c>
      <c r="B856" t="s">
        <v>981</v>
      </c>
      <c r="C856">
        <v>3</v>
      </c>
      <c r="D856">
        <v>-2.9999999999999997E-4</v>
      </c>
      <c r="E856">
        <v>6.0291831623080743</v>
      </c>
      <c r="F856">
        <v>712.16948210303633</v>
      </c>
      <c r="G856">
        <v>0.42399999999999999</v>
      </c>
      <c r="H856">
        <v>5.0000000000000001E-4</v>
      </c>
      <c r="I856">
        <v>171.2011</v>
      </c>
    </row>
    <row r="857" spans="1:9" x14ac:dyDescent="0.3">
      <c r="A857" t="s">
        <v>9</v>
      </c>
      <c r="B857" t="s">
        <v>982</v>
      </c>
      <c r="C857">
        <v>3</v>
      </c>
      <c r="D857">
        <v>-2.9999999999999997E-4</v>
      </c>
      <c r="E857">
        <v>6.1247509921366179</v>
      </c>
      <c r="F857">
        <v>721.23886915376511</v>
      </c>
      <c r="G857">
        <v>0.42399999999999999</v>
      </c>
      <c r="H857">
        <v>2E-3</v>
      </c>
      <c r="I857">
        <v>171.3999</v>
      </c>
    </row>
    <row r="858" spans="1:9" x14ac:dyDescent="0.3">
      <c r="A858" t="s">
        <v>9</v>
      </c>
      <c r="B858" t="s">
        <v>983</v>
      </c>
      <c r="C858">
        <v>3</v>
      </c>
      <c r="D858">
        <v>4.0000000000000002E-4</v>
      </c>
      <c r="E858">
        <v>6.2743493442412754</v>
      </c>
      <c r="F858">
        <v>735.43575276849697</v>
      </c>
      <c r="G858">
        <v>0.42399999999999999</v>
      </c>
      <c r="H858">
        <v>4.3E-3</v>
      </c>
      <c r="I858">
        <v>171.6001</v>
      </c>
    </row>
    <row r="859" spans="1:9" x14ac:dyDescent="0.3">
      <c r="A859" t="s">
        <v>9</v>
      </c>
      <c r="B859" t="s">
        <v>984</v>
      </c>
      <c r="C859">
        <v>3</v>
      </c>
      <c r="D859">
        <v>2.0999999999999999E-3</v>
      </c>
      <c r="E859">
        <v>6.4636597043326711</v>
      </c>
      <c r="F859">
        <v>753.40130594117056</v>
      </c>
      <c r="G859">
        <v>0.42399999999999999</v>
      </c>
      <c r="H859">
        <v>7.3000000000000001E-3</v>
      </c>
      <c r="I859">
        <v>171.80090000000001</v>
      </c>
    </row>
    <row r="860" spans="1:9" x14ac:dyDescent="0.3">
      <c r="A860" t="s">
        <v>9</v>
      </c>
      <c r="B860" t="s">
        <v>985</v>
      </c>
      <c r="C860">
        <v>3</v>
      </c>
      <c r="D860">
        <v>5.4999999999999997E-3</v>
      </c>
      <c r="E860">
        <v>6.6710048762704393</v>
      </c>
      <c r="F860">
        <v>773.07836275806471</v>
      </c>
      <c r="G860">
        <v>0.42399999999999999</v>
      </c>
      <c r="H860">
        <v>1.0500000000000001E-2</v>
      </c>
      <c r="I860">
        <v>171.99950000000001</v>
      </c>
    </row>
    <row r="861" spans="1:9" x14ac:dyDescent="0.3">
      <c r="A861" t="s">
        <v>9</v>
      </c>
      <c r="B861" t="s">
        <v>986</v>
      </c>
      <c r="C861">
        <v>3</v>
      </c>
      <c r="D861">
        <v>8.8000000000000005E-3</v>
      </c>
      <c r="E861">
        <v>6.8807930094767373</v>
      </c>
      <c r="F861">
        <v>792.98725659934246</v>
      </c>
      <c r="G861">
        <v>0.42399999999999999</v>
      </c>
      <c r="H861">
        <v>1.38E-2</v>
      </c>
      <c r="I861">
        <v>172.2004</v>
      </c>
    </row>
    <row r="862" spans="1:9" x14ac:dyDescent="0.3">
      <c r="A862" t="s">
        <v>9</v>
      </c>
      <c r="B862" t="s">
        <v>987</v>
      </c>
      <c r="C862">
        <v>3</v>
      </c>
      <c r="D862">
        <v>1.1599999999999999E-2</v>
      </c>
      <c r="E862">
        <v>7.0688904849137701</v>
      </c>
      <c r="F862">
        <v>810.83770701831679</v>
      </c>
      <c r="G862">
        <v>0.42399999999999999</v>
      </c>
      <c r="H862">
        <v>1.67E-2</v>
      </c>
      <c r="I862">
        <v>172.40020000000001</v>
      </c>
    </row>
    <row r="863" spans="1:9" x14ac:dyDescent="0.3">
      <c r="A863" t="s">
        <v>9</v>
      </c>
      <c r="B863" t="s">
        <v>988</v>
      </c>
      <c r="C863">
        <v>3</v>
      </c>
      <c r="D863">
        <v>1.4200000000000001E-2</v>
      </c>
      <c r="E863">
        <v>7.2177173072753957</v>
      </c>
      <c r="F863">
        <v>824.96137246043509</v>
      </c>
      <c r="G863">
        <v>0.42399999999999999</v>
      </c>
      <c r="H863">
        <v>1.9E-2</v>
      </c>
      <c r="I863">
        <v>172.5992</v>
      </c>
    </row>
    <row r="864" spans="1:9" x14ac:dyDescent="0.3">
      <c r="A864" t="s">
        <v>9</v>
      </c>
      <c r="B864" t="s">
        <v>989</v>
      </c>
      <c r="C864">
        <v>3</v>
      </c>
      <c r="D864">
        <v>1.61E-2</v>
      </c>
      <c r="E864">
        <v>7.3142505670143114</v>
      </c>
      <c r="F864">
        <v>834.12237880965813</v>
      </c>
      <c r="G864">
        <v>0.42399999999999999</v>
      </c>
      <c r="H864">
        <v>2.0500000000000001E-2</v>
      </c>
      <c r="I864">
        <v>172.80009999999999</v>
      </c>
    </row>
    <row r="865" spans="1:9" x14ac:dyDescent="0.3">
      <c r="A865" t="s">
        <v>9</v>
      </c>
      <c r="B865" t="s">
        <v>990</v>
      </c>
      <c r="C865">
        <v>3</v>
      </c>
      <c r="D865">
        <v>1.77E-2</v>
      </c>
      <c r="E865">
        <v>7.3473021097267832</v>
      </c>
      <c r="F865">
        <v>837.25897021307173</v>
      </c>
      <c r="G865">
        <v>0.42399999999999999</v>
      </c>
      <c r="H865">
        <v>2.1000000000000001E-2</v>
      </c>
      <c r="I865">
        <v>172.9992</v>
      </c>
    </row>
    <row r="866" spans="1:9" x14ac:dyDescent="0.3">
      <c r="A866" t="s">
        <v>9</v>
      </c>
      <c r="B866" t="s">
        <v>991</v>
      </c>
      <c r="C866">
        <v>3</v>
      </c>
      <c r="D866">
        <v>1.8200000000000001E-2</v>
      </c>
      <c r="E866">
        <v>7.3145206105337843</v>
      </c>
      <c r="F866">
        <v>729.71332090174872</v>
      </c>
      <c r="G866">
        <v>0.42399999999999999</v>
      </c>
      <c r="H866">
        <v>2.0500000000000001E-2</v>
      </c>
      <c r="I866">
        <v>173.19909999999999</v>
      </c>
    </row>
    <row r="867" spans="1:9" x14ac:dyDescent="0.3">
      <c r="A867" t="s">
        <v>9</v>
      </c>
      <c r="B867" t="s">
        <v>992</v>
      </c>
      <c r="C867">
        <v>3</v>
      </c>
      <c r="D867">
        <v>1.8200000000000001E-2</v>
      </c>
      <c r="E867">
        <v>7.2187176036155547</v>
      </c>
      <c r="F867">
        <v>720.78448065696966</v>
      </c>
      <c r="G867">
        <v>0.42399999999999999</v>
      </c>
      <c r="H867">
        <v>1.9E-2</v>
      </c>
      <c r="I867">
        <v>173.39920000000001</v>
      </c>
    </row>
    <row r="868" spans="1:9" x14ac:dyDescent="0.3">
      <c r="A868" t="s">
        <v>9</v>
      </c>
      <c r="B868" t="s">
        <v>993</v>
      </c>
      <c r="C868">
        <v>3</v>
      </c>
      <c r="D868">
        <v>1.8100000000000002E-2</v>
      </c>
      <c r="E868">
        <v>7.0685316433000516</v>
      </c>
      <c r="F868">
        <v>706.78714915556486</v>
      </c>
      <c r="G868">
        <v>0.42399999999999999</v>
      </c>
      <c r="H868">
        <v>1.67E-2</v>
      </c>
      <c r="I868">
        <v>173.6002</v>
      </c>
    </row>
    <row r="869" spans="1:9" x14ac:dyDescent="0.3">
      <c r="A869" t="s">
        <v>9</v>
      </c>
      <c r="B869" t="s">
        <v>994</v>
      </c>
      <c r="C869">
        <v>3</v>
      </c>
      <c r="D869">
        <v>1.7600000000000001E-2</v>
      </c>
      <c r="E869">
        <v>6.8816258463971609</v>
      </c>
      <c r="F869">
        <v>689.3675288842154</v>
      </c>
      <c r="G869">
        <v>0.42399999999999999</v>
      </c>
      <c r="H869">
        <v>1.38E-2</v>
      </c>
      <c r="I869">
        <v>173.7987</v>
      </c>
    </row>
    <row r="870" spans="1:9" x14ac:dyDescent="0.3">
      <c r="A870" t="s">
        <v>9</v>
      </c>
      <c r="B870" t="s">
        <v>995</v>
      </c>
      <c r="C870">
        <v>3</v>
      </c>
      <c r="D870">
        <v>1.67E-2</v>
      </c>
      <c r="E870">
        <v>6.6718604195528624</v>
      </c>
      <c r="F870">
        <v>669.81739110232684</v>
      </c>
      <c r="G870">
        <v>0.42399999999999999</v>
      </c>
      <c r="H870">
        <v>1.0500000000000001E-2</v>
      </c>
      <c r="I870">
        <v>173.99969999999999</v>
      </c>
    </row>
    <row r="871" spans="1:9" x14ac:dyDescent="0.3">
      <c r="A871" t="s">
        <v>9</v>
      </c>
      <c r="B871" t="s">
        <v>996</v>
      </c>
      <c r="C871">
        <v>3</v>
      </c>
      <c r="D871">
        <v>1.43E-2</v>
      </c>
      <c r="E871">
        <v>6.4610221171041626</v>
      </c>
      <c r="F871">
        <v>650.16726131410803</v>
      </c>
      <c r="G871">
        <v>0.42399999999999999</v>
      </c>
      <c r="H871">
        <v>7.1999999999999998E-3</v>
      </c>
      <c r="I871">
        <v>174.20160000000001</v>
      </c>
    </row>
    <row r="872" spans="1:9" x14ac:dyDescent="0.3">
      <c r="A872" t="s">
        <v>9</v>
      </c>
      <c r="B872" t="s">
        <v>997</v>
      </c>
      <c r="C872">
        <v>3</v>
      </c>
      <c r="D872">
        <v>1.0800000000000001E-2</v>
      </c>
      <c r="E872">
        <v>6.2748917830105739</v>
      </c>
      <c r="F872">
        <v>632.81991417658548</v>
      </c>
      <c r="G872">
        <v>0.42399999999999999</v>
      </c>
      <c r="H872">
        <v>4.3E-3</v>
      </c>
      <c r="I872">
        <v>174.39930000000001</v>
      </c>
    </row>
    <row r="873" spans="1:9" x14ac:dyDescent="0.3">
      <c r="A873" t="s">
        <v>9</v>
      </c>
      <c r="B873" t="s">
        <v>998</v>
      </c>
      <c r="C873">
        <v>3</v>
      </c>
      <c r="D873">
        <v>6.4999999999999997E-3</v>
      </c>
      <c r="E873">
        <v>6.124151665821099</v>
      </c>
      <c r="F873">
        <v>618.77093525452642</v>
      </c>
      <c r="G873">
        <v>0.42399999999999999</v>
      </c>
      <c r="H873">
        <v>2E-3</v>
      </c>
      <c r="I873">
        <v>174.601</v>
      </c>
    </row>
    <row r="874" spans="1:9" x14ac:dyDescent="0.3">
      <c r="A874" t="s">
        <v>9</v>
      </c>
      <c r="B874" t="s">
        <v>999</v>
      </c>
      <c r="C874">
        <v>3</v>
      </c>
      <c r="D874">
        <v>2.7000000000000001E-3</v>
      </c>
      <c r="E874">
        <v>6.0291863452534624</v>
      </c>
      <c r="F874">
        <v>609.92016737762265</v>
      </c>
      <c r="G874">
        <v>0.42399999999999999</v>
      </c>
      <c r="H874">
        <v>5.0000000000000001E-4</v>
      </c>
      <c r="I874">
        <v>174.7988</v>
      </c>
    </row>
    <row r="875" spans="1:9" x14ac:dyDescent="0.3">
      <c r="A875" t="s">
        <v>9</v>
      </c>
      <c r="B875" t="s">
        <v>1000</v>
      </c>
      <c r="C875">
        <v>3</v>
      </c>
      <c r="D875">
        <v>8.0000000000000004E-4</v>
      </c>
      <c r="E875">
        <v>5.9957335240914063</v>
      </c>
      <c r="F875">
        <v>606.80236444531909</v>
      </c>
      <c r="G875">
        <v>0.42399999999999999</v>
      </c>
      <c r="H875">
        <v>0</v>
      </c>
      <c r="I875">
        <v>174.99979999999999</v>
      </c>
    </row>
    <row r="876" spans="1:9" x14ac:dyDescent="0.3">
      <c r="A876" t="s">
        <v>9</v>
      </c>
      <c r="B876" t="s">
        <v>1001</v>
      </c>
      <c r="C876">
        <v>3</v>
      </c>
      <c r="D876">
        <v>1E-4</v>
      </c>
      <c r="E876">
        <v>6.0286507021739304</v>
      </c>
      <c r="F876">
        <v>712.11895163630606</v>
      </c>
      <c r="G876">
        <v>0.42399999999999999</v>
      </c>
      <c r="H876">
        <v>5.0000000000000001E-4</v>
      </c>
      <c r="I876">
        <v>175.1995</v>
      </c>
    </row>
    <row r="877" spans="1:9" x14ac:dyDescent="0.3">
      <c r="A877" t="s">
        <v>9</v>
      </c>
      <c r="B877" t="s">
        <v>1002</v>
      </c>
      <c r="C877">
        <v>3</v>
      </c>
      <c r="D877">
        <v>2.9999999999999997E-4</v>
      </c>
      <c r="E877">
        <v>6.1252190270232996</v>
      </c>
      <c r="F877">
        <v>721.28328566451125</v>
      </c>
      <c r="G877">
        <v>0.42399999999999999</v>
      </c>
      <c r="H877">
        <v>2E-3</v>
      </c>
      <c r="I877">
        <v>175.4007</v>
      </c>
    </row>
    <row r="878" spans="1:9" x14ac:dyDescent="0.3">
      <c r="A878" t="s">
        <v>9</v>
      </c>
      <c r="B878" t="s">
        <v>1003</v>
      </c>
      <c r="C878">
        <v>3</v>
      </c>
      <c r="D878">
        <v>1E-3</v>
      </c>
      <c r="E878">
        <v>6.2749600642848682</v>
      </c>
      <c r="F878">
        <v>735.49371010063408</v>
      </c>
      <c r="G878">
        <v>0.42399999999999999</v>
      </c>
      <c r="H878">
        <v>4.3E-3</v>
      </c>
      <c r="I878">
        <v>175.60079999999999</v>
      </c>
    </row>
    <row r="879" spans="1:9" x14ac:dyDescent="0.3">
      <c r="A879" t="s">
        <v>9</v>
      </c>
      <c r="B879" t="s">
        <v>1004</v>
      </c>
      <c r="C879">
        <v>3</v>
      </c>
      <c r="D879">
        <v>2.5999999999999999E-3</v>
      </c>
      <c r="E879">
        <v>6.4613177052808846</v>
      </c>
      <c r="F879">
        <v>753.179050231156</v>
      </c>
      <c r="G879">
        <v>0.42399999999999999</v>
      </c>
      <c r="H879">
        <v>7.1999999999999998E-3</v>
      </c>
      <c r="I879">
        <v>175.79859999999999</v>
      </c>
    </row>
    <row r="880" spans="1:9" x14ac:dyDescent="0.3">
      <c r="A880" t="s">
        <v>9</v>
      </c>
      <c r="B880" t="s">
        <v>1005</v>
      </c>
      <c r="C880">
        <v>3</v>
      </c>
      <c r="D880">
        <v>5.7999999999999996E-3</v>
      </c>
      <c r="E880">
        <v>6.6741926873066486</v>
      </c>
      <c r="F880">
        <v>773.38088602540108</v>
      </c>
      <c r="G880">
        <v>0.42399999999999999</v>
      </c>
      <c r="H880">
        <v>1.0500000000000001E-2</v>
      </c>
      <c r="I880">
        <v>176.0025</v>
      </c>
    </row>
    <row r="881" spans="1:9" x14ac:dyDescent="0.3">
      <c r="A881" t="s">
        <v>9</v>
      </c>
      <c r="B881" t="s">
        <v>1006</v>
      </c>
      <c r="C881">
        <v>3</v>
      </c>
      <c r="D881">
        <v>8.6999999999999994E-3</v>
      </c>
      <c r="E881">
        <v>6.8813728326491832</v>
      </c>
      <c r="F881">
        <v>793.04228181840756</v>
      </c>
      <c r="G881">
        <v>0.42399999999999999</v>
      </c>
      <c r="H881">
        <v>1.38E-2</v>
      </c>
      <c r="I881">
        <v>176.20099999999999</v>
      </c>
    </row>
    <row r="882" spans="1:9" x14ac:dyDescent="0.3">
      <c r="A882" t="s">
        <v>9</v>
      </c>
      <c r="B882" t="s">
        <v>1007</v>
      </c>
      <c r="C882">
        <v>3</v>
      </c>
      <c r="D882">
        <v>1.1599999999999999E-2</v>
      </c>
      <c r="E882">
        <v>7.067547971260641</v>
      </c>
      <c r="F882">
        <v>810.71030247263491</v>
      </c>
      <c r="G882">
        <v>0.42399999999999999</v>
      </c>
      <c r="H882">
        <v>1.67E-2</v>
      </c>
      <c r="I882">
        <v>176.39859999999999</v>
      </c>
    </row>
    <row r="883" spans="1:9" x14ac:dyDescent="0.3">
      <c r="A883" t="s">
        <v>9</v>
      </c>
      <c r="B883" t="s">
        <v>1008</v>
      </c>
      <c r="C883">
        <v>3</v>
      </c>
      <c r="D883">
        <v>1.3899999999999999E-2</v>
      </c>
      <c r="E883">
        <v>7.2184524257450793</v>
      </c>
      <c r="F883">
        <v>825.03113520320801</v>
      </c>
      <c r="G883">
        <v>0.42399999999999999</v>
      </c>
      <c r="H883">
        <v>1.9E-2</v>
      </c>
      <c r="I883">
        <v>176.6003</v>
      </c>
    </row>
    <row r="884" spans="1:9" x14ac:dyDescent="0.3">
      <c r="A884" t="s">
        <v>9</v>
      </c>
      <c r="B884" t="s">
        <v>1009</v>
      </c>
      <c r="C884">
        <v>3</v>
      </c>
      <c r="D884">
        <v>1.61E-2</v>
      </c>
      <c r="E884">
        <v>7.314056346525077</v>
      </c>
      <c r="F884">
        <v>834.10394728522988</v>
      </c>
      <c r="G884">
        <v>0.42399999999999999</v>
      </c>
      <c r="H884">
        <v>2.0500000000000001E-2</v>
      </c>
      <c r="I884">
        <v>176.79949999999999</v>
      </c>
    </row>
    <row r="885" spans="1:9" x14ac:dyDescent="0.3">
      <c r="A885" t="s">
        <v>9</v>
      </c>
      <c r="B885" t="s">
        <v>1010</v>
      </c>
      <c r="C885">
        <v>3</v>
      </c>
      <c r="D885">
        <v>1.7899999999999999E-2</v>
      </c>
      <c r="E885">
        <v>7.3473025151975344</v>
      </c>
      <c r="F885">
        <v>837.25900869224608</v>
      </c>
      <c r="G885">
        <v>0.42399999999999999</v>
      </c>
      <c r="H885">
        <v>2.1000000000000001E-2</v>
      </c>
      <c r="I885">
        <v>176.99979999999999</v>
      </c>
    </row>
    <row r="886" spans="1:9" x14ac:dyDescent="0.3">
      <c r="A886" t="s">
        <v>9</v>
      </c>
      <c r="B886" t="s">
        <v>1011</v>
      </c>
      <c r="C886">
        <v>3</v>
      </c>
      <c r="D886">
        <v>1.84E-2</v>
      </c>
      <c r="E886">
        <v>7.3143645042950496</v>
      </c>
      <c r="F886">
        <v>729.69877180029869</v>
      </c>
      <c r="G886">
        <v>0.42399999999999999</v>
      </c>
      <c r="H886">
        <v>2.0500000000000001E-2</v>
      </c>
      <c r="I886">
        <v>177.1996</v>
      </c>
    </row>
    <row r="887" spans="1:9" x14ac:dyDescent="0.3">
      <c r="A887" t="s">
        <v>9</v>
      </c>
      <c r="B887" t="s">
        <v>1012</v>
      </c>
      <c r="C887">
        <v>3</v>
      </c>
      <c r="D887">
        <v>1.8499999999999999E-2</v>
      </c>
      <c r="E887">
        <v>7.2175222758446624</v>
      </c>
      <c r="F887">
        <v>720.67307610872251</v>
      </c>
      <c r="G887">
        <v>0.42399999999999999</v>
      </c>
      <c r="H887">
        <v>1.9E-2</v>
      </c>
      <c r="I887">
        <v>177.40110000000001</v>
      </c>
    </row>
    <row r="888" spans="1:9" x14ac:dyDescent="0.3">
      <c r="A888" t="s">
        <v>9</v>
      </c>
      <c r="B888" t="s">
        <v>1013</v>
      </c>
      <c r="C888">
        <v>3</v>
      </c>
      <c r="D888">
        <v>1.8200000000000001E-2</v>
      </c>
      <c r="E888">
        <v>7.0677373261008754</v>
      </c>
      <c r="F888">
        <v>706.71311879260156</v>
      </c>
      <c r="G888">
        <v>0.42399999999999999</v>
      </c>
      <c r="H888">
        <v>1.67E-2</v>
      </c>
      <c r="I888">
        <v>177.60120000000001</v>
      </c>
    </row>
    <row r="889" spans="1:9" x14ac:dyDescent="0.3">
      <c r="A889" t="s">
        <v>9</v>
      </c>
      <c r="B889" t="s">
        <v>1014</v>
      </c>
      <c r="C889">
        <v>3</v>
      </c>
      <c r="D889">
        <v>1.78E-2</v>
      </c>
      <c r="E889">
        <v>6.8795749753438491</v>
      </c>
      <c r="F889">
        <v>689.17638770204678</v>
      </c>
      <c r="G889">
        <v>0.42399999999999999</v>
      </c>
      <c r="H889">
        <v>1.37E-2</v>
      </c>
      <c r="I889">
        <v>177.80080000000001</v>
      </c>
    </row>
    <row r="890" spans="1:9" x14ac:dyDescent="0.3">
      <c r="A890" t="s">
        <v>9</v>
      </c>
      <c r="B890" t="s">
        <v>1015</v>
      </c>
      <c r="C890">
        <v>3</v>
      </c>
      <c r="D890">
        <v>1.7100000000000001E-2</v>
      </c>
      <c r="E890">
        <v>6.6719102924551068</v>
      </c>
      <c r="F890">
        <v>669.82203925681597</v>
      </c>
      <c r="G890">
        <v>0.42399999999999999</v>
      </c>
      <c r="H890">
        <v>1.0500000000000001E-2</v>
      </c>
      <c r="I890">
        <v>177.99959999999999</v>
      </c>
    </row>
    <row r="891" spans="1:9" x14ac:dyDescent="0.3">
      <c r="A891" t="s">
        <v>9</v>
      </c>
      <c r="B891" t="s">
        <v>1016</v>
      </c>
      <c r="C891">
        <v>3</v>
      </c>
      <c r="D891">
        <v>1.46E-2</v>
      </c>
      <c r="E891">
        <v>6.4611084823739047</v>
      </c>
      <c r="F891">
        <v>650.17531055724794</v>
      </c>
      <c r="G891">
        <v>0.42399999999999999</v>
      </c>
      <c r="H891">
        <v>7.1999999999999998E-3</v>
      </c>
      <c r="I891">
        <v>178.20160000000001</v>
      </c>
    </row>
    <row r="892" spans="1:9" x14ac:dyDescent="0.3">
      <c r="A892" t="s">
        <v>9</v>
      </c>
      <c r="B892" t="s">
        <v>1017</v>
      </c>
      <c r="C892">
        <v>3</v>
      </c>
      <c r="D892">
        <v>1.04E-2</v>
      </c>
      <c r="E892">
        <v>6.273580774434719</v>
      </c>
      <c r="F892">
        <v>632.69772817731587</v>
      </c>
      <c r="G892">
        <v>0.42399999999999999</v>
      </c>
      <c r="H892">
        <v>4.3E-3</v>
      </c>
      <c r="I892">
        <v>178.4008</v>
      </c>
    </row>
    <row r="893" spans="1:9" x14ac:dyDescent="0.3">
      <c r="A893" t="s">
        <v>9</v>
      </c>
      <c r="B893" t="s">
        <v>1018</v>
      </c>
      <c r="C893">
        <v>3</v>
      </c>
      <c r="D893">
        <v>7.0000000000000001E-3</v>
      </c>
      <c r="E893">
        <v>6.1246409068280032</v>
      </c>
      <c r="F893">
        <v>618.81653251636988</v>
      </c>
      <c r="G893">
        <v>0.42399999999999999</v>
      </c>
      <c r="H893">
        <v>2E-3</v>
      </c>
      <c r="I893">
        <v>178.6003</v>
      </c>
    </row>
    <row r="894" spans="1:9" x14ac:dyDescent="0.3">
      <c r="A894" t="s">
        <v>9</v>
      </c>
      <c r="B894" t="s">
        <v>1019</v>
      </c>
      <c r="C894">
        <v>3</v>
      </c>
      <c r="D894">
        <v>2.8999999999999998E-3</v>
      </c>
      <c r="E894">
        <v>6.0292787885297452</v>
      </c>
      <c r="F894">
        <v>609.92878309097227</v>
      </c>
      <c r="G894">
        <v>0.42399999999999999</v>
      </c>
      <c r="H894">
        <v>5.0000000000000001E-4</v>
      </c>
      <c r="I894">
        <v>178.79859999999999</v>
      </c>
    </row>
    <row r="895" spans="1:9" x14ac:dyDescent="0.3">
      <c r="A895" t="s">
        <v>9</v>
      </c>
      <c r="B895" t="s">
        <v>1020</v>
      </c>
      <c r="C895">
        <v>3</v>
      </c>
      <c r="D895">
        <v>5.9999999999999995E-4</v>
      </c>
      <c r="E895">
        <v>5.9957334838115024</v>
      </c>
      <c r="F895">
        <v>606.80236069123202</v>
      </c>
      <c r="G895">
        <v>0.42399999999999999</v>
      </c>
      <c r="H895">
        <v>0</v>
      </c>
      <c r="I895">
        <v>178.9999</v>
      </c>
    </row>
    <row r="896" spans="1:9" x14ac:dyDescent="0.3">
      <c r="A896" t="s">
        <v>9</v>
      </c>
      <c r="B896" t="s">
        <v>1021</v>
      </c>
      <c r="C896">
        <v>3</v>
      </c>
      <c r="D896">
        <v>1E-4</v>
      </c>
      <c r="E896">
        <v>6.0284956258308986</v>
      </c>
      <c r="F896">
        <v>712.10423489135235</v>
      </c>
      <c r="G896">
        <v>0.42399999999999999</v>
      </c>
      <c r="H896">
        <v>5.0000000000000001E-4</v>
      </c>
      <c r="I896">
        <v>179.19900000000001</v>
      </c>
    </row>
    <row r="897" spans="1:9" x14ac:dyDescent="0.3">
      <c r="A897" t="s">
        <v>9</v>
      </c>
      <c r="B897" t="s">
        <v>1022</v>
      </c>
      <c r="C897">
        <v>3</v>
      </c>
      <c r="D897">
        <v>1E-4</v>
      </c>
      <c r="E897">
        <v>6.1251047653659603</v>
      </c>
      <c r="F897">
        <v>721.27244223322964</v>
      </c>
      <c r="G897">
        <v>0.42399999999999999</v>
      </c>
      <c r="H897">
        <v>2E-3</v>
      </c>
      <c r="I897">
        <v>179.40049999999999</v>
      </c>
    </row>
    <row r="898" spans="1:9" x14ac:dyDescent="0.3">
      <c r="A898" t="s">
        <v>9</v>
      </c>
      <c r="B898" t="s">
        <v>1023</v>
      </c>
      <c r="C898">
        <v>3</v>
      </c>
      <c r="D898">
        <v>6.9999999999999999E-4</v>
      </c>
      <c r="E898">
        <v>6.2730518378413924</v>
      </c>
      <c r="F898">
        <v>735.31261941114815</v>
      </c>
      <c r="G898">
        <v>0.42399999999999999</v>
      </c>
      <c r="H898">
        <v>4.3E-3</v>
      </c>
      <c r="I898">
        <v>179.5985</v>
      </c>
    </row>
    <row r="899" spans="1:9" x14ac:dyDescent="0.3">
      <c r="A899" t="s">
        <v>9</v>
      </c>
      <c r="B899" t="s">
        <v>1024</v>
      </c>
      <c r="C899">
        <v>3</v>
      </c>
      <c r="D899">
        <v>2.5999999999999999E-3</v>
      </c>
      <c r="E899">
        <v>6.4631727339619651</v>
      </c>
      <c r="F899">
        <v>753.35509245299056</v>
      </c>
      <c r="G899">
        <v>0.42399999999999999</v>
      </c>
      <c r="H899">
        <v>7.3000000000000001E-3</v>
      </c>
      <c r="I899">
        <v>179.8005</v>
      </c>
    </row>
    <row r="900" spans="1:9" x14ac:dyDescent="0.3">
      <c r="A900" t="s">
        <v>9</v>
      </c>
      <c r="B900" t="s">
        <v>1025</v>
      </c>
      <c r="C900">
        <v>3</v>
      </c>
      <c r="D900">
        <v>5.7000000000000002E-3</v>
      </c>
      <c r="E900">
        <v>6.6703686926637493</v>
      </c>
      <c r="F900">
        <v>773.01798893378987</v>
      </c>
      <c r="G900">
        <v>0.42399999999999999</v>
      </c>
      <c r="H900">
        <v>1.0500000000000001E-2</v>
      </c>
      <c r="I900">
        <v>179.99889999999999</v>
      </c>
    </row>
    <row r="901" spans="1:9" x14ac:dyDescent="0.3">
      <c r="A901" t="s">
        <v>9</v>
      </c>
      <c r="B901" t="s">
        <v>1026</v>
      </c>
      <c r="C901">
        <v>3</v>
      </c>
      <c r="D901">
        <v>8.6E-3</v>
      </c>
      <c r="E901">
        <v>6.8791090894521414</v>
      </c>
      <c r="F901">
        <v>792.8274525890082</v>
      </c>
      <c r="G901">
        <v>0.42399999999999999</v>
      </c>
      <c r="H901">
        <v>1.37E-2</v>
      </c>
      <c r="I901">
        <v>180.19880000000001</v>
      </c>
    </row>
    <row r="902" spans="1:9" x14ac:dyDescent="0.3">
      <c r="A902" t="s">
        <v>9</v>
      </c>
      <c r="B902" t="s">
        <v>1027</v>
      </c>
      <c r="C902">
        <v>3</v>
      </c>
      <c r="D902">
        <v>1.1599999999999999E-2</v>
      </c>
      <c r="E902">
        <v>7.0681590156808349</v>
      </c>
      <c r="F902">
        <v>810.76829058811131</v>
      </c>
      <c r="G902">
        <v>0.42399999999999999</v>
      </c>
      <c r="H902">
        <v>1.67E-2</v>
      </c>
      <c r="I902">
        <v>180.39930000000001</v>
      </c>
    </row>
    <row r="903" spans="1:9" x14ac:dyDescent="0.3">
      <c r="A903" t="s">
        <v>9</v>
      </c>
      <c r="B903" t="s">
        <v>1028</v>
      </c>
      <c r="C903">
        <v>3</v>
      </c>
      <c r="D903">
        <v>1.4200000000000001E-2</v>
      </c>
      <c r="E903">
        <v>7.2172331751999401</v>
      </c>
      <c r="F903">
        <v>824.9154283264744</v>
      </c>
      <c r="G903">
        <v>0.42399999999999999</v>
      </c>
      <c r="H903">
        <v>1.9E-2</v>
      </c>
      <c r="I903">
        <v>180.5984</v>
      </c>
    </row>
    <row r="904" spans="1:9" x14ac:dyDescent="0.3">
      <c r="A904" t="s">
        <v>9</v>
      </c>
      <c r="B904" t="s">
        <v>1029</v>
      </c>
      <c r="C904">
        <v>3</v>
      </c>
      <c r="D904">
        <v>1.6E-2</v>
      </c>
      <c r="E904">
        <v>7.3138617205650949</v>
      </c>
      <c r="F904">
        <v>834.0854772816275</v>
      </c>
      <c r="G904">
        <v>0.42399999999999999</v>
      </c>
      <c r="H904">
        <v>2.0500000000000001E-2</v>
      </c>
      <c r="I904">
        <v>180.7989</v>
      </c>
    </row>
    <row r="905" spans="1:9" x14ac:dyDescent="0.3">
      <c r="A905" t="s">
        <v>9</v>
      </c>
      <c r="B905" t="s">
        <v>1030</v>
      </c>
      <c r="C905">
        <v>3</v>
      </c>
      <c r="D905">
        <v>1.7500000000000002E-2</v>
      </c>
      <c r="E905">
        <v>7.3473004878437846</v>
      </c>
      <c r="F905">
        <v>837.25881629637524</v>
      </c>
      <c r="G905">
        <v>0.42399999999999999</v>
      </c>
      <c r="H905">
        <v>2.1000000000000001E-2</v>
      </c>
      <c r="I905">
        <v>180.9984</v>
      </c>
    </row>
    <row r="906" spans="1:9" x14ac:dyDescent="0.3">
      <c r="A906" t="s">
        <v>9</v>
      </c>
      <c r="B906" t="s">
        <v>1031</v>
      </c>
      <c r="C906">
        <v>3</v>
      </c>
      <c r="D906">
        <v>1.8200000000000001E-2</v>
      </c>
      <c r="E906">
        <v>7.3143989693087947</v>
      </c>
      <c r="F906">
        <v>729.70198393957969</v>
      </c>
      <c r="G906">
        <v>0.42399999999999999</v>
      </c>
      <c r="H906">
        <v>2.0500000000000001E-2</v>
      </c>
      <c r="I906">
        <v>181.1995</v>
      </c>
    </row>
    <row r="907" spans="1:9" x14ac:dyDescent="0.3">
      <c r="A907" t="s">
        <v>9</v>
      </c>
      <c r="B907" t="s">
        <v>1032</v>
      </c>
      <c r="C907">
        <v>3</v>
      </c>
      <c r="D907">
        <v>1.83E-2</v>
      </c>
      <c r="E907">
        <v>7.2189576422995314</v>
      </c>
      <c r="F907">
        <v>720.8068522623164</v>
      </c>
      <c r="G907">
        <v>0.42399999999999999</v>
      </c>
      <c r="H907">
        <v>1.9E-2</v>
      </c>
      <c r="I907">
        <v>181.39879999999999</v>
      </c>
    </row>
    <row r="908" spans="1:9" x14ac:dyDescent="0.3">
      <c r="A908" t="s">
        <v>9</v>
      </c>
      <c r="B908" t="s">
        <v>1033</v>
      </c>
      <c r="C908">
        <v>3</v>
      </c>
      <c r="D908">
        <v>1.8200000000000001E-2</v>
      </c>
      <c r="E908">
        <v>7.0659710955140351</v>
      </c>
      <c r="F908">
        <v>706.54850610190806</v>
      </c>
      <c r="G908">
        <v>0.42399999999999999</v>
      </c>
      <c r="H908">
        <v>1.66E-2</v>
      </c>
      <c r="I908">
        <v>181.60319999999999</v>
      </c>
    </row>
    <row r="909" spans="1:9" x14ac:dyDescent="0.3">
      <c r="A909" t="s">
        <v>9</v>
      </c>
      <c r="B909" t="s">
        <v>1034</v>
      </c>
      <c r="C909">
        <v>3</v>
      </c>
      <c r="D909">
        <v>1.77E-2</v>
      </c>
      <c r="E909">
        <v>6.879406704982614</v>
      </c>
      <c r="F909">
        <v>689.1607049043796</v>
      </c>
      <c r="G909">
        <v>0.42399999999999999</v>
      </c>
      <c r="H909">
        <v>1.37E-2</v>
      </c>
      <c r="I909">
        <v>181.80090000000001</v>
      </c>
    </row>
    <row r="910" spans="1:9" x14ac:dyDescent="0.3">
      <c r="A910" t="s">
        <v>9</v>
      </c>
      <c r="B910" t="s">
        <v>1035</v>
      </c>
      <c r="C910">
        <v>3</v>
      </c>
      <c r="D910">
        <v>1.6299999999999999E-2</v>
      </c>
      <c r="E910">
        <v>6.6731149460532473</v>
      </c>
      <c r="F910">
        <v>669.93431297216262</v>
      </c>
      <c r="G910">
        <v>0.42399999999999999</v>
      </c>
      <c r="H910">
        <v>1.0500000000000001E-2</v>
      </c>
      <c r="I910">
        <v>181.99850000000001</v>
      </c>
    </row>
    <row r="911" spans="1:9" x14ac:dyDescent="0.3">
      <c r="A911" t="s">
        <v>9</v>
      </c>
      <c r="B911" t="s">
        <v>1036</v>
      </c>
      <c r="C911">
        <v>3</v>
      </c>
      <c r="D911">
        <v>1.46E-2</v>
      </c>
      <c r="E911">
        <v>6.4639605636291426</v>
      </c>
      <c r="F911">
        <v>650.44112453023615</v>
      </c>
      <c r="G911">
        <v>0.42399999999999999</v>
      </c>
      <c r="H911">
        <v>7.3000000000000001E-3</v>
      </c>
      <c r="I911">
        <v>182.1987</v>
      </c>
    </row>
    <row r="912" spans="1:9" x14ac:dyDescent="0.3">
      <c r="A912" t="s">
        <v>9</v>
      </c>
      <c r="B912" t="s">
        <v>1037</v>
      </c>
      <c r="C912">
        <v>3</v>
      </c>
      <c r="D912">
        <v>1.0999999999999999E-2</v>
      </c>
      <c r="E912">
        <v>6.2740546075531274</v>
      </c>
      <c r="F912">
        <v>632.74188942395153</v>
      </c>
      <c r="G912">
        <v>0.42399999999999999</v>
      </c>
      <c r="H912">
        <v>4.3E-3</v>
      </c>
      <c r="I912">
        <v>182.40029999999999</v>
      </c>
    </row>
    <row r="913" spans="1:9" x14ac:dyDescent="0.3">
      <c r="A913" t="s">
        <v>9</v>
      </c>
      <c r="B913" t="s">
        <v>1038</v>
      </c>
      <c r="C913">
        <v>3</v>
      </c>
      <c r="D913">
        <v>6.1000000000000004E-3</v>
      </c>
      <c r="E913">
        <v>6.125373835755636</v>
      </c>
      <c r="F913">
        <v>618.88484149242527</v>
      </c>
      <c r="G913">
        <v>0.42399999999999999</v>
      </c>
      <c r="H913">
        <v>2E-3</v>
      </c>
      <c r="I913">
        <v>182.59909999999999</v>
      </c>
    </row>
    <row r="914" spans="1:9" x14ac:dyDescent="0.3">
      <c r="A914" t="s">
        <v>9</v>
      </c>
      <c r="B914" t="s">
        <v>1039</v>
      </c>
      <c r="C914">
        <v>3</v>
      </c>
      <c r="D914">
        <v>2.8999999999999998E-3</v>
      </c>
      <c r="E914">
        <v>6.0291852585918511</v>
      </c>
      <c r="F914">
        <v>609.92006610076055</v>
      </c>
      <c r="G914">
        <v>0.42399999999999999</v>
      </c>
      <c r="H914">
        <v>5.0000000000000001E-4</v>
      </c>
      <c r="I914">
        <v>182.7988</v>
      </c>
    </row>
    <row r="915" spans="1:9" x14ac:dyDescent="0.3">
      <c r="A915" t="s">
        <v>9</v>
      </c>
      <c r="B915" t="s">
        <v>1040</v>
      </c>
      <c r="C915">
        <v>3</v>
      </c>
      <c r="D915">
        <v>6.9999999999999999E-4</v>
      </c>
      <c r="E915">
        <v>5.995735940885587</v>
      </c>
      <c r="F915">
        <v>606.80258969053671</v>
      </c>
      <c r="G915">
        <v>0.42399999999999999</v>
      </c>
      <c r="H915">
        <v>0</v>
      </c>
      <c r="I915">
        <v>183.0017</v>
      </c>
    </row>
    <row r="916" spans="1:9" x14ac:dyDescent="0.3">
      <c r="A916" t="s">
        <v>9</v>
      </c>
      <c r="B916" t="s">
        <v>1041</v>
      </c>
      <c r="C916">
        <v>3</v>
      </c>
      <c r="D916">
        <v>-1E-4</v>
      </c>
      <c r="E916">
        <v>6.0283725695129933</v>
      </c>
      <c r="F916">
        <v>712.09255684678305</v>
      </c>
      <c r="G916">
        <v>0.42399999999999999</v>
      </c>
      <c r="H916">
        <v>5.0000000000000001E-4</v>
      </c>
      <c r="I916">
        <v>183.1987</v>
      </c>
    </row>
    <row r="917" spans="1:9" x14ac:dyDescent="0.3">
      <c r="A917" t="s">
        <v>9</v>
      </c>
      <c r="B917" t="s">
        <v>1042</v>
      </c>
      <c r="C917">
        <v>3</v>
      </c>
      <c r="D917">
        <v>1E-4</v>
      </c>
      <c r="E917">
        <v>6.1248449802564604</v>
      </c>
      <c r="F917">
        <v>721.24778862633809</v>
      </c>
      <c r="G917">
        <v>0.42399999999999999</v>
      </c>
      <c r="H917">
        <v>2E-3</v>
      </c>
      <c r="I917">
        <v>183.40010000000001</v>
      </c>
    </row>
    <row r="918" spans="1:9" x14ac:dyDescent="0.3">
      <c r="A918" t="s">
        <v>9</v>
      </c>
      <c r="B918" t="s">
        <v>1043</v>
      </c>
      <c r="C918">
        <v>3</v>
      </c>
      <c r="D918">
        <v>1E-3</v>
      </c>
      <c r="E918">
        <v>6.2738281521392727</v>
      </c>
      <c r="F918">
        <v>735.38629163801704</v>
      </c>
      <c r="G918">
        <v>0.42399999999999999</v>
      </c>
      <c r="H918">
        <v>4.3E-3</v>
      </c>
      <c r="I918">
        <v>183.5994</v>
      </c>
    </row>
    <row r="919" spans="1:9" x14ac:dyDescent="0.3">
      <c r="A919" t="s">
        <v>9</v>
      </c>
      <c r="B919" t="s">
        <v>1044</v>
      </c>
      <c r="C919">
        <v>3</v>
      </c>
      <c r="D919">
        <v>2.8E-3</v>
      </c>
      <c r="E919">
        <v>6.4620074110265717</v>
      </c>
      <c r="F919">
        <v>753.24450330642173</v>
      </c>
      <c r="G919">
        <v>0.42399999999999999</v>
      </c>
      <c r="H919">
        <v>7.1999999999999998E-3</v>
      </c>
      <c r="I919">
        <v>183.79929999999999</v>
      </c>
    </row>
    <row r="920" spans="1:9" x14ac:dyDescent="0.3">
      <c r="A920" t="s">
        <v>9</v>
      </c>
      <c r="B920" t="s">
        <v>1045</v>
      </c>
      <c r="C920">
        <v>3</v>
      </c>
      <c r="D920">
        <v>5.7999999999999996E-3</v>
      </c>
      <c r="E920">
        <v>6.6722573754170753</v>
      </c>
      <c r="F920">
        <v>773.19722492708047</v>
      </c>
      <c r="G920">
        <v>0.42399999999999999</v>
      </c>
      <c r="H920">
        <v>1.0500000000000001E-2</v>
      </c>
      <c r="I920">
        <v>184.00069999999999</v>
      </c>
    </row>
    <row r="921" spans="1:9" x14ac:dyDescent="0.3">
      <c r="A921" t="s">
        <v>9</v>
      </c>
      <c r="B921" t="s">
        <v>1046</v>
      </c>
      <c r="C921">
        <v>3</v>
      </c>
      <c r="D921">
        <v>8.6E-3</v>
      </c>
      <c r="E921">
        <v>6.878904732194159</v>
      </c>
      <c r="F921">
        <v>792.80805908522575</v>
      </c>
      <c r="G921">
        <v>0.42399999999999999</v>
      </c>
      <c r="H921">
        <v>1.37E-2</v>
      </c>
      <c r="I921">
        <v>184.1986</v>
      </c>
    </row>
    <row r="922" spans="1:9" x14ac:dyDescent="0.3">
      <c r="A922" t="s">
        <v>9</v>
      </c>
      <c r="B922" t="s">
        <v>1047</v>
      </c>
      <c r="C922">
        <v>3</v>
      </c>
      <c r="D922">
        <v>1.15E-2</v>
      </c>
      <c r="E922">
        <v>7.0691033570575001</v>
      </c>
      <c r="F922">
        <v>810.85790858475684</v>
      </c>
      <c r="G922">
        <v>0.42399999999999999</v>
      </c>
      <c r="H922">
        <v>1.67E-2</v>
      </c>
      <c r="I922">
        <v>184.40039999999999</v>
      </c>
    </row>
    <row r="923" spans="1:9" x14ac:dyDescent="0.3">
      <c r="A923" t="s">
        <v>9</v>
      </c>
      <c r="B923" t="s">
        <v>1048</v>
      </c>
      <c r="C923">
        <v>3</v>
      </c>
      <c r="D923">
        <v>1.41E-2</v>
      </c>
      <c r="E923">
        <v>7.2187447701558014</v>
      </c>
      <c r="F923">
        <v>825.05887868778564</v>
      </c>
      <c r="G923">
        <v>0.42399999999999999</v>
      </c>
      <c r="H923">
        <v>1.9E-2</v>
      </c>
      <c r="I923">
        <v>184.60079999999999</v>
      </c>
    </row>
    <row r="924" spans="1:9" x14ac:dyDescent="0.3">
      <c r="A924" t="s">
        <v>9</v>
      </c>
      <c r="B924" t="s">
        <v>1049</v>
      </c>
      <c r="C924">
        <v>3</v>
      </c>
      <c r="D924">
        <v>1.6E-2</v>
      </c>
      <c r="E924">
        <v>7.3140766200625764</v>
      </c>
      <c r="F924">
        <v>834.10587124393851</v>
      </c>
      <c r="G924">
        <v>0.42399999999999999</v>
      </c>
      <c r="H924">
        <v>2.0500000000000001E-2</v>
      </c>
      <c r="I924">
        <v>184.79949999999999</v>
      </c>
    </row>
    <row r="925" spans="1:9" x14ac:dyDescent="0.3">
      <c r="A925" t="s">
        <v>9</v>
      </c>
      <c r="B925" t="s">
        <v>1050</v>
      </c>
      <c r="C925">
        <v>3</v>
      </c>
      <c r="D925">
        <v>1.7600000000000001E-2</v>
      </c>
      <c r="E925">
        <v>7.3473025151975344</v>
      </c>
      <c r="F925">
        <v>837.25900869224608</v>
      </c>
      <c r="G925">
        <v>0.42399999999999999</v>
      </c>
      <c r="H925">
        <v>2.1000000000000001E-2</v>
      </c>
      <c r="I925">
        <v>184.99940000000001</v>
      </c>
    </row>
    <row r="926" spans="1:9" x14ac:dyDescent="0.3">
      <c r="A926" t="s">
        <v>9</v>
      </c>
      <c r="B926" t="s">
        <v>1051</v>
      </c>
      <c r="C926">
        <v>3</v>
      </c>
      <c r="D926">
        <v>1.84E-2</v>
      </c>
      <c r="E926">
        <v>7.3142489451313093</v>
      </c>
      <c r="F926">
        <v>729.68800168623807</v>
      </c>
      <c r="G926">
        <v>0.42399999999999999</v>
      </c>
      <c r="H926">
        <v>2.0500000000000001E-2</v>
      </c>
      <c r="I926">
        <v>185.19990000000001</v>
      </c>
    </row>
    <row r="927" spans="1:9" x14ac:dyDescent="0.3">
      <c r="A927" t="s">
        <v>9</v>
      </c>
      <c r="B927" t="s">
        <v>1052</v>
      </c>
      <c r="C927">
        <v>3</v>
      </c>
      <c r="D927">
        <v>1.84E-2</v>
      </c>
      <c r="E927">
        <v>7.2178357047343846</v>
      </c>
      <c r="F927">
        <v>720.70228768124468</v>
      </c>
      <c r="G927">
        <v>0.42399999999999999</v>
      </c>
      <c r="H927">
        <v>1.9E-2</v>
      </c>
      <c r="I927">
        <v>185.4006</v>
      </c>
    </row>
    <row r="928" spans="1:9" x14ac:dyDescent="0.3">
      <c r="A928" t="s">
        <v>9</v>
      </c>
      <c r="B928" t="s">
        <v>1053</v>
      </c>
      <c r="C928">
        <v>3</v>
      </c>
      <c r="D928">
        <v>1.8100000000000002E-2</v>
      </c>
      <c r="E928">
        <v>7.0693198784379776</v>
      </c>
      <c r="F928">
        <v>706.86061267041964</v>
      </c>
      <c r="G928">
        <v>0.42399999999999999</v>
      </c>
      <c r="H928">
        <v>1.67E-2</v>
      </c>
      <c r="I928">
        <v>185.5993</v>
      </c>
    </row>
    <row r="929" spans="1:9" x14ac:dyDescent="0.3">
      <c r="A929" t="s">
        <v>9</v>
      </c>
      <c r="B929" t="s">
        <v>1054</v>
      </c>
      <c r="C929">
        <v>3</v>
      </c>
      <c r="D929">
        <v>1.7600000000000001E-2</v>
      </c>
      <c r="E929">
        <v>6.8819640090026288</v>
      </c>
      <c r="F929">
        <v>689.39904563904497</v>
      </c>
      <c r="G929">
        <v>0.42399999999999999</v>
      </c>
      <c r="H929">
        <v>1.38E-2</v>
      </c>
      <c r="I929">
        <v>185.79839999999999</v>
      </c>
    </row>
    <row r="930" spans="1:9" x14ac:dyDescent="0.3">
      <c r="A930" t="s">
        <v>9</v>
      </c>
      <c r="B930" t="s">
        <v>1055</v>
      </c>
      <c r="C930">
        <v>3</v>
      </c>
      <c r="D930">
        <v>1.6899999999999998E-2</v>
      </c>
      <c r="E930">
        <v>6.6688960228998839</v>
      </c>
      <c r="F930">
        <v>669.54110933426921</v>
      </c>
      <c r="G930">
        <v>0.42399999999999999</v>
      </c>
      <c r="H930">
        <v>1.0500000000000001E-2</v>
      </c>
      <c r="I930">
        <v>186.0025</v>
      </c>
    </row>
    <row r="931" spans="1:9" x14ac:dyDescent="0.3">
      <c r="A931" t="s">
        <v>9</v>
      </c>
      <c r="B931" t="s">
        <v>1056</v>
      </c>
      <c r="C931">
        <v>3</v>
      </c>
      <c r="D931">
        <v>1.47E-2</v>
      </c>
      <c r="E931">
        <v>6.4631642190762157</v>
      </c>
      <c r="F931">
        <v>650.36690521790331</v>
      </c>
      <c r="G931">
        <v>0.42399999999999999</v>
      </c>
      <c r="H931">
        <v>7.3000000000000001E-3</v>
      </c>
      <c r="I931">
        <v>186.1995</v>
      </c>
    </row>
    <row r="932" spans="1:9" x14ac:dyDescent="0.3">
      <c r="A932" t="s">
        <v>9</v>
      </c>
      <c r="B932" t="s">
        <v>1057</v>
      </c>
      <c r="C932">
        <v>3</v>
      </c>
      <c r="D932">
        <v>1.09E-2</v>
      </c>
      <c r="E932">
        <v>6.2743951624360204</v>
      </c>
      <c r="F932">
        <v>632.7736291390371</v>
      </c>
      <c r="G932">
        <v>0.42399999999999999</v>
      </c>
      <c r="H932">
        <v>4.3E-3</v>
      </c>
      <c r="I932">
        <v>186.3999</v>
      </c>
    </row>
    <row r="933" spans="1:9" x14ac:dyDescent="0.3">
      <c r="A933" t="s">
        <v>9</v>
      </c>
      <c r="B933" t="s">
        <v>1058</v>
      </c>
      <c r="C933">
        <v>3</v>
      </c>
      <c r="D933">
        <v>6.8999999999999999E-3</v>
      </c>
      <c r="E933">
        <v>6.1249904226144718</v>
      </c>
      <c r="F933">
        <v>618.84910738766882</v>
      </c>
      <c r="G933">
        <v>0.42399999999999999</v>
      </c>
      <c r="H933">
        <v>2E-3</v>
      </c>
      <c r="I933">
        <v>186.59970000000001</v>
      </c>
    </row>
    <row r="934" spans="1:9" x14ac:dyDescent="0.3">
      <c r="A934" t="s">
        <v>9</v>
      </c>
      <c r="B934" t="s">
        <v>1059</v>
      </c>
      <c r="C934">
        <v>3</v>
      </c>
      <c r="D934">
        <v>2.8999999999999998E-3</v>
      </c>
      <c r="E934">
        <v>6.0289640013130112</v>
      </c>
      <c r="F934">
        <v>609.89944492237271</v>
      </c>
      <c r="G934">
        <v>0.42399999999999999</v>
      </c>
      <c r="H934">
        <v>5.0000000000000001E-4</v>
      </c>
      <c r="I934">
        <v>186.79949999999999</v>
      </c>
    </row>
    <row r="935" spans="1:9" x14ac:dyDescent="0.3">
      <c r="A935" t="s">
        <v>9</v>
      </c>
      <c r="B935" t="s">
        <v>1060</v>
      </c>
      <c r="C935">
        <v>3</v>
      </c>
      <c r="D935">
        <v>8.0000000000000004E-4</v>
      </c>
      <c r="E935">
        <v>5.9957350144477717</v>
      </c>
      <c r="F935">
        <v>606.80250334653238</v>
      </c>
      <c r="G935">
        <v>0.42399999999999999</v>
      </c>
      <c r="H935">
        <v>0</v>
      </c>
      <c r="I935">
        <v>187.00129999999999</v>
      </c>
    </row>
    <row r="936" spans="1:9" x14ac:dyDescent="0.3">
      <c r="A936" t="s">
        <v>9</v>
      </c>
      <c r="B936" t="s">
        <v>1061</v>
      </c>
      <c r="C936">
        <v>3</v>
      </c>
      <c r="D936">
        <v>2.9999999999999997E-4</v>
      </c>
      <c r="E936">
        <v>6.0283573035392566</v>
      </c>
      <c r="F936">
        <v>712.09110810587561</v>
      </c>
      <c r="G936">
        <v>0.42399999999999999</v>
      </c>
      <c r="H936">
        <v>5.0000000000000001E-4</v>
      </c>
      <c r="I936">
        <v>187.1986</v>
      </c>
    </row>
    <row r="937" spans="1:9" x14ac:dyDescent="0.3">
      <c r="A937" t="s">
        <v>9</v>
      </c>
      <c r="B937" t="s">
        <v>1062</v>
      </c>
      <c r="C937">
        <v>3</v>
      </c>
      <c r="D937">
        <v>4.0000000000000002E-4</v>
      </c>
      <c r="E937">
        <v>6.1249490645979749</v>
      </c>
      <c r="F937">
        <v>721.25766623034781</v>
      </c>
      <c r="G937">
        <v>0.42399999999999999</v>
      </c>
      <c r="H937">
        <v>2E-3</v>
      </c>
      <c r="I937">
        <v>187.40020000000001</v>
      </c>
    </row>
    <row r="938" spans="1:9" x14ac:dyDescent="0.3">
      <c r="A938" t="s">
        <v>9</v>
      </c>
      <c r="B938" t="s">
        <v>1063</v>
      </c>
      <c r="C938">
        <v>3</v>
      </c>
      <c r="D938">
        <v>1E-3</v>
      </c>
      <c r="E938">
        <v>6.2736878592597858</v>
      </c>
      <c r="F938">
        <v>735.37297784375369</v>
      </c>
      <c r="G938">
        <v>0.42399999999999999</v>
      </c>
      <c r="H938">
        <v>4.3E-3</v>
      </c>
      <c r="I938">
        <v>187.5993</v>
      </c>
    </row>
    <row r="939" spans="1:9" x14ac:dyDescent="0.3">
      <c r="A939" t="s">
        <v>9</v>
      </c>
      <c r="B939" t="s">
        <v>1064</v>
      </c>
      <c r="C939">
        <v>3</v>
      </c>
      <c r="D939">
        <v>2.5000000000000001E-3</v>
      </c>
      <c r="E939">
        <v>6.4622539372425489</v>
      </c>
      <c r="F939">
        <v>753.26789864431794</v>
      </c>
      <c r="G939">
        <v>0.42399999999999999</v>
      </c>
      <c r="H939">
        <v>7.1999999999999998E-3</v>
      </c>
      <c r="I939">
        <v>187.7996</v>
      </c>
    </row>
    <row r="940" spans="1:9" x14ac:dyDescent="0.3">
      <c r="A940" t="s">
        <v>9</v>
      </c>
      <c r="B940" t="s">
        <v>1065</v>
      </c>
      <c r="C940">
        <v>3</v>
      </c>
      <c r="D940">
        <v>5.7000000000000002E-3</v>
      </c>
      <c r="E940">
        <v>6.6709083742319493</v>
      </c>
      <c r="F940">
        <v>773.06920471461206</v>
      </c>
      <c r="G940">
        <v>0.42399999999999999</v>
      </c>
      <c r="H940">
        <v>1.0500000000000001E-2</v>
      </c>
      <c r="I940">
        <v>187.99940000000001</v>
      </c>
    </row>
    <row r="941" spans="1:9" x14ac:dyDescent="0.3">
      <c r="A941" t="s">
        <v>9</v>
      </c>
      <c r="B941" t="s">
        <v>1066</v>
      </c>
      <c r="C941">
        <v>3</v>
      </c>
      <c r="D941">
        <v>8.6E-3</v>
      </c>
      <c r="E941">
        <v>6.8788374240496646</v>
      </c>
      <c r="F941">
        <v>792.80167154231322</v>
      </c>
      <c r="G941">
        <v>0.42399999999999999</v>
      </c>
      <c r="H941">
        <v>1.37E-2</v>
      </c>
      <c r="I941">
        <v>188.1985</v>
      </c>
    </row>
    <row r="942" spans="1:9" x14ac:dyDescent="0.3">
      <c r="A942" t="s">
        <v>9</v>
      </c>
      <c r="B942" t="s">
        <v>1067</v>
      </c>
      <c r="C942">
        <v>3</v>
      </c>
      <c r="D942">
        <v>1.1599999999999999E-2</v>
      </c>
      <c r="E942">
        <v>7.0690628099825039</v>
      </c>
      <c r="F942">
        <v>810.8540606673397</v>
      </c>
      <c r="G942">
        <v>0.42399999999999999</v>
      </c>
      <c r="H942">
        <v>1.67E-2</v>
      </c>
      <c r="I942">
        <v>188.40039999999999</v>
      </c>
    </row>
    <row r="943" spans="1:9" x14ac:dyDescent="0.3">
      <c r="A943" t="s">
        <v>9</v>
      </c>
      <c r="B943" t="s">
        <v>1068</v>
      </c>
      <c r="C943">
        <v>3</v>
      </c>
      <c r="D943">
        <v>1.41E-2</v>
      </c>
      <c r="E943">
        <v>7.2181949518188544</v>
      </c>
      <c r="F943">
        <v>825.00670092760924</v>
      </c>
      <c r="G943">
        <v>0.42399999999999999</v>
      </c>
      <c r="H943">
        <v>1.9E-2</v>
      </c>
      <c r="I943">
        <v>188.59989999999999</v>
      </c>
    </row>
    <row r="944" spans="1:9" x14ac:dyDescent="0.3">
      <c r="A944" t="s">
        <v>9</v>
      </c>
      <c r="B944" t="s">
        <v>1069</v>
      </c>
      <c r="C944">
        <v>3</v>
      </c>
      <c r="D944">
        <v>1.6E-2</v>
      </c>
      <c r="E944">
        <v>7.3140230979235792</v>
      </c>
      <c r="F944">
        <v>834.10079199294773</v>
      </c>
      <c r="G944">
        <v>0.42399999999999999</v>
      </c>
      <c r="H944">
        <v>2.0500000000000001E-2</v>
      </c>
      <c r="I944">
        <v>188.79939999999999</v>
      </c>
    </row>
    <row r="945" spans="1:9" x14ac:dyDescent="0.3">
      <c r="A945" t="s">
        <v>9</v>
      </c>
      <c r="B945" t="s">
        <v>1070</v>
      </c>
      <c r="C945">
        <v>3</v>
      </c>
      <c r="D945">
        <v>1.7600000000000001E-2</v>
      </c>
      <c r="E945">
        <v>7.3473012987852826</v>
      </c>
      <c r="F945">
        <v>837.25889325472349</v>
      </c>
      <c r="G945">
        <v>0.42399999999999999</v>
      </c>
      <c r="H945">
        <v>2.1000000000000001E-2</v>
      </c>
      <c r="I945">
        <v>188.99860000000001</v>
      </c>
    </row>
    <row r="946" spans="1:9" x14ac:dyDescent="0.3">
      <c r="A946" t="s">
        <v>9</v>
      </c>
      <c r="B946" t="s">
        <v>1071</v>
      </c>
      <c r="C946">
        <v>3</v>
      </c>
      <c r="D946">
        <v>1.8100000000000002E-2</v>
      </c>
      <c r="E946">
        <v>7.3144297850857916</v>
      </c>
      <c r="F946">
        <v>729.70485596999583</v>
      </c>
      <c r="G946">
        <v>0.42399999999999999</v>
      </c>
      <c r="H946">
        <v>2.0500000000000001E-2</v>
      </c>
      <c r="I946">
        <v>189.1994</v>
      </c>
    </row>
    <row r="947" spans="1:9" x14ac:dyDescent="0.3">
      <c r="A947" t="s">
        <v>9</v>
      </c>
      <c r="B947" t="s">
        <v>1072</v>
      </c>
      <c r="C947">
        <v>3</v>
      </c>
      <c r="D947">
        <v>1.7999999999999999E-2</v>
      </c>
      <c r="E947">
        <v>7.2172939958124349</v>
      </c>
      <c r="F947">
        <v>720.65180040971893</v>
      </c>
      <c r="G947">
        <v>0.42399999999999999</v>
      </c>
      <c r="H947">
        <v>1.9E-2</v>
      </c>
      <c r="I947">
        <v>189.4015</v>
      </c>
    </row>
    <row r="948" spans="1:9" x14ac:dyDescent="0.3">
      <c r="A948" t="s">
        <v>9</v>
      </c>
      <c r="B948" t="s">
        <v>1073</v>
      </c>
      <c r="C948">
        <v>3</v>
      </c>
      <c r="D948">
        <v>1.7899999999999999E-2</v>
      </c>
      <c r="E948">
        <v>7.0701433895311547</v>
      </c>
      <c r="F948">
        <v>706.93736390430365</v>
      </c>
      <c r="G948">
        <v>0.42399999999999999</v>
      </c>
      <c r="H948">
        <v>1.67E-2</v>
      </c>
      <c r="I948">
        <v>189.59829999999999</v>
      </c>
    </row>
    <row r="949" spans="1:9" x14ac:dyDescent="0.3">
      <c r="A949" t="s">
        <v>9</v>
      </c>
      <c r="B949" t="s">
        <v>1074</v>
      </c>
      <c r="C949">
        <v>3</v>
      </c>
      <c r="D949">
        <v>1.7399999999999999E-2</v>
      </c>
      <c r="E949">
        <v>6.8801292538590468</v>
      </c>
      <c r="F949">
        <v>689.22804645966323</v>
      </c>
      <c r="G949">
        <v>0.42399999999999999</v>
      </c>
      <c r="H949">
        <v>1.37E-2</v>
      </c>
      <c r="I949">
        <v>189.80019999999999</v>
      </c>
    </row>
    <row r="950" spans="1:9" x14ac:dyDescent="0.3">
      <c r="A950" t="s">
        <v>9</v>
      </c>
      <c r="B950" t="s">
        <v>1075</v>
      </c>
      <c r="C950">
        <v>3</v>
      </c>
      <c r="D950">
        <v>1.66E-2</v>
      </c>
      <c r="E950">
        <v>6.6710081200364391</v>
      </c>
      <c r="F950">
        <v>669.73795678739612</v>
      </c>
      <c r="G950">
        <v>0.42399999999999999</v>
      </c>
      <c r="H950">
        <v>1.0500000000000001E-2</v>
      </c>
      <c r="I950">
        <v>190.00049999999999</v>
      </c>
    </row>
    <row r="951" spans="1:9" x14ac:dyDescent="0.3">
      <c r="A951" t="s">
        <v>9</v>
      </c>
      <c r="B951" t="s">
        <v>1076</v>
      </c>
      <c r="C951">
        <v>3</v>
      </c>
      <c r="D951">
        <v>1.43E-2</v>
      </c>
      <c r="E951">
        <v>6.4618780658573334</v>
      </c>
      <c r="F951">
        <v>650.2470357379035</v>
      </c>
      <c r="G951">
        <v>0.42399999999999999</v>
      </c>
      <c r="H951">
        <v>7.1999999999999998E-3</v>
      </c>
      <c r="I951">
        <v>190.20079999999999</v>
      </c>
    </row>
    <row r="952" spans="1:9" x14ac:dyDescent="0.3">
      <c r="A952" t="s">
        <v>9</v>
      </c>
      <c r="B952" t="s">
        <v>1077</v>
      </c>
      <c r="C952">
        <v>3</v>
      </c>
      <c r="D952">
        <v>1.0800000000000001E-2</v>
      </c>
      <c r="E952">
        <v>6.2751868440753231</v>
      </c>
      <c r="F952">
        <v>632.84741386782014</v>
      </c>
      <c r="G952">
        <v>0.42399999999999999</v>
      </c>
      <c r="H952">
        <v>4.3E-3</v>
      </c>
      <c r="I952">
        <v>190.399</v>
      </c>
    </row>
    <row r="953" spans="1:9" x14ac:dyDescent="0.3">
      <c r="A953" t="s">
        <v>9</v>
      </c>
      <c r="B953" t="s">
        <v>1078</v>
      </c>
      <c r="C953">
        <v>3</v>
      </c>
      <c r="D953">
        <v>6.3E-3</v>
      </c>
      <c r="E953">
        <v>6.1255054110139984</v>
      </c>
      <c r="F953">
        <v>618.89710430650462</v>
      </c>
      <c r="G953">
        <v>0.42399999999999999</v>
      </c>
      <c r="H953">
        <v>2E-3</v>
      </c>
      <c r="I953">
        <v>190.59889999999999</v>
      </c>
    </row>
    <row r="954" spans="1:9" x14ac:dyDescent="0.3">
      <c r="A954" t="s">
        <v>9</v>
      </c>
      <c r="B954" t="s">
        <v>1079</v>
      </c>
      <c r="C954">
        <v>3</v>
      </c>
      <c r="D954">
        <v>2.8E-3</v>
      </c>
      <c r="E954">
        <v>6.0293702627309367</v>
      </c>
      <c r="F954">
        <v>609.93730848652331</v>
      </c>
      <c r="G954">
        <v>0.42399999999999999</v>
      </c>
      <c r="H954">
        <v>5.0000000000000001E-4</v>
      </c>
      <c r="I954">
        <v>190.79830000000001</v>
      </c>
    </row>
    <row r="955" spans="1:9" x14ac:dyDescent="0.3">
      <c r="A955" t="s">
        <v>9</v>
      </c>
      <c r="B955" t="s">
        <v>1080</v>
      </c>
      <c r="C955">
        <v>3</v>
      </c>
      <c r="D955">
        <v>8.9999999999999998E-4</v>
      </c>
      <c r="E955">
        <v>5.9957337657708347</v>
      </c>
      <c r="F955">
        <v>606.80238696984179</v>
      </c>
      <c r="G955">
        <v>0.42399999999999999</v>
      </c>
      <c r="H955">
        <v>0</v>
      </c>
      <c r="I955">
        <v>190.99940000000001</v>
      </c>
    </row>
    <row r="956" spans="1:9" x14ac:dyDescent="0.3">
      <c r="A956" t="s">
        <v>9</v>
      </c>
      <c r="B956" t="s">
        <v>1081</v>
      </c>
      <c r="C956">
        <v>3</v>
      </c>
      <c r="D956">
        <v>0</v>
      </c>
      <c r="E956">
        <v>6.0282787192532066</v>
      </c>
      <c r="F956">
        <v>712.08365045712947</v>
      </c>
      <c r="G956">
        <v>0.42399999999999999</v>
      </c>
      <c r="H956">
        <v>5.0000000000000001E-4</v>
      </c>
      <c r="I956">
        <v>191.19839999999999</v>
      </c>
    </row>
    <row r="957" spans="1:9" x14ac:dyDescent="0.3">
      <c r="A957" t="s">
        <v>9</v>
      </c>
      <c r="B957" t="s">
        <v>1082</v>
      </c>
      <c r="C957">
        <v>3</v>
      </c>
      <c r="D957">
        <v>2.0000000000000001E-4</v>
      </c>
      <c r="E957">
        <v>6.1238303707988271</v>
      </c>
      <c r="F957">
        <v>721.15150218880876</v>
      </c>
      <c r="G957">
        <v>0.42399999999999999</v>
      </c>
      <c r="H957">
        <v>2E-3</v>
      </c>
      <c r="I957">
        <v>191.39850000000001</v>
      </c>
    </row>
    <row r="958" spans="1:9" x14ac:dyDescent="0.3">
      <c r="A958" t="s">
        <v>9</v>
      </c>
      <c r="B958" t="s">
        <v>1083</v>
      </c>
      <c r="C958">
        <v>3</v>
      </c>
      <c r="D958">
        <v>8.9999999999999998E-4</v>
      </c>
      <c r="E958">
        <v>6.2737809147969017</v>
      </c>
      <c r="F958">
        <v>735.38180881422602</v>
      </c>
      <c r="G958">
        <v>0.42399999999999999</v>
      </c>
      <c r="H958">
        <v>4.3E-3</v>
      </c>
      <c r="I958">
        <v>191.5994</v>
      </c>
    </row>
    <row r="959" spans="1:9" x14ac:dyDescent="0.3">
      <c r="A959" t="s">
        <v>9</v>
      </c>
      <c r="B959" t="s">
        <v>1084</v>
      </c>
      <c r="C959">
        <v>3</v>
      </c>
      <c r="D959">
        <v>2.5999999999999999E-3</v>
      </c>
      <c r="E959">
        <v>6.4623832824117873</v>
      </c>
      <c r="F959">
        <v>753.28017350087862</v>
      </c>
      <c r="G959">
        <v>0.42399999999999999</v>
      </c>
      <c r="H959">
        <v>7.3000000000000001E-3</v>
      </c>
      <c r="I959">
        <v>191.7997</v>
      </c>
    </row>
    <row r="960" spans="1:9" x14ac:dyDescent="0.3">
      <c r="A960" t="s">
        <v>9</v>
      </c>
      <c r="B960" t="s">
        <v>1085</v>
      </c>
      <c r="C960">
        <v>3</v>
      </c>
      <c r="D960">
        <v>5.7999999999999996E-3</v>
      </c>
      <c r="E960">
        <v>6.6719102924551068</v>
      </c>
      <c r="F960">
        <v>773.1642867539897</v>
      </c>
      <c r="G960">
        <v>0.42399999999999999</v>
      </c>
      <c r="H960">
        <v>1.0500000000000001E-2</v>
      </c>
      <c r="I960">
        <v>192.00040000000001</v>
      </c>
    </row>
    <row r="961" spans="1:9" x14ac:dyDescent="0.3">
      <c r="A961" t="s">
        <v>9</v>
      </c>
      <c r="B961" t="s">
        <v>1086</v>
      </c>
      <c r="C961">
        <v>3</v>
      </c>
      <c r="D961">
        <v>8.6E-3</v>
      </c>
      <c r="E961">
        <v>6.879418058163612</v>
      </c>
      <c r="F961">
        <v>792.85677371972679</v>
      </c>
      <c r="G961">
        <v>0.42399999999999999</v>
      </c>
      <c r="H961">
        <v>1.37E-2</v>
      </c>
      <c r="I961">
        <v>192.19909999999999</v>
      </c>
    </row>
    <row r="962" spans="1:9" x14ac:dyDescent="0.3">
      <c r="A962" t="s">
        <v>9</v>
      </c>
      <c r="B962" t="s">
        <v>1087</v>
      </c>
      <c r="C962">
        <v>3</v>
      </c>
      <c r="D962">
        <v>1.15E-2</v>
      </c>
      <c r="E962">
        <v>7.0685223174728016</v>
      </c>
      <c r="F962">
        <v>810.80276792816892</v>
      </c>
      <c r="G962">
        <v>0.42399999999999999</v>
      </c>
      <c r="H962">
        <v>1.67E-2</v>
      </c>
      <c r="I962">
        <v>192.3997</v>
      </c>
    </row>
    <row r="963" spans="1:9" x14ac:dyDescent="0.3">
      <c r="A963" t="s">
        <v>9</v>
      </c>
      <c r="B963" t="s">
        <v>1088</v>
      </c>
      <c r="C963">
        <v>3</v>
      </c>
      <c r="D963">
        <v>1.41E-2</v>
      </c>
      <c r="E963">
        <v>7.217473619354668</v>
      </c>
      <c r="F963">
        <v>824.93824647675808</v>
      </c>
      <c r="G963">
        <v>0.42399999999999999</v>
      </c>
      <c r="H963">
        <v>1.9E-2</v>
      </c>
      <c r="I963">
        <v>192.59880000000001</v>
      </c>
    </row>
    <row r="964" spans="1:9" x14ac:dyDescent="0.3">
      <c r="A964" t="s">
        <v>9</v>
      </c>
      <c r="B964" t="s">
        <v>1089</v>
      </c>
      <c r="C964">
        <v>3</v>
      </c>
      <c r="D964">
        <v>1.6E-2</v>
      </c>
      <c r="E964">
        <v>7.3142311044183108</v>
      </c>
      <c r="F964">
        <v>834.12053180929774</v>
      </c>
      <c r="G964">
        <v>0.42399999999999999</v>
      </c>
      <c r="H964">
        <v>2.0500000000000001E-2</v>
      </c>
      <c r="I964">
        <v>192.8</v>
      </c>
    </row>
    <row r="965" spans="1:9" x14ac:dyDescent="0.3">
      <c r="A965" t="s">
        <v>9</v>
      </c>
      <c r="B965" t="s">
        <v>1090</v>
      </c>
      <c r="C965">
        <v>3</v>
      </c>
      <c r="D965">
        <v>1.7399999999999999E-2</v>
      </c>
      <c r="E965">
        <v>7.3473025151975344</v>
      </c>
      <c r="F965">
        <v>837.25900869224608</v>
      </c>
      <c r="G965">
        <v>0.42399999999999999</v>
      </c>
      <c r="H965">
        <v>2.1000000000000001E-2</v>
      </c>
      <c r="I965">
        <v>192.99940000000001</v>
      </c>
    </row>
    <row r="966" spans="1:9" x14ac:dyDescent="0.3">
      <c r="A966" t="s">
        <v>9</v>
      </c>
      <c r="B966" t="s">
        <v>1091</v>
      </c>
      <c r="C966">
        <v>3</v>
      </c>
      <c r="D966">
        <v>1.8200000000000001E-2</v>
      </c>
      <c r="E966">
        <v>7.3139667374893342</v>
      </c>
      <c r="F966">
        <v>729.66169993400592</v>
      </c>
      <c r="G966">
        <v>0.42399999999999999</v>
      </c>
      <c r="H966">
        <v>2.0500000000000001E-2</v>
      </c>
      <c r="I966">
        <v>193.20079999999999</v>
      </c>
    </row>
    <row r="967" spans="1:9" x14ac:dyDescent="0.3">
      <c r="A967" t="s">
        <v>9</v>
      </c>
      <c r="B967" t="s">
        <v>1092</v>
      </c>
      <c r="C967">
        <v>3</v>
      </c>
      <c r="D967">
        <v>1.83E-2</v>
      </c>
      <c r="E967">
        <v>7.2174934874214154</v>
      </c>
      <c r="F967">
        <v>720.67039302767591</v>
      </c>
      <c r="G967">
        <v>0.42399999999999999</v>
      </c>
      <c r="H967">
        <v>1.9E-2</v>
      </c>
      <c r="I967">
        <v>193.40119999999999</v>
      </c>
    </row>
    <row r="968" spans="1:9" x14ac:dyDescent="0.3">
      <c r="A968" t="s">
        <v>9</v>
      </c>
      <c r="B968" t="s">
        <v>1093</v>
      </c>
      <c r="C968">
        <v>3</v>
      </c>
      <c r="D968">
        <v>1.8200000000000001E-2</v>
      </c>
      <c r="E968">
        <v>7.0699503854541712</v>
      </c>
      <c r="F968">
        <v>706.91937592432873</v>
      </c>
      <c r="G968">
        <v>0.42399999999999999</v>
      </c>
      <c r="H968">
        <v>1.67E-2</v>
      </c>
      <c r="I968">
        <v>193.5986</v>
      </c>
    </row>
    <row r="969" spans="1:9" x14ac:dyDescent="0.3">
      <c r="A969" t="s">
        <v>9</v>
      </c>
      <c r="B969" t="s">
        <v>1094</v>
      </c>
      <c r="C969">
        <v>3</v>
      </c>
      <c r="D969">
        <v>1.77E-2</v>
      </c>
      <c r="E969">
        <v>6.881960765236629</v>
      </c>
      <c r="F969">
        <v>689.39874332005388</v>
      </c>
      <c r="G969">
        <v>0.42399999999999999</v>
      </c>
      <c r="H969">
        <v>1.38E-2</v>
      </c>
      <c r="I969">
        <v>193.79839999999999</v>
      </c>
    </row>
    <row r="970" spans="1:9" x14ac:dyDescent="0.3">
      <c r="A970" t="s">
        <v>9</v>
      </c>
      <c r="B970" t="s">
        <v>1095</v>
      </c>
      <c r="C970">
        <v>3</v>
      </c>
      <c r="D970">
        <v>1.66E-2</v>
      </c>
      <c r="E970">
        <v>6.6726044583790429</v>
      </c>
      <c r="F970">
        <v>669.88673552092678</v>
      </c>
      <c r="G970">
        <v>0.42399999999999999</v>
      </c>
      <c r="H970">
        <v>1.0500000000000001E-2</v>
      </c>
      <c r="I970">
        <v>193.999</v>
      </c>
    </row>
    <row r="971" spans="1:9" x14ac:dyDescent="0.3">
      <c r="A971" t="s">
        <v>9</v>
      </c>
      <c r="B971" t="s">
        <v>1096</v>
      </c>
      <c r="C971">
        <v>3</v>
      </c>
      <c r="D971">
        <v>1.44E-2</v>
      </c>
      <c r="E971">
        <v>6.4644759169523454</v>
      </c>
      <c r="F971">
        <v>650.48915545995862</v>
      </c>
      <c r="G971">
        <v>0.42399999999999999</v>
      </c>
      <c r="H971">
        <v>7.3000000000000001E-3</v>
      </c>
      <c r="I971">
        <v>194.19820000000001</v>
      </c>
    </row>
    <row r="972" spans="1:9" x14ac:dyDescent="0.3">
      <c r="A972" t="s">
        <v>9</v>
      </c>
      <c r="B972" t="s">
        <v>1097</v>
      </c>
      <c r="C972">
        <v>3</v>
      </c>
      <c r="D972">
        <v>1.0800000000000001E-2</v>
      </c>
      <c r="E972">
        <v>6.2754945152803954</v>
      </c>
      <c r="F972">
        <v>632.87608882413292</v>
      </c>
      <c r="G972">
        <v>0.42399999999999999</v>
      </c>
      <c r="H972">
        <v>4.3E-3</v>
      </c>
      <c r="I972">
        <v>194.39859999999999</v>
      </c>
    </row>
    <row r="973" spans="1:9" x14ac:dyDescent="0.3">
      <c r="A973" t="s">
        <v>9</v>
      </c>
      <c r="B973" t="s">
        <v>1098</v>
      </c>
      <c r="C973">
        <v>3</v>
      </c>
      <c r="D973">
        <v>6.7000000000000002E-3</v>
      </c>
      <c r="E973">
        <v>6.1247459237522426</v>
      </c>
      <c r="F973">
        <v>618.826320093709</v>
      </c>
      <c r="G973">
        <v>0.42399999999999999</v>
      </c>
      <c r="H973">
        <v>2E-3</v>
      </c>
      <c r="I973">
        <v>194.6001</v>
      </c>
    </row>
    <row r="974" spans="1:9" x14ac:dyDescent="0.3">
      <c r="A974" t="s">
        <v>9</v>
      </c>
      <c r="B974" t="s">
        <v>1099</v>
      </c>
      <c r="C974">
        <v>3</v>
      </c>
      <c r="D974">
        <v>2.3999999999999998E-3</v>
      </c>
      <c r="E974">
        <v>6.0293665161812076</v>
      </c>
      <c r="F974">
        <v>609.9369593080886</v>
      </c>
      <c r="G974">
        <v>0.42399999999999999</v>
      </c>
      <c r="H974">
        <v>5.0000000000000001E-4</v>
      </c>
      <c r="I974">
        <v>194.79830000000001</v>
      </c>
    </row>
    <row r="975" spans="1:9" x14ac:dyDescent="0.3">
      <c r="A975" t="s">
        <v>9</v>
      </c>
      <c r="B975" t="s">
        <v>1100</v>
      </c>
      <c r="C975">
        <v>3</v>
      </c>
      <c r="D975">
        <v>8.9999999999999998E-4</v>
      </c>
      <c r="E975">
        <v>5.9957347324886827</v>
      </c>
      <c r="F975">
        <v>606.80247706794523</v>
      </c>
      <c r="G975">
        <v>0.42399999999999999</v>
      </c>
      <c r="H975">
        <v>0</v>
      </c>
      <c r="I975">
        <v>195.00120000000001</v>
      </c>
    </row>
    <row r="976" spans="1:9" x14ac:dyDescent="0.3">
      <c r="A976" t="s">
        <v>9</v>
      </c>
      <c r="B976" t="s">
        <v>1101</v>
      </c>
      <c r="C976">
        <v>3</v>
      </c>
      <c r="D976">
        <v>0</v>
      </c>
      <c r="E976">
        <v>6.0283900128646559</v>
      </c>
      <c r="F976">
        <v>712.09421222085587</v>
      </c>
      <c r="G976">
        <v>0.42399999999999999</v>
      </c>
      <c r="H976">
        <v>5.0000000000000001E-4</v>
      </c>
      <c r="I976">
        <v>195.1987</v>
      </c>
    </row>
    <row r="977" spans="1:9" x14ac:dyDescent="0.3">
      <c r="A977" t="s">
        <v>9</v>
      </c>
      <c r="B977" t="s">
        <v>1102</v>
      </c>
      <c r="C977">
        <v>3</v>
      </c>
      <c r="D977">
        <v>2.0000000000000001E-4</v>
      </c>
      <c r="E977">
        <v>6.1239461732450167</v>
      </c>
      <c r="F977">
        <v>721.16249184095216</v>
      </c>
      <c r="G977">
        <v>0.42399999999999999</v>
      </c>
      <c r="H977">
        <v>2E-3</v>
      </c>
      <c r="I977">
        <v>195.39859999999999</v>
      </c>
    </row>
    <row r="978" spans="1:9" x14ac:dyDescent="0.3">
      <c r="A978" t="s">
        <v>9</v>
      </c>
      <c r="B978" t="s">
        <v>1103</v>
      </c>
      <c r="C978">
        <v>3</v>
      </c>
      <c r="D978">
        <v>6.9999999999999999E-4</v>
      </c>
      <c r="E978">
        <v>6.2738073514897987</v>
      </c>
      <c r="F978">
        <v>735.38431765638188</v>
      </c>
      <c r="G978">
        <v>0.42399999999999999</v>
      </c>
      <c r="H978">
        <v>4.3E-3</v>
      </c>
      <c r="I978">
        <v>195.5994</v>
      </c>
    </row>
    <row r="979" spans="1:9" x14ac:dyDescent="0.3">
      <c r="A979" t="s">
        <v>9</v>
      </c>
      <c r="B979" t="s">
        <v>1104</v>
      </c>
      <c r="C979">
        <v>3</v>
      </c>
      <c r="D979">
        <v>2.3999999999999998E-3</v>
      </c>
      <c r="E979">
        <v>6.4642192539676184</v>
      </c>
      <c r="F979">
        <v>753.45440720152703</v>
      </c>
      <c r="G979">
        <v>0.42399999999999999</v>
      </c>
      <c r="H979">
        <v>7.3000000000000001E-3</v>
      </c>
      <c r="I979">
        <v>195.8015</v>
      </c>
    </row>
    <row r="980" spans="1:9" x14ac:dyDescent="0.3">
      <c r="A980" t="s">
        <v>9</v>
      </c>
      <c r="B980" t="s">
        <v>1105</v>
      </c>
      <c r="C980">
        <v>3</v>
      </c>
      <c r="D980">
        <v>5.5999999999999999E-3</v>
      </c>
      <c r="E980">
        <v>6.6703755856664966</v>
      </c>
      <c r="F980">
        <v>773.01864307975052</v>
      </c>
      <c r="G980">
        <v>0.42399999999999999</v>
      </c>
      <c r="H980">
        <v>1.0500000000000001E-2</v>
      </c>
      <c r="I980">
        <v>195.99889999999999</v>
      </c>
    </row>
    <row r="981" spans="1:9" x14ac:dyDescent="0.3">
      <c r="A981" t="s">
        <v>9</v>
      </c>
      <c r="B981" t="s">
        <v>1106</v>
      </c>
      <c r="C981">
        <v>3</v>
      </c>
      <c r="D981">
        <v>8.5000000000000006E-3</v>
      </c>
      <c r="E981">
        <v>6.8804495757515172</v>
      </c>
      <c r="F981">
        <v>792.95466473881902</v>
      </c>
      <c r="G981">
        <v>0.42399999999999999</v>
      </c>
      <c r="H981">
        <v>1.37E-2</v>
      </c>
      <c r="I981">
        <v>196.20009999999999</v>
      </c>
    </row>
    <row r="982" spans="1:9" x14ac:dyDescent="0.3">
      <c r="A982" t="s">
        <v>9</v>
      </c>
      <c r="B982" t="s">
        <v>1107</v>
      </c>
      <c r="C982">
        <v>3</v>
      </c>
      <c r="D982">
        <v>1.14E-2</v>
      </c>
      <c r="E982">
        <v>7.0679810140216031</v>
      </c>
      <c r="F982">
        <v>810.75139823065012</v>
      </c>
      <c r="G982">
        <v>0.42399999999999999</v>
      </c>
      <c r="H982">
        <v>1.67E-2</v>
      </c>
      <c r="I982">
        <v>196.3991</v>
      </c>
    </row>
    <row r="983" spans="1:9" x14ac:dyDescent="0.3">
      <c r="A983" t="s">
        <v>9</v>
      </c>
      <c r="B983" t="s">
        <v>1108</v>
      </c>
      <c r="C983">
        <v>3</v>
      </c>
      <c r="D983">
        <v>1.41E-2</v>
      </c>
      <c r="E983">
        <v>7.2182938866818436</v>
      </c>
      <c r="F983">
        <v>825.01608984610698</v>
      </c>
      <c r="G983">
        <v>0.42399999999999999</v>
      </c>
      <c r="H983">
        <v>1.9E-2</v>
      </c>
      <c r="I983">
        <v>196.6001</v>
      </c>
    </row>
    <row r="984" spans="1:9" x14ac:dyDescent="0.3">
      <c r="A984" t="s">
        <v>9</v>
      </c>
      <c r="B984" t="s">
        <v>1109</v>
      </c>
      <c r="C984">
        <v>3</v>
      </c>
      <c r="D984">
        <v>1.6E-2</v>
      </c>
      <c r="E984">
        <v>7.313953762425335</v>
      </c>
      <c r="F984">
        <v>834.09421205416436</v>
      </c>
      <c r="G984">
        <v>0.42399999999999999</v>
      </c>
      <c r="H984">
        <v>2.0500000000000001E-2</v>
      </c>
      <c r="I984">
        <v>196.79920000000001</v>
      </c>
    </row>
    <row r="985" spans="1:9" x14ac:dyDescent="0.3">
      <c r="A985" t="s">
        <v>9</v>
      </c>
      <c r="B985" t="s">
        <v>1110</v>
      </c>
      <c r="C985">
        <v>3</v>
      </c>
      <c r="D985">
        <v>1.7600000000000001E-2</v>
      </c>
      <c r="E985">
        <v>7.3473021097267832</v>
      </c>
      <c r="F985">
        <v>837.25897021307173</v>
      </c>
      <c r="G985">
        <v>0.42399999999999999</v>
      </c>
      <c r="H985">
        <v>2.1000000000000001E-2</v>
      </c>
      <c r="I985">
        <v>196.9991</v>
      </c>
    </row>
    <row r="986" spans="1:9" x14ac:dyDescent="0.3">
      <c r="A986" t="s">
        <v>9</v>
      </c>
      <c r="B986" t="s">
        <v>1111</v>
      </c>
      <c r="C986">
        <v>3</v>
      </c>
      <c r="D986">
        <v>1.8100000000000002E-2</v>
      </c>
      <c r="E986">
        <v>7.3144983096425369</v>
      </c>
      <c r="F986">
        <v>729.71124245868441</v>
      </c>
      <c r="G986">
        <v>0.42399999999999999</v>
      </c>
      <c r="H986">
        <v>2.0500000000000001E-2</v>
      </c>
      <c r="I986">
        <v>197.19919999999999</v>
      </c>
    </row>
    <row r="987" spans="1:9" x14ac:dyDescent="0.3">
      <c r="A987" t="s">
        <v>9</v>
      </c>
      <c r="B987" t="s">
        <v>1112</v>
      </c>
      <c r="C987">
        <v>3</v>
      </c>
      <c r="D987">
        <v>1.8100000000000002E-2</v>
      </c>
      <c r="E987">
        <v>7.2178389485003844</v>
      </c>
      <c r="F987">
        <v>720.70259000023589</v>
      </c>
      <c r="G987">
        <v>0.42399999999999999</v>
      </c>
      <c r="H987">
        <v>1.9E-2</v>
      </c>
      <c r="I987">
        <v>197.4006</v>
      </c>
    </row>
    <row r="988" spans="1:9" x14ac:dyDescent="0.3">
      <c r="A988" t="s">
        <v>9</v>
      </c>
      <c r="B988" t="s">
        <v>1113</v>
      </c>
      <c r="C988">
        <v>3</v>
      </c>
      <c r="D988">
        <v>1.8100000000000002E-2</v>
      </c>
      <c r="E988">
        <v>7.0675212101911464</v>
      </c>
      <c r="F988">
        <v>706.69297678981479</v>
      </c>
      <c r="G988">
        <v>0.42399999999999999</v>
      </c>
      <c r="H988">
        <v>1.67E-2</v>
      </c>
      <c r="I988">
        <v>197.60140000000001</v>
      </c>
    </row>
    <row r="989" spans="1:9" x14ac:dyDescent="0.3">
      <c r="A989" t="s">
        <v>9</v>
      </c>
      <c r="B989" t="s">
        <v>1114</v>
      </c>
      <c r="C989">
        <v>3</v>
      </c>
      <c r="D989">
        <v>1.77E-2</v>
      </c>
      <c r="E989">
        <v>6.8808907279274774</v>
      </c>
      <c r="F989">
        <v>689.29901584284096</v>
      </c>
      <c r="G989">
        <v>0.42399999999999999</v>
      </c>
      <c r="H989">
        <v>1.38E-2</v>
      </c>
      <c r="I989">
        <v>197.79949999999999</v>
      </c>
    </row>
    <row r="990" spans="1:9" x14ac:dyDescent="0.3">
      <c r="A990" t="s">
        <v>9</v>
      </c>
      <c r="B990" t="s">
        <v>1115</v>
      </c>
      <c r="C990">
        <v>3</v>
      </c>
      <c r="D990">
        <v>1.6500000000000001E-2</v>
      </c>
      <c r="E990">
        <v>6.6707571336422129</v>
      </c>
      <c r="F990">
        <v>669.71456485545423</v>
      </c>
      <c r="G990">
        <v>0.42399999999999999</v>
      </c>
      <c r="H990">
        <v>1.0500000000000001E-2</v>
      </c>
      <c r="I990">
        <v>198.00069999999999</v>
      </c>
    </row>
    <row r="991" spans="1:9" x14ac:dyDescent="0.3">
      <c r="A991" t="s">
        <v>9</v>
      </c>
      <c r="B991" t="s">
        <v>1116</v>
      </c>
      <c r="C991">
        <v>3</v>
      </c>
      <c r="D991">
        <v>1.4500000000000001E-2</v>
      </c>
      <c r="E991">
        <v>6.4633847951641954</v>
      </c>
      <c r="F991">
        <v>650.38746290930305</v>
      </c>
      <c r="G991">
        <v>0.42399999999999999</v>
      </c>
      <c r="H991">
        <v>7.3000000000000001E-3</v>
      </c>
      <c r="I991">
        <v>198.19929999999999</v>
      </c>
    </row>
    <row r="992" spans="1:9" x14ac:dyDescent="0.3">
      <c r="A992" t="s">
        <v>9</v>
      </c>
      <c r="B992" t="s">
        <v>1117</v>
      </c>
      <c r="C992">
        <v>3</v>
      </c>
      <c r="D992">
        <v>1.0800000000000001E-2</v>
      </c>
      <c r="E992">
        <v>6.2750002869832651</v>
      </c>
      <c r="F992">
        <v>632.8300267468403</v>
      </c>
      <c r="G992">
        <v>0.42399999999999999</v>
      </c>
      <c r="H992">
        <v>4.3E-3</v>
      </c>
      <c r="I992">
        <v>198.39920000000001</v>
      </c>
    </row>
    <row r="993" spans="1:9" x14ac:dyDescent="0.3">
      <c r="A993" t="s">
        <v>9</v>
      </c>
      <c r="B993" t="s">
        <v>1118</v>
      </c>
      <c r="C993">
        <v>3</v>
      </c>
      <c r="D993">
        <v>6.8999999999999999E-3</v>
      </c>
      <c r="E993">
        <v>6.1245934262031829</v>
      </c>
      <c r="F993">
        <v>618.81210732213663</v>
      </c>
      <c r="G993">
        <v>0.42399999999999999</v>
      </c>
      <c r="H993">
        <v>2E-3</v>
      </c>
      <c r="I993">
        <v>198.6003</v>
      </c>
    </row>
    <row r="994" spans="1:9" x14ac:dyDescent="0.3">
      <c r="A994" t="s">
        <v>9</v>
      </c>
      <c r="B994" t="s">
        <v>1119</v>
      </c>
      <c r="C994">
        <v>3</v>
      </c>
      <c r="D994">
        <v>2.8999999999999998E-3</v>
      </c>
      <c r="E994">
        <v>6.0292921204080034</v>
      </c>
      <c r="F994">
        <v>609.93002562202594</v>
      </c>
      <c r="G994">
        <v>0.42399999999999999</v>
      </c>
      <c r="H994">
        <v>5.0000000000000001E-4</v>
      </c>
      <c r="I994">
        <v>198.79849999999999</v>
      </c>
    </row>
    <row r="995" spans="1:9" x14ac:dyDescent="0.3">
      <c r="A995" t="s">
        <v>9</v>
      </c>
      <c r="B995" t="s">
        <v>1120</v>
      </c>
      <c r="C995">
        <v>3</v>
      </c>
      <c r="D995">
        <v>1E-3</v>
      </c>
      <c r="E995">
        <v>5.9957338060507048</v>
      </c>
      <c r="F995">
        <v>606.80239072392567</v>
      </c>
      <c r="G995">
        <v>0.42399999999999999</v>
      </c>
      <c r="H995">
        <v>0</v>
      </c>
      <c r="I995">
        <v>199.00059999999999</v>
      </c>
    </row>
    <row r="996" spans="1:9" x14ac:dyDescent="0.3">
      <c r="A996" t="s">
        <v>9</v>
      </c>
      <c r="B996" t="s">
        <v>1121</v>
      </c>
      <c r="C996">
        <v>3</v>
      </c>
      <c r="D996">
        <v>0</v>
      </c>
      <c r="E996">
        <v>6.0288066664979034</v>
      </c>
      <c r="F996">
        <v>712.1337526506511</v>
      </c>
      <c r="G996">
        <v>0.42399999999999999</v>
      </c>
      <c r="H996">
        <v>5.0000000000000001E-4</v>
      </c>
      <c r="I996">
        <v>199.2</v>
      </c>
    </row>
    <row r="997" spans="1:9" x14ac:dyDescent="0.3">
      <c r="A997" t="s">
        <v>9</v>
      </c>
      <c r="B997" t="s">
        <v>1122</v>
      </c>
      <c r="C997">
        <v>3</v>
      </c>
      <c r="D997">
        <v>2.0000000000000001E-4</v>
      </c>
      <c r="E997">
        <v>6.1252008619337017</v>
      </c>
      <c r="F997">
        <v>721.28156179750829</v>
      </c>
      <c r="G997">
        <v>0.42399999999999999</v>
      </c>
      <c r="H997">
        <v>2E-3</v>
      </c>
      <c r="I997">
        <v>199.4006</v>
      </c>
    </row>
    <row r="998" spans="1:9" x14ac:dyDescent="0.3">
      <c r="A998" t="s">
        <v>9</v>
      </c>
      <c r="B998" t="s">
        <v>1123</v>
      </c>
      <c r="C998">
        <v>3</v>
      </c>
      <c r="D998">
        <v>6.9999999999999999E-4</v>
      </c>
      <c r="E998">
        <v>6.2738337476356216</v>
      </c>
      <c r="F998">
        <v>735.3868226506205</v>
      </c>
      <c r="G998">
        <v>0.42399999999999999</v>
      </c>
      <c r="H998">
        <v>4.3E-3</v>
      </c>
      <c r="I998">
        <v>199.5994</v>
      </c>
    </row>
    <row r="999" spans="1:9" x14ac:dyDescent="0.3">
      <c r="A999" t="s">
        <v>9</v>
      </c>
      <c r="B999" t="s">
        <v>1124</v>
      </c>
      <c r="C999">
        <v>3</v>
      </c>
      <c r="D999">
        <v>2.3999999999999998E-3</v>
      </c>
      <c r="E999">
        <v>6.4637399875411621</v>
      </c>
      <c r="F999">
        <v>753.40892481765627</v>
      </c>
      <c r="G999">
        <v>0.42399999999999999</v>
      </c>
      <c r="H999">
        <v>7.3000000000000001E-3</v>
      </c>
      <c r="I999">
        <v>199.80099999999999</v>
      </c>
    </row>
    <row r="1000" spans="1:9" x14ac:dyDescent="0.3">
      <c r="A1000" t="s">
        <v>9</v>
      </c>
      <c r="B1000" t="s">
        <v>1125</v>
      </c>
      <c r="C1000">
        <v>3</v>
      </c>
      <c r="D1000">
        <v>5.5999999999999999E-3</v>
      </c>
      <c r="E1000">
        <v>6.6709651401369454</v>
      </c>
      <c r="F1000">
        <v>773.07459179899604</v>
      </c>
      <c r="G1000">
        <v>0.42399999999999999</v>
      </c>
      <c r="H1000">
        <v>1.0500000000000001E-2</v>
      </c>
      <c r="I1000">
        <v>199.99950000000001</v>
      </c>
    </row>
    <row r="1001" spans="1:9" x14ac:dyDescent="0.3">
      <c r="A1001" t="s">
        <v>9</v>
      </c>
      <c r="B1001" t="s">
        <v>1126</v>
      </c>
      <c r="C1001">
        <v>3</v>
      </c>
      <c r="D1001">
        <v>8.6999999999999994E-3</v>
      </c>
      <c r="E1001">
        <v>6.8811084657202093</v>
      </c>
      <c r="F1001">
        <v>793.01719339684792</v>
      </c>
      <c r="G1001">
        <v>0.42399999999999999</v>
      </c>
      <c r="H1001">
        <v>1.38E-2</v>
      </c>
      <c r="I1001">
        <v>200.20070000000001</v>
      </c>
    </row>
    <row r="1002" spans="1:9" x14ac:dyDescent="0.3">
      <c r="A1002" t="s">
        <v>9</v>
      </c>
      <c r="B1002" t="s">
        <v>1127</v>
      </c>
      <c r="C1002">
        <v>3</v>
      </c>
      <c r="D1002">
        <v>1.15E-2</v>
      </c>
      <c r="E1002">
        <v>7.0683414775183184</v>
      </c>
      <c r="F1002">
        <v>810.78560621648842</v>
      </c>
      <c r="G1002">
        <v>0.42399999999999999</v>
      </c>
      <c r="H1002">
        <v>1.67E-2</v>
      </c>
      <c r="I1002">
        <v>200.39949999999999</v>
      </c>
    </row>
    <row r="1003" spans="1:9" x14ac:dyDescent="0.3">
      <c r="A1003" t="s">
        <v>9</v>
      </c>
      <c r="B1003" t="s">
        <v>1128</v>
      </c>
      <c r="C1003">
        <v>3</v>
      </c>
      <c r="D1003">
        <v>1.41E-2</v>
      </c>
      <c r="E1003">
        <v>7.2180100571568682</v>
      </c>
      <c r="F1003">
        <v>824.98915442418684</v>
      </c>
      <c r="G1003">
        <v>0.42399999999999999</v>
      </c>
      <c r="H1003">
        <v>1.9E-2</v>
      </c>
      <c r="I1003">
        <v>200.59960000000001</v>
      </c>
    </row>
    <row r="1004" spans="1:9" x14ac:dyDescent="0.3">
      <c r="A1004" t="s">
        <v>9</v>
      </c>
      <c r="B1004" t="s">
        <v>1129</v>
      </c>
      <c r="C1004">
        <v>3</v>
      </c>
      <c r="D1004">
        <v>1.6E-2</v>
      </c>
      <c r="E1004">
        <v>7.3143782903005494</v>
      </c>
      <c r="F1004">
        <v>834.13449974952209</v>
      </c>
      <c r="G1004">
        <v>0.42399999999999999</v>
      </c>
      <c r="H1004">
        <v>2.0500000000000001E-2</v>
      </c>
      <c r="I1004">
        <v>200.8004</v>
      </c>
    </row>
    <row r="1005" spans="1:9" x14ac:dyDescent="0.3">
      <c r="A1005" t="s">
        <v>9</v>
      </c>
      <c r="B1005" t="s">
        <v>1130</v>
      </c>
      <c r="C1005">
        <v>3</v>
      </c>
      <c r="D1005">
        <v>1.7500000000000002E-2</v>
      </c>
      <c r="E1005">
        <v>7.3473012987852826</v>
      </c>
      <c r="F1005">
        <v>837.25889325472349</v>
      </c>
      <c r="G1005">
        <v>0.42399999999999999</v>
      </c>
      <c r="H1005">
        <v>2.1000000000000001E-2</v>
      </c>
      <c r="I1005">
        <v>200.99870000000001</v>
      </c>
    </row>
    <row r="1006" spans="1:9" x14ac:dyDescent="0.3">
      <c r="A1006" t="s">
        <v>9</v>
      </c>
      <c r="B1006" t="s">
        <v>1131</v>
      </c>
      <c r="C1006">
        <v>3</v>
      </c>
      <c r="D1006">
        <v>1.83E-2</v>
      </c>
      <c r="E1006">
        <v>7.3142083980563122</v>
      </c>
      <c r="F1006">
        <v>729.68422269884832</v>
      </c>
      <c r="G1006">
        <v>0.42399999999999999</v>
      </c>
      <c r="H1006">
        <v>2.0500000000000001E-2</v>
      </c>
      <c r="I1006">
        <v>201.2</v>
      </c>
    </row>
    <row r="1007" spans="1:9" x14ac:dyDescent="0.3">
      <c r="A1007" t="s">
        <v>9</v>
      </c>
      <c r="B1007" t="s">
        <v>1132</v>
      </c>
      <c r="C1007">
        <v>3</v>
      </c>
      <c r="D1007">
        <v>1.84E-2</v>
      </c>
      <c r="E1007">
        <v>7.2182926702695944</v>
      </c>
      <c r="F1007">
        <v>720.74487686912619</v>
      </c>
      <c r="G1007">
        <v>0.42399999999999999</v>
      </c>
      <c r="H1007">
        <v>1.9E-2</v>
      </c>
      <c r="I1007">
        <v>201.3999</v>
      </c>
    </row>
    <row r="1008" spans="1:9" x14ac:dyDescent="0.3">
      <c r="A1008" t="s">
        <v>9</v>
      </c>
      <c r="B1008" t="s">
        <v>1133</v>
      </c>
      <c r="C1008">
        <v>3</v>
      </c>
      <c r="D1008">
        <v>1.8100000000000002E-2</v>
      </c>
      <c r="E1008">
        <v>7.0679124894648586</v>
      </c>
      <c r="F1008">
        <v>706.72944401812481</v>
      </c>
      <c r="G1008">
        <v>0.42399999999999999</v>
      </c>
      <c r="H1008">
        <v>1.67E-2</v>
      </c>
      <c r="I1008">
        <v>201.601</v>
      </c>
    </row>
    <row r="1009" spans="1:9" x14ac:dyDescent="0.3">
      <c r="A1009" t="s">
        <v>9</v>
      </c>
      <c r="B1009" t="s">
        <v>1134</v>
      </c>
      <c r="C1009">
        <v>3</v>
      </c>
      <c r="D1009">
        <v>1.7600000000000001E-2</v>
      </c>
      <c r="E1009">
        <v>6.8815459686594176</v>
      </c>
      <c r="F1009">
        <v>689.36008427905779</v>
      </c>
      <c r="G1009">
        <v>0.42399999999999999</v>
      </c>
      <c r="H1009">
        <v>1.38E-2</v>
      </c>
      <c r="I1009">
        <v>201.7988</v>
      </c>
    </row>
    <row r="1010" spans="1:9" x14ac:dyDescent="0.3">
      <c r="A1010" t="s">
        <v>9</v>
      </c>
      <c r="B1010" t="s">
        <v>1135</v>
      </c>
      <c r="C1010">
        <v>3</v>
      </c>
      <c r="D1010">
        <v>1.6799999999999999E-2</v>
      </c>
      <c r="E1010">
        <v>6.6709720331396927</v>
      </c>
      <c r="F1010">
        <v>669.73459348861934</v>
      </c>
      <c r="G1010">
        <v>0.42399999999999999</v>
      </c>
      <c r="H1010">
        <v>1.0500000000000001E-2</v>
      </c>
      <c r="I1010">
        <v>202.00049999999999</v>
      </c>
    </row>
    <row r="1011" spans="1:9" x14ac:dyDescent="0.3">
      <c r="A1011" t="s">
        <v>9</v>
      </c>
      <c r="B1011" t="s">
        <v>1136</v>
      </c>
      <c r="C1011">
        <v>3</v>
      </c>
      <c r="D1011">
        <v>1.46E-2</v>
      </c>
      <c r="E1011">
        <v>6.4622162284628013</v>
      </c>
      <c r="F1011">
        <v>650.27855249273307</v>
      </c>
      <c r="G1011">
        <v>0.42399999999999999</v>
      </c>
      <c r="H1011">
        <v>7.1999999999999998E-3</v>
      </c>
      <c r="I1011">
        <v>202.20050000000001</v>
      </c>
    </row>
    <row r="1012" spans="1:9" x14ac:dyDescent="0.3">
      <c r="A1012" t="s">
        <v>9</v>
      </c>
      <c r="B1012" t="s">
        <v>1137</v>
      </c>
      <c r="C1012">
        <v>3</v>
      </c>
      <c r="D1012">
        <v>1.12E-2</v>
      </c>
      <c r="E1012">
        <v>6.2755752445067126</v>
      </c>
      <c r="F1012">
        <v>632.88361278802563</v>
      </c>
      <c r="G1012">
        <v>0.42399999999999999</v>
      </c>
      <c r="H1012">
        <v>4.3E-3</v>
      </c>
      <c r="I1012">
        <v>202.39850000000001</v>
      </c>
    </row>
    <row r="1013" spans="1:9" x14ac:dyDescent="0.3">
      <c r="A1013" t="s">
        <v>9</v>
      </c>
      <c r="B1013" t="s">
        <v>1138</v>
      </c>
      <c r="C1013">
        <v>3</v>
      </c>
      <c r="D1013">
        <v>6.7999999999999996E-3</v>
      </c>
      <c r="E1013">
        <v>6.1255084520446248</v>
      </c>
      <c r="F1013">
        <v>618.8973877305591</v>
      </c>
      <c r="G1013">
        <v>0.42399999999999999</v>
      </c>
      <c r="H1013">
        <v>2E-3</v>
      </c>
      <c r="I1013">
        <v>202.59880000000001</v>
      </c>
    </row>
    <row r="1014" spans="1:9" x14ac:dyDescent="0.3">
      <c r="A1014" t="s">
        <v>9</v>
      </c>
      <c r="B1014" t="s">
        <v>1139</v>
      </c>
      <c r="C1014">
        <v>3</v>
      </c>
      <c r="D1014">
        <v>3.0000000000000001E-3</v>
      </c>
      <c r="E1014">
        <v>6.0293847218178813</v>
      </c>
      <c r="F1014">
        <v>609.9386560734265</v>
      </c>
      <c r="G1014">
        <v>0.42399999999999999</v>
      </c>
      <c r="H1014">
        <v>5.0000000000000001E-4</v>
      </c>
      <c r="I1014">
        <v>202.79820000000001</v>
      </c>
    </row>
    <row r="1015" spans="1:9" x14ac:dyDescent="0.3">
      <c r="A1015" t="s">
        <v>9</v>
      </c>
      <c r="B1015" t="s">
        <v>1140</v>
      </c>
      <c r="C1015">
        <v>3</v>
      </c>
      <c r="D1015">
        <v>8.0000000000000004E-4</v>
      </c>
      <c r="E1015">
        <v>5.995734208849564</v>
      </c>
      <c r="F1015">
        <v>606.80242826477934</v>
      </c>
      <c r="G1015">
        <v>0.42399999999999999</v>
      </c>
      <c r="H1015">
        <v>0</v>
      </c>
      <c r="I1015">
        <v>202.9991</v>
      </c>
    </row>
    <row r="1016" spans="1:9" x14ac:dyDescent="0.3">
      <c r="A1016" t="s">
        <v>9</v>
      </c>
      <c r="B1016" t="s">
        <v>1141</v>
      </c>
      <c r="C1016">
        <v>3</v>
      </c>
      <c r="D1016">
        <v>2.0000000000000001E-4</v>
      </c>
      <c r="E1016">
        <v>6.0288933115424621</v>
      </c>
      <c r="F1016">
        <v>712.14197526537964</v>
      </c>
      <c r="G1016">
        <v>0.42399999999999999</v>
      </c>
      <c r="H1016">
        <v>5.0000000000000001E-4</v>
      </c>
      <c r="I1016">
        <v>203.2003</v>
      </c>
    </row>
    <row r="1017" spans="1:9" x14ac:dyDescent="0.3">
      <c r="A1017" t="s">
        <v>9</v>
      </c>
      <c r="B1017" t="s">
        <v>1142</v>
      </c>
      <c r="C1017">
        <v>3</v>
      </c>
      <c r="D1017">
        <v>2.9999999999999997E-4</v>
      </c>
      <c r="E1017">
        <v>6.1245774101085591</v>
      </c>
      <c r="F1017">
        <v>721.22239621930225</v>
      </c>
      <c r="G1017">
        <v>0.42399999999999999</v>
      </c>
      <c r="H1017">
        <v>2E-3</v>
      </c>
      <c r="I1017">
        <v>203.39959999999999</v>
      </c>
    </row>
    <row r="1018" spans="1:9" x14ac:dyDescent="0.3">
      <c r="A1018" t="s">
        <v>9</v>
      </c>
      <c r="B1018" t="s">
        <v>1143</v>
      </c>
      <c r="C1018">
        <v>3</v>
      </c>
      <c r="D1018">
        <v>1E-3</v>
      </c>
      <c r="E1018">
        <v>6.2738601437814454</v>
      </c>
      <c r="F1018">
        <v>735.38932764485912</v>
      </c>
      <c r="G1018">
        <v>0.42399999999999999</v>
      </c>
      <c r="H1018">
        <v>4.3E-3</v>
      </c>
      <c r="I1018">
        <v>203.59950000000001</v>
      </c>
    </row>
    <row r="1019" spans="1:9" x14ac:dyDescent="0.3">
      <c r="A1019" t="s">
        <v>9</v>
      </c>
      <c r="B1019" t="s">
        <v>1144</v>
      </c>
      <c r="C1019">
        <v>3</v>
      </c>
      <c r="D1019">
        <v>2.2000000000000001E-3</v>
      </c>
      <c r="E1019">
        <v>6.4610452289369098</v>
      </c>
      <c r="F1019">
        <v>753.15319222611276</v>
      </c>
      <c r="G1019">
        <v>0.42399999999999999</v>
      </c>
      <c r="H1019">
        <v>7.1999999999999998E-3</v>
      </c>
      <c r="I1019">
        <v>203.79839999999999</v>
      </c>
    </row>
    <row r="1020" spans="1:9" x14ac:dyDescent="0.3">
      <c r="A1020" t="s">
        <v>9</v>
      </c>
      <c r="B1020" t="s">
        <v>1145</v>
      </c>
      <c r="C1020">
        <v>3</v>
      </c>
      <c r="D1020">
        <v>5.4000000000000003E-3</v>
      </c>
      <c r="E1020">
        <v>6.671699042194378</v>
      </c>
      <c r="F1020">
        <v>773.14423910424648</v>
      </c>
      <c r="G1020">
        <v>0.42399999999999999</v>
      </c>
      <c r="H1020">
        <v>1.0500000000000001E-2</v>
      </c>
      <c r="I1020">
        <v>204.00020000000001</v>
      </c>
    </row>
    <row r="1021" spans="1:9" x14ac:dyDescent="0.3">
      <c r="A1021" t="s">
        <v>9</v>
      </c>
      <c r="B1021" t="s">
        <v>1146</v>
      </c>
      <c r="C1021">
        <v>3</v>
      </c>
      <c r="D1021">
        <v>8.5000000000000006E-3</v>
      </c>
      <c r="E1021">
        <v>6.8792956059971244</v>
      </c>
      <c r="F1021">
        <v>792.8451530091271</v>
      </c>
      <c r="G1021">
        <v>0.42399999999999999</v>
      </c>
      <c r="H1021">
        <v>1.37E-2</v>
      </c>
      <c r="I1021">
        <v>204.19900000000001</v>
      </c>
    </row>
    <row r="1022" spans="1:9" x14ac:dyDescent="0.3">
      <c r="A1022" t="s">
        <v>9</v>
      </c>
      <c r="B1022" t="s">
        <v>1147</v>
      </c>
      <c r="C1022">
        <v>3</v>
      </c>
      <c r="D1022">
        <v>1.1599999999999999E-2</v>
      </c>
      <c r="E1022">
        <v>7.0692683836527346</v>
      </c>
      <c r="F1022">
        <v>810.87356960864463</v>
      </c>
      <c r="G1022">
        <v>0.42399999999999999</v>
      </c>
      <c r="H1022">
        <v>1.67E-2</v>
      </c>
      <c r="I1022">
        <v>204.4006</v>
      </c>
    </row>
    <row r="1023" spans="1:9" x14ac:dyDescent="0.3">
      <c r="A1023" t="s">
        <v>9</v>
      </c>
      <c r="B1023" t="s">
        <v>1148</v>
      </c>
      <c r="C1023">
        <v>3</v>
      </c>
      <c r="D1023">
        <v>1.3899999999999999E-2</v>
      </c>
      <c r="E1023">
        <v>7.2175555244461602</v>
      </c>
      <c r="F1023">
        <v>824.94601926994062</v>
      </c>
      <c r="G1023">
        <v>0.42399999999999999</v>
      </c>
      <c r="H1023">
        <v>1.9E-2</v>
      </c>
      <c r="I1023">
        <v>204.59889999999999</v>
      </c>
    </row>
    <row r="1024" spans="1:9" x14ac:dyDescent="0.3">
      <c r="A1024" t="s">
        <v>9</v>
      </c>
      <c r="B1024" t="s">
        <v>1149</v>
      </c>
      <c r="C1024">
        <v>3</v>
      </c>
      <c r="D1024">
        <v>1.5900000000000001E-2</v>
      </c>
      <c r="E1024">
        <v>7.3142931414430574</v>
      </c>
      <c r="F1024">
        <v>834.12641912294612</v>
      </c>
      <c r="G1024">
        <v>0.42399999999999999</v>
      </c>
      <c r="H1024">
        <v>2.0500000000000001E-2</v>
      </c>
      <c r="I1024">
        <v>204.80019999999999</v>
      </c>
    </row>
    <row r="1025" spans="1:9" x14ac:dyDescent="0.3">
      <c r="A1025" t="s">
        <v>9</v>
      </c>
      <c r="B1025" t="s">
        <v>1150</v>
      </c>
      <c r="C1025">
        <v>3</v>
      </c>
      <c r="D1025">
        <v>1.7399999999999999E-2</v>
      </c>
      <c r="E1025">
        <v>7.3473025151975344</v>
      </c>
      <c r="F1025">
        <v>837.25900869224608</v>
      </c>
      <c r="G1025">
        <v>0.42399999999999999</v>
      </c>
      <c r="H1025">
        <v>2.1000000000000001E-2</v>
      </c>
      <c r="I1025">
        <v>205.00040000000001</v>
      </c>
    </row>
    <row r="1026" spans="1:9" x14ac:dyDescent="0.3">
      <c r="A1026" t="s">
        <v>9</v>
      </c>
      <c r="B1026" t="s">
        <v>1151</v>
      </c>
      <c r="C1026">
        <v>3</v>
      </c>
      <c r="D1026">
        <v>1.84E-2</v>
      </c>
      <c r="E1026">
        <v>7.3147444303877647</v>
      </c>
      <c r="F1026">
        <v>729.73418091213966</v>
      </c>
      <c r="G1026">
        <v>0.42399999999999999</v>
      </c>
      <c r="H1026">
        <v>2.0500000000000001E-2</v>
      </c>
      <c r="I1026">
        <v>205.19839999999999</v>
      </c>
    </row>
    <row r="1027" spans="1:9" x14ac:dyDescent="0.3">
      <c r="A1027" t="s">
        <v>9</v>
      </c>
      <c r="B1027" t="s">
        <v>1152</v>
      </c>
      <c r="C1027">
        <v>3</v>
      </c>
      <c r="D1027">
        <v>1.84E-2</v>
      </c>
      <c r="E1027">
        <v>7.2191084774185192</v>
      </c>
      <c r="F1027">
        <v>720.82091009540602</v>
      </c>
      <c r="G1027">
        <v>0.42399999999999999</v>
      </c>
      <c r="H1027">
        <v>1.9E-2</v>
      </c>
      <c r="I1027">
        <v>205.39859999999999</v>
      </c>
    </row>
    <row r="1028" spans="1:9" x14ac:dyDescent="0.3">
      <c r="A1028" t="s">
        <v>9</v>
      </c>
      <c r="B1028" t="s">
        <v>1153</v>
      </c>
      <c r="C1028">
        <v>3</v>
      </c>
      <c r="D1028">
        <v>1.84E-2</v>
      </c>
      <c r="E1028">
        <v>7.0698713186579303</v>
      </c>
      <c r="F1028">
        <v>706.91200689891912</v>
      </c>
      <c r="G1028">
        <v>0.42399999999999999</v>
      </c>
      <c r="H1028">
        <v>1.67E-2</v>
      </c>
      <c r="I1028">
        <v>205.59870000000001</v>
      </c>
    </row>
    <row r="1029" spans="1:9" x14ac:dyDescent="0.3">
      <c r="A1029" t="s">
        <v>9</v>
      </c>
      <c r="B1029" t="s">
        <v>1154</v>
      </c>
      <c r="C1029">
        <v>3</v>
      </c>
      <c r="D1029">
        <v>1.7899999999999999E-2</v>
      </c>
      <c r="E1029">
        <v>6.8806523111264992</v>
      </c>
      <c r="F1029">
        <v>689.27679539698977</v>
      </c>
      <c r="G1029">
        <v>0.42399999999999999</v>
      </c>
      <c r="H1029">
        <v>1.37E-2</v>
      </c>
      <c r="I1029">
        <v>205.7997</v>
      </c>
    </row>
    <row r="1030" spans="1:9" x14ac:dyDescent="0.3">
      <c r="A1030" t="s">
        <v>9</v>
      </c>
      <c r="B1030" t="s">
        <v>1155</v>
      </c>
      <c r="C1030">
        <v>3</v>
      </c>
      <c r="D1030">
        <v>1.6799999999999999E-2</v>
      </c>
      <c r="E1030">
        <v>6.6726304085070423</v>
      </c>
      <c r="F1030">
        <v>669.8891540728564</v>
      </c>
      <c r="G1030">
        <v>0.42399999999999999</v>
      </c>
      <c r="H1030">
        <v>1.0500000000000001E-2</v>
      </c>
      <c r="I1030">
        <v>205.99889999999999</v>
      </c>
    </row>
    <row r="1031" spans="1:9" x14ac:dyDescent="0.3">
      <c r="A1031" t="s">
        <v>9</v>
      </c>
      <c r="B1031" t="s">
        <v>1156</v>
      </c>
      <c r="C1031">
        <v>3</v>
      </c>
      <c r="D1031">
        <v>1.44E-2</v>
      </c>
      <c r="E1031">
        <v>6.4622243378778021</v>
      </c>
      <c r="F1031">
        <v>650.27930829021113</v>
      </c>
      <c r="G1031">
        <v>0.42399999999999999</v>
      </c>
      <c r="H1031">
        <v>7.1999999999999998E-3</v>
      </c>
      <c r="I1031">
        <v>206.20050000000001</v>
      </c>
    </row>
    <row r="1032" spans="1:9" x14ac:dyDescent="0.3">
      <c r="A1032" t="s">
        <v>9</v>
      </c>
      <c r="B1032" t="s">
        <v>1157</v>
      </c>
      <c r="C1032">
        <v>3</v>
      </c>
      <c r="D1032">
        <v>1.1299999999999999E-2</v>
      </c>
      <c r="E1032">
        <v>6.273662679526212</v>
      </c>
      <c r="F1032">
        <v>632.70536173184303</v>
      </c>
      <c r="G1032">
        <v>0.42399999999999999</v>
      </c>
      <c r="H1032">
        <v>4.3E-3</v>
      </c>
      <c r="I1032">
        <v>206.4007</v>
      </c>
    </row>
    <row r="1033" spans="1:9" x14ac:dyDescent="0.3">
      <c r="A1033" t="s">
        <v>9</v>
      </c>
      <c r="B1033" t="s">
        <v>1158</v>
      </c>
      <c r="C1033">
        <v>3</v>
      </c>
      <c r="D1033">
        <v>7.0000000000000001E-3</v>
      </c>
      <c r="E1033">
        <v>6.1252705623556203</v>
      </c>
      <c r="F1033">
        <v>618.87521641154387</v>
      </c>
      <c r="G1033">
        <v>0.42399999999999999</v>
      </c>
      <c r="H1033">
        <v>2E-3</v>
      </c>
      <c r="I1033">
        <v>206.5992</v>
      </c>
    </row>
    <row r="1034" spans="1:9" x14ac:dyDescent="0.3">
      <c r="A1034" t="s">
        <v>9</v>
      </c>
      <c r="B1034" t="s">
        <v>1159</v>
      </c>
      <c r="C1034">
        <v>3</v>
      </c>
      <c r="D1034">
        <v>2.8999999999999998E-3</v>
      </c>
      <c r="E1034">
        <v>6.0289198131106811</v>
      </c>
      <c r="F1034">
        <v>609.89532658191547</v>
      </c>
      <c r="G1034">
        <v>0.42399999999999999</v>
      </c>
      <c r="H1034">
        <v>5.0000000000000001E-4</v>
      </c>
      <c r="I1034">
        <v>206.7997</v>
      </c>
    </row>
    <row r="1035" spans="1:9" x14ac:dyDescent="0.3">
      <c r="A1035" t="s">
        <v>9</v>
      </c>
      <c r="B1035" t="s">
        <v>1160</v>
      </c>
      <c r="C1035">
        <v>3</v>
      </c>
      <c r="D1035">
        <v>8.9999999999999998E-4</v>
      </c>
      <c r="E1035">
        <v>5.9957356589260931</v>
      </c>
      <c r="F1035">
        <v>606.80256341191193</v>
      </c>
      <c r="G1035">
        <v>0.42399999999999999</v>
      </c>
      <c r="H1035">
        <v>0</v>
      </c>
      <c r="I1035">
        <v>206.9984</v>
      </c>
    </row>
    <row r="1036" spans="1:9" x14ac:dyDescent="0.3">
      <c r="A1036" t="s">
        <v>9</v>
      </c>
      <c r="B1036" t="s">
        <v>1161</v>
      </c>
      <c r="C1036">
        <v>3</v>
      </c>
      <c r="D1036">
        <v>-2.9999999999999997E-4</v>
      </c>
      <c r="E1036">
        <v>6.0285469422090134</v>
      </c>
      <c r="F1036">
        <v>712.10910481563542</v>
      </c>
      <c r="G1036">
        <v>0.42399999999999999</v>
      </c>
      <c r="H1036">
        <v>5.0000000000000001E-4</v>
      </c>
      <c r="I1036">
        <v>207.19919999999999</v>
      </c>
    </row>
    <row r="1037" spans="1:9" x14ac:dyDescent="0.3">
      <c r="A1037" t="s">
        <v>9</v>
      </c>
      <c r="B1037" t="s">
        <v>1162</v>
      </c>
      <c r="C1037">
        <v>3</v>
      </c>
      <c r="D1037">
        <v>-2.0000000000000001E-4</v>
      </c>
      <c r="E1037">
        <v>6.1245118049412159</v>
      </c>
      <c r="F1037">
        <v>721.21617028892138</v>
      </c>
      <c r="G1037">
        <v>0.42399999999999999</v>
      </c>
      <c r="H1037">
        <v>2E-3</v>
      </c>
      <c r="I1037">
        <v>207.39949999999999</v>
      </c>
    </row>
    <row r="1038" spans="1:9" x14ac:dyDescent="0.3">
      <c r="A1038" t="s">
        <v>9</v>
      </c>
      <c r="B1038" t="s">
        <v>1163</v>
      </c>
      <c r="C1038">
        <v>3</v>
      </c>
      <c r="D1038">
        <v>6.9999999999999999E-4</v>
      </c>
      <c r="E1038">
        <v>6.2742034558654378</v>
      </c>
      <c r="F1038">
        <v>735.42190796163004</v>
      </c>
      <c r="G1038">
        <v>0.42399999999999999</v>
      </c>
      <c r="H1038">
        <v>4.3E-3</v>
      </c>
      <c r="I1038">
        <v>207.59989999999999</v>
      </c>
    </row>
    <row r="1039" spans="1:9" x14ac:dyDescent="0.3">
      <c r="A1039" t="s">
        <v>9</v>
      </c>
      <c r="B1039" t="s">
        <v>1164</v>
      </c>
      <c r="C1039">
        <v>3</v>
      </c>
      <c r="D1039">
        <v>2.5999999999999999E-3</v>
      </c>
      <c r="E1039">
        <v>6.4611348379726516</v>
      </c>
      <c r="F1039">
        <v>753.16169612360466</v>
      </c>
      <c r="G1039">
        <v>0.42399999999999999</v>
      </c>
      <c r="H1039">
        <v>7.1999999999999998E-3</v>
      </c>
      <c r="I1039">
        <v>207.79849999999999</v>
      </c>
    </row>
    <row r="1040" spans="1:9" x14ac:dyDescent="0.3">
      <c r="A1040" t="s">
        <v>9</v>
      </c>
      <c r="B1040" t="s">
        <v>1165</v>
      </c>
      <c r="C1040">
        <v>3</v>
      </c>
      <c r="D1040">
        <v>5.4999999999999997E-3</v>
      </c>
      <c r="E1040">
        <v>6.6704943885962376</v>
      </c>
      <c r="F1040">
        <v>773.02991747778299</v>
      </c>
      <c r="G1040">
        <v>0.42399999999999999</v>
      </c>
      <c r="H1040">
        <v>1.0500000000000001E-2</v>
      </c>
      <c r="I1040">
        <v>207.999</v>
      </c>
    </row>
    <row r="1041" spans="1:9" x14ac:dyDescent="0.3">
      <c r="A1041" t="s">
        <v>9</v>
      </c>
      <c r="B1041" t="s">
        <v>1166</v>
      </c>
      <c r="C1041">
        <v>3</v>
      </c>
      <c r="D1041">
        <v>8.6E-3</v>
      </c>
      <c r="E1041">
        <v>6.8802488677302867</v>
      </c>
      <c r="F1041">
        <v>792.93561754760424</v>
      </c>
      <c r="G1041">
        <v>0.42399999999999999</v>
      </c>
      <c r="H1041">
        <v>1.37E-2</v>
      </c>
      <c r="I1041">
        <v>208.19990000000001</v>
      </c>
    </row>
    <row r="1042" spans="1:9" x14ac:dyDescent="0.3">
      <c r="A1042" t="s">
        <v>9</v>
      </c>
      <c r="B1042" t="s">
        <v>1167</v>
      </c>
      <c r="C1042">
        <v>3</v>
      </c>
      <c r="D1042">
        <v>1.14E-2</v>
      </c>
      <c r="E1042">
        <v>7.0672081867721719</v>
      </c>
      <c r="F1042">
        <v>810.67805692467914</v>
      </c>
      <c r="G1042">
        <v>0.42399999999999999</v>
      </c>
      <c r="H1042">
        <v>1.66E-2</v>
      </c>
      <c r="I1042">
        <v>208.3982</v>
      </c>
    </row>
    <row r="1043" spans="1:9" x14ac:dyDescent="0.3">
      <c r="A1043" t="s">
        <v>9</v>
      </c>
      <c r="B1043" t="s">
        <v>1168</v>
      </c>
      <c r="C1043">
        <v>3</v>
      </c>
      <c r="D1043">
        <v>1.41E-2</v>
      </c>
      <c r="E1043">
        <v>7.2178300281438847</v>
      </c>
      <c r="F1043">
        <v>824.97206967085469</v>
      </c>
      <c r="G1043">
        <v>0.42399999999999999</v>
      </c>
      <c r="H1043">
        <v>1.9E-2</v>
      </c>
      <c r="I1043">
        <v>208.5993</v>
      </c>
    </row>
    <row r="1044" spans="1:9" x14ac:dyDescent="0.3">
      <c r="A1044" t="s">
        <v>9</v>
      </c>
      <c r="B1044" t="s">
        <v>1169</v>
      </c>
      <c r="C1044">
        <v>3</v>
      </c>
      <c r="D1044">
        <v>1.5900000000000001E-2</v>
      </c>
      <c r="E1044">
        <v>7.3138240117853472</v>
      </c>
      <c r="F1044">
        <v>834.08189871842944</v>
      </c>
      <c r="G1044">
        <v>0.42399999999999999</v>
      </c>
      <c r="H1044">
        <v>2.0500000000000001E-2</v>
      </c>
      <c r="I1044">
        <v>208.7988</v>
      </c>
    </row>
    <row r="1045" spans="1:9" x14ac:dyDescent="0.3">
      <c r="A1045" t="s">
        <v>9</v>
      </c>
      <c r="B1045" t="s">
        <v>1170</v>
      </c>
      <c r="C1045">
        <v>3</v>
      </c>
      <c r="D1045">
        <v>1.7500000000000002E-2</v>
      </c>
      <c r="E1045">
        <v>7.3473017042560347</v>
      </c>
      <c r="F1045">
        <v>837.25893173389773</v>
      </c>
      <c r="G1045">
        <v>0.42399999999999999</v>
      </c>
      <c r="H1045">
        <v>2.1000000000000001E-2</v>
      </c>
      <c r="I1045">
        <v>208.99879999999999</v>
      </c>
    </row>
    <row r="1046" spans="1:9" x14ac:dyDescent="0.3">
      <c r="A1046" t="s">
        <v>9</v>
      </c>
      <c r="B1046" t="s">
        <v>1171</v>
      </c>
      <c r="C1046">
        <v>3</v>
      </c>
      <c r="D1046">
        <v>1.8100000000000002E-2</v>
      </c>
      <c r="E1046">
        <v>7.3145952171517781</v>
      </c>
      <c r="F1046">
        <v>729.7202742385457</v>
      </c>
      <c r="G1046">
        <v>0.42399999999999999</v>
      </c>
      <c r="H1046">
        <v>2.0500000000000001E-2</v>
      </c>
      <c r="I1046">
        <v>209.19890000000001</v>
      </c>
    </row>
    <row r="1047" spans="1:9" x14ac:dyDescent="0.3">
      <c r="A1047" t="s">
        <v>9</v>
      </c>
      <c r="B1047" t="s">
        <v>1172</v>
      </c>
      <c r="C1047">
        <v>3</v>
      </c>
      <c r="D1047">
        <v>1.8200000000000001E-2</v>
      </c>
      <c r="E1047">
        <v>7.2186904370753062</v>
      </c>
      <c r="F1047">
        <v>720.78194873541861</v>
      </c>
      <c r="G1047">
        <v>0.42399999999999999</v>
      </c>
      <c r="H1047">
        <v>1.9E-2</v>
      </c>
      <c r="I1047">
        <v>209.39930000000001</v>
      </c>
    </row>
    <row r="1048" spans="1:9" x14ac:dyDescent="0.3">
      <c r="A1048" t="s">
        <v>9</v>
      </c>
      <c r="B1048" t="s">
        <v>1173</v>
      </c>
      <c r="C1048">
        <v>3</v>
      </c>
      <c r="D1048">
        <v>1.8200000000000001E-2</v>
      </c>
      <c r="E1048">
        <v>7.0689281936935151</v>
      </c>
      <c r="F1048">
        <v>706.82410765223563</v>
      </c>
      <c r="G1048">
        <v>0.42399999999999999</v>
      </c>
      <c r="H1048">
        <v>1.67E-2</v>
      </c>
      <c r="I1048">
        <v>209.59979999999999</v>
      </c>
    </row>
    <row r="1049" spans="1:9" x14ac:dyDescent="0.3">
      <c r="A1049" t="s">
        <v>9</v>
      </c>
      <c r="B1049" t="s">
        <v>1174</v>
      </c>
      <c r="C1049">
        <v>3</v>
      </c>
      <c r="D1049">
        <v>1.78E-2</v>
      </c>
      <c r="E1049">
        <v>6.8811311720822053</v>
      </c>
      <c r="F1049">
        <v>689.32142523806158</v>
      </c>
      <c r="G1049">
        <v>0.42399999999999999</v>
      </c>
      <c r="H1049">
        <v>1.38E-2</v>
      </c>
      <c r="I1049">
        <v>209.79920000000001</v>
      </c>
    </row>
    <row r="1050" spans="1:9" x14ac:dyDescent="0.3">
      <c r="A1050" t="s">
        <v>9</v>
      </c>
      <c r="B1050" t="s">
        <v>1175</v>
      </c>
      <c r="C1050">
        <v>3</v>
      </c>
      <c r="D1050">
        <v>1.6899999999999998E-2</v>
      </c>
      <c r="E1050">
        <v>6.6723295492105681</v>
      </c>
      <c r="F1050">
        <v>669.86111398642493</v>
      </c>
      <c r="G1050">
        <v>0.42399999999999999</v>
      </c>
      <c r="H1050">
        <v>1.0500000000000001E-2</v>
      </c>
      <c r="I1050">
        <v>209.9992</v>
      </c>
    </row>
    <row r="1051" spans="1:9" x14ac:dyDescent="0.3">
      <c r="A1051" t="s">
        <v>9</v>
      </c>
      <c r="B1051" t="s">
        <v>1176</v>
      </c>
      <c r="C1051">
        <v>3</v>
      </c>
      <c r="D1051">
        <v>1.44E-2</v>
      </c>
      <c r="E1051">
        <v>6.4629189092724886</v>
      </c>
      <c r="F1051">
        <v>650.34404234419594</v>
      </c>
      <c r="G1051">
        <v>0.42399999999999999</v>
      </c>
      <c r="H1051">
        <v>7.3000000000000001E-3</v>
      </c>
      <c r="I1051">
        <v>210.19980000000001</v>
      </c>
    </row>
    <row r="1052" spans="1:9" x14ac:dyDescent="0.3">
      <c r="A1052" t="s">
        <v>9</v>
      </c>
      <c r="B1052" t="s">
        <v>1177</v>
      </c>
      <c r="C1052">
        <v>3</v>
      </c>
      <c r="D1052">
        <v>1.11E-2</v>
      </c>
      <c r="E1052">
        <v>6.2738196372535233</v>
      </c>
      <c r="F1052">
        <v>632.71999019202838</v>
      </c>
      <c r="G1052">
        <v>0.42399999999999999</v>
      </c>
      <c r="H1052">
        <v>4.3E-3</v>
      </c>
      <c r="I1052">
        <v>210.4006</v>
      </c>
    </row>
    <row r="1053" spans="1:9" x14ac:dyDescent="0.3">
      <c r="A1053" t="s">
        <v>9</v>
      </c>
      <c r="B1053" t="s">
        <v>1178</v>
      </c>
      <c r="C1053">
        <v>3</v>
      </c>
      <c r="D1053">
        <v>7.1000000000000004E-3</v>
      </c>
      <c r="E1053">
        <v>6.1257373402829769</v>
      </c>
      <c r="F1053">
        <v>618.91872011437351</v>
      </c>
      <c r="G1053">
        <v>0.42399999999999999</v>
      </c>
      <c r="H1053">
        <v>2E-3</v>
      </c>
      <c r="I1053">
        <v>210.5985</v>
      </c>
    </row>
    <row r="1054" spans="1:9" x14ac:dyDescent="0.3">
      <c r="A1054" t="s">
        <v>9</v>
      </c>
      <c r="B1054" t="s">
        <v>1179</v>
      </c>
      <c r="C1054">
        <v>3</v>
      </c>
      <c r="D1054">
        <v>3.0999999999999999E-3</v>
      </c>
      <c r="E1054">
        <v>6.028877802286277</v>
      </c>
      <c r="F1054">
        <v>609.891411173081</v>
      </c>
      <c r="G1054">
        <v>0.42399999999999999</v>
      </c>
      <c r="H1054">
        <v>5.0000000000000001E-4</v>
      </c>
      <c r="I1054">
        <v>210.7998</v>
      </c>
    </row>
    <row r="1055" spans="1:9" x14ac:dyDescent="0.3">
      <c r="A1055" t="s">
        <v>9</v>
      </c>
      <c r="B1055" t="s">
        <v>1180</v>
      </c>
      <c r="C1055">
        <v>3</v>
      </c>
      <c r="D1055">
        <v>8.0000000000000004E-4</v>
      </c>
      <c r="E1055">
        <v>5.9957334838115024</v>
      </c>
      <c r="F1055">
        <v>606.80236069123202</v>
      </c>
      <c r="G1055">
        <v>0.42399999999999999</v>
      </c>
      <c r="H1055">
        <v>0</v>
      </c>
      <c r="I1055">
        <v>210.9999</v>
      </c>
    </row>
    <row r="1056" spans="1:9" x14ac:dyDescent="0.3">
      <c r="A1056" t="s">
        <v>9</v>
      </c>
      <c r="B1056" t="s">
        <v>1181</v>
      </c>
      <c r="C1056">
        <v>3</v>
      </c>
      <c r="D1056">
        <v>-1E-4</v>
      </c>
      <c r="E1056">
        <v>6.029009316724026</v>
      </c>
      <c r="F1056">
        <v>712.15298415711015</v>
      </c>
      <c r="G1056">
        <v>0.42399999999999999</v>
      </c>
      <c r="H1056">
        <v>5.0000000000000001E-4</v>
      </c>
      <c r="I1056">
        <v>211.20060000000001</v>
      </c>
    </row>
    <row r="1057" spans="1:9" x14ac:dyDescent="0.3">
      <c r="A1057" t="s">
        <v>9</v>
      </c>
      <c r="B1057" t="s">
        <v>1182</v>
      </c>
      <c r="C1057">
        <v>3</v>
      </c>
      <c r="D1057">
        <v>1E-4</v>
      </c>
      <c r="E1057">
        <v>6.1250643399321891</v>
      </c>
      <c r="F1057">
        <v>721.26860585956479</v>
      </c>
      <c r="G1057">
        <v>0.42399999999999999</v>
      </c>
      <c r="H1057">
        <v>2E-3</v>
      </c>
      <c r="I1057">
        <v>211.40039999999999</v>
      </c>
    </row>
    <row r="1058" spans="1:9" x14ac:dyDescent="0.3">
      <c r="A1058" t="s">
        <v>9</v>
      </c>
      <c r="B1058" t="s">
        <v>1183</v>
      </c>
      <c r="C1058">
        <v>3</v>
      </c>
      <c r="D1058">
        <v>6.9999999999999999E-4</v>
      </c>
      <c r="E1058">
        <v>6.2742799681959562</v>
      </c>
      <c r="F1058">
        <v>735.42916898179624</v>
      </c>
      <c r="G1058">
        <v>0.42399999999999999</v>
      </c>
      <c r="H1058">
        <v>4.3E-3</v>
      </c>
      <c r="I1058">
        <v>211.6</v>
      </c>
    </row>
    <row r="1059" spans="1:9" x14ac:dyDescent="0.3">
      <c r="A1059" t="s">
        <v>9</v>
      </c>
      <c r="B1059" t="s">
        <v>1184</v>
      </c>
      <c r="C1059">
        <v>3</v>
      </c>
      <c r="D1059">
        <v>2.5999999999999999E-3</v>
      </c>
      <c r="E1059">
        <v>6.4620678261683171</v>
      </c>
      <c r="F1059">
        <v>753.25023670337328</v>
      </c>
      <c r="G1059">
        <v>0.42399999999999999</v>
      </c>
      <c r="H1059">
        <v>7.1999999999999998E-3</v>
      </c>
      <c r="I1059">
        <v>211.79939999999999</v>
      </c>
    </row>
    <row r="1060" spans="1:9" x14ac:dyDescent="0.3">
      <c r="A1060" t="s">
        <v>9</v>
      </c>
      <c r="B1060" t="s">
        <v>1185</v>
      </c>
      <c r="C1060">
        <v>3</v>
      </c>
      <c r="D1060">
        <v>5.7000000000000002E-3</v>
      </c>
      <c r="E1060">
        <v>6.6696607407343143</v>
      </c>
      <c r="F1060">
        <v>772.95080429568645</v>
      </c>
      <c r="G1060">
        <v>0.42399999999999999</v>
      </c>
      <c r="H1060">
        <v>1.0500000000000001E-2</v>
      </c>
      <c r="I1060">
        <v>211.9982</v>
      </c>
    </row>
    <row r="1061" spans="1:9" x14ac:dyDescent="0.3">
      <c r="A1061" t="s">
        <v>9</v>
      </c>
      <c r="B1061" t="s">
        <v>1186</v>
      </c>
      <c r="C1061">
        <v>3</v>
      </c>
      <c r="D1061">
        <v>8.6999999999999994E-3</v>
      </c>
      <c r="E1061">
        <v>6.8791812632456359</v>
      </c>
      <c r="F1061">
        <v>792.83430188201089</v>
      </c>
      <c r="G1061">
        <v>0.42399999999999999</v>
      </c>
      <c r="H1061">
        <v>1.37E-2</v>
      </c>
      <c r="I1061">
        <v>212.19880000000001</v>
      </c>
    </row>
    <row r="1062" spans="1:9" x14ac:dyDescent="0.3">
      <c r="A1062" t="s">
        <v>9</v>
      </c>
      <c r="B1062" t="s">
        <v>1187</v>
      </c>
      <c r="C1062">
        <v>3</v>
      </c>
      <c r="D1062">
        <v>1.14E-2</v>
      </c>
      <c r="E1062">
        <v>7.0677190799171266</v>
      </c>
      <c r="F1062">
        <v>810.72654068413544</v>
      </c>
      <c r="G1062">
        <v>0.42399999999999999</v>
      </c>
      <c r="H1062">
        <v>1.67E-2</v>
      </c>
      <c r="I1062">
        <v>212.39879999999999</v>
      </c>
    </row>
    <row r="1063" spans="1:9" x14ac:dyDescent="0.3">
      <c r="A1063" t="s">
        <v>9</v>
      </c>
      <c r="B1063" t="s">
        <v>1188</v>
      </c>
      <c r="C1063">
        <v>3</v>
      </c>
      <c r="D1063">
        <v>1.3899999999999999E-2</v>
      </c>
      <c r="E1063">
        <v>7.2184430999178302</v>
      </c>
      <c r="F1063">
        <v>825.03025018220217</v>
      </c>
      <c r="G1063">
        <v>0.42399999999999999</v>
      </c>
      <c r="H1063">
        <v>1.9E-2</v>
      </c>
      <c r="I1063">
        <v>212.6003</v>
      </c>
    </row>
    <row r="1064" spans="1:9" x14ac:dyDescent="0.3">
      <c r="A1064" t="s">
        <v>9</v>
      </c>
      <c r="B1064" t="s">
        <v>1189</v>
      </c>
      <c r="C1064">
        <v>3</v>
      </c>
      <c r="D1064">
        <v>1.5900000000000001E-2</v>
      </c>
      <c r="E1064">
        <v>7.3139622773110844</v>
      </c>
      <c r="F1064">
        <v>834.09502011682196</v>
      </c>
      <c r="G1064">
        <v>0.42399999999999999</v>
      </c>
      <c r="H1064">
        <v>2.0500000000000001E-2</v>
      </c>
      <c r="I1064">
        <v>212.79920000000001</v>
      </c>
    </row>
    <row r="1065" spans="1:9" x14ac:dyDescent="0.3">
      <c r="A1065" t="s">
        <v>9</v>
      </c>
      <c r="B1065" t="s">
        <v>1190</v>
      </c>
      <c r="C1065">
        <v>3</v>
      </c>
      <c r="D1065">
        <v>1.7399999999999999E-2</v>
      </c>
      <c r="E1065">
        <v>7.3473000823730326</v>
      </c>
      <c r="F1065">
        <v>837.25877781720089</v>
      </c>
      <c r="G1065">
        <v>0.42399999999999999</v>
      </c>
      <c r="H1065">
        <v>2.1000000000000001E-2</v>
      </c>
      <c r="I1065">
        <v>212.9983</v>
      </c>
    </row>
    <row r="1066" spans="1:9" x14ac:dyDescent="0.3">
      <c r="A1066" t="s">
        <v>9</v>
      </c>
      <c r="B1066" t="s">
        <v>1191</v>
      </c>
      <c r="C1066">
        <v>3</v>
      </c>
      <c r="D1066">
        <v>1.8200000000000001E-2</v>
      </c>
      <c r="E1066">
        <v>7.3149013475679983</v>
      </c>
      <c r="F1066">
        <v>729.74880559333747</v>
      </c>
      <c r="G1066">
        <v>0.42399999999999999</v>
      </c>
      <c r="H1066">
        <v>2.0500000000000001E-2</v>
      </c>
      <c r="I1066">
        <v>213.1979</v>
      </c>
    </row>
    <row r="1067" spans="1:9" x14ac:dyDescent="0.3">
      <c r="A1067" t="s">
        <v>9</v>
      </c>
      <c r="B1067" t="s">
        <v>1192</v>
      </c>
      <c r="C1067">
        <v>3</v>
      </c>
      <c r="D1067">
        <v>1.8200000000000001E-2</v>
      </c>
      <c r="E1067">
        <v>7.2193724388767446</v>
      </c>
      <c r="F1067">
        <v>720.84551130331261</v>
      </c>
      <c r="G1067">
        <v>0.42399999999999999</v>
      </c>
      <c r="H1067">
        <v>1.9E-2</v>
      </c>
      <c r="I1067">
        <v>213.3982</v>
      </c>
    </row>
    <row r="1068" spans="1:9" x14ac:dyDescent="0.3">
      <c r="A1068" t="s">
        <v>9</v>
      </c>
      <c r="B1068" t="s">
        <v>1193</v>
      </c>
      <c r="C1068">
        <v>3</v>
      </c>
      <c r="D1068">
        <v>1.7899999999999999E-2</v>
      </c>
      <c r="E1068">
        <v>7.0693182565549799</v>
      </c>
      <c r="F1068">
        <v>706.8604615109241</v>
      </c>
      <c r="G1068">
        <v>0.42399999999999999</v>
      </c>
      <c r="H1068">
        <v>1.67E-2</v>
      </c>
      <c r="I1068">
        <v>213.5993</v>
      </c>
    </row>
    <row r="1069" spans="1:9" x14ac:dyDescent="0.3">
      <c r="A1069" t="s">
        <v>9</v>
      </c>
      <c r="B1069" t="s">
        <v>1194</v>
      </c>
      <c r="C1069">
        <v>3</v>
      </c>
      <c r="D1069">
        <v>1.7899999999999999E-2</v>
      </c>
      <c r="E1069">
        <v>6.880040861235555</v>
      </c>
      <c r="F1069">
        <v>689.21980826715378</v>
      </c>
      <c r="G1069">
        <v>0.42399999999999999</v>
      </c>
      <c r="H1069">
        <v>1.37E-2</v>
      </c>
      <c r="I1069">
        <v>213.80029999999999</v>
      </c>
    </row>
    <row r="1070" spans="1:9" x14ac:dyDescent="0.3">
      <c r="A1070" t="s">
        <v>9</v>
      </c>
      <c r="B1070" t="s">
        <v>1195</v>
      </c>
      <c r="C1070">
        <v>3</v>
      </c>
      <c r="D1070">
        <v>1.67E-2</v>
      </c>
      <c r="E1070">
        <v>6.6716370051696332</v>
      </c>
      <c r="F1070">
        <v>669.79656888180989</v>
      </c>
      <c r="G1070">
        <v>0.42399999999999999</v>
      </c>
      <c r="H1070">
        <v>1.0500000000000001E-2</v>
      </c>
      <c r="I1070">
        <v>213.9999</v>
      </c>
    </row>
    <row r="1071" spans="1:9" x14ac:dyDescent="0.3">
      <c r="A1071" t="s">
        <v>9</v>
      </c>
      <c r="B1071" t="s">
        <v>1196</v>
      </c>
      <c r="C1071">
        <v>3</v>
      </c>
      <c r="D1071">
        <v>1.4800000000000001E-2</v>
      </c>
      <c r="E1071">
        <v>6.4627113082485073</v>
      </c>
      <c r="F1071">
        <v>650.32469392876089</v>
      </c>
      <c r="G1071">
        <v>0.42399999999999999</v>
      </c>
      <c r="H1071">
        <v>7.3000000000000001E-3</v>
      </c>
      <c r="I1071">
        <v>214.2</v>
      </c>
    </row>
    <row r="1072" spans="1:9" x14ac:dyDescent="0.3">
      <c r="A1072" t="s">
        <v>9</v>
      </c>
      <c r="B1072" t="s">
        <v>1197</v>
      </c>
      <c r="C1072">
        <v>3</v>
      </c>
      <c r="D1072">
        <v>1.14E-2</v>
      </c>
      <c r="E1072">
        <v>6.2748610888748013</v>
      </c>
      <c r="F1072">
        <v>632.81705348313153</v>
      </c>
      <c r="G1072">
        <v>0.42399999999999999</v>
      </c>
      <c r="H1072">
        <v>4.3E-3</v>
      </c>
      <c r="I1072">
        <v>214.39930000000001</v>
      </c>
    </row>
    <row r="1073" spans="1:9" x14ac:dyDescent="0.3">
      <c r="A1073" t="s">
        <v>9</v>
      </c>
      <c r="B1073" t="s">
        <v>1198</v>
      </c>
      <c r="C1073">
        <v>3</v>
      </c>
      <c r="D1073">
        <v>7.0000000000000001E-3</v>
      </c>
      <c r="E1073">
        <v>6.1247105261557708</v>
      </c>
      <c r="F1073">
        <v>618.82302103771781</v>
      </c>
      <c r="G1073">
        <v>0.42399999999999999</v>
      </c>
      <c r="H1073">
        <v>2E-3</v>
      </c>
      <c r="I1073">
        <v>214.6001</v>
      </c>
    </row>
    <row r="1074" spans="1:9" x14ac:dyDescent="0.3">
      <c r="A1074" t="s">
        <v>9</v>
      </c>
      <c r="B1074" t="s">
        <v>1199</v>
      </c>
      <c r="C1074">
        <v>3</v>
      </c>
      <c r="D1074">
        <v>2.8999999999999998E-3</v>
      </c>
      <c r="E1074">
        <v>6.0286320910665063</v>
      </c>
      <c r="F1074">
        <v>609.86851088739843</v>
      </c>
      <c r="G1074">
        <v>0.42399999999999999</v>
      </c>
      <c r="H1074">
        <v>5.0000000000000001E-4</v>
      </c>
      <c r="I1074">
        <v>214.8005</v>
      </c>
    </row>
    <row r="1075" spans="1:9" x14ac:dyDescent="0.3">
      <c r="A1075" t="s">
        <v>9</v>
      </c>
      <c r="B1075" t="s">
        <v>1200</v>
      </c>
      <c r="C1075">
        <v>3</v>
      </c>
      <c r="D1075">
        <v>8.9999999999999998E-4</v>
      </c>
      <c r="E1075">
        <v>5.9957367867632572</v>
      </c>
      <c r="F1075">
        <v>606.80266852633554</v>
      </c>
      <c r="G1075">
        <v>0.42399999999999999</v>
      </c>
      <c r="H1075">
        <v>0</v>
      </c>
      <c r="I1075">
        <v>214.99799999999999</v>
      </c>
    </row>
    <row r="1076" spans="1:9" x14ac:dyDescent="0.3">
      <c r="A1076" t="s">
        <v>9</v>
      </c>
      <c r="B1076" t="s">
        <v>1201</v>
      </c>
      <c r="C1076">
        <v>3</v>
      </c>
      <c r="D1076">
        <v>-1E-4</v>
      </c>
      <c r="E1076">
        <v>6.0283071954639764</v>
      </c>
      <c r="F1076">
        <v>712.08635284953141</v>
      </c>
      <c r="G1076">
        <v>0.42399999999999999</v>
      </c>
      <c r="H1076">
        <v>5.0000000000000001E-4</v>
      </c>
      <c r="I1076">
        <v>215.1985</v>
      </c>
    </row>
    <row r="1077" spans="1:9" x14ac:dyDescent="0.3">
      <c r="A1077" t="s">
        <v>9</v>
      </c>
      <c r="B1077" t="s">
        <v>1202</v>
      </c>
      <c r="C1077">
        <v>3</v>
      </c>
      <c r="D1077">
        <v>0</v>
      </c>
      <c r="E1077">
        <v>6.1235466629150794</v>
      </c>
      <c r="F1077">
        <v>721.12457831064103</v>
      </c>
      <c r="G1077">
        <v>0.42399999999999999</v>
      </c>
      <c r="H1077">
        <v>2E-3</v>
      </c>
      <c r="I1077">
        <v>215.398</v>
      </c>
    </row>
    <row r="1078" spans="1:9" x14ac:dyDescent="0.3">
      <c r="A1078" t="s">
        <v>9</v>
      </c>
      <c r="B1078" t="s">
        <v>1203</v>
      </c>
      <c r="C1078">
        <v>3</v>
      </c>
      <c r="D1078">
        <v>6.9999999999999999E-4</v>
      </c>
      <c r="E1078">
        <v>6.2731893329727049</v>
      </c>
      <c r="F1078">
        <v>735.32566769910977</v>
      </c>
      <c r="G1078">
        <v>0.42399999999999999</v>
      </c>
      <c r="H1078">
        <v>4.3E-3</v>
      </c>
      <c r="I1078">
        <v>215.59870000000001</v>
      </c>
    </row>
    <row r="1079" spans="1:9" x14ac:dyDescent="0.3">
      <c r="A1079" t="s">
        <v>9</v>
      </c>
      <c r="B1079" t="s">
        <v>1204</v>
      </c>
      <c r="C1079">
        <v>3</v>
      </c>
      <c r="D1079">
        <v>2.5999999999999999E-3</v>
      </c>
      <c r="E1079">
        <v>6.4634131781166921</v>
      </c>
      <c r="F1079">
        <v>753.37791060327413</v>
      </c>
      <c r="G1079">
        <v>0.42399999999999999</v>
      </c>
      <c r="H1079">
        <v>7.3000000000000001E-3</v>
      </c>
      <c r="I1079">
        <v>215.80070000000001</v>
      </c>
    </row>
    <row r="1080" spans="1:9" x14ac:dyDescent="0.3">
      <c r="A1080" t="s">
        <v>9</v>
      </c>
      <c r="B1080" t="s">
        <v>1205</v>
      </c>
      <c r="C1080">
        <v>3</v>
      </c>
      <c r="D1080">
        <v>5.5999999999999999E-3</v>
      </c>
      <c r="E1080">
        <v>6.6750141710460724</v>
      </c>
      <c r="F1080">
        <v>773.45884483227235</v>
      </c>
      <c r="G1080">
        <v>0.42399999999999999</v>
      </c>
      <c r="H1080">
        <v>1.06E-2</v>
      </c>
      <c r="I1080">
        <v>216.0033</v>
      </c>
    </row>
    <row r="1081" spans="1:9" x14ac:dyDescent="0.3">
      <c r="A1081" t="s">
        <v>9</v>
      </c>
      <c r="B1081" t="s">
        <v>1206</v>
      </c>
      <c r="C1081">
        <v>3</v>
      </c>
      <c r="D1081">
        <v>8.6E-3</v>
      </c>
      <c r="E1081">
        <v>6.8807423256329932</v>
      </c>
      <c r="F1081">
        <v>792.98244670257111</v>
      </c>
      <c r="G1081">
        <v>0.42399999999999999</v>
      </c>
      <c r="H1081">
        <v>1.38E-2</v>
      </c>
      <c r="I1081">
        <v>216.2004</v>
      </c>
    </row>
    <row r="1082" spans="1:9" x14ac:dyDescent="0.3">
      <c r="A1082" t="s">
        <v>9</v>
      </c>
      <c r="B1082" t="s">
        <v>1207</v>
      </c>
      <c r="C1082">
        <v>3</v>
      </c>
      <c r="D1082">
        <v>1.14E-2</v>
      </c>
      <c r="E1082">
        <v>7.0672442736689209</v>
      </c>
      <c r="F1082">
        <v>810.6814815711806</v>
      </c>
      <c r="G1082">
        <v>0.42399999999999999</v>
      </c>
      <c r="H1082">
        <v>1.66E-2</v>
      </c>
      <c r="I1082">
        <v>216.39830000000001</v>
      </c>
    </row>
    <row r="1083" spans="1:9" x14ac:dyDescent="0.3">
      <c r="A1083" t="s">
        <v>9</v>
      </c>
      <c r="B1083" t="s">
        <v>1208</v>
      </c>
      <c r="C1083">
        <v>3</v>
      </c>
      <c r="D1083">
        <v>1.3899999999999999E-2</v>
      </c>
      <c r="E1083">
        <v>7.2171877624759428</v>
      </c>
      <c r="F1083">
        <v>824.91111865896698</v>
      </c>
      <c r="G1083">
        <v>0.42399999999999999</v>
      </c>
      <c r="H1083">
        <v>1.9E-2</v>
      </c>
      <c r="I1083">
        <v>216.59829999999999</v>
      </c>
    </row>
    <row r="1084" spans="1:9" x14ac:dyDescent="0.3">
      <c r="A1084" t="s">
        <v>9</v>
      </c>
      <c r="B1084" t="s">
        <v>1209</v>
      </c>
      <c r="C1084">
        <v>3</v>
      </c>
      <c r="D1084">
        <v>1.61E-2</v>
      </c>
      <c r="E1084">
        <v>7.3141127069593219</v>
      </c>
      <c r="F1084">
        <v>834.10929589043974</v>
      </c>
      <c r="G1084">
        <v>0.42399999999999999</v>
      </c>
      <c r="H1084">
        <v>2.0500000000000001E-2</v>
      </c>
      <c r="I1084">
        <v>216.7996</v>
      </c>
    </row>
    <row r="1085" spans="1:9" x14ac:dyDescent="0.3">
      <c r="A1085" t="s">
        <v>9</v>
      </c>
      <c r="B1085" t="s">
        <v>1210</v>
      </c>
      <c r="C1085">
        <v>3</v>
      </c>
      <c r="D1085">
        <v>1.7399999999999999E-2</v>
      </c>
      <c r="E1085">
        <v>7.3473025151975344</v>
      </c>
      <c r="F1085">
        <v>837.25900869224608</v>
      </c>
      <c r="G1085">
        <v>0.42399999999999999</v>
      </c>
      <c r="H1085">
        <v>2.1000000000000001E-2</v>
      </c>
      <c r="I1085">
        <v>217.00059999999999</v>
      </c>
    </row>
    <row r="1086" spans="1:9" x14ac:dyDescent="0.3">
      <c r="A1086" t="s">
        <v>9</v>
      </c>
      <c r="B1086" t="s">
        <v>1211</v>
      </c>
      <c r="C1086">
        <v>3</v>
      </c>
      <c r="D1086">
        <v>1.83E-2</v>
      </c>
      <c r="E1086">
        <v>7.314289086735557</v>
      </c>
      <c r="F1086">
        <v>729.69174288375393</v>
      </c>
      <c r="G1086">
        <v>0.42399999999999999</v>
      </c>
      <c r="H1086">
        <v>2.0500000000000001E-2</v>
      </c>
      <c r="I1086">
        <v>217.19980000000001</v>
      </c>
    </row>
    <row r="1087" spans="1:9" x14ac:dyDescent="0.3">
      <c r="A1087" t="s">
        <v>9</v>
      </c>
      <c r="B1087" t="s">
        <v>1212</v>
      </c>
      <c r="C1087">
        <v>3</v>
      </c>
      <c r="D1087">
        <v>1.84E-2</v>
      </c>
      <c r="E1087">
        <v>7.218893983391788</v>
      </c>
      <c r="F1087">
        <v>720.80091925211468</v>
      </c>
      <c r="G1087">
        <v>0.42399999999999999</v>
      </c>
      <c r="H1087">
        <v>1.9E-2</v>
      </c>
      <c r="I1087">
        <v>217.3989</v>
      </c>
    </row>
    <row r="1088" spans="1:9" x14ac:dyDescent="0.3">
      <c r="A1088" t="s">
        <v>9</v>
      </c>
      <c r="B1088" t="s">
        <v>1213</v>
      </c>
      <c r="C1088">
        <v>3</v>
      </c>
      <c r="D1088">
        <v>1.8200000000000001E-2</v>
      </c>
      <c r="E1088">
        <v>7.0686415258732911</v>
      </c>
      <c r="F1088">
        <v>706.79739021139073</v>
      </c>
      <c r="G1088">
        <v>0.42399999999999999</v>
      </c>
      <c r="H1088">
        <v>1.67E-2</v>
      </c>
      <c r="I1088">
        <v>217.6001</v>
      </c>
    </row>
    <row r="1089" spans="1:9" x14ac:dyDescent="0.3">
      <c r="A1089" t="s">
        <v>9</v>
      </c>
      <c r="B1089" t="s">
        <v>1214</v>
      </c>
      <c r="C1089">
        <v>3</v>
      </c>
      <c r="D1089">
        <v>1.77E-2</v>
      </c>
      <c r="E1089">
        <v>6.882245000232353</v>
      </c>
      <c r="F1089">
        <v>689.42523402165534</v>
      </c>
      <c r="G1089">
        <v>0.42399999999999999</v>
      </c>
      <c r="H1089">
        <v>1.38E-2</v>
      </c>
      <c r="I1089">
        <v>217.79810000000001</v>
      </c>
    </row>
    <row r="1090" spans="1:9" x14ac:dyDescent="0.3">
      <c r="A1090" t="s">
        <v>9</v>
      </c>
      <c r="B1090" t="s">
        <v>1215</v>
      </c>
      <c r="C1090">
        <v>3</v>
      </c>
      <c r="D1090">
        <v>1.6899999999999998E-2</v>
      </c>
      <c r="E1090">
        <v>6.6715834830306369</v>
      </c>
      <c r="F1090">
        <v>669.79158061845533</v>
      </c>
      <c r="G1090">
        <v>0.42399999999999999</v>
      </c>
      <c r="H1090">
        <v>1.0500000000000001E-2</v>
      </c>
      <c r="I1090">
        <v>217.9999</v>
      </c>
    </row>
    <row r="1091" spans="1:9" x14ac:dyDescent="0.3">
      <c r="A1091" t="s">
        <v>9</v>
      </c>
      <c r="B1091" t="s">
        <v>1216</v>
      </c>
      <c r="C1091">
        <v>3</v>
      </c>
      <c r="D1091">
        <v>1.49E-2</v>
      </c>
      <c r="E1091">
        <v>6.4645051108463436</v>
      </c>
      <c r="F1091">
        <v>650.49187633087922</v>
      </c>
      <c r="G1091">
        <v>0.42399999999999999</v>
      </c>
      <c r="H1091">
        <v>7.3000000000000001E-3</v>
      </c>
      <c r="I1091">
        <v>218.19820000000001</v>
      </c>
    </row>
    <row r="1092" spans="1:9" x14ac:dyDescent="0.3">
      <c r="A1092" t="s">
        <v>9</v>
      </c>
      <c r="B1092" t="s">
        <v>1217</v>
      </c>
      <c r="C1092">
        <v>3</v>
      </c>
      <c r="D1092">
        <v>1.12E-2</v>
      </c>
      <c r="E1092">
        <v>6.2761548243967091</v>
      </c>
      <c r="F1092">
        <v>632.93762963377333</v>
      </c>
      <c r="G1092">
        <v>0.42399999999999999</v>
      </c>
      <c r="H1092">
        <v>4.4000000000000003E-3</v>
      </c>
      <c r="I1092">
        <v>218.39779999999999</v>
      </c>
    </row>
    <row r="1093" spans="1:9" x14ac:dyDescent="0.3">
      <c r="A1093" t="s">
        <v>9</v>
      </c>
      <c r="B1093" t="s">
        <v>1218</v>
      </c>
      <c r="C1093">
        <v>3</v>
      </c>
      <c r="D1093">
        <v>7.0000000000000001E-3</v>
      </c>
      <c r="E1093">
        <v>6.1253221382350151</v>
      </c>
      <c r="F1093">
        <v>618.88002328350342</v>
      </c>
      <c r="G1093">
        <v>0.42399999999999999</v>
      </c>
      <c r="H1093">
        <v>2E-3</v>
      </c>
      <c r="I1093">
        <v>218.5992</v>
      </c>
    </row>
    <row r="1094" spans="1:9" x14ac:dyDescent="0.3">
      <c r="A1094" t="s">
        <v>9</v>
      </c>
      <c r="B1094" t="s">
        <v>1219</v>
      </c>
      <c r="C1094">
        <v>3</v>
      </c>
      <c r="D1094">
        <v>3.0999999999999999E-3</v>
      </c>
      <c r="E1094">
        <v>6.0286538040251676</v>
      </c>
      <c r="F1094">
        <v>609.87053453514568</v>
      </c>
      <c r="G1094">
        <v>0.42399999999999999</v>
      </c>
      <c r="H1094">
        <v>5.0000000000000001E-4</v>
      </c>
      <c r="I1094">
        <v>218.8005</v>
      </c>
    </row>
    <row r="1095" spans="1:9" x14ac:dyDescent="0.3">
      <c r="A1095" t="s">
        <v>9</v>
      </c>
      <c r="B1095" t="s">
        <v>1220</v>
      </c>
      <c r="C1095">
        <v>3</v>
      </c>
      <c r="D1095">
        <v>8.9999999999999998E-4</v>
      </c>
      <c r="E1095">
        <v>5.9957340477300853</v>
      </c>
      <c r="F1095">
        <v>606.80241324844394</v>
      </c>
      <c r="G1095">
        <v>0.42399999999999999</v>
      </c>
      <c r="H1095">
        <v>0</v>
      </c>
      <c r="I1095">
        <v>218.9992</v>
      </c>
    </row>
    <row r="1096" spans="1:9" x14ac:dyDescent="0.3">
      <c r="A1096" t="s">
        <v>9</v>
      </c>
      <c r="B1096" t="s">
        <v>1221</v>
      </c>
      <c r="C1096">
        <v>3</v>
      </c>
      <c r="D1096">
        <v>-1E-4</v>
      </c>
      <c r="E1096">
        <v>6.0287934116590884</v>
      </c>
      <c r="F1096">
        <v>712.13249476644739</v>
      </c>
      <c r="G1096">
        <v>0.42399999999999999</v>
      </c>
      <c r="H1096">
        <v>5.0000000000000001E-4</v>
      </c>
      <c r="I1096">
        <v>219.2</v>
      </c>
    </row>
    <row r="1097" spans="1:9" x14ac:dyDescent="0.3">
      <c r="A1097" t="s">
        <v>9</v>
      </c>
      <c r="B1097" t="s">
        <v>1222</v>
      </c>
      <c r="C1097">
        <v>3</v>
      </c>
      <c r="D1097">
        <v>1E-4</v>
      </c>
      <c r="E1097">
        <v>6.1239885043913143</v>
      </c>
      <c r="F1097">
        <v>721.16650906673578</v>
      </c>
      <c r="G1097">
        <v>0.42399999999999999</v>
      </c>
      <c r="H1097">
        <v>2E-3</v>
      </c>
      <c r="I1097">
        <v>219.39869999999999</v>
      </c>
    </row>
    <row r="1098" spans="1:9" x14ac:dyDescent="0.3">
      <c r="A1098" t="s">
        <v>9</v>
      </c>
      <c r="B1098" t="s">
        <v>1223</v>
      </c>
      <c r="C1098">
        <v>3</v>
      </c>
      <c r="D1098">
        <v>6.9999999999999999E-4</v>
      </c>
      <c r="E1098">
        <v>6.2733823370496884</v>
      </c>
      <c r="F1098">
        <v>735.34398378601543</v>
      </c>
      <c r="G1098">
        <v>0.42399999999999999</v>
      </c>
      <c r="H1098">
        <v>4.3E-3</v>
      </c>
      <c r="I1098">
        <v>219.59889999999999</v>
      </c>
    </row>
    <row r="1099" spans="1:9" x14ac:dyDescent="0.3">
      <c r="A1099" t="s">
        <v>9</v>
      </c>
      <c r="B1099" t="s">
        <v>1224</v>
      </c>
      <c r="C1099">
        <v>3</v>
      </c>
      <c r="D1099">
        <v>2.7000000000000001E-3</v>
      </c>
      <c r="E1099">
        <v>6.4627968625767496</v>
      </c>
      <c r="F1099">
        <v>753.31942225853356</v>
      </c>
      <c r="G1099">
        <v>0.42399999999999999</v>
      </c>
      <c r="H1099">
        <v>7.3000000000000001E-3</v>
      </c>
      <c r="I1099">
        <v>219.80009999999999</v>
      </c>
    </row>
    <row r="1100" spans="1:9" x14ac:dyDescent="0.3">
      <c r="A1100" t="s">
        <v>9</v>
      </c>
      <c r="B1100" t="s">
        <v>1225</v>
      </c>
      <c r="C1100">
        <v>3</v>
      </c>
      <c r="D1100">
        <v>5.4999999999999997E-3</v>
      </c>
      <c r="E1100">
        <v>6.6692516207476009</v>
      </c>
      <c r="F1100">
        <v>772.91197880894731</v>
      </c>
      <c r="G1100">
        <v>0.42399999999999999</v>
      </c>
      <c r="H1100">
        <v>1.0500000000000001E-2</v>
      </c>
      <c r="I1100">
        <v>219.99789999999999</v>
      </c>
    </row>
    <row r="1101" spans="1:9" x14ac:dyDescent="0.3">
      <c r="A1101" t="s">
        <v>9</v>
      </c>
      <c r="B1101" t="s">
        <v>1226</v>
      </c>
      <c r="C1101">
        <v>3</v>
      </c>
      <c r="D1101">
        <v>8.3000000000000001E-3</v>
      </c>
      <c r="E1101">
        <v>6.8800477542383058</v>
      </c>
      <c r="F1101">
        <v>792.91653187721522</v>
      </c>
      <c r="G1101">
        <v>0.42399999999999999</v>
      </c>
      <c r="H1101">
        <v>1.37E-2</v>
      </c>
      <c r="I1101">
        <v>220.19970000000001</v>
      </c>
    </row>
    <row r="1102" spans="1:9" x14ac:dyDescent="0.3">
      <c r="A1102" t="s">
        <v>9</v>
      </c>
      <c r="B1102" t="s">
        <v>1227</v>
      </c>
      <c r="C1102">
        <v>3</v>
      </c>
      <c r="D1102">
        <v>1.1599999999999999E-2</v>
      </c>
      <c r="E1102">
        <v>7.0670703267171859</v>
      </c>
      <c r="F1102">
        <v>810.66497400546098</v>
      </c>
      <c r="G1102">
        <v>0.42399999999999999</v>
      </c>
      <c r="H1102">
        <v>1.66E-2</v>
      </c>
      <c r="I1102">
        <v>220.3981</v>
      </c>
    </row>
    <row r="1103" spans="1:9" x14ac:dyDescent="0.3">
      <c r="A1103" t="s">
        <v>9</v>
      </c>
      <c r="B1103" t="s">
        <v>1228</v>
      </c>
      <c r="C1103">
        <v>3</v>
      </c>
      <c r="D1103">
        <v>1.38E-2</v>
      </c>
      <c r="E1103">
        <v>7.2174991640119153</v>
      </c>
      <c r="F1103">
        <v>824.94067066473076</v>
      </c>
      <c r="G1103">
        <v>0.42399999999999999</v>
      </c>
      <c r="H1103">
        <v>1.9E-2</v>
      </c>
      <c r="I1103">
        <v>220.59880000000001</v>
      </c>
    </row>
    <row r="1104" spans="1:9" x14ac:dyDescent="0.3">
      <c r="A1104" t="s">
        <v>9</v>
      </c>
      <c r="B1104" t="s">
        <v>1229</v>
      </c>
      <c r="C1104">
        <v>3</v>
      </c>
      <c r="D1104">
        <v>1.5800000000000002E-2</v>
      </c>
      <c r="E1104">
        <v>7.3136618234853641</v>
      </c>
      <c r="F1104">
        <v>834.06650704876108</v>
      </c>
      <c r="G1104">
        <v>0.42399999999999999</v>
      </c>
      <c r="H1104">
        <v>2.0500000000000001E-2</v>
      </c>
      <c r="I1104">
        <v>220.79830000000001</v>
      </c>
    </row>
    <row r="1105" spans="1:9" x14ac:dyDescent="0.3">
      <c r="A1105" t="s">
        <v>9</v>
      </c>
      <c r="B1105" t="s">
        <v>1230</v>
      </c>
      <c r="C1105">
        <v>3</v>
      </c>
      <c r="D1105">
        <v>1.7600000000000001E-2</v>
      </c>
      <c r="E1105">
        <v>7.3473017042560347</v>
      </c>
      <c r="F1105">
        <v>837.25893173389773</v>
      </c>
      <c r="G1105">
        <v>0.42399999999999999</v>
      </c>
      <c r="H1105">
        <v>2.1000000000000001E-2</v>
      </c>
      <c r="I1105">
        <v>220.99889999999999</v>
      </c>
    </row>
    <row r="1106" spans="1:9" x14ac:dyDescent="0.3">
      <c r="A1106" t="s">
        <v>9</v>
      </c>
      <c r="B1106" t="s">
        <v>1231</v>
      </c>
      <c r="C1106">
        <v>3</v>
      </c>
      <c r="D1106">
        <v>1.7899999999999999E-2</v>
      </c>
      <c r="E1106">
        <v>7.3140429659903292</v>
      </c>
      <c r="F1106">
        <v>729.66880443029868</v>
      </c>
      <c r="G1106">
        <v>0.42399999999999999</v>
      </c>
      <c r="H1106">
        <v>2.0500000000000001E-2</v>
      </c>
      <c r="I1106">
        <v>221.20060000000001</v>
      </c>
    </row>
    <row r="1107" spans="1:9" x14ac:dyDescent="0.3">
      <c r="A1107" t="s">
        <v>9</v>
      </c>
      <c r="B1107" t="s">
        <v>1232</v>
      </c>
      <c r="C1107">
        <v>3</v>
      </c>
      <c r="D1107">
        <v>1.7899999999999999E-2</v>
      </c>
      <c r="E1107">
        <v>7.2184147169653317</v>
      </c>
      <c r="F1107">
        <v>720.75625162116899</v>
      </c>
      <c r="G1107">
        <v>0.42399999999999999</v>
      </c>
      <c r="H1107">
        <v>1.9E-2</v>
      </c>
      <c r="I1107">
        <v>221.3997</v>
      </c>
    </row>
    <row r="1108" spans="1:9" x14ac:dyDescent="0.3">
      <c r="A1108" t="s">
        <v>9</v>
      </c>
      <c r="B1108" t="s">
        <v>1233</v>
      </c>
      <c r="C1108">
        <v>3</v>
      </c>
      <c r="D1108">
        <v>1.78E-2</v>
      </c>
      <c r="E1108">
        <v>7.0698656420674304</v>
      </c>
      <c r="F1108">
        <v>706.91147784068448</v>
      </c>
      <c r="G1108">
        <v>0.42399999999999999</v>
      </c>
      <c r="H1108">
        <v>1.67E-2</v>
      </c>
      <c r="I1108">
        <v>221.59870000000001</v>
      </c>
    </row>
    <row r="1109" spans="1:9" x14ac:dyDescent="0.3">
      <c r="A1109" t="s">
        <v>9</v>
      </c>
      <c r="B1109" t="s">
        <v>1234</v>
      </c>
      <c r="C1109">
        <v>3</v>
      </c>
      <c r="D1109">
        <v>1.7299999999999999E-2</v>
      </c>
      <c r="E1109">
        <v>6.8803319892340298</v>
      </c>
      <c r="F1109">
        <v>689.24694139661165</v>
      </c>
      <c r="G1109">
        <v>0.42399999999999999</v>
      </c>
      <c r="H1109">
        <v>1.37E-2</v>
      </c>
      <c r="I1109">
        <v>221.8</v>
      </c>
    </row>
    <row r="1110" spans="1:9" x14ac:dyDescent="0.3">
      <c r="A1110" t="s">
        <v>9</v>
      </c>
      <c r="B1110" t="s">
        <v>1235</v>
      </c>
      <c r="C1110">
        <v>3</v>
      </c>
      <c r="D1110">
        <v>1.6500000000000001E-2</v>
      </c>
      <c r="E1110">
        <v>6.6731185952899956</v>
      </c>
      <c r="F1110">
        <v>669.93465308102759</v>
      </c>
      <c r="G1110">
        <v>0.42399999999999999</v>
      </c>
      <c r="H1110">
        <v>1.0500000000000001E-2</v>
      </c>
      <c r="I1110">
        <v>221.99850000000001</v>
      </c>
    </row>
    <row r="1111" spans="1:9" x14ac:dyDescent="0.3">
      <c r="A1111" t="s">
        <v>9</v>
      </c>
      <c r="B1111" t="s">
        <v>1236</v>
      </c>
      <c r="C1111">
        <v>3</v>
      </c>
      <c r="D1111">
        <v>1.41E-2</v>
      </c>
      <c r="E1111">
        <v>6.4630024362469802</v>
      </c>
      <c r="F1111">
        <v>650.35182705821853</v>
      </c>
      <c r="G1111">
        <v>0.42399999999999999</v>
      </c>
      <c r="H1111">
        <v>7.3000000000000001E-3</v>
      </c>
      <c r="I1111">
        <v>222.19970000000001</v>
      </c>
    </row>
    <row r="1112" spans="1:9" x14ac:dyDescent="0.3">
      <c r="A1112" t="s">
        <v>9</v>
      </c>
      <c r="B1112" t="s">
        <v>1237</v>
      </c>
      <c r="C1112">
        <v>3</v>
      </c>
      <c r="D1112">
        <v>1.1299999999999999E-2</v>
      </c>
      <c r="E1112">
        <v>6.2754429394009996</v>
      </c>
      <c r="F1112">
        <v>632.87128195217315</v>
      </c>
      <c r="G1112">
        <v>0.42399999999999999</v>
      </c>
      <c r="H1112">
        <v>4.3E-3</v>
      </c>
      <c r="I1112">
        <v>222.39869999999999</v>
      </c>
    </row>
    <row r="1113" spans="1:9" x14ac:dyDescent="0.3">
      <c r="A1113" t="s">
        <v>9</v>
      </c>
      <c r="B1113" t="s">
        <v>1238</v>
      </c>
      <c r="C1113">
        <v>3</v>
      </c>
      <c r="D1113">
        <v>3.0000000000000001E-3</v>
      </c>
      <c r="E1113">
        <v>6.0420137530239666</v>
      </c>
      <c r="F1113">
        <v>611.1156817818337</v>
      </c>
      <c r="G1113">
        <v>0.42399999999999999</v>
      </c>
      <c r="H1113">
        <v>6.9999999999999999E-4</v>
      </c>
      <c r="I1113">
        <v>222.76300000000001</v>
      </c>
    </row>
    <row r="1114" spans="1:9" x14ac:dyDescent="0.3">
      <c r="A1114" t="s">
        <v>9</v>
      </c>
      <c r="B1114" t="s">
        <v>1239</v>
      </c>
      <c r="C1114">
        <v>3</v>
      </c>
      <c r="D1114">
        <v>2.8999999999999998E-3</v>
      </c>
      <c r="E1114">
        <v>6.0287200620004198</v>
      </c>
      <c r="F1114">
        <v>609.87670977843914</v>
      </c>
      <c r="G1114">
        <v>0.42399999999999999</v>
      </c>
      <c r="H1114">
        <v>5.0000000000000001E-4</v>
      </c>
      <c r="I1114">
        <v>222.80029999999999</v>
      </c>
    </row>
    <row r="1115" spans="1:9" x14ac:dyDescent="0.3">
      <c r="A1115" t="s">
        <v>9</v>
      </c>
      <c r="B1115" t="s">
        <v>1240</v>
      </c>
      <c r="C1115">
        <v>3</v>
      </c>
      <c r="D1115">
        <v>1E-3</v>
      </c>
      <c r="E1115">
        <v>5.9957334838115024</v>
      </c>
      <c r="F1115">
        <v>606.80236069123202</v>
      </c>
      <c r="G1115">
        <v>0.42399999999999999</v>
      </c>
      <c r="H1115">
        <v>0</v>
      </c>
      <c r="I1115">
        <v>223.0001</v>
      </c>
    </row>
    <row r="1116" spans="1:9" x14ac:dyDescent="0.3">
      <c r="A1116" t="s">
        <v>9</v>
      </c>
      <c r="B1116" t="s">
        <v>1241</v>
      </c>
      <c r="C1116">
        <v>3</v>
      </c>
      <c r="D1116">
        <v>1E-4</v>
      </c>
      <c r="E1116">
        <v>6.0283335794456772</v>
      </c>
      <c r="F1116">
        <v>712.08885668939479</v>
      </c>
      <c r="G1116">
        <v>0.42399999999999999</v>
      </c>
      <c r="H1116">
        <v>5.0000000000000001E-4</v>
      </c>
      <c r="I1116">
        <v>223.1985</v>
      </c>
    </row>
    <row r="1117" spans="1:9" x14ac:dyDescent="0.3">
      <c r="A1117" t="s">
        <v>9</v>
      </c>
      <c r="B1117" t="s">
        <v>1242</v>
      </c>
      <c r="C1117">
        <v>3</v>
      </c>
      <c r="D1117">
        <v>2.0000000000000001E-4</v>
      </c>
      <c r="E1117">
        <v>6.1250977507219861</v>
      </c>
      <c r="F1117">
        <v>721.27177654351647</v>
      </c>
      <c r="G1117">
        <v>0.42399999999999999</v>
      </c>
      <c r="H1117">
        <v>2E-3</v>
      </c>
      <c r="I1117">
        <v>223.40049999999999</v>
      </c>
    </row>
    <row r="1118" spans="1:9" x14ac:dyDescent="0.3">
      <c r="A1118" t="s">
        <v>9</v>
      </c>
      <c r="B1118" t="s">
        <v>1243</v>
      </c>
      <c r="C1118">
        <v>3</v>
      </c>
      <c r="D1118">
        <v>8.9999999999999998E-4</v>
      </c>
      <c r="E1118">
        <v>6.2735253871302747</v>
      </c>
      <c r="F1118">
        <v>735.35755923866316</v>
      </c>
      <c r="G1118">
        <v>0.42399999999999999</v>
      </c>
      <c r="H1118">
        <v>4.3E-3</v>
      </c>
      <c r="I1118">
        <v>223.59909999999999</v>
      </c>
    </row>
    <row r="1119" spans="1:9" x14ac:dyDescent="0.3">
      <c r="A1119" t="s">
        <v>9</v>
      </c>
      <c r="B1119" t="s">
        <v>1244</v>
      </c>
      <c r="C1119">
        <v>3</v>
      </c>
      <c r="D1119">
        <v>2.5000000000000001E-3</v>
      </c>
      <c r="E1119">
        <v>6.4619060433390816</v>
      </c>
      <c r="F1119">
        <v>753.23488351287892</v>
      </c>
      <c r="G1119">
        <v>0.42399999999999999</v>
      </c>
      <c r="H1119">
        <v>7.1999999999999998E-3</v>
      </c>
      <c r="I1119">
        <v>223.79920000000001</v>
      </c>
    </row>
    <row r="1120" spans="1:9" x14ac:dyDescent="0.3">
      <c r="A1120" t="s">
        <v>9</v>
      </c>
      <c r="B1120" t="s">
        <v>1245</v>
      </c>
      <c r="C1120">
        <v>3</v>
      </c>
      <c r="D1120">
        <v>5.4999999999999997E-3</v>
      </c>
      <c r="E1120">
        <v>6.6698618542262951</v>
      </c>
      <c r="F1120">
        <v>772.96988996607547</v>
      </c>
      <c r="G1120">
        <v>0.42399999999999999</v>
      </c>
      <c r="H1120">
        <v>1.0500000000000001E-2</v>
      </c>
      <c r="I1120">
        <v>223.9984</v>
      </c>
    </row>
    <row r="1121" spans="1:9" x14ac:dyDescent="0.3">
      <c r="A1121" t="s">
        <v>9</v>
      </c>
      <c r="B1121" t="s">
        <v>1246</v>
      </c>
      <c r="C1121">
        <v>3</v>
      </c>
      <c r="D1121">
        <v>8.3999999999999995E-3</v>
      </c>
      <c r="E1121">
        <v>6.8797647356548319</v>
      </c>
      <c r="F1121">
        <v>792.88967341364355</v>
      </c>
      <c r="G1121">
        <v>0.42399999999999999</v>
      </c>
      <c r="H1121">
        <v>1.37E-2</v>
      </c>
      <c r="I1121">
        <v>224.1994</v>
      </c>
    </row>
    <row r="1122" spans="1:9" x14ac:dyDescent="0.3">
      <c r="A1122" t="s">
        <v>9</v>
      </c>
      <c r="B1122" t="s">
        <v>1247</v>
      </c>
      <c r="C1122">
        <v>3</v>
      </c>
      <c r="D1122">
        <v>1.17E-2</v>
      </c>
      <c r="E1122">
        <v>7.0670297796421888</v>
      </c>
      <c r="F1122">
        <v>810.66112608804372</v>
      </c>
      <c r="G1122">
        <v>0.42399999999999999</v>
      </c>
      <c r="H1122">
        <v>1.66E-2</v>
      </c>
      <c r="I1122">
        <v>224.398</v>
      </c>
    </row>
    <row r="1123" spans="1:9" x14ac:dyDescent="0.3">
      <c r="A1123" t="s">
        <v>9</v>
      </c>
      <c r="B1123" t="s">
        <v>1248</v>
      </c>
      <c r="C1123">
        <v>3</v>
      </c>
      <c r="D1123">
        <v>1.38E-2</v>
      </c>
      <c r="E1123">
        <v>7.2172992669321836</v>
      </c>
      <c r="F1123">
        <v>824.92170043186434</v>
      </c>
      <c r="G1123">
        <v>0.42399999999999999</v>
      </c>
      <c r="H1123">
        <v>1.9E-2</v>
      </c>
      <c r="I1123">
        <v>224.5985</v>
      </c>
    </row>
    <row r="1124" spans="1:9" x14ac:dyDescent="0.3">
      <c r="A1124" t="s">
        <v>9</v>
      </c>
      <c r="B1124" t="s">
        <v>1249</v>
      </c>
      <c r="C1124">
        <v>3</v>
      </c>
      <c r="D1124">
        <v>1.5699999999999999E-2</v>
      </c>
      <c r="E1124">
        <v>7.3144516805062914</v>
      </c>
      <c r="F1124">
        <v>834.14146448004715</v>
      </c>
      <c r="G1124">
        <v>0.42399999999999999</v>
      </c>
      <c r="H1124">
        <v>2.0500000000000001E-2</v>
      </c>
      <c r="I1124">
        <v>224.80070000000001</v>
      </c>
    </row>
    <row r="1125" spans="1:9" x14ac:dyDescent="0.3">
      <c r="A1125" t="s">
        <v>9</v>
      </c>
      <c r="B1125" t="s">
        <v>1250</v>
      </c>
      <c r="C1125">
        <v>3</v>
      </c>
      <c r="D1125">
        <v>1.7399999999999999E-2</v>
      </c>
      <c r="E1125">
        <v>7.3473021097267832</v>
      </c>
      <c r="F1125">
        <v>837.25897021307173</v>
      </c>
      <c r="G1125">
        <v>0.42399999999999999</v>
      </c>
      <c r="H1125">
        <v>2.1000000000000001E-2</v>
      </c>
      <c r="I1125">
        <v>225.0009</v>
      </c>
    </row>
    <row r="1126" spans="1:9" x14ac:dyDescent="0.3">
      <c r="A1126" t="s">
        <v>9</v>
      </c>
      <c r="B1126" t="s">
        <v>1251</v>
      </c>
      <c r="C1126">
        <v>3</v>
      </c>
      <c r="D1126">
        <v>1.78E-2</v>
      </c>
      <c r="E1126">
        <v>7.3149094569829991</v>
      </c>
      <c r="F1126">
        <v>729.74956139081553</v>
      </c>
      <c r="G1126">
        <v>0.42399999999999999</v>
      </c>
      <c r="H1126">
        <v>2.0500000000000001E-2</v>
      </c>
      <c r="I1126">
        <v>225.1979</v>
      </c>
    </row>
    <row r="1127" spans="1:9" x14ac:dyDescent="0.3">
      <c r="A1127" t="s">
        <v>9</v>
      </c>
      <c r="B1127" t="s">
        <v>1252</v>
      </c>
      <c r="C1127">
        <v>3</v>
      </c>
      <c r="D1127">
        <v>1.78E-2</v>
      </c>
      <c r="E1127">
        <v>7.2182383371890984</v>
      </c>
      <c r="F1127">
        <v>720.73981302602397</v>
      </c>
      <c r="G1127">
        <v>0.42399999999999999</v>
      </c>
      <c r="H1127">
        <v>1.9E-2</v>
      </c>
      <c r="I1127">
        <v>225.4</v>
      </c>
    </row>
    <row r="1128" spans="1:9" x14ac:dyDescent="0.3">
      <c r="A1128" t="s">
        <v>9</v>
      </c>
      <c r="B1128" t="s">
        <v>1253</v>
      </c>
      <c r="C1128">
        <v>3</v>
      </c>
      <c r="D1128">
        <v>1.77E-2</v>
      </c>
      <c r="E1128">
        <v>7.0702220508566471</v>
      </c>
      <c r="F1128">
        <v>706.9446951398395</v>
      </c>
      <c r="G1128">
        <v>0.42399999999999999</v>
      </c>
      <c r="H1128">
        <v>1.67E-2</v>
      </c>
      <c r="I1128">
        <v>225.59829999999999</v>
      </c>
    </row>
    <row r="1129" spans="1:9" x14ac:dyDescent="0.3">
      <c r="A1129" t="s">
        <v>9</v>
      </c>
      <c r="B1129" t="s">
        <v>1254</v>
      </c>
      <c r="C1129">
        <v>3</v>
      </c>
      <c r="D1129">
        <v>1.7299999999999999E-2</v>
      </c>
      <c r="E1129">
        <v>6.882476524030583</v>
      </c>
      <c r="F1129">
        <v>689.44681203965035</v>
      </c>
      <c r="G1129">
        <v>0.42399999999999999</v>
      </c>
      <c r="H1129">
        <v>1.38E-2</v>
      </c>
      <c r="I1129">
        <v>225.7979</v>
      </c>
    </row>
    <row r="1130" spans="1:9" x14ac:dyDescent="0.3">
      <c r="A1130" t="s">
        <v>9</v>
      </c>
      <c r="B1130" t="s">
        <v>1255</v>
      </c>
      <c r="C1130">
        <v>4</v>
      </c>
      <c r="D1130">
        <v>1.66E-2</v>
      </c>
      <c r="E1130">
        <v>6.6731064311674988</v>
      </c>
      <c r="F1130">
        <v>669.93351938481089</v>
      </c>
      <c r="G1130">
        <v>0.42399999999999999</v>
      </c>
      <c r="H1130">
        <v>1.0500000000000001E-2</v>
      </c>
      <c r="I1130">
        <v>225.99850000000001</v>
      </c>
    </row>
    <row r="1131" spans="1:9" x14ac:dyDescent="0.3">
      <c r="A1131" t="s">
        <v>9</v>
      </c>
      <c r="B1131" t="s">
        <v>1256</v>
      </c>
      <c r="C1131">
        <v>4</v>
      </c>
      <c r="D1131">
        <v>1.4500000000000001E-2</v>
      </c>
      <c r="E1131">
        <v>6.4615005725891184</v>
      </c>
      <c r="F1131">
        <v>650.21185336530584</v>
      </c>
      <c r="G1131">
        <v>0.42399999999999999</v>
      </c>
      <c r="H1131">
        <v>7.1999999999999998E-3</v>
      </c>
      <c r="I1131">
        <v>226.2012</v>
      </c>
    </row>
    <row r="1132" spans="1:9" x14ac:dyDescent="0.3">
      <c r="A1132" t="s">
        <v>9</v>
      </c>
      <c r="B1132" t="s">
        <v>1257</v>
      </c>
      <c r="C1132">
        <v>4</v>
      </c>
      <c r="D1132">
        <v>1.0800000000000001E-2</v>
      </c>
      <c r="E1132">
        <v>6.2759346132324048</v>
      </c>
      <c r="F1132">
        <v>632.91710595326015</v>
      </c>
      <c r="G1132">
        <v>0.42399999999999999</v>
      </c>
      <c r="H1132">
        <v>4.4000000000000003E-3</v>
      </c>
      <c r="I1132">
        <v>226.3981</v>
      </c>
    </row>
    <row r="1133" spans="1:9" x14ac:dyDescent="0.3">
      <c r="A1133" t="s">
        <v>9</v>
      </c>
      <c r="B1133" t="s">
        <v>1258</v>
      </c>
      <c r="C1133">
        <v>4</v>
      </c>
      <c r="D1133">
        <v>7.1999999999999998E-3</v>
      </c>
      <c r="E1133">
        <v>6.1258670909229664</v>
      </c>
      <c r="F1133">
        <v>618.93081287402049</v>
      </c>
      <c r="G1133">
        <v>0.42399999999999999</v>
      </c>
      <c r="H1133">
        <v>2E-3</v>
      </c>
      <c r="I1133">
        <v>226.59829999999999</v>
      </c>
    </row>
    <row r="1134" spans="1:9" x14ac:dyDescent="0.3">
      <c r="A1134" t="s">
        <v>9</v>
      </c>
      <c r="B1134" t="s">
        <v>1259</v>
      </c>
      <c r="C1134">
        <v>4</v>
      </c>
      <c r="D1134">
        <v>3.3E-3</v>
      </c>
      <c r="E1134">
        <v>6.0291441316936814</v>
      </c>
      <c r="F1134">
        <v>609.91623307385112</v>
      </c>
      <c r="G1134">
        <v>0.42399999999999999</v>
      </c>
      <c r="H1134">
        <v>5.0000000000000001E-4</v>
      </c>
      <c r="I1134">
        <v>226.79900000000001</v>
      </c>
    </row>
    <row r="1135" spans="1:9" x14ac:dyDescent="0.3">
      <c r="A1135" t="s">
        <v>9</v>
      </c>
      <c r="B1135" t="s">
        <v>1260</v>
      </c>
      <c r="C1135">
        <v>4</v>
      </c>
      <c r="D1135">
        <v>1.1000000000000001E-3</v>
      </c>
      <c r="E1135">
        <v>5.9957335240914063</v>
      </c>
      <c r="F1135">
        <v>606.80236444531909</v>
      </c>
      <c r="G1135">
        <v>0.42399999999999999</v>
      </c>
      <c r="H1135">
        <v>0</v>
      </c>
      <c r="I1135">
        <v>227.00020000000001</v>
      </c>
    </row>
    <row r="1136" spans="1:9" x14ac:dyDescent="0.3">
      <c r="A1136" t="s">
        <v>9</v>
      </c>
      <c r="B1136" t="s">
        <v>1261</v>
      </c>
      <c r="C1136">
        <v>4</v>
      </c>
      <c r="D1136">
        <v>1E-4</v>
      </c>
      <c r="E1136">
        <v>6.0283942419245786</v>
      </c>
      <c r="F1136">
        <v>712.09461355864255</v>
      </c>
      <c r="G1136">
        <v>0.42399999999999999</v>
      </c>
      <c r="H1136">
        <v>5.0000000000000001E-4</v>
      </c>
      <c r="I1136">
        <v>227.1987</v>
      </c>
    </row>
    <row r="1137" spans="1:9" x14ac:dyDescent="0.3">
      <c r="A1137" t="s">
        <v>9</v>
      </c>
      <c r="B1137" t="s">
        <v>1262</v>
      </c>
      <c r="C1137">
        <v>4</v>
      </c>
      <c r="D1137">
        <v>4.0000000000000002E-4</v>
      </c>
      <c r="E1137">
        <v>6.1253111905247666</v>
      </c>
      <c r="F1137">
        <v>721.2920319808004</v>
      </c>
      <c r="G1137">
        <v>0.42399999999999999</v>
      </c>
      <c r="H1137">
        <v>2E-3</v>
      </c>
      <c r="I1137">
        <v>227.4008</v>
      </c>
    </row>
    <row r="1138" spans="1:9" x14ac:dyDescent="0.3">
      <c r="A1138" t="s">
        <v>9</v>
      </c>
      <c r="B1138" t="s">
        <v>1263</v>
      </c>
      <c r="C1138">
        <v>4</v>
      </c>
      <c r="D1138">
        <v>8.0000000000000004E-4</v>
      </c>
      <c r="E1138">
        <v>6.2726689112651277</v>
      </c>
      <c r="F1138">
        <v>735.27627967906062</v>
      </c>
      <c r="G1138">
        <v>0.42399999999999999</v>
      </c>
      <c r="H1138">
        <v>4.3E-3</v>
      </c>
      <c r="I1138">
        <v>227.59809999999999</v>
      </c>
    </row>
    <row r="1139" spans="1:9" x14ac:dyDescent="0.3">
      <c r="A1139" t="s">
        <v>9</v>
      </c>
      <c r="B1139" t="s">
        <v>1264</v>
      </c>
      <c r="C1139">
        <v>4</v>
      </c>
      <c r="D1139">
        <v>2.3999999999999998E-3</v>
      </c>
      <c r="E1139">
        <v>6.4607804565371847</v>
      </c>
      <c r="F1139">
        <v>753.12806532537888</v>
      </c>
      <c r="G1139">
        <v>0.42399999999999999</v>
      </c>
      <c r="H1139">
        <v>7.1999999999999998E-3</v>
      </c>
      <c r="I1139">
        <v>227.79810000000001</v>
      </c>
    </row>
    <row r="1140" spans="1:9" x14ac:dyDescent="0.3">
      <c r="A1140" t="s">
        <v>9</v>
      </c>
      <c r="B1140" t="s">
        <v>1265</v>
      </c>
      <c r="C1140">
        <v>4</v>
      </c>
      <c r="D1140">
        <v>5.4999999999999997E-3</v>
      </c>
      <c r="E1140">
        <v>6.672266295773575</v>
      </c>
      <c r="F1140">
        <v>773.1980714689123</v>
      </c>
      <c r="G1140">
        <v>0.42399999999999999</v>
      </c>
      <c r="H1140">
        <v>1.0500000000000001E-2</v>
      </c>
      <c r="I1140">
        <v>228.00069999999999</v>
      </c>
    </row>
    <row r="1141" spans="1:9" x14ac:dyDescent="0.3">
      <c r="A1141" t="s">
        <v>9</v>
      </c>
      <c r="B1141" t="s">
        <v>1266</v>
      </c>
      <c r="C1141">
        <v>4</v>
      </c>
      <c r="D1141">
        <v>9.7000000000000003E-3</v>
      </c>
      <c r="E1141">
        <v>7.1185034804084779</v>
      </c>
      <c r="F1141">
        <v>815.54598029076465</v>
      </c>
      <c r="G1141">
        <v>0.42399999999999999</v>
      </c>
      <c r="H1141">
        <v>1.7399999999999999E-2</v>
      </c>
      <c r="I1141">
        <v>228.46010000000001</v>
      </c>
    </row>
    <row r="1142" spans="1:9" x14ac:dyDescent="0.3">
      <c r="A1142" t="s">
        <v>9</v>
      </c>
      <c r="B1142" t="s">
        <v>1267</v>
      </c>
      <c r="C1142">
        <v>4</v>
      </c>
      <c r="D1142">
        <v>9.7999999999999997E-3</v>
      </c>
      <c r="E1142">
        <v>7.1226181975791016</v>
      </c>
      <c r="F1142">
        <v>815.93646695025677</v>
      </c>
      <c r="G1142">
        <v>0.42399999999999999</v>
      </c>
      <c r="H1142">
        <v>1.7500000000000002E-2</v>
      </c>
      <c r="I1142">
        <v>228.46530000000001</v>
      </c>
    </row>
    <row r="1143" spans="1:9" x14ac:dyDescent="0.3">
      <c r="A1143" t="s">
        <v>9</v>
      </c>
      <c r="B1143" t="s">
        <v>1268</v>
      </c>
      <c r="C1143">
        <v>4</v>
      </c>
      <c r="D1143">
        <v>1.2999999999999999E-2</v>
      </c>
      <c r="E1143">
        <v>7.2178044834866366</v>
      </c>
      <c r="F1143">
        <v>824.9696454828819</v>
      </c>
      <c r="G1143">
        <v>0.42399999999999999</v>
      </c>
      <c r="H1143">
        <v>1.9E-2</v>
      </c>
      <c r="I1143">
        <v>228.5993</v>
      </c>
    </row>
    <row r="1144" spans="1:9" x14ac:dyDescent="0.3">
      <c r="A1144" t="s">
        <v>9</v>
      </c>
      <c r="B1144" t="s">
        <v>1269</v>
      </c>
      <c r="C1144">
        <v>4</v>
      </c>
      <c r="D1144">
        <v>1.5699999999999999E-2</v>
      </c>
      <c r="E1144">
        <v>7.3140348565753284</v>
      </c>
      <c r="F1144">
        <v>834.10190788899865</v>
      </c>
      <c r="G1144">
        <v>0.42399999999999999</v>
      </c>
      <c r="H1144">
        <v>2.0500000000000001E-2</v>
      </c>
      <c r="I1144">
        <v>228.79939999999999</v>
      </c>
    </row>
    <row r="1145" spans="1:9" x14ac:dyDescent="0.3">
      <c r="A1145" t="s">
        <v>9</v>
      </c>
      <c r="B1145" t="s">
        <v>1270</v>
      </c>
      <c r="C1145">
        <v>4</v>
      </c>
      <c r="D1145">
        <v>1.7100000000000001E-2</v>
      </c>
      <c r="E1145">
        <v>7.3472984604900349</v>
      </c>
      <c r="F1145">
        <v>837.2586239005044</v>
      </c>
      <c r="G1145">
        <v>0.42399999999999999</v>
      </c>
      <c r="H1145">
        <v>2.1000000000000001E-2</v>
      </c>
      <c r="I1145">
        <v>228.99780000000001</v>
      </c>
    </row>
    <row r="1146" spans="1:9" x14ac:dyDescent="0.3">
      <c r="A1146" t="s">
        <v>9</v>
      </c>
      <c r="B1146" t="s">
        <v>1271</v>
      </c>
      <c r="C1146">
        <v>4</v>
      </c>
      <c r="D1146">
        <v>1.7399999999999999E-2</v>
      </c>
      <c r="E1146">
        <v>7.3147476741537636</v>
      </c>
      <c r="F1146">
        <v>729.73448323113087</v>
      </c>
      <c r="G1146">
        <v>0.42399999999999999</v>
      </c>
      <c r="H1146">
        <v>2.0500000000000001E-2</v>
      </c>
      <c r="I1146">
        <v>229.19839999999999</v>
      </c>
    </row>
    <row r="1147" spans="1:9" x14ac:dyDescent="0.3">
      <c r="A1147" t="s">
        <v>9</v>
      </c>
      <c r="B1147" t="s">
        <v>1272</v>
      </c>
      <c r="C1147">
        <v>4</v>
      </c>
      <c r="D1147">
        <v>1.7399999999999999E-2</v>
      </c>
      <c r="E1147">
        <v>7.2180489823488658</v>
      </c>
      <c r="F1147">
        <v>720.72216515491436</v>
      </c>
      <c r="G1147">
        <v>0.42399999999999999</v>
      </c>
      <c r="H1147">
        <v>1.9E-2</v>
      </c>
      <c r="I1147">
        <v>229.40029999999999</v>
      </c>
    </row>
    <row r="1148" spans="1:9" x14ac:dyDescent="0.3">
      <c r="A1148" t="s">
        <v>9</v>
      </c>
      <c r="B1148" t="s">
        <v>1273</v>
      </c>
      <c r="C1148">
        <v>4</v>
      </c>
      <c r="D1148">
        <v>1.72E-2</v>
      </c>
      <c r="E1148">
        <v>7.0659374414417897</v>
      </c>
      <c r="F1148">
        <v>706.54536954237483</v>
      </c>
      <c r="G1148">
        <v>0.42399999999999999</v>
      </c>
      <c r="H1148">
        <v>1.66E-2</v>
      </c>
      <c r="I1148">
        <v>229.60319999999999</v>
      </c>
    </row>
    <row r="1149" spans="1:9" x14ac:dyDescent="0.3">
      <c r="A1149" t="s">
        <v>9</v>
      </c>
      <c r="B1149" t="s">
        <v>1274</v>
      </c>
      <c r="C1149">
        <v>4</v>
      </c>
      <c r="D1149">
        <v>1.7000000000000001E-2</v>
      </c>
      <c r="E1149">
        <v>6.8799755804448131</v>
      </c>
      <c r="F1149">
        <v>689.21372409745663</v>
      </c>
      <c r="G1149">
        <v>0.42399999999999999</v>
      </c>
      <c r="H1149">
        <v>1.37E-2</v>
      </c>
      <c r="I1149">
        <v>229.8004</v>
      </c>
    </row>
    <row r="1150" spans="1:9" x14ac:dyDescent="0.3">
      <c r="A1150" t="s">
        <v>9</v>
      </c>
      <c r="B1150" t="s">
        <v>1275</v>
      </c>
      <c r="C1150">
        <v>4</v>
      </c>
      <c r="D1150">
        <v>1.6199999999999999E-2</v>
      </c>
      <c r="E1150">
        <v>6.6727435348462816</v>
      </c>
      <c r="F1150">
        <v>669.89969744767359</v>
      </c>
      <c r="G1150">
        <v>0.42399999999999999</v>
      </c>
      <c r="H1150">
        <v>1.0500000000000001E-2</v>
      </c>
      <c r="I1150">
        <v>229.99879999999999</v>
      </c>
    </row>
    <row r="1151" spans="1:9" x14ac:dyDescent="0.3">
      <c r="A1151" t="s">
        <v>9</v>
      </c>
      <c r="B1151" t="s">
        <v>1276</v>
      </c>
      <c r="C1151">
        <v>4</v>
      </c>
      <c r="D1151">
        <v>1.41E-2</v>
      </c>
      <c r="E1151">
        <v>6.4625479035362723</v>
      </c>
      <c r="F1151">
        <v>650.30946460958057</v>
      </c>
      <c r="G1151">
        <v>0.42399999999999999</v>
      </c>
      <c r="H1151">
        <v>7.3000000000000001E-3</v>
      </c>
      <c r="I1151">
        <v>230.20009999999999</v>
      </c>
    </row>
    <row r="1152" spans="1:9" x14ac:dyDescent="0.3">
      <c r="A1152" t="s">
        <v>9</v>
      </c>
      <c r="B1152" t="s">
        <v>1277</v>
      </c>
      <c r="C1152">
        <v>4</v>
      </c>
      <c r="D1152">
        <v>1.14E-2</v>
      </c>
      <c r="E1152">
        <v>6.2751226986026776</v>
      </c>
      <c r="F1152">
        <v>632.84143550976967</v>
      </c>
      <c r="G1152">
        <v>0.42399999999999999</v>
      </c>
      <c r="H1152">
        <v>4.3E-3</v>
      </c>
      <c r="I1152">
        <v>230.399</v>
      </c>
    </row>
    <row r="1153" spans="1:9" x14ac:dyDescent="0.3">
      <c r="A1153" t="s">
        <v>9</v>
      </c>
      <c r="B1153" t="s">
        <v>1278</v>
      </c>
      <c r="C1153">
        <v>4</v>
      </c>
      <c r="D1153">
        <v>7.1999999999999998E-3</v>
      </c>
      <c r="E1153">
        <v>6.1256045891594413</v>
      </c>
      <c r="F1153">
        <v>618.90634770965994</v>
      </c>
      <c r="G1153">
        <v>0.42399999999999999</v>
      </c>
      <c r="H1153">
        <v>2E-3</v>
      </c>
      <c r="I1153">
        <v>230.59870000000001</v>
      </c>
    </row>
    <row r="1154" spans="1:9" x14ac:dyDescent="0.3">
      <c r="A1154" t="s">
        <v>9</v>
      </c>
      <c r="B1154" t="s">
        <v>1279</v>
      </c>
      <c r="C1154">
        <v>4</v>
      </c>
      <c r="D1154">
        <v>3.3999999999999998E-3</v>
      </c>
      <c r="E1154">
        <v>6.0289868414803562</v>
      </c>
      <c r="F1154">
        <v>609.90157362596926</v>
      </c>
      <c r="G1154">
        <v>0.42399999999999999</v>
      </c>
      <c r="H1154">
        <v>5.0000000000000001E-4</v>
      </c>
      <c r="I1154">
        <v>230.79949999999999</v>
      </c>
    </row>
    <row r="1155" spans="1:9" x14ac:dyDescent="0.3">
      <c r="A1155" t="s">
        <v>9</v>
      </c>
      <c r="B1155" t="s">
        <v>1280</v>
      </c>
      <c r="C1155">
        <v>4</v>
      </c>
      <c r="D1155">
        <v>1.2999999999999999E-3</v>
      </c>
      <c r="E1155">
        <v>5.9957341685696948</v>
      </c>
      <c r="F1155">
        <v>606.80242451069557</v>
      </c>
      <c r="G1155">
        <v>0.42399999999999999</v>
      </c>
      <c r="H1155">
        <v>0</v>
      </c>
      <c r="I1155">
        <v>230.9991</v>
      </c>
    </row>
    <row r="1156" spans="1:9" x14ac:dyDescent="0.3">
      <c r="A1156" t="s">
        <v>9</v>
      </c>
      <c r="B1156" t="s">
        <v>1281</v>
      </c>
      <c r="C1156">
        <v>4</v>
      </c>
      <c r="D1156">
        <v>6.9999999999999999E-4</v>
      </c>
      <c r="E1156">
        <v>6.028442294263157</v>
      </c>
      <c r="F1156">
        <v>712.09917372557368</v>
      </c>
      <c r="G1156">
        <v>0.42399999999999999</v>
      </c>
      <c r="H1156">
        <v>5.0000000000000001E-4</v>
      </c>
      <c r="I1156">
        <v>231.19890000000001</v>
      </c>
    </row>
    <row r="1157" spans="1:9" x14ac:dyDescent="0.3">
      <c r="A1157" t="s">
        <v>9</v>
      </c>
      <c r="B1157" t="s">
        <v>1282</v>
      </c>
      <c r="C1157">
        <v>4</v>
      </c>
      <c r="D1157">
        <v>5.0000000000000001E-4</v>
      </c>
      <c r="E1157">
        <v>6.1234903835749837</v>
      </c>
      <c r="F1157">
        <v>721.11923740126599</v>
      </c>
      <c r="G1157">
        <v>0.42399999999999999</v>
      </c>
      <c r="H1157">
        <v>2E-3</v>
      </c>
      <c r="I1157">
        <v>231.39789999999999</v>
      </c>
    </row>
    <row r="1158" spans="1:9" x14ac:dyDescent="0.3">
      <c r="A1158" t="s">
        <v>9</v>
      </c>
      <c r="B1158" t="s">
        <v>1283</v>
      </c>
      <c r="C1158">
        <v>4</v>
      </c>
      <c r="D1158">
        <v>8.0000000000000004E-4</v>
      </c>
      <c r="E1158">
        <v>6.2737782386899523</v>
      </c>
      <c r="F1158">
        <v>735.38155485167647</v>
      </c>
      <c r="G1158">
        <v>0.42399999999999999</v>
      </c>
      <c r="H1158">
        <v>4.3E-3</v>
      </c>
      <c r="I1158">
        <v>231.5994</v>
      </c>
    </row>
    <row r="1159" spans="1:9" x14ac:dyDescent="0.3">
      <c r="A1159" t="s">
        <v>9</v>
      </c>
      <c r="B1159" t="s">
        <v>1284</v>
      </c>
      <c r="C1159">
        <v>4</v>
      </c>
      <c r="D1159">
        <v>2.3E-3</v>
      </c>
      <c r="E1159">
        <v>6.4619879484305738</v>
      </c>
      <c r="F1159">
        <v>753.24265630606146</v>
      </c>
      <c r="G1159">
        <v>0.42399999999999999</v>
      </c>
      <c r="H1159">
        <v>7.1999999999999998E-3</v>
      </c>
      <c r="I1159">
        <v>231.79929999999999</v>
      </c>
    </row>
    <row r="1160" spans="1:9" x14ac:dyDescent="0.3">
      <c r="A1160" t="s">
        <v>9</v>
      </c>
      <c r="B1160" t="s">
        <v>1285</v>
      </c>
      <c r="C1160">
        <v>4</v>
      </c>
      <c r="D1160">
        <v>5.3E-3</v>
      </c>
      <c r="E1160">
        <v>6.6710202841589394</v>
      </c>
      <c r="F1160">
        <v>773.07982496668342</v>
      </c>
      <c r="G1160">
        <v>0.42399999999999999</v>
      </c>
      <c r="H1160">
        <v>1.0500000000000001E-2</v>
      </c>
      <c r="I1160">
        <v>231.99950000000001</v>
      </c>
    </row>
    <row r="1161" spans="1:9" x14ac:dyDescent="0.3">
      <c r="A1161" t="s">
        <v>9</v>
      </c>
      <c r="B1161" t="s">
        <v>1286</v>
      </c>
      <c r="C1161">
        <v>4</v>
      </c>
      <c r="D1161">
        <v>8.3000000000000001E-3</v>
      </c>
      <c r="E1161">
        <v>6.8792777652841259</v>
      </c>
      <c r="F1161">
        <v>792.84345992546355</v>
      </c>
      <c r="G1161">
        <v>0.42399999999999999</v>
      </c>
      <c r="H1161">
        <v>1.37E-2</v>
      </c>
      <c r="I1161">
        <v>232.19890000000001</v>
      </c>
    </row>
    <row r="1162" spans="1:9" x14ac:dyDescent="0.3">
      <c r="A1162" t="s">
        <v>9</v>
      </c>
      <c r="B1162" t="s">
        <v>1287</v>
      </c>
      <c r="C1162">
        <v>4</v>
      </c>
      <c r="D1162">
        <v>1.1299999999999999E-2</v>
      </c>
      <c r="E1162">
        <v>7.0693032541372309</v>
      </c>
      <c r="F1162">
        <v>810.87687881762326</v>
      </c>
      <c r="G1162">
        <v>0.42399999999999999</v>
      </c>
      <c r="H1162">
        <v>1.67E-2</v>
      </c>
      <c r="I1162">
        <v>232.4007</v>
      </c>
    </row>
    <row r="1163" spans="1:9" x14ac:dyDescent="0.3">
      <c r="A1163" t="s">
        <v>9</v>
      </c>
      <c r="B1163" t="s">
        <v>1288</v>
      </c>
      <c r="C1163">
        <v>4</v>
      </c>
      <c r="D1163">
        <v>1.38E-2</v>
      </c>
      <c r="E1163">
        <v>7.217775289592641</v>
      </c>
      <c r="F1163">
        <v>824.96687498234166</v>
      </c>
      <c r="G1163">
        <v>0.42399999999999999</v>
      </c>
      <c r="H1163">
        <v>1.9E-2</v>
      </c>
      <c r="I1163">
        <v>232.5993</v>
      </c>
    </row>
    <row r="1164" spans="1:9" x14ac:dyDescent="0.3">
      <c r="A1164" t="s">
        <v>9</v>
      </c>
      <c r="B1164" t="s">
        <v>1289</v>
      </c>
      <c r="C1164">
        <v>4</v>
      </c>
      <c r="D1164">
        <v>1.5699999999999999E-2</v>
      </c>
      <c r="E1164">
        <v>7.3137887358301006</v>
      </c>
      <c r="F1164">
        <v>834.07855103027657</v>
      </c>
      <c r="G1164">
        <v>0.42399999999999999</v>
      </c>
      <c r="H1164">
        <v>2.0500000000000001E-2</v>
      </c>
      <c r="I1164">
        <v>232.7987</v>
      </c>
    </row>
    <row r="1165" spans="1:9" x14ac:dyDescent="0.3">
      <c r="A1165" t="s">
        <v>9</v>
      </c>
      <c r="B1165" t="s">
        <v>1290</v>
      </c>
      <c r="C1165">
        <v>4</v>
      </c>
      <c r="D1165">
        <v>1.7100000000000001E-2</v>
      </c>
      <c r="E1165">
        <v>7.3473025151975344</v>
      </c>
      <c r="F1165">
        <v>837.25900869224608</v>
      </c>
      <c r="G1165">
        <v>0.42399999999999999</v>
      </c>
      <c r="H1165">
        <v>2.1000000000000001E-2</v>
      </c>
      <c r="I1165">
        <v>232.99959999999999</v>
      </c>
    </row>
    <row r="1166" spans="1:9" x14ac:dyDescent="0.3">
      <c r="A1166" t="s">
        <v>9</v>
      </c>
      <c r="B1166" t="s">
        <v>1291</v>
      </c>
      <c r="C1166">
        <v>4</v>
      </c>
      <c r="D1166">
        <v>1.8100000000000002E-2</v>
      </c>
      <c r="E1166">
        <v>7.3142550271925604</v>
      </c>
      <c r="F1166">
        <v>729.6885685343467</v>
      </c>
      <c r="G1166">
        <v>0.42399999999999999</v>
      </c>
      <c r="H1166">
        <v>2.0500000000000001E-2</v>
      </c>
      <c r="I1166">
        <v>233.19990000000001</v>
      </c>
    </row>
    <row r="1167" spans="1:9" x14ac:dyDescent="0.3">
      <c r="A1167" t="s">
        <v>9</v>
      </c>
      <c r="B1167" t="s">
        <v>1292</v>
      </c>
      <c r="C1167">
        <v>4</v>
      </c>
      <c r="D1167">
        <v>1.7999999999999999E-2</v>
      </c>
      <c r="E1167">
        <v>7.2189868361935297</v>
      </c>
      <c r="F1167">
        <v>720.809573133237</v>
      </c>
      <c r="G1167">
        <v>0.42399999999999999</v>
      </c>
      <c r="H1167">
        <v>1.9E-2</v>
      </c>
      <c r="I1167">
        <v>233.39879999999999</v>
      </c>
    </row>
    <row r="1168" spans="1:9" x14ac:dyDescent="0.3">
      <c r="A1168" t="s">
        <v>9</v>
      </c>
      <c r="B1168" t="s">
        <v>1293</v>
      </c>
      <c r="C1168">
        <v>4</v>
      </c>
      <c r="D1168">
        <v>1.7999999999999999E-2</v>
      </c>
      <c r="E1168">
        <v>7.068836151833275</v>
      </c>
      <c r="F1168">
        <v>706.8155293508612</v>
      </c>
      <c r="G1168">
        <v>0.42399999999999999</v>
      </c>
      <c r="H1168">
        <v>1.67E-2</v>
      </c>
      <c r="I1168">
        <v>233.59989999999999</v>
      </c>
    </row>
    <row r="1169" spans="1:9" x14ac:dyDescent="0.3">
      <c r="A1169" t="s">
        <v>9</v>
      </c>
      <c r="B1169" t="s">
        <v>1294</v>
      </c>
      <c r="C1169">
        <v>4</v>
      </c>
      <c r="D1169">
        <v>1.7600000000000001E-2</v>
      </c>
      <c r="E1169">
        <v>6.8827672465583074</v>
      </c>
      <c r="F1169">
        <v>689.47390737923422</v>
      </c>
      <c r="G1169">
        <v>0.42399999999999999</v>
      </c>
      <c r="H1169">
        <v>1.38E-2</v>
      </c>
      <c r="I1169">
        <v>233.79759999999999</v>
      </c>
    </row>
    <row r="1170" spans="1:9" x14ac:dyDescent="0.3">
      <c r="A1170" t="s">
        <v>9</v>
      </c>
      <c r="B1170" t="s">
        <v>1295</v>
      </c>
      <c r="C1170">
        <v>4</v>
      </c>
      <c r="D1170">
        <v>1.67E-2</v>
      </c>
      <c r="E1170">
        <v>6.666874751211318</v>
      </c>
      <c r="F1170">
        <v>669.35272681289484</v>
      </c>
      <c r="G1170">
        <v>0.42399999999999999</v>
      </c>
      <c r="H1170">
        <v>1.04E-2</v>
      </c>
      <c r="I1170">
        <v>234.0044</v>
      </c>
    </row>
    <row r="1171" spans="1:9" x14ac:dyDescent="0.3">
      <c r="A1171" t="s">
        <v>9</v>
      </c>
      <c r="B1171" t="s">
        <v>1296</v>
      </c>
      <c r="C1171">
        <v>4</v>
      </c>
      <c r="D1171">
        <v>1.49E-2</v>
      </c>
      <c r="E1171">
        <v>6.4627522607942538</v>
      </c>
      <c r="F1171">
        <v>650.32851070602442</v>
      </c>
      <c r="G1171">
        <v>0.42399999999999999</v>
      </c>
      <c r="H1171">
        <v>7.3000000000000001E-3</v>
      </c>
      <c r="I1171">
        <v>234.19990000000001</v>
      </c>
    </row>
    <row r="1172" spans="1:9" x14ac:dyDescent="0.3">
      <c r="A1172" t="s">
        <v>9</v>
      </c>
      <c r="B1172" t="s">
        <v>1297</v>
      </c>
      <c r="C1172">
        <v>4</v>
      </c>
      <c r="D1172">
        <v>1.15E-2</v>
      </c>
      <c r="E1172">
        <v>6.275981972216</v>
      </c>
      <c r="F1172">
        <v>632.92151981053121</v>
      </c>
      <c r="G1172">
        <v>0.42399999999999999</v>
      </c>
      <c r="H1172">
        <v>4.4000000000000003E-3</v>
      </c>
      <c r="I1172">
        <v>234.398</v>
      </c>
    </row>
    <row r="1173" spans="1:9" x14ac:dyDescent="0.3">
      <c r="A1173" t="s">
        <v>9</v>
      </c>
      <c r="B1173" t="s">
        <v>1298</v>
      </c>
      <c r="C1173">
        <v>4</v>
      </c>
      <c r="D1173">
        <v>7.1000000000000004E-3</v>
      </c>
      <c r="E1173">
        <v>6.1250995753403616</v>
      </c>
      <c r="F1173">
        <v>618.85928042172168</v>
      </c>
      <c r="G1173">
        <v>0.42399999999999999</v>
      </c>
      <c r="H1173">
        <v>2E-3</v>
      </c>
      <c r="I1173">
        <v>234.59950000000001</v>
      </c>
    </row>
    <row r="1174" spans="1:9" x14ac:dyDescent="0.3">
      <c r="A1174" t="s">
        <v>9</v>
      </c>
      <c r="B1174" t="s">
        <v>1299</v>
      </c>
      <c r="C1174">
        <v>4</v>
      </c>
      <c r="D1174">
        <v>3.3E-3</v>
      </c>
      <c r="E1174">
        <v>6.0291558538530632</v>
      </c>
      <c r="F1174">
        <v>609.91732557910552</v>
      </c>
      <c r="G1174">
        <v>0.42399999999999999</v>
      </c>
      <c r="H1174">
        <v>5.0000000000000001E-4</v>
      </c>
      <c r="I1174">
        <v>234.7989</v>
      </c>
    </row>
    <row r="1175" spans="1:9" x14ac:dyDescent="0.3">
      <c r="A1175" t="s">
        <v>9</v>
      </c>
      <c r="B1175" t="s">
        <v>1300</v>
      </c>
      <c r="C1175">
        <v>4</v>
      </c>
      <c r="D1175">
        <v>1.1999999999999999E-3</v>
      </c>
      <c r="E1175">
        <v>5.9957334838115024</v>
      </c>
      <c r="F1175">
        <v>606.80236069123202</v>
      </c>
      <c r="G1175">
        <v>0.42399999999999999</v>
      </c>
      <c r="H1175">
        <v>0</v>
      </c>
      <c r="I1175">
        <v>235.0001</v>
      </c>
    </row>
    <row r="1176" spans="1:9" x14ac:dyDescent="0.3">
      <c r="A1176" t="s">
        <v>9</v>
      </c>
      <c r="B1176" t="s">
        <v>1301</v>
      </c>
      <c r="C1176">
        <v>4</v>
      </c>
      <c r="D1176">
        <v>4.0000000000000002E-4</v>
      </c>
      <c r="E1176">
        <v>6.0280919796993109</v>
      </c>
      <c r="F1176">
        <v>712.0659288734646</v>
      </c>
      <c r="G1176">
        <v>0.42399999999999999</v>
      </c>
      <c r="H1176">
        <v>5.0000000000000001E-4</v>
      </c>
      <c r="I1176">
        <v>235.1978</v>
      </c>
    </row>
    <row r="1177" spans="1:9" x14ac:dyDescent="0.3">
      <c r="A1177" t="s">
        <v>9</v>
      </c>
      <c r="B1177" t="s">
        <v>1302</v>
      </c>
      <c r="C1177">
        <v>4</v>
      </c>
      <c r="D1177">
        <v>5.0000000000000001E-4</v>
      </c>
      <c r="E1177">
        <v>6.1245007355897414</v>
      </c>
      <c r="F1177">
        <v>721.21511980746652</v>
      </c>
      <c r="G1177">
        <v>0.42399999999999999</v>
      </c>
      <c r="H1177">
        <v>2E-3</v>
      </c>
      <c r="I1177">
        <v>235.39949999999999</v>
      </c>
    </row>
    <row r="1178" spans="1:9" x14ac:dyDescent="0.3">
      <c r="A1178" t="s">
        <v>9</v>
      </c>
      <c r="B1178" t="s">
        <v>1303</v>
      </c>
      <c r="C1178">
        <v>4</v>
      </c>
      <c r="D1178">
        <v>8.9999999999999998E-4</v>
      </c>
      <c r="E1178">
        <v>6.2723554823754073</v>
      </c>
      <c r="F1178">
        <v>735.24653527742623</v>
      </c>
      <c r="G1178">
        <v>0.42399999999999999</v>
      </c>
      <c r="H1178">
        <v>4.3E-3</v>
      </c>
      <c r="I1178">
        <v>235.5977</v>
      </c>
    </row>
    <row r="1179" spans="1:9" x14ac:dyDescent="0.3">
      <c r="A1179" t="s">
        <v>9</v>
      </c>
      <c r="B1179" t="s">
        <v>1304</v>
      </c>
      <c r="C1179">
        <v>4</v>
      </c>
      <c r="D1179">
        <v>2.5000000000000001E-3</v>
      </c>
      <c r="E1179">
        <v>6.4614697568121198</v>
      </c>
      <c r="F1179">
        <v>753.19347992147016</v>
      </c>
      <c r="G1179">
        <v>0.42399999999999999</v>
      </c>
      <c r="H1179">
        <v>7.1999999999999998E-3</v>
      </c>
      <c r="I1179">
        <v>235.7988</v>
      </c>
    </row>
    <row r="1180" spans="1:9" x14ac:dyDescent="0.3">
      <c r="A1180" t="s">
        <v>9</v>
      </c>
      <c r="B1180" t="s">
        <v>1305</v>
      </c>
      <c r="C1180">
        <v>4</v>
      </c>
      <c r="D1180">
        <v>5.4000000000000003E-3</v>
      </c>
      <c r="E1180">
        <v>6.6710734008271837</v>
      </c>
      <c r="F1180">
        <v>773.08486573849973</v>
      </c>
      <c r="G1180">
        <v>0.42399999999999999</v>
      </c>
      <c r="H1180">
        <v>1.0500000000000001E-2</v>
      </c>
      <c r="I1180">
        <v>235.99959999999999</v>
      </c>
    </row>
    <row r="1181" spans="1:9" x14ac:dyDescent="0.3">
      <c r="A1181" t="s">
        <v>9</v>
      </c>
      <c r="B1181" t="s">
        <v>1306</v>
      </c>
      <c r="C1181">
        <v>4</v>
      </c>
      <c r="D1181">
        <v>8.3999999999999995E-3</v>
      </c>
      <c r="E1181">
        <v>6.8788767547124134</v>
      </c>
      <c r="F1181">
        <v>792.80540402220811</v>
      </c>
      <c r="G1181">
        <v>0.42399999999999999</v>
      </c>
      <c r="H1181">
        <v>1.37E-2</v>
      </c>
      <c r="I1181">
        <v>236.1985</v>
      </c>
    </row>
    <row r="1182" spans="1:9" x14ac:dyDescent="0.3">
      <c r="A1182" t="s">
        <v>9</v>
      </c>
      <c r="B1182" t="s">
        <v>1307</v>
      </c>
      <c r="C1182">
        <v>4</v>
      </c>
      <c r="D1182">
        <v>1.14E-2</v>
      </c>
      <c r="E1182">
        <v>7.0666575574937243</v>
      </c>
      <c r="F1182">
        <v>810.6258022061545</v>
      </c>
      <c r="G1182">
        <v>0.42399999999999999</v>
      </c>
      <c r="H1182">
        <v>1.66E-2</v>
      </c>
      <c r="I1182">
        <v>236.39760000000001</v>
      </c>
    </row>
    <row r="1183" spans="1:9" x14ac:dyDescent="0.3">
      <c r="A1183" t="s">
        <v>9</v>
      </c>
      <c r="B1183" t="s">
        <v>1308</v>
      </c>
      <c r="C1183">
        <v>4</v>
      </c>
      <c r="D1183">
        <v>1.38E-2</v>
      </c>
      <c r="E1183">
        <v>7.2181462953288564</v>
      </c>
      <c r="F1183">
        <v>825.0020834267084</v>
      </c>
      <c r="G1183">
        <v>0.42399999999999999</v>
      </c>
      <c r="H1183">
        <v>1.9E-2</v>
      </c>
      <c r="I1183">
        <v>236.59979999999999</v>
      </c>
    </row>
    <row r="1184" spans="1:9" x14ac:dyDescent="0.3">
      <c r="A1184" t="s">
        <v>9</v>
      </c>
      <c r="B1184" t="s">
        <v>1309</v>
      </c>
      <c r="C1184">
        <v>4</v>
      </c>
      <c r="D1184">
        <v>1.5800000000000002E-2</v>
      </c>
      <c r="E1184">
        <v>7.3139525460130876</v>
      </c>
      <c r="F1184">
        <v>834.0940966166421</v>
      </c>
      <c r="G1184">
        <v>0.42399999999999999</v>
      </c>
      <c r="H1184">
        <v>2.0500000000000001E-2</v>
      </c>
      <c r="I1184">
        <v>236.79910000000001</v>
      </c>
    </row>
    <row r="1185" spans="1:9" x14ac:dyDescent="0.3">
      <c r="A1185" t="s">
        <v>9</v>
      </c>
      <c r="B1185" t="s">
        <v>1310</v>
      </c>
      <c r="C1185">
        <v>4</v>
      </c>
      <c r="D1185">
        <v>1.72E-2</v>
      </c>
      <c r="E1185">
        <v>7.3473004878437846</v>
      </c>
      <c r="F1185">
        <v>837.25881629637524</v>
      </c>
      <c r="G1185">
        <v>0.42399999999999999</v>
      </c>
      <c r="H1185">
        <v>2.1000000000000001E-2</v>
      </c>
      <c r="I1185">
        <v>236.9984</v>
      </c>
    </row>
    <row r="1186" spans="1:9" x14ac:dyDescent="0.3">
      <c r="A1186" t="s">
        <v>9</v>
      </c>
      <c r="B1186" t="s">
        <v>1311</v>
      </c>
      <c r="C1186">
        <v>4</v>
      </c>
      <c r="D1186">
        <v>1.78E-2</v>
      </c>
      <c r="E1186">
        <v>7.3149106733952491</v>
      </c>
      <c r="F1186">
        <v>729.74967476043719</v>
      </c>
      <c r="G1186">
        <v>0.42399999999999999</v>
      </c>
      <c r="H1186">
        <v>2.0500000000000001E-2</v>
      </c>
      <c r="I1186">
        <v>237.1979</v>
      </c>
    </row>
    <row r="1187" spans="1:9" x14ac:dyDescent="0.3">
      <c r="A1187" t="s">
        <v>9</v>
      </c>
      <c r="B1187" t="s">
        <v>1312</v>
      </c>
      <c r="C1187">
        <v>4</v>
      </c>
      <c r="D1187">
        <v>1.78E-2</v>
      </c>
      <c r="E1187">
        <v>7.2187496358048016</v>
      </c>
      <c r="F1187">
        <v>720.78746605700758</v>
      </c>
      <c r="G1187">
        <v>0.42399999999999999</v>
      </c>
      <c r="H1187">
        <v>1.9E-2</v>
      </c>
      <c r="I1187">
        <v>237.39920000000001</v>
      </c>
    </row>
    <row r="1188" spans="1:9" x14ac:dyDescent="0.3">
      <c r="A1188" t="s">
        <v>9</v>
      </c>
      <c r="B1188" t="s">
        <v>1313</v>
      </c>
      <c r="C1188">
        <v>4</v>
      </c>
      <c r="D1188">
        <v>1.7500000000000002E-2</v>
      </c>
      <c r="E1188">
        <v>7.0684927181080548</v>
      </c>
      <c r="F1188">
        <v>706.78352132767077</v>
      </c>
      <c r="G1188">
        <v>0.42399999999999999</v>
      </c>
      <c r="H1188">
        <v>1.67E-2</v>
      </c>
      <c r="I1188">
        <v>237.6003</v>
      </c>
    </row>
    <row r="1189" spans="1:9" x14ac:dyDescent="0.3">
      <c r="A1189" t="s">
        <v>9</v>
      </c>
      <c r="B1189" t="s">
        <v>1314</v>
      </c>
      <c r="C1189">
        <v>4</v>
      </c>
      <c r="D1189">
        <v>1.72E-2</v>
      </c>
      <c r="E1189">
        <v>6.8816388214611601</v>
      </c>
      <c r="F1189">
        <v>689.3687381601801</v>
      </c>
      <c r="G1189">
        <v>0.42399999999999999</v>
      </c>
      <c r="H1189">
        <v>1.38E-2</v>
      </c>
      <c r="I1189">
        <v>237.7987</v>
      </c>
    </row>
    <row r="1190" spans="1:9" x14ac:dyDescent="0.3">
      <c r="A1190" t="s">
        <v>9</v>
      </c>
      <c r="B1190" t="s">
        <v>1315</v>
      </c>
      <c r="C1190">
        <v>4</v>
      </c>
      <c r="D1190">
        <v>1.6500000000000001E-2</v>
      </c>
      <c r="E1190">
        <v>6.6722038532780799</v>
      </c>
      <c r="F1190">
        <v>669.84939912551704</v>
      </c>
      <c r="G1190">
        <v>0.42399999999999999</v>
      </c>
      <c r="H1190">
        <v>1.0500000000000001E-2</v>
      </c>
      <c r="I1190">
        <v>237.99930000000001</v>
      </c>
    </row>
    <row r="1191" spans="1:9" x14ac:dyDescent="0.3">
      <c r="A1191" t="s">
        <v>9</v>
      </c>
      <c r="B1191" t="s">
        <v>1316</v>
      </c>
      <c r="C1191">
        <v>4</v>
      </c>
      <c r="D1191">
        <v>1.4500000000000001E-2</v>
      </c>
      <c r="E1191">
        <v>6.4646048566508334</v>
      </c>
      <c r="F1191">
        <v>650.50117263985771</v>
      </c>
      <c r="G1191">
        <v>0.42399999999999999</v>
      </c>
      <c r="H1191">
        <v>7.3000000000000001E-3</v>
      </c>
      <c r="I1191">
        <v>238.19810000000001</v>
      </c>
    </row>
    <row r="1192" spans="1:9" x14ac:dyDescent="0.3">
      <c r="A1192" t="s">
        <v>9</v>
      </c>
      <c r="B1192" t="s">
        <v>1317</v>
      </c>
      <c r="C1192">
        <v>4</v>
      </c>
      <c r="D1192">
        <v>1.15E-2</v>
      </c>
      <c r="E1192">
        <v>6.2756211437956084</v>
      </c>
      <c r="F1192">
        <v>632.88789060175066</v>
      </c>
      <c r="G1192">
        <v>0.42399999999999999</v>
      </c>
      <c r="H1192">
        <v>4.3E-3</v>
      </c>
      <c r="I1192">
        <v>238.39850000000001</v>
      </c>
    </row>
    <row r="1193" spans="1:9" x14ac:dyDescent="0.3">
      <c r="A1193" t="s">
        <v>9</v>
      </c>
      <c r="B1193" t="s">
        <v>1318</v>
      </c>
      <c r="C1193">
        <v>4</v>
      </c>
      <c r="D1193">
        <v>7.0000000000000001E-3</v>
      </c>
      <c r="E1193">
        <v>6.1251895492997788</v>
      </c>
      <c r="F1193">
        <v>618.86766599473935</v>
      </c>
      <c r="G1193">
        <v>0.42399999999999999</v>
      </c>
      <c r="H1193">
        <v>2E-3</v>
      </c>
      <c r="I1193">
        <v>238.5994</v>
      </c>
    </row>
    <row r="1194" spans="1:9" x14ac:dyDescent="0.3">
      <c r="A1194" t="s">
        <v>9</v>
      </c>
      <c r="B1194" t="s">
        <v>1319</v>
      </c>
      <c r="C1194">
        <v>4</v>
      </c>
      <c r="D1194">
        <v>3.3999999999999998E-3</v>
      </c>
      <c r="E1194">
        <v>6.0293316740796632</v>
      </c>
      <c r="F1194">
        <v>609.93371202422463</v>
      </c>
      <c r="G1194">
        <v>0.42399999999999999</v>
      </c>
      <c r="H1194">
        <v>5.0000000000000001E-4</v>
      </c>
      <c r="I1194">
        <v>238.79839999999999</v>
      </c>
    </row>
    <row r="1195" spans="1:9" x14ac:dyDescent="0.3">
      <c r="A1195" t="s">
        <v>9</v>
      </c>
      <c r="B1195" t="s">
        <v>1320</v>
      </c>
      <c r="C1195">
        <v>4</v>
      </c>
      <c r="D1195">
        <v>1.1999999999999999E-3</v>
      </c>
      <c r="E1195">
        <v>5.9957336449311036</v>
      </c>
      <c r="F1195">
        <v>606.8023757075789</v>
      </c>
      <c r="G1195">
        <v>0.42399999999999999</v>
      </c>
      <c r="H1195">
        <v>0</v>
      </c>
      <c r="I1195">
        <v>238.99959999999999</v>
      </c>
    </row>
    <row r="1196" spans="1:9" x14ac:dyDescent="0.3">
      <c r="A1196" t="s">
        <v>9</v>
      </c>
      <c r="B1196" t="s">
        <v>1321</v>
      </c>
      <c r="C1196">
        <v>4</v>
      </c>
      <c r="D1196">
        <v>1E-4</v>
      </c>
      <c r="E1196">
        <v>6.0315680115087158</v>
      </c>
      <c r="F1196">
        <v>712.39580429217722</v>
      </c>
      <c r="G1196">
        <v>0.42399999999999999</v>
      </c>
      <c r="H1196">
        <v>5.9999999999999995E-4</v>
      </c>
      <c r="I1196">
        <v>239.20820000000001</v>
      </c>
    </row>
    <row r="1197" spans="1:9" x14ac:dyDescent="0.3">
      <c r="A1197" t="s">
        <v>9</v>
      </c>
      <c r="B1197" t="s">
        <v>1322</v>
      </c>
      <c r="C1197">
        <v>4</v>
      </c>
      <c r="D1197">
        <v>2.0000000000000001E-4</v>
      </c>
      <c r="E1197">
        <v>6.1242657247430623</v>
      </c>
      <c r="F1197">
        <v>721.19281727811665</v>
      </c>
      <c r="G1197">
        <v>0.42399999999999999</v>
      </c>
      <c r="H1197">
        <v>2E-3</v>
      </c>
      <c r="I1197">
        <v>239.3991</v>
      </c>
    </row>
    <row r="1198" spans="1:9" x14ac:dyDescent="0.3">
      <c r="A1198" t="s">
        <v>9</v>
      </c>
      <c r="B1198" t="s">
        <v>1323</v>
      </c>
      <c r="C1198">
        <v>4</v>
      </c>
      <c r="D1198">
        <v>8.9999999999999998E-4</v>
      </c>
      <c r="E1198">
        <v>6.274197982010314</v>
      </c>
      <c r="F1198">
        <v>735.42138849277887</v>
      </c>
      <c r="G1198">
        <v>0.42399999999999999</v>
      </c>
      <c r="H1198">
        <v>4.3E-3</v>
      </c>
      <c r="I1198">
        <v>239.59989999999999</v>
      </c>
    </row>
    <row r="1199" spans="1:9" x14ac:dyDescent="0.3">
      <c r="A1199" t="s">
        <v>9</v>
      </c>
      <c r="B1199" t="s">
        <v>1324</v>
      </c>
      <c r="C1199">
        <v>4</v>
      </c>
      <c r="D1199">
        <v>2.7000000000000001E-3</v>
      </c>
      <c r="E1199">
        <v>6.4618148124203394</v>
      </c>
      <c r="F1199">
        <v>753.2262256986902</v>
      </c>
      <c r="G1199">
        <v>0.42399999999999999</v>
      </c>
      <c r="H1199">
        <v>7.1999999999999998E-3</v>
      </c>
      <c r="I1199">
        <v>239.79910000000001</v>
      </c>
    </row>
    <row r="1200" spans="1:9" x14ac:dyDescent="0.3">
      <c r="A1200" t="s">
        <v>9</v>
      </c>
      <c r="B1200" t="s">
        <v>1325</v>
      </c>
      <c r="C1200">
        <v>4</v>
      </c>
      <c r="D1200">
        <v>5.3E-3</v>
      </c>
      <c r="E1200">
        <v>6.6712092335284234</v>
      </c>
      <c r="F1200">
        <v>773.09775626184739</v>
      </c>
      <c r="G1200">
        <v>0.42399999999999999</v>
      </c>
      <c r="H1200">
        <v>1.0500000000000001E-2</v>
      </c>
      <c r="I1200">
        <v>239.99969999999999</v>
      </c>
    </row>
    <row r="1201" spans="1:9" x14ac:dyDescent="0.3">
      <c r="A1201" t="s">
        <v>9</v>
      </c>
      <c r="B1201" t="s">
        <v>1326</v>
      </c>
      <c r="C1201">
        <v>4</v>
      </c>
      <c r="D1201">
        <v>8.3999999999999995E-3</v>
      </c>
      <c r="E1201">
        <v>6.8797124299280874</v>
      </c>
      <c r="F1201">
        <v>792.88470960017548</v>
      </c>
      <c r="G1201">
        <v>0.42399999999999999</v>
      </c>
      <c r="H1201">
        <v>1.37E-2</v>
      </c>
      <c r="I1201">
        <v>240.1994</v>
      </c>
    </row>
    <row r="1202" spans="1:9" x14ac:dyDescent="0.3">
      <c r="A1202" t="s">
        <v>9</v>
      </c>
      <c r="B1202" t="s">
        <v>1327</v>
      </c>
      <c r="C1202">
        <v>4</v>
      </c>
      <c r="D1202">
        <v>1.15E-2</v>
      </c>
      <c r="E1202">
        <v>7.0686054389765447</v>
      </c>
      <c r="F1202">
        <v>810.81065615887417</v>
      </c>
      <c r="G1202">
        <v>0.42399999999999999</v>
      </c>
      <c r="H1202">
        <v>1.67E-2</v>
      </c>
      <c r="I1202">
        <v>240.3998</v>
      </c>
    </row>
    <row r="1203" spans="1:9" x14ac:dyDescent="0.3">
      <c r="A1203" t="s">
        <v>9</v>
      </c>
      <c r="B1203" t="s">
        <v>1328</v>
      </c>
      <c r="C1203">
        <v>4</v>
      </c>
      <c r="D1203">
        <v>1.38E-2</v>
      </c>
      <c r="E1203">
        <v>7.2183956598400831</v>
      </c>
      <c r="F1203">
        <v>825.02574811882391</v>
      </c>
      <c r="G1203">
        <v>0.42399999999999999</v>
      </c>
      <c r="H1203">
        <v>1.9E-2</v>
      </c>
      <c r="I1203">
        <v>240.6003</v>
      </c>
    </row>
    <row r="1204" spans="1:9" x14ac:dyDescent="0.3">
      <c r="A1204" t="s">
        <v>9</v>
      </c>
      <c r="B1204" t="s">
        <v>1329</v>
      </c>
      <c r="C1204">
        <v>4</v>
      </c>
      <c r="D1204">
        <v>1.5800000000000002E-2</v>
      </c>
      <c r="E1204">
        <v>7.3136354678866136</v>
      </c>
      <c r="F1204">
        <v>834.0640059024397</v>
      </c>
      <c r="G1204">
        <v>0.42399999999999999</v>
      </c>
      <c r="H1204">
        <v>2.0500000000000001E-2</v>
      </c>
      <c r="I1204">
        <v>240.79820000000001</v>
      </c>
    </row>
    <row r="1205" spans="1:9" x14ac:dyDescent="0.3">
      <c r="A1205" t="s">
        <v>9</v>
      </c>
      <c r="B1205" t="s">
        <v>1330</v>
      </c>
      <c r="C1205">
        <v>4</v>
      </c>
      <c r="D1205">
        <v>1.7299999999999999E-2</v>
      </c>
      <c r="E1205">
        <v>7.3472980550192837</v>
      </c>
      <c r="F1205">
        <v>837.25858542133005</v>
      </c>
      <c r="G1205">
        <v>0.42399999999999999</v>
      </c>
      <c r="H1205">
        <v>2.1000000000000001E-2</v>
      </c>
      <c r="I1205">
        <v>240.99770000000001</v>
      </c>
    </row>
    <row r="1206" spans="1:9" x14ac:dyDescent="0.3">
      <c r="A1206" t="s">
        <v>9</v>
      </c>
      <c r="B1206" t="s">
        <v>1331</v>
      </c>
      <c r="C1206">
        <v>4</v>
      </c>
      <c r="D1206">
        <v>1.8100000000000002E-2</v>
      </c>
      <c r="E1206">
        <v>7.3149702775954939</v>
      </c>
      <c r="F1206">
        <v>729.75522987190004</v>
      </c>
      <c r="G1206">
        <v>0.42399999999999999</v>
      </c>
      <c r="H1206">
        <v>2.0500000000000001E-2</v>
      </c>
      <c r="I1206">
        <v>241.1977</v>
      </c>
    </row>
    <row r="1207" spans="1:9" x14ac:dyDescent="0.3">
      <c r="A1207" t="s">
        <v>9</v>
      </c>
      <c r="B1207" t="s">
        <v>1332</v>
      </c>
      <c r="C1207">
        <v>4</v>
      </c>
      <c r="D1207">
        <v>1.7999999999999999E-2</v>
      </c>
      <c r="E1207">
        <v>7.2189965674915291</v>
      </c>
      <c r="F1207">
        <v>720.81048009021049</v>
      </c>
      <c r="G1207">
        <v>0.42399999999999999</v>
      </c>
      <c r="H1207">
        <v>1.9E-2</v>
      </c>
      <c r="I1207">
        <v>241.39879999999999</v>
      </c>
    </row>
    <row r="1208" spans="1:9" x14ac:dyDescent="0.3">
      <c r="A1208" t="s">
        <v>9</v>
      </c>
      <c r="B1208" t="s">
        <v>1333</v>
      </c>
      <c r="C1208">
        <v>4</v>
      </c>
      <c r="D1208">
        <v>1.7999999999999999E-2</v>
      </c>
      <c r="E1208">
        <v>7.0701498770631543</v>
      </c>
      <c r="F1208">
        <v>706.93796854228606</v>
      </c>
      <c r="G1208">
        <v>0.42399999999999999</v>
      </c>
      <c r="H1208">
        <v>1.67E-2</v>
      </c>
      <c r="I1208">
        <v>241.59829999999999</v>
      </c>
    </row>
    <row r="1209" spans="1:9" x14ac:dyDescent="0.3">
      <c r="A1209" t="s">
        <v>9</v>
      </c>
      <c r="B1209" t="s">
        <v>1334</v>
      </c>
      <c r="C1209">
        <v>4</v>
      </c>
      <c r="D1209">
        <v>1.7500000000000002E-2</v>
      </c>
      <c r="E1209">
        <v>6.881392295245182</v>
      </c>
      <c r="F1209">
        <v>689.34576191685096</v>
      </c>
      <c r="G1209">
        <v>0.42399999999999999</v>
      </c>
      <c r="H1209">
        <v>1.38E-2</v>
      </c>
      <c r="I1209">
        <v>241.79900000000001</v>
      </c>
    </row>
    <row r="1210" spans="1:9" x14ac:dyDescent="0.3">
      <c r="A1210" t="s">
        <v>9</v>
      </c>
      <c r="B1210" t="s">
        <v>1335</v>
      </c>
      <c r="C1210">
        <v>4</v>
      </c>
      <c r="D1210">
        <v>1.66E-2</v>
      </c>
      <c r="E1210">
        <v>6.6733468753222258</v>
      </c>
      <c r="F1210">
        <v>669.95592878003151</v>
      </c>
      <c r="G1210">
        <v>0.42399999999999999</v>
      </c>
      <c r="H1210">
        <v>1.0500000000000001E-2</v>
      </c>
      <c r="I1210">
        <v>241.9983</v>
      </c>
    </row>
    <row r="1211" spans="1:9" x14ac:dyDescent="0.3">
      <c r="A1211" t="s">
        <v>9</v>
      </c>
      <c r="B1211" t="s">
        <v>1336</v>
      </c>
      <c r="C1211">
        <v>4</v>
      </c>
      <c r="D1211">
        <v>1.46E-2</v>
      </c>
      <c r="E1211">
        <v>6.4624546452637812</v>
      </c>
      <c r="F1211">
        <v>650.30077293858437</v>
      </c>
      <c r="G1211">
        <v>0.42399999999999999</v>
      </c>
      <c r="H1211">
        <v>7.3000000000000001E-3</v>
      </c>
      <c r="I1211">
        <v>242.2002</v>
      </c>
    </row>
    <row r="1212" spans="1:9" x14ac:dyDescent="0.3">
      <c r="A1212" t="s">
        <v>9</v>
      </c>
      <c r="B1212" t="s">
        <v>1337</v>
      </c>
      <c r="C1212">
        <v>4</v>
      </c>
      <c r="D1212">
        <v>1.14E-2</v>
      </c>
      <c r="E1212">
        <v>6.2758788204572094</v>
      </c>
      <c r="F1212">
        <v>632.91190606661189</v>
      </c>
      <c r="G1212">
        <v>0.42399999999999999</v>
      </c>
      <c r="H1212">
        <v>4.4000000000000003E-3</v>
      </c>
      <c r="I1212">
        <v>242.3982</v>
      </c>
    </row>
    <row r="1213" spans="1:9" x14ac:dyDescent="0.3">
      <c r="A1213" t="s">
        <v>9</v>
      </c>
      <c r="B1213" t="s">
        <v>1338</v>
      </c>
      <c r="C1213">
        <v>4</v>
      </c>
      <c r="D1213">
        <v>7.3000000000000001E-3</v>
      </c>
      <c r="E1213">
        <v>6.1255346860021467</v>
      </c>
      <c r="F1213">
        <v>618.89983273540008</v>
      </c>
      <c r="G1213">
        <v>0.42399999999999999</v>
      </c>
      <c r="H1213">
        <v>2E-3</v>
      </c>
      <c r="I1213">
        <v>242.59880000000001</v>
      </c>
    </row>
    <row r="1214" spans="1:9" x14ac:dyDescent="0.3">
      <c r="A1214" t="s">
        <v>9</v>
      </c>
      <c r="B1214" t="s">
        <v>1339</v>
      </c>
      <c r="C1214">
        <v>4</v>
      </c>
      <c r="D1214">
        <v>3.3999999999999998E-3</v>
      </c>
      <c r="E1214">
        <v>6.0290843571957229</v>
      </c>
      <c r="F1214">
        <v>609.91066209064138</v>
      </c>
      <c r="G1214">
        <v>0.42399999999999999</v>
      </c>
      <c r="H1214">
        <v>5.0000000000000001E-4</v>
      </c>
      <c r="I1214">
        <v>242.79920000000001</v>
      </c>
    </row>
    <row r="1215" spans="1:9" x14ac:dyDescent="0.3">
      <c r="A1215" t="s">
        <v>9</v>
      </c>
      <c r="B1215" t="s">
        <v>1340</v>
      </c>
      <c r="C1215">
        <v>4</v>
      </c>
      <c r="D1215">
        <v>1.4E-3</v>
      </c>
      <c r="E1215">
        <v>5.9957341685696948</v>
      </c>
      <c r="F1215">
        <v>606.80242451069557</v>
      </c>
      <c r="G1215">
        <v>0.42399999999999999</v>
      </c>
      <c r="H1215">
        <v>0</v>
      </c>
      <c r="I1215">
        <v>242.9991</v>
      </c>
    </row>
    <row r="1216" spans="1:9" x14ac:dyDescent="0.3">
      <c r="A1216" t="s">
        <v>9</v>
      </c>
      <c r="B1216" t="s">
        <v>1341</v>
      </c>
      <c r="C1216">
        <v>4</v>
      </c>
      <c r="D1216">
        <v>1E-3</v>
      </c>
      <c r="E1216">
        <v>6.0286057476318824</v>
      </c>
      <c r="F1216">
        <v>712.1146854502656</v>
      </c>
      <c r="G1216">
        <v>0.42399999999999999</v>
      </c>
      <c r="H1216">
        <v>5.0000000000000001E-4</v>
      </c>
      <c r="I1216">
        <v>243.1994</v>
      </c>
    </row>
    <row r="1217" spans="1:9" x14ac:dyDescent="0.3">
      <c r="A1217" t="s">
        <v>9</v>
      </c>
      <c r="B1217" t="s">
        <v>1342</v>
      </c>
      <c r="C1217">
        <v>4</v>
      </c>
      <c r="D1217">
        <v>1E-3</v>
      </c>
      <c r="E1217">
        <v>6.1246238770565053</v>
      </c>
      <c r="F1217">
        <v>721.22680593266239</v>
      </c>
      <c r="G1217">
        <v>0.42399999999999999</v>
      </c>
      <c r="H1217">
        <v>2E-3</v>
      </c>
      <c r="I1217">
        <v>243.3997</v>
      </c>
    </row>
    <row r="1218" spans="1:9" x14ac:dyDescent="0.3">
      <c r="A1218" t="s">
        <v>9</v>
      </c>
      <c r="B1218" t="s">
        <v>1343</v>
      </c>
      <c r="C1218">
        <v>4</v>
      </c>
      <c r="D1218">
        <v>1.2999999999999999E-3</v>
      </c>
      <c r="E1218">
        <v>6.2739742027034087</v>
      </c>
      <c r="F1218">
        <v>735.4001518365535</v>
      </c>
      <c r="G1218">
        <v>0.42399999999999999</v>
      </c>
      <c r="H1218">
        <v>4.3E-3</v>
      </c>
      <c r="I1218">
        <v>243.59960000000001</v>
      </c>
    </row>
    <row r="1219" spans="1:9" x14ac:dyDescent="0.3">
      <c r="A1219" t="s">
        <v>9</v>
      </c>
      <c r="B1219" t="s">
        <v>1344</v>
      </c>
      <c r="C1219">
        <v>4</v>
      </c>
      <c r="D1219">
        <v>2.7000000000000001E-3</v>
      </c>
      <c r="E1219">
        <v>6.4613359514646334</v>
      </c>
      <c r="F1219">
        <v>753.18078179399379</v>
      </c>
      <c r="G1219">
        <v>0.42399999999999999</v>
      </c>
      <c r="H1219">
        <v>7.1999999999999998E-3</v>
      </c>
      <c r="I1219">
        <v>243.7987</v>
      </c>
    </row>
    <row r="1220" spans="1:9" x14ac:dyDescent="0.3">
      <c r="A1220" t="s">
        <v>9</v>
      </c>
      <c r="B1220" t="s">
        <v>1345</v>
      </c>
      <c r="C1220">
        <v>4</v>
      </c>
      <c r="D1220">
        <v>5.7000000000000002E-3</v>
      </c>
      <c r="E1220">
        <v>6.6708913444604514</v>
      </c>
      <c r="F1220">
        <v>773.06758858929675</v>
      </c>
      <c r="G1220">
        <v>0.42399999999999999</v>
      </c>
      <c r="H1220">
        <v>1.0500000000000001E-2</v>
      </c>
      <c r="I1220">
        <v>243.99940000000001</v>
      </c>
    </row>
    <row r="1221" spans="1:9" x14ac:dyDescent="0.3">
      <c r="A1221" t="s">
        <v>9</v>
      </c>
      <c r="B1221" t="s">
        <v>1346</v>
      </c>
      <c r="C1221">
        <v>4</v>
      </c>
      <c r="D1221">
        <v>8.3999999999999995E-3</v>
      </c>
      <c r="E1221">
        <v>6.8807439475159917</v>
      </c>
      <c r="F1221">
        <v>792.9826006192676</v>
      </c>
      <c r="G1221">
        <v>0.42399999999999999</v>
      </c>
      <c r="H1221">
        <v>1.38E-2</v>
      </c>
      <c r="I1221">
        <v>244.2004</v>
      </c>
    </row>
    <row r="1222" spans="1:9" x14ac:dyDescent="0.3">
      <c r="A1222" t="s">
        <v>9</v>
      </c>
      <c r="B1222" t="s">
        <v>1347</v>
      </c>
      <c r="C1222">
        <v>4</v>
      </c>
      <c r="D1222">
        <v>1.1299999999999999E-2</v>
      </c>
      <c r="E1222">
        <v>7.0694824722087164</v>
      </c>
      <c r="F1222">
        <v>810.89388661260716</v>
      </c>
      <c r="G1222">
        <v>0.42399999999999999</v>
      </c>
      <c r="H1222">
        <v>1.67E-2</v>
      </c>
      <c r="I1222">
        <v>244.40090000000001</v>
      </c>
    </row>
    <row r="1223" spans="1:9" x14ac:dyDescent="0.3">
      <c r="A1223" t="s">
        <v>9</v>
      </c>
      <c r="B1223" t="s">
        <v>1348</v>
      </c>
      <c r="C1223">
        <v>4</v>
      </c>
      <c r="D1223">
        <v>1.38E-2</v>
      </c>
      <c r="E1223">
        <v>7.2179784304383716</v>
      </c>
      <c r="F1223">
        <v>824.98615304860152</v>
      </c>
      <c r="G1223">
        <v>0.42399999999999999</v>
      </c>
      <c r="H1223">
        <v>1.9E-2</v>
      </c>
      <c r="I1223">
        <v>244.59960000000001</v>
      </c>
    </row>
    <row r="1224" spans="1:9" x14ac:dyDescent="0.3">
      <c r="A1224" t="s">
        <v>9</v>
      </c>
      <c r="B1224" t="s">
        <v>1349</v>
      </c>
      <c r="C1224">
        <v>4</v>
      </c>
      <c r="D1224">
        <v>1.5599999999999999E-2</v>
      </c>
      <c r="E1224">
        <v>7.3134915257703801</v>
      </c>
      <c r="F1224">
        <v>834.05034579560913</v>
      </c>
      <c r="G1224">
        <v>0.42399999999999999</v>
      </c>
      <c r="H1224">
        <v>2.0500000000000001E-2</v>
      </c>
      <c r="I1224">
        <v>244.7978</v>
      </c>
    </row>
    <row r="1225" spans="1:9" x14ac:dyDescent="0.3">
      <c r="A1225" t="s">
        <v>9</v>
      </c>
      <c r="B1225" t="s">
        <v>1350</v>
      </c>
      <c r="C1225">
        <v>4</v>
      </c>
      <c r="D1225">
        <v>1.72E-2</v>
      </c>
      <c r="E1225">
        <v>7.3472972440777848</v>
      </c>
      <c r="F1225">
        <v>837.25850846298181</v>
      </c>
      <c r="G1225">
        <v>0.42399999999999999</v>
      </c>
      <c r="H1225">
        <v>2.1000000000000001E-2</v>
      </c>
      <c r="I1225">
        <v>244.9974</v>
      </c>
    </row>
    <row r="1226" spans="1:9" x14ac:dyDescent="0.3">
      <c r="A1226" t="s">
        <v>9</v>
      </c>
      <c r="B1226" t="s">
        <v>1351</v>
      </c>
      <c r="C1226">
        <v>4</v>
      </c>
      <c r="D1226">
        <v>1.7899999999999999E-2</v>
      </c>
      <c r="E1226">
        <v>7.3150420459182346</v>
      </c>
      <c r="F1226">
        <v>729.76191867957959</v>
      </c>
      <c r="G1226">
        <v>0.42399999999999999</v>
      </c>
      <c r="H1226">
        <v>2.0500000000000001E-2</v>
      </c>
      <c r="I1226">
        <v>245.19749999999999</v>
      </c>
    </row>
    <row r="1227" spans="1:9" x14ac:dyDescent="0.3">
      <c r="A1227" t="s">
        <v>9</v>
      </c>
      <c r="B1227" t="s">
        <v>1352</v>
      </c>
      <c r="C1227">
        <v>4</v>
      </c>
      <c r="D1227">
        <v>1.7899999999999999E-2</v>
      </c>
      <c r="E1227">
        <v>7.2187597725735504</v>
      </c>
      <c r="F1227">
        <v>720.78841080385484</v>
      </c>
      <c r="G1227">
        <v>0.42399999999999999</v>
      </c>
      <c r="H1227">
        <v>1.9E-2</v>
      </c>
      <c r="I1227">
        <v>245.39920000000001</v>
      </c>
    </row>
    <row r="1228" spans="1:9" x14ac:dyDescent="0.3">
      <c r="A1228" t="s">
        <v>9</v>
      </c>
      <c r="B1228" t="s">
        <v>1353</v>
      </c>
      <c r="C1228">
        <v>4</v>
      </c>
      <c r="D1228">
        <v>1.7899999999999999E-2</v>
      </c>
      <c r="E1228">
        <v>7.0688069579392767</v>
      </c>
      <c r="F1228">
        <v>706.8128084799406</v>
      </c>
      <c r="G1228">
        <v>0.42399999999999999</v>
      </c>
      <c r="H1228">
        <v>1.67E-2</v>
      </c>
      <c r="I1228">
        <v>245.59989999999999</v>
      </c>
    </row>
    <row r="1229" spans="1:9" x14ac:dyDescent="0.3">
      <c r="A1229" t="s">
        <v>9</v>
      </c>
      <c r="B1229" t="s">
        <v>1354</v>
      </c>
      <c r="C1229">
        <v>4</v>
      </c>
      <c r="D1229">
        <v>1.7399999999999999E-2</v>
      </c>
      <c r="E1229">
        <v>6.8821257918318643</v>
      </c>
      <c r="F1229">
        <v>689.41412379872975</v>
      </c>
      <c r="G1229">
        <v>0.42399999999999999</v>
      </c>
      <c r="H1229">
        <v>1.38E-2</v>
      </c>
      <c r="I1229">
        <v>245.79820000000001</v>
      </c>
    </row>
    <row r="1230" spans="1:9" x14ac:dyDescent="0.3">
      <c r="A1230" t="s">
        <v>9</v>
      </c>
      <c r="B1230" t="s">
        <v>1355</v>
      </c>
      <c r="C1230">
        <v>4</v>
      </c>
      <c r="D1230">
        <v>1.67E-2</v>
      </c>
      <c r="E1230">
        <v>6.6722419675285778</v>
      </c>
      <c r="F1230">
        <v>669.85295137366347</v>
      </c>
      <c r="G1230">
        <v>0.42399999999999999</v>
      </c>
      <c r="H1230">
        <v>1.0500000000000001E-2</v>
      </c>
      <c r="I1230">
        <v>245.99930000000001</v>
      </c>
    </row>
    <row r="1231" spans="1:9" x14ac:dyDescent="0.3">
      <c r="A1231" t="s">
        <v>9</v>
      </c>
      <c r="B1231" t="s">
        <v>1356</v>
      </c>
      <c r="C1231">
        <v>4</v>
      </c>
      <c r="D1231">
        <v>1.46E-2</v>
      </c>
      <c r="E1231">
        <v>6.4647589355358202</v>
      </c>
      <c r="F1231">
        <v>650.51553279193843</v>
      </c>
      <c r="G1231">
        <v>0.42399999999999999</v>
      </c>
      <c r="H1231">
        <v>7.3000000000000001E-3</v>
      </c>
      <c r="I1231">
        <v>246.19800000000001</v>
      </c>
    </row>
    <row r="1232" spans="1:9" x14ac:dyDescent="0.3">
      <c r="A1232" t="s">
        <v>9</v>
      </c>
      <c r="B1232" t="s">
        <v>1357</v>
      </c>
      <c r="C1232">
        <v>4</v>
      </c>
      <c r="D1232">
        <v>1.1599999999999999E-2</v>
      </c>
      <c r="E1232">
        <v>6.2760697566333663</v>
      </c>
      <c r="F1232">
        <v>632.92970131822972</v>
      </c>
      <c r="G1232">
        <v>0.42399999999999999</v>
      </c>
      <c r="H1232">
        <v>4.4000000000000003E-3</v>
      </c>
      <c r="I1232">
        <v>246.39789999999999</v>
      </c>
    </row>
    <row r="1233" spans="1:9" x14ac:dyDescent="0.3">
      <c r="A1233" t="s">
        <v>9</v>
      </c>
      <c r="B1233" t="s">
        <v>1358</v>
      </c>
      <c r="C1233">
        <v>4</v>
      </c>
      <c r="D1233">
        <v>7.7000000000000002E-3</v>
      </c>
      <c r="E1233">
        <v>6.1261967791897609</v>
      </c>
      <c r="F1233">
        <v>618.96153982048577</v>
      </c>
      <c r="G1233">
        <v>0.42399999999999999</v>
      </c>
      <c r="H1233">
        <v>2E-3</v>
      </c>
      <c r="I1233">
        <v>246.59780000000001</v>
      </c>
    </row>
    <row r="1234" spans="1:9" x14ac:dyDescent="0.3">
      <c r="A1234" t="s">
        <v>9</v>
      </c>
      <c r="B1234" t="s">
        <v>1359</v>
      </c>
      <c r="C1234">
        <v>4</v>
      </c>
      <c r="D1234">
        <v>3.5000000000000001E-3</v>
      </c>
      <c r="E1234">
        <v>6.0295042343214318</v>
      </c>
      <c r="F1234">
        <v>609.94979463875745</v>
      </c>
      <c r="G1234">
        <v>0.42399999999999999</v>
      </c>
      <c r="H1234">
        <v>5.0000000000000001E-4</v>
      </c>
      <c r="I1234">
        <v>246.7979</v>
      </c>
    </row>
    <row r="1235" spans="1:9" x14ac:dyDescent="0.3">
      <c r="A1235" t="s">
        <v>9</v>
      </c>
      <c r="B1235" t="s">
        <v>1360</v>
      </c>
      <c r="C1235">
        <v>4</v>
      </c>
      <c r="D1235">
        <v>1.4E-3</v>
      </c>
      <c r="E1235">
        <v>5.995735095007511</v>
      </c>
      <c r="F1235">
        <v>606.80251085470002</v>
      </c>
      <c r="G1235">
        <v>0.42399999999999999</v>
      </c>
      <c r="H1235">
        <v>0</v>
      </c>
      <c r="I1235">
        <v>246.99860000000001</v>
      </c>
    </row>
    <row r="1236" spans="1:9" x14ac:dyDescent="0.3">
      <c r="A1236" t="s">
        <v>9</v>
      </c>
      <c r="B1236" t="s">
        <v>1361</v>
      </c>
      <c r="C1236">
        <v>4</v>
      </c>
      <c r="D1236">
        <v>1E-3</v>
      </c>
      <c r="E1236">
        <v>6.0284254185705439</v>
      </c>
      <c r="F1236">
        <v>712.09757222234464</v>
      </c>
      <c r="G1236">
        <v>0.42399999999999999</v>
      </c>
      <c r="H1236">
        <v>5.0000000000000001E-4</v>
      </c>
      <c r="I1236">
        <v>247.19880000000001</v>
      </c>
    </row>
    <row r="1237" spans="1:9" x14ac:dyDescent="0.3">
      <c r="A1237" t="s">
        <v>9</v>
      </c>
      <c r="B1237" t="s">
        <v>1362</v>
      </c>
      <c r="C1237">
        <v>4</v>
      </c>
      <c r="D1237">
        <v>1.1000000000000001E-3</v>
      </c>
      <c r="E1237">
        <v>6.1238445622750763</v>
      </c>
      <c r="F1237">
        <v>721.15284895990476</v>
      </c>
      <c r="G1237">
        <v>0.42399999999999999</v>
      </c>
      <c r="H1237">
        <v>2E-3</v>
      </c>
      <c r="I1237">
        <v>247.39850000000001</v>
      </c>
    </row>
    <row r="1238" spans="1:9" x14ac:dyDescent="0.3">
      <c r="A1238" t="s">
        <v>9</v>
      </c>
      <c r="B1238" t="s">
        <v>1363</v>
      </c>
      <c r="C1238">
        <v>4</v>
      </c>
      <c r="D1238">
        <v>1.2999999999999999E-3</v>
      </c>
      <c r="E1238">
        <v>6.2735337803747981</v>
      </c>
      <c r="F1238">
        <v>735.35835575756835</v>
      </c>
      <c r="G1238">
        <v>0.42399999999999999</v>
      </c>
      <c r="H1238">
        <v>4.3E-3</v>
      </c>
      <c r="I1238">
        <v>247.59909999999999</v>
      </c>
    </row>
    <row r="1239" spans="1:9" x14ac:dyDescent="0.3">
      <c r="A1239" t="s">
        <v>9</v>
      </c>
      <c r="B1239" t="s">
        <v>1364</v>
      </c>
      <c r="C1239">
        <v>4</v>
      </c>
      <c r="D1239">
        <v>2.5000000000000001E-3</v>
      </c>
      <c r="E1239">
        <v>6.4625827740207686</v>
      </c>
      <c r="F1239">
        <v>753.29910525457103</v>
      </c>
      <c r="G1239">
        <v>0.42399999999999999</v>
      </c>
      <c r="H1239">
        <v>7.3000000000000001E-3</v>
      </c>
      <c r="I1239">
        <v>247.79990000000001</v>
      </c>
    </row>
    <row r="1240" spans="1:9" x14ac:dyDescent="0.3">
      <c r="A1240" t="s">
        <v>9</v>
      </c>
      <c r="B1240" t="s">
        <v>1365</v>
      </c>
      <c r="C1240">
        <v>4</v>
      </c>
      <c r="D1240">
        <v>5.4000000000000003E-3</v>
      </c>
      <c r="E1240">
        <v>6.6712542407816668</v>
      </c>
      <c r="F1240">
        <v>773.10202745018023</v>
      </c>
      <c r="G1240">
        <v>0.42399999999999999</v>
      </c>
      <c r="H1240">
        <v>1.0500000000000001E-2</v>
      </c>
      <c r="I1240">
        <v>247.99969999999999</v>
      </c>
    </row>
    <row r="1241" spans="1:9" x14ac:dyDescent="0.3">
      <c r="A1241" t="s">
        <v>9</v>
      </c>
      <c r="B1241" t="s">
        <v>1366</v>
      </c>
      <c r="C1241">
        <v>4</v>
      </c>
      <c r="D1241">
        <v>8.3999999999999995E-3</v>
      </c>
      <c r="E1241">
        <v>6.878322476197213</v>
      </c>
      <c r="F1241">
        <v>792.75280299111557</v>
      </c>
      <c r="G1241">
        <v>0.42399999999999999</v>
      </c>
      <c r="H1241">
        <v>1.37E-2</v>
      </c>
      <c r="I1241">
        <v>248.19800000000001</v>
      </c>
    </row>
    <row r="1242" spans="1:9" x14ac:dyDescent="0.3">
      <c r="A1242" t="s">
        <v>9</v>
      </c>
      <c r="B1242" t="s">
        <v>1367</v>
      </c>
      <c r="C1242">
        <v>4</v>
      </c>
      <c r="D1242">
        <v>1.14E-2</v>
      </c>
      <c r="E1242">
        <v>7.06646941906574</v>
      </c>
      <c r="F1242">
        <v>810.60794786933877</v>
      </c>
      <c r="G1242">
        <v>0.42399999999999999</v>
      </c>
      <c r="H1242">
        <v>1.66E-2</v>
      </c>
      <c r="I1242">
        <v>248.3974</v>
      </c>
    </row>
    <row r="1243" spans="1:9" x14ac:dyDescent="0.3">
      <c r="A1243" t="s">
        <v>9</v>
      </c>
      <c r="B1243" t="s">
        <v>1368</v>
      </c>
      <c r="C1243">
        <v>4</v>
      </c>
      <c r="D1243">
        <v>1.38E-2</v>
      </c>
      <c r="E1243">
        <v>7.2167210656427372</v>
      </c>
      <c r="F1243">
        <v>824.86682912949584</v>
      </c>
      <c r="G1243">
        <v>0.42399999999999999</v>
      </c>
      <c r="H1243">
        <v>1.9E-2</v>
      </c>
      <c r="I1243">
        <v>248.5976</v>
      </c>
    </row>
    <row r="1244" spans="1:9" x14ac:dyDescent="0.3">
      <c r="A1244" t="s">
        <v>9</v>
      </c>
      <c r="B1244" t="s">
        <v>1369</v>
      </c>
      <c r="C1244">
        <v>4</v>
      </c>
      <c r="D1244">
        <v>1.5699999999999999E-2</v>
      </c>
      <c r="E1244">
        <v>7.3136496593628646</v>
      </c>
      <c r="F1244">
        <v>834.06535267353593</v>
      </c>
      <c r="G1244">
        <v>0.42399999999999999</v>
      </c>
      <c r="H1244">
        <v>2.0500000000000001E-2</v>
      </c>
      <c r="I1244">
        <v>248.79820000000001</v>
      </c>
    </row>
    <row r="1245" spans="1:9" x14ac:dyDescent="0.3">
      <c r="A1245" t="s">
        <v>9</v>
      </c>
      <c r="B1245" t="s">
        <v>1370</v>
      </c>
      <c r="C1245">
        <v>4</v>
      </c>
      <c r="D1245">
        <v>1.7000000000000001E-2</v>
      </c>
      <c r="E1245">
        <v>7.3472842690137856</v>
      </c>
      <c r="F1245">
        <v>837.25727712940829</v>
      </c>
      <c r="G1245">
        <v>0.42399999999999999</v>
      </c>
      <c r="H1245">
        <v>2.1000000000000001E-2</v>
      </c>
      <c r="I1245">
        <v>249.00470000000001</v>
      </c>
    </row>
    <row r="1246" spans="1:9" x14ac:dyDescent="0.3">
      <c r="A1246" t="s">
        <v>9</v>
      </c>
      <c r="B1246" t="s">
        <v>1371</v>
      </c>
      <c r="C1246">
        <v>4</v>
      </c>
      <c r="D1246">
        <v>1.7999999999999999E-2</v>
      </c>
      <c r="E1246">
        <v>7.3146406298757727</v>
      </c>
      <c r="F1246">
        <v>729.72450670442208</v>
      </c>
      <c r="G1246">
        <v>0.42399999999999999</v>
      </c>
      <c r="H1246">
        <v>2.0500000000000001E-2</v>
      </c>
      <c r="I1246">
        <v>249.1987</v>
      </c>
    </row>
    <row r="1247" spans="1:9" x14ac:dyDescent="0.3">
      <c r="A1247" t="s">
        <v>9</v>
      </c>
      <c r="B1247" t="s">
        <v>1372</v>
      </c>
      <c r="C1247">
        <v>4</v>
      </c>
      <c r="D1247">
        <v>1.7999999999999999E-2</v>
      </c>
      <c r="E1247">
        <v>7.2195261122909793</v>
      </c>
      <c r="F1247">
        <v>720.85983366551932</v>
      </c>
      <c r="G1247">
        <v>0.42399999999999999</v>
      </c>
      <c r="H1247">
        <v>1.9E-2</v>
      </c>
      <c r="I1247">
        <v>249.39789999999999</v>
      </c>
    </row>
    <row r="1248" spans="1:9" x14ac:dyDescent="0.3">
      <c r="A1248" t="s">
        <v>9</v>
      </c>
      <c r="B1248" t="s">
        <v>1373</v>
      </c>
      <c r="C1248">
        <v>4</v>
      </c>
      <c r="D1248">
        <v>1.7999999999999999E-2</v>
      </c>
      <c r="E1248">
        <v>7.0704803357243744</v>
      </c>
      <c r="F1248">
        <v>706.96876728951167</v>
      </c>
      <c r="G1248">
        <v>0.42399999999999999</v>
      </c>
      <c r="H1248">
        <v>1.67E-2</v>
      </c>
      <c r="I1248">
        <v>249.59800000000001</v>
      </c>
    </row>
    <row r="1249" spans="1:9" x14ac:dyDescent="0.3">
      <c r="A1249" t="s">
        <v>9</v>
      </c>
      <c r="B1249" t="s">
        <v>1374</v>
      </c>
      <c r="C1249">
        <v>4</v>
      </c>
      <c r="D1249">
        <v>1.7500000000000002E-2</v>
      </c>
      <c r="E1249">
        <v>6.882956601398539</v>
      </c>
      <c r="F1249">
        <v>689.49155525034382</v>
      </c>
      <c r="G1249">
        <v>0.42399999999999999</v>
      </c>
      <c r="H1249">
        <v>1.38E-2</v>
      </c>
      <c r="I1249">
        <v>249.79740000000001</v>
      </c>
    </row>
    <row r="1250" spans="1:9" x14ac:dyDescent="0.3">
      <c r="A1250" t="s">
        <v>9</v>
      </c>
      <c r="B1250" t="s">
        <v>1375</v>
      </c>
      <c r="C1250">
        <v>4</v>
      </c>
      <c r="D1250">
        <v>1.6899999999999998E-2</v>
      </c>
      <c r="E1250">
        <v>6.6742713486321419</v>
      </c>
      <c r="F1250">
        <v>670.04208969251567</v>
      </c>
      <c r="G1250">
        <v>0.42399999999999999</v>
      </c>
      <c r="H1250">
        <v>1.0500000000000001E-2</v>
      </c>
      <c r="I1250">
        <v>249.9974</v>
      </c>
    </row>
    <row r="1251" spans="1:9" x14ac:dyDescent="0.3">
      <c r="A1251" t="s">
        <v>9</v>
      </c>
      <c r="B1251" t="s">
        <v>1376</v>
      </c>
      <c r="C1251">
        <v>4</v>
      </c>
      <c r="D1251">
        <v>1.4999999999999999E-2</v>
      </c>
      <c r="E1251">
        <v>6.4630008143639808</v>
      </c>
      <c r="F1251">
        <v>650.35167589872299</v>
      </c>
      <c r="G1251">
        <v>0.42399999999999999</v>
      </c>
      <c r="H1251">
        <v>7.3000000000000001E-3</v>
      </c>
      <c r="I1251">
        <v>250.19970000000001</v>
      </c>
    </row>
    <row r="1252" spans="1:9" x14ac:dyDescent="0.3">
      <c r="A1252" t="s">
        <v>9</v>
      </c>
      <c r="B1252" t="s">
        <v>1377</v>
      </c>
      <c r="C1252">
        <v>4</v>
      </c>
      <c r="D1252">
        <v>1.1900000000000001E-2</v>
      </c>
      <c r="E1252">
        <v>6.2756921417239262</v>
      </c>
      <c r="F1252">
        <v>632.89450760866998</v>
      </c>
      <c r="G1252">
        <v>0.42399999999999999</v>
      </c>
      <c r="H1252">
        <v>4.3E-3</v>
      </c>
      <c r="I1252">
        <v>250.39840000000001</v>
      </c>
    </row>
    <row r="1253" spans="1:9" x14ac:dyDescent="0.3">
      <c r="A1253" t="s">
        <v>9</v>
      </c>
      <c r="B1253" t="s">
        <v>1378</v>
      </c>
      <c r="C1253">
        <v>4</v>
      </c>
      <c r="D1253">
        <v>7.1000000000000004E-3</v>
      </c>
      <c r="E1253">
        <v>6.124889257662355</v>
      </c>
      <c r="F1253">
        <v>618.8396788141315</v>
      </c>
      <c r="G1253">
        <v>0.42399999999999999</v>
      </c>
      <c r="H1253">
        <v>2E-3</v>
      </c>
      <c r="I1253">
        <v>250.59989999999999</v>
      </c>
    </row>
    <row r="1254" spans="1:9" x14ac:dyDescent="0.3">
      <c r="A1254" t="s">
        <v>9</v>
      </c>
      <c r="B1254" t="s">
        <v>1379</v>
      </c>
      <c r="C1254">
        <v>4</v>
      </c>
      <c r="D1254">
        <v>3.3999999999999998E-3</v>
      </c>
      <c r="E1254">
        <v>6.0294811549263443</v>
      </c>
      <c r="F1254">
        <v>609.94764363913532</v>
      </c>
      <c r="G1254">
        <v>0.42399999999999999</v>
      </c>
      <c r="H1254">
        <v>5.0000000000000001E-4</v>
      </c>
      <c r="I1254">
        <v>250.798</v>
      </c>
    </row>
    <row r="1255" spans="1:9" x14ac:dyDescent="0.3">
      <c r="A1255" t="s">
        <v>9</v>
      </c>
      <c r="B1255" t="s">
        <v>1380</v>
      </c>
      <c r="C1255">
        <v>4</v>
      </c>
      <c r="D1255">
        <v>1.5E-3</v>
      </c>
      <c r="E1255">
        <v>5.995733886610525</v>
      </c>
      <c r="F1255">
        <v>606.80239823210093</v>
      </c>
      <c r="G1255">
        <v>0.42399999999999999</v>
      </c>
      <c r="H1255">
        <v>0</v>
      </c>
      <c r="I1255">
        <v>250.99930000000001</v>
      </c>
    </row>
    <row r="1256" spans="1:9" x14ac:dyDescent="0.3">
      <c r="A1256" t="s">
        <v>9</v>
      </c>
      <c r="B1256" t="s">
        <v>1381</v>
      </c>
      <c r="C1256">
        <v>4</v>
      </c>
      <c r="D1256">
        <v>4.0000000000000002E-4</v>
      </c>
      <c r="E1256">
        <v>6.0282392831680651</v>
      </c>
      <c r="F1256">
        <v>712.07990797264938</v>
      </c>
      <c r="G1256">
        <v>0.42399999999999999</v>
      </c>
      <c r="H1256">
        <v>5.0000000000000001E-4</v>
      </c>
      <c r="I1256">
        <v>251.19820000000001</v>
      </c>
    </row>
    <row r="1257" spans="1:9" x14ac:dyDescent="0.3">
      <c r="A1257" t="s">
        <v>9</v>
      </c>
      <c r="B1257" t="s">
        <v>1382</v>
      </c>
      <c r="C1257">
        <v>4</v>
      </c>
      <c r="D1257">
        <v>4.0000000000000002E-4</v>
      </c>
      <c r="E1257">
        <v>6.1240691930705564</v>
      </c>
      <c r="F1257">
        <v>721.17416642239584</v>
      </c>
      <c r="G1257">
        <v>0.42399999999999999</v>
      </c>
      <c r="H1257">
        <v>2E-3</v>
      </c>
      <c r="I1257">
        <v>251.39879999999999</v>
      </c>
    </row>
    <row r="1258" spans="1:9" x14ac:dyDescent="0.3">
      <c r="A1258" t="s">
        <v>9</v>
      </c>
      <c r="B1258" t="s">
        <v>1383</v>
      </c>
      <c r="C1258">
        <v>4</v>
      </c>
      <c r="D1258">
        <v>8.0000000000000004E-4</v>
      </c>
      <c r="E1258">
        <v>6.2720116431794386</v>
      </c>
      <c r="F1258">
        <v>735.21390493772878</v>
      </c>
      <c r="G1258">
        <v>0.42399999999999999</v>
      </c>
      <c r="H1258">
        <v>4.3E-3</v>
      </c>
      <c r="I1258">
        <v>251.59729999999999</v>
      </c>
    </row>
    <row r="1259" spans="1:9" x14ac:dyDescent="0.3">
      <c r="A1259" t="s">
        <v>9</v>
      </c>
      <c r="B1259" t="s">
        <v>1384</v>
      </c>
      <c r="C1259">
        <v>4</v>
      </c>
      <c r="D1259">
        <v>2.2000000000000001E-3</v>
      </c>
      <c r="E1259">
        <v>6.4626334578645146</v>
      </c>
      <c r="F1259">
        <v>753.30391515134249</v>
      </c>
      <c r="G1259">
        <v>0.42399999999999999</v>
      </c>
      <c r="H1259">
        <v>7.3000000000000001E-3</v>
      </c>
      <c r="I1259">
        <v>251.79990000000001</v>
      </c>
    </row>
    <row r="1260" spans="1:9" x14ac:dyDescent="0.3">
      <c r="A1260" t="s">
        <v>9</v>
      </c>
      <c r="B1260" t="s">
        <v>1385</v>
      </c>
      <c r="C1260">
        <v>4</v>
      </c>
      <c r="D1260">
        <v>5.1999999999999998E-3</v>
      </c>
      <c r="E1260">
        <v>6.6704412719279924</v>
      </c>
      <c r="F1260">
        <v>773.02487670596656</v>
      </c>
      <c r="G1260">
        <v>0.42399999999999999</v>
      </c>
      <c r="H1260">
        <v>1.0500000000000001E-2</v>
      </c>
      <c r="I1260">
        <v>251.999</v>
      </c>
    </row>
    <row r="1261" spans="1:9" x14ac:dyDescent="0.3">
      <c r="A1261" t="s">
        <v>9</v>
      </c>
      <c r="B1261" t="s">
        <v>1386</v>
      </c>
      <c r="C1261">
        <v>4</v>
      </c>
      <c r="D1261">
        <v>8.3999999999999995E-3</v>
      </c>
      <c r="E1261">
        <v>6.8777053497157707</v>
      </c>
      <c r="F1261">
        <v>792.69423768802665</v>
      </c>
      <c r="G1261">
        <v>0.42399999999999999</v>
      </c>
      <c r="H1261">
        <v>1.37E-2</v>
      </c>
      <c r="I1261">
        <v>252.19739999999999</v>
      </c>
    </row>
    <row r="1262" spans="1:9" x14ac:dyDescent="0.3">
      <c r="A1262" t="s">
        <v>9</v>
      </c>
      <c r="B1262" t="s">
        <v>1387</v>
      </c>
      <c r="C1262">
        <v>4</v>
      </c>
      <c r="D1262">
        <v>1.12E-2</v>
      </c>
      <c r="E1262">
        <v>7.0665128044359884</v>
      </c>
      <c r="F1262">
        <v>810.61206514097523</v>
      </c>
      <c r="G1262">
        <v>0.42399999999999999</v>
      </c>
      <c r="H1262">
        <v>1.66E-2</v>
      </c>
      <c r="I1262">
        <v>252.3974</v>
      </c>
    </row>
    <row r="1263" spans="1:9" x14ac:dyDescent="0.3">
      <c r="A1263" t="s">
        <v>9</v>
      </c>
      <c r="B1263" t="s">
        <v>1388</v>
      </c>
      <c r="C1263">
        <v>4</v>
      </c>
      <c r="D1263">
        <v>1.38E-2</v>
      </c>
      <c r="E1263">
        <v>7.2170207085269586</v>
      </c>
      <c r="F1263">
        <v>824.89526523920847</v>
      </c>
      <c r="G1263">
        <v>0.42399999999999999</v>
      </c>
      <c r="H1263">
        <v>1.9E-2</v>
      </c>
      <c r="I1263">
        <v>252.59809999999999</v>
      </c>
    </row>
    <row r="1264" spans="1:9" x14ac:dyDescent="0.3">
      <c r="A1264" t="s">
        <v>9</v>
      </c>
      <c r="B1264" t="s">
        <v>1389</v>
      </c>
      <c r="C1264">
        <v>4</v>
      </c>
      <c r="D1264">
        <v>1.5599999999999999E-2</v>
      </c>
      <c r="E1264">
        <v>7.3140441824025793</v>
      </c>
      <c r="F1264">
        <v>834.10279291000484</v>
      </c>
      <c r="G1264">
        <v>0.42399999999999999</v>
      </c>
      <c r="H1264">
        <v>2.0500000000000001E-2</v>
      </c>
      <c r="I1264">
        <v>252.79939999999999</v>
      </c>
    </row>
    <row r="1265" spans="1:9" x14ac:dyDescent="0.3">
      <c r="A1265" t="s">
        <v>9</v>
      </c>
      <c r="B1265" t="s">
        <v>1390</v>
      </c>
      <c r="C1265">
        <v>4</v>
      </c>
      <c r="D1265">
        <v>1.72E-2</v>
      </c>
      <c r="E1265">
        <v>7.3472988659607834</v>
      </c>
      <c r="F1265">
        <v>837.25866237967841</v>
      </c>
      <c r="G1265">
        <v>0.42399999999999999</v>
      </c>
      <c r="H1265">
        <v>2.1000000000000001E-2</v>
      </c>
      <c r="I1265">
        <v>252.99780000000001</v>
      </c>
    </row>
    <row r="1266" spans="1:9" x14ac:dyDescent="0.3">
      <c r="A1266" t="s">
        <v>9</v>
      </c>
      <c r="B1266" t="s">
        <v>1391</v>
      </c>
      <c r="C1266">
        <v>4</v>
      </c>
      <c r="D1266">
        <v>1.77E-2</v>
      </c>
      <c r="E1266">
        <v>7.3145356129515333</v>
      </c>
      <c r="F1266">
        <v>729.71471912708296</v>
      </c>
      <c r="G1266">
        <v>0.42399999999999999</v>
      </c>
      <c r="H1266">
        <v>2.0500000000000001E-2</v>
      </c>
      <c r="I1266">
        <v>253.19909999999999</v>
      </c>
    </row>
    <row r="1267" spans="1:9" x14ac:dyDescent="0.3">
      <c r="A1267" t="s">
        <v>9</v>
      </c>
      <c r="B1267" t="s">
        <v>1392</v>
      </c>
      <c r="C1267">
        <v>4</v>
      </c>
      <c r="D1267">
        <v>1.77E-2</v>
      </c>
      <c r="E1267">
        <v>7.2184917564078246</v>
      </c>
      <c r="F1267">
        <v>720.7634316972094</v>
      </c>
      <c r="G1267">
        <v>0.42399999999999999</v>
      </c>
      <c r="H1267">
        <v>1.9E-2</v>
      </c>
      <c r="I1267">
        <v>253.39959999999999</v>
      </c>
    </row>
    <row r="1268" spans="1:9" x14ac:dyDescent="0.3">
      <c r="A1268" t="s">
        <v>9</v>
      </c>
      <c r="B1268" t="s">
        <v>1393</v>
      </c>
      <c r="C1268">
        <v>4</v>
      </c>
      <c r="D1268">
        <v>1.7600000000000001E-2</v>
      </c>
      <c r="E1268">
        <v>7.0706202231331101</v>
      </c>
      <c r="F1268">
        <v>706.98180479600592</v>
      </c>
      <c r="G1268">
        <v>0.42399999999999999</v>
      </c>
      <c r="H1268">
        <v>1.67E-2</v>
      </c>
      <c r="I1268">
        <v>253.59780000000001</v>
      </c>
    </row>
    <row r="1269" spans="1:9" x14ac:dyDescent="0.3">
      <c r="A1269" t="s">
        <v>9</v>
      </c>
      <c r="B1269" t="s">
        <v>1394</v>
      </c>
      <c r="C1269">
        <v>4</v>
      </c>
      <c r="D1269">
        <v>1.7500000000000002E-2</v>
      </c>
      <c r="E1269">
        <v>6.8830429666682811</v>
      </c>
      <c r="F1269">
        <v>689.49960449348384</v>
      </c>
      <c r="G1269">
        <v>0.42399999999999999</v>
      </c>
      <c r="H1269">
        <v>1.38E-2</v>
      </c>
      <c r="I1269">
        <v>253.79730000000001</v>
      </c>
    </row>
    <row r="1270" spans="1:9" x14ac:dyDescent="0.3">
      <c r="A1270" t="s">
        <v>9</v>
      </c>
      <c r="B1270" t="s">
        <v>1395</v>
      </c>
      <c r="C1270">
        <v>4</v>
      </c>
      <c r="D1270">
        <v>1.6500000000000001E-2</v>
      </c>
      <c r="E1270">
        <v>6.6742182319638967</v>
      </c>
      <c r="F1270">
        <v>670.03713921903523</v>
      </c>
      <c r="G1270">
        <v>0.42399999999999999</v>
      </c>
      <c r="H1270">
        <v>1.0500000000000001E-2</v>
      </c>
      <c r="I1270">
        <v>253.9975</v>
      </c>
    </row>
    <row r="1271" spans="1:9" x14ac:dyDescent="0.3">
      <c r="A1271" t="s">
        <v>9</v>
      </c>
      <c r="B1271" t="s">
        <v>1396</v>
      </c>
      <c r="C1271">
        <v>4</v>
      </c>
      <c r="D1271">
        <v>1.46E-2</v>
      </c>
      <c r="E1271">
        <v>6.4625576348342717</v>
      </c>
      <c r="F1271">
        <v>650.31037156655418</v>
      </c>
      <c r="G1271">
        <v>0.42399999999999999</v>
      </c>
      <c r="H1271">
        <v>7.3000000000000001E-3</v>
      </c>
      <c r="I1271">
        <v>254.20009999999999</v>
      </c>
    </row>
    <row r="1272" spans="1:9" x14ac:dyDescent="0.3">
      <c r="A1272" t="s">
        <v>9</v>
      </c>
      <c r="B1272" t="s">
        <v>1397</v>
      </c>
      <c r="C1272">
        <v>4</v>
      </c>
      <c r="D1272">
        <v>1.14E-2</v>
      </c>
      <c r="E1272">
        <v>6.2751142648110791</v>
      </c>
      <c r="F1272">
        <v>632.84064948039259</v>
      </c>
      <c r="G1272">
        <v>0.42399999999999999</v>
      </c>
      <c r="H1272">
        <v>4.3E-3</v>
      </c>
      <c r="I1272">
        <v>254.399</v>
      </c>
    </row>
    <row r="1273" spans="1:9" x14ac:dyDescent="0.3">
      <c r="A1273" t="s">
        <v>9</v>
      </c>
      <c r="B1273" t="s">
        <v>1398</v>
      </c>
      <c r="C1273">
        <v>4</v>
      </c>
      <c r="D1273">
        <v>7.1999999999999998E-3</v>
      </c>
      <c r="E1273">
        <v>6.1251369597435081</v>
      </c>
      <c r="F1273">
        <v>618.86276464809498</v>
      </c>
      <c r="G1273">
        <v>0.42399999999999999</v>
      </c>
      <c r="H1273">
        <v>2E-3</v>
      </c>
      <c r="I1273">
        <v>254.59950000000001</v>
      </c>
    </row>
    <row r="1274" spans="1:9" x14ac:dyDescent="0.3">
      <c r="A1274" t="s">
        <v>9</v>
      </c>
      <c r="B1274" t="s">
        <v>1399</v>
      </c>
      <c r="C1274">
        <v>4</v>
      </c>
      <c r="D1274">
        <v>3.2000000000000002E-3</v>
      </c>
      <c r="E1274">
        <v>6.0293552400396511</v>
      </c>
      <c r="F1274">
        <v>609.93590837169552</v>
      </c>
      <c r="G1274">
        <v>0.42399999999999999</v>
      </c>
      <c r="H1274">
        <v>5.0000000000000001E-4</v>
      </c>
      <c r="I1274">
        <v>254.79830000000001</v>
      </c>
    </row>
    <row r="1275" spans="1:9" x14ac:dyDescent="0.3">
      <c r="A1275" t="s">
        <v>9</v>
      </c>
      <c r="B1275" t="s">
        <v>1400</v>
      </c>
      <c r="C1275">
        <v>4</v>
      </c>
      <c r="D1275">
        <v>1.5E-3</v>
      </c>
      <c r="E1275">
        <v>5.9958066723766414</v>
      </c>
      <c r="F1275">
        <v>606.80918186550298</v>
      </c>
      <c r="G1275">
        <v>0.42399999999999999</v>
      </c>
      <c r="H1275">
        <v>0</v>
      </c>
      <c r="I1275">
        <v>255.0094</v>
      </c>
    </row>
    <row r="1276" spans="1:9" x14ac:dyDescent="0.3">
      <c r="A1276" t="s">
        <v>9</v>
      </c>
      <c r="B1276" t="s">
        <v>1401</v>
      </c>
      <c r="C1276">
        <v>4</v>
      </c>
      <c r="D1276">
        <v>4.0000000000000002E-4</v>
      </c>
      <c r="E1276">
        <v>6.0283188365292082</v>
      </c>
      <c r="F1276">
        <v>712.08745758662189</v>
      </c>
      <c r="G1276">
        <v>0.42399999999999999</v>
      </c>
      <c r="H1276">
        <v>5.0000000000000001E-4</v>
      </c>
      <c r="I1276">
        <v>255.1985</v>
      </c>
    </row>
    <row r="1277" spans="1:9" x14ac:dyDescent="0.3">
      <c r="A1277" t="s">
        <v>9</v>
      </c>
      <c r="B1277" t="s">
        <v>1402</v>
      </c>
      <c r="C1277">
        <v>4</v>
      </c>
      <c r="D1277">
        <v>4.0000000000000002E-4</v>
      </c>
      <c r="E1277">
        <v>6.1244997624599424</v>
      </c>
      <c r="F1277">
        <v>721.21502745744851</v>
      </c>
      <c r="G1277">
        <v>0.42399999999999999</v>
      </c>
      <c r="H1277">
        <v>2E-3</v>
      </c>
      <c r="I1277">
        <v>255.39949999999999</v>
      </c>
    </row>
    <row r="1278" spans="1:9" x14ac:dyDescent="0.3">
      <c r="A1278" t="s">
        <v>9</v>
      </c>
      <c r="B1278" t="s">
        <v>1403</v>
      </c>
      <c r="C1278">
        <v>4</v>
      </c>
      <c r="D1278">
        <v>6.9999999999999999E-4</v>
      </c>
      <c r="E1278">
        <v>6.2722875660247874</v>
      </c>
      <c r="F1278">
        <v>735.24009001575234</v>
      </c>
      <c r="G1278">
        <v>0.42399999999999999</v>
      </c>
      <c r="H1278">
        <v>4.3E-3</v>
      </c>
      <c r="I1278">
        <v>255.5976</v>
      </c>
    </row>
    <row r="1279" spans="1:9" x14ac:dyDescent="0.3">
      <c r="A1279" t="s">
        <v>9</v>
      </c>
      <c r="B1279" t="s">
        <v>1404</v>
      </c>
      <c r="C1279">
        <v>4</v>
      </c>
      <c r="D1279">
        <v>2E-3</v>
      </c>
      <c r="E1279">
        <v>6.4611741686353978</v>
      </c>
      <c r="F1279">
        <v>753.16542860349932</v>
      </c>
      <c r="G1279">
        <v>0.42399999999999999</v>
      </c>
      <c r="H1279">
        <v>7.1999999999999998E-3</v>
      </c>
      <c r="I1279">
        <v>255.79849999999999</v>
      </c>
    </row>
    <row r="1280" spans="1:9" x14ac:dyDescent="0.3">
      <c r="A1280" t="s">
        <v>9</v>
      </c>
      <c r="B1280" t="s">
        <v>1405</v>
      </c>
      <c r="C1280">
        <v>4</v>
      </c>
      <c r="D1280">
        <v>4.8999999999999998E-3</v>
      </c>
      <c r="E1280">
        <v>6.6707007732079679</v>
      </c>
      <c r="F1280">
        <v>773.04950337743617</v>
      </c>
      <c r="G1280">
        <v>0.42399999999999999</v>
      </c>
      <c r="H1280">
        <v>1.0500000000000001E-2</v>
      </c>
      <c r="I1280">
        <v>255.9992</v>
      </c>
    </row>
    <row r="1281" spans="1:9" x14ac:dyDescent="0.3">
      <c r="A1281" t="s">
        <v>9</v>
      </c>
      <c r="B1281" t="s">
        <v>1406</v>
      </c>
      <c r="C1281">
        <v>4</v>
      </c>
      <c r="D1281">
        <v>8.2000000000000007E-3</v>
      </c>
      <c r="E1281">
        <v>6.8788163395706672</v>
      </c>
      <c r="F1281">
        <v>792.79967062525634</v>
      </c>
      <c r="G1281">
        <v>0.42399999999999999</v>
      </c>
      <c r="H1281">
        <v>1.37E-2</v>
      </c>
      <c r="I1281">
        <v>256.19850000000002</v>
      </c>
    </row>
    <row r="1282" spans="1:9" x14ac:dyDescent="0.3">
      <c r="A1282" t="s">
        <v>9</v>
      </c>
      <c r="B1282" t="s">
        <v>1407</v>
      </c>
      <c r="C1282">
        <v>4</v>
      </c>
      <c r="D1282">
        <v>1.1299999999999999E-2</v>
      </c>
      <c r="E1282">
        <v>7.0687278911430331</v>
      </c>
      <c r="F1282">
        <v>810.82227686947385</v>
      </c>
      <c r="G1282">
        <v>0.42399999999999999</v>
      </c>
      <c r="H1282">
        <v>1.67E-2</v>
      </c>
      <c r="I1282">
        <v>256.39999999999998</v>
      </c>
    </row>
    <row r="1283" spans="1:9" x14ac:dyDescent="0.3">
      <c r="A1283" t="s">
        <v>9</v>
      </c>
      <c r="B1283" t="s">
        <v>1408</v>
      </c>
      <c r="C1283">
        <v>4</v>
      </c>
      <c r="D1283">
        <v>1.37E-2</v>
      </c>
      <c r="E1283">
        <v>7.2181576485098562</v>
      </c>
      <c r="F1283">
        <v>825.00316084358542</v>
      </c>
      <c r="G1283">
        <v>0.42399999999999999</v>
      </c>
      <c r="H1283">
        <v>1.9E-2</v>
      </c>
      <c r="I1283">
        <v>256.59989999999999</v>
      </c>
    </row>
    <row r="1284" spans="1:9" x14ac:dyDescent="0.3">
      <c r="A1284" t="s">
        <v>9</v>
      </c>
      <c r="B1284" t="s">
        <v>1409</v>
      </c>
      <c r="C1284">
        <v>4</v>
      </c>
      <c r="D1284">
        <v>1.5599999999999999E-2</v>
      </c>
      <c r="E1284">
        <v>7.3133674517208904</v>
      </c>
      <c r="F1284">
        <v>834.0385711683125</v>
      </c>
      <c r="G1284">
        <v>0.42399999999999999</v>
      </c>
      <c r="H1284">
        <v>2.0500000000000001E-2</v>
      </c>
      <c r="I1284">
        <v>256.79739999999998</v>
      </c>
    </row>
    <row r="1285" spans="1:9" x14ac:dyDescent="0.3">
      <c r="A1285" t="s">
        <v>9</v>
      </c>
      <c r="B1285" t="s">
        <v>1410</v>
      </c>
      <c r="C1285">
        <v>4</v>
      </c>
      <c r="D1285">
        <v>1.7299999999999999E-2</v>
      </c>
      <c r="E1285">
        <v>7.3473008933145332</v>
      </c>
      <c r="F1285">
        <v>837.25885477554925</v>
      </c>
      <c r="G1285">
        <v>0.42399999999999999</v>
      </c>
      <c r="H1285">
        <v>2.1000000000000001E-2</v>
      </c>
      <c r="I1285">
        <v>256.99849999999998</v>
      </c>
    </row>
    <row r="1286" spans="1:9" x14ac:dyDescent="0.3">
      <c r="A1286" t="s">
        <v>9</v>
      </c>
      <c r="B1286" t="s">
        <v>1411</v>
      </c>
      <c r="C1286">
        <v>4</v>
      </c>
      <c r="D1286">
        <v>1.78E-2</v>
      </c>
      <c r="E1286">
        <v>7.3148672880250043</v>
      </c>
      <c r="F1286">
        <v>729.74563124393046</v>
      </c>
      <c r="G1286">
        <v>0.42399999999999999</v>
      </c>
      <c r="H1286">
        <v>2.0500000000000001E-2</v>
      </c>
      <c r="I1286">
        <v>257.19799999999998</v>
      </c>
    </row>
    <row r="1287" spans="1:9" x14ac:dyDescent="0.3">
      <c r="A1287" t="s">
        <v>9</v>
      </c>
      <c r="B1287" t="s">
        <v>1412</v>
      </c>
      <c r="C1287">
        <v>4</v>
      </c>
      <c r="D1287">
        <v>1.78E-2</v>
      </c>
      <c r="E1287">
        <v>7.2198857648461976</v>
      </c>
      <c r="F1287">
        <v>720.89335328366565</v>
      </c>
      <c r="G1287">
        <v>0.42399999999999999</v>
      </c>
      <c r="H1287">
        <v>1.9E-2</v>
      </c>
      <c r="I1287">
        <v>257.39729999999997</v>
      </c>
    </row>
    <row r="1288" spans="1:9" x14ac:dyDescent="0.3">
      <c r="A1288" t="s">
        <v>9</v>
      </c>
      <c r="B1288" t="s">
        <v>1413</v>
      </c>
      <c r="C1288">
        <v>4</v>
      </c>
      <c r="D1288">
        <v>1.78E-2</v>
      </c>
      <c r="E1288">
        <v>7.0705606189328654</v>
      </c>
      <c r="F1288">
        <v>706.97624968454306</v>
      </c>
      <c r="G1288">
        <v>0.42399999999999999</v>
      </c>
      <c r="H1288">
        <v>1.67E-2</v>
      </c>
      <c r="I1288">
        <v>257.59789999999998</v>
      </c>
    </row>
    <row r="1289" spans="1:9" x14ac:dyDescent="0.3">
      <c r="A1289" t="s">
        <v>9</v>
      </c>
      <c r="B1289" t="s">
        <v>1414</v>
      </c>
      <c r="C1289">
        <v>4</v>
      </c>
      <c r="D1289">
        <v>1.7299999999999999E-2</v>
      </c>
      <c r="E1289">
        <v>6.8806210898787521</v>
      </c>
      <c r="F1289">
        <v>689.27388557669974</v>
      </c>
      <c r="G1289">
        <v>0.42399999999999999</v>
      </c>
      <c r="H1289">
        <v>1.37E-2</v>
      </c>
      <c r="I1289">
        <v>257.79969999999997</v>
      </c>
    </row>
    <row r="1290" spans="1:9" x14ac:dyDescent="0.3">
      <c r="A1290" t="s">
        <v>9</v>
      </c>
      <c r="B1290" t="s">
        <v>1415</v>
      </c>
      <c r="C1290">
        <v>4</v>
      </c>
      <c r="D1290">
        <v>1.67E-2</v>
      </c>
      <c r="E1290">
        <v>6.6721645226153337</v>
      </c>
      <c r="F1290">
        <v>669.84573350774906</v>
      </c>
      <c r="G1290">
        <v>0.42399999999999999</v>
      </c>
      <c r="H1290">
        <v>1.0500000000000001E-2</v>
      </c>
      <c r="I1290">
        <v>257.99939999999998</v>
      </c>
    </row>
    <row r="1291" spans="1:9" x14ac:dyDescent="0.3">
      <c r="A1291" t="s">
        <v>9</v>
      </c>
      <c r="B1291" t="s">
        <v>1416</v>
      </c>
      <c r="C1291">
        <v>4</v>
      </c>
      <c r="D1291">
        <v>1.49E-2</v>
      </c>
      <c r="E1291">
        <v>6.4620560675165679</v>
      </c>
      <c r="F1291">
        <v>650.26362549254418</v>
      </c>
      <c r="G1291">
        <v>0.42399999999999999</v>
      </c>
      <c r="H1291">
        <v>7.1999999999999998E-3</v>
      </c>
      <c r="I1291">
        <v>258.20060000000001</v>
      </c>
    </row>
    <row r="1292" spans="1:9" x14ac:dyDescent="0.3">
      <c r="A1292" t="s">
        <v>9</v>
      </c>
      <c r="B1292" t="s">
        <v>1417</v>
      </c>
      <c r="C1292">
        <v>4</v>
      </c>
      <c r="D1292">
        <v>1.17E-2</v>
      </c>
      <c r="E1292">
        <v>6.2753551144365574</v>
      </c>
      <c r="F1292">
        <v>632.86309666548721</v>
      </c>
      <c r="G1292">
        <v>0.42399999999999999</v>
      </c>
      <c r="H1292">
        <v>4.3E-3</v>
      </c>
      <c r="I1292">
        <v>258.39879999999999</v>
      </c>
    </row>
    <row r="1293" spans="1:9" x14ac:dyDescent="0.3">
      <c r="A1293" t="s">
        <v>9</v>
      </c>
      <c r="B1293" t="s">
        <v>1418</v>
      </c>
      <c r="C1293">
        <v>4</v>
      </c>
      <c r="D1293">
        <v>7.6E-3</v>
      </c>
      <c r="E1293">
        <v>6.1260292792229496</v>
      </c>
      <c r="F1293">
        <v>618.94592882357904</v>
      </c>
      <c r="G1293">
        <v>0.42399999999999999</v>
      </c>
      <c r="H1293">
        <v>2E-3</v>
      </c>
      <c r="I1293">
        <v>258.59800000000001</v>
      </c>
    </row>
    <row r="1294" spans="1:9" x14ac:dyDescent="0.3">
      <c r="A1294" t="s">
        <v>9</v>
      </c>
      <c r="B1294" t="s">
        <v>1419</v>
      </c>
      <c r="C1294">
        <v>4</v>
      </c>
      <c r="D1294">
        <v>3.5000000000000001E-3</v>
      </c>
      <c r="E1294">
        <v>6.0294929541251676</v>
      </c>
      <c r="F1294">
        <v>609.94874332446568</v>
      </c>
      <c r="G1294">
        <v>0.42399999999999999</v>
      </c>
      <c r="H1294">
        <v>5.0000000000000001E-4</v>
      </c>
      <c r="I1294">
        <v>258.79790000000003</v>
      </c>
    </row>
    <row r="1295" spans="1:9" x14ac:dyDescent="0.3">
      <c r="A1295" t="s">
        <v>9</v>
      </c>
      <c r="B1295" t="s">
        <v>1420</v>
      </c>
      <c r="C1295">
        <v>4</v>
      </c>
      <c r="D1295">
        <v>1.4E-3</v>
      </c>
      <c r="E1295">
        <v>5.9957351352873811</v>
      </c>
      <c r="F1295">
        <v>606.80251460878389</v>
      </c>
      <c r="G1295">
        <v>0.42399999999999999</v>
      </c>
      <c r="H1295">
        <v>0</v>
      </c>
      <c r="I1295">
        <v>258.99860000000001</v>
      </c>
    </row>
    <row r="1296" spans="1:9" x14ac:dyDescent="0.3">
      <c r="A1296" t="s">
        <v>9</v>
      </c>
      <c r="B1296" t="s">
        <v>1421</v>
      </c>
      <c r="C1296">
        <v>4</v>
      </c>
      <c r="D1296">
        <v>5.0000000000000001E-4</v>
      </c>
      <c r="E1296">
        <v>6.028665080166725</v>
      </c>
      <c r="F1296">
        <v>712.12031610782219</v>
      </c>
      <c r="G1296">
        <v>0.42399999999999999</v>
      </c>
      <c r="H1296">
        <v>5.0000000000000001E-4</v>
      </c>
      <c r="I1296">
        <v>259.19959999999998</v>
      </c>
    </row>
    <row r="1297" spans="1:9" x14ac:dyDescent="0.3">
      <c r="A1297" t="s">
        <v>9</v>
      </c>
      <c r="B1297" t="s">
        <v>1422</v>
      </c>
      <c r="C1297">
        <v>4</v>
      </c>
      <c r="D1297">
        <v>4.0000000000000002E-4</v>
      </c>
      <c r="E1297">
        <v>6.1239986817071363</v>
      </c>
      <c r="F1297">
        <v>721.16747489400723</v>
      </c>
      <c r="G1297">
        <v>0.42399999999999999</v>
      </c>
      <c r="H1297">
        <v>2E-3</v>
      </c>
      <c r="I1297">
        <v>259.39870000000002</v>
      </c>
    </row>
    <row r="1298" spans="1:9" x14ac:dyDescent="0.3">
      <c r="A1298" t="s">
        <v>9</v>
      </c>
      <c r="B1298" t="s">
        <v>1423</v>
      </c>
      <c r="C1298">
        <v>4</v>
      </c>
      <c r="D1298">
        <v>6.9999999999999999E-4</v>
      </c>
      <c r="E1298">
        <v>6.2746472030541982</v>
      </c>
      <c r="F1298">
        <v>735.46401956984346</v>
      </c>
      <c r="G1298">
        <v>0.42399999999999999</v>
      </c>
      <c r="H1298">
        <v>4.3E-3</v>
      </c>
      <c r="I1298">
        <v>259.60039999999998</v>
      </c>
    </row>
    <row r="1299" spans="1:9" x14ac:dyDescent="0.3">
      <c r="A1299" t="s">
        <v>9</v>
      </c>
      <c r="B1299" t="s">
        <v>1424</v>
      </c>
      <c r="C1299">
        <v>4</v>
      </c>
      <c r="D1299">
        <v>1.9E-3</v>
      </c>
      <c r="E1299">
        <v>6.4618131905373399</v>
      </c>
      <c r="F1299">
        <v>753.2260717819936</v>
      </c>
      <c r="G1299">
        <v>0.42399999999999999</v>
      </c>
      <c r="H1299">
        <v>7.1999999999999998E-3</v>
      </c>
      <c r="I1299">
        <v>259.79910000000001</v>
      </c>
    </row>
    <row r="1300" spans="1:9" x14ac:dyDescent="0.3">
      <c r="A1300" t="s">
        <v>9</v>
      </c>
      <c r="B1300" t="s">
        <v>1425</v>
      </c>
      <c r="C1300">
        <v>4</v>
      </c>
      <c r="D1300">
        <v>5.0000000000000001E-3</v>
      </c>
      <c r="E1300">
        <v>6.6697434567673053</v>
      </c>
      <c r="F1300">
        <v>772.95865404721735</v>
      </c>
      <c r="G1300">
        <v>0.42399999999999999</v>
      </c>
      <c r="H1300">
        <v>1.0500000000000001E-2</v>
      </c>
      <c r="I1300">
        <v>259.99829999999997</v>
      </c>
    </row>
    <row r="1301" spans="1:9" x14ac:dyDescent="0.3">
      <c r="A1301" t="s">
        <v>9</v>
      </c>
      <c r="B1301" t="s">
        <v>1426</v>
      </c>
      <c r="C1301">
        <v>4</v>
      </c>
      <c r="D1301">
        <v>8.5000000000000006E-3</v>
      </c>
      <c r="E1301">
        <v>6.8787295688301766</v>
      </c>
      <c r="F1301">
        <v>792.79143608198376</v>
      </c>
      <c r="G1301">
        <v>0.42399999999999999</v>
      </c>
      <c r="H1301">
        <v>1.37E-2</v>
      </c>
      <c r="I1301">
        <v>260.19839999999999</v>
      </c>
    </row>
    <row r="1302" spans="1:9" x14ac:dyDescent="0.3">
      <c r="A1302" t="s">
        <v>9</v>
      </c>
      <c r="B1302" t="s">
        <v>1427</v>
      </c>
      <c r="C1302">
        <v>4</v>
      </c>
      <c r="D1302">
        <v>1.0999999999999999E-2</v>
      </c>
      <c r="E1302">
        <v>7.0678196366631161</v>
      </c>
      <c r="F1302">
        <v>810.73608351932978</v>
      </c>
      <c r="G1302">
        <v>0.42399999999999999</v>
      </c>
      <c r="H1302">
        <v>1.67E-2</v>
      </c>
      <c r="I1302">
        <v>260.39890000000003</v>
      </c>
    </row>
    <row r="1303" spans="1:9" x14ac:dyDescent="0.3">
      <c r="A1303" t="s">
        <v>9</v>
      </c>
      <c r="B1303" t="s">
        <v>1428</v>
      </c>
      <c r="C1303">
        <v>4</v>
      </c>
      <c r="D1303">
        <v>1.37E-2</v>
      </c>
      <c r="E1303">
        <v>7.2170227358807084</v>
      </c>
      <c r="F1303">
        <v>824.89545763507931</v>
      </c>
      <c r="G1303">
        <v>0.42399999999999999</v>
      </c>
      <c r="H1303">
        <v>1.9E-2</v>
      </c>
      <c r="I1303">
        <v>260.59809999999999</v>
      </c>
    </row>
    <row r="1304" spans="1:9" x14ac:dyDescent="0.3">
      <c r="A1304" t="s">
        <v>9</v>
      </c>
      <c r="B1304" t="s">
        <v>1429</v>
      </c>
      <c r="C1304">
        <v>4</v>
      </c>
      <c r="D1304">
        <v>1.5599999999999999E-2</v>
      </c>
      <c r="E1304">
        <v>7.3136095177586187</v>
      </c>
      <c r="F1304">
        <v>834.0615432352929</v>
      </c>
      <c r="G1304">
        <v>0.42399999999999999</v>
      </c>
      <c r="H1304">
        <v>2.0500000000000001E-2</v>
      </c>
      <c r="I1304">
        <v>260.79809999999998</v>
      </c>
    </row>
    <row r="1305" spans="1:9" x14ac:dyDescent="0.3">
      <c r="A1305" t="s">
        <v>9</v>
      </c>
      <c r="B1305" t="s">
        <v>1430</v>
      </c>
      <c r="C1305">
        <v>4</v>
      </c>
      <c r="D1305">
        <v>1.7100000000000001E-2</v>
      </c>
      <c r="E1305">
        <v>7.3472980550192837</v>
      </c>
      <c r="F1305">
        <v>837.25858542133005</v>
      </c>
      <c r="G1305">
        <v>0.42399999999999999</v>
      </c>
      <c r="H1305">
        <v>2.1000000000000001E-2</v>
      </c>
      <c r="I1305">
        <v>260.99759999999998</v>
      </c>
    </row>
    <row r="1306" spans="1:9" x14ac:dyDescent="0.3">
      <c r="A1306" t="s">
        <v>9</v>
      </c>
      <c r="B1306" t="s">
        <v>1431</v>
      </c>
      <c r="C1306">
        <v>4</v>
      </c>
      <c r="D1306">
        <v>1.78E-2</v>
      </c>
      <c r="E1306">
        <v>7.3148571512562537</v>
      </c>
      <c r="F1306">
        <v>729.74468649708285</v>
      </c>
      <c r="G1306">
        <v>0.42399999999999999</v>
      </c>
      <c r="H1306">
        <v>2.0500000000000001E-2</v>
      </c>
      <c r="I1306">
        <v>261.19810000000001</v>
      </c>
    </row>
    <row r="1307" spans="1:9" x14ac:dyDescent="0.3">
      <c r="A1307" t="s">
        <v>9</v>
      </c>
      <c r="B1307" t="s">
        <v>1432</v>
      </c>
      <c r="C1307">
        <v>4</v>
      </c>
      <c r="D1307">
        <v>1.78E-2</v>
      </c>
      <c r="E1307">
        <v>7.2182229293005991</v>
      </c>
      <c r="F1307">
        <v>720.73837701081584</v>
      </c>
      <c r="G1307">
        <v>0.42399999999999999</v>
      </c>
      <c r="H1307">
        <v>1.9E-2</v>
      </c>
      <c r="I1307">
        <v>261.39999999999998</v>
      </c>
    </row>
    <row r="1308" spans="1:9" x14ac:dyDescent="0.3">
      <c r="A1308" t="s">
        <v>9</v>
      </c>
      <c r="B1308" t="s">
        <v>1433</v>
      </c>
      <c r="C1308">
        <v>4</v>
      </c>
      <c r="D1308">
        <v>1.78E-2</v>
      </c>
      <c r="E1308">
        <v>7.0695351834062086</v>
      </c>
      <c r="F1308">
        <v>706.88067909345875</v>
      </c>
      <c r="G1308">
        <v>0.42399999999999999</v>
      </c>
      <c r="H1308">
        <v>1.67E-2</v>
      </c>
      <c r="I1308">
        <v>261.59910000000002</v>
      </c>
    </row>
    <row r="1309" spans="1:9" x14ac:dyDescent="0.3">
      <c r="A1309" t="s">
        <v>9</v>
      </c>
      <c r="B1309" t="s">
        <v>1434</v>
      </c>
      <c r="C1309">
        <v>4</v>
      </c>
      <c r="D1309">
        <v>1.7299999999999999E-2</v>
      </c>
      <c r="E1309">
        <v>6.8816096275671619</v>
      </c>
      <c r="F1309">
        <v>689.3660172892595</v>
      </c>
      <c r="G1309">
        <v>0.42399999999999999</v>
      </c>
      <c r="H1309">
        <v>1.38E-2</v>
      </c>
      <c r="I1309">
        <v>261.7987</v>
      </c>
    </row>
    <row r="1310" spans="1:9" x14ac:dyDescent="0.3">
      <c r="A1310" t="s">
        <v>9</v>
      </c>
      <c r="B1310" t="s">
        <v>1435</v>
      </c>
      <c r="C1310">
        <v>4</v>
      </c>
      <c r="D1310">
        <v>1.6400000000000001E-2</v>
      </c>
      <c r="E1310">
        <v>6.6729977650065084</v>
      </c>
      <c r="F1310">
        <v>669.92339169860657</v>
      </c>
      <c r="G1310">
        <v>0.42399999999999999</v>
      </c>
      <c r="H1310">
        <v>1.0500000000000001E-2</v>
      </c>
      <c r="I1310">
        <v>261.99860000000001</v>
      </c>
    </row>
    <row r="1311" spans="1:9" x14ac:dyDescent="0.3">
      <c r="A1311" t="s">
        <v>9</v>
      </c>
      <c r="B1311" t="s">
        <v>1436</v>
      </c>
      <c r="C1311">
        <v>4</v>
      </c>
      <c r="D1311">
        <v>1.44E-2</v>
      </c>
      <c r="E1311">
        <v>6.4635940180711762</v>
      </c>
      <c r="F1311">
        <v>650.40696248423365</v>
      </c>
      <c r="G1311">
        <v>0.42399999999999999</v>
      </c>
      <c r="H1311">
        <v>7.3000000000000001E-3</v>
      </c>
      <c r="I1311">
        <v>262.19909999999999</v>
      </c>
    </row>
    <row r="1312" spans="1:9" x14ac:dyDescent="0.3">
      <c r="A1312" t="s">
        <v>9</v>
      </c>
      <c r="B1312" t="s">
        <v>1437</v>
      </c>
      <c r="C1312">
        <v>4</v>
      </c>
      <c r="D1312">
        <v>1.14E-2</v>
      </c>
      <c r="E1312">
        <v>6.2760808665319159</v>
      </c>
      <c r="F1312">
        <v>632.93073676077461</v>
      </c>
      <c r="G1312">
        <v>0.42399999999999999</v>
      </c>
      <c r="H1312">
        <v>4.4000000000000003E-3</v>
      </c>
      <c r="I1312">
        <v>262.39789999999999</v>
      </c>
    </row>
    <row r="1313" spans="1:9" x14ac:dyDescent="0.3">
      <c r="A1313" t="s">
        <v>9</v>
      </c>
      <c r="B1313" t="s">
        <v>1438</v>
      </c>
      <c r="C1313">
        <v>4</v>
      </c>
      <c r="D1313">
        <v>7.1999999999999998E-3</v>
      </c>
      <c r="E1313">
        <v>6.1250742334184904</v>
      </c>
      <c r="F1313">
        <v>618.85691855460323</v>
      </c>
      <c r="G1313">
        <v>0.42399999999999999</v>
      </c>
      <c r="H1313">
        <v>2E-3</v>
      </c>
      <c r="I1313">
        <v>262.59949999999998</v>
      </c>
    </row>
    <row r="1314" spans="1:9" x14ac:dyDescent="0.3">
      <c r="A1314" t="s">
        <v>9</v>
      </c>
      <c r="B1314" t="s">
        <v>1439</v>
      </c>
      <c r="C1314">
        <v>4</v>
      </c>
      <c r="D1314">
        <v>3.5000000000000001E-3</v>
      </c>
      <c r="E1314">
        <v>6.029040087899241</v>
      </c>
      <c r="F1314">
        <v>609.90653619220927</v>
      </c>
      <c r="G1314">
        <v>0.42399999999999999</v>
      </c>
      <c r="H1314">
        <v>5.0000000000000001E-4</v>
      </c>
      <c r="I1314">
        <v>262.79930000000002</v>
      </c>
    </row>
    <row r="1315" spans="1:9" x14ac:dyDescent="0.3">
      <c r="A1315" t="s">
        <v>9</v>
      </c>
      <c r="B1315" t="s">
        <v>1440</v>
      </c>
      <c r="C1315">
        <v>4</v>
      </c>
      <c r="D1315">
        <v>1.4E-3</v>
      </c>
      <c r="E1315">
        <v>5.9957346519285384</v>
      </c>
      <c r="F1315">
        <v>606.80246955973985</v>
      </c>
      <c r="G1315">
        <v>0.42399999999999999</v>
      </c>
      <c r="H1315">
        <v>0</v>
      </c>
      <c r="I1315">
        <v>262.99880000000002</v>
      </c>
    </row>
    <row r="1316" spans="1:9" x14ac:dyDescent="0.3">
      <c r="A1316" t="s">
        <v>9</v>
      </c>
      <c r="B1316" t="s">
        <v>1441</v>
      </c>
      <c r="C1316">
        <v>4</v>
      </c>
      <c r="D1316">
        <v>1.1999999999999999E-3</v>
      </c>
      <c r="E1316">
        <v>6.0286878838417017</v>
      </c>
      <c r="F1316">
        <v>712.12248017657748</v>
      </c>
      <c r="G1316">
        <v>0.42399999999999999</v>
      </c>
      <c r="H1316">
        <v>5.0000000000000001E-4</v>
      </c>
      <c r="I1316">
        <v>263.19959999999998</v>
      </c>
    </row>
    <row r="1317" spans="1:9" x14ac:dyDescent="0.3">
      <c r="A1317" t="s">
        <v>9</v>
      </c>
      <c r="B1317" t="s">
        <v>1442</v>
      </c>
      <c r="C1317">
        <v>4</v>
      </c>
      <c r="D1317">
        <v>1.2999999999999999E-3</v>
      </c>
      <c r="E1317">
        <v>6.1240782756153553</v>
      </c>
      <c r="F1317">
        <v>721.17502835589721</v>
      </c>
      <c r="G1317">
        <v>0.42399999999999999</v>
      </c>
      <c r="H1317">
        <v>2E-3</v>
      </c>
      <c r="I1317">
        <v>263.39879999999999</v>
      </c>
    </row>
    <row r="1318" spans="1:9" x14ac:dyDescent="0.3">
      <c r="A1318" t="s">
        <v>9</v>
      </c>
      <c r="B1318" t="s">
        <v>1443</v>
      </c>
      <c r="C1318">
        <v>4</v>
      </c>
      <c r="D1318">
        <v>1.5E-3</v>
      </c>
      <c r="E1318">
        <v>6.275124482673978</v>
      </c>
      <c r="F1318">
        <v>735.50931340576051</v>
      </c>
      <c r="G1318">
        <v>0.42399999999999999</v>
      </c>
      <c r="H1318">
        <v>4.3E-3</v>
      </c>
      <c r="I1318">
        <v>263.601</v>
      </c>
    </row>
    <row r="1319" spans="1:9" x14ac:dyDescent="0.3">
      <c r="A1319" t="s">
        <v>9</v>
      </c>
      <c r="B1319" t="s">
        <v>1444</v>
      </c>
      <c r="C1319">
        <v>4</v>
      </c>
      <c r="D1319">
        <v>2.8999999999999998E-3</v>
      </c>
      <c r="E1319">
        <v>6.4630012198347302</v>
      </c>
      <c r="F1319">
        <v>753.3388157623159</v>
      </c>
      <c r="G1319">
        <v>0.42399999999999999</v>
      </c>
      <c r="H1319">
        <v>7.3000000000000001E-3</v>
      </c>
      <c r="I1319">
        <v>263.80029999999999</v>
      </c>
    </row>
    <row r="1320" spans="1:9" x14ac:dyDescent="0.3">
      <c r="A1320" t="s">
        <v>9</v>
      </c>
      <c r="B1320" t="s">
        <v>1445</v>
      </c>
      <c r="C1320">
        <v>4</v>
      </c>
      <c r="D1320">
        <v>5.4000000000000003E-3</v>
      </c>
      <c r="E1320">
        <v>6.6701679846425161</v>
      </c>
      <c r="F1320">
        <v>772.99894174257486</v>
      </c>
      <c r="G1320">
        <v>0.42399999999999999</v>
      </c>
      <c r="H1320">
        <v>1.0500000000000001E-2</v>
      </c>
      <c r="I1320">
        <v>263.99869999999999</v>
      </c>
    </row>
    <row r="1321" spans="1:9" x14ac:dyDescent="0.3">
      <c r="A1321" t="s">
        <v>9</v>
      </c>
      <c r="B1321" t="s">
        <v>1446</v>
      </c>
      <c r="C1321">
        <v>4</v>
      </c>
      <c r="D1321">
        <v>8.3999999999999995E-3</v>
      </c>
      <c r="E1321">
        <v>6.8802521114962856</v>
      </c>
      <c r="F1321">
        <v>792.93592538099767</v>
      </c>
      <c r="G1321">
        <v>0.42399999999999999</v>
      </c>
      <c r="H1321">
        <v>1.37E-2</v>
      </c>
      <c r="I1321">
        <v>264.19990000000001</v>
      </c>
    </row>
    <row r="1322" spans="1:9" x14ac:dyDescent="0.3">
      <c r="A1322" t="s">
        <v>9</v>
      </c>
      <c r="B1322" t="s">
        <v>1447</v>
      </c>
      <c r="C1322">
        <v>4</v>
      </c>
      <c r="D1322">
        <v>1.1299999999999999E-2</v>
      </c>
      <c r="E1322">
        <v>7.0686642322352897</v>
      </c>
      <c r="F1322">
        <v>810.81623563912899</v>
      </c>
      <c r="G1322">
        <v>0.42399999999999999</v>
      </c>
      <c r="H1322">
        <v>1.67E-2</v>
      </c>
      <c r="I1322">
        <v>264.3999</v>
      </c>
    </row>
    <row r="1323" spans="1:9" x14ac:dyDescent="0.3">
      <c r="A1323" t="s">
        <v>9</v>
      </c>
      <c r="B1323" t="s">
        <v>1448</v>
      </c>
      <c r="C1323">
        <v>4</v>
      </c>
      <c r="D1323">
        <v>1.3599999999999999E-2</v>
      </c>
      <c r="E1323">
        <v>7.2173702243134272</v>
      </c>
      <c r="F1323">
        <v>824.92843428734432</v>
      </c>
      <c r="G1323">
        <v>0.42399999999999999</v>
      </c>
      <c r="H1323">
        <v>1.9E-2</v>
      </c>
      <c r="I1323">
        <v>264.59859999999998</v>
      </c>
    </row>
    <row r="1324" spans="1:9" x14ac:dyDescent="0.3">
      <c r="A1324" t="s">
        <v>9</v>
      </c>
      <c r="B1324" t="s">
        <v>1449</v>
      </c>
      <c r="C1324">
        <v>4</v>
      </c>
      <c r="D1324">
        <v>1.54E-2</v>
      </c>
      <c r="E1324">
        <v>7.3141066248980726</v>
      </c>
      <c r="F1324">
        <v>834.1087187028271</v>
      </c>
      <c r="G1324">
        <v>0.42399999999999999</v>
      </c>
      <c r="H1324">
        <v>2.0500000000000001E-2</v>
      </c>
      <c r="I1324">
        <v>264.7996</v>
      </c>
    </row>
    <row r="1325" spans="1:9" x14ac:dyDescent="0.3">
      <c r="A1325" t="s">
        <v>9</v>
      </c>
      <c r="B1325" t="s">
        <v>1450</v>
      </c>
      <c r="C1325">
        <v>4</v>
      </c>
      <c r="D1325">
        <v>1.7100000000000001E-2</v>
      </c>
      <c r="E1325">
        <v>7.3473025151975344</v>
      </c>
      <c r="F1325">
        <v>837.25900869224608</v>
      </c>
      <c r="G1325">
        <v>0.42399999999999999</v>
      </c>
      <c r="H1325">
        <v>2.1000000000000001E-2</v>
      </c>
      <c r="I1325">
        <v>264.99990000000003</v>
      </c>
    </row>
    <row r="1326" spans="1:9" x14ac:dyDescent="0.3">
      <c r="A1326" t="s">
        <v>9</v>
      </c>
      <c r="B1326" t="s">
        <v>1451</v>
      </c>
      <c r="C1326">
        <v>4</v>
      </c>
      <c r="D1326">
        <v>1.78E-2</v>
      </c>
      <c r="E1326">
        <v>7.3147902485825096</v>
      </c>
      <c r="F1326">
        <v>729.73845116789005</v>
      </c>
      <c r="G1326">
        <v>0.42399999999999999</v>
      </c>
      <c r="H1326">
        <v>2.0500000000000001E-2</v>
      </c>
      <c r="I1326">
        <v>265.19830000000002</v>
      </c>
    </row>
    <row r="1327" spans="1:9" x14ac:dyDescent="0.3">
      <c r="A1327" t="s">
        <v>9</v>
      </c>
      <c r="B1327" t="s">
        <v>1452</v>
      </c>
      <c r="C1327">
        <v>4</v>
      </c>
      <c r="D1327">
        <v>1.78E-2</v>
      </c>
      <c r="E1327">
        <v>7.219111721184519</v>
      </c>
      <c r="F1327">
        <v>720.82121241439722</v>
      </c>
      <c r="G1327">
        <v>0.42399999999999999</v>
      </c>
      <c r="H1327">
        <v>1.9E-2</v>
      </c>
      <c r="I1327">
        <v>265.39859999999999</v>
      </c>
    </row>
    <row r="1328" spans="1:9" x14ac:dyDescent="0.3">
      <c r="A1328" t="s">
        <v>9</v>
      </c>
      <c r="B1328" t="s">
        <v>1453</v>
      </c>
      <c r="C1328">
        <v>4</v>
      </c>
      <c r="D1328">
        <v>1.78E-2</v>
      </c>
      <c r="E1328">
        <v>7.0688584527245224</v>
      </c>
      <c r="F1328">
        <v>706.8176077939255</v>
      </c>
      <c r="G1328">
        <v>0.42399999999999999</v>
      </c>
      <c r="H1328">
        <v>1.67E-2</v>
      </c>
      <c r="I1328">
        <v>265.59989999999999</v>
      </c>
    </row>
    <row r="1329" spans="1:9" x14ac:dyDescent="0.3">
      <c r="A1329" t="s">
        <v>9</v>
      </c>
      <c r="B1329" t="s">
        <v>1454</v>
      </c>
      <c r="C1329">
        <v>4</v>
      </c>
      <c r="D1329">
        <v>1.7399999999999999E-2</v>
      </c>
      <c r="E1329">
        <v>6.8815001504646727</v>
      </c>
      <c r="F1329">
        <v>689.35581402330752</v>
      </c>
      <c r="G1329">
        <v>0.42399999999999999</v>
      </c>
      <c r="H1329">
        <v>1.38E-2</v>
      </c>
      <c r="I1329">
        <v>265.7989</v>
      </c>
    </row>
    <row r="1330" spans="1:9" x14ac:dyDescent="0.3">
      <c r="A1330" t="s">
        <v>9</v>
      </c>
      <c r="B1330" t="s">
        <v>1455</v>
      </c>
      <c r="C1330">
        <v>4</v>
      </c>
      <c r="D1330">
        <v>1.67E-2</v>
      </c>
      <c r="E1330">
        <v>6.6702843547477562</v>
      </c>
      <c r="F1330">
        <v>669.67050186249094</v>
      </c>
      <c r="G1330">
        <v>0.42399999999999999</v>
      </c>
      <c r="H1330">
        <v>1.0500000000000001E-2</v>
      </c>
      <c r="I1330">
        <v>266.00119999999998</v>
      </c>
    </row>
    <row r="1331" spans="1:9" x14ac:dyDescent="0.3">
      <c r="A1331" t="s">
        <v>9</v>
      </c>
      <c r="B1331" t="s">
        <v>1456</v>
      </c>
      <c r="C1331">
        <v>4</v>
      </c>
      <c r="D1331">
        <v>1.4800000000000001E-2</v>
      </c>
      <c r="E1331">
        <v>6.4647013586893252</v>
      </c>
      <c r="F1331">
        <v>650.51016662984512</v>
      </c>
      <c r="G1331">
        <v>0.42399999999999999</v>
      </c>
      <c r="H1331">
        <v>7.3000000000000001E-3</v>
      </c>
      <c r="I1331">
        <v>266.19799999999998</v>
      </c>
    </row>
    <row r="1332" spans="1:9" x14ac:dyDescent="0.3">
      <c r="A1332" t="s">
        <v>9</v>
      </c>
      <c r="B1332" t="s">
        <v>1457</v>
      </c>
      <c r="C1332">
        <v>4</v>
      </c>
      <c r="D1332">
        <v>1.1599999999999999E-2</v>
      </c>
      <c r="E1332">
        <v>6.2742003742877372</v>
      </c>
      <c r="F1332">
        <v>632.75547488361713</v>
      </c>
      <c r="G1332">
        <v>0.42399999999999999</v>
      </c>
      <c r="H1332">
        <v>4.3E-3</v>
      </c>
      <c r="I1332">
        <v>266.40010000000001</v>
      </c>
    </row>
    <row r="1333" spans="1:9" x14ac:dyDescent="0.3">
      <c r="A1333" t="s">
        <v>9</v>
      </c>
      <c r="B1333" t="s">
        <v>1458</v>
      </c>
      <c r="C1333">
        <v>4</v>
      </c>
      <c r="D1333">
        <v>7.6E-3</v>
      </c>
      <c r="E1333">
        <v>6.1258934059746393</v>
      </c>
      <c r="F1333">
        <v>618.93326543683645</v>
      </c>
      <c r="G1333">
        <v>0.42399999999999999</v>
      </c>
      <c r="H1333">
        <v>2E-3</v>
      </c>
      <c r="I1333">
        <v>266.59820000000002</v>
      </c>
    </row>
    <row r="1334" spans="1:9" x14ac:dyDescent="0.3">
      <c r="A1334" t="s">
        <v>9</v>
      </c>
      <c r="B1334" t="s">
        <v>1459</v>
      </c>
      <c r="C1334">
        <v>4</v>
      </c>
      <c r="D1334">
        <v>3.3999999999999998E-3</v>
      </c>
      <c r="E1334">
        <v>6.0291515436989913</v>
      </c>
      <c r="F1334">
        <v>609.916923872746</v>
      </c>
      <c r="G1334">
        <v>0.42399999999999999</v>
      </c>
      <c r="H1334">
        <v>5.0000000000000001E-4</v>
      </c>
      <c r="I1334">
        <v>266.79899999999998</v>
      </c>
    </row>
    <row r="1335" spans="1:9" x14ac:dyDescent="0.3">
      <c r="A1335" t="s">
        <v>9</v>
      </c>
      <c r="B1335" t="s">
        <v>1460</v>
      </c>
      <c r="C1335">
        <v>4</v>
      </c>
      <c r="D1335">
        <v>1.8E-3</v>
      </c>
      <c r="E1335">
        <v>5.9957336046511944</v>
      </c>
      <c r="F1335">
        <v>606.80237195349127</v>
      </c>
      <c r="G1335">
        <v>0.42399999999999999</v>
      </c>
      <c r="H1335">
        <v>0</v>
      </c>
      <c r="I1335">
        <v>267.00040000000001</v>
      </c>
    </row>
    <row r="1336" spans="1:9" x14ac:dyDescent="0.3">
      <c r="A1336" t="s">
        <v>9</v>
      </c>
      <c r="B1336" t="s">
        <v>1461</v>
      </c>
      <c r="C1336">
        <v>4</v>
      </c>
      <c r="D1336">
        <v>5.0000000000000001E-4</v>
      </c>
      <c r="E1336">
        <v>6.0289976310570133</v>
      </c>
      <c r="F1336">
        <v>712.15187518731057</v>
      </c>
      <c r="G1336">
        <v>0.42399999999999999</v>
      </c>
      <c r="H1336">
        <v>5.0000000000000001E-4</v>
      </c>
      <c r="I1336">
        <v>267.20060000000001</v>
      </c>
    </row>
    <row r="1337" spans="1:9" x14ac:dyDescent="0.3">
      <c r="A1337" t="s">
        <v>9</v>
      </c>
      <c r="B1337" t="s">
        <v>1462</v>
      </c>
      <c r="C1337">
        <v>4</v>
      </c>
      <c r="D1337">
        <v>5.0000000000000001E-4</v>
      </c>
      <c r="E1337">
        <v>6.1239402533720666</v>
      </c>
      <c r="F1337">
        <v>721.16193004500929</v>
      </c>
      <c r="G1337">
        <v>0.42399999999999999</v>
      </c>
      <c r="H1337">
        <v>2E-3</v>
      </c>
      <c r="I1337">
        <v>267.39859999999999</v>
      </c>
    </row>
    <row r="1338" spans="1:9" x14ac:dyDescent="0.3">
      <c r="A1338" t="s">
        <v>9</v>
      </c>
      <c r="B1338" t="s">
        <v>1463</v>
      </c>
      <c r="C1338">
        <v>4</v>
      </c>
      <c r="D1338">
        <v>6.9999999999999999E-4</v>
      </c>
      <c r="E1338">
        <v>6.2734157478394854</v>
      </c>
      <c r="F1338">
        <v>735.34715446996711</v>
      </c>
      <c r="G1338">
        <v>0.42399999999999999</v>
      </c>
      <c r="H1338">
        <v>4.3E-3</v>
      </c>
      <c r="I1338">
        <v>267.59899999999999</v>
      </c>
    </row>
    <row r="1339" spans="1:9" x14ac:dyDescent="0.3">
      <c r="A1339" t="s">
        <v>9</v>
      </c>
      <c r="B1339" t="s">
        <v>1464</v>
      </c>
      <c r="C1339">
        <v>4</v>
      </c>
      <c r="D1339">
        <v>1.9E-3</v>
      </c>
      <c r="E1339">
        <v>6.4611105097276544</v>
      </c>
      <c r="F1339">
        <v>753.15938737315446</v>
      </c>
      <c r="G1339">
        <v>0.42399999999999999</v>
      </c>
      <c r="H1339">
        <v>7.1999999999999998E-3</v>
      </c>
      <c r="I1339">
        <v>267.79840000000002</v>
      </c>
    </row>
    <row r="1340" spans="1:9" x14ac:dyDescent="0.3">
      <c r="A1340" t="s">
        <v>9</v>
      </c>
      <c r="B1340" t="s">
        <v>1465</v>
      </c>
      <c r="C1340">
        <v>4</v>
      </c>
      <c r="D1340">
        <v>5.1000000000000004E-3</v>
      </c>
      <c r="E1340">
        <v>6.670303817343755</v>
      </c>
      <c r="F1340">
        <v>773.01183226592241</v>
      </c>
      <c r="G1340">
        <v>0.42399999999999999</v>
      </c>
      <c r="H1340">
        <v>1.0500000000000001E-2</v>
      </c>
      <c r="I1340">
        <v>267.99880000000002</v>
      </c>
    </row>
    <row r="1341" spans="1:9" x14ac:dyDescent="0.3">
      <c r="A1341" t="s">
        <v>9</v>
      </c>
      <c r="B1341" t="s">
        <v>1466</v>
      </c>
      <c r="C1341">
        <v>4</v>
      </c>
      <c r="D1341">
        <v>8.2000000000000007E-3</v>
      </c>
      <c r="E1341">
        <v>6.8787725487296711</v>
      </c>
      <c r="F1341">
        <v>792.79551487444587</v>
      </c>
      <c r="G1341">
        <v>0.42399999999999999</v>
      </c>
      <c r="H1341">
        <v>1.37E-2</v>
      </c>
      <c r="I1341">
        <v>268.19839999999999</v>
      </c>
    </row>
    <row r="1342" spans="1:9" x14ac:dyDescent="0.3">
      <c r="A1342" t="s">
        <v>9</v>
      </c>
      <c r="B1342" t="s">
        <v>1467</v>
      </c>
      <c r="C1342">
        <v>4</v>
      </c>
      <c r="D1342">
        <v>1.12E-2</v>
      </c>
      <c r="E1342">
        <v>7.0702573268118938</v>
      </c>
      <c r="F1342">
        <v>810.96742031444876</v>
      </c>
      <c r="G1342">
        <v>0.42399999999999999</v>
      </c>
      <c r="H1342">
        <v>1.67E-2</v>
      </c>
      <c r="I1342">
        <v>268.40179999999998</v>
      </c>
    </row>
    <row r="1343" spans="1:9" x14ac:dyDescent="0.3">
      <c r="A1343" t="s">
        <v>9</v>
      </c>
      <c r="B1343" t="s">
        <v>1468</v>
      </c>
      <c r="C1343">
        <v>4</v>
      </c>
      <c r="D1343">
        <v>1.35E-2</v>
      </c>
      <c r="E1343">
        <v>7.2181544047438564</v>
      </c>
      <c r="F1343">
        <v>825.00285301019198</v>
      </c>
      <c r="G1343">
        <v>0.42399999999999999</v>
      </c>
      <c r="H1343">
        <v>1.9E-2</v>
      </c>
      <c r="I1343">
        <v>268.59989999999999</v>
      </c>
    </row>
    <row r="1344" spans="1:9" x14ac:dyDescent="0.3">
      <c r="A1344" t="s">
        <v>9</v>
      </c>
      <c r="B1344" t="s">
        <v>1469</v>
      </c>
      <c r="C1344">
        <v>4</v>
      </c>
      <c r="D1344">
        <v>1.5599999999999999E-2</v>
      </c>
      <c r="E1344">
        <v>7.313803332777101</v>
      </c>
      <c r="F1344">
        <v>834.07993628054692</v>
      </c>
      <c r="G1344">
        <v>0.42399999999999999</v>
      </c>
      <c r="H1344">
        <v>2.0500000000000001E-2</v>
      </c>
      <c r="I1344">
        <v>268.7987</v>
      </c>
    </row>
    <row r="1345" spans="1:9" x14ac:dyDescent="0.3">
      <c r="A1345" t="s">
        <v>9</v>
      </c>
      <c r="B1345" t="s">
        <v>1470</v>
      </c>
      <c r="C1345">
        <v>4</v>
      </c>
      <c r="D1345">
        <v>1.7000000000000001E-2</v>
      </c>
      <c r="E1345">
        <v>7.3473000823730326</v>
      </c>
      <c r="F1345">
        <v>837.25877781720089</v>
      </c>
      <c r="G1345">
        <v>0.42399999999999999</v>
      </c>
      <c r="H1345">
        <v>2.1000000000000001E-2</v>
      </c>
      <c r="I1345">
        <v>268.99829999999997</v>
      </c>
    </row>
    <row r="1346" spans="1:9" x14ac:dyDescent="0.3">
      <c r="A1346" t="s">
        <v>9</v>
      </c>
      <c r="B1346" t="s">
        <v>1471</v>
      </c>
      <c r="C1346">
        <v>4</v>
      </c>
      <c r="D1346">
        <v>1.7999999999999999E-2</v>
      </c>
      <c r="E1346">
        <v>7.3145903515027788</v>
      </c>
      <c r="F1346">
        <v>729.71982076005895</v>
      </c>
      <c r="G1346">
        <v>0.42399999999999999</v>
      </c>
      <c r="H1346">
        <v>2.0500000000000001E-2</v>
      </c>
      <c r="I1346">
        <v>269.19889999999998</v>
      </c>
    </row>
    <row r="1347" spans="1:9" x14ac:dyDescent="0.3">
      <c r="A1347" t="s">
        <v>9</v>
      </c>
      <c r="B1347" t="s">
        <v>1472</v>
      </c>
      <c r="C1347">
        <v>4</v>
      </c>
      <c r="D1347">
        <v>1.8100000000000002E-2</v>
      </c>
      <c r="E1347">
        <v>7.2187176036155547</v>
      </c>
      <c r="F1347">
        <v>720.78448065696966</v>
      </c>
      <c r="G1347">
        <v>0.42399999999999999</v>
      </c>
      <c r="H1347">
        <v>1.9E-2</v>
      </c>
      <c r="I1347">
        <v>269.39920000000001</v>
      </c>
    </row>
    <row r="1348" spans="1:9" x14ac:dyDescent="0.3">
      <c r="A1348" t="s">
        <v>9</v>
      </c>
      <c r="B1348" t="s">
        <v>1473</v>
      </c>
      <c r="C1348">
        <v>4</v>
      </c>
      <c r="D1348">
        <v>1.7999999999999999E-2</v>
      </c>
      <c r="E1348">
        <v>7.0696657449876996</v>
      </c>
      <c r="F1348">
        <v>706.89284743285361</v>
      </c>
      <c r="G1348">
        <v>0.42399999999999999</v>
      </c>
      <c r="H1348">
        <v>1.67E-2</v>
      </c>
      <c r="I1348">
        <v>269.59890000000001</v>
      </c>
    </row>
    <row r="1349" spans="1:9" x14ac:dyDescent="0.3">
      <c r="A1349" t="s">
        <v>9</v>
      </c>
      <c r="B1349" t="s">
        <v>1474</v>
      </c>
      <c r="C1349">
        <v>4</v>
      </c>
      <c r="D1349">
        <v>1.7899999999999999E-2</v>
      </c>
      <c r="E1349">
        <v>6.8808416659667317</v>
      </c>
      <c r="F1349">
        <v>689.29444326809937</v>
      </c>
      <c r="G1349">
        <v>0.42399999999999999</v>
      </c>
      <c r="H1349">
        <v>1.38E-2</v>
      </c>
      <c r="I1349">
        <v>269.79950000000002</v>
      </c>
    </row>
    <row r="1350" spans="1:9" x14ac:dyDescent="0.3">
      <c r="A1350" t="s">
        <v>9</v>
      </c>
      <c r="B1350" t="s">
        <v>1475</v>
      </c>
      <c r="C1350">
        <v>4</v>
      </c>
      <c r="D1350">
        <v>1.72E-2</v>
      </c>
      <c r="E1350">
        <v>6.6725821574877946</v>
      </c>
      <c r="F1350">
        <v>669.88465707786258</v>
      </c>
      <c r="G1350">
        <v>0.42399999999999999</v>
      </c>
      <c r="H1350">
        <v>1.0500000000000001E-2</v>
      </c>
      <c r="I1350">
        <v>269.99900000000002</v>
      </c>
    </row>
    <row r="1351" spans="1:9" x14ac:dyDescent="0.3">
      <c r="A1351" t="s">
        <v>9</v>
      </c>
      <c r="B1351" t="s">
        <v>1476</v>
      </c>
      <c r="C1351">
        <v>4</v>
      </c>
      <c r="D1351">
        <v>1.5100000000000001E-2</v>
      </c>
      <c r="E1351">
        <v>6.4645132202613418</v>
      </c>
      <c r="F1351">
        <v>650.49263212835706</v>
      </c>
      <c r="G1351">
        <v>0.42399999999999999</v>
      </c>
      <c r="H1351">
        <v>7.3000000000000001E-3</v>
      </c>
      <c r="I1351">
        <v>270.19819999999999</v>
      </c>
    </row>
    <row r="1352" spans="1:9" x14ac:dyDescent="0.3">
      <c r="A1352" t="s">
        <v>9</v>
      </c>
      <c r="B1352" t="s">
        <v>1477</v>
      </c>
      <c r="C1352">
        <v>4</v>
      </c>
      <c r="D1352">
        <v>1.1599999999999999E-2</v>
      </c>
      <c r="E1352">
        <v>6.2745910859024034</v>
      </c>
      <c r="F1352">
        <v>632.79188920610397</v>
      </c>
      <c r="G1352">
        <v>0.42399999999999999</v>
      </c>
      <c r="H1352">
        <v>4.3E-3</v>
      </c>
      <c r="I1352">
        <v>270.3997</v>
      </c>
    </row>
    <row r="1353" spans="1:9" x14ac:dyDescent="0.3">
      <c r="A1353" t="s">
        <v>9</v>
      </c>
      <c r="B1353" t="s">
        <v>1478</v>
      </c>
      <c r="C1353">
        <v>4</v>
      </c>
      <c r="D1353">
        <v>7.7999999999999996E-3</v>
      </c>
      <c r="E1353">
        <v>6.1244298187555728</v>
      </c>
      <c r="F1353">
        <v>618.79685910801936</v>
      </c>
      <c r="G1353">
        <v>0.42399999999999999</v>
      </c>
      <c r="H1353">
        <v>2E-3</v>
      </c>
      <c r="I1353">
        <v>270.60059999999999</v>
      </c>
    </row>
    <row r="1354" spans="1:9" x14ac:dyDescent="0.3">
      <c r="A1354" t="s">
        <v>9</v>
      </c>
      <c r="B1354" t="s">
        <v>1479</v>
      </c>
      <c r="C1354">
        <v>4</v>
      </c>
      <c r="D1354">
        <v>3.7000000000000002E-3</v>
      </c>
      <c r="E1354">
        <v>6.029070980715681</v>
      </c>
      <c r="F1354">
        <v>609.90941540270148</v>
      </c>
      <c r="G1354">
        <v>0.42399999999999999</v>
      </c>
      <c r="H1354">
        <v>5.0000000000000001E-4</v>
      </c>
      <c r="I1354">
        <v>270.79919999999998</v>
      </c>
    </row>
    <row r="1355" spans="1:9" x14ac:dyDescent="0.3">
      <c r="A1355" t="s">
        <v>9</v>
      </c>
      <c r="B1355" t="s">
        <v>1480</v>
      </c>
      <c r="C1355">
        <v>4</v>
      </c>
      <c r="D1355">
        <v>1.5E-3</v>
      </c>
      <c r="E1355">
        <v>5.995735618646223</v>
      </c>
      <c r="F1355">
        <v>606.80255965782794</v>
      </c>
      <c r="G1355">
        <v>0.42399999999999999</v>
      </c>
      <c r="H1355">
        <v>0</v>
      </c>
      <c r="I1355">
        <v>270.9984</v>
      </c>
    </row>
    <row r="1356" spans="1:9" x14ac:dyDescent="0.3">
      <c r="A1356" t="s">
        <v>9</v>
      </c>
      <c r="B1356" t="s">
        <v>1481</v>
      </c>
      <c r="C1356">
        <v>4</v>
      </c>
      <c r="D1356">
        <v>8.0000000000000004E-4</v>
      </c>
      <c r="E1356">
        <v>6.0291485229419042</v>
      </c>
      <c r="F1356">
        <v>712.1661948271867</v>
      </c>
      <c r="G1356">
        <v>0.42399999999999999</v>
      </c>
      <c r="H1356">
        <v>5.0000000000000001E-4</v>
      </c>
      <c r="I1356">
        <v>271.20100000000002</v>
      </c>
    </row>
    <row r="1357" spans="1:9" x14ac:dyDescent="0.3">
      <c r="A1357" t="s">
        <v>9</v>
      </c>
      <c r="B1357" t="s">
        <v>1482</v>
      </c>
      <c r="C1357">
        <v>4</v>
      </c>
      <c r="D1357">
        <v>8.9999999999999998E-4</v>
      </c>
      <c r="E1357">
        <v>6.1245159407428647</v>
      </c>
      <c r="F1357">
        <v>721.21656277649788</v>
      </c>
      <c r="G1357">
        <v>0.42399999999999999</v>
      </c>
      <c r="H1357">
        <v>2E-3</v>
      </c>
      <c r="I1357">
        <v>271.39949999999999</v>
      </c>
    </row>
    <row r="1358" spans="1:9" x14ac:dyDescent="0.3">
      <c r="A1358" t="s">
        <v>9</v>
      </c>
      <c r="B1358" t="s">
        <v>1483</v>
      </c>
      <c r="C1358">
        <v>4</v>
      </c>
      <c r="D1358">
        <v>1.1999999999999999E-3</v>
      </c>
      <c r="E1358">
        <v>6.2742091324559377</v>
      </c>
      <c r="F1358">
        <v>735.42244667006855</v>
      </c>
      <c r="G1358">
        <v>0.42399999999999999</v>
      </c>
      <c r="H1358">
        <v>4.3E-3</v>
      </c>
      <c r="I1358">
        <v>271.59989999999999</v>
      </c>
    </row>
    <row r="1359" spans="1:9" x14ac:dyDescent="0.3">
      <c r="A1359" t="s">
        <v>9</v>
      </c>
      <c r="B1359" t="s">
        <v>1484</v>
      </c>
      <c r="C1359">
        <v>4</v>
      </c>
      <c r="D1359">
        <v>2.3E-3</v>
      </c>
      <c r="E1359">
        <v>6.4632007114437133</v>
      </c>
      <c r="F1359">
        <v>753.35774751600843</v>
      </c>
      <c r="G1359">
        <v>0.42399999999999999</v>
      </c>
      <c r="H1359">
        <v>7.3000000000000001E-3</v>
      </c>
      <c r="I1359">
        <v>271.8005</v>
      </c>
    </row>
    <row r="1360" spans="1:9" x14ac:dyDescent="0.3">
      <c r="A1360" t="s">
        <v>9</v>
      </c>
      <c r="B1360" t="s">
        <v>1485</v>
      </c>
      <c r="C1360">
        <v>4</v>
      </c>
      <c r="D1360">
        <v>4.7000000000000002E-3</v>
      </c>
      <c r="E1360">
        <v>6.6699652492675359</v>
      </c>
      <c r="F1360">
        <v>772.97970215548924</v>
      </c>
      <c r="G1360">
        <v>0.42399999999999999</v>
      </c>
      <c r="H1360">
        <v>1.0500000000000001E-2</v>
      </c>
      <c r="I1360">
        <v>271.99849999999998</v>
      </c>
    </row>
    <row r="1361" spans="1:9" x14ac:dyDescent="0.3">
      <c r="A1361" t="s">
        <v>9</v>
      </c>
      <c r="B1361" t="s">
        <v>1486</v>
      </c>
      <c r="C1361">
        <v>4</v>
      </c>
      <c r="D1361">
        <v>8.3999999999999995E-3</v>
      </c>
      <c r="E1361">
        <v>6.8804909337680158</v>
      </c>
      <c r="F1361">
        <v>792.95858961458475</v>
      </c>
      <c r="G1361">
        <v>0.42399999999999999</v>
      </c>
      <c r="H1361">
        <v>1.37E-2</v>
      </c>
      <c r="I1361">
        <v>272.20010000000002</v>
      </c>
    </row>
    <row r="1362" spans="1:9" x14ac:dyDescent="0.3">
      <c r="A1362" t="s">
        <v>9</v>
      </c>
      <c r="B1362" t="s">
        <v>1487</v>
      </c>
      <c r="C1362">
        <v>4</v>
      </c>
      <c r="D1362">
        <v>1.12E-2</v>
      </c>
      <c r="E1362">
        <v>7.0690506458600044</v>
      </c>
      <c r="F1362">
        <v>810.85290629211443</v>
      </c>
      <c r="G1362">
        <v>0.42399999999999999</v>
      </c>
      <c r="H1362">
        <v>1.67E-2</v>
      </c>
      <c r="I1362">
        <v>272.40039999999999</v>
      </c>
    </row>
    <row r="1363" spans="1:9" x14ac:dyDescent="0.3">
      <c r="A1363" t="s">
        <v>9</v>
      </c>
      <c r="B1363" t="s">
        <v>1488</v>
      </c>
      <c r="C1363">
        <v>4</v>
      </c>
      <c r="D1363">
        <v>1.34E-2</v>
      </c>
      <c r="E1363">
        <v>7.2177006829746482</v>
      </c>
      <c r="F1363">
        <v>824.95979481429413</v>
      </c>
      <c r="G1363">
        <v>0.42399999999999999</v>
      </c>
      <c r="H1363">
        <v>1.9E-2</v>
      </c>
      <c r="I1363">
        <v>272.59910000000002</v>
      </c>
    </row>
    <row r="1364" spans="1:9" x14ac:dyDescent="0.3">
      <c r="A1364" t="s">
        <v>9</v>
      </c>
      <c r="B1364" t="s">
        <v>1489</v>
      </c>
      <c r="C1364">
        <v>4</v>
      </c>
      <c r="D1364">
        <v>1.5599999999999999E-2</v>
      </c>
      <c r="E1364">
        <v>7.3138455017350958</v>
      </c>
      <c r="F1364">
        <v>834.08393811466067</v>
      </c>
      <c r="G1364">
        <v>0.42399999999999999</v>
      </c>
      <c r="H1364">
        <v>2.0500000000000001E-2</v>
      </c>
      <c r="I1364">
        <v>272.79880000000003</v>
      </c>
    </row>
    <row r="1365" spans="1:9" x14ac:dyDescent="0.3">
      <c r="A1365" t="s">
        <v>9</v>
      </c>
      <c r="B1365" t="s">
        <v>1490</v>
      </c>
      <c r="C1365">
        <v>4</v>
      </c>
      <c r="D1365">
        <v>1.7000000000000001E-2</v>
      </c>
      <c r="E1365">
        <v>7.3473025151975344</v>
      </c>
      <c r="F1365">
        <v>837.25900869224608</v>
      </c>
      <c r="G1365">
        <v>0.42399999999999999</v>
      </c>
      <c r="H1365">
        <v>2.1000000000000001E-2</v>
      </c>
      <c r="I1365">
        <v>273.00009999999997</v>
      </c>
    </row>
    <row r="1366" spans="1:9" x14ac:dyDescent="0.3">
      <c r="A1366" t="s">
        <v>9</v>
      </c>
      <c r="B1366" t="s">
        <v>1491</v>
      </c>
      <c r="C1366">
        <v>4</v>
      </c>
      <c r="D1366">
        <v>1.7999999999999999E-2</v>
      </c>
      <c r="E1366">
        <v>7.3144026185455457</v>
      </c>
      <c r="F1366">
        <v>729.70232404844489</v>
      </c>
      <c r="G1366">
        <v>0.42399999999999999</v>
      </c>
      <c r="H1366">
        <v>2.0500000000000001E-2</v>
      </c>
      <c r="I1366">
        <v>273.1995</v>
      </c>
    </row>
    <row r="1367" spans="1:9" x14ac:dyDescent="0.3">
      <c r="A1367" t="s">
        <v>9</v>
      </c>
      <c r="B1367" t="s">
        <v>1492</v>
      </c>
      <c r="C1367">
        <v>4</v>
      </c>
      <c r="D1367">
        <v>1.7999999999999999E-2</v>
      </c>
      <c r="E1367">
        <v>7.2177408245788932</v>
      </c>
      <c r="F1367">
        <v>720.69344485075283</v>
      </c>
      <c r="G1367">
        <v>0.42399999999999999</v>
      </c>
      <c r="H1367">
        <v>1.9E-2</v>
      </c>
      <c r="I1367">
        <v>273.4008</v>
      </c>
    </row>
    <row r="1368" spans="1:9" x14ac:dyDescent="0.3">
      <c r="A1368" t="s">
        <v>9</v>
      </c>
      <c r="B1368" t="s">
        <v>1493</v>
      </c>
      <c r="C1368">
        <v>4</v>
      </c>
      <c r="D1368">
        <v>1.7999999999999999E-2</v>
      </c>
      <c r="E1368">
        <v>7.0691722870849931</v>
      </c>
      <c r="F1368">
        <v>706.84685715632133</v>
      </c>
      <c r="G1368">
        <v>0.42399999999999999</v>
      </c>
      <c r="H1368">
        <v>1.67E-2</v>
      </c>
      <c r="I1368">
        <v>273.59949999999998</v>
      </c>
    </row>
    <row r="1369" spans="1:9" x14ac:dyDescent="0.3">
      <c r="A1369" t="s">
        <v>9</v>
      </c>
      <c r="B1369" t="s">
        <v>1494</v>
      </c>
      <c r="C1369">
        <v>4</v>
      </c>
      <c r="D1369">
        <v>1.7600000000000001E-2</v>
      </c>
      <c r="E1369">
        <v>6.8811242790794571</v>
      </c>
      <c r="F1369">
        <v>689.3207828102054</v>
      </c>
      <c r="G1369">
        <v>0.42399999999999999</v>
      </c>
      <c r="H1369">
        <v>1.38E-2</v>
      </c>
      <c r="I1369">
        <v>273.79919999999998</v>
      </c>
    </row>
    <row r="1370" spans="1:9" x14ac:dyDescent="0.3">
      <c r="A1370" t="s">
        <v>9</v>
      </c>
      <c r="B1370" t="s">
        <v>1495</v>
      </c>
      <c r="C1370">
        <v>4</v>
      </c>
      <c r="D1370">
        <v>1.6899999999999998E-2</v>
      </c>
      <c r="E1370">
        <v>6.6731680627214924</v>
      </c>
      <c r="F1370">
        <v>669.93926344564306</v>
      </c>
      <c r="G1370">
        <v>0.42399999999999999</v>
      </c>
      <c r="H1370">
        <v>1.0500000000000001E-2</v>
      </c>
      <c r="I1370">
        <v>273.9984</v>
      </c>
    </row>
    <row r="1371" spans="1:9" x14ac:dyDescent="0.3">
      <c r="A1371" t="s">
        <v>9</v>
      </c>
      <c r="B1371" t="s">
        <v>1496</v>
      </c>
      <c r="C1371">
        <v>4</v>
      </c>
      <c r="D1371">
        <v>1.5299999999999999E-2</v>
      </c>
      <c r="E1371">
        <v>6.4640501726648836</v>
      </c>
      <c r="F1371">
        <v>650.44947609236726</v>
      </c>
      <c r="G1371">
        <v>0.42399999999999999</v>
      </c>
      <c r="H1371">
        <v>7.3000000000000001E-3</v>
      </c>
      <c r="I1371">
        <v>274.1986</v>
      </c>
    </row>
    <row r="1372" spans="1:9" x14ac:dyDescent="0.3">
      <c r="A1372" t="s">
        <v>9</v>
      </c>
      <c r="B1372" t="s">
        <v>1497</v>
      </c>
      <c r="C1372">
        <v>4</v>
      </c>
      <c r="D1372">
        <v>1.1900000000000001E-2</v>
      </c>
      <c r="E1372">
        <v>6.2736472310906386</v>
      </c>
      <c r="F1372">
        <v>632.70392193764758</v>
      </c>
      <c r="G1372">
        <v>0.42399999999999999</v>
      </c>
      <c r="H1372">
        <v>4.3E-3</v>
      </c>
      <c r="I1372">
        <v>274.4008</v>
      </c>
    </row>
    <row r="1373" spans="1:9" x14ac:dyDescent="0.3">
      <c r="A1373" t="s">
        <v>9</v>
      </c>
      <c r="B1373" t="s">
        <v>1498</v>
      </c>
      <c r="C1373">
        <v>4</v>
      </c>
      <c r="D1373">
        <v>7.7999999999999996E-3</v>
      </c>
      <c r="E1373">
        <v>6.1257575327263254</v>
      </c>
      <c r="F1373">
        <v>618.92060205009352</v>
      </c>
      <c r="G1373">
        <v>0.42399999999999999</v>
      </c>
      <c r="H1373">
        <v>2E-3</v>
      </c>
      <c r="I1373">
        <v>274.59840000000003</v>
      </c>
    </row>
    <row r="1374" spans="1:9" x14ac:dyDescent="0.3">
      <c r="A1374" t="s">
        <v>9</v>
      </c>
      <c r="B1374" t="s">
        <v>1499</v>
      </c>
      <c r="C1374">
        <v>4</v>
      </c>
      <c r="D1374">
        <v>3.5999999999999999E-3</v>
      </c>
      <c r="E1374">
        <v>6.028659079199624</v>
      </c>
      <c r="F1374">
        <v>609.871026181405</v>
      </c>
      <c r="G1374">
        <v>0.42399999999999999</v>
      </c>
      <c r="H1374">
        <v>5.0000000000000001E-4</v>
      </c>
      <c r="I1374">
        <v>274.80040000000002</v>
      </c>
    </row>
    <row r="1375" spans="1:9" x14ac:dyDescent="0.3">
      <c r="A1375" t="s">
        <v>9</v>
      </c>
      <c r="B1375" t="s">
        <v>1500</v>
      </c>
      <c r="C1375">
        <v>4</v>
      </c>
      <c r="D1375">
        <v>1.6000000000000001E-3</v>
      </c>
      <c r="E1375">
        <v>5.9957335240914063</v>
      </c>
      <c r="F1375">
        <v>606.80236444531909</v>
      </c>
      <c r="G1375">
        <v>0.42399999999999999</v>
      </c>
      <c r="H1375">
        <v>0</v>
      </c>
      <c r="I1375">
        <v>275.00020000000001</v>
      </c>
    </row>
    <row r="1376" spans="1:9" x14ac:dyDescent="0.3">
      <c r="A1376" t="s">
        <v>9</v>
      </c>
      <c r="B1376" t="s">
        <v>1501</v>
      </c>
      <c r="C1376">
        <v>4</v>
      </c>
      <c r="D1376">
        <v>2.9999999999999997E-4</v>
      </c>
      <c r="E1376">
        <v>6.0291842935714657</v>
      </c>
      <c r="F1376">
        <v>712.16958945993213</v>
      </c>
      <c r="G1376">
        <v>0.42399999999999999</v>
      </c>
      <c r="H1376">
        <v>5.0000000000000001E-4</v>
      </c>
      <c r="I1376">
        <v>275.2011</v>
      </c>
    </row>
    <row r="1377" spans="1:9" x14ac:dyDescent="0.3">
      <c r="A1377" t="s">
        <v>9</v>
      </c>
      <c r="B1377" t="s">
        <v>1502</v>
      </c>
      <c r="C1377">
        <v>4</v>
      </c>
      <c r="D1377">
        <v>4.0000000000000002E-4</v>
      </c>
      <c r="E1377">
        <v>6.1257366104356272</v>
      </c>
      <c r="F1377">
        <v>721.33240433034109</v>
      </c>
      <c r="G1377">
        <v>0.42399999999999999</v>
      </c>
      <c r="H1377">
        <v>2E-3</v>
      </c>
      <c r="I1377">
        <v>275.4015</v>
      </c>
    </row>
    <row r="1378" spans="1:9" x14ac:dyDescent="0.3">
      <c r="A1378" t="s">
        <v>9</v>
      </c>
      <c r="B1378" t="s">
        <v>1503</v>
      </c>
      <c r="C1378">
        <v>4</v>
      </c>
      <c r="D1378">
        <v>5.9999999999999995E-4</v>
      </c>
      <c r="E1378">
        <v>6.2732352728086767</v>
      </c>
      <c r="F1378">
        <v>735.33002738954349</v>
      </c>
      <c r="G1378">
        <v>0.42399999999999999</v>
      </c>
      <c r="H1378">
        <v>4.3E-3</v>
      </c>
      <c r="I1378">
        <v>275.59879999999998</v>
      </c>
    </row>
    <row r="1379" spans="1:9" x14ac:dyDescent="0.3">
      <c r="A1379" t="s">
        <v>9</v>
      </c>
      <c r="B1379" t="s">
        <v>1504</v>
      </c>
      <c r="C1379">
        <v>4</v>
      </c>
      <c r="D1379">
        <v>2E-3</v>
      </c>
      <c r="E1379">
        <v>6.4619765952495731</v>
      </c>
      <c r="F1379">
        <v>753.24157888918455</v>
      </c>
      <c r="G1379">
        <v>0.42399999999999999</v>
      </c>
      <c r="H1379">
        <v>7.1999999999999998E-3</v>
      </c>
      <c r="I1379">
        <v>275.79930000000002</v>
      </c>
    </row>
    <row r="1380" spans="1:9" x14ac:dyDescent="0.3">
      <c r="A1380" t="s">
        <v>9</v>
      </c>
      <c r="B1380" t="s">
        <v>1505</v>
      </c>
      <c r="C1380">
        <v>4</v>
      </c>
      <c r="D1380">
        <v>5.0000000000000001E-3</v>
      </c>
      <c r="E1380">
        <v>6.6704311351592427</v>
      </c>
      <c r="F1380">
        <v>773.02391472661213</v>
      </c>
      <c r="G1380">
        <v>0.42399999999999999</v>
      </c>
      <c r="H1380">
        <v>1.0500000000000001E-2</v>
      </c>
      <c r="I1380">
        <v>275.99900000000002</v>
      </c>
    </row>
    <row r="1381" spans="1:9" x14ac:dyDescent="0.3">
      <c r="A1381" t="s">
        <v>9</v>
      </c>
      <c r="B1381" t="s">
        <v>1506</v>
      </c>
      <c r="C1381">
        <v>4</v>
      </c>
      <c r="D1381">
        <v>8.3000000000000001E-3</v>
      </c>
      <c r="E1381">
        <v>6.8801491219257969</v>
      </c>
      <c r="F1381">
        <v>792.92615167075814</v>
      </c>
      <c r="G1381">
        <v>0.42399999999999999</v>
      </c>
      <c r="H1381">
        <v>1.37E-2</v>
      </c>
      <c r="I1381">
        <v>276.19979999999998</v>
      </c>
    </row>
    <row r="1382" spans="1:9" x14ac:dyDescent="0.3">
      <c r="A1382" t="s">
        <v>9</v>
      </c>
      <c r="B1382" t="s">
        <v>1507</v>
      </c>
      <c r="C1382">
        <v>4</v>
      </c>
      <c r="D1382">
        <v>1.12E-2</v>
      </c>
      <c r="E1382">
        <v>7.0674741755841497</v>
      </c>
      <c r="F1382">
        <v>810.70329926293584</v>
      </c>
      <c r="G1382">
        <v>0.42399999999999999</v>
      </c>
      <c r="H1382">
        <v>1.67E-2</v>
      </c>
      <c r="I1382">
        <v>276.39850000000001</v>
      </c>
    </row>
    <row r="1383" spans="1:9" x14ac:dyDescent="0.3">
      <c r="A1383" t="s">
        <v>9</v>
      </c>
      <c r="B1383" t="s">
        <v>1508</v>
      </c>
      <c r="C1383">
        <v>4</v>
      </c>
      <c r="D1383">
        <v>1.37E-2</v>
      </c>
      <c r="E1383">
        <v>7.2182659092000954</v>
      </c>
      <c r="F1383">
        <v>825.01343478308911</v>
      </c>
      <c r="G1383">
        <v>0.42399999999999999</v>
      </c>
      <c r="H1383">
        <v>1.9E-2</v>
      </c>
      <c r="I1383">
        <v>276.60000000000002</v>
      </c>
    </row>
    <row r="1384" spans="1:9" x14ac:dyDescent="0.3">
      <c r="A1384" t="s">
        <v>9</v>
      </c>
      <c r="B1384" t="s">
        <v>1509</v>
      </c>
      <c r="C1384">
        <v>4</v>
      </c>
      <c r="D1384">
        <v>1.5800000000000002E-2</v>
      </c>
      <c r="E1384">
        <v>7.3141240601403226</v>
      </c>
      <c r="F1384">
        <v>834.11037330731665</v>
      </c>
      <c r="G1384">
        <v>0.42399999999999999</v>
      </c>
      <c r="H1384">
        <v>2.0500000000000001E-2</v>
      </c>
      <c r="I1384">
        <v>276.79969999999997</v>
      </c>
    </row>
    <row r="1385" spans="1:9" x14ac:dyDescent="0.3">
      <c r="A1385" t="s">
        <v>9</v>
      </c>
      <c r="B1385" t="s">
        <v>1510</v>
      </c>
      <c r="C1385">
        <v>4</v>
      </c>
      <c r="D1385">
        <v>1.7000000000000001E-2</v>
      </c>
      <c r="E1385">
        <v>7.3473025151975344</v>
      </c>
      <c r="F1385">
        <v>837.25900869224608</v>
      </c>
      <c r="G1385">
        <v>0.42399999999999999</v>
      </c>
      <c r="H1385">
        <v>2.1000000000000001E-2</v>
      </c>
      <c r="I1385">
        <v>277.00009999999997</v>
      </c>
    </row>
    <row r="1386" spans="1:9" x14ac:dyDescent="0.3">
      <c r="A1386" t="s">
        <v>9</v>
      </c>
      <c r="B1386" t="s">
        <v>1511</v>
      </c>
      <c r="C1386">
        <v>4</v>
      </c>
      <c r="D1386">
        <v>1.7999999999999999E-2</v>
      </c>
      <c r="E1386">
        <v>7.314201505053564</v>
      </c>
      <c r="F1386">
        <v>729.68358027099214</v>
      </c>
      <c r="G1386">
        <v>0.42399999999999999</v>
      </c>
      <c r="H1386">
        <v>2.0500000000000001E-2</v>
      </c>
      <c r="I1386">
        <v>277.20010000000002</v>
      </c>
    </row>
    <row r="1387" spans="1:9" x14ac:dyDescent="0.3">
      <c r="A1387" t="s">
        <v>9</v>
      </c>
      <c r="B1387" t="s">
        <v>1512</v>
      </c>
      <c r="C1387">
        <v>4</v>
      </c>
      <c r="D1387">
        <v>1.8200000000000001E-2</v>
      </c>
      <c r="E1387">
        <v>7.217587556635408</v>
      </c>
      <c r="F1387">
        <v>720.67916027842</v>
      </c>
      <c r="G1387">
        <v>0.42399999999999999</v>
      </c>
      <c r="H1387">
        <v>1.9E-2</v>
      </c>
      <c r="I1387">
        <v>277.40100000000001</v>
      </c>
    </row>
    <row r="1388" spans="1:9" x14ac:dyDescent="0.3">
      <c r="A1388" t="s">
        <v>9</v>
      </c>
      <c r="B1388" t="s">
        <v>1513</v>
      </c>
      <c r="C1388">
        <v>4</v>
      </c>
      <c r="D1388">
        <v>1.8100000000000002E-2</v>
      </c>
      <c r="E1388">
        <v>7.0693794826382232</v>
      </c>
      <c r="F1388">
        <v>706.86616778188238</v>
      </c>
      <c r="G1388">
        <v>0.42399999999999999</v>
      </c>
      <c r="H1388">
        <v>1.67E-2</v>
      </c>
      <c r="I1388">
        <v>277.5992</v>
      </c>
    </row>
    <row r="1389" spans="1:9" x14ac:dyDescent="0.3">
      <c r="A1389" t="s">
        <v>9</v>
      </c>
      <c r="B1389" t="s">
        <v>1514</v>
      </c>
      <c r="C1389">
        <v>4</v>
      </c>
      <c r="D1389">
        <v>1.78E-2</v>
      </c>
      <c r="E1389">
        <v>6.8787388946574248</v>
      </c>
      <c r="F1389">
        <v>689.09846498207196</v>
      </c>
      <c r="G1389">
        <v>0.42399999999999999</v>
      </c>
      <c r="H1389">
        <v>1.37E-2</v>
      </c>
      <c r="I1389">
        <v>277.80160000000001</v>
      </c>
    </row>
    <row r="1390" spans="1:9" x14ac:dyDescent="0.3">
      <c r="A1390" t="s">
        <v>9</v>
      </c>
      <c r="B1390" t="s">
        <v>1515</v>
      </c>
      <c r="C1390">
        <v>4</v>
      </c>
      <c r="D1390">
        <v>1.7000000000000001E-2</v>
      </c>
      <c r="E1390">
        <v>6.6698152250900504</v>
      </c>
      <c r="F1390">
        <v>669.62677897839274</v>
      </c>
      <c r="G1390">
        <v>0.42399999999999999</v>
      </c>
      <c r="H1390">
        <v>1.0500000000000001E-2</v>
      </c>
      <c r="I1390">
        <v>278.0016</v>
      </c>
    </row>
    <row r="1391" spans="1:9" x14ac:dyDescent="0.3">
      <c r="A1391" t="s">
        <v>9</v>
      </c>
      <c r="B1391" t="s">
        <v>1516</v>
      </c>
      <c r="C1391">
        <v>4</v>
      </c>
      <c r="D1391">
        <v>1.52E-2</v>
      </c>
      <c r="E1391">
        <v>6.4631557041904664</v>
      </c>
      <c r="F1391">
        <v>650.36611163055147</v>
      </c>
      <c r="G1391">
        <v>0.42399999999999999</v>
      </c>
      <c r="H1391">
        <v>7.3000000000000001E-3</v>
      </c>
      <c r="I1391">
        <v>278.1995</v>
      </c>
    </row>
    <row r="1392" spans="1:9" x14ac:dyDescent="0.3">
      <c r="A1392" t="s">
        <v>9</v>
      </c>
      <c r="B1392" t="s">
        <v>1517</v>
      </c>
      <c r="C1392">
        <v>4</v>
      </c>
      <c r="D1392">
        <v>1.23E-2</v>
      </c>
      <c r="E1392">
        <v>6.2743212856653772</v>
      </c>
      <c r="F1392">
        <v>632.76674382401313</v>
      </c>
      <c r="G1392">
        <v>0.42399999999999999</v>
      </c>
      <c r="H1392">
        <v>4.3E-3</v>
      </c>
      <c r="I1392">
        <v>278.39999999999998</v>
      </c>
    </row>
    <row r="1393" spans="1:9" x14ac:dyDescent="0.3">
      <c r="A1393" t="s">
        <v>9</v>
      </c>
      <c r="B1393" t="s">
        <v>1518</v>
      </c>
      <c r="C1393">
        <v>4</v>
      </c>
      <c r="D1393">
        <v>8.2000000000000007E-3</v>
      </c>
      <c r="E1393">
        <v>6.1245731121186093</v>
      </c>
      <c r="F1393">
        <v>618.81021404945443</v>
      </c>
      <c r="G1393">
        <v>0.42399999999999999</v>
      </c>
      <c r="H1393">
        <v>2E-3</v>
      </c>
      <c r="I1393">
        <v>278.6003</v>
      </c>
    </row>
    <row r="1394" spans="1:9" x14ac:dyDescent="0.3">
      <c r="A1394" t="s">
        <v>9</v>
      </c>
      <c r="B1394" t="s">
        <v>1519</v>
      </c>
      <c r="C1394">
        <v>4</v>
      </c>
      <c r="D1394">
        <v>3.7000000000000002E-3</v>
      </c>
      <c r="E1394">
        <v>6.0285409777342824</v>
      </c>
      <c r="F1394">
        <v>609.86001912483516</v>
      </c>
      <c r="G1394">
        <v>0.42399999999999999</v>
      </c>
      <c r="H1394">
        <v>5.0000000000000001E-4</v>
      </c>
      <c r="I1394">
        <v>278.80079999999998</v>
      </c>
    </row>
    <row r="1395" spans="1:9" x14ac:dyDescent="0.3">
      <c r="A1395" t="s">
        <v>9</v>
      </c>
      <c r="B1395" t="s">
        <v>1520</v>
      </c>
      <c r="C1395">
        <v>4</v>
      </c>
      <c r="D1395">
        <v>1.8E-3</v>
      </c>
      <c r="E1395">
        <v>5.9957363839641529</v>
      </c>
      <c r="F1395">
        <v>606.80263098545902</v>
      </c>
      <c r="G1395">
        <v>0.42399999999999999</v>
      </c>
      <c r="H1395">
        <v>0</v>
      </c>
      <c r="I1395">
        <v>279.00189999999998</v>
      </c>
    </row>
    <row r="1396" spans="1:9" x14ac:dyDescent="0.3">
      <c r="A1396" t="s">
        <v>9</v>
      </c>
      <c r="B1396" t="s">
        <v>1521</v>
      </c>
      <c r="C1396">
        <v>4</v>
      </c>
      <c r="D1396">
        <v>2.9999999999999997E-4</v>
      </c>
      <c r="E1396">
        <v>6.0288747369274072</v>
      </c>
      <c r="F1396">
        <v>712.14021253441092</v>
      </c>
      <c r="G1396">
        <v>0.42399999999999999</v>
      </c>
      <c r="H1396">
        <v>5.0000000000000001E-4</v>
      </c>
      <c r="I1396">
        <v>279.2002</v>
      </c>
    </row>
    <row r="1397" spans="1:9" x14ac:dyDescent="0.3">
      <c r="A1397" t="s">
        <v>9</v>
      </c>
      <c r="B1397" t="s">
        <v>1522</v>
      </c>
      <c r="C1397">
        <v>4</v>
      </c>
      <c r="D1397">
        <v>2.9999999999999997E-4</v>
      </c>
      <c r="E1397">
        <v>6.1241669926154474</v>
      </c>
      <c r="F1397">
        <v>721.18344759920592</v>
      </c>
      <c r="G1397">
        <v>0.42399999999999999</v>
      </c>
      <c r="H1397">
        <v>2E-3</v>
      </c>
      <c r="I1397">
        <v>279.399</v>
      </c>
    </row>
    <row r="1398" spans="1:9" x14ac:dyDescent="0.3">
      <c r="A1398" t="s">
        <v>9</v>
      </c>
      <c r="B1398" t="s">
        <v>1523</v>
      </c>
      <c r="C1398">
        <v>4</v>
      </c>
      <c r="D1398">
        <v>5.9999999999999995E-4</v>
      </c>
      <c r="E1398">
        <v>6.2736116307587908</v>
      </c>
      <c r="F1398">
        <v>735.36574375900932</v>
      </c>
      <c r="G1398">
        <v>0.42399999999999999</v>
      </c>
      <c r="H1398">
        <v>4.3E-3</v>
      </c>
      <c r="I1398">
        <v>279.5992</v>
      </c>
    </row>
    <row r="1399" spans="1:9" x14ac:dyDescent="0.3">
      <c r="A1399" t="s">
        <v>9</v>
      </c>
      <c r="B1399" t="s">
        <v>1524</v>
      </c>
      <c r="C1399">
        <v>4</v>
      </c>
      <c r="D1399">
        <v>2.0999999999999999E-3</v>
      </c>
      <c r="E1399">
        <v>6.4625957490847679</v>
      </c>
      <c r="F1399">
        <v>753.30033658814455</v>
      </c>
      <c r="G1399">
        <v>0.42399999999999999</v>
      </c>
      <c r="H1399">
        <v>7.3000000000000001E-3</v>
      </c>
      <c r="I1399">
        <v>279.79989999999998</v>
      </c>
    </row>
    <row r="1400" spans="1:9" x14ac:dyDescent="0.3">
      <c r="A1400" t="s">
        <v>9</v>
      </c>
      <c r="B1400" t="s">
        <v>1525</v>
      </c>
      <c r="C1400">
        <v>4</v>
      </c>
      <c r="D1400">
        <v>6.1000000000000004E-3</v>
      </c>
      <c r="E1400">
        <v>6.6718247381268663</v>
      </c>
      <c r="F1400">
        <v>773.1561676482396</v>
      </c>
      <c r="G1400">
        <v>0.42399999999999999</v>
      </c>
      <c r="H1400">
        <v>1.0500000000000001E-2</v>
      </c>
      <c r="I1400">
        <v>280.00029999999998</v>
      </c>
    </row>
    <row r="1401" spans="1:9" x14ac:dyDescent="0.3">
      <c r="A1401" t="s">
        <v>9</v>
      </c>
      <c r="B1401" t="s">
        <v>1526</v>
      </c>
      <c r="C1401">
        <v>4</v>
      </c>
      <c r="D1401">
        <v>6.0000000000000001E-3</v>
      </c>
      <c r="E1401">
        <v>6.880552970792758</v>
      </c>
      <c r="F1401">
        <v>792.96447692823278</v>
      </c>
      <c r="G1401">
        <v>0.42399999999999999</v>
      </c>
      <c r="H1401">
        <v>1.37E-2</v>
      </c>
      <c r="I1401">
        <v>280.2002</v>
      </c>
    </row>
    <row r="1402" spans="1:9" x14ac:dyDescent="0.3">
      <c r="A1402" t="s">
        <v>9</v>
      </c>
      <c r="B1402" t="s">
        <v>1527</v>
      </c>
      <c r="C1402">
        <v>4</v>
      </c>
      <c r="D1402">
        <v>9.2999999999999992E-3</v>
      </c>
      <c r="E1402">
        <v>7.069370156810975</v>
      </c>
      <c r="F1402">
        <v>810.88322788136156</v>
      </c>
      <c r="G1402">
        <v>0.42399999999999999</v>
      </c>
      <c r="H1402">
        <v>1.67E-2</v>
      </c>
      <c r="I1402">
        <v>280.40069999999997</v>
      </c>
    </row>
    <row r="1403" spans="1:9" x14ac:dyDescent="0.3">
      <c r="A1403" t="s">
        <v>9</v>
      </c>
      <c r="B1403" t="s">
        <v>1528</v>
      </c>
      <c r="C1403">
        <v>4</v>
      </c>
      <c r="D1403">
        <v>1.1900000000000001E-2</v>
      </c>
      <c r="E1403">
        <v>7.2179573459593742</v>
      </c>
      <c r="F1403">
        <v>824.98415213154465</v>
      </c>
      <c r="G1403">
        <v>0.42399999999999999</v>
      </c>
      <c r="H1403">
        <v>1.9E-2</v>
      </c>
      <c r="I1403">
        <v>280.59949999999998</v>
      </c>
    </row>
    <row r="1404" spans="1:9" x14ac:dyDescent="0.3">
      <c r="A1404" t="s">
        <v>9</v>
      </c>
      <c r="B1404" t="s">
        <v>1529</v>
      </c>
      <c r="C1404">
        <v>4</v>
      </c>
      <c r="D1404">
        <v>1.4800000000000001E-2</v>
      </c>
      <c r="E1404">
        <v>7.3143888325400468</v>
      </c>
      <c r="F1404">
        <v>834.13550020805053</v>
      </c>
      <c r="G1404">
        <v>0.42399999999999999</v>
      </c>
      <c r="H1404">
        <v>2.0500000000000001E-2</v>
      </c>
      <c r="I1404">
        <v>280.8005</v>
      </c>
    </row>
    <row r="1405" spans="1:9" x14ac:dyDescent="0.3">
      <c r="A1405" t="s">
        <v>9</v>
      </c>
      <c r="B1405" t="s">
        <v>1530</v>
      </c>
      <c r="C1405">
        <v>4</v>
      </c>
      <c r="D1405">
        <v>1.6799999999999999E-2</v>
      </c>
      <c r="E1405">
        <v>7.3473025151975344</v>
      </c>
      <c r="F1405">
        <v>837.25900869224608</v>
      </c>
      <c r="G1405">
        <v>0.42399999999999999</v>
      </c>
      <c r="H1405">
        <v>2.1000000000000001E-2</v>
      </c>
      <c r="I1405">
        <v>280.99959999999999</v>
      </c>
    </row>
    <row r="1406" spans="1:9" x14ac:dyDescent="0.3">
      <c r="A1406" t="s">
        <v>9</v>
      </c>
      <c r="B1406" t="s">
        <v>1531</v>
      </c>
      <c r="C1406">
        <v>4</v>
      </c>
      <c r="D1406">
        <v>1.78E-2</v>
      </c>
      <c r="E1406">
        <v>7.3146110305110259</v>
      </c>
      <c r="F1406">
        <v>729.7217480436276</v>
      </c>
      <c r="G1406">
        <v>0.42399999999999999</v>
      </c>
      <c r="H1406">
        <v>2.0500000000000001E-2</v>
      </c>
      <c r="I1406">
        <v>281.19880000000001</v>
      </c>
    </row>
    <row r="1407" spans="1:9" x14ac:dyDescent="0.3">
      <c r="A1407" t="s">
        <v>9</v>
      </c>
      <c r="B1407" t="s">
        <v>1532</v>
      </c>
      <c r="C1407">
        <v>4</v>
      </c>
      <c r="D1407">
        <v>1.78E-2</v>
      </c>
      <c r="E1407">
        <v>7.2175076788976646</v>
      </c>
      <c r="F1407">
        <v>720.67171567326238</v>
      </c>
      <c r="G1407">
        <v>0.42399999999999999</v>
      </c>
      <c r="H1407">
        <v>1.9E-2</v>
      </c>
      <c r="I1407">
        <v>281.40120000000002</v>
      </c>
    </row>
    <row r="1408" spans="1:9" x14ac:dyDescent="0.3">
      <c r="A1408" t="s">
        <v>9</v>
      </c>
      <c r="B1408" t="s">
        <v>1533</v>
      </c>
      <c r="C1408">
        <v>4</v>
      </c>
      <c r="D1408">
        <v>1.78E-2</v>
      </c>
      <c r="E1408">
        <v>7.0677008337333787</v>
      </c>
      <c r="F1408">
        <v>706.7097177039509</v>
      </c>
      <c r="G1408">
        <v>0.42399999999999999</v>
      </c>
      <c r="H1408">
        <v>1.67E-2</v>
      </c>
      <c r="I1408">
        <v>281.60120000000001</v>
      </c>
    </row>
    <row r="1409" spans="1:9" x14ac:dyDescent="0.3">
      <c r="A1409" t="s">
        <v>9</v>
      </c>
      <c r="B1409" t="s">
        <v>1534</v>
      </c>
      <c r="C1409">
        <v>4</v>
      </c>
      <c r="D1409">
        <v>1.7600000000000001E-2</v>
      </c>
      <c r="E1409">
        <v>6.8783743764532073</v>
      </c>
      <c r="F1409">
        <v>689.06449188543888</v>
      </c>
      <c r="G1409">
        <v>0.42399999999999999</v>
      </c>
      <c r="H1409">
        <v>1.37E-2</v>
      </c>
      <c r="I1409">
        <v>281.80189999999999</v>
      </c>
    </row>
    <row r="1410" spans="1:9" x14ac:dyDescent="0.3">
      <c r="A1410" t="s">
        <v>9</v>
      </c>
      <c r="B1410" t="s">
        <v>1535</v>
      </c>
      <c r="C1410">
        <v>4</v>
      </c>
      <c r="D1410">
        <v>1.6799999999999999E-2</v>
      </c>
      <c r="E1410">
        <v>6.6712465368374172</v>
      </c>
      <c r="F1410">
        <v>669.7601772332473</v>
      </c>
      <c r="G1410">
        <v>0.42399999999999999</v>
      </c>
      <c r="H1410">
        <v>1.0500000000000001E-2</v>
      </c>
      <c r="I1410">
        <v>282.00020000000001</v>
      </c>
    </row>
    <row r="1411" spans="1:9" x14ac:dyDescent="0.3">
      <c r="A1411" t="s">
        <v>9</v>
      </c>
      <c r="B1411" t="s">
        <v>1536</v>
      </c>
      <c r="C1411">
        <v>4</v>
      </c>
      <c r="D1411">
        <v>1.5100000000000001E-2</v>
      </c>
      <c r="E1411">
        <v>6.4635368466954306</v>
      </c>
      <c r="F1411">
        <v>650.40163411201422</v>
      </c>
      <c r="G1411">
        <v>0.42399999999999999</v>
      </c>
      <c r="H1411">
        <v>7.3000000000000001E-3</v>
      </c>
      <c r="I1411">
        <v>282.19920000000002</v>
      </c>
    </row>
    <row r="1412" spans="1:9" x14ac:dyDescent="0.3">
      <c r="A1412" t="s">
        <v>9</v>
      </c>
      <c r="B1412" t="s">
        <v>1537</v>
      </c>
      <c r="C1412">
        <v>4</v>
      </c>
      <c r="D1412">
        <v>1.17E-2</v>
      </c>
      <c r="E1412">
        <v>6.2746119270989507</v>
      </c>
      <c r="F1412">
        <v>632.79383160562224</v>
      </c>
      <c r="G1412">
        <v>0.42399999999999999</v>
      </c>
      <c r="H1412">
        <v>4.3E-3</v>
      </c>
      <c r="I1412">
        <v>282.39960000000002</v>
      </c>
    </row>
    <row r="1413" spans="1:9" x14ac:dyDescent="0.3">
      <c r="A1413" t="s">
        <v>9</v>
      </c>
      <c r="B1413" t="s">
        <v>1538</v>
      </c>
      <c r="C1413">
        <v>4</v>
      </c>
      <c r="D1413">
        <v>7.7999999999999996E-3</v>
      </c>
      <c r="E1413">
        <v>6.1240456757670581</v>
      </c>
      <c r="F1413">
        <v>618.76105698148979</v>
      </c>
      <c r="G1413">
        <v>0.42399999999999999</v>
      </c>
      <c r="H1413">
        <v>2E-3</v>
      </c>
      <c r="I1413">
        <v>282.60120000000001</v>
      </c>
    </row>
    <row r="1414" spans="1:9" x14ac:dyDescent="0.3">
      <c r="A1414" t="s">
        <v>9</v>
      </c>
      <c r="B1414" t="s">
        <v>1539</v>
      </c>
      <c r="C1414">
        <v>4</v>
      </c>
      <c r="D1414">
        <v>3.7000000000000002E-3</v>
      </c>
      <c r="E1414">
        <v>6.0283218167392203</v>
      </c>
      <c r="F1414">
        <v>609.83959332009533</v>
      </c>
      <c r="G1414">
        <v>0.42399999999999999</v>
      </c>
      <c r="H1414">
        <v>5.0000000000000001E-4</v>
      </c>
      <c r="I1414">
        <v>282.80149999999998</v>
      </c>
    </row>
    <row r="1415" spans="1:9" x14ac:dyDescent="0.3">
      <c r="A1415" t="s">
        <v>9</v>
      </c>
      <c r="B1415" t="s">
        <v>1540</v>
      </c>
      <c r="C1415">
        <v>4</v>
      </c>
      <c r="D1415">
        <v>1.5E-3</v>
      </c>
      <c r="E1415">
        <v>5.9957336852110146</v>
      </c>
      <c r="F1415">
        <v>606.80237946166653</v>
      </c>
      <c r="G1415">
        <v>0.42399999999999999</v>
      </c>
      <c r="H1415">
        <v>0</v>
      </c>
      <c r="I1415">
        <v>283.00049999999999</v>
      </c>
    </row>
    <row r="1416" spans="1:9" x14ac:dyDescent="0.3">
      <c r="A1416" t="s">
        <v>9</v>
      </c>
      <c r="B1416" t="s">
        <v>1541</v>
      </c>
      <c r="C1416">
        <v>4</v>
      </c>
      <c r="D1416">
        <v>1.2999999999999999E-3</v>
      </c>
      <c r="E1416">
        <v>6.028903979477894</v>
      </c>
      <c r="F1416">
        <v>712.14298765245212</v>
      </c>
      <c r="G1416">
        <v>0.42399999999999999</v>
      </c>
      <c r="H1416">
        <v>5.0000000000000001E-4</v>
      </c>
      <c r="I1416">
        <v>283.20030000000003</v>
      </c>
    </row>
    <row r="1417" spans="1:9" x14ac:dyDescent="0.3">
      <c r="A1417" t="s">
        <v>9</v>
      </c>
      <c r="B1417" t="s">
        <v>1542</v>
      </c>
      <c r="C1417">
        <v>4</v>
      </c>
      <c r="D1417">
        <v>1.4E-3</v>
      </c>
      <c r="E1417">
        <v>6.1249855975125458</v>
      </c>
      <c r="F1417">
        <v>721.26113320394063</v>
      </c>
      <c r="G1417">
        <v>0.42399999999999999</v>
      </c>
      <c r="H1417">
        <v>2E-3</v>
      </c>
      <c r="I1417">
        <v>283.40030000000002</v>
      </c>
    </row>
    <row r="1418" spans="1:9" x14ac:dyDescent="0.3">
      <c r="A1418" t="s">
        <v>9</v>
      </c>
      <c r="B1418" t="s">
        <v>1543</v>
      </c>
      <c r="C1418">
        <v>4</v>
      </c>
      <c r="D1418">
        <v>1.5E-3</v>
      </c>
      <c r="E1418">
        <v>6.2748726042441012</v>
      </c>
      <c r="F1418">
        <v>735.4854101427652</v>
      </c>
      <c r="G1418">
        <v>0.42399999999999999</v>
      </c>
      <c r="H1418">
        <v>4.3E-3</v>
      </c>
      <c r="I1418">
        <v>283.60059999999999</v>
      </c>
    </row>
    <row r="1419" spans="1:9" x14ac:dyDescent="0.3">
      <c r="A1419" t="s">
        <v>9</v>
      </c>
      <c r="B1419" t="s">
        <v>1544</v>
      </c>
      <c r="C1419">
        <v>4</v>
      </c>
      <c r="D1419">
        <v>2.5999999999999999E-3</v>
      </c>
      <c r="E1419">
        <v>6.4629995979517316</v>
      </c>
      <c r="F1419">
        <v>753.33866184561941</v>
      </c>
      <c r="G1419">
        <v>0.42399999999999999</v>
      </c>
      <c r="H1419">
        <v>7.3000000000000001E-3</v>
      </c>
      <c r="I1419">
        <v>283.80029999999999</v>
      </c>
    </row>
    <row r="1420" spans="1:9" x14ac:dyDescent="0.3">
      <c r="A1420" t="s">
        <v>9</v>
      </c>
      <c r="B1420" t="s">
        <v>1545</v>
      </c>
      <c r="C1420">
        <v>4</v>
      </c>
      <c r="D1420">
        <v>5.4000000000000003E-3</v>
      </c>
      <c r="E1420">
        <v>6.6723729345808156</v>
      </c>
      <c r="F1420">
        <v>773.20819149171939</v>
      </c>
      <c r="G1420">
        <v>0.42399999999999999</v>
      </c>
      <c r="H1420">
        <v>1.0500000000000001E-2</v>
      </c>
      <c r="I1420">
        <v>284.00080000000003</v>
      </c>
    </row>
    <row r="1421" spans="1:9" x14ac:dyDescent="0.3">
      <c r="A1421" t="s">
        <v>9</v>
      </c>
      <c r="B1421" t="s">
        <v>1546</v>
      </c>
      <c r="C1421">
        <v>4</v>
      </c>
      <c r="D1421">
        <v>8.3000000000000001E-3</v>
      </c>
      <c r="E1421">
        <v>6.880642985299251</v>
      </c>
      <c r="F1421">
        <v>792.97301930489891</v>
      </c>
      <c r="G1421">
        <v>0.42399999999999999</v>
      </c>
      <c r="H1421">
        <v>1.37E-2</v>
      </c>
      <c r="I1421">
        <v>284.20030000000003</v>
      </c>
    </row>
    <row r="1422" spans="1:9" x14ac:dyDescent="0.3">
      <c r="A1422" t="s">
        <v>9</v>
      </c>
      <c r="B1422" t="s">
        <v>1547</v>
      </c>
      <c r="C1422">
        <v>4</v>
      </c>
      <c r="D1422">
        <v>1.11E-2</v>
      </c>
      <c r="E1422">
        <v>7.0699966091196682</v>
      </c>
      <c r="F1422">
        <v>810.94267820545656</v>
      </c>
      <c r="G1422">
        <v>0.42399999999999999</v>
      </c>
      <c r="H1422">
        <v>1.67E-2</v>
      </c>
      <c r="I1422">
        <v>284.4015</v>
      </c>
    </row>
    <row r="1423" spans="1:9" x14ac:dyDescent="0.3">
      <c r="A1423" t="s">
        <v>9</v>
      </c>
      <c r="B1423" t="s">
        <v>1548</v>
      </c>
      <c r="C1423">
        <v>4</v>
      </c>
      <c r="D1423">
        <v>1.37E-2</v>
      </c>
      <c r="E1423">
        <v>7.2188972271577878</v>
      </c>
      <c r="F1423">
        <v>825.07334685727415</v>
      </c>
      <c r="G1423">
        <v>0.42399999999999999</v>
      </c>
      <c r="H1423">
        <v>1.9E-2</v>
      </c>
      <c r="I1423">
        <v>284.601</v>
      </c>
    </row>
    <row r="1424" spans="1:9" x14ac:dyDescent="0.3">
      <c r="A1424" t="s">
        <v>9</v>
      </c>
      <c r="B1424" t="s">
        <v>1549</v>
      </c>
      <c r="C1424">
        <v>4</v>
      </c>
      <c r="D1424">
        <v>1.54E-2</v>
      </c>
      <c r="E1424">
        <v>7.3142144801175633</v>
      </c>
      <c r="F1424">
        <v>834.11895416315679</v>
      </c>
      <c r="G1424">
        <v>0.42399999999999999</v>
      </c>
      <c r="H1424">
        <v>2.0500000000000001E-2</v>
      </c>
      <c r="I1424">
        <v>284.8</v>
      </c>
    </row>
    <row r="1425" spans="1:9" x14ac:dyDescent="0.3">
      <c r="A1425" t="s">
        <v>9</v>
      </c>
      <c r="B1425" t="s">
        <v>1550</v>
      </c>
      <c r="C1425">
        <v>4</v>
      </c>
      <c r="D1425">
        <v>1.6799999999999999E-2</v>
      </c>
      <c r="E1425">
        <v>7.3473017042560347</v>
      </c>
      <c r="F1425">
        <v>837.25893173389773</v>
      </c>
      <c r="G1425">
        <v>0.42399999999999999</v>
      </c>
      <c r="H1425">
        <v>2.1000000000000001E-2</v>
      </c>
      <c r="I1425">
        <v>284.99900000000002</v>
      </c>
    </row>
    <row r="1426" spans="1:9" x14ac:dyDescent="0.3">
      <c r="A1426" t="s">
        <v>9</v>
      </c>
      <c r="B1426" t="s">
        <v>1551</v>
      </c>
      <c r="C1426">
        <v>4</v>
      </c>
      <c r="D1426">
        <v>1.7999999999999999E-2</v>
      </c>
      <c r="E1426">
        <v>7.314512095648035</v>
      </c>
      <c r="F1426">
        <v>729.71252731439688</v>
      </c>
      <c r="G1426">
        <v>0.42399999999999999</v>
      </c>
      <c r="H1426">
        <v>2.0500000000000001E-2</v>
      </c>
      <c r="I1426">
        <v>285.19909999999999</v>
      </c>
    </row>
    <row r="1427" spans="1:9" x14ac:dyDescent="0.3">
      <c r="A1427" t="s">
        <v>9</v>
      </c>
      <c r="B1427" t="s">
        <v>1552</v>
      </c>
      <c r="C1427">
        <v>4</v>
      </c>
      <c r="D1427">
        <v>1.8100000000000002E-2</v>
      </c>
      <c r="E1427">
        <v>7.2179500474858758</v>
      </c>
      <c r="F1427">
        <v>720.71294442568365</v>
      </c>
      <c r="G1427">
        <v>0.42399999999999999</v>
      </c>
      <c r="H1427">
        <v>1.9E-2</v>
      </c>
      <c r="I1427">
        <v>285.40050000000002</v>
      </c>
    </row>
    <row r="1428" spans="1:9" x14ac:dyDescent="0.3">
      <c r="A1428" t="s">
        <v>9</v>
      </c>
      <c r="B1428" t="s">
        <v>1553</v>
      </c>
      <c r="C1428">
        <v>5</v>
      </c>
      <c r="D1428">
        <v>1.7999999999999999E-2</v>
      </c>
      <c r="E1428">
        <v>7.0676408240623827</v>
      </c>
      <c r="F1428">
        <v>706.70412480261405</v>
      </c>
      <c r="G1428">
        <v>0.42399999999999999</v>
      </c>
      <c r="H1428">
        <v>1.67E-2</v>
      </c>
      <c r="I1428">
        <v>285.60129999999998</v>
      </c>
    </row>
    <row r="1429" spans="1:9" x14ac:dyDescent="0.3">
      <c r="A1429" t="s">
        <v>9</v>
      </c>
      <c r="B1429" t="s">
        <v>1554</v>
      </c>
      <c r="C1429">
        <v>5</v>
      </c>
      <c r="D1429">
        <v>1.7600000000000001E-2</v>
      </c>
      <c r="E1429">
        <v>6.8794817170713563</v>
      </c>
      <c r="F1429">
        <v>689.16769603105047</v>
      </c>
      <c r="G1429">
        <v>0.42399999999999999</v>
      </c>
      <c r="H1429">
        <v>1.37E-2</v>
      </c>
      <c r="I1429">
        <v>285.80079999999998</v>
      </c>
    </row>
    <row r="1430" spans="1:9" x14ac:dyDescent="0.3">
      <c r="A1430" t="s">
        <v>9</v>
      </c>
      <c r="B1430" t="s">
        <v>1555</v>
      </c>
      <c r="C1430">
        <v>5</v>
      </c>
      <c r="D1430">
        <v>1.7000000000000001E-2</v>
      </c>
      <c r="E1430">
        <v>6.6705333137882334</v>
      </c>
      <c r="F1430">
        <v>669.69370484506328</v>
      </c>
      <c r="G1430">
        <v>0.42399999999999999</v>
      </c>
      <c r="H1430">
        <v>1.0500000000000001E-2</v>
      </c>
      <c r="I1430">
        <v>286.0009</v>
      </c>
    </row>
    <row r="1431" spans="1:9" x14ac:dyDescent="0.3">
      <c r="A1431" t="s">
        <v>9</v>
      </c>
      <c r="B1431" t="s">
        <v>1556</v>
      </c>
      <c r="C1431">
        <v>5</v>
      </c>
      <c r="D1431">
        <v>1.5299999999999999E-2</v>
      </c>
      <c r="E1431">
        <v>6.4606036712902011</v>
      </c>
      <c r="F1431">
        <v>650.12826216424673</v>
      </c>
      <c r="G1431">
        <v>0.42399999999999999</v>
      </c>
      <c r="H1431">
        <v>7.1999999999999998E-3</v>
      </c>
      <c r="I1431">
        <v>286.20209999999997</v>
      </c>
    </row>
    <row r="1432" spans="1:9" x14ac:dyDescent="0.3">
      <c r="A1432" t="s">
        <v>9</v>
      </c>
      <c r="B1432" t="s">
        <v>1557</v>
      </c>
      <c r="C1432">
        <v>5</v>
      </c>
      <c r="D1432">
        <v>1.14E-2</v>
      </c>
      <c r="E1432">
        <v>6.2730181837691461</v>
      </c>
      <c r="F1432">
        <v>632.64529472728441</v>
      </c>
      <c r="G1432">
        <v>0.42399999999999999</v>
      </c>
      <c r="H1432">
        <v>4.3E-3</v>
      </c>
      <c r="I1432">
        <v>286.4015</v>
      </c>
    </row>
    <row r="1433" spans="1:9" x14ac:dyDescent="0.3">
      <c r="A1433" t="s">
        <v>9</v>
      </c>
      <c r="B1433" t="s">
        <v>1558</v>
      </c>
      <c r="C1433">
        <v>5</v>
      </c>
      <c r="D1433">
        <v>8.0999999999999996E-3</v>
      </c>
      <c r="E1433">
        <v>6.1250317400838927</v>
      </c>
      <c r="F1433">
        <v>618.8529581758188</v>
      </c>
      <c r="G1433">
        <v>0.42399999999999999</v>
      </c>
      <c r="H1433">
        <v>2E-3</v>
      </c>
      <c r="I1433">
        <v>286.59960000000001</v>
      </c>
    </row>
    <row r="1434" spans="1:9" x14ac:dyDescent="0.3">
      <c r="A1434" t="s">
        <v>9</v>
      </c>
      <c r="B1434" t="s">
        <v>1559</v>
      </c>
      <c r="C1434">
        <v>5</v>
      </c>
      <c r="D1434">
        <v>3.8999999999999998E-3</v>
      </c>
      <c r="E1434">
        <v>6.0290112873118709</v>
      </c>
      <c r="F1434">
        <v>609.90385197746639</v>
      </c>
      <c r="G1434">
        <v>0.42399999999999999</v>
      </c>
      <c r="H1434">
        <v>5.0000000000000001E-4</v>
      </c>
      <c r="I1434">
        <v>286.79939999999999</v>
      </c>
    </row>
    <row r="1435" spans="1:9" x14ac:dyDescent="0.3">
      <c r="A1435" t="s">
        <v>9</v>
      </c>
      <c r="B1435" t="s">
        <v>1560</v>
      </c>
      <c r="C1435">
        <v>5</v>
      </c>
      <c r="D1435">
        <v>1.5E-3</v>
      </c>
      <c r="E1435">
        <v>5.9957405730742597</v>
      </c>
      <c r="F1435">
        <v>606.80302141052107</v>
      </c>
      <c r="G1435">
        <v>0.42399999999999999</v>
      </c>
      <c r="H1435">
        <v>0</v>
      </c>
      <c r="I1435">
        <v>287.00290000000001</v>
      </c>
    </row>
    <row r="1436" spans="1:9" x14ac:dyDescent="0.3">
      <c r="A1436" t="s">
        <v>9</v>
      </c>
      <c r="B1436" t="s">
        <v>1561</v>
      </c>
      <c r="C1436">
        <v>5</v>
      </c>
      <c r="D1436">
        <v>5.0000000000000001E-4</v>
      </c>
      <c r="E1436">
        <v>6.0291378874441337</v>
      </c>
      <c r="F1436">
        <v>712.16518551844831</v>
      </c>
      <c r="G1436">
        <v>0.42399999999999999</v>
      </c>
      <c r="H1436">
        <v>5.0000000000000001E-4</v>
      </c>
      <c r="I1436">
        <v>287.20100000000002</v>
      </c>
    </row>
    <row r="1437" spans="1:9" x14ac:dyDescent="0.3">
      <c r="A1437" t="s">
        <v>9</v>
      </c>
      <c r="B1437" t="s">
        <v>1562</v>
      </c>
      <c r="C1437">
        <v>5</v>
      </c>
      <c r="D1437">
        <v>5.0000000000000001E-4</v>
      </c>
      <c r="E1437">
        <v>6.1242900124409854</v>
      </c>
      <c r="F1437">
        <v>721.19512218064949</v>
      </c>
      <c r="G1437">
        <v>0.42399999999999999</v>
      </c>
      <c r="H1437">
        <v>2E-3</v>
      </c>
      <c r="I1437">
        <v>287.39920000000001</v>
      </c>
    </row>
    <row r="1438" spans="1:9" x14ac:dyDescent="0.3">
      <c r="A1438" t="s">
        <v>9</v>
      </c>
      <c r="B1438" t="s">
        <v>1563</v>
      </c>
      <c r="C1438">
        <v>5</v>
      </c>
      <c r="D1438">
        <v>8.0000000000000004E-4</v>
      </c>
      <c r="E1438">
        <v>6.2738478174706458</v>
      </c>
      <c r="F1438">
        <v>735.38815787796432</v>
      </c>
      <c r="G1438">
        <v>0.42399999999999999</v>
      </c>
      <c r="H1438">
        <v>4.3E-3</v>
      </c>
      <c r="I1438">
        <v>287.59949999999998</v>
      </c>
    </row>
    <row r="1439" spans="1:9" x14ac:dyDescent="0.3">
      <c r="A1439" t="s">
        <v>9</v>
      </c>
      <c r="B1439" t="s">
        <v>1564</v>
      </c>
      <c r="C1439">
        <v>5</v>
      </c>
      <c r="D1439">
        <v>2.0999999999999999E-3</v>
      </c>
      <c r="E1439">
        <v>6.4637367437751623</v>
      </c>
      <c r="F1439">
        <v>753.40861698426295</v>
      </c>
      <c r="G1439">
        <v>0.42399999999999999</v>
      </c>
      <c r="H1439">
        <v>7.3000000000000001E-3</v>
      </c>
      <c r="I1439">
        <v>287.80099999999999</v>
      </c>
    </row>
    <row r="1440" spans="1:9" x14ac:dyDescent="0.3">
      <c r="A1440" t="s">
        <v>9</v>
      </c>
      <c r="B1440" t="s">
        <v>1565</v>
      </c>
      <c r="C1440">
        <v>5</v>
      </c>
      <c r="D1440">
        <v>5.1000000000000004E-3</v>
      </c>
      <c r="E1440">
        <v>6.6715599657271394</v>
      </c>
      <c r="F1440">
        <v>773.13104074750561</v>
      </c>
      <c r="G1440">
        <v>0.42399999999999999</v>
      </c>
      <c r="H1440">
        <v>1.0500000000000001E-2</v>
      </c>
      <c r="I1440">
        <v>288</v>
      </c>
    </row>
    <row r="1441" spans="1:9" x14ac:dyDescent="0.3">
      <c r="A1441" t="s">
        <v>9</v>
      </c>
      <c r="B1441" t="s">
        <v>1566</v>
      </c>
      <c r="C1441">
        <v>5</v>
      </c>
      <c r="D1441">
        <v>8.3999999999999995E-3</v>
      </c>
      <c r="E1441">
        <v>6.8823009551958494</v>
      </c>
      <c r="F1441">
        <v>793.13036064808614</v>
      </c>
      <c r="G1441">
        <v>0.42399999999999999</v>
      </c>
      <c r="H1441">
        <v>1.38E-2</v>
      </c>
      <c r="I1441">
        <v>288.20190000000002</v>
      </c>
    </row>
    <row r="1442" spans="1:9" x14ac:dyDescent="0.3">
      <c r="A1442" t="s">
        <v>9</v>
      </c>
      <c r="B1442" t="s">
        <v>1567</v>
      </c>
      <c r="C1442">
        <v>5</v>
      </c>
      <c r="D1442">
        <v>1.0999999999999999E-2</v>
      </c>
      <c r="E1442">
        <v>7.0687891172262791</v>
      </c>
      <c r="F1442">
        <v>810.82808722477398</v>
      </c>
      <c r="G1442">
        <v>0.42399999999999999</v>
      </c>
      <c r="H1442">
        <v>1.67E-2</v>
      </c>
      <c r="I1442">
        <v>288.40010000000001</v>
      </c>
    </row>
    <row r="1443" spans="1:9" x14ac:dyDescent="0.3">
      <c r="A1443" t="s">
        <v>9</v>
      </c>
      <c r="B1443" t="s">
        <v>1568</v>
      </c>
      <c r="C1443">
        <v>5</v>
      </c>
      <c r="D1443">
        <v>1.34E-2</v>
      </c>
      <c r="E1443">
        <v>7.2179228809456264</v>
      </c>
      <c r="F1443">
        <v>824.98088140174002</v>
      </c>
      <c r="G1443">
        <v>0.42399999999999999</v>
      </c>
      <c r="H1443">
        <v>1.9E-2</v>
      </c>
      <c r="I1443">
        <v>288.59949999999998</v>
      </c>
    </row>
    <row r="1444" spans="1:9" x14ac:dyDescent="0.3">
      <c r="A1444" t="s">
        <v>9</v>
      </c>
      <c r="B1444" t="s">
        <v>1569</v>
      </c>
      <c r="C1444">
        <v>5</v>
      </c>
      <c r="D1444">
        <v>1.55E-2</v>
      </c>
      <c r="E1444">
        <v>7.3144346507347926</v>
      </c>
      <c r="F1444">
        <v>834.13984835473184</v>
      </c>
      <c r="G1444">
        <v>0.42399999999999999</v>
      </c>
      <c r="H1444">
        <v>2.0500000000000001E-2</v>
      </c>
      <c r="I1444">
        <v>288.80059999999997</v>
      </c>
    </row>
    <row r="1445" spans="1:9" x14ac:dyDescent="0.3">
      <c r="A1445" t="s">
        <v>9</v>
      </c>
      <c r="B1445" t="s">
        <v>1570</v>
      </c>
      <c r="C1445">
        <v>5</v>
      </c>
      <c r="D1445">
        <v>1.7100000000000001E-2</v>
      </c>
      <c r="E1445">
        <v>7.3473025151975344</v>
      </c>
      <c r="F1445">
        <v>837.25900869224608</v>
      </c>
      <c r="G1445">
        <v>0.42399999999999999</v>
      </c>
      <c r="H1445">
        <v>2.1000000000000001E-2</v>
      </c>
      <c r="I1445">
        <v>289.00040000000001</v>
      </c>
    </row>
    <row r="1446" spans="1:9" x14ac:dyDescent="0.3">
      <c r="A1446" t="s">
        <v>9</v>
      </c>
      <c r="B1446" t="s">
        <v>1571</v>
      </c>
      <c r="C1446">
        <v>5</v>
      </c>
      <c r="D1446">
        <v>1.7500000000000002E-2</v>
      </c>
      <c r="E1446">
        <v>7.3135499135583739</v>
      </c>
      <c r="F1446">
        <v>729.62285194364051</v>
      </c>
      <c r="G1446">
        <v>0.42399999999999999</v>
      </c>
      <c r="H1446">
        <v>2.0500000000000001E-2</v>
      </c>
      <c r="I1446">
        <v>289.20209999999997</v>
      </c>
    </row>
    <row r="1447" spans="1:9" x14ac:dyDescent="0.3">
      <c r="A1447" t="s">
        <v>9</v>
      </c>
      <c r="B1447" t="s">
        <v>1572</v>
      </c>
      <c r="C1447">
        <v>5</v>
      </c>
      <c r="D1447">
        <v>1.7399999999999999E-2</v>
      </c>
      <c r="E1447">
        <v>7.2175908004014078</v>
      </c>
      <c r="F1447">
        <v>720.6794625974112</v>
      </c>
      <c r="G1447">
        <v>0.42399999999999999</v>
      </c>
      <c r="H1447">
        <v>1.9E-2</v>
      </c>
      <c r="I1447">
        <v>289.40100000000001</v>
      </c>
    </row>
    <row r="1448" spans="1:9" x14ac:dyDescent="0.3">
      <c r="A1448" t="s">
        <v>9</v>
      </c>
      <c r="B1448" t="s">
        <v>1573</v>
      </c>
      <c r="C1448">
        <v>5</v>
      </c>
      <c r="D1448">
        <v>1.7399999999999999E-2</v>
      </c>
      <c r="E1448">
        <v>7.0681655032128354</v>
      </c>
      <c r="F1448">
        <v>706.75302489943624</v>
      </c>
      <c r="G1448">
        <v>0.42399999999999999</v>
      </c>
      <c r="H1448">
        <v>1.67E-2</v>
      </c>
      <c r="I1448">
        <v>289.60059999999999</v>
      </c>
    </row>
    <row r="1449" spans="1:9" x14ac:dyDescent="0.3">
      <c r="A1449" t="s">
        <v>9</v>
      </c>
      <c r="B1449" t="s">
        <v>1574</v>
      </c>
      <c r="C1449">
        <v>5</v>
      </c>
      <c r="D1449">
        <v>1.7399999999999999E-2</v>
      </c>
      <c r="E1449">
        <v>6.8806665026027494</v>
      </c>
      <c r="F1449">
        <v>689.27811804257624</v>
      </c>
      <c r="G1449">
        <v>0.42399999999999999</v>
      </c>
      <c r="H1449">
        <v>1.37E-2</v>
      </c>
      <c r="I1449">
        <v>289.79969999999997</v>
      </c>
    </row>
    <row r="1450" spans="1:9" x14ac:dyDescent="0.3">
      <c r="A1450" t="s">
        <v>9</v>
      </c>
      <c r="B1450" t="s">
        <v>1575</v>
      </c>
      <c r="C1450">
        <v>5</v>
      </c>
      <c r="D1450">
        <v>1.66E-2</v>
      </c>
      <c r="E1450">
        <v>6.6711605770384246</v>
      </c>
      <c r="F1450">
        <v>669.75216577998128</v>
      </c>
      <c r="G1450">
        <v>0.42399999999999999</v>
      </c>
      <c r="H1450">
        <v>1.0500000000000001E-2</v>
      </c>
      <c r="I1450">
        <v>290.00029999999998</v>
      </c>
    </row>
    <row r="1451" spans="1:9" x14ac:dyDescent="0.3">
      <c r="A1451" t="s">
        <v>9</v>
      </c>
      <c r="B1451" t="s">
        <v>1576</v>
      </c>
      <c r="C1451">
        <v>5</v>
      </c>
      <c r="D1451">
        <v>1.46E-2</v>
      </c>
      <c r="E1451">
        <v>6.460984408324415</v>
      </c>
      <c r="F1451">
        <v>650.16374685583548</v>
      </c>
      <c r="G1451">
        <v>0.42399999999999999</v>
      </c>
      <c r="H1451">
        <v>7.1999999999999998E-3</v>
      </c>
      <c r="I1451">
        <v>290.20170000000002</v>
      </c>
    </row>
    <row r="1452" spans="1:9" x14ac:dyDescent="0.3">
      <c r="A1452" t="s">
        <v>9</v>
      </c>
      <c r="B1452" t="s">
        <v>1577</v>
      </c>
      <c r="C1452">
        <v>5</v>
      </c>
      <c r="D1452">
        <v>1.18E-2</v>
      </c>
      <c r="E1452">
        <v>6.2730251173189702</v>
      </c>
      <c r="F1452">
        <v>632.64594093412802</v>
      </c>
      <c r="G1452">
        <v>0.42399999999999999</v>
      </c>
      <c r="H1452">
        <v>4.3E-3</v>
      </c>
      <c r="I1452">
        <v>290.4015</v>
      </c>
    </row>
    <row r="1453" spans="1:9" x14ac:dyDescent="0.3">
      <c r="A1453" t="s">
        <v>9</v>
      </c>
      <c r="B1453" t="s">
        <v>1578</v>
      </c>
      <c r="C1453">
        <v>5</v>
      </c>
      <c r="D1453">
        <v>7.7000000000000002E-3</v>
      </c>
      <c r="E1453">
        <v>6.1245639890267354</v>
      </c>
      <c r="F1453">
        <v>618.80936377729176</v>
      </c>
      <c r="G1453">
        <v>0.42399999999999999</v>
      </c>
      <c r="H1453">
        <v>2E-3</v>
      </c>
      <c r="I1453">
        <v>290.60039999999998</v>
      </c>
    </row>
    <row r="1454" spans="1:9" x14ac:dyDescent="0.3">
      <c r="A1454" t="s">
        <v>9</v>
      </c>
      <c r="B1454" t="s">
        <v>1579</v>
      </c>
      <c r="C1454">
        <v>5</v>
      </c>
      <c r="D1454">
        <v>3.8E-3</v>
      </c>
      <c r="E1454">
        <v>6.0286187997353231</v>
      </c>
      <c r="F1454">
        <v>609.86727213533209</v>
      </c>
      <c r="G1454">
        <v>0.42399999999999999</v>
      </c>
      <c r="H1454">
        <v>5.0000000000000001E-4</v>
      </c>
      <c r="I1454">
        <v>290.80059999999997</v>
      </c>
    </row>
    <row r="1455" spans="1:9" x14ac:dyDescent="0.3">
      <c r="A1455" t="s">
        <v>9</v>
      </c>
      <c r="B1455" t="s">
        <v>1580</v>
      </c>
      <c r="C1455">
        <v>5</v>
      </c>
      <c r="D1455">
        <v>1.5E-3</v>
      </c>
      <c r="E1455">
        <v>5.9957337254908847</v>
      </c>
      <c r="F1455">
        <v>606.80238321575052</v>
      </c>
      <c r="G1455">
        <v>0.42399999999999999</v>
      </c>
      <c r="H1455">
        <v>0</v>
      </c>
      <c r="I1455">
        <v>290.99950000000001</v>
      </c>
    </row>
    <row r="1456" spans="1:9" x14ac:dyDescent="0.3">
      <c r="A1456" t="s">
        <v>9</v>
      </c>
      <c r="B1456" t="s">
        <v>1581</v>
      </c>
      <c r="C1456">
        <v>5</v>
      </c>
      <c r="D1456">
        <v>6.9999999999999999E-4</v>
      </c>
      <c r="E1456">
        <v>6.0286184794134314</v>
      </c>
      <c r="F1456">
        <v>712.11589369633464</v>
      </c>
      <c r="G1456">
        <v>0.42399999999999999</v>
      </c>
      <c r="H1456">
        <v>5.0000000000000001E-4</v>
      </c>
      <c r="I1456">
        <v>291.19940000000003</v>
      </c>
    </row>
    <row r="1457" spans="1:9" x14ac:dyDescent="0.3">
      <c r="A1457" t="s">
        <v>9</v>
      </c>
      <c r="B1457" t="s">
        <v>1582</v>
      </c>
      <c r="C1457">
        <v>5</v>
      </c>
      <c r="D1457">
        <v>6.9999999999999999E-4</v>
      </c>
      <c r="E1457">
        <v>6.1260205616018277</v>
      </c>
      <c r="F1457">
        <v>721.35935129601353</v>
      </c>
      <c r="G1457">
        <v>0.42399999999999999</v>
      </c>
      <c r="H1457">
        <v>2E-3</v>
      </c>
      <c r="I1457">
        <v>291.40190000000001</v>
      </c>
    </row>
    <row r="1458" spans="1:9" x14ac:dyDescent="0.3">
      <c r="A1458" t="s">
        <v>9</v>
      </c>
      <c r="B1458" t="s">
        <v>1583</v>
      </c>
      <c r="C1458">
        <v>5</v>
      </c>
      <c r="D1458">
        <v>1E-3</v>
      </c>
      <c r="E1458">
        <v>6.2748420317495537</v>
      </c>
      <c r="F1458">
        <v>735.48250881303272</v>
      </c>
      <c r="G1458">
        <v>0.42399999999999999</v>
      </c>
      <c r="H1458">
        <v>4.3E-3</v>
      </c>
      <c r="I1458">
        <v>291.60059999999999</v>
      </c>
    </row>
    <row r="1459" spans="1:9" x14ac:dyDescent="0.3">
      <c r="A1459" t="s">
        <v>9</v>
      </c>
      <c r="B1459" t="s">
        <v>1584</v>
      </c>
      <c r="C1459">
        <v>5</v>
      </c>
      <c r="D1459">
        <v>2.3999999999999998E-3</v>
      </c>
      <c r="E1459">
        <v>6.4627084699532569</v>
      </c>
      <c r="F1459">
        <v>753.31103379856415</v>
      </c>
      <c r="G1459">
        <v>0.42399999999999999</v>
      </c>
      <c r="H1459">
        <v>7.3000000000000001E-3</v>
      </c>
      <c r="I1459">
        <v>291.8</v>
      </c>
    </row>
    <row r="1460" spans="1:9" x14ac:dyDescent="0.3">
      <c r="A1460" t="s">
        <v>9</v>
      </c>
      <c r="B1460" t="s">
        <v>1585</v>
      </c>
      <c r="C1460">
        <v>5</v>
      </c>
      <c r="D1460">
        <v>5.0000000000000001E-3</v>
      </c>
      <c r="E1460">
        <v>6.6726239209750426</v>
      </c>
      <c r="F1460">
        <v>773.23201010053162</v>
      </c>
      <c r="G1460">
        <v>0.42399999999999999</v>
      </c>
      <c r="H1460">
        <v>1.0500000000000001E-2</v>
      </c>
      <c r="I1460">
        <v>292.00099999999998</v>
      </c>
    </row>
    <row r="1461" spans="1:9" x14ac:dyDescent="0.3">
      <c r="A1461" t="s">
        <v>9</v>
      </c>
      <c r="B1461" t="s">
        <v>1586</v>
      </c>
      <c r="C1461">
        <v>5</v>
      </c>
      <c r="D1461">
        <v>8.2000000000000007E-3</v>
      </c>
      <c r="E1461">
        <v>6.8802144027165388</v>
      </c>
      <c r="F1461">
        <v>792.93234681779961</v>
      </c>
      <c r="G1461">
        <v>0.42399999999999999</v>
      </c>
      <c r="H1461">
        <v>1.37E-2</v>
      </c>
      <c r="I1461">
        <v>292.19990000000001</v>
      </c>
    </row>
    <row r="1462" spans="1:9" x14ac:dyDescent="0.3">
      <c r="A1462" t="s">
        <v>9</v>
      </c>
      <c r="B1462" t="s">
        <v>1587</v>
      </c>
      <c r="C1462">
        <v>5</v>
      </c>
      <c r="D1462">
        <v>1.0999999999999999E-2</v>
      </c>
      <c r="E1462">
        <v>7.0690993023499988</v>
      </c>
      <c r="F1462">
        <v>810.85752379301493</v>
      </c>
      <c r="G1462">
        <v>0.42399999999999999</v>
      </c>
      <c r="H1462">
        <v>1.67E-2</v>
      </c>
      <c r="I1462">
        <v>292.40039999999999</v>
      </c>
    </row>
    <row r="1463" spans="1:9" x14ac:dyDescent="0.3">
      <c r="A1463" t="s">
        <v>9</v>
      </c>
      <c r="B1463" t="s">
        <v>1588</v>
      </c>
      <c r="C1463">
        <v>5</v>
      </c>
      <c r="D1463">
        <v>1.3599999999999999E-2</v>
      </c>
      <c r="E1463">
        <v>7.2199737519989391</v>
      </c>
      <c r="F1463">
        <v>825.17550906469933</v>
      </c>
      <c r="G1463">
        <v>0.42399999999999999</v>
      </c>
      <c r="H1463">
        <v>1.9E-2</v>
      </c>
      <c r="I1463">
        <v>292.6028</v>
      </c>
    </row>
    <row r="1464" spans="1:9" x14ac:dyDescent="0.3">
      <c r="A1464" t="s">
        <v>9</v>
      </c>
      <c r="B1464" t="s">
        <v>1589</v>
      </c>
      <c r="C1464">
        <v>5</v>
      </c>
      <c r="D1464">
        <v>1.55E-2</v>
      </c>
      <c r="E1464">
        <v>7.3142347536550618</v>
      </c>
      <c r="F1464">
        <v>834.12087812186542</v>
      </c>
      <c r="G1464">
        <v>0.42399999999999999</v>
      </c>
      <c r="H1464">
        <v>2.0500000000000001E-2</v>
      </c>
      <c r="I1464">
        <v>292.8</v>
      </c>
    </row>
    <row r="1465" spans="1:9" x14ac:dyDescent="0.3">
      <c r="A1465" t="s">
        <v>9</v>
      </c>
      <c r="B1465" t="s">
        <v>1590</v>
      </c>
      <c r="C1465">
        <v>5</v>
      </c>
      <c r="D1465">
        <v>1.7100000000000001E-2</v>
      </c>
      <c r="E1465">
        <v>7.3473025151975344</v>
      </c>
      <c r="F1465">
        <v>837.25900869224608</v>
      </c>
      <c r="G1465">
        <v>0.42399999999999999</v>
      </c>
      <c r="H1465">
        <v>2.1000000000000001E-2</v>
      </c>
      <c r="I1465">
        <v>293.00020000000001</v>
      </c>
    </row>
    <row r="1466" spans="1:9" x14ac:dyDescent="0.3">
      <c r="A1466" t="s">
        <v>9</v>
      </c>
      <c r="B1466" t="s">
        <v>1591</v>
      </c>
      <c r="C1466">
        <v>5</v>
      </c>
      <c r="D1466">
        <v>1.7899999999999999E-2</v>
      </c>
      <c r="E1466">
        <v>7.313770895117103</v>
      </c>
      <c r="F1466">
        <v>729.64344742491403</v>
      </c>
      <c r="G1466">
        <v>0.42399999999999999</v>
      </c>
      <c r="H1466">
        <v>2.0500000000000001E-2</v>
      </c>
      <c r="I1466">
        <v>293.20139999999998</v>
      </c>
    </row>
    <row r="1467" spans="1:9" x14ac:dyDescent="0.3">
      <c r="A1467" t="s">
        <v>9</v>
      </c>
      <c r="B1467" t="s">
        <v>1592</v>
      </c>
      <c r="C1467">
        <v>5</v>
      </c>
      <c r="D1467">
        <v>1.7899999999999999E-2</v>
      </c>
      <c r="E1467">
        <v>7.2182026557630996</v>
      </c>
      <c r="F1467">
        <v>720.73648751712096</v>
      </c>
      <c r="G1467">
        <v>0.42399999999999999</v>
      </c>
      <c r="H1467">
        <v>1.9E-2</v>
      </c>
      <c r="I1467">
        <v>293.40010000000001</v>
      </c>
    </row>
    <row r="1468" spans="1:9" x14ac:dyDescent="0.3">
      <c r="A1468" t="s">
        <v>9</v>
      </c>
      <c r="B1468" t="s">
        <v>1593</v>
      </c>
      <c r="C1468">
        <v>5</v>
      </c>
      <c r="D1468">
        <v>1.78E-2</v>
      </c>
      <c r="E1468">
        <v>7.0678050397161183</v>
      </c>
      <c r="F1468">
        <v>706.71942970154225</v>
      </c>
      <c r="G1468">
        <v>0.42399999999999999</v>
      </c>
      <c r="H1468">
        <v>1.67E-2</v>
      </c>
      <c r="I1468">
        <v>293.60109999999997</v>
      </c>
    </row>
    <row r="1469" spans="1:9" x14ac:dyDescent="0.3">
      <c r="A1469" t="s">
        <v>9</v>
      </c>
      <c r="B1469" t="s">
        <v>1594</v>
      </c>
      <c r="C1469">
        <v>5</v>
      </c>
      <c r="D1469">
        <v>1.7399999999999999E-2</v>
      </c>
      <c r="E1469">
        <v>6.8807727359392388</v>
      </c>
      <c r="F1469">
        <v>689.28801898953702</v>
      </c>
      <c r="G1469">
        <v>0.42399999999999999</v>
      </c>
      <c r="H1469">
        <v>1.38E-2</v>
      </c>
      <c r="I1469">
        <v>293.7996</v>
      </c>
    </row>
    <row r="1470" spans="1:9" x14ac:dyDescent="0.3">
      <c r="A1470" t="s">
        <v>9</v>
      </c>
      <c r="B1470" t="s">
        <v>1595</v>
      </c>
      <c r="C1470">
        <v>5</v>
      </c>
      <c r="D1470">
        <v>1.6899999999999998E-2</v>
      </c>
      <c r="E1470">
        <v>6.6705300700222327</v>
      </c>
      <c r="F1470">
        <v>669.69340252607208</v>
      </c>
      <c r="G1470">
        <v>0.42399999999999999</v>
      </c>
      <c r="H1470">
        <v>1.0500000000000001E-2</v>
      </c>
      <c r="I1470">
        <v>294.0009</v>
      </c>
    </row>
    <row r="1471" spans="1:9" x14ac:dyDescent="0.3">
      <c r="A1471" t="s">
        <v>9</v>
      </c>
      <c r="B1471" t="s">
        <v>1596</v>
      </c>
      <c r="C1471">
        <v>5</v>
      </c>
      <c r="D1471">
        <v>1.5299999999999999E-2</v>
      </c>
      <c r="E1471">
        <v>6.4630121675449796</v>
      </c>
      <c r="F1471">
        <v>650.35273401519214</v>
      </c>
      <c r="G1471">
        <v>0.42399999999999999</v>
      </c>
      <c r="H1471">
        <v>7.3000000000000001E-3</v>
      </c>
      <c r="I1471">
        <v>294.19970000000001</v>
      </c>
    </row>
    <row r="1472" spans="1:9" x14ac:dyDescent="0.3">
      <c r="A1472" t="s">
        <v>9</v>
      </c>
      <c r="B1472" t="s">
        <v>1597</v>
      </c>
      <c r="C1472">
        <v>5</v>
      </c>
      <c r="D1472">
        <v>1.18E-2</v>
      </c>
      <c r="E1472">
        <v>6.2746327682954997</v>
      </c>
      <c r="F1472">
        <v>632.79577400514063</v>
      </c>
      <c r="G1472">
        <v>0.42399999999999999</v>
      </c>
      <c r="H1472">
        <v>4.3E-3</v>
      </c>
      <c r="I1472">
        <v>294.39960000000002</v>
      </c>
    </row>
    <row r="1473" spans="1:9" x14ac:dyDescent="0.3">
      <c r="A1473" t="s">
        <v>9</v>
      </c>
      <c r="B1473" t="s">
        <v>1598</v>
      </c>
      <c r="C1473">
        <v>5</v>
      </c>
      <c r="D1473">
        <v>7.9000000000000008E-3</v>
      </c>
      <c r="E1473">
        <v>6.1235896022674998</v>
      </c>
      <c r="F1473">
        <v>618.71855093133104</v>
      </c>
      <c r="G1473">
        <v>0.42399999999999999</v>
      </c>
      <c r="H1473">
        <v>2E-3</v>
      </c>
      <c r="I1473">
        <v>294.6019</v>
      </c>
    </row>
    <row r="1474" spans="1:9" x14ac:dyDescent="0.3">
      <c r="A1474" t="s">
        <v>9</v>
      </c>
      <c r="B1474" t="s">
        <v>1599</v>
      </c>
      <c r="C1474">
        <v>5</v>
      </c>
      <c r="D1474">
        <v>3.8E-3</v>
      </c>
      <c r="E1474">
        <v>6.0278756772730357</v>
      </c>
      <c r="F1474">
        <v>609.79801312184691</v>
      </c>
      <c r="G1474">
        <v>0.42399999999999999</v>
      </c>
      <c r="H1474">
        <v>5.0000000000000001E-4</v>
      </c>
      <c r="I1474">
        <v>294.80290000000002</v>
      </c>
    </row>
    <row r="1475" spans="1:9" x14ac:dyDescent="0.3">
      <c r="A1475" t="s">
        <v>9</v>
      </c>
      <c r="B1475" t="s">
        <v>1600</v>
      </c>
      <c r="C1475">
        <v>5</v>
      </c>
      <c r="D1475">
        <v>1.5E-3</v>
      </c>
      <c r="E1475">
        <v>5.9957334838115024</v>
      </c>
      <c r="F1475">
        <v>606.80236069123202</v>
      </c>
      <c r="G1475">
        <v>0.42399999999999999</v>
      </c>
      <c r="H1475">
        <v>0</v>
      </c>
      <c r="I1475">
        <v>294.99979999999999</v>
      </c>
    </row>
    <row r="1476" spans="1:9" x14ac:dyDescent="0.3">
      <c r="A1476" t="s">
        <v>9</v>
      </c>
      <c r="B1476" t="s">
        <v>1601</v>
      </c>
      <c r="C1476">
        <v>5</v>
      </c>
      <c r="D1476">
        <v>6.9999999999999999E-4</v>
      </c>
      <c r="E1476">
        <v>6.0293185043897042</v>
      </c>
      <c r="F1476">
        <v>712.18232606658296</v>
      </c>
      <c r="G1476">
        <v>0.42399999999999999</v>
      </c>
      <c r="H1476">
        <v>5.0000000000000001E-4</v>
      </c>
      <c r="I1476">
        <v>295.20150000000001</v>
      </c>
    </row>
    <row r="1477" spans="1:9" x14ac:dyDescent="0.3">
      <c r="A1477" t="s">
        <v>9</v>
      </c>
      <c r="B1477" t="s">
        <v>1602</v>
      </c>
      <c r="C1477">
        <v>5</v>
      </c>
      <c r="D1477">
        <v>6.9999999999999999E-4</v>
      </c>
      <c r="E1477">
        <v>6.1245704765587341</v>
      </c>
      <c r="F1477">
        <v>721.22173822542391</v>
      </c>
      <c r="G1477">
        <v>0.42399999999999999</v>
      </c>
      <c r="H1477">
        <v>2E-3</v>
      </c>
      <c r="I1477">
        <v>295.39960000000002</v>
      </c>
    </row>
    <row r="1478" spans="1:9" x14ac:dyDescent="0.3">
      <c r="A1478" t="s">
        <v>9</v>
      </c>
      <c r="B1478" t="s">
        <v>1603</v>
      </c>
      <c r="C1478">
        <v>5</v>
      </c>
      <c r="D1478">
        <v>1E-3</v>
      </c>
      <c r="E1478">
        <v>6.2759712677882016</v>
      </c>
      <c r="F1478">
        <v>735.58967331310032</v>
      </c>
      <c r="G1478">
        <v>0.42399999999999999</v>
      </c>
      <c r="H1478">
        <v>4.4000000000000003E-3</v>
      </c>
      <c r="I1478">
        <v>295.6019</v>
      </c>
    </row>
    <row r="1479" spans="1:9" x14ac:dyDescent="0.3">
      <c r="A1479" t="s">
        <v>9</v>
      </c>
      <c r="B1479" t="s">
        <v>1604</v>
      </c>
      <c r="C1479">
        <v>5</v>
      </c>
      <c r="D1479">
        <v>2.0999999999999999E-3</v>
      </c>
      <c r="E1479">
        <v>6.4625045181660257</v>
      </c>
      <c r="F1479">
        <v>753.29167877395582</v>
      </c>
      <c r="G1479">
        <v>0.42399999999999999</v>
      </c>
      <c r="H1479">
        <v>7.3000000000000001E-3</v>
      </c>
      <c r="I1479">
        <v>295.7998</v>
      </c>
    </row>
    <row r="1480" spans="1:9" x14ac:dyDescent="0.3">
      <c r="A1480" t="s">
        <v>9</v>
      </c>
      <c r="B1480" t="s">
        <v>1605</v>
      </c>
      <c r="C1480">
        <v>5</v>
      </c>
      <c r="D1480">
        <v>4.8999999999999998E-3</v>
      </c>
      <c r="E1480">
        <v>6.6724710585023077</v>
      </c>
      <c r="F1480">
        <v>773.21750345186899</v>
      </c>
      <c r="G1480">
        <v>0.42399999999999999</v>
      </c>
      <c r="H1480">
        <v>1.0500000000000001E-2</v>
      </c>
      <c r="I1480">
        <v>296.0009</v>
      </c>
    </row>
    <row r="1481" spans="1:9" x14ac:dyDescent="0.3">
      <c r="A1481" t="s">
        <v>9</v>
      </c>
      <c r="B1481" t="s">
        <v>1606</v>
      </c>
      <c r="C1481">
        <v>5</v>
      </c>
      <c r="D1481">
        <v>8.0999999999999996E-3</v>
      </c>
      <c r="E1481">
        <v>6.8807358381009944</v>
      </c>
      <c r="F1481">
        <v>792.98183103578435</v>
      </c>
      <c r="G1481">
        <v>0.42399999999999999</v>
      </c>
      <c r="H1481">
        <v>1.38E-2</v>
      </c>
      <c r="I1481">
        <v>296.2004</v>
      </c>
    </row>
    <row r="1482" spans="1:9" x14ac:dyDescent="0.3">
      <c r="A1482" t="s">
        <v>9</v>
      </c>
      <c r="B1482" t="s">
        <v>1607</v>
      </c>
      <c r="C1482">
        <v>5</v>
      </c>
      <c r="D1482">
        <v>1.0999999999999999E-2</v>
      </c>
      <c r="E1482">
        <v>7.0706749616843556</v>
      </c>
      <c r="F1482">
        <v>811.0070538638455</v>
      </c>
      <c r="G1482">
        <v>0.42399999999999999</v>
      </c>
      <c r="H1482">
        <v>1.67E-2</v>
      </c>
      <c r="I1482">
        <v>296.40230000000003</v>
      </c>
    </row>
    <row r="1483" spans="1:9" x14ac:dyDescent="0.3">
      <c r="A1483" t="s">
        <v>9</v>
      </c>
      <c r="B1483" t="s">
        <v>1608</v>
      </c>
      <c r="C1483">
        <v>5</v>
      </c>
      <c r="D1483">
        <v>1.34E-2</v>
      </c>
      <c r="E1483">
        <v>7.2195346271767278</v>
      </c>
      <c r="F1483">
        <v>825.13383611907147</v>
      </c>
      <c r="G1483">
        <v>0.42399999999999999</v>
      </c>
      <c r="H1483">
        <v>1.9E-2</v>
      </c>
      <c r="I1483">
        <v>296.60210000000001</v>
      </c>
    </row>
    <row r="1484" spans="1:9" x14ac:dyDescent="0.3">
      <c r="A1484" t="s">
        <v>9</v>
      </c>
      <c r="B1484" t="s">
        <v>1609</v>
      </c>
      <c r="C1484">
        <v>5</v>
      </c>
      <c r="D1484">
        <v>1.55E-2</v>
      </c>
      <c r="E1484">
        <v>7.3145562919597822</v>
      </c>
      <c r="F1484">
        <v>834.15139210698339</v>
      </c>
      <c r="G1484">
        <v>0.42399999999999999</v>
      </c>
      <c r="H1484">
        <v>2.0500000000000001E-2</v>
      </c>
      <c r="I1484">
        <v>296.80099999999999</v>
      </c>
    </row>
    <row r="1485" spans="1:9" x14ac:dyDescent="0.3">
      <c r="A1485" t="s">
        <v>9</v>
      </c>
      <c r="B1485" t="s">
        <v>1610</v>
      </c>
      <c r="C1485">
        <v>5</v>
      </c>
      <c r="D1485">
        <v>1.6799999999999999E-2</v>
      </c>
      <c r="E1485">
        <v>7.3473004878437846</v>
      </c>
      <c r="F1485">
        <v>837.25881629637524</v>
      </c>
      <c r="G1485">
        <v>0.42399999999999999</v>
      </c>
      <c r="H1485">
        <v>2.1000000000000001E-2</v>
      </c>
      <c r="I1485">
        <v>297.0016</v>
      </c>
    </row>
    <row r="1486" spans="1:9" x14ac:dyDescent="0.3">
      <c r="A1486" t="s">
        <v>9</v>
      </c>
      <c r="B1486" t="s">
        <v>1611</v>
      </c>
      <c r="C1486">
        <v>5</v>
      </c>
      <c r="D1486">
        <v>1.78E-2</v>
      </c>
      <c r="E1486">
        <v>7.3136581742486131</v>
      </c>
      <c r="F1486">
        <v>729.63294183997073</v>
      </c>
      <c r="G1486">
        <v>0.42399999999999999</v>
      </c>
      <c r="H1486">
        <v>2.0500000000000001E-2</v>
      </c>
      <c r="I1486">
        <v>297.20170000000002</v>
      </c>
    </row>
    <row r="1487" spans="1:9" x14ac:dyDescent="0.3">
      <c r="A1487" t="s">
        <v>9</v>
      </c>
      <c r="B1487" t="s">
        <v>1612</v>
      </c>
      <c r="C1487">
        <v>5</v>
      </c>
      <c r="D1487">
        <v>1.78E-2</v>
      </c>
      <c r="E1487">
        <v>7.2169562386777164</v>
      </c>
      <c r="F1487">
        <v>720.62032144476314</v>
      </c>
      <c r="G1487">
        <v>0.42399999999999999</v>
      </c>
      <c r="H1487">
        <v>1.9E-2</v>
      </c>
      <c r="I1487">
        <v>297.40199999999999</v>
      </c>
    </row>
    <row r="1488" spans="1:9" x14ac:dyDescent="0.3">
      <c r="A1488" t="s">
        <v>9</v>
      </c>
      <c r="B1488" t="s">
        <v>1613</v>
      </c>
      <c r="C1488">
        <v>5</v>
      </c>
      <c r="D1488">
        <v>1.7600000000000001E-2</v>
      </c>
      <c r="E1488">
        <v>7.0686135483915464</v>
      </c>
      <c r="F1488">
        <v>706.79478271009202</v>
      </c>
      <c r="G1488">
        <v>0.42399999999999999</v>
      </c>
      <c r="H1488">
        <v>1.67E-2</v>
      </c>
      <c r="I1488">
        <v>297.6001</v>
      </c>
    </row>
    <row r="1489" spans="1:9" x14ac:dyDescent="0.3">
      <c r="A1489" t="s">
        <v>9</v>
      </c>
      <c r="B1489" t="s">
        <v>1614</v>
      </c>
      <c r="C1489">
        <v>5</v>
      </c>
      <c r="D1489">
        <v>1.77E-2</v>
      </c>
      <c r="E1489">
        <v>6.8792704668106266</v>
      </c>
      <c r="F1489">
        <v>689.14800750675045</v>
      </c>
      <c r="G1489">
        <v>0.42399999999999999</v>
      </c>
      <c r="H1489">
        <v>1.37E-2</v>
      </c>
      <c r="I1489">
        <v>297.80110000000002</v>
      </c>
    </row>
    <row r="1490" spans="1:9" x14ac:dyDescent="0.3">
      <c r="A1490" t="s">
        <v>9</v>
      </c>
      <c r="B1490" t="s">
        <v>1615</v>
      </c>
      <c r="C1490">
        <v>5</v>
      </c>
      <c r="D1490">
        <v>1.6500000000000001E-2</v>
      </c>
      <c r="E1490">
        <v>6.6708686380984519</v>
      </c>
      <c r="F1490">
        <v>669.72495707077576</v>
      </c>
      <c r="G1490">
        <v>0.42399999999999999</v>
      </c>
      <c r="H1490">
        <v>1.0500000000000001E-2</v>
      </c>
      <c r="I1490">
        <v>298.00060000000002</v>
      </c>
    </row>
    <row r="1491" spans="1:9" x14ac:dyDescent="0.3">
      <c r="A1491" t="s">
        <v>9</v>
      </c>
      <c r="B1491" t="s">
        <v>1616</v>
      </c>
      <c r="C1491">
        <v>5</v>
      </c>
      <c r="D1491">
        <v>1.49E-2</v>
      </c>
      <c r="E1491">
        <v>6.4626083186780159</v>
      </c>
      <c r="F1491">
        <v>650.31509530079109</v>
      </c>
      <c r="G1491">
        <v>0.42399999999999999</v>
      </c>
      <c r="H1491">
        <v>7.3000000000000001E-3</v>
      </c>
      <c r="I1491">
        <v>298.20010000000002</v>
      </c>
    </row>
    <row r="1492" spans="1:9" x14ac:dyDescent="0.3">
      <c r="A1492" t="s">
        <v>9</v>
      </c>
      <c r="B1492" t="s">
        <v>1617</v>
      </c>
      <c r="C1492">
        <v>5</v>
      </c>
      <c r="D1492">
        <v>1.2E-2</v>
      </c>
      <c r="E1492">
        <v>6.2723563338639812</v>
      </c>
      <c r="F1492">
        <v>632.5836103161231</v>
      </c>
      <c r="G1492">
        <v>0.42399999999999999</v>
      </c>
      <c r="H1492">
        <v>4.3E-3</v>
      </c>
      <c r="I1492">
        <v>298.40230000000003</v>
      </c>
    </row>
    <row r="1493" spans="1:9" x14ac:dyDescent="0.3">
      <c r="A1493" t="s">
        <v>9</v>
      </c>
      <c r="B1493" t="s">
        <v>1618</v>
      </c>
      <c r="C1493">
        <v>5</v>
      </c>
      <c r="D1493">
        <v>7.7999999999999996E-3</v>
      </c>
      <c r="E1493">
        <v>6.1246225390030302</v>
      </c>
      <c r="F1493">
        <v>618.81482063508247</v>
      </c>
      <c r="G1493">
        <v>0.42399999999999999</v>
      </c>
      <c r="H1493">
        <v>2E-3</v>
      </c>
      <c r="I1493">
        <v>298.6003</v>
      </c>
    </row>
    <row r="1494" spans="1:9" x14ac:dyDescent="0.3">
      <c r="A1494" t="s">
        <v>9</v>
      </c>
      <c r="B1494" t="s">
        <v>1619</v>
      </c>
      <c r="C1494">
        <v>5</v>
      </c>
      <c r="D1494">
        <v>3.8999999999999998E-3</v>
      </c>
      <c r="E1494">
        <v>6.0282690893228947</v>
      </c>
      <c r="F1494">
        <v>609.8346791248938</v>
      </c>
      <c r="G1494">
        <v>0.42399999999999999</v>
      </c>
      <c r="H1494">
        <v>5.0000000000000001E-4</v>
      </c>
      <c r="I1494">
        <v>298.80160000000001</v>
      </c>
    </row>
    <row r="1495" spans="1:9" x14ac:dyDescent="0.3">
      <c r="A1495" t="s">
        <v>9</v>
      </c>
      <c r="B1495" t="s">
        <v>1620</v>
      </c>
      <c r="C1495">
        <v>5</v>
      </c>
      <c r="D1495">
        <v>1.8E-3</v>
      </c>
      <c r="E1495">
        <v>5.9957336046511944</v>
      </c>
      <c r="F1495">
        <v>606.80237195349127</v>
      </c>
      <c r="G1495">
        <v>0.42399999999999999</v>
      </c>
      <c r="H1495">
        <v>0</v>
      </c>
      <c r="I1495">
        <v>299.00040000000001</v>
      </c>
    </row>
    <row r="1496" spans="1:9" x14ac:dyDescent="0.3">
      <c r="A1496" t="s">
        <v>9</v>
      </c>
      <c r="B1496" t="s">
        <v>1621</v>
      </c>
      <c r="C1496">
        <v>5</v>
      </c>
      <c r="D1496">
        <v>2.9999999999999997E-4</v>
      </c>
      <c r="E1496">
        <v>6.0294314888141809</v>
      </c>
      <c r="F1496">
        <v>712.19304828846577</v>
      </c>
      <c r="G1496">
        <v>0.42399999999999999</v>
      </c>
      <c r="H1496">
        <v>5.0000000000000001E-4</v>
      </c>
      <c r="I1496">
        <v>299.20190000000002</v>
      </c>
    </row>
    <row r="1497" spans="1:9" x14ac:dyDescent="0.3">
      <c r="A1497" t="s">
        <v>9</v>
      </c>
      <c r="B1497" t="s">
        <v>1622</v>
      </c>
      <c r="C1497">
        <v>5</v>
      </c>
      <c r="D1497">
        <v>2.9999999999999997E-4</v>
      </c>
      <c r="E1497">
        <v>6.125450996839354</v>
      </c>
      <c r="F1497">
        <v>721.3052996000547</v>
      </c>
      <c r="G1497">
        <v>0.42399999999999999</v>
      </c>
      <c r="H1497">
        <v>2E-3</v>
      </c>
      <c r="I1497">
        <v>299.40100000000001</v>
      </c>
    </row>
    <row r="1498" spans="1:9" x14ac:dyDescent="0.3">
      <c r="A1498" t="s">
        <v>9</v>
      </c>
      <c r="B1498" t="s">
        <v>1623</v>
      </c>
      <c r="C1498">
        <v>5</v>
      </c>
      <c r="D1498">
        <v>5.9999999999999995E-4</v>
      </c>
      <c r="E1498">
        <v>6.274444224396766</v>
      </c>
      <c r="F1498">
        <v>735.44475689525314</v>
      </c>
      <c r="G1498">
        <v>0.42399999999999999</v>
      </c>
      <c r="H1498">
        <v>4.3E-3</v>
      </c>
      <c r="I1498">
        <v>299.60019999999997</v>
      </c>
    </row>
    <row r="1499" spans="1:9" x14ac:dyDescent="0.3">
      <c r="A1499" t="s">
        <v>9</v>
      </c>
      <c r="B1499" t="s">
        <v>1624</v>
      </c>
      <c r="C1499">
        <v>5</v>
      </c>
      <c r="D1499">
        <v>2E-3</v>
      </c>
      <c r="E1499">
        <v>6.4647723160705688</v>
      </c>
      <c r="F1499">
        <v>753.50689279509697</v>
      </c>
      <c r="G1499">
        <v>0.42399999999999999</v>
      </c>
      <c r="H1499">
        <v>7.3000000000000001E-3</v>
      </c>
      <c r="I1499">
        <v>299.8021</v>
      </c>
    </row>
    <row r="1500" spans="1:9" x14ac:dyDescent="0.3">
      <c r="A1500" t="s">
        <v>9</v>
      </c>
      <c r="B1500" t="s">
        <v>1625</v>
      </c>
      <c r="C1500">
        <v>5</v>
      </c>
      <c r="D1500">
        <v>4.8999999999999998E-3</v>
      </c>
      <c r="E1500">
        <v>6.6714517050369002</v>
      </c>
      <c r="F1500">
        <v>773.12076680800192</v>
      </c>
      <c r="G1500">
        <v>0.42399999999999999</v>
      </c>
      <c r="H1500">
        <v>1.0500000000000001E-2</v>
      </c>
      <c r="I1500">
        <v>299.99990000000003</v>
      </c>
    </row>
    <row r="1501" spans="1:9" x14ac:dyDescent="0.3">
      <c r="A1501" t="s">
        <v>9</v>
      </c>
      <c r="B1501" t="s">
        <v>1626</v>
      </c>
      <c r="C1501">
        <v>5</v>
      </c>
      <c r="D1501">
        <v>8.0999999999999996E-3</v>
      </c>
      <c r="E1501">
        <v>6.8823743454015922</v>
      </c>
      <c r="F1501">
        <v>793.13732537861119</v>
      </c>
      <c r="G1501">
        <v>0.42399999999999999</v>
      </c>
      <c r="H1501">
        <v>1.38E-2</v>
      </c>
      <c r="I1501">
        <v>300.202</v>
      </c>
    </row>
    <row r="1502" spans="1:9" x14ac:dyDescent="0.3">
      <c r="A1502" t="s">
        <v>9</v>
      </c>
      <c r="B1502" t="s">
        <v>1627</v>
      </c>
      <c r="C1502">
        <v>5</v>
      </c>
      <c r="D1502">
        <v>1.0999999999999999E-2</v>
      </c>
      <c r="E1502">
        <v>7.0693689403987241</v>
      </c>
      <c r="F1502">
        <v>810.88311244383897</v>
      </c>
      <c r="G1502">
        <v>0.42399999999999999</v>
      </c>
      <c r="H1502">
        <v>1.67E-2</v>
      </c>
      <c r="I1502">
        <v>300.40069999999997</v>
      </c>
    </row>
    <row r="1503" spans="1:9" x14ac:dyDescent="0.3">
      <c r="A1503" t="s">
        <v>9</v>
      </c>
      <c r="B1503" t="s">
        <v>1628</v>
      </c>
      <c r="C1503">
        <v>5</v>
      </c>
      <c r="D1503">
        <v>1.35E-2</v>
      </c>
      <c r="E1503">
        <v>7.2192033575740107</v>
      </c>
      <c r="F1503">
        <v>825.10239863377365</v>
      </c>
      <c r="G1503">
        <v>0.42399999999999999</v>
      </c>
      <c r="H1503">
        <v>1.9E-2</v>
      </c>
      <c r="I1503">
        <v>300.60149999999999</v>
      </c>
    </row>
    <row r="1504" spans="1:9" x14ac:dyDescent="0.3">
      <c r="A1504" t="s">
        <v>9</v>
      </c>
      <c r="B1504" t="s">
        <v>1629</v>
      </c>
      <c r="C1504">
        <v>5</v>
      </c>
      <c r="D1504">
        <v>1.55E-2</v>
      </c>
      <c r="E1504">
        <v>7.3149455438797446</v>
      </c>
      <c r="F1504">
        <v>834.18833211418792</v>
      </c>
      <c r="G1504">
        <v>0.42399999999999999</v>
      </c>
      <c r="H1504">
        <v>2.0500000000000001E-2</v>
      </c>
      <c r="I1504">
        <v>300.80220000000003</v>
      </c>
    </row>
    <row r="1505" spans="1:9" x14ac:dyDescent="0.3">
      <c r="A1505" t="s">
        <v>9</v>
      </c>
      <c r="B1505" t="s">
        <v>1630</v>
      </c>
      <c r="C1505">
        <v>5</v>
      </c>
      <c r="D1505">
        <v>1.7000000000000001E-2</v>
      </c>
      <c r="E1505">
        <v>7.3472992714315346</v>
      </c>
      <c r="F1505">
        <v>837.25870085885265</v>
      </c>
      <c r="G1505">
        <v>0.42399999999999999</v>
      </c>
      <c r="H1505">
        <v>2.1000000000000001E-2</v>
      </c>
      <c r="I1505">
        <v>301.00200000000001</v>
      </c>
    </row>
    <row r="1506" spans="1:9" x14ac:dyDescent="0.3">
      <c r="A1506" t="s">
        <v>9</v>
      </c>
      <c r="B1506" t="s">
        <v>1631</v>
      </c>
      <c r="C1506">
        <v>5</v>
      </c>
      <c r="D1506">
        <v>1.7899999999999999E-2</v>
      </c>
      <c r="E1506">
        <v>7.3133836705508886</v>
      </c>
      <c r="F1506">
        <v>729.60735809534287</v>
      </c>
      <c r="G1506">
        <v>0.42399999999999999</v>
      </c>
      <c r="H1506">
        <v>2.0500000000000001E-2</v>
      </c>
      <c r="I1506">
        <v>301.20249999999999</v>
      </c>
    </row>
    <row r="1507" spans="1:9" x14ac:dyDescent="0.3">
      <c r="A1507" t="s">
        <v>9</v>
      </c>
      <c r="B1507" t="s">
        <v>1632</v>
      </c>
      <c r="C1507">
        <v>5</v>
      </c>
      <c r="D1507">
        <v>1.7999999999999999E-2</v>
      </c>
      <c r="E1507">
        <v>7.2166201034259974</v>
      </c>
      <c r="F1507">
        <v>720.588993639303</v>
      </c>
      <c r="G1507">
        <v>0.42399999999999999</v>
      </c>
      <c r="H1507">
        <v>1.9E-2</v>
      </c>
      <c r="I1507">
        <v>301.40260000000001</v>
      </c>
    </row>
    <row r="1508" spans="1:9" x14ac:dyDescent="0.3">
      <c r="A1508" t="s">
        <v>9</v>
      </c>
      <c r="B1508" t="s">
        <v>1633</v>
      </c>
      <c r="C1508">
        <v>5</v>
      </c>
      <c r="D1508">
        <v>1.7999999999999999E-2</v>
      </c>
      <c r="E1508">
        <v>7.0670670829511861</v>
      </c>
      <c r="F1508">
        <v>706.65065213105061</v>
      </c>
      <c r="G1508">
        <v>0.42399999999999999</v>
      </c>
      <c r="H1508">
        <v>1.66E-2</v>
      </c>
      <c r="I1508">
        <v>301.6019</v>
      </c>
    </row>
    <row r="1509" spans="1:9" x14ac:dyDescent="0.3">
      <c r="A1509" t="s">
        <v>9</v>
      </c>
      <c r="B1509" t="s">
        <v>1634</v>
      </c>
      <c r="C1509">
        <v>5</v>
      </c>
      <c r="D1509">
        <v>1.7600000000000001E-2</v>
      </c>
      <c r="E1509">
        <v>6.8772759561915588</v>
      </c>
      <c r="F1509">
        <v>688.96211911705325</v>
      </c>
      <c r="G1509">
        <v>0.42399999999999999</v>
      </c>
      <c r="H1509">
        <v>1.37E-2</v>
      </c>
      <c r="I1509">
        <v>301.803</v>
      </c>
    </row>
    <row r="1510" spans="1:9" x14ac:dyDescent="0.3">
      <c r="A1510" t="s">
        <v>9</v>
      </c>
      <c r="B1510" t="s">
        <v>1635</v>
      </c>
      <c r="C1510">
        <v>5</v>
      </c>
      <c r="D1510">
        <v>1.7100000000000001E-2</v>
      </c>
      <c r="E1510">
        <v>6.6697223722883079</v>
      </c>
      <c r="F1510">
        <v>669.61812509727031</v>
      </c>
      <c r="G1510">
        <v>0.42399999999999999</v>
      </c>
      <c r="H1510">
        <v>1.0500000000000001E-2</v>
      </c>
      <c r="I1510">
        <v>302.00170000000003</v>
      </c>
    </row>
    <row r="1511" spans="1:9" x14ac:dyDescent="0.3">
      <c r="A1511" t="s">
        <v>9</v>
      </c>
      <c r="B1511" t="s">
        <v>1636</v>
      </c>
      <c r="C1511">
        <v>5</v>
      </c>
      <c r="D1511">
        <v>1.5699999999999999E-2</v>
      </c>
      <c r="E1511">
        <v>6.4595003853795516</v>
      </c>
      <c r="F1511">
        <v>650.02543591737424</v>
      </c>
      <c r="G1511">
        <v>0.42399999999999999</v>
      </c>
      <c r="H1511">
        <v>7.1999999999999998E-3</v>
      </c>
      <c r="I1511">
        <v>302.20319999999998</v>
      </c>
    </row>
    <row r="1512" spans="1:9" x14ac:dyDescent="0.3">
      <c r="A1512" t="s">
        <v>9</v>
      </c>
      <c r="B1512" t="s">
        <v>1637</v>
      </c>
      <c r="C1512">
        <v>5</v>
      </c>
      <c r="D1512">
        <v>1.24E-2</v>
      </c>
      <c r="E1512">
        <v>6.2723633079608812</v>
      </c>
      <c r="F1512">
        <v>632.58426030195415</v>
      </c>
      <c r="G1512">
        <v>0.42399999999999999</v>
      </c>
      <c r="H1512">
        <v>4.3E-3</v>
      </c>
      <c r="I1512">
        <v>302.40230000000003</v>
      </c>
    </row>
    <row r="1513" spans="1:9" x14ac:dyDescent="0.3">
      <c r="A1513" t="s">
        <v>9</v>
      </c>
      <c r="B1513" t="s">
        <v>1638</v>
      </c>
      <c r="C1513">
        <v>5</v>
      </c>
      <c r="D1513">
        <v>8.3999999999999995E-3</v>
      </c>
      <c r="E1513">
        <v>6.1247366384720694</v>
      </c>
      <c r="F1513">
        <v>618.82545470559694</v>
      </c>
      <c r="G1513">
        <v>0.42399999999999999</v>
      </c>
      <c r="H1513">
        <v>2E-3</v>
      </c>
      <c r="I1513">
        <v>302.6001</v>
      </c>
    </row>
    <row r="1514" spans="1:9" x14ac:dyDescent="0.3">
      <c r="A1514" t="s">
        <v>9</v>
      </c>
      <c r="B1514" t="s">
        <v>1639</v>
      </c>
      <c r="C1514">
        <v>5</v>
      </c>
      <c r="D1514">
        <v>4.3E-3</v>
      </c>
      <c r="E1514">
        <v>6.0286013198912913</v>
      </c>
      <c r="F1514">
        <v>609.86564301386841</v>
      </c>
      <c r="G1514">
        <v>0.42399999999999999</v>
      </c>
      <c r="H1514">
        <v>5.0000000000000001E-4</v>
      </c>
      <c r="I1514">
        <v>302.80059999999997</v>
      </c>
    </row>
    <row r="1515" spans="1:9" x14ac:dyDescent="0.3">
      <c r="A1515" t="s">
        <v>9</v>
      </c>
      <c r="B1515" t="s">
        <v>1640</v>
      </c>
      <c r="C1515">
        <v>5</v>
      </c>
      <c r="D1515">
        <v>1.6000000000000001E-3</v>
      </c>
      <c r="E1515">
        <v>5.9957503208100444</v>
      </c>
      <c r="F1515">
        <v>606.8039298994961</v>
      </c>
      <c r="G1515">
        <v>0.42399999999999999</v>
      </c>
      <c r="H1515">
        <v>0</v>
      </c>
      <c r="I1515">
        <v>303.00450000000001</v>
      </c>
    </row>
    <row r="1516" spans="1:9" x14ac:dyDescent="0.3">
      <c r="A1516" t="s">
        <v>9</v>
      </c>
      <c r="B1516" t="s">
        <v>1641</v>
      </c>
      <c r="C1516">
        <v>5</v>
      </c>
      <c r="D1516">
        <v>1E-3</v>
      </c>
      <c r="E1516">
        <v>6.0301788038440218</v>
      </c>
      <c r="F1516">
        <v>712.26396848479772</v>
      </c>
      <c r="G1516">
        <v>0.42399999999999999</v>
      </c>
      <c r="H1516">
        <v>5.0000000000000001E-4</v>
      </c>
      <c r="I1516">
        <v>303.20409999999998</v>
      </c>
    </row>
    <row r="1517" spans="1:9" x14ac:dyDescent="0.3">
      <c r="A1517" t="s">
        <v>9</v>
      </c>
      <c r="B1517" t="s">
        <v>1642</v>
      </c>
      <c r="C1517">
        <v>5</v>
      </c>
      <c r="D1517">
        <v>1E-3</v>
      </c>
      <c r="E1517">
        <v>6.1292119813277104</v>
      </c>
      <c r="F1517">
        <v>721.66221702799976</v>
      </c>
      <c r="G1517">
        <v>0.42399999999999999</v>
      </c>
      <c r="H1517">
        <v>2.0999999999999999E-3</v>
      </c>
      <c r="I1517">
        <v>303.40699999999998</v>
      </c>
    </row>
    <row r="1518" spans="1:9" x14ac:dyDescent="0.3">
      <c r="A1518" t="s">
        <v>9</v>
      </c>
      <c r="B1518" t="s">
        <v>1643</v>
      </c>
      <c r="C1518">
        <v>5</v>
      </c>
      <c r="D1518">
        <v>1.2999999999999999E-3</v>
      </c>
      <c r="E1518">
        <v>6.2761747735576066</v>
      </c>
      <c r="F1518">
        <v>735.60898601061695</v>
      </c>
      <c r="G1518">
        <v>0.42399999999999999</v>
      </c>
      <c r="H1518">
        <v>4.4000000000000003E-3</v>
      </c>
      <c r="I1518">
        <v>303.60219999999998</v>
      </c>
    </row>
    <row r="1519" spans="1:9" x14ac:dyDescent="0.3">
      <c r="A1519" t="s">
        <v>9</v>
      </c>
      <c r="B1519" t="s">
        <v>1644</v>
      </c>
      <c r="C1519">
        <v>5</v>
      </c>
      <c r="D1519">
        <v>2.5000000000000001E-3</v>
      </c>
      <c r="E1519">
        <v>6.4662571499569328</v>
      </c>
      <c r="F1519">
        <v>753.64780353091294</v>
      </c>
      <c r="G1519">
        <v>0.42399999999999999</v>
      </c>
      <c r="H1519">
        <v>7.3000000000000001E-3</v>
      </c>
      <c r="I1519">
        <v>303.80349999999999</v>
      </c>
    </row>
    <row r="1520" spans="1:9" x14ac:dyDescent="0.3">
      <c r="A1520" t="s">
        <v>9</v>
      </c>
      <c r="B1520" t="s">
        <v>1645</v>
      </c>
      <c r="C1520">
        <v>5</v>
      </c>
      <c r="D1520">
        <v>4.5999999999999999E-3</v>
      </c>
      <c r="E1520">
        <v>6.6725570183012994</v>
      </c>
      <c r="F1520">
        <v>773.22566103679333</v>
      </c>
      <c r="G1520">
        <v>0.42399999999999999</v>
      </c>
      <c r="H1520">
        <v>1.0500000000000001E-2</v>
      </c>
      <c r="I1520">
        <v>304.00099999999998</v>
      </c>
    </row>
    <row r="1521" spans="1:9" x14ac:dyDescent="0.3">
      <c r="A1521" t="s">
        <v>9</v>
      </c>
      <c r="B1521" t="s">
        <v>1646</v>
      </c>
      <c r="C1521">
        <v>5</v>
      </c>
      <c r="D1521">
        <v>7.9000000000000008E-3</v>
      </c>
      <c r="E1521">
        <v>6.8810139910354664</v>
      </c>
      <c r="F1521">
        <v>793.00822774926576</v>
      </c>
      <c r="G1521">
        <v>0.42399999999999999</v>
      </c>
      <c r="H1521">
        <v>1.38E-2</v>
      </c>
      <c r="I1521">
        <v>304.20069999999998</v>
      </c>
    </row>
    <row r="1522" spans="1:9" x14ac:dyDescent="0.3">
      <c r="A1522" t="s">
        <v>9</v>
      </c>
      <c r="B1522" t="s">
        <v>1647</v>
      </c>
      <c r="C1522">
        <v>5</v>
      </c>
      <c r="D1522">
        <v>1.0999999999999999E-2</v>
      </c>
      <c r="E1522">
        <v>7.0715426690892764</v>
      </c>
      <c r="F1522">
        <v>811.08939929657242</v>
      </c>
      <c r="G1522">
        <v>0.42399999999999999</v>
      </c>
      <c r="H1522">
        <v>1.67E-2</v>
      </c>
      <c r="I1522">
        <v>304.4033</v>
      </c>
    </row>
    <row r="1523" spans="1:9" x14ac:dyDescent="0.3">
      <c r="A1523" t="s">
        <v>9</v>
      </c>
      <c r="B1523" t="s">
        <v>1648</v>
      </c>
      <c r="C1523">
        <v>5</v>
      </c>
      <c r="D1523">
        <v>1.34E-2</v>
      </c>
      <c r="E1523">
        <v>7.2192589070667532</v>
      </c>
      <c r="F1523">
        <v>825.10767028063492</v>
      </c>
      <c r="G1523">
        <v>0.42399999999999999</v>
      </c>
      <c r="H1523">
        <v>1.9E-2</v>
      </c>
      <c r="I1523">
        <v>304.60160000000002</v>
      </c>
    </row>
    <row r="1524" spans="1:9" x14ac:dyDescent="0.3">
      <c r="A1524" t="s">
        <v>9</v>
      </c>
      <c r="B1524" t="s">
        <v>1649</v>
      </c>
      <c r="C1524">
        <v>5</v>
      </c>
      <c r="D1524">
        <v>1.5599999999999999E-2</v>
      </c>
      <c r="E1524">
        <v>7.3146840152460202</v>
      </c>
      <c r="F1524">
        <v>834.16351304684736</v>
      </c>
      <c r="G1524">
        <v>0.42399999999999999</v>
      </c>
      <c r="H1524">
        <v>2.0500000000000001E-2</v>
      </c>
      <c r="I1524">
        <v>304.8014</v>
      </c>
    </row>
    <row r="1525" spans="1:9" x14ac:dyDescent="0.3">
      <c r="A1525" t="s">
        <v>9</v>
      </c>
      <c r="B1525" t="s">
        <v>1650</v>
      </c>
      <c r="C1525">
        <v>5</v>
      </c>
      <c r="D1525">
        <v>1.7000000000000001E-2</v>
      </c>
      <c r="E1525">
        <v>7.3471954709195426</v>
      </c>
      <c r="F1525">
        <v>837.24885019026465</v>
      </c>
      <c r="G1525">
        <v>0.42399999999999999</v>
      </c>
      <c r="H1525">
        <v>2.1000000000000001E-2</v>
      </c>
      <c r="I1525">
        <v>305.01130000000001</v>
      </c>
    </row>
    <row r="1526" spans="1:9" x14ac:dyDescent="0.3">
      <c r="A1526" t="s">
        <v>9</v>
      </c>
      <c r="B1526" t="s">
        <v>1651</v>
      </c>
      <c r="C1526">
        <v>5</v>
      </c>
      <c r="D1526">
        <v>1.77E-2</v>
      </c>
      <c r="E1526">
        <v>7.3140028243860806</v>
      </c>
      <c r="F1526">
        <v>729.6650632327827</v>
      </c>
      <c r="G1526">
        <v>0.42399999999999999</v>
      </c>
      <c r="H1526">
        <v>2.0500000000000001E-2</v>
      </c>
      <c r="I1526">
        <v>305.20069999999998</v>
      </c>
    </row>
    <row r="1527" spans="1:9" x14ac:dyDescent="0.3">
      <c r="A1527" t="s">
        <v>9</v>
      </c>
      <c r="B1527" t="s">
        <v>1652</v>
      </c>
      <c r="C1527">
        <v>5</v>
      </c>
      <c r="D1527">
        <v>1.78E-2</v>
      </c>
      <c r="E1527">
        <v>7.2174407762239214</v>
      </c>
      <c r="F1527">
        <v>720.66548034406946</v>
      </c>
      <c r="G1527">
        <v>0.42399999999999999</v>
      </c>
      <c r="H1527">
        <v>1.9E-2</v>
      </c>
      <c r="I1527">
        <v>305.40129999999999</v>
      </c>
    </row>
    <row r="1528" spans="1:9" x14ac:dyDescent="0.3">
      <c r="A1528" t="s">
        <v>9</v>
      </c>
      <c r="B1528" t="s">
        <v>1653</v>
      </c>
      <c r="C1528">
        <v>5</v>
      </c>
      <c r="D1528">
        <v>1.78E-2</v>
      </c>
      <c r="E1528">
        <v>7.0657853899105536</v>
      </c>
      <c r="F1528">
        <v>706.53119833966366</v>
      </c>
      <c r="G1528">
        <v>0.42399999999999999</v>
      </c>
      <c r="H1528">
        <v>1.66E-2</v>
      </c>
      <c r="I1528">
        <v>305.60340000000002</v>
      </c>
    </row>
    <row r="1529" spans="1:9" x14ac:dyDescent="0.3">
      <c r="A1529" t="s">
        <v>9</v>
      </c>
      <c r="B1529" t="s">
        <v>1654</v>
      </c>
      <c r="C1529">
        <v>5</v>
      </c>
      <c r="D1529">
        <v>1.7600000000000001E-2</v>
      </c>
      <c r="E1529">
        <v>6.8790316445388981</v>
      </c>
      <c r="F1529">
        <v>689.12574927102537</v>
      </c>
      <c r="G1529">
        <v>0.42399999999999999</v>
      </c>
      <c r="H1529">
        <v>1.37E-2</v>
      </c>
      <c r="I1529">
        <v>305.80130000000003</v>
      </c>
    </row>
    <row r="1530" spans="1:9" x14ac:dyDescent="0.3">
      <c r="A1530" t="s">
        <v>9</v>
      </c>
      <c r="B1530" t="s">
        <v>1655</v>
      </c>
      <c r="C1530">
        <v>5</v>
      </c>
      <c r="D1530">
        <v>1.7000000000000001E-2</v>
      </c>
      <c r="E1530">
        <v>6.6691741758343586</v>
      </c>
      <c r="F1530">
        <v>669.56703318776226</v>
      </c>
      <c r="G1530">
        <v>0.42399999999999999</v>
      </c>
      <c r="H1530">
        <v>1.0500000000000001E-2</v>
      </c>
      <c r="I1530">
        <v>306.00220000000002</v>
      </c>
    </row>
    <row r="1531" spans="1:9" x14ac:dyDescent="0.3">
      <c r="A1531" t="s">
        <v>9</v>
      </c>
      <c r="B1531" t="s">
        <v>1656</v>
      </c>
      <c r="C1531">
        <v>5</v>
      </c>
      <c r="D1531">
        <v>1.5299999999999999E-2</v>
      </c>
      <c r="E1531">
        <v>6.4620167368538217</v>
      </c>
      <c r="F1531">
        <v>650.2599598747762</v>
      </c>
      <c r="G1531">
        <v>0.42399999999999999</v>
      </c>
      <c r="H1531">
        <v>7.1999999999999998E-3</v>
      </c>
      <c r="I1531">
        <v>306.20069999999998</v>
      </c>
    </row>
    <row r="1532" spans="1:9" x14ac:dyDescent="0.3">
      <c r="A1532" t="s">
        <v>9</v>
      </c>
      <c r="B1532" t="s">
        <v>1657</v>
      </c>
      <c r="C1532">
        <v>5</v>
      </c>
      <c r="D1532">
        <v>1.2E-2</v>
      </c>
      <c r="E1532">
        <v>6.273219459449427</v>
      </c>
      <c r="F1532">
        <v>632.66405362068667</v>
      </c>
      <c r="G1532">
        <v>0.42399999999999999</v>
      </c>
      <c r="H1532">
        <v>4.3E-3</v>
      </c>
      <c r="I1532">
        <v>306.40120000000002</v>
      </c>
    </row>
    <row r="1533" spans="1:9" x14ac:dyDescent="0.3">
      <c r="A1533" t="s">
        <v>9</v>
      </c>
      <c r="B1533" t="s">
        <v>1658</v>
      </c>
      <c r="C1533">
        <v>5</v>
      </c>
      <c r="D1533">
        <v>8.0000000000000002E-3</v>
      </c>
      <c r="E1533">
        <v>6.1232668475505294</v>
      </c>
      <c r="F1533">
        <v>618.68847019170926</v>
      </c>
      <c r="G1533">
        <v>0.42399999999999999</v>
      </c>
      <c r="H1533">
        <v>2E-3</v>
      </c>
      <c r="I1533">
        <v>306.60239999999999</v>
      </c>
    </row>
    <row r="1534" spans="1:9" x14ac:dyDescent="0.3">
      <c r="A1534" t="s">
        <v>9</v>
      </c>
      <c r="B1534" t="s">
        <v>1659</v>
      </c>
      <c r="C1534">
        <v>5</v>
      </c>
      <c r="D1534">
        <v>4.0000000000000001E-3</v>
      </c>
      <c r="E1534">
        <v>6.0284389531841764</v>
      </c>
      <c r="F1534">
        <v>609.85051043676526</v>
      </c>
      <c r="G1534">
        <v>0.42399999999999999</v>
      </c>
      <c r="H1534">
        <v>5.0000000000000001E-4</v>
      </c>
      <c r="I1534">
        <v>306.80110000000002</v>
      </c>
    </row>
    <row r="1535" spans="1:9" x14ac:dyDescent="0.3">
      <c r="A1535" t="s">
        <v>9</v>
      </c>
      <c r="B1535" t="s">
        <v>1660</v>
      </c>
      <c r="C1535">
        <v>5</v>
      </c>
      <c r="D1535">
        <v>1.5E-3</v>
      </c>
      <c r="E1535">
        <v>5.9957358603258477</v>
      </c>
      <c r="F1535">
        <v>606.80258218236906</v>
      </c>
      <c r="G1535">
        <v>0.42399999999999999</v>
      </c>
      <c r="H1535">
        <v>0</v>
      </c>
      <c r="I1535">
        <v>307.00170000000003</v>
      </c>
    </row>
    <row r="1536" spans="1:9" x14ac:dyDescent="0.3">
      <c r="A1536" t="s">
        <v>9</v>
      </c>
      <c r="B1536" t="s">
        <v>1661</v>
      </c>
      <c r="C1536">
        <v>5</v>
      </c>
      <c r="D1536">
        <v>4.0000000000000002E-4</v>
      </c>
      <c r="E1536">
        <v>6.0294711641270657</v>
      </c>
      <c r="F1536">
        <v>712.19681347565859</v>
      </c>
      <c r="G1536">
        <v>0.42399999999999999</v>
      </c>
      <c r="H1536">
        <v>5.0000000000000001E-4</v>
      </c>
      <c r="I1536">
        <v>307.202</v>
      </c>
    </row>
    <row r="1537" spans="1:9" x14ac:dyDescent="0.3">
      <c r="A1537" t="s">
        <v>9</v>
      </c>
      <c r="B1537" t="s">
        <v>1662</v>
      </c>
      <c r="C1537">
        <v>5</v>
      </c>
      <c r="D1537">
        <v>5.0000000000000001E-4</v>
      </c>
      <c r="E1537">
        <v>6.1263778624266942</v>
      </c>
      <c r="F1537">
        <v>721.39325914429332</v>
      </c>
      <c r="G1537">
        <v>0.42399999999999999</v>
      </c>
      <c r="H1537">
        <v>2E-3</v>
      </c>
      <c r="I1537">
        <v>307.40249999999997</v>
      </c>
    </row>
    <row r="1538" spans="1:9" x14ac:dyDescent="0.3">
      <c r="A1538" t="s">
        <v>9</v>
      </c>
      <c r="B1538" t="s">
        <v>1663</v>
      </c>
      <c r="C1538">
        <v>5</v>
      </c>
      <c r="D1538">
        <v>6.9999999999999999E-4</v>
      </c>
      <c r="E1538">
        <v>6.275515802494767</v>
      </c>
      <c r="F1538">
        <v>735.54644965675345</v>
      </c>
      <c r="G1538">
        <v>0.42399999999999999</v>
      </c>
      <c r="H1538">
        <v>4.3E-3</v>
      </c>
      <c r="I1538">
        <v>307.60140000000001</v>
      </c>
    </row>
    <row r="1539" spans="1:9" x14ac:dyDescent="0.3">
      <c r="A1539" t="s">
        <v>9</v>
      </c>
      <c r="B1539" t="s">
        <v>1664</v>
      </c>
      <c r="C1539">
        <v>5</v>
      </c>
      <c r="D1539">
        <v>2E-3</v>
      </c>
      <c r="E1539">
        <v>6.4647167665778236</v>
      </c>
      <c r="F1539">
        <v>753.50162114823547</v>
      </c>
      <c r="G1539">
        <v>0.42399999999999999</v>
      </c>
      <c r="H1539">
        <v>7.3000000000000001E-3</v>
      </c>
      <c r="I1539">
        <v>307.80200000000002</v>
      </c>
    </row>
    <row r="1540" spans="1:9" x14ac:dyDescent="0.3">
      <c r="A1540" t="s">
        <v>9</v>
      </c>
      <c r="B1540" t="s">
        <v>1665</v>
      </c>
      <c r="C1540">
        <v>5</v>
      </c>
      <c r="D1540">
        <v>5.1999999999999998E-3</v>
      </c>
      <c r="E1540">
        <v>6.6734145889374687</v>
      </c>
      <c r="F1540">
        <v>773.30704449016582</v>
      </c>
      <c r="G1540">
        <v>0.42399999999999999</v>
      </c>
      <c r="H1540">
        <v>1.0500000000000001E-2</v>
      </c>
      <c r="I1540">
        <v>308.0018</v>
      </c>
    </row>
    <row r="1541" spans="1:9" x14ac:dyDescent="0.3">
      <c r="A1541" t="s">
        <v>9</v>
      </c>
      <c r="B1541" t="s">
        <v>1666</v>
      </c>
      <c r="C1541">
        <v>5</v>
      </c>
      <c r="D1541">
        <v>8.0999999999999996E-3</v>
      </c>
      <c r="E1541">
        <v>6.8838076845027114</v>
      </c>
      <c r="F1541">
        <v>793.27334925930734</v>
      </c>
      <c r="G1541">
        <v>0.42399999999999999</v>
      </c>
      <c r="H1541">
        <v>1.38E-2</v>
      </c>
      <c r="I1541">
        <v>308.20339999999999</v>
      </c>
    </row>
    <row r="1542" spans="1:9" x14ac:dyDescent="0.3">
      <c r="A1542" t="s">
        <v>9</v>
      </c>
      <c r="B1542" t="s">
        <v>1667</v>
      </c>
      <c r="C1542">
        <v>5</v>
      </c>
      <c r="D1542">
        <v>1.04E-2</v>
      </c>
      <c r="E1542">
        <v>7.0717518919962563</v>
      </c>
      <c r="F1542">
        <v>811.1092545504448</v>
      </c>
      <c r="G1542">
        <v>0.42399999999999999</v>
      </c>
      <c r="H1542">
        <v>1.67E-2</v>
      </c>
      <c r="I1542">
        <v>308.40350000000001</v>
      </c>
    </row>
    <row r="1543" spans="1:9" x14ac:dyDescent="0.3">
      <c r="A1543" t="s">
        <v>9</v>
      </c>
      <c r="B1543" t="s">
        <v>1668</v>
      </c>
      <c r="C1543">
        <v>5</v>
      </c>
      <c r="D1543">
        <v>1.3299999999999999E-2</v>
      </c>
      <c r="E1543">
        <v>7.2187581506905509</v>
      </c>
      <c r="F1543">
        <v>825.06014850053327</v>
      </c>
      <c r="G1543">
        <v>0.42399999999999999</v>
      </c>
      <c r="H1543">
        <v>1.9E-2</v>
      </c>
      <c r="I1543">
        <v>308.60079999999999</v>
      </c>
    </row>
    <row r="1544" spans="1:9" x14ac:dyDescent="0.3">
      <c r="A1544" t="s">
        <v>9</v>
      </c>
      <c r="B1544" t="s">
        <v>1669</v>
      </c>
      <c r="C1544">
        <v>5</v>
      </c>
      <c r="D1544">
        <v>1.55E-2</v>
      </c>
      <c r="E1544">
        <v>7.315405347710203</v>
      </c>
      <c r="F1544">
        <v>834.23196749769829</v>
      </c>
      <c r="G1544">
        <v>0.42399999999999999</v>
      </c>
      <c r="H1544">
        <v>2.0500000000000001E-2</v>
      </c>
      <c r="I1544">
        <v>308.80360000000002</v>
      </c>
    </row>
    <row r="1545" spans="1:9" x14ac:dyDescent="0.3">
      <c r="A1545" t="s">
        <v>9</v>
      </c>
      <c r="B1545" t="s">
        <v>1670</v>
      </c>
      <c r="C1545">
        <v>5</v>
      </c>
      <c r="D1545">
        <v>1.7000000000000001E-2</v>
      </c>
      <c r="E1545">
        <v>7.3472988659607834</v>
      </c>
      <c r="F1545">
        <v>837.25866237967841</v>
      </c>
      <c r="G1545">
        <v>0.42399999999999999</v>
      </c>
      <c r="H1545">
        <v>2.1000000000000001E-2</v>
      </c>
      <c r="I1545">
        <v>309.00209999999998</v>
      </c>
    </row>
    <row r="1546" spans="1:9" x14ac:dyDescent="0.3">
      <c r="A1546" t="s">
        <v>9</v>
      </c>
      <c r="B1546" t="s">
        <v>1671</v>
      </c>
      <c r="C1546">
        <v>5</v>
      </c>
      <c r="D1546">
        <v>1.77E-2</v>
      </c>
      <c r="E1546">
        <v>7.3135438314971228</v>
      </c>
      <c r="F1546">
        <v>729.62228509553188</v>
      </c>
      <c r="G1546">
        <v>0.42399999999999999</v>
      </c>
      <c r="H1546">
        <v>2.0500000000000001E-2</v>
      </c>
      <c r="I1546">
        <v>309.20209999999997</v>
      </c>
    </row>
    <row r="1547" spans="1:9" x14ac:dyDescent="0.3">
      <c r="A1547" t="s">
        <v>9</v>
      </c>
      <c r="B1547" t="s">
        <v>1672</v>
      </c>
      <c r="C1547">
        <v>5</v>
      </c>
      <c r="D1547">
        <v>1.7899999999999999E-2</v>
      </c>
      <c r="E1547">
        <v>7.2168009433804814</v>
      </c>
      <c r="F1547">
        <v>720.60584792306076</v>
      </c>
      <c r="G1547">
        <v>0.42399999999999999</v>
      </c>
      <c r="H1547">
        <v>1.9E-2</v>
      </c>
      <c r="I1547">
        <v>309.40230000000003</v>
      </c>
    </row>
    <row r="1548" spans="1:9" x14ac:dyDescent="0.3">
      <c r="A1548" t="s">
        <v>9</v>
      </c>
      <c r="B1548" t="s">
        <v>1673</v>
      </c>
      <c r="C1548">
        <v>5</v>
      </c>
      <c r="D1548">
        <v>1.7899999999999999E-2</v>
      </c>
      <c r="E1548">
        <v>7.066696077214969</v>
      </c>
      <c r="F1548">
        <v>706.61607439643512</v>
      </c>
      <c r="G1548">
        <v>0.42399999999999999</v>
      </c>
      <c r="H1548">
        <v>1.66E-2</v>
      </c>
      <c r="I1548">
        <v>309.60239999999999</v>
      </c>
    </row>
    <row r="1549" spans="1:9" x14ac:dyDescent="0.3">
      <c r="A1549" t="s">
        <v>9</v>
      </c>
      <c r="B1549" t="s">
        <v>1674</v>
      </c>
      <c r="C1549">
        <v>5</v>
      </c>
      <c r="D1549">
        <v>1.7899999999999999E-2</v>
      </c>
      <c r="E1549">
        <v>6.8783135558407116</v>
      </c>
      <c r="F1549">
        <v>689.05882340435437</v>
      </c>
      <c r="G1549">
        <v>0.42399999999999999</v>
      </c>
      <c r="H1549">
        <v>1.37E-2</v>
      </c>
      <c r="I1549">
        <v>309.80200000000002</v>
      </c>
    </row>
    <row r="1550" spans="1:9" x14ac:dyDescent="0.3">
      <c r="A1550" t="s">
        <v>9</v>
      </c>
      <c r="B1550" t="s">
        <v>1675</v>
      </c>
      <c r="C1550">
        <v>5</v>
      </c>
      <c r="D1550">
        <v>1.7299999999999999E-2</v>
      </c>
      <c r="E1550">
        <v>6.6709562197804448</v>
      </c>
      <c r="F1550">
        <v>669.73311968353744</v>
      </c>
      <c r="G1550">
        <v>0.42399999999999999</v>
      </c>
      <c r="H1550">
        <v>1.0500000000000001E-2</v>
      </c>
      <c r="I1550">
        <v>310.00049999999999</v>
      </c>
    </row>
    <row r="1551" spans="1:9" x14ac:dyDescent="0.3">
      <c r="A1551" t="s">
        <v>9</v>
      </c>
      <c r="B1551" t="s">
        <v>1676</v>
      </c>
      <c r="C1551">
        <v>5</v>
      </c>
      <c r="D1551">
        <v>1.5699999999999999E-2</v>
      </c>
      <c r="E1551">
        <v>6.4613777149518796</v>
      </c>
      <c r="F1551">
        <v>650.20040303351516</v>
      </c>
      <c r="G1551">
        <v>0.42399999999999999</v>
      </c>
      <c r="H1551">
        <v>7.1999999999999998E-3</v>
      </c>
      <c r="I1551">
        <v>310.2013</v>
      </c>
    </row>
    <row r="1552" spans="1:9" x14ac:dyDescent="0.3">
      <c r="A1552" t="s">
        <v>9</v>
      </c>
      <c r="B1552" t="s">
        <v>1677</v>
      </c>
      <c r="C1552">
        <v>5</v>
      </c>
      <c r="D1552">
        <v>1.23E-2</v>
      </c>
      <c r="E1552">
        <v>6.2716618841105207</v>
      </c>
      <c r="F1552">
        <v>632.51888759910059</v>
      </c>
      <c r="G1552">
        <v>0.42399999999999999</v>
      </c>
      <c r="H1552">
        <v>4.3E-3</v>
      </c>
      <c r="I1552">
        <v>310.40309999999999</v>
      </c>
    </row>
    <row r="1553" spans="1:9" x14ac:dyDescent="0.3">
      <c r="A1553" t="s">
        <v>9</v>
      </c>
      <c r="B1553" t="s">
        <v>1678</v>
      </c>
      <c r="C1553">
        <v>5</v>
      </c>
      <c r="D1553">
        <v>8.2000000000000007E-3</v>
      </c>
      <c r="E1553">
        <v>6.1233080839258003</v>
      </c>
      <c r="F1553">
        <v>618.69231342188459</v>
      </c>
      <c r="G1553">
        <v>0.42399999999999999</v>
      </c>
      <c r="H1553">
        <v>2E-3</v>
      </c>
      <c r="I1553">
        <v>310.60239999999999</v>
      </c>
    </row>
    <row r="1554" spans="1:9" x14ac:dyDescent="0.3">
      <c r="A1554" t="s">
        <v>9</v>
      </c>
      <c r="B1554" t="s">
        <v>1679</v>
      </c>
      <c r="C1554">
        <v>5</v>
      </c>
      <c r="D1554">
        <v>4.1999999999999997E-3</v>
      </c>
      <c r="E1554">
        <v>6.0286002332296826</v>
      </c>
      <c r="F1554">
        <v>609.86554173700642</v>
      </c>
      <c r="G1554">
        <v>0.42399999999999999</v>
      </c>
      <c r="H1554">
        <v>5.0000000000000001E-4</v>
      </c>
      <c r="I1554">
        <v>310.80059999999997</v>
      </c>
    </row>
    <row r="1555" spans="1:9" x14ac:dyDescent="0.3">
      <c r="A1555" t="s">
        <v>9</v>
      </c>
      <c r="B1555" t="s">
        <v>1680</v>
      </c>
      <c r="C1555">
        <v>5</v>
      </c>
      <c r="D1555">
        <v>1.6000000000000001E-3</v>
      </c>
      <c r="E1555">
        <v>5.99573731040197</v>
      </c>
      <c r="F1555">
        <v>606.80271732946358</v>
      </c>
      <c r="G1555">
        <v>0.42399999999999999</v>
      </c>
      <c r="H1555">
        <v>0</v>
      </c>
      <c r="I1555">
        <v>311.00209999999998</v>
      </c>
    </row>
    <row r="1556" spans="1:9" x14ac:dyDescent="0.3">
      <c r="A1556" t="s">
        <v>9</v>
      </c>
      <c r="B1556" t="s">
        <v>1681</v>
      </c>
      <c r="C1556">
        <v>5</v>
      </c>
      <c r="D1556">
        <v>5.9999999999999995E-4</v>
      </c>
      <c r="E1556">
        <v>6.029842705084671</v>
      </c>
      <c r="F1556">
        <v>712.23207271253534</v>
      </c>
      <c r="G1556">
        <v>0.42399999999999999</v>
      </c>
      <c r="H1556">
        <v>5.0000000000000001E-4</v>
      </c>
      <c r="I1556">
        <v>311.20310000000001</v>
      </c>
    </row>
    <row r="1557" spans="1:9" x14ac:dyDescent="0.3">
      <c r="A1557" t="s">
        <v>9</v>
      </c>
      <c r="B1557" t="s">
        <v>1682</v>
      </c>
      <c r="C1557">
        <v>5</v>
      </c>
      <c r="D1557">
        <v>5.9999999999999995E-4</v>
      </c>
      <c r="E1557">
        <v>6.1262874829965277</v>
      </c>
      <c r="F1557">
        <v>721.38468213637054</v>
      </c>
      <c r="G1557">
        <v>0.42399999999999999</v>
      </c>
      <c r="H1557">
        <v>2E-3</v>
      </c>
      <c r="I1557">
        <v>311.4024</v>
      </c>
    </row>
    <row r="1558" spans="1:9" x14ac:dyDescent="0.3">
      <c r="A1558" t="s">
        <v>9</v>
      </c>
      <c r="B1558" t="s">
        <v>1683</v>
      </c>
      <c r="C1558">
        <v>5</v>
      </c>
      <c r="D1558">
        <v>8.0000000000000004E-4</v>
      </c>
      <c r="E1558">
        <v>6.2765456171055236</v>
      </c>
      <c r="F1558">
        <v>735.64417906331425</v>
      </c>
      <c r="G1558">
        <v>0.42399999999999999</v>
      </c>
      <c r="H1558">
        <v>4.4000000000000003E-3</v>
      </c>
      <c r="I1558">
        <v>311.6026</v>
      </c>
    </row>
    <row r="1559" spans="1:9" x14ac:dyDescent="0.3">
      <c r="A1559" t="s">
        <v>9</v>
      </c>
      <c r="B1559" t="s">
        <v>1684</v>
      </c>
      <c r="C1559">
        <v>5</v>
      </c>
      <c r="D1559">
        <v>1.8E-3</v>
      </c>
      <c r="E1559">
        <v>6.4636682192184196</v>
      </c>
      <c r="F1559">
        <v>753.40211400382816</v>
      </c>
      <c r="G1559">
        <v>0.42399999999999999</v>
      </c>
      <c r="H1559">
        <v>7.3000000000000001E-3</v>
      </c>
      <c r="I1559">
        <v>311.80099999999999</v>
      </c>
    </row>
    <row r="1560" spans="1:9" x14ac:dyDescent="0.3">
      <c r="A1560" t="s">
        <v>9</v>
      </c>
      <c r="B1560" t="s">
        <v>1685</v>
      </c>
      <c r="C1560">
        <v>5</v>
      </c>
      <c r="D1560">
        <v>4.4999999999999997E-3</v>
      </c>
      <c r="E1560">
        <v>6.6737977587961854</v>
      </c>
      <c r="F1560">
        <v>773.34340730975805</v>
      </c>
      <c r="G1560">
        <v>0.42399999999999999</v>
      </c>
      <c r="H1560">
        <v>1.0500000000000001E-2</v>
      </c>
      <c r="I1560">
        <v>312.00209999999998</v>
      </c>
    </row>
    <row r="1561" spans="1:9" x14ac:dyDescent="0.3">
      <c r="A1561" t="s">
        <v>9</v>
      </c>
      <c r="B1561" t="s">
        <v>1686</v>
      </c>
      <c r="C1561">
        <v>5</v>
      </c>
      <c r="D1561">
        <v>8.2000000000000007E-3</v>
      </c>
      <c r="E1561">
        <v>6.8840538052479392</v>
      </c>
      <c r="F1561">
        <v>793.29670611802942</v>
      </c>
      <c r="G1561">
        <v>0.42399999999999999</v>
      </c>
      <c r="H1561">
        <v>1.38E-2</v>
      </c>
      <c r="I1561">
        <v>312.20370000000003</v>
      </c>
    </row>
    <row r="1562" spans="1:9" x14ac:dyDescent="0.3">
      <c r="A1562" t="s">
        <v>9</v>
      </c>
      <c r="B1562" t="s">
        <v>1687</v>
      </c>
      <c r="C1562">
        <v>5</v>
      </c>
      <c r="D1562">
        <v>1.0699999999999999E-2</v>
      </c>
      <c r="E1562">
        <v>7.0713293914747952</v>
      </c>
      <c r="F1562">
        <v>811.06915925095814</v>
      </c>
      <c r="G1562">
        <v>0.42399999999999999</v>
      </c>
      <c r="H1562">
        <v>1.67E-2</v>
      </c>
      <c r="I1562">
        <v>312.40300000000002</v>
      </c>
    </row>
    <row r="1563" spans="1:9" x14ac:dyDescent="0.3">
      <c r="A1563" t="s">
        <v>9</v>
      </c>
      <c r="B1563" t="s">
        <v>1688</v>
      </c>
      <c r="C1563">
        <v>5</v>
      </c>
      <c r="D1563">
        <v>1.32E-2</v>
      </c>
      <c r="E1563">
        <v>7.219562604658476</v>
      </c>
      <c r="F1563">
        <v>825.13649118208946</v>
      </c>
      <c r="G1563">
        <v>0.42399999999999999</v>
      </c>
      <c r="H1563">
        <v>1.9E-2</v>
      </c>
      <c r="I1563">
        <v>312.60210000000001</v>
      </c>
    </row>
    <row r="1564" spans="1:9" x14ac:dyDescent="0.3">
      <c r="A1564" t="s">
        <v>9</v>
      </c>
      <c r="B1564" t="s">
        <v>1689</v>
      </c>
      <c r="C1564">
        <v>5</v>
      </c>
      <c r="D1564">
        <v>1.5599999999999999E-2</v>
      </c>
      <c r="E1564">
        <v>7.3148052510002586</v>
      </c>
      <c r="F1564">
        <v>834.17501831992467</v>
      </c>
      <c r="G1564">
        <v>0.42399999999999999</v>
      </c>
      <c r="H1564">
        <v>2.0500000000000001E-2</v>
      </c>
      <c r="I1564">
        <v>312.80180000000001</v>
      </c>
    </row>
    <row r="1565" spans="1:9" x14ac:dyDescent="0.3">
      <c r="A1565" t="s">
        <v>9</v>
      </c>
      <c r="B1565" t="s">
        <v>1690</v>
      </c>
      <c r="C1565">
        <v>5</v>
      </c>
      <c r="D1565">
        <v>1.7000000000000001E-2</v>
      </c>
      <c r="E1565">
        <v>7.3473017042560347</v>
      </c>
      <c r="F1565">
        <v>837.25893173389773</v>
      </c>
      <c r="G1565">
        <v>0.42399999999999999</v>
      </c>
      <c r="H1565">
        <v>2.1000000000000001E-2</v>
      </c>
      <c r="I1565">
        <v>313.0009</v>
      </c>
    </row>
    <row r="1566" spans="1:9" x14ac:dyDescent="0.3">
      <c r="A1566" t="s">
        <v>9</v>
      </c>
      <c r="B1566" t="s">
        <v>1691</v>
      </c>
      <c r="C1566">
        <v>5</v>
      </c>
      <c r="D1566">
        <v>1.7899999999999999E-2</v>
      </c>
      <c r="E1566">
        <v>7.3133143350526453</v>
      </c>
      <c r="F1566">
        <v>729.60089602690653</v>
      </c>
      <c r="G1566">
        <v>0.42399999999999999</v>
      </c>
      <c r="H1566">
        <v>2.0500000000000001E-2</v>
      </c>
      <c r="I1566">
        <v>313.20280000000002</v>
      </c>
    </row>
    <row r="1567" spans="1:9" x14ac:dyDescent="0.3">
      <c r="A1567" t="s">
        <v>9</v>
      </c>
      <c r="B1567" t="s">
        <v>1692</v>
      </c>
      <c r="C1567">
        <v>5</v>
      </c>
      <c r="D1567">
        <v>1.7999999999999999E-2</v>
      </c>
      <c r="E1567">
        <v>7.2159766213458054</v>
      </c>
      <c r="F1567">
        <v>720.5290211094291</v>
      </c>
      <c r="G1567">
        <v>0.42399999999999999</v>
      </c>
      <c r="H1567">
        <v>1.9E-2</v>
      </c>
      <c r="I1567">
        <v>313.40359999999998</v>
      </c>
    </row>
    <row r="1568" spans="1:9" x14ac:dyDescent="0.3">
      <c r="A1568" t="s">
        <v>9</v>
      </c>
      <c r="B1568" t="s">
        <v>1693</v>
      </c>
      <c r="C1568">
        <v>5</v>
      </c>
      <c r="D1568">
        <v>1.7899999999999999E-2</v>
      </c>
      <c r="E1568">
        <v>7.0679068128743578</v>
      </c>
      <c r="F1568">
        <v>706.72891495989018</v>
      </c>
      <c r="G1568">
        <v>0.42399999999999999</v>
      </c>
      <c r="H1568">
        <v>1.67E-2</v>
      </c>
      <c r="I1568">
        <v>313.601</v>
      </c>
    </row>
    <row r="1569" spans="1:9" x14ac:dyDescent="0.3">
      <c r="A1569" t="s">
        <v>9</v>
      </c>
      <c r="B1569" t="s">
        <v>1694</v>
      </c>
      <c r="C1569">
        <v>5</v>
      </c>
      <c r="D1569">
        <v>1.7500000000000002E-2</v>
      </c>
      <c r="E1569">
        <v>6.8774182764247964</v>
      </c>
      <c r="F1569">
        <v>688.97538336279092</v>
      </c>
      <c r="G1569">
        <v>0.42399999999999999</v>
      </c>
      <c r="H1569">
        <v>1.37E-2</v>
      </c>
      <c r="I1569">
        <v>313.80290000000002</v>
      </c>
    </row>
    <row r="1570" spans="1:9" x14ac:dyDescent="0.3">
      <c r="A1570" t="s">
        <v>9</v>
      </c>
      <c r="B1570" t="s">
        <v>1695</v>
      </c>
      <c r="C1570">
        <v>5</v>
      </c>
      <c r="D1570">
        <v>1.6899999999999998E-2</v>
      </c>
      <c r="E1570">
        <v>6.6674176765455178</v>
      </c>
      <c r="F1570">
        <v>669.40332745404226</v>
      </c>
      <c r="G1570">
        <v>0.42399999999999999</v>
      </c>
      <c r="H1570">
        <v>1.04E-2</v>
      </c>
      <c r="I1570">
        <v>314.00380000000001</v>
      </c>
    </row>
    <row r="1571" spans="1:9" x14ac:dyDescent="0.3">
      <c r="A1571" t="s">
        <v>9</v>
      </c>
      <c r="B1571" t="s">
        <v>1696</v>
      </c>
      <c r="C1571">
        <v>5</v>
      </c>
      <c r="D1571">
        <v>1.52E-2</v>
      </c>
      <c r="E1571">
        <v>6.4610136022184133</v>
      </c>
      <c r="F1571">
        <v>650.16646772675608</v>
      </c>
      <c r="G1571">
        <v>0.42399999999999999</v>
      </c>
      <c r="H1571">
        <v>7.1999999999999998E-3</v>
      </c>
      <c r="I1571">
        <v>314.20170000000002</v>
      </c>
    </row>
    <row r="1572" spans="1:9" x14ac:dyDescent="0.3">
      <c r="A1572" t="s">
        <v>9</v>
      </c>
      <c r="B1572" t="s">
        <v>1697</v>
      </c>
      <c r="C1572">
        <v>5</v>
      </c>
      <c r="D1572">
        <v>1.21E-2</v>
      </c>
      <c r="E1572">
        <v>6.2726170921032827</v>
      </c>
      <c r="F1572">
        <v>632.60791298402592</v>
      </c>
      <c r="G1572">
        <v>0.42399999999999999</v>
      </c>
      <c r="H1572">
        <v>4.3E-3</v>
      </c>
      <c r="I1572">
        <v>314.40190000000001</v>
      </c>
    </row>
    <row r="1573" spans="1:9" x14ac:dyDescent="0.3">
      <c r="A1573" t="s">
        <v>9</v>
      </c>
      <c r="B1573" t="s">
        <v>1698</v>
      </c>
      <c r="C1573">
        <v>5</v>
      </c>
      <c r="D1573">
        <v>8.2000000000000007E-3</v>
      </c>
      <c r="E1573">
        <v>6.1239287785498444</v>
      </c>
      <c r="F1573">
        <v>618.75016216084543</v>
      </c>
      <c r="G1573">
        <v>0.42399999999999999</v>
      </c>
      <c r="H1573">
        <v>2E-3</v>
      </c>
      <c r="I1573">
        <v>314.60140000000001</v>
      </c>
    </row>
    <row r="1574" spans="1:9" x14ac:dyDescent="0.3">
      <c r="A1574" t="s">
        <v>9</v>
      </c>
      <c r="B1574" t="s">
        <v>1699</v>
      </c>
      <c r="C1574">
        <v>5</v>
      </c>
      <c r="D1574">
        <v>4.1999999999999997E-3</v>
      </c>
      <c r="E1574">
        <v>6.0278950547201777</v>
      </c>
      <c r="F1574">
        <v>609.79981909992057</v>
      </c>
      <c r="G1574">
        <v>0.42399999999999999</v>
      </c>
      <c r="H1574">
        <v>5.0000000000000001E-4</v>
      </c>
      <c r="I1574">
        <v>314.80279999999999</v>
      </c>
    </row>
    <row r="1575" spans="1:9" x14ac:dyDescent="0.3">
      <c r="A1575" t="s">
        <v>9</v>
      </c>
      <c r="B1575" t="s">
        <v>1700</v>
      </c>
      <c r="C1575">
        <v>5</v>
      </c>
      <c r="D1575">
        <v>2E-3</v>
      </c>
      <c r="E1575">
        <v>5.995743795467896</v>
      </c>
      <c r="F1575">
        <v>606.80332173760792</v>
      </c>
      <c r="G1575">
        <v>0.42399999999999999</v>
      </c>
      <c r="H1575">
        <v>0</v>
      </c>
      <c r="I1575">
        <v>315.00349999999997</v>
      </c>
    </row>
    <row r="1576" spans="1:9" x14ac:dyDescent="0.3">
      <c r="A1576" t="s">
        <v>9</v>
      </c>
      <c r="B1576" t="s">
        <v>1701</v>
      </c>
      <c r="C1576">
        <v>5</v>
      </c>
      <c r="D1576">
        <v>1E-3</v>
      </c>
      <c r="E1576">
        <v>6.0294465155601742</v>
      </c>
      <c r="F1576">
        <v>712.19447432666061</v>
      </c>
      <c r="G1576">
        <v>0.42399999999999999</v>
      </c>
      <c r="H1576">
        <v>5.0000000000000001E-4</v>
      </c>
      <c r="I1576">
        <v>315.20190000000002</v>
      </c>
    </row>
    <row r="1577" spans="1:9" x14ac:dyDescent="0.3">
      <c r="A1577" t="s">
        <v>9</v>
      </c>
      <c r="B1577" t="s">
        <v>1702</v>
      </c>
      <c r="C1577">
        <v>5</v>
      </c>
      <c r="D1577">
        <v>8.9999999999999998E-4</v>
      </c>
      <c r="E1577">
        <v>6.1253943120285097</v>
      </c>
      <c r="F1577">
        <v>721.29992021150565</v>
      </c>
      <c r="G1577">
        <v>0.42399999999999999</v>
      </c>
      <c r="H1577">
        <v>2E-3</v>
      </c>
      <c r="I1577">
        <v>315.40089999999998</v>
      </c>
    </row>
    <row r="1578" spans="1:9" x14ac:dyDescent="0.3">
      <c r="A1578" t="s">
        <v>9</v>
      </c>
      <c r="B1578" t="s">
        <v>1703</v>
      </c>
      <c r="C1578">
        <v>5</v>
      </c>
      <c r="D1578">
        <v>1E-3</v>
      </c>
      <c r="E1578">
        <v>6.2756523244962814</v>
      </c>
      <c r="F1578">
        <v>735.55940559469707</v>
      </c>
      <c r="G1578">
        <v>0.42399999999999999</v>
      </c>
      <c r="H1578">
        <v>4.3E-3</v>
      </c>
      <c r="I1578">
        <v>315.60160000000002</v>
      </c>
    </row>
    <row r="1579" spans="1:9" x14ac:dyDescent="0.3">
      <c r="A1579" t="s">
        <v>9</v>
      </c>
      <c r="B1579" t="s">
        <v>1704</v>
      </c>
      <c r="C1579">
        <v>5</v>
      </c>
      <c r="D1579">
        <v>1.8E-3</v>
      </c>
      <c r="E1579">
        <v>6.4655840685119941</v>
      </c>
      <c r="F1579">
        <v>753.58392810178827</v>
      </c>
      <c r="G1579">
        <v>0.42399999999999999</v>
      </c>
      <c r="H1579">
        <v>7.3000000000000001E-3</v>
      </c>
      <c r="I1579">
        <v>315.80290000000002</v>
      </c>
    </row>
    <row r="1580" spans="1:9" x14ac:dyDescent="0.3">
      <c r="A1580" t="s">
        <v>9</v>
      </c>
      <c r="B1580" t="s">
        <v>1705</v>
      </c>
      <c r="C1580">
        <v>5</v>
      </c>
      <c r="D1580">
        <v>4.4999999999999997E-3</v>
      </c>
      <c r="E1580">
        <v>6.6759341841777387</v>
      </c>
      <c r="F1580">
        <v>773.54615407846745</v>
      </c>
      <c r="G1580">
        <v>0.42399999999999999</v>
      </c>
      <c r="H1580">
        <v>1.06E-2</v>
      </c>
      <c r="I1580">
        <v>316.00420000000003</v>
      </c>
    </row>
    <row r="1581" spans="1:9" x14ac:dyDescent="0.3">
      <c r="A1581" t="s">
        <v>9</v>
      </c>
      <c r="B1581" t="s">
        <v>1706</v>
      </c>
      <c r="C1581">
        <v>5</v>
      </c>
      <c r="D1581">
        <v>7.7999999999999996E-3</v>
      </c>
      <c r="E1581">
        <v>6.8812832236134431</v>
      </c>
      <c r="F1581">
        <v>793.03377792091578</v>
      </c>
      <c r="G1581">
        <v>0.42399999999999999</v>
      </c>
      <c r="H1581">
        <v>1.38E-2</v>
      </c>
      <c r="I1581">
        <v>316.20089999999999</v>
      </c>
    </row>
    <row r="1582" spans="1:9" x14ac:dyDescent="0.3">
      <c r="A1582" t="s">
        <v>9</v>
      </c>
      <c r="B1582" t="s">
        <v>1707</v>
      </c>
      <c r="C1582">
        <v>5</v>
      </c>
      <c r="D1582">
        <v>1.09E-2</v>
      </c>
      <c r="E1582">
        <v>7.07150536578028</v>
      </c>
      <c r="F1582">
        <v>811.0858592125486</v>
      </c>
      <c r="G1582">
        <v>0.42399999999999999</v>
      </c>
      <c r="H1582">
        <v>1.67E-2</v>
      </c>
      <c r="I1582">
        <v>316.40320000000003</v>
      </c>
    </row>
    <row r="1583" spans="1:9" x14ac:dyDescent="0.3">
      <c r="A1583" t="s">
        <v>9</v>
      </c>
      <c r="B1583" t="s">
        <v>1708</v>
      </c>
      <c r="C1583">
        <v>5</v>
      </c>
      <c r="D1583">
        <v>1.3599999999999999E-2</v>
      </c>
      <c r="E1583">
        <v>7.2198229168799539</v>
      </c>
      <c r="F1583">
        <v>825.16119481190765</v>
      </c>
      <c r="G1583">
        <v>0.42399999999999999</v>
      </c>
      <c r="H1583">
        <v>1.9E-2</v>
      </c>
      <c r="I1583">
        <v>316.60250000000002</v>
      </c>
    </row>
    <row r="1584" spans="1:9" x14ac:dyDescent="0.3">
      <c r="A1584" t="s">
        <v>9</v>
      </c>
      <c r="B1584" t="s">
        <v>1709</v>
      </c>
      <c r="C1584">
        <v>5</v>
      </c>
      <c r="D1584">
        <v>1.54E-2</v>
      </c>
      <c r="E1584">
        <v>7.3150927297619823</v>
      </c>
      <c r="F1584">
        <v>834.20230005441215</v>
      </c>
      <c r="G1584">
        <v>0.42399999999999999</v>
      </c>
      <c r="H1584">
        <v>2.0500000000000001E-2</v>
      </c>
      <c r="I1584">
        <v>316.80259999999998</v>
      </c>
    </row>
    <row r="1585" spans="1:9" x14ac:dyDescent="0.3">
      <c r="A1585" t="s">
        <v>9</v>
      </c>
      <c r="B1585" t="s">
        <v>1710</v>
      </c>
      <c r="C1585">
        <v>5</v>
      </c>
      <c r="D1585">
        <v>1.6799999999999999E-2</v>
      </c>
      <c r="E1585">
        <v>7.3473000823730326</v>
      </c>
      <c r="F1585">
        <v>837.25877781720089</v>
      </c>
      <c r="G1585">
        <v>0.42399999999999999</v>
      </c>
      <c r="H1585">
        <v>2.1000000000000001E-2</v>
      </c>
      <c r="I1585">
        <v>317.0018</v>
      </c>
    </row>
    <row r="1586" spans="1:9" x14ac:dyDescent="0.3">
      <c r="A1586" t="s">
        <v>9</v>
      </c>
      <c r="B1586" t="s">
        <v>1711</v>
      </c>
      <c r="C1586">
        <v>5</v>
      </c>
      <c r="D1586">
        <v>1.7999999999999999E-2</v>
      </c>
      <c r="E1586">
        <v>7.3130000952214234</v>
      </c>
      <c r="F1586">
        <v>729.57160887463669</v>
      </c>
      <c r="G1586">
        <v>0.42399999999999999</v>
      </c>
      <c r="H1586">
        <v>2.0500000000000001E-2</v>
      </c>
      <c r="I1586">
        <v>317.20370000000003</v>
      </c>
    </row>
    <row r="1587" spans="1:9" x14ac:dyDescent="0.3">
      <c r="A1587" t="s">
        <v>9</v>
      </c>
      <c r="B1587" t="s">
        <v>1712</v>
      </c>
      <c r="C1587">
        <v>5</v>
      </c>
      <c r="D1587">
        <v>1.7999999999999999E-2</v>
      </c>
      <c r="E1587">
        <v>7.2155168175153479</v>
      </c>
      <c r="F1587">
        <v>720.48616739243039</v>
      </c>
      <c r="G1587">
        <v>0.42399999999999999</v>
      </c>
      <c r="H1587">
        <v>1.9E-2</v>
      </c>
      <c r="I1587">
        <v>317.40429999999998</v>
      </c>
    </row>
    <row r="1588" spans="1:9" x14ac:dyDescent="0.3">
      <c r="A1588" t="s">
        <v>9</v>
      </c>
      <c r="B1588" t="s">
        <v>1713</v>
      </c>
      <c r="C1588">
        <v>5</v>
      </c>
      <c r="D1588">
        <v>1.7999999999999999E-2</v>
      </c>
      <c r="E1588">
        <v>7.0662581688050112</v>
      </c>
      <c r="F1588">
        <v>706.57526133262706</v>
      </c>
      <c r="G1588">
        <v>0.42399999999999999</v>
      </c>
      <c r="H1588">
        <v>1.66E-2</v>
      </c>
      <c r="I1588">
        <v>317.60289999999998</v>
      </c>
    </row>
    <row r="1589" spans="1:9" x14ac:dyDescent="0.3">
      <c r="A1589" t="s">
        <v>9</v>
      </c>
      <c r="B1589" t="s">
        <v>1714</v>
      </c>
      <c r="C1589">
        <v>5</v>
      </c>
      <c r="D1589">
        <v>1.7899999999999999E-2</v>
      </c>
      <c r="E1589">
        <v>6.8774462539065437</v>
      </c>
      <c r="F1589">
        <v>688.97799086408986</v>
      </c>
      <c r="G1589">
        <v>0.42399999999999999</v>
      </c>
      <c r="H1589">
        <v>1.37E-2</v>
      </c>
      <c r="I1589">
        <v>317.80290000000002</v>
      </c>
    </row>
    <row r="1590" spans="1:9" x14ac:dyDescent="0.3">
      <c r="A1590" t="s">
        <v>9</v>
      </c>
      <c r="B1590" t="s">
        <v>1715</v>
      </c>
      <c r="C1590">
        <v>5</v>
      </c>
      <c r="D1590">
        <v>1.7000000000000001E-2</v>
      </c>
      <c r="E1590">
        <v>6.6684573035484238</v>
      </c>
      <c r="F1590">
        <v>669.50022069071315</v>
      </c>
      <c r="G1590">
        <v>0.42399999999999999</v>
      </c>
      <c r="H1590">
        <v>1.0500000000000001E-2</v>
      </c>
      <c r="I1590">
        <v>318.00290000000001</v>
      </c>
    </row>
    <row r="1591" spans="1:9" x14ac:dyDescent="0.3">
      <c r="A1591" t="s">
        <v>9</v>
      </c>
      <c r="B1591" t="s">
        <v>1716</v>
      </c>
      <c r="C1591">
        <v>5</v>
      </c>
      <c r="D1591">
        <v>1.49E-2</v>
      </c>
      <c r="E1591">
        <v>6.4585345540531396</v>
      </c>
      <c r="F1591">
        <v>649.93542043775267</v>
      </c>
      <c r="G1591">
        <v>0.42399999999999999</v>
      </c>
      <c r="H1591">
        <v>7.1999999999999998E-3</v>
      </c>
      <c r="I1591">
        <v>318.20409999999998</v>
      </c>
    </row>
    <row r="1592" spans="1:9" x14ac:dyDescent="0.3">
      <c r="A1592" t="s">
        <v>9</v>
      </c>
      <c r="B1592" t="s">
        <v>1717</v>
      </c>
      <c r="C1592">
        <v>5</v>
      </c>
      <c r="D1592">
        <v>1.2200000000000001E-2</v>
      </c>
      <c r="E1592">
        <v>6.2724742042109964</v>
      </c>
      <c r="F1592">
        <v>632.59459583246485</v>
      </c>
      <c r="G1592">
        <v>0.42399999999999999</v>
      </c>
      <c r="H1592">
        <v>4.3E-3</v>
      </c>
      <c r="I1592">
        <v>318.40210000000002</v>
      </c>
    </row>
    <row r="1593" spans="1:9" x14ac:dyDescent="0.3">
      <c r="A1593" t="s">
        <v>9</v>
      </c>
      <c r="B1593" t="s">
        <v>1718</v>
      </c>
      <c r="C1593">
        <v>5</v>
      </c>
      <c r="D1593">
        <v>8.3999999999999995E-3</v>
      </c>
      <c r="E1593">
        <v>6.1231010911079444</v>
      </c>
      <c r="F1593">
        <v>618.67302169126049</v>
      </c>
      <c r="G1593">
        <v>0.42399999999999999</v>
      </c>
      <c r="H1593">
        <v>2E-3</v>
      </c>
      <c r="I1593">
        <v>318.60270000000003</v>
      </c>
    </row>
    <row r="1594" spans="1:9" x14ac:dyDescent="0.3">
      <c r="A1594" t="s">
        <v>9</v>
      </c>
      <c r="B1594" t="s">
        <v>1719</v>
      </c>
      <c r="C1594">
        <v>5</v>
      </c>
      <c r="D1594">
        <v>4.4000000000000003E-3</v>
      </c>
      <c r="E1594">
        <v>6.0284532135904527</v>
      </c>
      <c r="F1594">
        <v>609.8518395066302</v>
      </c>
      <c r="G1594">
        <v>0.42399999999999999</v>
      </c>
      <c r="H1594">
        <v>5.0000000000000001E-4</v>
      </c>
      <c r="I1594">
        <v>318.80110000000002</v>
      </c>
    </row>
    <row r="1595" spans="1:9" x14ac:dyDescent="0.3">
      <c r="A1595" t="s">
        <v>9</v>
      </c>
      <c r="B1595" t="s">
        <v>1720</v>
      </c>
      <c r="C1595">
        <v>5</v>
      </c>
      <c r="D1595">
        <v>1.8E-3</v>
      </c>
      <c r="E1595">
        <v>5.9957430704294286</v>
      </c>
      <c r="F1595">
        <v>606.80325416402286</v>
      </c>
      <c r="G1595">
        <v>0.42399999999999999</v>
      </c>
      <c r="H1595">
        <v>0</v>
      </c>
      <c r="I1595">
        <v>319.0034</v>
      </c>
    </row>
    <row r="1596" spans="1:9" x14ac:dyDescent="0.3">
      <c r="A1596" t="s">
        <v>9</v>
      </c>
      <c r="B1596" t="s">
        <v>1721</v>
      </c>
      <c r="C1596">
        <v>5</v>
      </c>
      <c r="D1596">
        <v>1.2999999999999999E-3</v>
      </c>
      <c r="E1596">
        <v>6.0293281302653066</v>
      </c>
      <c r="F1596">
        <v>712.18323956217773</v>
      </c>
      <c r="G1596">
        <v>0.42399999999999999</v>
      </c>
      <c r="H1596">
        <v>5.0000000000000001E-4</v>
      </c>
      <c r="I1596">
        <v>319.20159999999998</v>
      </c>
    </row>
    <row r="1597" spans="1:9" x14ac:dyDescent="0.3">
      <c r="A1597" t="s">
        <v>9</v>
      </c>
      <c r="B1597" t="s">
        <v>1722</v>
      </c>
      <c r="C1597">
        <v>5</v>
      </c>
      <c r="D1597">
        <v>1.2999999999999999E-3</v>
      </c>
      <c r="E1597">
        <v>6.1258512370166418</v>
      </c>
      <c r="F1597">
        <v>721.34328239287936</v>
      </c>
      <c r="G1597">
        <v>0.42399999999999999</v>
      </c>
      <c r="H1597">
        <v>2E-3</v>
      </c>
      <c r="I1597">
        <v>319.40170000000001</v>
      </c>
    </row>
    <row r="1598" spans="1:9" x14ac:dyDescent="0.3">
      <c r="A1598" t="s">
        <v>9</v>
      </c>
      <c r="B1598" t="s">
        <v>1723</v>
      </c>
      <c r="C1598">
        <v>5</v>
      </c>
      <c r="D1598">
        <v>1.5E-3</v>
      </c>
      <c r="E1598">
        <v>6.2777877767480348</v>
      </c>
      <c r="F1598">
        <v>735.76206001338858</v>
      </c>
      <c r="G1598">
        <v>0.42399999999999999</v>
      </c>
      <c r="H1598">
        <v>4.4000000000000003E-3</v>
      </c>
      <c r="I1598">
        <v>319.60399999999998</v>
      </c>
    </row>
    <row r="1599" spans="1:9" x14ac:dyDescent="0.3">
      <c r="A1599" t="s">
        <v>9</v>
      </c>
      <c r="B1599" t="s">
        <v>1724</v>
      </c>
      <c r="C1599">
        <v>5</v>
      </c>
      <c r="D1599">
        <v>2.5000000000000001E-3</v>
      </c>
      <c r="E1599">
        <v>6.4667550680378874</v>
      </c>
      <c r="F1599">
        <v>753.6950559567955</v>
      </c>
      <c r="G1599">
        <v>0.42399999999999999</v>
      </c>
      <c r="H1599">
        <v>7.3000000000000001E-3</v>
      </c>
      <c r="I1599">
        <v>319.80399999999997</v>
      </c>
    </row>
    <row r="1600" spans="1:9" x14ac:dyDescent="0.3">
      <c r="A1600" t="s">
        <v>9</v>
      </c>
      <c r="B1600" t="s">
        <v>1725</v>
      </c>
      <c r="C1600">
        <v>5</v>
      </c>
      <c r="D1600">
        <v>4.8999999999999998E-3</v>
      </c>
      <c r="E1600">
        <v>6.6767503967974164</v>
      </c>
      <c r="F1600">
        <v>773.62361265607478</v>
      </c>
      <c r="G1600">
        <v>0.42399999999999999</v>
      </c>
      <c r="H1600">
        <v>1.06E-2</v>
      </c>
      <c r="I1600">
        <v>320.00490000000002</v>
      </c>
    </row>
    <row r="1601" spans="1:9" x14ac:dyDescent="0.3">
      <c r="A1601" t="s">
        <v>9</v>
      </c>
      <c r="B1601" t="s">
        <v>1726</v>
      </c>
      <c r="C1601">
        <v>5</v>
      </c>
      <c r="D1601">
        <v>8.0000000000000002E-3</v>
      </c>
      <c r="E1601">
        <v>6.8848988062908596</v>
      </c>
      <c r="F1601">
        <v>793.37689671700275</v>
      </c>
      <c r="G1601">
        <v>0.42399999999999999</v>
      </c>
      <c r="H1601">
        <v>1.38E-2</v>
      </c>
      <c r="I1601">
        <v>320.2045</v>
      </c>
    </row>
    <row r="1602" spans="1:9" x14ac:dyDescent="0.3">
      <c r="A1602" t="s">
        <v>9</v>
      </c>
      <c r="B1602" t="s">
        <v>1727</v>
      </c>
      <c r="C1602">
        <v>5</v>
      </c>
      <c r="D1602">
        <v>1.0800000000000001E-2</v>
      </c>
      <c r="E1602">
        <v>7.070466955189624</v>
      </c>
      <c r="F1602">
        <v>810.98731404749537</v>
      </c>
      <c r="G1602">
        <v>0.42399999999999999</v>
      </c>
      <c r="H1602">
        <v>1.67E-2</v>
      </c>
      <c r="I1602">
        <v>320.40199999999999</v>
      </c>
    </row>
    <row r="1603" spans="1:9" x14ac:dyDescent="0.3">
      <c r="A1603" t="s">
        <v>9</v>
      </c>
      <c r="B1603" t="s">
        <v>1728</v>
      </c>
      <c r="C1603">
        <v>5</v>
      </c>
      <c r="D1603">
        <v>1.35E-2</v>
      </c>
      <c r="E1603">
        <v>7.2206727835718763</v>
      </c>
      <c r="F1603">
        <v>825.24184716097113</v>
      </c>
      <c r="G1603">
        <v>0.42399999999999999</v>
      </c>
      <c r="H1603">
        <v>1.9E-2</v>
      </c>
      <c r="I1603">
        <v>320.60390000000001</v>
      </c>
    </row>
    <row r="1604" spans="1:9" x14ac:dyDescent="0.3">
      <c r="A1604" t="s">
        <v>9</v>
      </c>
      <c r="B1604" t="s">
        <v>1729</v>
      </c>
      <c r="C1604">
        <v>5</v>
      </c>
      <c r="D1604">
        <v>1.54E-2</v>
      </c>
      <c r="E1604">
        <v>7.3153096566132119</v>
      </c>
      <c r="F1604">
        <v>834.22288641259388</v>
      </c>
      <c r="G1604">
        <v>0.42399999999999999</v>
      </c>
      <c r="H1604">
        <v>2.0500000000000001E-2</v>
      </c>
      <c r="I1604">
        <v>320.80329999999998</v>
      </c>
    </row>
    <row r="1605" spans="1:9" x14ac:dyDescent="0.3">
      <c r="A1605" t="s">
        <v>9</v>
      </c>
      <c r="B1605" t="s">
        <v>1730</v>
      </c>
      <c r="C1605">
        <v>5</v>
      </c>
      <c r="D1605">
        <v>1.6799999999999999E-2</v>
      </c>
      <c r="E1605">
        <v>7.3473000823730326</v>
      </c>
      <c r="F1605">
        <v>837.25877781720089</v>
      </c>
      <c r="G1605">
        <v>0.42399999999999999</v>
      </c>
      <c r="H1605">
        <v>2.1000000000000001E-2</v>
      </c>
      <c r="I1605">
        <v>321.0018</v>
      </c>
    </row>
    <row r="1606" spans="1:9" x14ac:dyDescent="0.3">
      <c r="A1606" t="s">
        <v>9</v>
      </c>
      <c r="B1606" t="s">
        <v>1731</v>
      </c>
      <c r="C1606">
        <v>5</v>
      </c>
      <c r="D1606">
        <v>1.7899999999999999E-2</v>
      </c>
      <c r="E1606">
        <v>7.3136804751398614</v>
      </c>
      <c r="F1606">
        <v>729.63502028303515</v>
      </c>
      <c r="G1606">
        <v>0.42399999999999999</v>
      </c>
      <c r="H1606">
        <v>2.0500000000000001E-2</v>
      </c>
      <c r="I1606">
        <v>321.20170000000002</v>
      </c>
    </row>
    <row r="1607" spans="1:9" x14ac:dyDescent="0.3">
      <c r="A1607" t="s">
        <v>9</v>
      </c>
      <c r="B1607" t="s">
        <v>1732</v>
      </c>
      <c r="C1607">
        <v>5</v>
      </c>
      <c r="D1607">
        <v>1.8100000000000002E-2</v>
      </c>
      <c r="E1607">
        <v>7.2169623207389648</v>
      </c>
      <c r="F1607">
        <v>720.62088829287154</v>
      </c>
      <c r="G1607">
        <v>0.42399999999999999</v>
      </c>
      <c r="H1607">
        <v>1.9E-2</v>
      </c>
      <c r="I1607">
        <v>321.40199999999999</v>
      </c>
    </row>
    <row r="1608" spans="1:9" x14ac:dyDescent="0.3">
      <c r="A1608" t="s">
        <v>9</v>
      </c>
      <c r="B1608" t="s">
        <v>1733</v>
      </c>
      <c r="C1608">
        <v>5</v>
      </c>
      <c r="D1608">
        <v>1.7999999999999999E-2</v>
      </c>
      <c r="E1608">
        <v>7.0673525343591601</v>
      </c>
      <c r="F1608">
        <v>706.67725620227372</v>
      </c>
      <c r="G1608">
        <v>0.42399999999999999</v>
      </c>
      <c r="H1608">
        <v>1.67E-2</v>
      </c>
      <c r="I1608">
        <v>321.60160000000002</v>
      </c>
    </row>
    <row r="1609" spans="1:9" x14ac:dyDescent="0.3">
      <c r="A1609" t="s">
        <v>9</v>
      </c>
      <c r="B1609" t="s">
        <v>1734</v>
      </c>
      <c r="C1609">
        <v>5</v>
      </c>
      <c r="D1609">
        <v>1.77E-2</v>
      </c>
      <c r="E1609">
        <v>6.8787109171756766</v>
      </c>
      <c r="F1609">
        <v>689.09585748077313</v>
      </c>
      <c r="G1609">
        <v>0.42399999999999999</v>
      </c>
      <c r="H1609">
        <v>1.37E-2</v>
      </c>
      <c r="I1609">
        <v>321.80160000000001</v>
      </c>
    </row>
    <row r="1610" spans="1:9" x14ac:dyDescent="0.3">
      <c r="A1610" t="s">
        <v>9</v>
      </c>
      <c r="B1610" t="s">
        <v>1735</v>
      </c>
      <c r="C1610">
        <v>5</v>
      </c>
      <c r="D1610">
        <v>1.72E-2</v>
      </c>
      <c r="E1610">
        <v>6.6668779949773178</v>
      </c>
      <c r="F1610">
        <v>669.35302913188605</v>
      </c>
      <c r="G1610">
        <v>0.42399999999999999</v>
      </c>
      <c r="H1610">
        <v>1.04E-2</v>
      </c>
      <c r="I1610">
        <v>322.00439999999998</v>
      </c>
    </row>
    <row r="1611" spans="1:9" x14ac:dyDescent="0.3">
      <c r="A1611" t="s">
        <v>9</v>
      </c>
      <c r="B1611" t="s">
        <v>1736</v>
      </c>
      <c r="C1611">
        <v>5</v>
      </c>
      <c r="D1611">
        <v>1.5699999999999999E-2</v>
      </c>
      <c r="E1611">
        <v>6.4609710277896673</v>
      </c>
      <c r="F1611">
        <v>650.16249978999701</v>
      </c>
      <c r="G1611">
        <v>0.42399999999999999</v>
      </c>
      <c r="H1611">
        <v>7.1999999999999998E-3</v>
      </c>
      <c r="I1611">
        <v>322.20170000000002</v>
      </c>
    </row>
    <row r="1612" spans="1:9" x14ac:dyDescent="0.3">
      <c r="A1612" t="s">
        <v>9</v>
      </c>
      <c r="B1612" t="s">
        <v>1737</v>
      </c>
      <c r="C1612">
        <v>5</v>
      </c>
      <c r="D1612">
        <v>1.24E-2</v>
      </c>
      <c r="E1612">
        <v>6.2731138748661373</v>
      </c>
      <c r="F1612">
        <v>632.65421313752404</v>
      </c>
      <c r="G1612">
        <v>0.42399999999999999</v>
      </c>
      <c r="H1612">
        <v>4.3E-3</v>
      </c>
      <c r="I1612">
        <v>322.40140000000002</v>
      </c>
    </row>
    <row r="1613" spans="1:9" x14ac:dyDescent="0.3">
      <c r="A1613" t="s">
        <v>9</v>
      </c>
      <c r="B1613" t="s">
        <v>1738</v>
      </c>
      <c r="C1613">
        <v>5</v>
      </c>
      <c r="D1613">
        <v>8.3999999999999995E-3</v>
      </c>
      <c r="E1613">
        <v>6.1228651882256164</v>
      </c>
      <c r="F1613">
        <v>618.65103554262737</v>
      </c>
      <c r="G1613">
        <v>0.42399999999999999</v>
      </c>
      <c r="H1613">
        <v>2E-3</v>
      </c>
      <c r="I1613">
        <v>322.60309999999998</v>
      </c>
    </row>
    <row r="1614" spans="1:9" x14ac:dyDescent="0.3">
      <c r="A1614" t="s">
        <v>9</v>
      </c>
      <c r="B1614" t="s">
        <v>1739</v>
      </c>
      <c r="C1614">
        <v>5</v>
      </c>
      <c r="D1614">
        <v>4.3E-3</v>
      </c>
      <c r="E1614">
        <v>6.0282912036975986</v>
      </c>
      <c r="F1614">
        <v>609.83674018461625</v>
      </c>
      <c r="G1614">
        <v>0.42399999999999999</v>
      </c>
      <c r="H1614">
        <v>5.0000000000000001E-4</v>
      </c>
      <c r="I1614">
        <v>322.80160000000001</v>
      </c>
    </row>
    <row r="1615" spans="1:9" x14ac:dyDescent="0.3">
      <c r="A1615" t="s">
        <v>9</v>
      </c>
      <c r="B1615" t="s">
        <v>1740</v>
      </c>
      <c r="C1615">
        <v>5</v>
      </c>
      <c r="D1615">
        <v>1.9E-3</v>
      </c>
      <c r="E1615">
        <v>5.9957365853639084</v>
      </c>
      <c r="F1615">
        <v>606.80264975591615</v>
      </c>
      <c r="G1615">
        <v>0.42399999999999999</v>
      </c>
      <c r="H1615">
        <v>0</v>
      </c>
      <c r="I1615">
        <v>323.00189999999998</v>
      </c>
    </row>
    <row r="1616" spans="1:9" x14ac:dyDescent="0.3">
      <c r="A1616" t="s">
        <v>9</v>
      </c>
      <c r="B1616" t="s">
        <v>1741</v>
      </c>
      <c r="C1616">
        <v>5</v>
      </c>
      <c r="D1616">
        <v>1E-3</v>
      </c>
      <c r="E1616">
        <v>6.0296214883529053</v>
      </c>
      <c r="F1616">
        <v>712.21107924469072</v>
      </c>
      <c r="G1616">
        <v>0.42399999999999999</v>
      </c>
      <c r="H1616">
        <v>5.0000000000000001E-4</v>
      </c>
      <c r="I1616">
        <v>323.20249999999999</v>
      </c>
    </row>
    <row r="1617" spans="1:9" x14ac:dyDescent="0.3">
      <c r="A1617" t="s">
        <v>9</v>
      </c>
      <c r="B1617" t="s">
        <v>1742</v>
      </c>
      <c r="C1617">
        <v>5</v>
      </c>
      <c r="D1617">
        <v>1E-3</v>
      </c>
      <c r="E1617">
        <v>6.1274198006128744</v>
      </c>
      <c r="F1617">
        <v>721.49213907816181</v>
      </c>
      <c r="G1617">
        <v>0.42399999999999999</v>
      </c>
      <c r="H1617">
        <v>2E-3</v>
      </c>
      <c r="I1617">
        <v>323.4042</v>
      </c>
    </row>
    <row r="1618" spans="1:9" x14ac:dyDescent="0.3">
      <c r="A1618" t="s">
        <v>9</v>
      </c>
      <c r="B1618" t="s">
        <v>1743</v>
      </c>
      <c r="C1618">
        <v>5</v>
      </c>
      <c r="D1618">
        <v>1.1000000000000001E-3</v>
      </c>
      <c r="E1618">
        <v>6.2761065328303873</v>
      </c>
      <c r="F1618">
        <v>735.60250996560376</v>
      </c>
      <c r="G1618">
        <v>0.42399999999999999</v>
      </c>
      <c r="H1618">
        <v>4.4000000000000003E-3</v>
      </c>
      <c r="I1618">
        <v>323.60210000000001</v>
      </c>
    </row>
    <row r="1619" spans="1:9" x14ac:dyDescent="0.3">
      <c r="A1619" t="s">
        <v>9</v>
      </c>
      <c r="B1619" t="s">
        <v>1744</v>
      </c>
      <c r="C1619">
        <v>5</v>
      </c>
      <c r="D1619">
        <v>1.6000000000000001E-3</v>
      </c>
      <c r="E1619">
        <v>6.4640757173221317</v>
      </c>
      <c r="F1619">
        <v>753.44078557387036</v>
      </c>
      <c r="G1619">
        <v>0.42399999999999999</v>
      </c>
      <c r="H1619">
        <v>7.3000000000000001E-3</v>
      </c>
      <c r="I1619">
        <v>323.8014</v>
      </c>
    </row>
    <row r="1620" spans="1:9" x14ac:dyDescent="0.3">
      <c r="A1620" t="s">
        <v>9</v>
      </c>
      <c r="B1620" t="s">
        <v>1745</v>
      </c>
      <c r="C1620">
        <v>5</v>
      </c>
      <c r="D1620">
        <v>3.5999999999999999E-3</v>
      </c>
      <c r="E1620">
        <v>6.6739575142716712</v>
      </c>
      <c r="F1620">
        <v>773.35856810438167</v>
      </c>
      <c r="G1620">
        <v>0.42399999999999999</v>
      </c>
      <c r="H1620">
        <v>1.0500000000000001E-2</v>
      </c>
      <c r="I1620">
        <v>324.00229999999999</v>
      </c>
    </row>
    <row r="1621" spans="1:9" x14ac:dyDescent="0.3">
      <c r="A1621" t="s">
        <v>9</v>
      </c>
      <c r="B1621" t="s">
        <v>1746</v>
      </c>
      <c r="C1621">
        <v>5</v>
      </c>
      <c r="D1621">
        <v>7.7000000000000002E-3</v>
      </c>
      <c r="E1621">
        <v>6.8825803245425723</v>
      </c>
      <c r="F1621">
        <v>793.15687279909014</v>
      </c>
      <c r="G1621">
        <v>0.42399999999999999</v>
      </c>
      <c r="H1621">
        <v>1.38E-2</v>
      </c>
      <c r="I1621">
        <v>324.2022</v>
      </c>
    </row>
    <row r="1622" spans="1:9" x14ac:dyDescent="0.3">
      <c r="A1622" t="s">
        <v>9</v>
      </c>
      <c r="B1622" t="s">
        <v>1747</v>
      </c>
      <c r="C1622">
        <v>5</v>
      </c>
      <c r="D1622">
        <v>1.0699999999999999E-2</v>
      </c>
      <c r="E1622">
        <v>7.0723718567729499</v>
      </c>
      <c r="F1622">
        <v>811.16808920775293</v>
      </c>
      <c r="G1622">
        <v>0.42399999999999999</v>
      </c>
      <c r="H1622">
        <v>1.67E-2</v>
      </c>
      <c r="I1622">
        <v>324.4042</v>
      </c>
    </row>
    <row r="1623" spans="1:9" x14ac:dyDescent="0.3">
      <c r="A1623" t="s">
        <v>9</v>
      </c>
      <c r="B1623" t="s">
        <v>1748</v>
      </c>
      <c r="C1623">
        <v>5</v>
      </c>
      <c r="D1623">
        <v>1.3299999999999999E-2</v>
      </c>
      <c r="E1623">
        <v>7.2209079566068546</v>
      </c>
      <c r="F1623">
        <v>825.26416508199054</v>
      </c>
      <c r="G1623">
        <v>0.42399999999999999</v>
      </c>
      <c r="H1623">
        <v>1.9E-2</v>
      </c>
      <c r="I1623">
        <v>324.60430000000002</v>
      </c>
    </row>
    <row r="1624" spans="1:9" x14ac:dyDescent="0.3">
      <c r="A1624" t="s">
        <v>9</v>
      </c>
      <c r="B1624" t="s">
        <v>1749</v>
      </c>
      <c r="C1624">
        <v>5</v>
      </c>
      <c r="D1624">
        <v>1.54E-2</v>
      </c>
      <c r="E1624">
        <v>7.3147659203375133</v>
      </c>
      <c r="F1624">
        <v>834.17128584003001</v>
      </c>
      <c r="G1624">
        <v>0.42399999999999999</v>
      </c>
      <c r="H1624">
        <v>2.0500000000000001E-2</v>
      </c>
      <c r="I1624">
        <v>324.80160000000001</v>
      </c>
    </row>
    <row r="1625" spans="1:9" x14ac:dyDescent="0.3">
      <c r="A1625" t="s">
        <v>9</v>
      </c>
      <c r="B1625" t="s">
        <v>1750</v>
      </c>
      <c r="C1625">
        <v>5</v>
      </c>
      <c r="D1625">
        <v>1.7100000000000001E-2</v>
      </c>
      <c r="E1625">
        <v>7.3472923784287838</v>
      </c>
      <c r="F1625">
        <v>837.25804671289166</v>
      </c>
      <c r="G1625">
        <v>0.42399999999999999</v>
      </c>
      <c r="H1625">
        <v>2.1000000000000001E-2</v>
      </c>
      <c r="I1625">
        <v>325.00349999999997</v>
      </c>
    </row>
    <row r="1626" spans="1:9" x14ac:dyDescent="0.3">
      <c r="A1626" t="s">
        <v>9</v>
      </c>
      <c r="B1626" t="s">
        <v>1751</v>
      </c>
      <c r="C1626">
        <v>5</v>
      </c>
      <c r="D1626">
        <v>1.77E-2</v>
      </c>
      <c r="E1626">
        <v>7.3129275159571803</v>
      </c>
      <c r="F1626">
        <v>729.56484448720926</v>
      </c>
      <c r="G1626">
        <v>0.42399999999999999</v>
      </c>
      <c r="H1626">
        <v>2.0500000000000001E-2</v>
      </c>
      <c r="I1626">
        <v>325.20389999999998</v>
      </c>
    </row>
    <row r="1627" spans="1:9" x14ac:dyDescent="0.3">
      <c r="A1627" t="s">
        <v>9</v>
      </c>
      <c r="B1627" t="s">
        <v>1752</v>
      </c>
      <c r="C1627">
        <v>5</v>
      </c>
      <c r="D1627">
        <v>1.77E-2</v>
      </c>
      <c r="E1627">
        <v>7.2167482321829839</v>
      </c>
      <c r="F1627">
        <v>720.60093523945409</v>
      </c>
      <c r="G1627">
        <v>0.42399999999999999</v>
      </c>
      <c r="H1627">
        <v>1.9E-2</v>
      </c>
      <c r="I1627">
        <v>325.4024</v>
      </c>
    </row>
    <row r="1628" spans="1:9" x14ac:dyDescent="0.3">
      <c r="A1628" t="s">
        <v>9</v>
      </c>
      <c r="B1628" t="s">
        <v>1753</v>
      </c>
      <c r="C1628">
        <v>5</v>
      </c>
      <c r="D1628">
        <v>1.7600000000000001E-2</v>
      </c>
      <c r="E1628">
        <v>7.0647810388628951</v>
      </c>
      <c r="F1628">
        <v>706.43759282202188</v>
      </c>
      <c r="G1628">
        <v>0.42399999999999999</v>
      </c>
      <c r="H1628">
        <v>1.66E-2</v>
      </c>
      <c r="I1628">
        <v>325.6046</v>
      </c>
    </row>
    <row r="1629" spans="1:9" x14ac:dyDescent="0.3">
      <c r="A1629" t="s">
        <v>9</v>
      </c>
      <c r="B1629" t="s">
        <v>1754</v>
      </c>
      <c r="C1629">
        <v>5</v>
      </c>
      <c r="D1629">
        <v>1.7600000000000001E-2</v>
      </c>
      <c r="E1629">
        <v>6.8760084546271747</v>
      </c>
      <c r="F1629">
        <v>688.84398797125266</v>
      </c>
      <c r="G1629">
        <v>0.42399999999999999</v>
      </c>
      <c r="H1629">
        <v>1.37E-2</v>
      </c>
      <c r="I1629">
        <v>325.80430000000001</v>
      </c>
    </row>
    <row r="1630" spans="1:9" x14ac:dyDescent="0.3">
      <c r="A1630" t="s">
        <v>9</v>
      </c>
      <c r="B1630" t="s">
        <v>1755</v>
      </c>
      <c r="C1630">
        <v>5</v>
      </c>
      <c r="D1630">
        <v>1.6500000000000001E-2</v>
      </c>
      <c r="E1630">
        <v>6.6669071888713161</v>
      </c>
      <c r="F1630">
        <v>669.35575000280664</v>
      </c>
      <c r="G1630">
        <v>0.42399999999999999</v>
      </c>
      <c r="H1630">
        <v>1.04E-2</v>
      </c>
      <c r="I1630">
        <v>326.0043</v>
      </c>
    </row>
    <row r="1631" spans="1:9" x14ac:dyDescent="0.3">
      <c r="A1631" t="s">
        <v>9</v>
      </c>
      <c r="B1631" t="s">
        <v>1756</v>
      </c>
      <c r="C1631">
        <v>5</v>
      </c>
      <c r="D1631">
        <v>1.49E-2</v>
      </c>
      <c r="E1631">
        <v>6.4587466152553707</v>
      </c>
      <c r="F1631">
        <v>649.95518454180058</v>
      </c>
      <c r="G1631">
        <v>0.42399999999999999</v>
      </c>
      <c r="H1631">
        <v>7.1999999999999998E-3</v>
      </c>
      <c r="I1631">
        <v>326.20389999999998</v>
      </c>
    </row>
    <row r="1632" spans="1:9" x14ac:dyDescent="0.3">
      <c r="A1632" t="s">
        <v>9</v>
      </c>
      <c r="B1632" t="s">
        <v>1757</v>
      </c>
      <c r="C1632">
        <v>5</v>
      </c>
      <c r="D1632">
        <v>1.17E-2</v>
      </c>
      <c r="E1632">
        <v>6.2716895372156678</v>
      </c>
      <c r="F1632">
        <v>632.52146486850029</v>
      </c>
      <c r="G1632">
        <v>0.42399999999999999</v>
      </c>
      <c r="H1632">
        <v>4.3E-3</v>
      </c>
      <c r="I1632">
        <v>326.40300000000002</v>
      </c>
    </row>
    <row r="1633" spans="1:9" x14ac:dyDescent="0.3">
      <c r="A1633" t="s">
        <v>9</v>
      </c>
      <c r="B1633" t="s">
        <v>1758</v>
      </c>
      <c r="C1633">
        <v>5</v>
      </c>
      <c r="D1633">
        <v>7.6E-3</v>
      </c>
      <c r="E1633">
        <v>6.1238471572878774</v>
      </c>
      <c r="F1633">
        <v>618.74255505923009</v>
      </c>
      <c r="G1633">
        <v>0.42399999999999999</v>
      </c>
      <c r="H1633">
        <v>2E-3</v>
      </c>
      <c r="I1633">
        <v>326.60149999999999</v>
      </c>
    </row>
    <row r="1634" spans="1:9" x14ac:dyDescent="0.3">
      <c r="A1634" t="s">
        <v>9</v>
      </c>
      <c r="B1634" t="s">
        <v>1759</v>
      </c>
      <c r="C1634">
        <v>5</v>
      </c>
      <c r="D1634">
        <v>4.4000000000000003E-3</v>
      </c>
      <c r="E1634">
        <v>6.0278212184966087</v>
      </c>
      <c r="F1634">
        <v>609.79293756388392</v>
      </c>
      <c r="G1634">
        <v>0.42399999999999999</v>
      </c>
      <c r="H1634">
        <v>5.0000000000000001E-4</v>
      </c>
      <c r="I1634">
        <v>326.803</v>
      </c>
    </row>
    <row r="1635" spans="1:9" x14ac:dyDescent="0.3">
      <c r="A1635" t="s">
        <v>9</v>
      </c>
      <c r="B1635" t="s">
        <v>1760</v>
      </c>
      <c r="C1635">
        <v>5</v>
      </c>
      <c r="D1635">
        <v>1.9E-3</v>
      </c>
      <c r="E1635">
        <v>5.9957527778857482</v>
      </c>
      <c r="F1635">
        <v>606.80415889895175</v>
      </c>
      <c r="G1635">
        <v>0.42399999999999999</v>
      </c>
      <c r="H1635">
        <v>0</v>
      </c>
      <c r="I1635">
        <v>327.00479999999999</v>
      </c>
    </row>
    <row r="1636" spans="1:9" x14ac:dyDescent="0.3">
      <c r="A1636" t="s">
        <v>9</v>
      </c>
      <c r="B1636" t="s">
        <v>1761</v>
      </c>
      <c r="C1636">
        <v>5</v>
      </c>
      <c r="D1636">
        <v>1.2999999999999999E-3</v>
      </c>
      <c r="E1636">
        <v>6.030195075385218</v>
      </c>
      <c r="F1636">
        <v>712.26551265405726</v>
      </c>
      <c r="G1636">
        <v>0.42399999999999999</v>
      </c>
      <c r="H1636">
        <v>5.0000000000000001E-4</v>
      </c>
      <c r="I1636">
        <v>327.20420000000001</v>
      </c>
    </row>
    <row r="1637" spans="1:9" x14ac:dyDescent="0.3">
      <c r="A1637" t="s">
        <v>9</v>
      </c>
      <c r="B1637" t="s">
        <v>1762</v>
      </c>
      <c r="C1637">
        <v>5</v>
      </c>
      <c r="D1637">
        <v>1.2999999999999999E-3</v>
      </c>
      <c r="E1637">
        <v>6.1263646846273208</v>
      </c>
      <c r="F1637">
        <v>721.39200857113281</v>
      </c>
      <c r="G1637">
        <v>0.42399999999999999</v>
      </c>
      <c r="H1637">
        <v>2E-3</v>
      </c>
      <c r="I1637">
        <v>327.40249999999997</v>
      </c>
    </row>
    <row r="1638" spans="1:9" x14ac:dyDescent="0.3">
      <c r="A1638" t="s">
        <v>9</v>
      </c>
      <c r="B1638" t="s">
        <v>1763</v>
      </c>
      <c r="C1638">
        <v>5</v>
      </c>
      <c r="D1638">
        <v>1.5E-3</v>
      </c>
      <c r="E1638">
        <v>6.2767855746953503</v>
      </c>
      <c r="F1638">
        <v>735.66695103858876</v>
      </c>
      <c r="G1638">
        <v>0.42399999999999999</v>
      </c>
      <c r="H1638">
        <v>4.4000000000000003E-3</v>
      </c>
      <c r="I1638">
        <v>327.60289999999998</v>
      </c>
    </row>
    <row r="1639" spans="1:9" x14ac:dyDescent="0.3">
      <c r="A1639" t="s">
        <v>9</v>
      </c>
      <c r="B1639" t="s">
        <v>1764</v>
      </c>
      <c r="C1639">
        <v>5</v>
      </c>
      <c r="D1639">
        <v>2.3999999999999998E-3</v>
      </c>
      <c r="E1639">
        <v>6.4670924197018564</v>
      </c>
      <c r="F1639">
        <v>753.72707062970619</v>
      </c>
      <c r="G1639">
        <v>0.42399999999999999</v>
      </c>
      <c r="H1639">
        <v>7.3000000000000001E-3</v>
      </c>
      <c r="I1639">
        <v>327.80439999999999</v>
      </c>
    </row>
    <row r="1640" spans="1:9" x14ac:dyDescent="0.3">
      <c r="A1640" t="s">
        <v>9</v>
      </c>
      <c r="B1640" t="s">
        <v>1765</v>
      </c>
      <c r="C1640">
        <v>5</v>
      </c>
      <c r="D1640">
        <v>4.5999999999999999E-3</v>
      </c>
      <c r="E1640">
        <v>6.6734539196002149</v>
      </c>
      <c r="F1640">
        <v>773.31077697006049</v>
      </c>
      <c r="G1640">
        <v>0.42399999999999999</v>
      </c>
      <c r="H1640">
        <v>1.0500000000000001E-2</v>
      </c>
      <c r="I1640">
        <v>328.0018</v>
      </c>
    </row>
    <row r="1641" spans="1:9" x14ac:dyDescent="0.3">
      <c r="A1641" t="s">
        <v>9</v>
      </c>
      <c r="B1641" t="s">
        <v>1766</v>
      </c>
      <c r="C1641">
        <v>5</v>
      </c>
      <c r="D1641">
        <v>7.7000000000000002E-3</v>
      </c>
      <c r="E1641">
        <v>6.8819842825401274</v>
      </c>
      <c r="F1641">
        <v>793.10030841305809</v>
      </c>
      <c r="G1641">
        <v>0.42399999999999999</v>
      </c>
      <c r="H1641">
        <v>1.38E-2</v>
      </c>
      <c r="I1641">
        <v>328.20159999999998</v>
      </c>
    </row>
    <row r="1642" spans="1:9" x14ac:dyDescent="0.3">
      <c r="A1642" t="s">
        <v>9</v>
      </c>
      <c r="B1642" t="s">
        <v>1767</v>
      </c>
      <c r="C1642">
        <v>5</v>
      </c>
      <c r="D1642">
        <v>1.06E-2</v>
      </c>
      <c r="E1642">
        <v>7.0710520494818221</v>
      </c>
      <c r="F1642">
        <v>811.04283949582498</v>
      </c>
      <c r="G1642">
        <v>0.42399999999999999</v>
      </c>
      <c r="H1642">
        <v>1.67E-2</v>
      </c>
      <c r="I1642">
        <v>328.40269999999998</v>
      </c>
    </row>
    <row r="1643" spans="1:9" x14ac:dyDescent="0.3">
      <c r="A1643" t="s">
        <v>9</v>
      </c>
      <c r="B1643" t="s">
        <v>1768</v>
      </c>
      <c r="C1643">
        <v>5</v>
      </c>
      <c r="D1643">
        <v>1.32E-2</v>
      </c>
      <c r="E1643">
        <v>7.219747904791209</v>
      </c>
      <c r="F1643">
        <v>825.15407616468576</v>
      </c>
      <c r="G1643">
        <v>0.42399999999999999</v>
      </c>
      <c r="H1643">
        <v>1.9E-2</v>
      </c>
      <c r="I1643">
        <v>328.60239999999999</v>
      </c>
    </row>
    <row r="1644" spans="1:9" x14ac:dyDescent="0.3">
      <c r="A1644" t="s">
        <v>9</v>
      </c>
      <c r="B1644" t="s">
        <v>1769</v>
      </c>
      <c r="C1644">
        <v>5</v>
      </c>
      <c r="D1644">
        <v>1.5299999999999999E-2</v>
      </c>
      <c r="E1644">
        <v>7.3159409745709043</v>
      </c>
      <c r="F1644">
        <v>834.28279848677892</v>
      </c>
      <c r="G1644">
        <v>0.42399999999999999</v>
      </c>
      <c r="H1644">
        <v>2.0500000000000001E-2</v>
      </c>
      <c r="I1644">
        <v>328.80529999999999</v>
      </c>
    </row>
    <row r="1645" spans="1:9" x14ac:dyDescent="0.3">
      <c r="A1645" t="s">
        <v>9</v>
      </c>
      <c r="B1645" t="s">
        <v>1770</v>
      </c>
      <c r="C1645">
        <v>5</v>
      </c>
      <c r="D1645">
        <v>1.7000000000000001E-2</v>
      </c>
      <c r="E1645">
        <v>7.347266428300788</v>
      </c>
      <c r="F1645">
        <v>837.25558404574485</v>
      </c>
      <c r="G1645">
        <v>0.42399999999999999</v>
      </c>
      <c r="H1645">
        <v>2.1000000000000001E-2</v>
      </c>
      <c r="I1645">
        <v>329.00659999999999</v>
      </c>
    </row>
    <row r="1646" spans="1:9" x14ac:dyDescent="0.3">
      <c r="A1646" t="s">
        <v>9</v>
      </c>
      <c r="B1646" t="s">
        <v>1771</v>
      </c>
      <c r="C1646">
        <v>5</v>
      </c>
      <c r="D1646">
        <v>1.7500000000000002E-2</v>
      </c>
      <c r="E1646">
        <v>7.3131634999336601</v>
      </c>
      <c r="F1646">
        <v>729.58683819381713</v>
      </c>
      <c r="G1646">
        <v>0.42399999999999999</v>
      </c>
      <c r="H1646">
        <v>2.0500000000000001E-2</v>
      </c>
      <c r="I1646">
        <v>329.20319999999998</v>
      </c>
    </row>
    <row r="1647" spans="1:9" x14ac:dyDescent="0.3">
      <c r="A1647" t="s">
        <v>9</v>
      </c>
      <c r="B1647" t="s">
        <v>1772</v>
      </c>
      <c r="C1647">
        <v>5</v>
      </c>
      <c r="D1647">
        <v>1.7600000000000001E-2</v>
      </c>
      <c r="E1647">
        <v>7.2157892938593227</v>
      </c>
      <c r="F1647">
        <v>720.51156218768892</v>
      </c>
      <c r="G1647">
        <v>0.42399999999999999</v>
      </c>
      <c r="H1647">
        <v>1.9E-2</v>
      </c>
      <c r="I1647">
        <v>329.40390000000002</v>
      </c>
    </row>
    <row r="1648" spans="1:9" x14ac:dyDescent="0.3">
      <c r="A1648" t="s">
        <v>9</v>
      </c>
      <c r="B1648" t="s">
        <v>1773</v>
      </c>
      <c r="C1648">
        <v>5</v>
      </c>
      <c r="D1648">
        <v>1.7500000000000002E-2</v>
      </c>
      <c r="E1648">
        <v>7.0660112371182837</v>
      </c>
      <c r="F1648">
        <v>706.55224729942404</v>
      </c>
      <c r="G1648">
        <v>0.42399999999999999</v>
      </c>
      <c r="H1648">
        <v>1.66E-2</v>
      </c>
      <c r="I1648">
        <v>329.60309999999998</v>
      </c>
    </row>
    <row r="1649" spans="1:9" x14ac:dyDescent="0.3">
      <c r="A1649" t="s">
        <v>9</v>
      </c>
      <c r="B1649" t="s">
        <v>1774</v>
      </c>
      <c r="C1649">
        <v>5</v>
      </c>
      <c r="D1649">
        <v>1.7399999999999999E-2</v>
      </c>
      <c r="E1649">
        <v>6.8764492013323837</v>
      </c>
      <c r="F1649">
        <v>688.88506556417815</v>
      </c>
      <c r="G1649">
        <v>0.42399999999999999</v>
      </c>
      <c r="H1649">
        <v>1.37E-2</v>
      </c>
      <c r="I1649">
        <v>329.80380000000002</v>
      </c>
    </row>
    <row r="1650" spans="1:9" x14ac:dyDescent="0.3">
      <c r="A1650" t="s">
        <v>9</v>
      </c>
      <c r="B1650" t="s">
        <v>1775</v>
      </c>
      <c r="C1650">
        <v>5</v>
      </c>
      <c r="D1650">
        <v>1.6500000000000001E-2</v>
      </c>
      <c r="E1650">
        <v>6.668256190056443</v>
      </c>
      <c r="F1650">
        <v>669.48147691326051</v>
      </c>
      <c r="G1650">
        <v>0.42399999999999999</v>
      </c>
      <c r="H1650">
        <v>1.04E-2</v>
      </c>
      <c r="I1650">
        <v>330.00310000000002</v>
      </c>
    </row>
    <row r="1651" spans="1:9" x14ac:dyDescent="0.3">
      <c r="A1651" t="s">
        <v>9</v>
      </c>
      <c r="B1651" t="s">
        <v>1776</v>
      </c>
      <c r="C1651">
        <v>5</v>
      </c>
      <c r="D1651">
        <v>1.49E-2</v>
      </c>
      <c r="E1651">
        <v>6.4602233397267348</v>
      </c>
      <c r="F1651">
        <v>650.09281526253164</v>
      </c>
      <c r="G1651">
        <v>0.42399999999999999</v>
      </c>
      <c r="H1651">
        <v>7.1999999999999998E-3</v>
      </c>
      <c r="I1651">
        <v>330.20240000000001</v>
      </c>
    </row>
    <row r="1652" spans="1:9" x14ac:dyDescent="0.3">
      <c r="A1652" t="s">
        <v>9</v>
      </c>
      <c r="B1652" t="s">
        <v>1777</v>
      </c>
      <c r="C1652">
        <v>5</v>
      </c>
      <c r="D1652">
        <v>1.18E-2</v>
      </c>
      <c r="E1652">
        <v>6.2698864493376574</v>
      </c>
      <c r="F1652">
        <v>632.35341707826967</v>
      </c>
      <c r="G1652">
        <v>0.42399999999999999</v>
      </c>
      <c r="H1652">
        <v>4.3E-3</v>
      </c>
      <c r="I1652">
        <v>330.40519999999998</v>
      </c>
    </row>
    <row r="1653" spans="1:9" x14ac:dyDescent="0.3">
      <c r="A1653" t="s">
        <v>9</v>
      </c>
      <c r="B1653" t="s">
        <v>1778</v>
      </c>
      <c r="C1653">
        <v>5</v>
      </c>
      <c r="D1653">
        <v>8.2000000000000007E-3</v>
      </c>
      <c r="E1653">
        <v>6.1221776720219783</v>
      </c>
      <c r="F1653">
        <v>618.58695903244836</v>
      </c>
      <c r="G1653">
        <v>0.42399999999999999</v>
      </c>
      <c r="H1653">
        <v>2E-3</v>
      </c>
      <c r="I1653">
        <v>330.60419999999999</v>
      </c>
    </row>
    <row r="1654" spans="1:9" x14ac:dyDescent="0.3">
      <c r="A1654" t="s">
        <v>9</v>
      </c>
      <c r="B1654" t="s">
        <v>1779</v>
      </c>
      <c r="C1654">
        <v>5</v>
      </c>
      <c r="D1654">
        <v>4.3E-3</v>
      </c>
      <c r="E1654">
        <v>6.0276920801174532</v>
      </c>
      <c r="F1654">
        <v>609.78090186694669</v>
      </c>
      <c r="G1654">
        <v>0.42399999999999999</v>
      </c>
      <c r="H1654">
        <v>5.0000000000000001E-4</v>
      </c>
      <c r="I1654">
        <v>330.80340000000001</v>
      </c>
    </row>
    <row r="1655" spans="1:9" x14ac:dyDescent="0.3">
      <c r="A1655" t="s">
        <v>9</v>
      </c>
      <c r="B1655" t="s">
        <v>1780</v>
      </c>
      <c r="C1655">
        <v>5</v>
      </c>
      <c r="D1655">
        <v>1.9E-3</v>
      </c>
      <c r="E1655">
        <v>5.9957482262535704</v>
      </c>
      <c r="F1655">
        <v>606.80373468683274</v>
      </c>
      <c r="G1655">
        <v>0.42399999999999999</v>
      </c>
      <c r="H1655">
        <v>0</v>
      </c>
      <c r="I1655">
        <v>331.00420000000003</v>
      </c>
    </row>
    <row r="1656" spans="1:9" x14ac:dyDescent="0.3">
      <c r="A1656" t="s">
        <v>9</v>
      </c>
      <c r="B1656" t="s">
        <v>1781</v>
      </c>
      <c r="C1656">
        <v>5</v>
      </c>
      <c r="D1656">
        <v>6.9999999999999999E-4</v>
      </c>
      <c r="E1656">
        <v>6.0299911398168176</v>
      </c>
      <c r="F1656">
        <v>712.24615916861603</v>
      </c>
      <c r="G1656">
        <v>0.42399999999999999</v>
      </c>
      <c r="H1656">
        <v>5.0000000000000001E-4</v>
      </c>
      <c r="I1656">
        <v>331.20359999999999</v>
      </c>
    </row>
    <row r="1657" spans="1:9" x14ac:dyDescent="0.3">
      <c r="A1657" t="s">
        <v>9</v>
      </c>
      <c r="B1657" t="s">
        <v>1782</v>
      </c>
      <c r="C1657">
        <v>5</v>
      </c>
      <c r="D1657">
        <v>8.0000000000000004E-4</v>
      </c>
      <c r="E1657">
        <v>6.1261038047467942</v>
      </c>
      <c r="F1657">
        <v>721.36725107047084</v>
      </c>
      <c r="G1657">
        <v>0.42399999999999999</v>
      </c>
      <c r="H1657">
        <v>2E-3</v>
      </c>
      <c r="I1657">
        <v>331.40210000000002</v>
      </c>
    </row>
    <row r="1658" spans="1:9" x14ac:dyDescent="0.3">
      <c r="A1658" t="s">
        <v>9</v>
      </c>
      <c r="B1658" t="s">
        <v>1783</v>
      </c>
      <c r="C1658">
        <v>5</v>
      </c>
      <c r="D1658">
        <v>1E-3</v>
      </c>
      <c r="E1658">
        <v>6.277599273396377</v>
      </c>
      <c r="F1658">
        <v>735.74417104531619</v>
      </c>
      <c r="G1658">
        <v>0.42399999999999999</v>
      </c>
      <c r="H1658">
        <v>4.4000000000000003E-3</v>
      </c>
      <c r="I1658">
        <v>331.60379999999998</v>
      </c>
    </row>
    <row r="1659" spans="1:9" x14ac:dyDescent="0.3">
      <c r="A1659" t="s">
        <v>9</v>
      </c>
      <c r="B1659" t="s">
        <v>1784</v>
      </c>
      <c r="C1659">
        <v>5</v>
      </c>
      <c r="D1659">
        <v>2.0999999999999999E-3</v>
      </c>
      <c r="E1659">
        <v>6.4660819865929486</v>
      </c>
      <c r="F1659">
        <v>753.63118052767084</v>
      </c>
      <c r="G1659">
        <v>0.42399999999999999</v>
      </c>
      <c r="H1659">
        <v>7.3000000000000001E-3</v>
      </c>
      <c r="I1659">
        <v>331.80329999999998</v>
      </c>
    </row>
    <row r="1660" spans="1:9" x14ac:dyDescent="0.3">
      <c r="A1660" t="s">
        <v>9</v>
      </c>
      <c r="B1660" t="s">
        <v>1785</v>
      </c>
      <c r="C1660">
        <v>5</v>
      </c>
      <c r="D1660">
        <v>4.7999999999999996E-3</v>
      </c>
      <c r="E1660">
        <v>6.6764357514954424</v>
      </c>
      <c r="F1660">
        <v>773.59375281691757</v>
      </c>
      <c r="G1660">
        <v>0.42399999999999999</v>
      </c>
      <c r="H1660">
        <v>1.06E-2</v>
      </c>
      <c r="I1660">
        <v>332.00459999999998</v>
      </c>
    </row>
    <row r="1661" spans="1:9" x14ac:dyDescent="0.3">
      <c r="A1661" t="s">
        <v>9</v>
      </c>
      <c r="B1661" t="s">
        <v>1786</v>
      </c>
      <c r="C1661">
        <v>5</v>
      </c>
      <c r="D1661">
        <v>7.7999999999999996E-3</v>
      </c>
      <c r="E1661">
        <v>6.8832493512800106</v>
      </c>
      <c r="F1661">
        <v>793.22036343647312</v>
      </c>
      <c r="G1661">
        <v>0.42399999999999999</v>
      </c>
      <c r="H1661">
        <v>1.38E-2</v>
      </c>
      <c r="I1661">
        <v>332.2029</v>
      </c>
    </row>
    <row r="1662" spans="1:9" x14ac:dyDescent="0.3">
      <c r="A1662" t="s">
        <v>9</v>
      </c>
      <c r="B1662" t="s">
        <v>1787</v>
      </c>
      <c r="C1662">
        <v>5</v>
      </c>
      <c r="D1662">
        <v>1.06E-2</v>
      </c>
      <c r="E1662">
        <v>7.0724906597026909</v>
      </c>
      <c r="F1662">
        <v>811.1793636057854</v>
      </c>
      <c r="G1662">
        <v>0.42399999999999999</v>
      </c>
      <c r="H1662">
        <v>1.67E-2</v>
      </c>
      <c r="I1662">
        <v>332.40440000000001</v>
      </c>
    </row>
    <row r="1663" spans="1:9" x14ac:dyDescent="0.3">
      <c r="A1663" t="s">
        <v>9</v>
      </c>
      <c r="B1663" t="s">
        <v>1788</v>
      </c>
      <c r="C1663">
        <v>5</v>
      </c>
      <c r="D1663">
        <v>1.3299999999999999E-2</v>
      </c>
      <c r="E1663">
        <v>7.2195135426977304</v>
      </c>
      <c r="F1663">
        <v>825.1318352020146</v>
      </c>
      <c r="G1663">
        <v>0.42399999999999999</v>
      </c>
      <c r="H1663">
        <v>1.9E-2</v>
      </c>
      <c r="I1663">
        <v>332.60199999999998</v>
      </c>
    </row>
    <row r="1664" spans="1:9" x14ac:dyDescent="0.3">
      <c r="A1664" t="s">
        <v>9</v>
      </c>
      <c r="B1664" t="s">
        <v>1789</v>
      </c>
      <c r="C1664">
        <v>5</v>
      </c>
      <c r="D1664">
        <v>1.52E-2</v>
      </c>
      <c r="E1664">
        <v>7.315107326708981</v>
      </c>
      <c r="F1664">
        <v>834.20368530468238</v>
      </c>
      <c r="G1664">
        <v>0.42399999999999999</v>
      </c>
      <c r="H1664">
        <v>2.0500000000000001E-2</v>
      </c>
      <c r="I1664">
        <v>332.80270000000002</v>
      </c>
    </row>
    <row r="1665" spans="1:9" x14ac:dyDescent="0.3">
      <c r="A1665" t="s">
        <v>9</v>
      </c>
      <c r="B1665" t="s">
        <v>1790</v>
      </c>
      <c r="C1665">
        <v>5</v>
      </c>
      <c r="D1665">
        <v>1.7000000000000001E-2</v>
      </c>
      <c r="E1665">
        <v>7.347292783899535</v>
      </c>
      <c r="F1665">
        <v>837.25808519206589</v>
      </c>
      <c r="G1665">
        <v>0.42399999999999999</v>
      </c>
      <c r="H1665">
        <v>2.1000000000000001E-2</v>
      </c>
      <c r="I1665">
        <v>333.0034</v>
      </c>
    </row>
    <row r="1666" spans="1:9" x14ac:dyDescent="0.3">
      <c r="A1666" t="s">
        <v>9</v>
      </c>
      <c r="B1666" t="s">
        <v>1791</v>
      </c>
      <c r="C1666">
        <v>5</v>
      </c>
      <c r="D1666">
        <v>1.77E-2</v>
      </c>
      <c r="E1666">
        <v>7.3135470752631226</v>
      </c>
      <c r="F1666">
        <v>729.62258741452308</v>
      </c>
      <c r="G1666">
        <v>0.42399999999999999</v>
      </c>
      <c r="H1666">
        <v>2.0500000000000001E-2</v>
      </c>
      <c r="I1666">
        <v>333.20209999999997</v>
      </c>
    </row>
    <row r="1667" spans="1:9" x14ac:dyDescent="0.3">
      <c r="A1667" t="s">
        <v>9</v>
      </c>
      <c r="B1667" t="s">
        <v>1792</v>
      </c>
      <c r="C1667">
        <v>5</v>
      </c>
      <c r="D1667">
        <v>1.77E-2</v>
      </c>
      <c r="E1667">
        <v>7.216050822493048</v>
      </c>
      <c r="F1667">
        <v>720.53593665635208</v>
      </c>
      <c r="G1667">
        <v>0.42399999999999999</v>
      </c>
      <c r="H1667">
        <v>1.9E-2</v>
      </c>
      <c r="I1667">
        <v>333.40350000000001</v>
      </c>
    </row>
    <row r="1668" spans="1:9" x14ac:dyDescent="0.3">
      <c r="A1668" t="s">
        <v>9</v>
      </c>
      <c r="B1668" t="s">
        <v>1793</v>
      </c>
      <c r="C1668">
        <v>5</v>
      </c>
      <c r="D1668">
        <v>1.7600000000000001E-2</v>
      </c>
      <c r="E1668">
        <v>7.0667714947744642</v>
      </c>
      <c r="F1668">
        <v>706.62310331298011</v>
      </c>
      <c r="G1668">
        <v>0.42399999999999999</v>
      </c>
      <c r="H1668">
        <v>1.66E-2</v>
      </c>
      <c r="I1668">
        <v>333.60230000000001</v>
      </c>
    </row>
    <row r="1669" spans="1:9" x14ac:dyDescent="0.3">
      <c r="A1669" t="s">
        <v>9</v>
      </c>
      <c r="B1669" t="s">
        <v>1794</v>
      </c>
      <c r="C1669">
        <v>5</v>
      </c>
      <c r="D1669">
        <v>1.7600000000000001E-2</v>
      </c>
      <c r="E1669">
        <v>6.8749039523042752</v>
      </c>
      <c r="F1669">
        <v>688.7410483547585</v>
      </c>
      <c r="G1669">
        <v>0.42399999999999999</v>
      </c>
      <c r="H1669">
        <v>1.37E-2</v>
      </c>
      <c r="I1669">
        <v>333.80540000000002</v>
      </c>
    </row>
    <row r="1670" spans="1:9" x14ac:dyDescent="0.3">
      <c r="A1670" t="s">
        <v>9</v>
      </c>
      <c r="B1670" t="s">
        <v>1795</v>
      </c>
      <c r="C1670">
        <v>5</v>
      </c>
      <c r="D1670">
        <v>1.7000000000000001E-2</v>
      </c>
      <c r="E1670">
        <v>6.6652330001447186</v>
      </c>
      <c r="F1670">
        <v>669.1997156134878</v>
      </c>
      <c r="G1670">
        <v>0.42399999999999999</v>
      </c>
      <c r="H1670">
        <v>1.04E-2</v>
      </c>
      <c r="I1670">
        <v>334.0059</v>
      </c>
    </row>
    <row r="1671" spans="1:9" x14ac:dyDescent="0.3">
      <c r="A1671" t="s">
        <v>9</v>
      </c>
      <c r="B1671" t="s">
        <v>1796</v>
      </c>
      <c r="C1671">
        <v>5</v>
      </c>
      <c r="D1671">
        <v>1.5100000000000001E-2</v>
      </c>
      <c r="E1671">
        <v>6.45852806652114</v>
      </c>
      <c r="F1671">
        <v>649.93481579977026</v>
      </c>
      <c r="G1671">
        <v>0.42399999999999999</v>
      </c>
      <c r="H1671">
        <v>7.1999999999999998E-3</v>
      </c>
      <c r="I1671">
        <v>334.20409999999998</v>
      </c>
    </row>
    <row r="1672" spans="1:9" x14ac:dyDescent="0.3">
      <c r="A1672" t="s">
        <v>9</v>
      </c>
      <c r="B1672" t="s">
        <v>1797</v>
      </c>
      <c r="C1672">
        <v>5</v>
      </c>
      <c r="D1672">
        <v>1.2E-2</v>
      </c>
      <c r="E1672">
        <v>6.271670155713819</v>
      </c>
      <c r="F1672">
        <v>632.51965851252794</v>
      </c>
      <c r="G1672">
        <v>0.42399999999999999</v>
      </c>
      <c r="H1672">
        <v>4.3E-3</v>
      </c>
      <c r="I1672">
        <v>334.40309999999999</v>
      </c>
    </row>
    <row r="1673" spans="1:9" x14ac:dyDescent="0.3">
      <c r="A1673" t="s">
        <v>9</v>
      </c>
      <c r="B1673" t="s">
        <v>1798</v>
      </c>
      <c r="C1673">
        <v>5</v>
      </c>
      <c r="D1673">
        <v>8.3000000000000001E-3</v>
      </c>
      <c r="E1673">
        <v>6.123326127374173</v>
      </c>
      <c r="F1673">
        <v>618.69399507127298</v>
      </c>
      <c r="G1673">
        <v>0.42399999999999999</v>
      </c>
      <c r="H1673">
        <v>2E-3</v>
      </c>
      <c r="I1673">
        <v>334.60239999999999</v>
      </c>
    </row>
    <row r="1674" spans="1:9" x14ac:dyDescent="0.3">
      <c r="A1674" t="s">
        <v>9</v>
      </c>
      <c r="B1674" t="s">
        <v>1799</v>
      </c>
      <c r="C1674">
        <v>5</v>
      </c>
      <c r="D1674">
        <v>4.3E-3</v>
      </c>
      <c r="E1674">
        <v>6.0270647601013563</v>
      </c>
      <c r="F1674">
        <v>609.7224356414464</v>
      </c>
      <c r="G1674">
        <v>0.42399999999999999</v>
      </c>
      <c r="H1674">
        <v>5.0000000000000001E-4</v>
      </c>
      <c r="I1674">
        <v>334.80540000000002</v>
      </c>
    </row>
    <row r="1675" spans="1:9" x14ac:dyDescent="0.3">
      <c r="A1675" t="s">
        <v>9</v>
      </c>
      <c r="B1675" t="s">
        <v>1800</v>
      </c>
      <c r="C1675">
        <v>5</v>
      </c>
      <c r="D1675">
        <v>1.8E-3</v>
      </c>
      <c r="E1675">
        <v>5.995745688622991</v>
      </c>
      <c r="F1675">
        <v>606.80349817966282</v>
      </c>
      <c r="G1675">
        <v>0.42399999999999999</v>
      </c>
      <c r="H1675">
        <v>0</v>
      </c>
      <c r="I1675">
        <v>335.00380000000001</v>
      </c>
    </row>
    <row r="1676" spans="1:9" x14ac:dyDescent="0.3">
      <c r="A1676" t="s">
        <v>9</v>
      </c>
      <c r="B1676" t="s">
        <v>1801</v>
      </c>
      <c r="C1676">
        <v>5</v>
      </c>
      <c r="D1676">
        <v>8.9999999999999998E-4</v>
      </c>
      <c r="E1676">
        <v>6.0299301164689476</v>
      </c>
      <c r="F1676">
        <v>712.24036805290314</v>
      </c>
      <c r="G1676">
        <v>0.42399999999999999</v>
      </c>
      <c r="H1676">
        <v>5.0000000000000001E-4</v>
      </c>
      <c r="I1676">
        <v>335.20339999999999</v>
      </c>
    </row>
    <row r="1677" spans="1:9" x14ac:dyDescent="0.3">
      <c r="A1677" t="s">
        <v>9</v>
      </c>
      <c r="B1677" t="s">
        <v>1802</v>
      </c>
      <c r="C1677">
        <v>5</v>
      </c>
      <c r="D1677">
        <v>8.9999999999999998E-4</v>
      </c>
      <c r="E1677">
        <v>6.1282373918330979</v>
      </c>
      <c r="F1677">
        <v>721.56972848496105</v>
      </c>
      <c r="G1677">
        <v>0.42399999999999999</v>
      </c>
      <c r="H1677">
        <v>2.0999999999999999E-3</v>
      </c>
      <c r="I1677">
        <v>335.40550000000002</v>
      </c>
    </row>
    <row r="1678" spans="1:9" x14ac:dyDescent="0.3">
      <c r="A1678" t="s">
        <v>9</v>
      </c>
      <c r="B1678" t="s">
        <v>1803</v>
      </c>
      <c r="C1678">
        <v>5</v>
      </c>
      <c r="D1678">
        <v>1.1000000000000001E-3</v>
      </c>
      <c r="E1678">
        <v>6.2766042887230427</v>
      </c>
      <c r="F1678">
        <v>735.64974699981678</v>
      </c>
      <c r="G1678">
        <v>0.42399999999999999</v>
      </c>
      <c r="H1678">
        <v>4.4000000000000003E-3</v>
      </c>
      <c r="I1678">
        <v>335.60270000000003</v>
      </c>
    </row>
    <row r="1679" spans="1:9" x14ac:dyDescent="0.3">
      <c r="A1679" t="s">
        <v>9</v>
      </c>
      <c r="B1679" t="s">
        <v>1804</v>
      </c>
      <c r="C1679">
        <v>5</v>
      </c>
      <c r="D1679">
        <v>2.0999999999999999E-3</v>
      </c>
      <c r="E1679">
        <v>6.4658184306054727</v>
      </c>
      <c r="F1679">
        <v>753.60616906445944</v>
      </c>
      <c r="G1679">
        <v>0.42399999999999999</v>
      </c>
      <c r="H1679">
        <v>7.3000000000000001E-3</v>
      </c>
      <c r="I1679">
        <v>335.80309999999997</v>
      </c>
    </row>
    <row r="1680" spans="1:9" x14ac:dyDescent="0.3">
      <c r="A1680" t="s">
        <v>9</v>
      </c>
      <c r="B1680" t="s">
        <v>1805</v>
      </c>
      <c r="C1680">
        <v>5</v>
      </c>
      <c r="D1680">
        <v>4.4000000000000003E-3</v>
      </c>
      <c r="E1680">
        <v>6.6741793067718991</v>
      </c>
      <c r="F1680">
        <v>773.37961621265322</v>
      </c>
      <c r="G1680">
        <v>0.42399999999999999</v>
      </c>
      <c r="H1680">
        <v>1.0500000000000001E-2</v>
      </c>
      <c r="I1680">
        <v>336.0025</v>
      </c>
    </row>
    <row r="1681" spans="1:9" x14ac:dyDescent="0.3">
      <c r="A1681" t="s">
        <v>9</v>
      </c>
      <c r="B1681" t="s">
        <v>1806</v>
      </c>
      <c r="C1681">
        <v>5</v>
      </c>
      <c r="D1681">
        <v>7.7999999999999996E-3</v>
      </c>
      <c r="E1681">
        <v>6.8848270379681189</v>
      </c>
      <c r="F1681">
        <v>793.37008590317453</v>
      </c>
      <c r="G1681">
        <v>0.42399999999999999</v>
      </c>
      <c r="H1681">
        <v>1.38E-2</v>
      </c>
      <c r="I1681">
        <v>336.20440000000002</v>
      </c>
    </row>
    <row r="1682" spans="1:9" x14ac:dyDescent="0.3">
      <c r="A1682" t="s">
        <v>9</v>
      </c>
      <c r="B1682" t="s">
        <v>1807</v>
      </c>
      <c r="C1682">
        <v>5</v>
      </c>
      <c r="D1682">
        <v>1.06E-2</v>
      </c>
      <c r="E1682">
        <v>7.0723345534639526</v>
      </c>
      <c r="F1682">
        <v>811.16454912372922</v>
      </c>
      <c r="G1682">
        <v>0.42399999999999999</v>
      </c>
      <c r="H1682">
        <v>1.67E-2</v>
      </c>
      <c r="I1682">
        <v>336.4042</v>
      </c>
    </row>
    <row r="1683" spans="1:9" x14ac:dyDescent="0.3">
      <c r="A1683" t="s">
        <v>9</v>
      </c>
      <c r="B1683" t="s">
        <v>1808</v>
      </c>
      <c r="C1683">
        <v>5</v>
      </c>
      <c r="D1683">
        <v>1.34E-2</v>
      </c>
      <c r="E1683">
        <v>7.2216844330930341</v>
      </c>
      <c r="F1683">
        <v>825.33785270052897</v>
      </c>
      <c r="G1683">
        <v>0.42399999999999999</v>
      </c>
      <c r="H1683">
        <v>1.9E-2</v>
      </c>
      <c r="I1683">
        <v>336.60550000000001</v>
      </c>
    </row>
    <row r="1684" spans="1:9" x14ac:dyDescent="0.3">
      <c r="A1684" t="s">
        <v>9</v>
      </c>
      <c r="B1684" t="s">
        <v>1809</v>
      </c>
      <c r="C1684">
        <v>5</v>
      </c>
      <c r="D1684">
        <v>1.52E-2</v>
      </c>
      <c r="E1684">
        <v>7.3152492414714683</v>
      </c>
      <c r="F1684">
        <v>834.21715301564234</v>
      </c>
      <c r="G1684">
        <v>0.42399999999999999</v>
      </c>
      <c r="H1684">
        <v>2.0500000000000001E-2</v>
      </c>
      <c r="I1684">
        <v>336.80309999999997</v>
      </c>
    </row>
    <row r="1685" spans="1:9" x14ac:dyDescent="0.3">
      <c r="A1685" t="s">
        <v>9</v>
      </c>
      <c r="B1685" t="s">
        <v>1810</v>
      </c>
      <c r="C1685">
        <v>5</v>
      </c>
      <c r="D1685">
        <v>1.7000000000000001E-2</v>
      </c>
      <c r="E1685">
        <v>7.347278997894036</v>
      </c>
      <c r="F1685">
        <v>837.25677690014402</v>
      </c>
      <c r="G1685">
        <v>0.42399999999999999</v>
      </c>
      <c r="H1685">
        <v>2.1000000000000001E-2</v>
      </c>
      <c r="I1685">
        <v>337.00529999999998</v>
      </c>
    </row>
    <row r="1686" spans="1:9" x14ac:dyDescent="0.3">
      <c r="A1686" t="s">
        <v>9</v>
      </c>
      <c r="B1686" t="s">
        <v>1811</v>
      </c>
      <c r="C1686">
        <v>5</v>
      </c>
      <c r="D1686">
        <v>1.77E-2</v>
      </c>
      <c r="E1686">
        <v>7.3132076962454047</v>
      </c>
      <c r="F1686">
        <v>729.59095729007174</v>
      </c>
      <c r="G1686">
        <v>0.42399999999999999</v>
      </c>
      <c r="H1686">
        <v>2.0500000000000001E-2</v>
      </c>
      <c r="I1686">
        <v>337.20310000000001</v>
      </c>
    </row>
    <row r="1687" spans="1:9" x14ac:dyDescent="0.3">
      <c r="A1687" t="s">
        <v>9</v>
      </c>
      <c r="B1687" t="s">
        <v>1812</v>
      </c>
      <c r="C1687">
        <v>5</v>
      </c>
      <c r="D1687">
        <v>1.77E-2</v>
      </c>
      <c r="E1687">
        <v>7.2166780857432409</v>
      </c>
      <c r="F1687">
        <v>720.59439759127008</v>
      </c>
      <c r="G1687">
        <v>0.42399999999999999</v>
      </c>
      <c r="H1687">
        <v>1.9E-2</v>
      </c>
      <c r="I1687">
        <v>337.40249999999997</v>
      </c>
    </row>
    <row r="1688" spans="1:9" x14ac:dyDescent="0.3">
      <c r="A1688" t="s">
        <v>9</v>
      </c>
      <c r="B1688" t="s">
        <v>1813</v>
      </c>
      <c r="C1688">
        <v>5</v>
      </c>
      <c r="D1688">
        <v>1.7600000000000001E-2</v>
      </c>
      <c r="E1688">
        <v>7.0642819043696923</v>
      </c>
      <c r="F1688">
        <v>706.39107348725531</v>
      </c>
      <c r="G1688">
        <v>0.42399999999999999</v>
      </c>
      <c r="H1688">
        <v>1.66E-2</v>
      </c>
      <c r="I1688">
        <v>337.60520000000002</v>
      </c>
    </row>
    <row r="1689" spans="1:9" x14ac:dyDescent="0.3">
      <c r="A1689" t="s">
        <v>9</v>
      </c>
      <c r="B1689" t="s">
        <v>1814</v>
      </c>
      <c r="C1689">
        <v>5</v>
      </c>
      <c r="D1689">
        <v>1.7399999999999999E-2</v>
      </c>
      <c r="E1689">
        <v>6.8741846471938421</v>
      </c>
      <c r="F1689">
        <v>688.67400911846607</v>
      </c>
      <c r="G1689">
        <v>0.42399999999999999</v>
      </c>
      <c r="H1689">
        <v>1.3599999999999999E-2</v>
      </c>
      <c r="I1689">
        <v>337.80610000000001</v>
      </c>
    </row>
    <row r="1690" spans="1:9" x14ac:dyDescent="0.3">
      <c r="A1690" t="s">
        <v>9</v>
      </c>
      <c r="B1690" t="s">
        <v>1815</v>
      </c>
      <c r="C1690">
        <v>5</v>
      </c>
      <c r="D1690">
        <v>1.66E-2</v>
      </c>
      <c r="E1690">
        <v>6.665757273824422</v>
      </c>
      <c r="F1690">
        <v>669.24857792043611</v>
      </c>
      <c r="G1690">
        <v>0.42399999999999999</v>
      </c>
      <c r="H1690">
        <v>1.04E-2</v>
      </c>
      <c r="I1690">
        <v>338.00540000000001</v>
      </c>
    </row>
    <row r="1691" spans="1:9" x14ac:dyDescent="0.3">
      <c r="A1691" t="s">
        <v>9</v>
      </c>
      <c r="B1691" t="s">
        <v>1816</v>
      </c>
      <c r="C1691">
        <v>5</v>
      </c>
      <c r="D1691">
        <v>1.4999999999999999E-2</v>
      </c>
      <c r="E1691">
        <v>6.4595344449225482</v>
      </c>
      <c r="F1691">
        <v>650.02861026678147</v>
      </c>
      <c r="G1691">
        <v>0.42399999999999999</v>
      </c>
      <c r="H1691">
        <v>7.1999999999999998E-3</v>
      </c>
      <c r="I1691">
        <v>338.20310000000001</v>
      </c>
    </row>
    <row r="1692" spans="1:9" x14ac:dyDescent="0.3">
      <c r="A1692" t="s">
        <v>9</v>
      </c>
      <c r="B1692" t="s">
        <v>1817</v>
      </c>
      <c r="C1692">
        <v>5</v>
      </c>
      <c r="D1692">
        <v>1.21E-2</v>
      </c>
      <c r="E1692">
        <v>6.2712283142375851</v>
      </c>
      <c r="F1692">
        <v>632.47847888694298</v>
      </c>
      <c r="G1692">
        <v>0.42399999999999999</v>
      </c>
      <c r="H1692">
        <v>4.3E-3</v>
      </c>
      <c r="I1692">
        <v>338.40359999999998</v>
      </c>
    </row>
    <row r="1693" spans="1:9" x14ac:dyDescent="0.3">
      <c r="A1693" t="s">
        <v>9</v>
      </c>
      <c r="B1693" t="s">
        <v>1818</v>
      </c>
      <c r="C1693">
        <v>5</v>
      </c>
      <c r="D1693">
        <v>7.9000000000000008E-3</v>
      </c>
      <c r="E1693">
        <v>6.1221156755443094</v>
      </c>
      <c r="F1693">
        <v>618.58118096072963</v>
      </c>
      <c r="G1693">
        <v>0.42399999999999999</v>
      </c>
      <c r="H1693">
        <v>2E-3</v>
      </c>
      <c r="I1693">
        <v>338.60430000000002</v>
      </c>
    </row>
    <row r="1694" spans="1:9" x14ac:dyDescent="0.3">
      <c r="A1694" t="s">
        <v>9</v>
      </c>
      <c r="B1694" t="s">
        <v>1819</v>
      </c>
      <c r="C1694">
        <v>5</v>
      </c>
      <c r="D1694">
        <v>4.5999999999999999E-3</v>
      </c>
      <c r="E1694">
        <v>6.0274845601876219</v>
      </c>
      <c r="F1694">
        <v>609.7615610094864</v>
      </c>
      <c r="G1694">
        <v>0.42399999999999999</v>
      </c>
      <c r="H1694">
        <v>5.0000000000000001E-4</v>
      </c>
      <c r="I1694">
        <v>338.80410000000001</v>
      </c>
    </row>
    <row r="1695" spans="1:9" x14ac:dyDescent="0.3">
      <c r="A1695" t="s">
        <v>9</v>
      </c>
      <c r="B1695" t="s">
        <v>1820</v>
      </c>
      <c r="C1695">
        <v>5</v>
      </c>
      <c r="D1695">
        <v>1.9E-3</v>
      </c>
      <c r="E1695">
        <v>5.9957563225150992</v>
      </c>
      <c r="F1695">
        <v>606.80448925840722</v>
      </c>
      <c r="G1695">
        <v>0.42399999999999999</v>
      </c>
      <c r="H1695">
        <v>0</v>
      </c>
      <c r="I1695">
        <v>339.0052</v>
      </c>
    </row>
    <row r="1696" spans="1:9" x14ac:dyDescent="0.3">
      <c r="A1696" t="s">
        <v>9</v>
      </c>
      <c r="B1696" t="s">
        <v>1821</v>
      </c>
      <c r="C1696">
        <v>5</v>
      </c>
      <c r="D1696">
        <v>6.9999999999999999E-4</v>
      </c>
      <c r="E1696">
        <v>6.0300116404179356</v>
      </c>
      <c r="F1696">
        <v>712.24810467566215</v>
      </c>
      <c r="G1696">
        <v>0.42399999999999999</v>
      </c>
      <c r="H1696">
        <v>5.0000000000000001E-4</v>
      </c>
      <c r="I1696">
        <v>339.20359999999999</v>
      </c>
    </row>
    <row r="1697" spans="1:9" x14ac:dyDescent="0.3">
      <c r="A1697" t="s">
        <v>9</v>
      </c>
      <c r="B1697" t="s">
        <v>1822</v>
      </c>
      <c r="C1697">
        <v>5</v>
      </c>
      <c r="D1697">
        <v>6.9999999999999999E-4</v>
      </c>
      <c r="E1697">
        <v>6.1266543123840194</v>
      </c>
      <c r="F1697">
        <v>721.41949424524353</v>
      </c>
      <c r="G1697">
        <v>0.42399999999999999</v>
      </c>
      <c r="H1697">
        <v>2E-3</v>
      </c>
      <c r="I1697">
        <v>339.40300000000002</v>
      </c>
    </row>
    <row r="1698" spans="1:9" x14ac:dyDescent="0.3">
      <c r="A1698" t="s">
        <v>9</v>
      </c>
      <c r="B1698" t="s">
        <v>1823</v>
      </c>
      <c r="C1698">
        <v>5</v>
      </c>
      <c r="D1698">
        <v>1E-3</v>
      </c>
      <c r="E1698">
        <v>6.2768148902305736</v>
      </c>
      <c r="F1698">
        <v>735.66973308288152</v>
      </c>
      <c r="G1698">
        <v>0.42399999999999999</v>
      </c>
      <c r="H1698">
        <v>4.4000000000000003E-3</v>
      </c>
      <c r="I1698">
        <v>339.60289999999998</v>
      </c>
    </row>
    <row r="1699" spans="1:9" x14ac:dyDescent="0.3">
      <c r="A1699" t="s">
        <v>9</v>
      </c>
      <c r="B1699" t="s">
        <v>1824</v>
      </c>
      <c r="C1699">
        <v>5</v>
      </c>
      <c r="D1699">
        <v>2.0999999999999999E-3</v>
      </c>
      <c r="E1699">
        <v>6.4661440236176926</v>
      </c>
      <c r="F1699">
        <v>753.63706784131909</v>
      </c>
      <c r="G1699">
        <v>0.42399999999999999</v>
      </c>
      <c r="H1699">
        <v>7.3000000000000001E-3</v>
      </c>
      <c r="I1699">
        <v>339.80340000000001</v>
      </c>
    </row>
    <row r="1700" spans="1:9" x14ac:dyDescent="0.3">
      <c r="A1700" t="s">
        <v>9</v>
      </c>
      <c r="B1700" t="s">
        <v>1825</v>
      </c>
      <c r="C1700">
        <v>5</v>
      </c>
      <c r="D1700">
        <v>4.4000000000000003E-3</v>
      </c>
      <c r="E1700">
        <v>6.6756349467642657</v>
      </c>
      <c r="F1700">
        <v>773.51775644792883</v>
      </c>
      <c r="G1700">
        <v>0.42399999999999999</v>
      </c>
      <c r="H1700">
        <v>1.06E-2</v>
      </c>
      <c r="I1700">
        <v>340.00389999999999</v>
      </c>
    </row>
    <row r="1701" spans="1:9" x14ac:dyDescent="0.3">
      <c r="A1701" t="s">
        <v>9</v>
      </c>
      <c r="B1701" t="s">
        <v>1826</v>
      </c>
      <c r="C1701">
        <v>5</v>
      </c>
      <c r="D1701">
        <v>7.6E-3</v>
      </c>
      <c r="E1701">
        <v>6.8846818794396318</v>
      </c>
      <c r="F1701">
        <v>793.35631035882113</v>
      </c>
      <c r="G1701">
        <v>0.42399999999999999</v>
      </c>
      <c r="H1701">
        <v>1.38E-2</v>
      </c>
      <c r="I1701">
        <v>340.20429999999999</v>
      </c>
    </row>
    <row r="1702" spans="1:9" x14ac:dyDescent="0.3">
      <c r="A1702" t="s">
        <v>9</v>
      </c>
      <c r="B1702" t="s">
        <v>1827</v>
      </c>
      <c r="C1702">
        <v>5</v>
      </c>
      <c r="D1702">
        <v>1.14E-2</v>
      </c>
      <c r="E1702">
        <v>7.3159892255901502</v>
      </c>
      <c r="F1702">
        <v>834.2873775085053</v>
      </c>
      <c r="G1702">
        <v>0.42399999999999999</v>
      </c>
      <c r="H1702">
        <v>2.0500000000000001E-2</v>
      </c>
      <c r="I1702">
        <v>340.80549999999999</v>
      </c>
    </row>
    <row r="1703" spans="1:9" x14ac:dyDescent="0.3">
      <c r="A1703" t="s">
        <v>9</v>
      </c>
      <c r="B1703" t="s">
        <v>1828</v>
      </c>
      <c r="C1703">
        <v>5</v>
      </c>
      <c r="D1703">
        <v>1.4999999999999999E-2</v>
      </c>
      <c r="E1703">
        <v>7.347294000311785</v>
      </c>
      <c r="F1703">
        <v>837.25820062958849</v>
      </c>
      <c r="G1703">
        <v>0.42399999999999999</v>
      </c>
      <c r="H1703">
        <v>2.1000000000000001E-2</v>
      </c>
      <c r="I1703">
        <v>341.00330000000002</v>
      </c>
    </row>
    <row r="1704" spans="1:9" x14ac:dyDescent="0.3">
      <c r="A1704" t="s">
        <v>9</v>
      </c>
      <c r="B1704" t="s">
        <v>1829</v>
      </c>
      <c r="C1704">
        <v>5</v>
      </c>
      <c r="D1704">
        <v>1.6899999999999998E-2</v>
      </c>
      <c r="E1704">
        <v>7.3134108370911353</v>
      </c>
      <c r="F1704">
        <v>729.60989001689381</v>
      </c>
      <c r="G1704">
        <v>0.42399999999999999</v>
      </c>
      <c r="H1704">
        <v>2.0500000000000001E-2</v>
      </c>
      <c r="I1704">
        <v>341.20249999999999</v>
      </c>
    </row>
    <row r="1705" spans="1:9" x14ac:dyDescent="0.3">
      <c r="A1705" t="s">
        <v>9</v>
      </c>
      <c r="B1705" t="s">
        <v>1830</v>
      </c>
      <c r="C1705">
        <v>5</v>
      </c>
      <c r="D1705">
        <v>1.7100000000000001E-2</v>
      </c>
      <c r="E1705">
        <v>7.2166221307797471</v>
      </c>
      <c r="F1705">
        <v>720.58918258867243</v>
      </c>
      <c r="G1705">
        <v>0.42399999999999999</v>
      </c>
      <c r="H1705">
        <v>1.9E-2</v>
      </c>
      <c r="I1705">
        <v>341.40260000000001</v>
      </c>
    </row>
    <row r="1706" spans="1:9" x14ac:dyDescent="0.3">
      <c r="A1706" t="s">
        <v>9</v>
      </c>
      <c r="B1706" t="s">
        <v>1831</v>
      </c>
      <c r="C1706">
        <v>5</v>
      </c>
      <c r="D1706">
        <v>1.7100000000000001E-2</v>
      </c>
      <c r="E1706">
        <v>7.0661158485717719</v>
      </c>
      <c r="F1706">
        <v>706.56199708688916</v>
      </c>
      <c r="G1706">
        <v>0.42399999999999999</v>
      </c>
      <c r="H1706">
        <v>1.66E-2</v>
      </c>
      <c r="I1706">
        <v>341.60300000000001</v>
      </c>
    </row>
    <row r="1707" spans="1:9" x14ac:dyDescent="0.3">
      <c r="A1707" t="s">
        <v>9</v>
      </c>
      <c r="B1707" t="s">
        <v>1832</v>
      </c>
      <c r="C1707">
        <v>5</v>
      </c>
      <c r="D1707">
        <v>1.7100000000000001E-2</v>
      </c>
      <c r="E1707">
        <v>6.8767289761498596</v>
      </c>
      <c r="F1707">
        <v>688.91114057716698</v>
      </c>
      <c r="G1707">
        <v>0.42399999999999999</v>
      </c>
      <c r="H1707">
        <v>1.37E-2</v>
      </c>
      <c r="I1707">
        <v>341.80360000000002</v>
      </c>
    </row>
    <row r="1708" spans="1:9" x14ac:dyDescent="0.3">
      <c r="A1708" t="s">
        <v>9</v>
      </c>
      <c r="B1708" t="s">
        <v>1833</v>
      </c>
      <c r="C1708">
        <v>5</v>
      </c>
      <c r="D1708">
        <v>1.6799999999999999E-2</v>
      </c>
      <c r="E1708">
        <v>6.6659514943136529</v>
      </c>
      <c r="F1708">
        <v>669.26667927003245</v>
      </c>
      <c r="G1708">
        <v>0.42399999999999999</v>
      </c>
      <c r="H1708">
        <v>1.04E-2</v>
      </c>
      <c r="I1708">
        <v>342.0052</v>
      </c>
    </row>
    <row r="1709" spans="1:9" x14ac:dyDescent="0.3">
      <c r="A1709" t="s">
        <v>9</v>
      </c>
      <c r="B1709" t="s">
        <v>1834</v>
      </c>
      <c r="C1709">
        <v>5</v>
      </c>
      <c r="D1709">
        <v>1.49E-2</v>
      </c>
      <c r="E1709">
        <v>6.458270187124163</v>
      </c>
      <c r="F1709">
        <v>649.91078143997197</v>
      </c>
      <c r="G1709">
        <v>0.42399999999999999</v>
      </c>
      <c r="H1709">
        <v>7.1999999999999998E-3</v>
      </c>
      <c r="I1709">
        <v>342.20440000000002</v>
      </c>
    </row>
    <row r="1710" spans="1:9" x14ac:dyDescent="0.3">
      <c r="A1710" t="s">
        <v>9</v>
      </c>
      <c r="B1710" t="s">
        <v>1835</v>
      </c>
      <c r="C1710">
        <v>5</v>
      </c>
      <c r="D1710">
        <v>1.24E-2</v>
      </c>
      <c r="E1710">
        <v>6.2701559251980834</v>
      </c>
      <c r="F1710">
        <v>632.37853222846138</v>
      </c>
      <c r="G1710">
        <v>0.42399999999999999</v>
      </c>
      <c r="H1710">
        <v>4.3E-3</v>
      </c>
      <c r="I1710">
        <v>342.40480000000002</v>
      </c>
    </row>
    <row r="1711" spans="1:9" x14ac:dyDescent="0.3">
      <c r="A1711" t="s">
        <v>9</v>
      </c>
      <c r="B1711" t="s">
        <v>1836</v>
      </c>
      <c r="C1711">
        <v>5</v>
      </c>
      <c r="D1711">
        <v>8.5000000000000006E-3</v>
      </c>
      <c r="E1711">
        <v>6.1224210355661066</v>
      </c>
      <c r="F1711">
        <v>618.60964051476117</v>
      </c>
      <c r="G1711">
        <v>0.42399999999999999</v>
      </c>
      <c r="H1711">
        <v>2E-3</v>
      </c>
      <c r="I1711">
        <v>342.60379999999998</v>
      </c>
    </row>
    <row r="1712" spans="1:9" x14ac:dyDescent="0.3">
      <c r="A1712" t="s">
        <v>9</v>
      </c>
      <c r="B1712" t="s">
        <v>1837</v>
      </c>
      <c r="C1712">
        <v>5</v>
      </c>
      <c r="D1712">
        <v>4.5999999999999999E-3</v>
      </c>
      <c r="E1712">
        <v>6.0273062382064957</v>
      </c>
      <c r="F1712">
        <v>609.74494140084539</v>
      </c>
      <c r="G1712">
        <v>0.42399999999999999</v>
      </c>
      <c r="H1712">
        <v>5.0000000000000001E-4</v>
      </c>
      <c r="I1712">
        <v>342.80459999999999</v>
      </c>
    </row>
    <row r="1713" spans="1:9" x14ac:dyDescent="0.3">
      <c r="A1713" t="s">
        <v>9</v>
      </c>
      <c r="B1713" t="s">
        <v>1838</v>
      </c>
      <c r="C1713">
        <v>5</v>
      </c>
      <c r="D1713">
        <v>2.0999999999999999E-3</v>
      </c>
      <c r="E1713">
        <v>5.9957653049329513</v>
      </c>
      <c r="F1713">
        <v>606.80532641975105</v>
      </c>
      <c r="G1713">
        <v>0.42399999999999999</v>
      </c>
      <c r="H1713">
        <v>0</v>
      </c>
      <c r="I1713">
        <v>343.00619999999998</v>
      </c>
    </row>
    <row r="1714" spans="1:9" x14ac:dyDescent="0.3">
      <c r="A1714" t="s">
        <v>9</v>
      </c>
      <c r="B1714" t="s">
        <v>1839</v>
      </c>
      <c r="C1714">
        <v>5</v>
      </c>
      <c r="D1714">
        <v>1.1999999999999999E-3</v>
      </c>
      <c r="E1714">
        <v>6.0297048288108526</v>
      </c>
      <c r="F1714">
        <v>712.21898825415008</v>
      </c>
      <c r="G1714">
        <v>0.42399999999999999</v>
      </c>
      <c r="H1714">
        <v>5.0000000000000001E-4</v>
      </c>
      <c r="I1714">
        <v>343.20269999999999</v>
      </c>
    </row>
    <row r="1715" spans="1:9" x14ac:dyDescent="0.3">
      <c r="A1715" t="s">
        <v>9</v>
      </c>
      <c r="B1715" t="s">
        <v>1840</v>
      </c>
      <c r="C1715">
        <v>5</v>
      </c>
      <c r="D1715">
        <v>1.1999999999999999E-3</v>
      </c>
      <c r="E1715">
        <v>6.1276635290806771</v>
      </c>
      <c r="F1715">
        <v>721.51526890975629</v>
      </c>
      <c r="G1715">
        <v>0.42399999999999999</v>
      </c>
      <c r="H1715">
        <v>2E-3</v>
      </c>
      <c r="I1715">
        <v>343.40460000000002</v>
      </c>
    </row>
    <row r="1716" spans="1:9" x14ac:dyDescent="0.3">
      <c r="A1716" t="s">
        <v>9</v>
      </c>
      <c r="B1716" t="s">
        <v>1841</v>
      </c>
      <c r="C1716">
        <v>5</v>
      </c>
      <c r="D1716">
        <v>1.4E-3</v>
      </c>
      <c r="E1716">
        <v>6.2787354429848481</v>
      </c>
      <c r="F1716">
        <v>735.85199353926214</v>
      </c>
      <c r="G1716">
        <v>0.42399999999999999</v>
      </c>
      <c r="H1716">
        <v>4.4000000000000003E-3</v>
      </c>
      <c r="I1716">
        <v>343.60509999999999</v>
      </c>
    </row>
    <row r="1717" spans="1:9" x14ac:dyDescent="0.3">
      <c r="A1717" t="s">
        <v>9</v>
      </c>
      <c r="B1717" t="s">
        <v>1842</v>
      </c>
      <c r="C1717">
        <v>5</v>
      </c>
      <c r="D1717">
        <v>2.3999999999999998E-3</v>
      </c>
      <c r="E1717">
        <v>6.4664306914379166</v>
      </c>
      <c r="F1717">
        <v>753.66427261745832</v>
      </c>
      <c r="G1717">
        <v>0.42399999999999999</v>
      </c>
      <c r="H1717">
        <v>7.3000000000000001E-3</v>
      </c>
      <c r="I1717">
        <v>343.80369999999999</v>
      </c>
    </row>
    <row r="1718" spans="1:9" x14ac:dyDescent="0.3">
      <c r="A1718" t="s">
        <v>9</v>
      </c>
      <c r="B1718" t="s">
        <v>1843</v>
      </c>
      <c r="C1718">
        <v>5</v>
      </c>
      <c r="D1718">
        <v>5.0000000000000001E-3</v>
      </c>
      <c r="E1718">
        <v>6.6749460519600792</v>
      </c>
      <c r="F1718">
        <v>773.45238033101157</v>
      </c>
      <c r="G1718">
        <v>0.42399999999999999</v>
      </c>
      <c r="H1718">
        <v>1.06E-2</v>
      </c>
      <c r="I1718">
        <v>344.00319999999999</v>
      </c>
    </row>
    <row r="1719" spans="1:9" x14ac:dyDescent="0.3">
      <c r="A1719" t="s">
        <v>9</v>
      </c>
      <c r="B1719" t="s">
        <v>1844</v>
      </c>
      <c r="C1719">
        <v>5</v>
      </c>
      <c r="D1719">
        <v>7.6E-3</v>
      </c>
      <c r="E1719">
        <v>6.8832055604390154</v>
      </c>
      <c r="F1719">
        <v>793.21620768566265</v>
      </c>
      <c r="G1719">
        <v>0.42399999999999999</v>
      </c>
      <c r="H1719">
        <v>1.38E-2</v>
      </c>
      <c r="I1719">
        <v>344.20280000000002</v>
      </c>
    </row>
    <row r="1720" spans="1:9" x14ac:dyDescent="0.3">
      <c r="A1720" t="s">
        <v>9</v>
      </c>
      <c r="B1720" t="s">
        <v>1845</v>
      </c>
      <c r="C1720">
        <v>5</v>
      </c>
      <c r="D1720">
        <v>1.06E-2</v>
      </c>
      <c r="E1720">
        <v>7.0718224439067514</v>
      </c>
      <c r="F1720">
        <v>811.11594992675066</v>
      </c>
      <c r="G1720">
        <v>0.42399999999999999</v>
      </c>
      <c r="H1720">
        <v>1.67E-2</v>
      </c>
      <c r="I1720">
        <v>344.40359999999998</v>
      </c>
    </row>
    <row r="1721" spans="1:9" x14ac:dyDescent="0.3">
      <c r="A1721" t="s">
        <v>9</v>
      </c>
      <c r="B1721" t="s">
        <v>1846</v>
      </c>
      <c r="C1721">
        <v>5</v>
      </c>
      <c r="D1721">
        <v>1.32E-2</v>
      </c>
      <c r="E1721">
        <v>7.2212672036913199</v>
      </c>
      <c r="F1721">
        <v>825.29825763030635</v>
      </c>
      <c r="G1721">
        <v>0.42399999999999999</v>
      </c>
      <c r="H1721">
        <v>1.9E-2</v>
      </c>
      <c r="I1721">
        <v>344.60489999999999</v>
      </c>
    </row>
    <row r="1722" spans="1:9" x14ac:dyDescent="0.3">
      <c r="A1722" t="s">
        <v>9</v>
      </c>
      <c r="B1722" t="s">
        <v>1847</v>
      </c>
      <c r="C1722">
        <v>5</v>
      </c>
      <c r="D1722">
        <v>1.5299999999999999E-2</v>
      </c>
      <c r="E1722">
        <v>7.3158314974684142</v>
      </c>
      <c r="F1722">
        <v>834.27240910975252</v>
      </c>
      <c r="G1722">
        <v>0.42399999999999999</v>
      </c>
      <c r="H1722">
        <v>2.0500000000000001E-2</v>
      </c>
      <c r="I1722">
        <v>344.80489999999998</v>
      </c>
    </row>
    <row r="1723" spans="1:9" x14ac:dyDescent="0.3">
      <c r="A1723" t="s">
        <v>9</v>
      </c>
      <c r="B1723" t="s">
        <v>1848</v>
      </c>
      <c r="C1723">
        <v>5</v>
      </c>
      <c r="D1723">
        <v>1.6500000000000001E-2</v>
      </c>
      <c r="E1723">
        <v>7.3472915674872841</v>
      </c>
      <c r="F1723">
        <v>837.2579697545433</v>
      </c>
      <c r="G1723">
        <v>0.42399999999999999</v>
      </c>
      <c r="H1723">
        <v>2.1000000000000001E-2</v>
      </c>
      <c r="I1723">
        <v>345.00360000000001</v>
      </c>
    </row>
    <row r="1724" spans="1:9" x14ac:dyDescent="0.3">
      <c r="A1724" t="s">
        <v>9</v>
      </c>
      <c r="B1724" t="s">
        <v>1849</v>
      </c>
      <c r="C1724">
        <v>5</v>
      </c>
      <c r="D1724">
        <v>1.7299999999999999E-2</v>
      </c>
      <c r="E1724">
        <v>7.3132908177491469</v>
      </c>
      <c r="F1724">
        <v>729.59870421422056</v>
      </c>
      <c r="G1724">
        <v>0.42399999999999999</v>
      </c>
      <c r="H1724">
        <v>2.0500000000000001E-2</v>
      </c>
      <c r="I1724">
        <v>345.20280000000002</v>
      </c>
    </row>
    <row r="1725" spans="1:9" x14ac:dyDescent="0.3">
      <c r="A1725" t="s">
        <v>9</v>
      </c>
      <c r="B1725" t="s">
        <v>1850</v>
      </c>
      <c r="C1725">
        <v>5</v>
      </c>
      <c r="D1725">
        <v>1.7500000000000002E-2</v>
      </c>
      <c r="E1725">
        <v>7.2152467739958714</v>
      </c>
      <c r="F1725">
        <v>720.46099933641528</v>
      </c>
      <c r="G1725">
        <v>0.42399999999999999</v>
      </c>
      <c r="H1725">
        <v>1.89E-2</v>
      </c>
      <c r="I1725">
        <v>345.40480000000002</v>
      </c>
    </row>
    <row r="1726" spans="1:9" x14ac:dyDescent="0.3">
      <c r="A1726" t="s">
        <v>9</v>
      </c>
      <c r="B1726" t="s">
        <v>1851</v>
      </c>
      <c r="C1726">
        <v>6</v>
      </c>
      <c r="D1726">
        <v>1.7500000000000002E-2</v>
      </c>
      <c r="E1726">
        <v>7.0643293444474367</v>
      </c>
      <c r="F1726">
        <v>706.39549490250113</v>
      </c>
      <c r="G1726">
        <v>0.42399999999999999</v>
      </c>
      <c r="H1726">
        <v>1.66E-2</v>
      </c>
      <c r="I1726">
        <v>345.60509999999999</v>
      </c>
    </row>
    <row r="1727" spans="1:9" x14ac:dyDescent="0.3">
      <c r="A1727" t="s">
        <v>9</v>
      </c>
      <c r="B1727" t="s">
        <v>1852</v>
      </c>
      <c r="C1727">
        <v>6</v>
      </c>
      <c r="D1727">
        <v>1.7399999999999999E-2</v>
      </c>
      <c r="E1727">
        <v>6.8743188580120798</v>
      </c>
      <c r="F1727">
        <v>688.6865175667258</v>
      </c>
      <c r="G1727">
        <v>0.42399999999999999</v>
      </c>
      <c r="H1727">
        <v>1.37E-2</v>
      </c>
      <c r="I1727">
        <v>345.80599999999998</v>
      </c>
    </row>
    <row r="1728" spans="1:9" x14ac:dyDescent="0.3">
      <c r="A1728" t="s">
        <v>9</v>
      </c>
      <c r="B1728" t="s">
        <v>1853</v>
      </c>
      <c r="C1728">
        <v>6</v>
      </c>
      <c r="D1728">
        <v>1.7000000000000001E-2</v>
      </c>
      <c r="E1728">
        <v>6.6674241640775174</v>
      </c>
      <c r="F1728">
        <v>669.40393209202466</v>
      </c>
      <c r="G1728">
        <v>0.42399999999999999</v>
      </c>
      <c r="H1728">
        <v>1.04E-2</v>
      </c>
      <c r="I1728">
        <v>346.00380000000001</v>
      </c>
    </row>
    <row r="1729" spans="1:9" x14ac:dyDescent="0.3">
      <c r="A1729" t="s">
        <v>9</v>
      </c>
      <c r="B1729" t="s">
        <v>1854</v>
      </c>
      <c r="C1729">
        <v>6</v>
      </c>
      <c r="D1729">
        <v>1.54E-2</v>
      </c>
      <c r="E1729">
        <v>6.4588070303971143</v>
      </c>
      <c r="F1729">
        <v>649.96081523301109</v>
      </c>
      <c r="G1729">
        <v>0.42399999999999999</v>
      </c>
      <c r="H1729">
        <v>7.1999999999999998E-3</v>
      </c>
      <c r="I1729">
        <v>346.20389999999998</v>
      </c>
    </row>
    <row r="1730" spans="1:9" x14ac:dyDescent="0.3">
      <c r="A1730" t="s">
        <v>9</v>
      </c>
      <c r="B1730" t="s">
        <v>1855</v>
      </c>
      <c r="C1730">
        <v>6</v>
      </c>
      <c r="D1730">
        <v>1.21E-2</v>
      </c>
      <c r="E1730">
        <v>6.2714083432505694</v>
      </c>
      <c r="F1730">
        <v>632.49525759095297</v>
      </c>
      <c r="G1730">
        <v>0.42399999999999999</v>
      </c>
      <c r="H1730">
        <v>4.3E-3</v>
      </c>
      <c r="I1730">
        <v>346.40339999999998</v>
      </c>
    </row>
    <row r="1731" spans="1:9" x14ac:dyDescent="0.3">
      <c r="A1731" t="s">
        <v>9</v>
      </c>
      <c r="B1731" t="s">
        <v>1856</v>
      </c>
      <c r="C1731">
        <v>6</v>
      </c>
      <c r="D1731">
        <v>8.6999999999999994E-3</v>
      </c>
      <c r="E1731">
        <v>6.1192106803561996</v>
      </c>
      <c r="F1731">
        <v>618.31043540919779</v>
      </c>
      <c r="G1731">
        <v>0.42399999999999999</v>
      </c>
      <c r="H1731">
        <v>1.9E-3</v>
      </c>
      <c r="I1731">
        <v>346.60899999999998</v>
      </c>
    </row>
    <row r="1732" spans="1:9" x14ac:dyDescent="0.3">
      <c r="A1732" t="s">
        <v>9</v>
      </c>
      <c r="B1732" t="s">
        <v>1857</v>
      </c>
      <c r="C1732">
        <v>6</v>
      </c>
      <c r="D1732">
        <v>4.7999999999999996E-3</v>
      </c>
      <c r="E1732">
        <v>6.027240300553137</v>
      </c>
      <c r="F1732">
        <v>609.73879601155238</v>
      </c>
      <c r="G1732">
        <v>0.42399999999999999</v>
      </c>
      <c r="H1732">
        <v>5.0000000000000001E-4</v>
      </c>
      <c r="I1732">
        <v>346.8048</v>
      </c>
    </row>
    <row r="1733" spans="1:9" x14ac:dyDescent="0.3">
      <c r="A1733" t="s">
        <v>9</v>
      </c>
      <c r="B1733" t="s">
        <v>1858</v>
      </c>
      <c r="C1733">
        <v>6</v>
      </c>
      <c r="D1733">
        <v>1.9E-3</v>
      </c>
      <c r="E1733">
        <v>5.9957565239164756</v>
      </c>
      <c r="F1733">
        <v>606.80450802901555</v>
      </c>
      <c r="G1733">
        <v>0.42399999999999999</v>
      </c>
      <c r="H1733">
        <v>0</v>
      </c>
      <c r="I1733">
        <v>347.0052</v>
      </c>
    </row>
    <row r="1734" spans="1:9" x14ac:dyDescent="0.3">
      <c r="A1734" t="s">
        <v>9</v>
      </c>
      <c r="B1734" t="s">
        <v>1859</v>
      </c>
      <c r="C1734">
        <v>6</v>
      </c>
      <c r="D1734">
        <v>1E-3</v>
      </c>
      <c r="E1734">
        <v>6.0308936487762068</v>
      </c>
      <c r="F1734">
        <v>712.33180726886201</v>
      </c>
      <c r="G1734">
        <v>0.42399999999999999</v>
      </c>
      <c r="H1734">
        <v>5.0000000000000001E-4</v>
      </c>
      <c r="I1734">
        <v>347.2063</v>
      </c>
    </row>
    <row r="1735" spans="1:9" x14ac:dyDescent="0.3">
      <c r="A1735" t="s">
        <v>9</v>
      </c>
      <c r="B1735" t="s">
        <v>1860</v>
      </c>
      <c r="C1735">
        <v>6</v>
      </c>
      <c r="D1735">
        <v>1.1000000000000001E-3</v>
      </c>
      <c r="E1735">
        <v>6.128234350802475</v>
      </c>
      <c r="F1735">
        <v>721.56943989115496</v>
      </c>
      <c r="G1735">
        <v>0.42399999999999999</v>
      </c>
      <c r="H1735">
        <v>2.0999999999999999E-3</v>
      </c>
      <c r="I1735">
        <v>347.40550000000002</v>
      </c>
    </row>
    <row r="1736" spans="1:9" x14ac:dyDescent="0.3">
      <c r="A1736" t="s">
        <v>9</v>
      </c>
      <c r="B1736" t="s">
        <v>1861</v>
      </c>
      <c r="C1736">
        <v>6</v>
      </c>
      <c r="D1736">
        <v>1.1999999999999999E-3</v>
      </c>
      <c r="E1736">
        <v>6.2779736445398182</v>
      </c>
      <c r="F1736">
        <v>735.77969886682877</v>
      </c>
      <c r="G1736">
        <v>0.42399999999999999</v>
      </c>
      <c r="H1736">
        <v>4.4000000000000003E-3</v>
      </c>
      <c r="I1736">
        <v>347.60419999999999</v>
      </c>
    </row>
    <row r="1737" spans="1:9" x14ac:dyDescent="0.3">
      <c r="A1737" t="s">
        <v>9</v>
      </c>
      <c r="B1737" t="s">
        <v>1862</v>
      </c>
      <c r="C1737">
        <v>6</v>
      </c>
      <c r="D1737">
        <v>2.3E-3</v>
      </c>
      <c r="E1737">
        <v>6.466245796775933</v>
      </c>
      <c r="F1737">
        <v>753.64672611403603</v>
      </c>
      <c r="G1737">
        <v>0.42399999999999999</v>
      </c>
      <c r="H1737">
        <v>7.3000000000000001E-3</v>
      </c>
      <c r="I1737">
        <v>347.80349999999999</v>
      </c>
    </row>
    <row r="1738" spans="1:9" x14ac:dyDescent="0.3">
      <c r="A1738" t="s">
        <v>9</v>
      </c>
      <c r="B1738" t="s">
        <v>1863</v>
      </c>
      <c r="C1738">
        <v>6</v>
      </c>
      <c r="D1738">
        <v>4.4000000000000003E-3</v>
      </c>
      <c r="E1738">
        <v>6.676731339672167</v>
      </c>
      <c r="F1738">
        <v>773.62180413488863</v>
      </c>
      <c r="G1738">
        <v>0.42399999999999999</v>
      </c>
      <c r="H1738">
        <v>1.06E-2</v>
      </c>
      <c r="I1738">
        <v>348.00490000000002</v>
      </c>
    </row>
    <row r="1739" spans="1:9" x14ac:dyDescent="0.3">
      <c r="A1739" t="s">
        <v>9</v>
      </c>
      <c r="B1739" t="s">
        <v>1864</v>
      </c>
      <c r="C1739">
        <v>6</v>
      </c>
      <c r="D1739">
        <v>7.9000000000000008E-3</v>
      </c>
      <c r="E1739">
        <v>6.8863479587512284</v>
      </c>
      <c r="F1739">
        <v>793.51442128549161</v>
      </c>
      <c r="G1739">
        <v>0.42399999999999999</v>
      </c>
      <c r="H1739">
        <v>1.38E-2</v>
      </c>
      <c r="I1739">
        <v>348.20589999999999</v>
      </c>
    </row>
    <row r="1740" spans="1:9" x14ac:dyDescent="0.3">
      <c r="A1740" t="s">
        <v>9</v>
      </c>
      <c r="B1740" t="s">
        <v>1865</v>
      </c>
      <c r="C1740">
        <v>6</v>
      </c>
      <c r="D1740">
        <v>1.0699999999999999E-2</v>
      </c>
      <c r="E1740">
        <v>7.0713334461822948</v>
      </c>
      <c r="F1740">
        <v>811.06954404269982</v>
      </c>
      <c r="G1740">
        <v>0.42399999999999999</v>
      </c>
      <c r="H1740">
        <v>1.67E-2</v>
      </c>
      <c r="I1740">
        <v>348.40300000000002</v>
      </c>
    </row>
    <row r="1741" spans="1:9" x14ac:dyDescent="0.3">
      <c r="A1741" t="s">
        <v>9</v>
      </c>
      <c r="B1741" t="s">
        <v>1866</v>
      </c>
      <c r="C1741">
        <v>6</v>
      </c>
      <c r="D1741">
        <v>1.3100000000000001E-2</v>
      </c>
      <c r="E1741">
        <v>7.2205774979456336</v>
      </c>
      <c r="F1741">
        <v>825.23280455504073</v>
      </c>
      <c r="G1741">
        <v>0.42399999999999999</v>
      </c>
      <c r="H1741">
        <v>1.9E-2</v>
      </c>
      <c r="I1741">
        <v>348.60379999999998</v>
      </c>
    </row>
    <row r="1742" spans="1:9" x14ac:dyDescent="0.3">
      <c r="A1742" t="s">
        <v>9</v>
      </c>
      <c r="B1742" t="s">
        <v>1867</v>
      </c>
      <c r="C1742">
        <v>6</v>
      </c>
      <c r="D1742">
        <v>1.54E-2</v>
      </c>
      <c r="E1742">
        <v>7.3156603888119314</v>
      </c>
      <c r="F1742">
        <v>834.25617089825232</v>
      </c>
      <c r="G1742">
        <v>0.42399999999999999</v>
      </c>
      <c r="H1742">
        <v>2.0500000000000001E-2</v>
      </c>
      <c r="I1742">
        <v>348.80439999999999</v>
      </c>
    </row>
    <row r="1743" spans="1:9" x14ac:dyDescent="0.3">
      <c r="A1743" t="s">
        <v>9</v>
      </c>
      <c r="B1743" t="s">
        <v>1868</v>
      </c>
      <c r="C1743">
        <v>6</v>
      </c>
      <c r="D1743">
        <v>1.6299999999999999E-2</v>
      </c>
      <c r="E1743">
        <v>7.3472879182505357</v>
      </c>
      <c r="F1743">
        <v>837.25762344197585</v>
      </c>
      <c r="G1743">
        <v>0.42399999999999999</v>
      </c>
      <c r="H1743">
        <v>2.1000000000000001E-2</v>
      </c>
      <c r="I1743">
        <v>349.00420000000003</v>
      </c>
    </row>
    <row r="1744" spans="1:9" x14ac:dyDescent="0.3">
      <c r="A1744" t="s">
        <v>9</v>
      </c>
      <c r="B1744" t="s">
        <v>1869</v>
      </c>
      <c r="C1744">
        <v>6</v>
      </c>
      <c r="D1744">
        <v>1.7399999999999999E-2</v>
      </c>
      <c r="E1744">
        <v>7.3129891475111739</v>
      </c>
      <c r="F1744">
        <v>729.57058854804143</v>
      </c>
      <c r="G1744">
        <v>0.42399999999999999</v>
      </c>
      <c r="H1744">
        <v>2.0500000000000001E-2</v>
      </c>
      <c r="I1744">
        <v>349.20370000000003</v>
      </c>
    </row>
    <row r="1745" spans="1:9" x14ac:dyDescent="0.3">
      <c r="A1745" t="s">
        <v>9</v>
      </c>
      <c r="B1745" t="s">
        <v>1870</v>
      </c>
      <c r="C1745">
        <v>6</v>
      </c>
      <c r="D1745">
        <v>1.7500000000000002E-2</v>
      </c>
      <c r="E1745">
        <v>7.214969837473646</v>
      </c>
      <c r="F1745">
        <v>720.43518885254377</v>
      </c>
      <c r="G1745">
        <v>0.42399999999999999</v>
      </c>
      <c r="H1745">
        <v>1.89E-2</v>
      </c>
      <c r="I1745">
        <v>349.40519999999998</v>
      </c>
    </row>
    <row r="1746" spans="1:9" x14ac:dyDescent="0.3">
      <c r="A1746" t="s">
        <v>9</v>
      </c>
      <c r="B1746" t="s">
        <v>1871</v>
      </c>
      <c r="C1746">
        <v>6</v>
      </c>
      <c r="D1746">
        <v>1.7500000000000002E-2</v>
      </c>
      <c r="E1746">
        <v>7.0636818076597452</v>
      </c>
      <c r="F1746">
        <v>706.33514447388825</v>
      </c>
      <c r="G1746">
        <v>0.42399999999999999</v>
      </c>
      <c r="H1746">
        <v>1.66E-2</v>
      </c>
      <c r="I1746">
        <v>349.60590000000002</v>
      </c>
    </row>
    <row r="1747" spans="1:9" x14ac:dyDescent="0.3">
      <c r="A1747" t="s">
        <v>9</v>
      </c>
      <c r="B1747" t="s">
        <v>1872</v>
      </c>
      <c r="C1747">
        <v>6</v>
      </c>
      <c r="D1747">
        <v>1.7399999999999999E-2</v>
      </c>
      <c r="E1747">
        <v>6.8760380539919206</v>
      </c>
      <c r="F1747">
        <v>688.84674663204714</v>
      </c>
      <c r="G1747">
        <v>0.42399999999999999</v>
      </c>
      <c r="H1747">
        <v>1.37E-2</v>
      </c>
      <c r="I1747">
        <v>349.80430000000001</v>
      </c>
    </row>
    <row r="1748" spans="1:9" x14ac:dyDescent="0.3">
      <c r="A1748" t="s">
        <v>9</v>
      </c>
      <c r="B1748" t="s">
        <v>1873</v>
      </c>
      <c r="C1748">
        <v>6</v>
      </c>
      <c r="D1748">
        <v>1.72E-2</v>
      </c>
      <c r="E1748">
        <v>6.6683198489641864</v>
      </c>
      <c r="F1748">
        <v>669.48740992346222</v>
      </c>
      <c r="G1748">
        <v>0.42399999999999999</v>
      </c>
      <c r="H1748">
        <v>1.0500000000000001E-2</v>
      </c>
      <c r="I1748">
        <v>350.00299999999999</v>
      </c>
    </row>
    <row r="1749" spans="1:9" x14ac:dyDescent="0.3">
      <c r="A1749" t="s">
        <v>9</v>
      </c>
      <c r="B1749" t="s">
        <v>1874</v>
      </c>
      <c r="C1749">
        <v>6</v>
      </c>
      <c r="D1749">
        <v>1.5800000000000002E-2</v>
      </c>
      <c r="E1749">
        <v>6.4580127131979372</v>
      </c>
      <c r="F1749">
        <v>649.88678487004779</v>
      </c>
      <c r="G1749">
        <v>0.42399999999999999</v>
      </c>
      <c r="H1749">
        <v>7.1999999999999998E-3</v>
      </c>
      <c r="I1749">
        <v>350.20460000000003</v>
      </c>
    </row>
    <row r="1750" spans="1:9" x14ac:dyDescent="0.3">
      <c r="A1750" t="s">
        <v>9</v>
      </c>
      <c r="B1750" t="s">
        <v>1875</v>
      </c>
      <c r="C1750">
        <v>6</v>
      </c>
      <c r="D1750">
        <v>1.29E-2</v>
      </c>
      <c r="E1750">
        <v>6.2708005425963744</v>
      </c>
      <c r="F1750">
        <v>632.43861056998207</v>
      </c>
      <c r="G1750">
        <v>0.42399999999999999</v>
      </c>
      <c r="H1750">
        <v>4.3E-3</v>
      </c>
      <c r="I1750">
        <v>350.40410000000003</v>
      </c>
    </row>
    <row r="1751" spans="1:9" x14ac:dyDescent="0.3">
      <c r="A1751" t="s">
        <v>9</v>
      </c>
      <c r="B1751" t="s">
        <v>1876</v>
      </c>
      <c r="C1751">
        <v>6</v>
      </c>
      <c r="D1751">
        <v>8.5000000000000006E-3</v>
      </c>
      <c r="E1751">
        <v>6.1227919196610969</v>
      </c>
      <c r="F1751">
        <v>618.64420691241423</v>
      </c>
      <c r="G1751">
        <v>0.42399999999999999</v>
      </c>
      <c r="H1751">
        <v>2E-3</v>
      </c>
      <c r="I1751">
        <v>350.60320000000002</v>
      </c>
    </row>
    <row r="1752" spans="1:9" x14ac:dyDescent="0.3">
      <c r="A1752" t="s">
        <v>9</v>
      </c>
      <c r="B1752" t="s">
        <v>1877</v>
      </c>
      <c r="C1752">
        <v>6</v>
      </c>
      <c r="D1752">
        <v>5.0000000000000001E-3</v>
      </c>
      <c r="E1752">
        <v>6.0273862335307564</v>
      </c>
      <c r="F1752">
        <v>609.75239696506651</v>
      </c>
      <c r="G1752">
        <v>0.42399999999999999</v>
      </c>
      <c r="H1752">
        <v>5.0000000000000001E-4</v>
      </c>
      <c r="I1752">
        <v>350.80439999999999</v>
      </c>
    </row>
    <row r="1753" spans="1:9" x14ac:dyDescent="0.3">
      <c r="A1753" t="s">
        <v>9</v>
      </c>
      <c r="B1753" t="s">
        <v>1878</v>
      </c>
      <c r="C1753">
        <v>6</v>
      </c>
      <c r="D1753">
        <v>2.2000000000000001E-3</v>
      </c>
      <c r="E1753">
        <v>5.9957488707331104</v>
      </c>
      <c r="F1753">
        <v>606.80379475232587</v>
      </c>
      <c r="G1753">
        <v>0.42399999999999999</v>
      </c>
      <c r="H1753">
        <v>0</v>
      </c>
      <c r="I1753">
        <v>351.0043</v>
      </c>
    </row>
    <row r="1754" spans="1:9" x14ac:dyDescent="0.3">
      <c r="A1754" t="s">
        <v>9</v>
      </c>
      <c r="B1754" t="s">
        <v>1879</v>
      </c>
      <c r="C1754">
        <v>6</v>
      </c>
      <c r="D1754">
        <v>1.1000000000000001E-3</v>
      </c>
      <c r="E1754">
        <v>6.0304654351718776</v>
      </c>
      <c r="F1754">
        <v>712.29116979781134</v>
      </c>
      <c r="G1754">
        <v>0.42399999999999999</v>
      </c>
      <c r="H1754">
        <v>5.0000000000000001E-4</v>
      </c>
      <c r="I1754">
        <v>351.20499999999998</v>
      </c>
    </row>
    <row r="1755" spans="1:9" x14ac:dyDescent="0.3">
      <c r="A1755" t="s">
        <v>9</v>
      </c>
      <c r="B1755" t="s">
        <v>1880</v>
      </c>
      <c r="C1755">
        <v>6</v>
      </c>
      <c r="D1755">
        <v>1.1999999999999999E-3</v>
      </c>
      <c r="E1755">
        <v>6.1279963394722454</v>
      </c>
      <c r="F1755">
        <v>721.54685261591612</v>
      </c>
      <c r="G1755">
        <v>0.42399999999999999</v>
      </c>
      <c r="H1755">
        <v>2.0999999999999999E-3</v>
      </c>
      <c r="I1755">
        <v>351.4051</v>
      </c>
    </row>
    <row r="1756" spans="1:9" x14ac:dyDescent="0.3">
      <c r="A1756" t="s">
        <v>9</v>
      </c>
      <c r="B1756" t="s">
        <v>1881</v>
      </c>
      <c r="C1756">
        <v>6</v>
      </c>
      <c r="D1756">
        <v>1.2999999999999999E-3</v>
      </c>
      <c r="E1756">
        <v>6.2772125759421371</v>
      </c>
      <c r="F1756">
        <v>735.70747345690882</v>
      </c>
      <c r="G1756">
        <v>0.42399999999999999</v>
      </c>
      <c r="H1756">
        <v>4.4000000000000003E-3</v>
      </c>
      <c r="I1756">
        <v>351.60340000000002</v>
      </c>
    </row>
    <row r="1757" spans="1:9" x14ac:dyDescent="0.3">
      <c r="A1757" t="s">
        <v>9</v>
      </c>
      <c r="B1757" t="s">
        <v>1882</v>
      </c>
      <c r="C1757">
        <v>6</v>
      </c>
      <c r="D1757">
        <v>2.2000000000000001E-3</v>
      </c>
      <c r="E1757">
        <v>6.466846704427379</v>
      </c>
      <c r="F1757">
        <v>753.70375225015835</v>
      </c>
      <c r="G1757">
        <v>0.42399999999999999</v>
      </c>
      <c r="H1757">
        <v>7.3000000000000001E-3</v>
      </c>
      <c r="I1757">
        <v>351.80410000000001</v>
      </c>
    </row>
    <row r="1758" spans="1:9" x14ac:dyDescent="0.3">
      <c r="A1758" t="s">
        <v>9</v>
      </c>
      <c r="B1758" t="s">
        <v>1883</v>
      </c>
      <c r="C1758">
        <v>6</v>
      </c>
      <c r="D1758">
        <v>4.4000000000000003E-3</v>
      </c>
      <c r="E1758">
        <v>6.6764961666371869</v>
      </c>
      <c r="F1758">
        <v>773.59948621386911</v>
      </c>
      <c r="G1758">
        <v>0.42399999999999999</v>
      </c>
      <c r="H1758">
        <v>1.06E-2</v>
      </c>
      <c r="I1758">
        <v>352.00470000000001</v>
      </c>
    </row>
    <row r="1759" spans="1:9" x14ac:dyDescent="0.3">
      <c r="A1759" t="s">
        <v>9</v>
      </c>
      <c r="B1759" t="s">
        <v>1884</v>
      </c>
      <c r="C1759">
        <v>6</v>
      </c>
      <c r="D1759">
        <v>7.9000000000000008E-3</v>
      </c>
      <c r="E1759">
        <v>6.8859684381292654</v>
      </c>
      <c r="F1759">
        <v>793.47840477846728</v>
      </c>
      <c r="G1759">
        <v>0.42399999999999999</v>
      </c>
      <c r="H1759">
        <v>1.38E-2</v>
      </c>
      <c r="I1759">
        <v>352.2056</v>
      </c>
    </row>
    <row r="1760" spans="1:9" x14ac:dyDescent="0.3">
      <c r="A1760" t="s">
        <v>9</v>
      </c>
      <c r="B1760" t="s">
        <v>1885</v>
      </c>
      <c r="C1760">
        <v>6</v>
      </c>
      <c r="D1760">
        <v>1.06E-2</v>
      </c>
      <c r="E1760">
        <v>7.0729042398676514</v>
      </c>
      <c r="F1760">
        <v>811.21861236344012</v>
      </c>
      <c r="G1760">
        <v>0.42399999999999999</v>
      </c>
      <c r="H1760">
        <v>1.67E-2</v>
      </c>
      <c r="I1760">
        <v>352.4049</v>
      </c>
    </row>
    <row r="1761" spans="1:9" x14ac:dyDescent="0.3">
      <c r="A1761" t="s">
        <v>9</v>
      </c>
      <c r="B1761" t="s">
        <v>1886</v>
      </c>
      <c r="C1761">
        <v>6</v>
      </c>
      <c r="D1761">
        <v>1.2999999999999999E-2</v>
      </c>
      <c r="E1761">
        <v>7.2205365453998889</v>
      </c>
      <c r="F1761">
        <v>825.22891815844946</v>
      </c>
      <c r="G1761">
        <v>0.42399999999999999</v>
      </c>
      <c r="H1761">
        <v>1.9E-2</v>
      </c>
      <c r="I1761">
        <v>352.6037</v>
      </c>
    </row>
    <row r="1762" spans="1:9" x14ac:dyDescent="0.3">
      <c r="A1762" t="s">
        <v>9</v>
      </c>
      <c r="B1762" t="s">
        <v>1887</v>
      </c>
      <c r="C1762">
        <v>6</v>
      </c>
      <c r="D1762">
        <v>1.5299999999999999E-2</v>
      </c>
      <c r="E1762">
        <v>7.315863529657662</v>
      </c>
      <c r="F1762">
        <v>834.27544896451218</v>
      </c>
      <c r="G1762">
        <v>0.42399999999999999</v>
      </c>
      <c r="H1762">
        <v>2.0500000000000001E-2</v>
      </c>
      <c r="I1762">
        <v>352.80509999999998</v>
      </c>
    </row>
    <row r="1763" spans="1:9" x14ac:dyDescent="0.3">
      <c r="A1763" t="s">
        <v>9</v>
      </c>
      <c r="B1763" t="s">
        <v>1888</v>
      </c>
      <c r="C1763">
        <v>6</v>
      </c>
      <c r="D1763">
        <v>1.6799999999999999E-2</v>
      </c>
      <c r="E1763">
        <v>7.3472757541280362</v>
      </c>
      <c r="F1763">
        <v>837.2564690667507</v>
      </c>
      <c r="G1763">
        <v>0.42399999999999999</v>
      </c>
      <c r="H1763">
        <v>2.1000000000000001E-2</v>
      </c>
      <c r="I1763">
        <v>353.00569999999999</v>
      </c>
    </row>
    <row r="1764" spans="1:9" x14ac:dyDescent="0.3">
      <c r="A1764" t="s">
        <v>9</v>
      </c>
      <c r="B1764" t="s">
        <v>1889</v>
      </c>
      <c r="C1764">
        <v>6</v>
      </c>
      <c r="D1764">
        <v>1.7399999999999999E-2</v>
      </c>
      <c r="E1764">
        <v>7.3131667436996599</v>
      </c>
      <c r="F1764">
        <v>729.58714051280833</v>
      </c>
      <c r="G1764">
        <v>0.42399999999999999</v>
      </c>
      <c r="H1764">
        <v>2.0500000000000001E-2</v>
      </c>
      <c r="I1764">
        <v>353.20319999999998</v>
      </c>
    </row>
    <row r="1765" spans="1:9" x14ac:dyDescent="0.3">
      <c r="A1765" t="s">
        <v>9</v>
      </c>
      <c r="B1765" t="s">
        <v>1890</v>
      </c>
      <c r="C1765">
        <v>6</v>
      </c>
      <c r="D1765">
        <v>1.7500000000000002E-2</v>
      </c>
      <c r="E1765">
        <v>7.2148891487944047</v>
      </c>
      <c r="F1765">
        <v>720.4276686676385</v>
      </c>
      <c r="G1765">
        <v>0.42399999999999999</v>
      </c>
      <c r="H1765">
        <v>1.89E-2</v>
      </c>
      <c r="I1765">
        <v>353.40530000000001</v>
      </c>
    </row>
    <row r="1766" spans="1:9" x14ac:dyDescent="0.3">
      <c r="A1766" t="s">
        <v>9</v>
      </c>
      <c r="B1766" t="s">
        <v>1891</v>
      </c>
      <c r="C1766">
        <v>6</v>
      </c>
      <c r="D1766">
        <v>1.7500000000000002E-2</v>
      </c>
      <c r="E1766">
        <v>7.0646788602339052</v>
      </c>
      <c r="F1766">
        <v>706.42806977379996</v>
      </c>
      <c r="G1766">
        <v>0.42399999999999999</v>
      </c>
      <c r="H1766">
        <v>1.66E-2</v>
      </c>
      <c r="I1766">
        <v>353.60469999999998</v>
      </c>
    </row>
    <row r="1767" spans="1:9" x14ac:dyDescent="0.3">
      <c r="A1767" t="s">
        <v>9</v>
      </c>
      <c r="B1767" t="s">
        <v>1892</v>
      </c>
      <c r="C1767">
        <v>6</v>
      </c>
      <c r="D1767">
        <v>1.72E-2</v>
      </c>
      <c r="E1767">
        <v>6.8745714662893072</v>
      </c>
      <c r="F1767">
        <v>688.71006065816346</v>
      </c>
      <c r="G1767">
        <v>0.42399999999999999</v>
      </c>
      <c r="H1767">
        <v>1.37E-2</v>
      </c>
      <c r="I1767">
        <v>353.8057</v>
      </c>
    </row>
    <row r="1768" spans="1:9" x14ac:dyDescent="0.3">
      <c r="A1768" t="s">
        <v>9</v>
      </c>
      <c r="B1768" t="s">
        <v>1893</v>
      </c>
      <c r="C1768">
        <v>6</v>
      </c>
      <c r="D1768">
        <v>1.66E-2</v>
      </c>
      <c r="E1768">
        <v>6.6656267122429318</v>
      </c>
      <c r="F1768">
        <v>669.23640958104124</v>
      </c>
      <c r="G1768">
        <v>0.42399999999999999</v>
      </c>
      <c r="H1768">
        <v>1.04E-2</v>
      </c>
      <c r="I1768">
        <v>354.00560000000002</v>
      </c>
    </row>
    <row r="1769" spans="1:9" x14ac:dyDescent="0.3">
      <c r="A1769" t="s">
        <v>9</v>
      </c>
      <c r="B1769" t="s">
        <v>1894</v>
      </c>
      <c r="C1769">
        <v>6</v>
      </c>
      <c r="D1769">
        <v>1.49E-2</v>
      </c>
      <c r="E1769">
        <v>6.4582361275811664</v>
      </c>
      <c r="F1769">
        <v>649.90760709056474</v>
      </c>
      <c r="G1769">
        <v>0.42399999999999999</v>
      </c>
      <c r="H1769">
        <v>7.1999999999999998E-3</v>
      </c>
      <c r="I1769">
        <v>354.20440000000002</v>
      </c>
    </row>
    <row r="1770" spans="1:9" x14ac:dyDescent="0.3">
      <c r="A1770" t="s">
        <v>9</v>
      </c>
      <c r="B1770" t="s">
        <v>1895</v>
      </c>
      <c r="C1770">
        <v>6</v>
      </c>
      <c r="D1770">
        <v>1.2500000000000001E-2</v>
      </c>
      <c r="E1770">
        <v>6.2702928121232713</v>
      </c>
      <c r="F1770">
        <v>632.39129008988891</v>
      </c>
      <c r="G1770">
        <v>0.42399999999999999</v>
      </c>
      <c r="H1770">
        <v>4.3E-3</v>
      </c>
      <c r="I1770">
        <v>354.40469999999999</v>
      </c>
    </row>
    <row r="1771" spans="1:9" x14ac:dyDescent="0.3">
      <c r="A1771" t="s">
        <v>9</v>
      </c>
      <c r="B1771" t="s">
        <v>1896</v>
      </c>
      <c r="C1771">
        <v>6</v>
      </c>
      <c r="D1771">
        <v>8.8999999999999999E-3</v>
      </c>
      <c r="E1771">
        <v>6.122472084333527</v>
      </c>
      <c r="F1771">
        <v>618.61439825988475</v>
      </c>
      <c r="G1771">
        <v>0.42399999999999999</v>
      </c>
      <c r="H1771">
        <v>2E-3</v>
      </c>
      <c r="I1771">
        <v>354.6037</v>
      </c>
    </row>
    <row r="1772" spans="1:9" x14ac:dyDescent="0.3">
      <c r="A1772" t="s">
        <v>9</v>
      </c>
      <c r="B1772" t="s">
        <v>1897</v>
      </c>
      <c r="C1772">
        <v>6</v>
      </c>
      <c r="D1772">
        <v>4.4000000000000003E-3</v>
      </c>
      <c r="E1772">
        <v>6.0269970099937433</v>
      </c>
      <c r="F1772">
        <v>609.71612133141684</v>
      </c>
      <c r="G1772">
        <v>0.42399999999999999</v>
      </c>
      <c r="H1772">
        <v>5.0000000000000001E-4</v>
      </c>
      <c r="I1772">
        <v>354.80560000000003</v>
      </c>
    </row>
    <row r="1773" spans="1:9" x14ac:dyDescent="0.3">
      <c r="A1773" t="s">
        <v>9</v>
      </c>
      <c r="B1773" t="s">
        <v>1898</v>
      </c>
      <c r="C1773">
        <v>6</v>
      </c>
      <c r="D1773">
        <v>2.2000000000000001E-3</v>
      </c>
      <c r="E1773">
        <v>5.9957534223612319</v>
      </c>
      <c r="F1773">
        <v>606.80421896406688</v>
      </c>
      <c r="G1773">
        <v>0.42399999999999999</v>
      </c>
      <c r="H1773">
        <v>0</v>
      </c>
      <c r="I1773">
        <v>355.00490000000002</v>
      </c>
    </row>
    <row r="1774" spans="1:9" x14ac:dyDescent="0.3">
      <c r="A1774" t="s">
        <v>9</v>
      </c>
      <c r="B1774" t="s">
        <v>1899</v>
      </c>
      <c r="C1774">
        <v>6</v>
      </c>
      <c r="D1774">
        <v>1.5E-3</v>
      </c>
      <c r="E1774">
        <v>6.0308881708663762</v>
      </c>
      <c r="F1774">
        <v>712.33128741521909</v>
      </c>
      <c r="G1774">
        <v>0.42399999999999999</v>
      </c>
      <c r="H1774">
        <v>5.0000000000000001E-4</v>
      </c>
      <c r="I1774">
        <v>355.20620000000002</v>
      </c>
    </row>
    <row r="1775" spans="1:9" x14ac:dyDescent="0.3">
      <c r="A1775" t="s">
        <v>9</v>
      </c>
      <c r="B1775" t="s">
        <v>1900</v>
      </c>
      <c r="C1775">
        <v>6</v>
      </c>
      <c r="D1775">
        <v>1.2999999999999999E-3</v>
      </c>
      <c r="E1775">
        <v>6.1272201468155929</v>
      </c>
      <c r="F1775">
        <v>721.47319193279975</v>
      </c>
      <c r="G1775">
        <v>0.42399999999999999</v>
      </c>
      <c r="H1775">
        <v>2E-3</v>
      </c>
      <c r="I1775">
        <v>355.40390000000002</v>
      </c>
    </row>
    <row r="1776" spans="1:9" x14ac:dyDescent="0.3">
      <c r="A1776" t="s">
        <v>9</v>
      </c>
      <c r="B1776" t="s">
        <v>1901</v>
      </c>
      <c r="C1776">
        <v>6</v>
      </c>
      <c r="D1776">
        <v>1.4E-3</v>
      </c>
      <c r="E1776">
        <v>6.2786976936580263</v>
      </c>
      <c r="F1776">
        <v>735.84841112814672</v>
      </c>
      <c r="G1776">
        <v>0.42399999999999999</v>
      </c>
      <c r="H1776">
        <v>4.4000000000000003E-3</v>
      </c>
      <c r="I1776">
        <v>355.60509999999999</v>
      </c>
    </row>
    <row r="1777" spans="1:9" x14ac:dyDescent="0.3">
      <c r="A1777" t="s">
        <v>9</v>
      </c>
      <c r="B1777" t="s">
        <v>1902</v>
      </c>
      <c r="C1777">
        <v>6</v>
      </c>
      <c r="D1777">
        <v>2E-3</v>
      </c>
      <c r="E1777">
        <v>6.4662291724751846</v>
      </c>
      <c r="F1777">
        <v>753.64514846789518</v>
      </c>
      <c r="G1777">
        <v>0.42399999999999999</v>
      </c>
      <c r="H1777">
        <v>7.3000000000000001E-3</v>
      </c>
      <c r="I1777">
        <v>355.80349999999999</v>
      </c>
    </row>
    <row r="1778" spans="1:9" x14ac:dyDescent="0.3">
      <c r="A1778" t="s">
        <v>9</v>
      </c>
      <c r="B1778" t="s">
        <v>1903</v>
      </c>
      <c r="C1778">
        <v>6</v>
      </c>
      <c r="D1778">
        <v>4.4000000000000003E-3</v>
      </c>
      <c r="E1778">
        <v>6.6769206945123996</v>
      </c>
      <c r="F1778">
        <v>773.63977390922673</v>
      </c>
      <c r="G1778">
        <v>0.42399999999999999</v>
      </c>
      <c r="H1778">
        <v>1.06E-2</v>
      </c>
      <c r="I1778">
        <v>356.00510000000003</v>
      </c>
    </row>
    <row r="1779" spans="1:9" x14ac:dyDescent="0.3">
      <c r="A1779" t="s">
        <v>9</v>
      </c>
      <c r="B1779" t="s">
        <v>1904</v>
      </c>
      <c r="C1779">
        <v>6</v>
      </c>
      <c r="D1779">
        <v>7.6E-3</v>
      </c>
      <c r="E1779">
        <v>6.885158307570836</v>
      </c>
      <c r="F1779">
        <v>793.40152338847236</v>
      </c>
      <c r="G1779">
        <v>0.42399999999999999</v>
      </c>
      <c r="H1779">
        <v>1.38E-2</v>
      </c>
      <c r="I1779">
        <v>356.2047</v>
      </c>
    </row>
    <row r="1780" spans="1:9" x14ac:dyDescent="0.3">
      <c r="A1780" t="s">
        <v>9</v>
      </c>
      <c r="B1780" t="s">
        <v>1905</v>
      </c>
      <c r="C1780">
        <v>6</v>
      </c>
      <c r="D1780">
        <v>1.0500000000000001E-2</v>
      </c>
      <c r="E1780">
        <v>7.0717851405977532</v>
      </c>
      <c r="F1780">
        <v>811.11240984272683</v>
      </c>
      <c r="G1780">
        <v>0.42399999999999999</v>
      </c>
      <c r="H1780">
        <v>1.67E-2</v>
      </c>
      <c r="I1780">
        <v>356.40359999999998</v>
      </c>
    </row>
    <row r="1781" spans="1:9" x14ac:dyDescent="0.3">
      <c r="A1781" t="s">
        <v>9</v>
      </c>
      <c r="B1781" t="s">
        <v>1906</v>
      </c>
      <c r="C1781">
        <v>6</v>
      </c>
      <c r="D1781">
        <v>1.32E-2</v>
      </c>
      <c r="E1781">
        <v>7.220543438402637</v>
      </c>
      <c r="F1781">
        <v>825.22957230441034</v>
      </c>
      <c r="G1781">
        <v>0.42399999999999999</v>
      </c>
      <c r="H1781">
        <v>1.9E-2</v>
      </c>
      <c r="I1781">
        <v>356.6037</v>
      </c>
    </row>
    <row r="1782" spans="1:9" x14ac:dyDescent="0.3">
      <c r="A1782" t="s">
        <v>9</v>
      </c>
      <c r="B1782" t="s">
        <v>1907</v>
      </c>
      <c r="C1782">
        <v>6</v>
      </c>
      <c r="D1782">
        <v>1.49E-2</v>
      </c>
      <c r="E1782">
        <v>7.315392778116955</v>
      </c>
      <c r="F1782">
        <v>834.23077464329901</v>
      </c>
      <c r="G1782">
        <v>0.42399999999999999</v>
      </c>
      <c r="H1782">
        <v>2.0500000000000001E-2</v>
      </c>
      <c r="I1782">
        <v>356.80360000000002</v>
      </c>
    </row>
    <row r="1783" spans="1:9" x14ac:dyDescent="0.3">
      <c r="A1783" t="s">
        <v>9</v>
      </c>
      <c r="B1783" t="s">
        <v>1908</v>
      </c>
      <c r="C1783">
        <v>6</v>
      </c>
      <c r="D1783">
        <v>1.6400000000000001E-2</v>
      </c>
      <c r="E1783">
        <v>7.3472757541280362</v>
      </c>
      <c r="F1783">
        <v>837.2564690667507</v>
      </c>
      <c r="G1783">
        <v>0.42399999999999999</v>
      </c>
      <c r="H1783">
        <v>2.1000000000000001E-2</v>
      </c>
      <c r="I1783">
        <v>357.00569999999999</v>
      </c>
    </row>
    <row r="1784" spans="1:9" x14ac:dyDescent="0.3">
      <c r="A1784" t="s">
        <v>9</v>
      </c>
      <c r="B1784" t="s">
        <v>1909</v>
      </c>
      <c r="C1784">
        <v>6</v>
      </c>
      <c r="D1784">
        <v>1.7500000000000002E-2</v>
      </c>
      <c r="E1784">
        <v>7.3123687772637318</v>
      </c>
      <c r="F1784">
        <v>729.51277004097983</v>
      </c>
      <c r="G1784">
        <v>0.42399999999999999</v>
      </c>
      <c r="H1784">
        <v>2.0500000000000001E-2</v>
      </c>
      <c r="I1784">
        <v>357.2056</v>
      </c>
    </row>
    <row r="1785" spans="1:9" x14ac:dyDescent="0.3">
      <c r="A1785" t="s">
        <v>9</v>
      </c>
      <c r="B1785" t="s">
        <v>1910</v>
      </c>
      <c r="C1785">
        <v>6</v>
      </c>
      <c r="D1785">
        <v>1.77E-2</v>
      </c>
      <c r="E1785">
        <v>7.2149556459973994</v>
      </c>
      <c r="F1785">
        <v>720.43386620695765</v>
      </c>
      <c r="G1785">
        <v>0.42399999999999999</v>
      </c>
      <c r="H1785">
        <v>1.89E-2</v>
      </c>
      <c r="I1785">
        <v>357.40519999999998</v>
      </c>
    </row>
    <row r="1786" spans="1:9" x14ac:dyDescent="0.3">
      <c r="A1786" t="s">
        <v>9</v>
      </c>
      <c r="B1786" t="s">
        <v>1911</v>
      </c>
      <c r="C1786">
        <v>6</v>
      </c>
      <c r="D1786">
        <v>1.77E-2</v>
      </c>
      <c r="E1786">
        <v>7.0639644207724714</v>
      </c>
      <c r="F1786">
        <v>706.36148401599428</v>
      </c>
      <c r="G1786">
        <v>0.42399999999999999</v>
      </c>
      <c r="H1786">
        <v>1.66E-2</v>
      </c>
      <c r="I1786">
        <v>357.60550000000001</v>
      </c>
    </row>
    <row r="1787" spans="1:9" x14ac:dyDescent="0.3">
      <c r="A1787" t="s">
        <v>9</v>
      </c>
      <c r="B1787" t="s">
        <v>1912</v>
      </c>
      <c r="C1787">
        <v>6</v>
      </c>
      <c r="D1787">
        <v>1.7600000000000001E-2</v>
      </c>
      <c r="E1787">
        <v>6.8755429742062164</v>
      </c>
      <c r="F1787">
        <v>688.80060519601943</v>
      </c>
      <c r="G1787">
        <v>0.42399999999999999</v>
      </c>
      <c r="H1787">
        <v>1.37E-2</v>
      </c>
      <c r="I1787">
        <v>357.80470000000003</v>
      </c>
    </row>
    <row r="1788" spans="1:9" x14ac:dyDescent="0.3">
      <c r="A1788" t="s">
        <v>9</v>
      </c>
      <c r="B1788" t="s">
        <v>1913</v>
      </c>
      <c r="C1788">
        <v>6</v>
      </c>
      <c r="D1788">
        <v>1.7000000000000001E-2</v>
      </c>
      <c r="E1788">
        <v>6.6645424834575309</v>
      </c>
      <c r="F1788">
        <v>669.13535945824185</v>
      </c>
      <c r="G1788">
        <v>0.42399999999999999</v>
      </c>
      <c r="H1788">
        <v>1.04E-2</v>
      </c>
      <c r="I1788">
        <v>358.00659999999999</v>
      </c>
    </row>
    <row r="1789" spans="1:9" x14ac:dyDescent="0.3">
      <c r="A1789" t="s">
        <v>9</v>
      </c>
      <c r="B1789" t="s">
        <v>1914</v>
      </c>
      <c r="C1789">
        <v>6</v>
      </c>
      <c r="D1789">
        <v>1.5299999999999999E-2</v>
      </c>
      <c r="E1789">
        <v>6.4575983220914752</v>
      </c>
      <c r="F1789">
        <v>649.84816361892547</v>
      </c>
      <c r="G1789">
        <v>0.42399999999999999</v>
      </c>
      <c r="H1789">
        <v>7.1999999999999998E-3</v>
      </c>
      <c r="I1789">
        <v>358.20499999999998</v>
      </c>
    </row>
    <row r="1790" spans="1:9" x14ac:dyDescent="0.3">
      <c r="A1790" t="s">
        <v>9</v>
      </c>
      <c r="B1790" t="s">
        <v>1915</v>
      </c>
      <c r="C1790">
        <v>6</v>
      </c>
      <c r="D1790">
        <v>1.2200000000000001E-2</v>
      </c>
      <c r="E1790">
        <v>6.2690892938432308</v>
      </c>
      <c r="F1790">
        <v>632.27912218618917</v>
      </c>
      <c r="G1790">
        <v>0.42399999999999999</v>
      </c>
      <c r="H1790">
        <v>4.1999999999999997E-3</v>
      </c>
      <c r="I1790">
        <v>358.40609999999998</v>
      </c>
    </row>
    <row r="1791" spans="1:9" x14ac:dyDescent="0.3">
      <c r="A1791" t="s">
        <v>9</v>
      </c>
      <c r="B1791" t="s">
        <v>1916</v>
      </c>
      <c r="C1791">
        <v>6</v>
      </c>
      <c r="D1791">
        <v>8.8999999999999999E-3</v>
      </c>
      <c r="E1791">
        <v>6.1207390212540354</v>
      </c>
      <c r="F1791">
        <v>618.45287678087607</v>
      </c>
      <c r="G1791">
        <v>0.42399999999999999</v>
      </c>
      <c r="H1791">
        <v>1.9E-3</v>
      </c>
      <c r="I1791">
        <v>358.60649999999998</v>
      </c>
    </row>
    <row r="1792" spans="1:9" x14ac:dyDescent="0.3">
      <c r="A1792" t="s">
        <v>9</v>
      </c>
      <c r="B1792" t="s">
        <v>1917</v>
      </c>
      <c r="C1792">
        <v>6</v>
      </c>
      <c r="D1792">
        <v>4.7999999999999996E-3</v>
      </c>
      <c r="E1792">
        <v>6.0268323888692592</v>
      </c>
      <c r="F1792">
        <v>609.70077864261498</v>
      </c>
      <c r="G1792">
        <v>0.42399999999999999</v>
      </c>
      <c r="H1792">
        <v>5.0000000000000001E-4</v>
      </c>
      <c r="I1792">
        <v>358.80610000000001</v>
      </c>
    </row>
    <row r="1793" spans="1:9" x14ac:dyDescent="0.3">
      <c r="A1793" t="s">
        <v>9</v>
      </c>
      <c r="B1793" t="s">
        <v>1918</v>
      </c>
      <c r="C1793">
        <v>6</v>
      </c>
      <c r="D1793">
        <v>2.2000000000000001E-3</v>
      </c>
      <c r="E1793">
        <v>5.9957441982665944</v>
      </c>
      <c r="F1793">
        <v>606.80335927844658</v>
      </c>
      <c r="G1793">
        <v>0.42399999999999999</v>
      </c>
      <c r="H1793">
        <v>0</v>
      </c>
      <c r="I1793">
        <v>359.00360000000001</v>
      </c>
    </row>
    <row r="1794" spans="1:9" x14ac:dyDescent="0.3">
      <c r="A1794" t="s">
        <v>9</v>
      </c>
      <c r="B1794" t="s">
        <v>1919</v>
      </c>
      <c r="C1794">
        <v>6</v>
      </c>
      <c r="D1794">
        <v>1.4E-3</v>
      </c>
      <c r="E1794">
        <v>6.0302775278622232</v>
      </c>
      <c r="F1794">
        <v>712.27333739412506</v>
      </c>
      <c r="G1794">
        <v>0.42399999999999999</v>
      </c>
      <c r="H1794">
        <v>5.0000000000000001E-4</v>
      </c>
      <c r="I1794">
        <v>359.20440000000002</v>
      </c>
    </row>
    <row r="1795" spans="1:9" x14ac:dyDescent="0.3">
      <c r="A1795" t="s">
        <v>9</v>
      </c>
      <c r="B1795" t="s">
        <v>1920</v>
      </c>
      <c r="C1795">
        <v>6</v>
      </c>
      <c r="D1795">
        <v>1.4E-3</v>
      </c>
      <c r="E1795">
        <v>6.1277901170488143</v>
      </c>
      <c r="F1795">
        <v>721.52728210793248</v>
      </c>
      <c r="G1795">
        <v>0.42399999999999999</v>
      </c>
      <c r="H1795">
        <v>2.0999999999999999E-3</v>
      </c>
      <c r="I1795">
        <v>359.40480000000002</v>
      </c>
    </row>
    <row r="1796" spans="1:9" x14ac:dyDescent="0.3">
      <c r="A1796" t="s">
        <v>9</v>
      </c>
      <c r="B1796" t="s">
        <v>1921</v>
      </c>
      <c r="C1796">
        <v>6</v>
      </c>
      <c r="D1796">
        <v>1.5E-3</v>
      </c>
      <c r="E1796">
        <v>6.2797822873671034</v>
      </c>
      <c r="F1796">
        <v>735.95133907113802</v>
      </c>
      <c r="G1796">
        <v>0.42399999999999999</v>
      </c>
      <c r="H1796">
        <v>4.4000000000000003E-3</v>
      </c>
      <c r="I1796">
        <v>359.60640000000001</v>
      </c>
    </row>
    <row r="1797" spans="1:9" x14ac:dyDescent="0.3">
      <c r="A1797" t="s">
        <v>9</v>
      </c>
      <c r="B1797" t="s">
        <v>1922</v>
      </c>
      <c r="C1797">
        <v>6</v>
      </c>
      <c r="D1797">
        <v>2E-3</v>
      </c>
      <c r="E1797">
        <v>6.469190325362165</v>
      </c>
      <c r="F1797">
        <v>753.92616187686951</v>
      </c>
      <c r="G1797">
        <v>0.42399999999999999</v>
      </c>
      <c r="H1797">
        <v>7.4000000000000003E-3</v>
      </c>
      <c r="I1797">
        <v>359.8064</v>
      </c>
    </row>
    <row r="1798" spans="1:9" x14ac:dyDescent="0.3">
      <c r="A1798" t="s">
        <v>9</v>
      </c>
      <c r="B1798" t="s">
        <v>1923</v>
      </c>
      <c r="C1798">
        <v>6</v>
      </c>
      <c r="D1798">
        <v>3.8999999999999998E-3</v>
      </c>
      <c r="E1798">
        <v>6.6775098435120963</v>
      </c>
      <c r="F1798">
        <v>773.69568414929802</v>
      </c>
      <c r="G1798">
        <v>0.42399999999999999</v>
      </c>
      <c r="H1798">
        <v>1.06E-2</v>
      </c>
      <c r="I1798">
        <v>360.00560000000002</v>
      </c>
    </row>
    <row r="1799" spans="1:9" x14ac:dyDescent="0.3">
      <c r="A1799" t="s">
        <v>9</v>
      </c>
      <c r="B1799" t="s">
        <v>1924</v>
      </c>
      <c r="C1799">
        <v>6</v>
      </c>
      <c r="D1799">
        <v>7.4999999999999997E-3</v>
      </c>
      <c r="E1799">
        <v>6.8869687344694208</v>
      </c>
      <c r="F1799">
        <v>793.57333290114809</v>
      </c>
      <c r="G1799">
        <v>0.42399999999999999</v>
      </c>
      <c r="H1799">
        <v>1.38E-2</v>
      </c>
      <c r="I1799">
        <v>360.20650000000001</v>
      </c>
    </row>
    <row r="1800" spans="1:9" x14ac:dyDescent="0.3">
      <c r="A1800" t="s">
        <v>9</v>
      </c>
      <c r="B1800" t="s">
        <v>1925</v>
      </c>
      <c r="C1800">
        <v>6</v>
      </c>
      <c r="D1800">
        <v>1.0500000000000001E-2</v>
      </c>
      <c r="E1800">
        <v>7.0723596926504522</v>
      </c>
      <c r="F1800">
        <v>811.166934832528</v>
      </c>
      <c r="G1800">
        <v>0.42399999999999999</v>
      </c>
      <c r="H1800">
        <v>1.67E-2</v>
      </c>
      <c r="I1800">
        <v>360.4042</v>
      </c>
    </row>
    <row r="1801" spans="1:9" x14ac:dyDescent="0.3">
      <c r="A1801" t="s">
        <v>9</v>
      </c>
      <c r="B1801" t="s">
        <v>1926</v>
      </c>
      <c r="C1801">
        <v>6</v>
      </c>
      <c r="D1801">
        <v>1.2999999999999999E-2</v>
      </c>
      <c r="E1801">
        <v>7.221463046063552</v>
      </c>
      <c r="F1801">
        <v>825.31684307143109</v>
      </c>
      <c r="G1801">
        <v>0.42399999999999999</v>
      </c>
      <c r="H1801">
        <v>1.9E-2</v>
      </c>
      <c r="I1801">
        <v>360.60520000000002</v>
      </c>
    </row>
    <row r="1802" spans="1:9" x14ac:dyDescent="0.3">
      <c r="A1802" t="s">
        <v>9</v>
      </c>
      <c r="B1802" t="s">
        <v>1927</v>
      </c>
      <c r="C1802">
        <v>6</v>
      </c>
      <c r="D1802">
        <v>1.5299999999999999E-2</v>
      </c>
      <c r="E1802">
        <v>7.3159827380581506</v>
      </c>
      <c r="F1802">
        <v>834.28676184171854</v>
      </c>
      <c r="G1802">
        <v>0.42399999999999999</v>
      </c>
      <c r="H1802">
        <v>2.0500000000000001E-2</v>
      </c>
      <c r="I1802">
        <v>360.80540000000002</v>
      </c>
    </row>
    <row r="1803" spans="1:9" x14ac:dyDescent="0.3">
      <c r="A1803" t="s">
        <v>9</v>
      </c>
      <c r="B1803" t="s">
        <v>1928</v>
      </c>
      <c r="C1803">
        <v>6</v>
      </c>
      <c r="D1803">
        <v>1.6500000000000001E-2</v>
      </c>
      <c r="E1803">
        <v>7.3472858908967869</v>
      </c>
      <c r="F1803">
        <v>837.25743104610513</v>
      </c>
      <c r="G1803">
        <v>0.42399999999999999</v>
      </c>
      <c r="H1803">
        <v>2.1000000000000001E-2</v>
      </c>
      <c r="I1803">
        <v>361.00450000000001</v>
      </c>
    </row>
    <row r="1804" spans="1:9" x14ac:dyDescent="0.3">
      <c r="A1804" t="s">
        <v>9</v>
      </c>
      <c r="B1804" t="s">
        <v>1929</v>
      </c>
      <c r="C1804">
        <v>6</v>
      </c>
      <c r="D1804">
        <v>1.7500000000000002E-2</v>
      </c>
      <c r="E1804">
        <v>7.3128610187541874</v>
      </c>
      <c r="F1804">
        <v>729.55864694789034</v>
      </c>
      <c r="G1804">
        <v>0.42399999999999999</v>
      </c>
      <c r="H1804">
        <v>2.0500000000000001E-2</v>
      </c>
      <c r="I1804">
        <v>361.20409999999998</v>
      </c>
    </row>
    <row r="1805" spans="1:9" x14ac:dyDescent="0.3">
      <c r="A1805" t="s">
        <v>9</v>
      </c>
      <c r="B1805" t="s">
        <v>1930</v>
      </c>
      <c r="C1805">
        <v>6</v>
      </c>
      <c r="D1805">
        <v>1.77E-2</v>
      </c>
      <c r="E1805">
        <v>7.2139662973674898</v>
      </c>
      <c r="F1805">
        <v>720.34165891465011</v>
      </c>
      <c r="G1805">
        <v>0.42399999999999999</v>
      </c>
      <c r="H1805">
        <v>1.89E-2</v>
      </c>
      <c r="I1805">
        <v>361.40679999999998</v>
      </c>
    </row>
    <row r="1806" spans="1:9" x14ac:dyDescent="0.3">
      <c r="A1806" t="s">
        <v>9</v>
      </c>
      <c r="B1806" t="s">
        <v>1931</v>
      </c>
      <c r="C1806">
        <v>6</v>
      </c>
      <c r="D1806">
        <v>1.77E-2</v>
      </c>
      <c r="E1806">
        <v>7.0647263003116496</v>
      </c>
      <c r="F1806">
        <v>706.43249118904578</v>
      </c>
      <c r="G1806">
        <v>0.42399999999999999</v>
      </c>
      <c r="H1806">
        <v>1.66E-2</v>
      </c>
      <c r="I1806">
        <v>361.6046</v>
      </c>
    </row>
    <row r="1807" spans="1:9" x14ac:dyDescent="0.3">
      <c r="A1807" t="s">
        <v>9</v>
      </c>
      <c r="B1807" t="s">
        <v>1932</v>
      </c>
      <c r="C1807">
        <v>6</v>
      </c>
      <c r="D1807">
        <v>1.7500000000000002E-2</v>
      </c>
      <c r="E1807">
        <v>6.8758462663271906</v>
      </c>
      <c r="F1807">
        <v>688.82887202169422</v>
      </c>
      <c r="G1807">
        <v>0.42399999999999999</v>
      </c>
      <c r="H1807">
        <v>1.37E-2</v>
      </c>
      <c r="I1807">
        <v>361.80439999999999</v>
      </c>
    </row>
    <row r="1808" spans="1:9" x14ac:dyDescent="0.3">
      <c r="A1808" t="s">
        <v>9</v>
      </c>
      <c r="B1808" t="s">
        <v>1933</v>
      </c>
      <c r="C1808">
        <v>6</v>
      </c>
      <c r="D1808">
        <v>1.7000000000000001E-2</v>
      </c>
      <c r="E1808">
        <v>6.667087623355048</v>
      </c>
      <c r="F1808">
        <v>669.37256649669052</v>
      </c>
      <c r="G1808">
        <v>0.42399999999999999</v>
      </c>
      <c r="H1808">
        <v>1.04E-2</v>
      </c>
      <c r="I1808">
        <v>362.00420000000003</v>
      </c>
    </row>
    <row r="1809" spans="1:9" x14ac:dyDescent="0.3">
      <c r="A1809" t="s">
        <v>9</v>
      </c>
      <c r="B1809" t="s">
        <v>1934</v>
      </c>
      <c r="C1809">
        <v>6</v>
      </c>
      <c r="D1809">
        <v>1.5299999999999999E-2</v>
      </c>
      <c r="E1809">
        <v>6.4578217364747044</v>
      </c>
      <c r="F1809">
        <v>649.86898583944242</v>
      </c>
      <c r="G1809">
        <v>0.42399999999999999</v>
      </c>
      <c r="H1809">
        <v>7.1999999999999998E-3</v>
      </c>
      <c r="I1809">
        <v>362.20479999999998</v>
      </c>
    </row>
    <row r="1810" spans="1:9" x14ac:dyDescent="0.3">
      <c r="A1810" t="s">
        <v>9</v>
      </c>
      <c r="B1810" t="s">
        <v>1935</v>
      </c>
      <c r="C1810">
        <v>6</v>
      </c>
      <c r="D1810">
        <v>1.26E-2</v>
      </c>
      <c r="E1810">
        <v>6.2706385975788388</v>
      </c>
      <c r="F1810">
        <v>632.42351729434779</v>
      </c>
      <c r="G1810">
        <v>0.42399999999999999</v>
      </c>
      <c r="H1810">
        <v>4.3E-3</v>
      </c>
      <c r="I1810">
        <v>362.40429999999998</v>
      </c>
    </row>
    <row r="1811" spans="1:9" x14ac:dyDescent="0.3">
      <c r="A1811" t="s">
        <v>9</v>
      </c>
      <c r="B1811" t="s">
        <v>1936</v>
      </c>
      <c r="C1811">
        <v>6</v>
      </c>
      <c r="D1811">
        <v>8.9999999999999993E-3</v>
      </c>
      <c r="E1811">
        <v>6.1214259292515472</v>
      </c>
      <c r="F1811">
        <v>618.51689660624425</v>
      </c>
      <c r="G1811">
        <v>0.42399999999999999</v>
      </c>
      <c r="H1811">
        <v>2E-3</v>
      </c>
      <c r="I1811">
        <v>362.60539999999997</v>
      </c>
    </row>
    <row r="1812" spans="1:9" x14ac:dyDescent="0.3">
      <c r="A1812" t="s">
        <v>9</v>
      </c>
      <c r="B1812" t="s">
        <v>1937</v>
      </c>
      <c r="C1812">
        <v>6</v>
      </c>
      <c r="D1812">
        <v>5.0000000000000001E-3</v>
      </c>
      <c r="E1812">
        <v>6.0272258009191191</v>
      </c>
      <c r="F1812">
        <v>609.73744464566187</v>
      </c>
      <c r="G1812">
        <v>0.42399999999999999</v>
      </c>
      <c r="H1812">
        <v>5.0000000000000001E-4</v>
      </c>
      <c r="I1812">
        <v>362.80489999999998</v>
      </c>
    </row>
    <row r="1813" spans="1:9" x14ac:dyDescent="0.3">
      <c r="A1813" t="s">
        <v>9</v>
      </c>
      <c r="B1813" t="s">
        <v>1938</v>
      </c>
      <c r="C1813">
        <v>6</v>
      </c>
      <c r="D1813">
        <v>2.3999999999999998E-3</v>
      </c>
      <c r="E1813">
        <v>5.9957952329114672</v>
      </c>
      <c r="F1813">
        <v>606.80811570734875</v>
      </c>
      <c r="G1813">
        <v>0.42399999999999999</v>
      </c>
      <c r="H1813">
        <v>0</v>
      </c>
      <c r="I1813">
        <v>363.0086</v>
      </c>
    </row>
    <row r="1814" spans="1:9" x14ac:dyDescent="0.3">
      <c r="A1814" t="s">
        <v>9</v>
      </c>
      <c r="B1814" t="s">
        <v>1939</v>
      </c>
      <c r="C1814">
        <v>6</v>
      </c>
      <c r="D1814">
        <v>1.9E-3</v>
      </c>
      <c r="E1814">
        <v>6.0307908943787512</v>
      </c>
      <c r="F1814">
        <v>712.32205587654357</v>
      </c>
      <c r="G1814">
        <v>0.42399999999999999</v>
      </c>
      <c r="H1814">
        <v>5.0000000000000001E-4</v>
      </c>
      <c r="I1814">
        <v>363.20589999999999</v>
      </c>
    </row>
    <row r="1815" spans="1:9" x14ac:dyDescent="0.3">
      <c r="A1815" t="s">
        <v>9</v>
      </c>
      <c r="B1815" t="s">
        <v>1940</v>
      </c>
      <c r="C1815">
        <v>6</v>
      </c>
      <c r="D1815">
        <v>1.9E-3</v>
      </c>
      <c r="E1815">
        <v>6.128557551537269</v>
      </c>
      <c r="F1815">
        <v>721.60011164088689</v>
      </c>
      <c r="G1815">
        <v>0.42399999999999999</v>
      </c>
      <c r="H1815">
        <v>2.0999999999999999E-3</v>
      </c>
      <c r="I1815">
        <v>363.40600000000001</v>
      </c>
    </row>
    <row r="1816" spans="1:9" x14ac:dyDescent="0.3">
      <c r="A1816" t="s">
        <v>9</v>
      </c>
      <c r="B1816" t="s">
        <v>1941</v>
      </c>
      <c r="C1816">
        <v>6</v>
      </c>
      <c r="D1816">
        <v>2E-3</v>
      </c>
      <c r="E1816">
        <v>6.278415323827752</v>
      </c>
      <c r="F1816">
        <v>735.82161423125365</v>
      </c>
      <c r="G1816">
        <v>0.42399999999999999</v>
      </c>
      <c r="H1816">
        <v>4.4000000000000003E-3</v>
      </c>
      <c r="I1816">
        <v>363.60480000000001</v>
      </c>
    </row>
    <row r="1817" spans="1:9" x14ac:dyDescent="0.3">
      <c r="A1817" t="s">
        <v>9</v>
      </c>
      <c r="B1817" t="s">
        <v>1942</v>
      </c>
      <c r="C1817">
        <v>6</v>
      </c>
      <c r="D1817">
        <v>2.7000000000000001E-3</v>
      </c>
      <c r="E1817">
        <v>6.4691230172176706</v>
      </c>
      <c r="F1817">
        <v>753.91977433395698</v>
      </c>
      <c r="G1817">
        <v>0.42399999999999999</v>
      </c>
      <c r="H1817">
        <v>7.4000000000000003E-3</v>
      </c>
      <c r="I1817">
        <v>363.80630000000002</v>
      </c>
    </row>
    <row r="1818" spans="1:9" x14ac:dyDescent="0.3">
      <c r="A1818" t="s">
        <v>9</v>
      </c>
      <c r="B1818" t="s">
        <v>1943</v>
      </c>
      <c r="C1818">
        <v>6</v>
      </c>
      <c r="D1818">
        <v>4.4000000000000003E-3</v>
      </c>
      <c r="E1818">
        <v>6.6780993979825416</v>
      </c>
      <c r="F1818">
        <v>773.7516328685432</v>
      </c>
      <c r="G1818">
        <v>0.42399999999999999</v>
      </c>
      <c r="H1818">
        <v>1.06E-2</v>
      </c>
      <c r="I1818">
        <v>364.00619999999998</v>
      </c>
    </row>
    <row r="1819" spans="1:9" x14ac:dyDescent="0.3">
      <c r="A1819" t="s">
        <v>9</v>
      </c>
      <c r="B1819" t="s">
        <v>1944</v>
      </c>
      <c r="C1819">
        <v>6</v>
      </c>
      <c r="D1819">
        <v>7.9000000000000008E-3</v>
      </c>
      <c r="E1819">
        <v>6.8854940373518074</v>
      </c>
      <c r="F1819">
        <v>793.43338414468644</v>
      </c>
      <c r="G1819">
        <v>0.42399999999999999</v>
      </c>
      <c r="H1819">
        <v>1.38E-2</v>
      </c>
      <c r="I1819">
        <v>364.20510000000002</v>
      </c>
    </row>
    <row r="1820" spans="1:9" x14ac:dyDescent="0.3">
      <c r="A1820" t="s">
        <v>9</v>
      </c>
      <c r="B1820" t="s">
        <v>1945</v>
      </c>
      <c r="C1820">
        <v>6</v>
      </c>
      <c r="D1820">
        <v>1.0800000000000001E-2</v>
      </c>
      <c r="E1820">
        <v>7.0729666823631474</v>
      </c>
      <c r="F1820">
        <v>811.22453815626272</v>
      </c>
      <c r="G1820">
        <v>0.42399999999999999</v>
      </c>
      <c r="H1820">
        <v>1.67E-2</v>
      </c>
      <c r="I1820">
        <v>364.4049</v>
      </c>
    </row>
    <row r="1821" spans="1:9" x14ac:dyDescent="0.3">
      <c r="A1821" t="s">
        <v>9</v>
      </c>
      <c r="B1821" t="s">
        <v>1946</v>
      </c>
      <c r="C1821">
        <v>6</v>
      </c>
      <c r="D1821">
        <v>1.3100000000000001E-2</v>
      </c>
      <c r="E1821">
        <v>7.2221162594417434</v>
      </c>
      <c r="F1821">
        <v>825.37883302102148</v>
      </c>
      <c r="G1821">
        <v>0.42399999999999999</v>
      </c>
      <c r="H1821">
        <v>1.9099999999999999E-2</v>
      </c>
      <c r="I1821">
        <v>364.60629999999998</v>
      </c>
    </row>
    <row r="1822" spans="1:9" x14ac:dyDescent="0.3">
      <c r="A1822" t="s">
        <v>9</v>
      </c>
      <c r="B1822" t="s">
        <v>1947</v>
      </c>
      <c r="C1822">
        <v>6</v>
      </c>
      <c r="D1822">
        <v>1.4999999999999999E-2</v>
      </c>
      <c r="E1822">
        <v>7.3161842570208826</v>
      </c>
      <c r="F1822">
        <v>834.3058859912818</v>
      </c>
      <c r="G1822">
        <v>0.42399999999999999</v>
      </c>
      <c r="H1822">
        <v>2.0500000000000001E-2</v>
      </c>
      <c r="I1822">
        <v>364.80610000000001</v>
      </c>
    </row>
    <row r="1823" spans="1:9" x14ac:dyDescent="0.3">
      <c r="A1823" t="s">
        <v>9</v>
      </c>
      <c r="B1823" t="s">
        <v>1948</v>
      </c>
      <c r="C1823">
        <v>6</v>
      </c>
      <c r="D1823">
        <v>1.6500000000000001E-2</v>
      </c>
      <c r="E1823">
        <v>7.3472883237212843</v>
      </c>
      <c r="F1823">
        <v>837.25766192114997</v>
      </c>
      <c r="G1823">
        <v>0.42399999999999999</v>
      </c>
      <c r="H1823">
        <v>2.1000000000000001E-2</v>
      </c>
      <c r="I1823">
        <v>365.00420000000003</v>
      </c>
    </row>
    <row r="1824" spans="1:9" x14ac:dyDescent="0.3">
      <c r="A1824" t="s">
        <v>9</v>
      </c>
      <c r="B1824" t="s">
        <v>1949</v>
      </c>
      <c r="C1824">
        <v>6</v>
      </c>
      <c r="D1824">
        <v>1.7000000000000001E-2</v>
      </c>
      <c r="E1824">
        <v>7.3121250893430041</v>
      </c>
      <c r="F1824">
        <v>729.49005832676801</v>
      </c>
      <c r="G1824">
        <v>0.42399999999999999</v>
      </c>
      <c r="H1824">
        <v>2.0500000000000001E-2</v>
      </c>
      <c r="I1824">
        <v>365.2063</v>
      </c>
    </row>
    <row r="1825" spans="1:9" x14ac:dyDescent="0.3">
      <c r="A1825" t="s">
        <v>9</v>
      </c>
      <c r="B1825" t="s">
        <v>1950</v>
      </c>
      <c r="C1825">
        <v>6</v>
      </c>
      <c r="D1825">
        <v>1.7000000000000001E-2</v>
      </c>
      <c r="E1825">
        <v>7.2142047141684671</v>
      </c>
      <c r="F1825">
        <v>720.36387936050119</v>
      </c>
      <c r="G1825">
        <v>0.42399999999999999</v>
      </c>
      <c r="H1825">
        <v>1.89E-2</v>
      </c>
      <c r="I1825">
        <v>365.40640000000002</v>
      </c>
    </row>
    <row r="1826" spans="1:9" x14ac:dyDescent="0.3">
      <c r="A1826" t="s">
        <v>9</v>
      </c>
      <c r="B1826" t="s">
        <v>1951</v>
      </c>
      <c r="C1826">
        <v>6</v>
      </c>
      <c r="D1826">
        <v>1.6899999999999998E-2</v>
      </c>
      <c r="E1826">
        <v>7.0647502230858983</v>
      </c>
      <c r="F1826">
        <v>706.43472079160574</v>
      </c>
      <c r="G1826">
        <v>0.42399999999999999</v>
      </c>
      <c r="H1826">
        <v>1.66E-2</v>
      </c>
      <c r="I1826">
        <v>365.6046</v>
      </c>
    </row>
    <row r="1827" spans="1:9" x14ac:dyDescent="0.3">
      <c r="A1827" t="s">
        <v>9</v>
      </c>
      <c r="B1827" t="s">
        <v>1952</v>
      </c>
      <c r="C1827">
        <v>6</v>
      </c>
      <c r="D1827">
        <v>1.67E-2</v>
      </c>
      <c r="E1827">
        <v>6.8750876305540096</v>
      </c>
      <c r="F1827">
        <v>688.7581671676337</v>
      </c>
      <c r="G1827">
        <v>0.42399999999999999</v>
      </c>
      <c r="H1827">
        <v>1.37E-2</v>
      </c>
      <c r="I1827">
        <v>365.80520000000001</v>
      </c>
    </row>
    <row r="1828" spans="1:9" x14ac:dyDescent="0.3">
      <c r="A1828" t="s">
        <v>9</v>
      </c>
      <c r="B1828" t="s">
        <v>1953</v>
      </c>
      <c r="C1828">
        <v>6</v>
      </c>
      <c r="D1828">
        <v>1.61E-2</v>
      </c>
      <c r="E1828">
        <v>6.6650955455604812</v>
      </c>
      <c r="F1828">
        <v>669.18690484623687</v>
      </c>
      <c r="G1828">
        <v>0.42399999999999999</v>
      </c>
      <c r="H1828">
        <v>1.04E-2</v>
      </c>
      <c r="I1828">
        <v>366.00599999999997</v>
      </c>
    </row>
    <row r="1829" spans="1:9" x14ac:dyDescent="0.3">
      <c r="A1829" t="s">
        <v>9</v>
      </c>
      <c r="B1829" t="s">
        <v>1954</v>
      </c>
      <c r="C1829">
        <v>6</v>
      </c>
      <c r="D1829">
        <v>1.44E-2</v>
      </c>
      <c r="E1829">
        <v>6.4582016625674203</v>
      </c>
      <c r="F1829">
        <v>649.90439495128362</v>
      </c>
      <c r="G1829">
        <v>0.42399999999999999</v>
      </c>
      <c r="H1829">
        <v>7.1999999999999998E-3</v>
      </c>
      <c r="I1829">
        <v>366.20440000000002</v>
      </c>
    </row>
    <row r="1830" spans="1:9" x14ac:dyDescent="0.3">
      <c r="A1830" t="s">
        <v>9</v>
      </c>
      <c r="B1830" t="s">
        <v>1955</v>
      </c>
      <c r="C1830">
        <v>6</v>
      </c>
      <c r="D1830">
        <v>1.2E-2</v>
      </c>
      <c r="E1830">
        <v>6.2692687551971646</v>
      </c>
      <c r="F1830">
        <v>632.29584798437577</v>
      </c>
      <c r="G1830">
        <v>0.42399999999999999</v>
      </c>
      <c r="H1830">
        <v>4.3E-3</v>
      </c>
      <c r="I1830">
        <v>366.40589999999997</v>
      </c>
    </row>
    <row r="1831" spans="1:9" x14ac:dyDescent="0.3">
      <c r="A1831" t="s">
        <v>9</v>
      </c>
      <c r="B1831" t="s">
        <v>1956</v>
      </c>
      <c r="C1831">
        <v>6</v>
      </c>
      <c r="D1831">
        <v>8.6E-3</v>
      </c>
      <c r="E1831">
        <v>6.1205578163758769</v>
      </c>
      <c r="F1831">
        <v>618.43598848623174</v>
      </c>
      <c r="G1831">
        <v>0.42399999999999999</v>
      </c>
      <c r="H1831">
        <v>1.9E-3</v>
      </c>
      <c r="I1831">
        <v>366.60680000000002</v>
      </c>
    </row>
    <row r="1832" spans="1:9" x14ac:dyDescent="0.3">
      <c r="A1832" t="s">
        <v>9</v>
      </c>
      <c r="B1832" t="s">
        <v>1957</v>
      </c>
      <c r="C1832">
        <v>6</v>
      </c>
      <c r="D1832">
        <v>4.5999999999999999E-3</v>
      </c>
      <c r="E1832">
        <v>6.027284407661317</v>
      </c>
      <c r="F1832">
        <v>609.74290679403475</v>
      </c>
      <c r="G1832">
        <v>0.42399999999999999</v>
      </c>
      <c r="H1832">
        <v>5.0000000000000001E-4</v>
      </c>
      <c r="I1832">
        <v>366.80470000000003</v>
      </c>
    </row>
    <row r="1833" spans="1:9" x14ac:dyDescent="0.3">
      <c r="A1833" t="s">
        <v>9</v>
      </c>
      <c r="B1833" t="s">
        <v>1958</v>
      </c>
      <c r="C1833">
        <v>6</v>
      </c>
      <c r="D1833">
        <v>2.3999999999999998E-3</v>
      </c>
      <c r="E1833">
        <v>5.9957684870471244</v>
      </c>
      <c r="F1833">
        <v>606.805622992792</v>
      </c>
      <c r="G1833">
        <v>0.42399999999999999</v>
      </c>
      <c r="H1833">
        <v>0</v>
      </c>
      <c r="I1833">
        <v>367.00650000000002</v>
      </c>
    </row>
    <row r="1834" spans="1:9" x14ac:dyDescent="0.3">
      <c r="A1834" t="s">
        <v>9</v>
      </c>
      <c r="B1834" t="s">
        <v>1959</v>
      </c>
      <c r="C1834">
        <v>6</v>
      </c>
      <c r="D1834">
        <v>1.5E-3</v>
      </c>
      <c r="E1834">
        <v>6.0301680467050263</v>
      </c>
      <c r="F1834">
        <v>712.26294763230703</v>
      </c>
      <c r="G1834">
        <v>0.42399999999999999</v>
      </c>
      <c r="H1834">
        <v>5.0000000000000001E-4</v>
      </c>
      <c r="I1834">
        <v>367.20409999999998</v>
      </c>
    </row>
    <row r="1835" spans="1:9" x14ac:dyDescent="0.3">
      <c r="A1835" t="s">
        <v>9</v>
      </c>
      <c r="B1835" t="s">
        <v>1960</v>
      </c>
      <c r="C1835">
        <v>6</v>
      </c>
      <c r="D1835">
        <v>1.5E-3</v>
      </c>
      <c r="E1835">
        <v>6.1290070564106793</v>
      </c>
      <c r="F1835">
        <v>721.64276965337353</v>
      </c>
      <c r="G1835">
        <v>0.42399999999999999</v>
      </c>
      <c r="H1835">
        <v>2.0999999999999999E-3</v>
      </c>
      <c r="I1835">
        <v>367.4067</v>
      </c>
    </row>
    <row r="1836" spans="1:9" x14ac:dyDescent="0.3">
      <c r="A1836" t="s">
        <v>9</v>
      </c>
      <c r="B1836" t="s">
        <v>1961</v>
      </c>
      <c r="C1836">
        <v>6</v>
      </c>
      <c r="D1836">
        <v>1.6999999999999999E-3</v>
      </c>
      <c r="E1836">
        <v>6.2793987120376373</v>
      </c>
      <c r="F1836">
        <v>735.91493777237179</v>
      </c>
      <c r="G1836">
        <v>0.42399999999999999</v>
      </c>
      <c r="H1836">
        <v>4.4000000000000003E-3</v>
      </c>
      <c r="I1836">
        <v>367.60590000000002</v>
      </c>
    </row>
    <row r="1837" spans="1:9" x14ac:dyDescent="0.3">
      <c r="A1837" t="s">
        <v>9</v>
      </c>
      <c r="B1837" t="s">
        <v>1962</v>
      </c>
      <c r="C1837">
        <v>6</v>
      </c>
      <c r="D1837">
        <v>2.3E-3</v>
      </c>
      <c r="E1837">
        <v>6.4677184665397984</v>
      </c>
      <c r="F1837">
        <v>753.78648247462695</v>
      </c>
      <c r="G1837">
        <v>0.42399999999999999</v>
      </c>
      <c r="H1837">
        <v>7.3000000000000001E-3</v>
      </c>
      <c r="I1837">
        <v>367.80500000000001</v>
      </c>
    </row>
    <row r="1838" spans="1:9" x14ac:dyDescent="0.3">
      <c r="A1838" t="s">
        <v>9</v>
      </c>
      <c r="B1838" t="s">
        <v>1963</v>
      </c>
      <c r="C1838">
        <v>6</v>
      </c>
      <c r="D1838">
        <v>4.4000000000000003E-3</v>
      </c>
      <c r="E1838">
        <v>6.6763380330447024</v>
      </c>
      <c r="F1838">
        <v>773.58447933594232</v>
      </c>
      <c r="G1838">
        <v>0.42399999999999999</v>
      </c>
      <c r="H1838">
        <v>1.06E-2</v>
      </c>
      <c r="I1838">
        <v>368.00450000000001</v>
      </c>
    </row>
    <row r="1839" spans="1:9" x14ac:dyDescent="0.3">
      <c r="A1839" t="s">
        <v>9</v>
      </c>
      <c r="B1839" t="s">
        <v>1964</v>
      </c>
      <c r="C1839">
        <v>6</v>
      </c>
      <c r="D1839">
        <v>7.7999999999999996E-3</v>
      </c>
      <c r="E1839">
        <v>6.8870696966861624</v>
      </c>
      <c r="F1839">
        <v>793.58291421551678</v>
      </c>
      <c r="G1839">
        <v>0.42399999999999999</v>
      </c>
      <c r="H1839">
        <v>1.38E-2</v>
      </c>
      <c r="I1839">
        <v>368.20670000000001</v>
      </c>
    </row>
    <row r="1840" spans="1:9" x14ac:dyDescent="0.3">
      <c r="A1840" t="s">
        <v>9</v>
      </c>
      <c r="B1840" t="s">
        <v>1965</v>
      </c>
      <c r="C1840">
        <v>6</v>
      </c>
      <c r="D1840">
        <v>1.0699999999999999E-2</v>
      </c>
      <c r="E1840">
        <v>7.074600324014745</v>
      </c>
      <c r="F1840">
        <v>811.3795707489993</v>
      </c>
      <c r="G1840">
        <v>0.42399999999999999</v>
      </c>
      <c r="H1840">
        <v>1.6799999999999999E-2</v>
      </c>
      <c r="I1840">
        <v>368.40690000000001</v>
      </c>
    </row>
    <row r="1841" spans="1:9" x14ac:dyDescent="0.3">
      <c r="A1841" t="s">
        <v>9</v>
      </c>
      <c r="B1841" t="s">
        <v>1966</v>
      </c>
      <c r="C1841">
        <v>6</v>
      </c>
      <c r="D1841">
        <v>1.3100000000000001E-2</v>
      </c>
      <c r="E1841">
        <v>7.2214768320690501</v>
      </c>
      <c r="F1841">
        <v>825.31815136335285</v>
      </c>
      <c r="G1841">
        <v>0.42399999999999999</v>
      </c>
      <c r="H1841">
        <v>1.9E-2</v>
      </c>
      <c r="I1841">
        <v>368.60520000000002</v>
      </c>
    </row>
    <row r="1842" spans="1:9" x14ac:dyDescent="0.3">
      <c r="A1842" t="s">
        <v>9</v>
      </c>
      <c r="B1842" t="s">
        <v>1967</v>
      </c>
      <c r="C1842">
        <v>6</v>
      </c>
      <c r="D1842">
        <v>1.5100000000000001E-2</v>
      </c>
      <c r="E1842">
        <v>7.3164595716601069</v>
      </c>
      <c r="F1842">
        <v>834.33201335054423</v>
      </c>
      <c r="G1842">
        <v>0.42399999999999999</v>
      </c>
      <c r="H1842">
        <v>2.0500000000000001E-2</v>
      </c>
      <c r="I1842">
        <v>368.80689999999998</v>
      </c>
    </row>
    <row r="1843" spans="1:9" x14ac:dyDescent="0.3">
      <c r="A1843" t="s">
        <v>9</v>
      </c>
      <c r="B1843" t="s">
        <v>1968</v>
      </c>
      <c r="C1843">
        <v>6</v>
      </c>
      <c r="D1843">
        <v>1.66E-2</v>
      </c>
      <c r="E1843">
        <v>7.3472842690137856</v>
      </c>
      <c r="F1843">
        <v>837.25727712940829</v>
      </c>
      <c r="G1843">
        <v>0.42399999999999999</v>
      </c>
      <c r="H1843">
        <v>2.1000000000000001E-2</v>
      </c>
      <c r="I1843">
        <v>369.00470000000001</v>
      </c>
    </row>
    <row r="1844" spans="1:9" x14ac:dyDescent="0.3">
      <c r="A1844" t="s">
        <v>9</v>
      </c>
      <c r="B1844" t="s">
        <v>1969</v>
      </c>
      <c r="C1844">
        <v>6</v>
      </c>
      <c r="D1844">
        <v>1.7299999999999999E-2</v>
      </c>
      <c r="E1844">
        <v>7.3125536719257136</v>
      </c>
      <c r="F1844">
        <v>729.53000222347657</v>
      </c>
      <c r="G1844">
        <v>0.42399999999999999</v>
      </c>
      <c r="H1844">
        <v>2.0500000000000001E-2</v>
      </c>
      <c r="I1844">
        <v>369.20499999999998</v>
      </c>
    </row>
    <row r="1845" spans="1:9" x14ac:dyDescent="0.3">
      <c r="A1845" t="s">
        <v>9</v>
      </c>
      <c r="B1845" t="s">
        <v>1970</v>
      </c>
      <c r="C1845">
        <v>6</v>
      </c>
      <c r="D1845">
        <v>1.7299999999999999E-2</v>
      </c>
      <c r="E1845">
        <v>7.2147135799596702</v>
      </c>
      <c r="F1845">
        <v>720.41130565224125</v>
      </c>
      <c r="G1845">
        <v>0.42399999999999999</v>
      </c>
      <c r="H1845">
        <v>1.89E-2</v>
      </c>
      <c r="I1845">
        <v>369.40559999999999</v>
      </c>
    </row>
    <row r="1846" spans="1:9" x14ac:dyDescent="0.3">
      <c r="A1846" t="s">
        <v>9</v>
      </c>
      <c r="B1846" t="s">
        <v>1971</v>
      </c>
      <c r="C1846">
        <v>6</v>
      </c>
      <c r="D1846">
        <v>1.72E-2</v>
      </c>
      <c r="E1846">
        <v>7.0632966104472814</v>
      </c>
      <c r="F1846">
        <v>706.29924409368664</v>
      </c>
      <c r="G1846">
        <v>0.42399999999999999</v>
      </c>
      <c r="H1846">
        <v>1.66E-2</v>
      </c>
      <c r="I1846">
        <v>369.60629999999998</v>
      </c>
    </row>
    <row r="1847" spans="1:9" x14ac:dyDescent="0.3">
      <c r="A1847" t="s">
        <v>9</v>
      </c>
      <c r="B1847" t="s">
        <v>1972</v>
      </c>
      <c r="C1847">
        <v>6</v>
      </c>
      <c r="D1847">
        <v>1.7299999999999999E-2</v>
      </c>
      <c r="E1847">
        <v>6.8675503347829476</v>
      </c>
      <c r="F1847">
        <v>688.05569120177074</v>
      </c>
      <c r="G1847">
        <v>0.42399999999999999</v>
      </c>
      <c r="H1847">
        <v>1.35E-2</v>
      </c>
      <c r="I1847">
        <v>369.81259999999997</v>
      </c>
    </row>
    <row r="1848" spans="1:9" x14ac:dyDescent="0.3">
      <c r="A1848" t="s">
        <v>9</v>
      </c>
      <c r="B1848" t="s">
        <v>1973</v>
      </c>
      <c r="C1848">
        <v>6</v>
      </c>
      <c r="D1848">
        <v>1.67E-2</v>
      </c>
      <c r="E1848">
        <v>6.6664035941998634</v>
      </c>
      <c r="F1848">
        <v>669.30881497942721</v>
      </c>
      <c r="G1848">
        <v>0.42399999999999999</v>
      </c>
      <c r="H1848">
        <v>1.04E-2</v>
      </c>
      <c r="I1848">
        <v>370.00479999999999</v>
      </c>
    </row>
    <row r="1849" spans="1:9" x14ac:dyDescent="0.3">
      <c r="A1849" t="s">
        <v>9</v>
      </c>
      <c r="B1849" t="s">
        <v>1974</v>
      </c>
      <c r="C1849">
        <v>6</v>
      </c>
      <c r="D1849">
        <v>1.4999999999999999E-2</v>
      </c>
      <c r="E1849">
        <v>6.4574860066937356</v>
      </c>
      <c r="F1849">
        <v>649.83769582385617</v>
      </c>
      <c r="G1849">
        <v>0.42399999999999999</v>
      </c>
      <c r="H1849">
        <v>7.1999999999999998E-3</v>
      </c>
      <c r="I1849">
        <v>370.20519999999999</v>
      </c>
    </row>
    <row r="1850" spans="1:9" x14ac:dyDescent="0.3">
      <c r="A1850" t="s">
        <v>9</v>
      </c>
      <c r="B1850" t="s">
        <v>1975</v>
      </c>
      <c r="C1850">
        <v>6</v>
      </c>
      <c r="D1850">
        <v>1.1900000000000001E-2</v>
      </c>
      <c r="E1850">
        <v>6.2684640579467876</v>
      </c>
      <c r="F1850">
        <v>632.2208502006406</v>
      </c>
      <c r="G1850">
        <v>0.42399999999999999</v>
      </c>
      <c r="H1850">
        <v>4.1999999999999997E-3</v>
      </c>
      <c r="I1850">
        <v>370.40679999999998</v>
      </c>
    </row>
    <row r="1851" spans="1:9" x14ac:dyDescent="0.3">
      <c r="A1851" t="s">
        <v>9</v>
      </c>
      <c r="B1851" t="s">
        <v>1976</v>
      </c>
      <c r="C1851">
        <v>6</v>
      </c>
      <c r="D1851">
        <v>8.8000000000000005E-3</v>
      </c>
      <c r="E1851">
        <v>6.1205986067333242</v>
      </c>
      <c r="F1851">
        <v>618.43979014754586</v>
      </c>
      <c r="G1851">
        <v>0.42399999999999999</v>
      </c>
      <c r="H1851">
        <v>1.9E-3</v>
      </c>
      <c r="I1851">
        <v>370.60680000000002</v>
      </c>
    </row>
    <row r="1852" spans="1:9" x14ac:dyDescent="0.3">
      <c r="A1852" t="s">
        <v>9</v>
      </c>
      <c r="B1852" t="s">
        <v>1977</v>
      </c>
      <c r="C1852">
        <v>6</v>
      </c>
      <c r="D1852">
        <v>4.7000000000000002E-3</v>
      </c>
      <c r="E1852">
        <v>6.0270569466800037</v>
      </c>
      <c r="F1852">
        <v>609.72170743057632</v>
      </c>
      <c r="G1852">
        <v>0.42399999999999999</v>
      </c>
      <c r="H1852">
        <v>5.0000000000000001E-4</v>
      </c>
      <c r="I1852">
        <v>370.80540000000002</v>
      </c>
    </row>
    <row r="1853" spans="1:9" x14ac:dyDescent="0.3">
      <c r="A1853" t="s">
        <v>9</v>
      </c>
      <c r="B1853" t="s">
        <v>1978</v>
      </c>
      <c r="C1853">
        <v>6</v>
      </c>
      <c r="D1853">
        <v>2.0999999999999999E-3</v>
      </c>
      <c r="E1853">
        <v>5.9957657480111131</v>
      </c>
      <c r="F1853">
        <v>606.80536771463574</v>
      </c>
      <c r="G1853">
        <v>0.42399999999999999</v>
      </c>
      <c r="H1853">
        <v>0</v>
      </c>
      <c r="I1853">
        <v>371.00619999999998</v>
      </c>
    </row>
    <row r="1854" spans="1:9" x14ac:dyDescent="0.3">
      <c r="A1854" t="s">
        <v>9</v>
      </c>
      <c r="B1854" t="s">
        <v>1979</v>
      </c>
      <c r="C1854">
        <v>6</v>
      </c>
      <c r="D1854">
        <v>1.8E-3</v>
      </c>
      <c r="E1854">
        <v>6.0303279968064709</v>
      </c>
      <c r="F1854">
        <v>712.27812689693417</v>
      </c>
      <c r="G1854">
        <v>0.42399999999999999</v>
      </c>
      <c r="H1854">
        <v>5.0000000000000001E-4</v>
      </c>
      <c r="I1854">
        <v>371.20460000000003</v>
      </c>
    </row>
    <row r="1855" spans="1:9" x14ac:dyDescent="0.3">
      <c r="A1855" t="s">
        <v>9</v>
      </c>
      <c r="B1855" t="s">
        <v>1980</v>
      </c>
      <c r="C1855">
        <v>6</v>
      </c>
      <c r="D1855">
        <v>1.9E-3</v>
      </c>
      <c r="E1855">
        <v>6.1279095687317549</v>
      </c>
      <c r="F1855">
        <v>721.53861807264354</v>
      </c>
      <c r="G1855">
        <v>0.42399999999999999</v>
      </c>
      <c r="H1855">
        <v>2.0999999999999999E-3</v>
      </c>
      <c r="I1855">
        <v>371.40499999999997</v>
      </c>
    </row>
    <row r="1856" spans="1:9" x14ac:dyDescent="0.3">
      <c r="A1856" t="s">
        <v>9</v>
      </c>
      <c r="B1856" t="s">
        <v>1981</v>
      </c>
      <c r="C1856">
        <v>6</v>
      </c>
      <c r="D1856">
        <v>1.9E-3</v>
      </c>
      <c r="E1856">
        <v>6.2785690783361376</v>
      </c>
      <c r="F1856">
        <v>735.83620553409946</v>
      </c>
      <c r="G1856">
        <v>0.42399999999999999</v>
      </c>
      <c r="H1856">
        <v>4.4000000000000003E-3</v>
      </c>
      <c r="I1856">
        <v>371.60489999999999</v>
      </c>
    </row>
    <row r="1857" spans="1:9" x14ac:dyDescent="0.3">
      <c r="A1857" t="s">
        <v>9</v>
      </c>
      <c r="B1857" t="s">
        <v>1982</v>
      </c>
      <c r="C1857">
        <v>6</v>
      </c>
      <c r="D1857">
        <v>2.3E-3</v>
      </c>
      <c r="E1857">
        <v>6.4693034517014034</v>
      </c>
      <c r="F1857">
        <v>753.93689756646324</v>
      </c>
      <c r="G1857">
        <v>0.42399999999999999</v>
      </c>
      <c r="H1857">
        <v>7.4000000000000003E-3</v>
      </c>
      <c r="I1857">
        <v>371.80650000000003</v>
      </c>
    </row>
    <row r="1858" spans="1:9" x14ac:dyDescent="0.3">
      <c r="A1858" t="s">
        <v>9</v>
      </c>
      <c r="B1858" t="s">
        <v>1983</v>
      </c>
      <c r="C1858">
        <v>6</v>
      </c>
      <c r="D1858">
        <v>4.1999999999999997E-3</v>
      </c>
      <c r="E1858">
        <v>6.6787011165754864</v>
      </c>
      <c r="F1858">
        <v>773.80873596301365</v>
      </c>
      <c r="G1858">
        <v>0.42399999999999999</v>
      </c>
      <c r="H1858">
        <v>1.06E-2</v>
      </c>
      <c r="I1858">
        <v>372.0068</v>
      </c>
    </row>
    <row r="1859" spans="1:9" x14ac:dyDescent="0.3">
      <c r="A1859" t="s">
        <v>9</v>
      </c>
      <c r="B1859" t="s">
        <v>1984</v>
      </c>
      <c r="C1859">
        <v>6</v>
      </c>
      <c r="D1859">
        <v>8.0000000000000002E-3</v>
      </c>
      <c r="E1859">
        <v>6.8871593057219034</v>
      </c>
      <c r="F1859">
        <v>793.59141811300867</v>
      </c>
      <c r="G1859">
        <v>0.42399999999999999</v>
      </c>
      <c r="H1859">
        <v>1.3899999999999999E-2</v>
      </c>
      <c r="I1859">
        <v>372.20679999999999</v>
      </c>
    </row>
    <row r="1860" spans="1:9" x14ac:dyDescent="0.3">
      <c r="A1860" t="s">
        <v>9</v>
      </c>
      <c r="B1860" t="s">
        <v>1985</v>
      </c>
      <c r="C1860">
        <v>6</v>
      </c>
      <c r="D1860">
        <v>1.04E-2</v>
      </c>
      <c r="E1860">
        <v>7.0726208158134263</v>
      </c>
      <c r="F1860">
        <v>811.19171542069421</v>
      </c>
      <c r="G1860">
        <v>0.42399999999999999</v>
      </c>
      <c r="H1860">
        <v>1.67E-2</v>
      </c>
      <c r="I1860">
        <v>372.40449999999998</v>
      </c>
    </row>
    <row r="1861" spans="1:9" x14ac:dyDescent="0.3">
      <c r="A1861" t="s">
        <v>9</v>
      </c>
      <c r="B1861" t="s">
        <v>1986</v>
      </c>
      <c r="C1861">
        <v>6</v>
      </c>
      <c r="D1861">
        <v>1.2999999999999999E-2</v>
      </c>
      <c r="E1861">
        <v>7.2214119567490567</v>
      </c>
      <c r="F1861">
        <v>825.31199469548551</v>
      </c>
      <c r="G1861">
        <v>0.42399999999999999</v>
      </c>
      <c r="H1861">
        <v>1.9E-2</v>
      </c>
      <c r="I1861">
        <v>372.60509999999999</v>
      </c>
    </row>
    <row r="1862" spans="1:9" x14ac:dyDescent="0.3">
      <c r="A1862" t="s">
        <v>9</v>
      </c>
      <c r="B1862" t="s">
        <v>1987</v>
      </c>
      <c r="C1862">
        <v>6</v>
      </c>
      <c r="D1862">
        <v>1.5100000000000001E-2</v>
      </c>
      <c r="E1862">
        <v>7.3158444725324134</v>
      </c>
      <c r="F1862">
        <v>834.27364044332603</v>
      </c>
      <c r="G1862">
        <v>0.42399999999999999</v>
      </c>
      <c r="H1862">
        <v>2.0500000000000001E-2</v>
      </c>
      <c r="I1862">
        <v>372.80500000000001</v>
      </c>
    </row>
    <row r="1863" spans="1:9" x14ac:dyDescent="0.3">
      <c r="A1863" t="s">
        <v>9</v>
      </c>
      <c r="B1863" t="s">
        <v>1988</v>
      </c>
      <c r="C1863">
        <v>6</v>
      </c>
      <c r="D1863">
        <v>1.66E-2</v>
      </c>
      <c r="E1863">
        <v>7.3472781869525363</v>
      </c>
      <c r="F1863">
        <v>837.25669994179577</v>
      </c>
      <c r="G1863">
        <v>0.42399999999999999</v>
      </c>
      <c r="H1863">
        <v>2.1000000000000001E-2</v>
      </c>
      <c r="I1863">
        <v>373.00540000000001</v>
      </c>
    </row>
    <row r="1864" spans="1:9" x14ac:dyDescent="0.3">
      <c r="A1864" t="s">
        <v>9</v>
      </c>
      <c r="B1864" t="s">
        <v>1989</v>
      </c>
      <c r="C1864">
        <v>6</v>
      </c>
      <c r="D1864">
        <v>1.7500000000000002E-2</v>
      </c>
      <c r="E1864">
        <v>7.3127584346544463</v>
      </c>
      <c r="F1864">
        <v>729.54908610979442</v>
      </c>
      <c r="G1864">
        <v>0.42399999999999999</v>
      </c>
      <c r="H1864">
        <v>2.0500000000000001E-2</v>
      </c>
      <c r="I1864">
        <v>373.20440000000002</v>
      </c>
    </row>
    <row r="1865" spans="1:9" x14ac:dyDescent="0.3">
      <c r="A1865" t="s">
        <v>9</v>
      </c>
      <c r="B1865" t="s">
        <v>1990</v>
      </c>
      <c r="C1865">
        <v>6</v>
      </c>
      <c r="D1865">
        <v>1.7600000000000001E-2</v>
      </c>
      <c r="E1865">
        <v>7.2135259561330276</v>
      </c>
      <c r="F1865">
        <v>720.30061911159828</v>
      </c>
      <c r="G1865">
        <v>0.42399999999999999</v>
      </c>
      <c r="H1865">
        <v>1.89E-2</v>
      </c>
      <c r="I1865">
        <v>373.40750000000003</v>
      </c>
    </row>
    <row r="1866" spans="1:9" x14ac:dyDescent="0.3">
      <c r="A1866" t="s">
        <v>9</v>
      </c>
      <c r="B1866" t="s">
        <v>1991</v>
      </c>
      <c r="C1866">
        <v>6</v>
      </c>
      <c r="D1866">
        <v>1.7500000000000002E-2</v>
      </c>
      <c r="E1866">
        <v>7.0645965496716618</v>
      </c>
      <c r="F1866">
        <v>706.42039842939892</v>
      </c>
      <c r="G1866">
        <v>0.42399999999999999</v>
      </c>
      <c r="H1866">
        <v>1.66E-2</v>
      </c>
      <c r="I1866">
        <v>373.60480000000001</v>
      </c>
    </row>
    <row r="1867" spans="1:9" x14ac:dyDescent="0.3">
      <c r="A1867" t="s">
        <v>9</v>
      </c>
      <c r="B1867" t="s">
        <v>1992</v>
      </c>
      <c r="C1867">
        <v>6</v>
      </c>
      <c r="D1867">
        <v>1.7500000000000002E-2</v>
      </c>
      <c r="E1867">
        <v>6.872467073096999</v>
      </c>
      <c r="F1867">
        <v>688.51393121264027</v>
      </c>
      <c r="G1867">
        <v>0.42399999999999999</v>
      </c>
      <c r="H1867">
        <v>1.3599999999999999E-2</v>
      </c>
      <c r="I1867">
        <v>373.80779999999999</v>
      </c>
    </row>
    <row r="1868" spans="1:9" x14ac:dyDescent="0.3">
      <c r="A1868" t="s">
        <v>9</v>
      </c>
      <c r="B1868" t="s">
        <v>1993</v>
      </c>
      <c r="C1868">
        <v>6</v>
      </c>
      <c r="D1868">
        <v>1.7100000000000001E-2</v>
      </c>
      <c r="E1868">
        <v>6.6658140397294154</v>
      </c>
      <c r="F1868">
        <v>669.25386850278142</v>
      </c>
      <c r="G1868">
        <v>0.42399999999999999</v>
      </c>
      <c r="H1868">
        <v>1.04E-2</v>
      </c>
      <c r="I1868">
        <v>374.00540000000001</v>
      </c>
    </row>
    <row r="1869" spans="1:9" x14ac:dyDescent="0.3">
      <c r="A1869" t="s">
        <v>9</v>
      </c>
      <c r="B1869" t="s">
        <v>1994</v>
      </c>
      <c r="C1869">
        <v>6</v>
      </c>
      <c r="D1869">
        <v>1.54E-2</v>
      </c>
      <c r="E1869">
        <v>6.4555973239404079</v>
      </c>
      <c r="F1869">
        <v>649.66167059124598</v>
      </c>
      <c r="G1869">
        <v>0.42399999999999999</v>
      </c>
      <c r="H1869">
        <v>7.1000000000000004E-3</v>
      </c>
      <c r="I1869">
        <v>374.20699999999999</v>
      </c>
    </row>
    <row r="1870" spans="1:9" x14ac:dyDescent="0.3">
      <c r="A1870" t="s">
        <v>9</v>
      </c>
      <c r="B1870" t="s">
        <v>1995</v>
      </c>
      <c r="C1870">
        <v>6</v>
      </c>
      <c r="D1870">
        <v>1.2999999999999999E-2</v>
      </c>
      <c r="E1870">
        <v>6.2695808865804867</v>
      </c>
      <c r="F1870">
        <v>632.32493862930141</v>
      </c>
      <c r="G1870">
        <v>0.42399999999999999</v>
      </c>
      <c r="H1870">
        <v>4.3E-3</v>
      </c>
      <c r="I1870">
        <v>374.40550000000002</v>
      </c>
    </row>
    <row r="1871" spans="1:9" x14ac:dyDescent="0.3">
      <c r="A1871" t="s">
        <v>9</v>
      </c>
      <c r="B1871" t="s">
        <v>1996</v>
      </c>
      <c r="C1871">
        <v>6</v>
      </c>
      <c r="D1871">
        <v>9.2999999999999992E-3</v>
      </c>
      <c r="E1871">
        <v>6.1210698042918539</v>
      </c>
      <c r="F1871">
        <v>618.48370576000082</v>
      </c>
      <c r="G1871">
        <v>0.42399999999999999</v>
      </c>
      <c r="H1871">
        <v>1.9E-3</v>
      </c>
      <c r="I1871">
        <v>374.60599999999999</v>
      </c>
    </row>
    <row r="1872" spans="1:9" x14ac:dyDescent="0.3">
      <c r="A1872" t="s">
        <v>9</v>
      </c>
      <c r="B1872" t="s">
        <v>1997</v>
      </c>
      <c r="C1872">
        <v>6</v>
      </c>
      <c r="D1872">
        <v>5.0000000000000001E-3</v>
      </c>
      <c r="E1872">
        <v>6.026534193515614</v>
      </c>
      <c r="F1872">
        <v>609.67298683565525</v>
      </c>
      <c r="G1872">
        <v>0.42399999999999999</v>
      </c>
      <c r="H1872">
        <v>5.0000000000000001E-4</v>
      </c>
      <c r="I1872">
        <v>374.80700000000002</v>
      </c>
    </row>
    <row r="1873" spans="1:9" x14ac:dyDescent="0.3">
      <c r="A1873" t="s">
        <v>9</v>
      </c>
      <c r="B1873" t="s">
        <v>1998</v>
      </c>
      <c r="C1873">
        <v>6</v>
      </c>
      <c r="D1873">
        <v>2.5000000000000001E-3</v>
      </c>
      <c r="E1873">
        <v>5.9957886672858018</v>
      </c>
      <c r="F1873">
        <v>606.80750379103677</v>
      </c>
      <c r="G1873">
        <v>0.42399999999999999</v>
      </c>
      <c r="H1873">
        <v>0</v>
      </c>
      <c r="I1873">
        <v>375.00810000000001</v>
      </c>
    </row>
    <row r="1874" spans="1:9" x14ac:dyDescent="0.3">
      <c r="A1874" t="s">
        <v>9</v>
      </c>
      <c r="B1874" t="s">
        <v>1999</v>
      </c>
      <c r="C1874">
        <v>6</v>
      </c>
      <c r="D1874">
        <v>1.1000000000000001E-3</v>
      </c>
      <c r="E1874">
        <v>6.0311309789155754</v>
      </c>
      <c r="F1874">
        <v>712.35432989908816</v>
      </c>
      <c r="G1874">
        <v>0.42399999999999999</v>
      </c>
      <c r="H1874">
        <v>5.0000000000000001E-4</v>
      </c>
      <c r="I1874">
        <v>375.20699999999999</v>
      </c>
    </row>
    <row r="1875" spans="1:9" x14ac:dyDescent="0.3">
      <c r="A1875" t="s">
        <v>9</v>
      </c>
      <c r="B1875" t="s">
        <v>2000</v>
      </c>
      <c r="C1875">
        <v>6</v>
      </c>
      <c r="D1875">
        <v>1E-3</v>
      </c>
      <c r="E1875">
        <v>6.1280637692579649</v>
      </c>
      <c r="F1875">
        <v>721.55325170258095</v>
      </c>
      <c r="G1875">
        <v>0.42399999999999999</v>
      </c>
      <c r="H1875">
        <v>2.0999999999999999E-3</v>
      </c>
      <c r="I1875">
        <v>375.40519999999998</v>
      </c>
    </row>
    <row r="1876" spans="1:9" x14ac:dyDescent="0.3">
      <c r="A1876" t="s">
        <v>9</v>
      </c>
      <c r="B1876" t="s">
        <v>2001</v>
      </c>
      <c r="C1876">
        <v>6</v>
      </c>
      <c r="D1876">
        <v>1.1000000000000001E-3</v>
      </c>
      <c r="E1876">
        <v>6.2782433636826926</v>
      </c>
      <c r="F1876">
        <v>735.80529521348751</v>
      </c>
      <c r="G1876">
        <v>0.42399999999999999</v>
      </c>
      <c r="H1876">
        <v>4.4000000000000003E-3</v>
      </c>
      <c r="I1876">
        <v>375.6046</v>
      </c>
    </row>
    <row r="1877" spans="1:9" x14ac:dyDescent="0.3">
      <c r="A1877" t="s">
        <v>9</v>
      </c>
      <c r="B1877" t="s">
        <v>2002</v>
      </c>
      <c r="C1877">
        <v>6</v>
      </c>
      <c r="D1877">
        <v>1.9E-3</v>
      </c>
      <c r="E1877">
        <v>6.4696298556551239</v>
      </c>
      <c r="F1877">
        <v>753.96787330167126</v>
      </c>
      <c r="G1877">
        <v>0.42399999999999999</v>
      </c>
      <c r="H1877">
        <v>7.4000000000000003E-3</v>
      </c>
      <c r="I1877">
        <v>375.80689999999998</v>
      </c>
    </row>
    <row r="1878" spans="1:9" x14ac:dyDescent="0.3">
      <c r="A1878" t="s">
        <v>9</v>
      </c>
      <c r="B1878" t="s">
        <v>2003</v>
      </c>
      <c r="C1878">
        <v>6</v>
      </c>
      <c r="D1878">
        <v>4.0000000000000001E-3</v>
      </c>
      <c r="E1878">
        <v>6.6766506509929222</v>
      </c>
      <c r="F1878">
        <v>773.61414677922835</v>
      </c>
      <c r="G1878">
        <v>0.42399999999999999</v>
      </c>
      <c r="H1878">
        <v>1.06E-2</v>
      </c>
      <c r="I1878">
        <v>376.00479999999999</v>
      </c>
    </row>
    <row r="1879" spans="1:9" x14ac:dyDescent="0.3">
      <c r="A1879" t="s">
        <v>9</v>
      </c>
      <c r="B1879" t="s">
        <v>2004</v>
      </c>
      <c r="C1879">
        <v>6</v>
      </c>
      <c r="D1879">
        <v>7.7000000000000002E-3</v>
      </c>
      <c r="E1879">
        <v>6.88732717061239</v>
      </c>
      <c r="F1879">
        <v>793.60734849111589</v>
      </c>
      <c r="G1879">
        <v>0.42399999999999999</v>
      </c>
      <c r="H1879">
        <v>1.3899999999999999E-2</v>
      </c>
      <c r="I1879">
        <v>376.20690000000002</v>
      </c>
    </row>
    <row r="1880" spans="1:9" x14ac:dyDescent="0.3">
      <c r="A1880" t="s">
        <v>9</v>
      </c>
      <c r="B1880" t="s">
        <v>2005</v>
      </c>
      <c r="C1880">
        <v>6</v>
      </c>
      <c r="D1880">
        <v>1.0500000000000001E-2</v>
      </c>
      <c r="E1880">
        <v>7.074884559010469</v>
      </c>
      <c r="F1880">
        <v>811.40654465009356</v>
      </c>
      <c r="G1880">
        <v>0.42399999999999999</v>
      </c>
      <c r="H1880">
        <v>1.6799999999999999E-2</v>
      </c>
      <c r="I1880">
        <v>376.40719999999999</v>
      </c>
    </row>
    <row r="1881" spans="1:9" x14ac:dyDescent="0.3">
      <c r="A1881" t="s">
        <v>9</v>
      </c>
      <c r="B1881" t="s">
        <v>2006</v>
      </c>
      <c r="C1881">
        <v>6</v>
      </c>
      <c r="D1881">
        <v>1.2999999999999999E-2</v>
      </c>
      <c r="E1881">
        <v>7.2218981161782638</v>
      </c>
      <c r="F1881">
        <v>825.35813122531727</v>
      </c>
      <c r="G1881">
        <v>0.42399999999999999</v>
      </c>
      <c r="H1881">
        <v>1.9099999999999999E-2</v>
      </c>
      <c r="I1881">
        <v>376.60590000000002</v>
      </c>
    </row>
    <row r="1882" spans="1:9" x14ac:dyDescent="0.3">
      <c r="A1882" t="s">
        <v>9</v>
      </c>
      <c r="B1882" t="s">
        <v>2007</v>
      </c>
      <c r="C1882">
        <v>6</v>
      </c>
      <c r="D1882">
        <v>1.5100000000000001E-2</v>
      </c>
      <c r="E1882">
        <v>7.3168476071678219</v>
      </c>
      <c r="F1882">
        <v>834.36883792022638</v>
      </c>
      <c r="G1882">
        <v>0.42399999999999999</v>
      </c>
      <c r="H1882">
        <v>2.0500000000000001E-2</v>
      </c>
      <c r="I1882">
        <v>376.80810000000002</v>
      </c>
    </row>
    <row r="1883" spans="1:9" x14ac:dyDescent="0.3">
      <c r="A1883" t="s">
        <v>9</v>
      </c>
      <c r="B1883" t="s">
        <v>2008</v>
      </c>
      <c r="C1883">
        <v>6</v>
      </c>
      <c r="D1883">
        <v>1.6299999999999999E-2</v>
      </c>
      <c r="E1883">
        <v>7.3472830526015347</v>
      </c>
      <c r="F1883">
        <v>837.2571616918857</v>
      </c>
      <c r="G1883">
        <v>0.42399999999999999</v>
      </c>
      <c r="H1883">
        <v>2.1000000000000001E-2</v>
      </c>
      <c r="I1883">
        <v>377.00490000000002</v>
      </c>
    </row>
    <row r="1884" spans="1:9" x14ac:dyDescent="0.3">
      <c r="A1884" t="s">
        <v>9</v>
      </c>
      <c r="B1884" t="s">
        <v>2009</v>
      </c>
      <c r="C1884">
        <v>6</v>
      </c>
      <c r="D1884">
        <v>1.7299999999999999E-2</v>
      </c>
      <c r="E1884">
        <v>7.3117188076515403</v>
      </c>
      <c r="F1884">
        <v>729.45219287312352</v>
      </c>
      <c r="G1884">
        <v>0.42399999999999999</v>
      </c>
      <c r="H1884">
        <v>2.0400000000000001E-2</v>
      </c>
      <c r="I1884">
        <v>377.20749999999998</v>
      </c>
    </row>
    <row r="1885" spans="1:9" x14ac:dyDescent="0.3">
      <c r="A1885" t="s">
        <v>9</v>
      </c>
      <c r="B1885" t="s">
        <v>2010</v>
      </c>
      <c r="C1885">
        <v>6</v>
      </c>
      <c r="D1885">
        <v>1.7399999999999999E-2</v>
      </c>
      <c r="E1885">
        <v>7.2146255928069296</v>
      </c>
      <c r="F1885">
        <v>720.40310524960591</v>
      </c>
      <c r="G1885">
        <v>0.42399999999999999</v>
      </c>
      <c r="H1885">
        <v>1.89E-2</v>
      </c>
      <c r="I1885">
        <v>377.40570000000002</v>
      </c>
    </row>
    <row r="1886" spans="1:9" x14ac:dyDescent="0.3">
      <c r="A1886" t="s">
        <v>9</v>
      </c>
      <c r="B1886" t="s">
        <v>2011</v>
      </c>
      <c r="C1886">
        <v>6</v>
      </c>
      <c r="D1886">
        <v>1.7299999999999999E-2</v>
      </c>
      <c r="E1886">
        <v>7.062166968937885</v>
      </c>
      <c r="F1886">
        <v>706.19396150501086</v>
      </c>
      <c r="G1886">
        <v>0.42399999999999999</v>
      </c>
      <c r="H1886">
        <v>1.66E-2</v>
      </c>
      <c r="I1886">
        <v>377.60759999999999</v>
      </c>
    </row>
    <row r="1887" spans="1:9" x14ac:dyDescent="0.3">
      <c r="A1887" t="s">
        <v>9</v>
      </c>
      <c r="B1887" t="s">
        <v>2012</v>
      </c>
      <c r="C1887">
        <v>6</v>
      </c>
      <c r="D1887">
        <v>1.72E-2</v>
      </c>
      <c r="E1887">
        <v>6.8747778509010384</v>
      </c>
      <c r="F1887">
        <v>688.72929570397673</v>
      </c>
      <c r="G1887">
        <v>0.42399999999999999</v>
      </c>
      <c r="H1887">
        <v>1.37E-2</v>
      </c>
      <c r="I1887">
        <v>377.80549999999999</v>
      </c>
    </row>
    <row r="1888" spans="1:9" x14ac:dyDescent="0.3">
      <c r="A1888" t="s">
        <v>9</v>
      </c>
      <c r="B1888" t="s">
        <v>2013</v>
      </c>
      <c r="C1888">
        <v>6</v>
      </c>
      <c r="D1888">
        <v>1.66E-2</v>
      </c>
      <c r="E1888">
        <v>6.6651008166802308</v>
      </c>
      <c r="F1888">
        <v>669.1873961145975</v>
      </c>
      <c r="G1888">
        <v>0.42399999999999999</v>
      </c>
      <c r="H1888">
        <v>1.04E-2</v>
      </c>
      <c r="I1888">
        <v>378.00599999999997</v>
      </c>
    </row>
    <row r="1889" spans="1:9" x14ac:dyDescent="0.3">
      <c r="A1889" t="s">
        <v>9</v>
      </c>
      <c r="B1889" t="s">
        <v>2014</v>
      </c>
      <c r="C1889">
        <v>6</v>
      </c>
      <c r="D1889">
        <v>1.49E-2</v>
      </c>
      <c r="E1889">
        <v>6.4573846390062446</v>
      </c>
      <c r="F1889">
        <v>649.82824835538213</v>
      </c>
      <c r="G1889">
        <v>0.42399999999999999</v>
      </c>
      <c r="H1889">
        <v>7.1999999999999998E-3</v>
      </c>
      <c r="I1889">
        <v>378.20530000000002</v>
      </c>
    </row>
    <row r="1890" spans="1:9" x14ac:dyDescent="0.3">
      <c r="A1890" t="s">
        <v>9</v>
      </c>
      <c r="B1890" t="s">
        <v>2015</v>
      </c>
      <c r="C1890">
        <v>6</v>
      </c>
      <c r="D1890">
        <v>1.2800000000000001E-2</v>
      </c>
      <c r="E1890">
        <v>6.26870965158004</v>
      </c>
      <c r="F1890">
        <v>632.24373952725978</v>
      </c>
      <c r="G1890">
        <v>0.42399999999999999</v>
      </c>
      <c r="H1890">
        <v>4.1999999999999997E-3</v>
      </c>
      <c r="I1890">
        <v>378.40649999999999</v>
      </c>
    </row>
    <row r="1891" spans="1:9" x14ac:dyDescent="0.3">
      <c r="A1891" t="s">
        <v>9</v>
      </c>
      <c r="B1891" t="s">
        <v>2016</v>
      </c>
      <c r="C1891">
        <v>6</v>
      </c>
      <c r="D1891">
        <v>8.8999999999999999E-3</v>
      </c>
      <c r="E1891">
        <v>6.1213021795786586</v>
      </c>
      <c r="F1891">
        <v>618.50536313673103</v>
      </c>
      <c r="G1891">
        <v>0.42399999999999999</v>
      </c>
      <c r="H1891">
        <v>2E-3</v>
      </c>
      <c r="I1891">
        <v>378.60559999999998</v>
      </c>
    </row>
    <row r="1892" spans="1:9" x14ac:dyDescent="0.3">
      <c r="A1892" t="s">
        <v>9</v>
      </c>
      <c r="B1892" t="s">
        <v>2017</v>
      </c>
      <c r="C1892">
        <v>6</v>
      </c>
      <c r="D1892">
        <v>5.0000000000000001E-3</v>
      </c>
      <c r="E1892">
        <v>6.0268638047429661</v>
      </c>
      <c r="F1892">
        <v>609.70370660204446</v>
      </c>
      <c r="G1892">
        <v>0.42399999999999999</v>
      </c>
      <c r="H1892">
        <v>5.0000000000000001E-4</v>
      </c>
      <c r="I1892">
        <v>378.80599999999998</v>
      </c>
    </row>
    <row r="1893" spans="1:9" x14ac:dyDescent="0.3">
      <c r="A1893" t="s">
        <v>9</v>
      </c>
      <c r="B1893" t="s">
        <v>2018</v>
      </c>
      <c r="C1893">
        <v>6</v>
      </c>
      <c r="D1893">
        <v>2.3999999999999998E-3</v>
      </c>
      <c r="E1893">
        <v>5.9958157756409962</v>
      </c>
      <c r="F1893">
        <v>606.81003028974089</v>
      </c>
      <c r="G1893">
        <v>0.42399999999999999</v>
      </c>
      <c r="H1893">
        <v>0</v>
      </c>
      <c r="I1893">
        <v>379.00990000000002</v>
      </c>
    </row>
    <row r="1894" spans="1:9" x14ac:dyDescent="0.3">
      <c r="A1894" t="s">
        <v>9</v>
      </c>
      <c r="B1894" t="s">
        <v>2019</v>
      </c>
      <c r="C1894">
        <v>6</v>
      </c>
      <c r="D1894">
        <v>1.5E-3</v>
      </c>
      <c r="E1894">
        <v>6.0312535081215062</v>
      </c>
      <c r="F1894">
        <v>712.36595792073092</v>
      </c>
      <c r="G1894">
        <v>0.42399999999999999</v>
      </c>
      <c r="H1894">
        <v>5.9999999999999995E-4</v>
      </c>
      <c r="I1894">
        <v>379.20729999999998</v>
      </c>
    </row>
    <row r="1895" spans="1:9" x14ac:dyDescent="0.3">
      <c r="A1895" t="s">
        <v>9</v>
      </c>
      <c r="B1895" t="s">
        <v>2020</v>
      </c>
      <c r="C1895">
        <v>6</v>
      </c>
      <c r="D1895">
        <v>1.6000000000000001E-3</v>
      </c>
      <c r="E1895">
        <v>6.1285616467918436</v>
      </c>
      <c r="F1895">
        <v>721.60050028054604</v>
      </c>
      <c r="G1895">
        <v>0.42399999999999999</v>
      </c>
      <c r="H1895">
        <v>2.0999999999999999E-3</v>
      </c>
      <c r="I1895">
        <v>379.40600000000001</v>
      </c>
    </row>
    <row r="1896" spans="1:9" x14ac:dyDescent="0.3">
      <c r="A1896" t="s">
        <v>9</v>
      </c>
      <c r="B1896" t="s">
        <v>2021</v>
      </c>
      <c r="C1896">
        <v>6</v>
      </c>
      <c r="D1896">
        <v>1.6000000000000001E-3</v>
      </c>
      <c r="E1896">
        <v>6.2789243518072553</v>
      </c>
      <c r="F1896">
        <v>735.86992098650853</v>
      </c>
      <c r="G1896">
        <v>0.42399999999999999</v>
      </c>
      <c r="H1896">
        <v>4.4000000000000003E-3</v>
      </c>
      <c r="I1896">
        <v>379.6053</v>
      </c>
    </row>
    <row r="1897" spans="1:9" x14ac:dyDescent="0.3">
      <c r="A1897" t="s">
        <v>9</v>
      </c>
      <c r="B1897" t="s">
        <v>2022</v>
      </c>
      <c r="C1897">
        <v>6</v>
      </c>
      <c r="D1897">
        <v>2.2000000000000001E-3</v>
      </c>
      <c r="E1897">
        <v>6.4685788754712199</v>
      </c>
      <c r="F1897">
        <v>753.86813528221876</v>
      </c>
      <c r="G1897">
        <v>0.42399999999999999</v>
      </c>
      <c r="H1897">
        <v>7.3000000000000001E-3</v>
      </c>
      <c r="I1897">
        <v>379.80579999999998</v>
      </c>
    </row>
    <row r="1898" spans="1:9" x14ac:dyDescent="0.3">
      <c r="A1898" t="s">
        <v>9</v>
      </c>
      <c r="B1898" t="s">
        <v>2023</v>
      </c>
      <c r="C1898">
        <v>6</v>
      </c>
      <c r="D1898">
        <v>4.1000000000000003E-3</v>
      </c>
      <c r="E1898">
        <v>6.6792201191354366</v>
      </c>
      <c r="F1898">
        <v>773.85798930595308</v>
      </c>
      <c r="G1898">
        <v>0.42399999999999999</v>
      </c>
      <c r="H1898">
        <v>1.06E-2</v>
      </c>
      <c r="I1898">
        <v>380.00729999999999</v>
      </c>
    </row>
    <row r="1899" spans="1:9" x14ac:dyDescent="0.3">
      <c r="A1899" t="s">
        <v>9</v>
      </c>
      <c r="B1899" t="s">
        <v>2024</v>
      </c>
      <c r="C1899">
        <v>6</v>
      </c>
      <c r="D1899">
        <v>7.6E-3</v>
      </c>
      <c r="E1899">
        <v>6.88546119422106</v>
      </c>
      <c r="F1899">
        <v>793.43026733157865</v>
      </c>
      <c r="G1899">
        <v>0.42399999999999999</v>
      </c>
      <c r="H1899">
        <v>1.38E-2</v>
      </c>
      <c r="I1899">
        <v>380.20499999999998</v>
      </c>
    </row>
    <row r="1900" spans="1:9" x14ac:dyDescent="0.3">
      <c r="A1900" t="s">
        <v>9</v>
      </c>
      <c r="B1900" t="s">
        <v>2025</v>
      </c>
      <c r="C1900">
        <v>6</v>
      </c>
      <c r="D1900">
        <v>1.06E-2</v>
      </c>
      <c r="E1900">
        <v>7.075390181035675</v>
      </c>
      <c r="F1900">
        <v>811.45452818028559</v>
      </c>
      <c r="G1900">
        <v>0.42399999999999999</v>
      </c>
      <c r="H1900">
        <v>1.6799999999999999E-2</v>
      </c>
      <c r="I1900">
        <v>380.40780000000001</v>
      </c>
    </row>
    <row r="1901" spans="1:9" x14ac:dyDescent="0.3">
      <c r="A1901" t="s">
        <v>9</v>
      </c>
      <c r="B1901" t="s">
        <v>2026</v>
      </c>
      <c r="C1901">
        <v>6</v>
      </c>
      <c r="D1901">
        <v>1.38E-2</v>
      </c>
      <c r="E1901">
        <v>7.3320357305199302</v>
      </c>
      <c r="F1901">
        <v>835.81019082634145</v>
      </c>
      <c r="G1901">
        <v>0.42399999999999999</v>
      </c>
      <c r="H1901">
        <v>2.0799999999999999E-2</v>
      </c>
      <c r="I1901">
        <v>380.86439999999999</v>
      </c>
    </row>
    <row r="1902" spans="1:9" x14ac:dyDescent="0.3">
      <c r="A1902" t="s">
        <v>9</v>
      </c>
      <c r="B1902" t="s">
        <v>2027</v>
      </c>
      <c r="C1902">
        <v>6</v>
      </c>
      <c r="D1902">
        <v>1.46E-2</v>
      </c>
      <c r="E1902">
        <v>7.3464477828566128</v>
      </c>
      <c r="F1902">
        <v>837.17789459309256</v>
      </c>
      <c r="G1902">
        <v>0.42399999999999999</v>
      </c>
      <c r="H1902">
        <v>2.1000000000000001E-2</v>
      </c>
      <c r="I1902">
        <v>380.96800000000002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EE117"/>
  <sheetViews>
    <sheetView workbookViewId="0">
      <selection activeCell="C19" sqref="C19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0" width="9.44140625" bestFit="1" customWidth="1"/>
    <col min="11" max="11" width="11.6640625" bestFit="1" customWidth="1"/>
    <col min="12" max="12" width="11.44140625" bestFit="1" customWidth="1"/>
    <col min="13" max="13" width="16.21875" bestFit="1" customWidth="1"/>
    <col min="14" max="14" width="12.88671875" bestFit="1" customWidth="1"/>
    <col min="15" max="15" width="12.33203125" bestFit="1" customWidth="1"/>
    <col min="16" max="16" width="10" bestFit="1" customWidth="1"/>
    <col min="17" max="17" width="9.44140625" bestFit="1" customWidth="1"/>
    <col min="18" max="18" width="9.21875" bestFit="1" customWidth="1"/>
    <col min="19" max="19" width="9.44140625" bestFit="1" customWidth="1"/>
    <col min="20" max="20" width="11.6640625" bestFit="1" customWidth="1"/>
    <col min="21" max="21" width="11.44140625" bestFit="1" customWidth="1"/>
    <col min="22" max="22" width="16.21875" bestFit="1" customWidth="1"/>
    <col min="23" max="23" width="12.88671875" bestFit="1" customWidth="1"/>
    <col min="24" max="24" width="12.33203125" bestFit="1" customWidth="1"/>
    <col min="25" max="25" width="10" bestFit="1" customWidth="1"/>
    <col min="26" max="26" width="9.44140625" bestFit="1" customWidth="1"/>
    <col min="27" max="27" width="9.21875" bestFit="1" customWidth="1"/>
    <col min="28" max="28" width="9.44140625" bestFit="1" customWidth="1"/>
    <col min="29" max="29" width="11.6640625" bestFit="1" customWidth="1"/>
    <col min="30" max="30" width="11.44140625" bestFit="1" customWidth="1"/>
    <col min="31" max="31" width="16.21875" bestFit="1" customWidth="1"/>
    <col min="32" max="32" width="12.88671875" bestFit="1" customWidth="1"/>
    <col min="33" max="33" width="12.33203125" bestFit="1" customWidth="1"/>
    <col min="34" max="34" width="10" bestFit="1" customWidth="1"/>
    <col min="35" max="35" width="9.44140625" bestFit="1" customWidth="1"/>
    <col min="36" max="36" width="9.21875" bestFit="1" customWidth="1"/>
    <col min="37" max="37" width="9.44140625" bestFit="1" customWidth="1"/>
    <col min="38" max="38" width="11.6640625" bestFit="1" customWidth="1"/>
    <col min="39" max="39" width="11.44140625" bestFit="1" customWidth="1"/>
    <col min="40" max="40" width="16.21875" bestFit="1" customWidth="1"/>
    <col min="41" max="41" width="12.88671875" bestFit="1" customWidth="1"/>
    <col min="42" max="42" width="12.33203125" bestFit="1" customWidth="1"/>
    <col min="43" max="43" width="10" bestFit="1" customWidth="1"/>
    <col min="44" max="44" width="9.44140625" bestFit="1" customWidth="1"/>
    <col min="45" max="45" width="9.21875" bestFit="1" customWidth="1"/>
    <col min="46" max="46" width="9.44140625" bestFit="1" customWidth="1"/>
    <col min="47" max="47" width="11.6640625" bestFit="1" customWidth="1"/>
    <col min="48" max="48" width="11.44140625" bestFit="1" customWidth="1"/>
    <col min="49" max="49" width="16.21875" bestFit="1" customWidth="1"/>
    <col min="50" max="50" width="12.88671875" bestFit="1" customWidth="1"/>
    <col min="51" max="51" width="12.33203125" bestFit="1" customWidth="1"/>
    <col min="52" max="52" width="10" bestFit="1" customWidth="1"/>
    <col min="53" max="53" width="9.44140625" bestFit="1" customWidth="1"/>
    <col min="54" max="54" width="9.21875" bestFit="1" customWidth="1"/>
    <col min="55" max="55" width="9.44140625" bestFit="1" customWidth="1"/>
    <col min="56" max="56" width="11.6640625" bestFit="1" customWidth="1"/>
    <col min="57" max="57" width="11.44140625" bestFit="1" customWidth="1"/>
    <col min="58" max="58" width="16.21875" bestFit="1" customWidth="1"/>
    <col min="59" max="59" width="12.88671875" bestFit="1" customWidth="1"/>
    <col min="60" max="60" width="12.33203125" bestFit="1" customWidth="1"/>
    <col min="61" max="61" width="10" bestFit="1" customWidth="1"/>
    <col min="62" max="62" width="9.44140625" bestFit="1" customWidth="1"/>
    <col min="63" max="63" width="9.21875" bestFit="1" customWidth="1"/>
    <col min="64" max="64" width="9.44140625" bestFit="1" customWidth="1"/>
    <col min="65" max="65" width="11.6640625" bestFit="1" customWidth="1"/>
    <col min="66" max="66" width="11.44140625" bestFit="1" customWidth="1"/>
    <col min="67" max="67" width="16.21875" bestFit="1" customWidth="1"/>
    <col min="68" max="68" width="12.88671875" bestFit="1" customWidth="1"/>
    <col min="69" max="69" width="12.33203125" bestFit="1" customWidth="1"/>
    <col min="70" max="70" width="10" bestFit="1" customWidth="1"/>
    <col min="71" max="71" width="9.44140625" bestFit="1" customWidth="1"/>
    <col min="72" max="72" width="9.21875" bestFit="1" customWidth="1"/>
    <col min="73" max="73" width="9.44140625" bestFit="1" customWidth="1"/>
    <col min="74" max="74" width="11.6640625" bestFit="1" customWidth="1"/>
    <col min="75" max="75" width="11.44140625" bestFit="1" customWidth="1"/>
    <col min="76" max="76" width="16.21875" bestFit="1" customWidth="1"/>
    <col min="77" max="77" width="12.88671875" bestFit="1" customWidth="1"/>
    <col min="78" max="78" width="12.33203125" bestFit="1" customWidth="1"/>
    <col min="79" max="79" width="10" bestFit="1" customWidth="1"/>
    <col min="80" max="80" width="9.44140625" bestFit="1" customWidth="1"/>
    <col min="81" max="81" width="9.21875" bestFit="1" customWidth="1"/>
    <col min="82" max="82" width="10.44140625" bestFit="1" customWidth="1"/>
    <col min="83" max="83" width="11.6640625" bestFit="1" customWidth="1"/>
    <col min="84" max="84" width="12.44140625" bestFit="1" customWidth="1"/>
    <col min="85" max="85" width="17.21875" bestFit="1" customWidth="1"/>
    <col min="86" max="86" width="13.88671875" bestFit="1" customWidth="1"/>
    <col min="87" max="87" width="13.33203125" bestFit="1" customWidth="1"/>
    <col min="88" max="88" width="11" bestFit="1" customWidth="1"/>
    <col min="89" max="89" width="10.44140625" bestFit="1" customWidth="1"/>
    <col min="90" max="90" width="10.2187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  <col min="100" max="100" width="10.44140625" bestFit="1" customWidth="1"/>
    <col min="101" max="101" width="11.6640625" bestFit="1" customWidth="1"/>
    <col min="102" max="102" width="12.44140625" bestFit="1" customWidth="1"/>
    <col min="103" max="103" width="17.21875" bestFit="1" customWidth="1"/>
    <col min="104" max="104" width="13.88671875" bestFit="1" customWidth="1"/>
    <col min="105" max="105" width="13.33203125" bestFit="1" customWidth="1"/>
    <col min="106" max="106" width="11" bestFit="1" customWidth="1"/>
    <col min="107" max="107" width="10.44140625" bestFit="1" customWidth="1"/>
    <col min="108" max="108" width="10.21875" bestFit="1" customWidth="1"/>
    <col min="109" max="109" width="10.44140625" bestFit="1" customWidth="1"/>
    <col min="110" max="110" width="11.6640625" bestFit="1" customWidth="1"/>
    <col min="111" max="111" width="12.44140625" bestFit="1" customWidth="1"/>
    <col min="112" max="112" width="17.21875" bestFit="1" customWidth="1"/>
    <col min="113" max="113" width="13.88671875" bestFit="1" customWidth="1"/>
    <col min="114" max="114" width="13.33203125" bestFit="1" customWidth="1"/>
    <col min="115" max="115" width="11" bestFit="1" customWidth="1"/>
    <col min="116" max="116" width="10.44140625" bestFit="1" customWidth="1"/>
    <col min="117" max="117" width="10.21875" bestFit="1" customWidth="1"/>
    <col min="118" max="118" width="10.44140625" bestFit="1" customWidth="1"/>
    <col min="119" max="119" width="11.6640625" bestFit="1" customWidth="1"/>
    <col min="120" max="120" width="12.44140625" bestFit="1" customWidth="1"/>
    <col min="121" max="121" width="17.21875" bestFit="1" customWidth="1"/>
    <col min="122" max="122" width="13.88671875" bestFit="1" customWidth="1"/>
    <col min="123" max="123" width="13.33203125" bestFit="1" customWidth="1"/>
    <col min="124" max="124" width="11" bestFit="1" customWidth="1"/>
    <col min="125" max="125" width="10.44140625" bestFit="1" customWidth="1"/>
    <col min="126" max="126" width="10.21875" bestFit="1" customWidth="1"/>
    <col min="127" max="127" width="10.44140625" bestFit="1" customWidth="1"/>
    <col min="128" max="128" width="11.6640625" bestFit="1" customWidth="1"/>
    <col min="129" max="129" width="12.44140625" bestFit="1" customWidth="1"/>
    <col min="130" max="130" width="17.21875" bestFit="1" customWidth="1"/>
    <col min="131" max="131" width="13.88671875" bestFit="1" customWidth="1"/>
    <col min="132" max="132" width="13.33203125" bestFit="1" customWidth="1"/>
    <col min="133" max="133" width="11" bestFit="1" customWidth="1"/>
    <col min="134" max="134" width="10.44140625" bestFit="1" customWidth="1"/>
    <col min="135" max="135" width="10.21875" bestFit="1" customWidth="1"/>
  </cols>
  <sheetData>
    <row r="1" spans="1:135" x14ac:dyDescent="0.3">
      <c r="A1" t="s">
        <v>10</v>
      </c>
      <c r="B1" t="s">
        <v>20</v>
      </c>
      <c r="C1" t="s">
        <v>30</v>
      </c>
      <c r="D1" t="s">
        <v>40</v>
      </c>
      <c r="E1" t="s">
        <v>50</v>
      </c>
      <c r="F1" t="s">
        <v>60</v>
      </c>
      <c r="G1" t="s">
        <v>70</v>
      </c>
      <c r="H1" t="s">
        <v>80</v>
      </c>
      <c r="I1" t="s">
        <v>90</v>
      </c>
      <c r="J1" t="s">
        <v>11</v>
      </c>
      <c r="K1" t="s">
        <v>21</v>
      </c>
      <c r="L1" t="s">
        <v>31</v>
      </c>
      <c r="M1" t="s">
        <v>41</v>
      </c>
      <c r="N1" t="s">
        <v>51</v>
      </c>
      <c r="O1" t="s">
        <v>61</v>
      </c>
      <c r="P1" t="s">
        <v>71</v>
      </c>
      <c r="Q1" t="s">
        <v>81</v>
      </c>
      <c r="R1" t="s">
        <v>91</v>
      </c>
      <c r="S1" t="s">
        <v>12</v>
      </c>
      <c r="T1" t="s">
        <v>22</v>
      </c>
      <c r="U1" t="s">
        <v>32</v>
      </c>
      <c r="V1" t="s">
        <v>42</v>
      </c>
      <c r="W1" t="s">
        <v>52</v>
      </c>
      <c r="X1" t="s">
        <v>62</v>
      </c>
      <c r="Y1" t="s">
        <v>72</v>
      </c>
      <c r="Z1" t="s">
        <v>82</v>
      </c>
      <c r="AA1" t="s">
        <v>92</v>
      </c>
      <c r="AB1" t="s">
        <v>13</v>
      </c>
      <c r="AC1" t="s">
        <v>23</v>
      </c>
      <c r="AD1" t="s">
        <v>33</v>
      </c>
      <c r="AE1" t="s">
        <v>43</v>
      </c>
      <c r="AF1" t="s">
        <v>53</v>
      </c>
      <c r="AG1" t="s">
        <v>63</v>
      </c>
      <c r="AH1" t="s">
        <v>73</v>
      </c>
      <c r="AI1" t="s">
        <v>83</v>
      </c>
      <c r="AJ1" t="s">
        <v>93</v>
      </c>
      <c r="AK1" t="s">
        <v>14</v>
      </c>
      <c r="AL1" t="s">
        <v>24</v>
      </c>
      <c r="AM1" t="s">
        <v>34</v>
      </c>
      <c r="AN1" t="s">
        <v>44</v>
      </c>
      <c r="AO1" t="s">
        <v>54</v>
      </c>
      <c r="AP1" t="s">
        <v>64</v>
      </c>
      <c r="AQ1" t="s">
        <v>74</v>
      </c>
      <c r="AR1" t="s">
        <v>84</v>
      </c>
      <c r="AS1" t="s">
        <v>94</v>
      </c>
      <c r="AT1" t="s">
        <v>15</v>
      </c>
      <c r="AU1" t="s">
        <v>25</v>
      </c>
      <c r="AV1" t="s">
        <v>35</v>
      </c>
      <c r="AW1" t="s">
        <v>45</v>
      </c>
      <c r="AX1" t="s">
        <v>55</v>
      </c>
      <c r="AY1" t="s">
        <v>65</v>
      </c>
      <c r="AZ1" t="s">
        <v>75</v>
      </c>
      <c r="BA1" t="s">
        <v>85</v>
      </c>
      <c r="BB1" t="s">
        <v>95</v>
      </c>
      <c r="BC1" t="s">
        <v>16</v>
      </c>
      <c r="BD1" t="s">
        <v>26</v>
      </c>
      <c r="BE1" t="s">
        <v>36</v>
      </c>
      <c r="BF1" t="s">
        <v>46</v>
      </c>
      <c r="BG1" t="s">
        <v>56</v>
      </c>
      <c r="BH1" t="s">
        <v>66</v>
      </c>
      <c r="BI1" t="s">
        <v>76</v>
      </c>
      <c r="BJ1" t="s">
        <v>86</v>
      </c>
      <c r="BK1" t="s">
        <v>96</v>
      </c>
      <c r="BL1" t="s">
        <v>17</v>
      </c>
      <c r="BM1" t="s">
        <v>27</v>
      </c>
      <c r="BN1" t="s">
        <v>37</v>
      </c>
      <c r="BO1" t="s">
        <v>47</v>
      </c>
      <c r="BP1" t="s">
        <v>57</v>
      </c>
      <c r="BQ1" t="s">
        <v>67</v>
      </c>
      <c r="BR1" t="s">
        <v>77</v>
      </c>
      <c r="BS1" t="s">
        <v>87</v>
      </c>
      <c r="BT1" t="s">
        <v>97</v>
      </c>
      <c r="BU1" t="s">
        <v>18</v>
      </c>
      <c r="BV1" t="s">
        <v>28</v>
      </c>
      <c r="BW1" t="s">
        <v>38</v>
      </c>
      <c r="BX1" t="s">
        <v>48</v>
      </c>
      <c r="BY1" t="s">
        <v>58</v>
      </c>
      <c r="BZ1" t="s">
        <v>68</v>
      </c>
      <c r="CA1" t="s">
        <v>78</v>
      </c>
      <c r="CB1" t="s">
        <v>88</v>
      </c>
      <c r="CC1" t="s">
        <v>98</v>
      </c>
      <c r="CD1" t="s">
        <v>19</v>
      </c>
      <c r="CE1" t="s">
        <v>29</v>
      </c>
      <c r="CF1" t="s">
        <v>39</v>
      </c>
      <c r="CG1" t="s">
        <v>49</v>
      </c>
      <c r="CH1" t="s">
        <v>59</v>
      </c>
      <c r="CI1" t="s">
        <v>69</v>
      </c>
      <c r="CJ1" t="s">
        <v>79</v>
      </c>
      <c r="CK1" t="s">
        <v>89</v>
      </c>
      <c r="CL1" t="s">
        <v>99</v>
      </c>
      <c r="CM1" t="s">
        <v>100</v>
      </c>
      <c r="CN1" t="s">
        <v>103</v>
      </c>
      <c r="CO1" t="s">
        <v>106</v>
      </c>
      <c r="CP1" t="s">
        <v>109</v>
      </c>
      <c r="CQ1" t="s">
        <v>112</v>
      </c>
      <c r="CR1" t="s">
        <v>115</v>
      </c>
      <c r="CS1" t="s">
        <v>118</v>
      </c>
      <c r="CT1" t="s">
        <v>121</v>
      </c>
      <c r="CU1" t="s">
        <v>124</v>
      </c>
      <c r="CV1" t="s">
        <v>101</v>
      </c>
      <c r="CW1" t="s">
        <v>104</v>
      </c>
      <c r="CX1" t="s">
        <v>107</v>
      </c>
      <c r="CY1" t="s">
        <v>110</v>
      </c>
      <c r="CZ1" t="s">
        <v>113</v>
      </c>
      <c r="DA1" t="s">
        <v>116</v>
      </c>
      <c r="DB1" t="s">
        <v>119</v>
      </c>
      <c r="DC1" t="s">
        <v>122</v>
      </c>
      <c r="DD1" t="s">
        <v>125</v>
      </c>
      <c r="DE1" t="s">
        <v>102</v>
      </c>
      <c r="DF1" t="s">
        <v>105</v>
      </c>
      <c r="DG1" t="s">
        <v>108</v>
      </c>
      <c r="DH1" t="s">
        <v>111</v>
      </c>
      <c r="DI1" t="s">
        <v>114</v>
      </c>
      <c r="DJ1" t="s">
        <v>117</v>
      </c>
      <c r="DK1" t="s">
        <v>120</v>
      </c>
      <c r="DL1" t="s">
        <v>123</v>
      </c>
      <c r="DM1" t="s">
        <v>126</v>
      </c>
      <c r="DN1" t="s">
        <v>2028</v>
      </c>
      <c r="DO1" t="s">
        <v>2030</v>
      </c>
      <c r="DP1" t="s">
        <v>2032</v>
      </c>
      <c r="DQ1" t="s">
        <v>2034</v>
      </c>
      <c r="DR1" t="s">
        <v>2036</v>
      </c>
      <c r="DS1" t="s">
        <v>2038</v>
      </c>
      <c r="DT1" t="s">
        <v>2040</v>
      </c>
      <c r="DU1" t="s">
        <v>2042</v>
      </c>
      <c r="DV1" t="s">
        <v>2044</v>
      </c>
      <c r="DW1" t="s">
        <v>2029</v>
      </c>
      <c r="DX1" t="s">
        <v>2031</v>
      </c>
      <c r="DY1" t="s">
        <v>2033</v>
      </c>
      <c r="DZ1" t="s">
        <v>2035</v>
      </c>
      <c r="EA1" t="s">
        <v>2037</v>
      </c>
      <c r="EB1" t="s">
        <v>2039</v>
      </c>
      <c r="EC1" t="s">
        <v>2041</v>
      </c>
      <c r="ED1" t="s">
        <v>2043</v>
      </c>
      <c r="EE1" t="s">
        <v>2045</v>
      </c>
    </row>
    <row r="2" spans="1:135" x14ac:dyDescent="0.3">
      <c r="A2" s="2">
        <v>45681</v>
      </c>
      <c r="B2" t="s">
        <v>197</v>
      </c>
      <c r="C2">
        <v>0</v>
      </c>
      <c r="D2">
        <v>-1.4E-3</v>
      </c>
      <c r="E2">
        <v>5.9957334838115024</v>
      </c>
      <c r="F2">
        <v>606.80236069123202</v>
      </c>
      <c r="G2">
        <v>0.42399999999999999</v>
      </c>
      <c r="H2">
        <v>0</v>
      </c>
      <c r="I2">
        <v>0</v>
      </c>
      <c r="J2" s="2">
        <v>45681</v>
      </c>
      <c r="K2" t="s">
        <v>322</v>
      </c>
      <c r="L2">
        <v>0</v>
      </c>
      <c r="M2">
        <v>5.0000000000000001E-4</v>
      </c>
      <c r="N2">
        <v>5.995734208849564</v>
      </c>
      <c r="O2">
        <v>606.80242826477934</v>
      </c>
      <c r="P2">
        <v>0.42399999999999999</v>
      </c>
      <c r="Q2">
        <v>0</v>
      </c>
      <c r="R2">
        <v>0</v>
      </c>
      <c r="S2" s="2">
        <v>45681</v>
      </c>
      <c r="T2" t="s">
        <v>442</v>
      </c>
      <c r="U2">
        <v>1</v>
      </c>
      <c r="V2">
        <v>2.9999999999999997E-4</v>
      </c>
      <c r="W2">
        <v>5.995735618646223</v>
      </c>
      <c r="X2">
        <v>606.80255965782794</v>
      </c>
      <c r="Y2">
        <v>0.42399999999999999</v>
      </c>
      <c r="Z2">
        <v>0</v>
      </c>
      <c r="AA2">
        <v>0</v>
      </c>
      <c r="AB2" s="2">
        <v>45681</v>
      </c>
      <c r="AC2" t="s">
        <v>562</v>
      </c>
      <c r="AD2">
        <v>1</v>
      </c>
      <c r="AE2">
        <v>1E-4</v>
      </c>
      <c r="AF2">
        <v>5.9957340074502161</v>
      </c>
      <c r="AG2">
        <v>606.80240949436018</v>
      </c>
      <c r="AH2">
        <v>0.42399999999999999</v>
      </c>
      <c r="AI2">
        <v>0</v>
      </c>
      <c r="AJ2">
        <v>0</v>
      </c>
      <c r="AK2" s="2">
        <v>45681</v>
      </c>
      <c r="AL2" t="s">
        <v>680</v>
      </c>
      <c r="AM2">
        <v>2</v>
      </c>
      <c r="AN2">
        <v>2.9999999999999997E-4</v>
      </c>
      <c r="AO2">
        <v>5.9957415800730312</v>
      </c>
      <c r="AP2">
        <v>606.8031152628065</v>
      </c>
      <c r="AQ2">
        <v>0.42399999999999999</v>
      </c>
      <c r="AR2">
        <v>0</v>
      </c>
      <c r="AS2">
        <v>0</v>
      </c>
      <c r="AT2" s="2">
        <v>45681</v>
      </c>
      <c r="AU2" t="s">
        <v>800</v>
      </c>
      <c r="AV2">
        <v>2</v>
      </c>
      <c r="AW2">
        <v>5.9999999999999995E-4</v>
      </c>
      <c r="AX2">
        <v>5.9957349741679016</v>
      </c>
      <c r="AY2">
        <v>606.8024995924485</v>
      </c>
      <c r="AZ2">
        <v>0.42399999999999999</v>
      </c>
      <c r="BA2">
        <v>0</v>
      </c>
      <c r="BB2">
        <v>0</v>
      </c>
      <c r="BC2" s="2">
        <v>45681</v>
      </c>
      <c r="BD2" t="s">
        <v>920</v>
      </c>
      <c r="BE2">
        <v>2</v>
      </c>
      <c r="BF2">
        <v>1.1000000000000001E-3</v>
      </c>
      <c r="BG2">
        <v>5.9957335643713243</v>
      </c>
      <c r="BH2">
        <v>606.8023681994074</v>
      </c>
      <c r="BI2">
        <v>0.42399999999999999</v>
      </c>
      <c r="BJ2">
        <v>0</v>
      </c>
      <c r="BK2">
        <v>0</v>
      </c>
      <c r="BL2" s="2">
        <v>45681</v>
      </c>
      <c r="BM2" t="s">
        <v>1040</v>
      </c>
      <c r="BN2">
        <v>3</v>
      </c>
      <c r="BO2">
        <v>6.9999999999999999E-4</v>
      </c>
      <c r="BP2">
        <v>5.995735940885587</v>
      </c>
      <c r="BQ2">
        <v>606.80258969053671</v>
      </c>
      <c r="BR2">
        <v>0.42399999999999999</v>
      </c>
      <c r="BS2">
        <v>0</v>
      </c>
      <c r="BT2">
        <v>0</v>
      </c>
      <c r="BU2" s="2">
        <v>45681</v>
      </c>
      <c r="BV2" t="s">
        <v>1160</v>
      </c>
      <c r="BW2">
        <v>3</v>
      </c>
      <c r="BX2">
        <v>8.9999999999999998E-4</v>
      </c>
      <c r="BY2">
        <v>5.9957356589260931</v>
      </c>
      <c r="BZ2">
        <v>606.80256341191193</v>
      </c>
      <c r="CA2">
        <v>0.42399999999999999</v>
      </c>
      <c r="CB2">
        <v>0</v>
      </c>
      <c r="CC2">
        <v>0</v>
      </c>
      <c r="CD2" s="2">
        <v>45681</v>
      </c>
      <c r="CE2" t="s">
        <v>1280</v>
      </c>
      <c r="CF2">
        <v>4</v>
      </c>
      <c r="CG2">
        <v>1.2999999999999999E-3</v>
      </c>
      <c r="CH2">
        <v>5.9957341685696948</v>
      </c>
      <c r="CI2">
        <v>606.80242451069557</v>
      </c>
      <c r="CJ2">
        <v>0.42399999999999999</v>
      </c>
      <c r="CK2">
        <v>0</v>
      </c>
      <c r="CL2">
        <v>0</v>
      </c>
      <c r="CM2" s="2">
        <v>45681</v>
      </c>
      <c r="CN2" t="s">
        <v>1400</v>
      </c>
      <c r="CO2">
        <v>4</v>
      </c>
      <c r="CP2">
        <v>1.5E-3</v>
      </c>
      <c r="CQ2">
        <v>5.9958066723766414</v>
      </c>
      <c r="CR2">
        <v>606.80918186550298</v>
      </c>
      <c r="CS2">
        <v>0.42399999999999999</v>
      </c>
      <c r="CT2">
        <v>0</v>
      </c>
      <c r="CU2">
        <v>0</v>
      </c>
      <c r="CV2" s="2">
        <v>45681</v>
      </c>
      <c r="CW2" t="s">
        <v>1520</v>
      </c>
      <c r="CX2">
        <v>4</v>
      </c>
      <c r="CY2">
        <v>1.8E-3</v>
      </c>
      <c r="CZ2">
        <v>5.9957363839641529</v>
      </c>
      <c r="DA2">
        <v>606.80263098545902</v>
      </c>
      <c r="DB2">
        <v>0.42399999999999999</v>
      </c>
      <c r="DC2">
        <v>0</v>
      </c>
      <c r="DD2">
        <v>0</v>
      </c>
      <c r="DE2" s="2">
        <v>45681</v>
      </c>
      <c r="DF2" t="s">
        <v>1640</v>
      </c>
      <c r="DG2">
        <v>5</v>
      </c>
      <c r="DH2">
        <v>1.6000000000000001E-3</v>
      </c>
      <c r="DI2">
        <v>5.9957503208100444</v>
      </c>
      <c r="DJ2">
        <v>606.8039298994961</v>
      </c>
      <c r="DK2">
        <v>0.42399999999999999</v>
      </c>
      <c r="DL2">
        <v>0</v>
      </c>
      <c r="DM2">
        <v>0</v>
      </c>
      <c r="DN2" s="2">
        <v>45681</v>
      </c>
      <c r="DO2" t="s">
        <v>1760</v>
      </c>
      <c r="DP2">
        <v>5</v>
      </c>
      <c r="DQ2">
        <v>1.9E-3</v>
      </c>
      <c r="DR2">
        <v>5.9957527778857482</v>
      </c>
      <c r="DS2">
        <v>606.80415889895175</v>
      </c>
      <c r="DT2">
        <v>0.42399999999999999</v>
      </c>
      <c r="DU2">
        <v>0</v>
      </c>
      <c r="DV2">
        <v>0</v>
      </c>
      <c r="DW2" s="2">
        <v>45681</v>
      </c>
      <c r="DX2" t="s">
        <v>1878</v>
      </c>
      <c r="DY2">
        <v>6</v>
      </c>
      <c r="DZ2">
        <v>2.2000000000000001E-3</v>
      </c>
      <c r="EA2">
        <v>5.9957488707331104</v>
      </c>
      <c r="EB2">
        <v>606.80379475232587</v>
      </c>
      <c r="EC2">
        <v>0.42399999999999999</v>
      </c>
      <c r="ED2">
        <v>0</v>
      </c>
      <c r="EE2">
        <v>0</v>
      </c>
    </row>
    <row r="3" spans="1:135" x14ac:dyDescent="0.3">
      <c r="A3" s="2">
        <v>45681</v>
      </c>
      <c r="B3" t="s">
        <v>198</v>
      </c>
      <c r="C3">
        <v>0</v>
      </c>
      <c r="D3">
        <v>-1.4E-3</v>
      </c>
      <c r="E3">
        <v>6.462532495647773</v>
      </c>
      <c r="F3">
        <v>753.29433383697369</v>
      </c>
      <c r="G3">
        <v>0.42399999999999999</v>
      </c>
      <c r="H3">
        <v>7.3000000000000001E-3</v>
      </c>
      <c r="I3">
        <v>0.19729000000000063</v>
      </c>
      <c r="J3" s="2">
        <v>45681</v>
      </c>
      <c r="K3" t="s">
        <v>323</v>
      </c>
      <c r="L3">
        <v>0</v>
      </c>
      <c r="M3">
        <v>2.0000000000000001E-4</v>
      </c>
      <c r="N3">
        <v>6.0289870807080996</v>
      </c>
      <c r="O3">
        <v>712.15087395919863</v>
      </c>
      <c r="P3">
        <v>0.42399999999999999</v>
      </c>
      <c r="Q3">
        <v>5.0000000000000001E-4</v>
      </c>
      <c r="R3">
        <v>0.19961999999999591</v>
      </c>
      <c r="S3" s="2">
        <v>45681</v>
      </c>
      <c r="T3" t="s">
        <v>443</v>
      </c>
      <c r="U3">
        <v>1</v>
      </c>
      <c r="V3">
        <v>-5.0000000000000001E-4</v>
      </c>
      <c r="W3">
        <v>6.0293691355222521</v>
      </c>
      <c r="X3">
        <v>712.18713096106171</v>
      </c>
      <c r="Y3">
        <v>0.42399999999999999</v>
      </c>
      <c r="Z3">
        <v>5.0000000000000001E-4</v>
      </c>
      <c r="AA3">
        <v>0.20009000000000299</v>
      </c>
      <c r="AB3" s="2">
        <v>45681</v>
      </c>
      <c r="AC3" t="s">
        <v>563</v>
      </c>
      <c r="AD3">
        <v>1</v>
      </c>
      <c r="AE3">
        <v>-5.9999999999999995E-4</v>
      </c>
      <c r="AF3">
        <v>6.0293547129276757</v>
      </c>
      <c r="AG3">
        <v>712.18576225683648</v>
      </c>
      <c r="AH3">
        <v>0.42399999999999999</v>
      </c>
      <c r="AI3">
        <v>5.0000000000000001E-4</v>
      </c>
      <c r="AJ3">
        <v>0.20085000000000264</v>
      </c>
      <c r="AK3" s="2">
        <v>45681</v>
      </c>
      <c r="AL3" t="s">
        <v>681</v>
      </c>
      <c r="AM3">
        <v>2</v>
      </c>
      <c r="AN3">
        <v>-2.9999999999999997E-4</v>
      </c>
      <c r="AO3">
        <v>6.0291238297732308</v>
      </c>
      <c r="AP3">
        <v>712.16385144547962</v>
      </c>
      <c r="AQ3">
        <v>0.42399999999999999</v>
      </c>
      <c r="AR3">
        <v>5.0000000000000001E-4</v>
      </c>
      <c r="AS3">
        <v>0.19789999999998997</v>
      </c>
      <c r="AT3" s="2">
        <v>45681</v>
      </c>
      <c r="AU3" t="s">
        <v>801</v>
      </c>
      <c r="AV3">
        <v>2</v>
      </c>
      <c r="AW3">
        <v>1E-4</v>
      </c>
      <c r="AX3">
        <v>6.0290055296272227</v>
      </c>
      <c r="AY3">
        <v>712.15262476162343</v>
      </c>
      <c r="AZ3">
        <v>0.42399999999999999</v>
      </c>
      <c r="BA3">
        <v>5.0000000000000001E-4</v>
      </c>
      <c r="BB3">
        <v>0.19930000000002224</v>
      </c>
      <c r="BC3" s="2">
        <v>45681</v>
      </c>
      <c r="BD3" t="s">
        <v>921</v>
      </c>
      <c r="BE3">
        <v>2</v>
      </c>
      <c r="BF3">
        <v>0</v>
      </c>
      <c r="BG3">
        <v>6.0291591138378928</v>
      </c>
      <c r="BH3">
        <v>712.1671999032161</v>
      </c>
      <c r="BI3">
        <v>0.42399999999999999</v>
      </c>
      <c r="BJ3">
        <v>5.0000000000000001E-4</v>
      </c>
      <c r="BK3">
        <v>0.20140000000000668</v>
      </c>
      <c r="BL3" s="2">
        <v>45681</v>
      </c>
      <c r="BM3" t="s">
        <v>1041</v>
      </c>
      <c r="BN3">
        <v>3</v>
      </c>
      <c r="BO3">
        <v>-1E-4</v>
      </c>
      <c r="BP3">
        <v>6.0283725695129933</v>
      </c>
      <c r="BQ3">
        <v>712.09255684678305</v>
      </c>
      <c r="BR3">
        <v>0.42399999999999999</v>
      </c>
      <c r="BS3">
        <v>5.0000000000000001E-4</v>
      </c>
      <c r="BT3">
        <v>0.19700000000000273</v>
      </c>
      <c r="BU3" s="2">
        <v>45681</v>
      </c>
      <c r="BV3" t="s">
        <v>1161</v>
      </c>
      <c r="BW3">
        <v>3</v>
      </c>
      <c r="BX3">
        <v>-2.9999999999999997E-4</v>
      </c>
      <c r="BY3">
        <v>6.0285469422090134</v>
      </c>
      <c r="BZ3">
        <v>712.10910481563542</v>
      </c>
      <c r="CA3">
        <v>0.42399999999999999</v>
      </c>
      <c r="CB3">
        <v>5.0000000000000001E-4</v>
      </c>
      <c r="CC3">
        <v>0.20079999999998677</v>
      </c>
      <c r="CD3" s="2">
        <v>45681</v>
      </c>
      <c r="CE3" t="s">
        <v>1281</v>
      </c>
      <c r="CF3">
        <v>4</v>
      </c>
      <c r="CG3">
        <v>6.9999999999999999E-4</v>
      </c>
      <c r="CH3">
        <v>6.028442294263157</v>
      </c>
      <c r="CI3">
        <v>712.09917372557368</v>
      </c>
      <c r="CJ3">
        <v>0.42399999999999999</v>
      </c>
      <c r="CK3">
        <v>5.0000000000000001E-4</v>
      </c>
      <c r="CL3">
        <v>0.19980000000001041</v>
      </c>
      <c r="CM3" s="2">
        <v>45681</v>
      </c>
      <c r="CN3" t="s">
        <v>1401</v>
      </c>
      <c r="CO3">
        <v>4</v>
      </c>
      <c r="CP3">
        <v>4.0000000000000002E-4</v>
      </c>
      <c r="CQ3">
        <v>6.0283188365292082</v>
      </c>
      <c r="CR3">
        <v>712.08745758662189</v>
      </c>
      <c r="CS3">
        <v>0.42399999999999999</v>
      </c>
      <c r="CT3">
        <v>5.0000000000000001E-4</v>
      </c>
      <c r="CU3">
        <v>0.18909999999999627</v>
      </c>
      <c r="CV3" s="2">
        <v>45681</v>
      </c>
      <c r="CW3" t="s">
        <v>1521</v>
      </c>
      <c r="CX3">
        <v>4</v>
      </c>
      <c r="CY3">
        <v>2.9999999999999997E-4</v>
      </c>
      <c r="CZ3">
        <v>6.0288747369274072</v>
      </c>
      <c r="DA3">
        <v>712.14021253441092</v>
      </c>
      <c r="DB3">
        <v>0.42399999999999999</v>
      </c>
      <c r="DC3">
        <v>5.0000000000000001E-4</v>
      </c>
      <c r="DD3">
        <v>0.19830000000001746</v>
      </c>
      <c r="DE3" s="2">
        <v>45681</v>
      </c>
      <c r="DF3" t="s">
        <v>1641</v>
      </c>
      <c r="DG3">
        <v>5</v>
      </c>
      <c r="DH3">
        <v>1E-3</v>
      </c>
      <c r="DI3">
        <v>6.0301788038440218</v>
      </c>
      <c r="DJ3">
        <v>712.26396848479772</v>
      </c>
      <c r="DK3">
        <v>0.42399999999999999</v>
      </c>
      <c r="DL3">
        <v>5.0000000000000001E-4</v>
      </c>
      <c r="DM3">
        <v>0.19959999999997535</v>
      </c>
      <c r="DN3" s="2">
        <v>45681</v>
      </c>
      <c r="DO3" t="s">
        <v>1761</v>
      </c>
      <c r="DP3">
        <v>5</v>
      </c>
      <c r="DQ3">
        <v>1.2999999999999999E-3</v>
      </c>
      <c r="DR3">
        <v>6.030195075385218</v>
      </c>
      <c r="DS3">
        <v>712.26551265405726</v>
      </c>
      <c r="DT3">
        <v>0.42399999999999999</v>
      </c>
      <c r="DU3">
        <v>5.0000000000000001E-4</v>
      </c>
      <c r="DV3">
        <v>0.19940000000002556</v>
      </c>
      <c r="DW3" s="2">
        <v>45681</v>
      </c>
      <c r="DX3" t="s">
        <v>1879</v>
      </c>
      <c r="DY3">
        <v>6</v>
      </c>
      <c r="DZ3">
        <v>1.1000000000000001E-3</v>
      </c>
      <c r="EA3">
        <v>6.0304654351718776</v>
      </c>
      <c r="EB3">
        <v>712.29116979781134</v>
      </c>
      <c r="EC3">
        <v>0.42399999999999999</v>
      </c>
      <c r="ED3">
        <v>5.0000000000000001E-4</v>
      </c>
      <c r="EE3">
        <v>0.20069999999998345</v>
      </c>
    </row>
    <row r="4" spans="1:135" x14ac:dyDescent="0.3">
      <c r="A4" s="2">
        <v>45681</v>
      </c>
      <c r="B4" t="s">
        <v>199</v>
      </c>
      <c r="C4">
        <v>0</v>
      </c>
      <c r="D4">
        <v>2.0000000000000001E-4</v>
      </c>
      <c r="E4">
        <v>6.2727322052491967</v>
      </c>
      <c r="F4">
        <v>632.6186415292251</v>
      </c>
      <c r="G4">
        <v>0.42399999999999999</v>
      </c>
      <c r="H4">
        <v>4.3E-3</v>
      </c>
      <c r="I4">
        <v>0.39896000000000065</v>
      </c>
      <c r="J4" s="2">
        <v>45681</v>
      </c>
      <c r="K4" t="s">
        <v>324</v>
      </c>
      <c r="L4">
        <v>0</v>
      </c>
      <c r="M4">
        <v>4.0000000000000002E-4</v>
      </c>
      <c r="N4">
        <v>6.1249220602460266</v>
      </c>
      <c r="O4">
        <v>721.25510351734795</v>
      </c>
      <c r="P4">
        <v>0.42399999999999999</v>
      </c>
      <c r="Q4">
        <v>2E-3</v>
      </c>
      <c r="R4">
        <v>0.39927999999999741</v>
      </c>
      <c r="S4" s="2">
        <v>45681</v>
      </c>
      <c r="T4" t="s">
        <v>444</v>
      </c>
      <c r="U4">
        <v>1</v>
      </c>
      <c r="V4">
        <v>-2.0000000000000001E-4</v>
      </c>
      <c r="W4">
        <v>6.1259197615733862</v>
      </c>
      <c r="X4">
        <v>721.34978537331438</v>
      </c>
      <c r="Y4">
        <v>0.42399999999999999</v>
      </c>
      <c r="Z4">
        <v>2E-3</v>
      </c>
      <c r="AA4">
        <v>0.40017999999999887</v>
      </c>
      <c r="AB4" s="2">
        <v>45681</v>
      </c>
      <c r="AC4" t="s">
        <v>564</v>
      </c>
      <c r="AD4">
        <v>1</v>
      </c>
      <c r="AE4">
        <v>-4.0000000000000002E-4</v>
      </c>
      <c r="AF4">
        <v>6.1249782179448973</v>
      </c>
      <c r="AG4">
        <v>721.2604328829708</v>
      </c>
      <c r="AH4">
        <v>0.42399999999999999</v>
      </c>
      <c r="AI4">
        <v>2E-3</v>
      </c>
      <c r="AJ4">
        <v>0.39947999999999695</v>
      </c>
      <c r="AK4" s="2">
        <v>45681</v>
      </c>
      <c r="AL4" t="s">
        <v>682</v>
      </c>
      <c r="AM4">
        <v>2</v>
      </c>
      <c r="AN4">
        <v>-1E-4</v>
      </c>
      <c r="AO4">
        <v>6.1252816722541699</v>
      </c>
      <c r="AP4">
        <v>721.28923069692075</v>
      </c>
      <c r="AQ4">
        <v>0.42399999999999999</v>
      </c>
      <c r="AR4">
        <v>2E-3</v>
      </c>
      <c r="AS4">
        <v>0.39770000000000039</v>
      </c>
      <c r="AT4" s="2">
        <v>45681</v>
      </c>
      <c r="AU4" t="s">
        <v>802</v>
      </c>
      <c r="AV4">
        <v>2</v>
      </c>
      <c r="AW4">
        <v>0</v>
      </c>
      <c r="AX4">
        <v>6.1252817128012449</v>
      </c>
      <c r="AY4">
        <v>721.28923454483822</v>
      </c>
      <c r="AZ4">
        <v>0.42399999999999999</v>
      </c>
      <c r="BA4">
        <v>2E-3</v>
      </c>
      <c r="BB4">
        <v>0.39950000000001751</v>
      </c>
      <c r="BC4" s="2">
        <v>45681</v>
      </c>
      <c r="BD4" t="s">
        <v>922</v>
      </c>
      <c r="BE4">
        <v>2</v>
      </c>
      <c r="BF4">
        <v>0</v>
      </c>
      <c r="BG4">
        <v>6.1244269804603224</v>
      </c>
      <c r="BH4">
        <v>721.20812044568459</v>
      </c>
      <c r="BI4">
        <v>0.42399999999999999</v>
      </c>
      <c r="BJ4">
        <v>2E-3</v>
      </c>
      <c r="BK4">
        <v>0.39970000000002415</v>
      </c>
      <c r="BL4" s="2">
        <v>45681</v>
      </c>
      <c r="BM4" t="s">
        <v>1042</v>
      </c>
      <c r="BN4">
        <v>3</v>
      </c>
      <c r="BO4">
        <v>1E-4</v>
      </c>
      <c r="BP4">
        <v>6.1248449802564604</v>
      </c>
      <c r="BQ4">
        <v>721.24778862633809</v>
      </c>
      <c r="BR4">
        <v>0.42399999999999999</v>
      </c>
      <c r="BS4">
        <v>2E-3</v>
      </c>
      <c r="BT4">
        <v>0.39840000000000941</v>
      </c>
      <c r="BU4" s="2">
        <v>45681</v>
      </c>
      <c r="BV4" t="s">
        <v>1162</v>
      </c>
      <c r="BW4">
        <v>3</v>
      </c>
      <c r="BX4">
        <v>-2.0000000000000001E-4</v>
      </c>
      <c r="BY4">
        <v>6.1245118049412159</v>
      </c>
      <c r="BZ4">
        <v>721.21617028892138</v>
      </c>
      <c r="CA4">
        <v>0.42399999999999999</v>
      </c>
      <c r="CB4">
        <v>2E-3</v>
      </c>
      <c r="CC4">
        <v>0.40109999999998536</v>
      </c>
      <c r="CD4" s="2">
        <v>45681</v>
      </c>
      <c r="CE4" t="s">
        <v>1282</v>
      </c>
      <c r="CF4">
        <v>4</v>
      </c>
      <c r="CG4">
        <v>5.0000000000000001E-4</v>
      </c>
      <c r="CH4">
        <v>6.1234903835749837</v>
      </c>
      <c r="CI4">
        <v>721.11923740126599</v>
      </c>
      <c r="CJ4">
        <v>0.42399999999999999</v>
      </c>
      <c r="CK4">
        <v>2E-3</v>
      </c>
      <c r="CL4">
        <v>0.39879999999999427</v>
      </c>
      <c r="CM4" s="2">
        <v>45681</v>
      </c>
      <c r="CN4" t="s">
        <v>1402</v>
      </c>
      <c r="CO4">
        <v>4</v>
      </c>
      <c r="CP4">
        <v>4.0000000000000002E-4</v>
      </c>
      <c r="CQ4">
        <v>6.1244997624599424</v>
      </c>
      <c r="CR4">
        <v>721.21502745744851</v>
      </c>
      <c r="CS4">
        <v>0.42399999999999999</v>
      </c>
      <c r="CT4">
        <v>2E-3</v>
      </c>
      <c r="CU4">
        <v>0.39009999999998968</v>
      </c>
      <c r="CV4" s="2">
        <v>45681</v>
      </c>
      <c r="CW4" t="s">
        <v>1522</v>
      </c>
      <c r="CX4">
        <v>4</v>
      </c>
      <c r="CY4">
        <v>2.9999999999999997E-4</v>
      </c>
      <c r="CZ4">
        <v>6.1241669926154474</v>
      </c>
      <c r="DA4">
        <v>721.18344759920592</v>
      </c>
      <c r="DB4">
        <v>0.42399999999999999</v>
      </c>
      <c r="DC4">
        <v>2E-3</v>
      </c>
      <c r="DD4">
        <v>0.3971000000000231</v>
      </c>
      <c r="DE4" s="2">
        <v>45681</v>
      </c>
      <c r="DF4" t="s">
        <v>1642</v>
      </c>
      <c r="DG4">
        <v>5</v>
      </c>
      <c r="DH4">
        <v>1E-3</v>
      </c>
      <c r="DI4">
        <v>6.1292119813277104</v>
      </c>
      <c r="DJ4">
        <v>721.66221702799976</v>
      </c>
      <c r="DK4">
        <v>0.42399999999999999</v>
      </c>
      <c r="DL4">
        <v>2.0999999999999999E-3</v>
      </c>
      <c r="DM4">
        <v>0.40249999999997499</v>
      </c>
      <c r="DN4" s="2">
        <v>45681</v>
      </c>
      <c r="DO4" t="s">
        <v>1762</v>
      </c>
      <c r="DP4">
        <v>5</v>
      </c>
      <c r="DQ4">
        <v>1.2999999999999999E-3</v>
      </c>
      <c r="DR4">
        <v>6.1263646846273208</v>
      </c>
      <c r="DS4">
        <v>721.39200857113281</v>
      </c>
      <c r="DT4">
        <v>0.42399999999999999</v>
      </c>
      <c r="DU4">
        <v>2E-3</v>
      </c>
      <c r="DV4">
        <v>0.39769999999998618</v>
      </c>
      <c r="DW4" s="2">
        <v>45681</v>
      </c>
      <c r="DX4" t="s">
        <v>1880</v>
      </c>
      <c r="DY4">
        <v>6</v>
      </c>
      <c r="DZ4">
        <v>1.1999999999999999E-3</v>
      </c>
      <c r="EA4">
        <v>6.1279963394722454</v>
      </c>
      <c r="EB4">
        <v>721.54685261591612</v>
      </c>
      <c r="EC4">
        <v>0.42399999999999999</v>
      </c>
      <c r="ED4">
        <v>2.0999999999999999E-3</v>
      </c>
      <c r="EE4">
        <v>0.40080000000000382</v>
      </c>
    </row>
    <row r="5" spans="1:135" x14ac:dyDescent="0.3">
      <c r="A5" s="2">
        <v>45681</v>
      </c>
      <c r="B5" t="s">
        <v>200</v>
      </c>
      <c r="C5">
        <v>0</v>
      </c>
      <c r="D5">
        <v>5.0000000000000001E-4</v>
      </c>
      <c r="E5">
        <v>6.1245137106537406</v>
      </c>
      <c r="F5">
        <v>618.80467783292863</v>
      </c>
      <c r="G5">
        <v>0.42399999999999999</v>
      </c>
      <c r="H5">
        <v>2E-3</v>
      </c>
      <c r="I5">
        <v>0.59758000000000067</v>
      </c>
      <c r="J5" s="2">
        <v>45681</v>
      </c>
      <c r="K5" t="s">
        <v>325</v>
      </c>
      <c r="L5">
        <v>0</v>
      </c>
      <c r="M5">
        <v>1.1999999999999999E-3</v>
      </c>
      <c r="N5">
        <v>6.2762432170202009</v>
      </c>
      <c r="O5">
        <v>735.61548129521714</v>
      </c>
      <c r="P5">
        <v>0.42399999999999999</v>
      </c>
      <c r="Q5">
        <v>4.4000000000000003E-3</v>
      </c>
      <c r="R5">
        <v>0.60134000000000043</v>
      </c>
      <c r="S5" s="2">
        <v>45681</v>
      </c>
      <c r="T5" t="s">
        <v>445</v>
      </c>
      <c r="U5">
        <v>1</v>
      </c>
      <c r="V5">
        <v>6.9999999999999999E-4</v>
      </c>
      <c r="W5">
        <v>6.276826851617697</v>
      </c>
      <c r="X5">
        <v>735.67086821851944</v>
      </c>
      <c r="Y5">
        <v>0.42399999999999999</v>
      </c>
      <c r="Z5">
        <v>4.4000000000000003E-3</v>
      </c>
      <c r="AA5">
        <v>0.60132000000000119</v>
      </c>
      <c r="AB5" s="2">
        <v>45681</v>
      </c>
      <c r="AC5" t="s">
        <v>565</v>
      </c>
      <c r="AD5">
        <v>1</v>
      </c>
      <c r="AE5">
        <v>5.0000000000000001E-4</v>
      </c>
      <c r="AF5">
        <v>6.2756476210355796</v>
      </c>
      <c r="AG5">
        <v>735.55895923627668</v>
      </c>
      <c r="AH5">
        <v>0.42399999999999999</v>
      </c>
      <c r="AI5">
        <v>4.3E-3</v>
      </c>
      <c r="AJ5">
        <v>0.60076000000000818</v>
      </c>
      <c r="AK5" s="2">
        <v>45681</v>
      </c>
      <c r="AL5" t="s">
        <v>683</v>
      </c>
      <c r="AM5">
        <v>2</v>
      </c>
      <c r="AN5">
        <v>5.9999999999999995E-4</v>
      </c>
      <c r="AO5">
        <v>6.274520290709459</v>
      </c>
      <c r="AP5">
        <v>735.45197558832774</v>
      </c>
      <c r="AQ5">
        <v>0.42399999999999999</v>
      </c>
      <c r="AR5">
        <v>4.3E-3</v>
      </c>
      <c r="AS5">
        <v>0.59720000000000084</v>
      </c>
      <c r="AT5" s="2">
        <v>45681</v>
      </c>
      <c r="AU5" t="s">
        <v>803</v>
      </c>
      <c r="AV5">
        <v>2</v>
      </c>
      <c r="AW5">
        <v>5.9999999999999995E-4</v>
      </c>
      <c r="AX5">
        <v>6.275597585945035</v>
      </c>
      <c r="AY5">
        <v>735.55421090618381</v>
      </c>
      <c r="AZ5">
        <v>0.42399999999999999</v>
      </c>
      <c r="BA5">
        <v>4.3E-3</v>
      </c>
      <c r="BB5">
        <v>0.60020000000000095</v>
      </c>
      <c r="BC5" s="2">
        <v>45681</v>
      </c>
      <c r="BD5" t="s">
        <v>923</v>
      </c>
      <c r="BE5">
        <v>2</v>
      </c>
      <c r="BF5">
        <v>5.9999999999999995E-4</v>
      </c>
      <c r="BG5">
        <v>6.275238379407643</v>
      </c>
      <c r="BH5">
        <v>735.52012220578536</v>
      </c>
      <c r="BI5">
        <v>0.42399999999999999</v>
      </c>
      <c r="BJ5">
        <v>4.3E-3</v>
      </c>
      <c r="BK5">
        <v>0.60140000000001237</v>
      </c>
      <c r="BL5" s="2">
        <v>45681</v>
      </c>
      <c r="BM5" t="s">
        <v>1043</v>
      </c>
      <c r="BN5">
        <v>3</v>
      </c>
      <c r="BO5">
        <v>1E-3</v>
      </c>
      <c r="BP5">
        <v>6.2738281521392727</v>
      </c>
      <c r="BQ5">
        <v>735.38629163801704</v>
      </c>
      <c r="BR5">
        <v>0.42399999999999999</v>
      </c>
      <c r="BS5">
        <v>4.3E-3</v>
      </c>
      <c r="BT5">
        <v>0.59770000000000323</v>
      </c>
      <c r="BU5" s="2">
        <v>45681</v>
      </c>
      <c r="BV5" t="s">
        <v>1163</v>
      </c>
      <c r="BW5">
        <v>3</v>
      </c>
      <c r="BX5">
        <v>6.9999999999999999E-4</v>
      </c>
      <c r="BY5">
        <v>6.2742034558654378</v>
      </c>
      <c r="BZ5">
        <v>735.42190796163004</v>
      </c>
      <c r="CA5">
        <v>0.42399999999999999</v>
      </c>
      <c r="CB5">
        <v>4.3E-3</v>
      </c>
      <c r="CC5">
        <v>0.60149999999998727</v>
      </c>
      <c r="CD5" s="2">
        <v>45681</v>
      </c>
      <c r="CE5" t="s">
        <v>1283</v>
      </c>
      <c r="CF5">
        <v>4</v>
      </c>
      <c r="CG5">
        <v>8.0000000000000004E-4</v>
      </c>
      <c r="CH5">
        <v>6.2737782386899523</v>
      </c>
      <c r="CI5">
        <v>735.38155485167647</v>
      </c>
      <c r="CJ5">
        <v>0.42399999999999999</v>
      </c>
      <c r="CK5">
        <v>4.3E-3</v>
      </c>
      <c r="CL5">
        <v>0.60030000000000427</v>
      </c>
      <c r="CM5" s="2">
        <v>45681</v>
      </c>
      <c r="CN5" t="s">
        <v>1403</v>
      </c>
      <c r="CO5">
        <v>4</v>
      </c>
      <c r="CP5">
        <v>6.9999999999999999E-4</v>
      </c>
      <c r="CQ5">
        <v>6.2722875660247874</v>
      </c>
      <c r="CR5">
        <v>735.24009001575234</v>
      </c>
      <c r="CS5">
        <v>0.42399999999999999</v>
      </c>
      <c r="CT5">
        <v>4.3E-3</v>
      </c>
      <c r="CU5">
        <v>0.5882000000000005</v>
      </c>
      <c r="CV5" s="2">
        <v>45681</v>
      </c>
      <c r="CW5" t="s">
        <v>1523</v>
      </c>
      <c r="CX5">
        <v>4</v>
      </c>
      <c r="CY5">
        <v>5.9999999999999995E-4</v>
      </c>
      <c r="CZ5">
        <v>6.2736116307587908</v>
      </c>
      <c r="DA5">
        <v>735.36574375900932</v>
      </c>
      <c r="DB5">
        <v>0.42399999999999999</v>
      </c>
      <c r="DC5">
        <v>4.3E-3</v>
      </c>
      <c r="DD5">
        <v>0.59730000000001837</v>
      </c>
      <c r="DE5" s="2">
        <v>45681</v>
      </c>
      <c r="DF5" t="s">
        <v>1643</v>
      </c>
      <c r="DG5">
        <v>5</v>
      </c>
      <c r="DH5">
        <v>1.2999999999999999E-3</v>
      </c>
      <c r="DI5">
        <v>6.2761747735576066</v>
      </c>
      <c r="DJ5">
        <v>735.60898601061695</v>
      </c>
      <c r="DK5">
        <v>0.42399999999999999</v>
      </c>
      <c r="DL5">
        <v>4.4000000000000003E-3</v>
      </c>
      <c r="DM5">
        <v>0.59769999999997481</v>
      </c>
      <c r="DN5" s="2">
        <v>45681</v>
      </c>
      <c r="DO5" t="s">
        <v>1763</v>
      </c>
      <c r="DP5">
        <v>5</v>
      </c>
      <c r="DQ5">
        <v>1.5E-3</v>
      </c>
      <c r="DR5">
        <v>6.2767855746953503</v>
      </c>
      <c r="DS5">
        <v>735.66695103858876</v>
      </c>
      <c r="DT5">
        <v>0.42399999999999999</v>
      </c>
      <c r="DU5">
        <v>4.4000000000000003E-3</v>
      </c>
      <c r="DV5">
        <v>0.59809999999998809</v>
      </c>
      <c r="DW5" s="2">
        <v>45681</v>
      </c>
      <c r="DX5" t="s">
        <v>1881</v>
      </c>
      <c r="DY5">
        <v>6</v>
      </c>
      <c r="DZ5">
        <v>1.2999999999999999E-3</v>
      </c>
      <c r="EA5">
        <v>6.2772125759421371</v>
      </c>
      <c r="EB5">
        <v>735.70747345690882</v>
      </c>
      <c r="EC5">
        <v>0.42399999999999999</v>
      </c>
      <c r="ED5">
        <v>4.4000000000000003E-3</v>
      </c>
      <c r="EE5">
        <v>0.59910000000002128</v>
      </c>
    </row>
    <row r="6" spans="1:135" x14ac:dyDescent="0.3">
      <c r="A6" s="2">
        <v>45681</v>
      </c>
      <c r="B6" t="s">
        <v>201</v>
      </c>
      <c r="C6">
        <v>0</v>
      </c>
      <c r="D6">
        <v>4.0000000000000002E-4</v>
      </c>
      <c r="E6">
        <v>6.0283803464419776</v>
      </c>
      <c r="F6">
        <v>609.84504828839238</v>
      </c>
      <c r="G6">
        <v>0.42399999999999999</v>
      </c>
      <c r="H6">
        <v>5.0000000000000001E-4</v>
      </c>
      <c r="I6">
        <v>0.79844000000000115</v>
      </c>
      <c r="J6" s="2">
        <v>45681</v>
      </c>
      <c r="K6" t="s">
        <v>326</v>
      </c>
      <c r="L6">
        <v>0</v>
      </c>
      <c r="M6">
        <v>3.5000000000000001E-3</v>
      </c>
      <c r="N6">
        <v>6.4640838267371317</v>
      </c>
      <c r="O6">
        <v>753.44155515735383</v>
      </c>
      <c r="P6">
        <v>0.42399999999999999</v>
      </c>
      <c r="Q6">
        <v>7.3000000000000001E-3</v>
      </c>
      <c r="R6">
        <v>0.80046000000000106</v>
      </c>
      <c r="S6" s="2">
        <v>45681</v>
      </c>
      <c r="T6" t="s">
        <v>446</v>
      </c>
      <c r="U6">
        <v>1</v>
      </c>
      <c r="V6">
        <v>3.0000000000000001E-3</v>
      </c>
      <c r="W6">
        <v>6.4639050141363974</v>
      </c>
      <c r="X6">
        <v>753.42458584154406</v>
      </c>
      <c r="Y6">
        <v>0.42399999999999999</v>
      </c>
      <c r="Z6">
        <v>7.3000000000000001E-3</v>
      </c>
      <c r="AA6">
        <v>0.79959000000000202</v>
      </c>
      <c r="AB6" s="2">
        <v>45681</v>
      </c>
      <c r="AC6" t="s">
        <v>566</v>
      </c>
      <c r="AD6">
        <v>1</v>
      </c>
      <c r="AE6">
        <v>2.7000000000000001E-3</v>
      </c>
      <c r="AF6">
        <v>6.4650091109885466</v>
      </c>
      <c r="AG6">
        <v>753.5293646328131</v>
      </c>
      <c r="AH6">
        <v>0.42399999999999999</v>
      </c>
      <c r="AI6">
        <v>7.3000000000000001E-3</v>
      </c>
      <c r="AJ6">
        <v>0.80149000000000115</v>
      </c>
      <c r="AK6" s="2">
        <v>45681</v>
      </c>
      <c r="AL6" t="s">
        <v>684</v>
      </c>
      <c r="AM6">
        <v>2</v>
      </c>
      <c r="AN6">
        <v>2.8999999999999998E-3</v>
      </c>
      <c r="AO6">
        <v>6.4645578220438384</v>
      </c>
      <c r="AP6">
        <v>753.48653731196021</v>
      </c>
      <c r="AQ6">
        <v>0.42399999999999999</v>
      </c>
      <c r="AR6">
        <v>7.3000000000000001E-3</v>
      </c>
      <c r="AS6">
        <v>0.79869999999999663</v>
      </c>
      <c r="AT6" s="2">
        <v>45681</v>
      </c>
      <c r="AU6" t="s">
        <v>804</v>
      </c>
      <c r="AV6">
        <v>2</v>
      </c>
      <c r="AW6">
        <v>2.3999999999999998E-3</v>
      </c>
      <c r="AX6">
        <v>6.4628799840804918</v>
      </c>
      <c r="AY6">
        <v>753.3273104892387</v>
      </c>
      <c r="AZ6">
        <v>0.42399999999999999</v>
      </c>
      <c r="BA6">
        <v>7.3000000000000001E-3</v>
      </c>
      <c r="BB6">
        <v>0.79890000000000327</v>
      </c>
      <c r="BC6" s="2">
        <v>45681</v>
      </c>
      <c r="BD6" t="s">
        <v>924</v>
      </c>
      <c r="BE6">
        <v>2</v>
      </c>
      <c r="BF6">
        <v>2.0999999999999999E-3</v>
      </c>
      <c r="BG6">
        <v>6.4615463907838624</v>
      </c>
      <c r="BH6">
        <v>753.20075248538853</v>
      </c>
      <c r="BI6">
        <v>0.42399999999999999</v>
      </c>
      <c r="BJ6">
        <v>7.1999999999999998E-3</v>
      </c>
      <c r="BK6">
        <v>0.79920000000001323</v>
      </c>
      <c r="BL6" s="2">
        <v>45681</v>
      </c>
      <c r="BM6" t="s">
        <v>1044</v>
      </c>
      <c r="BN6">
        <v>3</v>
      </c>
      <c r="BO6">
        <v>2.8E-3</v>
      </c>
      <c r="BP6">
        <v>6.4620074110265717</v>
      </c>
      <c r="BQ6">
        <v>753.24450330642173</v>
      </c>
      <c r="BR6">
        <v>0.42399999999999999</v>
      </c>
      <c r="BS6">
        <v>7.1999999999999998E-3</v>
      </c>
      <c r="BT6">
        <v>0.79759999999998854</v>
      </c>
      <c r="BU6" s="2">
        <v>45681</v>
      </c>
      <c r="BV6" t="s">
        <v>1164</v>
      </c>
      <c r="BW6">
        <v>3</v>
      </c>
      <c r="BX6">
        <v>2.5999999999999999E-3</v>
      </c>
      <c r="BY6">
        <v>6.4611348379726516</v>
      </c>
      <c r="BZ6">
        <v>753.16169612360466</v>
      </c>
      <c r="CA6">
        <v>0.42399999999999999</v>
      </c>
      <c r="CB6">
        <v>7.1999999999999998E-3</v>
      </c>
      <c r="CC6">
        <v>0.80009999999998627</v>
      </c>
      <c r="CD6" s="2">
        <v>45681</v>
      </c>
      <c r="CE6" t="s">
        <v>1284</v>
      </c>
      <c r="CF6">
        <v>4</v>
      </c>
      <c r="CG6">
        <v>2.3E-3</v>
      </c>
      <c r="CH6">
        <v>6.4619879484305738</v>
      </c>
      <c r="CI6">
        <v>753.24265630606146</v>
      </c>
      <c r="CJ6">
        <v>0.42399999999999999</v>
      </c>
      <c r="CK6">
        <v>7.1999999999999998E-3</v>
      </c>
      <c r="CL6">
        <v>0.80019999999998959</v>
      </c>
      <c r="CM6" s="2">
        <v>45681</v>
      </c>
      <c r="CN6" t="s">
        <v>1404</v>
      </c>
      <c r="CO6">
        <v>4</v>
      </c>
      <c r="CP6">
        <v>2E-3</v>
      </c>
      <c r="CQ6">
        <v>6.4611741686353978</v>
      </c>
      <c r="CR6">
        <v>753.16542860349932</v>
      </c>
      <c r="CS6">
        <v>0.42399999999999999</v>
      </c>
      <c r="CT6">
        <v>7.1999999999999998E-3</v>
      </c>
      <c r="CU6">
        <v>0.78909999999999059</v>
      </c>
      <c r="CV6" s="2">
        <v>45681</v>
      </c>
      <c r="CW6" t="s">
        <v>1524</v>
      </c>
      <c r="CX6">
        <v>4</v>
      </c>
      <c r="CY6">
        <v>2.0999999999999999E-3</v>
      </c>
      <c r="CZ6">
        <v>6.4625957490847679</v>
      </c>
      <c r="DA6">
        <v>753.30033658814455</v>
      </c>
      <c r="DB6">
        <v>0.42399999999999999</v>
      </c>
      <c r="DC6">
        <v>7.3000000000000001E-3</v>
      </c>
      <c r="DD6">
        <v>0.79800000000000182</v>
      </c>
      <c r="DE6" s="2">
        <v>45681</v>
      </c>
      <c r="DF6" t="s">
        <v>1644</v>
      </c>
      <c r="DG6">
        <v>5</v>
      </c>
      <c r="DH6">
        <v>2.5000000000000001E-3</v>
      </c>
      <c r="DI6">
        <v>6.4662571499569328</v>
      </c>
      <c r="DJ6">
        <v>753.64780353091294</v>
      </c>
      <c r="DK6">
        <v>0.42399999999999999</v>
      </c>
      <c r="DL6">
        <v>7.3000000000000001E-3</v>
      </c>
      <c r="DM6">
        <v>0.79899999999997817</v>
      </c>
      <c r="DN6" s="2">
        <v>45681</v>
      </c>
      <c r="DO6" t="s">
        <v>1764</v>
      </c>
      <c r="DP6">
        <v>5</v>
      </c>
      <c r="DQ6">
        <v>2.3999999999999998E-3</v>
      </c>
      <c r="DR6">
        <v>6.4670924197018564</v>
      </c>
      <c r="DS6">
        <v>753.72707062970619</v>
      </c>
      <c r="DT6">
        <v>0.42399999999999999</v>
      </c>
      <c r="DU6">
        <v>7.3000000000000001E-3</v>
      </c>
      <c r="DV6">
        <v>0.79959999999999809</v>
      </c>
      <c r="DW6" s="2">
        <v>45681</v>
      </c>
      <c r="DX6" t="s">
        <v>1882</v>
      </c>
      <c r="DY6">
        <v>6</v>
      </c>
      <c r="DZ6">
        <v>2.2000000000000001E-3</v>
      </c>
      <c r="EA6">
        <v>6.466846704427379</v>
      </c>
      <c r="EB6">
        <v>753.70375225015835</v>
      </c>
      <c r="EC6">
        <v>0.42399999999999999</v>
      </c>
      <c r="ED6">
        <v>7.3000000000000001E-3</v>
      </c>
      <c r="EE6">
        <v>0.79980000000000473</v>
      </c>
    </row>
    <row r="7" spans="1:135" x14ac:dyDescent="0.3">
      <c r="A7" s="2">
        <v>45681</v>
      </c>
      <c r="B7" t="s">
        <v>202</v>
      </c>
      <c r="C7">
        <v>0</v>
      </c>
      <c r="D7">
        <v>4.0000000000000002E-4</v>
      </c>
      <c r="E7">
        <v>5.995733886610525</v>
      </c>
      <c r="F7">
        <v>606.80239823210093</v>
      </c>
      <c r="G7">
        <v>0.42399999999999999</v>
      </c>
      <c r="H7">
        <v>0</v>
      </c>
      <c r="I7">
        <v>0.99780999999999942</v>
      </c>
      <c r="J7" s="2">
        <v>45681</v>
      </c>
      <c r="K7" t="s">
        <v>327</v>
      </c>
      <c r="L7">
        <v>0</v>
      </c>
      <c r="M7">
        <v>6.1000000000000004E-3</v>
      </c>
      <c r="N7">
        <v>6.6721077567103402</v>
      </c>
      <c r="O7">
        <v>773.18302611181127</v>
      </c>
      <c r="P7">
        <v>0.42399999999999999</v>
      </c>
      <c r="Q7">
        <v>1.0500000000000001E-2</v>
      </c>
      <c r="R7">
        <v>0.99962999999999624</v>
      </c>
      <c r="S7" s="2">
        <v>45681</v>
      </c>
      <c r="T7" t="s">
        <v>447</v>
      </c>
      <c r="U7">
        <v>1</v>
      </c>
      <c r="V7">
        <v>6.1999999999999998E-3</v>
      </c>
      <c r="W7">
        <v>6.6739173726674226</v>
      </c>
      <c r="X7">
        <v>773.35475866613854</v>
      </c>
      <c r="Y7">
        <v>0.42399999999999999</v>
      </c>
      <c r="Z7">
        <v>1.0500000000000001E-2</v>
      </c>
      <c r="AA7">
        <v>1.0006500000000074</v>
      </c>
      <c r="AB7" s="2">
        <v>45681</v>
      </c>
      <c r="AC7" t="s">
        <v>567</v>
      </c>
      <c r="AD7">
        <v>1</v>
      </c>
      <c r="AE7">
        <v>6.0000000000000001E-3</v>
      </c>
      <c r="AF7">
        <v>6.6727625919715301</v>
      </c>
      <c r="AG7">
        <v>773.24516997809826</v>
      </c>
      <c r="AH7">
        <v>0.42399999999999999</v>
      </c>
      <c r="AI7">
        <v>1.0500000000000001E-2</v>
      </c>
      <c r="AJ7">
        <v>1.0003700000000038</v>
      </c>
      <c r="AK7" s="2">
        <v>45681</v>
      </c>
      <c r="AL7" t="s">
        <v>685</v>
      </c>
      <c r="AM7">
        <v>2</v>
      </c>
      <c r="AN7">
        <v>5.7000000000000002E-3</v>
      </c>
      <c r="AO7">
        <v>6.6718656906726119</v>
      </c>
      <c r="AP7">
        <v>773.16005404483087</v>
      </c>
      <c r="AQ7">
        <v>0.42399999999999999</v>
      </c>
      <c r="AR7">
        <v>1.0500000000000001E-2</v>
      </c>
      <c r="AS7">
        <v>0.99719999999999231</v>
      </c>
      <c r="AT7" s="2">
        <v>45681</v>
      </c>
      <c r="AU7" t="s">
        <v>805</v>
      </c>
      <c r="AV7">
        <v>2</v>
      </c>
      <c r="AW7">
        <v>5.8999999999999999E-3</v>
      </c>
      <c r="AX7">
        <v>6.671566453259139</v>
      </c>
      <c r="AY7">
        <v>773.13165641429237</v>
      </c>
      <c r="AZ7">
        <v>0.42399999999999999</v>
      </c>
      <c r="BA7">
        <v>1.0500000000000001E-2</v>
      </c>
      <c r="BB7">
        <v>0.99870000000001369</v>
      </c>
      <c r="BC7" s="2">
        <v>45681</v>
      </c>
      <c r="BD7" t="s">
        <v>925</v>
      </c>
      <c r="BE7">
        <v>2</v>
      </c>
      <c r="BF7">
        <v>5.5999999999999999E-3</v>
      </c>
      <c r="BG7">
        <v>6.671607811275635</v>
      </c>
      <c r="BH7">
        <v>773.13558129005776</v>
      </c>
      <c r="BI7">
        <v>0.42399999999999999</v>
      </c>
      <c r="BJ7">
        <v>1.0500000000000001E-2</v>
      </c>
      <c r="BK7">
        <v>1.0004000000000133</v>
      </c>
      <c r="BL7" s="2">
        <v>45681</v>
      </c>
      <c r="BM7" t="s">
        <v>1045</v>
      </c>
      <c r="BN7">
        <v>3</v>
      </c>
      <c r="BO7">
        <v>5.7999999999999996E-3</v>
      </c>
      <c r="BP7">
        <v>6.6722573754170753</v>
      </c>
      <c r="BQ7">
        <v>773.19722492708047</v>
      </c>
      <c r="BR7">
        <v>0.42399999999999999</v>
      </c>
      <c r="BS7">
        <v>1.0500000000000001E-2</v>
      </c>
      <c r="BT7">
        <v>0.99899999999999523</v>
      </c>
      <c r="BU7" s="2">
        <v>45681</v>
      </c>
      <c r="BV7" t="s">
        <v>1165</v>
      </c>
      <c r="BW7">
        <v>3</v>
      </c>
      <c r="BX7">
        <v>5.4999999999999997E-3</v>
      </c>
      <c r="BY7">
        <v>6.6704943885962376</v>
      </c>
      <c r="BZ7">
        <v>773.02991747778299</v>
      </c>
      <c r="CA7">
        <v>0.42399999999999999</v>
      </c>
      <c r="CB7">
        <v>1.0500000000000001E-2</v>
      </c>
      <c r="CC7">
        <v>1.0005999999999915</v>
      </c>
      <c r="CD7" s="2">
        <v>45681</v>
      </c>
      <c r="CE7" t="s">
        <v>1285</v>
      </c>
      <c r="CF7">
        <v>4</v>
      </c>
      <c r="CG7">
        <v>5.3E-3</v>
      </c>
      <c r="CH7">
        <v>6.6710202841589394</v>
      </c>
      <c r="CI7">
        <v>773.07982496668342</v>
      </c>
      <c r="CJ7">
        <v>0.42399999999999999</v>
      </c>
      <c r="CK7">
        <v>1.0500000000000001E-2</v>
      </c>
      <c r="CL7">
        <v>1.0004000000000133</v>
      </c>
      <c r="CM7" s="2">
        <v>45681</v>
      </c>
      <c r="CN7" t="s">
        <v>1405</v>
      </c>
      <c r="CO7">
        <v>4</v>
      </c>
      <c r="CP7">
        <v>4.8999999999999998E-3</v>
      </c>
      <c r="CQ7">
        <v>6.6707007732079679</v>
      </c>
      <c r="CR7">
        <v>773.04950337743617</v>
      </c>
      <c r="CS7">
        <v>0.42399999999999999</v>
      </c>
      <c r="CT7">
        <v>1.0500000000000001E-2</v>
      </c>
      <c r="CU7">
        <v>0.98980000000000246</v>
      </c>
      <c r="CV7" s="2">
        <v>45681</v>
      </c>
      <c r="CW7" t="s">
        <v>1525</v>
      </c>
      <c r="CX7">
        <v>4</v>
      </c>
      <c r="CY7">
        <v>6.1000000000000004E-3</v>
      </c>
      <c r="CZ7">
        <v>6.6718247381268663</v>
      </c>
      <c r="DA7">
        <v>773.1561676482396</v>
      </c>
      <c r="DB7">
        <v>0.42399999999999999</v>
      </c>
      <c r="DC7">
        <v>1.0500000000000001E-2</v>
      </c>
      <c r="DD7">
        <v>0.99840000000000373</v>
      </c>
      <c r="DE7" s="2">
        <v>45681</v>
      </c>
      <c r="DF7" t="s">
        <v>1645</v>
      </c>
      <c r="DG7">
        <v>5</v>
      </c>
      <c r="DH7">
        <v>4.5999999999999999E-3</v>
      </c>
      <c r="DI7">
        <v>6.6725570183012994</v>
      </c>
      <c r="DJ7">
        <v>773.22566103679333</v>
      </c>
      <c r="DK7">
        <v>0.42399999999999999</v>
      </c>
      <c r="DL7">
        <v>1.0500000000000001E-2</v>
      </c>
      <c r="DM7">
        <v>0.99649999999996908</v>
      </c>
      <c r="DN7" s="2">
        <v>45681</v>
      </c>
      <c r="DO7" t="s">
        <v>1765</v>
      </c>
      <c r="DP7">
        <v>5</v>
      </c>
      <c r="DQ7">
        <v>4.5999999999999999E-3</v>
      </c>
      <c r="DR7">
        <v>6.6734539196002149</v>
      </c>
      <c r="DS7">
        <v>773.31077697006049</v>
      </c>
      <c r="DT7">
        <v>0.42399999999999999</v>
      </c>
      <c r="DU7">
        <v>1.0500000000000001E-2</v>
      </c>
      <c r="DV7">
        <v>0.9970000000000141</v>
      </c>
      <c r="DW7" s="2">
        <v>45681</v>
      </c>
      <c r="DX7" t="s">
        <v>1883</v>
      </c>
      <c r="DY7">
        <v>6</v>
      </c>
      <c r="DZ7">
        <v>4.4000000000000003E-3</v>
      </c>
      <c r="EA7">
        <v>6.6764961666371869</v>
      </c>
      <c r="EB7">
        <v>773.59948621386911</v>
      </c>
      <c r="EC7">
        <v>0.42399999999999999</v>
      </c>
      <c r="ED7">
        <v>1.06E-2</v>
      </c>
      <c r="EE7">
        <v>1.0004000000000133</v>
      </c>
    </row>
    <row r="8" spans="1:135" x14ac:dyDescent="0.3">
      <c r="A8" s="2">
        <v>45681</v>
      </c>
      <c r="B8" t="s">
        <v>203</v>
      </c>
      <c r="C8">
        <v>0</v>
      </c>
      <c r="D8">
        <v>2.0000000000000001E-4</v>
      </c>
      <c r="E8">
        <v>6.0295943380314894</v>
      </c>
      <c r="F8">
        <v>712.20850267918843</v>
      </c>
      <c r="G8">
        <v>0.42399999999999999</v>
      </c>
      <c r="H8">
        <v>5.0000000000000001E-4</v>
      </c>
      <c r="I8">
        <v>1.1995100000000001</v>
      </c>
      <c r="J8" s="2">
        <v>45681</v>
      </c>
      <c r="K8" t="s">
        <v>328</v>
      </c>
      <c r="L8">
        <v>0</v>
      </c>
      <c r="M8">
        <v>9.1999999999999998E-3</v>
      </c>
      <c r="N8">
        <v>6.8824120541813372</v>
      </c>
      <c r="O8">
        <v>793.14090394180892</v>
      </c>
      <c r="P8">
        <v>0.42399999999999999</v>
      </c>
      <c r="Q8">
        <v>1.38E-2</v>
      </c>
      <c r="R8">
        <v>1.2011299999999991</v>
      </c>
      <c r="S8" s="2">
        <v>45681</v>
      </c>
      <c r="T8" t="s">
        <v>448</v>
      </c>
      <c r="U8">
        <v>1</v>
      </c>
      <c r="V8">
        <v>9.1000000000000004E-3</v>
      </c>
      <c r="W8">
        <v>6.8826005980800709</v>
      </c>
      <c r="X8">
        <v>793.15879675779877</v>
      </c>
      <c r="Y8">
        <v>0.42399999999999999</v>
      </c>
      <c r="Z8">
        <v>1.38E-2</v>
      </c>
      <c r="AA8">
        <v>1.2006200000000007</v>
      </c>
      <c r="AB8" s="2">
        <v>45681</v>
      </c>
      <c r="AC8" t="s">
        <v>568</v>
      </c>
      <c r="AD8">
        <v>1</v>
      </c>
      <c r="AE8">
        <v>9.1000000000000004E-3</v>
      </c>
      <c r="AF8">
        <v>6.8809839861999702</v>
      </c>
      <c r="AG8">
        <v>793.00538029037716</v>
      </c>
      <c r="AH8">
        <v>0.42399999999999999</v>
      </c>
      <c r="AI8">
        <v>1.38E-2</v>
      </c>
      <c r="AJ8">
        <v>1.1998300000000057</v>
      </c>
      <c r="AK8" s="2">
        <v>45681</v>
      </c>
      <c r="AL8" t="s">
        <v>686</v>
      </c>
      <c r="AM8">
        <v>2</v>
      </c>
      <c r="AN8">
        <v>8.9999999999999993E-3</v>
      </c>
      <c r="AO8">
        <v>6.8820815955201198</v>
      </c>
      <c r="AP8">
        <v>793.10954341485944</v>
      </c>
      <c r="AQ8">
        <v>0.42399999999999999</v>
      </c>
      <c r="AR8">
        <v>1.38E-2</v>
      </c>
      <c r="AS8">
        <v>1.198599999999999</v>
      </c>
      <c r="AT8" s="2">
        <v>45681</v>
      </c>
      <c r="AU8" t="s">
        <v>806</v>
      </c>
      <c r="AV8">
        <v>2</v>
      </c>
      <c r="AW8">
        <v>8.6E-3</v>
      </c>
      <c r="AX8">
        <v>6.8801503383380469</v>
      </c>
      <c r="AY8">
        <v>792.92626710828074</v>
      </c>
      <c r="AZ8">
        <v>0.42399999999999999</v>
      </c>
      <c r="BA8">
        <v>1.37E-2</v>
      </c>
      <c r="BB8">
        <v>1.1985000000000241</v>
      </c>
      <c r="BC8" s="2">
        <v>45681</v>
      </c>
      <c r="BD8" t="s">
        <v>926</v>
      </c>
      <c r="BE8">
        <v>2</v>
      </c>
      <c r="BF8">
        <v>8.6E-3</v>
      </c>
      <c r="BG8">
        <v>6.880484040765265</v>
      </c>
      <c r="BH8">
        <v>792.95793546862365</v>
      </c>
      <c r="BI8">
        <v>0.42399999999999999</v>
      </c>
      <c r="BJ8">
        <v>1.37E-2</v>
      </c>
      <c r="BK8">
        <v>1.2004000000000019</v>
      </c>
      <c r="BL8" s="2">
        <v>45681</v>
      </c>
      <c r="BM8" t="s">
        <v>1046</v>
      </c>
      <c r="BN8">
        <v>3</v>
      </c>
      <c r="BO8">
        <v>8.6E-3</v>
      </c>
      <c r="BP8">
        <v>6.878904732194159</v>
      </c>
      <c r="BQ8">
        <v>792.80805908522575</v>
      </c>
      <c r="BR8">
        <v>0.42399999999999999</v>
      </c>
      <c r="BS8">
        <v>1.37E-2</v>
      </c>
      <c r="BT8">
        <v>1.1968999999999994</v>
      </c>
      <c r="BU8" s="2">
        <v>45681</v>
      </c>
      <c r="BV8" t="s">
        <v>1166</v>
      </c>
      <c r="BW8">
        <v>3</v>
      </c>
      <c r="BX8">
        <v>8.6E-3</v>
      </c>
      <c r="BY8">
        <v>6.8802488677302867</v>
      </c>
      <c r="BZ8">
        <v>792.93561754760424</v>
      </c>
      <c r="CA8">
        <v>0.42399999999999999</v>
      </c>
      <c r="CB8">
        <v>1.37E-2</v>
      </c>
      <c r="CC8">
        <v>1.20150000000001</v>
      </c>
      <c r="CD8" s="2">
        <v>45681</v>
      </c>
      <c r="CE8" t="s">
        <v>1286</v>
      </c>
      <c r="CF8">
        <v>4</v>
      </c>
      <c r="CG8">
        <v>8.3000000000000001E-3</v>
      </c>
      <c r="CH8">
        <v>6.8792777652841259</v>
      </c>
      <c r="CI8">
        <v>792.84345992546355</v>
      </c>
      <c r="CJ8">
        <v>0.42399999999999999</v>
      </c>
      <c r="CK8">
        <v>1.37E-2</v>
      </c>
      <c r="CL8">
        <v>1.1998000000000104</v>
      </c>
      <c r="CM8" s="2">
        <v>45681</v>
      </c>
      <c r="CN8" t="s">
        <v>1406</v>
      </c>
      <c r="CO8">
        <v>4</v>
      </c>
      <c r="CP8">
        <v>8.2000000000000007E-3</v>
      </c>
      <c r="CQ8">
        <v>6.8788163395706672</v>
      </c>
      <c r="CR8">
        <v>792.79967062525634</v>
      </c>
      <c r="CS8">
        <v>0.42399999999999999</v>
      </c>
      <c r="CT8">
        <v>1.37E-2</v>
      </c>
      <c r="CU8">
        <v>1.1891000000000247</v>
      </c>
      <c r="CV8" s="2">
        <v>45681</v>
      </c>
      <c r="CW8" t="s">
        <v>1526</v>
      </c>
      <c r="CX8">
        <v>4</v>
      </c>
      <c r="CY8">
        <v>6.0000000000000001E-3</v>
      </c>
      <c r="CZ8">
        <v>6.880552970792758</v>
      </c>
      <c r="DA8">
        <v>792.96447692823278</v>
      </c>
      <c r="DB8">
        <v>0.42399999999999999</v>
      </c>
      <c r="DC8">
        <v>1.37E-2</v>
      </c>
      <c r="DD8">
        <v>1.1983000000000175</v>
      </c>
      <c r="DE8" s="2">
        <v>45681</v>
      </c>
      <c r="DF8" t="s">
        <v>1646</v>
      </c>
      <c r="DG8">
        <v>5</v>
      </c>
      <c r="DH8">
        <v>7.9000000000000008E-3</v>
      </c>
      <c r="DI8">
        <v>6.8810139910354664</v>
      </c>
      <c r="DJ8">
        <v>793.00822774926576</v>
      </c>
      <c r="DK8">
        <v>0.42399999999999999</v>
      </c>
      <c r="DL8">
        <v>1.38E-2</v>
      </c>
      <c r="DM8">
        <v>1.1961999999999762</v>
      </c>
      <c r="DN8" s="2">
        <v>45681</v>
      </c>
      <c r="DO8" t="s">
        <v>1766</v>
      </c>
      <c r="DP8">
        <v>5</v>
      </c>
      <c r="DQ8">
        <v>7.7000000000000002E-3</v>
      </c>
      <c r="DR8">
        <v>6.8819842825401274</v>
      </c>
      <c r="DS8">
        <v>793.10030841305809</v>
      </c>
      <c r="DT8">
        <v>0.42399999999999999</v>
      </c>
      <c r="DU8">
        <v>1.38E-2</v>
      </c>
      <c r="DV8">
        <v>1.1967999999999961</v>
      </c>
      <c r="DW8" s="2">
        <v>45681</v>
      </c>
      <c r="DX8" t="s">
        <v>1884</v>
      </c>
      <c r="DY8">
        <v>6</v>
      </c>
      <c r="DZ8">
        <v>7.9000000000000008E-3</v>
      </c>
      <c r="EA8">
        <v>6.8859684381292654</v>
      </c>
      <c r="EB8">
        <v>793.47840477846728</v>
      </c>
      <c r="EC8">
        <v>0.42399999999999999</v>
      </c>
      <c r="ED8">
        <v>1.38E-2</v>
      </c>
      <c r="EE8">
        <v>1.2013000000000034</v>
      </c>
    </row>
    <row r="9" spans="1:135" x14ac:dyDescent="0.3">
      <c r="A9" s="2">
        <v>45681</v>
      </c>
      <c r="B9" t="s">
        <v>204</v>
      </c>
      <c r="C9">
        <v>0</v>
      </c>
      <c r="D9">
        <v>2.0000000000000001E-4</v>
      </c>
      <c r="E9">
        <v>6.1252223113363753</v>
      </c>
      <c r="F9">
        <v>721.28359734582205</v>
      </c>
      <c r="G9">
        <v>0.42399999999999999</v>
      </c>
      <c r="H9">
        <v>2E-3</v>
      </c>
      <c r="I9">
        <v>1.3978099999999998</v>
      </c>
      <c r="J9" s="2">
        <v>45681</v>
      </c>
      <c r="K9" t="s">
        <v>329</v>
      </c>
      <c r="L9">
        <v>0</v>
      </c>
      <c r="M9">
        <v>1.24E-2</v>
      </c>
      <c r="N9">
        <v>7.0689237335152653</v>
      </c>
      <c r="O9">
        <v>810.84086231059871</v>
      </c>
      <c r="P9">
        <v>0.42399999999999999</v>
      </c>
      <c r="Q9">
        <v>1.67E-2</v>
      </c>
      <c r="R9">
        <v>1.3992999999999967</v>
      </c>
      <c r="S9" s="2">
        <v>45681</v>
      </c>
      <c r="T9" t="s">
        <v>449</v>
      </c>
      <c r="U9">
        <v>1</v>
      </c>
      <c r="V9">
        <v>1.2200000000000001E-2</v>
      </c>
      <c r="W9">
        <v>7.0702820605276422</v>
      </c>
      <c r="X9">
        <v>810.96976754407331</v>
      </c>
      <c r="Y9">
        <v>0.42399999999999999</v>
      </c>
      <c r="Z9">
        <v>1.67E-2</v>
      </c>
      <c r="AA9">
        <v>1.4001899999999949</v>
      </c>
      <c r="AB9" s="2">
        <v>45681</v>
      </c>
      <c r="AC9" t="s">
        <v>569</v>
      </c>
      <c r="AD9">
        <v>1</v>
      </c>
      <c r="AE9">
        <v>1.2200000000000001E-2</v>
      </c>
      <c r="AF9">
        <v>7.0691447150739961</v>
      </c>
      <c r="AG9">
        <v>810.86183346052223</v>
      </c>
      <c r="AH9">
        <v>0.42399999999999999</v>
      </c>
      <c r="AI9">
        <v>1.67E-2</v>
      </c>
      <c r="AJ9">
        <v>1.3996700000000004</v>
      </c>
      <c r="AK9" s="2">
        <v>45681</v>
      </c>
      <c r="AL9" t="s">
        <v>687</v>
      </c>
      <c r="AM9">
        <v>2</v>
      </c>
      <c r="AN9">
        <v>1.1900000000000001E-2</v>
      </c>
      <c r="AO9">
        <v>7.0696783145809476</v>
      </c>
      <c r="AP9">
        <v>810.91247205373202</v>
      </c>
      <c r="AQ9">
        <v>0.42399999999999999</v>
      </c>
      <c r="AR9">
        <v>1.67E-2</v>
      </c>
      <c r="AS9">
        <v>1.3979999999999961</v>
      </c>
      <c r="AT9" s="2">
        <v>45681</v>
      </c>
      <c r="AU9" t="s">
        <v>807</v>
      </c>
      <c r="AV9">
        <v>2</v>
      </c>
      <c r="AW9">
        <v>1.18E-2</v>
      </c>
      <c r="AX9">
        <v>7.0693863756409741</v>
      </c>
      <c r="AY9">
        <v>810.88476704832851</v>
      </c>
      <c r="AZ9">
        <v>0.42399999999999999</v>
      </c>
      <c r="BA9">
        <v>1.67E-2</v>
      </c>
      <c r="BB9">
        <v>1.3995000000000175</v>
      </c>
      <c r="BC9" s="2">
        <v>45681</v>
      </c>
      <c r="BD9" t="s">
        <v>927</v>
      </c>
      <c r="BE9">
        <v>2</v>
      </c>
      <c r="BF9">
        <v>1.1599999999999999E-2</v>
      </c>
      <c r="BG9">
        <v>7.0685608371940489</v>
      </c>
      <c r="BH9">
        <v>810.80642344971534</v>
      </c>
      <c r="BI9">
        <v>0.42399999999999999</v>
      </c>
      <c r="BJ9">
        <v>1.67E-2</v>
      </c>
      <c r="BK9">
        <v>1.400100000000009</v>
      </c>
      <c r="BL9" s="2">
        <v>45681</v>
      </c>
      <c r="BM9" t="s">
        <v>1047</v>
      </c>
      <c r="BN9">
        <v>3</v>
      </c>
      <c r="BO9">
        <v>1.15E-2</v>
      </c>
      <c r="BP9">
        <v>7.0691033570575001</v>
      </c>
      <c r="BQ9">
        <v>810.85790858475684</v>
      </c>
      <c r="BR9">
        <v>0.42399999999999999</v>
      </c>
      <c r="BS9">
        <v>1.67E-2</v>
      </c>
      <c r="BT9">
        <v>1.398699999999991</v>
      </c>
      <c r="BU9" s="2">
        <v>45681</v>
      </c>
      <c r="BV9" t="s">
        <v>1167</v>
      </c>
      <c r="BW9">
        <v>3</v>
      </c>
      <c r="BX9">
        <v>1.14E-2</v>
      </c>
      <c r="BY9">
        <v>7.0672081867721719</v>
      </c>
      <c r="BZ9">
        <v>810.67805692467914</v>
      </c>
      <c r="CA9">
        <v>0.42399999999999999</v>
      </c>
      <c r="CB9">
        <v>1.66E-2</v>
      </c>
      <c r="CC9">
        <v>1.399799999999999</v>
      </c>
      <c r="CD9" s="2">
        <v>45681</v>
      </c>
      <c r="CE9" t="s">
        <v>1287</v>
      </c>
      <c r="CF9">
        <v>4</v>
      </c>
      <c r="CG9">
        <v>1.1299999999999999E-2</v>
      </c>
      <c r="CH9">
        <v>7.0693032541372309</v>
      </c>
      <c r="CI9">
        <v>810.87687881762326</v>
      </c>
      <c r="CJ9">
        <v>0.42399999999999999</v>
      </c>
      <c r="CK9">
        <v>1.67E-2</v>
      </c>
      <c r="CL9">
        <v>1.401600000000002</v>
      </c>
      <c r="CM9" s="2">
        <v>45681</v>
      </c>
      <c r="CN9" t="s">
        <v>1407</v>
      </c>
      <c r="CO9">
        <v>4</v>
      </c>
      <c r="CP9">
        <v>1.1299999999999999E-2</v>
      </c>
      <c r="CQ9">
        <v>7.0687278911430331</v>
      </c>
      <c r="CR9">
        <v>810.82227686947385</v>
      </c>
      <c r="CS9">
        <v>0.42399999999999999</v>
      </c>
      <c r="CT9">
        <v>1.67E-2</v>
      </c>
      <c r="CU9">
        <v>1.3905999999999779</v>
      </c>
      <c r="CV9" s="2">
        <v>45681</v>
      </c>
      <c r="CW9" t="s">
        <v>1527</v>
      </c>
      <c r="CX9">
        <v>4</v>
      </c>
      <c r="CY9">
        <v>9.2999999999999992E-3</v>
      </c>
      <c r="CZ9">
        <v>7.069370156810975</v>
      </c>
      <c r="DA9">
        <v>810.88322788136156</v>
      </c>
      <c r="DB9">
        <v>0.42399999999999999</v>
      </c>
      <c r="DC9">
        <v>1.67E-2</v>
      </c>
      <c r="DD9">
        <v>1.3987999999999943</v>
      </c>
      <c r="DE9" s="2">
        <v>45681</v>
      </c>
      <c r="DF9" t="s">
        <v>1647</v>
      </c>
      <c r="DG9">
        <v>5</v>
      </c>
      <c r="DH9">
        <v>1.0999999999999999E-2</v>
      </c>
      <c r="DI9">
        <v>7.0715426690892764</v>
      </c>
      <c r="DJ9">
        <v>811.08939929657242</v>
      </c>
      <c r="DK9">
        <v>0.42399999999999999</v>
      </c>
      <c r="DL9">
        <v>1.67E-2</v>
      </c>
      <c r="DM9">
        <v>1.3987999999999943</v>
      </c>
      <c r="DN9" s="2">
        <v>45681</v>
      </c>
      <c r="DO9" t="s">
        <v>1767</v>
      </c>
      <c r="DP9">
        <v>5</v>
      </c>
      <c r="DQ9">
        <v>1.06E-2</v>
      </c>
      <c r="DR9">
        <v>7.0710520494818221</v>
      </c>
      <c r="DS9">
        <v>811.04283949582498</v>
      </c>
      <c r="DT9">
        <v>0.42399999999999999</v>
      </c>
      <c r="DU9">
        <v>1.67E-2</v>
      </c>
      <c r="DV9">
        <v>1.3978999999999928</v>
      </c>
      <c r="DW9" s="2">
        <v>45681</v>
      </c>
      <c r="DX9" t="s">
        <v>1885</v>
      </c>
      <c r="DY9">
        <v>6</v>
      </c>
      <c r="DZ9">
        <v>1.06E-2</v>
      </c>
      <c r="EA9">
        <v>7.0729042398676514</v>
      </c>
      <c r="EB9">
        <v>811.21861236344012</v>
      </c>
      <c r="EC9">
        <v>0.42399999999999999</v>
      </c>
      <c r="ED9">
        <v>1.67E-2</v>
      </c>
      <c r="EE9">
        <v>1.4005999999999972</v>
      </c>
    </row>
    <row r="10" spans="1:135" x14ac:dyDescent="0.3">
      <c r="A10" s="2">
        <v>45681</v>
      </c>
      <c r="B10" t="s">
        <v>205</v>
      </c>
      <c r="C10">
        <v>0</v>
      </c>
      <c r="D10">
        <v>4.0000000000000002E-4</v>
      </c>
      <c r="E10">
        <v>6.274531562796307</v>
      </c>
      <c r="F10">
        <v>735.4530453093696</v>
      </c>
      <c r="G10">
        <v>0.42399999999999999</v>
      </c>
      <c r="H10">
        <v>4.3E-3</v>
      </c>
      <c r="I10">
        <v>1.5974000000000004</v>
      </c>
      <c r="J10" s="2">
        <v>45681</v>
      </c>
      <c r="K10" t="s">
        <v>330</v>
      </c>
      <c r="L10">
        <v>0</v>
      </c>
      <c r="M10">
        <v>1.5100000000000001E-2</v>
      </c>
      <c r="N10">
        <v>7.2190922585885202</v>
      </c>
      <c r="O10">
        <v>825.09185534005064</v>
      </c>
      <c r="P10">
        <v>0.42399999999999999</v>
      </c>
      <c r="Q10">
        <v>1.9E-2</v>
      </c>
      <c r="R10">
        <v>1.6004500000000021</v>
      </c>
      <c r="S10" s="2">
        <v>45681</v>
      </c>
      <c r="T10" t="s">
        <v>450</v>
      </c>
      <c r="U10">
        <v>1</v>
      </c>
      <c r="V10">
        <v>1.4999999999999999E-2</v>
      </c>
      <c r="W10">
        <v>7.2192889119022512</v>
      </c>
      <c r="X10">
        <v>825.11051773952363</v>
      </c>
      <c r="Y10">
        <v>0.42399999999999999</v>
      </c>
      <c r="Z10">
        <v>1.9E-2</v>
      </c>
      <c r="AA10">
        <v>1.6000700000000023</v>
      </c>
      <c r="AB10" s="2">
        <v>45681</v>
      </c>
      <c r="AC10" t="s">
        <v>570</v>
      </c>
      <c r="AD10">
        <v>1</v>
      </c>
      <c r="AE10">
        <v>1.47E-2</v>
      </c>
      <c r="AF10">
        <v>7.2185087861793233</v>
      </c>
      <c r="AG10">
        <v>825.03648380841787</v>
      </c>
      <c r="AH10">
        <v>0.42399999999999999</v>
      </c>
      <c r="AI10">
        <v>1.9E-2</v>
      </c>
      <c r="AJ10">
        <v>1.5996300000000048</v>
      </c>
      <c r="AK10" s="2">
        <v>45681</v>
      </c>
      <c r="AL10" t="s">
        <v>688</v>
      </c>
      <c r="AM10">
        <v>2</v>
      </c>
      <c r="AN10">
        <v>1.44E-2</v>
      </c>
      <c r="AO10">
        <v>7.2195423311209783</v>
      </c>
      <c r="AP10">
        <v>825.13456722338083</v>
      </c>
      <c r="AQ10">
        <v>0.42399999999999999</v>
      </c>
      <c r="AR10">
        <v>1.9E-2</v>
      </c>
      <c r="AS10">
        <v>1.5989999999999895</v>
      </c>
      <c r="AT10" s="2">
        <v>45681</v>
      </c>
      <c r="AU10" t="s">
        <v>808</v>
      </c>
      <c r="AV10">
        <v>2</v>
      </c>
      <c r="AW10">
        <v>1.44E-2</v>
      </c>
      <c r="AX10">
        <v>7.217890443285631</v>
      </c>
      <c r="AY10">
        <v>824.97780306780646</v>
      </c>
      <c r="AZ10">
        <v>0.42399999999999999</v>
      </c>
      <c r="BA10">
        <v>1.9E-2</v>
      </c>
      <c r="BB10">
        <v>1.5981000000000165</v>
      </c>
      <c r="BC10" s="2">
        <v>45681</v>
      </c>
      <c r="BD10" t="s">
        <v>928</v>
      </c>
      <c r="BE10">
        <v>2</v>
      </c>
      <c r="BF10">
        <v>1.41E-2</v>
      </c>
      <c r="BG10">
        <v>7.2177144689801462</v>
      </c>
      <c r="BH10">
        <v>824.96110310621589</v>
      </c>
      <c r="BI10">
        <v>0.42399999999999999</v>
      </c>
      <c r="BJ10">
        <v>1.9E-2</v>
      </c>
      <c r="BK10">
        <v>1.5995000000000061</v>
      </c>
      <c r="BL10" s="2">
        <v>45681</v>
      </c>
      <c r="BM10" t="s">
        <v>1048</v>
      </c>
      <c r="BN10">
        <v>3</v>
      </c>
      <c r="BO10">
        <v>1.41E-2</v>
      </c>
      <c r="BP10">
        <v>7.2187447701558014</v>
      </c>
      <c r="BQ10">
        <v>825.05887868778564</v>
      </c>
      <c r="BR10">
        <v>0.42399999999999999</v>
      </c>
      <c r="BS10">
        <v>1.9E-2</v>
      </c>
      <c r="BT10">
        <v>1.5990999999999929</v>
      </c>
      <c r="BU10" s="2">
        <v>45681</v>
      </c>
      <c r="BV10" t="s">
        <v>1168</v>
      </c>
      <c r="BW10">
        <v>3</v>
      </c>
      <c r="BX10">
        <v>1.41E-2</v>
      </c>
      <c r="BY10">
        <v>7.2178300281438847</v>
      </c>
      <c r="BZ10">
        <v>824.97206967085469</v>
      </c>
      <c r="CA10">
        <v>0.42399999999999999</v>
      </c>
      <c r="CB10">
        <v>1.9E-2</v>
      </c>
      <c r="CC10">
        <v>1.6008999999999958</v>
      </c>
      <c r="CD10" s="2">
        <v>45681</v>
      </c>
      <c r="CE10" t="s">
        <v>1288</v>
      </c>
      <c r="CF10">
        <v>4</v>
      </c>
      <c r="CG10">
        <v>1.38E-2</v>
      </c>
      <c r="CH10">
        <v>7.217775289592641</v>
      </c>
      <c r="CI10">
        <v>824.96687498234166</v>
      </c>
      <c r="CJ10">
        <v>0.42399999999999999</v>
      </c>
      <c r="CK10">
        <v>1.9E-2</v>
      </c>
      <c r="CL10">
        <v>1.600200000000001</v>
      </c>
      <c r="CM10" s="2">
        <v>45681</v>
      </c>
      <c r="CN10" t="s">
        <v>1408</v>
      </c>
      <c r="CO10">
        <v>4</v>
      </c>
      <c r="CP10">
        <v>1.37E-2</v>
      </c>
      <c r="CQ10">
        <v>7.2181576485098562</v>
      </c>
      <c r="CR10">
        <v>825.00316084358542</v>
      </c>
      <c r="CS10">
        <v>0.42399999999999999</v>
      </c>
      <c r="CT10">
        <v>1.9E-2</v>
      </c>
      <c r="CU10">
        <v>1.5904999999999916</v>
      </c>
      <c r="CV10" s="2">
        <v>45681</v>
      </c>
      <c r="CW10" t="s">
        <v>1528</v>
      </c>
      <c r="CX10">
        <v>4</v>
      </c>
      <c r="CY10">
        <v>1.1900000000000001E-2</v>
      </c>
      <c r="CZ10">
        <v>7.2179573459593742</v>
      </c>
      <c r="DA10">
        <v>824.98415213154465</v>
      </c>
      <c r="DB10">
        <v>0.42399999999999999</v>
      </c>
      <c r="DC10">
        <v>1.9E-2</v>
      </c>
      <c r="DD10">
        <v>1.5975999999999999</v>
      </c>
      <c r="DE10" s="2">
        <v>45681</v>
      </c>
      <c r="DF10" t="s">
        <v>1648</v>
      </c>
      <c r="DG10">
        <v>5</v>
      </c>
      <c r="DH10">
        <v>1.34E-2</v>
      </c>
      <c r="DI10">
        <v>7.2192589070667532</v>
      </c>
      <c r="DJ10">
        <v>825.10767028063492</v>
      </c>
      <c r="DK10">
        <v>0.42399999999999999</v>
      </c>
      <c r="DL10">
        <v>1.9E-2</v>
      </c>
      <c r="DM10">
        <v>1.5971000000000117</v>
      </c>
      <c r="DN10" s="2">
        <v>45681</v>
      </c>
      <c r="DO10" t="s">
        <v>1768</v>
      </c>
      <c r="DP10">
        <v>5</v>
      </c>
      <c r="DQ10">
        <v>1.32E-2</v>
      </c>
      <c r="DR10">
        <v>7.219747904791209</v>
      </c>
      <c r="DS10">
        <v>825.15407616468576</v>
      </c>
      <c r="DT10">
        <v>0.42399999999999999</v>
      </c>
      <c r="DU10">
        <v>1.9E-2</v>
      </c>
      <c r="DV10">
        <v>1.5975999999999999</v>
      </c>
      <c r="DW10" s="2">
        <v>45681</v>
      </c>
      <c r="DX10" t="s">
        <v>1886</v>
      </c>
      <c r="DY10">
        <v>6</v>
      </c>
      <c r="DZ10">
        <v>1.2999999999999999E-2</v>
      </c>
      <c r="EA10">
        <v>7.2205365453998889</v>
      </c>
      <c r="EB10">
        <v>825.22891815844946</v>
      </c>
      <c r="EC10">
        <v>0.42399999999999999</v>
      </c>
      <c r="ED10">
        <v>1.9E-2</v>
      </c>
      <c r="EE10">
        <v>1.5994000000000028</v>
      </c>
    </row>
    <row r="11" spans="1:135" x14ac:dyDescent="0.3">
      <c r="A11" s="2">
        <v>45681</v>
      </c>
      <c r="B11" t="s">
        <v>206</v>
      </c>
      <c r="C11">
        <v>0</v>
      </c>
      <c r="D11">
        <v>1.2999999999999999E-3</v>
      </c>
      <c r="E11">
        <v>6.464347788195357</v>
      </c>
      <c r="F11">
        <v>753.46660509973947</v>
      </c>
      <c r="G11">
        <v>0.42399999999999999</v>
      </c>
      <c r="H11">
        <v>7.3000000000000001E-3</v>
      </c>
      <c r="I11">
        <v>1.7987700000000011</v>
      </c>
      <c r="J11" s="2">
        <v>45681</v>
      </c>
      <c r="K11" t="s">
        <v>331</v>
      </c>
      <c r="L11">
        <v>0</v>
      </c>
      <c r="M11">
        <v>1.7299999999999999E-2</v>
      </c>
      <c r="N11">
        <v>7.3146807714800204</v>
      </c>
      <c r="O11">
        <v>834.16320521345392</v>
      </c>
      <c r="P11">
        <v>0.42399999999999999</v>
      </c>
      <c r="Q11">
        <v>2.0500000000000001E-2</v>
      </c>
      <c r="R11">
        <v>1.8004600000000011</v>
      </c>
      <c r="S11" s="2">
        <v>45681</v>
      </c>
      <c r="T11" t="s">
        <v>451</v>
      </c>
      <c r="U11">
        <v>1</v>
      </c>
      <c r="V11">
        <v>1.6899999999999998E-2</v>
      </c>
      <c r="W11">
        <v>7.3145903515027788</v>
      </c>
      <c r="X11">
        <v>834.15462435761378</v>
      </c>
      <c r="Y11">
        <v>0.42399999999999999</v>
      </c>
      <c r="Z11">
        <v>2.0500000000000001E-2</v>
      </c>
      <c r="AA11">
        <v>1.7994999999999948</v>
      </c>
      <c r="AB11" s="2">
        <v>45681</v>
      </c>
      <c r="AC11" t="s">
        <v>571</v>
      </c>
      <c r="AD11">
        <v>1</v>
      </c>
      <c r="AE11">
        <v>1.6799999999999999E-2</v>
      </c>
      <c r="AF11">
        <v>7.3145761600265304</v>
      </c>
      <c r="AG11">
        <v>834.15327758651767</v>
      </c>
      <c r="AH11">
        <v>0.42399999999999999</v>
      </c>
      <c r="AI11">
        <v>2.0500000000000001E-2</v>
      </c>
      <c r="AJ11">
        <v>1.8002600000000086</v>
      </c>
      <c r="AK11" s="2">
        <v>45681</v>
      </c>
      <c r="AL11" t="s">
        <v>689</v>
      </c>
      <c r="AM11">
        <v>2</v>
      </c>
      <c r="AN11">
        <v>1.6500000000000001E-2</v>
      </c>
      <c r="AO11">
        <v>7.3147788954015116</v>
      </c>
      <c r="AP11">
        <v>834.17251717360352</v>
      </c>
      <c r="AQ11">
        <v>0.42399999999999999</v>
      </c>
      <c r="AR11">
        <v>2.0500000000000001E-2</v>
      </c>
      <c r="AS11">
        <v>1.7985999999999933</v>
      </c>
      <c r="AT11" s="2">
        <v>45681</v>
      </c>
      <c r="AU11" t="s">
        <v>809</v>
      </c>
      <c r="AV11">
        <v>2</v>
      </c>
      <c r="AW11">
        <v>1.6400000000000001E-2</v>
      </c>
      <c r="AX11">
        <v>7.3148733700862527</v>
      </c>
      <c r="AY11">
        <v>834.18148282118545</v>
      </c>
      <c r="AZ11">
        <v>0.42399999999999999</v>
      </c>
      <c r="BA11">
        <v>2.0500000000000001E-2</v>
      </c>
      <c r="BB11">
        <v>1.8007000000000062</v>
      </c>
      <c r="BC11" s="2">
        <v>45681</v>
      </c>
      <c r="BD11" t="s">
        <v>929</v>
      </c>
      <c r="BE11">
        <v>2</v>
      </c>
      <c r="BF11">
        <v>1.6199999999999999E-2</v>
      </c>
      <c r="BG11">
        <v>7.3142744897885574</v>
      </c>
      <c r="BH11">
        <v>834.12464908093409</v>
      </c>
      <c r="BI11">
        <v>0.42399999999999999</v>
      </c>
      <c r="BJ11">
        <v>2.0500000000000001E-2</v>
      </c>
      <c r="BK11">
        <v>1.8003999999999962</v>
      </c>
      <c r="BL11" s="2">
        <v>45681</v>
      </c>
      <c r="BM11" t="s">
        <v>1049</v>
      </c>
      <c r="BN11">
        <v>3</v>
      </c>
      <c r="BO11">
        <v>1.6E-2</v>
      </c>
      <c r="BP11">
        <v>7.3140766200625764</v>
      </c>
      <c r="BQ11">
        <v>834.10587124393851</v>
      </c>
      <c r="BR11">
        <v>0.42399999999999999</v>
      </c>
      <c r="BS11">
        <v>2.0500000000000001E-2</v>
      </c>
      <c r="BT11">
        <v>1.7977999999999952</v>
      </c>
      <c r="BU11" s="2">
        <v>45681</v>
      </c>
      <c r="BV11" t="s">
        <v>1169</v>
      </c>
      <c r="BW11">
        <v>3</v>
      </c>
      <c r="BX11">
        <v>1.5900000000000001E-2</v>
      </c>
      <c r="BY11">
        <v>7.3138240117853472</v>
      </c>
      <c r="BZ11">
        <v>834.08189871842944</v>
      </c>
      <c r="CA11">
        <v>0.42399999999999999</v>
      </c>
      <c r="CB11">
        <v>2.0500000000000001E-2</v>
      </c>
      <c r="CC11">
        <v>1.8003999999999962</v>
      </c>
      <c r="CD11" s="2">
        <v>45681</v>
      </c>
      <c r="CE11" t="s">
        <v>1289</v>
      </c>
      <c r="CF11">
        <v>4</v>
      </c>
      <c r="CG11">
        <v>1.5699999999999999E-2</v>
      </c>
      <c r="CH11">
        <v>7.3137887358301006</v>
      </c>
      <c r="CI11">
        <v>834.07855103027657</v>
      </c>
      <c r="CJ11">
        <v>0.42399999999999999</v>
      </c>
      <c r="CK11">
        <v>2.0500000000000001E-2</v>
      </c>
      <c r="CL11">
        <v>1.7995999999999981</v>
      </c>
      <c r="CM11" s="2">
        <v>45681</v>
      </c>
      <c r="CN11" t="s">
        <v>1409</v>
      </c>
      <c r="CO11">
        <v>4</v>
      </c>
      <c r="CP11">
        <v>1.5599999999999999E-2</v>
      </c>
      <c r="CQ11">
        <v>7.3133674517208904</v>
      </c>
      <c r="CR11">
        <v>834.0385711683125</v>
      </c>
      <c r="CS11">
        <v>0.42399999999999999</v>
      </c>
      <c r="CT11">
        <v>2.0500000000000001E-2</v>
      </c>
      <c r="CU11">
        <v>1.7879999999999825</v>
      </c>
      <c r="CV11" s="2">
        <v>45681</v>
      </c>
      <c r="CW11" t="s">
        <v>1529</v>
      </c>
      <c r="CX11">
        <v>4</v>
      </c>
      <c r="CY11">
        <v>1.4800000000000001E-2</v>
      </c>
      <c r="CZ11">
        <v>7.3143888325400468</v>
      </c>
      <c r="DA11">
        <v>834.13550020805053</v>
      </c>
      <c r="DB11">
        <v>0.42399999999999999</v>
      </c>
      <c r="DC11">
        <v>2.0500000000000001E-2</v>
      </c>
      <c r="DD11">
        <v>1.7986000000000217</v>
      </c>
      <c r="DE11" s="2">
        <v>45681</v>
      </c>
      <c r="DF11" t="s">
        <v>1649</v>
      </c>
      <c r="DG11">
        <v>5</v>
      </c>
      <c r="DH11">
        <v>1.5599999999999999E-2</v>
      </c>
      <c r="DI11">
        <v>7.3146840152460202</v>
      </c>
      <c r="DJ11">
        <v>834.16351304684736</v>
      </c>
      <c r="DK11">
        <v>0.42399999999999999</v>
      </c>
      <c r="DL11">
        <v>2.0500000000000001E-2</v>
      </c>
      <c r="DM11">
        <v>1.7968999999999937</v>
      </c>
      <c r="DN11" s="2">
        <v>45681</v>
      </c>
      <c r="DO11" t="s">
        <v>1769</v>
      </c>
      <c r="DP11">
        <v>5</v>
      </c>
      <c r="DQ11">
        <v>1.5299999999999999E-2</v>
      </c>
      <c r="DR11">
        <v>7.3159409745709043</v>
      </c>
      <c r="DS11">
        <v>834.28279848677892</v>
      </c>
      <c r="DT11">
        <v>0.42399999999999999</v>
      </c>
      <c r="DU11">
        <v>2.0500000000000001E-2</v>
      </c>
      <c r="DV11">
        <v>1.8004999999999995</v>
      </c>
      <c r="DW11" s="2">
        <v>45681</v>
      </c>
      <c r="DX11" t="s">
        <v>1887</v>
      </c>
      <c r="DY11">
        <v>6</v>
      </c>
      <c r="DZ11">
        <v>1.5299999999999999E-2</v>
      </c>
      <c r="EA11">
        <v>7.315863529657662</v>
      </c>
      <c r="EB11">
        <v>834.27544896451218</v>
      </c>
      <c r="EC11">
        <v>0.42399999999999999</v>
      </c>
      <c r="ED11">
        <v>2.0500000000000001E-2</v>
      </c>
      <c r="EE11">
        <v>1.8007999999999811</v>
      </c>
    </row>
    <row r="12" spans="1:135" x14ac:dyDescent="0.3">
      <c r="A12" s="2">
        <v>45681</v>
      </c>
      <c r="B12" t="s">
        <v>207</v>
      </c>
      <c r="C12">
        <v>0</v>
      </c>
      <c r="D12">
        <v>5.3E-3</v>
      </c>
      <c r="E12">
        <v>6.6734016138734722</v>
      </c>
      <c r="F12">
        <v>773.30581315659254</v>
      </c>
      <c r="G12">
        <v>0.42399999999999999</v>
      </c>
      <c r="H12">
        <v>1.0500000000000001E-2</v>
      </c>
      <c r="I12">
        <v>1.9989000000000008</v>
      </c>
      <c r="J12" s="2">
        <v>45681</v>
      </c>
      <c r="K12" t="s">
        <v>332</v>
      </c>
      <c r="L12">
        <v>0</v>
      </c>
      <c r="M12">
        <v>1.9400000000000001E-2</v>
      </c>
      <c r="N12">
        <v>7.3472988659607834</v>
      </c>
      <c r="O12">
        <v>837.25866237967841</v>
      </c>
      <c r="P12">
        <v>0.42399999999999999</v>
      </c>
      <c r="Q12">
        <v>2.1000000000000001E-2</v>
      </c>
      <c r="R12">
        <v>2.0011999999999972</v>
      </c>
      <c r="S12" s="2">
        <v>45681</v>
      </c>
      <c r="T12" t="s">
        <v>452</v>
      </c>
      <c r="U12">
        <v>1</v>
      </c>
      <c r="V12">
        <v>1.83E-2</v>
      </c>
      <c r="W12">
        <v>7.3472988659607834</v>
      </c>
      <c r="X12">
        <v>837.25866237967841</v>
      </c>
      <c r="Y12">
        <v>0.42399999999999999</v>
      </c>
      <c r="Z12">
        <v>2.1000000000000001E-2</v>
      </c>
      <c r="AA12">
        <v>2.0005199999999945</v>
      </c>
      <c r="AB12" s="2">
        <v>45681</v>
      </c>
      <c r="AC12" t="s">
        <v>572</v>
      </c>
      <c r="AD12">
        <v>1</v>
      </c>
      <c r="AE12">
        <v>1.8100000000000002E-2</v>
      </c>
      <c r="AF12">
        <v>7.3473012987852826</v>
      </c>
      <c r="AG12">
        <v>837.25889325472349</v>
      </c>
      <c r="AH12">
        <v>0.42399999999999999</v>
      </c>
      <c r="AI12">
        <v>2.1000000000000001E-2</v>
      </c>
      <c r="AJ12">
        <v>2.0003999999999991</v>
      </c>
      <c r="AK12" s="2">
        <v>45681</v>
      </c>
      <c r="AL12" t="s">
        <v>690</v>
      </c>
      <c r="AM12">
        <v>2</v>
      </c>
      <c r="AN12">
        <v>1.8200000000000001E-2</v>
      </c>
      <c r="AO12">
        <v>7.3473012987852826</v>
      </c>
      <c r="AP12">
        <v>837.25889325472349</v>
      </c>
      <c r="AQ12">
        <v>0.42399999999999999</v>
      </c>
      <c r="AR12">
        <v>2.1000000000000001E-2</v>
      </c>
      <c r="AS12">
        <v>1.9981999999999971</v>
      </c>
      <c r="AT12" s="2">
        <v>45681</v>
      </c>
      <c r="AU12" t="s">
        <v>810</v>
      </c>
      <c r="AV12">
        <v>2</v>
      </c>
      <c r="AW12">
        <v>1.7999999999999999E-2</v>
      </c>
      <c r="AX12">
        <v>7.3473012987852826</v>
      </c>
      <c r="AY12">
        <v>837.25889325472349</v>
      </c>
      <c r="AZ12">
        <v>0.42399999999999999</v>
      </c>
      <c r="BA12">
        <v>2.1000000000000001E-2</v>
      </c>
      <c r="BB12">
        <v>2</v>
      </c>
      <c r="BC12" s="2">
        <v>45681</v>
      </c>
      <c r="BD12" t="s">
        <v>930</v>
      </c>
      <c r="BE12">
        <v>2</v>
      </c>
      <c r="BF12">
        <v>1.7999999999999999E-2</v>
      </c>
      <c r="BG12">
        <v>7.3473017042560347</v>
      </c>
      <c r="BH12">
        <v>837.25893173389773</v>
      </c>
      <c r="BI12">
        <v>0.42399999999999999</v>
      </c>
      <c r="BJ12">
        <v>2.1000000000000001E-2</v>
      </c>
      <c r="BK12">
        <v>2.0015000000000214</v>
      </c>
      <c r="BL12" s="2">
        <v>45681</v>
      </c>
      <c r="BM12" t="s">
        <v>1050</v>
      </c>
      <c r="BN12">
        <v>3</v>
      </c>
      <c r="BO12">
        <v>1.7600000000000001E-2</v>
      </c>
      <c r="BP12">
        <v>7.3473025151975344</v>
      </c>
      <c r="BQ12">
        <v>837.25900869224608</v>
      </c>
      <c r="BR12">
        <v>0.42399999999999999</v>
      </c>
      <c r="BS12">
        <v>2.1000000000000001E-2</v>
      </c>
      <c r="BT12">
        <v>1.9977000000000089</v>
      </c>
      <c r="BU12" s="2">
        <v>45681</v>
      </c>
      <c r="BV12" t="s">
        <v>1170</v>
      </c>
      <c r="BW12">
        <v>3</v>
      </c>
      <c r="BX12">
        <v>1.7500000000000002E-2</v>
      </c>
      <c r="BY12">
        <v>7.3473017042560347</v>
      </c>
      <c r="BZ12">
        <v>837.25893173389773</v>
      </c>
      <c r="CA12">
        <v>0.42399999999999999</v>
      </c>
      <c r="CB12">
        <v>2.1000000000000001E-2</v>
      </c>
      <c r="CC12">
        <v>2.0003999999999849</v>
      </c>
      <c r="CD12" s="2">
        <v>45681</v>
      </c>
      <c r="CE12" t="s">
        <v>1290</v>
      </c>
      <c r="CF12">
        <v>4</v>
      </c>
      <c r="CG12">
        <v>1.7100000000000001E-2</v>
      </c>
      <c r="CH12">
        <v>7.3473025151975344</v>
      </c>
      <c r="CI12">
        <v>837.25900869224608</v>
      </c>
      <c r="CJ12">
        <v>0.42399999999999999</v>
      </c>
      <c r="CK12">
        <v>2.1000000000000001E-2</v>
      </c>
      <c r="CL12">
        <v>2.0004999999999882</v>
      </c>
      <c r="CM12" s="2">
        <v>45681</v>
      </c>
      <c r="CN12" t="s">
        <v>1410</v>
      </c>
      <c r="CO12">
        <v>4</v>
      </c>
      <c r="CP12">
        <v>1.7299999999999999E-2</v>
      </c>
      <c r="CQ12">
        <v>7.3473008933145332</v>
      </c>
      <c r="CR12">
        <v>837.25885477554925</v>
      </c>
      <c r="CS12">
        <v>0.42399999999999999</v>
      </c>
      <c r="CT12">
        <v>2.1000000000000001E-2</v>
      </c>
      <c r="CU12">
        <v>1.9890999999999792</v>
      </c>
      <c r="CV12" s="2">
        <v>45681</v>
      </c>
      <c r="CW12" t="s">
        <v>1530</v>
      </c>
      <c r="CX12">
        <v>4</v>
      </c>
      <c r="CY12">
        <v>1.6799999999999999E-2</v>
      </c>
      <c r="CZ12">
        <v>7.3473025151975344</v>
      </c>
      <c r="DA12">
        <v>837.25900869224608</v>
      </c>
      <c r="DB12">
        <v>0.42399999999999999</v>
      </c>
      <c r="DC12">
        <v>2.1000000000000001E-2</v>
      </c>
      <c r="DD12">
        <v>1.9977000000000089</v>
      </c>
      <c r="DE12" s="2">
        <v>45681</v>
      </c>
      <c r="DF12" t="s">
        <v>1650</v>
      </c>
      <c r="DG12">
        <v>5</v>
      </c>
      <c r="DH12">
        <v>1.7000000000000001E-2</v>
      </c>
      <c r="DI12">
        <v>7.3471954709195426</v>
      </c>
      <c r="DJ12">
        <v>837.24885019026465</v>
      </c>
      <c r="DK12">
        <v>0.42399999999999999</v>
      </c>
      <c r="DL12">
        <v>2.1000000000000001E-2</v>
      </c>
      <c r="DM12">
        <v>2.0067999999999984</v>
      </c>
      <c r="DN12" s="2">
        <v>45681</v>
      </c>
      <c r="DO12" t="s">
        <v>1770</v>
      </c>
      <c r="DP12">
        <v>5</v>
      </c>
      <c r="DQ12">
        <v>1.7000000000000001E-2</v>
      </c>
      <c r="DR12">
        <v>7.347266428300788</v>
      </c>
      <c r="DS12">
        <v>837.25558404574485</v>
      </c>
      <c r="DT12">
        <v>0.42399999999999999</v>
      </c>
      <c r="DU12">
        <v>2.1000000000000001E-2</v>
      </c>
      <c r="DV12">
        <v>2.0018000000000029</v>
      </c>
      <c r="DW12" s="2">
        <v>45681</v>
      </c>
      <c r="DX12" t="s">
        <v>1888</v>
      </c>
      <c r="DY12">
        <v>6</v>
      </c>
      <c r="DZ12">
        <v>1.6799999999999999E-2</v>
      </c>
      <c r="EA12">
        <v>7.3472757541280362</v>
      </c>
      <c r="EB12">
        <v>837.2564690667507</v>
      </c>
      <c r="EC12">
        <v>0.42399999999999999</v>
      </c>
      <c r="ED12">
        <v>2.1000000000000001E-2</v>
      </c>
      <c r="EE12">
        <v>2.0013999999999896</v>
      </c>
    </row>
    <row r="13" spans="1:135" x14ac:dyDescent="0.3">
      <c r="A13" s="2">
        <v>45681</v>
      </c>
      <c r="B13" t="s">
        <v>208</v>
      </c>
      <c r="C13">
        <v>0</v>
      </c>
      <c r="D13">
        <v>8.8999999999999999E-3</v>
      </c>
      <c r="E13">
        <v>6.8822417564663532</v>
      </c>
      <c r="F13">
        <v>793.12474268865697</v>
      </c>
      <c r="G13">
        <v>0.42399999999999999</v>
      </c>
      <c r="H13">
        <v>1.38E-2</v>
      </c>
      <c r="I13">
        <v>2.1990099999999995</v>
      </c>
      <c r="J13" s="2">
        <v>45681</v>
      </c>
      <c r="K13" t="s">
        <v>333</v>
      </c>
      <c r="L13">
        <v>0</v>
      </c>
      <c r="M13">
        <v>1.9900000000000001E-2</v>
      </c>
      <c r="N13">
        <v>7.3138528002085952</v>
      </c>
      <c r="O13">
        <v>729.65108097944108</v>
      </c>
      <c r="P13">
        <v>0.42399999999999999</v>
      </c>
      <c r="Q13">
        <v>2.0500000000000001E-2</v>
      </c>
      <c r="R13">
        <v>2.2002200000000016</v>
      </c>
      <c r="S13" s="2">
        <v>45681</v>
      </c>
      <c r="T13" t="s">
        <v>453</v>
      </c>
      <c r="U13">
        <v>1</v>
      </c>
      <c r="V13">
        <v>1.9199999999999998E-2</v>
      </c>
      <c r="W13">
        <v>7.3133609641888899</v>
      </c>
      <c r="X13">
        <v>729.60524186240457</v>
      </c>
      <c r="Y13">
        <v>0.42399999999999999</v>
      </c>
      <c r="Z13">
        <v>2.0500000000000001E-2</v>
      </c>
      <c r="AA13">
        <v>2.2010099999999966</v>
      </c>
      <c r="AB13" s="2">
        <v>45681</v>
      </c>
      <c r="AC13" t="s">
        <v>573</v>
      </c>
      <c r="AD13">
        <v>1</v>
      </c>
      <c r="AE13">
        <v>1.9300000000000001E-2</v>
      </c>
      <c r="AF13">
        <v>7.3134351653361316</v>
      </c>
      <c r="AG13">
        <v>729.61215740932755</v>
      </c>
      <c r="AH13">
        <v>0.42399999999999999</v>
      </c>
      <c r="AI13">
        <v>2.0500000000000001E-2</v>
      </c>
      <c r="AJ13">
        <v>2.2015999999999991</v>
      </c>
      <c r="AK13" s="2">
        <v>45681</v>
      </c>
      <c r="AL13" t="s">
        <v>691</v>
      </c>
      <c r="AM13">
        <v>2</v>
      </c>
      <c r="AN13">
        <v>1.9E-2</v>
      </c>
      <c r="AO13">
        <v>7.3137214276856088</v>
      </c>
      <c r="AP13">
        <v>729.63883706029878</v>
      </c>
      <c r="AQ13">
        <v>0.42399999999999999</v>
      </c>
      <c r="AR13">
        <v>2.0500000000000001E-2</v>
      </c>
      <c r="AS13">
        <v>2.1983999999999924</v>
      </c>
      <c r="AT13" s="2">
        <v>45681</v>
      </c>
      <c r="AU13" t="s">
        <v>811</v>
      </c>
      <c r="AV13">
        <v>2</v>
      </c>
      <c r="AW13">
        <v>1.83E-2</v>
      </c>
      <c r="AX13">
        <v>7.3143572058215511</v>
      </c>
      <c r="AY13">
        <v>729.69809158256862</v>
      </c>
      <c r="AZ13">
        <v>0.42399999999999999</v>
      </c>
      <c r="BA13">
        <v>2.0500000000000001E-2</v>
      </c>
      <c r="BB13">
        <v>2.1983000000000175</v>
      </c>
      <c r="BC13" s="2">
        <v>45681</v>
      </c>
      <c r="BD13" t="s">
        <v>931</v>
      </c>
      <c r="BE13">
        <v>2</v>
      </c>
      <c r="BF13">
        <v>1.84E-2</v>
      </c>
      <c r="BG13">
        <v>7.3138653698018432</v>
      </c>
      <c r="BH13">
        <v>729.65225246553177</v>
      </c>
      <c r="BI13">
        <v>0.42399999999999999</v>
      </c>
      <c r="BJ13">
        <v>2.0500000000000001E-2</v>
      </c>
      <c r="BK13">
        <v>2.2014000000000067</v>
      </c>
      <c r="BL13" s="2">
        <v>45681</v>
      </c>
      <c r="BM13" t="s">
        <v>1051</v>
      </c>
      <c r="BN13">
        <v>3</v>
      </c>
      <c r="BO13">
        <v>1.84E-2</v>
      </c>
      <c r="BP13">
        <v>7.3142489451313093</v>
      </c>
      <c r="BQ13">
        <v>729.68800168623807</v>
      </c>
      <c r="BR13">
        <v>0.42399999999999999</v>
      </c>
      <c r="BS13">
        <v>2.0500000000000001E-2</v>
      </c>
      <c r="BT13">
        <v>2.1982000000000141</v>
      </c>
      <c r="BU13" s="2">
        <v>45681</v>
      </c>
      <c r="BV13" t="s">
        <v>1171</v>
      </c>
      <c r="BW13">
        <v>3</v>
      </c>
      <c r="BX13">
        <v>1.8100000000000002E-2</v>
      </c>
      <c r="BY13">
        <v>7.3145952171517781</v>
      </c>
      <c r="BZ13">
        <v>729.7202742385457</v>
      </c>
      <c r="CA13">
        <v>0.42399999999999999</v>
      </c>
      <c r="CB13">
        <v>2.0500000000000001E-2</v>
      </c>
      <c r="CC13">
        <v>2.2005000000000052</v>
      </c>
      <c r="CD13" s="2">
        <v>45681</v>
      </c>
      <c r="CE13" t="s">
        <v>1291</v>
      </c>
      <c r="CF13">
        <v>4</v>
      </c>
      <c r="CG13">
        <v>1.8100000000000002E-2</v>
      </c>
      <c r="CH13">
        <v>7.3142550271925604</v>
      </c>
      <c r="CI13">
        <v>729.6885685343467</v>
      </c>
      <c r="CJ13">
        <v>0.42399999999999999</v>
      </c>
      <c r="CK13">
        <v>2.0500000000000001E-2</v>
      </c>
      <c r="CL13">
        <v>2.2008000000000152</v>
      </c>
      <c r="CM13" s="2">
        <v>45681</v>
      </c>
      <c r="CN13" t="s">
        <v>1411</v>
      </c>
      <c r="CO13">
        <v>4</v>
      </c>
      <c r="CP13">
        <v>1.78E-2</v>
      </c>
      <c r="CQ13">
        <v>7.3148672880250043</v>
      </c>
      <c r="CR13">
        <v>729.74563124393046</v>
      </c>
      <c r="CS13">
        <v>0.42399999999999999</v>
      </c>
      <c r="CT13">
        <v>2.0500000000000001E-2</v>
      </c>
      <c r="CU13">
        <v>2.1885999999999797</v>
      </c>
      <c r="CV13" s="2">
        <v>45681</v>
      </c>
      <c r="CW13" t="s">
        <v>1531</v>
      </c>
      <c r="CX13">
        <v>4</v>
      </c>
      <c r="CY13">
        <v>1.78E-2</v>
      </c>
      <c r="CZ13">
        <v>7.3146110305110259</v>
      </c>
      <c r="DA13">
        <v>729.7217480436276</v>
      </c>
      <c r="DB13">
        <v>0.42399999999999999</v>
      </c>
      <c r="DC13">
        <v>2.0500000000000001E-2</v>
      </c>
      <c r="DD13">
        <v>2.1969000000000278</v>
      </c>
      <c r="DE13" s="2">
        <v>45681</v>
      </c>
      <c r="DF13" t="s">
        <v>1651</v>
      </c>
      <c r="DG13">
        <v>5</v>
      </c>
      <c r="DH13">
        <v>1.77E-2</v>
      </c>
      <c r="DI13">
        <v>7.3140028243860806</v>
      </c>
      <c r="DJ13">
        <v>729.6650632327827</v>
      </c>
      <c r="DK13">
        <v>0.42399999999999999</v>
      </c>
      <c r="DL13">
        <v>2.0500000000000001E-2</v>
      </c>
      <c r="DM13">
        <v>2.1961999999999762</v>
      </c>
      <c r="DN13" s="2">
        <v>45681</v>
      </c>
      <c r="DO13" t="s">
        <v>1771</v>
      </c>
      <c r="DP13">
        <v>5</v>
      </c>
      <c r="DQ13">
        <v>1.7500000000000002E-2</v>
      </c>
      <c r="DR13">
        <v>7.3131634999336601</v>
      </c>
      <c r="DS13">
        <v>729.58683819381713</v>
      </c>
      <c r="DT13">
        <v>0.42399999999999999</v>
      </c>
      <c r="DU13">
        <v>2.0500000000000001E-2</v>
      </c>
      <c r="DV13">
        <v>2.1983999999999924</v>
      </c>
      <c r="DW13" s="2">
        <v>45681</v>
      </c>
      <c r="DX13" t="s">
        <v>1889</v>
      </c>
      <c r="DY13">
        <v>6</v>
      </c>
      <c r="DZ13">
        <v>1.7399999999999999E-2</v>
      </c>
      <c r="EA13">
        <v>7.3131667436996599</v>
      </c>
      <c r="EB13">
        <v>729.58714051280833</v>
      </c>
      <c r="EC13">
        <v>0.42399999999999999</v>
      </c>
      <c r="ED13">
        <v>2.0500000000000001E-2</v>
      </c>
      <c r="EE13">
        <v>2.1988999999999805</v>
      </c>
    </row>
    <row r="14" spans="1:135" x14ac:dyDescent="0.3">
      <c r="A14" s="2">
        <v>45681</v>
      </c>
      <c r="B14" t="s">
        <v>209</v>
      </c>
      <c r="C14">
        <v>0</v>
      </c>
      <c r="D14">
        <v>1.23E-2</v>
      </c>
      <c r="E14">
        <v>7.0690976804670003</v>
      </c>
      <c r="F14">
        <v>810.85736987631833</v>
      </c>
      <c r="G14">
        <v>0.42399999999999999</v>
      </c>
      <c r="H14">
        <v>1.67E-2</v>
      </c>
      <c r="I14">
        <v>2.3975500000000007</v>
      </c>
      <c r="J14" s="2">
        <v>45681</v>
      </c>
      <c r="K14" t="s">
        <v>334</v>
      </c>
      <c r="L14">
        <v>0</v>
      </c>
      <c r="M14">
        <v>1.9800000000000002E-2</v>
      </c>
      <c r="N14">
        <v>7.2168329755697274</v>
      </c>
      <c r="O14">
        <v>720.60883332309857</v>
      </c>
      <c r="P14">
        <v>0.42399999999999999</v>
      </c>
      <c r="Q14">
        <v>1.9E-2</v>
      </c>
      <c r="R14">
        <v>2.4013300000000015</v>
      </c>
      <c r="S14" s="2">
        <v>45681</v>
      </c>
      <c r="T14" t="s">
        <v>454</v>
      </c>
      <c r="U14">
        <v>1</v>
      </c>
      <c r="V14">
        <v>1.9099999999999999E-2</v>
      </c>
      <c r="W14">
        <v>7.2181422406213569</v>
      </c>
      <c r="X14">
        <v>720.73085682591045</v>
      </c>
      <c r="Y14">
        <v>0.42399999999999999</v>
      </c>
      <c r="Z14">
        <v>1.9E-2</v>
      </c>
      <c r="AA14">
        <v>2.398539999999997</v>
      </c>
      <c r="AB14" s="2">
        <v>45681</v>
      </c>
      <c r="AC14" t="s">
        <v>574</v>
      </c>
      <c r="AD14">
        <v>1</v>
      </c>
      <c r="AE14">
        <v>1.9400000000000001E-2</v>
      </c>
      <c r="AF14">
        <v>7.2180542534686154</v>
      </c>
      <c r="AG14">
        <v>720.722656423275</v>
      </c>
      <c r="AH14">
        <v>0.42399999999999999</v>
      </c>
      <c r="AI14">
        <v>1.9E-2</v>
      </c>
      <c r="AJ14">
        <v>2.3994900000000001</v>
      </c>
      <c r="AK14" s="2">
        <v>45681</v>
      </c>
      <c r="AL14" t="s">
        <v>692</v>
      </c>
      <c r="AM14">
        <v>2</v>
      </c>
      <c r="AN14">
        <v>1.9E-2</v>
      </c>
      <c r="AO14">
        <v>7.2177570434088922</v>
      </c>
      <c r="AP14">
        <v>720.69495644570873</v>
      </c>
      <c r="AQ14">
        <v>0.42399999999999999</v>
      </c>
      <c r="AR14">
        <v>1.9E-2</v>
      </c>
      <c r="AS14">
        <v>2.3977000000000004</v>
      </c>
      <c r="AT14" s="2">
        <v>45681</v>
      </c>
      <c r="AU14" t="s">
        <v>812</v>
      </c>
      <c r="AV14">
        <v>2</v>
      </c>
      <c r="AW14">
        <v>1.83E-2</v>
      </c>
      <c r="AX14">
        <v>7.2175445767359108</v>
      </c>
      <c r="AY14">
        <v>720.67515455178693</v>
      </c>
      <c r="AZ14">
        <v>0.42399999999999999</v>
      </c>
      <c r="BA14">
        <v>1.9E-2</v>
      </c>
      <c r="BB14">
        <v>2.3998000000000275</v>
      </c>
      <c r="BC14" s="2">
        <v>45681</v>
      </c>
      <c r="BD14" t="s">
        <v>932</v>
      </c>
      <c r="BE14">
        <v>2</v>
      </c>
      <c r="BF14">
        <v>1.83E-2</v>
      </c>
      <c r="BG14">
        <v>7.2190594154577736</v>
      </c>
      <c r="BH14">
        <v>720.81633752066455</v>
      </c>
      <c r="BI14">
        <v>0.42399999999999999</v>
      </c>
      <c r="BJ14">
        <v>1.9E-2</v>
      </c>
      <c r="BK14">
        <v>2.3990000000000009</v>
      </c>
      <c r="BL14" s="2">
        <v>45681</v>
      </c>
      <c r="BM14" t="s">
        <v>1052</v>
      </c>
      <c r="BN14">
        <v>3</v>
      </c>
      <c r="BO14">
        <v>1.84E-2</v>
      </c>
      <c r="BP14">
        <v>7.2178357047343846</v>
      </c>
      <c r="BQ14">
        <v>720.70228768124468</v>
      </c>
      <c r="BR14">
        <v>0.42399999999999999</v>
      </c>
      <c r="BS14">
        <v>1.9E-2</v>
      </c>
      <c r="BT14">
        <v>2.3988999999999976</v>
      </c>
      <c r="BU14" s="2">
        <v>45681</v>
      </c>
      <c r="BV14" t="s">
        <v>1172</v>
      </c>
      <c r="BW14">
        <v>3</v>
      </c>
      <c r="BX14">
        <v>1.8200000000000001E-2</v>
      </c>
      <c r="BY14">
        <v>7.2186904370753062</v>
      </c>
      <c r="BZ14">
        <v>720.78194873541861</v>
      </c>
      <c r="CA14">
        <v>0.42399999999999999</v>
      </c>
      <c r="CB14">
        <v>1.9E-2</v>
      </c>
      <c r="CC14">
        <v>2.4009000000000071</v>
      </c>
      <c r="CD14" s="2">
        <v>45681</v>
      </c>
      <c r="CE14" t="s">
        <v>1292</v>
      </c>
      <c r="CF14">
        <v>4</v>
      </c>
      <c r="CG14">
        <v>1.7999999999999999E-2</v>
      </c>
      <c r="CH14">
        <v>7.2189868361935297</v>
      </c>
      <c r="CI14">
        <v>720.809573133237</v>
      </c>
      <c r="CJ14">
        <v>0.42399999999999999</v>
      </c>
      <c r="CK14">
        <v>1.9E-2</v>
      </c>
      <c r="CL14">
        <v>2.3996999999999957</v>
      </c>
      <c r="CM14" s="2">
        <v>45681</v>
      </c>
      <c r="CN14" t="s">
        <v>1412</v>
      </c>
      <c r="CO14">
        <v>4</v>
      </c>
      <c r="CP14">
        <v>1.78E-2</v>
      </c>
      <c r="CQ14">
        <v>7.2198857648461976</v>
      </c>
      <c r="CR14">
        <v>720.89335328366565</v>
      </c>
      <c r="CS14">
        <v>0.42399999999999999</v>
      </c>
      <c r="CT14">
        <v>1.9E-2</v>
      </c>
      <c r="CU14">
        <v>2.3878999999999735</v>
      </c>
      <c r="CV14" s="2">
        <v>45681</v>
      </c>
      <c r="CW14" t="s">
        <v>1532</v>
      </c>
      <c r="CX14">
        <v>4</v>
      </c>
      <c r="CY14">
        <v>1.78E-2</v>
      </c>
      <c r="CZ14">
        <v>7.2175076788976646</v>
      </c>
      <c r="DA14">
        <v>720.67171567326238</v>
      </c>
      <c r="DB14">
        <v>0.42399999999999999</v>
      </c>
      <c r="DC14">
        <v>1.9E-2</v>
      </c>
      <c r="DD14">
        <v>2.3993000000000393</v>
      </c>
      <c r="DE14" s="2">
        <v>45681</v>
      </c>
      <c r="DF14" t="s">
        <v>1652</v>
      </c>
      <c r="DG14">
        <v>5</v>
      </c>
      <c r="DH14">
        <v>1.78E-2</v>
      </c>
      <c r="DI14">
        <v>7.2174407762239214</v>
      </c>
      <c r="DJ14">
        <v>720.66548034406946</v>
      </c>
      <c r="DK14">
        <v>0.42399999999999999</v>
      </c>
      <c r="DL14">
        <v>1.9E-2</v>
      </c>
      <c r="DM14">
        <v>2.3967999999999847</v>
      </c>
      <c r="DN14" s="2">
        <v>45681</v>
      </c>
      <c r="DO14" t="s">
        <v>1772</v>
      </c>
      <c r="DP14">
        <v>5</v>
      </c>
      <c r="DQ14">
        <v>1.7600000000000001E-2</v>
      </c>
      <c r="DR14">
        <v>7.2157892938593227</v>
      </c>
      <c r="DS14">
        <v>720.51156218768892</v>
      </c>
      <c r="DT14">
        <v>0.42399999999999999</v>
      </c>
      <c r="DU14">
        <v>1.9E-2</v>
      </c>
      <c r="DV14">
        <v>2.3991000000000327</v>
      </c>
      <c r="DW14" s="2">
        <v>45681</v>
      </c>
      <c r="DX14" t="s">
        <v>1890</v>
      </c>
      <c r="DY14">
        <v>6</v>
      </c>
      <c r="DZ14">
        <v>1.7500000000000002E-2</v>
      </c>
      <c r="EA14">
        <v>7.2148891487944047</v>
      </c>
      <c r="EB14">
        <v>720.4276686676385</v>
      </c>
      <c r="EC14">
        <v>0.42399999999999999</v>
      </c>
      <c r="ED14">
        <v>1.89E-2</v>
      </c>
      <c r="EE14">
        <v>2.4010000000000105</v>
      </c>
    </row>
    <row r="15" spans="1:135" x14ac:dyDescent="0.3">
      <c r="A15" s="2">
        <v>45681</v>
      </c>
      <c r="B15" t="s">
        <v>210</v>
      </c>
      <c r="C15">
        <v>0</v>
      </c>
      <c r="D15">
        <v>1.54E-2</v>
      </c>
      <c r="E15">
        <v>7.2189434508232848</v>
      </c>
      <c r="F15">
        <v>825.0777334831298</v>
      </c>
      <c r="G15">
        <v>0.42399999999999999</v>
      </c>
      <c r="H15">
        <v>1.9E-2</v>
      </c>
      <c r="I15">
        <v>2.5982600000000016</v>
      </c>
      <c r="J15" s="2">
        <v>45681</v>
      </c>
      <c r="K15" t="s">
        <v>335</v>
      </c>
      <c r="L15">
        <v>0</v>
      </c>
      <c r="M15">
        <v>1.9300000000000001E-2</v>
      </c>
      <c r="N15">
        <v>7.0666101174159772</v>
      </c>
      <c r="O15">
        <v>706.6080629431691</v>
      </c>
      <c r="P15">
        <v>0.42399999999999999</v>
      </c>
      <c r="Q15">
        <v>1.66E-2</v>
      </c>
      <c r="R15">
        <v>2.601549999999996</v>
      </c>
      <c r="S15" s="2">
        <v>45681</v>
      </c>
      <c r="T15" t="s">
        <v>455</v>
      </c>
      <c r="U15">
        <v>1</v>
      </c>
      <c r="V15">
        <v>1.8700000000000001E-2</v>
      </c>
      <c r="W15">
        <v>7.0663133128270053</v>
      </c>
      <c r="X15">
        <v>706.58040075547694</v>
      </c>
      <c r="Y15">
        <v>0.42399999999999999</v>
      </c>
      <c r="Z15">
        <v>1.66E-2</v>
      </c>
      <c r="AA15">
        <v>2.6012000000000057</v>
      </c>
      <c r="AB15" s="2">
        <v>45681</v>
      </c>
      <c r="AC15" t="s">
        <v>575</v>
      </c>
      <c r="AD15">
        <v>1</v>
      </c>
      <c r="AE15">
        <v>1.89E-2</v>
      </c>
      <c r="AF15">
        <v>7.0633700006530242</v>
      </c>
      <c r="AG15">
        <v>706.30608406086185</v>
      </c>
      <c r="AH15">
        <v>0.42399999999999999</v>
      </c>
      <c r="AI15">
        <v>1.66E-2</v>
      </c>
      <c r="AJ15">
        <v>2.6054199999999952</v>
      </c>
      <c r="AK15" s="2">
        <v>45681</v>
      </c>
      <c r="AL15" t="s">
        <v>693</v>
      </c>
      <c r="AM15">
        <v>2</v>
      </c>
      <c r="AN15">
        <v>1.8599999999999998E-2</v>
      </c>
      <c r="AO15">
        <v>7.0672831988609159</v>
      </c>
      <c r="AP15">
        <v>706.67079413383738</v>
      </c>
      <c r="AQ15">
        <v>0.42399999999999999</v>
      </c>
      <c r="AR15">
        <v>1.66E-2</v>
      </c>
      <c r="AS15">
        <v>2.5985999999999905</v>
      </c>
      <c r="AT15" s="2">
        <v>45681</v>
      </c>
      <c r="AU15" t="s">
        <v>813</v>
      </c>
      <c r="AV15">
        <v>2</v>
      </c>
      <c r="AW15">
        <v>1.7899999999999999E-2</v>
      </c>
      <c r="AX15">
        <v>7.0675171554836442</v>
      </c>
      <c r="AY15">
        <v>706.6925988910757</v>
      </c>
      <c r="AZ15">
        <v>0.42399999999999999</v>
      </c>
      <c r="BA15">
        <v>1.67E-2</v>
      </c>
      <c r="BB15">
        <v>2.6001000000000261</v>
      </c>
      <c r="BC15" s="2">
        <v>45681</v>
      </c>
      <c r="BD15" t="s">
        <v>933</v>
      </c>
      <c r="BE15">
        <v>2</v>
      </c>
      <c r="BF15">
        <v>1.83E-2</v>
      </c>
      <c r="BG15">
        <v>7.0687112668422856</v>
      </c>
      <c r="BH15">
        <v>706.80389006970108</v>
      </c>
      <c r="BI15">
        <v>0.42399999999999999</v>
      </c>
      <c r="BJ15">
        <v>1.67E-2</v>
      </c>
      <c r="BK15">
        <v>2.6003000000000043</v>
      </c>
      <c r="BL15" s="2">
        <v>45681</v>
      </c>
      <c r="BM15" t="s">
        <v>1053</v>
      </c>
      <c r="BN15">
        <v>3</v>
      </c>
      <c r="BO15">
        <v>1.8100000000000002E-2</v>
      </c>
      <c r="BP15">
        <v>7.0693198784379776</v>
      </c>
      <c r="BQ15">
        <v>706.86061267041964</v>
      </c>
      <c r="BR15">
        <v>0.42399999999999999</v>
      </c>
      <c r="BS15">
        <v>1.67E-2</v>
      </c>
      <c r="BT15">
        <v>2.5975999999999999</v>
      </c>
      <c r="BU15" s="2">
        <v>45681</v>
      </c>
      <c r="BV15" t="s">
        <v>1173</v>
      </c>
      <c r="BW15">
        <v>3</v>
      </c>
      <c r="BX15">
        <v>1.8200000000000001E-2</v>
      </c>
      <c r="BY15">
        <v>7.0689281936935151</v>
      </c>
      <c r="BZ15">
        <v>706.82410765223563</v>
      </c>
      <c r="CA15">
        <v>0.42399999999999999</v>
      </c>
      <c r="CB15">
        <v>1.67E-2</v>
      </c>
      <c r="CC15">
        <v>2.6013999999999839</v>
      </c>
      <c r="CD15" s="2">
        <v>45681</v>
      </c>
      <c r="CE15" t="s">
        <v>1293</v>
      </c>
      <c r="CF15">
        <v>4</v>
      </c>
      <c r="CG15">
        <v>1.7999999999999999E-2</v>
      </c>
      <c r="CH15">
        <v>7.068836151833275</v>
      </c>
      <c r="CI15">
        <v>706.8155293508612</v>
      </c>
      <c r="CJ15">
        <v>0.42399999999999999</v>
      </c>
      <c r="CK15">
        <v>1.67E-2</v>
      </c>
      <c r="CL15">
        <v>2.6007999999999925</v>
      </c>
      <c r="CM15" s="2">
        <v>45681</v>
      </c>
      <c r="CN15" t="s">
        <v>1413</v>
      </c>
      <c r="CO15">
        <v>4</v>
      </c>
      <c r="CP15">
        <v>1.78E-2</v>
      </c>
      <c r="CQ15">
        <v>7.0705606189328654</v>
      </c>
      <c r="CR15">
        <v>706.97624968454306</v>
      </c>
      <c r="CS15">
        <v>0.42399999999999999</v>
      </c>
      <c r="CT15">
        <v>1.67E-2</v>
      </c>
      <c r="CU15">
        <v>2.588499999999982</v>
      </c>
      <c r="CV15" s="2">
        <v>45681</v>
      </c>
      <c r="CW15" t="s">
        <v>1533</v>
      </c>
      <c r="CX15">
        <v>4</v>
      </c>
      <c r="CY15">
        <v>1.78E-2</v>
      </c>
      <c r="CZ15">
        <v>7.0677008337333787</v>
      </c>
      <c r="DA15">
        <v>706.7097177039509</v>
      </c>
      <c r="DB15">
        <v>0.42399999999999999</v>
      </c>
      <c r="DC15">
        <v>1.67E-2</v>
      </c>
      <c r="DD15">
        <v>2.5993000000000279</v>
      </c>
      <c r="DE15" s="2">
        <v>45681</v>
      </c>
      <c r="DF15" t="s">
        <v>1653</v>
      </c>
      <c r="DG15">
        <v>5</v>
      </c>
      <c r="DH15">
        <v>1.78E-2</v>
      </c>
      <c r="DI15">
        <v>7.0657853899105536</v>
      </c>
      <c r="DJ15">
        <v>706.53119833966366</v>
      </c>
      <c r="DK15">
        <v>0.42399999999999999</v>
      </c>
      <c r="DL15">
        <v>1.66E-2</v>
      </c>
      <c r="DM15">
        <v>2.5989000000000146</v>
      </c>
      <c r="DN15" s="2">
        <v>45681</v>
      </c>
      <c r="DO15" t="s">
        <v>1773</v>
      </c>
      <c r="DP15">
        <v>5</v>
      </c>
      <c r="DQ15">
        <v>1.7500000000000002E-2</v>
      </c>
      <c r="DR15">
        <v>7.0660112371182837</v>
      </c>
      <c r="DS15">
        <v>706.55224729942404</v>
      </c>
      <c r="DT15">
        <v>0.42399999999999999</v>
      </c>
      <c r="DU15">
        <v>1.66E-2</v>
      </c>
      <c r="DV15">
        <v>2.5982999999999947</v>
      </c>
      <c r="DW15" s="2">
        <v>45681</v>
      </c>
      <c r="DX15" t="s">
        <v>1891</v>
      </c>
      <c r="DY15">
        <v>6</v>
      </c>
      <c r="DZ15">
        <v>1.7500000000000002E-2</v>
      </c>
      <c r="EA15">
        <v>7.0646788602339052</v>
      </c>
      <c r="EB15">
        <v>706.42806977379996</v>
      </c>
      <c r="EC15">
        <v>0.42399999999999999</v>
      </c>
      <c r="ED15">
        <v>1.66E-2</v>
      </c>
      <c r="EE15">
        <v>2.6003999999999792</v>
      </c>
    </row>
    <row r="16" spans="1:135" x14ac:dyDescent="0.3">
      <c r="A16" s="2">
        <v>45681</v>
      </c>
      <c r="B16" t="s">
        <v>211</v>
      </c>
      <c r="C16">
        <v>0</v>
      </c>
      <c r="D16">
        <v>1.8200000000000001E-2</v>
      </c>
      <c r="E16">
        <v>7.3146694182990197</v>
      </c>
      <c r="F16">
        <v>834.16212779657701</v>
      </c>
      <c r="G16">
        <v>0.42399999999999999</v>
      </c>
      <c r="H16">
        <v>2.0500000000000001E-2</v>
      </c>
      <c r="I16">
        <v>2.7984799999999996</v>
      </c>
      <c r="J16" s="2">
        <v>45681</v>
      </c>
      <c r="K16" t="s">
        <v>336</v>
      </c>
      <c r="L16">
        <v>0</v>
      </c>
      <c r="M16">
        <v>1.8200000000000001E-2</v>
      </c>
      <c r="N16">
        <v>6.8784534432494508</v>
      </c>
      <c r="O16">
        <v>689.07186091084884</v>
      </c>
      <c r="P16">
        <v>0.42399999999999999</v>
      </c>
      <c r="Q16">
        <v>1.37E-2</v>
      </c>
      <c r="R16">
        <v>2.8009599999999963</v>
      </c>
      <c r="S16" s="2">
        <v>45681</v>
      </c>
      <c r="T16" t="s">
        <v>456</v>
      </c>
      <c r="U16">
        <v>1</v>
      </c>
      <c r="V16">
        <v>1.7999999999999999E-2</v>
      </c>
      <c r="W16">
        <v>6.875466745705225</v>
      </c>
      <c r="X16">
        <v>688.79350069972702</v>
      </c>
      <c r="Y16">
        <v>0.42399999999999999</v>
      </c>
      <c r="Z16">
        <v>1.37E-2</v>
      </c>
      <c r="AA16">
        <v>2.8032100000000071</v>
      </c>
      <c r="AB16" s="2">
        <v>45681</v>
      </c>
      <c r="AC16" t="s">
        <v>576</v>
      </c>
      <c r="AD16">
        <v>1</v>
      </c>
      <c r="AE16">
        <v>1.83E-2</v>
      </c>
      <c r="AF16">
        <v>6.8803469916517779</v>
      </c>
      <c r="AG16">
        <v>689.24833962194577</v>
      </c>
      <c r="AH16">
        <v>0.42399999999999999</v>
      </c>
      <c r="AI16">
        <v>1.37E-2</v>
      </c>
      <c r="AJ16">
        <v>2.799199999999999</v>
      </c>
      <c r="AK16" s="2">
        <v>45681</v>
      </c>
      <c r="AL16" t="s">
        <v>694</v>
      </c>
      <c r="AM16">
        <v>2</v>
      </c>
      <c r="AN16">
        <v>1.7999999999999999E-2</v>
      </c>
      <c r="AO16">
        <v>6.8798073100835779</v>
      </c>
      <c r="AP16">
        <v>689.19804129978945</v>
      </c>
      <c r="AQ16">
        <v>0.42399999999999999</v>
      </c>
      <c r="AR16">
        <v>1.37E-2</v>
      </c>
      <c r="AS16">
        <v>2.7973999999999961</v>
      </c>
      <c r="AT16" s="2">
        <v>45681</v>
      </c>
      <c r="AU16" t="s">
        <v>814</v>
      </c>
      <c r="AV16">
        <v>2</v>
      </c>
      <c r="AW16">
        <v>1.7399999999999999E-2</v>
      </c>
      <c r="AX16">
        <v>6.8807978751257357</v>
      </c>
      <c r="AY16">
        <v>689.29036196171853</v>
      </c>
      <c r="AZ16">
        <v>0.42399999999999999</v>
      </c>
      <c r="BA16">
        <v>1.38E-2</v>
      </c>
      <c r="BB16">
        <v>2.7982000000000085</v>
      </c>
      <c r="BC16" s="2">
        <v>45681</v>
      </c>
      <c r="BD16" t="s">
        <v>934</v>
      </c>
      <c r="BE16">
        <v>2</v>
      </c>
      <c r="BF16">
        <v>1.77E-2</v>
      </c>
      <c r="BG16">
        <v>6.8807094825022439</v>
      </c>
      <c r="BH16">
        <v>689.28212376920919</v>
      </c>
      <c r="BI16">
        <v>0.42399999999999999</v>
      </c>
      <c r="BJ16">
        <v>1.38E-2</v>
      </c>
      <c r="BK16">
        <v>2.799900000000008</v>
      </c>
      <c r="BL16" s="2">
        <v>45681</v>
      </c>
      <c r="BM16" t="s">
        <v>1054</v>
      </c>
      <c r="BN16">
        <v>3</v>
      </c>
      <c r="BO16">
        <v>1.7600000000000001E-2</v>
      </c>
      <c r="BP16">
        <v>6.8819640090026288</v>
      </c>
      <c r="BQ16">
        <v>689.39904563904497</v>
      </c>
      <c r="BR16">
        <v>0.42399999999999999</v>
      </c>
      <c r="BS16">
        <v>1.38E-2</v>
      </c>
      <c r="BT16">
        <v>2.7966999999999871</v>
      </c>
      <c r="BU16" s="2">
        <v>45681</v>
      </c>
      <c r="BV16" t="s">
        <v>1174</v>
      </c>
      <c r="BW16">
        <v>3</v>
      </c>
      <c r="BX16">
        <v>1.78E-2</v>
      </c>
      <c r="BY16">
        <v>6.8811311720822053</v>
      </c>
      <c r="BZ16">
        <v>689.32142523806158</v>
      </c>
      <c r="CA16">
        <v>0.42399999999999999</v>
      </c>
      <c r="CB16">
        <v>1.38E-2</v>
      </c>
      <c r="CC16">
        <v>2.8008000000000095</v>
      </c>
      <c r="CD16" s="2">
        <v>45681</v>
      </c>
      <c r="CE16" t="s">
        <v>1294</v>
      </c>
      <c r="CF16">
        <v>4</v>
      </c>
      <c r="CG16">
        <v>1.7600000000000001E-2</v>
      </c>
      <c r="CH16">
        <v>6.8827672465583074</v>
      </c>
      <c r="CI16">
        <v>689.47390737923422</v>
      </c>
      <c r="CJ16">
        <v>0.42399999999999999</v>
      </c>
      <c r="CK16">
        <v>1.38E-2</v>
      </c>
      <c r="CL16">
        <v>2.79849999999999</v>
      </c>
      <c r="CM16" s="2">
        <v>45681</v>
      </c>
      <c r="CN16" t="s">
        <v>1414</v>
      </c>
      <c r="CO16">
        <v>4</v>
      </c>
      <c r="CP16">
        <v>1.7299999999999999E-2</v>
      </c>
      <c r="CQ16">
        <v>6.8806210898787521</v>
      </c>
      <c r="CR16">
        <v>689.27388557669974</v>
      </c>
      <c r="CS16">
        <v>0.42399999999999999</v>
      </c>
      <c r="CT16">
        <v>1.37E-2</v>
      </c>
      <c r="CU16">
        <v>2.7902999999999736</v>
      </c>
      <c r="CV16" s="2">
        <v>45681</v>
      </c>
      <c r="CW16" t="s">
        <v>1534</v>
      </c>
      <c r="CX16">
        <v>4</v>
      </c>
      <c r="CY16">
        <v>1.7600000000000001E-2</v>
      </c>
      <c r="CZ16">
        <v>6.8783743764532073</v>
      </c>
      <c r="DA16">
        <v>689.06449188543888</v>
      </c>
      <c r="DB16">
        <v>0.42399999999999999</v>
      </c>
      <c r="DC16">
        <v>1.37E-2</v>
      </c>
      <c r="DD16">
        <v>2.8000000000000114</v>
      </c>
      <c r="DE16" s="2">
        <v>45681</v>
      </c>
      <c r="DF16" t="s">
        <v>1654</v>
      </c>
      <c r="DG16">
        <v>5</v>
      </c>
      <c r="DH16">
        <v>1.7600000000000001E-2</v>
      </c>
      <c r="DI16">
        <v>6.8790316445388981</v>
      </c>
      <c r="DJ16">
        <v>689.12574927102537</v>
      </c>
      <c r="DK16">
        <v>0.42399999999999999</v>
      </c>
      <c r="DL16">
        <v>1.37E-2</v>
      </c>
      <c r="DM16">
        <v>2.7968000000000188</v>
      </c>
      <c r="DN16" s="2">
        <v>45681</v>
      </c>
      <c r="DO16" t="s">
        <v>1774</v>
      </c>
      <c r="DP16">
        <v>5</v>
      </c>
      <c r="DQ16">
        <v>1.7399999999999999E-2</v>
      </c>
      <c r="DR16">
        <v>6.8764492013323837</v>
      </c>
      <c r="DS16">
        <v>688.88506556417815</v>
      </c>
      <c r="DT16">
        <v>0.42399999999999999</v>
      </c>
      <c r="DU16">
        <v>1.37E-2</v>
      </c>
      <c r="DV16">
        <v>2.799000000000035</v>
      </c>
      <c r="DW16" s="2">
        <v>45681</v>
      </c>
      <c r="DX16" t="s">
        <v>1892</v>
      </c>
      <c r="DY16">
        <v>6</v>
      </c>
      <c r="DZ16">
        <v>1.72E-2</v>
      </c>
      <c r="EA16">
        <v>6.8745714662893072</v>
      </c>
      <c r="EB16">
        <v>688.71006065816346</v>
      </c>
      <c r="EC16">
        <v>0.42399999999999999</v>
      </c>
      <c r="ED16">
        <v>1.37E-2</v>
      </c>
      <c r="EE16">
        <v>2.801400000000001</v>
      </c>
    </row>
    <row r="17" spans="1:135" x14ac:dyDescent="0.3">
      <c r="A17" s="2">
        <v>45681</v>
      </c>
      <c r="B17" t="s">
        <v>212</v>
      </c>
      <c r="C17">
        <v>0</v>
      </c>
      <c r="D17">
        <v>1.9300000000000001E-2</v>
      </c>
      <c r="E17">
        <v>7.3473017042560347</v>
      </c>
      <c r="F17">
        <v>837.25893173389773</v>
      </c>
      <c r="G17">
        <v>0.42399999999999999</v>
      </c>
      <c r="H17">
        <v>2.1000000000000001E-2</v>
      </c>
      <c r="I17">
        <v>2.9981500000000008</v>
      </c>
      <c r="J17" s="2">
        <v>45681</v>
      </c>
      <c r="K17" t="s">
        <v>337</v>
      </c>
      <c r="L17">
        <v>0</v>
      </c>
      <c r="M17">
        <v>1.61E-2</v>
      </c>
      <c r="N17">
        <v>6.6608741895826169</v>
      </c>
      <c r="O17">
        <v>668.79347446909992</v>
      </c>
      <c r="P17">
        <v>0.42399999999999999</v>
      </c>
      <c r="Q17">
        <v>1.03E-2</v>
      </c>
      <c r="R17">
        <v>3.0091099999999997</v>
      </c>
      <c r="S17" s="2">
        <v>45681</v>
      </c>
      <c r="T17" t="s">
        <v>457</v>
      </c>
      <c r="U17">
        <v>1</v>
      </c>
      <c r="V17">
        <v>1.6400000000000001E-2</v>
      </c>
      <c r="W17">
        <v>6.6700406668270276</v>
      </c>
      <c r="X17">
        <v>669.64779014827911</v>
      </c>
      <c r="Y17">
        <v>0.42399999999999999</v>
      </c>
      <c r="Z17">
        <v>1.0500000000000001E-2</v>
      </c>
      <c r="AA17">
        <v>2.9997800000000012</v>
      </c>
      <c r="AB17" s="2">
        <v>45681</v>
      </c>
      <c r="AC17" t="s">
        <v>577</v>
      </c>
      <c r="AD17">
        <v>1</v>
      </c>
      <c r="AE17">
        <v>1.67E-2</v>
      </c>
      <c r="AF17">
        <v>6.6707007732079679</v>
      </c>
      <c r="AG17">
        <v>669.70931206298258</v>
      </c>
      <c r="AH17">
        <v>0.42399999999999999</v>
      </c>
      <c r="AI17">
        <v>1.0500000000000001E-2</v>
      </c>
      <c r="AJ17">
        <v>2.9999600000000015</v>
      </c>
      <c r="AK17" s="2">
        <v>45681</v>
      </c>
      <c r="AL17" t="s">
        <v>695</v>
      </c>
      <c r="AM17">
        <v>2</v>
      </c>
      <c r="AN17">
        <v>1.6500000000000001E-2</v>
      </c>
      <c r="AO17">
        <v>6.668854664883388</v>
      </c>
      <c r="AP17">
        <v>669.5372547671318</v>
      </c>
      <c r="AQ17">
        <v>0.42399999999999999</v>
      </c>
      <c r="AR17">
        <v>1.0500000000000001E-2</v>
      </c>
      <c r="AS17">
        <v>2.9993999999999943</v>
      </c>
      <c r="AT17" s="2">
        <v>45681</v>
      </c>
      <c r="AU17" t="s">
        <v>815</v>
      </c>
      <c r="AV17">
        <v>2</v>
      </c>
      <c r="AW17">
        <v>1.6500000000000001E-2</v>
      </c>
      <c r="AX17">
        <v>6.6706902309684697</v>
      </c>
      <c r="AY17">
        <v>669.70832952626142</v>
      </c>
      <c r="AZ17">
        <v>0.42399999999999999</v>
      </c>
      <c r="BA17">
        <v>1.0500000000000001E-2</v>
      </c>
      <c r="BB17">
        <v>2.9995000000000118</v>
      </c>
      <c r="BC17" s="2">
        <v>45681</v>
      </c>
      <c r="BD17" t="s">
        <v>935</v>
      </c>
      <c r="BE17">
        <v>2</v>
      </c>
      <c r="BF17">
        <v>1.6199999999999999E-2</v>
      </c>
      <c r="BG17">
        <v>6.6665860560373442</v>
      </c>
      <c r="BH17">
        <v>669.32582042268052</v>
      </c>
      <c r="BI17">
        <v>0.42399999999999999</v>
      </c>
      <c r="BJ17">
        <v>1.04E-2</v>
      </c>
      <c r="BK17">
        <v>3.0049000000000206</v>
      </c>
      <c r="BL17" s="2">
        <v>45681</v>
      </c>
      <c r="BM17" t="s">
        <v>1055</v>
      </c>
      <c r="BN17">
        <v>3</v>
      </c>
      <c r="BO17">
        <v>1.6899999999999998E-2</v>
      </c>
      <c r="BP17">
        <v>6.6688960228998839</v>
      </c>
      <c r="BQ17">
        <v>669.54110933426921</v>
      </c>
      <c r="BR17">
        <v>0.42399999999999999</v>
      </c>
      <c r="BS17">
        <v>1.0500000000000001E-2</v>
      </c>
      <c r="BT17">
        <v>3.0007999999999981</v>
      </c>
      <c r="BU17" s="2">
        <v>45681</v>
      </c>
      <c r="BV17" t="s">
        <v>1175</v>
      </c>
      <c r="BW17">
        <v>3</v>
      </c>
      <c r="BX17">
        <v>1.6899999999999998E-2</v>
      </c>
      <c r="BY17">
        <v>6.6723295492105681</v>
      </c>
      <c r="BZ17">
        <v>669.86111398642493</v>
      </c>
      <c r="CA17">
        <v>0.42399999999999999</v>
      </c>
      <c r="CB17">
        <v>1.0500000000000001E-2</v>
      </c>
      <c r="CC17">
        <v>3.0007999999999981</v>
      </c>
      <c r="CD17" s="2">
        <v>45681</v>
      </c>
      <c r="CE17" t="s">
        <v>1295</v>
      </c>
      <c r="CF17">
        <v>4</v>
      </c>
      <c r="CG17">
        <v>1.67E-2</v>
      </c>
      <c r="CH17">
        <v>6.666874751211318</v>
      </c>
      <c r="CI17">
        <v>669.35272681289484</v>
      </c>
      <c r="CJ17">
        <v>0.42399999999999999</v>
      </c>
      <c r="CK17">
        <v>1.04E-2</v>
      </c>
      <c r="CL17">
        <v>3.0053000000000054</v>
      </c>
      <c r="CM17" s="2">
        <v>45681</v>
      </c>
      <c r="CN17" t="s">
        <v>1415</v>
      </c>
      <c r="CO17">
        <v>4</v>
      </c>
      <c r="CP17">
        <v>1.67E-2</v>
      </c>
      <c r="CQ17">
        <v>6.6721645226153337</v>
      </c>
      <c r="CR17">
        <v>669.84573350774906</v>
      </c>
      <c r="CS17">
        <v>0.42399999999999999</v>
      </c>
      <c r="CT17">
        <v>1.0500000000000001E-2</v>
      </c>
      <c r="CU17">
        <v>2.9899999999999807</v>
      </c>
      <c r="CV17" s="2">
        <v>45681</v>
      </c>
      <c r="CW17" t="s">
        <v>1535</v>
      </c>
      <c r="CX17">
        <v>4</v>
      </c>
      <c r="CY17">
        <v>1.6799999999999999E-2</v>
      </c>
      <c r="CZ17">
        <v>6.6712465368374172</v>
      </c>
      <c r="DA17">
        <v>669.7601772332473</v>
      </c>
      <c r="DB17">
        <v>0.42399999999999999</v>
      </c>
      <c r="DC17">
        <v>1.0500000000000001E-2</v>
      </c>
      <c r="DD17">
        <v>2.9983000000000288</v>
      </c>
      <c r="DE17" s="2">
        <v>45681</v>
      </c>
      <c r="DF17" t="s">
        <v>1655</v>
      </c>
      <c r="DG17">
        <v>5</v>
      </c>
      <c r="DH17">
        <v>1.7000000000000001E-2</v>
      </c>
      <c r="DI17">
        <v>6.6691741758343586</v>
      </c>
      <c r="DJ17">
        <v>669.56703318776226</v>
      </c>
      <c r="DK17">
        <v>0.42399999999999999</v>
      </c>
      <c r="DL17">
        <v>1.0500000000000001E-2</v>
      </c>
      <c r="DM17">
        <v>2.9977000000000089</v>
      </c>
      <c r="DN17" s="2">
        <v>45681</v>
      </c>
      <c r="DO17" t="s">
        <v>1775</v>
      </c>
      <c r="DP17">
        <v>5</v>
      </c>
      <c r="DQ17">
        <v>1.6500000000000001E-2</v>
      </c>
      <c r="DR17">
        <v>6.668256190056443</v>
      </c>
      <c r="DS17">
        <v>669.48147691326051</v>
      </c>
      <c r="DT17">
        <v>0.42399999999999999</v>
      </c>
      <c r="DU17">
        <v>1.04E-2</v>
      </c>
      <c r="DV17">
        <v>2.9983000000000288</v>
      </c>
      <c r="DW17" s="2">
        <v>45681</v>
      </c>
      <c r="DX17" t="s">
        <v>1893</v>
      </c>
      <c r="DY17">
        <v>6</v>
      </c>
      <c r="DZ17">
        <v>1.66E-2</v>
      </c>
      <c r="EA17">
        <v>6.6656267122429318</v>
      </c>
      <c r="EB17">
        <v>669.23640958104124</v>
      </c>
      <c r="EC17">
        <v>0.42399999999999999</v>
      </c>
      <c r="ED17">
        <v>1.04E-2</v>
      </c>
      <c r="EE17">
        <v>3.0013000000000147</v>
      </c>
    </row>
    <row r="18" spans="1:135" x14ac:dyDescent="0.3">
      <c r="A18" s="2">
        <v>45681</v>
      </c>
      <c r="B18" t="s">
        <v>213</v>
      </c>
      <c r="C18">
        <v>0</v>
      </c>
      <c r="D18">
        <v>2.06E-2</v>
      </c>
      <c r="E18">
        <v>7.3138978074618413</v>
      </c>
      <c r="F18">
        <v>729.65527565544357</v>
      </c>
      <c r="G18">
        <v>0.42399999999999999</v>
      </c>
      <c r="H18">
        <v>2.0500000000000001E-2</v>
      </c>
      <c r="I18">
        <v>3.1981300000000008</v>
      </c>
      <c r="J18" s="2">
        <v>45681</v>
      </c>
      <c r="K18" t="s">
        <v>338</v>
      </c>
      <c r="L18">
        <v>0</v>
      </c>
      <c r="M18">
        <v>1.2999999999999999E-2</v>
      </c>
      <c r="N18">
        <v>6.461056987588659</v>
      </c>
      <c r="O18">
        <v>650.17051124326304</v>
      </c>
      <c r="P18">
        <v>0.42399999999999999</v>
      </c>
      <c r="Q18">
        <v>7.1999999999999998E-3</v>
      </c>
      <c r="R18">
        <v>3.2006999999999977</v>
      </c>
      <c r="S18" s="2">
        <v>45681</v>
      </c>
      <c r="T18" t="s">
        <v>458</v>
      </c>
      <c r="U18">
        <v>1</v>
      </c>
      <c r="V18">
        <v>1.3299999999999999E-2</v>
      </c>
      <c r="W18">
        <v>6.4615269281878662</v>
      </c>
      <c r="X18">
        <v>650.21430970710912</v>
      </c>
      <c r="Y18">
        <v>0.42399999999999999</v>
      </c>
      <c r="Z18">
        <v>7.1999999999999998E-3</v>
      </c>
      <c r="AA18">
        <v>3.1995399999999989</v>
      </c>
      <c r="AB18" s="2">
        <v>45681</v>
      </c>
      <c r="AC18" t="s">
        <v>578</v>
      </c>
      <c r="AD18">
        <v>1</v>
      </c>
      <c r="AE18">
        <v>1.3899999999999999E-2</v>
      </c>
      <c r="AF18">
        <v>6.4627429349670047</v>
      </c>
      <c r="AG18">
        <v>650.32764153892481</v>
      </c>
      <c r="AH18">
        <v>0.42399999999999999</v>
      </c>
      <c r="AI18">
        <v>7.3000000000000001E-3</v>
      </c>
      <c r="AJ18">
        <v>3.1991399999999999</v>
      </c>
      <c r="AK18" s="2">
        <v>45681</v>
      </c>
      <c r="AL18" t="s">
        <v>696</v>
      </c>
      <c r="AM18">
        <v>2</v>
      </c>
      <c r="AN18">
        <v>1.3599999999999999E-2</v>
      </c>
      <c r="AO18">
        <v>6.4622231214655521</v>
      </c>
      <c r="AP18">
        <v>650.27919492058948</v>
      </c>
      <c r="AQ18">
        <v>0.42399999999999999</v>
      </c>
      <c r="AR18">
        <v>7.1999999999999998E-3</v>
      </c>
      <c r="AS18">
        <v>3.1974000000000018</v>
      </c>
      <c r="AT18" s="2">
        <v>45681</v>
      </c>
      <c r="AU18" t="s">
        <v>816</v>
      </c>
      <c r="AV18">
        <v>2</v>
      </c>
      <c r="AW18">
        <v>1.4E-2</v>
      </c>
      <c r="AX18">
        <v>6.462997570597981</v>
      </c>
      <c r="AY18">
        <v>650.3513735797319</v>
      </c>
      <c r="AZ18">
        <v>0.42399999999999999</v>
      </c>
      <c r="BA18">
        <v>7.3000000000000001E-3</v>
      </c>
      <c r="BB18">
        <v>3.1984000000000208</v>
      </c>
      <c r="BC18" s="2">
        <v>45681</v>
      </c>
      <c r="BD18" t="s">
        <v>936</v>
      </c>
      <c r="BE18">
        <v>2</v>
      </c>
      <c r="BF18">
        <v>1.3599999999999999E-2</v>
      </c>
      <c r="BG18">
        <v>6.4620560675165679</v>
      </c>
      <c r="BH18">
        <v>650.26362549254418</v>
      </c>
      <c r="BI18">
        <v>0.42399999999999999</v>
      </c>
      <c r="BJ18">
        <v>7.1999999999999998E-3</v>
      </c>
      <c r="BK18">
        <v>3.2009000000000185</v>
      </c>
      <c r="BL18" s="2">
        <v>45681</v>
      </c>
      <c r="BM18" t="s">
        <v>1056</v>
      </c>
      <c r="BN18">
        <v>3</v>
      </c>
      <c r="BO18">
        <v>1.47E-2</v>
      </c>
      <c r="BP18">
        <v>6.4631642190762157</v>
      </c>
      <c r="BQ18">
        <v>650.36690521790331</v>
      </c>
      <c r="BR18">
        <v>0.42399999999999999</v>
      </c>
      <c r="BS18">
        <v>7.3000000000000001E-3</v>
      </c>
      <c r="BT18">
        <v>3.1978000000000009</v>
      </c>
      <c r="BU18" s="2">
        <v>45681</v>
      </c>
      <c r="BV18" t="s">
        <v>1176</v>
      </c>
      <c r="BW18">
        <v>3</v>
      </c>
      <c r="BX18">
        <v>1.44E-2</v>
      </c>
      <c r="BY18">
        <v>6.4629189092724886</v>
      </c>
      <c r="BZ18">
        <v>650.34404234419594</v>
      </c>
      <c r="CA18">
        <v>0.42399999999999999</v>
      </c>
      <c r="CB18">
        <v>7.3000000000000001E-3</v>
      </c>
      <c r="CC18">
        <v>3.2014000000000067</v>
      </c>
      <c r="CD18" s="2">
        <v>45681</v>
      </c>
      <c r="CE18" t="s">
        <v>1296</v>
      </c>
      <c r="CF18">
        <v>4</v>
      </c>
      <c r="CG18">
        <v>1.49E-2</v>
      </c>
      <c r="CH18">
        <v>6.4627522607942538</v>
      </c>
      <c r="CI18">
        <v>650.32851070602442</v>
      </c>
      <c r="CJ18">
        <v>0.42399999999999999</v>
      </c>
      <c r="CK18">
        <v>7.3000000000000001E-3</v>
      </c>
      <c r="CL18">
        <v>3.2008000000000152</v>
      </c>
      <c r="CM18" s="2">
        <v>45681</v>
      </c>
      <c r="CN18" t="s">
        <v>1416</v>
      </c>
      <c r="CO18">
        <v>4</v>
      </c>
      <c r="CP18">
        <v>1.49E-2</v>
      </c>
      <c r="CQ18">
        <v>6.4620560675165679</v>
      </c>
      <c r="CR18">
        <v>650.26362549254418</v>
      </c>
      <c r="CS18">
        <v>0.42399999999999999</v>
      </c>
      <c r="CT18">
        <v>7.1999999999999998E-3</v>
      </c>
      <c r="CU18">
        <v>3.1912000000000091</v>
      </c>
      <c r="CV18" s="2">
        <v>45681</v>
      </c>
      <c r="CW18" t="s">
        <v>1536</v>
      </c>
      <c r="CX18">
        <v>4</v>
      </c>
      <c r="CY18">
        <v>1.5100000000000001E-2</v>
      </c>
      <c r="CZ18">
        <v>6.4635368466954306</v>
      </c>
      <c r="DA18">
        <v>650.40163411201422</v>
      </c>
      <c r="DB18">
        <v>0.42399999999999999</v>
      </c>
      <c r="DC18">
        <v>7.3000000000000001E-3</v>
      </c>
      <c r="DD18">
        <v>3.1973000000000411</v>
      </c>
      <c r="DE18" s="2">
        <v>45681</v>
      </c>
      <c r="DF18" t="s">
        <v>1656</v>
      </c>
      <c r="DG18">
        <v>5</v>
      </c>
      <c r="DH18">
        <v>1.5299999999999999E-2</v>
      </c>
      <c r="DI18">
        <v>6.4620167368538217</v>
      </c>
      <c r="DJ18">
        <v>650.2599598747762</v>
      </c>
      <c r="DK18">
        <v>0.42399999999999999</v>
      </c>
      <c r="DL18">
        <v>7.1999999999999998E-3</v>
      </c>
      <c r="DM18">
        <v>3.1961999999999762</v>
      </c>
      <c r="DN18" s="2">
        <v>45681</v>
      </c>
      <c r="DO18" t="s">
        <v>1776</v>
      </c>
      <c r="DP18">
        <v>5</v>
      </c>
      <c r="DQ18">
        <v>1.49E-2</v>
      </c>
      <c r="DR18">
        <v>6.4602233397267348</v>
      </c>
      <c r="DS18">
        <v>650.09281526253164</v>
      </c>
      <c r="DT18">
        <v>0.42399999999999999</v>
      </c>
      <c r="DU18">
        <v>7.1999999999999998E-3</v>
      </c>
      <c r="DV18">
        <v>3.1976000000000226</v>
      </c>
      <c r="DW18" s="2">
        <v>45681</v>
      </c>
      <c r="DX18" t="s">
        <v>1894</v>
      </c>
      <c r="DY18">
        <v>6</v>
      </c>
      <c r="DZ18">
        <v>1.49E-2</v>
      </c>
      <c r="EA18">
        <v>6.4582361275811664</v>
      </c>
      <c r="EB18">
        <v>649.90760709056474</v>
      </c>
      <c r="EC18">
        <v>0.42399999999999999</v>
      </c>
      <c r="ED18">
        <v>7.1999999999999998E-3</v>
      </c>
      <c r="EE18">
        <v>3.2001000000000204</v>
      </c>
    </row>
    <row r="19" spans="1:135" x14ac:dyDescent="0.3">
      <c r="A19" s="2">
        <v>45681</v>
      </c>
      <c r="B19" t="s">
        <v>214</v>
      </c>
      <c r="C19">
        <v>0</v>
      </c>
      <c r="D19">
        <v>2.0299999999999999E-2</v>
      </c>
      <c r="E19">
        <v>7.2173730626086758</v>
      </c>
      <c r="F19">
        <v>720.65916943512866</v>
      </c>
      <c r="G19">
        <v>0.42399999999999999</v>
      </c>
      <c r="H19">
        <v>1.9E-2</v>
      </c>
      <c r="I19">
        <v>3.3985199999999995</v>
      </c>
      <c r="J19" s="2">
        <v>45681</v>
      </c>
      <c r="K19" t="s">
        <v>339</v>
      </c>
      <c r="L19">
        <v>0</v>
      </c>
      <c r="M19">
        <v>8.6999999999999994E-3</v>
      </c>
      <c r="N19">
        <v>6.2739742837975587</v>
      </c>
      <c r="O19">
        <v>632.73440324993248</v>
      </c>
      <c r="P19">
        <v>0.42399999999999999</v>
      </c>
      <c r="Q19">
        <v>4.3E-3</v>
      </c>
      <c r="R19">
        <v>3.3994599999999977</v>
      </c>
      <c r="S19" s="2">
        <v>45681</v>
      </c>
      <c r="T19" t="s">
        <v>459</v>
      </c>
      <c r="U19">
        <v>1</v>
      </c>
      <c r="V19">
        <v>8.8999999999999999E-3</v>
      </c>
      <c r="W19">
        <v>6.2734740950804042</v>
      </c>
      <c r="X19">
        <v>632.68778566149365</v>
      </c>
      <c r="Y19">
        <v>0.42399999999999999</v>
      </c>
      <c r="Z19">
        <v>4.3E-3</v>
      </c>
      <c r="AA19">
        <v>3.3993499999999983</v>
      </c>
      <c r="AB19" s="2">
        <v>45681</v>
      </c>
      <c r="AC19" t="s">
        <v>579</v>
      </c>
      <c r="AD19">
        <v>1</v>
      </c>
      <c r="AE19">
        <v>9.7000000000000003E-3</v>
      </c>
      <c r="AF19">
        <v>6.2733365188549417</v>
      </c>
      <c r="AG19">
        <v>632.67496355728053</v>
      </c>
      <c r="AH19">
        <v>0.42399999999999999</v>
      </c>
      <c r="AI19">
        <v>4.3E-3</v>
      </c>
      <c r="AJ19">
        <v>3.4003200000000078</v>
      </c>
      <c r="AK19" s="2">
        <v>45681</v>
      </c>
      <c r="AL19" t="s">
        <v>697</v>
      </c>
      <c r="AM19">
        <v>2</v>
      </c>
      <c r="AN19">
        <v>9.7999999999999997E-3</v>
      </c>
      <c r="AO19">
        <v>6.272994950295173</v>
      </c>
      <c r="AP19">
        <v>632.64312936751014</v>
      </c>
      <c r="AQ19">
        <v>0.42399999999999999</v>
      </c>
      <c r="AR19">
        <v>4.3E-3</v>
      </c>
      <c r="AS19">
        <v>3.3983999999999952</v>
      </c>
      <c r="AT19" s="2">
        <v>45681</v>
      </c>
      <c r="AU19" t="s">
        <v>817</v>
      </c>
      <c r="AV19">
        <v>2</v>
      </c>
      <c r="AW19">
        <v>1.04E-2</v>
      </c>
      <c r="AX19">
        <v>6.2745538231404803</v>
      </c>
      <c r="AY19">
        <v>632.78841631669275</v>
      </c>
      <c r="AZ19">
        <v>0.42399999999999999</v>
      </c>
      <c r="BA19">
        <v>4.3E-3</v>
      </c>
      <c r="BB19">
        <v>3.3984000000000094</v>
      </c>
      <c r="BC19" s="2">
        <v>45681</v>
      </c>
      <c r="BD19" t="s">
        <v>937</v>
      </c>
      <c r="BE19">
        <v>2</v>
      </c>
      <c r="BF19">
        <v>1.04E-2</v>
      </c>
      <c r="BG19">
        <v>6.2753553171719316</v>
      </c>
      <c r="BH19">
        <v>632.86311556042403</v>
      </c>
      <c r="BI19">
        <v>0.42399999999999999</v>
      </c>
      <c r="BJ19">
        <v>4.3E-3</v>
      </c>
      <c r="BK19">
        <v>3.3991000000000042</v>
      </c>
      <c r="BL19" s="2">
        <v>45681</v>
      </c>
      <c r="BM19" t="s">
        <v>1057</v>
      </c>
      <c r="BN19">
        <v>3</v>
      </c>
      <c r="BO19">
        <v>1.09E-2</v>
      </c>
      <c r="BP19">
        <v>6.2743951624360204</v>
      </c>
      <c r="BQ19">
        <v>632.7736291390371</v>
      </c>
      <c r="BR19">
        <v>0.42399999999999999</v>
      </c>
      <c r="BS19">
        <v>4.3E-3</v>
      </c>
      <c r="BT19">
        <v>3.3982000000000028</v>
      </c>
      <c r="BU19" s="2">
        <v>45681</v>
      </c>
      <c r="BV19" t="s">
        <v>1177</v>
      </c>
      <c r="BW19">
        <v>3</v>
      </c>
      <c r="BX19">
        <v>1.11E-2</v>
      </c>
      <c r="BY19">
        <v>6.2738196372535233</v>
      </c>
      <c r="BZ19">
        <v>632.71999019202838</v>
      </c>
      <c r="CA19">
        <v>0.42399999999999999</v>
      </c>
      <c r="CB19">
        <v>4.3E-3</v>
      </c>
      <c r="CC19">
        <v>3.4021999999999935</v>
      </c>
      <c r="CD19" s="2">
        <v>45681</v>
      </c>
      <c r="CE19" t="s">
        <v>1297</v>
      </c>
      <c r="CF19">
        <v>4</v>
      </c>
      <c r="CG19">
        <v>1.15E-2</v>
      </c>
      <c r="CH19">
        <v>6.275981972216</v>
      </c>
      <c r="CI19">
        <v>632.92151981053121</v>
      </c>
      <c r="CJ19">
        <v>0.42399999999999999</v>
      </c>
      <c r="CK19">
        <v>4.4000000000000003E-3</v>
      </c>
      <c r="CL19">
        <v>3.3988999999999976</v>
      </c>
      <c r="CM19" s="2">
        <v>45681</v>
      </c>
      <c r="CN19" t="s">
        <v>1417</v>
      </c>
      <c r="CO19">
        <v>4</v>
      </c>
      <c r="CP19">
        <v>1.17E-2</v>
      </c>
      <c r="CQ19">
        <v>6.2753551144365574</v>
      </c>
      <c r="CR19">
        <v>632.86309666548721</v>
      </c>
      <c r="CS19">
        <v>0.42399999999999999</v>
      </c>
      <c r="CT19">
        <v>4.3E-3</v>
      </c>
      <c r="CU19">
        <v>3.3893999999999949</v>
      </c>
      <c r="CV19" s="2">
        <v>45681</v>
      </c>
      <c r="CW19" t="s">
        <v>1537</v>
      </c>
      <c r="CX19">
        <v>4</v>
      </c>
      <c r="CY19">
        <v>1.17E-2</v>
      </c>
      <c r="CZ19">
        <v>6.2746119270989507</v>
      </c>
      <c r="DA19">
        <v>632.79383160562224</v>
      </c>
      <c r="DB19">
        <v>0.42399999999999999</v>
      </c>
      <c r="DC19">
        <v>4.3E-3</v>
      </c>
      <c r="DD19">
        <v>3.397700000000043</v>
      </c>
      <c r="DE19" s="2">
        <v>45681</v>
      </c>
      <c r="DF19" t="s">
        <v>1657</v>
      </c>
      <c r="DG19">
        <v>5</v>
      </c>
      <c r="DH19">
        <v>1.2E-2</v>
      </c>
      <c r="DI19">
        <v>6.273219459449427</v>
      </c>
      <c r="DJ19">
        <v>632.66405362068667</v>
      </c>
      <c r="DK19">
        <v>0.42399999999999999</v>
      </c>
      <c r="DL19">
        <v>4.3E-3</v>
      </c>
      <c r="DM19">
        <v>3.3967000000000098</v>
      </c>
      <c r="DN19" s="2">
        <v>45681</v>
      </c>
      <c r="DO19" t="s">
        <v>1777</v>
      </c>
      <c r="DP19">
        <v>5</v>
      </c>
      <c r="DQ19">
        <v>1.18E-2</v>
      </c>
      <c r="DR19">
        <v>6.2698864493376574</v>
      </c>
      <c r="DS19">
        <v>632.35341707826967</v>
      </c>
      <c r="DT19">
        <v>0.42399999999999999</v>
      </c>
      <c r="DU19">
        <v>4.3E-3</v>
      </c>
      <c r="DV19">
        <v>3.4003999999999905</v>
      </c>
      <c r="DW19" s="2">
        <v>45681</v>
      </c>
      <c r="DX19" t="s">
        <v>1895</v>
      </c>
      <c r="DY19">
        <v>6</v>
      </c>
      <c r="DZ19">
        <v>1.2500000000000001E-2</v>
      </c>
      <c r="EA19">
        <v>6.2702928121232713</v>
      </c>
      <c r="EB19">
        <v>632.39129008988891</v>
      </c>
      <c r="EC19">
        <v>0.42399999999999999</v>
      </c>
      <c r="ED19">
        <v>4.3E-3</v>
      </c>
      <c r="EE19">
        <v>3.4003999999999905</v>
      </c>
    </row>
    <row r="20" spans="1:135" x14ac:dyDescent="0.3">
      <c r="A20" s="2">
        <v>45681</v>
      </c>
      <c r="B20" t="s">
        <v>215</v>
      </c>
      <c r="C20">
        <v>0</v>
      </c>
      <c r="D20">
        <v>1.9300000000000001E-2</v>
      </c>
      <c r="E20">
        <v>7.06843189749556</v>
      </c>
      <c r="F20">
        <v>706.77785284658626</v>
      </c>
      <c r="G20">
        <v>0.42399999999999999</v>
      </c>
      <c r="H20">
        <v>1.67E-2</v>
      </c>
      <c r="I20">
        <v>3.5974799999999991</v>
      </c>
      <c r="J20" s="2">
        <v>45681</v>
      </c>
      <c r="K20" t="s">
        <v>340</v>
      </c>
      <c r="L20">
        <v>0</v>
      </c>
      <c r="M20">
        <v>4.7999999999999996E-3</v>
      </c>
      <c r="N20">
        <v>6.1245149270659898</v>
      </c>
      <c r="O20">
        <v>618.80479120255029</v>
      </c>
      <c r="P20">
        <v>0.42399999999999999</v>
      </c>
      <c r="Q20">
        <v>2E-3</v>
      </c>
      <c r="R20">
        <v>3.5995300000000015</v>
      </c>
      <c r="S20" s="2">
        <v>45681</v>
      </c>
      <c r="T20" t="s">
        <v>460</v>
      </c>
      <c r="U20">
        <v>1</v>
      </c>
      <c r="V20">
        <v>5.0000000000000001E-3</v>
      </c>
      <c r="W20">
        <v>6.1193220631712144</v>
      </c>
      <c r="X20">
        <v>618.32081628755725</v>
      </c>
      <c r="Y20">
        <v>0.42399999999999999</v>
      </c>
      <c r="Z20">
        <v>1.9E-3</v>
      </c>
      <c r="AA20">
        <v>3.6072500000000076</v>
      </c>
      <c r="AB20" s="2">
        <v>45681</v>
      </c>
      <c r="AC20" t="s">
        <v>580</v>
      </c>
      <c r="AD20">
        <v>1</v>
      </c>
      <c r="AE20">
        <v>5.4999999999999997E-3</v>
      </c>
      <c r="AF20">
        <v>6.1246814133559253</v>
      </c>
      <c r="AG20">
        <v>618.82030772477231</v>
      </c>
      <c r="AH20">
        <v>0.42399999999999999</v>
      </c>
      <c r="AI20">
        <v>2E-3</v>
      </c>
      <c r="AJ20">
        <v>3.5993799999999965</v>
      </c>
      <c r="AK20" s="2">
        <v>45681</v>
      </c>
      <c r="AL20" t="s">
        <v>698</v>
      </c>
      <c r="AM20">
        <v>2</v>
      </c>
      <c r="AN20">
        <v>5.5999999999999999E-3</v>
      </c>
      <c r="AO20">
        <v>6.1230743300384463</v>
      </c>
      <c r="AP20">
        <v>618.67052755958321</v>
      </c>
      <c r="AQ20">
        <v>0.42399999999999999</v>
      </c>
      <c r="AR20">
        <v>2E-3</v>
      </c>
      <c r="AS20">
        <v>3.5996999999999986</v>
      </c>
      <c r="AT20" s="2">
        <v>45681</v>
      </c>
      <c r="AU20" t="s">
        <v>818</v>
      </c>
      <c r="AV20">
        <v>2</v>
      </c>
      <c r="AW20">
        <v>6.1000000000000004E-3</v>
      </c>
      <c r="AX20">
        <v>6.124203120059267</v>
      </c>
      <c r="AY20">
        <v>618.77573078952366</v>
      </c>
      <c r="AZ20">
        <v>0.42399999999999999</v>
      </c>
      <c r="BA20">
        <v>2E-3</v>
      </c>
      <c r="BB20">
        <v>3.5997000000000128</v>
      </c>
      <c r="BC20" s="2">
        <v>45681</v>
      </c>
      <c r="BD20" t="s">
        <v>938</v>
      </c>
      <c r="BE20">
        <v>2</v>
      </c>
      <c r="BF20">
        <v>6.6E-3</v>
      </c>
      <c r="BG20">
        <v>6.1237135546757644</v>
      </c>
      <c r="BH20">
        <v>618.73010329578119</v>
      </c>
      <c r="BI20">
        <v>0.42399999999999999</v>
      </c>
      <c r="BJ20">
        <v>2E-3</v>
      </c>
      <c r="BK20">
        <v>3.6020000000000039</v>
      </c>
      <c r="BL20" s="2">
        <v>45681</v>
      </c>
      <c r="BM20" t="s">
        <v>1058</v>
      </c>
      <c r="BN20">
        <v>3</v>
      </c>
      <c r="BO20">
        <v>6.8999999999999999E-3</v>
      </c>
      <c r="BP20">
        <v>6.1249904226144718</v>
      </c>
      <c r="BQ20">
        <v>618.84910738766882</v>
      </c>
      <c r="BR20">
        <v>0.42399999999999999</v>
      </c>
      <c r="BS20">
        <v>2E-3</v>
      </c>
      <c r="BT20">
        <v>3.5980000000000132</v>
      </c>
      <c r="BU20" s="2">
        <v>45681</v>
      </c>
      <c r="BV20" t="s">
        <v>1178</v>
      </c>
      <c r="BW20">
        <v>3</v>
      </c>
      <c r="BX20">
        <v>7.1000000000000004E-3</v>
      </c>
      <c r="BY20">
        <v>6.1257373402829769</v>
      </c>
      <c r="BZ20">
        <v>618.91872011437351</v>
      </c>
      <c r="CA20">
        <v>0.42399999999999999</v>
      </c>
      <c r="CB20">
        <v>2E-3</v>
      </c>
      <c r="CC20">
        <v>3.6000999999999976</v>
      </c>
      <c r="CD20" s="2">
        <v>45681</v>
      </c>
      <c r="CE20" t="s">
        <v>1298</v>
      </c>
      <c r="CF20">
        <v>4</v>
      </c>
      <c r="CG20">
        <v>7.1000000000000004E-3</v>
      </c>
      <c r="CH20">
        <v>6.1250995753403616</v>
      </c>
      <c r="CI20">
        <v>618.85928042172168</v>
      </c>
      <c r="CJ20">
        <v>0.42399999999999999</v>
      </c>
      <c r="CK20">
        <v>2E-3</v>
      </c>
      <c r="CL20">
        <v>3.6004000000000076</v>
      </c>
      <c r="CM20" s="2">
        <v>45681</v>
      </c>
      <c r="CN20" t="s">
        <v>1418</v>
      </c>
      <c r="CO20">
        <v>4</v>
      </c>
      <c r="CP20">
        <v>7.6E-3</v>
      </c>
      <c r="CQ20">
        <v>6.1260292792229496</v>
      </c>
      <c r="CR20">
        <v>618.94592882357904</v>
      </c>
      <c r="CS20">
        <v>0.42399999999999999</v>
      </c>
      <c r="CT20">
        <v>2E-3</v>
      </c>
      <c r="CU20">
        <v>3.5886000000000138</v>
      </c>
      <c r="CV20" s="2">
        <v>45681</v>
      </c>
      <c r="CW20" t="s">
        <v>1538</v>
      </c>
      <c r="CX20">
        <v>4</v>
      </c>
      <c r="CY20">
        <v>7.7999999999999996E-3</v>
      </c>
      <c r="CZ20">
        <v>6.1240456757670581</v>
      </c>
      <c r="DA20">
        <v>618.76105698148979</v>
      </c>
      <c r="DB20">
        <v>0.42399999999999999</v>
      </c>
      <c r="DC20">
        <v>2E-3</v>
      </c>
      <c r="DD20">
        <v>3.5993000000000279</v>
      </c>
      <c r="DE20" s="2">
        <v>45681</v>
      </c>
      <c r="DF20" t="s">
        <v>1658</v>
      </c>
      <c r="DG20">
        <v>5</v>
      </c>
      <c r="DH20">
        <v>8.0000000000000002E-3</v>
      </c>
      <c r="DI20">
        <v>6.1232668475505294</v>
      </c>
      <c r="DJ20">
        <v>618.68847019170926</v>
      </c>
      <c r="DK20">
        <v>0.42399999999999999</v>
      </c>
      <c r="DL20">
        <v>2E-3</v>
      </c>
      <c r="DM20">
        <v>3.5978999999999814</v>
      </c>
      <c r="DN20" s="2">
        <v>45681</v>
      </c>
      <c r="DO20" t="s">
        <v>1778</v>
      </c>
      <c r="DP20">
        <v>5</v>
      </c>
      <c r="DQ20">
        <v>8.2000000000000007E-3</v>
      </c>
      <c r="DR20">
        <v>6.1221776720219783</v>
      </c>
      <c r="DS20">
        <v>618.58695903244836</v>
      </c>
      <c r="DT20">
        <v>0.42399999999999999</v>
      </c>
      <c r="DU20">
        <v>2E-3</v>
      </c>
      <c r="DV20">
        <v>3.5994000000000028</v>
      </c>
      <c r="DW20" s="2">
        <v>45681</v>
      </c>
      <c r="DX20" t="s">
        <v>1896</v>
      </c>
      <c r="DY20">
        <v>6</v>
      </c>
      <c r="DZ20">
        <v>8.8999999999999999E-3</v>
      </c>
      <c r="EA20">
        <v>6.122472084333527</v>
      </c>
      <c r="EB20">
        <v>618.61439825988475</v>
      </c>
      <c r="EC20">
        <v>0.42399999999999999</v>
      </c>
      <c r="ED20">
        <v>2E-3</v>
      </c>
      <c r="EE20">
        <v>3.5994000000000028</v>
      </c>
    </row>
    <row r="21" spans="1:135" x14ac:dyDescent="0.3">
      <c r="A21" s="2">
        <v>45681</v>
      </c>
      <c r="B21" t="s">
        <v>216</v>
      </c>
      <c r="C21">
        <v>0</v>
      </c>
      <c r="D21">
        <v>1.7899999999999999E-2</v>
      </c>
      <c r="E21">
        <v>6.8794630654168589</v>
      </c>
      <c r="F21">
        <v>689.16595769685125</v>
      </c>
      <c r="G21">
        <v>0.42399999999999999</v>
      </c>
      <c r="H21">
        <v>1.37E-2</v>
      </c>
      <c r="I21">
        <v>3.798</v>
      </c>
      <c r="J21" s="2">
        <v>45681</v>
      </c>
      <c r="K21" t="s">
        <v>341</v>
      </c>
      <c r="L21">
        <v>0</v>
      </c>
      <c r="M21">
        <v>1.8E-3</v>
      </c>
      <c r="N21">
        <v>6.0284487007010057</v>
      </c>
      <c r="O21">
        <v>609.85141890533373</v>
      </c>
      <c r="P21">
        <v>0.42399999999999999</v>
      </c>
      <c r="Q21">
        <v>5.0000000000000001E-4</v>
      </c>
      <c r="R21">
        <v>3.8001799999999974</v>
      </c>
      <c r="S21" s="2">
        <v>45681</v>
      </c>
      <c r="T21" t="s">
        <v>461</v>
      </c>
      <c r="U21">
        <v>1</v>
      </c>
      <c r="V21">
        <v>1.4E-3</v>
      </c>
      <c r="W21">
        <v>6.0281466777034813</v>
      </c>
      <c r="X21">
        <v>609.82327036196443</v>
      </c>
      <c r="Y21">
        <v>0.42399999999999999</v>
      </c>
      <c r="Z21">
        <v>5.0000000000000001E-4</v>
      </c>
      <c r="AA21">
        <v>3.8004099999999994</v>
      </c>
      <c r="AB21" s="2">
        <v>45681</v>
      </c>
      <c r="AC21" t="s">
        <v>581</v>
      </c>
      <c r="AD21">
        <v>1</v>
      </c>
      <c r="AE21">
        <v>2E-3</v>
      </c>
      <c r="AF21">
        <v>6.0284137775053122</v>
      </c>
      <c r="AG21">
        <v>609.84816406349512</v>
      </c>
      <c r="AH21">
        <v>0.42399999999999999</v>
      </c>
      <c r="AI21">
        <v>5.0000000000000001E-4</v>
      </c>
      <c r="AJ21">
        <v>3.8004099999999994</v>
      </c>
      <c r="AK21" s="2">
        <v>45681</v>
      </c>
      <c r="AL21" t="s">
        <v>699</v>
      </c>
      <c r="AM21">
        <v>2</v>
      </c>
      <c r="AN21">
        <v>2E-3</v>
      </c>
      <c r="AO21">
        <v>6.0289385053122544</v>
      </c>
      <c r="AP21">
        <v>609.89706869510201</v>
      </c>
      <c r="AQ21">
        <v>0.42399999999999999</v>
      </c>
      <c r="AR21">
        <v>5.0000000000000001E-4</v>
      </c>
      <c r="AS21">
        <v>3.7964999999999947</v>
      </c>
      <c r="AT21" s="2">
        <v>45681</v>
      </c>
      <c r="AU21" t="s">
        <v>819</v>
      </c>
      <c r="AV21">
        <v>2</v>
      </c>
      <c r="AW21">
        <v>2.3999999999999998E-3</v>
      </c>
      <c r="AX21">
        <v>6.0285405803729466</v>
      </c>
      <c r="AY21">
        <v>609.85998209075876</v>
      </c>
      <c r="AZ21">
        <v>0.42399999999999999</v>
      </c>
      <c r="BA21">
        <v>5.0000000000000001E-4</v>
      </c>
      <c r="BB21">
        <v>3.7995000000000232</v>
      </c>
      <c r="BC21" s="2">
        <v>45681</v>
      </c>
      <c r="BD21" t="s">
        <v>939</v>
      </c>
      <c r="BE21">
        <v>2</v>
      </c>
      <c r="BF21">
        <v>2.2000000000000001E-3</v>
      </c>
      <c r="BG21">
        <v>6.0286422035070117</v>
      </c>
      <c r="BH21">
        <v>609.86945336685346</v>
      </c>
      <c r="BI21">
        <v>0.42399999999999999</v>
      </c>
      <c r="BJ21">
        <v>5.0000000000000001E-4</v>
      </c>
      <c r="BK21">
        <v>3.8008000000000095</v>
      </c>
      <c r="BL21" s="2">
        <v>45681</v>
      </c>
      <c r="BM21" t="s">
        <v>1059</v>
      </c>
      <c r="BN21">
        <v>3</v>
      </c>
      <c r="BO21">
        <v>2.8999999999999998E-3</v>
      </c>
      <c r="BP21">
        <v>6.0289640013130112</v>
      </c>
      <c r="BQ21">
        <v>609.89944492237271</v>
      </c>
      <c r="BR21">
        <v>0.42399999999999999</v>
      </c>
      <c r="BS21">
        <v>5.0000000000000001E-4</v>
      </c>
      <c r="BT21">
        <v>3.7977999999999952</v>
      </c>
      <c r="BU21" s="2">
        <v>45681</v>
      </c>
      <c r="BV21" t="s">
        <v>1179</v>
      </c>
      <c r="BW21">
        <v>3</v>
      </c>
      <c r="BX21">
        <v>3.0999999999999999E-3</v>
      </c>
      <c r="BY21">
        <v>6.028877802286277</v>
      </c>
      <c r="BZ21">
        <v>609.891411173081</v>
      </c>
      <c r="CA21">
        <v>0.42399999999999999</v>
      </c>
      <c r="CB21">
        <v>5.0000000000000001E-4</v>
      </c>
      <c r="CC21">
        <v>3.801400000000001</v>
      </c>
      <c r="CD21" s="2">
        <v>45681</v>
      </c>
      <c r="CE21" t="s">
        <v>1299</v>
      </c>
      <c r="CF21">
        <v>4</v>
      </c>
      <c r="CG21">
        <v>3.3E-3</v>
      </c>
      <c r="CH21">
        <v>6.0291558538530632</v>
      </c>
      <c r="CI21">
        <v>609.91732557910552</v>
      </c>
      <c r="CJ21">
        <v>0.42399999999999999</v>
      </c>
      <c r="CK21">
        <v>5.0000000000000001E-4</v>
      </c>
      <c r="CL21">
        <v>3.7998000000000047</v>
      </c>
      <c r="CM21" s="2">
        <v>45681</v>
      </c>
      <c r="CN21" t="s">
        <v>1419</v>
      </c>
      <c r="CO21">
        <v>4</v>
      </c>
      <c r="CP21">
        <v>3.5000000000000001E-3</v>
      </c>
      <c r="CQ21">
        <v>6.0294929541251676</v>
      </c>
      <c r="CR21">
        <v>609.94874332446568</v>
      </c>
      <c r="CS21">
        <v>0.42399999999999999</v>
      </c>
      <c r="CT21">
        <v>5.0000000000000001E-4</v>
      </c>
      <c r="CU21">
        <v>3.7885000000000275</v>
      </c>
      <c r="CV21" s="2">
        <v>45681</v>
      </c>
      <c r="CW21" t="s">
        <v>1539</v>
      </c>
      <c r="CX21">
        <v>4</v>
      </c>
      <c r="CY21">
        <v>3.7000000000000002E-3</v>
      </c>
      <c r="CZ21">
        <v>6.0283218167392203</v>
      </c>
      <c r="DA21">
        <v>609.83959332009533</v>
      </c>
      <c r="DB21">
        <v>0.42399999999999999</v>
      </c>
      <c r="DC21">
        <v>5.0000000000000001E-4</v>
      </c>
      <c r="DD21">
        <v>3.7995999999999981</v>
      </c>
      <c r="DE21" s="2">
        <v>45681</v>
      </c>
      <c r="DF21" t="s">
        <v>1659</v>
      </c>
      <c r="DG21">
        <v>5</v>
      </c>
      <c r="DH21">
        <v>4.0000000000000001E-3</v>
      </c>
      <c r="DI21">
        <v>6.0284389531841764</v>
      </c>
      <c r="DJ21">
        <v>609.85051043676526</v>
      </c>
      <c r="DK21">
        <v>0.42399999999999999</v>
      </c>
      <c r="DL21">
        <v>5.0000000000000001E-4</v>
      </c>
      <c r="DM21">
        <v>3.7966000000000122</v>
      </c>
      <c r="DN21" s="2">
        <v>45681</v>
      </c>
      <c r="DO21" t="s">
        <v>1779</v>
      </c>
      <c r="DP21">
        <v>5</v>
      </c>
      <c r="DQ21">
        <v>4.3E-3</v>
      </c>
      <c r="DR21">
        <v>6.0276920801174532</v>
      </c>
      <c r="DS21">
        <v>609.78090186694669</v>
      </c>
      <c r="DT21">
        <v>0.42399999999999999</v>
      </c>
      <c r="DU21">
        <v>5.0000000000000001E-4</v>
      </c>
      <c r="DV21">
        <v>3.7986000000000217</v>
      </c>
      <c r="DW21" s="2">
        <v>45681</v>
      </c>
      <c r="DX21" t="s">
        <v>1897</v>
      </c>
      <c r="DY21">
        <v>6</v>
      </c>
      <c r="DZ21">
        <v>4.4000000000000003E-3</v>
      </c>
      <c r="EA21">
        <v>6.0269970099937433</v>
      </c>
      <c r="EB21">
        <v>609.71612133141684</v>
      </c>
      <c r="EC21">
        <v>0.42399999999999999</v>
      </c>
      <c r="ED21">
        <v>5.0000000000000001E-4</v>
      </c>
      <c r="EE21">
        <v>3.8013000000000261</v>
      </c>
    </row>
    <row r="22" spans="1:135" x14ac:dyDescent="0.3">
      <c r="A22" s="2">
        <v>45681</v>
      </c>
      <c r="B22" t="s">
        <v>217</v>
      </c>
      <c r="C22">
        <v>0</v>
      </c>
      <c r="D22">
        <v>1.52E-2</v>
      </c>
      <c r="E22">
        <v>6.6706363033587248</v>
      </c>
      <c r="F22">
        <v>669.7033034730332</v>
      </c>
      <c r="G22">
        <v>0.42399999999999999</v>
      </c>
      <c r="H22">
        <v>1.0500000000000001E-2</v>
      </c>
      <c r="I22">
        <v>3.9979600000000008</v>
      </c>
      <c r="J22" s="2">
        <v>45681</v>
      </c>
      <c r="K22" t="s">
        <v>342</v>
      </c>
      <c r="L22">
        <v>0</v>
      </c>
      <c r="M22">
        <v>2.0000000000000001E-4</v>
      </c>
      <c r="N22">
        <v>5.9957356992059623</v>
      </c>
      <c r="O22">
        <v>606.8025671659957</v>
      </c>
      <c r="P22">
        <v>0.42399999999999999</v>
      </c>
      <c r="Q22">
        <v>0</v>
      </c>
      <c r="R22">
        <v>4.000709999999998</v>
      </c>
      <c r="S22" s="2">
        <v>45681</v>
      </c>
      <c r="T22" t="s">
        <v>462</v>
      </c>
      <c r="U22">
        <v>1</v>
      </c>
      <c r="V22">
        <v>4.0000000000000002E-4</v>
      </c>
      <c r="W22">
        <v>5.9957337254908847</v>
      </c>
      <c r="X22">
        <v>606.80238321575052</v>
      </c>
      <c r="Y22">
        <v>0.42399999999999999</v>
      </c>
      <c r="Z22">
        <v>0</v>
      </c>
      <c r="AA22">
        <v>3.9989199999999983</v>
      </c>
      <c r="AB22" s="2">
        <v>45681</v>
      </c>
      <c r="AC22" t="s">
        <v>582</v>
      </c>
      <c r="AD22">
        <v>1</v>
      </c>
      <c r="AE22">
        <v>2.0000000000000001E-4</v>
      </c>
      <c r="AF22">
        <v>5.995734813048017</v>
      </c>
      <c r="AG22">
        <v>606.80248457607524</v>
      </c>
      <c r="AH22">
        <v>0.42399999999999999</v>
      </c>
      <c r="AI22">
        <v>0</v>
      </c>
      <c r="AJ22">
        <v>4.0004700000000071</v>
      </c>
      <c r="AK22" s="2">
        <v>45681</v>
      </c>
      <c r="AL22" t="s">
        <v>700</v>
      </c>
      <c r="AM22">
        <v>2</v>
      </c>
      <c r="AN22">
        <v>5.0000000000000001E-4</v>
      </c>
      <c r="AO22">
        <v>5.99573731040197</v>
      </c>
      <c r="AP22">
        <v>606.80271732946358</v>
      </c>
      <c r="AQ22">
        <v>0.42399999999999999</v>
      </c>
      <c r="AR22">
        <v>0</v>
      </c>
      <c r="AS22">
        <v>3.9989999999999952</v>
      </c>
      <c r="AT22" s="2">
        <v>45681</v>
      </c>
      <c r="AU22" t="s">
        <v>820</v>
      </c>
      <c r="AV22">
        <v>2</v>
      </c>
      <c r="AW22">
        <v>8.9999999999999998E-4</v>
      </c>
      <c r="AX22">
        <v>5.9957335643713243</v>
      </c>
      <c r="AY22">
        <v>606.8023681994074</v>
      </c>
      <c r="AZ22">
        <v>0.42399999999999999</v>
      </c>
      <c r="BA22">
        <v>0</v>
      </c>
      <c r="BB22">
        <v>3.9990000000000236</v>
      </c>
      <c r="BC22" s="2">
        <v>45681</v>
      </c>
      <c r="BD22" t="s">
        <v>940</v>
      </c>
      <c r="BE22">
        <v>2</v>
      </c>
      <c r="BF22">
        <v>8.0000000000000004E-4</v>
      </c>
      <c r="BG22">
        <v>5.9957347324886827</v>
      </c>
      <c r="BH22">
        <v>606.80247706794523</v>
      </c>
      <c r="BI22">
        <v>0.42399999999999999</v>
      </c>
      <c r="BJ22">
        <v>0</v>
      </c>
      <c r="BK22">
        <v>3.9990999999999985</v>
      </c>
      <c r="BL22" s="2">
        <v>45681</v>
      </c>
      <c r="BM22" t="s">
        <v>1060</v>
      </c>
      <c r="BN22">
        <v>3</v>
      </c>
      <c r="BO22">
        <v>8.0000000000000004E-4</v>
      </c>
      <c r="BP22">
        <v>5.9957350144477717</v>
      </c>
      <c r="BQ22">
        <v>606.80250334653238</v>
      </c>
      <c r="BR22">
        <v>0.42399999999999999</v>
      </c>
      <c r="BS22">
        <v>0</v>
      </c>
      <c r="BT22">
        <v>3.9995999999999867</v>
      </c>
      <c r="BU22" s="2">
        <v>45681</v>
      </c>
      <c r="BV22" t="s">
        <v>1180</v>
      </c>
      <c r="BW22">
        <v>3</v>
      </c>
      <c r="BX22">
        <v>8.0000000000000004E-4</v>
      </c>
      <c r="BY22">
        <v>5.9957334838115024</v>
      </c>
      <c r="BZ22">
        <v>606.80236069123202</v>
      </c>
      <c r="CA22">
        <v>0.42399999999999999</v>
      </c>
      <c r="CB22">
        <v>0</v>
      </c>
      <c r="CC22">
        <v>4.001499999999993</v>
      </c>
      <c r="CD22" s="2">
        <v>45681</v>
      </c>
      <c r="CE22" t="s">
        <v>1300</v>
      </c>
      <c r="CF22">
        <v>4</v>
      </c>
      <c r="CG22">
        <v>1.1999999999999999E-3</v>
      </c>
      <c r="CH22">
        <v>5.9957334838115024</v>
      </c>
      <c r="CI22">
        <v>606.80236069123202</v>
      </c>
      <c r="CJ22">
        <v>0.42399999999999999</v>
      </c>
      <c r="CK22">
        <v>0</v>
      </c>
      <c r="CL22">
        <v>4.0010000000000048</v>
      </c>
      <c r="CM22" s="2">
        <v>45681</v>
      </c>
      <c r="CN22" t="s">
        <v>1420</v>
      </c>
      <c r="CO22">
        <v>4</v>
      </c>
      <c r="CP22">
        <v>1.4E-3</v>
      </c>
      <c r="CQ22">
        <v>5.9957351352873811</v>
      </c>
      <c r="CR22">
        <v>606.80251460878389</v>
      </c>
      <c r="CS22">
        <v>0.42399999999999999</v>
      </c>
      <c r="CT22">
        <v>0</v>
      </c>
      <c r="CU22">
        <v>3.989200000000011</v>
      </c>
      <c r="CV22" s="2">
        <v>45681</v>
      </c>
      <c r="CW22" t="s">
        <v>1540</v>
      </c>
      <c r="CX22">
        <v>4</v>
      </c>
      <c r="CY22">
        <v>1.5E-3</v>
      </c>
      <c r="CZ22">
        <v>5.9957336852110146</v>
      </c>
      <c r="DA22">
        <v>606.80237946166653</v>
      </c>
      <c r="DB22">
        <v>0.42399999999999999</v>
      </c>
      <c r="DC22">
        <v>0</v>
      </c>
      <c r="DD22">
        <v>3.9986000000000104</v>
      </c>
      <c r="DE22" s="2">
        <v>45681</v>
      </c>
      <c r="DF22" t="s">
        <v>1660</v>
      </c>
      <c r="DG22">
        <v>5</v>
      </c>
      <c r="DH22">
        <v>1.5E-3</v>
      </c>
      <c r="DI22">
        <v>5.9957358603258477</v>
      </c>
      <c r="DJ22">
        <v>606.80258218236906</v>
      </c>
      <c r="DK22">
        <v>0.42399999999999999</v>
      </c>
      <c r="DL22">
        <v>0</v>
      </c>
      <c r="DM22">
        <v>3.9972000000000207</v>
      </c>
      <c r="DN22" s="2">
        <v>45681</v>
      </c>
      <c r="DO22" t="s">
        <v>1780</v>
      </c>
      <c r="DP22">
        <v>5</v>
      </c>
      <c r="DQ22">
        <v>1.9E-3</v>
      </c>
      <c r="DR22">
        <v>5.9957482262535704</v>
      </c>
      <c r="DS22">
        <v>606.80373468683274</v>
      </c>
      <c r="DT22">
        <v>0.42399999999999999</v>
      </c>
      <c r="DU22">
        <v>0</v>
      </c>
      <c r="DV22">
        <v>3.9994000000000369</v>
      </c>
      <c r="DW22" s="2">
        <v>45681</v>
      </c>
      <c r="DX22" t="s">
        <v>1898</v>
      </c>
      <c r="DY22">
        <v>6</v>
      </c>
      <c r="DZ22">
        <v>2.2000000000000001E-3</v>
      </c>
      <c r="EA22">
        <v>5.9957534223612319</v>
      </c>
      <c r="EB22">
        <v>606.80421896406688</v>
      </c>
      <c r="EC22">
        <v>0.42399999999999999</v>
      </c>
      <c r="ED22">
        <v>0</v>
      </c>
      <c r="EE22">
        <v>4.0006000000000199</v>
      </c>
    </row>
    <row r="23" spans="1:135" x14ac:dyDescent="0.3">
      <c r="A23" s="2">
        <v>45681</v>
      </c>
      <c r="B23" t="s">
        <v>218</v>
      </c>
      <c r="C23">
        <v>0</v>
      </c>
      <c r="D23">
        <v>1.18E-2</v>
      </c>
      <c r="E23">
        <v>6.4601860364177384</v>
      </c>
      <c r="F23">
        <v>650.08933859413321</v>
      </c>
      <c r="G23">
        <v>0.42399999999999999</v>
      </c>
      <c r="H23">
        <v>7.1999999999999998E-3</v>
      </c>
      <c r="I23">
        <v>4.1996100000000016</v>
      </c>
      <c r="J23" s="2">
        <v>45681</v>
      </c>
      <c r="K23" t="s">
        <v>343</v>
      </c>
      <c r="L23">
        <v>0</v>
      </c>
      <c r="M23">
        <v>-2.9999999999999997E-4</v>
      </c>
      <c r="N23">
        <v>6.0292460792043459</v>
      </c>
      <c r="O23">
        <v>712.17545291649242</v>
      </c>
      <c r="P23">
        <v>0.42399999999999999</v>
      </c>
      <c r="Q23">
        <v>5.0000000000000001E-4</v>
      </c>
      <c r="R23">
        <v>4.200409999999998</v>
      </c>
      <c r="S23" s="2">
        <v>45681</v>
      </c>
      <c r="T23" t="s">
        <v>463</v>
      </c>
      <c r="U23">
        <v>1</v>
      </c>
      <c r="V23">
        <v>-4.0000000000000002E-4</v>
      </c>
      <c r="W23">
        <v>6.0327444727256099</v>
      </c>
      <c r="X23">
        <v>712.50745046166037</v>
      </c>
      <c r="Y23">
        <v>0.42399999999999999</v>
      </c>
      <c r="Z23">
        <v>5.9999999999999995E-4</v>
      </c>
      <c r="AA23">
        <v>4.2100599999999986</v>
      </c>
      <c r="AB23" s="2">
        <v>45681</v>
      </c>
      <c r="AC23" t="s">
        <v>583</v>
      </c>
      <c r="AD23">
        <v>1</v>
      </c>
      <c r="AE23">
        <v>-2.9999999999999997E-4</v>
      </c>
      <c r="AF23">
        <v>6.0294516690934072</v>
      </c>
      <c r="AG23">
        <v>712.19496339696434</v>
      </c>
      <c r="AH23">
        <v>0.42399999999999999</v>
      </c>
      <c r="AI23">
        <v>5.0000000000000001E-4</v>
      </c>
      <c r="AJ23">
        <v>4.2011499999999984</v>
      </c>
      <c r="AK23" s="2">
        <v>45681</v>
      </c>
      <c r="AL23" t="s">
        <v>701</v>
      </c>
      <c r="AM23">
        <v>2</v>
      </c>
      <c r="AN23">
        <v>-2.9999999999999997E-4</v>
      </c>
      <c r="AO23">
        <v>6.0289453496585139</v>
      </c>
      <c r="AP23">
        <v>712.14691368259298</v>
      </c>
      <c r="AQ23">
        <v>0.42399999999999999</v>
      </c>
      <c r="AR23">
        <v>5.0000000000000001E-4</v>
      </c>
      <c r="AS23">
        <v>4.1972999999999985</v>
      </c>
      <c r="AT23" s="2">
        <v>45681</v>
      </c>
      <c r="AU23" t="s">
        <v>821</v>
      </c>
      <c r="AV23">
        <v>2</v>
      </c>
      <c r="AW23">
        <v>-2.9999999999999997E-4</v>
      </c>
      <c r="AX23">
        <v>6.0287954673957902</v>
      </c>
      <c r="AY23">
        <v>712.13268985586058</v>
      </c>
      <c r="AZ23">
        <v>0.42399999999999999</v>
      </c>
      <c r="BA23">
        <v>5.0000000000000001E-4</v>
      </c>
      <c r="BB23">
        <v>4.1987000000000023</v>
      </c>
      <c r="BC23" s="2">
        <v>45681</v>
      </c>
      <c r="BD23" t="s">
        <v>941</v>
      </c>
      <c r="BE23">
        <v>2</v>
      </c>
      <c r="BF23">
        <v>1E-4</v>
      </c>
      <c r="BG23">
        <v>6.028945390205589</v>
      </c>
      <c r="BH23">
        <v>712.14691753051045</v>
      </c>
      <c r="BI23">
        <v>0.42399999999999999</v>
      </c>
      <c r="BJ23">
        <v>5.0000000000000001E-4</v>
      </c>
      <c r="BK23">
        <v>4.2007000000000119</v>
      </c>
      <c r="BL23" s="2">
        <v>45681</v>
      </c>
      <c r="BM23" t="s">
        <v>1061</v>
      </c>
      <c r="BN23">
        <v>3</v>
      </c>
      <c r="BO23">
        <v>2.9999999999999997E-4</v>
      </c>
      <c r="BP23">
        <v>6.0283573035392566</v>
      </c>
      <c r="BQ23">
        <v>712.09110810587561</v>
      </c>
      <c r="BR23">
        <v>0.42399999999999999</v>
      </c>
      <c r="BS23">
        <v>5.0000000000000001E-4</v>
      </c>
      <c r="BT23">
        <v>4.1968999999999994</v>
      </c>
      <c r="BU23" s="2">
        <v>45681</v>
      </c>
      <c r="BV23" t="s">
        <v>1181</v>
      </c>
      <c r="BW23">
        <v>3</v>
      </c>
      <c r="BX23">
        <v>-1E-4</v>
      </c>
      <c r="BY23">
        <v>6.029009316724026</v>
      </c>
      <c r="BZ23">
        <v>712.15298415711015</v>
      </c>
      <c r="CA23">
        <v>0.42399999999999999</v>
      </c>
      <c r="CB23">
        <v>5.0000000000000001E-4</v>
      </c>
      <c r="CC23">
        <v>4.2022000000000048</v>
      </c>
      <c r="CD23" s="2">
        <v>45681</v>
      </c>
      <c r="CE23" t="s">
        <v>1301</v>
      </c>
      <c r="CF23">
        <v>4</v>
      </c>
      <c r="CG23">
        <v>4.0000000000000002E-4</v>
      </c>
      <c r="CH23">
        <v>6.0280919796993109</v>
      </c>
      <c r="CI23">
        <v>712.0659288734646</v>
      </c>
      <c r="CJ23">
        <v>0.42399999999999999</v>
      </c>
      <c r="CK23">
        <v>5.0000000000000001E-4</v>
      </c>
      <c r="CL23">
        <v>4.1987000000000023</v>
      </c>
      <c r="CM23" s="2">
        <v>45681</v>
      </c>
      <c r="CN23" t="s">
        <v>1421</v>
      </c>
      <c r="CO23">
        <v>4</v>
      </c>
      <c r="CP23">
        <v>5.0000000000000001E-4</v>
      </c>
      <c r="CQ23">
        <v>6.028665080166725</v>
      </c>
      <c r="CR23">
        <v>712.12031610782219</v>
      </c>
      <c r="CS23">
        <v>0.42399999999999999</v>
      </c>
      <c r="CT23">
        <v>5.0000000000000001E-4</v>
      </c>
      <c r="CU23">
        <v>4.1901999999999759</v>
      </c>
      <c r="CV23" s="2">
        <v>45681</v>
      </c>
      <c r="CW23" t="s">
        <v>1541</v>
      </c>
      <c r="CX23">
        <v>4</v>
      </c>
      <c r="CY23">
        <v>1.2999999999999999E-3</v>
      </c>
      <c r="CZ23">
        <v>6.028903979477894</v>
      </c>
      <c r="DA23">
        <v>712.14298765245212</v>
      </c>
      <c r="DB23">
        <v>0.42399999999999999</v>
      </c>
      <c r="DC23">
        <v>5.0000000000000001E-4</v>
      </c>
      <c r="DD23">
        <v>4.1984000000000492</v>
      </c>
      <c r="DE23" s="2">
        <v>45681</v>
      </c>
      <c r="DF23" t="s">
        <v>1661</v>
      </c>
      <c r="DG23">
        <v>5</v>
      </c>
      <c r="DH23">
        <v>4.0000000000000002E-4</v>
      </c>
      <c r="DI23">
        <v>6.0294711641270657</v>
      </c>
      <c r="DJ23">
        <v>712.19681347565859</v>
      </c>
      <c r="DK23">
        <v>0.42399999999999999</v>
      </c>
      <c r="DL23">
        <v>5.0000000000000001E-4</v>
      </c>
      <c r="DM23">
        <v>4.1974999999999909</v>
      </c>
      <c r="DN23" s="2">
        <v>45681</v>
      </c>
      <c r="DO23" t="s">
        <v>1781</v>
      </c>
      <c r="DP23">
        <v>5</v>
      </c>
      <c r="DQ23">
        <v>6.9999999999999999E-4</v>
      </c>
      <c r="DR23">
        <v>6.0299911398168176</v>
      </c>
      <c r="DS23">
        <v>712.24615916861603</v>
      </c>
      <c r="DT23">
        <v>0.42399999999999999</v>
      </c>
      <c r="DU23">
        <v>5.0000000000000001E-4</v>
      </c>
      <c r="DV23">
        <v>4.1988000000000056</v>
      </c>
      <c r="DW23" s="2">
        <v>45681</v>
      </c>
      <c r="DX23" t="s">
        <v>1899</v>
      </c>
      <c r="DY23">
        <v>6</v>
      </c>
      <c r="DZ23">
        <v>1.5E-3</v>
      </c>
      <c r="EA23">
        <v>6.0308881708663762</v>
      </c>
      <c r="EB23">
        <v>712.33128741521909</v>
      </c>
      <c r="EC23">
        <v>0.42399999999999999</v>
      </c>
      <c r="ED23">
        <v>5.0000000000000001E-4</v>
      </c>
      <c r="EE23">
        <v>4.2019000000000233</v>
      </c>
    </row>
    <row r="24" spans="1:135" x14ac:dyDescent="0.3">
      <c r="A24" s="2">
        <v>45681</v>
      </c>
      <c r="B24" t="s">
        <v>219</v>
      </c>
      <c r="C24">
        <v>0</v>
      </c>
      <c r="D24">
        <v>8.0000000000000002E-3</v>
      </c>
      <c r="E24">
        <v>6.2735783416102198</v>
      </c>
      <c r="F24">
        <v>632.69750143807255</v>
      </c>
      <c r="G24">
        <v>0.42399999999999999</v>
      </c>
      <c r="H24">
        <v>4.3E-3</v>
      </c>
      <c r="I24">
        <v>4.397969999999999</v>
      </c>
      <c r="J24" s="2">
        <v>45681</v>
      </c>
      <c r="K24" t="s">
        <v>344</v>
      </c>
      <c r="L24">
        <v>0</v>
      </c>
      <c r="M24">
        <v>-2.0000000000000001E-4</v>
      </c>
      <c r="N24">
        <v>6.126593856695199</v>
      </c>
      <c r="O24">
        <v>721.4137570003744</v>
      </c>
      <c r="P24">
        <v>0.42399999999999999</v>
      </c>
      <c r="Q24">
        <v>2E-3</v>
      </c>
      <c r="R24">
        <v>4.4019499999999994</v>
      </c>
      <c r="S24" s="2">
        <v>45681</v>
      </c>
      <c r="T24" t="s">
        <v>464</v>
      </c>
      <c r="U24">
        <v>1</v>
      </c>
      <c r="V24">
        <v>-2.0000000000000001E-4</v>
      </c>
      <c r="W24">
        <v>6.1252522350777223</v>
      </c>
      <c r="X24">
        <v>721.28643710887593</v>
      </c>
      <c r="Y24">
        <v>0.42399999999999999</v>
      </c>
      <c r="Z24">
        <v>2E-3</v>
      </c>
      <c r="AA24">
        <v>4.3991199999999964</v>
      </c>
      <c r="AB24" s="2">
        <v>45681</v>
      </c>
      <c r="AC24" t="s">
        <v>584</v>
      </c>
      <c r="AD24">
        <v>1</v>
      </c>
      <c r="AE24">
        <v>0</v>
      </c>
      <c r="AF24">
        <v>6.1256653692248593</v>
      </c>
      <c r="AG24">
        <v>721.32564353943917</v>
      </c>
      <c r="AH24">
        <v>0.42399999999999999</v>
      </c>
      <c r="AI24">
        <v>2E-3</v>
      </c>
      <c r="AJ24">
        <v>4.4005900000000082</v>
      </c>
      <c r="AK24" s="2">
        <v>45681</v>
      </c>
      <c r="AL24" t="s">
        <v>702</v>
      </c>
      <c r="AM24">
        <v>2</v>
      </c>
      <c r="AN24">
        <v>1E-4</v>
      </c>
      <c r="AO24">
        <v>6.1259512666506586</v>
      </c>
      <c r="AP24">
        <v>721.35277520514751</v>
      </c>
      <c r="AQ24">
        <v>0.42399999999999999</v>
      </c>
      <c r="AR24">
        <v>2E-3</v>
      </c>
      <c r="AS24">
        <v>4.398699999999991</v>
      </c>
      <c r="AT24" s="2">
        <v>45681</v>
      </c>
      <c r="AU24" t="s">
        <v>822</v>
      </c>
      <c r="AV24">
        <v>2</v>
      </c>
      <c r="AW24">
        <v>-2.0000000000000001E-4</v>
      </c>
      <c r="AX24">
        <v>6.1261217671010177</v>
      </c>
      <c r="AY24">
        <v>721.36895569788658</v>
      </c>
      <c r="AZ24">
        <v>0.42399999999999999</v>
      </c>
      <c r="BA24">
        <v>2E-3</v>
      </c>
      <c r="BB24">
        <v>4.4008000000000038</v>
      </c>
      <c r="BC24" s="2">
        <v>45681</v>
      </c>
      <c r="BD24" t="s">
        <v>942</v>
      </c>
      <c r="BE24">
        <v>2</v>
      </c>
      <c r="BF24">
        <v>2.9999999999999997E-4</v>
      </c>
      <c r="BG24">
        <v>6.1242161762174163</v>
      </c>
      <c r="BH24">
        <v>721.18811512303284</v>
      </c>
      <c r="BI24">
        <v>0.42399999999999999</v>
      </c>
      <c r="BJ24">
        <v>2E-3</v>
      </c>
      <c r="BK24">
        <v>4.3994000000000142</v>
      </c>
      <c r="BL24" s="2">
        <v>45681</v>
      </c>
      <c r="BM24" t="s">
        <v>1062</v>
      </c>
      <c r="BN24">
        <v>3</v>
      </c>
      <c r="BO24">
        <v>4.0000000000000002E-4</v>
      </c>
      <c r="BP24">
        <v>6.1249490645979749</v>
      </c>
      <c r="BQ24">
        <v>721.25766623034781</v>
      </c>
      <c r="BR24">
        <v>0.42399999999999999</v>
      </c>
      <c r="BS24">
        <v>2E-3</v>
      </c>
      <c r="BT24">
        <v>4.3985000000000127</v>
      </c>
      <c r="BU24" s="2">
        <v>45681</v>
      </c>
      <c r="BV24" t="s">
        <v>1182</v>
      </c>
      <c r="BW24">
        <v>3</v>
      </c>
      <c r="BX24">
        <v>1E-4</v>
      </c>
      <c r="BY24">
        <v>6.1250643399321891</v>
      </c>
      <c r="BZ24">
        <v>721.26860585956479</v>
      </c>
      <c r="CA24">
        <v>0.42399999999999999</v>
      </c>
      <c r="CB24">
        <v>2E-3</v>
      </c>
      <c r="CC24">
        <v>4.4019999999999868</v>
      </c>
      <c r="CD24" s="2">
        <v>45681</v>
      </c>
      <c r="CE24" t="s">
        <v>1302</v>
      </c>
      <c r="CF24">
        <v>4</v>
      </c>
      <c r="CG24">
        <v>5.0000000000000001E-4</v>
      </c>
      <c r="CH24">
        <v>6.1245007355897414</v>
      </c>
      <c r="CI24">
        <v>721.21511980746652</v>
      </c>
      <c r="CJ24">
        <v>0.42399999999999999</v>
      </c>
      <c r="CK24">
        <v>2E-3</v>
      </c>
      <c r="CL24">
        <v>4.4003999999999905</v>
      </c>
      <c r="CM24" s="2">
        <v>45681</v>
      </c>
      <c r="CN24" t="s">
        <v>1422</v>
      </c>
      <c r="CO24">
        <v>4</v>
      </c>
      <c r="CP24">
        <v>4.0000000000000002E-4</v>
      </c>
      <c r="CQ24">
        <v>6.1239986817071363</v>
      </c>
      <c r="CR24">
        <v>721.16747489400723</v>
      </c>
      <c r="CS24">
        <v>0.42399999999999999</v>
      </c>
      <c r="CT24">
        <v>2E-3</v>
      </c>
      <c r="CU24">
        <v>4.38930000000002</v>
      </c>
      <c r="CV24" s="2">
        <v>45681</v>
      </c>
      <c r="CW24" t="s">
        <v>1542</v>
      </c>
      <c r="CX24">
        <v>4</v>
      </c>
      <c r="CY24">
        <v>1.4E-3</v>
      </c>
      <c r="CZ24">
        <v>6.1249855975125458</v>
      </c>
      <c r="DA24">
        <v>721.26113320394063</v>
      </c>
      <c r="DB24">
        <v>0.42399999999999999</v>
      </c>
      <c r="DC24">
        <v>2E-3</v>
      </c>
      <c r="DD24">
        <v>4.3984000000000378</v>
      </c>
      <c r="DE24" s="2">
        <v>45681</v>
      </c>
      <c r="DF24" t="s">
        <v>1662</v>
      </c>
      <c r="DG24">
        <v>5</v>
      </c>
      <c r="DH24">
        <v>5.0000000000000001E-4</v>
      </c>
      <c r="DI24">
        <v>6.1263778624266942</v>
      </c>
      <c r="DJ24">
        <v>721.39325914429332</v>
      </c>
      <c r="DK24">
        <v>0.42399999999999999</v>
      </c>
      <c r="DL24">
        <v>2E-3</v>
      </c>
      <c r="DM24">
        <v>4.3979999999999677</v>
      </c>
      <c r="DN24" s="2">
        <v>45681</v>
      </c>
      <c r="DO24" t="s">
        <v>1782</v>
      </c>
      <c r="DP24">
        <v>5</v>
      </c>
      <c r="DQ24">
        <v>8.0000000000000004E-4</v>
      </c>
      <c r="DR24">
        <v>6.1261038047467942</v>
      </c>
      <c r="DS24">
        <v>721.36725107047084</v>
      </c>
      <c r="DT24">
        <v>0.42399999999999999</v>
      </c>
      <c r="DU24">
        <v>2E-3</v>
      </c>
      <c r="DV24">
        <v>4.3973000000000297</v>
      </c>
      <c r="DW24" s="2">
        <v>45681</v>
      </c>
      <c r="DX24" t="s">
        <v>1900</v>
      </c>
      <c r="DY24">
        <v>6</v>
      </c>
      <c r="DZ24">
        <v>1.2999999999999999E-3</v>
      </c>
      <c r="EA24">
        <v>6.1272201468155929</v>
      </c>
      <c r="EB24">
        <v>721.47319193279975</v>
      </c>
      <c r="EC24">
        <v>0.42399999999999999</v>
      </c>
      <c r="ED24">
        <v>2E-3</v>
      </c>
      <c r="EE24">
        <v>4.3996000000000208</v>
      </c>
    </row>
    <row r="25" spans="1:135" x14ac:dyDescent="0.3">
      <c r="A25" s="2">
        <v>45681</v>
      </c>
      <c r="B25" t="s">
        <v>220</v>
      </c>
      <c r="C25">
        <v>0</v>
      </c>
      <c r="D25">
        <v>4.5999999999999999E-3</v>
      </c>
      <c r="E25">
        <v>6.1238104216379314</v>
      </c>
      <c r="F25">
        <v>618.73913129665516</v>
      </c>
      <c r="G25">
        <v>0.42399999999999999</v>
      </c>
      <c r="H25">
        <v>2E-3</v>
      </c>
      <c r="I25">
        <v>4.5987099999999987</v>
      </c>
      <c r="J25" s="2">
        <v>45681</v>
      </c>
      <c r="K25" t="s">
        <v>345</v>
      </c>
      <c r="L25">
        <v>0</v>
      </c>
      <c r="M25">
        <v>5.9999999999999995E-4</v>
      </c>
      <c r="N25">
        <v>6.274780278554335</v>
      </c>
      <c r="O25">
        <v>735.47664843480641</v>
      </c>
      <c r="P25">
        <v>0.42399999999999999</v>
      </c>
      <c r="Q25">
        <v>4.3E-3</v>
      </c>
      <c r="R25">
        <v>4.5996400000000008</v>
      </c>
      <c r="S25" s="2">
        <v>45681</v>
      </c>
      <c r="T25" t="s">
        <v>465</v>
      </c>
      <c r="U25">
        <v>1</v>
      </c>
      <c r="V25">
        <v>8.0000000000000004E-4</v>
      </c>
      <c r="W25">
        <v>6.2746676387799951</v>
      </c>
      <c r="X25">
        <v>735.46595892022162</v>
      </c>
      <c r="Y25">
        <v>0.42399999999999999</v>
      </c>
      <c r="Z25">
        <v>4.3E-3</v>
      </c>
      <c r="AA25">
        <v>4.5988200000000035</v>
      </c>
      <c r="AB25" s="2">
        <v>45681</v>
      </c>
      <c r="AC25" t="s">
        <v>585</v>
      </c>
      <c r="AD25">
        <v>1</v>
      </c>
      <c r="AE25">
        <v>6.9999999999999999E-4</v>
      </c>
      <c r="AF25">
        <v>6.2750559175701603</v>
      </c>
      <c r="AG25">
        <v>735.50280657740825</v>
      </c>
      <c r="AH25">
        <v>0.42399999999999999</v>
      </c>
      <c r="AI25">
        <v>4.3E-3</v>
      </c>
      <c r="AJ25">
        <v>4.6000800000000055</v>
      </c>
      <c r="AK25" s="2">
        <v>45681</v>
      </c>
      <c r="AL25" t="s">
        <v>703</v>
      </c>
      <c r="AM25">
        <v>2</v>
      </c>
      <c r="AN25">
        <v>6.9999999999999999E-4</v>
      </c>
      <c r="AO25">
        <v>6.2752898336458127</v>
      </c>
      <c r="AP25">
        <v>735.52500521298771</v>
      </c>
      <c r="AQ25">
        <v>0.42399999999999999</v>
      </c>
      <c r="AR25">
        <v>4.3E-3</v>
      </c>
      <c r="AS25">
        <v>4.597999999999999</v>
      </c>
      <c r="AT25" s="2">
        <v>45681</v>
      </c>
      <c r="AU25" t="s">
        <v>823</v>
      </c>
      <c r="AV25">
        <v>2</v>
      </c>
      <c r="AW25">
        <v>5.0000000000000001E-4</v>
      </c>
      <c r="AX25">
        <v>6.2752146999158436</v>
      </c>
      <c r="AY25">
        <v>735.51787502201364</v>
      </c>
      <c r="AZ25">
        <v>0.42399999999999999</v>
      </c>
      <c r="BA25">
        <v>4.3E-3</v>
      </c>
      <c r="BB25">
        <v>4.5998000000000161</v>
      </c>
      <c r="BC25" s="2">
        <v>45681</v>
      </c>
      <c r="BD25" t="s">
        <v>943</v>
      </c>
      <c r="BE25">
        <v>2</v>
      </c>
      <c r="BF25">
        <v>1E-3</v>
      </c>
      <c r="BG25">
        <v>6.2732128097291282</v>
      </c>
      <c r="BH25">
        <v>735.32789564329426</v>
      </c>
      <c r="BI25">
        <v>0.42399999999999999</v>
      </c>
      <c r="BJ25">
        <v>4.3E-3</v>
      </c>
      <c r="BK25">
        <v>4.599000000000018</v>
      </c>
      <c r="BL25" s="2">
        <v>45681</v>
      </c>
      <c r="BM25" t="s">
        <v>1063</v>
      </c>
      <c r="BN25">
        <v>3</v>
      </c>
      <c r="BO25">
        <v>1E-3</v>
      </c>
      <c r="BP25">
        <v>6.2736878592597858</v>
      </c>
      <c r="BQ25">
        <v>735.37297784375369</v>
      </c>
      <c r="BR25">
        <v>0.42399999999999999</v>
      </c>
      <c r="BS25">
        <v>4.3E-3</v>
      </c>
      <c r="BT25">
        <v>4.5975999999999999</v>
      </c>
      <c r="BU25" s="2">
        <v>45681</v>
      </c>
      <c r="BV25" t="s">
        <v>1183</v>
      </c>
      <c r="BW25">
        <v>3</v>
      </c>
      <c r="BX25">
        <v>6.9999999999999999E-4</v>
      </c>
      <c r="BY25">
        <v>6.2742799681959562</v>
      </c>
      <c r="BZ25">
        <v>735.42916898179624</v>
      </c>
      <c r="CA25">
        <v>0.42399999999999999</v>
      </c>
      <c r="CB25">
        <v>4.3E-3</v>
      </c>
      <c r="CC25">
        <v>4.6015999999999906</v>
      </c>
      <c r="CD25" s="2">
        <v>45681</v>
      </c>
      <c r="CE25" t="s">
        <v>1303</v>
      </c>
      <c r="CF25">
        <v>4</v>
      </c>
      <c r="CG25">
        <v>8.9999999999999998E-4</v>
      </c>
      <c r="CH25">
        <v>6.2723554823754073</v>
      </c>
      <c r="CI25">
        <v>735.24653527742623</v>
      </c>
      <c r="CJ25">
        <v>0.42399999999999999</v>
      </c>
      <c r="CK25">
        <v>4.3E-3</v>
      </c>
      <c r="CL25">
        <v>4.5986000000000047</v>
      </c>
      <c r="CM25" s="2">
        <v>45681</v>
      </c>
      <c r="CN25" t="s">
        <v>1423</v>
      </c>
      <c r="CO25">
        <v>4</v>
      </c>
      <c r="CP25">
        <v>6.9999999999999999E-4</v>
      </c>
      <c r="CQ25">
        <v>6.2746472030541982</v>
      </c>
      <c r="CR25">
        <v>735.46401956984346</v>
      </c>
      <c r="CS25">
        <v>0.42399999999999999</v>
      </c>
      <c r="CT25">
        <v>4.3E-3</v>
      </c>
      <c r="CU25">
        <v>4.5909999999999798</v>
      </c>
      <c r="CV25" s="2">
        <v>45681</v>
      </c>
      <c r="CW25" t="s">
        <v>1543</v>
      </c>
      <c r="CX25">
        <v>4</v>
      </c>
      <c r="CY25">
        <v>1.5E-3</v>
      </c>
      <c r="CZ25">
        <v>6.2748726042441012</v>
      </c>
      <c r="DA25">
        <v>735.4854101427652</v>
      </c>
      <c r="DB25">
        <v>0.42399999999999999</v>
      </c>
      <c r="DC25">
        <v>4.3E-3</v>
      </c>
      <c r="DD25">
        <v>4.598700000000008</v>
      </c>
      <c r="DE25" s="2">
        <v>45681</v>
      </c>
      <c r="DF25" t="s">
        <v>1663</v>
      </c>
      <c r="DG25">
        <v>5</v>
      </c>
      <c r="DH25">
        <v>6.9999999999999999E-4</v>
      </c>
      <c r="DI25">
        <v>6.275515802494767</v>
      </c>
      <c r="DJ25">
        <v>735.54644965675345</v>
      </c>
      <c r="DK25">
        <v>0.42399999999999999</v>
      </c>
      <c r="DL25">
        <v>4.3E-3</v>
      </c>
      <c r="DM25">
        <v>4.5969000000000051</v>
      </c>
      <c r="DN25" s="2">
        <v>45681</v>
      </c>
      <c r="DO25" t="s">
        <v>1783</v>
      </c>
      <c r="DP25">
        <v>5</v>
      </c>
      <c r="DQ25">
        <v>1E-3</v>
      </c>
      <c r="DR25">
        <v>6.277599273396377</v>
      </c>
      <c r="DS25">
        <v>735.74417104531619</v>
      </c>
      <c r="DT25">
        <v>0.42399999999999999</v>
      </c>
      <c r="DU25">
        <v>4.4000000000000003E-3</v>
      </c>
      <c r="DV25">
        <v>4.5989999999999895</v>
      </c>
      <c r="DW25" s="2">
        <v>45681</v>
      </c>
      <c r="DX25" t="s">
        <v>1901</v>
      </c>
      <c r="DY25">
        <v>6</v>
      </c>
      <c r="DZ25">
        <v>1.4E-3</v>
      </c>
      <c r="EA25">
        <v>6.2786976936580263</v>
      </c>
      <c r="EB25">
        <v>735.84841112814672</v>
      </c>
      <c r="EC25">
        <v>0.42399999999999999</v>
      </c>
      <c r="ED25">
        <v>4.4000000000000003E-3</v>
      </c>
      <c r="EE25">
        <v>4.6007999999999925</v>
      </c>
    </row>
    <row r="26" spans="1:135" x14ac:dyDescent="0.3">
      <c r="A26" s="2">
        <v>45681</v>
      </c>
      <c r="B26" t="s">
        <v>221</v>
      </c>
      <c r="C26">
        <v>0</v>
      </c>
      <c r="D26">
        <v>2E-3</v>
      </c>
      <c r="E26">
        <v>6.0285676860925834</v>
      </c>
      <c r="F26">
        <v>609.86250834382872</v>
      </c>
      <c r="G26">
        <v>0.42399999999999999</v>
      </c>
      <c r="H26">
        <v>5.0000000000000001E-4</v>
      </c>
      <c r="I26">
        <v>4.7978700000000014</v>
      </c>
      <c r="J26" s="2">
        <v>45681</v>
      </c>
      <c r="K26" t="s">
        <v>346</v>
      </c>
      <c r="L26">
        <v>0</v>
      </c>
      <c r="M26">
        <v>2.5999999999999999E-3</v>
      </c>
      <c r="N26">
        <v>6.463916367317398</v>
      </c>
      <c r="O26">
        <v>753.42566325842108</v>
      </c>
      <c r="P26">
        <v>0.42399999999999999</v>
      </c>
      <c r="Q26">
        <v>7.3000000000000001E-3</v>
      </c>
      <c r="R26">
        <v>4.8002899999999968</v>
      </c>
      <c r="S26" s="2">
        <v>45681</v>
      </c>
      <c r="T26" t="s">
        <v>466</v>
      </c>
      <c r="U26">
        <v>1</v>
      </c>
      <c r="V26">
        <v>2.8999999999999998E-3</v>
      </c>
      <c r="W26">
        <v>6.4641714084191229</v>
      </c>
      <c r="X26">
        <v>753.44986665897477</v>
      </c>
      <c r="Y26">
        <v>0.42399999999999999</v>
      </c>
      <c r="Z26">
        <v>7.3000000000000001E-3</v>
      </c>
      <c r="AA26">
        <v>4.7998599999999954</v>
      </c>
      <c r="AB26" s="2">
        <v>45681</v>
      </c>
      <c r="AC26" t="s">
        <v>586</v>
      </c>
      <c r="AD26">
        <v>1</v>
      </c>
      <c r="AE26">
        <v>2.5999999999999999E-3</v>
      </c>
      <c r="AF26">
        <v>6.4637837783821581</v>
      </c>
      <c r="AG26">
        <v>753.41308056846685</v>
      </c>
      <c r="AH26">
        <v>0.42399999999999999</v>
      </c>
      <c r="AI26">
        <v>7.3000000000000001E-3</v>
      </c>
      <c r="AJ26">
        <v>4.8002800000000008</v>
      </c>
      <c r="AK26" s="2">
        <v>45681</v>
      </c>
      <c r="AL26" t="s">
        <v>704</v>
      </c>
      <c r="AM26">
        <v>2</v>
      </c>
      <c r="AN26">
        <v>2E-3</v>
      </c>
      <c r="AO26">
        <v>6.4622733998385478</v>
      </c>
      <c r="AP26">
        <v>753.26974564467821</v>
      </c>
      <c r="AQ26">
        <v>0.42399999999999999</v>
      </c>
      <c r="AR26">
        <v>7.1999999999999998E-3</v>
      </c>
      <c r="AS26">
        <v>4.7964999999999947</v>
      </c>
      <c r="AT26" s="2">
        <v>45681</v>
      </c>
      <c r="AU26" t="s">
        <v>824</v>
      </c>
      <c r="AV26">
        <v>2</v>
      </c>
      <c r="AW26">
        <v>2.2000000000000001E-3</v>
      </c>
      <c r="AX26">
        <v>6.4619988961408223</v>
      </c>
      <c r="AY26">
        <v>753.24369524376402</v>
      </c>
      <c r="AZ26">
        <v>0.42399999999999999</v>
      </c>
      <c r="BA26">
        <v>7.1999999999999998E-3</v>
      </c>
      <c r="BB26">
        <v>4.7980000000000018</v>
      </c>
      <c r="BC26" s="2">
        <v>45681</v>
      </c>
      <c r="BD26" t="s">
        <v>944</v>
      </c>
      <c r="BE26">
        <v>2</v>
      </c>
      <c r="BF26">
        <v>2.8999999999999998E-3</v>
      </c>
      <c r="BG26">
        <v>6.467408281416076</v>
      </c>
      <c r="BH26">
        <v>753.75704590638566</v>
      </c>
      <c r="BI26">
        <v>0.42399999999999999</v>
      </c>
      <c r="BJ26">
        <v>7.3000000000000001E-3</v>
      </c>
      <c r="BK26">
        <v>4.8050000000000068</v>
      </c>
      <c r="BL26" s="2">
        <v>45681</v>
      </c>
      <c r="BM26" t="s">
        <v>1064</v>
      </c>
      <c r="BN26">
        <v>3</v>
      </c>
      <c r="BO26">
        <v>2.5000000000000001E-3</v>
      </c>
      <c r="BP26">
        <v>6.4622539372425489</v>
      </c>
      <c r="BQ26">
        <v>753.26789864431794</v>
      </c>
      <c r="BR26">
        <v>0.42399999999999999</v>
      </c>
      <c r="BS26">
        <v>7.1999999999999998E-3</v>
      </c>
      <c r="BT26">
        <v>4.7978999999999985</v>
      </c>
      <c r="BU26" s="2">
        <v>45681</v>
      </c>
      <c r="BV26" t="s">
        <v>1184</v>
      </c>
      <c r="BW26">
        <v>3</v>
      </c>
      <c r="BX26">
        <v>2.5999999999999999E-3</v>
      </c>
      <c r="BY26">
        <v>6.4620678261683171</v>
      </c>
      <c r="BZ26">
        <v>753.25023670337328</v>
      </c>
      <c r="CA26">
        <v>0.42399999999999999</v>
      </c>
      <c r="CB26">
        <v>7.1999999999999998E-3</v>
      </c>
      <c r="CC26">
        <v>4.8009999999999877</v>
      </c>
      <c r="CD26" s="2">
        <v>45681</v>
      </c>
      <c r="CE26" t="s">
        <v>1304</v>
      </c>
      <c r="CF26">
        <v>4</v>
      </c>
      <c r="CG26">
        <v>2.5000000000000001E-3</v>
      </c>
      <c r="CH26">
        <v>6.4614697568121198</v>
      </c>
      <c r="CI26">
        <v>753.19347992147016</v>
      </c>
      <c r="CJ26">
        <v>0.42399999999999999</v>
      </c>
      <c r="CK26">
        <v>7.1999999999999998E-3</v>
      </c>
      <c r="CL26">
        <v>4.7997000000000014</v>
      </c>
      <c r="CM26" s="2">
        <v>45681</v>
      </c>
      <c r="CN26" t="s">
        <v>1424</v>
      </c>
      <c r="CO26">
        <v>4</v>
      </c>
      <c r="CP26">
        <v>1.9E-3</v>
      </c>
      <c r="CQ26">
        <v>6.4618131905373399</v>
      </c>
      <c r="CR26">
        <v>753.2260717819936</v>
      </c>
      <c r="CS26">
        <v>0.42399999999999999</v>
      </c>
      <c r="CT26">
        <v>7.1999999999999998E-3</v>
      </c>
      <c r="CU26">
        <v>4.7897000000000105</v>
      </c>
      <c r="CV26" s="2">
        <v>45681</v>
      </c>
      <c r="CW26" t="s">
        <v>1544</v>
      </c>
      <c r="CX26">
        <v>4</v>
      </c>
      <c r="CY26">
        <v>2.5999999999999999E-3</v>
      </c>
      <c r="CZ26">
        <v>6.4629995979517316</v>
      </c>
      <c r="DA26">
        <v>753.33866184561941</v>
      </c>
      <c r="DB26">
        <v>0.42399999999999999</v>
      </c>
      <c r="DC26">
        <v>7.3000000000000001E-3</v>
      </c>
      <c r="DD26">
        <v>4.7984000000000151</v>
      </c>
      <c r="DE26" s="2">
        <v>45681</v>
      </c>
      <c r="DF26" t="s">
        <v>1664</v>
      </c>
      <c r="DG26">
        <v>5</v>
      </c>
      <c r="DH26">
        <v>2E-3</v>
      </c>
      <c r="DI26">
        <v>6.4647167665778236</v>
      </c>
      <c r="DJ26">
        <v>753.50162114823547</v>
      </c>
      <c r="DK26">
        <v>0.42399999999999999</v>
      </c>
      <c r="DL26">
        <v>7.3000000000000001E-3</v>
      </c>
      <c r="DM26">
        <v>4.7975000000000136</v>
      </c>
      <c r="DN26" s="2">
        <v>45681</v>
      </c>
      <c r="DO26" t="s">
        <v>1784</v>
      </c>
      <c r="DP26">
        <v>5</v>
      </c>
      <c r="DQ26">
        <v>2.0999999999999999E-3</v>
      </c>
      <c r="DR26">
        <v>6.4660819865929486</v>
      </c>
      <c r="DS26">
        <v>753.63118052767084</v>
      </c>
      <c r="DT26">
        <v>0.42399999999999999</v>
      </c>
      <c r="DU26">
        <v>7.3000000000000001E-3</v>
      </c>
      <c r="DV26">
        <v>4.79849999999999</v>
      </c>
      <c r="DW26" s="2">
        <v>45681</v>
      </c>
      <c r="DX26" t="s">
        <v>1902</v>
      </c>
      <c r="DY26">
        <v>6</v>
      </c>
      <c r="DZ26">
        <v>2E-3</v>
      </c>
      <c r="EA26">
        <v>6.4662291724751846</v>
      </c>
      <c r="EB26">
        <v>753.64514846789518</v>
      </c>
      <c r="EC26">
        <v>0.42399999999999999</v>
      </c>
      <c r="ED26">
        <v>7.3000000000000001E-3</v>
      </c>
      <c r="EE26">
        <v>4.7991999999999848</v>
      </c>
    </row>
    <row r="27" spans="1:135" x14ac:dyDescent="0.3">
      <c r="A27" s="2">
        <v>45681</v>
      </c>
      <c r="B27" t="s">
        <v>222</v>
      </c>
      <c r="C27">
        <v>0</v>
      </c>
      <c r="D27">
        <v>6.9999999999999999E-4</v>
      </c>
      <c r="E27">
        <v>5.9957368673229956</v>
      </c>
      <c r="F27">
        <v>606.80267603450329</v>
      </c>
      <c r="G27">
        <v>0.42399999999999999</v>
      </c>
      <c r="H27">
        <v>0</v>
      </c>
      <c r="I27">
        <v>4.9991399999999988</v>
      </c>
      <c r="J27" s="2">
        <v>45681</v>
      </c>
      <c r="K27" t="s">
        <v>347</v>
      </c>
      <c r="L27">
        <v>0</v>
      </c>
      <c r="M27">
        <v>6.3E-3</v>
      </c>
      <c r="N27">
        <v>6.6736355704961996</v>
      </c>
      <c r="O27">
        <v>773.32801564008935</v>
      </c>
      <c r="P27">
        <v>0.42399999999999999</v>
      </c>
      <c r="Q27">
        <v>1.0500000000000001E-2</v>
      </c>
      <c r="R27">
        <v>5.0010699999999986</v>
      </c>
      <c r="S27" s="2">
        <v>45681</v>
      </c>
      <c r="T27" t="s">
        <v>467</v>
      </c>
      <c r="U27">
        <v>1</v>
      </c>
      <c r="V27">
        <v>6.1000000000000004E-3</v>
      </c>
      <c r="W27">
        <v>6.6718928572128604</v>
      </c>
      <c r="X27">
        <v>773.1626321495005</v>
      </c>
      <c r="Y27">
        <v>0.42399999999999999</v>
      </c>
      <c r="Z27">
        <v>1.0500000000000001E-2</v>
      </c>
      <c r="AA27">
        <v>4.998739999999998</v>
      </c>
      <c r="AB27" s="2">
        <v>45681</v>
      </c>
      <c r="AC27" t="s">
        <v>587</v>
      </c>
      <c r="AD27">
        <v>1</v>
      </c>
      <c r="AE27">
        <v>5.8999999999999999E-3</v>
      </c>
      <c r="AF27">
        <v>6.6728469298875233</v>
      </c>
      <c r="AG27">
        <v>773.25317364632599</v>
      </c>
      <c r="AH27">
        <v>0.42399999999999999</v>
      </c>
      <c r="AI27">
        <v>1.0500000000000001E-2</v>
      </c>
      <c r="AJ27">
        <v>5.0004500000000007</v>
      </c>
      <c r="AK27" s="2">
        <v>45681</v>
      </c>
      <c r="AL27" t="s">
        <v>705</v>
      </c>
      <c r="AM27">
        <v>2</v>
      </c>
      <c r="AN27">
        <v>5.7999999999999996E-3</v>
      </c>
      <c r="AO27">
        <v>6.6714342697946503</v>
      </c>
      <c r="AP27">
        <v>773.11911220351237</v>
      </c>
      <c r="AQ27">
        <v>0.42399999999999999</v>
      </c>
      <c r="AR27">
        <v>1.0500000000000001E-2</v>
      </c>
      <c r="AS27">
        <v>4.9967999999999932</v>
      </c>
      <c r="AT27" s="2">
        <v>45681</v>
      </c>
      <c r="AU27" t="s">
        <v>825</v>
      </c>
      <c r="AV27">
        <v>2</v>
      </c>
      <c r="AW27">
        <v>5.4999999999999997E-3</v>
      </c>
      <c r="AX27">
        <v>6.6718259545391154</v>
      </c>
      <c r="AY27">
        <v>773.15628308576197</v>
      </c>
      <c r="AZ27">
        <v>0.42399999999999999</v>
      </c>
      <c r="BA27">
        <v>1.0500000000000001E-2</v>
      </c>
      <c r="BB27">
        <v>4.9990000000000236</v>
      </c>
      <c r="BC27" s="2">
        <v>45681</v>
      </c>
      <c r="BD27" t="s">
        <v>945</v>
      </c>
      <c r="BE27">
        <v>2</v>
      </c>
      <c r="BF27">
        <v>5.1999999999999998E-3</v>
      </c>
      <c r="BG27">
        <v>6.670485468239737</v>
      </c>
      <c r="BH27">
        <v>773.02907093595104</v>
      </c>
      <c r="BI27">
        <v>0.42399999999999999</v>
      </c>
      <c r="BJ27">
        <v>1.0500000000000001E-2</v>
      </c>
      <c r="BK27">
        <v>4.9993000000000052</v>
      </c>
      <c r="BL27" s="2">
        <v>45681</v>
      </c>
      <c r="BM27" t="s">
        <v>1065</v>
      </c>
      <c r="BN27">
        <v>3</v>
      </c>
      <c r="BO27">
        <v>5.7000000000000002E-3</v>
      </c>
      <c r="BP27">
        <v>6.6709083742319493</v>
      </c>
      <c r="BQ27">
        <v>773.06920471461206</v>
      </c>
      <c r="BR27">
        <v>0.42399999999999999</v>
      </c>
      <c r="BS27">
        <v>1.0500000000000001E-2</v>
      </c>
      <c r="BT27">
        <v>4.9977000000000089</v>
      </c>
      <c r="BU27" s="2">
        <v>45681</v>
      </c>
      <c r="BV27" t="s">
        <v>1185</v>
      </c>
      <c r="BW27">
        <v>3</v>
      </c>
      <c r="BX27">
        <v>5.7000000000000002E-3</v>
      </c>
      <c r="BY27">
        <v>6.6696607407343143</v>
      </c>
      <c r="BZ27">
        <v>772.95080429568645</v>
      </c>
      <c r="CA27">
        <v>0.42399999999999999</v>
      </c>
      <c r="CB27">
        <v>1.0500000000000001E-2</v>
      </c>
      <c r="CC27">
        <v>4.9997999999999934</v>
      </c>
      <c r="CD27" s="2">
        <v>45681</v>
      </c>
      <c r="CE27" t="s">
        <v>1305</v>
      </c>
      <c r="CF27">
        <v>4</v>
      </c>
      <c r="CG27">
        <v>5.4000000000000003E-3</v>
      </c>
      <c r="CH27">
        <v>6.6710734008271837</v>
      </c>
      <c r="CI27">
        <v>773.08486573849973</v>
      </c>
      <c r="CJ27">
        <v>0.42399999999999999</v>
      </c>
      <c r="CK27">
        <v>1.0500000000000001E-2</v>
      </c>
      <c r="CL27">
        <v>5.0004999999999882</v>
      </c>
      <c r="CM27" s="2">
        <v>45681</v>
      </c>
      <c r="CN27" t="s">
        <v>1425</v>
      </c>
      <c r="CO27">
        <v>4</v>
      </c>
      <c r="CP27">
        <v>5.0000000000000001E-3</v>
      </c>
      <c r="CQ27">
        <v>6.6697434567673053</v>
      </c>
      <c r="CR27">
        <v>772.95865404721735</v>
      </c>
      <c r="CS27">
        <v>0.42399999999999999</v>
      </c>
      <c r="CT27">
        <v>1.0500000000000001E-2</v>
      </c>
      <c r="CU27">
        <v>4.9888999999999726</v>
      </c>
      <c r="CV27" s="2">
        <v>45681</v>
      </c>
      <c r="CW27" t="s">
        <v>1545</v>
      </c>
      <c r="CX27">
        <v>4</v>
      </c>
      <c r="CY27">
        <v>5.4000000000000003E-3</v>
      </c>
      <c r="CZ27">
        <v>6.6723729345808156</v>
      </c>
      <c r="DA27">
        <v>773.20819149171939</v>
      </c>
      <c r="DB27">
        <v>0.42399999999999999</v>
      </c>
      <c r="DC27">
        <v>1.0500000000000001E-2</v>
      </c>
      <c r="DD27">
        <v>4.9989000000000487</v>
      </c>
      <c r="DE27" s="2">
        <v>45681</v>
      </c>
      <c r="DF27" t="s">
        <v>1665</v>
      </c>
      <c r="DG27">
        <v>5</v>
      </c>
      <c r="DH27">
        <v>5.1999999999999998E-3</v>
      </c>
      <c r="DI27">
        <v>6.6734145889374687</v>
      </c>
      <c r="DJ27">
        <v>773.30704449016582</v>
      </c>
      <c r="DK27">
        <v>0.42399999999999999</v>
      </c>
      <c r="DL27">
        <v>1.0500000000000001E-2</v>
      </c>
      <c r="DM27">
        <v>4.9972999999999956</v>
      </c>
      <c r="DN27" s="2">
        <v>45681</v>
      </c>
      <c r="DO27" t="s">
        <v>1785</v>
      </c>
      <c r="DP27">
        <v>5</v>
      </c>
      <c r="DQ27">
        <v>4.7999999999999996E-3</v>
      </c>
      <c r="DR27">
        <v>6.6764357514954424</v>
      </c>
      <c r="DS27">
        <v>773.59375281691757</v>
      </c>
      <c r="DT27">
        <v>0.42399999999999999</v>
      </c>
      <c r="DU27">
        <v>1.06E-2</v>
      </c>
      <c r="DV27">
        <v>4.9997999999999934</v>
      </c>
      <c r="DW27" s="2">
        <v>45681</v>
      </c>
      <c r="DX27" t="s">
        <v>1903</v>
      </c>
      <c r="DY27">
        <v>6</v>
      </c>
      <c r="DZ27">
        <v>4.4000000000000003E-3</v>
      </c>
      <c r="EA27">
        <v>6.6769206945123996</v>
      </c>
      <c r="EB27">
        <v>773.63977390922673</v>
      </c>
      <c r="EC27">
        <v>0.42399999999999999</v>
      </c>
      <c r="ED27">
        <v>1.06E-2</v>
      </c>
      <c r="EE27">
        <v>5.0008000000000266</v>
      </c>
    </row>
    <row r="28" spans="1:135" x14ac:dyDescent="0.3">
      <c r="A28" s="2">
        <v>45681</v>
      </c>
      <c r="B28" t="s">
        <v>223</v>
      </c>
      <c r="C28">
        <v>0</v>
      </c>
      <c r="D28">
        <v>2.0000000000000001E-4</v>
      </c>
      <c r="E28">
        <v>6.0294914255004404</v>
      </c>
      <c r="F28">
        <v>712.19873627999186</v>
      </c>
      <c r="G28">
        <v>0.42399999999999999</v>
      </c>
      <c r="H28">
        <v>5.0000000000000001E-4</v>
      </c>
      <c r="I28">
        <v>5.1991999999999994</v>
      </c>
      <c r="J28" s="2">
        <v>45681</v>
      </c>
      <c r="K28" t="s">
        <v>348</v>
      </c>
      <c r="L28">
        <v>0</v>
      </c>
      <c r="M28">
        <v>9.1999999999999998E-3</v>
      </c>
      <c r="N28">
        <v>6.8823378530340964</v>
      </c>
      <c r="O28">
        <v>793.13386225293573</v>
      </c>
      <c r="P28">
        <v>0.42399999999999999</v>
      </c>
      <c r="Q28">
        <v>1.38E-2</v>
      </c>
      <c r="R28">
        <v>5.2010500000000022</v>
      </c>
      <c r="S28" s="2">
        <v>45681</v>
      </c>
      <c r="T28" t="s">
        <v>468</v>
      </c>
      <c r="U28">
        <v>1</v>
      </c>
      <c r="V28">
        <v>9.1000000000000004E-3</v>
      </c>
      <c r="W28">
        <v>6.8819850934816271</v>
      </c>
      <c r="X28">
        <v>793.10038537140645</v>
      </c>
      <c r="Y28">
        <v>0.42399999999999999</v>
      </c>
      <c r="Z28">
        <v>1.38E-2</v>
      </c>
      <c r="AA28">
        <v>5.200010000000006</v>
      </c>
      <c r="AB28" s="2">
        <v>45681</v>
      </c>
      <c r="AC28" t="s">
        <v>588</v>
      </c>
      <c r="AD28">
        <v>1</v>
      </c>
      <c r="AE28">
        <v>9.1000000000000004E-3</v>
      </c>
      <c r="AF28">
        <v>6.8825239641083273</v>
      </c>
      <c r="AG28">
        <v>793.15152419388028</v>
      </c>
      <c r="AH28">
        <v>0.42399999999999999</v>
      </c>
      <c r="AI28">
        <v>1.38E-2</v>
      </c>
      <c r="AJ28">
        <v>5.2013600000000082</v>
      </c>
      <c r="AK28" s="2">
        <v>45681</v>
      </c>
      <c r="AL28" t="s">
        <v>706</v>
      </c>
      <c r="AM28">
        <v>2</v>
      </c>
      <c r="AN28">
        <v>8.8999999999999999E-3</v>
      </c>
      <c r="AO28">
        <v>6.8813091737414389</v>
      </c>
      <c r="AP28">
        <v>793.03624058806258</v>
      </c>
      <c r="AQ28">
        <v>0.42399999999999999</v>
      </c>
      <c r="AR28">
        <v>1.38E-2</v>
      </c>
      <c r="AS28">
        <v>5.19789999999999</v>
      </c>
      <c r="AT28" s="2">
        <v>45681</v>
      </c>
      <c r="AU28" t="s">
        <v>826</v>
      </c>
      <c r="AV28">
        <v>2</v>
      </c>
      <c r="AW28">
        <v>8.6999999999999994E-3</v>
      </c>
      <c r="AX28">
        <v>6.8810444013417147</v>
      </c>
      <c r="AY28">
        <v>793.01111368732882</v>
      </c>
      <c r="AZ28">
        <v>0.42399999999999999</v>
      </c>
      <c r="BA28">
        <v>1.38E-2</v>
      </c>
      <c r="BB28">
        <v>5.1994000000000256</v>
      </c>
      <c r="BC28" s="2">
        <v>45681</v>
      </c>
      <c r="BD28" t="s">
        <v>946</v>
      </c>
      <c r="BE28">
        <v>2</v>
      </c>
      <c r="BF28">
        <v>8.8000000000000005E-3</v>
      </c>
      <c r="BG28">
        <v>6.8792201884376309</v>
      </c>
      <c r="BH28">
        <v>792.83799588273121</v>
      </c>
      <c r="BI28">
        <v>0.42399999999999999</v>
      </c>
      <c r="BJ28">
        <v>1.37E-2</v>
      </c>
      <c r="BK28">
        <v>5.1992000000000189</v>
      </c>
      <c r="BL28" s="2">
        <v>45681</v>
      </c>
      <c r="BM28" t="s">
        <v>1066</v>
      </c>
      <c r="BN28">
        <v>3</v>
      </c>
      <c r="BO28">
        <v>8.6E-3</v>
      </c>
      <c r="BP28">
        <v>6.8788374240496646</v>
      </c>
      <c r="BQ28">
        <v>792.80167154231322</v>
      </c>
      <c r="BR28">
        <v>0.42399999999999999</v>
      </c>
      <c r="BS28">
        <v>1.37E-2</v>
      </c>
      <c r="BT28">
        <v>5.1967999999999961</v>
      </c>
      <c r="BU28" s="2">
        <v>45681</v>
      </c>
      <c r="BV28" t="s">
        <v>1186</v>
      </c>
      <c r="BW28">
        <v>3</v>
      </c>
      <c r="BX28">
        <v>8.6999999999999994E-3</v>
      </c>
      <c r="BY28">
        <v>6.8791812632456359</v>
      </c>
      <c r="BZ28">
        <v>792.83430188201089</v>
      </c>
      <c r="CA28">
        <v>0.42399999999999999</v>
      </c>
      <c r="CB28">
        <v>1.37E-2</v>
      </c>
      <c r="CC28">
        <v>5.2004000000000019</v>
      </c>
      <c r="CD28" s="2">
        <v>45681</v>
      </c>
      <c r="CE28" t="s">
        <v>1306</v>
      </c>
      <c r="CF28">
        <v>4</v>
      </c>
      <c r="CG28">
        <v>8.3999999999999995E-3</v>
      </c>
      <c r="CH28">
        <v>6.8788767547124134</v>
      </c>
      <c r="CI28">
        <v>792.80540402220811</v>
      </c>
      <c r="CJ28">
        <v>0.42399999999999999</v>
      </c>
      <c r="CK28">
        <v>1.37E-2</v>
      </c>
      <c r="CL28">
        <v>5.1993999999999971</v>
      </c>
      <c r="CM28" s="2">
        <v>45681</v>
      </c>
      <c r="CN28" t="s">
        <v>1426</v>
      </c>
      <c r="CO28">
        <v>4</v>
      </c>
      <c r="CP28">
        <v>8.5000000000000006E-3</v>
      </c>
      <c r="CQ28">
        <v>6.8787295688301766</v>
      </c>
      <c r="CR28">
        <v>792.79143608198376</v>
      </c>
      <c r="CS28">
        <v>0.42399999999999999</v>
      </c>
      <c r="CT28">
        <v>1.37E-2</v>
      </c>
      <c r="CU28">
        <v>5.188999999999993</v>
      </c>
      <c r="CV28" s="2">
        <v>45681</v>
      </c>
      <c r="CW28" t="s">
        <v>1546</v>
      </c>
      <c r="CX28">
        <v>4</v>
      </c>
      <c r="CY28">
        <v>8.3000000000000001E-3</v>
      </c>
      <c r="CZ28">
        <v>6.880642985299251</v>
      </c>
      <c r="DA28">
        <v>792.97301930489891</v>
      </c>
      <c r="DB28">
        <v>0.42399999999999999</v>
      </c>
      <c r="DC28">
        <v>1.37E-2</v>
      </c>
      <c r="DD28">
        <v>5.1984000000000492</v>
      </c>
      <c r="DE28" s="2">
        <v>45681</v>
      </c>
      <c r="DF28" t="s">
        <v>1666</v>
      </c>
      <c r="DG28">
        <v>5</v>
      </c>
      <c r="DH28">
        <v>8.0999999999999996E-3</v>
      </c>
      <c r="DI28">
        <v>6.8838076845027114</v>
      </c>
      <c r="DJ28">
        <v>793.27334925930734</v>
      </c>
      <c r="DK28">
        <v>0.42399999999999999</v>
      </c>
      <c r="DL28">
        <v>1.38E-2</v>
      </c>
      <c r="DM28">
        <v>5.1988999999999805</v>
      </c>
      <c r="DN28" s="2">
        <v>45681</v>
      </c>
      <c r="DO28" t="s">
        <v>1786</v>
      </c>
      <c r="DP28">
        <v>5</v>
      </c>
      <c r="DQ28">
        <v>7.7999999999999996E-3</v>
      </c>
      <c r="DR28">
        <v>6.8832493512800106</v>
      </c>
      <c r="DS28">
        <v>793.22036343647312</v>
      </c>
      <c r="DT28">
        <v>0.42399999999999999</v>
      </c>
      <c r="DU28">
        <v>1.38E-2</v>
      </c>
      <c r="DV28">
        <v>5.1981000000000108</v>
      </c>
      <c r="DW28" s="2">
        <v>45681</v>
      </c>
      <c r="DX28" t="s">
        <v>1904</v>
      </c>
      <c r="DY28">
        <v>6</v>
      </c>
      <c r="DZ28">
        <v>7.6E-3</v>
      </c>
      <c r="EA28">
        <v>6.885158307570836</v>
      </c>
      <c r="EB28">
        <v>793.40152338847236</v>
      </c>
      <c r="EC28">
        <v>0.42399999999999999</v>
      </c>
      <c r="ED28">
        <v>1.38E-2</v>
      </c>
      <c r="EE28">
        <v>5.2004000000000019</v>
      </c>
    </row>
    <row r="29" spans="1:135" x14ac:dyDescent="0.3">
      <c r="A29" s="2">
        <v>45681</v>
      </c>
      <c r="B29" t="s">
        <v>224</v>
      </c>
      <c r="C29">
        <v>0</v>
      </c>
      <c r="D29">
        <v>2.9999999999999997E-4</v>
      </c>
      <c r="E29">
        <v>6.1258819311524144</v>
      </c>
      <c r="F29">
        <v>721.34619526636413</v>
      </c>
      <c r="G29">
        <v>0.42399999999999999</v>
      </c>
      <c r="H29">
        <v>2E-3</v>
      </c>
      <c r="I29">
        <v>5.3988700000000005</v>
      </c>
      <c r="J29" s="2">
        <v>45681</v>
      </c>
      <c r="K29" t="s">
        <v>349</v>
      </c>
      <c r="L29">
        <v>0</v>
      </c>
      <c r="M29">
        <v>1.23E-2</v>
      </c>
      <c r="N29">
        <v>7.0699293009751738</v>
      </c>
      <c r="O29">
        <v>810.93629066254402</v>
      </c>
      <c r="P29">
        <v>0.42399999999999999</v>
      </c>
      <c r="Q29">
        <v>1.67E-2</v>
      </c>
      <c r="R29">
        <v>5.4004699999999985</v>
      </c>
      <c r="S29" s="2">
        <v>45681</v>
      </c>
      <c r="T29" t="s">
        <v>469</v>
      </c>
      <c r="U29">
        <v>1</v>
      </c>
      <c r="V29">
        <v>1.2200000000000001E-2</v>
      </c>
      <c r="W29">
        <v>7.0701835311353998</v>
      </c>
      <c r="X29">
        <v>810.96041710474947</v>
      </c>
      <c r="Y29">
        <v>0.42399999999999999</v>
      </c>
      <c r="Z29">
        <v>1.67E-2</v>
      </c>
      <c r="AA29">
        <v>5.4000800000000027</v>
      </c>
      <c r="AB29" s="2">
        <v>45681</v>
      </c>
      <c r="AC29" t="s">
        <v>589</v>
      </c>
      <c r="AD29">
        <v>1</v>
      </c>
      <c r="AE29">
        <v>1.2200000000000001E-2</v>
      </c>
      <c r="AF29">
        <v>7.0689877978937599</v>
      </c>
      <c r="AG29">
        <v>810.84694202011781</v>
      </c>
      <c r="AH29">
        <v>0.42399999999999999</v>
      </c>
      <c r="AI29">
        <v>1.67E-2</v>
      </c>
      <c r="AJ29">
        <v>5.3994900000000001</v>
      </c>
      <c r="AK29" s="2">
        <v>45681</v>
      </c>
      <c r="AL29" t="s">
        <v>707</v>
      </c>
      <c r="AM29">
        <v>2</v>
      </c>
      <c r="AN29">
        <v>1.1900000000000001E-2</v>
      </c>
      <c r="AO29">
        <v>7.0693462340367281</v>
      </c>
      <c r="AP29">
        <v>810.88095761008549</v>
      </c>
      <c r="AQ29">
        <v>0.42399999999999999</v>
      </c>
      <c r="AR29">
        <v>1.67E-2</v>
      </c>
      <c r="AS29">
        <v>5.3975999999999971</v>
      </c>
      <c r="AT29" s="2">
        <v>45681</v>
      </c>
      <c r="AU29" t="s">
        <v>827</v>
      </c>
      <c r="AV29">
        <v>2</v>
      </c>
      <c r="AW29">
        <v>1.18E-2</v>
      </c>
      <c r="AX29">
        <v>7.0679696608406024</v>
      </c>
      <c r="AY29">
        <v>810.75032081377321</v>
      </c>
      <c r="AZ29">
        <v>0.42399999999999999</v>
      </c>
      <c r="BA29">
        <v>1.67E-2</v>
      </c>
      <c r="BB29">
        <v>5.3978000000000179</v>
      </c>
      <c r="BC29" s="2">
        <v>45681</v>
      </c>
      <c r="BD29" t="s">
        <v>947</v>
      </c>
      <c r="BE29">
        <v>2</v>
      </c>
      <c r="BF29">
        <v>1.15E-2</v>
      </c>
      <c r="BG29">
        <v>7.068320393039321</v>
      </c>
      <c r="BH29">
        <v>810.78360529943166</v>
      </c>
      <c r="BI29">
        <v>0.42399999999999999</v>
      </c>
      <c r="BJ29">
        <v>1.67E-2</v>
      </c>
      <c r="BK29">
        <v>5.399799999999999</v>
      </c>
      <c r="BL29" s="2">
        <v>45681</v>
      </c>
      <c r="BM29" t="s">
        <v>1067</v>
      </c>
      <c r="BN29">
        <v>3</v>
      </c>
      <c r="BO29">
        <v>1.1599999999999999E-2</v>
      </c>
      <c r="BP29">
        <v>7.0690628099825039</v>
      </c>
      <c r="BQ29">
        <v>810.8540606673397</v>
      </c>
      <c r="BR29">
        <v>0.42399999999999999</v>
      </c>
      <c r="BS29">
        <v>1.67E-2</v>
      </c>
      <c r="BT29">
        <v>5.398699999999991</v>
      </c>
      <c r="BU29" s="2">
        <v>45681</v>
      </c>
      <c r="BV29" t="s">
        <v>1187</v>
      </c>
      <c r="BW29">
        <v>3</v>
      </c>
      <c r="BX29">
        <v>1.14E-2</v>
      </c>
      <c r="BY29">
        <v>7.0677190799171266</v>
      </c>
      <c r="BZ29">
        <v>810.72654068413544</v>
      </c>
      <c r="CA29">
        <v>0.42399999999999999</v>
      </c>
      <c r="CB29">
        <v>1.67E-2</v>
      </c>
      <c r="CC29">
        <v>5.4003999999999905</v>
      </c>
      <c r="CD29" s="2">
        <v>45681</v>
      </c>
      <c r="CE29" t="s">
        <v>1307</v>
      </c>
      <c r="CF29">
        <v>4</v>
      </c>
      <c r="CG29">
        <v>1.14E-2</v>
      </c>
      <c r="CH29">
        <v>7.0666575574937243</v>
      </c>
      <c r="CI29">
        <v>810.6258022061545</v>
      </c>
      <c r="CJ29">
        <v>0.42399999999999999</v>
      </c>
      <c r="CK29">
        <v>1.66E-2</v>
      </c>
      <c r="CL29">
        <v>5.3985000000000127</v>
      </c>
      <c r="CM29" s="2">
        <v>45681</v>
      </c>
      <c r="CN29" t="s">
        <v>1427</v>
      </c>
      <c r="CO29">
        <v>4</v>
      </c>
      <c r="CP29">
        <v>1.0999999999999999E-2</v>
      </c>
      <c r="CQ29">
        <v>7.0678196366631161</v>
      </c>
      <c r="CR29">
        <v>810.73608351932978</v>
      </c>
      <c r="CS29">
        <v>0.42399999999999999</v>
      </c>
      <c r="CT29">
        <v>1.67E-2</v>
      </c>
      <c r="CU29">
        <v>5.3895000000000266</v>
      </c>
      <c r="CV29" s="2">
        <v>45681</v>
      </c>
      <c r="CW29" t="s">
        <v>1547</v>
      </c>
      <c r="CX29">
        <v>4</v>
      </c>
      <c r="CY29">
        <v>1.11E-2</v>
      </c>
      <c r="CZ29">
        <v>7.0699966091196682</v>
      </c>
      <c r="DA29">
        <v>810.94267820545656</v>
      </c>
      <c r="DB29">
        <v>0.42399999999999999</v>
      </c>
      <c r="DC29">
        <v>1.67E-2</v>
      </c>
      <c r="DD29">
        <v>5.3996000000000208</v>
      </c>
      <c r="DE29" s="2">
        <v>45681</v>
      </c>
      <c r="DF29" t="s">
        <v>1667</v>
      </c>
      <c r="DG29">
        <v>5</v>
      </c>
      <c r="DH29">
        <v>1.04E-2</v>
      </c>
      <c r="DI29">
        <v>7.0717518919962563</v>
      </c>
      <c r="DJ29">
        <v>811.1092545504448</v>
      </c>
      <c r="DK29">
        <v>0.42399999999999999</v>
      </c>
      <c r="DL29">
        <v>1.67E-2</v>
      </c>
      <c r="DM29">
        <v>5.3990000000000009</v>
      </c>
      <c r="DN29" s="2">
        <v>45681</v>
      </c>
      <c r="DO29" t="s">
        <v>1787</v>
      </c>
      <c r="DP29">
        <v>5</v>
      </c>
      <c r="DQ29">
        <v>1.06E-2</v>
      </c>
      <c r="DR29">
        <v>7.0724906597026909</v>
      </c>
      <c r="DS29">
        <v>811.1793636057854</v>
      </c>
      <c r="DT29">
        <v>0.42399999999999999</v>
      </c>
      <c r="DU29">
        <v>1.67E-2</v>
      </c>
      <c r="DV29">
        <v>5.3996000000000208</v>
      </c>
      <c r="DW29" s="2">
        <v>45681</v>
      </c>
      <c r="DX29" t="s">
        <v>1905</v>
      </c>
      <c r="DY29">
        <v>6</v>
      </c>
      <c r="DZ29">
        <v>1.0500000000000001E-2</v>
      </c>
      <c r="EA29">
        <v>7.0717851405977532</v>
      </c>
      <c r="EB29">
        <v>811.11240984272683</v>
      </c>
      <c r="EC29">
        <v>0.42399999999999999</v>
      </c>
      <c r="ED29">
        <v>1.67E-2</v>
      </c>
      <c r="EE29">
        <v>5.3992999999999824</v>
      </c>
    </row>
    <row r="30" spans="1:135" x14ac:dyDescent="0.3">
      <c r="A30" s="2">
        <v>45681</v>
      </c>
      <c r="B30" t="s">
        <v>225</v>
      </c>
      <c r="C30">
        <v>0</v>
      </c>
      <c r="D30">
        <v>6.9999999999999999E-4</v>
      </c>
      <c r="E30">
        <v>6.2745089375284593</v>
      </c>
      <c r="F30">
        <v>735.45089817145083</v>
      </c>
      <c r="G30">
        <v>0.42399999999999999</v>
      </c>
      <c r="H30">
        <v>4.3E-3</v>
      </c>
      <c r="I30">
        <v>5.5973699999999997</v>
      </c>
      <c r="J30" s="2">
        <v>45681</v>
      </c>
      <c r="K30" t="s">
        <v>350</v>
      </c>
      <c r="L30">
        <v>0</v>
      </c>
      <c r="M30">
        <v>1.5100000000000001E-2</v>
      </c>
      <c r="N30">
        <v>7.2199441526341923</v>
      </c>
      <c r="O30">
        <v>825.17270008498485</v>
      </c>
      <c r="P30">
        <v>0.42399999999999999</v>
      </c>
      <c r="Q30">
        <v>1.9E-2</v>
      </c>
      <c r="R30">
        <v>5.6018199999999965</v>
      </c>
      <c r="S30" s="2">
        <v>45681</v>
      </c>
      <c r="T30" t="s">
        <v>470</v>
      </c>
      <c r="U30">
        <v>1</v>
      </c>
      <c r="V30">
        <v>1.47E-2</v>
      </c>
      <c r="W30">
        <v>7.2193955507094918</v>
      </c>
      <c r="X30">
        <v>825.12063776233083</v>
      </c>
      <c r="Y30">
        <v>0.42399999999999999</v>
      </c>
      <c r="Z30">
        <v>1.9E-2</v>
      </c>
      <c r="AA30">
        <v>5.6002399999999994</v>
      </c>
      <c r="AB30" s="2">
        <v>45681</v>
      </c>
      <c r="AC30" t="s">
        <v>590</v>
      </c>
      <c r="AD30">
        <v>1</v>
      </c>
      <c r="AE30">
        <v>1.46E-2</v>
      </c>
      <c r="AF30">
        <v>7.2201160722321749</v>
      </c>
      <c r="AG30">
        <v>825.18901525483341</v>
      </c>
      <c r="AH30">
        <v>0.42399999999999999</v>
      </c>
      <c r="AI30">
        <v>1.9E-2</v>
      </c>
      <c r="AJ30">
        <v>5.6022200000000026</v>
      </c>
      <c r="AK30" s="2">
        <v>45681</v>
      </c>
      <c r="AL30" t="s">
        <v>708</v>
      </c>
      <c r="AM30">
        <v>2</v>
      </c>
      <c r="AN30">
        <v>1.44E-2</v>
      </c>
      <c r="AO30">
        <v>7.2182975359185919</v>
      </c>
      <c r="AP30">
        <v>825.01643615867442</v>
      </c>
      <c r="AQ30">
        <v>0.42399999999999999</v>
      </c>
      <c r="AR30">
        <v>1.9E-2</v>
      </c>
      <c r="AS30">
        <v>5.5969999999999942</v>
      </c>
      <c r="AT30" s="2">
        <v>45681</v>
      </c>
      <c r="AU30" t="s">
        <v>828</v>
      </c>
      <c r="AV30">
        <v>2</v>
      </c>
      <c r="AW30">
        <v>1.44E-2</v>
      </c>
      <c r="AX30">
        <v>7.2188911450965394</v>
      </c>
      <c r="AY30">
        <v>825.07276966966151</v>
      </c>
      <c r="AZ30">
        <v>0.42399999999999999</v>
      </c>
      <c r="BA30">
        <v>1.9E-2</v>
      </c>
      <c r="BB30">
        <v>5.5997000000000128</v>
      </c>
      <c r="BC30" s="2">
        <v>45681</v>
      </c>
      <c r="BD30" t="s">
        <v>948</v>
      </c>
      <c r="BE30">
        <v>2</v>
      </c>
      <c r="BF30">
        <v>1.41E-2</v>
      </c>
      <c r="BG30">
        <v>7.2188546527290418</v>
      </c>
      <c r="BH30">
        <v>825.06930654398616</v>
      </c>
      <c r="BI30">
        <v>0.42399999999999999</v>
      </c>
      <c r="BJ30">
        <v>1.9E-2</v>
      </c>
      <c r="BK30">
        <v>5.601300000000009</v>
      </c>
      <c r="BL30" s="2">
        <v>45681</v>
      </c>
      <c r="BM30" t="s">
        <v>1068</v>
      </c>
      <c r="BN30">
        <v>3</v>
      </c>
      <c r="BO30">
        <v>1.41E-2</v>
      </c>
      <c r="BP30">
        <v>7.2181949518188544</v>
      </c>
      <c r="BQ30">
        <v>825.00670092760924</v>
      </c>
      <c r="BR30">
        <v>0.42399999999999999</v>
      </c>
      <c r="BS30">
        <v>1.9E-2</v>
      </c>
      <c r="BT30">
        <v>5.5981999999999914</v>
      </c>
      <c r="BU30" s="2">
        <v>45681</v>
      </c>
      <c r="BV30" t="s">
        <v>1188</v>
      </c>
      <c r="BW30">
        <v>3</v>
      </c>
      <c r="BX30">
        <v>1.3899999999999999E-2</v>
      </c>
      <c r="BY30">
        <v>7.2184430999178302</v>
      </c>
      <c r="BZ30">
        <v>825.03025018220217</v>
      </c>
      <c r="CA30">
        <v>0.42399999999999999</v>
      </c>
      <c r="CB30">
        <v>1.9E-2</v>
      </c>
      <c r="CC30">
        <v>5.6019000000000005</v>
      </c>
      <c r="CD30" s="2">
        <v>45681</v>
      </c>
      <c r="CE30" t="s">
        <v>1308</v>
      </c>
      <c r="CF30">
        <v>4</v>
      </c>
      <c r="CG30">
        <v>1.38E-2</v>
      </c>
      <c r="CH30">
        <v>7.2181462953288564</v>
      </c>
      <c r="CI30">
        <v>825.0020834267084</v>
      </c>
      <c r="CJ30">
        <v>0.42399999999999999</v>
      </c>
      <c r="CK30">
        <v>1.9E-2</v>
      </c>
      <c r="CL30">
        <v>5.6006999999999891</v>
      </c>
      <c r="CM30" s="2">
        <v>45681</v>
      </c>
      <c r="CN30" t="s">
        <v>1428</v>
      </c>
      <c r="CO30">
        <v>4</v>
      </c>
      <c r="CP30">
        <v>1.37E-2</v>
      </c>
      <c r="CQ30">
        <v>7.2170227358807084</v>
      </c>
      <c r="CR30">
        <v>824.89545763507931</v>
      </c>
      <c r="CS30">
        <v>0.42399999999999999</v>
      </c>
      <c r="CT30">
        <v>1.9E-2</v>
      </c>
      <c r="CU30">
        <v>5.5886999999999887</v>
      </c>
      <c r="CV30" s="2">
        <v>45681</v>
      </c>
      <c r="CW30" t="s">
        <v>1548</v>
      </c>
      <c r="CX30">
        <v>4</v>
      </c>
      <c r="CY30">
        <v>1.37E-2</v>
      </c>
      <c r="CZ30">
        <v>7.2188972271577878</v>
      </c>
      <c r="DA30">
        <v>825.07334685727415</v>
      </c>
      <c r="DB30">
        <v>0.42399999999999999</v>
      </c>
      <c r="DC30">
        <v>1.9E-2</v>
      </c>
      <c r="DD30">
        <v>5.5991000000000213</v>
      </c>
      <c r="DE30" s="2">
        <v>45681</v>
      </c>
      <c r="DF30" t="s">
        <v>1668</v>
      </c>
      <c r="DG30">
        <v>5</v>
      </c>
      <c r="DH30">
        <v>1.3299999999999999E-2</v>
      </c>
      <c r="DI30">
        <v>7.2187581506905509</v>
      </c>
      <c r="DJ30">
        <v>825.06014850053327</v>
      </c>
      <c r="DK30">
        <v>0.42399999999999999</v>
      </c>
      <c r="DL30">
        <v>1.9E-2</v>
      </c>
      <c r="DM30">
        <v>5.5962999999999852</v>
      </c>
      <c r="DN30" s="2">
        <v>45681</v>
      </c>
      <c r="DO30" t="s">
        <v>1788</v>
      </c>
      <c r="DP30">
        <v>5</v>
      </c>
      <c r="DQ30">
        <v>1.3299999999999999E-2</v>
      </c>
      <c r="DR30">
        <v>7.2195135426977304</v>
      </c>
      <c r="DS30">
        <v>825.1318352020146</v>
      </c>
      <c r="DT30">
        <v>0.42399999999999999</v>
      </c>
      <c r="DU30">
        <v>1.9E-2</v>
      </c>
      <c r="DV30">
        <v>5.5971999999999866</v>
      </c>
      <c r="DW30" s="2">
        <v>45681</v>
      </c>
      <c r="DX30" t="s">
        <v>1906</v>
      </c>
      <c r="DY30">
        <v>6</v>
      </c>
      <c r="DZ30">
        <v>1.32E-2</v>
      </c>
      <c r="EA30">
        <v>7.220543438402637</v>
      </c>
      <c r="EB30">
        <v>825.22957230441034</v>
      </c>
      <c r="EC30">
        <v>0.42399999999999999</v>
      </c>
      <c r="ED30">
        <v>1.9E-2</v>
      </c>
      <c r="EE30">
        <v>5.5994000000000028</v>
      </c>
    </row>
    <row r="31" spans="1:135" x14ac:dyDescent="0.3">
      <c r="A31" s="2">
        <v>45681</v>
      </c>
      <c r="B31" t="s">
        <v>226</v>
      </c>
      <c r="C31">
        <v>0</v>
      </c>
      <c r="D31">
        <v>2.3999999999999998E-3</v>
      </c>
      <c r="E31">
        <v>6.4627096863655078</v>
      </c>
      <c r="F31">
        <v>753.31114923608675</v>
      </c>
      <c r="G31">
        <v>0.42399999999999999</v>
      </c>
      <c r="H31">
        <v>7.3000000000000001E-3</v>
      </c>
      <c r="I31">
        <v>5.7971500000000002</v>
      </c>
      <c r="J31" s="2">
        <v>45681</v>
      </c>
      <c r="K31" t="s">
        <v>351</v>
      </c>
      <c r="L31">
        <v>0</v>
      </c>
      <c r="M31">
        <v>1.7299999999999999E-2</v>
      </c>
      <c r="N31">
        <v>7.3149796034227421</v>
      </c>
      <c r="O31">
        <v>834.1915643648183</v>
      </c>
      <c r="P31">
        <v>0.42399999999999999</v>
      </c>
      <c r="Q31">
        <v>2.0500000000000001E-2</v>
      </c>
      <c r="R31">
        <v>5.8013800000000018</v>
      </c>
      <c r="S31" s="2">
        <v>45681</v>
      </c>
      <c r="T31" t="s">
        <v>471</v>
      </c>
      <c r="U31">
        <v>1</v>
      </c>
      <c r="V31">
        <v>1.6899999999999998E-2</v>
      </c>
      <c r="W31">
        <v>7.3149212156347483</v>
      </c>
      <c r="X31">
        <v>834.1860233637376</v>
      </c>
      <c r="Y31">
        <v>0.42399999999999999</v>
      </c>
      <c r="Z31">
        <v>2.0500000000000001E-2</v>
      </c>
      <c r="AA31">
        <v>5.8005100000000027</v>
      </c>
      <c r="AB31" s="2">
        <v>45681</v>
      </c>
      <c r="AC31" t="s">
        <v>591</v>
      </c>
      <c r="AD31">
        <v>1</v>
      </c>
      <c r="AE31">
        <v>1.6799999999999999E-2</v>
      </c>
      <c r="AF31">
        <v>7.3149970386649921</v>
      </c>
      <c r="AG31">
        <v>834.19321896930774</v>
      </c>
      <c r="AH31">
        <v>0.42399999999999999</v>
      </c>
      <c r="AI31">
        <v>2.0500000000000001E-2</v>
      </c>
      <c r="AJ31">
        <v>5.801550000000006</v>
      </c>
      <c r="AK31" s="2">
        <v>45681</v>
      </c>
      <c r="AL31" t="s">
        <v>709</v>
      </c>
      <c r="AM31">
        <v>2</v>
      </c>
      <c r="AN31">
        <v>1.6500000000000001E-2</v>
      </c>
      <c r="AO31">
        <v>7.3149402727599959</v>
      </c>
      <c r="AP31">
        <v>834.18783188492364</v>
      </c>
      <c r="AQ31">
        <v>0.42399999999999999</v>
      </c>
      <c r="AR31">
        <v>2.0500000000000001E-2</v>
      </c>
      <c r="AS31">
        <v>5.7990999999999957</v>
      </c>
      <c r="AT31" s="2">
        <v>45681</v>
      </c>
      <c r="AU31" t="s">
        <v>829</v>
      </c>
      <c r="AV31">
        <v>2</v>
      </c>
      <c r="AW31">
        <v>1.6199999999999999E-2</v>
      </c>
      <c r="AX31">
        <v>7.3142238059448124</v>
      </c>
      <c r="AY31">
        <v>834.11983918416274</v>
      </c>
      <c r="AZ31">
        <v>0.42399999999999999</v>
      </c>
      <c r="BA31">
        <v>2.0500000000000001E-2</v>
      </c>
      <c r="BB31">
        <v>5.7987000000000251</v>
      </c>
      <c r="BC31" s="2">
        <v>45681</v>
      </c>
      <c r="BD31" t="s">
        <v>949</v>
      </c>
      <c r="BE31">
        <v>2</v>
      </c>
      <c r="BF31">
        <v>1.61E-2</v>
      </c>
      <c r="BG31">
        <v>7.314102570190574</v>
      </c>
      <c r="BH31">
        <v>834.10833391108554</v>
      </c>
      <c r="BI31">
        <v>0.42399999999999999</v>
      </c>
      <c r="BJ31">
        <v>2.0500000000000001E-2</v>
      </c>
      <c r="BK31">
        <v>5.799900000000008</v>
      </c>
      <c r="BL31" s="2">
        <v>45681</v>
      </c>
      <c r="BM31" t="s">
        <v>1069</v>
      </c>
      <c r="BN31">
        <v>3</v>
      </c>
      <c r="BO31">
        <v>1.6E-2</v>
      </c>
      <c r="BP31">
        <v>7.3140230979235792</v>
      </c>
      <c r="BQ31">
        <v>834.10079199294773</v>
      </c>
      <c r="BR31">
        <v>0.42399999999999999</v>
      </c>
      <c r="BS31">
        <v>2.0500000000000001E-2</v>
      </c>
      <c r="BT31">
        <v>5.7976999999999919</v>
      </c>
      <c r="BU31" s="2">
        <v>45681</v>
      </c>
      <c r="BV31" t="s">
        <v>1189</v>
      </c>
      <c r="BW31">
        <v>3</v>
      </c>
      <c r="BX31">
        <v>1.5900000000000001E-2</v>
      </c>
      <c r="BY31">
        <v>7.3139622773110844</v>
      </c>
      <c r="BZ31">
        <v>834.09502011682196</v>
      </c>
      <c r="CA31">
        <v>0.42399999999999999</v>
      </c>
      <c r="CB31">
        <v>2.0500000000000001E-2</v>
      </c>
      <c r="CC31">
        <v>5.8008000000000095</v>
      </c>
      <c r="CD31" s="2">
        <v>45681</v>
      </c>
      <c r="CE31" t="s">
        <v>1309</v>
      </c>
      <c r="CF31">
        <v>4</v>
      </c>
      <c r="CG31">
        <v>1.5800000000000002E-2</v>
      </c>
      <c r="CH31">
        <v>7.3139525460130876</v>
      </c>
      <c r="CI31">
        <v>834.0940966166421</v>
      </c>
      <c r="CJ31">
        <v>0.42399999999999999</v>
      </c>
      <c r="CK31">
        <v>2.0500000000000001E-2</v>
      </c>
      <c r="CL31">
        <v>5.8000000000000114</v>
      </c>
      <c r="CM31" s="2">
        <v>45681</v>
      </c>
      <c r="CN31" t="s">
        <v>1429</v>
      </c>
      <c r="CO31">
        <v>4</v>
      </c>
      <c r="CP31">
        <v>1.5599999999999999E-2</v>
      </c>
      <c r="CQ31">
        <v>7.3136095177586187</v>
      </c>
      <c r="CR31">
        <v>834.0615432352929</v>
      </c>
      <c r="CS31">
        <v>0.42399999999999999</v>
      </c>
      <c r="CT31">
        <v>2.0500000000000001E-2</v>
      </c>
      <c r="CU31">
        <v>5.7886999999999773</v>
      </c>
      <c r="CV31" s="2">
        <v>45681</v>
      </c>
      <c r="CW31" t="s">
        <v>1549</v>
      </c>
      <c r="CX31">
        <v>4</v>
      </c>
      <c r="CY31">
        <v>1.54E-2</v>
      </c>
      <c r="CZ31">
        <v>7.3142144801175633</v>
      </c>
      <c r="DA31">
        <v>834.11895416315679</v>
      </c>
      <c r="DB31">
        <v>0.42399999999999999</v>
      </c>
      <c r="DC31">
        <v>2.0500000000000001E-2</v>
      </c>
      <c r="DD31">
        <v>5.7981000000000336</v>
      </c>
      <c r="DE31" s="2">
        <v>45681</v>
      </c>
      <c r="DF31" t="s">
        <v>1669</v>
      </c>
      <c r="DG31">
        <v>5</v>
      </c>
      <c r="DH31">
        <v>1.55E-2</v>
      </c>
      <c r="DI31">
        <v>7.315405347710203</v>
      </c>
      <c r="DJ31">
        <v>834.23196749769829</v>
      </c>
      <c r="DK31">
        <v>0.42399999999999999</v>
      </c>
      <c r="DL31">
        <v>2.0500000000000001E-2</v>
      </c>
      <c r="DM31">
        <v>5.7991000000000099</v>
      </c>
      <c r="DN31" s="2">
        <v>45681</v>
      </c>
      <c r="DO31" t="s">
        <v>1789</v>
      </c>
      <c r="DP31">
        <v>5</v>
      </c>
      <c r="DQ31">
        <v>1.52E-2</v>
      </c>
      <c r="DR31">
        <v>7.315107326708981</v>
      </c>
      <c r="DS31">
        <v>834.20368530468238</v>
      </c>
      <c r="DT31">
        <v>0.42399999999999999</v>
      </c>
      <c r="DU31">
        <v>2.0500000000000001E-2</v>
      </c>
      <c r="DV31">
        <v>5.7979000000000269</v>
      </c>
      <c r="DW31" s="2">
        <v>45681</v>
      </c>
      <c r="DX31" t="s">
        <v>1907</v>
      </c>
      <c r="DY31">
        <v>6</v>
      </c>
      <c r="DZ31">
        <v>1.49E-2</v>
      </c>
      <c r="EA31">
        <v>7.315392778116955</v>
      </c>
      <c r="EB31">
        <v>834.23077464329901</v>
      </c>
      <c r="EC31">
        <v>0.42399999999999999</v>
      </c>
      <c r="ED31">
        <v>2.0500000000000001E-2</v>
      </c>
      <c r="EE31">
        <v>5.7993000000000166</v>
      </c>
    </row>
    <row r="32" spans="1:135" x14ac:dyDescent="0.3">
      <c r="A32" s="2">
        <v>45681</v>
      </c>
      <c r="B32" t="s">
        <v>227</v>
      </c>
      <c r="C32">
        <v>0</v>
      </c>
      <c r="D32">
        <v>6.0000000000000001E-3</v>
      </c>
      <c r="E32">
        <v>6.673061829385003</v>
      </c>
      <c r="F32">
        <v>773.27356760863688</v>
      </c>
      <c r="G32">
        <v>0.42399999999999999</v>
      </c>
      <c r="H32">
        <v>1.0500000000000001E-2</v>
      </c>
      <c r="I32">
        <v>5.9985799999999987</v>
      </c>
      <c r="J32" s="2">
        <v>45681</v>
      </c>
      <c r="K32" t="s">
        <v>352</v>
      </c>
      <c r="L32">
        <v>0</v>
      </c>
      <c r="M32">
        <v>1.8700000000000001E-2</v>
      </c>
      <c r="N32">
        <v>7.3472944057825362</v>
      </c>
      <c r="O32">
        <v>837.25823910876272</v>
      </c>
      <c r="P32">
        <v>0.42399999999999999</v>
      </c>
      <c r="Q32">
        <v>2.1000000000000001E-2</v>
      </c>
      <c r="R32">
        <v>6.002209999999998</v>
      </c>
      <c r="S32" s="2">
        <v>45681</v>
      </c>
      <c r="T32" t="s">
        <v>472</v>
      </c>
      <c r="U32">
        <v>1</v>
      </c>
      <c r="V32">
        <v>1.8200000000000001E-2</v>
      </c>
      <c r="W32">
        <v>7.3473004878437846</v>
      </c>
      <c r="X32">
        <v>837.25881629637524</v>
      </c>
      <c r="Y32">
        <v>0.42399999999999999</v>
      </c>
      <c r="Z32">
        <v>2.1000000000000001E-2</v>
      </c>
      <c r="AA32">
        <v>6.0000100000000032</v>
      </c>
      <c r="AB32" s="2">
        <v>45681</v>
      </c>
      <c r="AC32" t="s">
        <v>592</v>
      </c>
      <c r="AD32">
        <v>1</v>
      </c>
      <c r="AE32">
        <v>1.84E-2</v>
      </c>
      <c r="AF32">
        <v>7.3473025151975344</v>
      </c>
      <c r="AG32">
        <v>837.25900869224608</v>
      </c>
      <c r="AH32">
        <v>0.42399999999999999</v>
      </c>
      <c r="AI32">
        <v>2.1000000000000001E-2</v>
      </c>
      <c r="AJ32">
        <v>5.999290000000002</v>
      </c>
      <c r="AK32" s="2">
        <v>45681</v>
      </c>
      <c r="AL32" t="s">
        <v>710</v>
      </c>
      <c r="AM32">
        <v>2</v>
      </c>
      <c r="AN32">
        <v>1.8200000000000001E-2</v>
      </c>
      <c r="AO32">
        <v>7.3473008933145332</v>
      </c>
      <c r="AP32">
        <v>837.25885477554925</v>
      </c>
      <c r="AQ32">
        <v>0.42399999999999999</v>
      </c>
      <c r="AR32">
        <v>2.1000000000000001E-2</v>
      </c>
      <c r="AS32">
        <v>5.9983999999999895</v>
      </c>
      <c r="AT32" s="2">
        <v>45681</v>
      </c>
      <c r="AU32" t="s">
        <v>830</v>
      </c>
      <c r="AV32">
        <v>2</v>
      </c>
      <c r="AW32">
        <v>1.78E-2</v>
      </c>
      <c r="AX32">
        <v>7.3472887291920346</v>
      </c>
      <c r="AY32">
        <v>837.25770040032421</v>
      </c>
      <c r="AZ32">
        <v>0.42399999999999999</v>
      </c>
      <c r="BA32">
        <v>2.1000000000000001E-2</v>
      </c>
      <c r="BB32">
        <v>6.0028000000000077</v>
      </c>
      <c r="BC32" s="2">
        <v>45681</v>
      </c>
      <c r="BD32" t="s">
        <v>950</v>
      </c>
      <c r="BE32">
        <v>2</v>
      </c>
      <c r="BF32">
        <v>1.77E-2</v>
      </c>
      <c r="BG32">
        <v>7.3473025151975344</v>
      </c>
      <c r="BH32">
        <v>837.25900869224608</v>
      </c>
      <c r="BI32">
        <v>0.42399999999999999</v>
      </c>
      <c r="BJ32">
        <v>2.1000000000000001E-2</v>
      </c>
      <c r="BK32">
        <v>6</v>
      </c>
      <c r="BL32" s="2">
        <v>45681</v>
      </c>
      <c r="BM32" t="s">
        <v>1070</v>
      </c>
      <c r="BN32">
        <v>3</v>
      </c>
      <c r="BO32">
        <v>1.7600000000000001E-2</v>
      </c>
      <c r="BP32">
        <v>7.3473012987852826</v>
      </c>
      <c r="BQ32">
        <v>837.25889325472349</v>
      </c>
      <c r="BR32">
        <v>0.42399999999999999</v>
      </c>
      <c r="BS32">
        <v>2.1000000000000001E-2</v>
      </c>
      <c r="BT32">
        <v>5.9969000000000108</v>
      </c>
      <c r="BU32" s="2">
        <v>45681</v>
      </c>
      <c r="BV32" t="s">
        <v>1190</v>
      </c>
      <c r="BW32">
        <v>3</v>
      </c>
      <c r="BX32">
        <v>1.7399999999999999E-2</v>
      </c>
      <c r="BY32">
        <v>7.3473000823730326</v>
      </c>
      <c r="BZ32">
        <v>837.25877781720089</v>
      </c>
      <c r="CA32">
        <v>0.42399999999999999</v>
      </c>
      <c r="CB32">
        <v>2.1000000000000001E-2</v>
      </c>
      <c r="CC32">
        <v>5.9998999999999967</v>
      </c>
      <c r="CD32" s="2">
        <v>45681</v>
      </c>
      <c r="CE32" t="s">
        <v>1310</v>
      </c>
      <c r="CF32">
        <v>4</v>
      </c>
      <c r="CG32">
        <v>1.72E-2</v>
      </c>
      <c r="CH32">
        <v>7.3473004878437846</v>
      </c>
      <c r="CI32">
        <v>837.25881629637524</v>
      </c>
      <c r="CJ32">
        <v>0.42399999999999999</v>
      </c>
      <c r="CK32">
        <v>2.1000000000000001E-2</v>
      </c>
      <c r="CL32">
        <v>5.9993000000000052</v>
      </c>
      <c r="CM32" s="2">
        <v>45681</v>
      </c>
      <c r="CN32" t="s">
        <v>1430</v>
      </c>
      <c r="CO32">
        <v>4</v>
      </c>
      <c r="CP32">
        <v>1.7100000000000001E-2</v>
      </c>
      <c r="CQ32">
        <v>7.3472980550192837</v>
      </c>
      <c r="CR32">
        <v>837.25858542133005</v>
      </c>
      <c r="CS32">
        <v>0.42399999999999999</v>
      </c>
      <c r="CT32">
        <v>2.1000000000000001E-2</v>
      </c>
      <c r="CU32">
        <v>5.9881999999999778</v>
      </c>
      <c r="CV32" s="2">
        <v>45681</v>
      </c>
      <c r="CW32" t="s">
        <v>1550</v>
      </c>
      <c r="CX32">
        <v>4</v>
      </c>
      <c r="CY32">
        <v>1.6799999999999999E-2</v>
      </c>
      <c r="CZ32">
        <v>7.3473017042560347</v>
      </c>
      <c r="DA32">
        <v>837.25893173389773</v>
      </c>
      <c r="DB32">
        <v>0.42399999999999999</v>
      </c>
      <c r="DC32">
        <v>2.1000000000000001E-2</v>
      </c>
      <c r="DD32">
        <v>5.9971000000000458</v>
      </c>
      <c r="DE32" s="2">
        <v>45681</v>
      </c>
      <c r="DF32" t="s">
        <v>1670</v>
      </c>
      <c r="DG32">
        <v>5</v>
      </c>
      <c r="DH32">
        <v>1.7000000000000001E-2</v>
      </c>
      <c r="DI32">
        <v>7.3472988659607834</v>
      </c>
      <c r="DJ32">
        <v>837.25866237967841</v>
      </c>
      <c r="DK32">
        <v>0.42399999999999999</v>
      </c>
      <c r="DL32">
        <v>2.1000000000000001E-2</v>
      </c>
      <c r="DM32">
        <v>5.9975999999999772</v>
      </c>
      <c r="DN32" s="2">
        <v>45681</v>
      </c>
      <c r="DO32" t="s">
        <v>1790</v>
      </c>
      <c r="DP32">
        <v>5</v>
      </c>
      <c r="DQ32">
        <v>1.7000000000000001E-2</v>
      </c>
      <c r="DR32">
        <v>7.347292783899535</v>
      </c>
      <c r="DS32">
        <v>837.25808519206589</v>
      </c>
      <c r="DT32">
        <v>0.42399999999999999</v>
      </c>
      <c r="DU32">
        <v>2.1000000000000001E-2</v>
      </c>
      <c r="DV32">
        <v>5.9986000000000104</v>
      </c>
      <c r="DW32" s="2">
        <v>45681</v>
      </c>
      <c r="DX32" t="s">
        <v>1908</v>
      </c>
      <c r="DY32">
        <v>6</v>
      </c>
      <c r="DZ32">
        <v>1.6400000000000001E-2</v>
      </c>
      <c r="EA32">
        <v>7.3472757541280362</v>
      </c>
      <c r="EB32">
        <v>837.2564690667507</v>
      </c>
      <c r="EC32">
        <v>0.42399999999999999</v>
      </c>
      <c r="ED32">
        <v>2.1000000000000001E-2</v>
      </c>
      <c r="EE32">
        <v>6.0013999999999896</v>
      </c>
    </row>
    <row r="33" spans="1:135" x14ac:dyDescent="0.3">
      <c r="A33" s="2">
        <v>45681</v>
      </c>
      <c r="B33" t="s">
        <v>228</v>
      </c>
      <c r="C33">
        <v>0</v>
      </c>
      <c r="D33">
        <v>9.4000000000000004E-3</v>
      </c>
      <c r="E33">
        <v>6.8835169619749879</v>
      </c>
      <c r="F33">
        <v>793.24575969142643</v>
      </c>
      <c r="G33">
        <v>0.42399999999999999</v>
      </c>
      <c r="H33">
        <v>1.38E-2</v>
      </c>
      <c r="I33">
        <v>6.2002700000000015</v>
      </c>
      <c r="J33" s="2">
        <v>45681</v>
      </c>
      <c r="K33" t="s">
        <v>353</v>
      </c>
      <c r="L33">
        <v>0</v>
      </c>
      <c r="M33">
        <v>1.9599999999999999E-2</v>
      </c>
      <c r="N33">
        <v>7.3137465668721058</v>
      </c>
      <c r="O33">
        <v>729.64118003248029</v>
      </c>
      <c r="P33">
        <v>0.42399999999999999</v>
      </c>
      <c r="Q33">
        <v>2.0500000000000001E-2</v>
      </c>
      <c r="R33">
        <v>6.2005399999999966</v>
      </c>
      <c r="S33" s="2">
        <v>45681</v>
      </c>
      <c r="T33" t="s">
        <v>473</v>
      </c>
      <c r="U33">
        <v>1</v>
      </c>
      <c r="V33">
        <v>1.9300000000000001E-2</v>
      </c>
      <c r="W33">
        <v>7.3133216335261437</v>
      </c>
      <c r="X33">
        <v>729.60157624463659</v>
      </c>
      <c r="Y33">
        <v>0.42399999999999999</v>
      </c>
      <c r="Z33">
        <v>2.0500000000000001E-2</v>
      </c>
      <c r="AA33">
        <v>6.2011300000000062</v>
      </c>
      <c r="AB33" s="2">
        <v>45681</v>
      </c>
      <c r="AC33" t="s">
        <v>593</v>
      </c>
      <c r="AD33">
        <v>1</v>
      </c>
      <c r="AE33">
        <v>1.89E-2</v>
      </c>
      <c r="AF33">
        <v>7.313427866862634</v>
      </c>
      <c r="AG33">
        <v>729.61147719159749</v>
      </c>
      <c r="AH33">
        <v>0.42399999999999999</v>
      </c>
      <c r="AI33">
        <v>2.0500000000000001E-2</v>
      </c>
      <c r="AJ33">
        <v>6.2016200000000055</v>
      </c>
      <c r="AK33" s="2">
        <v>45681</v>
      </c>
      <c r="AL33" t="s">
        <v>711</v>
      </c>
      <c r="AM33">
        <v>2</v>
      </c>
      <c r="AN33">
        <v>1.9E-2</v>
      </c>
      <c r="AO33">
        <v>7.3135470752631226</v>
      </c>
      <c r="AP33">
        <v>729.62258741452308</v>
      </c>
      <c r="AQ33">
        <v>0.42399999999999999</v>
      </c>
      <c r="AR33">
        <v>2.0500000000000001E-2</v>
      </c>
      <c r="AS33">
        <v>6.1989999999999981</v>
      </c>
      <c r="AT33" s="2">
        <v>45681</v>
      </c>
      <c r="AU33" t="s">
        <v>831</v>
      </c>
      <c r="AV33">
        <v>2</v>
      </c>
      <c r="AW33">
        <v>1.8200000000000001E-2</v>
      </c>
      <c r="AX33">
        <v>7.3137400793401062</v>
      </c>
      <c r="AY33">
        <v>729.64057539449789</v>
      </c>
      <c r="AZ33">
        <v>0.42399999999999999</v>
      </c>
      <c r="BA33">
        <v>2.0500000000000001E-2</v>
      </c>
      <c r="BB33">
        <v>6.2002000000000237</v>
      </c>
      <c r="BC33" s="2">
        <v>45681</v>
      </c>
      <c r="BD33" t="s">
        <v>951</v>
      </c>
      <c r="BE33">
        <v>2</v>
      </c>
      <c r="BF33">
        <v>1.8599999999999998E-2</v>
      </c>
      <c r="BG33">
        <v>7.3143884270692956</v>
      </c>
      <c r="BH33">
        <v>729.70100140285842</v>
      </c>
      <c r="BI33">
        <v>0.42399999999999999</v>
      </c>
      <c r="BJ33">
        <v>2.0500000000000001E-2</v>
      </c>
      <c r="BK33">
        <v>6.1998000000000104</v>
      </c>
      <c r="BL33" s="2">
        <v>45681</v>
      </c>
      <c r="BM33" t="s">
        <v>1071</v>
      </c>
      <c r="BN33">
        <v>3</v>
      </c>
      <c r="BO33">
        <v>1.8100000000000002E-2</v>
      </c>
      <c r="BP33">
        <v>7.3144297850857916</v>
      </c>
      <c r="BQ33">
        <v>729.70485596999583</v>
      </c>
      <c r="BR33">
        <v>0.42399999999999999</v>
      </c>
      <c r="BS33">
        <v>2.0500000000000001E-2</v>
      </c>
      <c r="BT33">
        <v>6.1976999999999975</v>
      </c>
      <c r="BU33" s="2">
        <v>45681</v>
      </c>
      <c r="BV33" t="s">
        <v>1191</v>
      </c>
      <c r="BW33">
        <v>3</v>
      </c>
      <c r="BX33">
        <v>1.8200000000000001E-2</v>
      </c>
      <c r="BY33">
        <v>7.3149013475679983</v>
      </c>
      <c r="BZ33">
        <v>729.74880559333747</v>
      </c>
      <c r="CA33">
        <v>0.42399999999999999</v>
      </c>
      <c r="CB33">
        <v>2.0500000000000001E-2</v>
      </c>
      <c r="CC33">
        <v>6.1995000000000005</v>
      </c>
      <c r="CD33" s="2">
        <v>45681</v>
      </c>
      <c r="CE33" t="s">
        <v>1311</v>
      </c>
      <c r="CF33">
        <v>4</v>
      </c>
      <c r="CG33">
        <v>1.78E-2</v>
      </c>
      <c r="CH33">
        <v>7.3149106733952491</v>
      </c>
      <c r="CI33">
        <v>729.74967476043719</v>
      </c>
      <c r="CJ33">
        <v>0.42399999999999999</v>
      </c>
      <c r="CK33">
        <v>2.0500000000000001E-2</v>
      </c>
      <c r="CL33">
        <v>6.1988000000000056</v>
      </c>
      <c r="CM33" s="2">
        <v>45681</v>
      </c>
      <c r="CN33" t="s">
        <v>1431</v>
      </c>
      <c r="CO33">
        <v>4</v>
      </c>
      <c r="CP33">
        <v>1.78E-2</v>
      </c>
      <c r="CQ33">
        <v>7.3148571512562537</v>
      </c>
      <c r="CR33">
        <v>729.74468649708285</v>
      </c>
      <c r="CS33">
        <v>0.42399999999999999</v>
      </c>
      <c r="CT33">
        <v>2.0500000000000001E-2</v>
      </c>
      <c r="CU33">
        <v>6.1887000000000114</v>
      </c>
      <c r="CV33" s="2">
        <v>45681</v>
      </c>
      <c r="CW33" t="s">
        <v>1551</v>
      </c>
      <c r="CX33">
        <v>4</v>
      </c>
      <c r="CY33">
        <v>1.7999999999999999E-2</v>
      </c>
      <c r="CZ33">
        <v>7.314512095648035</v>
      </c>
      <c r="DA33">
        <v>729.71252731439688</v>
      </c>
      <c r="DB33">
        <v>0.42399999999999999</v>
      </c>
      <c r="DC33">
        <v>2.0500000000000001E-2</v>
      </c>
      <c r="DD33">
        <v>6.1972000000000094</v>
      </c>
      <c r="DE33" s="2">
        <v>45681</v>
      </c>
      <c r="DF33" t="s">
        <v>1671</v>
      </c>
      <c r="DG33">
        <v>5</v>
      </c>
      <c r="DH33">
        <v>1.77E-2</v>
      </c>
      <c r="DI33">
        <v>7.3135438314971228</v>
      </c>
      <c r="DJ33">
        <v>729.62228509553188</v>
      </c>
      <c r="DK33">
        <v>0.42399999999999999</v>
      </c>
      <c r="DL33">
        <v>2.0500000000000001E-2</v>
      </c>
      <c r="DM33">
        <v>6.1975999999999658</v>
      </c>
      <c r="DN33" s="2">
        <v>45681</v>
      </c>
      <c r="DO33" t="s">
        <v>1791</v>
      </c>
      <c r="DP33">
        <v>5</v>
      </c>
      <c r="DQ33">
        <v>1.77E-2</v>
      </c>
      <c r="DR33">
        <v>7.3135470752631226</v>
      </c>
      <c r="DS33">
        <v>729.62258741452308</v>
      </c>
      <c r="DT33">
        <v>0.42399999999999999</v>
      </c>
      <c r="DU33">
        <v>2.0500000000000001E-2</v>
      </c>
      <c r="DV33">
        <v>6.1972999999999843</v>
      </c>
      <c r="DW33" s="2">
        <v>45681</v>
      </c>
      <c r="DX33" t="s">
        <v>1909</v>
      </c>
      <c r="DY33">
        <v>6</v>
      </c>
      <c r="DZ33">
        <v>1.7500000000000002E-2</v>
      </c>
      <c r="EA33">
        <v>7.3123687772637318</v>
      </c>
      <c r="EB33">
        <v>729.51277004097983</v>
      </c>
      <c r="EC33">
        <v>0.42399999999999999</v>
      </c>
      <c r="ED33">
        <v>2.0500000000000001E-2</v>
      </c>
      <c r="EE33">
        <v>6.2013000000000034</v>
      </c>
    </row>
    <row r="34" spans="1:135" x14ac:dyDescent="0.3">
      <c r="A34" s="2">
        <v>45681</v>
      </c>
      <c r="B34" t="s">
        <v>229</v>
      </c>
      <c r="C34">
        <v>0</v>
      </c>
      <c r="D34">
        <v>1.24E-2</v>
      </c>
      <c r="E34">
        <v>7.0690417255035074</v>
      </c>
      <c r="F34">
        <v>810.85205975028282</v>
      </c>
      <c r="G34">
        <v>0.42399999999999999</v>
      </c>
      <c r="H34">
        <v>1.67E-2</v>
      </c>
      <c r="I34">
        <v>6.3974899999999995</v>
      </c>
      <c r="J34" s="2">
        <v>45681</v>
      </c>
      <c r="K34" t="s">
        <v>354</v>
      </c>
      <c r="L34">
        <v>0</v>
      </c>
      <c r="M34">
        <v>1.95E-2</v>
      </c>
      <c r="N34">
        <v>7.2161826004867864</v>
      </c>
      <c r="O34">
        <v>720.54821836536848</v>
      </c>
      <c r="P34">
        <v>0.42399999999999999</v>
      </c>
      <c r="Q34">
        <v>1.9E-2</v>
      </c>
      <c r="R34">
        <v>6.4023699999999977</v>
      </c>
      <c r="S34" s="2">
        <v>45681</v>
      </c>
      <c r="T34" t="s">
        <v>474</v>
      </c>
      <c r="U34">
        <v>1</v>
      </c>
      <c r="V34">
        <v>1.95E-2</v>
      </c>
      <c r="W34">
        <v>7.2173398140071816</v>
      </c>
      <c r="X34">
        <v>720.65607066546931</v>
      </c>
      <c r="Y34">
        <v>0.42399999999999999</v>
      </c>
      <c r="Z34">
        <v>1.9E-2</v>
      </c>
      <c r="AA34">
        <v>6.3998299999999944</v>
      </c>
      <c r="AB34" s="2">
        <v>45681</v>
      </c>
      <c r="AC34" t="s">
        <v>594</v>
      </c>
      <c r="AD34">
        <v>1</v>
      </c>
      <c r="AE34">
        <v>1.89E-2</v>
      </c>
      <c r="AF34">
        <v>7.2176041809361564</v>
      </c>
      <c r="AG34">
        <v>720.68070966324967</v>
      </c>
      <c r="AH34">
        <v>0.42399999999999999</v>
      </c>
      <c r="AI34">
        <v>1.9E-2</v>
      </c>
      <c r="AJ34">
        <v>6.4002200000000045</v>
      </c>
      <c r="AK34" s="2">
        <v>45681</v>
      </c>
      <c r="AL34" t="s">
        <v>712</v>
      </c>
      <c r="AM34">
        <v>2</v>
      </c>
      <c r="AN34">
        <v>1.8800000000000001E-2</v>
      </c>
      <c r="AO34">
        <v>7.2177683965898902</v>
      </c>
      <c r="AP34">
        <v>720.69601456217777</v>
      </c>
      <c r="AQ34">
        <v>0.42399999999999999</v>
      </c>
      <c r="AR34">
        <v>1.9E-2</v>
      </c>
      <c r="AS34">
        <v>6.3975999999999971</v>
      </c>
      <c r="AT34" s="2">
        <v>45681</v>
      </c>
      <c r="AU34" t="s">
        <v>832</v>
      </c>
      <c r="AV34">
        <v>2</v>
      </c>
      <c r="AW34">
        <v>1.8200000000000001E-2</v>
      </c>
      <c r="AX34">
        <v>7.2179257192408759</v>
      </c>
      <c r="AY34">
        <v>720.71067703324968</v>
      </c>
      <c r="AZ34">
        <v>0.42399999999999999</v>
      </c>
      <c r="BA34">
        <v>1.9E-2</v>
      </c>
      <c r="BB34">
        <v>6.3992000000000075</v>
      </c>
      <c r="BC34" s="2">
        <v>45681</v>
      </c>
      <c r="BD34" t="s">
        <v>952</v>
      </c>
      <c r="BE34">
        <v>2</v>
      </c>
      <c r="BF34">
        <v>1.8599999999999998E-2</v>
      </c>
      <c r="BG34">
        <v>7.2189012818652856</v>
      </c>
      <c r="BH34">
        <v>720.80159946984475</v>
      </c>
      <c r="BI34">
        <v>0.42399999999999999</v>
      </c>
      <c r="BJ34">
        <v>1.9E-2</v>
      </c>
      <c r="BK34">
        <v>6.3992000000000075</v>
      </c>
      <c r="BL34" s="2">
        <v>45681</v>
      </c>
      <c r="BM34" t="s">
        <v>1072</v>
      </c>
      <c r="BN34">
        <v>3</v>
      </c>
      <c r="BO34">
        <v>1.7999999999999999E-2</v>
      </c>
      <c r="BP34">
        <v>7.2172939958124349</v>
      </c>
      <c r="BQ34">
        <v>720.65180040971893</v>
      </c>
      <c r="BR34">
        <v>0.42399999999999999</v>
      </c>
      <c r="BS34">
        <v>1.9E-2</v>
      </c>
      <c r="BT34">
        <v>6.399799999999999</v>
      </c>
      <c r="BU34" s="2">
        <v>45681</v>
      </c>
      <c r="BV34" t="s">
        <v>1192</v>
      </c>
      <c r="BW34">
        <v>3</v>
      </c>
      <c r="BX34">
        <v>1.8200000000000001E-2</v>
      </c>
      <c r="BY34">
        <v>7.2193724388767446</v>
      </c>
      <c r="BZ34">
        <v>720.84551130331261</v>
      </c>
      <c r="CA34">
        <v>0.42399999999999999</v>
      </c>
      <c r="CB34">
        <v>1.9E-2</v>
      </c>
      <c r="CC34">
        <v>6.399799999999999</v>
      </c>
      <c r="CD34" s="2">
        <v>45681</v>
      </c>
      <c r="CE34" t="s">
        <v>1312</v>
      </c>
      <c r="CF34">
        <v>4</v>
      </c>
      <c r="CG34">
        <v>1.78E-2</v>
      </c>
      <c r="CH34">
        <v>7.2187496358048016</v>
      </c>
      <c r="CI34">
        <v>720.78746605700758</v>
      </c>
      <c r="CJ34">
        <v>0.42399999999999999</v>
      </c>
      <c r="CK34">
        <v>1.9E-2</v>
      </c>
      <c r="CL34">
        <v>6.400100000000009</v>
      </c>
      <c r="CM34" s="2">
        <v>45681</v>
      </c>
      <c r="CN34" t="s">
        <v>1432</v>
      </c>
      <c r="CO34">
        <v>4</v>
      </c>
      <c r="CP34">
        <v>1.78E-2</v>
      </c>
      <c r="CQ34">
        <v>7.2182229293005991</v>
      </c>
      <c r="CR34">
        <v>720.73837701081584</v>
      </c>
      <c r="CS34">
        <v>0.42399999999999999</v>
      </c>
      <c r="CT34">
        <v>1.9E-2</v>
      </c>
      <c r="CU34">
        <v>6.3905999999999779</v>
      </c>
      <c r="CV34" s="2">
        <v>45681</v>
      </c>
      <c r="CW34" t="s">
        <v>1552</v>
      </c>
      <c r="CX34">
        <v>4</v>
      </c>
      <c r="CY34">
        <v>1.8100000000000002E-2</v>
      </c>
      <c r="CZ34">
        <v>7.2179500474858758</v>
      </c>
      <c r="DA34">
        <v>720.71294442568365</v>
      </c>
      <c r="DB34">
        <v>0.42399999999999999</v>
      </c>
      <c r="DC34">
        <v>1.9E-2</v>
      </c>
      <c r="DD34">
        <v>6.3986000000000445</v>
      </c>
      <c r="DE34" s="2">
        <v>45681</v>
      </c>
      <c r="DF34" t="s">
        <v>1672</v>
      </c>
      <c r="DG34">
        <v>5</v>
      </c>
      <c r="DH34">
        <v>1.7899999999999999E-2</v>
      </c>
      <c r="DI34">
        <v>7.2168009433804814</v>
      </c>
      <c r="DJ34">
        <v>720.60584792306076</v>
      </c>
      <c r="DK34">
        <v>0.42399999999999999</v>
      </c>
      <c r="DL34">
        <v>1.9E-2</v>
      </c>
      <c r="DM34">
        <v>6.3978000000000179</v>
      </c>
      <c r="DN34" s="2">
        <v>45681</v>
      </c>
      <c r="DO34" t="s">
        <v>1792</v>
      </c>
      <c r="DP34">
        <v>5</v>
      </c>
      <c r="DQ34">
        <v>1.77E-2</v>
      </c>
      <c r="DR34">
        <v>7.216050822493048</v>
      </c>
      <c r="DS34">
        <v>720.53593665635208</v>
      </c>
      <c r="DT34">
        <v>0.42399999999999999</v>
      </c>
      <c r="DU34">
        <v>1.9E-2</v>
      </c>
      <c r="DV34">
        <v>6.3987000000000194</v>
      </c>
      <c r="DW34" s="2">
        <v>45681</v>
      </c>
      <c r="DX34" t="s">
        <v>1910</v>
      </c>
      <c r="DY34">
        <v>6</v>
      </c>
      <c r="DZ34">
        <v>1.77E-2</v>
      </c>
      <c r="EA34">
        <v>7.2149556459973994</v>
      </c>
      <c r="EB34">
        <v>720.43386620695765</v>
      </c>
      <c r="EC34">
        <v>0.42399999999999999</v>
      </c>
      <c r="ED34">
        <v>1.89E-2</v>
      </c>
      <c r="EE34">
        <v>6.4008999999999787</v>
      </c>
    </row>
    <row r="35" spans="1:135" x14ac:dyDescent="0.3">
      <c r="A35" s="2">
        <v>45681</v>
      </c>
      <c r="B35" t="s">
        <v>230</v>
      </c>
      <c r="C35">
        <v>0</v>
      </c>
      <c r="D35">
        <v>1.5299999999999999E-2</v>
      </c>
      <c r="E35">
        <v>7.2191173977750172</v>
      </c>
      <c r="F35">
        <v>825.0942410488492</v>
      </c>
      <c r="G35">
        <v>0.42399999999999999</v>
      </c>
      <c r="H35">
        <v>1.9E-2</v>
      </c>
      <c r="I35">
        <v>6.5985400000000016</v>
      </c>
      <c r="J35" s="2">
        <v>45681</v>
      </c>
      <c r="K35" t="s">
        <v>355</v>
      </c>
      <c r="L35">
        <v>0</v>
      </c>
      <c r="M35">
        <v>1.9E-2</v>
      </c>
      <c r="N35">
        <v>7.0648669986618868</v>
      </c>
      <c r="O35">
        <v>706.44560427528791</v>
      </c>
      <c r="P35">
        <v>0.42399999999999999</v>
      </c>
      <c r="Q35">
        <v>1.66E-2</v>
      </c>
      <c r="R35">
        <v>6.6035699999999977</v>
      </c>
      <c r="S35" s="2">
        <v>45681</v>
      </c>
      <c r="T35" t="s">
        <v>475</v>
      </c>
      <c r="U35">
        <v>1</v>
      </c>
      <c r="V35">
        <v>1.9199999999999998E-2</v>
      </c>
      <c r="W35">
        <v>7.0666591793767228</v>
      </c>
      <c r="X35">
        <v>706.61263551791058</v>
      </c>
      <c r="Y35">
        <v>0.42399999999999999</v>
      </c>
      <c r="Z35">
        <v>1.66E-2</v>
      </c>
      <c r="AA35">
        <v>6.6008000000000067</v>
      </c>
      <c r="AB35" s="2">
        <v>45681</v>
      </c>
      <c r="AC35" t="s">
        <v>595</v>
      </c>
      <c r="AD35">
        <v>1</v>
      </c>
      <c r="AE35">
        <v>1.8700000000000001E-2</v>
      </c>
      <c r="AF35">
        <v>7.0678253132536168</v>
      </c>
      <c r="AG35">
        <v>706.72131919523713</v>
      </c>
      <c r="AH35">
        <v>0.42399999999999999</v>
      </c>
      <c r="AI35">
        <v>1.67E-2</v>
      </c>
      <c r="AJ35">
        <v>6.6002500000000026</v>
      </c>
      <c r="AK35" s="2">
        <v>45681</v>
      </c>
      <c r="AL35" t="s">
        <v>713</v>
      </c>
      <c r="AM35">
        <v>2</v>
      </c>
      <c r="AN35">
        <v>1.8499999999999999E-2</v>
      </c>
      <c r="AO35">
        <v>7.0671818311734249</v>
      </c>
      <c r="AP35">
        <v>706.66134666536323</v>
      </c>
      <c r="AQ35">
        <v>0.42399999999999999</v>
      </c>
      <c r="AR35">
        <v>1.66E-2</v>
      </c>
      <c r="AS35">
        <v>6.5986999999999938</v>
      </c>
      <c r="AT35" s="2">
        <v>45681</v>
      </c>
      <c r="AU35" t="s">
        <v>833</v>
      </c>
      <c r="AV35">
        <v>2</v>
      </c>
      <c r="AW35">
        <v>1.7999999999999999E-2</v>
      </c>
      <c r="AX35">
        <v>7.0681922642823318</v>
      </c>
      <c r="AY35">
        <v>706.75551903111329</v>
      </c>
      <c r="AZ35">
        <v>0.42399999999999999</v>
      </c>
      <c r="BA35">
        <v>1.67E-2</v>
      </c>
      <c r="BB35">
        <v>6.5992999999999995</v>
      </c>
      <c r="BC35" s="2">
        <v>45681</v>
      </c>
      <c r="BD35" t="s">
        <v>953</v>
      </c>
      <c r="BE35">
        <v>2</v>
      </c>
      <c r="BF35">
        <v>1.83E-2</v>
      </c>
      <c r="BG35">
        <v>7.0686845057727874</v>
      </c>
      <c r="BH35">
        <v>706.8013959380238</v>
      </c>
      <c r="BI35">
        <v>0.42399999999999999</v>
      </c>
      <c r="BJ35">
        <v>1.67E-2</v>
      </c>
      <c r="BK35">
        <v>6.6004000000000076</v>
      </c>
      <c r="BL35" s="2">
        <v>45681</v>
      </c>
      <c r="BM35" t="s">
        <v>1073</v>
      </c>
      <c r="BN35">
        <v>3</v>
      </c>
      <c r="BO35">
        <v>1.7899999999999999E-2</v>
      </c>
      <c r="BP35">
        <v>7.0701433895311547</v>
      </c>
      <c r="BQ35">
        <v>706.93736390430365</v>
      </c>
      <c r="BR35">
        <v>0.42399999999999999</v>
      </c>
      <c r="BS35">
        <v>1.67E-2</v>
      </c>
      <c r="BT35">
        <v>6.5965999999999951</v>
      </c>
      <c r="BU35" s="2">
        <v>45681</v>
      </c>
      <c r="BV35" t="s">
        <v>1193</v>
      </c>
      <c r="BW35">
        <v>3</v>
      </c>
      <c r="BX35">
        <v>1.7899999999999999E-2</v>
      </c>
      <c r="BY35">
        <v>7.0693182565549799</v>
      </c>
      <c r="BZ35">
        <v>706.8604615109241</v>
      </c>
      <c r="CA35">
        <v>0.42399999999999999</v>
      </c>
      <c r="CB35">
        <v>1.67E-2</v>
      </c>
      <c r="CC35">
        <v>6.6008999999999958</v>
      </c>
      <c r="CD35" s="2">
        <v>45681</v>
      </c>
      <c r="CE35" t="s">
        <v>1313</v>
      </c>
      <c r="CF35">
        <v>4</v>
      </c>
      <c r="CG35">
        <v>1.7500000000000002E-2</v>
      </c>
      <c r="CH35">
        <v>7.0684927181080548</v>
      </c>
      <c r="CI35">
        <v>706.78352132767077</v>
      </c>
      <c r="CJ35">
        <v>0.42399999999999999</v>
      </c>
      <c r="CK35">
        <v>1.67E-2</v>
      </c>
      <c r="CL35">
        <v>6.6012000000000057</v>
      </c>
      <c r="CM35" s="2">
        <v>45681</v>
      </c>
      <c r="CN35" t="s">
        <v>1433</v>
      </c>
      <c r="CO35">
        <v>4</v>
      </c>
      <c r="CP35">
        <v>1.78E-2</v>
      </c>
      <c r="CQ35">
        <v>7.0695351834062086</v>
      </c>
      <c r="CR35">
        <v>706.88067909345875</v>
      </c>
      <c r="CS35">
        <v>0.42399999999999999</v>
      </c>
      <c r="CT35">
        <v>1.67E-2</v>
      </c>
      <c r="CU35">
        <v>6.5897000000000219</v>
      </c>
      <c r="CV35" s="2">
        <v>45681</v>
      </c>
      <c r="CW35" t="s">
        <v>1553</v>
      </c>
      <c r="CX35">
        <v>5</v>
      </c>
      <c r="CY35">
        <v>1.7999999999999999E-2</v>
      </c>
      <c r="CZ35">
        <v>7.0676408240623827</v>
      </c>
      <c r="DA35">
        <v>706.70412480261405</v>
      </c>
      <c r="DB35">
        <v>0.42399999999999999</v>
      </c>
      <c r="DC35">
        <v>1.67E-2</v>
      </c>
      <c r="DD35">
        <v>6.5994000000000028</v>
      </c>
      <c r="DE35" s="2">
        <v>45681</v>
      </c>
      <c r="DF35" t="s">
        <v>1673</v>
      </c>
      <c r="DG35">
        <v>5</v>
      </c>
      <c r="DH35">
        <v>1.7899999999999999E-2</v>
      </c>
      <c r="DI35">
        <v>7.066696077214969</v>
      </c>
      <c r="DJ35">
        <v>706.61607439643512</v>
      </c>
      <c r="DK35">
        <v>0.42399999999999999</v>
      </c>
      <c r="DL35">
        <v>1.66E-2</v>
      </c>
      <c r="DM35">
        <v>6.5978999999999814</v>
      </c>
      <c r="DN35" s="2">
        <v>45681</v>
      </c>
      <c r="DO35" t="s">
        <v>1793</v>
      </c>
      <c r="DP35">
        <v>5</v>
      </c>
      <c r="DQ35">
        <v>1.7600000000000001E-2</v>
      </c>
      <c r="DR35">
        <v>7.0667714947744642</v>
      </c>
      <c r="DS35">
        <v>706.62310331298011</v>
      </c>
      <c r="DT35">
        <v>0.42399999999999999</v>
      </c>
      <c r="DU35">
        <v>1.66E-2</v>
      </c>
      <c r="DV35">
        <v>6.597500000000025</v>
      </c>
      <c r="DW35" s="2">
        <v>45681</v>
      </c>
      <c r="DX35" t="s">
        <v>1911</v>
      </c>
      <c r="DY35">
        <v>6</v>
      </c>
      <c r="DZ35">
        <v>1.77E-2</v>
      </c>
      <c r="EA35">
        <v>7.0639644207724714</v>
      </c>
      <c r="EB35">
        <v>706.36148401599428</v>
      </c>
      <c r="EC35">
        <v>0.42399999999999999</v>
      </c>
      <c r="ED35">
        <v>1.66E-2</v>
      </c>
      <c r="EE35">
        <v>6.6012000000000057</v>
      </c>
    </row>
    <row r="36" spans="1:135" x14ac:dyDescent="0.3">
      <c r="A36" s="2">
        <v>45681</v>
      </c>
      <c r="B36" t="s">
        <v>231</v>
      </c>
      <c r="C36">
        <v>0</v>
      </c>
      <c r="D36">
        <v>1.77E-2</v>
      </c>
      <c r="E36">
        <v>7.3148101166492578</v>
      </c>
      <c r="F36">
        <v>834.1754800700146</v>
      </c>
      <c r="G36">
        <v>0.42399999999999999</v>
      </c>
      <c r="H36">
        <v>2.0500000000000001E-2</v>
      </c>
      <c r="I36">
        <v>6.7989100000000011</v>
      </c>
      <c r="J36" s="2">
        <v>45681</v>
      </c>
      <c r="K36" t="s">
        <v>356</v>
      </c>
      <c r="L36">
        <v>0</v>
      </c>
      <c r="M36">
        <v>1.7999999999999999E-2</v>
      </c>
      <c r="N36">
        <v>6.8774012466532968</v>
      </c>
      <c r="O36">
        <v>688.97379618808725</v>
      </c>
      <c r="P36">
        <v>0.42399999999999999</v>
      </c>
      <c r="Q36">
        <v>1.37E-2</v>
      </c>
      <c r="R36">
        <v>6.8019899999999964</v>
      </c>
      <c r="S36" s="2">
        <v>45681</v>
      </c>
      <c r="T36" t="s">
        <v>476</v>
      </c>
      <c r="U36">
        <v>1</v>
      </c>
      <c r="V36">
        <v>1.84E-2</v>
      </c>
      <c r="W36">
        <v>6.8798352875653226</v>
      </c>
      <c r="X36">
        <v>689.20064880108816</v>
      </c>
      <c r="Y36">
        <v>0.42399999999999999</v>
      </c>
      <c r="Z36">
        <v>1.37E-2</v>
      </c>
      <c r="AA36">
        <v>6.7989000000000033</v>
      </c>
      <c r="AB36" s="2">
        <v>45681</v>
      </c>
      <c r="AC36" t="s">
        <v>596</v>
      </c>
      <c r="AD36">
        <v>1</v>
      </c>
      <c r="AE36">
        <v>1.7999999999999999E-2</v>
      </c>
      <c r="AF36">
        <v>6.8782158373899724</v>
      </c>
      <c r="AG36">
        <v>689.04971604474542</v>
      </c>
      <c r="AH36">
        <v>0.42399999999999999</v>
      </c>
      <c r="AI36">
        <v>1.37E-2</v>
      </c>
      <c r="AJ36">
        <v>6.8013100000000009</v>
      </c>
      <c r="AK36" s="2">
        <v>45681</v>
      </c>
      <c r="AL36" t="s">
        <v>714</v>
      </c>
      <c r="AM36">
        <v>2</v>
      </c>
      <c r="AN36">
        <v>1.7899999999999999E-2</v>
      </c>
      <c r="AO36">
        <v>6.8804629562862676</v>
      </c>
      <c r="AP36">
        <v>689.25914752588017</v>
      </c>
      <c r="AQ36">
        <v>0.42399999999999999</v>
      </c>
      <c r="AR36">
        <v>1.37E-2</v>
      </c>
      <c r="AS36">
        <v>6.7967999999999904</v>
      </c>
      <c r="AT36" s="2">
        <v>45681</v>
      </c>
      <c r="AU36" t="s">
        <v>834</v>
      </c>
      <c r="AV36">
        <v>2</v>
      </c>
      <c r="AW36">
        <v>1.7500000000000002E-2</v>
      </c>
      <c r="AX36">
        <v>6.8788147176876686</v>
      </c>
      <c r="AY36">
        <v>689.10553168849071</v>
      </c>
      <c r="AZ36">
        <v>0.42399999999999999</v>
      </c>
      <c r="BA36">
        <v>1.37E-2</v>
      </c>
      <c r="BB36">
        <v>6.800200000000018</v>
      </c>
      <c r="BC36" s="2">
        <v>45681</v>
      </c>
      <c r="BD36" t="s">
        <v>954</v>
      </c>
      <c r="BE36">
        <v>2</v>
      </c>
      <c r="BF36">
        <v>1.8200000000000001E-2</v>
      </c>
      <c r="BG36">
        <v>6.8795895722908469</v>
      </c>
      <c r="BH36">
        <v>689.17774813750691</v>
      </c>
      <c r="BI36">
        <v>0.42399999999999999</v>
      </c>
      <c r="BJ36">
        <v>1.37E-2</v>
      </c>
      <c r="BK36">
        <v>6.8011000000000195</v>
      </c>
      <c r="BL36" s="2">
        <v>45681</v>
      </c>
      <c r="BM36" t="s">
        <v>1074</v>
      </c>
      <c r="BN36">
        <v>3</v>
      </c>
      <c r="BO36">
        <v>1.7399999999999999E-2</v>
      </c>
      <c r="BP36">
        <v>6.8801292538590468</v>
      </c>
      <c r="BQ36">
        <v>689.22804645966323</v>
      </c>
      <c r="BR36">
        <v>0.42399999999999999</v>
      </c>
      <c r="BS36">
        <v>1.37E-2</v>
      </c>
      <c r="BT36">
        <v>6.79849999999999</v>
      </c>
      <c r="BU36" s="2">
        <v>45681</v>
      </c>
      <c r="BV36" t="s">
        <v>1194</v>
      </c>
      <c r="BW36">
        <v>3</v>
      </c>
      <c r="BX36">
        <v>1.7899999999999999E-2</v>
      </c>
      <c r="BY36">
        <v>6.880040861235555</v>
      </c>
      <c r="BZ36">
        <v>689.21980826715378</v>
      </c>
      <c r="CA36">
        <v>0.42399999999999999</v>
      </c>
      <c r="CB36">
        <v>1.37E-2</v>
      </c>
      <c r="CC36">
        <v>6.8018999999999892</v>
      </c>
      <c r="CD36" s="2">
        <v>45681</v>
      </c>
      <c r="CE36" t="s">
        <v>1314</v>
      </c>
      <c r="CF36">
        <v>4</v>
      </c>
      <c r="CG36">
        <v>1.72E-2</v>
      </c>
      <c r="CH36">
        <v>6.8816388214611601</v>
      </c>
      <c r="CI36">
        <v>689.3687381601801</v>
      </c>
      <c r="CJ36">
        <v>0.42399999999999999</v>
      </c>
      <c r="CK36">
        <v>1.38E-2</v>
      </c>
      <c r="CL36">
        <v>6.7995999999999981</v>
      </c>
      <c r="CM36" s="2">
        <v>45681</v>
      </c>
      <c r="CN36" t="s">
        <v>1434</v>
      </c>
      <c r="CO36">
        <v>4</v>
      </c>
      <c r="CP36">
        <v>1.7299999999999999E-2</v>
      </c>
      <c r="CQ36">
        <v>6.8816096275671619</v>
      </c>
      <c r="CR36">
        <v>689.3660172892595</v>
      </c>
      <c r="CS36">
        <v>0.42399999999999999</v>
      </c>
      <c r="CT36">
        <v>1.38E-2</v>
      </c>
      <c r="CU36">
        <v>6.7892999999999972</v>
      </c>
      <c r="CV36" s="2">
        <v>45681</v>
      </c>
      <c r="CW36" t="s">
        <v>1554</v>
      </c>
      <c r="CX36">
        <v>5</v>
      </c>
      <c r="CY36">
        <v>1.7600000000000001E-2</v>
      </c>
      <c r="CZ36">
        <v>6.8794817170713563</v>
      </c>
      <c r="DA36">
        <v>689.16769603105047</v>
      </c>
      <c r="DB36">
        <v>0.42399999999999999</v>
      </c>
      <c r="DC36">
        <v>1.37E-2</v>
      </c>
      <c r="DD36">
        <v>6.7989000000000033</v>
      </c>
      <c r="DE36" s="2">
        <v>45681</v>
      </c>
      <c r="DF36" t="s">
        <v>1674</v>
      </c>
      <c r="DG36">
        <v>5</v>
      </c>
      <c r="DH36">
        <v>1.7899999999999999E-2</v>
      </c>
      <c r="DI36">
        <v>6.8783135558407116</v>
      </c>
      <c r="DJ36">
        <v>689.05882340435437</v>
      </c>
      <c r="DK36">
        <v>0.42399999999999999</v>
      </c>
      <c r="DL36">
        <v>1.37E-2</v>
      </c>
      <c r="DM36">
        <v>6.7975000000000136</v>
      </c>
      <c r="DN36" s="2">
        <v>45681</v>
      </c>
      <c r="DO36" t="s">
        <v>1794</v>
      </c>
      <c r="DP36">
        <v>5</v>
      </c>
      <c r="DQ36">
        <v>1.7600000000000001E-2</v>
      </c>
      <c r="DR36">
        <v>6.8749039523042752</v>
      </c>
      <c r="DS36">
        <v>688.7410483547585</v>
      </c>
      <c r="DT36">
        <v>0.42399999999999999</v>
      </c>
      <c r="DU36">
        <v>1.37E-2</v>
      </c>
      <c r="DV36">
        <v>6.8006000000000313</v>
      </c>
      <c r="DW36" s="2">
        <v>45681</v>
      </c>
      <c r="DX36" t="s">
        <v>1912</v>
      </c>
      <c r="DY36">
        <v>6</v>
      </c>
      <c r="DZ36">
        <v>1.7600000000000001E-2</v>
      </c>
      <c r="EA36">
        <v>6.8755429742062164</v>
      </c>
      <c r="EB36">
        <v>688.80060519601943</v>
      </c>
      <c r="EC36">
        <v>0.42399999999999999</v>
      </c>
      <c r="ED36">
        <v>1.37E-2</v>
      </c>
      <c r="EE36">
        <v>6.8004000000000246</v>
      </c>
    </row>
    <row r="37" spans="1:135" x14ac:dyDescent="0.3">
      <c r="A37" s="2">
        <v>45681</v>
      </c>
      <c r="B37" t="s">
        <v>232</v>
      </c>
      <c r="C37">
        <v>0</v>
      </c>
      <c r="D37">
        <v>1.9400000000000001E-2</v>
      </c>
      <c r="E37">
        <v>7.3472960276655348</v>
      </c>
      <c r="F37">
        <v>837.25839302545933</v>
      </c>
      <c r="G37">
        <v>0.42399999999999999</v>
      </c>
      <c r="H37">
        <v>2.1000000000000001E-2</v>
      </c>
      <c r="I37">
        <v>6.9999899999999986</v>
      </c>
      <c r="J37" s="2">
        <v>45681</v>
      </c>
      <c r="K37" t="s">
        <v>357</v>
      </c>
      <c r="L37">
        <v>0</v>
      </c>
      <c r="M37">
        <v>1.66E-2</v>
      </c>
      <c r="N37">
        <v>6.6678632888997287</v>
      </c>
      <c r="O37">
        <v>669.44485852545472</v>
      </c>
      <c r="P37">
        <v>0.42399999999999999</v>
      </c>
      <c r="Q37">
        <v>1.04E-2</v>
      </c>
      <c r="R37">
        <v>7.002519999999997</v>
      </c>
      <c r="S37" s="2">
        <v>45681</v>
      </c>
      <c r="T37" t="s">
        <v>477</v>
      </c>
      <c r="U37">
        <v>1</v>
      </c>
      <c r="V37">
        <v>1.6799999999999999E-2</v>
      </c>
      <c r="W37">
        <v>6.6677963862259846</v>
      </c>
      <c r="X37">
        <v>669.43862319626191</v>
      </c>
      <c r="Y37">
        <v>0.42399999999999999</v>
      </c>
      <c r="Z37">
        <v>1.04E-2</v>
      </c>
      <c r="AA37">
        <v>7.0018900000000031</v>
      </c>
      <c r="AB37" s="2">
        <v>45681</v>
      </c>
      <c r="AC37" t="s">
        <v>597</v>
      </c>
      <c r="AD37">
        <v>1</v>
      </c>
      <c r="AE37">
        <v>1.6400000000000001E-2</v>
      </c>
      <c r="AF37">
        <v>6.6693375805465926</v>
      </c>
      <c r="AG37">
        <v>669.58226250694247</v>
      </c>
      <c r="AH37">
        <v>0.42399999999999999</v>
      </c>
      <c r="AI37">
        <v>1.0500000000000001E-2</v>
      </c>
      <c r="AJ37">
        <v>7.0012499999999989</v>
      </c>
      <c r="AK37" s="2">
        <v>45681</v>
      </c>
      <c r="AL37" t="s">
        <v>715</v>
      </c>
      <c r="AM37">
        <v>2</v>
      </c>
      <c r="AN37">
        <v>1.6400000000000001E-2</v>
      </c>
      <c r="AO37">
        <v>6.6721941219800822</v>
      </c>
      <c r="AP37">
        <v>669.84849216854366</v>
      </c>
      <c r="AQ37">
        <v>0.42399999999999999</v>
      </c>
      <c r="AR37">
        <v>1.0500000000000001E-2</v>
      </c>
      <c r="AS37">
        <v>6.9962999999999909</v>
      </c>
      <c r="AT37" s="2">
        <v>45681</v>
      </c>
      <c r="AU37" t="s">
        <v>835</v>
      </c>
      <c r="AV37">
        <v>2</v>
      </c>
      <c r="AW37">
        <v>1.6199999999999999E-2</v>
      </c>
      <c r="AX37">
        <v>6.6709979832676911</v>
      </c>
      <c r="AY37">
        <v>669.73701204054885</v>
      </c>
      <c r="AZ37">
        <v>0.42399999999999999</v>
      </c>
      <c r="BA37">
        <v>1.0500000000000001E-2</v>
      </c>
      <c r="BB37">
        <v>6.9992000000000019</v>
      </c>
      <c r="BC37" s="2">
        <v>45681</v>
      </c>
      <c r="BD37" t="s">
        <v>955</v>
      </c>
      <c r="BE37">
        <v>2</v>
      </c>
      <c r="BF37">
        <v>1.7000000000000001E-2</v>
      </c>
      <c r="BG37">
        <v>6.6701935292997634</v>
      </c>
      <c r="BH37">
        <v>669.66203693073794</v>
      </c>
      <c r="BI37">
        <v>0.42399999999999999</v>
      </c>
      <c r="BJ37">
        <v>1.0500000000000001E-2</v>
      </c>
      <c r="BK37">
        <v>7.0015000000000214</v>
      </c>
      <c r="BL37" s="2">
        <v>45681</v>
      </c>
      <c r="BM37" t="s">
        <v>1075</v>
      </c>
      <c r="BN37">
        <v>3</v>
      </c>
      <c r="BO37">
        <v>1.66E-2</v>
      </c>
      <c r="BP37">
        <v>6.6710081200364391</v>
      </c>
      <c r="BQ37">
        <v>669.73795678739612</v>
      </c>
      <c r="BR37">
        <v>0.42399999999999999</v>
      </c>
      <c r="BS37">
        <v>1.0500000000000001E-2</v>
      </c>
      <c r="BT37">
        <v>6.9987999999999886</v>
      </c>
      <c r="BU37" s="2">
        <v>45681</v>
      </c>
      <c r="BV37" t="s">
        <v>1195</v>
      </c>
      <c r="BW37">
        <v>3</v>
      </c>
      <c r="BX37">
        <v>1.67E-2</v>
      </c>
      <c r="BY37">
        <v>6.6716370051696332</v>
      </c>
      <c r="BZ37">
        <v>669.79656888180989</v>
      </c>
      <c r="CA37">
        <v>0.42399999999999999</v>
      </c>
      <c r="CB37">
        <v>1.0500000000000001E-2</v>
      </c>
      <c r="CC37">
        <v>7.001499999999993</v>
      </c>
      <c r="CD37" s="2">
        <v>45681</v>
      </c>
      <c r="CE37" t="s">
        <v>1315</v>
      </c>
      <c r="CF37">
        <v>4</v>
      </c>
      <c r="CG37">
        <v>1.6500000000000001E-2</v>
      </c>
      <c r="CH37">
        <v>6.6722038532780799</v>
      </c>
      <c r="CI37">
        <v>669.84939912551704</v>
      </c>
      <c r="CJ37">
        <v>0.42399999999999999</v>
      </c>
      <c r="CK37">
        <v>1.0500000000000001E-2</v>
      </c>
      <c r="CL37">
        <v>7.0002000000000066</v>
      </c>
      <c r="CM37" s="2">
        <v>45681</v>
      </c>
      <c r="CN37" t="s">
        <v>1435</v>
      </c>
      <c r="CO37">
        <v>4</v>
      </c>
      <c r="CP37">
        <v>1.6400000000000001E-2</v>
      </c>
      <c r="CQ37">
        <v>6.6729977650065084</v>
      </c>
      <c r="CR37">
        <v>669.92339169860657</v>
      </c>
      <c r="CS37">
        <v>0.42399999999999999</v>
      </c>
      <c r="CT37">
        <v>1.0500000000000001E-2</v>
      </c>
      <c r="CU37">
        <v>6.989200000000011</v>
      </c>
      <c r="CV37" s="2">
        <v>45681</v>
      </c>
      <c r="CW37" t="s">
        <v>1555</v>
      </c>
      <c r="CX37">
        <v>5</v>
      </c>
      <c r="CY37">
        <v>1.7000000000000001E-2</v>
      </c>
      <c r="CZ37">
        <v>6.6705333137882334</v>
      </c>
      <c r="DA37">
        <v>669.69370484506328</v>
      </c>
      <c r="DB37">
        <v>0.42399999999999999</v>
      </c>
      <c r="DC37">
        <v>1.0500000000000001E-2</v>
      </c>
      <c r="DD37">
        <v>6.9990000000000236</v>
      </c>
      <c r="DE37" s="2">
        <v>45681</v>
      </c>
      <c r="DF37" t="s">
        <v>1675</v>
      </c>
      <c r="DG37">
        <v>5</v>
      </c>
      <c r="DH37">
        <v>1.7299999999999999E-2</v>
      </c>
      <c r="DI37">
        <v>6.6709562197804448</v>
      </c>
      <c r="DJ37">
        <v>669.73311968353744</v>
      </c>
      <c r="DK37">
        <v>0.42399999999999999</v>
      </c>
      <c r="DL37">
        <v>1.0500000000000001E-2</v>
      </c>
      <c r="DM37">
        <v>6.9959999999999809</v>
      </c>
      <c r="DN37" s="2">
        <v>45681</v>
      </c>
      <c r="DO37" t="s">
        <v>1795</v>
      </c>
      <c r="DP37">
        <v>5</v>
      </c>
      <c r="DQ37">
        <v>1.7000000000000001E-2</v>
      </c>
      <c r="DR37">
        <v>6.6652330001447186</v>
      </c>
      <c r="DS37">
        <v>669.1997156134878</v>
      </c>
      <c r="DT37">
        <v>0.42399999999999999</v>
      </c>
      <c r="DU37">
        <v>1.04E-2</v>
      </c>
      <c r="DV37">
        <v>7.0011000000000081</v>
      </c>
      <c r="DW37" s="2">
        <v>45681</v>
      </c>
      <c r="DX37" t="s">
        <v>1913</v>
      </c>
      <c r="DY37">
        <v>6</v>
      </c>
      <c r="DZ37">
        <v>1.7000000000000001E-2</v>
      </c>
      <c r="EA37">
        <v>6.6645424834575309</v>
      </c>
      <c r="EB37">
        <v>669.13535945824185</v>
      </c>
      <c r="EC37">
        <v>0.42399999999999999</v>
      </c>
      <c r="ED37">
        <v>1.04E-2</v>
      </c>
      <c r="EE37">
        <v>7.0022999999999911</v>
      </c>
    </row>
    <row r="38" spans="1:135" x14ac:dyDescent="0.3">
      <c r="A38" s="2">
        <v>45681</v>
      </c>
      <c r="B38" t="s">
        <v>233</v>
      </c>
      <c r="C38">
        <v>0</v>
      </c>
      <c r="D38">
        <v>2.0199999999999999E-2</v>
      </c>
      <c r="E38">
        <v>7.3139306505925878</v>
      </c>
      <c r="F38">
        <v>729.65833663522926</v>
      </c>
      <c r="G38">
        <v>0.42399999999999999</v>
      </c>
      <c r="H38">
        <v>2.0500000000000001E-2</v>
      </c>
      <c r="I38">
        <v>7.198030000000001</v>
      </c>
      <c r="J38" s="2">
        <v>45681</v>
      </c>
      <c r="K38" t="s">
        <v>358</v>
      </c>
      <c r="L38">
        <v>0</v>
      </c>
      <c r="M38">
        <v>1.3100000000000001E-2</v>
      </c>
      <c r="N38">
        <v>6.4625008689292764</v>
      </c>
      <c r="O38">
        <v>650.30508098420853</v>
      </c>
      <c r="P38">
        <v>0.42399999999999999</v>
      </c>
      <c r="Q38">
        <v>7.3000000000000001E-3</v>
      </c>
      <c r="R38">
        <v>7.1992600000000024</v>
      </c>
      <c r="S38" s="2">
        <v>45681</v>
      </c>
      <c r="T38" t="s">
        <v>478</v>
      </c>
      <c r="U38">
        <v>1</v>
      </c>
      <c r="V38">
        <v>1.3599999999999999E-2</v>
      </c>
      <c r="W38">
        <v>6.462491137631277</v>
      </c>
      <c r="X38">
        <v>650.30417402723504</v>
      </c>
      <c r="Y38">
        <v>0.42399999999999999</v>
      </c>
      <c r="Z38">
        <v>7.3000000000000001E-3</v>
      </c>
      <c r="AA38">
        <v>7.1985899999999958</v>
      </c>
      <c r="AB38" s="2">
        <v>45681</v>
      </c>
      <c r="AC38" t="s">
        <v>598</v>
      </c>
      <c r="AD38">
        <v>1</v>
      </c>
      <c r="AE38">
        <v>1.35E-2</v>
      </c>
      <c r="AF38">
        <v>6.4622312308805503</v>
      </c>
      <c r="AG38">
        <v>650.27995071806731</v>
      </c>
      <c r="AH38">
        <v>0.42399999999999999</v>
      </c>
      <c r="AI38">
        <v>7.1999999999999998E-3</v>
      </c>
      <c r="AJ38">
        <v>7.1996500000000054</v>
      </c>
      <c r="AK38" s="2">
        <v>45681</v>
      </c>
      <c r="AL38" t="s">
        <v>716</v>
      </c>
      <c r="AM38">
        <v>2</v>
      </c>
      <c r="AN38">
        <v>1.43E-2</v>
      </c>
      <c r="AO38">
        <v>6.4612706706738878</v>
      </c>
      <c r="AP38">
        <v>650.19042650680638</v>
      </c>
      <c r="AQ38">
        <v>0.42399999999999999</v>
      </c>
      <c r="AR38">
        <v>7.1999999999999998E-3</v>
      </c>
      <c r="AS38">
        <v>7.1983000000000033</v>
      </c>
      <c r="AT38" s="2">
        <v>45681</v>
      </c>
      <c r="AU38" t="s">
        <v>836</v>
      </c>
      <c r="AV38">
        <v>2</v>
      </c>
      <c r="AW38">
        <v>1.4E-2</v>
      </c>
      <c r="AX38">
        <v>6.4633393824401999</v>
      </c>
      <c r="AY38">
        <v>650.38323044342667</v>
      </c>
      <c r="AZ38">
        <v>0.42399999999999999</v>
      </c>
      <c r="BA38">
        <v>7.3000000000000001E-3</v>
      </c>
      <c r="BB38">
        <v>7.1981000000000108</v>
      </c>
      <c r="BC38" s="2">
        <v>45681</v>
      </c>
      <c r="BD38" t="s">
        <v>956</v>
      </c>
      <c r="BE38">
        <v>2</v>
      </c>
      <c r="BF38">
        <v>1.44E-2</v>
      </c>
      <c r="BG38">
        <v>6.4633195143734508</v>
      </c>
      <c r="BH38">
        <v>650.38137873960568</v>
      </c>
      <c r="BI38">
        <v>0.42399999999999999</v>
      </c>
      <c r="BJ38">
        <v>7.3000000000000001E-3</v>
      </c>
      <c r="BK38">
        <v>7.1997000000000071</v>
      </c>
      <c r="BL38" s="2">
        <v>45681</v>
      </c>
      <c r="BM38" t="s">
        <v>1076</v>
      </c>
      <c r="BN38">
        <v>3</v>
      </c>
      <c r="BO38">
        <v>1.43E-2</v>
      </c>
      <c r="BP38">
        <v>6.4618780658573334</v>
      </c>
      <c r="BQ38">
        <v>650.2470357379035</v>
      </c>
      <c r="BR38">
        <v>0.42399999999999999</v>
      </c>
      <c r="BS38">
        <v>7.1999999999999998E-3</v>
      </c>
      <c r="BT38">
        <v>7.1990999999999872</v>
      </c>
      <c r="BU38" s="2">
        <v>45681</v>
      </c>
      <c r="BV38" t="s">
        <v>1196</v>
      </c>
      <c r="BW38">
        <v>3</v>
      </c>
      <c r="BX38">
        <v>1.4800000000000001E-2</v>
      </c>
      <c r="BY38">
        <v>6.4627113082485073</v>
      </c>
      <c r="BZ38">
        <v>650.32469392876089</v>
      </c>
      <c r="CA38">
        <v>0.42399999999999999</v>
      </c>
      <c r="CB38">
        <v>7.3000000000000001E-3</v>
      </c>
      <c r="CC38">
        <v>7.2015999999999849</v>
      </c>
      <c r="CD38" s="2">
        <v>45681</v>
      </c>
      <c r="CE38" t="s">
        <v>1316</v>
      </c>
      <c r="CF38">
        <v>4</v>
      </c>
      <c r="CG38">
        <v>1.4500000000000001E-2</v>
      </c>
      <c r="CH38">
        <v>6.4646048566508334</v>
      </c>
      <c r="CI38">
        <v>650.50117263985771</v>
      </c>
      <c r="CJ38">
        <v>0.42399999999999999</v>
      </c>
      <c r="CK38">
        <v>7.3000000000000001E-3</v>
      </c>
      <c r="CL38">
        <v>7.1990000000000123</v>
      </c>
      <c r="CM38" s="2">
        <v>45681</v>
      </c>
      <c r="CN38" t="s">
        <v>1436</v>
      </c>
      <c r="CO38">
        <v>4</v>
      </c>
      <c r="CP38">
        <v>1.44E-2</v>
      </c>
      <c r="CQ38">
        <v>6.4635940180711762</v>
      </c>
      <c r="CR38">
        <v>650.40696248423365</v>
      </c>
      <c r="CS38">
        <v>0.42399999999999999</v>
      </c>
      <c r="CT38">
        <v>7.3000000000000001E-3</v>
      </c>
      <c r="CU38">
        <v>7.1896999999999878</v>
      </c>
      <c r="CV38" s="2">
        <v>45681</v>
      </c>
      <c r="CW38" t="s">
        <v>1556</v>
      </c>
      <c r="CX38">
        <v>5</v>
      </c>
      <c r="CY38">
        <v>1.5299999999999999E-2</v>
      </c>
      <c r="CZ38">
        <v>6.4606036712902011</v>
      </c>
      <c r="DA38">
        <v>650.12826216424673</v>
      </c>
      <c r="DB38">
        <v>0.42399999999999999</v>
      </c>
      <c r="DC38">
        <v>7.1999999999999998E-3</v>
      </c>
      <c r="DD38">
        <v>7.2001999999999953</v>
      </c>
      <c r="DE38" s="2">
        <v>45681</v>
      </c>
      <c r="DF38" t="s">
        <v>1676</v>
      </c>
      <c r="DG38">
        <v>5</v>
      </c>
      <c r="DH38">
        <v>1.5699999999999999E-2</v>
      </c>
      <c r="DI38">
        <v>6.4613777149518796</v>
      </c>
      <c r="DJ38">
        <v>650.20040303351516</v>
      </c>
      <c r="DK38">
        <v>0.42399999999999999</v>
      </c>
      <c r="DL38">
        <v>7.1999999999999998E-3</v>
      </c>
      <c r="DM38">
        <v>7.1967999999999961</v>
      </c>
      <c r="DN38" s="2">
        <v>45681</v>
      </c>
      <c r="DO38" t="s">
        <v>1796</v>
      </c>
      <c r="DP38">
        <v>5</v>
      </c>
      <c r="DQ38">
        <v>1.5100000000000001E-2</v>
      </c>
      <c r="DR38">
        <v>6.45852806652114</v>
      </c>
      <c r="DS38">
        <v>649.93481579977026</v>
      </c>
      <c r="DT38">
        <v>0.42399999999999999</v>
      </c>
      <c r="DU38">
        <v>7.1999999999999998E-3</v>
      </c>
      <c r="DV38">
        <v>7.1992999999999938</v>
      </c>
      <c r="DW38" s="2">
        <v>45681</v>
      </c>
      <c r="DX38" t="s">
        <v>1914</v>
      </c>
      <c r="DY38">
        <v>6</v>
      </c>
      <c r="DZ38">
        <v>1.5299999999999999E-2</v>
      </c>
      <c r="EA38">
        <v>6.4575983220914752</v>
      </c>
      <c r="EB38">
        <v>649.84816361892547</v>
      </c>
      <c r="EC38">
        <v>0.42399999999999999</v>
      </c>
      <c r="ED38">
        <v>7.1999999999999998E-3</v>
      </c>
      <c r="EE38">
        <v>7.2006999999999834</v>
      </c>
    </row>
    <row r="39" spans="1:135" x14ac:dyDescent="0.3">
      <c r="A39" s="2">
        <v>45681</v>
      </c>
      <c r="B39" t="s">
        <v>234</v>
      </c>
      <c r="C39">
        <v>0</v>
      </c>
      <c r="D39">
        <v>2.01E-2</v>
      </c>
      <c r="E39">
        <v>7.2180806090673624</v>
      </c>
      <c r="F39">
        <v>720.72511276507817</v>
      </c>
      <c r="G39">
        <v>0.42399999999999999</v>
      </c>
      <c r="H39">
        <v>1.9E-2</v>
      </c>
      <c r="I39">
        <v>7.3973800000000001</v>
      </c>
      <c r="J39" s="2">
        <v>45681</v>
      </c>
      <c r="K39" t="s">
        <v>359</v>
      </c>
      <c r="L39">
        <v>0</v>
      </c>
      <c r="M39">
        <v>8.9999999999999993E-3</v>
      </c>
      <c r="N39">
        <v>6.2733769037416387</v>
      </c>
      <c r="O39">
        <v>632.67872742872078</v>
      </c>
      <c r="P39">
        <v>0.42399999999999999</v>
      </c>
      <c r="Q39">
        <v>4.3E-3</v>
      </c>
      <c r="R39">
        <v>7.4001599999999996</v>
      </c>
      <c r="S39" s="2">
        <v>45681</v>
      </c>
      <c r="T39" t="s">
        <v>479</v>
      </c>
      <c r="U39">
        <v>1</v>
      </c>
      <c r="V39">
        <v>9.4000000000000004E-3</v>
      </c>
      <c r="W39">
        <v>6.2736059947153686</v>
      </c>
      <c r="X39">
        <v>632.70007870747236</v>
      </c>
      <c r="Y39">
        <v>0.42399999999999999</v>
      </c>
      <c r="Z39">
        <v>4.3E-3</v>
      </c>
      <c r="AA39">
        <v>7.3992000000000075</v>
      </c>
      <c r="AB39" s="2">
        <v>45681</v>
      </c>
      <c r="AC39" t="s">
        <v>599</v>
      </c>
      <c r="AD39">
        <v>1</v>
      </c>
      <c r="AE39">
        <v>9.7000000000000003E-3</v>
      </c>
      <c r="AF39">
        <v>6.2729769473938752</v>
      </c>
      <c r="AG39">
        <v>632.64145149710919</v>
      </c>
      <c r="AH39">
        <v>0.42399999999999999</v>
      </c>
      <c r="AI39">
        <v>4.3E-3</v>
      </c>
      <c r="AJ39">
        <v>7.400739999999999</v>
      </c>
      <c r="AK39" s="2">
        <v>45681</v>
      </c>
      <c r="AL39" t="s">
        <v>717</v>
      </c>
      <c r="AM39">
        <v>2</v>
      </c>
      <c r="AN39">
        <v>1.0200000000000001E-2</v>
      </c>
      <c r="AO39">
        <v>6.2725938991763854</v>
      </c>
      <c r="AP39">
        <v>632.60575140323908</v>
      </c>
      <c r="AQ39">
        <v>0.42399999999999999</v>
      </c>
      <c r="AR39">
        <v>4.3E-3</v>
      </c>
      <c r="AS39">
        <v>7.3988999999999976</v>
      </c>
      <c r="AT39" s="2">
        <v>45681</v>
      </c>
      <c r="AU39" t="s">
        <v>837</v>
      </c>
      <c r="AV39">
        <v>2</v>
      </c>
      <c r="AW39">
        <v>1.04E-2</v>
      </c>
      <c r="AX39">
        <v>6.2745023283552346</v>
      </c>
      <c r="AY39">
        <v>632.78361700270796</v>
      </c>
      <c r="AZ39">
        <v>0.42399999999999999</v>
      </c>
      <c r="BA39">
        <v>4.3E-3</v>
      </c>
      <c r="BB39">
        <v>7.3985000000000127</v>
      </c>
      <c r="BC39" s="2">
        <v>45681</v>
      </c>
      <c r="BD39" t="s">
        <v>957</v>
      </c>
      <c r="BE39">
        <v>2</v>
      </c>
      <c r="BF39">
        <v>1.0699999999999999E-2</v>
      </c>
      <c r="BG39">
        <v>6.27521190216767</v>
      </c>
      <c r="BH39">
        <v>632.84974928202689</v>
      </c>
      <c r="BI39">
        <v>0.42399999999999999</v>
      </c>
      <c r="BJ39">
        <v>4.3E-3</v>
      </c>
      <c r="BK39">
        <v>7.3992000000000075</v>
      </c>
      <c r="BL39" s="2">
        <v>45681</v>
      </c>
      <c r="BM39" t="s">
        <v>1077</v>
      </c>
      <c r="BN39">
        <v>3</v>
      </c>
      <c r="BO39">
        <v>1.0800000000000001E-2</v>
      </c>
      <c r="BP39">
        <v>6.2751868440753231</v>
      </c>
      <c r="BQ39">
        <v>632.84741386782014</v>
      </c>
      <c r="BR39">
        <v>0.42399999999999999</v>
      </c>
      <c r="BS39">
        <v>4.3E-3</v>
      </c>
      <c r="BT39">
        <v>7.3973000000000013</v>
      </c>
      <c r="BU39" s="2">
        <v>45681</v>
      </c>
      <c r="BV39" t="s">
        <v>1197</v>
      </c>
      <c r="BW39">
        <v>3</v>
      </c>
      <c r="BX39">
        <v>1.14E-2</v>
      </c>
      <c r="BY39">
        <v>6.2748610888748013</v>
      </c>
      <c r="BZ39">
        <v>632.81705348313153</v>
      </c>
      <c r="CA39">
        <v>0.42399999999999999</v>
      </c>
      <c r="CB39">
        <v>4.3E-3</v>
      </c>
      <c r="CC39">
        <v>7.4009000000000071</v>
      </c>
      <c r="CD39" s="2">
        <v>45681</v>
      </c>
      <c r="CE39" t="s">
        <v>1317</v>
      </c>
      <c r="CF39">
        <v>4</v>
      </c>
      <c r="CG39">
        <v>1.15E-2</v>
      </c>
      <c r="CH39">
        <v>6.2756211437956084</v>
      </c>
      <c r="CI39">
        <v>632.88789060175066</v>
      </c>
      <c r="CJ39">
        <v>0.42399999999999999</v>
      </c>
      <c r="CK39">
        <v>4.3E-3</v>
      </c>
      <c r="CL39">
        <v>7.3994000000000142</v>
      </c>
      <c r="CM39" s="2">
        <v>45681</v>
      </c>
      <c r="CN39" t="s">
        <v>1437</v>
      </c>
      <c r="CO39">
        <v>4</v>
      </c>
      <c r="CP39">
        <v>1.14E-2</v>
      </c>
      <c r="CQ39">
        <v>6.2760808665319159</v>
      </c>
      <c r="CR39">
        <v>632.93073676077461</v>
      </c>
      <c r="CS39">
        <v>0.42399999999999999</v>
      </c>
      <c r="CT39">
        <v>4.4000000000000003E-3</v>
      </c>
      <c r="CU39">
        <v>7.3884999999999934</v>
      </c>
      <c r="CV39" s="2">
        <v>45681</v>
      </c>
      <c r="CW39" t="s">
        <v>1557</v>
      </c>
      <c r="CX39">
        <v>5</v>
      </c>
      <c r="CY39">
        <v>1.14E-2</v>
      </c>
      <c r="CZ39">
        <v>6.2730181837691461</v>
      </c>
      <c r="DA39">
        <v>632.64529472728441</v>
      </c>
      <c r="DB39">
        <v>0.42399999999999999</v>
      </c>
      <c r="DC39">
        <v>4.3E-3</v>
      </c>
      <c r="DD39">
        <v>7.3996000000000208</v>
      </c>
      <c r="DE39" s="2">
        <v>45681</v>
      </c>
      <c r="DF39" t="s">
        <v>1677</v>
      </c>
      <c r="DG39">
        <v>5</v>
      </c>
      <c r="DH39">
        <v>1.23E-2</v>
      </c>
      <c r="DI39">
        <v>6.2716618841105207</v>
      </c>
      <c r="DJ39">
        <v>632.51888759910059</v>
      </c>
      <c r="DK39">
        <v>0.42399999999999999</v>
      </c>
      <c r="DL39">
        <v>4.3E-3</v>
      </c>
      <c r="DM39">
        <v>7.3985999999999876</v>
      </c>
      <c r="DN39" s="2">
        <v>45681</v>
      </c>
      <c r="DO39" t="s">
        <v>1797</v>
      </c>
      <c r="DP39">
        <v>5</v>
      </c>
      <c r="DQ39">
        <v>1.2E-2</v>
      </c>
      <c r="DR39">
        <v>6.271670155713819</v>
      </c>
      <c r="DS39">
        <v>632.51965851252794</v>
      </c>
      <c r="DT39">
        <v>0.42399999999999999</v>
      </c>
      <c r="DU39">
        <v>4.3E-3</v>
      </c>
      <c r="DV39">
        <v>7.3983000000000061</v>
      </c>
      <c r="DW39" s="2">
        <v>45681</v>
      </c>
      <c r="DX39" t="s">
        <v>1915</v>
      </c>
      <c r="DY39">
        <v>6</v>
      </c>
      <c r="DZ39">
        <v>1.2200000000000001E-2</v>
      </c>
      <c r="EA39">
        <v>6.2690892938432308</v>
      </c>
      <c r="EB39">
        <v>632.27912218618917</v>
      </c>
      <c r="EC39">
        <v>0.42399999999999999</v>
      </c>
      <c r="ED39">
        <v>4.1999999999999997E-3</v>
      </c>
      <c r="EE39">
        <v>7.4017999999999802</v>
      </c>
    </row>
    <row r="40" spans="1:135" x14ac:dyDescent="0.3">
      <c r="A40" s="2">
        <v>45681</v>
      </c>
      <c r="B40" t="s">
        <v>235</v>
      </c>
      <c r="C40">
        <v>0</v>
      </c>
      <c r="D40">
        <v>1.9300000000000001E-2</v>
      </c>
      <c r="E40">
        <v>7.068205239346331</v>
      </c>
      <c r="F40">
        <v>706.75672830707811</v>
      </c>
      <c r="G40">
        <v>0.42399999999999999</v>
      </c>
      <c r="H40">
        <v>1.67E-2</v>
      </c>
      <c r="I40">
        <v>7.5977499999999996</v>
      </c>
      <c r="J40" s="2">
        <v>45681</v>
      </c>
      <c r="K40" t="s">
        <v>360</v>
      </c>
      <c r="L40">
        <v>1</v>
      </c>
      <c r="M40">
        <v>5.0000000000000001E-3</v>
      </c>
      <c r="N40">
        <v>6.1246926043486241</v>
      </c>
      <c r="O40">
        <v>618.82135072529184</v>
      </c>
      <c r="P40">
        <v>0.42399999999999999</v>
      </c>
      <c r="Q40">
        <v>2E-3</v>
      </c>
      <c r="R40">
        <v>7.5992499999999978</v>
      </c>
      <c r="S40" s="2">
        <v>45681</v>
      </c>
      <c r="T40" t="s">
        <v>480</v>
      </c>
      <c r="U40">
        <v>1</v>
      </c>
      <c r="V40">
        <v>5.3E-3</v>
      </c>
      <c r="W40">
        <v>6.1240933591272544</v>
      </c>
      <c r="X40">
        <v>618.76550107066009</v>
      </c>
      <c r="Y40">
        <v>0.42399999999999999</v>
      </c>
      <c r="Z40">
        <v>2E-3</v>
      </c>
      <c r="AA40">
        <v>7.5995199999999983</v>
      </c>
      <c r="AB40" s="2">
        <v>45681</v>
      </c>
      <c r="AC40" t="s">
        <v>600</v>
      </c>
      <c r="AD40">
        <v>1</v>
      </c>
      <c r="AE40">
        <v>5.4999999999999997E-3</v>
      </c>
      <c r="AF40">
        <v>6.1243171384341579</v>
      </c>
      <c r="AG40">
        <v>618.78635730206349</v>
      </c>
      <c r="AH40">
        <v>0.42399999999999999</v>
      </c>
      <c r="AI40">
        <v>2E-3</v>
      </c>
      <c r="AJ40">
        <v>7.599969999999999</v>
      </c>
      <c r="AK40" s="2">
        <v>45681</v>
      </c>
      <c r="AL40" t="s">
        <v>718</v>
      </c>
      <c r="AM40">
        <v>2</v>
      </c>
      <c r="AN40">
        <v>5.5999999999999999E-3</v>
      </c>
      <c r="AO40">
        <v>6.1239179930278942</v>
      </c>
      <c r="AP40">
        <v>618.74915695019979</v>
      </c>
      <c r="AQ40">
        <v>0.42399999999999999</v>
      </c>
      <c r="AR40">
        <v>2E-3</v>
      </c>
      <c r="AS40">
        <v>7.5982999999999947</v>
      </c>
      <c r="AT40" s="2">
        <v>45681</v>
      </c>
      <c r="AU40" t="s">
        <v>838</v>
      </c>
      <c r="AV40">
        <v>2</v>
      </c>
      <c r="AW40">
        <v>5.7999999999999996E-3</v>
      </c>
      <c r="AX40">
        <v>6.1211279487973993</v>
      </c>
      <c r="AY40">
        <v>618.48912482791764</v>
      </c>
      <c r="AZ40">
        <v>0.42399999999999999</v>
      </c>
      <c r="BA40">
        <v>1.9E-3</v>
      </c>
      <c r="BB40">
        <v>7.6046000000000049</v>
      </c>
      <c r="BC40" s="2">
        <v>45681</v>
      </c>
      <c r="BD40" t="s">
        <v>958</v>
      </c>
      <c r="BE40">
        <v>3</v>
      </c>
      <c r="BF40">
        <v>6.1999999999999998E-3</v>
      </c>
      <c r="BG40">
        <v>6.1252321642755998</v>
      </c>
      <c r="BH40">
        <v>618.87163771048597</v>
      </c>
      <c r="BI40">
        <v>0.42399999999999999</v>
      </c>
      <c r="BJ40">
        <v>2E-3</v>
      </c>
      <c r="BK40">
        <v>7.5996000000000095</v>
      </c>
      <c r="BL40" s="2">
        <v>45681</v>
      </c>
      <c r="BM40" t="s">
        <v>1078</v>
      </c>
      <c r="BN40">
        <v>3</v>
      </c>
      <c r="BO40">
        <v>6.3E-3</v>
      </c>
      <c r="BP40">
        <v>6.1255054110139984</v>
      </c>
      <c r="BQ40">
        <v>618.89710430650462</v>
      </c>
      <c r="BR40">
        <v>0.42399999999999999</v>
      </c>
      <c r="BS40">
        <v>2E-3</v>
      </c>
      <c r="BT40">
        <v>7.5971999999999866</v>
      </c>
      <c r="BU40" s="2">
        <v>45681</v>
      </c>
      <c r="BV40" t="s">
        <v>1198</v>
      </c>
      <c r="BW40">
        <v>3</v>
      </c>
      <c r="BX40">
        <v>7.0000000000000001E-3</v>
      </c>
      <c r="BY40">
        <v>6.1247105261557708</v>
      </c>
      <c r="BZ40">
        <v>618.82302103771781</v>
      </c>
      <c r="CA40">
        <v>0.42399999999999999</v>
      </c>
      <c r="CB40">
        <v>2E-3</v>
      </c>
      <c r="CC40">
        <v>7.6016999999999939</v>
      </c>
      <c r="CD40" s="2">
        <v>45681</v>
      </c>
      <c r="CE40" t="s">
        <v>1318</v>
      </c>
      <c r="CF40">
        <v>4</v>
      </c>
      <c r="CG40">
        <v>7.0000000000000001E-3</v>
      </c>
      <c r="CH40">
        <v>6.1251895492997788</v>
      </c>
      <c r="CI40">
        <v>618.86766599473935</v>
      </c>
      <c r="CJ40">
        <v>0.42399999999999999</v>
      </c>
      <c r="CK40">
        <v>2E-3</v>
      </c>
      <c r="CL40">
        <v>7.6003000000000043</v>
      </c>
      <c r="CM40" s="2">
        <v>45681</v>
      </c>
      <c r="CN40" t="s">
        <v>1438</v>
      </c>
      <c r="CO40">
        <v>4</v>
      </c>
      <c r="CP40">
        <v>7.1999999999999998E-3</v>
      </c>
      <c r="CQ40">
        <v>6.1250742334184904</v>
      </c>
      <c r="CR40">
        <v>618.85691855460323</v>
      </c>
      <c r="CS40">
        <v>0.42399999999999999</v>
      </c>
      <c r="CT40">
        <v>2E-3</v>
      </c>
      <c r="CU40">
        <v>7.5900999999999783</v>
      </c>
      <c r="CV40" s="2">
        <v>45681</v>
      </c>
      <c r="CW40" t="s">
        <v>1558</v>
      </c>
      <c r="CX40">
        <v>5</v>
      </c>
      <c r="CY40">
        <v>8.0999999999999996E-3</v>
      </c>
      <c r="CZ40">
        <v>6.1250317400838927</v>
      </c>
      <c r="DA40">
        <v>618.8529581758188</v>
      </c>
      <c r="DB40">
        <v>0.42399999999999999</v>
      </c>
      <c r="DC40">
        <v>2E-3</v>
      </c>
      <c r="DD40">
        <v>7.5977000000000317</v>
      </c>
      <c r="DE40" s="2">
        <v>45681</v>
      </c>
      <c r="DF40" t="s">
        <v>1678</v>
      </c>
      <c r="DG40">
        <v>5</v>
      </c>
      <c r="DH40">
        <v>8.2000000000000007E-3</v>
      </c>
      <c r="DI40">
        <v>6.1233080839258003</v>
      </c>
      <c r="DJ40">
        <v>618.69231342188459</v>
      </c>
      <c r="DK40">
        <v>0.42399999999999999</v>
      </c>
      <c r="DL40">
        <v>2E-3</v>
      </c>
      <c r="DM40">
        <v>7.5978999999999814</v>
      </c>
      <c r="DN40" s="2">
        <v>45681</v>
      </c>
      <c r="DO40" t="s">
        <v>1798</v>
      </c>
      <c r="DP40">
        <v>5</v>
      </c>
      <c r="DQ40">
        <v>8.3000000000000001E-3</v>
      </c>
      <c r="DR40">
        <v>6.123326127374173</v>
      </c>
      <c r="DS40">
        <v>618.69399507127298</v>
      </c>
      <c r="DT40">
        <v>0.42399999999999999</v>
      </c>
      <c r="DU40">
        <v>2E-3</v>
      </c>
      <c r="DV40">
        <v>7.5975999999999999</v>
      </c>
      <c r="DW40" s="2">
        <v>45681</v>
      </c>
      <c r="DX40" t="s">
        <v>1916</v>
      </c>
      <c r="DY40">
        <v>6</v>
      </c>
      <c r="DZ40">
        <v>8.8999999999999999E-3</v>
      </c>
      <c r="EA40">
        <v>6.1207390212540354</v>
      </c>
      <c r="EB40">
        <v>618.45287678087607</v>
      </c>
      <c r="EC40">
        <v>0.42399999999999999</v>
      </c>
      <c r="ED40">
        <v>1.9E-3</v>
      </c>
      <c r="EE40">
        <v>7.6021999999999821</v>
      </c>
    </row>
    <row r="41" spans="1:135" x14ac:dyDescent="0.3">
      <c r="A41" s="2">
        <v>45681</v>
      </c>
      <c r="B41" t="s">
        <v>236</v>
      </c>
      <c r="C41">
        <v>0</v>
      </c>
      <c r="D41">
        <v>1.7600000000000001E-2</v>
      </c>
      <c r="E41">
        <v>6.8798794838770707</v>
      </c>
      <c r="F41">
        <v>689.204767897343</v>
      </c>
      <c r="G41">
        <v>0.42399999999999999</v>
      </c>
      <c r="H41">
        <v>1.37E-2</v>
      </c>
      <c r="I41">
        <v>7.7975900000000014</v>
      </c>
      <c r="J41" s="2">
        <v>45681</v>
      </c>
      <c r="K41" t="s">
        <v>361</v>
      </c>
      <c r="L41">
        <v>1</v>
      </c>
      <c r="M41">
        <v>1.9E-3</v>
      </c>
      <c r="N41">
        <v>6.027788991681402</v>
      </c>
      <c r="O41">
        <v>609.78993402470667</v>
      </c>
      <c r="P41">
        <v>0.42399999999999999</v>
      </c>
      <c r="Q41">
        <v>5.0000000000000001E-4</v>
      </c>
      <c r="R41">
        <v>7.8022100000000023</v>
      </c>
      <c r="S41" s="2">
        <v>45681</v>
      </c>
      <c r="T41" t="s">
        <v>481</v>
      </c>
      <c r="U41">
        <v>1</v>
      </c>
      <c r="V41">
        <v>2E-3</v>
      </c>
      <c r="W41">
        <v>6.028109865014093</v>
      </c>
      <c r="X41">
        <v>609.81983941931344</v>
      </c>
      <c r="Y41">
        <v>0.42399999999999999</v>
      </c>
      <c r="Z41">
        <v>5.0000000000000001E-4</v>
      </c>
      <c r="AA41">
        <v>7.8005299999999949</v>
      </c>
      <c r="AB41" s="2">
        <v>45681</v>
      </c>
      <c r="AC41" t="s">
        <v>601</v>
      </c>
      <c r="AD41">
        <v>1</v>
      </c>
      <c r="AE41">
        <v>1.9E-3</v>
      </c>
      <c r="AF41">
        <v>6.0285305855189604</v>
      </c>
      <c r="AG41">
        <v>609.85905057036712</v>
      </c>
      <c r="AH41">
        <v>0.42399999999999999</v>
      </c>
      <c r="AI41">
        <v>5.0000000000000001E-4</v>
      </c>
      <c r="AJ41">
        <v>7.8000399999999956</v>
      </c>
      <c r="AK41" s="2">
        <v>45681</v>
      </c>
      <c r="AL41" t="s">
        <v>719</v>
      </c>
      <c r="AM41">
        <v>2</v>
      </c>
      <c r="AN41">
        <v>2.3E-3</v>
      </c>
      <c r="AO41">
        <v>6.02897310007664</v>
      </c>
      <c r="AP41">
        <v>609.90029292714291</v>
      </c>
      <c r="AQ41">
        <v>0.42399999999999999</v>
      </c>
      <c r="AR41">
        <v>5.0000000000000001E-4</v>
      </c>
      <c r="AS41">
        <v>7.7963999999999913</v>
      </c>
      <c r="AT41" s="2">
        <v>45681</v>
      </c>
      <c r="AU41" t="s">
        <v>839</v>
      </c>
      <c r="AV41">
        <v>2</v>
      </c>
      <c r="AW41">
        <v>2.5999999999999999E-3</v>
      </c>
      <c r="AX41">
        <v>6.0287211932638103</v>
      </c>
      <c r="AY41">
        <v>609.87681521218713</v>
      </c>
      <c r="AZ41">
        <v>0.42399999999999999</v>
      </c>
      <c r="BA41">
        <v>5.0000000000000001E-4</v>
      </c>
      <c r="BB41">
        <v>7.7990000000000066</v>
      </c>
      <c r="BC41" s="2">
        <v>45681</v>
      </c>
      <c r="BD41" t="s">
        <v>959</v>
      </c>
      <c r="BE41">
        <v>3</v>
      </c>
      <c r="BF41">
        <v>2.5999999999999999E-3</v>
      </c>
      <c r="BG41">
        <v>6.0284100309555813</v>
      </c>
      <c r="BH41">
        <v>609.84781488506019</v>
      </c>
      <c r="BI41">
        <v>0.42399999999999999</v>
      </c>
      <c r="BJ41">
        <v>5.0000000000000001E-4</v>
      </c>
      <c r="BK41">
        <v>7.8015000000000043</v>
      </c>
      <c r="BL41" s="2">
        <v>45681</v>
      </c>
      <c r="BM41" t="s">
        <v>1079</v>
      </c>
      <c r="BN41">
        <v>3</v>
      </c>
      <c r="BO41">
        <v>2.8E-3</v>
      </c>
      <c r="BP41">
        <v>6.0293702627309367</v>
      </c>
      <c r="BQ41">
        <v>609.93730848652331</v>
      </c>
      <c r="BR41">
        <v>0.42399999999999999</v>
      </c>
      <c r="BS41">
        <v>5.0000000000000001E-4</v>
      </c>
      <c r="BT41">
        <v>7.7966000000000122</v>
      </c>
      <c r="BU41" s="2">
        <v>45681</v>
      </c>
      <c r="BV41" t="s">
        <v>1199</v>
      </c>
      <c r="BW41">
        <v>3</v>
      </c>
      <c r="BX41">
        <v>2.8999999999999998E-3</v>
      </c>
      <c r="BY41">
        <v>6.0286320910665063</v>
      </c>
      <c r="BZ41">
        <v>609.86851088739843</v>
      </c>
      <c r="CA41">
        <v>0.42399999999999999</v>
      </c>
      <c r="CB41">
        <v>5.0000000000000001E-4</v>
      </c>
      <c r="CC41">
        <v>7.8020999999999958</v>
      </c>
      <c r="CD41" s="2">
        <v>45681</v>
      </c>
      <c r="CE41" t="s">
        <v>1319</v>
      </c>
      <c r="CF41">
        <v>4</v>
      </c>
      <c r="CG41">
        <v>3.3999999999999998E-3</v>
      </c>
      <c r="CH41">
        <v>6.0293316740796632</v>
      </c>
      <c r="CI41">
        <v>609.93371202422463</v>
      </c>
      <c r="CJ41">
        <v>0.42399999999999999</v>
      </c>
      <c r="CK41">
        <v>5.0000000000000001E-4</v>
      </c>
      <c r="CL41">
        <v>7.7992999999999881</v>
      </c>
      <c r="CM41" s="2">
        <v>45681</v>
      </c>
      <c r="CN41" t="s">
        <v>1439</v>
      </c>
      <c r="CO41">
        <v>4</v>
      </c>
      <c r="CP41">
        <v>3.5000000000000001E-3</v>
      </c>
      <c r="CQ41">
        <v>6.029040087899241</v>
      </c>
      <c r="CR41">
        <v>609.90653619220927</v>
      </c>
      <c r="CS41">
        <v>0.42399999999999999</v>
      </c>
      <c r="CT41">
        <v>5.0000000000000001E-4</v>
      </c>
      <c r="CU41">
        <v>7.7899000000000171</v>
      </c>
      <c r="CV41" s="2">
        <v>45681</v>
      </c>
      <c r="CW41" t="s">
        <v>1559</v>
      </c>
      <c r="CX41">
        <v>5</v>
      </c>
      <c r="CY41">
        <v>3.8999999999999998E-3</v>
      </c>
      <c r="CZ41">
        <v>6.0290112873118709</v>
      </c>
      <c r="DA41">
        <v>609.90385197746639</v>
      </c>
      <c r="DB41">
        <v>0.42399999999999999</v>
      </c>
      <c r="DC41">
        <v>5.0000000000000001E-4</v>
      </c>
      <c r="DD41">
        <v>7.7975000000000136</v>
      </c>
      <c r="DE41" s="2">
        <v>45681</v>
      </c>
      <c r="DF41" t="s">
        <v>1679</v>
      </c>
      <c r="DG41">
        <v>5</v>
      </c>
      <c r="DH41">
        <v>4.1999999999999997E-3</v>
      </c>
      <c r="DI41">
        <v>6.0286002332296826</v>
      </c>
      <c r="DJ41">
        <v>609.86554173700642</v>
      </c>
      <c r="DK41">
        <v>0.42399999999999999</v>
      </c>
      <c r="DL41">
        <v>5.0000000000000001E-4</v>
      </c>
      <c r="DM41">
        <v>7.7960999999999672</v>
      </c>
      <c r="DN41" s="2">
        <v>45681</v>
      </c>
      <c r="DO41" t="s">
        <v>1799</v>
      </c>
      <c r="DP41">
        <v>5</v>
      </c>
      <c r="DQ41">
        <v>4.3E-3</v>
      </c>
      <c r="DR41">
        <v>6.0270647601013563</v>
      </c>
      <c r="DS41">
        <v>609.7224356414464</v>
      </c>
      <c r="DT41">
        <v>0.42399999999999999</v>
      </c>
      <c r="DU41">
        <v>5.0000000000000001E-4</v>
      </c>
      <c r="DV41">
        <v>7.8006000000000313</v>
      </c>
      <c r="DW41" s="2">
        <v>45681</v>
      </c>
      <c r="DX41" t="s">
        <v>1917</v>
      </c>
      <c r="DY41">
        <v>6</v>
      </c>
      <c r="DZ41">
        <v>4.7999999999999996E-3</v>
      </c>
      <c r="EA41">
        <v>6.0268323888692592</v>
      </c>
      <c r="EB41">
        <v>609.70077864261498</v>
      </c>
      <c r="EC41">
        <v>0.42399999999999999</v>
      </c>
      <c r="ED41">
        <v>5.0000000000000001E-4</v>
      </c>
      <c r="EE41">
        <v>7.8018000000000143</v>
      </c>
    </row>
    <row r="42" spans="1:135" x14ac:dyDescent="0.3">
      <c r="A42" s="2">
        <v>45681</v>
      </c>
      <c r="B42" t="s">
        <v>237</v>
      </c>
      <c r="C42">
        <v>0</v>
      </c>
      <c r="D42">
        <v>1.4999999999999999E-2</v>
      </c>
      <c r="E42">
        <v>6.6696266811913176</v>
      </c>
      <c r="F42">
        <v>669.60920668703079</v>
      </c>
      <c r="G42">
        <v>0.42399999999999999</v>
      </c>
      <c r="H42">
        <v>1.0500000000000001E-2</v>
      </c>
      <c r="I42">
        <v>7.9989100000000004</v>
      </c>
      <c r="J42" s="2">
        <v>45681</v>
      </c>
      <c r="K42" t="s">
        <v>362</v>
      </c>
      <c r="L42">
        <v>1</v>
      </c>
      <c r="M42">
        <v>4.0000000000000002E-4</v>
      </c>
      <c r="N42">
        <v>5.995743996865218</v>
      </c>
      <c r="O42">
        <v>606.80334050783836</v>
      </c>
      <c r="P42">
        <v>0.42399999999999999</v>
      </c>
      <c r="Q42">
        <v>0</v>
      </c>
      <c r="R42">
        <v>8.0026299999999964</v>
      </c>
      <c r="S42" s="2">
        <v>45681</v>
      </c>
      <c r="T42" t="s">
        <v>482</v>
      </c>
      <c r="U42">
        <v>1</v>
      </c>
      <c r="V42">
        <v>2.0000000000000001E-4</v>
      </c>
      <c r="W42">
        <v>5.9957534626447497</v>
      </c>
      <c r="X42">
        <v>606.80422271849068</v>
      </c>
      <c r="Y42">
        <v>0.42399999999999999</v>
      </c>
      <c r="Z42">
        <v>0</v>
      </c>
      <c r="AA42">
        <v>8.0032800000000037</v>
      </c>
      <c r="AB42" s="2">
        <v>45681</v>
      </c>
      <c r="AC42" t="s">
        <v>602</v>
      </c>
      <c r="AD42">
        <v>1</v>
      </c>
      <c r="AE42">
        <v>5.0000000000000001E-4</v>
      </c>
      <c r="AF42">
        <v>5.995736464524299</v>
      </c>
      <c r="AG42">
        <v>606.80263849366463</v>
      </c>
      <c r="AH42">
        <v>0.42399999999999999</v>
      </c>
      <c r="AI42">
        <v>0</v>
      </c>
      <c r="AJ42">
        <v>8.0010900000000049</v>
      </c>
      <c r="AK42" s="2">
        <v>45681</v>
      </c>
      <c r="AL42" t="s">
        <v>720</v>
      </c>
      <c r="AM42">
        <v>2</v>
      </c>
      <c r="AN42">
        <v>8.0000000000000004E-4</v>
      </c>
      <c r="AO42">
        <v>5.9957340074502161</v>
      </c>
      <c r="AP42">
        <v>606.80240949436018</v>
      </c>
      <c r="AQ42">
        <v>0.42399999999999999</v>
      </c>
      <c r="AR42">
        <v>0</v>
      </c>
      <c r="AS42">
        <v>7.9976999999999947</v>
      </c>
      <c r="AT42" s="2">
        <v>45681</v>
      </c>
      <c r="AU42" t="s">
        <v>840</v>
      </c>
      <c r="AV42">
        <v>2</v>
      </c>
      <c r="AW42">
        <v>5.9999999999999995E-4</v>
      </c>
      <c r="AX42">
        <v>5.9957338060507048</v>
      </c>
      <c r="AY42">
        <v>606.80239072392567</v>
      </c>
      <c r="AZ42">
        <v>0.42399999999999999</v>
      </c>
      <c r="BA42">
        <v>0</v>
      </c>
      <c r="BB42">
        <v>7.9981000000000222</v>
      </c>
      <c r="BC42" s="2">
        <v>45681</v>
      </c>
      <c r="BD42" t="s">
        <v>960</v>
      </c>
      <c r="BE42">
        <v>3</v>
      </c>
      <c r="BF42">
        <v>8.0000000000000004E-4</v>
      </c>
      <c r="BG42">
        <v>5.9957337657708347</v>
      </c>
      <c r="BH42">
        <v>606.80238696984179</v>
      </c>
      <c r="BI42">
        <v>0.42399999999999999</v>
      </c>
      <c r="BJ42">
        <v>0</v>
      </c>
      <c r="BK42">
        <v>7.9997000000000185</v>
      </c>
      <c r="BL42" s="2">
        <v>45681</v>
      </c>
      <c r="BM42" t="s">
        <v>1080</v>
      </c>
      <c r="BN42">
        <v>3</v>
      </c>
      <c r="BO42">
        <v>8.9999999999999998E-4</v>
      </c>
      <c r="BP42">
        <v>5.9957337657708347</v>
      </c>
      <c r="BQ42">
        <v>606.80238696984179</v>
      </c>
      <c r="BR42">
        <v>0.42399999999999999</v>
      </c>
      <c r="BS42">
        <v>0</v>
      </c>
      <c r="BT42">
        <v>7.9977000000000089</v>
      </c>
      <c r="BU42" s="2">
        <v>45681</v>
      </c>
      <c r="BV42" t="s">
        <v>1200</v>
      </c>
      <c r="BW42">
        <v>3</v>
      </c>
      <c r="BX42">
        <v>8.9999999999999998E-4</v>
      </c>
      <c r="BY42">
        <v>5.9957367867632572</v>
      </c>
      <c r="BZ42">
        <v>606.80266852633554</v>
      </c>
      <c r="CA42">
        <v>0.42399999999999999</v>
      </c>
      <c r="CB42">
        <v>0</v>
      </c>
      <c r="CC42">
        <v>7.9995999999999867</v>
      </c>
      <c r="CD42" s="2">
        <v>45681</v>
      </c>
      <c r="CE42" t="s">
        <v>1320</v>
      </c>
      <c r="CF42">
        <v>4</v>
      </c>
      <c r="CG42">
        <v>1.1999999999999999E-3</v>
      </c>
      <c r="CH42">
        <v>5.9957336449311036</v>
      </c>
      <c r="CI42">
        <v>606.8023757075789</v>
      </c>
      <c r="CJ42">
        <v>0.42399999999999999</v>
      </c>
      <c r="CK42">
        <v>0</v>
      </c>
      <c r="CL42">
        <v>8.0004999999999882</v>
      </c>
      <c r="CM42" s="2">
        <v>45681</v>
      </c>
      <c r="CN42" t="s">
        <v>1440</v>
      </c>
      <c r="CO42">
        <v>4</v>
      </c>
      <c r="CP42">
        <v>1.4E-3</v>
      </c>
      <c r="CQ42">
        <v>5.9957346519285384</v>
      </c>
      <c r="CR42">
        <v>606.80246955973985</v>
      </c>
      <c r="CS42">
        <v>0.42399999999999999</v>
      </c>
      <c r="CT42">
        <v>0</v>
      </c>
      <c r="CU42">
        <v>7.9894000000000176</v>
      </c>
      <c r="CV42" s="2">
        <v>45681</v>
      </c>
      <c r="CW42" t="s">
        <v>1560</v>
      </c>
      <c r="CX42">
        <v>5</v>
      </c>
      <c r="CY42">
        <v>1.5E-3</v>
      </c>
      <c r="CZ42">
        <v>5.9957405730742597</v>
      </c>
      <c r="DA42">
        <v>606.80302141052107</v>
      </c>
      <c r="DB42">
        <v>0.42399999999999999</v>
      </c>
      <c r="DC42">
        <v>0</v>
      </c>
      <c r="DD42">
        <v>8.0010000000000332</v>
      </c>
      <c r="DE42" s="2">
        <v>45681</v>
      </c>
      <c r="DF42" t="s">
        <v>1680</v>
      </c>
      <c r="DG42">
        <v>5</v>
      </c>
      <c r="DH42">
        <v>1.6000000000000001E-3</v>
      </c>
      <c r="DI42">
        <v>5.99573731040197</v>
      </c>
      <c r="DJ42">
        <v>606.80271732946358</v>
      </c>
      <c r="DK42">
        <v>0.42399999999999999</v>
      </c>
      <c r="DL42">
        <v>0</v>
      </c>
      <c r="DM42">
        <v>7.9975999999999772</v>
      </c>
      <c r="DN42" s="2">
        <v>45681</v>
      </c>
      <c r="DO42" t="s">
        <v>1800</v>
      </c>
      <c r="DP42">
        <v>5</v>
      </c>
      <c r="DQ42">
        <v>1.8E-3</v>
      </c>
      <c r="DR42">
        <v>5.995745688622991</v>
      </c>
      <c r="DS42">
        <v>606.80349817966282</v>
      </c>
      <c r="DT42">
        <v>0.42399999999999999</v>
      </c>
      <c r="DU42">
        <v>0</v>
      </c>
      <c r="DV42">
        <v>7.9990000000000236</v>
      </c>
      <c r="DW42" s="2">
        <v>45681</v>
      </c>
      <c r="DX42" t="s">
        <v>1918</v>
      </c>
      <c r="DY42">
        <v>6</v>
      </c>
      <c r="DZ42">
        <v>2.2000000000000001E-3</v>
      </c>
      <c r="EA42">
        <v>5.9957441982665944</v>
      </c>
      <c r="EB42">
        <v>606.80335927844658</v>
      </c>
      <c r="EC42">
        <v>0.42399999999999999</v>
      </c>
      <c r="ED42">
        <v>0</v>
      </c>
      <c r="EE42">
        <v>7.9993000000000052</v>
      </c>
    </row>
    <row r="43" spans="1:135" x14ac:dyDescent="0.3">
      <c r="A43" s="2">
        <v>45681</v>
      </c>
      <c r="B43" t="s">
        <v>238</v>
      </c>
      <c r="C43">
        <v>0</v>
      </c>
      <c r="D43">
        <v>1.23E-2</v>
      </c>
      <c r="E43">
        <v>6.4602444242057331</v>
      </c>
      <c r="F43">
        <v>650.09478033597429</v>
      </c>
      <c r="G43">
        <v>0.42399999999999999</v>
      </c>
      <c r="H43">
        <v>7.1999999999999998E-3</v>
      </c>
      <c r="I43">
        <v>8.1995500000000003</v>
      </c>
      <c r="J43" s="2">
        <v>45681</v>
      </c>
      <c r="K43" t="s">
        <v>363</v>
      </c>
      <c r="L43">
        <v>1</v>
      </c>
      <c r="M43">
        <v>-4.0000000000000002E-4</v>
      </c>
      <c r="N43">
        <v>6.0290768640962638</v>
      </c>
      <c r="O43">
        <v>712.15939440273542</v>
      </c>
      <c r="P43">
        <v>0.42399999999999999</v>
      </c>
      <c r="Q43">
        <v>5.0000000000000001E-4</v>
      </c>
      <c r="R43">
        <v>8.1998899999999963</v>
      </c>
      <c r="S43" s="2">
        <v>45681</v>
      </c>
      <c r="T43" t="s">
        <v>483</v>
      </c>
      <c r="U43">
        <v>1</v>
      </c>
      <c r="V43">
        <v>-4.0000000000000002E-4</v>
      </c>
      <c r="W43">
        <v>6.0294168269918629</v>
      </c>
      <c r="X43">
        <v>712.19165688152782</v>
      </c>
      <c r="Y43">
        <v>0.42399999999999999</v>
      </c>
      <c r="Z43">
        <v>5.0000000000000001E-4</v>
      </c>
      <c r="AA43">
        <v>8.2002300000000048</v>
      </c>
      <c r="AB43" s="2">
        <v>45681</v>
      </c>
      <c r="AC43" t="s">
        <v>603</v>
      </c>
      <c r="AD43">
        <v>1</v>
      </c>
      <c r="AE43">
        <v>2.0000000000000001E-4</v>
      </c>
      <c r="AF43">
        <v>6.0289490556611671</v>
      </c>
      <c r="AG43">
        <v>712.14726538224477</v>
      </c>
      <c r="AH43">
        <v>0.42399999999999999</v>
      </c>
      <c r="AI43">
        <v>5.0000000000000001E-4</v>
      </c>
      <c r="AJ43">
        <v>8.1996199999999959</v>
      </c>
      <c r="AK43" s="2">
        <v>45681</v>
      </c>
      <c r="AL43" t="s">
        <v>721</v>
      </c>
      <c r="AM43">
        <v>2</v>
      </c>
      <c r="AN43">
        <v>-4.0000000000000002E-4</v>
      </c>
      <c r="AO43">
        <v>6.029105705230708</v>
      </c>
      <c r="AP43">
        <v>712.16213142639424</v>
      </c>
      <c r="AQ43">
        <v>0.42399999999999999</v>
      </c>
      <c r="AR43">
        <v>5.0000000000000001E-4</v>
      </c>
      <c r="AS43">
        <v>8.1978000000000009</v>
      </c>
      <c r="AT43" s="2">
        <v>45681</v>
      </c>
      <c r="AU43" t="s">
        <v>841</v>
      </c>
      <c r="AV43">
        <v>2</v>
      </c>
      <c r="AW43">
        <v>-2.0000000000000001E-4</v>
      </c>
      <c r="AX43">
        <v>6.0285193904715539</v>
      </c>
      <c r="AY43">
        <v>712.10649015575052</v>
      </c>
      <c r="AZ43">
        <v>0.42399999999999999</v>
      </c>
      <c r="BA43">
        <v>5.0000000000000001E-4</v>
      </c>
      <c r="BB43">
        <v>8.1978000000000009</v>
      </c>
      <c r="BC43" s="2">
        <v>45681</v>
      </c>
      <c r="BD43" t="s">
        <v>961</v>
      </c>
      <c r="BE43">
        <v>3</v>
      </c>
      <c r="BF43">
        <v>4.0000000000000002E-4</v>
      </c>
      <c r="BG43">
        <v>6.0284718571355356</v>
      </c>
      <c r="BH43">
        <v>712.10197924216243</v>
      </c>
      <c r="BI43">
        <v>0.42399999999999999</v>
      </c>
      <c r="BJ43">
        <v>5.0000000000000001E-4</v>
      </c>
      <c r="BK43">
        <v>8.1993000000000222</v>
      </c>
      <c r="BL43" s="2">
        <v>45681</v>
      </c>
      <c r="BM43" t="s">
        <v>1081</v>
      </c>
      <c r="BN43">
        <v>3</v>
      </c>
      <c r="BO43">
        <v>0</v>
      </c>
      <c r="BP43">
        <v>6.0282787192532066</v>
      </c>
      <c r="BQ43">
        <v>712.08365045712947</v>
      </c>
      <c r="BR43">
        <v>0.42399999999999999</v>
      </c>
      <c r="BS43">
        <v>5.0000000000000001E-4</v>
      </c>
      <c r="BT43">
        <v>8.1966999999999928</v>
      </c>
      <c r="BU43" s="2">
        <v>45681</v>
      </c>
      <c r="BV43" t="s">
        <v>1201</v>
      </c>
      <c r="BW43">
        <v>3</v>
      </c>
      <c r="BX43">
        <v>-1E-4</v>
      </c>
      <c r="BY43">
        <v>6.0283071954639764</v>
      </c>
      <c r="BZ43">
        <v>712.08635284953141</v>
      </c>
      <c r="CA43">
        <v>0.42399999999999999</v>
      </c>
      <c r="CB43">
        <v>5.0000000000000001E-4</v>
      </c>
      <c r="CC43">
        <v>8.200099999999992</v>
      </c>
      <c r="CD43" s="2">
        <v>45681</v>
      </c>
      <c r="CE43" t="s">
        <v>1321</v>
      </c>
      <c r="CF43">
        <v>4</v>
      </c>
      <c r="CG43">
        <v>1E-4</v>
      </c>
      <c r="CH43">
        <v>6.0315680115087158</v>
      </c>
      <c r="CI43">
        <v>712.39580429217722</v>
      </c>
      <c r="CJ43">
        <v>0.42399999999999999</v>
      </c>
      <c r="CK43">
        <v>5.9999999999999995E-4</v>
      </c>
      <c r="CL43">
        <v>8.2091000000000065</v>
      </c>
      <c r="CM43" s="2">
        <v>45681</v>
      </c>
      <c r="CN43" t="s">
        <v>1441</v>
      </c>
      <c r="CO43">
        <v>4</v>
      </c>
      <c r="CP43">
        <v>1.1999999999999999E-3</v>
      </c>
      <c r="CQ43">
        <v>6.0286878838417017</v>
      </c>
      <c r="CR43">
        <v>712.12248017657748</v>
      </c>
      <c r="CS43">
        <v>0.42399999999999999</v>
      </c>
      <c r="CT43">
        <v>5.0000000000000001E-4</v>
      </c>
      <c r="CU43">
        <v>8.1901999999999759</v>
      </c>
      <c r="CV43" s="2">
        <v>45681</v>
      </c>
      <c r="CW43" t="s">
        <v>1561</v>
      </c>
      <c r="CX43">
        <v>5</v>
      </c>
      <c r="CY43">
        <v>5.0000000000000001E-4</v>
      </c>
      <c r="CZ43">
        <v>6.0291378874441337</v>
      </c>
      <c r="DA43">
        <v>712.16518551844831</v>
      </c>
      <c r="DB43">
        <v>0.42399999999999999</v>
      </c>
      <c r="DC43">
        <v>5.0000000000000001E-4</v>
      </c>
      <c r="DD43">
        <v>8.199100000000044</v>
      </c>
      <c r="DE43" s="2">
        <v>45681</v>
      </c>
      <c r="DF43" t="s">
        <v>1681</v>
      </c>
      <c r="DG43">
        <v>5</v>
      </c>
      <c r="DH43">
        <v>5.9999999999999995E-4</v>
      </c>
      <c r="DI43">
        <v>6.029842705084671</v>
      </c>
      <c r="DJ43">
        <v>712.23207271253534</v>
      </c>
      <c r="DK43">
        <v>0.42399999999999999</v>
      </c>
      <c r="DL43">
        <v>5.0000000000000001E-4</v>
      </c>
      <c r="DM43">
        <v>8.198599999999999</v>
      </c>
      <c r="DN43" s="2">
        <v>45681</v>
      </c>
      <c r="DO43" t="s">
        <v>1801</v>
      </c>
      <c r="DP43">
        <v>5</v>
      </c>
      <c r="DQ43">
        <v>8.9999999999999998E-4</v>
      </c>
      <c r="DR43">
        <v>6.0299301164689476</v>
      </c>
      <c r="DS43">
        <v>712.24036805290314</v>
      </c>
      <c r="DT43">
        <v>0.42399999999999999</v>
      </c>
      <c r="DU43">
        <v>5.0000000000000001E-4</v>
      </c>
      <c r="DV43">
        <v>8.198599999999999</v>
      </c>
      <c r="DW43" s="2">
        <v>45681</v>
      </c>
      <c r="DX43" t="s">
        <v>1919</v>
      </c>
      <c r="DY43">
        <v>6</v>
      </c>
      <c r="DZ43">
        <v>1.4E-3</v>
      </c>
      <c r="EA43">
        <v>6.0302775278622232</v>
      </c>
      <c r="EB43">
        <v>712.27333739412506</v>
      </c>
      <c r="EC43">
        <v>0.42399999999999999</v>
      </c>
      <c r="ED43">
        <v>5.0000000000000001E-4</v>
      </c>
      <c r="EE43">
        <v>8.2001000000000204</v>
      </c>
    </row>
    <row r="44" spans="1:135" x14ac:dyDescent="0.3">
      <c r="A44" s="2">
        <v>45681</v>
      </c>
      <c r="B44" t="s">
        <v>239</v>
      </c>
      <c r="C44">
        <v>0</v>
      </c>
      <c r="D44">
        <v>8.3999999999999995E-3</v>
      </c>
      <c r="E44">
        <v>6.272115727520954</v>
      </c>
      <c r="F44">
        <v>632.56118580495297</v>
      </c>
      <c r="G44">
        <v>0.42399999999999999</v>
      </c>
      <c r="H44">
        <v>4.3E-3</v>
      </c>
      <c r="I44">
        <v>8.3996800000000018</v>
      </c>
      <c r="J44" s="2">
        <v>45681</v>
      </c>
      <c r="K44" t="s">
        <v>364</v>
      </c>
      <c r="L44">
        <v>1</v>
      </c>
      <c r="M44">
        <v>-2.0000000000000001E-4</v>
      </c>
      <c r="N44">
        <v>6.1258031481856969</v>
      </c>
      <c r="O44">
        <v>721.33871876282262</v>
      </c>
      <c r="P44">
        <v>0.42399999999999999</v>
      </c>
      <c r="Q44">
        <v>2E-3</v>
      </c>
      <c r="R44">
        <v>8.4006899999999973</v>
      </c>
      <c r="S44" s="2">
        <v>45681</v>
      </c>
      <c r="T44" t="s">
        <v>484</v>
      </c>
      <c r="U44">
        <v>1</v>
      </c>
      <c r="V44">
        <v>-2.0000000000000001E-4</v>
      </c>
      <c r="W44">
        <v>6.1263358556569969</v>
      </c>
      <c r="X44">
        <v>721.38927270184899</v>
      </c>
      <c r="Y44">
        <v>0.42399999999999999</v>
      </c>
      <c r="Z44">
        <v>2E-3</v>
      </c>
      <c r="AA44">
        <v>8.4008500000000055</v>
      </c>
      <c r="AB44" s="2">
        <v>45681</v>
      </c>
      <c r="AC44" t="s">
        <v>604</v>
      </c>
      <c r="AD44">
        <v>1</v>
      </c>
      <c r="AE44">
        <v>2.0000000000000001E-4</v>
      </c>
      <c r="AF44">
        <v>6.124931750996951</v>
      </c>
      <c r="AG44">
        <v>721.25602316961067</v>
      </c>
      <c r="AH44">
        <v>0.42399999999999999</v>
      </c>
      <c r="AI44">
        <v>2E-3</v>
      </c>
      <c r="AJ44">
        <v>8.3994200000000063</v>
      </c>
      <c r="AK44" s="2">
        <v>45681</v>
      </c>
      <c r="AL44" t="s">
        <v>722</v>
      </c>
      <c r="AM44">
        <v>2</v>
      </c>
      <c r="AN44">
        <v>-4.0000000000000002E-4</v>
      </c>
      <c r="AO44">
        <v>6.124659031370526</v>
      </c>
      <c r="AP44">
        <v>721.23014207706296</v>
      </c>
      <c r="AQ44">
        <v>0.42399999999999999</v>
      </c>
      <c r="AR44">
        <v>2E-3</v>
      </c>
      <c r="AS44">
        <v>8.3966999999999956</v>
      </c>
      <c r="AT44" s="2">
        <v>45681</v>
      </c>
      <c r="AU44" t="s">
        <v>842</v>
      </c>
      <c r="AV44">
        <v>2</v>
      </c>
      <c r="AW44">
        <v>0</v>
      </c>
      <c r="AX44">
        <v>6.1256543404204606</v>
      </c>
      <c r="AY44">
        <v>721.32459690590179</v>
      </c>
      <c r="AZ44">
        <v>0.42399999999999999</v>
      </c>
      <c r="BA44">
        <v>2E-3</v>
      </c>
      <c r="BB44">
        <v>8.400100000000009</v>
      </c>
      <c r="BC44" s="2">
        <v>45681</v>
      </c>
      <c r="BD44" t="s">
        <v>962</v>
      </c>
      <c r="BE44">
        <v>3</v>
      </c>
      <c r="BF44">
        <v>5.0000000000000001E-4</v>
      </c>
      <c r="BG44">
        <v>6.1251441771228574</v>
      </c>
      <c r="BH44">
        <v>721.27618240895924</v>
      </c>
      <c r="BI44">
        <v>0.42399999999999999</v>
      </c>
      <c r="BJ44">
        <v>2E-3</v>
      </c>
      <c r="BK44">
        <v>8.4008000000000038</v>
      </c>
      <c r="BL44" s="2">
        <v>45681</v>
      </c>
      <c r="BM44" t="s">
        <v>1082</v>
      </c>
      <c r="BN44">
        <v>3</v>
      </c>
      <c r="BO44">
        <v>2.0000000000000001E-4</v>
      </c>
      <c r="BP44">
        <v>6.1238303707988271</v>
      </c>
      <c r="BQ44">
        <v>721.15150218880876</v>
      </c>
      <c r="BR44">
        <v>0.42399999999999999</v>
      </c>
      <c r="BS44">
        <v>2E-3</v>
      </c>
      <c r="BT44">
        <v>8.3968000000000131</v>
      </c>
      <c r="BU44" s="2">
        <v>45681</v>
      </c>
      <c r="BV44" t="s">
        <v>1202</v>
      </c>
      <c r="BW44">
        <v>3</v>
      </c>
      <c r="BX44">
        <v>0</v>
      </c>
      <c r="BY44">
        <v>6.1235466629150794</v>
      </c>
      <c r="BZ44">
        <v>721.12457831064103</v>
      </c>
      <c r="CA44">
        <v>0.42399999999999999</v>
      </c>
      <c r="CB44">
        <v>2E-3</v>
      </c>
      <c r="CC44">
        <v>8.3995999999999924</v>
      </c>
      <c r="CD44" s="2">
        <v>45681</v>
      </c>
      <c r="CE44" t="s">
        <v>1322</v>
      </c>
      <c r="CF44">
        <v>4</v>
      </c>
      <c r="CG44">
        <v>2.0000000000000001E-4</v>
      </c>
      <c r="CH44">
        <v>6.1242657247430623</v>
      </c>
      <c r="CI44">
        <v>721.19281727811665</v>
      </c>
      <c r="CJ44">
        <v>0.42399999999999999</v>
      </c>
      <c r="CK44">
        <v>2E-3</v>
      </c>
      <c r="CL44">
        <v>8.4000000000000057</v>
      </c>
      <c r="CM44" s="2">
        <v>45681</v>
      </c>
      <c r="CN44" t="s">
        <v>1442</v>
      </c>
      <c r="CO44">
        <v>4</v>
      </c>
      <c r="CP44">
        <v>1.2999999999999999E-3</v>
      </c>
      <c r="CQ44">
        <v>6.1240782756153553</v>
      </c>
      <c r="CR44">
        <v>721.17502835589721</v>
      </c>
      <c r="CS44">
        <v>0.42399999999999999</v>
      </c>
      <c r="CT44">
        <v>2E-3</v>
      </c>
      <c r="CU44">
        <v>8.3893999999999949</v>
      </c>
      <c r="CV44" s="2">
        <v>45681</v>
      </c>
      <c r="CW44" t="s">
        <v>1562</v>
      </c>
      <c r="CX44">
        <v>5</v>
      </c>
      <c r="CY44">
        <v>5.0000000000000001E-4</v>
      </c>
      <c r="CZ44">
        <v>6.1242900124409854</v>
      </c>
      <c r="DA44">
        <v>721.19512218064949</v>
      </c>
      <c r="DB44">
        <v>0.42399999999999999</v>
      </c>
      <c r="DC44">
        <v>2E-3</v>
      </c>
      <c r="DD44">
        <v>8.3973000000000297</v>
      </c>
      <c r="DE44" s="2">
        <v>45681</v>
      </c>
      <c r="DF44" t="s">
        <v>1682</v>
      </c>
      <c r="DG44">
        <v>5</v>
      </c>
      <c r="DH44">
        <v>5.9999999999999995E-4</v>
      </c>
      <c r="DI44">
        <v>6.1262874829965277</v>
      </c>
      <c r="DJ44">
        <v>721.38468213637054</v>
      </c>
      <c r="DK44">
        <v>0.42399999999999999</v>
      </c>
      <c r="DL44">
        <v>2E-3</v>
      </c>
      <c r="DM44">
        <v>8.3978999999999928</v>
      </c>
      <c r="DN44" s="2">
        <v>45681</v>
      </c>
      <c r="DO44" t="s">
        <v>1802</v>
      </c>
      <c r="DP44">
        <v>5</v>
      </c>
      <c r="DQ44">
        <v>8.9999999999999998E-4</v>
      </c>
      <c r="DR44">
        <v>6.1282373918330979</v>
      </c>
      <c r="DS44">
        <v>721.56972848496105</v>
      </c>
      <c r="DT44">
        <v>0.42399999999999999</v>
      </c>
      <c r="DU44">
        <v>2.0999999999999999E-3</v>
      </c>
      <c r="DV44">
        <v>8.4007000000000289</v>
      </c>
      <c r="DW44" s="2">
        <v>45681</v>
      </c>
      <c r="DX44" t="s">
        <v>1920</v>
      </c>
      <c r="DY44">
        <v>6</v>
      </c>
      <c r="DZ44">
        <v>1.4E-3</v>
      </c>
      <c r="EA44">
        <v>6.1277901170488143</v>
      </c>
      <c r="EB44">
        <v>721.52728210793248</v>
      </c>
      <c r="EC44">
        <v>0.42399999999999999</v>
      </c>
      <c r="ED44">
        <v>2.0999999999999999E-3</v>
      </c>
      <c r="EE44">
        <v>8.4005000000000223</v>
      </c>
    </row>
    <row r="45" spans="1:135" x14ac:dyDescent="0.3">
      <c r="A45" s="2">
        <v>45681</v>
      </c>
      <c r="B45" t="s">
        <v>240</v>
      </c>
      <c r="C45">
        <v>0</v>
      </c>
      <c r="D45">
        <v>4.4999999999999997E-3</v>
      </c>
      <c r="E45">
        <v>6.1244715822428182</v>
      </c>
      <c r="F45">
        <v>618.80075146503066</v>
      </c>
      <c r="G45">
        <v>0.42399999999999999</v>
      </c>
      <c r="H45">
        <v>2E-3</v>
      </c>
      <c r="I45">
        <v>8.5976499999999998</v>
      </c>
      <c r="J45" s="2">
        <v>45681</v>
      </c>
      <c r="K45" t="s">
        <v>365</v>
      </c>
      <c r="L45">
        <v>1</v>
      </c>
      <c r="M45">
        <v>6.9999999999999999E-4</v>
      </c>
      <c r="N45">
        <v>6.2767835473415996</v>
      </c>
      <c r="O45">
        <v>735.66675864271792</v>
      </c>
      <c r="P45">
        <v>0.42399999999999999</v>
      </c>
      <c r="Q45">
        <v>4.4000000000000003E-3</v>
      </c>
      <c r="R45">
        <v>8.6019599999999983</v>
      </c>
      <c r="S45" s="2">
        <v>45681</v>
      </c>
      <c r="T45" t="s">
        <v>485</v>
      </c>
      <c r="U45">
        <v>1</v>
      </c>
      <c r="V45">
        <v>5.9999999999999995E-4</v>
      </c>
      <c r="W45">
        <v>6.2768087270751751</v>
      </c>
      <c r="X45">
        <v>735.66914819943418</v>
      </c>
      <c r="Y45">
        <v>0.42399999999999999</v>
      </c>
      <c r="Z45">
        <v>4.4000000000000003E-3</v>
      </c>
      <c r="AA45">
        <v>8.6012999999999948</v>
      </c>
      <c r="AB45" s="2">
        <v>45681</v>
      </c>
      <c r="AC45" t="s">
        <v>605</v>
      </c>
      <c r="AD45">
        <v>1</v>
      </c>
      <c r="AE45">
        <v>1E-3</v>
      </c>
      <c r="AF45">
        <v>6.2749487111038693</v>
      </c>
      <c r="AG45">
        <v>735.49263268375728</v>
      </c>
      <c r="AH45">
        <v>0.42399999999999999</v>
      </c>
      <c r="AI45">
        <v>4.3E-3</v>
      </c>
      <c r="AJ45">
        <v>8.5999500000000069</v>
      </c>
      <c r="AK45" s="2">
        <v>45681</v>
      </c>
      <c r="AL45" t="s">
        <v>723</v>
      </c>
      <c r="AM45">
        <v>2</v>
      </c>
      <c r="AN45">
        <v>5.9999999999999995E-4</v>
      </c>
      <c r="AO45">
        <v>6.2756254012384822</v>
      </c>
      <c r="AP45">
        <v>735.55685057753203</v>
      </c>
      <c r="AQ45">
        <v>0.42399999999999999</v>
      </c>
      <c r="AR45">
        <v>4.3E-3</v>
      </c>
      <c r="AS45">
        <v>8.598399999999998</v>
      </c>
      <c r="AT45" s="2">
        <v>45681</v>
      </c>
      <c r="AU45" t="s">
        <v>843</v>
      </c>
      <c r="AV45">
        <v>2</v>
      </c>
      <c r="AW45">
        <v>8.9999999999999998E-4</v>
      </c>
      <c r="AX45">
        <v>6.2743395723962001</v>
      </c>
      <c r="AY45">
        <v>735.43482542039942</v>
      </c>
      <c r="AZ45">
        <v>0.42399999999999999</v>
      </c>
      <c r="BA45">
        <v>4.3E-3</v>
      </c>
      <c r="BB45">
        <v>8.598700000000008</v>
      </c>
      <c r="BC45" s="2">
        <v>45681</v>
      </c>
      <c r="BD45" t="s">
        <v>963</v>
      </c>
      <c r="BE45">
        <v>3</v>
      </c>
      <c r="BF45">
        <v>1E-3</v>
      </c>
      <c r="BG45">
        <v>6.2752244717609189</v>
      </c>
      <c r="BH45">
        <v>735.51880237011119</v>
      </c>
      <c r="BI45">
        <v>0.42399999999999999</v>
      </c>
      <c r="BJ45">
        <v>4.3E-3</v>
      </c>
      <c r="BK45">
        <v>8.6014000000000124</v>
      </c>
      <c r="BL45" s="2">
        <v>45681</v>
      </c>
      <c r="BM45" t="s">
        <v>1083</v>
      </c>
      <c r="BN45">
        <v>3</v>
      </c>
      <c r="BO45">
        <v>8.9999999999999998E-4</v>
      </c>
      <c r="BP45">
        <v>6.2737809147969017</v>
      </c>
      <c r="BQ45">
        <v>735.38180881422602</v>
      </c>
      <c r="BR45">
        <v>0.42399999999999999</v>
      </c>
      <c r="BS45">
        <v>4.3E-3</v>
      </c>
      <c r="BT45">
        <v>8.5977000000000032</v>
      </c>
      <c r="BU45" s="2">
        <v>45681</v>
      </c>
      <c r="BV45" t="s">
        <v>1203</v>
      </c>
      <c r="BW45">
        <v>3</v>
      </c>
      <c r="BX45">
        <v>6.9999999999999999E-4</v>
      </c>
      <c r="BY45">
        <v>6.2731893329727049</v>
      </c>
      <c r="BZ45">
        <v>735.32566769910977</v>
      </c>
      <c r="CA45">
        <v>0.42399999999999999</v>
      </c>
      <c r="CB45">
        <v>4.3E-3</v>
      </c>
      <c r="CC45">
        <v>8.6003000000000043</v>
      </c>
      <c r="CD45" s="2">
        <v>45681</v>
      </c>
      <c r="CE45" t="s">
        <v>1323</v>
      </c>
      <c r="CF45">
        <v>4</v>
      </c>
      <c r="CG45">
        <v>8.9999999999999998E-4</v>
      </c>
      <c r="CH45">
        <v>6.274197982010314</v>
      </c>
      <c r="CI45">
        <v>735.42138849277887</v>
      </c>
      <c r="CJ45">
        <v>0.42399999999999999</v>
      </c>
      <c r="CK45">
        <v>4.3E-3</v>
      </c>
      <c r="CL45">
        <v>8.6007999999999925</v>
      </c>
      <c r="CM45" s="2">
        <v>45681</v>
      </c>
      <c r="CN45" t="s">
        <v>1443</v>
      </c>
      <c r="CO45">
        <v>4</v>
      </c>
      <c r="CP45">
        <v>1.5E-3</v>
      </c>
      <c r="CQ45">
        <v>6.275124482673978</v>
      </c>
      <c r="CR45">
        <v>735.50931340576051</v>
      </c>
      <c r="CS45">
        <v>0.42399999999999999</v>
      </c>
      <c r="CT45">
        <v>4.3E-3</v>
      </c>
      <c r="CU45">
        <v>8.5915999999999997</v>
      </c>
      <c r="CV45" s="2">
        <v>45681</v>
      </c>
      <c r="CW45" t="s">
        <v>1563</v>
      </c>
      <c r="CX45">
        <v>5</v>
      </c>
      <c r="CY45">
        <v>8.0000000000000004E-4</v>
      </c>
      <c r="CZ45">
        <v>6.2738478174706458</v>
      </c>
      <c r="DA45">
        <v>735.38815787796432</v>
      </c>
      <c r="DB45">
        <v>0.42399999999999999</v>
      </c>
      <c r="DC45">
        <v>4.3E-3</v>
      </c>
      <c r="DD45">
        <v>8.5975999999999999</v>
      </c>
      <c r="DE45" s="2">
        <v>45681</v>
      </c>
      <c r="DF45" t="s">
        <v>1683</v>
      </c>
      <c r="DG45">
        <v>5</v>
      </c>
      <c r="DH45">
        <v>8.0000000000000004E-4</v>
      </c>
      <c r="DI45">
        <v>6.2765456171055236</v>
      </c>
      <c r="DJ45">
        <v>735.64417906331425</v>
      </c>
      <c r="DK45">
        <v>0.42399999999999999</v>
      </c>
      <c r="DL45">
        <v>4.4000000000000003E-3</v>
      </c>
      <c r="DM45">
        <v>8.5980999999999881</v>
      </c>
      <c r="DN45" s="2">
        <v>45681</v>
      </c>
      <c r="DO45" t="s">
        <v>1803</v>
      </c>
      <c r="DP45">
        <v>5</v>
      </c>
      <c r="DQ45">
        <v>1.1000000000000001E-3</v>
      </c>
      <c r="DR45">
        <v>6.2766042887230427</v>
      </c>
      <c r="DS45">
        <v>735.64974699981678</v>
      </c>
      <c r="DT45">
        <v>0.42399999999999999</v>
      </c>
      <c r="DU45">
        <v>4.4000000000000003E-3</v>
      </c>
      <c r="DV45">
        <v>8.5979000000000383</v>
      </c>
      <c r="DW45" s="2">
        <v>45681</v>
      </c>
      <c r="DX45" t="s">
        <v>1921</v>
      </c>
      <c r="DY45">
        <v>6</v>
      </c>
      <c r="DZ45">
        <v>1.5E-3</v>
      </c>
      <c r="EA45">
        <v>6.2797822873671034</v>
      </c>
      <c r="EB45">
        <v>735.95133907113802</v>
      </c>
      <c r="EC45">
        <v>0.42399999999999999</v>
      </c>
      <c r="ED45">
        <v>4.4000000000000003E-3</v>
      </c>
      <c r="EE45">
        <v>8.6021000000000072</v>
      </c>
    </row>
    <row r="46" spans="1:135" x14ac:dyDescent="0.3">
      <c r="A46" s="2">
        <v>45681</v>
      </c>
      <c r="B46" t="s">
        <v>241</v>
      </c>
      <c r="C46">
        <v>0</v>
      </c>
      <c r="D46">
        <v>1.8E-3</v>
      </c>
      <c r="E46">
        <v>6.0282029894812359</v>
      </c>
      <c r="F46">
        <v>609.82851861965116</v>
      </c>
      <c r="G46">
        <v>0.42399999999999999</v>
      </c>
      <c r="H46">
        <v>5.0000000000000001E-4</v>
      </c>
      <c r="I46">
        <v>8.798980000000002</v>
      </c>
      <c r="J46" s="2">
        <v>45681</v>
      </c>
      <c r="K46" t="s">
        <v>366</v>
      </c>
      <c r="L46">
        <v>1</v>
      </c>
      <c r="M46">
        <v>2.3999999999999998E-3</v>
      </c>
      <c r="N46">
        <v>6.4660090018579552</v>
      </c>
      <c r="O46">
        <v>753.62425427632002</v>
      </c>
      <c r="P46">
        <v>0.42399999999999999</v>
      </c>
      <c r="Q46">
        <v>7.3000000000000001E-3</v>
      </c>
      <c r="R46">
        <v>8.8023600000000002</v>
      </c>
      <c r="S46" s="2">
        <v>45681</v>
      </c>
      <c r="T46" t="s">
        <v>486</v>
      </c>
      <c r="U46">
        <v>1</v>
      </c>
      <c r="V46">
        <v>2.5999999999999999E-3</v>
      </c>
      <c r="W46">
        <v>6.4629614837012346</v>
      </c>
      <c r="X46">
        <v>753.33504480324723</v>
      </c>
      <c r="Y46">
        <v>0.42399999999999999</v>
      </c>
      <c r="Z46">
        <v>7.3000000000000001E-3</v>
      </c>
      <c r="AA46">
        <v>8.7986599999999981</v>
      </c>
      <c r="AB46" s="2">
        <v>45681</v>
      </c>
      <c r="AC46" t="s">
        <v>606</v>
      </c>
      <c r="AD46">
        <v>1</v>
      </c>
      <c r="AE46">
        <v>3.0000000000000001E-3</v>
      </c>
      <c r="AF46">
        <v>6.4642468259786154</v>
      </c>
      <c r="AG46">
        <v>753.45702378537067</v>
      </c>
      <c r="AH46">
        <v>0.42399999999999999</v>
      </c>
      <c r="AI46">
        <v>7.3000000000000001E-3</v>
      </c>
      <c r="AJ46">
        <v>8.8007400000000047</v>
      </c>
      <c r="AK46" s="2">
        <v>45681</v>
      </c>
      <c r="AL46" t="s">
        <v>724</v>
      </c>
      <c r="AM46">
        <v>2</v>
      </c>
      <c r="AN46">
        <v>1.5E-3</v>
      </c>
      <c r="AO46">
        <v>6.4643254873041096</v>
      </c>
      <c r="AP46">
        <v>753.46448874516</v>
      </c>
      <c r="AQ46">
        <v>0.42399999999999999</v>
      </c>
      <c r="AR46">
        <v>7.3000000000000001E-3</v>
      </c>
      <c r="AS46">
        <v>8.79849999999999</v>
      </c>
      <c r="AT46" s="2">
        <v>45681</v>
      </c>
      <c r="AU46" t="s">
        <v>844</v>
      </c>
      <c r="AV46">
        <v>2</v>
      </c>
      <c r="AW46">
        <v>2.5999999999999999E-3</v>
      </c>
      <c r="AX46">
        <v>6.4619713241298236</v>
      </c>
      <c r="AY46">
        <v>753.24107865992039</v>
      </c>
      <c r="AZ46">
        <v>0.42399999999999999</v>
      </c>
      <c r="BA46">
        <v>7.1999999999999998E-3</v>
      </c>
      <c r="BB46">
        <v>8.7980000000000018</v>
      </c>
      <c r="BC46" s="2">
        <v>45681</v>
      </c>
      <c r="BD46" t="s">
        <v>964</v>
      </c>
      <c r="BE46">
        <v>3</v>
      </c>
      <c r="BF46">
        <v>2.3999999999999998E-3</v>
      </c>
      <c r="BG46">
        <v>6.4615889652126102</v>
      </c>
      <c r="BH46">
        <v>753.20479279867675</v>
      </c>
      <c r="BI46">
        <v>0.42399999999999999</v>
      </c>
      <c r="BJ46">
        <v>7.1999999999999998E-3</v>
      </c>
      <c r="BK46">
        <v>8.7992000000000132</v>
      </c>
      <c r="BL46" s="2">
        <v>45681</v>
      </c>
      <c r="BM46" t="s">
        <v>1084</v>
      </c>
      <c r="BN46">
        <v>3</v>
      </c>
      <c r="BO46">
        <v>2.5999999999999999E-3</v>
      </c>
      <c r="BP46">
        <v>6.4623832824117873</v>
      </c>
      <c r="BQ46">
        <v>753.28017350087862</v>
      </c>
      <c r="BR46">
        <v>0.42399999999999999</v>
      </c>
      <c r="BS46">
        <v>7.3000000000000001E-3</v>
      </c>
      <c r="BT46">
        <v>8.7980000000000018</v>
      </c>
      <c r="BU46" s="2">
        <v>45681</v>
      </c>
      <c r="BV46" t="s">
        <v>1204</v>
      </c>
      <c r="BW46">
        <v>3</v>
      </c>
      <c r="BX46">
        <v>2.5999999999999999E-3</v>
      </c>
      <c r="BY46">
        <v>6.4634131781166921</v>
      </c>
      <c r="BZ46">
        <v>753.37791060327413</v>
      </c>
      <c r="CA46">
        <v>0.42399999999999999</v>
      </c>
      <c r="CB46">
        <v>7.3000000000000001E-3</v>
      </c>
      <c r="CC46">
        <v>8.8023000000000025</v>
      </c>
      <c r="CD46" s="2">
        <v>45681</v>
      </c>
      <c r="CE46" t="s">
        <v>1324</v>
      </c>
      <c r="CF46">
        <v>4</v>
      </c>
      <c r="CG46">
        <v>2.7000000000000001E-3</v>
      </c>
      <c r="CH46">
        <v>6.4618148124203394</v>
      </c>
      <c r="CI46">
        <v>753.2262256986902</v>
      </c>
      <c r="CJ46">
        <v>0.42399999999999999</v>
      </c>
      <c r="CK46">
        <v>7.1999999999999998E-3</v>
      </c>
      <c r="CL46">
        <v>8.8000000000000114</v>
      </c>
      <c r="CM46" s="2">
        <v>45681</v>
      </c>
      <c r="CN46" t="s">
        <v>1444</v>
      </c>
      <c r="CO46">
        <v>4</v>
      </c>
      <c r="CP46">
        <v>2.8999999999999998E-3</v>
      </c>
      <c r="CQ46">
        <v>6.4630012198347302</v>
      </c>
      <c r="CR46">
        <v>753.3388157623159</v>
      </c>
      <c r="CS46">
        <v>0.42399999999999999</v>
      </c>
      <c r="CT46">
        <v>7.3000000000000001E-3</v>
      </c>
      <c r="CU46">
        <v>8.7908999999999935</v>
      </c>
      <c r="CV46" s="2">
        <v>45681</v>
      </c>
      <c r="CW46" t="s">
        <v>1564</v>
      </c>
      <c r="CX46">
        <v>5</v>
      </c>
      <c r="CY46">
        <v>2.0999999999999999E-3</v>
      </c>
      <c r="CZ46">
        <v>6.4637367437751623</v>
      </c>
      <c r="DA46">
        <v>753.40861698426295</v>
      </c>
      <c r="DB46">
        <v>0.42399999999999999</v>
      </c>
      <c r="DC46">
        <v>7.3000000000000001E-3</v>
      </c>
      <c r="DD46">
        <v>8.7991000000000099</v>
      </c>
      <c r="DE46" s="2">
        <v>45681</v>
      </c>
      <c r="DF46" t="s">
        <v>1684</v>
      </c>
      <c r="DG46">
        <v>5</v>
      </c>
      <c r="DH46">
        <v>1.8E-3</v>
      </c>
      <c r="DI46">
        <v>6.4636682192184196</v>
      </c>
      <c r="DJ46">
        <v>753.40211400382816</v>
      </c>
      <c r="DK46">
        <v>0.42399999999999999</v>
      </c>
      <c r="DL46">
        <v>7.3000000000000001E-3</v>
      </c>
      <c r="DM46">
        <v>8.7964999999999804</v>
      </c>
      <c r="DN46" s="2">
        <v>45681</v>
      </c>
      <c r="DO46" t="s">
        <v>1804</v>
      </c>
      <c r="DP46">
        <v>5</v>
      </c>
      <c r="DQ46">
        <v>2.0999999999999999E-3</v>
      </c>
      <c r="DR46">
        <v>6.4658184306054727</v>
      </c>
      <c r="DS46">
        <v>753.60616906445944</v>
      </c>
      <c r="DT46">
        <v>0.42399999999999999</v>
      </c>
      <c r="DU46">
        <v>7.3000000000000001E-3</v>
      </c>
      <c r="DV46">
        <v>8.7982999999999834</v>
      </c>
      <c r="DW46" s="2">
        <v>45681</v>
      </c>
      <c r="DX46" t="s">
        <v>1922</v>
      </c>
      <c r="DY46">
        <v>6</v>
      </c>
      <c r="DZ46">
        <v>2E-3</v>
      </c>
      <c r="EA46">
        <v>6.469190325362165</v>
      </c>
      <c r="EB46">
        <v>753.92616187686951</v>
      </c>
      <c r="EC46">
        <v>0.42399999999999999</v>
      </c>
      <c r="ED46">
        <v>7.4000000000000003E-3</v>
      </c>
      <c r="EE46">
        <v>8.8020999999999958</v>
      </c>
    </row>
    <row r="47" spans="1:135" x14ac:dyDescent="0.3">
      <c r="A47" s="2">
        <v>45681</v>
      </c>
      <c r="B47" t="s">
        <v>242</v>
      </c>
      <c r="C47">
        <v>0</v>
      </c>
      <c r="D47">
        <v>6.9999999999999999E-4</v>
      </c>
      <c r="E47">
        <v>5.9957363034044144</v>
      </c>
      <c r="F47">
        <v>606.80262347729138</v>
      </c>
      <c r="G47">
        <v>0.42399999999999999</v>
      </c>
      <c r="H47">
        <v>0</v>
      </c>
      <c r="I47">
        <v>8.9989600000000021</v>
      </c>
      <c r="J47" s="2">
        <v>45681</v>
      </c>
      <c r="K47" t="s">
        <v>367</v>
      </c>
      <c r="L47">
        <v>1</v>
      </c>
      <c r="M47">
        <v>6.0000000000000001E-3</v>
      </c>
      <c r="N47">
        <v>6.6745705860456148</v>
      </c>
      <c r="O47">
        <v>773.41674861572892</v>
      </c>
      <c r="P47">
        <v>0.42399999999999999</v>
      </c>
      <c r="Q47">
        <v>1.0500000000000001E-2</v>
      </c>
      <c r="R47">
        <v>9.0019599999999969</v>
      </c>
      <c r="S47" s="2">
        <v>45681</v>
      </c>
      <c r="T47" t="s">
        <v>487</v>
      </c>
      <c r="U47">
        <v>1</v>
      </c>
      <c r="V47">
        <v>6.0000000000000001E-3</v>
      </c>
      <c r="W47">
        <v>6.6738176268629328</v>
      </c>
      <c r="X47">
        <v>773.34529278929233</v>
      </c>
      <c r="Y47">
        <v>0.42399999999999999</v>
      </c>
      <c r="Z47">
        <v>1.0500000000000001E-2</v>
      </c>
      <c r="AA47">
        <v>9.0005600000000072</v>
      </c>
      <c r="AB47" s="2">
        <v>45681</v>
      </c>
      <c r="AC47" t="s">
        <v>607</v>
      </c>
      <c r="AD47">
        <v>1</v>
      </c>
      <c r="AE47">
        <v>6.0000000000000001E-3</v>
      </c>
      <c r="AF47">
        <v>6.6715595602563909</v>
      </c>
      <c r="AG47">
        <v>773.13100226833149</v>
      </c>
      <c r="AH47">
        <v>0.42399999999999999</v>
      </c>
      <c r="AI47">
        <v>1.0500000000000001E-2</v>
      </c>
      <c r="AJ47">
        <v>8.9992400000000004</v>
      </c>
      <c r="AK47" s="2">
        <v>45681</v>
      </c>
      <c r="AL47" t="s">
        <v>725</v>
      </c>
      <c r="AM47">
        <v>2</v>
      </c>
      <c r="AN47">
        <v>5.4999999999999997E-3</v>
      </c>
      <c r="AO47">
        <v>6.672817735993525</v>
      </c>
      <c r="AP47">
        <v>773.25040314578553</v>
      </c>
      <c r="AQ47">
        <v>0.42399999999999999</v>
      </c>
      <c r="AR47">
        <v>1.0500000000000001E-2</v>
      </c>
      <c r="AS47">
        <v>8.9980999999999938</v>
      </c>
      <c r="AT47" s="2">
        <v>45681</v>
      </c>
      <c r="AU47" t="s">
        <v>845</v>
      </c>
      <c r="AV47">
        <v>2</v>
      </c>
      <c r="AW47">
        <v>5.5999999999999999E-3</v>
      </c>
      <c r="AX47">
        <v>6.6711163807266809</v>
      </c>
      <c r="AY47">
        <v>773.08894453096207</v>
      </c>
      <c r="AZ47">
        <v>0.42399999999999999</v>
      </c>
      <c r="BA47">
        <v>1.0500000000000001E-2</v>
      </c>
      <c r="BB47">
        <v>8.9983000000000004</v>
      </c>
      <c r="BC47" s="2">
        <v>45681</v>
      </c>
      <c r="BD47" t="s">
        <v>965</v>
      </c>
      <c r="BE47">
        <v>3</v>
      </c>
      <c r="BF47">
        <v>5.4999999999999997E-3</v>
      </c>
      <c r="BG47">
        <v>6.6722095298685797</v>
      </c>
      <c r="BH47">
        <v>773.19268438452821</v>
      </c>
      <c r="BI47">
        <v>0.42399999999999999</v>
      </c>
      <c r="BJ47">
        <v>1.0500000000000001E-2</v>
      </c>
      <c r="BK47">
        <v>9.0010000000000048</v>
      </c>
      <c r="BL47" s="2">
        <v>45681</v>
      </c>
      <c r="BM47" t="s">
        <v>1085</v>
      </c>
      <c r="BN47">
        <v>3</v>
      </c>
      <c r="BO47">
        <v>5.7999999999999996E-3</v>
      </c>
      <c r="BP47">
        <v>6.6719102924551068</v>
      </c>
      <c r="BQ47">
        <v>773.1642867539897</v>
      </c>
      <c r="BR47">
        <v>0.42399999999999999</v>
      </c>
      <c r="BS47">
        <v>1.0500000000000001E-2</v>
      </c>
      <c r="BT47">
        <v>8.9987000000000137</v>
      </c>
      <c r="BU47" s="2">
        <v>45681</v>
      </c>
      <c r="BV47" t="s">
        <v>1205</v>
      </c>
      <c r="BW47">
        <v>3</v>
      </c>
      <c r="BX47">
        <v>5.5999999999999999E-3</v>
      </c>
      <c r="BY47">
        <v>6.6750141710460724</v>
      </c>
      <c r="BZ47">
        <v>773.45884483227235</v>
      </c>
      <c r="CA47">
        <v>0.42399999999999999</v>
      </c>
      <c r="CB47">
        <v>1.06E-2</v>
      </c>
      <c r="CC47">
        <v>9.0048999999999921</v>
      </c>
      <c r="CD47" s="2">
        <v>45681</v>
      </c>
      <c r="CE47" t="s">
        <v>1325</v>
      </c>
      <c r="CF47">
        <v>4</v>
      </c>
      <c r="CG47">
        <v>5.3E-3</v>
      </c>
      <c r="CH47">
        <v>6.6712092335284234</v>
      </c>
      <c r="CI47">
        <v>773.09775626184739</v>
      </c>
      <c r="CJ47">
        <v>0.42399999999999999</v>
      </c>
      <c r="CK47">
        <v>1.0500000000000001E-2</v>
      </c>
      <c r="CL47">
        <v>9.0005999999999915</v>
      </c>
      <c r="CM47" s="2">
        <v>45681</v>
      </c>
      <c r="CN47" t="s">
        <v>1445</v>
      </c>
      <c r="CO47">
        <v>4</v>
      </c>
      <c r="CP47">
        <v>5.4000000000000003E-3</v>
      </c>
      <c r="CQ47">
        <v>6.6701679846425161</v>
      </c>
      <c r="CR47">
        <v>772.99894174257486</v>
      </c>
      <c r="CS47">
        <v>0.42399999999999999</v>
      </c>
      <c r="CT47">
        <v>1.0500000000000001E-2</v>
      </c>
      <c r="CU47">
        <v>8.9892999999999859</v>
      </c>
      <c r="CV47" s="2">
        <v>45681</v>
      </c>
      <c r="CW47" t="s">
        <v>1565</v>
      </c>
      <c r="CX47">
        <v>5</v>
      </c>
      <c r="CY47">
        <v>5.1000000000000004E-3</v>
      </c>
      <c r="CZ47">
        <v>6.6715599657271394</v>
      </c>
      <c r="DA47">
        <v>773.13104074750561</v>
      </c>
      <c r="DB47">
        <v>0.42399999999999999</v>
      </c>
      <c r="DC47">
        <v>1.0500000000000001E-2</v>
      </c>
      <c r="DD47">
        <v>8.9981000000000222</v>
      </c>
      <c r="DE47" s="2">
        <v>45681</v>
      </c>
      <c r="DF47" t="s">
        <v>1685</v>
      </c>
      <c r="DG47">
        <v>5</v>
      </c>
      <c r="DH47">
        <v>4.4999999999999997E-3</v>
      </c>
      <c r="DI47">
        <v>6.6737977587961854</v>
      </c>
      <c r="DJ47">
        <v>773.34340730975805</v>
      </c>
      <c r="DK47">
        <v>0.42399999999999999</v>
      </c>
      <c r="DL47">
        <v>1.0500000000000001E-2</v>
      </c>
      <c r="DM47">
        <v>8.9975999999999772</v>
      </c>
      <c r="DN47" s="2">
        <v>45681</v>
      </c>
      <c r="DO47" t="s">
        <v>1805</v>
      </c>
      <c r="DP47">
        <v>5</v>
      </c>
      <c r="DQ47">
        <v>4.4000000000000003E-3</v>
      </c>
      <c r="DR47">
        <v>6.6741793067718991</v>
      </c>
      <c r="DS47">
        <v>773.37961621265322</v>
      </c>
      <c r="DT47">
        <v>0.42399999999999999</v>
      </c>
      <c r="DU47">
        <v>1.0500000000000001E-2</v>
      </c>
      <c r="DV47">
        <v>8.9977000000000089</v>
      </c>
      <c r="DW47" s="2">
        <v>45681</v>
      </c>
      <c r="DX47" t="s">
        <v>1923</v>
      </c>
      <c r="DY47">
        <v>6</v>
      </c>
      <c r="DZ47">
        <v>3.8999999999999998E-3</v>
      </c>
      <c r="EA47">
        <v>6.6775098435120963</v>
      </c>
      <c r="EB47">
        <v>773.69568414929802</v>
      </c>
      <c r="EC47">
        <v>0.42399999999999999</v>
      </c>
      <c r="ED47">
        <v>1.06E-2</v>
      </c>
      <c r="EE47">
        <v>9.0013000000000147</v>
      </c>
    </row>
    <row r="48" spans="1:135" x14ac:dyDescent="0.3">
      <c r="A48" s="2">
        <v>45681</v>
      </c>
      <c r="B48" t="s">
        <v>243</v>
      </c>
      <c r="C48">
        <v>0</v>
      </c>
      <c r="D48">
        <v>0</v>
      </c>
      <c r="E48">
        <v>6.0289354399533837</v>
      </c>
      <c r="F48">
        <v>712.14597325157615</v>
      </c>
      <c r="G48">
        <v>0.42399999999999999</v>
      </c>
      <c r="H48">
        <v>5.0000000000000001E-4</v>
      </c>
      <c r="I48">
        <v>9.197519999999999</v>
      </c>
      <c r="J48" s="2">
        <v>45681</v>
      </c>
      <c r="K48" t="s">
        <v>368</v>
      </c>
      <c r="L48">
        <v>1</v>
      </c>
      <c r="M48">
        <v>9.1999999999999998E-3</v>
      </c>
      <c r="N48">
        <v>6.8820601055703712</v>
      </c>
      <c r="O48">
        <v>793.10750401862822</v>
      </c>
      <c r="P48">
        <v>0.42399999999999999</v>
      </c>
      <c r="Q48">
        <v>1.38E-2</v>
      </c>
      <c r="R48">
        <v>9.2007800000000017</v>
      </c>
      <c r="S48" s="2">
        <v>45681</v>
      </c>
      <c r="T48" t="s">
        <v>488</v>
      </c>
      <c r="U48">
        <v>1</v>
      </c>
      <c r="V48">
        <v>8.9999999999999993E-3</v>
      </c>
      <c r="W48">
        <v>6.8827607590263069</v>
      </c>
      <c r="X48">
        <v>793.17399603159652</v>
      </c>
      <c r="Y48">
        <v>0.42399999999999999</v>
      </c>
      <c r="Z48">
        <v>1.38E-2</v>
      </c>
      <c r="AA48">
        <v>9.2007799999999946</v>
      </c>
      <c r="AB48" s="2">
        <v>45681</v>
      </c>
      <c r="AC48" t="s">
        <v>608</v>
      </c>
      <c r="AD48">
        <v>1</v>
      </c>
      <c r="AE48">
        <v>9.1000000000000004E-3</v>
      </c>
      <c r="AF48">
        <v>6.8817126171376524</v>
      </c>
      <c r="AG48">
        <v>793.07452736636321</v>
      </c>
      <c r="AH48">
        <v>0.42399999999999999</v>
      </c>
      <c r="AI48">
        <v>1.38E-2</v>
      </c>
      <c r="AJ48">
        <v>9.2005500000000069</v>
      </c>
      <c r="AK48" s="2">
        <v>45681</v>
      </c>
      <c r="AL48" t="s">
        <v>726</v>
      </c>
      <c r="AM48">
        <v>2</v>
      </c>
      <c r="AN48">
        <v>8.5000000000000006E-3</v>
      </c>
      <c r="AO48">
        <v>6.8812029404049504</v>
      </c>
      <c r="AP48">
        <v>793.02615904442973</v>
      </c>
      <c r="AQ48">
        <v>0.42399999999999999</v>
      </c>
      <c r="AR48">
        <v>1.38E-2</v>
      </c>
      <c r="AS48">
        <v>9.1976999999999975</v>
      </c>
      <c r="AT48" s="2">
        <v>45681</v>
      </c>
      <c r="AU48" t="s">
        <v>846</v>
      </c>
      <c r="AV48">
        <v>2</v>
      </c>
      <c r="AW48">
        <v>8.6E-3</v>
      </c>
      <c r="AX48">
        <v>6.8808108501897349</v>
      </c>
      <c r="AY48">
        <v>792.9889496830059</v>
      </c>
      <c r="AZ48">
        <v>0.42399999999999999</v>
      </c>
      <c r="BA48">
        <v>1.38E-2</v>
      </c>
      <c r="BB48">
        <v>9.1992000000000189</v>
      </c>
      <c r="BC48" s="2">
        <v>45681</v>
      </c>
      <c r="BD48" t="s">
        <v>966</v>
      </c>
      <c r="BE48">
        <v>3</v>
      </c>
      <c r="BF48">
        <v>8.6E-3</v>
      </c>
      <c r="BG48">
        <v>6.8812913330284413</v>
      </c>
      <c r="BH48">
        <v>793.03454750439914</v>
      </c>
      <c r="BI48">
        <v>0.42399999999999999</v>
      </c>
      <c r="BJ48">
        <v>1.38E-2</v>
      </c>
      <c r="BK48">
        <v>9.2012</v>
      </c>
      <c r="BL48" s="2">
        <v>45681</v>
      </c>
      <c r="BM48" t="s">
        <v>1086</v>
      </c>
      <c r="BN48">
        <v>3</v>
      </c>
      <c r="BO48">
        <v>8.6E-3</v>
      </c>
      <c r="BP48">
        <v>6.879418058163612</v>
      </c>
      <c r="BQ48">
        <v>792.85677371972679</v>
      </c>
      <c r="BR48">
        <v>0.42399999999999999</v>
      </c>
      <c r="BS48">
        <v>1.37E-2</v>
      </c>
      <c r="BT48">
        <v>9.1973999999999876</v>
      </c>
      <c r="BU48" s="2">
        <v>45681</v>
      </c>
      <c r="BV48" t="s">
        <v>1206</v>
      </c>
      <c r="BW48">
        <v>3</v>
      </c>
      <c r="BX48">
        <v>8.6E-3</v>
      </c>
      <c r="BY48">
        <v>6.8807423256329932</v>
      </c>
      <c r="BZ48">
        <v>792.98244670257111</v>
      </c>
      <c r="CA48">
        <v>0.42399999999999999</v>
      </c>
      <c r="CB48">
        <v>1.38E-2</v>
      </c>
      <c r="CC48">
        <v>9.2019999999999982</v>
      </c>
      <c r="CD48" s="2">
        <v>45681</v>
      </c>
      <c r="CE48" t="s">
        <v>1326</v>
      </c>
      <c r="CF48">
        <v>4</v>
      </c>
      <c r="CG48">
        <v>8.3999999999999995E-3</v>
      </c>
      <c r="CH48">
        <v>6.8797124299280874</v>
      </c>
      <c r="CI48">
        <v>792.88470960017548</v>
      </c>
      <c r="CJ48">
        <v>0.42399999999999999</v>
      </c>
      <c r="CK48">
        <v>1.37E-2</v>
      </c>
      <c r="CL48">
        <v>9.2002999999999986</v>
      </c>
      <c r="CM48" s="2">
        <v>45681</v>
      </c>
      <c r="CN48" t="s">
        <v>1446</v>
      </c>
      <c r="CO48">
        <v>4</v>
      </c>
      <c r="CP48">
        <v>8.3999999999999995E-3</v>
      </c>
      <c r="CQ48">
        <v>6.8802521114962856</v>
      </c>
      <c r="CR48">
        <v>792.93592538099767</v>
      </c>
      <c r="CS48">
        <v>0.42399999999999999</v>
      </c>
      <c r="CT48">
        <v>1.37E-2</v>
      </c>
      <c r="CU48">
        <v>9.1905000000000143</v>
      </c>
      <c r="CV48" s="2">
        <v>45681</v>
      </c>
      <c r="CW48" t="s">
        <v>1566</v>
      </c>
      <c r="CX48">
        <v>5</v>
      </c>
      <c r="CY48">
        <v>8.3999999999999995E-3</v>
      </c>
      <c r="CZ48">
        <v>6.8823009551958494</v>
      </c>
      <c r="DA48">
        <v>793.13036064808614</v>
      </c>
      <c r="DB48">
        <v>0.42399999999999999</v>
      </c>
      <c r="DC48">
        <v>1.38E-2</v>
      </c>
      <c r="DD48">
        <v>9.2000000000000455</v>
      </c>
      <c r="DE48" s="2">
        <v>45681</v>
      </c>
      <c r="DF48" t="s">
        <v>1686</v>
      </c>
      <c r="DG48">
        <v>5</v>
      </c>
      <c r="DH48">
        <v>8.2000000000000007E-3</v>
      </c>
      <c r="DI48">
        <v>6.8840538052479392</v>
      </c>
      <c r="DJ48">
        <v>793.29670611802942</v>
      </c>
      <c r="DK48">
        <v>0.42399999999999999</v>
      </c>
      <c r="DL48">
        <v>1.38E-2</v>
      </c>
      <c r="DM48">
        <v>9.1992000000000189</v>
      </c>
      <c r="DN48" s="2">
        <v>45681</v>
      </c>
      <c r="DO48" t="s">
        <v>1806</v>
      </c>
      <c r="DP48">
        <v>5</v>
      </c>
      <c r="DQ48">
        <v>7.7999999999999996E-3</v>
      </c>
      <c r="DR48">
        <v>6.8848270379681189</v>
      </c>
      <c r="DS48">
        <v>793.37008590317453</v>
      </c>
      <c r="DT48">
        <v>0.42399999999999999</v>
      </c>
      <c r="DU48">
        <v>1.38E-2</v>
      </c>
      <c r="DV48">
        <v>9.1996000000000322</v>
      </c>
      <c r="DW48" s="2">
        <v>45681</v>
      </c>
      <c r="DX48" t="s">
        <v>1924</v>
      </c>
      <c r="DY48">
        <v>6</v>
      </c>
      <c r="DZ48">
        <v>7.4999999999999997E-3</v>
      </c>
      <c r="EA48">
        <v>6.8869687344694208</v>
      </c>
      <c r="EB48">
        <v>793.57333290114809</v>
      </c>
      <c r="EC48">
        <v>0.42399999999999999</v>
      </c>
      <c r="ED48">
        <v>1.38E-2</v>
      </c>
      <c r="EE48">
        <v>9.2022000000000048</v>
      </c>
    </row>
    <row r="49" spans="1:135" x14ac:dyDescent="0.3">
      <c r="A49" s="2">
        <v>45681</v>
      </c>
      <c r="B49" t="s">
        <v>244</v>
      </c>
      <c r="C49">
        <v>0</v>
      </c>
      <c r="D49">
        <v>1E-4</v>
      </c>
      <c r="E49">
        <v>6.125333653604315</v>
      </c>
      <c r="F49">
        <v>721.29416372704952</v>
      </c>
      <c r="G49">
        <v>0.42399999999999999</v>
      </c>
      <c r="H49">
        <v>2E-3</v>
      </c>
      <c r="I49">
        <v>9.3979900000000018</v>
      </c>
      <c r="J49" s="2">
        <v>45681</v>
      </c>
      <c r="K49" t="s">
        <v>369</v>
      </c>
      <c r="L49">
        <v>1</v>
      </c>
      <c r="M49">
        <v>1.2200000000000001E-2</v>
      </c>
      <c r="N49">
        <v>7.0693515051564777</v>
      </c>
      <c r="O49">
        <v>810.88145783934976</v>
      </c>
      <c r="P49">
        <v>0.42399999999999999</v>
      </c>
      <c r="Q49">
        <v>1.67E-2</v>
      </c>
      <c r="R49">
        <v>9.399799999999999</v>
      </c>
      <c r="S49" s="2">
        <v>45681</v>
      </c>
      <c r="T49" t="s">
        <v>489</v>
      </c>
      <c r="U49">
        <v>1</v>
      </c>
      <c r="V49">
        <v>1.23E-2</v>
      </c>
      <c r="W49">
        <v>7.0702763839371423</v>
      </c>
      <c r="X49">
        <v>810.96922883563479</v>
      </c>
      <c r="Y49">
        <v>0.42399999999999999</v>
      </c>
      <c r="Z49">
        <v>1.67E-2</v>
      </c>
      <c r="AA49">
        <v>9.400180000000006</v>
      </c>
      <c r="AB49" s="2">
        <v>45681</v>
      </c>
      <c r="AC49" t="s">
        <v>609</v>
      </c>
      <c r="AD49">
        <v>1</v>
      </c>
      <c r="AE49">
        <v>1.2200000000000001E-2</v>
      </c>
      <c r="AF49">
        <v>7.0710958403228146</v>
      </c>
      <c r="AG49">
        <v>811.04699524663522</v>
      </c>
      <c r="AH49">
        <v>0.42399999999999999</v>
      </c>
      <c r="AI49">
        <v>1.67E-2</v>
      </c>
      <c r="AJ49">
        <v>9.4019499999999994</v>
      </c>
      <c r="AK49" s="2">
        <v>45681</v>
      </c>
      <c r="AL49" t="s">
        <v>727</v>
      </c>
      <c r="AM49">
        <v>2</v>
      </c>
      <c r="AN49">
        <v>1.1900000000000001E-2</v>
      </c>
      <c r="AO49">
        <v>7.0695643773002077</v>
      </c>
      <c r="AP49">
        <v>810.9016594057897</v>
      </c>
      <c r="AQ49">
        <v>0.42399999999999999</v>
      </c>
      <c r="AR49">
        <v>1.67E-2</v>
      </c>
      <c r="AS49">
        <v>9.3978999999999928</v>
      </c>
      <c r="AT49" s="2">
        <v>45681</v>
      </c>
      <c r="AU49" t="s">
        <v>847</v>
      </c>
      <c r="AV49">
        <v>2</v>
      </c>
      <c r="AW49">
        <v>1.18E-2</v>
      </c>
      <c r="AX49">
        <v>7.0680880582995922</v>
      </c>
      <c r="AY49">
        <v>810.76155673263133</v>
      </c>
      <c r="AZ49">
        <v>0.42399999999999999</v>
      </c>
      <c r="BA49">
        <v>1.67E-2</v>
      </c>
      <c r="BB49">
        <v>9.3979000000000212</v>
      </c>
      <c r="BC49" s="2">
        <v>45681</v>
      </c>
      <c r="BD49" t="s">
        <v>967</v>
      </c>
      <c r="BE49">
        <v>3</v>
      </c>
      <c r="BF49">
        <v>1.1599999999999999E-2</v>
      </c>
      <c r="BG49">
        <v>7.0688807536157707</v>
      </c>
      <c r="BH49">
        <v>810.83678351813671</v>
      </c>
      <c r="BI49">
        <v>0.42399999999999999</v>
      </c>
      <c r="BJ49">
        <v>1.67E-2</v>
      </c>
      <c r="BK49">
        <v>9.4005000000000223</v>
      </c>
      <c r="BL49" s="2">
        <v>45681</v>
      </c>
      <c r="BM49" t="s">
        <v>1087</v>
      </c>
      <c r="BN49">
        <v>3</v>
      </c>
      <c r="BO49">
        <v>1.15E-2</v>
      </c>
      <c r="BP49">
        <v>7.0685223174728016</v>
      </c>
      <c r="BQ49">
        <v>810.80276792816892</v>
      </c>
      <c r="BR49">
        <v>0.42399999999999999</v>
      </c>
      <c r="BS49">
        <v>1.67E-2</v>
      </c>
      <c r="BT49">
        <v>9.3979999999999961</v>
      </c>
      <c r="BU49" s="2">
        <v>45681</v>
      </c>
      <c r="BV49" t="s">
        <v>1207</v>
      </c>
      <c r="BW49">
        <v>3</v>
      </c>
      <c r="BX49">
        <v>1.14E-2</v>
      </c>
      <c r="BY49">
        <v>7.0672442736689209</v>
      </c>
      <c r="BZ49">
        <v>810.6814815711806</v>
      </c>
      <c r="CA49">
        <v>0.42399999999999999</v>
      </c>
      <c r="CB49">
        <v>1.66E-2</v>
      </c>
      <c r="CC49">
        <v>9.3999000000000024</v>
      </c>
      <c r="CD49" s="2">
        <v>45681</v>
      </c>
      <c r="CE49" t="s">
        <v>1327</v>
      </c>
      <c r="CF49">
        <v>4</v>
      </c>
      <c r="CG49">
        <v>1.15E-2</v>
      </c>
      <c r="CH49">
        <v>7.0686054389765447</v>
      </c>
      <c r="CI49">
        <v>810.81065615887417</v>
      </c>
      <c r="CJ49">
        <v>0.42399999999999999</v>
      </c>
      <c r="CK49">
        <v>1.67E-2</v>
      </c>
      <c r="CL49">
        <v>9.4007000000000005</v>
      </c>
      <c r="CM49" s="2">
        <v>45681</v>
      </c>
      <c r="CN49" t="s">
        <v>1447</v>
      </c>
      <c r="CO49">
        <v>4</v>
      </c>
      <c r="CP49">
        <v>1.1299999999999999E-2</v>
      </c>
      <c r="CQ49">
        <v>7.0686642322352897</v>
      </c>
      <c r="CR49">
        <v>810.81623563912899</v>
      </c>
      <c r="CS49">
        <v>0.42399999999999999</v>
      </c>
      <c r="CT49">
        <v>1.67E-2</v>
      </c>
      <c r="CU49">
        <v>9.390500000000003</v>
      </c>
      <c r="CV49" s="2">
        <v>45681</v>
      </c>
      <c r="CW49" t="s">
        <v>1567</v>
      </c>
      <c r="CX49">
        <v>5</v>
      </c>
      <c r="CY49">
        <v>1.0999999999999999E-2</v>
      </c>
      <c r="CZ49">
        <v>7.0687891172262791</v>
      </c>
      <c r="DA49">
        <v>810.82808722477398</v>
      </c>
      <c r="DB49">
        <v>0.42399999999999999</v>
      </c>
      <c r="DC49">
        <v>1.67E-2</v>
      </c>
      <c r="DD49">
        <v>9.3982000000000312</v>
      </c>
      <c r="DE49" s="2">
        <v>45681</v>
      </c>
      <c r="DF49" t="s">
        <v>1687</v>
      </c>
      <c r="DG49">
        <v>5</v>
      </c>
      <c r="DH49">
        <v>1.0699999999999999E-2</v>
      </c>
      <c r="DI49">
        <v>7.0713293914747952</v>
      </c>
      <c r="DJ49">
        <v>811.06915925095814</v>
      </c>
      <c r="DK49">
        <v>0.42399999999999999</v>
      </c>
      <c r="DL49">
        <v>1.67E-2</v>
      </c>
      <c r="DM49">
        <v>9.3985000000000127</v>
      </c>
      <c r="DN49" s="2">
        <v>45681</v>
      </c>
      <c r="DO49" t="s">
        <v>1807</v>
      </c>
      <c r="DP49">
        <v>5</v>
      </c>
      <c r="DQ49">
        <v>1.06E-2</v>
      </c>
      <c r="DR49">
        <v>7.0723345534639526</v>
      </c>
      <c r="DS49">
        <v>811.16454912372922</v>
      </c>
      <c r="DT49">
        <v>0.42399999999999999</v>
      </c>
      <c r="DU49">
        <v>1.67E-2</v>
      </c>
      <c r="DV49">
        <v>9.3994000000000142</v>
      </c>
      <c r="DW49" s="2">
        <v>45681</v>
      </c>
      <c r="DX49" t="s">
        <v>1925</v>
      </c>
      <c r="DY49">
        <v>6</v>
      </c>
      <c r="DZ49">
        <v>1.0500000000000001E-2</v>
      </c>
      <c r="EA49">
        <v>7.0723596926504522</v>
      </c>
      <c r="EB49">
        <v>811.166934832528</v>
      </c>
      <c r="EC49">
        <v>0.42399999999999999</v>
      </c>
      <c r="ED49">
        <v>1.67E-2</v>
      </c>
      <c r="EE49">
        <v>9.3999000000000024</v>
      </c>
    </row>
    <row r="50" spans="1:135" x14ac:dyDescent="0.3">
      <c r="A50" s="2">
        <v>45681</v>
      </c>
      <c r="B50" t="s">
        <v>245</v>
      </c>
      <c r="C50">
        <v>0</v>
      </c>
      <c r="D50">
        <v>5.9999999999999995E-4</v>
      </c>
      <c r="E50">
        <v>6.2749882445019907</v>
      </c>
      <c r="F50">
        <v>735.49638440323895</v>
      </c>
      <c r="G50">
        <v>0.42399999999999999</v>
      </c>
      <c r="H50">
        <v>4.3E-3</v>
      </c>
      <c r="I50">
        <v>9.5979299999999999</v>
      </c>
      <c r="J50" s="2">
        <v>45681</v>
      </c>
      <c r="K50" t="s">
        <v>370</v>
      </c>
      <c r="L50">
        <v>1</v>
      </c>
      <c r="M50">
        <v>1.4999999999999999E-2</v>
      </c>
      <c r="N50">
        <v>7.2190038659650284</v>
      </c>
      <c r="O50">
        <v>825.08346688008123</v>
      </c>
      <c r="P50">
        <v>0.42399999999999999</v>
      </c>
      <c r="Q50">
        <v>1.9E-2</v>
      </c>
      <c r="R50">
        <v>9.6003100000000003</v>
      </c>
      <c r="S50" s="2">
        <v>45681</v>
      </c>
      <c r="T50" t="s">
        <v>490</v>
      </c>
      <c r="U50">
        <v>1</v>
      </c>
      <c r="V50">
        <v>1.4800000000000001E-2</v>
      </c>
      <c r="W50">
        <v>7.2183956598400831</v>
      </c>
      <c r="X50">
        <v>825.02574811882391</v>
      </c>
      <c r="Y50">
        <v>0.42399999999999999</v>
      </c>
      <c r="Z50">
        <v>1.9E-2</v>
      </c>
      <c r="AA50">
        <v>9.5986400000000032</v>
      </c>
      <c r="AB50" s="2">
        <v>45681</v>
      </c>
      <c r="AC50" t="s">
        <v>610</v>
      </c>
      <c r="AD50">
        <v>1</v>
      </c>
      <c r="AE50">
        <v>1.4500000000000001E-2</v>
      </c>
      <c r="AF50">
        <v>7.2183409212888403</v>
      </c>
      <c r="AG50">
        <v>825.020553430311</v>
      </c>
      <c r="AH50">
        <v>0.42399999999999999</v>
      </c>
      <c r="AI50">
        <v>1.9E-2</v>
      </c>
      <c r="AJ50">
        <v>9.5993600000000043</v>
      </c>
      <c r="AK50" s="2">
        <v>45681</v>
      </c>
      <c r="AL50" t="s">
        <v>728</v>
      </c>
      <c r="AM50">
        <v>2</v>
      </c>
      <c r="AN50">
        <v>1.4500000000000001E-2</v>
      </c>
      <c r="AO50">
        <v>7.219248364827255</v>
      </c>
      <c r="AP50">
        <v>825.10666982210648</v>
      </c>
      <c r="AQ50">
        <v>0.42399999999999999</v>
      </c>
      <c r="AR50">
        <v>1.9E-2</v>
      </c>
      <c r="AS50">
        <v>9.5985000000000014</v>
      </c>
      <c r="AT50" s="2">
        <v>45681</v>
      </c>
      <c r="AU50" t="s">
        <v>848</v>
      </c>
      <c r="AV50">
        <v>2</v>
      </c>
      <c r="AW50">
        <v>1.4200000000000001E-2</v>
      </c>
      <c r="AX50">
        <v>7.2191396986662646</v>
      </c>
      <c r="AY50">
        <v>825.09635740342856</v>
      </c>
      <c r="AZ50">
        <v>0.42399999999999999</v>
      </c>
      <c r="BA50">
        <v>1.9E-2</v>
      </c>
      <c r="BB50">
        <v>9.6001000000000261</v>
      </c>
      <c r="BC50" s="2">
        <v>45681</v>
      </c>
      <c r="BD50" t="s">
        <v>968</v>
      </c>
      <c r="BE50">
        <v>3</v>
      </c>
      <c r="BF50">
        <v>1.41E-2</v>
      </c>
      <c r="BG50">
        <v>7.2186442134098119</v>
      </c>
      <c r="BH50">
        <v>825.04933585259118</v>
      </c>
      <c r="BI50">
        <v>0.42399999999999999</v>
      </c>
      <c r="BJ50">
        <v>1.9E-2</v>
      </c>
      <c r="BK50">
        <v>9.6008999999999958</v>
      </c>
      <c r="BL50" s="2">
        <v>45681</v>
      </c>
      <c r="BM50" t="s">
        <v>1088</v>
      </c>
      <c r="BN50">
        <v>3</v>
      </c>
      <c r="BO50">
        <v>1.41E-2</v>
      </c>
      <c r="BP50">
        <v>7.217473619354668</v>
      </c>
      <c r="BQ50">
        <v>824.93824647675808</v>
      </c>
      <c r="BR50">
        <v>0.42399999999999999</v>
      </c>
      <c r="BS50">
        <v>1.9E-2</v>
      </c>
      <c r="BT50">
        <v>9.5971000000000117</v>
      </c>
      <c r="BU50" s="2">
        <v>45681</v>
      </c>
      <c r="BV50" t="s">
        <v>1208</v>
      </c>
      <c r="BW50">
        <v>3</v>
      </c>
      <c r="BX50">
        <v>1.3899999999999999E-2</v>
      </c>
      <c r="BY50">
        <v>7.2171877624759428</v>
      </c>
      <c r="BZ50">
        <v>824.91111865896698</v>
      </c>
      <c r="CA50">
        <v>0.42399999999999999</v>
      </c>
      <c r="CB50">
        <v>1.9E-2</v>
      </c>
      <c r="CC50">
        <v>9.599899999999991</v>
      </c>
      <c r="CD50" s="2">
        <v>45681</v>
      </c>
      <c r="CE50" t="s">
        <v>1328</v>
      </c>
      <c r="CF50">
        <v>4</v>
      </c>
      <c r="CG50">
        <v>1.38E-2</v>
      </c>
      <c r="CH50">
        <v>7.2183956598400831</v>
      </c>
      <c r="CI50">
        <v>825.02574811882391</v>
      </c>
      <c r="CJ50">
        <v>0.42399999999999999</v>
      </c>
      <c r="CK50">
        <v>1.9E-2</v>
      </c>
      <c r="CL50">
        <v>9.6012000000000057</v>
      </c>
      <c r="CM50" s="2">
        <v>45681</v>
      </c>
      <c r="CN50" t="s">
        <v>1448</v>
      </c>
      <c r="CO50">
        <v>4</v>
      </c>
      <c r="CP50">
        <v>1.3599999999999999E-2</v>
      </c>
      <c r="CQ50">
        <v>7.2173702243134272</v>
      </c>
      <c r="CR50">
        <v>824.92843428734432</v>
      </c>
      <c r="CS50">
        <v>0.42399999999999999</v>
      </c>
      <c r="CT50">
        <v>1.9E-2</v>
      </c>
      <c r="CU50">
        <v>9.5891999999999769</v>
      </c>
      <c r="CV50" s="2">
        <v>45681</v>
      </c>
      <c r="CW50" t="s">
        <v>1568</v>
      </c>
      <c r="CX50">
        <v>5</v>
      </c>
      <c r="CY50">
        <v>1.34E-2</v>
      </c>
      <c r="CZ50">
        <v>7.2179228809456264</v>
      </c>
      <c r="DA50">
        <v>824.98088140174002</v>
      </c>
      <c r="DB50">
        <v>0.42399999999999999</v>
      </c>
      <c r="DC50">
        <v>1.9E-2</v>
      </c>
      <c r="DD50">
        <v>9.5975999999999999</v>
      </c>
      <c r="DE50" s="2">
        <v>45681</v>
      </c>
      <c r="DF50" t="s">
        <v>1688</v>
      </c>
      <c r="DG50">
        <v>5</v>
      </c>
      <c r="DH50">
        <v>1.32E-2</v>
      </c>
      <c r="DI50">
        <v>7.219562604658476</v>
      </c>
      <c r="DJ50">
        <v>825.13649118208946</v>
      </c>
      <c r="DK50">
        <v>0.42399999999999999</v>
      </c>
      <c r="DL50">
        <v>1.9E-2</v>
      </c>
      <c r="DM50">
        <v>9.5975999999999999</v>
      </c>
      <c r="DN50" s="2">
        <v>45681</v>
      </c>
      <c r="DO50" t="s">
        <v>1808</v>
      </c>
      <c r="DP50">
        <v>5</v>
      </c>
      <c r="DQ50">
        <v>1.34E-2</v>
      </c>
      <c r="DR50">
        <v>7.2216844330930341</v>
      </c>
      <c r="DS50">
        <v>825.33785270052897</v>
      </c>
      <c r="DT50">
        <v>0.42399999999999999</v>
      </c>
      <c r="DU50">
        <v>1.9E-2</v>
      </c>
      <c r="DV50">
        <v>9.6007000000000176</v>
      </c>
      <c r="DW50" s="2">
        <v>45681</v>
      </c>
      <c r="DX50" t="s">
        <v>1926</v>
      </c>
      <c r="DY50">
        <v>6</v>
      </c>
      <c r="DZ50">
        <v>1.2999999999999999E-2</v>
      </c>
      <c r="EA50">
        <v>7.221463046063552</v>
      </c>
      <c r="EB50">
        <v>825.31684307143109</v>
      </c>
      <c r="EC50">
        <v>0.42399999999999999</v>
      </c>
      <c r="ED50">
        <v>1.9E-2</v>
      </c>
      <c r="EE50">
        <v>9.6009000000000242</v>
      </c>
    </row>
    <row r="51" spans="1:135" x14ac:dyDescent="0.3">
      <c r="A51" s="2">
        <v>45681</v>
      </c>
      <c r="B51" t="s">
        <v>246</v>
      </c>
      <c r="C51">
        <v>0</v>
      </c>
      <c r="D51">
        <v>2.5999999999999999E-3</v>
      </c>
      <c r="E51">
        <v>6.4643964446853532</v>
      </c>
      <c r="F51">
        <v>753.47122260064009</v>
      </c>
      <c r="G51">
        <v>0.42399999999999999</v>
      </c>
      <c r="H51">
        <v>7.3000000000000001E-3</v>
      </c>
      <c r="I51">
        <v>9.798820000000001</v>
      </c>
      <c r="J51" s="2">
        <v>45681</v>
      </c>
      <c r="K51" t="s">
        <v>371</v>
      </c>
      <c r="L51">
        <v>1</v>
      </c>
      <c r="M51">
        <v>1.7299999999999999E-2</v>
      </c>
      <c r="N51">
        <v>7.3153116839669616</v>
      </c>
      <c r="O51">
        <v>834.22307880846472</v>
      </c>
      <c r="P51">
        <v>0.42399999999999999</v>
      </c>
      <c r="Q51">
        <v>2.0500000000000001E-2</v>
      </c>
      <c r="R51">
        <v>9.8024100000000018</v>
      </c>
      <c r="S51" s="2">
        <v>45681</v>
      </c>
      <c r="T51" t="s">
        <v>491</v>
      </c>
      <c r="U51">
        <v>1</v>
      </c>
      <c r="V51">
        <v>1.7000000000000001E-2</v>
      </c>
      <c r="W51">
        <v>7.3148145768275077</v>
      </c>
      <c r="X51">
        <v>834.17590334093052</v>
      </c>
      <c r="Y51">
        <v>0.42399999999999999</v>
      </c>
      <c r="Z51">
        <v>2.0500000000000001E-2</v>
      </c>
      <c r="AA51">
        <v>9.8001900000000006</v>
      </c>
      <c r="AB51" s="2">
        <v>45681</v>
      </c>
      <c r="AC51" t="s">
        <v>611</v>
      </c>
      <c r="AD51">
        <v>1</v>
      </c>
      <c r="AE51">
        <v>1.6500000000000001E-2</v>
      </c>
      <c r="AF51">
        <v>7.3146596870010203</v>
      </c>
      <c r="AG51">
        <v>834.16120429639682</v>
      </c>
      <c r="AH51">
        <v>0.42399999999999999</v>
      </c>
      <c r="AI51">
        <v>2.0500000000000001E-2</v>
      </c>
      <c r="AJ51">
        <v>9.8005200000000059</v>
      </c>
      <c r="AK51" s="2">
        <v>45681</v>
      </c>
      <c r="AL51" t="s">
        <v>729</v>
      </c>
      <c r="AM51">
        <v>2</v>
      </c>
      <c r="AN51">
        <v>1.6299999999999999E-2</v>
      </c>
      <c r="AO51">
        <v>7.3146722565942719</v>
      </c>
      <c r="AP51">
        <v>834.16239715079644</v>
      </c>
      <c r="AQ51">
        <v>0.42399999999999999</v>
      </c>
      <c r="AR51">
        <v>2.0500000000000001E-2</v>
      </c>
      <c r="AS51">
        <v>9.7982999999999976</v>
      </c>
      <c r="AT51" s="2">
        <v>45681</v>
      </c>
      <c r="AU51" t="s">
        <v>849</v>
      </c>
      <c r="AV51">
        <v>2</v>
      </c>
      <c r="AW51">
        <v>1.6199999999999999E-2</v>
      </c>
      <c r="AX51">
        <v>7.3140328292215786</v>
      </c>
      <c r="AY51">
        <v>834.10171549312781</v>
      </c>
      <c r="AZ51">
        <v>0.42399999999999999</v>
      </c>
      <c r="BA51">
        <v>2.0500000000000001E-2</v>
      </c>
      <c r="BB51">
        <v>9.7981000000000051</v>
      </c>
      <c r="BC51" s="2">
        <v>45681</v>
      </c>
      <c r="BD51" t="s">
        <v>969</v>
      </c>
      <c r="BE51">
        <v>3</v>
      </c>
      <c r="BF51">
        <v>1.6500000000000001E-2</v>
      </c>
      <c r="BG51">
        <v>7.3147736242817629</v>
      </c>
      <c r="BH51">
        <v>834.17201694433936</v>
      </c>
      <c r="BI51">
        <v>0.42399999999999999</v>
      </c>
      <c r="BJ51">
        <v>2.0500000000000001E-2</v>
      </c>
      <c r="BK51">
        <v>9.8020000000000209</v>
      </c>
      <c r="BL51" s="2">
        <v>45681</v>
      </c>
      <c r="BM51" t="s">
        <v>1089</v>
      </c>
      <c r="BN51">
        <v>3</v>
      </c>
      <c r="BO51">
        <v>1.6E-2</v>
      </c>
      <c r="BP51">
        <v>7.3142311044183108</v>
      </c>
      <c r="BQ51">
        <v>834.12053180929774</v>
      </c>
      <c r="BR51">
        <v>0.42399999999999999</v>
      </c>
      <c r="BS51">
        <v>2.0500000000000001E-2</v>
      </c>
      <c r="BT51">
        <v>9.7983000000000118</v>
      </c>
      <c r="BU51" s="2">
        <v>45681</v>
      </c>
      <c r="BV51" t="s">
        <v>1209</v>
      </c>
      <c r="BW51">
        <v>3</v>
      </c>
      <c r="BX51">
        <v>1.61E-2</v>
      </c>
      <c r="BY51">
        <v>7.3141127069593219</v>
      </c>
      <c r="BZ51">
        <v>834.10929589043974</v>
      </c>
      <c r="CA51">
        <v>0.42399999999999999</v>
      </c>
      <c r="CB51">
        <v>2.0500000000000001E-2</v>
      </c>
      <c r="CC51">
        <v>9.8011999999999944</v>
      </c>
      <c r="CD51" s="2">
        <v>45681</v>
      </c>
      <c r="CE51" t="s">
        <v>1329</v>
      </c>
      <c r="CF51">
        <v>4</v>
      </c>
      <c r="CG51">
        <v>1.5800000000000002E-2</v>
      </c>
      <c r="CH51">
        <v>7.3136354678866136</v>
      </c>
      <c r="CI51">
        <v>834.0640059024397</v>
      </c>
      <c r="CJ51">
        <v>0.42399999999999999</v>
      </c>
      <c r="CK51">
        <v>2.0500000000000001E-2</v>
      </c>
      <c r="CL51">
        <v>9.7991000000000099</v>
      </c>
      <c r="CM51" s="2">
        <v>45681</v>
      </c>
      <c r="CN51" t="s">
        <v>1449</v>
      </c>
      <c r="CO51">
        <v>4</v>
      </c>
      <c r="CP51">
        <v>1.54E-2</v>
      </c>
      <c r="CQ51">
        <v>7.3141066248980726</v>
      </c>
      <c r="CR51">
        <v>834.1087187028271</v>
      </c>
      <c r="CS51">
        <v>0.42399999999999999</v>
      </c>
      <c r="CT51">
        <v>2.0500000000000001E-2</v>
      </c>
      <c r="CU51">
        <v>9.7901999999999987</v>
      </c>
      <c r="CV51" s="2">
        <v>45681</v>
      </c>
      <c r="CW51" t="s">
        <v>1569</v>
      </c>
      <c r="CX51">
        <v>5</v>
      </c>
      <c r="CY51">
        <v>1.55E-2</v>
      </c>
      <c r="CZ51">
        <v>7.3144346507347926</v>
      </c>
      <c r="DA51">
        <v>834.13984835473184</v>
      </c>
      <c r="DB51">
        <v>0.42399999999999999</v>
      </c>
      <c r="DC51">
        <v>2.0500000000000001E-2</v>
      </c>
      <c r="DD51">
        <v>9.7986999999999966</v>
      </c>
      <c r="DE51" s="2">
        <v>45681</v>
      </c>
      <c r="DF51" t="s">
        <v>1689</v>
      </c>
      <c r="DG51">
        <v>5</v>
      </c>
      <c r="DH51">
        <v>1.5599999999999999E-2</v>
      </c>
      <c r="DI51">
        <v>7.3148052510002586</v>
      </c>
      <c r="DJ51">
        <v>834.17501831992467</v>
      </c>
      <c r="DK51">
        <v>0.42399999999999999</v>
      </c>
      <c r="DL51">
        <v>2.0500000000000001E-2</v>
      </c>
      <c r="DM51">
        <v>9.797300000000007</v>
      </c>
      <c r="DN51" s="2">
        <v>45681</v>
      </c>
      <c r="DO51" t="s">
        <v>1809</v>
      </c>
      <c r="DP51">
        <v>5</v>
      </c>
      <c r="DQ51">
        <v>1.52E-2</v>
      </c>
      <c r="DR51">
        <v>7.3152492414714683</v>
      </c>
      <c r="DS51">
        <v>834.21715301564234</v>
      </c>
      <c r="DT51">
        <v>0.42399999999999999</v>
      </c>
      <c r="DU51">
        <v>2.0500000000000001E-2</v>
      </c>
      <c r="DV51">
        <v>9.7982999999999834</v>
      </c>
      <c r="DW51" s="2">
        <v>45681</v>
      </c>
      <c r="DX51" t="s">
        <v>1927</v>
      </c>
      <c r="DY51">
        <v>6</v>
      </c>
      <c r="DZ51">
        <v>1.5299999999999999E-2</v>
      </c>
      <c r="EA51">
        <v>7.3159827380581506</v>
      </c>
      <c r="EB51">
        <v>834.28676184171854</v>
      </c>
      <c r="EC51">
        <v>0.42399999999999999</v>
      </c>
      <c r="ED51">
        <v>2.0500000000000001E-2</v>
      </c>
      <c r="EE51">
        <v>9.8011000000000195</v>
      </c>
    </row>
    <row r="52" spans="1:135" x14ac:dyDescent="0.3">
      <c r="A52" s="2">
        <v>45681</v>
      </c>
      <c r="B52" t="s">
        <v>247</v>
      </c>
      <c r="C52">
        <v>0</v>
      </c>
      <c r="D52">
        <v>6.0000000000000001E-3</v>
      </c>
      <c r="E52">
        <v>6.673918183608925</v>
      </c>
      <c r="F52">
        <v>773.35483562448701</v>
      </c>
      <c r="G52">
        <v>0.42399999999999999</v>
      </c>
      <c r="H52">
        <v>1.0500000000000001E-2</v>
      </c>
      <c r="I52">
        <v>9.99939</v>
      </c>
      <c r="J52" s="2">
        <v>45681</v>
      </c>
      <c r="K52" t="s">
        <v>372</v>
      </c>
      <c r="L52">
        <v>1</v>
      </c>
      <c r="M52">
        <v>1.8800000000000001E-2</v>
      </c>
      <c r="N52">
        <v>7.3472956221947836</v>
      </c>
      <c r="O52">
        <v>837.25835454628498</v>
      </c>
      <c r="P52">
        <v>0.42399999999999999</v>
      </c>
      <c r="Q52">
        <v>2.1000000000000001E-2</v>
      </c>
      <c r="R52">
        <v>10.001989999999999</v>
      </c>
      <c r="S52" s="2">
        <v>45681</v>
      </c>
      <c r="T52" t="s">
        <v>492</v>
      </c>
      <c r="U52">
        <v>1</v>
      </c>
      <c r="V52">
        <v>1.83E-2</v>
      </c>
      <c r="W52">
        <v>7.347297649548536</v>
      </c>
      <c r="X52">
        <v>837.25854694215616</v>
      </c>
      <c r="Y52">
        <v>0.42399999999999999</v>
      </c>
      <c r="Z52">
        <v>2.1000000000000001E-2</v>
      </c>
      <c r="AA52">
        <v>10.000889999999998</v>
      </c>
      <c r="AB52" s="2">
        <v>45681</v>
      </c>
      <c r="AC52" t="s">
        <v>612</v>
      </c>
      <c r="AD52">
        <v>1</v>
      </c>
      <c r="AE52">
        <v>1.8100000000000002E-2</v>
      </c>
      <c r="AF52">
        <v>7.3473025151975344</v>
      </c>
      <c r="AG52">
        <v>837.25900869224608</v>
      </c>
      <c r="AH52">
        <v>0.42399999999999999</v>
      </c>
      <c r="AI52">
        <v>2.1000000000000001E-2</v>
      </c>
      <c r="AJ52">
        <v>9.9991799999999955</v>
      </c>
      <c r="AK52" s="2">
        <v>45681</v>
      </c>
      <c r="AL52" t="s">
        <v>730</v>
      </c>
      <c r="AM52">
        <v>2</v>
      </c>
      <c r="AN52">
        <v>1.8100000000000002E-2</v>
      </c>
      <c r="AO52">
        <v>7.3472972440777848</v>
      </c>
      <c r="AP52">
        <v>837.25850846298181</v>
      </c>
      <c r="AQ52">
        <v>0.42399999999999999</v>
      </c>
      <c r="AR52">
        <v>2.1000000000000001E-2</v>
      </c>
      <c r="AS52">
        <v>9.9994999999999976</v>
      </c>
      <c r="AT52" s="2">
        <v>45681</v>
      </c>
      <c r="AU52" t="s">
        <v>850</v>
      </c>
      <c r="AV52">
        <v>2</v>
      </c>
      <c r="AW52">
        <v>1.7899999999999999E-2</v>
      </c>
      <c r="AX52">
        <v>7.3473012987852826</v>
      </c>
      <c r="AY52">
        <v>837.25889325472349</v>
      </c>
      <c r="AZ52">
        <v>0.42399999999999999</v>
      </c>
      <c r="BA52">
        <v>2.1000000000000001E-2</v>
      </c>
      <c r="BB52">
        <v>10.000100000000003</v>
      </c>
      <c r="BC52" s="2">
        <v>45681</v>
      </c>
      <c r="BD52" t="s">
        <v>970</v>
      </c>
      <c r="BE52">
        <v>3</v>
      </c>
      <c r="BF52">
        <v>1.7600000000000001E-2</v>
      </c>
      <c r="BG52">
        <v>7.3473017042560347</v>
      </c>
      <c r="BH52">
        <v>837.25893173389773</v>
      </c>
      <c r="BI52">
        <v>0.42399999999999999</v>
      </c>
      <c r="BJ52">
        <v>2.1000000000000001E-2</v>
      </c>
      <c r="BK52">
        <v>9.9992000000000019</v>
      </c>
      <c r="BL52" s="2">
        <v>45681</v>
      </c>
      <c r="BM52" t="s">
        <v>1090</v>
      </c>
      <c r="BN52">
        <v>3</v>
      </c>
      <c r="BO52">
        <v>1.7399999999999999E-2</v>
      </c>
      <c r="BP52">
        <v>7.3473025151975344</v>
      </c>
      <c r="BQ52">
        <v>837.25900869224608</v>
      </c>
      <c r="BR52">
        <v>0.42399999999999999</v>
      </c>
      <c r="BS52">
        <v>2.1000000000000001E-2</v>
      </c>
      <c r="BT52">
        <v>9.9977000000000089</v>
      </c>
      <c r="BU52" s="2">
        <v>45681</v>
      </c>
      <c r="BV52" t="s">
        <v>1210</v>
      </c>
      <c r="BW52">
        <v>3</v>
      </c>
      <c r="BX52">
        <v>1.7399999999999999E-2</v>
      </c>
      <c r="BY52">
        <v>7.3473025151975344</v>
      </c>
      <c r="BZ52">
        <v>837.25900869224608</v>
      </c>
      <c r="CA52">
        <v>0.42399999999999999</v>
      </c>
      <c r="CB52">
        <v>2.1000000000000001E-2</v>
      </c>
      <c r="CC52">
        <v>10.002199999999988</v>
      </c>
      <c r="CD52" s="2">
        <v>45681</v>
      </c>
      <c r="CE52" t="s">
        <v>1330</v>
      </c>
      <c r="CF52">
        <v>4</v>
      </c>
      <c r="CG52">
        <v>1.7299999999999999E-2</v>
      </c>
      <c r="CH52">
        <v>7.3472980550192837</v>
      </c>
      <c r="CI52">
        <v>837.25858542133005</v>
      </c>
      <c r="CJ52">
        <v>0.42399999999999999</v>
      </c>
      <c r="CK52">
        <v>2.1000000000000001E-2</v>
      </c>
      <c r="CL52">
        <v>9.9986000000000104</v>
      </c>
      <c r="CM52" s="2">
        <v>45681</v>
      </c>
      <c r="CN52" t="s">
        <v>1450</v>
      </c>
      <c r="CO52">
        <v>4</v>
      </c>
      <c r="CP52">
        <v>1.7100000000000001E-2</v>
      </c>
      <c r="CQ52">
        <v>7.3473025151975344</v>
      </c>
      <c r="CR52">
        <v>837.25900869224608</v>
      </c>
      <c r="CS52">
        <v>0.42399999999999999</v>
      </c>
      <c r="CT52">
        <v>2.1000000000000001E-2</v>
      </c>
      <c r="CU52">
        <v>9.9905000000000257</v>
      </c>
      <c r="CV52" s="2">
        <v>45681</v>
      </c>
      <c r="CW52" t="s">
        <v>1570</v>
      </c>
      <c r="CX52">
        <v>5</v>
      </c>
      <c r="CY52">
        <v>1.7100000000000001E-2</v>
      </c>
      <c r="CZ52">
        <v>7.3473025151975344</v>
      </c>
      <c r="DA52">
        <v>837.25900869224608</v>
      </c>
      <c r="DB52">
        <v>0.42399999999999999</v>
      </c>
      <c r="DC52">
        <v>2.1000000000000001E-2</v>
      </c>
      <c r="DD52">
        <v>9.9985000000000355</v>
      </c>
      <c r="DE52" s="2">
        <v>45681</v>
      </c>
      <c r="DF52" t="s">
        <v>1690</v>
      </c>
      <c r="DG52">
        <v>5</v>
      </c>
      <c r="DH52">
        <v>1.7000000000000001E-2</v>
      </c>
      <c r="DI52">
        <v>7.3473017042560347</v>
      </c>
      <c r="DJ52">
        <v>837.25893173389773</v>
      </c>
      <c r="DK52">
        <v>0.42399999999999999</v>
      </c>
      <c r="DL52">
        <v>2.1000000000000001E-2</v>
      </c>
      <c r="DM52">
        <v>9.9963999999999942</v>
      </c>
      <c r="DN52" s="2">
        <v>45681</v>
      </c>
      <c r="DO52" t="s">
        <v>1810</v>
      </c>
      <c r="DP52">
        <v>5</v>
      </c>
      <c r="DQ52">
        <v>1.7000000000000001E-2</v>
      </c>
      <c r="DR52">
        <v>7.347278997894036</v>
      </c>
      <c r="DS52">
        <v>837.25677690014402</v>
      </c>
      <c r="DT52">
        <v>0.42399999999999999</v>
      </c>
      <c r="DU52">
        <v>2.1000000000000001E-2</v>
      </c>
      <c r="DV52">
        <v>10.000499999999988</v>
      </c>
      <c r="DW52" s="2">
        <v>45681</v>
      </c>
      <c r="DX52" t="s">
        <v>1928</v>
      </c>
      <c r="DY52">
        <v>6</v>
      </c>
      <c r="DZ52">
        <v>1.6500000000000001E-2</v>
      </c>
      <c r="EA52">
        <v>7.3472858908967869</v>
      </c>
      <c r="EB52">
        <v>837.25743104610513</v>
      </c>
      <c r="EC52">
        <v>0.42399999999999999</v>
      </c>
      <c r="ED52">
        <v>2.1000000000000001E-2</v>
      </c>
      <c r="EE52">
        <v>10.000200000000007</v>
      </c>
    </row>
    <row r="53" spans="1:135" x14ac:dyDescent="0.3">
      <c r="A53" s="2">
        <v>45681</v>
      </c>
      <c r="B53" t="s">
        <v>248</v>
      </c>
      <c r="C53">
        <v>0</v>
      </c>
      <c r="D53">
        <v>9.2999999999999992E-3</v>
      </c>
      <c r="E53">
        <v>6.8830518870247817</v>
      </c>
      <c r="F53">
        <v>793.20162407865178</v>
      </c>
      <c r="G53">
        <v>0.42399999999999999</v>
      </c>
      <c r="H53">
        <v>1.38E-2</v>
      </c>
      <c r="I53">
        <v>10.199810000000001</v>
      </c>
      <c r="J53" s="2">
        <v>45681</v>
      </c>
      <c r="K53" t="s">
        <v>373</v>
      </c>
      <c r="L53">
        <v>1</v>
      </c>
      <c r="M53">
        <v>1.95E-2</v>
      </c>
      <c r="N53">
        <v>7.3141171671375718</v>
      </c>
      <c r="O53">
        <v>729.67571997722166</v>
      </c>
      <c r="P53">
        <v>0.42399999999999999</v>
      </c>
      <c r="Q53">
        <v>2.0500000000000001E-2</v>
      </c>
      <c r="R53">
        <v>10.199419999999996</v>
      </c>
      <c r="S53" s="2">
        <v>45681</v>
      </c>
      <c r="T53" t="s">
        <v>493</v>
      </c>
      <c r="U53">
        <v>1</v>
      </c>
      <c r="V53">
        <v>1.9199999999999998E-2</v>
      </c>
      <c r="W53">
        <v>7.313712101858358</v>
      </c>
      <c r="X53">
        <v>729.63796789319895</v>
      </c>
      <c r="Y53">
        <v>0.42399999999999999</v>
      </c>
      <c r="Z53">
        <v>2.0500000000000001E-2</v>
      </c>
      <c r="AA53">
        <v>10.199950000000001</v>
      </c>
      <c r="AB53" s="2">
        <v>45681</v>
      </c>
      <c r="AC53" t="s">
        <v>613</v>
      </c>
      <c r="AD53">
        <v>1</v>
      </c>
      <c r="AE53">
        <v>1.8800000000000001E-2</v>
      </c>
      <c r="AF53">
        <v>7.3136946666161107</v>
      </c>
      <c r="AG53">
        <v>729.6363429286215</v>
      </c>
      <c r="AH53">
        <v>0.42399999999999999</v>
      </c>
      <c r="AI53">
        <v>2.0500000000000001E-2</v>
      </c>
      <c r="AJ53">
        <v>10.200810000000004</v>
      </c>
      <c r="AK53" s="2">
        <v>45681</v>
      </c>
      <c r="AL53" t="s">
        <v>731</v>
      </c>
      <c r="AM53">
        <v>2</v>
      </c>
      <c r="AN53">
        <v>1.89E-2</v>
      </c>
      <c r="AO53">
        <v>7.3141552813880679</v>
      </c>
      <c r="AP53">
        <v>729.67927222536798</v>
      </c>
      <c r="AQ53">
        <v>0.42399999999999999</v>
      </c>
      <c r="AR53">
        <v>2.0500000000000001E-2</v>
      </c>
      <c r="AS53">
        <v>10.197099999999992</v>
      </c>
      <c r="AT53" s="2">
        <v>45681</v>
      </c>
      <c r="AU53" t="s">
        <v>851</v>
      </c>
      <c r="AV53">
        <v>2</v>
      </c>
      <c r="AW53">
        <v>1.8499999999999999E-2</v>
      </c>
      <c r="AX53">
        <v>7.3138775339243436</v>
      </c>
      <c r="AY53">
        <v>729.65338616174881</v>
      </c>
      <c r="AZ53">
        <v>0.42399999999999999</v>
      </c>
      <c r="BA53">
        <v>2.0500000000000001E-2</v>
      </c>
      <c r="BB53">
        <v>10.19980000000001</v>
      </c>
      <c r="BC53" s="2">
        <v>45681</v>
      </c>
      <c r="BD53" t="s">
        <v>971</v>
      </c>
      <c r="BE53">
        <v>3</v>
      </c>
      <c r="BF53">
        <v>1.8599999999999998E-2</v>
      </c>
      <c r="BG53">
        <v>7.3144735759267876</v>
      </c>
      <c r="BH53">
        <v>729.70893727637667</v>
      </c>
      <c r="BI53">
        <v>0.42399999999999999</v>
      </c>
      <c r="BJ53">
        <v>2.0500000000000001E-2</v>
      </c>
      <c r="BK53">
        <v>10.1995</v>
      </c>
      <c r="BL53" s="2">
        <v>45681</v>
      </c>
      <c r="BM53" t="s">
        <v>1091</v>
      </c>
      <c r="BN53">
        <v>3</v>
      </c>
      <c r="BO53">
        <v>1.8200000000000001E-2</v>
      </c>
      <c r="BP53">
        <v>7.3139667374893342</v>
      </c>
      <c r="BQ53">
        <v>729.66169993400592</v>
      </c>
      <c r="BR53">
        <v>0.42399999999999999</v>
      </c>
      <c r="BS53">
        <v>2.0500000000000001E-2</v>
      </c>
      <c r="BT53">
        <v>10.199099999999987</v>
      </c>
      <c r="BU53" s="2">
        <v>45681</v>
      </c>
      <c r="BV53" t="s">
        <v>1211</v>
      </c>
      <c r="BW53">
        <v>3</v>
      </c>
      <c r="BX53">
        <v>1.83E-2</v>
      </c>
      <c r="BY53">
        <v>7.314289086735557</v>
      </c>
      <c r="BZ53">
        <v>729.69174288375393</v>
      </c>
      <c r="CA53">
        <v>0.42399999999999999</v>
      </c>
      <c r="CB53">
        <v>2.0500000000000001E-2</v>
      </c>
      <c r="CC53">
        <v>10.201400000000007</v>
      </c>
      <c r="CD53" s="2">
        <v>45681</v>
      </c>
      <c r="CE53" t="s">
        <v>1331</v>
      </c>
      <c r="CF53">
        <v>4</v>
      </c>
      <c r="CG53">
        <v>1.8100000000000002E-2</v>
      </c>
      <c r="CH53">
        <v>7.3149702775954939</v>
      </c>
      <c r="CI53">
        <v>729.75522987190004</v>
      </c>
      <c r="CJ53">
        <v>0.42399999999999999</v>
      </c>
      <c r="CK53">
        <v>2.0500000000000001E-2</v>
      </c>
      <c r="CL53">
        <v>10.198599999999999</v>
      </c>
      <c r="CM53" s="2">
        <v>45681</v>
      </c>
      <c r="CN53" t="s">
        <v>1451</v>
      </c>
      <c r="CO53">
        <v>4</v>
      </c>
      <c r="CP53">
        <v>1.78E-2</v>
      </c>
      <c r="CQ53">
        <v>7.3147902485825096</v>
      </c>
      <c r="CR53">
        <v>729.73845116789005</v>
      </c>
      <c r="CS53">
        <v>0.42399999999999999</v>
      </c>
      <c r="CT53">
        <v>2.0500000000000001E-2</v>
      </c>
      <c r="CU53">
        <v>10.188900000000018</v>
      </c>
      <c r="CV53" s="2">
        <v>45681</v>
      </c>
      <c r="CW53" t="s">
        <v>1571</v>
      </c>
      <c r="CX53">
        <v>5</v>
      </c>
      <c r="CY53">
        <v>1.7500000000000002E-2</v>
      </c>
      <c r="CZ53">
        <v>7.3135499135583739</v>
      </c>
      <c r="DA53">
        <v>729.62285194364051</v>
      </c>
      <c r="DB53">
        <v>0.42399999999999999</v>
      </c>
      <c r="DC53">
        <v>2.0500000000000001E-2</v>
      </c>
      <c r="DD53">
        <v>10.200199999999995</v>
      </c>
      <c r="DE53" s="2">
        <v>45681</v>
      </c>
      <c r="DF53" t="s">
        <v>1691</v>
      </c>
      <c r="DG53">
        <v>5</v>
      </c>
      <c r="DH53">
        <v>1.7899999999999999E-2</v>
      </c>
      <c r="DI53">
        <v>7.3133143350526453</v>
      </c>
      <c r="DJ53">
        <v>729.60089602690653</v>
      </c>
      <c r="DK53">
        <v>0.42399999999999999</v>
      </c>
      <c r="DL53">
        <v>2.0500000000000001E-2</v>
      </c>
      <c r="DM53">
        <v>10.198300000000017</v>
      </c>
      <c r="DN53" s="2">
        <v>45681</v>
      </c>
      <c r="DO53" t="s">
        <v>1811</v>
      </c>
      <c r="DP53">
        <v>5</v>
      </c>
      <c r="DQ53">
        <v>1.77E-2</v>
      </c>
      <c r="DR53">
        <v>7.3132076962454047</v>
      </c>
      <c r="DS53">
        <v>729.59095729007174</v>
      </c>
      <c r="DT53">
        <v>0.42399999999999999</v>
      </c>
      <c r="DU53">
        <v>2.0500000000000001E-2</v>
      </c>
      <c r="DV53">
        <v>10.198300000000017</v>
      </c>
      <c r="DW53" s="2">
        <v>45681</v>
      </c>
      <c r="DX53" t="s">
        <v>1929</v>
      </c>
      <c r="DY53">
        <v>6</v>
      </c>
      <c r="DZ53">
        <v>1.7500000000000002E-2</v>
      </c>
      <c r="EA53">
        <v>7.3128610187541874</v>
      </c>
      <c r="EB53">
        <v>729.55864694789034</v>
      </c>
      <c r="EC53">
        <v>0.42399999999999999</v>
      </c>
      <c r="ED53">
        <v>2.0500000000000001E-2</v>
      </c>
      <c r="EE53">
        <v>10.199799999999982</v>
      </c>
    </row>
    <row r="54" spans="1:135" x14ac:dyDescent="0.3">
      <c r="A54" s="2">
        <v>45681</v>
      </c>
      <c r="B54" t="s">
        <v>249</v>
      </c>
      <c r="C54">
        <v>0</v>
      </c>
      <c r="D54">
        <v>1.2500000000000001E-2</v>
      </c>
      <c r="E54">
        <v>7.0692578414132363</v>
      </c>
      <c r="F54">
        <v>810.87256915011619</v>
      </c>
      <c r="G54">
        <v>0.42399999999999999</v>
      </c>
      <c r="H54">
        <v>1.67E-2</v>
      </c>
      <c r="I54">
        <v>10.397740000000001</v>
      </c>
      <c r="J54" s="2">
        <v>45681</v>
      </c>
      <c r="K54" t="s">
        <v>374</v>
      </c>
      <c r="L54">
        <v>1</v>
      </c>
      <c r="M54">
        <v>1.9400000000000001E-2</v>
      </c>
      <c r="N54">
        <v>7.2165933423564992</v>
      </c>
      <c r="O54">
        <v>720.58649950762572</v>
      </c>
      <c r="P54">
        <v>0.42399999999999999</v>
      </c>
      <c r="Q54">
        <v>1.9E-2</v>
      </c>
      <c r="R54">
        <v>10.401710000000001</v>
      </c>
      <c r="S54" s="2">
        <v>45681</v>
      </c>
      <c r="T54" t="s">
        <v>494</v>
      </c>
      <c r="U54">
        <v>1</v>
      </c>
      <c r="V54">
        <v>1.9099999999999999E-2</v>
      </c>
      <c r="W54">
        <v>7.2177096033311452</v>
      </c>
      <c r="X54">
        <v>720.6905350304628</v>
      </c>
      <c r="Y54">
        <v>0.42399999999999999</v>
      </c>
      <c r="Z54">
        <v>1.9E-2</v>
      </c>
      <c r="AA54">
        <v>10.399240000000006</v>
      </c>
      <c r="AB54" s="2">
        <v>45681</v>
      </c>
      <c r="AC54" t="s">
        <v>614</v>
      </c>
      <c r="AD54">
        <v>1</v>
      </c>
      <c r="AE54">
        <v>1.8700000000000001E-2</v>
      </c>
      <c r="AF54">
        <v>7.2184098513163333</v>
      </c>
      <c r="AG54">
        <v>720.75579814268224</v>
      </c>
      <c r="AH54">
        <v>0.42399999999999999</v>
      </c>
      <c r="AI54">
        <v>1.9E-2</v>
      </c>
      <c r="AJ54">
        <v>10.398920000000004</v>
      </c>
      <c r="AK54" s="2">
        <v>45681</v>
      </c>
      <c r="AL54" t="s">
        <v>732</v>
      </c>
      <c r="AM54">
        <v>2</v>
      </c>
      <c r="AN54">
        <v>1.8800000000000001E-2</v>
      </c>
      <c r="AO54">
        <v>7.217700277503897</v>
      </c>
      <c r="AP54">
        <v>720.68966586336319</v>
      </c>
      <c r="AQ54">
        <v>0.42399999999999999</v>
      </c>
      <c r="AR54">
        <v>1.9E-2</v>
      </c>
      <c r="AS54">
        <v>10.397799999999989</v>
      </c>
      <c r="AT54" s="2">
        <v>45681</v>
      </c>
      <c r="AU54" t="s">
        <v>852</v>
      </c>
      <c r="AV54">
        <v>2</v>
      </c>
      <c r="AW54">
        <v>1.8599999999999998E-2</v>
      </c>
      <c r="AX54">
        <v>7.2187731531082999</v>
      </c>
      <c r="AY54">
        <v>720.78965786969354</v>
      </c>
      <c r="AZ54">
        <v>0.42399999999999999</v>
      </c>
      <c r="BA54">
        <v>1.9E-2</v>
      </c>
      <c r="BB54">
        <v>10.397800000000018</v>
      </c>
      <c r="BC54" s="2">
        <v>45681</v>
      </c>
      <c r="BD54" t="s">
        <v>972</v>
      </c>
      <c r="BE54">
        <v>3</v>
      </c>
      <c r="BF54">
        <v>1.8599999999999998E-2</v>
      </c>
      <c r="BG54">
        <v>7.2188092400050463</v>
      </c>
      <c r="BH54">
        <v>720.79302116847032</v>
      </c>
      <c r="BI54">
        <v>0.42399999999999999</v>
      </c>
      <c r="BJ54">
        <v>1.9E-2</v>
      </c>
      <c r="BK54">
        <v>10.399400000000014</v>
      </c>
      <c r="BL54" s="2">
        <v>45681</v>
      </c>
      <c r="BM54" t="s">
        <v>1092</v>
      </c>
      <c r="BN54">
        <v>3</v>
      </c>
      <c r="BO54">
        <v>1.83E-2</v>
      </c>
      <c r="BP54">
        <v>7.2174934874214154</v>
      </c>
      <c r="BQ54">
        <v>720.67039302767591</v>
      </c>
      <c r="BR54">
        <v>0.42399999999999999</v>
      </c>
      <c r="BS54">
        <v>1.9E-2</v>
      </c>
      <c r="BT54">
        <v>10.399499999999989</v>
      </c>
      <c r="BU54" s="2">
        <v>45681</v>
      </c>
      <c r="BV54" t="s">
        <v>1212</v>
      </c>
      <c r="BW54">
        <v>3</v>
      </c>
      <c r="BX54">
        <v>1.84E-2</v>
      </c>
      <c r="BY54">
        <v>7.218893983391788</v>
      </c>
      <c r="BZ54">
        <v>720.80091925211468</v>
      </c>
      <c r="CA54">
        <v>0.42399999999999999</v>
      </c>
      <c r="CB54">
        <v>1.9E-2</v>
      </c>
      <c r="CC54">
        <v>10.400499999999994</v>
      </c>
      <c r="CD54" s="2">
        <v>45681</v>
      </c>
      <c r="CE54" t="s">
        <v>1332</v>
      </c>
      <c r="CF54">
        <v>4</v>
      </c>
      <c r="CG54">
        <v>1.7999999999999999E-2</v>
      </c>
      <c r="CH54">
        <v>7.2189965674915291</v>
      </c>
      <c r="CI54">
        <v>720.81048009021049</v>
      </c>
      <c r="CJ54">
        <v>0.42399999999999999</v>
      </c>
      <c r="CK54">
        <v>1.9E-2</v>
      </c>
      <c r="CL54">
        <v>10.399699999999996</v>
      </c>
      <c r="CM54" s="2">
        <v>45681</v>
      </c>
      <c r="CN54" t="s">
        <v>1452</v>
      </c>
      <c r="CO54">
        <v>4</v>
      </c>
      <c r="CP54">
        <v>1.78E-2</v>
      </c>
      <c r="CQ54">
        <v>7.219111721184519</v>
      </c>
      <c r="CR54">
        <v>720.82121241439722</v>
      </c>
      <c r="CS54">
        <v>0.42399999999999999</v>
      </c>
      <c r="CT54">
        <v>1.9E-2</v>
      </c>
      <c r="CU54">
        <v>10.389199999999988</v>
      </c>
      <c r="CV54" s="2">
        <v>45681</v>
      </c>
      <c r="CW54" t="s">
        <v>1572</v>
      </c>
      <c r="CX54">
        <v>5</v>
      </c>
      <c r="CY54">
        <v>1.7399999999999999E-2</v>
      </c>
      <c r="CZ54">
        <v>7.2175908004014078</v>
      </c>
      <c r="DA54">
        <v>720.6794625974112</v>
      </c>
      <c r="DB54">
        <v>0.42399999999999999</v>
      </c>
      <c r="DC54">
        <v>1.9E-2</v>
      </c>
      <c r="DD54">
        <v>10.399100000000033</v>
      </c>
      <c r="DE54" s="2">
        <v>45681</v>
      </c>
      <c r="DF54" t="s">
        <v>1692</v>
      </c>
      <c r="DG54">
        <v>5</v>
      </c>
      <c r="DH54">
        <v>1.7999999999999999E-2</v>
      </c>
      <c r="DI54">
        <v>7.2159766213458054</v>
      </c>
      <c r="DJ54">
        <v>720.5290211094291</v>
      </c>
      <c r="DK54">
        <v>0.42399999999999999</v>
      </c>
      <c r="DL54">
        <v>1.9E-2</v>
      </c>
      <c r="DM54">
        <v>10.399099999999976</v>
      </c>
      <c r="DN54" s="2">
        <v>45681</v>
      </c>
      <c r="DO54" t="s">
        <v>1812</v>
      </c>
      <c r="DP54">
        <v>5</v>
      </c>
      <c r="DQ54">
        <v>1.77E-2</v>
      </c>
      <c r="DR54">
        <v>7.2166780857432409</v>
      </c>
      <c r="DS54">
        <v>720.59439759127008</v>
      </c>
      <c r="DT54">
        <v>0.42399999999999999</v>
      </c>
      <c r="DU54">
        <v>1.9E-2</v>
      </c>
      <c r="DV54">
        <v>10.397699999999986</v>
      </c>
      <c r="DW54" s="2">
        <v>45681</v>
      </c>
      <c r="DX54" t="s">
        <v>1930</v>
      </c>
      <c r="DY54">
        <v>6</v>
      </c>
      <c r="DZ54">
        <v>1.77E-2</v>
      </c>
      <c r="EA54">
        <v>7.2139662973674898</v>
      </c>
      <c r="EB54">
        <v>720.34165891465011</v>
      </c>
      <c r="EC54">
        <v>0.42399999999999999</v>
      </c>
      <c r="ED54">
        <v>1.89E-2</v>
      </c>
      <c r="EE54">
        <v>10.402499999999975</v>
      </c>
    </row>
    <row r="55" spans="1:135" x14ac:dyDescent="0.3">
      <c r="A55" s="2">
        <v>45681</v>
      </c>
      <c r="B55" t="s">
        <v>250</v>
      </c>
      <c r="C55">
        <v>0</v>
      </c>
      <c r="D55">
        <v>1.5299999999999999E-2</v>
      </c>
      <c r="E55">
        <v>7.2189357468790343</v>
      </c>
      <c r="F55">
        <v>825.07700237882034</v>
      </c>
      <c r="G55">
        <v>0.42399999999999999</v>
      </c>
      <c r="H55">
        <v>1.9E-2</v>
      </c>
      <c r="I55">
        <v>10.598250000000002</v>
      </c>
      <c r="J55" s="2">
        <v>45681</v>
      </c>
      <c r="K55" t="s">
        <v>375</v>
      </c>
      <c r="L55">
        <v>1</v>
      </c>
      <c r="M55">
        <v>1.8700000000000001E-2</v>
      </c>
      <c r="N55">
        <v>7.0675439165531424</v>
      </c>
      <c r="O55">
        <v>706.69509302275276</v>
      </c>
      <c r="P55">
        <v>0.42399999999999999</v>
      </c>
      <c r="Q55">
        <v>1.67E-2</v>
      </c>
      <c r="R55">
        <v>10.600459999999998</v>
      </c>
      <c r="S55" s="2">
        <v>45681</v>
      </c>
      <c r="T55" t="s">
        <v>495</v>
      </c>
      <c r="U55">
        <v>1</v>
      </c>
      <c r="V55">
        <v>1.8700000000000001E-2</v>
      </c>
      <c r="W55">
        <v>7.0658372901665487</v>
      </c>
      <c r="X55">
        <v>706.53603544352234</v>
      </c>
      <c r="Y55">
        <v>0.42399999999999999</v>
      </c>
      <c r="Z55">
        <v>1.66E-2</v>
      </c>
      <c r="AA55">
        <v>10.601749999999996</v>
      </c>
      <c r="AB55" s="2">
        <v>45681</v>
      </c>
      <c r="AC55" t="s">
        <v>615</v>
      </c>
      <c r="AD55">
        <v>1</v>
      </c>
      <c r="AE55">
        <v>1.83E-2</v>
      </c>
      <c r="AF55">
        <v>7.0688921067967687</v>
      </c>
      <c r="AG55">
        <v>706.82074435345885</v>
      </c>
      <c r="AH55">
        <v>0.42399999999999999</v>
      </c>
      <c r="AI55">
        <v>1.67E-2</v>
      </c>
      <c r="AJ55">
        <v>10.599019999999996</v>
      </c>
      <c r="AK55" s="2">
        <v>45681</v>
      </c>
      <c r="AL55" t="s">
        <v>733</v>
      </c>
      <c r="AM55">
        <v>2</v>
      </c>
      <c r="AN55">
        <v>1.84E-2</v>
      </c>
      <c r="AO55">
        <v>7.0680908965948408</v>
      </c>
      <c r="AP55">
        <v>706.74607156263914</v>
      </c>
      <c r="AQ55">
        <v>0.42399999999999999</v>
      </c>
      <c r="AR55">
        <v>1.67E-2</v>
      </c>
      <c r="AS55">
        <v>10.5976</v>
      </c>
      <c r="AT55" s="2">
        <v>45681</v>
      </c>
      <c r="AU55" t="s">
        <v>853</v>
      </c>
      <c r="AV55">
        <v>2</v>
      </c>
      <c r="AW55">
        <v>1.83E-2</v>
      </c>
      <c r="AX55">
        <v>7.0675982496336367</v>
      </c>
      <c r="AY55">
        <v>706.70015686585498</v>
      </c>
      <c r="AZ55">
        <v>0.42399999999999999</v>
      </c>
      <c r="BA55">
        <v>1.67E-2</v>
      </c>
      <c r="BB55">
        <v>10.600000000000023</v>
      </c>
      <c r="BC55" s="2">
        <v>45681</v>
      </c>
      <c r="BD55" t="s">
        <v>973</v>
      </c>
      <c r="BE55">
        <v>3</v>
      </c>
      <c r="BF55">
        <v>1.83E-2</v>
      </c>
      <c r="BG55">
        <v>7.0685413745980501</v>
      </c>
      <c r="BH55">
        <v>706.78805611253824</v>
      </c>
      <c r="BI55">
        <v>0.42399999999999999</v>
      </c>
      <c r="BJ55">
        <v>1.67E-2</v>
      </c>
      <c r="BK55">
        <v>10.600500000000011</v>
      </c>
      <c r="BL55" s="2">
        <v>45681</v>
      </c>
      <c r="BM55" t="s">
        <v>1093</v>
      </c>
      <c r="BN55">
        <v>3</v>
      </c>
      <c r="BO55">
        <v>1.8200000000000001E-2</v>
      </c>
      <c r="BP55">
        <v>7.0699503854541712</v>
      </c>
      <c r="BQ55">
        <v>706.91937592432873</v>
      </c>
      <c r="BR55">
        <v>0.42399999999999999</v>
      </c>
      <c r="BS55">
        <v>1.67E-2</v>
      </c>
      <c r="BT55">
        <v>10.596900000000005</v>
      </c>
      <c r="BU55" s="2">
        <v>45681</v>
      </c>
      <c r="BV55" t="s">
        <v>1213</v>
      </c>
      <c r="BW55">
        <v>3</v>
      </c>
      <c r="BX55">
        <v>1.8200000000000001E-2</v>
      </c>
      <c r="BY55">
        <v>7.0686415258732911</v>
      </c>
      <c r="BZ55">
        <v>706.79739021139073</v>
      </c>
      <c r="CA55">
        <v>0.42399999999999999</v>
      </c>
      <c r="CB55">
        <v>1.67E-2</v>
      </c>
      <c r="CC55">
        <v>10.601699999999994</v>
      </c>
      <c r="CD55" s="2">
        <v>45681</v>
      </c>
      <c r="CE55" t="s">
        <v>1333</v>
      </c>
      <c r="CF55">
        <v>4</v>
      </c>
      <c r="CG55">
        <v>1.7999999999999999E-2</v>
      </c>
      <c r="CH55">
        <v>7.0701498770631543</v>
      </c>
      <c r="CI55">
        <v>706.93796854228606</v>
      </c>
      <c r="CJ55">
        <v>0.42399999999999999</v>
      </c>
      <c r="CK55">
        <v>1.67E-2</v>
      </c>
      <c r="CL55">
        <v>10.599199999999996</v>
      </c>
      <c r="CM55" s="2">
        <v>45681</v>
      </c>
      <c r="CN55" t="s">
        <v>1453</v>
      </c>
      <c r="CO55">
        <v>4</v>
      </c>
      <c r="CP55">
        <v>1.78E-2</v>
      </c>
      <c r="CQ55">
        <v>7.0688584527245224</v>
      </c>
      <c r="CR55">
        <v>706.8176077939255</v>
      </c>
      <c r="CS55">
        <v>0.42399999999999999</v>
      </c>
      <c r="CT55">
        <v>1.67E-2</v>
      </c>
      <c r="CU55">
        <v>10.590499999999992</v>
      </c>
      <c r="CV55" s="2">
        <v>45681</v>
      </c>
      <c r="CW55" t="s">
        <v>1573</v>
      </c>
      <c r="CX55">
        <v>5</v>
      </c>
      <c r="CY55">
        <v>1.7399999999999999E-2</v>
      </c>
      <c r="CZ55">
        <v>7.0681655032128354</v>
      </c>
      <c r="DA55">
        <v>706.75302489943624</v>
      </c>
      <c r="DB55">
        <v>0.42399999999999999</v>
      </c>
      <c r="DC55">
        <v>1.67E-2</v>
      </c>
      <c r="DD55">
        <v>10.598700000000008</v>
      </c>
      <c r="DE55" s="2">
        <v>45681</v>
      </c>
      <c r="DF55" t="s">
        <v>1693</v>
      </c>
      <c r="DG55">
        <v>5</v>
      </c>
      <c r="DH55">
        <v>1.7899999999999999E-2</v>
      </c>
      <c r="DI55">
        <v>7.0679068128743578</v>
      </c>
      <c r="DJ55">
        <v>706.72891495989018</v>
      </c>
      <c r="DK55">
        <v>0.42399999999999999</v>
      </c>
      <c r="DL55">
        <v>1.67E-2</v>
      </c>
      <c r="DM55">
        <v>10.596499999999992</v>
      </c>
      <c r="DN55" s="2">
        <v>45681</v>
      </c>
      <c r="DO55" t="s">
        <v>1813</v>
      </c>
      <c r="DP55">
        <v>5</v>
      </c>
      <c r="DQ55">
        <v>1.7600000000000001E-2</v>
      </c>
      <c r="DR55">
        <v>7.0642819043696923</v>
      </c>
      <c r="DS55">
        <v>706.39107348725531</v>
      </c>
      <c r="DT55">
        <v>0.42399999999999999</v>
      </c>
      <c r="DU55">
        <v>1.66E-2</v>
      </c>
      <c r="DV55">
        <v>10.600400000000036</v>
      </c>
      <c r="DW55" s="2">
        <v>45681</v>
      </c>
      <c r="DX55" t="s">
        <v>1931</v>
      </c>
      <c r="DY55">
        <v>6</v>
      </c>
      <c r="DZ55">
        <v>1.77E-2</v>
      </c>
      <c r="EA55">
        <v>7.0647263003116496</v>
      </c>
      <c r="EB55">
        <v>706.43249118904578</v>
      </c>
      <c r="EC55">
        <v>0.42399999999999999</v>
      </c>
      <c r="ED55">
        <v>1.66E-2</v>
      </c>
      <c r="EE55">
        <v>10.600300000000004</v>
      </c>
    </row>
    <row r="56" spans="1:135" x14ac:dyDescent="0.3">
      <c r="A56" s="2">
        <v>45681</v>
      </c>
      <c r="B56" t="s">
        <v>251</v>
      </c>
      <c r="C56">
        <v>0</v>
      </c>
      <c r="D56">
        <v>1.7600000000000001E-2</v>
      </c>
      <c r="E56">
        <v>7.3146673909452709</v>
      </c>
      <c r="F56">
        <v>834.16193540070628</v>
      </c>
      <c r="G56">
        <v>0.42399999999999999</v>
      </c>
      <c r="H56">
        <v>2.0500000000000001E-2</v>
      </c>
      <c r="I56">
        <v>10.79847</v>
      </c>
      <c r="J56" s="2">
        <v>45681</v>
      </c>
      <c r="K56" t="s">
        <v>376</v>
      </c>
      <c r="L56">
        <v>1</v>
      </c>
      <c r="M56">
        <v>1.78E-2</v>
      </c>
      <c r="N56">
        <v>6.8801475000427956</v>
      </c>
      <c r="O56">
        <v>689.22974700398856</v>
      </c>
      <c r="P56">
        <v>0.42399999999999999</v>
      </c>
      <c r="Q56">
        <v>1.37E-2</v>
      </c>
      <c r="R56">
        <v>10.79927</v>
      </c>
      <c r="S56" s="2">
        <v>45681</v>
      </c>
      <c r="T56" t="s">
        <v>496</v>
      </c>
      <c r="U56">
        <v>1</v>
      </c>
      <c r="V56">
        <v>1.7899999999999999E-2</v>
      </c>
      <c r="W56">
        <v>6.8785823829479389</v>
      </c>
      <c r="X56">
        <v>689.08387809074793</v>
      </c>
      <c r="Y56">
        <v>0.42399999999999999</v>
      </c>
      <c r="Z56">
        <v>1.37E-2</v>
      </c>
      <c r="AA56">
        <v>10.800129999999996</v>
      </c>
      <c r="AB56" s="2">
        <v>45681</v>
      </c>
      <c r="AC56" t="s">
        <v>616</v>
      </c>
      <c r="AD56">
        <v>1</v>
      </c>
      <c r="AE56">
        <v>1.78E-2</v>
      </c>
      <c r="AF56">
        <v>6.8785580547029417</v>
      </c>
      <c r="AG56">
        <v>689.08161069831419</v>
      </c>
      <c r="AH56">
        <v>0.42399999999999999</v>
      </c>
      <c r="AI56">
        <v>1.37E-2</v>
      </c>
      <c r="AJ56">
        <v>10.800970000000007</v>
      </c>
      <c r="AK56" s="2">
        <v>45681</v>
      </c>
      <c r="AL56" t="s">
        <v>734</v>
      </c>
      <c r="AM56">
        <v>2</v>
      </c>
      <c r="AN56">
        <v>1.78E-2</v>
      </c>
      <c r="AO56">
        <v>6.8807650319949891</v>
      </c>
      <c r="AP56">
        <v>689.28730098193296</v>
      </c>
      <c r="AQ56">
        <v>0.42399999999999999</v>
      </c>
      <c r="AR56">
        <v>1.38E-2</v>
      </c>
      <c r="AS56">
        <v>10.796499999999995</v>
      </c>
      <c r="AT56" s="2">
        <v>45681</v>
      </c>
      <c r="AU56" t="s">
        <v>854</v>
      </c>
      <c r="AV56">
        <v>2</v>
      </c>
      <c r="AW56">
        <v>1.78E-2</v>
      </c>
      <c r="AX56">
        <v>6.8808436933204824</v>
      </c>
      <c r="AY56">
        <v>689.29463221746892</v>
      </c>
      <c r="AZ56">
        <v>0.42399999999999999</v>
      </c>
      <c r="BA56">
        <v>1.38E-2</v>
      </c>
      <c r="BB56">
        <v>10.798200000000008</v>
      </c>
      <c r="BC56" s="2">
        <v>45681</v>
      </c>
      <c r="BD56" t="s">
        <v>974</v>
      </c>
      <c r="BE56">
        <v>3</v>
      </c>
      <c r="BF56">
        <v>1.78E-2</v>
      </c>
      <c r="BG56">
        <v>6.8806766393714973</v>
      </c>
      <c r="BH56">
        <v>689.27906278942362</v>
      </c>
      <c r="BI56">
        <v>0.42399999999999999</v>
      </c>
      <c r="BJ56">
        <v>1.37E-2</v>
      </c>
      <c r="BK56">
        <v>10.800000000000011</v>
      </c>
      <c r="BL56" s="2">
        <v>45681</v>
      </c>
      <c r="BM56" t="s">
        <v>1094</v>
      </c>
      <c r="BN56">
        <v>3</v>
      </c>
      <c r="BO56">
        <v>1.77E-2</v>
      </c>
      <c r="BP56">
        <v>6.881960765236629</v>
      </c>
      <c r="BQ56">
        <v>689.39874332005388</v>
      </c>
      <c r="BR56">
        <v>0.42399999999999999</v>
      </c>
      <c r="BS56">
        <v>1.38E-2</v>
      </c>
      <c r="BT56">
        <v>10.796699999999987</v>
      </c>
      <c r="BU56" s="2">
        <v>45681</v>
      </c>
      <c r="BV56" t="s">
        <v>1214</v>
      </c>
      <c r="BW56">
        <v>3</v>
      </c>
      <c r="BX56">
        <v>1.77E-2</v>
      </c>
      <c r="BY56">
        <v>6.882245000232353</v>
      </c>
      <c r="BZ56">
        <v>689.42523402165534</v>
      </c>
      <c r="CA56">
        <v>0.42399999999999999</v>
      </c>
      <c r="CB56">
        <v>1.38E-2</v>
      </c>
      <c r="CC56">
        <v>10.799700000000001</v>
      </c>
      <c r="CD56" s="2">
        <v>45681</v>
      </c>
      <c r="CE56" t="s">
        <v>1334</v>
      </c>
      <c r="CF56">
        <v>4</v>
      </c>
      <c r="CG56">
        <v>1.7500000000000002E-2</v>
      </c>
      <c r="CH56">
        <v>6.881392295245182</v>
      </c>
      <c r="CI56">
        <v>689.34576191685096</v>
      </c>
      <c r="CJ56">
        <v>0.42399999999999999</v>
      </c>
      <c r="CK56">
        <v>1.38E-2</v>
      </c>
      <c r="CL56">
        <v>10.799900000000008</v>
      </c>
      <c r="CM56" s="2">
        <v>45681</v>
      </c>
      <c r="CN56" t="s">
        <v>1454</v>
      </c>
      <c r="CO56">
        <v>4</v>
      </c>
      <c r="CP56">
        <v>1.7399999999999999E-2</v>
      </c>
      <c r="CQ56">
        <v>6.8815001504646727</v>
      </c>
      <c r="CR56">
        <v>689.35581402330752</v>
      </c>
      <c r="CS56">
        <v>0.42399999999999999</v>
      </c>
      <c r="CT56">
        <v>1.38E-2</v>
      </c>
      <c r="CU56">
        <v>10.789500000000004</v>
      </c>
      <c r="CV56" s="2">
        <v>45681</v>
      </c>
      <c r="CW56" t="s">
        <v>1574</v>
      </c>
      <c r="CX56">
        <v>5</v>
      </c>
      <c r="CY56">
        <v>1.7399999999999999E-2</v>
      </c>
      <c r="CZ56">
        <v>6.8806665026027494</v>
      </c>
      <c r="DA56">
        <v>689.27811804257624</v>
      </c>
      <c r="DB56">
        <v>0.42399999999999999</v>
      </c>
      <c r="DC56">
        <v>1.37E-2</v>
      </c>
      <c r="DD56">
        <v>10.797799999999995</v>
      </c>
      <c r="DE56" s="2">
        <v>45681</v>
      </c>
      <c r="DF56" t="s">
        <v>1694</v>
      </c>
      <c r="DG56">
        <v>5</v>
      </c>
      <c r="DH56">
        <v>1.7500000000000002E-2</v>
      </c>
      <c r="DI56">
        <v>6.8774182764247964</v>
      </c>
      <c r="DJ56">
        <v>688.97538336279092</v>
      </c>
      <c r="DK56">
        <v>0.42399999999999999</v>
      </c>
      <c r="DL56">
        <v>1.37E-2</v>
      </c>
      <c r="DM56">
        <v>10.798400000000015</v>
      </c>
      <c r="DN56" s="2">
        <v>45681</v>
      </c>
      <c r="DO56" t="s">
        <v>1814</v>
      </c>
      <c r="DP56">
        <v>5</v>
      </c>
      <c r="DQ56">
        <v>1.7399999999999999E-2</v>
      </c>
      <c r="DR56">
        <v>6.8741846471938421</v>
      </c>
      <c r="DS56">
        <v>688.67400911846607</v>
      </c>
      <c r="DT56">
        <v>0.42399999999999999</v>
      </c>
      <c r="DU56">
        <v>1.3599999999999999E-2</v>
      </c>
      <c r="DV56">
        <v>10.801300000000026</v>
      </c>
      <c r="DW56" s="2">
        <v>45681</v>
      </c>
      <c r="DX56" t="s">
        <v>1932</v>
      </c>
      <c r="DY56">
        <v>6</v>
      </c>
      <c r="DZ56">
        <v>1.7500000000000002E-2</v>
      </c>
      <c r="EA56">
        <v>6.8758462663271906</v>
      </c>
      <c r="EB56">
        <v>688.82887202169422</v>
      </c>
      <c r="EC56">
        <v>0.42399999999999999</v>
      </c>
      <c r="ED56">
        <v>1.37E-2</v>
      </c>
      <c r="EE56">
        <v>10.800099999999986</v>
      </c>
    </row>
    <row r="57" spans="1:135" x14ac:dyDescent="0.3">
      <c r="A57" s="2">
        <v>45681</v>
      </c>
      <c r="B57" t="s">
        <v>252</v>
      </c>
      <c r="C57">
        <v>0</v>
      </c>
      <c r="D57">
        <v>1.9E-2</v>
      </c>
      <c r="E57">
        <v>7.3472883237212843</v>
      </c>
      <c r="F57">
        <v>837.25766192114997</v>
      </c>
      <c r="G57">
        <v>0.42399999999999999</v>
      </c>
      <c r="H57">
        <v>2.1000000000000001E-2</v>
      </c>
      <c r="I57">
        <v>11.001299999999999</v>
      </c>
      <c r="J57" s="2">
        <v>45681</v>
      </c>
      <c r="K57" t="s">
        <v>377</v>
      </c>
      <c r="L57">
        <v>1</v>
      </c>
      <c r="M57">
        <v>1.6E-2</v>
      </c>
      <c r="N57">
        <v>6.6698257673295487</v>
      </c>
      <c r="O57">
        <v>669.627761515114</v>
      </c>
      <c r="P57">
        <v>0.42399999999999999</v>
      </c>
      <c r="Q57">
        <v>1.0500000000000001E-2</v>
      </c>
      <c r="R57">
        <v>11.00067</v>
      </c>
      <c r="S57" s="2">
        <v>45681</v>
      </c>
      <c r="T57" t="s">
        <v>497</v>
      </c>
      <c r="U57">
        <v>1</v>
      </c>
      <c r="V57">
        <v>1.6199999999999999E-2</v>
      </c>
      <c r="W57">
        <v>6.6707129373304683</v>
      </c>
      <c r="X57">
        <v>669.71044575919962</v>
      </c>
      <c r="Y57">
        <v>0.42399999999999999</v>
      </c>
      <c r="Z57">
        <v>1.0500000000000001E-2</v>
      </c>
      <c r="AA57">
        <v>10.99915</v>
      </c>
      <c r="AB57" s="2">
        <v>45681</v>
      </c>
      <c r="AC57" t="s">
        <v>617</v>
      </c>
      <c r="AD57">
        <v>1</v>
      </c>
      <c r="AE57">
        <v>1.6400000000000001E-2</v>
      </c>
      <c r="AF57">
        <v>6.6706869872024699</v>
      </c>
      <c r="AG57">
        <v>669.70802720727022</v>
      </c>
      <c r="AH57">
        <v>0.42399999999999999</v>
      </c>
      <c r="AI57">
        <v>1.0500000000000001E-2</v>
      </c>
      <c r="AJ57">
        <v>10.999980000000008</v>
      </c>
      <c r="AK57" s="2">
        <v>45681</v>
      </c>
      <c r="AL57" t="s">
        <v>735</v>
      </c>
      <c r="AM57">
        <v>2</v>
      </c>
      <c r="AN57">
        <v>1.6500000000000001E-2</v>
      </c>
      <c r="AO57">
        <v>6.6704084287972458</v>
      </c>
      <c r="AP57">
        <v>669.68206556390328</v>
      </c>
      <c r="AQ57">
        <v>0.42399999999999999</v>
      </c>
      <c r="AR57">
        <v>1.0500000000000001E-2</v>
      </c>
      <c r="AS57">
        <v>10.997900000000001</v>
      </c>
      <c r="AT57" s="2">
        <v>45681</v>
      </c>
      <c r="AU57" t="s">
        <v>855</v>
      </c>
      <c r="AV57">
        <v>2</v>
      </c>
      <c r="AW57">
        <v>1.6799999999999999E-2</v>
      </c>
      <c r="AX57">
        <v>6.6719033994523604</v>
      </c>
      <c r="AY57">
        <v>669.82139682895991</v>
      </c>
      <c r="AZ57">
        <v>0.42399999999999999</v>
      </c>
      <c r="BA57">
        <v>1.0500000000000001E-2</v>
      </c>
      <c r="BB57">
        <v>10.9983</v>
      </c>
      <c r="BC57" s="2">
        <v>45681</v>
      </c>
      <c r="BD57" t="s">
        <v>975</v>
      </c>
      <c r="BE57">
        <v>3</v>
      </c>
      <c r="BF57">
        <v>1.7000000000000001E-2</v>
      </c>
      <c r="BG57">
        <v>6.6709237821204486</v>
      </c>
      <c r="BH57">
        <v>669.73009649362587</v>
      </c>
      <c r="BI57">
        <v>0.42399999999999999</v>
      </c>
      <c r="BJ57">
        <v>1.0500000000000001E-2</v>
      </c>
      <c r="BK57">
        <v>11.000900000000001</v>
      </c>
      <c r="BL57" s="2">
        <v>45681</v>
      </c>
      <c r="BM57" t="s">
        <v>1095</v>
      </c>
      <c r="BN57">
        <v>3</v>
      </c>
      <c r="BO57">
        <v>1.66E-2</v>
      </c>
      <c r="BP57">
        <v>6.6726044583790429</v>
      </c>
      <c r="BQ57">
        <v>669.88673552092678</v>
      </c>
      <c r="BR57">
        <v>0.42399999999999999</v>
      </c>
      <c r="BS57">
        <v>1.0500000000000001E-2</v>
      </c>
      <c r="BT57">
        <v>10.997299999999996</v>
      </c>
      <c r="BU57" s="2">
        <v>45681</v>
      </c>
      <c r="BV57" t="s">
        <v>1215</v>
      </c>
      <c r="BW57">
        <v>3</v>
      </c>
      <c r="BX57">
        <v>1.6899999999999998E-2</v>
      </c>
      <c r="BY57">
        <v>6.6715834830306369</v>
      </c>
      <c r="BZ57">
        <v>669.79158061845533</v>
      </c>
      <c r="CA57">
        <v>0.42399999999999999</v>
      </c>
      <c r="CB57">
        <v>1.0500000000000001E-2</v>
      </c>
      <c r="CC57">
        <v>11.001499999999993</v>
      </c>
      <c r="CD57" s="2">
        <v>45681</v>
      </c>
      <c r="CE57" t="s">
        <v>1335</v>
      </c>
      <c r="CF57">
        <v>4</v>
      </c>
      <c r="CG57">
        <v>1.66E-2</v>
      </c>
      <c r="CH57">
        <v>6.6733468753222258</v>
      </c>
      <c r="CI57">
        <v>669.95592878003151</v>
      </c>
      <c r="CJ57">
        <v>0.42399999999999999</v>
      </c>
      <c r="CK57">
        <v>1.0500000000000001E-2</v>
      </c>
      <c r="CL57">
        <v>10.999200000000002</v>
      </c>
      <c r="CM57" s="2">
        <v>45681</v>
      </c>
      <c r="CN57" t="s">
        <v>1455</v>
      </c>
      <c r="CO57">
        <v>4</v>
      </c>
      <c r="CP57">
        <v>1.67E-2</v>
      </c>
      <c r="CQ57">
        <v>6.6702843547477562</v>
      </c>
      <c r="CR57">
        <v>669.67050186249094</v>
      </c>
      <c r="CS57">
        <v>0.42399999999999999</v>
      </c>
      <c r="CT57">
        <v>1.0500000000000001E-2</v>
      </c>
      <c r="CU57">
        <v>10.991799999999984</v>
      </c>
      <c r="CV57" s="2">
        <v>45681</v>
      </c>
      <c r="CW57" t="s">
        <v>1575</v>
      </c>
      <c r="CX57">
        <v>5</v>
      </c>
      <c r="CY57">
        <v>1.66E-2</v>
      </c>
      <c r="CZ57">
        <v>6.6711605770384246</v>
      </c>
      <c r="DA57">
        <v>669.75216577998128</v>
      </c>
      <c r="DB57">
        <v>0.42399999999999999</v>
      </c>
      <c r="DC57">
        <v>1.0500000000000001E-2</v>
      </c>
      <c r="DD57">
        <v>10.998400000000004</v>
      </c>
      <c r="DE57" s="2">
        <v>45681</v>
      </c>
      <c r="DF57" t="s">
        <v>1695</v>
      </c>
      <c r="DG57">
        <v>5</v>
      </c>
      <c r="DH57">
        <v>1.6899999999999998E-2</v>
      </c>
      <c r="DI57">
        <v>6.6674176765455178</v>
      </c>
      <c r="DJ57">
        <v>669.40332745404226</v>
      </c>
      <c r="DK57">
        <v>0.42399999999999999</v>
      </c>
      <c r="DL57">
        <v>1.04E-2</v>
      </c>
      <c r="DM57">
        <v>10.999300000000005</v>
      </c>
      <c r="DN57" s="2">
        <v>45681</v>
      </c>
      <c r="DO57" t="s">
        <v>1815</v>
      </c>
      <c r="DP57">
        <v>5</v>
      </c>
      <c r="DQ57">
        <v>1.66E-2</v>
      </c>
      <c r="DR57">
        <v>6.665757273824422</v>
      </c>
      <c r="DS57">
        <v>669.24857792043611</v>
      </c>
      <c r="DT57">
        <v>0.42399999999999999</v>
      </c>
      <c r="DU57">
        <v>1.04E-2</v>
      </c>
      <c r="DV57">
        <v>11.00060000000002</v>
      </c>
      <c r="DW57" s="2">
        <v>45681</v>
      </c>
      <c r="DX57" t="s">
        <v>1933</v>
      </c>
      <c r="DY57">
        <v>6</v>
      </c>
      <c r="DZ57">
        <v>1.7000000000000001E-2</v>
      </c>
      <c r="EA57">
        <v>6.667087623355048</v>
      </c>
      <c r="EB57">
        <v>669.37256649669052</v>
      </c>
      <c r="EC57">
        <v>0.42399999999999999</v>
      </c>
      <c r="ED57">
        <v>1.04E-2</v>
      </c>
      <c r="EE57">
        <v>10.999900000000025</v>
      </c>
    </row>
    <row r="58" spans="1:135" x14ac:dyDescent="0.3">
      <c r="A58" s="2">
        <v>45681</v>
      </c>
      <c r="B58" t="s">
        <v>253</v>
      </c>
      <c r="C58">
        <v>0</v>
      </c>
      <c r="D58">
        <v>2.0199999999999999E-2</v>
      </c>
      <c r="E58">
        <v>7.3140932443633222</v>
      </c>
      <c r="F58">
        <v>729.6734903746617</v>
      </c>
      <c r="G58">
        <v>0.42399999999999999</v>
      </c>
      <c r="H58">
        <v>2.0500000000000001E-2</v>
      </c>
      <c r="I58">
        <v>11.197540000000002</v>
      </c>
      <c r="J58" s="2">
        <v>45681</v>
      </c>
      <c r="K58" t="s">
        <v>378</v>
      </c>
      <c r="L58">
        <v>1</v>
      </c>
      <c r="M58">
        <v>1.29E-2</v>
      </c>
      <c r="N58">
        <v>6.4598190853890216</v>
      </c>
      <c r="O58">
        <v>650.05513875825682</v>
      </c>
      <c r="P58">
        <v>0.42399999999999999</v>
      </c>
      <c r="Q58">
        <v>7.1999999999999998E-3</v>
      </c>
      <c r="R58">
        <v>11.201920000000001</v>
      </c>
      <c r="S58" s="2">
        <v>45681</v>
      </c>
      <c r="T58" t="s">
        <v>498</v>
      </c>
      <c r="U58">
        <v>1</v>
      </c>
      <c r="V58">
        <v>1.32E-2</v>
      </c>
      <c r="W58">
        <v>6.4611514622733992</v>
      </c>
      <c r="X58">
        <v>650.17931628388078</v>
      </c>
      <c r="Y58">
        <v>0.42399999999999999</v>
      </c>
      <c r="Z58">
        <v>7.1999999999999998E-3</v>
      </c>
      <c r="AA58">
        <v>11.199910000000003</v>
      </c>
      <c r="AB58" s="2">
        <v>45681</v>
      </c>
      <c r="AC58" t="s">
        <v>618</v>
      </c>
      <c r="AD58">
        <v>1</v>
      </c>
      <c r="AE58">
        <v>1.35E-2</v>
      </c>
      <c r="AF58">
        <v>6.4627198231342557</v>
      </c>
      <c r="AG58">
        <v>650.32548751611262</v>
      </c>
      <c r="AH58">
        <v>0.42399999999999999</v>
      </c>
      <c r="AI58">
        <v>7.3000000000000001E-3</v>
      </c>
      <c r="AJ58">
        <v>11.199169999999995</v>
      </c>
      <c r="AK58" s="2">
        <v>45681</v>
      </c>
      <c r="AL58" t="s">
        <v>736</v>
      </c>
      <c r="AM58">
        <v>2</v>
      </c>
      <c r="AN58">
        <v>1.37E-2</v>
      </c>
      <c r="AO58">
        <v>6.4609260205364203</v>
      </c>
      <c r="AP58">
        <v>650.1583051139944</v>
      </c>
      <c r="AQ58">
        <v>0.42399999999999999</v>
      </c>
      <c r="AR58">
        <v>7.1999999999999998E-3</v>
      </c>
      <c r="AS58">
        <v>11.198599999999999</v>
      </c>
      <c r="AT58" s="2">
        <v>45681</v>
      </c>
      <c r="AU58" t="s">
        <v>856</v>
      </c>
      <c r="AV58">
        <v>2</v>
      </c>
      <c r="AW58">
        <v>1.43E-2</v>
      </c>
      <c r="AX58">
        <v>6.4610237389871612</v>
      </c>
      <c r="AY58">
        <v>650.16741247360346</v>
      </c>
      <c r="AZ58">
        <v>0.42399999999999999</v>
      </c>
      <c r="BA58">
        <v>7.1999999999999998E-3</v>
      </c>
      <c r="BB58">
        <v>11.200300000000027</v>
      </c>
      <c r="BC58" s="2">
        <v>45681</v>
      </c>
      <c r="BD58" t="s">
        <v>976</v>
      </c>
      <c r="BE58">
        <v>3</v>
      </c>
      <c r="BF58">
        <v>1.46E-2</v>
      </c>
      <c r="BG58">
        <v>6.4641324832271279</v>
      </c>
      <c r="BH58">
        <v>650.45714743676831</v>
      </c>
      <c r="BI58">
        <v>0.42399999999999999</v>
      </c>
      <c r="BJ58">
        <v>7.3000000000000001E-3</v>
      </c>
      <c r="BK58">
        <v>11.198900000000009</v>
      </c>
      <c r="BL58" s="2">
        <v>45681</v>
      </c>
      <c r="BM58" t="s">
        <v>1096</v>
      </c>
      <c r="BN58">
        <v>3</v>
      </c>
      <c r="BO58">
        <v>1.44E-2</v>
      </c>
      <c r="BP58">
        <v>6.4644759169523454</v>
      </c>
      <c r="BQ58">
        <v>650.48915545995862</v>
      </c>
      <c r="BR58">
        <v>0.42399999999999999</v>
      </c>
      <c r="BS58">
        <v>7.3000000000000001E-3</v>
      </c>
      <c r="BT58">
        <v>11.196500000000015</v>
      </c>
      <c r="BU58" s="2">
        <v>45681</v>
      </c>
      <c r="BV58" t="s">
        <v>1216</v>
      </c>
      <c r="BW58">
        <v>3</v>
      </c>
      <c r="BX58">
        <v>1.49E-2</v>
      </c>
      <c r="BY58">
        <v>6.4645051108463436</v>
      </c>
      <c r="BZ58">
        <v>650.49187633087922</v>
      </c>
      <c r="CA58">
        <v>0.42399999999999999</v>
      </c>
      <c r="CB58">
        <v>7.3000000000000001E-3</v>
      </c>
      <c r="CC58">
        <v>11.19980000000001</v>
      </c>
      <c r="CD58" s="2">
        <v>45681</v>
      </c>
      <c r="CE58" t="s">
        <v>1336</v>
      </c>
      <c r="CF58">
        <v>4</v>
      </c>
      <c r="CG58">
        <v>1.46E-2</v>
      </c>
      <c r="CH58">
        <v>6.4624546452637812</v>
      </c>
      <c r="CI58">
        <v>650.30077293858437</v>
      </c>
      <c r="CJ58">
        <v>0.42399999999999999</v>
      </c>
      <c r="CK58">
        <v>7.3000000000000001E-3</v>
      </c>
      <c r="CL58">
        <v>11.201099999999997</v>
      </c>
      <c r="CM58" s="2">
        <v>45681</v>
      </c>
      <c r="CN58" t="s">
        <v>1456</v>
      </c>
      <c r="CO58">
        <v>4</v>
      </c>
      <c r="CP58">
        <v>1.4800000000000001E-2</v>
      </c>
      <c r="CQ58">
        <v>6.4647013586893252</v>
      </c>
      <c r="CR58">
        <v>650.51016662984512</v>
      </c>
      <c r="CS58">
        <v>0.42399999999999999</v>
      </c>
      <c r="CT58">
        <v>7.3000000000000001E-3</v>
      </c>
      <c r="CU58">
        <v>11.18859999999998</v>
      </c>
      <c r="CV58" s="2">
        <v>45681</v>
      </c>
      <c r="CW58" t="s">
        <v>1576</v>
      </c>
      <c r="CX58">
        <v>5</v>
      </c>
      <c r="CY58">
        <v>1.46E-2</v>
      </c>
      <c r="CZ58">
        <v>6.460984408324415</v>
      </c>
      <c r="DA58">
        <v>650.16374685583548</v>
      </c>
      <c r="DB58">
        <v>0.42399999999999999</v>
      </c>
      <c r="DC58">
        <v>7.1999999999999998E-3</v>
      </c>
      <c r="DD58">
        <v>11.199800000000039</v>
      </c>
      <c r="DE58" s="2">
        <v>45681</v>
      </c>
      <c r="DF58" t="s">
        <v>1696</v>
      </c>
      <c r="DG58">
        <v>5</v>
      </c>
      <c r="DH58">
        <v>1.52E-2</v>
      </c>
      <c r="DI58">
        <v>6.4610136022184133</v>
      </c>
      <c r="DJ58">
        <v>650.16646772675608</v>
      </c>
      <c r="DK58">
        <v>0.42399999999999999</v>
      </c>
      <c r="DL58">
        <v>7.1999999999999998E-3</v>
      </c>
      <c r="DM58">
        <v>11.197200000000009</v>
      </c>
      <c r="DN58" s="2">
        <v>45681</v>
      </c>
      <c r="DO58" t="s">
        <v>1816</v>
      </c>
      <c r="DP58">
        <v>5</v>
      </c>
      <c r="DQ58">
        <v>1.4999999999999999E-2</v>
      </c>
      <c r="DR58">
        <v>6.4595344449225482</v>
      </c>
      <c r="DS58">
        <v>650.02861026678147</v>
      </c>
      <c r="DT58">
        <v>0.42399999999999999</v>
      </c>
      <c r="DU58">
        <v>7.1999999999999998E-3</v>
      </c>
      <c r="DV58">
        <v>11.198300000000017</v>
      </c>
      <c r="DW58" s="2">
        <v>45681</v>
      </c>
      <c r="DX58" t="s">
        <v>1934</v>
      </c>
      <c r="DY58">
        <v>6</v>
      </c>
      <c r="DZ58">
        <v>1.5299999999999999E-2</v>
      </c>
      <c r="EA58">
        <v>6.4578217364747044</v>
      </c>
      <c r="EB58">
        <v>649.86898583944242</v>
      </c>
      <c r="EC58">
        <v>0.42399999999999999</v>
      </c>
      <c r="ED58">
        <v>7.1999999999999998E-3</v>
      </c>
      <c r="EE58">
        <v>11.200499999999977</v>
      </c>
    </row>
    <row r="59" spans="1:135" x14ac:dyDescent="0.3">
      <c r="A59" s="2">
        <v>45681</v>
      </c>
      <c r="B59" t="s">
        <v>254</v>
      </c>
      <c r="C59">
        <v>0</v>
      </c>
      <c r="D59">
        <v>2.01E-2</v>
      </c>
      <c r="E59">
        <v>7.2174801068866676</v>
      </c>
      <c r="F59">
        <v>720.66914596183744</v>
      </c>
      <c r="G59">
        <v>0.42399999999999999</v>
      </c>
      <c r="H59">
        <v>1.9E-2</v>
      </c>
      <c r="I59">
        <v>11.398339999999999</v>
      </c>
      <c r="J59" s="2">
        <v>45681</v>
      </c>
      <c r="K59" t="s">
        <v>379</v>
      </c>
      <c r="L59">
        <v>1</v>
      </c>
      <c r="M59">
        <v>8.8000000000000005E-3</v>
      </c>
      <c r="N59">
        <v>6.2736713160531856</v>
      </c>
      <c r="O59">
        <v>632.70616665615694</v>
      </c>
      <c r="P59">
        <v>0.42399999999999999</v>
      </c>
      <c r="Q59">
        <v>4.3E-3</v>
      </c>
      <c r="R59">
        <v>11.399810000000002</v>
      </c>
      <c r="S59" s="2">
        <v>45681</v>
      </c>
      <c r="T59" t="s">
        <v>499</v>
      </c>
      <c r="U59">
        <v>1</v>
      </c>
      <c r="V59">
        <v>9.4999999999999998E-3</v>
      </c>
      <c r="W59">
        <v>6.2724844220738953</v>
      </c>
      <c r="X59">
        <v>632.5955481372871</v>
      </c>
      <c r="Y59">
        <v>0.42399999999999999</v>
      </c>
      <c r="Z59">
        <v>4.3E-3</v>
      </c>
      <c r="AA59">
        <v>11.400499999999994</v>
      </c>
      <c r="AB59" s="2">
        <v>45681</v>
      </c>
      <c r="AC59" t="s">
        <v>619</v>
      </c>
      <c r="AD59">
        <v>1</v>
      </c>
      <c r="AE59">
        <v>0.01</v>
      </c>
      <c r="AF59">
        <v>6.2743425323326747</v>
      </c>
      <c r="AG59">
        <v>632.76872401340529</v>
      </c>
      <c r="AH59">
        <v>0.42399999999999999</v>
      </c>
      <c r="AI59">
        <v>4.3E-3</v>
      </c>
      <c r="AJ59">
        <v>11.399150000000006</v>
      </c>
      <c r="AK59" s="2">
        <v>45681</v>
      </c>
      <c r="AL59" t="s">
        <v>737</v>
      </c>
      <c r="AM59">
        <v>2</v>
      </c>
      <c r="AN59">
        <v>1.0200000000000001E-2</v>
      </c>
      <c r="AO59">
        <v>6.2739171124218149</v>
      </c>
      <c r="AP59">
        <v>632.72907487771317</v>
      </c>
      <c r="AQ59">
        <v>0.42399999999999999</v>
      </c>
      <c r="AR59">
        <v>4.3E-3</v>
      </c>
      <c r="AS59">
        <v>11.397300000000001</v>
      </c>
      <c r="AT59" s="2">
        <v>45681</v>
      </c>
      <c r="AU59" t="s">
        <v>857</v>
      </c>
      <c r="AV59">
        <v>2</v>
      </c>
      <c r="AW59">
        <v>1.0200000000000001E-2</v>
      </c>
      <c r="AX59">
        <v>6.2738837421790921</v>
      </c>
      <c r="AY59">
        <v>632.72596477109141</v>
      </c>
      <c r="AZ59">
        <v>0.42399999999999999</v>
      </c>
      <c r="BA59">
        <v>4.3E-3</v>
      </c>
      <c r="BB59">
        <v>11.399200000000008</v>
      </c>
      <c r="BC59" s="2">
        <v>45681</v>
      </c>
      <c r="BD59" t="s">
        <v>977</v>
      </c>
      <c r="BE59">
        <v>3</v>
      </c>
      <c r="BF59">
        <v>1.11E-2</v>
      </c>
      <c r="BG59">
        <v>6.2749850412830668</v>
      </c>
      <c r="BH59">
        <v>632.8286058475818</v>
      </c>
      <c r="BI59">
        <v>0.42399999999999999</v>
      </c>
      <c r="BJ59">
        <v>4.3E-3</v>
      </c>
      <c r="BK59">
        <v>11.399500000000018</v>
      </c>
      <c r="BL59" s="2">
        <v>45681</v>
      </c>
      <c r="BM59" t="s">
        <v>1097</v>
      </c>
      <c r="BN59">
        <v>3</v>
      </c>
      <c r="BO59">
        <v>1.0800000000000001E-2</v>
      </c>
      <c r="BP59">
        <v>6.2754945152803954</v>
      </c>
      <c r="BQ59">
        <v>632.87608882413292</v>
      </c>
      <c r="BR59">
        <v>0.42399999999999999</v>
      </c>
      <c r="BS59">
        <v>4.3E-3</v>
      </c>
      <c r="BT59">
        <v>11.396899999999988</v>
      </c>
      <c r="BU59" s="2">
        <v>45681</v>
      </c>
      <c r="BV59" t="s">
        <v>1217</v>
      </c>
      <c r="BW59">
        <v>3</v>
      </c>
      <c r="BX59">
        <v>1.12E-2</v>
      </c>
      <c r="BY59">
        <v>6.2761548243967091</v>
      </c>
      <c r="BZ59">
        <v>632.93762963377333</v>
      </c>
      <c r="CA59">
        <v>0.42399999999999999</v>
      </c>
      <c r="CB59">
        <v>4.4000000000000003E-3</v>
      </c>
      <c r="CC59">
        <v>11.399399999999986</v>
      </c>
      <c r="CD59" s="2">
        <v>45681</v>
      </c>
      <c r="CE59" t="s">
        <v>1337</v>
      </c>
      <c r="CF59">
        <v>4</v>
      </c>
      <c r="CG59">
        <v>1.14E-2</v>
      </c>
      <c r="CH59">
        <v>6.2758788204572094</v>
      </c>
      <c r="CI59">
        <v>632.91190606661189</v>
      </c>
      <c r="CJ59">
        <v>0.42399999999999999</v>
      </c>
      <c r="CK59">
        <v>4.4000000000000003E-3</v>
      </c>
      <c r="CL59">
        <v>11.399100000000004</v>
      </c>
      <c r="CM59" s="2">
        <v>45681</v>
      </c>
      <c r="CN59" t="s">
        <v>1457</v>
      </c>
      <c r="CO59">
        <v>4</v>
      </c>
      <c r="CP59">
        <v>1.1599999999999999E-2</v>
      </c>
      <c r="CQ59">
        <v>6.2742003742877372</v>
      </c>
      <c r="CR59">
        <v>632.75547488361713</v>
      </c>
      <c r="CS59">
        <v>0.42399999999999999</v>
      </c>
      <c r="CT59">
        <v>4.3E-3</v>
      </c>
      <c r="CU59">
        <v>11.39070000000001</v>
      </c>
      <c r="CV59" s="2">
        <v>45681</v>
      </c>
      <c r="CW59" t="s">
        <v>1577</v>
      </c>
      <c r="CX59">
        <v>5</v>
      </c>
      <c r="CY59">
        <v>1.18E-2</v>
      </c>
      <c r="CZ59">
        <v>6.2730251173189702</v>
      </c>
      <c r="DA59">
        <v>632.64594093412802</v>
      </c>
      <c r="DB59">
        <v>0.42399999999999999</v>
      </c>
      <c r="DC59">
        <v>4.3E-3</v>
      </c>
      <c r="DD59">
        <v>11.399600000000021</v>
      </c>
      <c r="DE59" s="2">
        <v>45681</v>
      </c>
      <c r="DF59" t="s">
        <v>1697</v>
      </c>
      <c r="DG59">
        <v>5</v>
      </c>
      <c r="DH59">
        <v>1.21E-2</v>
      </c>
      <c r="DI59">
        <v>6.2726170921032827</v>
      </c>
      <c r="DJ59">
        <v>632.60791298402592</v>
      </c>
      <c r="DK59">
        <v>0.42399999999999999</v>
      </c>
      <c r="DL59">
        <v>4.3E-3</v>
      </c>
      <c r="DM59">
        <v>11.397400000000005</v>
      </c>
      <c r="DN59" s="2">
        <v>45681</v>
      </c>
      <c r="DO59" t="s">
        <v>1817</v>
      </c>
      <c r="DP59">
        <v>5</v>
      </c>
      <c r="DQ59">
        <v>1.21E-2</v>
      </c>
      <c r="DR59">
        <v>6.2712283142375851</v>
      </c>
      <c r="DS59">
        <v>632.47847888694298</v>
      </c>
      <c r="DT59">
        <v>0.42399999999999999</v>
      </c>
      <c r="DU59">
        <v>4.3E-3</v>
      </c>
      <c r="DV59">
        <v>11.398799999999994</v>
      </c>
      <c r="DW59" s="2">
        <v>45681</v>
      </c>
      <c r="DX59" t="s">
        <v>1935</v>
      </c>
      <c r="DY59">
        <v>6</v>
      </c>
      <c r="DZ59">
        <v>1.26E-2</v>
      </c>
      <c r="EA59">
        <v>6.2706385975788388</v>
      </c>
      <c r="EB59">
        <v>632.42351729434779</v>
      </c>
      <c r="EC59">
        <v>0.42399999999999999</v>
      </c>
      <c r="ED59">
        <v>4.3E-3</v>
      </c>
      <c r="EE59">
        <v>11.399999999999977</v>
      </c>
    </row>
    <row r="60" spans="1:135" x14ac:dyDescent="0.3">
      <c r="A60" s="2">
        <v>45681</v>
      </c>
      <c r="B60" t="s">
        <v>255</v>
      </c>
      <c r="C60">
        <v>0</v>
      </c>
      <c r="D60">
        <v>1.9400000000000001E-2</v>
      </c>
      <c r="E60">
        <v>7.0682015901095836</v>
      </c>
      <c r="F60">
        <v>706.75638819821324</v>
      </c>
      <c r="G60">
        <v>0.42399999999999999</v>
      </c>
      <c r="H60">
        <v>1.67E-2</v>
      </c>
      <c r="I60">
        <v>11.59775</v>
      </c>
      <c r="J60" s="2">
        <v>45681</v>
      </c>
      <c r="K60" t="s">
        <v>380</v>
      </c>
      <c r="L60">
        <v>1</v>
      </c>
      <c r="M60">
        <v>4.5999999999999999E-3</v>
      </c>
      <c r="N60">
        <v>6.1225818047184672</v>
      </c>
      <c r="O60">
        <v>618.62462419976112</v>
      </c>
      <c r="P60">
        <v>0.42399999999999999</v>
      </c>
      <c r="Q60">
        <v>2E-3</v>
      </c>
      <c r="R60">
        <v>11.602640000000001</v>
      </c>
      <c r="S60" s="2">
        <v>45681</v>
      </c>
      <c r="T60" t="s">
        <v>500</v>
      </c>
      <c r="U60">
        <v>1</v>
      </c>
      <c r="V60">
        <v>5.4000000000000003E-3</v>
      </c>
      <c r="W60">
        <v>6.1232019316834601</v>
      </c>
      <c r="X60">
        <v>618.68242003289845</v>
      </c>
      <c r="Y60">
        <v>0.42399999999999999</v>
      </c>
      <c r="Z60">
        <v>2E-3</v>
      </c>
      <c r="AA60">
        <v>11.600949999999997</v>
      </c>
      <c r="AB60" s="2">
        <v>45681</v>
      </c>
      <c r="AC60" t="s">
        <v>620</v>
      </c>
      <c r="AD60">
        <v>1</v>
      </c>
      <c r="AE60">
        <v>5.7000000000000002E-3</v>
      </c>
      <c r="AF60">
        <v>6.1248611990864568</v>
      </c>
      <c r="AG60">
        <v>618.83706375485781</v>
      </c>
      <c r="AH60">
        <v>0.42399999999999999</v>
      </c>
      <c r="AI60">
        <v>2E-3</v>
      </c>
      <c r="AJ60">
        <v>11.599090000000004</v>
      </c>
      <c r="AK60" s="2">
        <v>45681</v>
      </c>
      <c r="AL60" t="s">
        <v>738</v>
      </c>
      <c r="AM60">
        <v>2</v>
      </c>
      <c r="AN60">
        <v>6.0000000000000001E-3</v>
      </c>
      <c r="AO60">
        <v>6.1240136841248853</v>
      </c>
      <c r="AP60">
        <v>618.75807536043931</v>
      </c>
      <c r="AQ60">
        <v>0.42399999999999999</v>
      </c>
      <c r="AR60">
        <v>2E-3</v>
      </c>
      <c r="AS60">
        <v>11.598199999999991</v>
      </c>
      <c r="AT60" s="2">
        <v>45681</v>
      </c>
      <c r="AU60" t="s">
        <v>858</v>
      </c>
      <c r="AV60">
        <v>2</v>
      </c>
      <c r="AW60">
        <v>6.3E-3</v>
      </c>
      <c r="AX60">
        <v>6.1246490162430014</v>
      </c>
      <c r="AY60">
        <v>618.81728831384771</v>
      </c>
      <c r="AZ60">
        <v>0.42399999999999999</v>
      </c>
      <c r="BA60">
        <v>2E-3</v>
      </c>
      <c r="BB60">
        <v>11.598900000000015</v>
      </c>
      <c r="BC60" s="2">
        <v>45681</v>
      </c>
      <c r="BD60" t="s">
        <v>978</v>
      </c>
      <c r="BE60">
        <v>3</v>
      </c>
      <c r="BF60">
        <v>6.6E-3</v>
      </c>
      <c r="BG60">
        <v>6.1248126236906124</v>
      </c>
      <c r="BH60">
        <v>618.83253652796509</v>
      </c>
      <c r="BI60">
        <v>0.42399999999999999</v>
      </c>
      <c r="BJ60">
        <v>2E-3</v>
      </c>
      <c r="BK60">
        <v>11.600300000000004</v>
      </c>
      <c r="BL60" s="2">
        <v>45681</v>
      </c>
      <c r="BM60" t="s">
        <v>1098</v>
      </c>
      <c r="BN60">
        <v>3</v>
      </c>
      <c r="BO60">
        <v>6.7000000000000002E-3</v>
      </c>
      <c r="BP60">
        <v>6.1247459237522426</v>
      </c>
      <c r="BQ60">
        <v>618.826320093709</v>
      </c>
      <c r="BR60">
        <v>0.42399999999999999</v>
      </c>
      <c r="BS60">
        <v>2E-3</v>
      </c>
      <c r="BT60">
        <v>11.598399999999998</v>
      </c>
      <c r="BU60" s="2">
        <v>45681</v>
      </c>
      <c r="BV60" t="s">
        <v>1218</v>
      </c>
      <c r="BW60">
        <v>3</v>
      </c>
      <c r="BX60">
        <v>7.0000000000000001E-3</v>
      </c>
      <c r="BY60">
        <v>6.1253221382350151</v>
      </c>
      <c r="BZ60">
        <v>618.88002328350342</v>
      </c>
      <c r="CA60">
        <v>0.42399999999999999</v>
      </c>
      <c r="CB60">
        <v>2E-3</v>
      </c>
      <c r="CC60">
        <v>11.600799999999992</v>
      </c>
      <c r="CD60" s="2">
        <v>45681</v>
      </c>
      <c r="CE60" t="s">
        <v>1338</v>
      </c>
      <c r="CF60">
        <v>4</v>
      </c>
      <c r="CG60">
        <v>7.3000000000000001E-3</v>
      </c>
      <c r="CH60">
        <v>6.1255346860021467</v>
      </c>
      <c r="CI60">
        <v>618.89983273540008</v>
      </c>
      <c r="CJ60">
        <v>0.42399999999999999</v>
      </c>
      <c r="CK60">
        <v>2E-3</v>
      </c>
      <c r="CL60">
        <v>11.599700000000013</v>
      </c>
      <c r="CM60" s="2">
        <v>45681</v>
      </c>
      <c r="CN60" t="s">
        <v>1458</v>
      </c>
      <c r="CO60">
        <v>4</v>
      </c>
      <c r="CP60">
        <v>7.6E-3</v>
      </c>
      <c r="CQ60">
        <v>6.1258934059746393</v>
      </c>
      <c r="CR60">
        <v>618.93326543683645</v>
      </c>
      <c r="CS60">
        <v>0.42399999999999999</v>
      </c>
      <c r="CT60">
        <v>2E-3</v>
      </c>
      <c r="CU60">
        <v>11.58880000000002</v>
      </c>
      <c r="CV60" s="2">
        <v>45681</v>
      </c>
      <c r="CW60" t="s">
        <v>1578</v>
      </c>
      <c r="CX60">
        <v>5</v>
      </c>
      <c r="CY60">
        <v>7.7000000000000002E-3</v>
      </c>
      <c r="CZ60">
        <v>6.1245639890267354</v>
      </c>
      <c r="DA60">
        <v>618.80936377729176</v>
      </c>
      <c r="DB60">
        <v>0.42399999999999999</v>
      </c>
      <c r="DC60">
        <v>2E-3</v>
      </c>
      <c r="DD60">
        <v>11.598500000000001</v>
      </c>
      <c r="DE60" s="2">
        <v>45681</v>
      </c>
      <c r="DF60" t="s">
        <v>1698</v>
      </c>
      <c r="DG60">
        <v>5</v>
      </c>
      <c r="DH60">
        <v>8.2000000000000007E-3</v>
      </c>
      <c r="DI60">
        <v>6.1239287785498444</v>
      </c>
      <c r="DJ60">
        <v>618.75016216084543</v>
      </c>
      <c r="DK60">
        <v>0.42399999999999999</v>
      </c>
      <c r="DL60">
        <v>2E-3</v>
      </c>
      <c r="DM60">
        <v>11.596900000000005</v>
      </c>
      <c r="DN60" s="2">
        <v>45681</v>
      </c>
      <c r="DO60" t="s">
        <v>1818</v>
      </c>
      <c r="DP60">
        <v>5</v>
      </c>
      <c r="DQ60">
        <v>7.9000000000000008E-3</v>
      </c>
      <c r="DR60">
        <v>6.1221156755443094</v>
      </c>
      <c r="DS60">
        <v>618.58118096072963</v>
      </c>
      <c r="DT60">
        <v>0.42399999999999999</v>
      </c>
      <c r="DU60">
        <v>2E-3</v>
      </c>
      <c r="DV60">
        <v>11.599500000000035</v>
      </c>
      <c r="DW60" s="2">
        <v>45681</v>
      </c>
      <c r="DX60" t="s">
        <v>1936</v>
      </c>
      <c r="DY60">
        <v>6</v>
      </c>
      <c r="DZ60">
        <v>8.9999999999999993E-3</v>
      </c>
      <c r="EA60">
        <v>6.1214259292515472</v>
      </c>
      <c r="EB60">
        <v>618.51689660624425</v>
      </c>
      <c r="EC60">
        <v>0.42399999999999999</v>
      </c>
      <c r="ED60">
        <v>2E-3</v>
      </c>
      <c r="EE60">
        <v>11.601099999999974</v>
      </c>
    </row>
    <row r="61" spans="1:135" x14ac:dyDescent="0.3">
      <c r="A61" s="2">
        <v>45681</v>
      </c>
      <c r="B61" t="s">
        <v>256</v>
      </c>
      <c r="C61">
        <v>0</v>
      </c>
      <c r="D61">
        <v>1.7899999999999999E-2</v>
      </c>
      <c r="E61">
        <v>6.8794484684698611</v>
      </c>
      <c r="F61">
        <v>689.16459726139112</v>
      </c>
      <c r="G61">
        <v>0.42399999999999999</v>
      </c>
      <c r="H61">
        <v>1.37E-2</v>
      </c>
      <c r="I61">
        <v>11.798019999999999</v>
      </c>
      <c r="J61" s="2">
        <v>45681</v>
      </c>
      <c r="K61" t="s">
        <v>381</v>
      </c>
      <c r="L61">
        <v>1</v>
      </c>
      <c r="M61">
        <v>2E-3</v>
      </c>
      <c r="N61">
        <v>6.0285126231647377</v>
      </c>
      <c r="O61">
        <v>609.8573764789536</v>
      </c>
      <c r="P61">
        <v>0.42399999999999999</v>
      </c>
      <c r="Q61">
        <v>5.0000000000000001E-4</v>
      </c>
      <c r="R61">
        <v>11.799979999999998</v>
      </c>
      <c r="S61" s="2">
        <v>45681</v>
      </c>
      <c r="T61" t="s">
        <v>501</v>
      </c>
      <c r="U61">
        <v>1</v>
      </c>
      <c r="V61">
        <v>1.9E-3</v>
      </c>
      <c r="W61">
        <v>6.0281866409005973</v>
      </c>
      <c r="X61">
        <v>609.8269949319357</v>
      </c>
      <c r="Y61">
        <v>0.42399999999999999</v>
      </c>
      <c r="Z61">
        <v>5.0000000000000001E-4</v>
      </c>
      <c r="AA61">
        <v>11.800290000000004</v>
      </c>
      <c r="AB61" s="2">
        <v>45681</v>
      </c>
      <c r="AC61" t="s">
        <v>621</v>
      </c>
      <c r="AD61">
        <v>1</v>
      </c>
      <c r="AE61">
        <v>1.9E-3</v>
      </c>
      <c r="AF61">
        <v>6.0285110093911518</v>
      </c>
      <c r="AG61">
        <v>609.85722607525531</v>
      </c>
      <c r="AH61">
        <v>0.42399999999999999</v>
      </c>
      <c r="AI61">
        <v>5.0000000000000001E-4</v>
      </c>
      <c r="AJ61">
        <v>11.8001</v>
      </c>
      <c r="AK61" s="2">
        <v>45681</v>
      </c>
      <c r="AL61" t="s">
        <v>739</v>
      </c>
      <c r="AM61">
        <v>2</v>
      </c>
      <c r="AN61">
        <v>2.3999999999999998E-3</v>
      </c>
      <c r="AO61">
        <v>6.0290460523739737</v>
      </c>
      <c r="AP61">
        <v>609.9070920812544</v>
      </c>
      <c r="AQ61">
        <v>0.42399999999999999</v>
      </c>
      <c r="AR61">
        <v>5.0000000000000001E-4</v>
      </c>
      <c r="AS61">
        <v>11.796199999999999</v>
      </c>
      <c r="AT61" s="2">
        <v>45681</v>
      </c>
      <c r="AU61" t="s">
        <v>859</v>
      </c>
      <c r="AV61">
        <v>2</v>
      </c>
      <c r="AW61">
        <v>2.3E-3</v>
      </c>
      <c r="AX61">
        <v>6.0287716257156907</v>
      </c>
      <c r="AY61">
        <v>609.88151551670239</v>
      </c>
      <c r="AZ61">
        <v>0.42399999999999999</v>
      </c>
      <c r="BA61">
        <v>5.0000000000000001E-4</v>
      </c>
      <c r="BB61">
        <v>11.7988</v>
      </c>
      <c r="BC61" s="2">
        <v>45681</v>
      </c>
      <c r="BD61" t="s">
        <v>979</v>
      </c>
      <c r="BE61">
        <v>3</v>
      </c>
      <c r="BF61">
        <v>2.7000000000000001E-3</v>
      </c>
      <c r="BG61">
        <v>6.02913881597215</v>
      </c>
      <c r="BH61">
        <v>609.91573764860436</v>
      </c>
      <c r="BI61">
        <v>0.42399999999999999</v>
      </c>
      <c r="BJ61">
        <v>5.0000000000000001E-4</v>
      </c>
      <c r="BK61">
        <v>11.799300000000017</v>
      </c>
      <c r="BL61" s="2">
        <v>45681</v>
      </c>
      <c r="BM61" t="s">
        <v>1099</v>
      </c>
      <c r="BN61">
        <v>3</v>
      </c>
      <c r="BO61">
        <v>2.3999999999999998E-3</v>
      </c>
      <c r="BP61">
        <v>6.0293665161812076</v>
      </c>
      <c r="BQ61">
        <v>609.9369593080886</v>
      </c>
      <c r="BR61">
        <v>0.42399999999999999</v>
      </c>
      <c r="BS61">
        <v>5.0000000000000001E-4</v>
      </c>
      <c r="BT61">
        <v>11.796600000000012</v>
      </c>
      <c r="BU61" s="2">
        <v>45681</v>
      </c>
      <c r="BV61" t="s">
        <v>1219</v>
      </c>
      <c r="BW61">
        <v>3</v>
      </c>
      <c r="BX61">
        <v>3.0999999999999999E-3</v>
      </c>
      <c r="BY61">
        <v>6.0286538040251676</v>
      </c>
      <c r="BZ61">
        <v>609.87053453514568</v>
      </c>
      <c r="CA61">
        <v>0.42399999999999999</v>
      </c>
      <c r="CB61">
        <v>5.0000000000000001E-4</v>
      </c>
      <c r="CC61">
        <v>11.802099999999996</v>
      </c>
      <c r="CD61" s="2">
        <v>45681</v>
      </c>
      <c r="CE61" t="s">
        <v>1339</v>
      </c>
      <c r="CF61">
        <v>4</v>
      </c>
      <c r="CG61">
        <v>3.3999999999999998E-3</v>
      </c>
      <c r="CH61">
        <v>6.0290843571957229</v>
      </c>
      <c r="CI61">
        <v>609.91066209064138</v>
      </c>
      <c r="CJ61">
        <v>0.42399999999999999</v>
      </c>
      <c r="CK61">
        <v>5.0000000000000001E-4</v>
      </c>
      <c r="CL61">
        <v>11.800100000000015</v>
      </c>
      <c r="CM61" s="2">
        <v>45681</v>
      </c>
      <c r="CN61" t="s">
        <v>1459</v>
      </c>
      <c r="CO61">
        <v>4</v>
      </c>
      <c r="CP61">
        <v>3.3999999999999998E-3</v>
      </c>
      <c r="CQ61">
        <v>6.0291515436989913</v>
      </c>
      <c r="CR61">
        <v>609.916923872746</v>
      </c>
      <c r="CS61">
        <v>0.42399999999999999</v>
      </c>
      <c r="CT61">
        <v>5.0000000000000001E-4</v>
      </c>
      <c r="CU61">
        <v>11.789599999999979</v>
      </c>
      <c r="CV61" s="2">
        <v>45681</v>
      </c>
      <c r="CW61" t="s">
        <v>1579</v>
      </c>
      <c r="CX61">
        <v>5</v>
      </c>
      <c r="CY61">
        <v>3.8E-3</v>
      </c>
      <c r="CZ61">
        <v>6.0286187997353231</v>
      </c>
      <c r="DA61">
        <v>609.86727213533209</v>
      </c>
      <c r="DB61">
        <v>0.42399999999999999</v>
      </c>
      <c r="DC61">
        <v>5.0000000000000001E-4</v>
      </c>
      <c r="DD61">
        <v>11.798699999999997</v>
      </c>
      <c r="DE61" s="2">
        <v>45681</v>
      </c>
      <c r="DF61" t="s">
        <v>1699</v>
      </c>
      <c r="DG61">
        <v>5</v>
      </c>
      <c r="DH61">
        <v>4.1999999999999997E-3</v>
      </c>
      <c r="DI61">
        <v>6.0278950547201777</v>
      </c>
      <c r="DJ61">
        <v>609.79981909992057</v>
      </c>
      <c r="DK61">
        <v>0.42399999999999999</v>
      </c>
      <c r="DL61">
        <v>5.0000000000000001E-4</v>
      </c>
      <c r="DM61">
        <v>11.798299999999983</v>
      </c>
      <c r="DN61" s="2">
        <v>45681</v>
      </c>
      <c r="DO61" t="s">
        <v>1819</v>
      </c>
      <c r="DP61">
        <v>5</v>
      </c>
      <c r="DQ61">
        <v>4.5999999999999999E-3</v>
      </c>
      <c r="DR61">
        <v>6.0274845601876219</v>
      </c>
      <c r="DS61">
        <v>609.7615610094864</v>
      </c>
      <c r="DT61">
        <v>0.42399999999999999</v>
      </c>
      <c r="DU61">
        <v>5.0000000000000001E-4</v>
      </c>
      <c r="DV61">
        <v>11.799300000000017</v>
      </c>
      <c r="DW61" s="2">
        <v>45681</v>
      </c>
      <c r="DX61" t="s">
        <v>1937</v>
      </c>
      <c r="DY61">
        <v>6</v>
      </c>
      <c r="DZ61">
        <v>5.0000000000000001E-3</v>
      </c>
      <c r="EA61">
        <v>6.0272258009191191</v>
      </c>
      <c r="EB61">
        <v>609.73744464566187</v>
      </c>
      <c r="EC61">
        <v>0.42399999999999999</v>
      </c>
      <c r="ED61">
        <v>5.0000000000000001E-4</v>
      </c>
      <c r="EE61">
        <v>11.800599999999974</v>
      </c>
    </row>
    <row r="62" spans="1:135" x14ac:dyDescent="0.3">
      <c r="A62" s="2">
        <v>45681</v>
      </c>
      <c r="B62" t="s">
        <v>257</v>
      </c>
      <c r="C62">
        <v>0</v>
      </c>
      <c r="D62">
        <v>1.5800000000000002E-2</v>
      </c>
      <c r="E62">
        <v>6.6698209016805476</v>
      </c>
      <c r="F62">
        <v>669.62730803662703</v>
      </c>
      <c r="G62">
        <v>0.42399999999999999</v>
      </c>
      <c r="H62">
        <v>1.0500000000000001E-2</v>
      </c>
      <c r="I62">
        <v>11.99873</v>
      </c>
      <c r="J62" s="2">
        <v>45681</v>
      </c>
      <c r="K62" t="s">
        <v>382</v>
      </c>
      <c r="L62">
        <v>1</v>
      </c>
      <c r="M62">
        <v>1E-4</v>
      </c>
      <c r="N62">
        <v>5.9957355380864836</v>
      </c>
      <c r="O62">
        <v>606.8025521496603</v>
      </c>
      <c r="P62">
        <v>0.42399999999999999</v>
      </c>
      <c r="Q62">
        <v>0</v>
      </c>
      <c r="R62">
        <v>12.00065</v>
      </c>
      <c r="S62" s="2">
        <v>45681</v>
      </c>
      <c r="T62" t="s">
        <v>502</v>
      </c>
      <c r="U62">
        <v>1</v>
      </c>
      <c r="V62">
        <v>1E-4</v>
      </c>
      <c r="W62">
        <v>5.995733967170346</v>
      </c>
      <c r="X62">
        <v>606.8024057402763</v>
      </c>
      <c r="Y62">
        <v>0.42399999999999999</v>
      </c>
      <c r="Z62">
        <v>0</v>
      </c>
      <c r="AA62">
        <v>11.99915</v>
      </c>
      <c r="AB62" s="2">
        <v>45681</v>
      </c>
      <c r="AC62" t="s">
        <v>622</v>
      </c>
      <c r="AD62">
        <v>1</v>
      </c>
      <c r="AE62">
        <v>6.9999999999999999E-4</v>
      </c>
      <c r="AF62">
        <v>5.9957336852110146</v>
      </c>
      <c r="AG62">
        <v>606.80237946166653</v>
      </c>
      <c r="AH62">
        <v>0.42399999999999999</v>
      </c>
      <c r="AI62">
        <v>0</v>
      </c>
      <c r="AJ62">
        <v>11.999690000000001</v>
      </c>
      <c r="AK62" s="2">
        <v>45681</v>
      </c>
      <c r="AL62" t="s">
        <v>740</v>
      </c>
      <c r="AM62">
        <v>2</v>
      </c>
      <c r="AN62">
        <v>5.9999999999999995E-4</v>
      </c>
      <c r="AO62">
        <v>5.9957337657708347</v>
      </c>
      <c r="AP62">
        <v>606.80238696984179</v>
      </c>
      <c r="AQ62">
        <v>0.42399999999999999</v>
      </c>
      <c r="AR62">
        <v>0</v>
      </c>
      <c r="AS62">
        <v>11.997500000000002</v>
      </c>
      <c r="AT62" s="2">
        <v>45681</v>
      </c>
      <c r="AU62" t="s">
        <v>860</v>
      </c>
      <c r="AV62">
        <v>2</v>
      </c>
      <c r="AW62">
        <v>5.9999999999999995E-4</v>
      </c>
      <c r="AX62">
        <v>5.9957351755672503</v>
      </c>
      <c r="AY62">
        <v>606.80251836286777</v>
      </c>
      <c r="AZ62">
        <v>0.42399999999999999</v>
      </c>
      <c r="BA62">
        <v>0</v>
      </c>
      <c r="BB62">
        <v>12.000100000000003</v>
      </c>
      <c r="BC62" s="2">
        <v>45681</v>
      </c>
      <c r="BD62" t="s">
        <v>980</v>
      </c>
      <c r="BE62">
        <v>3</v>
      </c>
      <c r="BF62">
        <v>1E-3</v>
      </c>
      <c r="BG62">
        <v>5.9957387201986281</v>
      </c>
      <c r="BH62">
        <v>606.80284872251218</v>
      </c>
      <c r="BI62">
        <v>0.42399999999999999</v>
      </c>
      <c r="BJ62">
        <v>0</v>
      </c>
      <c r="BK62">
        <v>12.002800000000008</v>
      </c>
      <c r="BL62" s="2">
        <v>45681</v>
      </c>
      <c r="BM62" t="s">
        <v>1100</v>
      </c>
      <c r="BN62">
        <v>3</v>
      </c>
      <c r="BO62">
        <v>8.9999999999999998E-4</v>
      </c>
      <c r="BP62">
        <v>5.9957347324886827</v>
      </c>
      <c r="BQ62">
        <v>606.80247706794523</v>
      </c>
      <c r="BR62">
        <v>0.42399999999999999</v>
      </c>
      <c r="BS62">
        <v>0</v>
      </c>
      <c r="BT62">
        <v>11.999500000000012</v>
      </c>
      <c r="BU62" s="2">
        <v>45681</v>
      </c>
      <c r="BV62" t="s">
        <v>1220</v>
      </c>
      <c r="BW62">
        <v>3</v>
      </c>
      <c r="BX62">
        <v>8.9999999999999998E-4</v>
      </c>
      <c r="BY62">
        <v>5.9957340477300853</v>
      </c>
      <c r="BZ62">
        <v>606.80241324844394</v>
      </c>
      <c r="CA62">
        <v>0.42399999999999999</v>
      </c>
      <c r="CB62">
        <v>0</v>
      </c>
      <c r="CC62">
        <v>12.000799999999998</v>
      </c>
      <c r="CD62" s="2">
        <v>45681</v>
      </c>
      <c r="CE62" t="s">
        <v>1340</v>
      </c>
      <c r="CF62">
        <v>4</v>
      </c>
      <c r="CG62">
        <v>1.4E-3</v>
      </c>
      <c r="CH62">
        <v>5.9957341685696948</v>
      </c>
      <c r="CI62">
        <v>606.80242451069557</v>
      </c>
      <c r="CJ62">
        <v>0.42399999999999999</v>
      </c>
      <c r="CK62">
        <v>0</v>
      </c>
      <c r="CL62">
        <v>12</v>
      </c>
      <c r="CM62" s="2">
        <v>45681</v>
      </c>
      <c r="CN62" t="s">
        <v>1460</v>
      </c>
      <c r="CO62">
        <v>4</v>
      </c>
      <c r="CP62">
        <v>1.8E-3</v>
      </c>
      <c r="CQ62">
        <v>5.9957336046511944</v>
      </c>
      <c r="CR62">
        <v>606.80237195349127</v>
      </c>
      <c r="CS62">
        <v>0.42399999999999999</v>
      </c>
      <c r="CT62">
        <v>0</v>
      </c>
      <c r="CU62">
        <v>11.991000000000014</v>
      </c>
      <c r="CV62" s="2">
        <v>45681</v>
      </c>
      <c r="CW62" t="s">
        <v>1580</v>
      </c>
      <c r="CX62">
        <v>5</v>
      </c>
      <c r="CY62">
        <v>1.5E-3</v>
      </c>
      <c r="CZ62">
        <v>5.9957337254908847</v>
      </c>
      <c r="DA62">
        <v>606.80238321575052</v>
      </c>
      <c r="DB62">
        <v>0.42399999999999999</v>
      </c>
      <c r="DC62">
        <v>0</v>
      </c>
      <c r="DD62">
        <v>11.997600000000034</v>
      </c>
      <c r="DE62" s="2">
        <v>45681</v>
      </c>
      <c r="DF62" t="s">
        <v>1700</v>
      </c>
      <c r="DG62">
        <v>5</v>
      </c>
      <c r="DH62">
        <v>2E-3</v>
      </c>
      <c r="DI62">
        <v>5.995743795467896</v>
      </c>
      <c r="DJ62">
        <v>606.80332173760792</v>
      </c>
      <c r="DK62">
        <v>0.42399999999999999</v>
      </c>
      <c r="DL62">
        <v>0</v>
      </c>
      <c r="DM62">
        <v>11.998999999999967</v>
      </c>
      <c r="DN62" s="2">
        <v>45681</v>
      </c>
      <c r="DO62" t="s">
        <v>1820</v>
      </c>
      <c r="DP62">
        <v>5</v>
      </c>
      <c r="DQ62">
        <v>1.9E-3</v>
      </c>
      <c r="DR62">
        <v>5.9957563225150992</v>
      </c>
      <c r="DS62">
        <v>606.80448925840722</v>
      </c>
      <c r="DT62">
        <v>0.42399999999999999</v>
      </c>
      <c r="DU62">
        <v>0</v>
      </c>
      <c r="DV62">
        <v>12.000400000000013</v>
      </c>
      <c r="DW62" s="2">
        <v>45681</v>
      </c>
      <c r="DX62" t="s">
        <v>1938</v>
      </c>
      <c r="DY62">
        <v>6</v>
      </c>
      <c r="DZ62">
        <v>2.3999999999999998E-3</v>
      </c>
      <c r="EA62">
        <v>5.9957952329114672</v>
      </c>
      <c r="EB62">
        <v>606.80811570734875</v>
      </c>
      <c r="EC62">
        <v>0.42399999999999999</v>
      </c>
      <c r="ED62">
        <v>0</v>
      </c>
      <c r="EE62">
        <v>12.004300000000001</v>
      </c>
    </row>
    <row r="63" spans="1:135" x14ac:dyDescent="0.3">
      <c r="A63" s="2">
        <v>45681</v>
      </c>
      <c r="B63" t="s">
        <v>258</v>
      </c>
      <c r="C63">
        <v>0</v>
      </c>
      <c r="D63">
        <v>1.26E-2</v>
      </c>
      <c r="E63">
        <v>6.4616489748836043</v>
      </c>
      <c r="F63">
        <v>650.22568445915192</v>
      </c>
      <c r="G63">
        <v>0.42399999999999999</v>
      </c>
      <c r="H63">
        <v>7.1999999999999998E-3</v>
      </c>
      <c r="I63">
        <v>12.19816</v>
      </c>
      <c r="J63" s="2">
        <v>45681</v>
      </c>
      <c r="K63" t="s">
        <v>383</v>
      </c>
      <c r="L63">
        <v>1</v>
      </c>
      <c r="M63">
        <v>-1E-4</v>
      </c>
      <c r="N63">
        <v>6.0333775869187241</v>
      </c>
      <c r="O63">
        <v>712.5675329985869</v>
      </c>
      <c r="P63">
        <v>0.42399999999999999</v>
      </c>
      <c r="Q63">
        <v>5.9999999999999995E-4</v>
      </c>
      <c r="R63">
        <v>12.212569999999999</v>
      </c>
      <c r="S63" s="2">
        <v>45681</v>
      </c>
      <c r="T63" t="s">
        <v>503</v>
      </c>
      <c r="U63">
        <v>1</v>
      </c>
      <c r="V63">
        <v>-5.9999999999999995E-4</v>
      </c>
      <c r="W63">
        <v>6.0296185892370442</v>
      </c>
      <c r="X63">
        <v>712.21080411859555</v>
      </c>
      <c r="Y63">
        <v>0.42399999999999999</v>
      </c>
      <c r="Z63">
        <v>5.0000000000000001E-4</v>
      </c>
      <c r="AA63">
        <v>12.200839999999999</v>
      </c>
      <c r="AB63" s="2">
        <v>45681</v>
      </c>
      <c r="AC63" t="s">
        <v>623</v>
      </c>
      <c r="AD63">
        <v>1</v>
      </c>
      <c r="AE63">
        <v>-2.0000000000000001E-4</v>
      </c>
      <c r="AF63">
        <v>6.02903585883932</v>
      </c>
      <c r="AG63">
        <v>712.15550300385155</v>
      </c>
      <c r="AH63">
        <v>0.42399999999999999</v>
      </c>
      <c r="AI63">
        <v>5.0000000000000001E-4</v>
      </c>
      <c r="AJ63">
        <v>12.199889999999996</v>
      </c>
      <c r="AK63" s="2">
        <v>45681</v>
      </c>
      <c r="AL63" t="s">
        <v>741</v>
      </c>
      <c r="AM63">
        <v>2</v>
      </c>
      <c r="AN63">
        <v>-2.0000000000000001E-4</v>
      </c>
      <c r="AO63">
        <v>6.0287296513836548</v>
      </c>
      <c r="AP63">
        <v>712.12644391630886</v>
      </c>
      <c r="AQ63">
        <v>0.42399999999999999</v>
      </c>
      <c r="AR63">
        <v>5.0000000000000001E-4</v>
      </c>
      <c r="AS63">
        <v>12.196699999999993</v>
      </c>
      <c r="AT63" s="2">
        <v>45681</v>
      </c>
      <c r="AU63" t="s">
        <v>861</v>
      </c>
      <c r="AV63">
        <v>2</v>
      </c>
      <c r="AW63">
        <v>2.0000000000000001E-4</v>
      </c>
      <c r="AX63">
        <v>6.0285485113808166</v>
      </c>
      <c r="AY63">
        <v>712.10925373003965</v>
      </c>
      <c r="AZ63">
        <v>0.42399999999999999</v>
      </c>
      <c r="BA63">
        <v>5.0000000000000001E-4</v>
      </c>
      <c r="BB63">
        <v>12.197900000000004</v>
      </c>
      <c r="BC63" s="2">
        <v>45681</v>
      </c>
      <c r="BD63" t="s">
        <v>981</v>
      </c>
      <c r="BE63">
        <v>3</v>
      </c>
      <c r="BF63">
        <v>-2.9999999999999997E-4</v>
      </c>
      <c r="BG63">
        <v>6.0291831623080743</v>
      </c>
      <c r="BH63">
        <v>712.16948210303633</v>
      </c>
      <c r="BI63">
        <v>0.42399999999999999</v>
      </c>
      <c r="BJ63">
        <v>5.0000000000000001E-4</v>
      </c>
      <c r="BK63">
        <v>12.201400000000007</v>
      </c>
      <c r="BL63" s="2">
        <v>45681</v>
      </c>
      <c r="BM63" t="s">
        <v>1101</v>
      </c>
      <c r="BN63">
        <v>3</v>
      </c>
      <c r="BO63">
        <v>0</v>
      </c>
      <c r="BP63">
        <v>6.0283900128646559</v>
      </c>
      <c r="BQ63">
        <v>712.09421222085587</v>
      </c>
      <c r="BR63">
        <v>0.42399999999999999</v>
      </c>
      <c r="BS63">
        <v>5.0000000000000001E-4</v>
      </c>
      <c r="BT63">
        <v>12.197000000000003</v>
      </c>
      <c r="BU63" s="2">
        <v>45681</v>
      </c>
      <c r="BV63" t="s">
        <v>1221</v>
      </c>
      <c r="BW63">
        <v>3</v>
      </c>
      <c r="BX63">
        <v>-1E-4</v>
      </c>
      <c r="BY63">
        <v>6.0287934116590884</v>
      </c>
      <c r="BZ63">
        <v>712.13249476644739</v>
      </c>
      <c r="CA63">
        <v>0.42399999999999999</v>
      </c>
      <c r="CB63">
        <v>5.0000000000000001E-4</v>
      </c>
      <c r="CC63">
        <v>12.201599999999985</v>
      </c>
      <c r="CD63" s="2">
        <v>45681</v>
      </c>
      <c r="CE63" t="s">
        <v>1341</v>
      </c>
      <c r="CF63">
        <v>4</v>
      </c>
      <c r="CG63">
        <v>1E-3</v>
      </c>
      <c r="CH63">
        <v>6.0286057476318824</v>
      </c>
      <c r="CI63">
        <v>712.1146854502656</v>
      </c>
      <c r="CJ63">
        <v>0.42399999999999999</v>
      </c>
      <c r="CK63">
        <v>5.0000000000000001E-4</v>
      </c>
      <c r="CL63">
        <v>12.200299999999999</v>
      </c>
      <c r="CM63" s="2">
        <v>45681</v>
      </c>
      <c r="CN63" t="s">
        <v>1461</v>
      </c>
      <c r="CO63">
        <v>4</v>
      </c>
      <c r="CP63">
        <v>5.0000000000000001E-4</v>
      </c>
      <c r="CQ63">
        <v>6.0289976310570133</v>
      </c>
      <c r="CR63">
        <v>712.15187518731057</v>
      </c>
      <c r="CS63">
        <v>0.42399999999999999</v>
      </c>
      <c r="CT63">
        <v>5.0000000000000001E-4</v>
      </c>
      <c r="CU63">
        <v>12.191200000000009</v>
      </c>
      <c r="CV63" s="2">
        <v>45681</v>
      </c>
      <c r="CW63" t="s">
        <v>1581</v>
      </c>
      <c r="CX63">
        <v>5</v>
      </c>
      <c r="CY63">
        <v>6.9999999999999999E-4</v>
      </c>
      <c r="CZ63">
        <v>6.0286184794134314</v>
      </c>
      <c r="DA63">
        <v>712.11589369633464</v>
      </c>
      <c r="DB63">
        <v>0.42399999999999999</v>
      </c>
      <c r="DC63">
        <v>5.0000000000000001E-4</v>
      </c>
      <c r="DD63">
        <v>12.197500000000048</v>
      </c>
      <c r="DE63" s="2">
        <v>45681</v>
      </c>
      <c r="DF63" t="s">
        <v>1701</v>
      </c>
      <c r="DG63">
        <v>5</v>
      </c>
      <c r="DH63">
        <v>1E-3</v>
      </c>
      <c r="DI63">
        <v>6.0294465155601742</v>
      </c>
      <c r="DJ63">
        <v>712.19447432666061</v>
      </c>
      <c r="DK63">
        <v>0.42399999999999999</v>
      </c>
      <c r="DL63">
        <v>5.0000000000000001E-4</v>
      </c>
      <c r="DM63">
        <v>12.197400000000016</v>
      </c>
      <c r="DN63" s="2">
        <v>45681</v>
      </c>
      <c r="DO63" t="s">
        <v>1821</v>
      </c>
      <c r="DP63">
        <v>5</v>
      </c>
      <c r="DQ63">
        <v>6.9999999999999999E-4</v>
      </c>
      <c r="DR63">
        <v>6.0300116404179356</v>
      </c>
      <c r="DS63">
        <v>712.24810467566215</v>
      </c>
      <c r="DT63">
        <v>0.42399999999999999</v>
      </c>
      <c r="DU63">
        <v>5.0000000000000001E-4</v>
      </c>
      <c r="DV63">
        <v>12.198800000000006</v>
      </c>
      <c r="DW63" s="2">
        <v>45681</v>
      </c>
      <c r="DX63" t="s">
        <v>1939</v>
      </c>
      <c r="DY63">
        <v>6</v>
      </c>
      <c r="DZ63">
        <v>1.9E-3</v>
      </c>
      <c r="EA63">
        <v>6.0307908943787512</v>
      </c>
      <c r="EB63">
        <v>712.32205587654357</v>
      </c>
      <c r="EC63">
        <v>0.42399999999999999</v>
      </c>
      <c r="ED63">
        <v>5.0000000000000001E-4</v>
      </c>
      <c r="EE63">
        <v>12.201599999999985</v>
      </c>
    </row>
    <row r="64" spans="1:135" x14ac:dyDescent="0.3">
      <c r="A64" s="2">
        <v>45681</v>
      </c>
      <c r="B64" t="s">
        <v>259</v>
      </c>
      <c r="C64">
        <v>0</v>
      </c>
      <c r="D64">
        <v>8.3999999999999995E-3</v>
      </c>
      <c r="E64">
        <v>6.2732422874526499</v>
      </c>
      <c r="F64">
        <v>632.66618119058694</v>
      </c>
      <c r="G64">
        <v>0.42399999999999999</v>
      </c>
      <c r="H64">
        <v>4.3E-3</v>
      </c>
      <c r="I64">
        <v>12.398360000000002</v>
      </c>
      <c r="J64" s="2">
        <v>45681</v>
      </c>
      <c r="K64" t="s">
        <v>384</v>
      </c>
      <c r="L64">
        <v>1</v>
      </c>
      <c r="M64">
        <v>1E-4</v>
      </c>
      <c r="N64">
        <v>6.1291992900932346</v>
      </c>
      <c r="O64">
        <v>721.66101262984807</v>
      </c>
      <c r="P64">
        <v>0.42399999999999999</v>
      </c>
      <c r="Q64">
        <v>2.0999999999999999E-3</v>
      </c>
      <c r="R64">
        <v>12.406079999999996</v>
      </c>
      <c r="S64" s="2">
        <v>45681</v>
      </c>
      <c r="T64" t="s">
        <v>504</v>
      </c>
      <c r="U64">
        <v>1</v>
      </c>
      <c r="V64">
        <v>-4.0000000000000002E-4</v>
      </c>
      <c r="W64">
        <v>6.1262302710737071</v>
      </c>
      <c r="X64">
        <v>721.37925272489485</v>
      </c>
      <c r="Y64">
        <v>0.42399999999999999</v>
      </c>
      <c r="Z64">
        <v>2E-3</v>
      </c>
      <c r="AA64">
        <v>12.400679999999994</v>
      </c>
      <c r="AB64" s="2">
        <v>45681</v>
      </c>
      <c r="AC64" t="s">
        <v>624</v>
      </c>
      <c r="AD64">
        <v>1</v>
      </c>
      <c r="AE64">
        <v>-1E-4</v>
      </c>
      <c r="AF64">
        <v>6.1256126985744386</v>
      </c>
      <c r="AG64">
        <v>721.32064509471434</v>
      </c>
      <c r="AH64">
        <v>0.42399999999999999</v>
      </c>
      <c r="AI64">
        <v>2E-3</v>
      </c>
      <c r="AJ64">
        <v>12.400509999999997</v>
      </c>
      <c r="AK64" s="2">
        <v>45681</v>
      </c>
      <c r="AL64" t="s">
        <v>742</v>
      </c>
      <c r="AM64">
        <v>2</v>
      </c>
      <c r="AN64">
        <v>0</v>
      </c>
      <c r="AO64">
        <v>6.1260141957110523</v>
      </c>
      <c r="AP64">
        <v>721.35874717297895</v>
      </c>
      <c r="AQ64">
        <v>0.42399999999999999</v>
      </c>
      <c r="AR64">
        <v>2E-3</v>
      </c>
      <c r="AS64">
        <v>12.398799999999994</v>
      </c>
      <c r="AT64" s="2">
        <v>45681</v>
      </c>
      <c r="AU64" t="s">
        <v>862</v>
      </c>
      <c r="AV64">
        <v>2</v>
      </c>
      <c r="AW64">
        <v>2.9999999999999997E-4</v>
      </c>
      <c r="AX64">
        <v>6.1242907828354101</v>
      </c>
      <c r="AY64">
        <v>721.19519529108049</v>
      </c>
      <c r="AZ64">
        <v>0.42399999999999999</v>
      </c>
      <c r="BA64">
        <v>2E-3</v>
      </c>
      <c r="BB64">
        <v>12.397900000000021</v>
      </c>
      <c r="BC64" s="2">
        <v>45681</v>
      </c>
      <c r="BD64" t="s">
        <v>982</v>
      </c>
      <c r="BE64">
        <v>3</v>
      </c>
      <c r="BF64">
        <v>-2.9999999999999997E-4</v>
      </c>
      <c r="BG64">
        <v>6.1247509921366179</v>
      </c>
      <c r="BH64">
        <v>721.23886915376511</v>
      </c>
      <c r="BI64">
        <v>0.42399999999999999</v>
      </c>
      <c r="BJ64">
        <v>2E-3</v>
      </c>
      <c r="BK64">
        <v>12.400200000000012</v>
      </c>
      <c r="BL64" s="2">
        <v>45681</v>
      </c>
      <c r="BM64" t="s">
        <v>1102</v>
      </c>
      <c r="BN64">
        <v>3</v>
      </c>
      <c r="BO64">
        <v>2.0000000000000001E-4</v>
      </c>
      <c r="BP64">
        <v>6.1239461732450167</v>
      </c>
      <c r="BQ64">
        <v>721.16249184095216</v>
      </c>
      <c r="BR64">
        <v>0.42399999999999999</v>
      </c>
      <c r="BS64">
        <v>2E-3</v>
      </c>
      <c r="BT64">
        <v>12.396899999999988</v>
      </c>
      <c r="BU64" s="2">
        <v>45681</v>
      </c>
      <c r="BV64" t="s">
        <v>1222</v>
      </c>
      <c r="BW64">
        <v>3</v>
      </c>
      <c r="BX64">
        <v>1E-4</v>
      </c>
      <c r="BY64">
        <v>6.1239885043913143</v>
      </c>
      <c r="BZ64">
        <v>721.16650906673578</v>
      </c>
      <c r="CA64">
        <v>0.42399999999999999</v>
      </c>
      <c r="CB64">
        <v>2E-3</v>
      </c>
      <c r="CC64">
        <v>12.400299999999987</v>
      </c>
      <c r="CD64" s="2">
        <v>45681</v>
      </c>
      <c r="CE64" t="s">
        <v>1342</v>
      </c>
      <c r="CF64">
        <v>4</v>
      </c>
      <c r="CG64">
        <v>1E-3</v>
      </c>
      <c r="CH64">
        <v>6.1246238770565053</v>
      </c>
      <c r="CI64">
        <v>721.22680593266239</v>
      </c>
      <c r="CJ64">
        <v>0.42399999999999999</v>
      </c>
      <c r="CK64">
        <v>2E-3</v>
      </c>
      <c r="CL64">
        <v>12.400599999999997</v>
      </c>
      <c r="CM64" s="2">
        <v>45681</v>
      </c>
      <c r="CN64" t="s">
        <v>1462</v>
      </c>
      <c r="CO64">
        <v>4</v>
      </c>
      <c r="CP64">
        <v>5.0000000000000001E-4</v>
      </c>
      <c r="CQ64">
        <v>6.1239402533720666</v>
      </c>
      <c r="CR64">
        <v>721.16193004500929</v>
      </c>
      <c r="CS64">
        <v>0.42399999999999999</v>
      </c>
      <c r="CT64">
        <v>2E-3</v>
      </c>
      <c r="CU64">
        <v>12.389199999999988</v>
      </c>
      <c r="CV64" s="2">
        <v>45681</v>
      </c>
      <c r="CW64" t="s">
        <v>1582</v>
      </c>
      <c r="CX64">
        <v>5</v>
      </c>
      <c r="CY64">
        <v>6.9999999999999999E-4</v>
      </c>
      <c r="CZ64">
        <v>6.1260205616018277</v>
      </c>
      <c r="DA64">
        <v>721.35935129601353</v>
      </c>
      <c r="DB64">
        <v>0.42399999999999999</v>
      </c>
      <c r="DC64">
        <v>2E-3</v>
      </c>
      <c r="DD64">
        <v>12.400000000000034</v>
      </c>
      <c r="DE64" s="2">
        <v>45681</v>
      </c>
      <c r="DF64" t="s">
        <v>1702</v>
      </c>
      <c r="DG64">
        <v>5</v>
      </c>
      <c r="DH64">
        <v>8.9999999999999998E-4</v>
      </c>
      <c r="DI64">
        <v>6.1253943120285097</v>
      </c>
      <c r="DJ64">
        <v>721.29992021150565</v>
      </c>
      <c r="DK64">
        <v>0.42399999999999999</v>
      </c>
      <c r="DL64">
        <v>2E-3</v>
      </c>
      <c r="DM64">
        <v>12.396399999999971</v>
      </c>
      <c r="DN64" s="2">
        <v>45681</v>
      </c>
      <c r="DO64" t="s">
        <v>1822</v>
      </c>
      <c r="DP64">
        <v>5</v>
      </c>
      <c r="DQ64">
        <v>6.9999999999999999E-4</v>
      </c>
      <c r="DR64">
        <v>6.1266543123840194</v>
      </c>
      <c r="DS64">
        <v>721.41949424524353</v>
      </c>
      <c r="DT64">
        <v>0.42399999999999999</v>
      </c>
      <c r="DU64">
        <v>2E-3</v>
      </c>
      <c r="DV64">
        <v>12.398200000000031</v>
      </c>
      <c r="DW64" s="2">
        <v>45681</v>
      </c>
      <c r="DX64" t="s">
        <v>1940</v>
      </c>
      <c r="DY64">
        <v>6</v>
      </c>
      <c r="DZ64">
        <v>1.9E-3</v>
      </c>
      <c r="EA64">
        <v>6.128557551537269</v>
      </c>
      <c r="EB64">
        <v>721.60011164088689</v>
      </c>
      <c r="EC64">
        <v>0.42399999999999999</v>
      </c>
      <c r="ED64">
        <v>2.0999999999999999E-3</v>
      </c>
      <c r="EE64">
        <v>12.401700000000005</v>
      </c>
    </row>
    <row r="65" spans="1:135" x14ac:dyDescent="0.3">
      <c r="A65" s="2">
        <v>45681</v>
      </c>
      <c r="B65" t="s">
        <v>260</v>
      </c>
      <c r="C65">
        <v>0</v>
      </c>
      <c r="D65">
        <v>4.4999999999999997E-3</v>
      </c>
      <c r="E65">
        <v>6.1243404530022802</v>
      </c>
      <c r="F65">
        <v>618.78853021981251</v>
      </c>
      <c r="G65">
        <v>0.42399999999999999</v>
      </c>
      <c r="H65">
        <v>2E-3</v>
      </c>
      <c r="I65">
        <v>12.597859999999999</v>
      </c>
      <c r="J65" s="2">
        <v>45681</v>
      </c>
      <c r="K65" t="s">
        <v>385</v>
      </c>
      <c r="L65">
        <v>1</v>
      </c>
      <c r="M65">
        <v>1.1000000000000001E-3</v>
      </c>
      <c r="N65">
        <v>6.276333150432543</v>
      </c>
      <c r="O65">
        <v>735.62401597604833</v>
      </c>
      <c r="P65">
        <v>0.42399999999999999</v>
      </c>
      <c r="Q65">
        <v>4.4000000000000003E-3</v>
      </c>
      <c r="R65">
        <v>12.601439999999997</v>
      </c>
      <c r="S65" s="2">
        <v>45681</v>
      </c>
      <c r="T65" t="s">
        <v>505</v>
      </c>
      <c r="U65">
        <v>1</v>
      </c>
      <c r="V65">
        <v>5.0000000000000001E-4</v>
      </c>
      <c r="W65">
        <v>6.2758648722634103</v>
      </c>
      <c r="X65">
        <v>735.57957637779771</v>
      </c>
      <c r="Y65">
        <v>0.42399999999999999</v>
      </c>
      <c r="Z65">
        <v>4.4000000000000003E-3</v>
      </c>
      <c r="AA65">
        <v>12.600200000000001</v>
      </c>
      <c r="AB65" s="2">
        <v>45681</v>
      </c>
      <c r="AC65" t="s">
        <v>625</v>
      </c>
      <c r="AD65">
        <v>1</v>
      </c>
      <c r="AE65">
        <v>6.9999999999999999E-4</v>
      </c>
      <c r="AF65">
        <v>6.276437802433108</v>
      </c>
      <c r="AG65">
        <v>735.63394745090204</v>
      </c>
      <c r="AH65">
        <v>0.42399999999999999</v>
      </c>
      <c r="AI65">
        <v>4.4000000000000003E-3</v>
      </c>
      <c r="AJ65">
        <v>12.601690000000005</v>
      </c>
      <c r="AK65" s="2">
        <v>45681</v>
      </c>
      <c r="AL65" t="s">
        <v>743</v>
      </c>
      <c r="AM65">
        <v>2</v>
      </c>
      <c r="AN65">
        <v>1E-3</v>
      </c>
      <c r="AO65">
        <v>6.2743909860872957</v>
      </c>
      <c r="AP65">
        <v>735.43970457968442</v>
      </c>
      <c r="AQ65">
        <v>0.42399999999999999</v>
      </c>
      <c r="AR65">
        <v>4.3E-3</v>
      </c>
      <c r="AS65">
        <v>12.596999999999994</v>
      </c>
      <c r="AT65" s="2">
        <v>45681</v>
      </c>
      <c r="AU65" t="s">
        <v>863</v>
      </c>
      <c r="AV65">
        <v>2</v>
      </c>
      <c r="AW65">
        <v>1E-3</v>
      </c>
      <c r="AX65">
        <v>6.2756853703624014</v>
      </c>
      <c r="AY65">
        <v>735.56254164739198</v>
      </c>
      <c r="AZ65">
        <v>0.42399999999999999</v>
      </c>
      <c r="BA65">
        <v>4.3E-3</v>
      </c>
      <c r="BB65">
        <v>12.600300000000004</v>
      </c>
      <c r="BC65" s="2">
        <v>45681</v>
      </c>
      <c r="BD65" t="s">
        <v>983</v>
      </c>
      <c r="BE65">
        <v>3</v>
      </c>
      <c r="BF65">
        <v>4.0000000000000002E-4</v>
      </c>
      <c r="BG65">
        <v>6.2743493442412754</v>
      </c>
      <c r="BH65">
        <v>735.43575276849697</v>
      </c>
      <c r="BI65">
        <v>0.42399999999999999</v>
      </c>
      <c r="BJ65">
        <v>4.3E-3</v>
      </c>
      <c r="BK65">
        <v>12.600400000000008</v>
      </c>
      <c r="BL65" s="2">
        <v>45681</v>
      </c>
      <c r="BM65" t="s">
        <v>1103</v>
      </c>
      <c r="BN65">
        <v>3</v>
      </c>
      <c r="BO65">
        <v>6.9999999999999999E-4</v>
      </c>
      <c r="BP65">
        <v>6.2738073514897987</v>
      </c>
      <c r="BQ65">
        <v>735.38431765638188</v>
      </c>
      <c r="BR65">
        <v>0.42399999999999999</v>
      </c>
      <c r="BS65">
        <v>4.3E-3</v>
      </c>
      <c r="BT65">
        <v>12.597700000000003</v>
      </c>
      <c r="BU65" s="2">
        <v>45681</v>
      </c>
      <c r="BV65" t="s">
        <v>1223</v>
      </c>
      <c r="BW65">
        <v>3</v>
      </c>
      <c r="BX65">
        <v>6.9999999999999999E-4</v>
      </c>
      <c r="BY65">
        <v>6.2733823370496884</v>
      </c>
      <c r="BZ65">
        <v>735.34398378601543</v>
      </c>
      <c r="CA65">
        <v>0.42399999999999999</v>
      </c>
      <c r="CB65">
        <v>4.3E-3</v>
      </c>
      <c r="CC65">
        <v>12.600499999999982</v>
      </c>
      <c r="CD65" s="2">
        <v>45681</v>
      </c>
      <c r="CE65" t="s">
        <v>1343</v>
      </c>
      <c r="CF65">
        <v>4</v>
      </c>
      <c r="CG65">
        <v>1.2999999999999999E-3</v>
      </c>
      <c r="CH65">
        <v>6.2739742027034087</v>
      </c>
      <c r="CI65">
        <v>735.4001518365535</v>
      </c>
      <c r="CJ65">
        <v>0.42399999999999999</v>
      </c>
      <c r="CK65">
        <v>4.3E-3</v>
      </c>
      <c r="CL65">
        <v>12.600500000000011</v>
      </c>
      <c r="CM65" s="2">
        <v>45681</v>
      </c>
      <c r="CN65" t="s">
        <v>1463</v>
      </c>
      <c r="CO65">
        <v>4</v>
      </c>
      <c r="CP65">
        <v>6.9999999999999999E-4</v>
      </c>
      <c r="CQ65">
        <v>6.2734157478394854</v>
      </c>
      <c r="CR65">
        <v>735.34715446996711</v>
      </c>
      <c r="CS65">
        <v>0.42399999999999999</v>
      </c>
      <c r="CT65">
        <v>4.3E-3</v>
      </c>
      <c r="CU65">
        <v>12.58959999999999</v>
      </c>
      <c r="CV65" s="2">
        <v>45681</v>
      </c>
      <c r="CW65" t="s">
        <v>1583</v>
      </c>
      <c r="CX65">
        <v>5</v>
      </c>
      <c r="CY65">
        <v>1E-3</v>
      </c>
      <c r="CZ65">
        <v>6.2748420317495537</v>
      </c>
      <c r="DA65">
        <v>735.48250881303272</v>
      </c>
      <c r="DB65">
        <v>0.42399999999999999</v>
      </c>
      <c r="DC65">
        <v>4.3E-3</v>
      </c>
      <c r="DD65">
        <v>12.598700000000008</v>
      </c>
      <c r="DE65" s="2">
        <v>45681</v>
      </c>
      <c r="DF65" t="s">
        <v>1703</v>
      </c>
      <c r="DG65">
        <v>5</v>
      </c>
      <c r="DH65">
        <v>1E-3</v>
      </c>
      <c r="DI65">
        <v>6.2756523244962814</v>
      </c>
      <c r="DJ65">
        <v>735.55940559469707</v>
      </c>
      <c r="DK65">
        <v>0.42399999999999999</v>
      </c>
      <c r="DL65">
        <v>4.3E-3</v>
      </c>
      <c r="DM65">
        <v>12.597100000000012</v>
      </c>
      <c r="DN65" s="2">
        <v>45681</v>
      </c>
      <c r="DO65" t="s">
        <v>1823</v>
      </c>
      <c r="DP65">
        <v>5</v>
      </c>
      <c r="DQ65">
        <v>1E-3</v>
      </c>
      <c r="DR65">
        <v>6.2768148902305736</v>
      </c>
      <c r="DS65">
        <v>735.66973308288152</v>
      </c>
      <c r="DT65">
        <v>0.42399999999999999</v>
      </c>
      <c r="DU65">
        <v>4.4000000000000003E-3</v>
      </c>
      <c r="DV65">
        <v>12.598099999999988</v>
      </c>
      <c r="DW65" s="2">
        <v>45681</v>
      </c>
      <c r="DX65" t="s">
        <v>1941</v>
      </c>
      <c r="DY65">
        <v>6</v>
      </c>
      <c r="DZ65">
        <v>2E-3</v>
      </c>
      <c r="EA65">
        <v>6.278415323827752</v>
      </c>
      <c r="EB65">
        <v>735.82161423125365</v>
      </c>
      <c r="EC65">
        <v>0.42399999999999999</v>
      </c>
      <c r="ED65">
        <v>4.4000000000000003E-3</v>
      </c>
      <c r="EE65">
        <v>12.600500000000011</v>
      </c>
    </row>
    <row r="66" spans="1:135" x14ac:dyDescent="0.3">
      <c r="A66" s="2">
        <v>45681</v>
      </c>
      <c r="B66" t="s">
        <v>261</v>
      </c>
      <c r="C66">
        <v>0</v>
      </c>
      <c r="D66">
        <v>1.6000000000000001E-3</v>
      </c>
      <c r="E66">
        <v>6.0279495094418971</v>
      </c>
      <c r="F66">
        <v>609.80489427998486</v>
      </c>
      <c r="G66">
        <v>0.42399999999999999</v>
      </c>
      <c r="H66">
        <v>5.0000000000000001E-4</v>
      </c>
      <c r="I66">
        <v>12.799770000000001</v>
      </c>
      <c r="J66" s="2">
        <v>45681</v>
      </c>
      <c r="K66" t="s">
        <v>386</v>
      </c>
      <c r="L66">
        <v>1</v>
      </c>
      <c r="M66">
        <v>3.2000000000000002E-3</v>
      </c>
      <c r="N66">
        <v>6.4639050141363974</v>
      </c>
      <c r="O66">
        <v>753.42458584154406</v>
      </c>
      <c r="P66">
        <v>0.42399999999999999</v>
      </c>
      <c r="Q66">
        <v>7.3000000000000001E-3</v>
      </c>
      <c r="R66">
        <v>12.800280000000001</v>
      </c>
      <c r="S66" s="2">
        <v>45681</v>
      </c>
      <c r="T66" t="s">
        <v>506</v>
      </c>
      <c r="U66">
        <v>1</v>
      </c>
      <c r="V66">
        <v>2.8E-3</v>
      </c>
      <c r="W66">
        <v>6.4636937638756677</v>
      </c>
      <c r="X66">
        <v>753.40453819180095</v>
      </c>
      <c r="Y66">
        <v>0.42399999999999999</v>
      </c>
      <c r="Z66">
        <v>7.3000000000000001E-3</v>
      </c>
      <c r="AA66">
        <v>12.799379999999999</v>
      </c>
      <c r="AB66" s="2">
        <v>45681</v>
      </c>
      <c r="AC66" t="s">
        <v>626</v>
      </c>
      <c r="AD66">
        <v>1</v>
      </c>
      <c r="AE66">
        <v>2.5999999999999999E-3</v>
      </c>
      <c r="AF66">
        <v>6.4635125184504343</v>
      </c>
      <c r="AG66">
        <v>753.38733800094622</v>
      </c>
      <c r="AH66">
        <v>0.42399999999999999</v>
      </c>
      <c r="AI66">
        <v>7.3000000000000001E-3</v>
      </c>
      <c r="AJ66">
        <v>12.80001</v>
      </c>
      <c r="AK66" s="2">
        <v>45681</v>
      </c>
      <c r="AL66" t="s">
        <v>744</v>
      </c>
      <c r="AM66">
        <v>2</v>
      </c>
      <c r="AN66">
        <v>3.5999999999999999E-3</v>
      </c>
      <c r="AO66">
        <v>6.4637971589169094</v>
      </c>
      <c r="AP66">
        <v>753.4143503812146</v>
      </c>
      <c r="AQ66">
        <v>0.42399999999999999</v>
      </c>
      <c r="AR66">
        <v>7.3000000000000001E-3</v>
      </c>
      <c r="AS66">
        <v>12.798000000000002</v>
      </c>
      <c r="AT66" s="2">
        <v>45681</v>
      </c>
      <c r="AU66" t="s">
        <v>864</v>
      </c>
      <c r="AV66">
        <v>2</v>
      </c>
      <c r="AW66">
        <v>2.8999999999999998E-3</v>
      </c>
      <c r="AX66">
        <v>6.4643271091871091</v>
      </c>
      <c r="AY66">
        <v>753.46464266185671</v>
      </c>
      <c r="AZ66">
        <v>0.42399999999999999</v>
      </c>
      <c r="BA66">
        <v>7.3000000000000001E-3</v>
      </c>
      <c r="BB66">
        <v>12.800300000000021</v>
      </c>
      <c r="BC66" s="2">
        <v>45681</v>
      </c>
      <c r="BD66" t="s">
        <v>984</v>
      </c>
      <c r="BE66">
        <v>3</v>
      </c>
      <c r="BF66">
        <v>2.0999999999999999E-3</v>
      </c>
      <c r="BG66">
        <v>6.4636597043326711</v>
      </c>
      <c r="BH66">
        <v>753.40130594117056</v>
      </c>
      <c r="BI66">
        <v>0.42399999999999999</v>
      </c>
      <c r="BJ66">
        <v>7.3000000000000001E-3</v>
      </c>
      <c r="BK66">
        <v>12.801200000000023</v>
      </c>
      <c r="BL66" s="2">
        <v>45681</v>
      </c>
      <c r="BM66" t="s">
        <v>1104</v>
      </c>
      <c r="BN66">
        <v>3</v>
      </c>
      <c r="BO66">
        <v>2.3999999999999998E-3</v>
      </c>
      <c r="BP66">
        <v>6.4642192539676184</v>
      </c>
      <c r="BQ66">
        <v>753.45440720152703</v>
      </c>
      <c r="BR66">
        <v>0.42399999999999999</v>
      </c>
      <c r="BS66">
        <v>7.3000000000000001E-3</v>
      </c>
      <c r="BT66">
        <v>12.799800000000005</v>
      </c>
      <c r="BU66" s="2">
        <v>45681</v>
      </c>
      <c r="BV66" t="s">
        <v>1224</v>
      </c>
      <c r="BW66">
        <v>3</v>
      </c>
      <c r="BX66">
        <v>2.7000000000000001E-3</v>
      </c>
      <c r="BY66">
        <v>6.4627968625767496</v>
      </c>
      <c r="BZ66">
        <v>753.31942225853356</v>
      </c>
      <c r="CA66">
        <v>0.42399999999999999</v>
      </c>
      <c r="CB66">
        <v>7.3000000000000001E-3</v>
      </c>
      <c r="CC66">
        <v>12.801699999999983</v>
      </c>
      <c r="CD66" s="2">
        <v>45681</v>
      </c>
      <c r="CE66" t="s">
        <v>1344</v>
      </c>
      <c r="CF66">
        <v>4</v>
      </c>
      <c r="CG66">
        <v>2.7000000000000001E-3</v>
      </c>
      <c r="CH66">
        <v>6.4613359514646334</v>
      </c>
      <c r="CI66">
        <v>753.18078179399379</v>
      </c>
      <c r="CJ66">
        <v>0.42399999999999999</v>
      </c>
      <c r="CK66">
        <v>7.1999999999999998E-3</v>
      </c>
      <c r="CL66">
        <v>12.799599999999998</v>
      </c>
      <c r="CM66" s="2">
        <v>45681</v>
      </c>
      <c r="CN66" t="s">
        <v>1464</v>
      </c>
      <c r="CO66">
        <v>4</v>
      </c>
      <c r="CP66">
        <v>1.9E-3</v>
      </c>
      <c r="CQ66">
        <v>6.4611105097276544</v>
      </c>
      <c r="CR66">
        <v>753.15938737315446</v>
      </c>
      <c r="CS66">
        <v>0.42399999999999999</v>
      </c>
      <c r="CT66">
        <v>7.1999999999999998E-3</v>
      </c>
      <c r="CU66">
        <v>12.789000000000016</v>
      </c>
      <c r="CV66" s="2">
        <v>45681</v>
      </c>
      <c r="CW66" t="s">
        <v>1584</v>
      </c>
      <c r="CX66">
        <v>5</v>
      </c>
      <c r="CY66">
        <v>2.3999999999999998E-3</v>
      </c>
      <c r="CZ66">
        <v>6.4627084699532569</v>
      </c>
      <c r="DA66">
        <v>753.31103379856415</v>
      </c>
      <c r="DB66">
        <v>0.42399999999999999</v>
      </c>
      <c r="DC66">
        <v>7.3000000000000001E-3</v>
      </c>
      <c r="DD66">
        <v>12.798100000000034</v>
      </c>
      <c r="DE66" s="2">
        <v>45681</v>
      </c>
      <c r="DF66" t="s">
        <v>1704</v>
      </c>
      <c r="DG66">
        <v>5</v>
      </c>
      <c r="DH66">
        <v>1.8E-3</v>
      </c>
      <c r="DI66">
        <v>6.4655840685119941</v>
      </c>
      <c r="DJ66">
        <v>753.58392810178827</v>
      </c>
      <c r="DK66">
        <v>0.42399999999999999</v>
      </c>
      <c r="DL66">
        <v>7.3000000000000001E-3</v>
      </c>
      <c r="DM66">
        <v>12.798400000000015</v>
      </c>
      <c r="DN66" s="2">
        <v>45681</v>
      </c>
      <c r="DO66" t="s">
        <v>1824</v>
      </c>
      <c r="DP66">
        <v>5</v>
      </c>
      <c r="DQ66">
        <v>2.0999999999999999E-3</v>
      </c>
      <c r="DR66">
        <v>6.4661440236176926</v>
      </c>
      <c r="DS66">
        <v>753.63706784131909</v>
      </c>
      <c r="DT66">
        <v>0.42399999999999999</v>
      </c>
      <c r="DU66">
        <v>7.3000000000000001E-3</v>
      </c>
      <c r="DV66">
        <v>12.798600000000022</v>
      </c>
      <c r="DW66" s="2">
        <v>45681</v>
      </c>
      <c r="DX66" t="s">
        <v>1942</v>
      </c>
      <c r="DY66">
        <v>6</v>
      </c>
      <c r="DZ66">
        <v>2.7000000000000001E-3</v>
      </c>
      <c r="EA66">
        <v>6.4691230172176706</v>
      </c>
      <c r="EB66">
        <v>753.91977433395698</v>
      </c>
      <c r="EC66">
        <v>0.42399999999999999</v>
      </c>
      <c r="ED66">
        <v>7.4000000000000003E-3</v>
      </c>
      <c r="EE66">
        <v>12.802000000000021</v>
      </c>
    </row>
    <row r="67" spans="1:135" x14ac:dyDescent="0.3">
      <c r="A67" s="2">
        <v>45681</v>
      </c>
      <c r="B67" t="s">
        <v>262</v>
      </c>
      <c r="C67">
        <v>0</v>
      </c>
      <c r="D67">
        <v>5.0000000000000001E-4</v>
      </c>
      <c r="E67">
        <v>5.9957360617251956</v>
      </c>
      <c r="F67">
        <v>606.80260095278823</v>
      </c>
      <c r="G67">
        <v>0.42399999999999999</v>
      </c>
      <c r="H67">
        <v>0</v>
      </c>
      <c r="I67">
        <v>12.998890000000001</v>
      </c>
      <c r="J67" s="2">
        <v>45681</v>
      </c>
      <c r="K67" t="s">
        <v>387</v>
      </c>
      <c r="L67">
        <v>1</v>
      </c>
      <c r="M67">
        <v>6.3E-3</v>
      </c>
      <c r="N67">
        <v>6.6718859642101096</v>
      </c>
      <c r="O67">
        <v>773.16197800353939</v>
      </c>
      <c r="P67">
        <v>0.42399999999999999</v>
      </c>
      <c r="Q67">
        <v>1.0500000000000001E-2</v>
      </c>
      <c r="R67">
        <v>12.999429999999997</v>
      </c>
      <c r="S67" s="2">
        <v>45681</v>
      </c>
      <c r="T67" t="s">
        <v>507</v>
      </c>
      <c r="U67">
        <v>1</v>
      </c>
      <c r="V67">
        <v>5.8999999999999999E-3</v>
      </c>
      <c r="W67">
        <v>6.672566749599298</v>
      </c>
      <c r="X67">
        <v>773.22658453697341</v>
      </c>
      <c r="Y67">
        <v>0.42399999999999999</v>
      </c>
      <c r="Z67">
        <v>1.0500000000000001E-2</v>
      </c>
      <c r="AA67">
        <v>12.999369999999999</v>
      </c>
      <c r="AB67" s="2">
        <v>45681</v>
      </c>
      <c r="AC67" t="s">
        <v>627</v>
      </c>
      <c r="AD67">
        <v>1</v>
      </c>
      <c r="AE67">
        <v>5.8999999999999999E-3</v>
      </c>
      <c r="AF67">
        <v>6.6729535686947612</v>
      </c>
      <c r="AG67">
        <v>773.26329366913285</v>
      </c>
      <c r="AH67">
        <v>0.42399999999999999</v>
      </c>
      <c r="AI67">
        <v>1.0500000000000001E-2</v>
      </c>
      <c r="AJ67">
        <v>13.000600000000006</v>
      </c>
      <c r="AK67" s="2">
        <v>45681</v>
      </c>
      <c r="AL67" t="s">
        <v>745</v>
      </c>
      <c r="AM67">
        <v>2</v>
      </c>
      <c r="AN67">
        <v>5.0000000000000001E-3</v>
      </c>
      <c r="AO67">
        <v>6.6714066977836533</v>
      </c>
      <c r="AP67">
        <v>773.11649561966874</v>
      </c>
      <c r="AQ67">
        <v>0.42399999999999999</v>
      </c>
      <c r="AR67">
        <v>1.0500000000000001E-2</v>
      </c>
      <c r="AS67">
        <v>12.996799999999993</v>
      </c>
      <c r="AT67" s="2">
        <v>45681</v>
      </c>
      <c r="AU67" t="s">
        <v>865</v>
      </c>
      <c r="AV67">
        <v>2</v>
      </c>
      <c r="AW67">
        <v>5.8999999999999999E-3</v>
      </c>
      <c r="AX67">
        <v>6.671427376791903</v>
      </c>
      <c r="AY67">
        <v>773.11845805755161</v>
      </c>
      <c r="AZ67">
        <v>0.42399999999999999</v>
      </c>
      <c r="BA67">
        <v>1.0500000000000001E-2</v>
      </c>
      <c r="BB67">
        <v>12.99860000000001</v>
      </c>
      <c r="BC67" s="2">
        <v>45681</v>
      </c>
      <c r="BD67" t="s">
        <v>985</v>
      </c>
      <c r="BE67">
        <v>3</v>
      </c>
      <c r="BF67">
        <v>5.4999999999999997E-3</v>
      </c>
      <c r="BG67">
        <v>6.6710048762704393</v>
      </c>
      <c r="BH67">
        <v>773.07836275806471</v>
      </c>
      <c r="BI67">
        <v>0.42399999999999999</v>
      </c>
      <c r="BJ67">
        <v>1.0500000000000001E-2</v>
      </c>
      <c r="BK67">
        <v>12.999800000000022</v>
      </c>
      <c r="BL67" s="2">
        <v>45681</v>
      </c>
      <c r="BM67" t="s">
        <v>1105</v>
      </c>
      <c r="BN67">
        <v>3</v>
      </c>
      <c r="BO67">
        <v>5.5999999999999999E-3</v>
      </c>
      <c r="BP67">
        <v>6.6703755856664966</v>
      </c>
      <c r="BQ67">
        <v>773.01864307975052</v>
      </c>
      <c r="BR67">
        <v>0.42399999999999999</v>
      </c>
      <c r="BS67">
        <v>1.0500000000000001E-2</v>
      </c>
      <c r="BT67">
        <v>12.997199999999992</v>
      </c>
      <c r="BU67" s="2">
        <v>45681</v>
      </c>
      <c r="BV67" t="s">
        <v>1225</v>
      </c>
      <c r="BW67">
        <v>3</v>
      </c>
      <c r="BX67">
        <v>5.4999999999999997E-3</v>
      </c>
      <c r="BY67">
        <v>6.6692516207476009</v>
      </c>
      <c r="BZ67">
        <v>772.91197880894731</v>
      </c>
      <c r="CA67">
        <v>0.42399999999999999</v>
      </c>
      <c r="CB67">
        <v>1.0500000000000001E-2</v>
      </c>
      <c r="CC67">
        <v>12.999499999999983</v>
      </c>
      <c r="CD67" s="2">
        <v>45681</v>
      </c>
      <c r="CE67" t="s">
        <v>1345</v>
      </c>
      <c r="CF67">
        <v>4</v>
      </c>
      <c r="CG67">
        <v>5.7000000000000002E-3</v>
      </c>
      <c r="CH67">
        <v>6.6708913444604514</v>
      </c>
      <c r="CI67">
        <v>773.06758858929675</v>
      </c>
      <c r="CJ67">
        <v>0.42399999999999999</v>
      </c>
      <c r="CK67">
        <v>1.0500000000000001E-2</v>
      </c>
      <c r="CL67">
        <v>13.00030000000001</v>
      </c>
      <c r="CM67" s="2">
        <v>45681</v>
      </c>
      <c r="CN67" t="s">
        <v>1465</v>
      </c>
      <c r="CO67">
        <v>4</v>
      </c>
      <c r="CP67">
        <v>5.1000000000000004E-3</v>
      </c>
      <c r="CQ67">
        <v>6.670303817343755</v>
      </c>
      <c r="CR67">
        <v>773.01183226592241</v>
      </c>
      <c r="CS67">
        <v>0.42399999999999999</v>
      </c>
      <c r="CT67">
        <v>1.0500000000000001E-2</v>
      </c>
      <c r="CU67">
        <v>12.989400000000018</v>
      </c>
      <c r="CV67" s="2">
        <v>45681</v>
      </c>
      <c r="CW67" t="s">
        <v>1585</v>
      </c>
      <c r="CX67">
        <v>5</v>
      </c>
      <c r="CY67">
        <v>5.0000000000000001E-3</v>
      </c>
      <c r="CZ67">
        <v>6.6726239209750426</v>
      </c>
      <c r="DA67">
        <v>773.23201010053162</v>
      </c>
      <c r="DB67">
        <v>0.42399999999999999</v>
      </c>
      <c r="DC67">
        <v>1.0500000000000001E-2</v>
      </c>
      <c r="DD67">
        <v>12.999099999999999</v>
      </c>
      <c r="DE67" s="2">
        <v>45681</v>
      </c>
      <c r="DF67" t="s">
        <v>1705</v>
      </c>
      <c r="DG67">
        <v>5</v>
      </c>
      <c r="DH67">
        <v>4.4999999999999997E-3</v>
      </c>
      <c r="DI67">
        <v>6.6759341841777387</v>
      </c>
      <c r="DJ67">
        <v>773.54615407846745</v>
      </c>
      <c r="DK67">
        <v>0.42399999999999999</v>
      </c>
      <c r="DL67">
        <v>1.06E-2</v>
      </c>
      <c r="DM67">
        <v>12.999700000000018</v>
      </c>
      <c r="DN67" s="2">
        <v>45681</v>
      </c>
      <c r="DO67" t="s">
        <v>1825</v>
      </c>
      <c r="DP67">
        <v>5</v>
      </c>
      <c r="DQ67">
        <v>4.4000000000000003E-3</v>
      </c>
      <c r="DR67">
        <v>6.6756349467642657</v>
      </c>
      <c r="DS67">
        <v>773.51775644792883</v>
      </c>
      <c r="DT67">
        <v>0.42399999999999999</v>
      </c>
      <c r="DU67">
        <v>1.06E-2</v>
      </c>
      <c r="DV67">
        <v>12.999099999999999</v>
      </c>
      <c r="DW67" s="2">
        <v>45681</v>
      </c>
      <c r="DX67" t="s">
        <v>1943</v>
      </c>
      <c r="DY67">
        <v>6</v>
      </c>
      <c r="DZ67">
        <v>4.4000000000000003E-3</v>
      </c>
      <c r="EA67">
        <v>6.6780993979825416</v>
      </c>
      <c r="EB67">
        <v>773.7516328685432</v>
      </c>
      <c r="EC67">
        <v>0.42399999999999999</v>
      </c>
      <c r="ED67">
        <v>1.06E-2</v>
      </c>
      <c r="EE67">
        <v>13.001899999999978</v>
      </c>
    </row>
    <row r="68" spans="1:135" x14ac:dyDescent="0.3">
      <c r="A68" s="2">
        <v>45681</v>
      </c>
      <c r="B68" t="s">
        <v>263</v>
      </c>
      <c r="C68">
        <v>0</v>
      </c>
      <c r="D68">
        <v>-1E-4</v>
      </c>
      <c r="E68">
        <v>6.029295258751608</v>
      </c>
      <c r="F68">
        <v>712.1801200555276</v>
      </c>
      <c r="G68">
        <v>0.42399999999999999</v>
      </c>
      <c r="H68">
        <v>5.0000000000000001E-4</v>
      </c>
      <c r="I68">
        <v>13.19861</v>
      </c>
      <c r="J68" s="2">
        <v>45681</v>
      </c>
      <c r="K68" t="s">
        <v>388</v>
      </c>
      <c r="L68">
        <v>1</v>
      </c>
      <c r="M68">
        <v>9.1000000000000004E-3</v>
      </c>
      <c r="N68">
        <v>6.880827069019734</v>
      </c>
      <c r="O68">
        <v>792.99048884997273</v>
      </c>
      <c r="P68">
        <v>0.42399999999999999</v>
      </c>
      <c r="Q68">
        <v>1.38E-2</v>
      </c>
      <c r="R68">
        <v>13.199550000000002</v>
      </c>
      <c r="S68" s="2">
        <v>45681</v>
      </c>
      <c r="T68" t="s">
        <v>508</v>
      </c>
      <c r="U68">
        <v>1</v>
      </c>
      <c r="V68">
        <v>8.6999999999999994E-3</v>
      </c>
      <c r="W68">
        <v>6.8818070918223953</v>
      </c>
      <c r="X68">
        <v>793.08349301394537</v>
      </c>
      <c r="Y68">
        <v>0.42399999999999999</v>
      </c>
      <c r="Z68">
        <v>1.38E-2</v>
      </c>
      <c r="AA68">
        <v>13.199839999999995</v>
      </c>
      <c r="AB68" s="2">
        <v>45681</v>
      </c>
      <c r="AC68" t="s">
        <v>628</v>
      </c>
      <c r="AD68">
        <v>1</v>
      </c>
      <c r="AE68">
        <v>8.9999999999999993E-3</v>
      </c>
      <c r="AF68">
        <v>6.8805671622690072</v>
      </c>
      <c r="AG68">
        <v>792.96582369932878</v>
      </c>
      <c r="AH68">
        <v>0.42399999999999999</v>
      </c>
      <c r="AI68">
        <v>1.37E-2</v>
      </c>
      <c r="AJ68">
        <v>13.199399999999997</v>
      </c>
      <c r="AK68" s="2">
        <v>45681</v>
      </c>
      <c r="AL68" t="s">
        <v>746</v>
      </c>
      <c r="AM68">
        <v>2</v>
      </c>
      <c r="AN68">
        <v>8.6E-3</v>
      </c>
      <c r="AO68">
        <v>6.8827234557173096</v>
      </c>
      <c r="AP68">
        <v>793.1704559475728</v>
      </c>
      <c r="AQ68">
        <v>0.42399999999999999</v>
      </c>
      <c r="AR68">
        <v>1.38E-2</v>
      </c>
      <c r="AS68">
        <v>13.199299999999994</v>
      </c>
      <c r="AT68" s="2">
        <v>45681</v>
      </c>
      <c r="AU68" t="s">
        <v>866</v>
      </c>
      <c r="AV68">
        <v>2</v>
      </c>
      <c r="AW68">
        <v>8.8000000000000005E-3</v>
      </c>
      <c r="AX68">
        <v>6.8816554457619077</v>
      </c>
      <c r="AY68">
        <v>793.06910180280511</v>
      </c>
      <c r="AZ68">
        <v>0.42399999999999999</v>
      </c>
      <c r="BA68">
        <v>1.38E-2</v>
      </c>
      <c r="BB68">
        <v>13.200000000000017</v>
      </c>
      <c r="BC68" s="2">
        <v>45681</v>
      </c>
      <c r="BD68" t="s">
        <v>986</v>
      </c>
      <c r="BE68">
        <v>3</v>
      </c>
      <c r="BF68">
        <v>8.8000000000000005E-3</v>
      </c>
      <c r="BG68">
        <v>6.8807930094767373</v>
      </c>
      <c r="BH68">
        <v>792.98725659934246</v>
      </c>
      <c r="BI68">
        <v>0.42399999999999999</v>
      </c>
      <c r="BJ68">
        <v>1.38E-2</v>
      </c>
      <c r="BK68">
        <v>13.200700000000012</v>
      </c>
      <c r="BL68" s="2">
        <v>45681</v>
      </c>
      <c r="BM68" t="s">
        <v>1106</v>
      </c>
      <c r="BN68">
        <v>3</v>
      </c>
      <c r="BO68">
        <v>8.5000000000000006E-3</v>
      </c>
      <c r="BP68">
        <v>6.8804495757515172</v>
      </c>
      <c r="BQ68">
        <v>792.95466473881902</v>
      </c>
      <c r="BR68">
        <v>0.42399999999999999</v>
      </c>
      <c r="BS68">
        <v>1.37E-2</v>
      </c>
      <c r="BT68">
        <v>13.198399999999992</v>
      </c>
      <c r="BU68" s="2">
        <v>45681</v>
      </c>
      <c r="BV68" t="s">
        <v>1226</v>
      </c>
      <c r="BW68">
        <v>3</v>
      </c>
      <c r="BX68">
        <v>8.3000000000000001E-3</v>
      </c>
      <c r="BY68">
        <v>6.8800477542383058</v>
      </c>
      <c r="BZ68">
        <v>792.91653187721522</v>
      </c>
      <c r="CA68">
        <v>0.42399999999999999</v>
      </c>
      <c r="CB68">
        <v>1.37E-2</v>
      </c>
      <c r="CC68">
        <v>13.201300000000003</v>
      </c>
      <c r="CD68" s="2">
        <v>45681</v>
      </c>
      <c r="CE68" t="s">
        <v>1346</v>
      </c>
      <c r="CF68">
        <v>4</v>
      </c>
      <c r="CG68">
        <v>8.3999999999999995E-3</v>
      </c>
      <c r="CH68">
        <v>6.8807439475159917</v>
      </c>
      <c r="CI68">
        <v>792.9826006192676</v>
      </c>
      <c r="CJ68">
        <v>0.42399999999999999</v>
      </c>
      <c r="CK68">
        <v>1.38E-2</v>
      </c>
      <c r="CL68">
        <v>13.201300000000003</v>
      </c>
      <c r="CM68" s="2">
        <v>45681</v>
      </c>
      <c r="CN68" t="s">
        <v>1466</v>
      </c>
      <c r="CO68">
        <v>4</v>
      </c>
      <c r="CP68">
        <v>8.2000000000000007E-3</v>
      </c>
      <c r="CQ68">
        <v>6.8787725487296711</v>
      </c>
      <c r="CR68">
        <v>792.79551487444587</v>
      </c>
      <c r="CS68">
        <v>0.42399999999999999</v>
      </c>
      <c r="CT68">
        <v>1.37E-2</v>
      </c>
      <c r="CU68">
        <v>13.188999999999993</v>
      </c>
      <c r="CV68" s="2">
        <v>45681</v>
      </c>
      <c r="CW68" t="s">
        <v>1586</v>
      </c>
      <c r="CX68">
        <v>5</v>
      </c>
      <c r="CY68">
        <v>8.2000000000000007E-3</v>
      </c>
      <c r="CZ68">
        <v>6.8802144027165388</v>
      </c>
      <c r="DA68">
        <v>792.93234681779961</v>
      </c>
      <c r="DB68">
        <v>0.42399999999999999</v>
      </c>
      <c r="DC68">
        <v>1.37E-2</v>
      </c>
      <c r="DD68">
        <v>13.198000000000036</v>
      </c>
      <c r="DE68" s="2">
        <v>45681</v>
      </c>
      <c r="DF68" t="s">
        <v>1706</v>
      </c>
      <c r="DG68">
        <v>5</v>
      </c>
      <c r="DH68">
        <v>7.7999999999999996E-3</v>
      </c>
      <c r="DI68">
        <v>6.8812832236134431</v>
      </c>
      <c r="DJ68">
        <v>793.03377792091578</v>
      </c>
      <c r="DK68">
        <v>0.42399999999999999</v>
      </c>
      <c r="DL68">
        <v>1.38E-2</v>
      </c>
      <c r="DM68">
        <v>13.196399999999983</v>
      </c>
      <c r="DN68" s="2">
        <v>45681</v>
      </c>
      <c r="DO68" t="s">
        <v>1826</v>
      </c>
      <c r="DP68">
        <v>5</v>
      </c>
      <c r="DQ68">
        <v>7.6E-3</v>
      </c>
      <c r="DR68">
        <v>6.8846818794396318</v>
      </c>
      <c r="DS68">
        <v>793.35631035882113</v>
      </c>
      <c r="DT68">
        <v>0.42399999999999999</v>
      </c>
      <c r="DU68">
        <v>1.38E-2</v>
      </c>
      <c r="DV68">
        <v>13.1995</v>
      </c>
      <c r="DW68" s="2">
        <v>45681</v>
      </c>
      <c r="DX68" t="s">
        <v>1944</v>
      </c>
      <c r="DY68">
        <v>6</v>
      </c>
      <c r="DZ68">
        <v>7.9000000000000008E-3</v>
      </c>
      <c r="EA68">
        <v>6.8854940373518074</v>
      </c>
      <c r="EB68">
        <v>793.43338414468644</v>
      </c>
      <c r="EC68">
        <v>0.42399999999999999</v>
      </c>
      <c r="ED68">
        <v>1.38E-2</v>
      </c>
      <c r="EE68">
        <v>13.200800000000015</v>
      </c>
    </row>
    <row r="69" spans="1:135" x14ac:dyDescent="0.3">
      <c r="A69" s="2">
        <v>45681</v>
      </c>
      <c r="B69" t="s">
        <v>264</v>
      </c>
      <c r="C69">
        <v>0</v>
      </c>
      <c r="D69">
        <v>1E-4</v>
      </c>
      <c r="E69">
        <v>6.1265516877372033</v>
      </c>
      <c r="F69">
        <v>721.40975516626065</v>
      </c>
      <c r="G69">
        <v>0.42399999999999999</v>
      </c>
      <c r="H69">
        <v>2E-3</v>
      </c>
      <c r="I69">
        <v>13.399929999999999</v>
      </c>
      <c r="J69" s="2">
        <v>45681</v>
      </c>
      <c r="K69" t="s">
        <v>389</v>
      </c>
      <c r="L69">
        <v>1</v>
      </c>
      <c r="M69">
        <v>1.26E-2</v>
      </c>
      <c r="N69">
        <v>7.0704231643486279</v>
      </c>
      <c r="O69">
        <v>810.98315829668479</v>
      </c>
      <c r="P69">
        <v>0.42399999999999999</v>
      </c>
      <c r="Q69">
        <v>1.67E-2</v>
      </c>
      <c r="R69">
        <v>13.401049999999998</v>
      </c>
      <c r="S69" s="2">
        <v>45681</v>
      </c>
      <c r="T69" t="s">
        <v>509</v>
      </c>
      <c r="U69">
        <v>1</v>
      </c>
      <c r="V69">
        <v>1.2E-2</v>
      </c>
      <c r="W69">
        <v>7.0710265048245748</v>
      </c>
      <c r="X69">
        <v>811.04041530785219</v>
      </c>
      <c r="Y69">
        <v>0.42399999999999999</v>
      </c>
      <c r="Z69">
        <v>1.67E-2</v>
      </c>
      <c r="AA69">
        <v>13.401060000000001</v>
      </c>
      <c r="AB69" s="2">
        <v>45681</v>
      </c>
      <c r="AC69" t="s">
        <v>629</v>
      </c>
      <c r="AD69">
        <v>1</v>
      </c>
      <c r="AE69">
        <v>1.2E-2</v>
      </c>
      <c r="AF69">
        <v>7.0698157691651851</v>
      </c>
      <c r="AG69">
        <v>810.92551649377606</v>
      </c>
      <c r="AH69">
        <v>0.42399999999999999</v>
      </c>
      <c r="AI69">
        <v>1.67E-2</v>
      </c>
      <c r="AJ69">
        <v>13.400500000000008</v>
      </c>
      <c r="AK69" s="2">
        <v>45681</v>
      </c>
      <c r="AL69" t="s">
        <v>747</v>
      </c>
      <c r="AM69">
        <v>2</v>
      </c>
      <c r="AN69">
        <v>1.2E-2</v>
      </c>
      <c r="AO69">
        <v>7.0695655937124586</v>
      </c>
      <c r="AP69">
        <v>810.90177484331241</v>
      </c>
      <c r="AQ69">
        <v>0.42399999999999999</v>
      </c>
      <c r="AR69">
        <v>1.67E-2</v>
      </c>
      <c r="AS69">
        <v>13.397899999999993</v>
      </c>
      <c r="AT69" s="2">
        <v>45681</v>
      </c>
      <c r="AU69" t="s">
        <v>867</v>
      </c>
      <c r="AV69">
        <v>2</v>
      </c>
      <c r="AW69">
        <v>1.18E-2</v>
      </c>
      <c r="AX69">
        <v>7.0683897285375652</v>
      </c>
      <c r="AY69">
        <v>810.79018523821503</v>
      </c>
      <c r="AZ69">
        <v>0.42399999999999999</v>
      </c>
      <c r="BA69">
        <v>1.67E-2</v>
      </c>
      <c r="BB69">
        <v>13.398300000000006</v>
      </c>
      <c r="BC69" s="2">
        <v>45681</v>
      </c>
      <c r="BD69" t="s">
        <v>987</v>
      </c>
      <c r="BE69">
        <v>3</v>
      </c>
      <c r="BF69">
        <v>1.1599999999999999E-2</v>
      </c>
      <c r="BG69">
        <v>7.0688904849137701</v>
      </c>
      <c r="BH69">
        <v>810.83770701831679</v>
      </c>
      <c r="BI69">
        <v>0.42399999999999999</v>
      </c>
      <c r="BJ69">
        <v>1.67E-2</v>
      </c>
      <c r="BK69">
        <v>13.400500000000022</v>
      </c>
      <c r="BL69" s="2">
        <v>45681</v>
      </c>
      <c r="BM69" t="s">
        <v>1107</v>
      </c>
      <c r="BN69">
        <v>3</v>
      </c>
      <c r="BO69">
        <v>1.14E-2</v>
      </c>
      <c r="BP69">
        <v>7.0679810140216031</v>
      </c>
      <c r="BQ69">
        <v>810.75139823065012</v>
      </c>
      <c r="BR69">
        <v>0.42399999999999999</v>
      </c>
      <c r="BS69">
        <v>1.67E-2</v>
      </c>
      <c r="BT69">
        <v>13.397400000000005</v>
      </c>
      <c r="BU69" s="2">
        <v>45681</v>
      </c>
      <c r="BV69" t="s">
        <v>1227</v>
      </c>
      <c r="BW69">
        <v>3</v>
      </c>
      <c r="BX69">
        <v>1.1599999999999999E-2</v>
      </c>
      <c r="BY69">
        <v>7.0670703267171859</v>
      </c>
      <c r="BZ69">
        <v>810.66497400546098</v>
      </c>
      <c r="CA69">
        <v>0.42399999999999999</v>
      </c>
      <c r="CB69">
        <v>1.66E-2</v>
      </c>
      <c r="CC69">
        <v>13.399699999999996</v>
      </c>
      <c r="CD69" s="2">
        <v>45681</v>
      </c>
      <c r="CE69" t="s">
        <v>1347</v>
      </c>
      <c r="CF69">
        <v>4</v>
      </c>
      <c r="CG69">
        <v>1.1299999999999999E-2</v>
      </c>
      <c r="CH69">
        <v>7.0694824722087164</v>
      </c>
      <c r="CI69">
        <v>810.89388661260716</v>
      </c>
      <c r="CJ69">
        <v>0.42399999999999999</v>
      </c>
      <c r="CK69">
        <v>1.67E-2</v>
      </c>
      <c r="CL69">
        <v>13.401800000000009</v>
      </c>
      <c r="CM69" s="2">
        <v>45681</v>
      </c>
      <c r="CN69" t="s">
        <v>1467</v>
      </c>
      <c r="CO69">
        <v>4</v>
      </c>
      <c r="CP69">
        <v>1.12E-2</v>
      </c>
      <c r="CQ69">
        <v>7.0702573268118938</v>
      </c>
      <c r="CR69">
        <v>810.96742031444876</v>
      </c>
      <c r="CS69">
        <v>0.42399999999999999</v>
      </c>
      <c r="CT69">
        <v>1.67E-2</v>
      </c>
      <c r="CU69">
        <v>13.392399999999981</v>
      </c>
      <c r="CV69" s="2">
        <v>45681</v>
      </c>
      <c r="CW69" t="s">
        <v>1587</v>
      </c>
      <c r="CX69">
        <v>5</v>
      </c>
      <c r="CY69">
        <v>1.0999999999999999E-2</v>
      </c>
      <c r="CZ69">
        <v>7.0690993023499988</v>
      </c>
      <c r="DA69">
        <v>810.85752379301493</v>
      </c>
      <c r="DB69">
        <v>0.42399999999999999</v>
      </c>
      <c r="DC69">
        <v>1.67E-2</v>
      </c>
      <c r="DD69">
        <v>13.398500000000013</v>
      </c>
      <c r="DE69" s="2">
        <v>45681</v>
      </c>
      <c r="DF69" t="s">
        <v>1707</v>
      </c>
      <c r="DG69">
        <v>5</v>
      </c>
      <c r="DH69">
        <v>1.09E-2</v>
      </c>
      <c r="DI69">
        <v>7.07150536578028</v>
      </c>
      <c r="DJ69">
        <v>811.0858592125486</v>
      </c>
      <c r="DK69">
        <v>0.42399999999999999</v>
      </c>
      <c r="DL69">
        <v>1.67E-2</v>
      </c>
      <c r="DM69">
        <v>13.398700000000019</v>
      </c>
      <c r="DN69" s="2">
        <v>45681</v>
      </c>
      <c r="DO69" t="s">
        <v>1827</v>
      </c>
      <c r="DP69">
        <v>5</v>
      </c>
      <c r="DQ69">
        <v>1.14E-2</v>
      </c>
      <c r="DR69">
        <v>7.3159892255901502</v>
      </c>
      <c r="DS69">
        <v>834.2873775085053</v>
      </c>
      <c r="DT69">
        <v>0.42399999999999999</v>
      </c>
      <c r="DU69">
        <v>2.0500000000000001E-2</v>
      </c>
      <c r="DV69">
        <v>13.800700000000006</v>
      </c>
      <c r="DW69" s="2">
        <v>45681</v>
      </c>
      <c r="DX69" t="s">
        <v>1945</v>
      </c>
      <c r="DY69">
        <v>6</v>
      </c>
      <c r="DZ69">
        <v>1.0800000000000001E-2</v>
      </c>
      <c r="EA69">
        <v>7.0729666823631474</v>
      </c>
      <c r="EB69">
        <v>811.22453815626272</v>
      </c>
      <c r="EC69">
        <v>0.42399999999999999</v>
      </c>
      <c r="ED69">
        <v>1.67E-2</v>
      </c>
      <c r="EE69">
        <v>13.400599999999997</v>
      </c>
    </row>
    <row r="70" spans="1:135" x14ac:dyDescent="0.3">
      <c r="A70" s="2">
        <v>45681</v>
      </c>
      <c r="B70" t="s">
        <v>265</v>
      </c>
      <c r="C70">
        <v>0</v>
      </c>
      <c r="D70">
        <v>8.0000000000000004E-4</v>
      </c>
      <c r="E70">
        <v>6.2743886749040207</v>
      </c>
      <c r="F70">
        <v>735.43948524839163</v>
      </c>
      <c r="G70">
        <v>0.42399999999999999</v>
      </c>
      <c r="H70">
        <v>4.3E-3</v>
      </c>
      <c r="I70">
        <v>13.597230000000001</v>
      </c>
      <c r="J70" s="2">
        <v>45681</v>
      </c>
      <c r="K70" t="s">
        <v>390</v>
      </c>
      <c r="L70">
        <v>1</v>
      </c>
      <c r="M70">
        <v>1.49E-2</v>
      </c>
      <c r="N70">
        <v>7.218372548007336</v>
      </c>
      <c r="O70">
        <v>825.0235548058962</v>
      </c>
      <c r="P70">
        <v>0.42399999999999999</v>
      </c>
      <c r="Q70">
        <v>1.9E-2</v>
      </c>
      <c r="R70">
        <v>13.599289999999996</v>
      </c>
      <c r="S70" s="2">
        <v>45681</v>
      </c>
      <c r="T70" t="s">
        <v>510</v>
      </c>
      <c r="U70">
        <v>1</v>
      </c>
      <c r="V70">
        <v>1.47E-2</v>
      </c>
      <c r="W70">
        <v>7.2189381797035352</v>
      </c>
      <c r="X70">
        <v>825.07723325386553</v>
      </c>
      <c r="Y70">
        <v>0.42399999999999999</v>
      </c>
      <c r="Z70">
        <v>1.9E-2</v>
      </c>
      <c r="AA70">
        <v>13.599509999999995</v>
      </c>
      <c r="AB70" s="2">
        <v>45681</v>
      </c>
      <c r="AC70" t="s">
        <v>630</v>
      </c>
      <c r="AD70">
        <v>1</v>
      </c>
      <c r="AE70">
        <v>1.46E-2</v>
      </c>
      <c r="AF70">
        <v>7.2194486673777369</v>
      </c>
      <c r="AG70">
        <v>825.12567853414726</v>
      </c>
      <c r="AH70">
        <v>0.42399999999999999</v>
      </c>
      <c r="AI70">
        <v>1.9E-2</v>
      </c>
      <c r="AJ70">
        <v>13.601100000000002</v>
      </c>
      <c r="AK70" s="2">
        <v>45681</v>
      </c>
      <c r="AL70" t="s">
        <v>748</v>
      </c>
      <c r="AM70">
        <v>2</v>
      </c>
      <c r="AN70">
        <v>1.43E-2</v>
      </c>
      <c r="AO70">
        <v>7.2177842099491389</v>
      </c>
      <c r="AP70">
        <v>824.96772152417327</v>
      </c>
      <c r="AQ70">
        <v>0.42399999999999999</v>
      </c>
      <c r="AR70">
        <v>1.9E-2</v>
      </c>
      <c r="AS70">
        <v>13.596199999999996</v>
      </c>
      <c r="AT70" s="2">
        <v>45681</v>
      </c>
      <c r="AU70" t="s">
        <v>868</v>
      </c>
      <c r="AV70">
        <v>2</v>
      </c>
      <c r="AW70">
        <v>1.44E-2</v>
      </c>
      <c r="AX70">
        <v>7.2188931724502883</v>
      </c>
      <c r="AY70">
        <v>825.07296206553235</v>
      </c>
      <c r="AZ70">
        <v>0.42399999999999999</v>
      </c>
      <c r="BA70">
        <v>1.9E-2</v>
      </c>
      <c r="BB70">
        <v>13.599700000000013</v>
      </c>
      <c r="BC70" s="2">
        <v>45681</v>
      </c>
      <c r="BD70" t="s">
        <v>988</v>
      </c>
      <c r="BE70">
        <v>3</v>
      </c>
      <c r="BF70">
        <v>1.4200000000000001E-2</v>
      </c>
      <c r="BG70">
        <v>7.2177173072753957</v>
      </c>
      <c r="BH70">
        <v>824.96137246043509</v>
      </c>
      <c r="BI70">
        <v>0.42399999999999999</v>
      </c>
      <c r="BJ70">
        <v>1.9E-2</v>
      </c>
      <c r="BK70">
        <v>13.599500000000006</v>
      </c>
      <c r="BL70" s="2">
        <v>45681</v>
      </c>
      <c r="BM70" t="s">
        <v>1108</v>
      </c>
      <c r="BN70">
        <v>3</v>
      </c>
      <c r="BO70">
        <v>1.41E-2</v>
      </c>
      <c r="BP70">
        <v>7.2182938866818436</v>
      </c>
      <c r="BQ70">
        <v>825.01608984610698</v>
      </c>
      <c r="BR70">
        <v>0.42399999999999999</v>
      </c>
      <c r="BS70">
        <v>1.9E-2</v>
      </c>
      <c r="BT70">
        <v>13.598399999999998</v>
      </c>
      <c r="BU70" s="2">
        <v>45681</v>
      </c>
      <c r="BV70" t="s">
        <v>1228</v>
      </c>
      <c r="BW70">
        <v>3</v>
      </c>
      <c r="BX70">
        <v>1.38E-2</v>
      </c>
      <c r="BY70">
        <v>7.2174991640119153</v>
      </c>
      <c r="BZ70">
        <v>824.94067066473076</v>
      </c>
      <c r="CA70">
        <v>0.42399999999999999</v>
      </c>
      <c r="CB70">
        <v>1.9E-2</v>
      </c>
      <c r="CC70">
        <v>13.600400000000008</v>
      </c>
      <c r="CD70" s="2">
        <v>45681</v>
      </c>
      <c r="CE70" t="s">
        <v>1348</v>
      </c>
      <c r="CF70">
        <v>4</v>
      </c>
      <c r="CG70">
        <v>1.38E-2</v>
      </c>
      <c r="CH70">
        <v>7.2179784304383716</v>
      </c>
      <c r="CI70">
        <v>824.98615304860152</v>
      </c>
      <c r="CJ70">
        <v>0.42399999999999999</v>
      </c>
      <c r="CK70">
        <v>1.9E-2</v>
      </c>
      <c r="CL70">
        <v>13.600500000000011</v>
      </c>
      <c r="CM70" s="2">
        <v>45681</v>
      </c>
      <c r="CN70" t="s">
        <v>1468</v>
      </c>
      <c r="CO70">
        <v>4</v>
      </c>
      <c r="CP70">
        <v>1.35E-2</v>
      </c>
      <c r="CQ70">
        <v>7.2181544047438564</v>
      </c>
      <c r="CR70">
        <v>825.00285301019198</v>
      </c>
      <c r="CS70">
        <v>0.42399999999999999</v>
      </c>
      <c r="CT70">
        <v>1.9E-2</v>
      </c>
      <c r="CU70">
        <v>13.590499999999992</v>
      </c>
      <c r="CV70" s="2">
        <v>45681</v>
      </c>
      <c r="CW70" t="s">
        <v>1588</v>
      </c>
      <c r="CX70">
        <v>5</v>
      </c>
      <c r="CY70">
        <v>1.3599999999999999E-2</v>
      </c>
      <c r="CZ70">
        <v>7.2199737519989391</v>
      </c>
      <c r="DA70">
        <v>825.17550906469933</v>
      </c>
      <c r="DB70">
        <v>0.42399999999999999</v>
      </c>
      <c r="DC70">
        <v>1.9E-2</v>
      </c>
      <c r="DD70">
        <v>13.600900000000024</v>
      </c>
      <c r="DE70" s="2">
        <v>45681</v>
      </c>
      <c r="DF70" t="s">
        <v>1708</v>
      </c>
      <c r="DG70">
        <v>5</v>
      </c>
      <c r="DH70">
        <v>1.3599999999999999E-2</v>
      </c>
      <c r="DI70">
        <v>7.2198229168799539</v>
      </c>
      <c r="DJ70">
        <v>825.16119481190765</v>
      </c>
      <c r="DK70">
        <v>0.42399999999999999</v>
      </c>
      <c r="DL70">
        <v>1.9E-2</v>
      </c>
      <c r="DM70">
        <v>13.598000000000013</v>
      </c>
      <c r="DN70" s="2">
        <v>45681</v>
      </c>
      <c r="DO70" t="s">
        <v>1828</v>
      </c>
      <c r="DP70">
        <v>5</v>
      </c>
      <c r="DQ70">
        <v>1.4999999999999999E-2</v>
      </c>
      <c r="DR70">
        <v>7.347294000311785</v>
      </c>
      <c r="DS70">
        <v>837.25820062958849</v>
      </c>
      <c r="DT70">
        <v>0.42399999999999999</v>
      </c>
      <c r="DU70">
        <v>2.1000000000000001E-2</v>
      </c>
      <c r="DV70">
        <v>13.998500000000035</v>
      </c>
      <c r="DW70" s="2">
        <v>45681</v>
      </c>
      <c r="DX70" t="s">
        <v>1946</v>
      </c>
      <c r="DY70">
        <v>6</v>
      </c>
      <c r="DZ70">
        <v>1.3100000000000001E-2</v>
      </c>
      <c r="EA70">
        <v>7.2221162594417434</v>
      </c>
      <c r="EB70">
        <v>825.37883302102148</v>
      </c>
      <c r="EC70">
        <v>0.42399999999999999</v>
      </c>
      <c r="ED70">
        <v>1.9099999999999999E-2</v>
      </c>
      <c r="EE70">
        <v>13.601999999999975</v>
      </c>
    </row>
    <row r="71" spans="1:135" x14ac:dyDescent="0.3">
      <c r="A71" s="2">
        <v>45681</v>
      </c>
      <c r="B71" t="s">
        <v>266</v>
      </c>
      <c r="C71">
        <v>0</v>
      </c>
      <c r="D71">
        <v>2.8999999999999998E-3</v>
      </c>
      <c r="E71">
        <v>6.464557416573089</v>
      </c>
      <c r="F71">
        <v>753.4864988327862</v>
      </c>
      <c r="G71">
        <v>0.42399999999999999</v>
      </c>
      <c r="H71">
        <v>7.3000000000000001E-3</v>
      </c>
      <c r="I71">
        <v>13.798980000000002</v>
      </c>
      <c r="J71" s="2">
        <v>45681</v>
      </c>
      <c r="K71" t="s">
        <v>391</v>
      </c>
      <c r="L71">
        <v>1</v>
      </c>
      <c r="M71">
        <v>1.6899999999999998E-2</v>
      </c>
      <c r="N71">
        <v>7.3145887296197776</v>
      </c>
      <c r="O71">
        <v>834.15447044091707</v>
      </c>
      <c r="P71">
        <v>0.42399999999999999</v>
      </c>
      <c r="Q71">
        <v>2.0500000000000001E-2</v>
      </c>
      <c r="R71">
        <v>13.800179999999997</v>
      </c>
      <c r="S71" s="2">
        <v>45681</v>
      </c>
      <c r="T71" t="s">
        <v>511</v>
      </c>
      <c r="U71">
        <v>1</v>
      </c>
      <c r="V71">
        <v>1.6799999999999999E-2</v>
      </c>
      <c r="W71">
        <v>7.3142712460225567</v>
      </c>
      <c r="X71">
        <v>834.12434124754066</v>
      </c>
      <c r="Y71">
        <v>0.42399999999999999</v>
      </c>
      <c r="Z71">
        <v>2.0500000000000001E-2</v>
      </c>
      <c r="AA71">
        <v>13.798519999999996</v>
      </c>
      <c r="AB71" s="2">
        <v>45681</v>
      </c>
      <c r="AC71" t="s">
        <v>631</v>
      </c>
      <c r="AD71">
        <v>1</v>
      </c>
      <c r="AE71">
        <v>1.66E-2</v>
      </c>
      <c r="AF71">
        <v>7.3146377915805241</v>
      </c>
      <c r="AG71">
        <v>834.15912642099181</v>
      </c>
      <c r="AH71">
        <v>0.42399999999999999</v>
      </c>
      <c r="AI71">
        <v>2.0500000000000001E-2</v>
      </c>
      <c r="AJ71">
        <v>13.8005</v>
      </c>
      <c r="AK71" s="2">
        <v>45681</v>
      </c>
      <c r="AL71" t="s">
        <v>749</v>
      </c>
      <c r="AM71">
        <v>2</v>
      </c>
      <c r="AN71">
        <v>1.6500000000000001E-2</v>
      </c>
      <c r="AO71">
        <v>7.3140717544135763</v>
      </c>
      <c r="AP71">
        <v>834.10540949384847</v>
      </c>
      <c r="AQ71">
        <v>0.42399999999999999</v>
      </c>
      <c r="AR71">
        <v>2.0500000000000001E-2</v>
      </c>
      <c r="AS71">
        <v>13.796399999999991</v>
      </c>
      <c r="AT71" s="2">
        <v>45681</v>
      </c>
      <c r="AU71" t="s">
        <v>869</v>
      </c>
      <c r="AV71">
        <v>2</v>
      </c>
      <c r="AW71">
        <v>1.6299999999999999E-2</v>
      </c>
      <c r="AX71">
        <v>7.3144792525172884</v>
      </c>
      <c r="AY71">
        <v>834.14408106389067</v>
      </c>
      <c r="AZ71">
        <v>0.42399999999999999</v>
      </c>
      <c r="BA71">
        <v>2.0500000000000001E-2</v>
      </c>
      <c r="BB71">
        <v>13.799500000000023</v>
      </c>
      <c r="BC71" s="2">
        <v>45681</v>
      </c>
      <c r="BD71" t="s">
        <v>989</v>
      </c>
      <c r="BE71">
        <v>3</v>
      </c>
      <c r="BF71">
        <v>1.61E-2</v>
      </c>
      <c r="BG71">
        <v>7.3142505670143114</v>
      </c>
      <c r="BH71">
        <v>834.12237880965813</v>
      </c>
      <c r="BI71">
        <v>0.42399999999999999</v>
      </c>
      <c r="BJ71">
        <v>2.0500000000000001E-2</v>
      </c>
      <c r="BK71">
        <v>13.800399999999996</v>
      </c>
      <c r="BL71" s="2">
        <v>45681</v>
      </c>
      <c r="BM71" t="s">
        <v>1109</v>
      </c>
      <c r="BN71">
        <v>3</v>
      </c>
      <c r="BO71">
        <v>1.6E-2</v>
      </c>
      <c r="BP71">
        <v>7.313953762425335</v>
      </c>
      <c r="BQ71">
        <v>834.09421205416436</v>
      </c>
      <c r="BR71">
        <v>0.42399999999999999</v>
      </c>
      <c r="BS71">
        <v>2.0500000000000001E-2</v>
      </c>
      <c r="BT71">
        <v>13.797500000000014</v>
      </c>
      <c r="BU71" s="2">
        <v>45681</v>
      </c>
      <c r="BV71" t="s">
        <v>1229</v>
      </c>
      <c r="BW71">
        <v>3</v>
      </c>
      <c r="BX71">
        <v>1.5800000000000002E-2</v>
      </c>
      <c r="BY71">
        <v>7.3136618234853641</v>
      </c>
      <c r="BZ71">
        <v>834.06650704876108</v>
      </c>
      <c r="CA71">
        <v>0.42399999999999999</v>
      </c>
      <c r="CB71">
        <v>2.0500000000000001E-2</v>
      </c>
      <c r="CC71">
        <v>13.799900000000008</v>
      </c>
      <c r="CD71" s="2">
        <v>45681</v>
      </c>
      <c r="CE71" t="s">
        <v>1349</v>
      </c>
      <c r="CF71">
        <v>4</v>
      </c>
      <c r="CG71">
        <v>1.5599999999999999E-2</v>
      </c>
      <c r="CH71">
        <v>7.3134915257703801</v>
      </c>
      <c r="CI71">
        <v>834.05034579560913</v>
      </c>
      <c r="CJ71">
        <v>0.42399999999999999</v>
      </c>
      <c r="CK71">
        <v>2.0500000000000001E-2</v>
      </c>
      <c r="CL71">
        <v>13.798699999999997</v>
      </c>
      <c r="CM71" s="2">
        <v>45681</v>
      </c>
      <c r="CN71" t="s">
        <v>1469</v>
      </c>
      <c r="CO71">
        <v>4</v>
      </c>
      <c r="CP71">
        <v>1.5599999999999999E-2</v>
      </c>
      <c r="CQ71">
        <v>7.313803332777101</v>
      </c>
      <c r="CR71">
        <v>834.07993628054692</v>
      </c>
      <c r="CS71">
        <v>0.42399999999999999</v>
      </c>
      <c r="CT71">
        <v>2.0500000000000001E-2</v>
      </c>
      <c r="CU71">
        <v>13.789299999999997</v>
      </c>
      <c r="CV71" s="2">
        <v>45681</v>
      </c>
      <c r="CW71" t="s">
        <v>1589</v>
      </c>
      <c r="CX71">
        <v>5</v>
      </c>
      <c r="CY71">
        <v>1.55E-2</v>
      </c>
      <c r="CZ71">
        <v>7.3142347536550618</v>
      </c>
      <c r="DA71">
        <v>834.12087812186542</v>
      </c>
      <c r="DB71">
        <v>0.42399999999999999</v>
      </c>
      <c r="DC71">
        <v>2.0500000000000001E-2</v>
      </c>
      <c r="DD71">
        <v>13.798100000000034</v>
      </c>
      <c r="DE71" s="2">
        <v>45681</v>
      </c>
      <c r="DF71" t="s">
        <v>1709</v>
      </c>
      <c r="DG71">
        <v>5</v>
      </c>
      <c r="DH71">
        <v>1.54E-2</v>
      </c>
      <c r="DI71">
        <v>7.3150927297619823</v>
      </c>
      <c r="DJ71">
        <v>834.20230005441215</v>
      </c>
      <c r="DK71">
        <v>0.42399999999999999</v>
      </c>
      <c r="DL71">
        <v>2.0500000000000001E-2</v>
      </c>
      <c r="DM71">
        <v>13.798099999999977</v>
      </c>
      <c r="DN71" s="2">
        <v>45681</v>
      </c>
      <c r="DO71" t="s">
        <v>1829</v>
      </c>
      <c r="DP71">
        <v>5</v>
      </c>
      <c r="DQ71">
        <v>1.6899999999999998E-2</v>
      </c>
      <c r="DR71">
        <v>7.3134108370911353</v>
      </c>
      <c r="DS71">
        <v>729.60989001689381</v>
      </c>
      <c r="DT71">
        <v>0.42399999999999999</v>
      </c>
      <c r="DU71">
        <v>2.0500000000000001E-2</v>
      </c>
      <c r="DV71">
        <v>14.197699999999998</v>
      </c>
      <c r="DW71" s="2">
        <v>45681</v>
      </c>
      <c r="DX71" t="s">
        <v>1947</v>
      </c>
      <c r="DY71">
        <v>6</v>
      </c>
      <c r="DZ71">
        <v>1.4999999999999999E-2</v>
      </c>
      <c r="EA71">
        <v>7.3161842570208826</v>
      </c>
      <c r="EB71">
        <v>834.3058859912818</v>
      </c>
      <c r="EC71">
        <v>0.42399999999999999</v>
      </c>
      <c r="ED71">
        <v>2.0500000000000001E-2</v>
      </c>
      <c r="EE71">
        <v>13.801800000000014</v>
      </c>
    </row>
    <row r="72" spans="1:135" x14ac:dyDescent="0.3">
      <c r="A72" s="2">
        <v>45681</v>
      </c>
      <c r="B72" t="s">
        <v>267</v>
      </c>
      <c r="C72">
        <v>0</v>
      </c>
      <c r="D72">
        <v>6.1999999999999998E-3</v>
      </c>
      <c r="E72">
        <v>6.67285787759777</v>
      </c>
      <c r="F72">
        <v>773.25421258402844</v>
      </c>
      <c r="G72">
        <v>0.42399999999999999</v>
      </c>
      <c r="H72">
        <v>1.0500000000000001E-2</v>
      </c>
      <c r="I72">
        <v>13.998389999999999</v>
      </c>
      <c r="J72" s="2">
        <v>45681</v>
      </c>
      <c r="K72" t="s">
        <v>392</v>
      </c>
      <c r="L72">
        <v>1</v>
      </c>
      <c r="M72">
        <v>1.8700000000000001E-2</v>
      </c>
      <c r="N72">
        <v>7.3473017042560347</v>
      </c>
      <c r="O72">
        <v>837.25893173389773</v>
      </c>
      <c r="P72">
        <v>0.42399999999999999</v>
      </c>
      <c r="Q72">
        <v>2.1000000000000001E-2</v>
      </c>
      <c r="R72">
        <v>14.000160000000001</v>
      </c>
      <c r="S72" s="2">
        <v>45681</v>
      </c>
      <c r="T72" t="s">
        <v>512</v>
      </c>
      <c r="U72">
        <v>1</v>
      </c>
      <c r="V72">
        <v>1.8499999999999999E-2</v>
      </c>
      <c r="W72">
        <v>7.3472980550192837</v>
      </c>
      <c r="X72">
        <v>837.25858542133005</v>
      </c>
      <c r="Y72">
        <v>0.42399999999999999</v>
      </c>
      <c r="Z72">
        <v>2.1000000000000001E-2</v>
      </c>
      <c r="AA72">
        <v>14.000799999999998</v>
      </c>
      <c r="AB72" s="2">
        <v>45681</v>
      </c>
      <c r="AC72" t="s">
        <v>632</v>
      </c>
      <c r="AD72">
        <v>1</v>
      </c>
      <c r="AE72">
        <v>1.8800000000000001E-2</v>
      </c>
      <c r="AF72">
        <v>7.3472931893702853</v>
      </c>
      <c r="AG72">
        <v>837.25812367124013</v>
      </c>
      <c r="AH72">
        <v>0.42399999999999999</v>
      </c>
      <c r="AI72">
        <v>2.1000000000000001E-2</v>
      </c>
      <c r="AJ72">
        <v>14.002600000000001</v>
      </c>
      <c r="AK72" s="2">
        <v>45681</v>
      </c>
      <c r="AL72" t="s">
        <v>750</v>
      </c>
      <c r="AM72">
        <v>2</v>
      </c>
      <c r="AN72">
        <v>1.7999999999999999E-2</v>
      </c>
      <c r="AO72">
        <v>7.3473008933145332</v>
      </c>
      <c r="AP72">
        <v>837.25885477554925</v>
      </c>
      <c r="AQ72">
        <v>0.42399999999999999</v>
      </c>
      <c r="AR72">
        <v>2.1000000000000001E-2</v>
      </c>
      <c r="AS72">
        <v>13.9983</v>
      </c>
      <c r="AT72" s="2">
        <v>45681</v>
      </c>
      <c r="AU72" t="s">
        <v>870</v>
      </c>
      <c r="AV72">
        <v>2</v>
      </c>
      <c r="AW72">
        <v>1.7899999999999999E-2</v>
      </c>
      <c r="AX72">
        <v>7.3472453438217897</v>
      </c>
      <c r="AY72">
        <v>837.25358312868786</v>
      </c>
      <c r="AZ72">
        <v>0.42399999999999999</v>
      </c>
      <c r="BA72">
        <v>2.1000000000000001E-2</v>
      </c>
      <c r="BB72">
        <v>14.007000000000005</v>
      </c>
      <c r="BC72" s="2">
        <v>45681</v>
      </c>
      <c r="BD72" t="s">
        <v>990</v>
      </c>
      <c r="BE72">
        <v>3</v>
      </c>
      <c r="BF72">
        <v>1.77E-2</v>
      </c>
      <c r="BG72">
        <v>7.3473021097267832</v>
      </c>
      <c r="BH72">
        <v>837.25897021307173</v>
      </c>
      <c r="BI72">
        <v>0.42399999999999999</v>
      </c>
      <c r="BJ72">
        <v>2.1000000000000001E-2</v>
      </c>
      <c r="BK72">
        <v>13.999500000000012</v>
      </c>
      <c r="BL72" s="2">
        <v>45681</v>
      </c>
      <c r="BM72" t="s">
        <v>1110</v>
      </c>
      <c r="BN72">
        <v>3</v>
      </c>
      <c r="BO72">
        <v>1.7600000000000001E-2</v>
      </c>
      <c r="BP72">
        <v>7.3473021097267832</v>
      </c>
      <c r="BQ72">
        <v>837.25897021307173</v>
      </c>
      <c r="BR72">
        <v>0.42399999999999999</v>
      </c>
      <c r="BS72">
        <v>2.1000000000000001E-2</v>
      </c>
      <c r="BT72">
        <v>13.997399999999999</v>
      </c>
      <c r="BU72" s="2">
        <v>45681</v>
      </c>
      <c r="BV72" t="s">
        <v>1230</v>
      </c>
      <c r="BW72">
        <v>3</v>
      </c>
      <c r="BX72">
        <v>1.7600000000000001E-2</v>
      </c>
      <c r="BY72">
        <v>7.3473017042560347</v>
      </c>
      <c r="BZ72">
        <v>837.25893173389773</v>
      </c>
      <c r="CA72">
        <v>0.42399999999999999</v>
      </c>
      <c r="CB72">
        <v>2.1000000000000001E-2</v>
      </c>
      <c r="CC72">
        <v>14.000499999999988</v>
      </c>
      <c r="CD72" s="2">
        <v>45681</v>
      </c>
      <c r="CE72" t="s">
        <v>1350</v>
      </c>
      <c r="CF72">
        <v>4</v>
      </c>
      <c r="CG72">
        <v>1.72E-2</v>
      </c>
      <c r="CH72">
        <v>7.3472972440777848</v>
      </c>
      <c r="CI72">
        <v>837.25850846298181</v>
      </c>
      <c r="CJ72">
        <v>0.42399999999999999</v>
      </c>
      <c r="CK72">
        <v>2.1000000000000001E-2</v>
      </c>
      <c r="CL72">
        <v>13.9983</v>
      </c>
      <c r="CM72" s="2">
        <v>45681</v>
      </c>
      <c r="CN72" t="s">
        <v>1470</v>
      </c>
      <c r="CO72">
        <v>4</v>
      </c>
      <c r="CP72">
        <v>1.7000000000000001E-2</v>
      </c>
      <c r="CQ72">
        <v>7.3473000823730326</v>
      </c>
      <c r="CR72">
        <v>837.25877781720089</v>
      </c>
      <c r="CS72">
        <v>0.42399999999999999</v>
      </c>
      <c r="CT72">
        <v>2.1000000000000001E-2</v>
      </c>
      <c r="CU72">
        <v>13.988899999999973</v>
      </c>
      <c r="CV72" s="2">
        <v>45681</v>
      </c>
      <c r="CW72" t="s">
        <v>1590</v>
      </c>
      <c r="CX72">
        <v>5</v>
      </c>
      <c r="CY72">
        <v>1.7100000000000001E-2</v>
      </c>
      <c r="CZ72">
        <v>7.3473025151975344</v>
      </c>
      <c r="DA72">
        <v>837.25900869224608</v>
      </c>
      <c r="DB72">
        <v>0.42399999999999999</v>
      </c>
      <c r="DC72">
        <v>2.1000000000000001E-2</v>
      </c>
      <c r="DD72">
        <v>13.998300000000029</v>
      </c>
      <c r="DE72" s="2">
        <v>45681</v>
      </c>
      <c r="DF72" t="s">
        <v>1710</v>
      </c>
      <c r="DG72">
        <v>5</v>
      </c>
      <c r="DH72">
        <v>1.6799999999999999E-2</v>
      </c>
      <c r="DI72">
        <v>7.3473000823730326</v>
      </c>
      <c r="DJ72">
        <v>837.25877781720089</v>
      </c>
      <c r="DK72">
        <v>0.42399999999999999</v>
      </c>
      <c r="DL72">
        <v>2.1000000000000001E-2</v>
      </c>
      <c r="DM72">
        <v>13.997299999999996</v>
      </c>
      <c r="DN72" s="2">
        <v>45681</v>
      </c>
      <c r="DO72" t="s">
        <v>1830</v>
      </c>
      <c r="DP72">
        <v>5</v>
      </c>
      <c r="DQ72">
        <v>1.7100000000000001E-2</v>
      </c>
      <c r="DR72">
        <v>7.2166221307797471</v>
      </c>
      <c r="DS72">
        <v>720.58918258867243</v>
      </c>
      <c r="DT72">
        <v>0.42399999999999999</v>
      </c>
      <c r="DU72">
        <v>1.9E-2</v>
      </c>
      <c r="DV72">
        <v>14.397800000000018</v>
      </c>
      <c r="DW72" s="2">
        <v>45681</v>
      </c>
      <c r="DX72" t="s">
        <v>1948</v>
      </c>
      <c r="DY72">
        <v>6</v>
      </c>
      <c r="DZ72">
        <v>1.6500000000000001E-2</v>
      </c>
      <c r="EA72">
        <v>7.3472883237212843</v>
      </c>
      <c r="EB72">
        <v>837.25766192114997</v>
      </c>
      <c r="EC72">
        <v>0.42399999999999999</v>
      </c>
      <c r="ED72">
        <v>2.1000000000000001E-2</v>
      </c>
      <c r="EE72">
        <v>13.999900000000025</v>
      </c>
    </row>
    <row r="73" spans="1:135" x14ac:dyDescent="0.3">
      <c r="A73" s="2">
        <v>45681</v>
      </c>
      <c r="B73" t="s">
        <v>268</v>
      </c>
      <c r="C73">
        <v>0</v>
      </c>
      <c r="D73">
        <v>9.2999999999999992E-3</v>
      </c>
      <c r="E73">
        <v>6.8818265544183914</v>
      </c>
      <c r="F73">
        <v>793.08534001430542</v>
      </c>
      <c r="G73">
        <v>0.42399999999999999</v>
      </c>
      <c r="H73">
        <v>1.38E-2</v>
      </c>
      <c r="I73">
        <v>14.198600000000001</v>
      </c>
      <c r="J73" s="2">
        <v>45681</v>
      </c>
      <c r="K73" t="s">
        <v>393</v>
      </c>
      <c r="L73">
        <v>1</v>
      </c>
      <c r="M73">
        <v>1.9199999999999998E-2</v>
      </c>
      <c r="N73">
        <v>7.313697099440609</v>
      </c>
      <c r="O73">
        <v>729.63656966786482</v>
      </c>
      <c r="P73">
        <v>0.42399999999999999</v>
      </c>
      <c r="Q73">
        <v>2.0500000000000001E-2</v>
      </c>
      <c r="R73">
        <v>14.200690000000002</v>
      </c>
      <c r="S73" s="2">
        <v>45681</v>
      </c>
      <c r="T73" t="s">
        <v>513</v>
      </c>
      <c r="U73">
        <v>1</v>
      </c>
      <c r="V73">
        <v>1.9300000000000001E-2</v>
      </c>
      <c r="W73">
        <v>7.3134607099933833</v>
      </c>
      <c r="X73">
        <v>729.61453817138329</v>
      </c>
      <c r="Y73">
        <v>0.42399999999999999</v>
      </c>
      <c r="Z73">
        <v>2.0500000000000001E-2</v>
      </c>
      <c r="AA73">
        <v>14.200710000000001</v>
      </c>
      <c r="AB73" s="2">
        <v>45681</v>
      </c>
      <c r="AC73" t="s">
        <v>633</v>
      </c>
      <c r="AD73">
        <v>1</v>
      </c>
      <c r="AE73">
        <v>1.9099999999999999E-2</v>
      </c>
      <c r="AF73">
        <v>7.3140016079738306</v>
      </c>
      <c r="AG73">
        <v>729.66494986316104</v>
      </c>
      <c r="AH73">
        <v>0.42399999999999999</v>
      </c>
      <c r="AI73">
        <v>2.0500000000000001E-2</v>
      </c>
      <c r="AJ73">
        <v>14.1999</v>
      </c>
      <c r="AK73" s="2">
        <v>45681</v>
      </c>
      <c r="AL73" t="s">
        <v>751</v>
      </c>
      <c r="AM73">
        <v>2</v>
      </c>
      <c r="AN73">
        <v>1.9E-2</v>
      </c>
      <c r="AO73">
        <v>7.3137262933346072</v>
      </c>
      <c r="AP73">
        <v>729.63929053878542</v>
      </c>
      <c r="AQ73">
        <v>0.42399999999999999</v>
      </c>
      <c r="AR73">
        <v>2.0500000000000001E-2</v>
      </c>
      <c r="AS73">
        <v>14.198399999999992</v>
      </c>
      <c r="AT73" s="2">
        <v>45681</v>
      </c>
      <c r="AU73" t="s">
        <v>871</v>
      </c>
      <c r="AV73">
        <v>2</v>
      </c>
      <c r="AW73">
        <v>1.8599999999999998E-2</v>
      </c>
      <c r="AX73">
        <v>7.3141483883853198</v>
      </c>
      <c r="AY73">
        <v>729.6786297975118</v>
      </c>
      <c r="AZ73">
        <v>0.42399999999999999</v>
      </c>
      <c r="BA73">
        <v>2.0500000000000001E-2</v>
      </c>
      <c r="BB73">
        <v>14.198900000000009</v>
      </c>
      <c r="BC73" s="2">
        <v>45681</v>
      </c>
      <c r="BD73" t="s">
        <v>991</v>
      </c>
      <c r="BE73">
        <v>3</v>
      </c>
      <c r="BF73">
        <v>1.8200000000000001E-2</v>
      </c>
      <c r="BG73">
        <v>7.3145206105337843</v>
      </c>
      <c r="BH73">
        <v>729.71332090174872</v>
      </c>
      <c r="BI73">
        <v>0.42399999999999999</v>
      </c>
      <c r="BJ73">
        <v>2.0500000000000001E-2</v>
      </c>
      <c r="BK73">
        <v>14.199399999999997</v>
      </c>
      <c r="BL73" s="2">
        <v>45681</v>
      </c>
      <c r="BM73" t="s">
        <v>1111</v>
      </c>
      <c r="BN73">
        <v>3</v>
      </c>
      <c r="BO73">
        <v>1.8100000000000002E-2</v>
      </c>
      <c r="BP73">
        <v>7.3144983096425369</v>
      </c>
      <c r="BQ73">
        <v>729.71124245868441</v>
      </c>
      <c r="BR73">
        <v>0.42399999999999999</v>
      </c>
      <c r="BS73">
        <v>2.0500000000000001E-2</v>
      </c>
      <c r="BT73">
        <v>14.197499999999991</v>
      </c>
      <c r="BU73" s="2">
        <v>45681</v>
      </c>
      <c r="BV73" t="s">
        <v>1231</v>
      </c>
      <c r="BW73">
        <v>3</v>
      </c>
      <c r="BX73">
        <v>1.7899999999999999E-2</v>
      </c>
      <c r="BY73">
        <v>7.3140429659903292</v>
      </c>
      <c r="BZ73">
        <v>729.66880443029868</v>
      </c>
      <c r="CA73">
        <v>0.42399999999999999</v>
      </c>
      <c r="CB73">
        <v>2.0500000000000001E-2</v>
      </c>
      <c r="CC73">
        <v>14.202200000000005</v>
      </c>
      <c r="CD73" s="2">
        <v>45681</v>
      </c>
      <c r="CE73" t="s">
        <v>1351</v>
      </c>
      <c r="CF73">
        <v>4</v>
      </c>
      <c r="CG73">
        <v>1.7899999999999999E-2</v>
      </c>
      <c r="CH73">
        <v>7.3150420459182346</v>
      </c>
      <c r="CI73">
        <v>729.76191867957959</v>
      </c>
      <c r="CJ73">
        <v>0.42399999999999999</v>
      </c>
      <c r="CK73">
        <v>2.0500000000000001E-2</v>
      </c>
      <c r="CL73">
        <v>14.198399999999992</v>
      </c>
      <c r="CM73" s="2">
        <v>45681</v>
      </c>
      <c r="CN73" t="s">
        <v>1471</v>
      </c>
      <c r="CO73">
        <v>4</v>
      </c>
      <c r="CP73">
        <v>1.7999999999999999E-2</v>
      </c>
      <c r="CQ73">
        <v>7.3145903515027788</v>
      </c>
      <c r="CR73">
        <v>729.71982076005895</v>
      </c>
      <c r="CS73">
        <v>0.42399999999999999</v>
      </c>
      <c r="CT73">
        <v>2.0500000000000001E-2</v>
      </c>
      <c r="CU73">
        <v>14.189499999999981</v>
      </c>
      <c r="CV73" s="2">
        <v>45681</v>
      </c>
      <c r="CW73" t="s">
        <v>1591</v>
      </c>
      <c r="CX73">
        <v>5</v>
      </c>
      <c r="CY73">
        <v>1.7899999999999999E-2</v>
      </c>
      <c r="CZ73">
        <v>7.313770895117103</v>
      </c>
      <c r="DA73">
        <v>729.64344742491403</v>
      </c>
      <c r="DB73">
        <v>0.42399999999999999</v>
      </c>
      <c r="DC73">
        <v>2.0500000000000001E-2</v>
      </c>
      <c r="DD73">
        <v>14.1995</v>
      </c>
      <c r="DE73" s="2">
        <v>45681</v>
      </c>
      <c r="DF73" t="s">
        <v>1711</v>
      </c>
      <c r="DG73">
        <v>5</v>
      </c>
      <c r="DH73">
        <v>1.7999999999999999E-2</v>
      </c>
      <c r="DI73">
        <v>7.3130000952214234</v>
      </c>
      <c r="DJ73">
        <v>729.57160887463669</v>
      </c>
      <c r="DK73">
        <v>0.42399999999999999</v>
      </c>
      <c r="DL73">
        <v>2.0500000000000001E-2</v>
      </c>
      <c r="DM73">
        <v>14.199200000000019</v>
      </c>
      <c r="DN73" s="2">
        <v>45681</v>
      </c>
      <c r="DO73" t="s">
        <v>1831</v>
      </c>
      <c r="DP73">
        <v>5</v>
      </c>
      <c r="DQ73">
        <v>1.7100000000000001E-2</v>
      </c>
      <c r="DR73">
        <v>7.0661158485717719</v>
      </c>
      <c r="DS73">
        <v>706.56199708688916</v>
      </c>
      <c r="DT73">
        <v>0.42399999999999999</v>
      </c>
      <c r="DU73">
        <v>1.66E-2</v>
      </c>
      <c r="DV73">
        <v>14.59820000000002</v>
      </c>
      <c r="DW73" s="2">
        <v>45681</v>
      </c>
      <c r="DX73" t="s">
        <v>1949</v>
      </c>
      <c r="DY73">
        <v>6</v>
      </c>
      <c r="DZ73">
        <v>1.7000000000000001E-2</v>
      </c>
      <c r="EA73">
        <v>7.3121250893430041</v>
      </c>
      <c r="EB73">
        <v>729.49005832676801</v>
      </c>
      <c r="EC73">
        <v>0.42399999999999999</v>
      </c>
      <c r="ED73">
        <v>2.0500000000000001E-2</v>
      </c>
      <c r="EE73">
        <v>14.201999999999998</v>
      </c>
    </row>
    <row r="74" spans="1:135" x14ac:dyDescent="0.3">
      <c r="A74" s="2">
        <v>45681</v>
      </c>
      <c r="B74" t="s">
        <v>269</v>
      </c>
      <c r="C74">
        <v>0</v>
      </c>
      <c r="D74">
        <v>1.2800000000000001E-2</v>
      </c>
      <c r="E74">
        <v>7.0703984306328804</v>
      </c>
      <c r="F74">
        <v>810.98081106706036</v>
      </c>
      <c r="G74">
        <v>0.42399999999999999</v>
      </c>
      <c r="H74">
        <v>1.67E-2</v>
      </c>
      <c r="I74">
        <v>14.39907</v>
      </c>
      <c r="J74" s="2">
        <v>45681</v>
      </c>
      <c r="K74" t="s">
        <v>394</v>
      </c>
      <c r="L74">
        <v>1</v>
      </c>
      <c r="M74">
        <v>1.9099999999999999E-2</v>
      </c>
      <c r="N74">
        <v>7.2177359589298948</v>
      </c>
      <c r="O74">
        <v>720.69299137226619</v>
      </c>
      <c r="P74">
        <v>0.42399999999999999</v>
      </c>
      <c r="Q74">
        <v>1.9E-2</v>
      </c>
      <c r="R74">
        <v>14.399889999999999</v>
      </c>
      <c r="S74" s="2">
        <v>45681</v>
      </c>
      <c r="T74" t="s">
        <v>514</v>
      </c>
      <c r="U74">
        <v>1</v>
      </c>
      <c r="V74">
        <v>1.9199999999999998E-2</v>
      </c>
      <c r="W74">
        <v>7.2164518330647622</v>
      </c>
      <c r="X74">
        <v>720.57331084163582</v>
      </c>
      <c r="Y74">
        <v>0.42399999999999999</v>
      </c>
      <c r="Z74">
        <v>1.9E-2</v>
      </c>
      <c r="AA74">
        <v>14.401240000000001</v>
      </c>
      <c r="AB74" s="2">
        <v>45681</v>
      </c>
      <c r="AC74" t="s">
        <v>634</v>
      </c>
      <c r="AD74">
        <v>1</v>
      </c>
      <c r="AE74">
        <v>1.9E-2</v>
      </c>
      <c r="AF74">
        <v>7.2184333686198308</v>
      </c>
      <c r="AG74">
        <v>720.7579899553682</v>
      </c>
      <c r="AH74">
        <v>0.42399999999999999</v>
      </c>
      <c r="AI74">
        <v>1.9E-2</v>
      </c>
      <c r="AJ74">
        <v>14.398899999999998</v>
      </c>
      <c r="AK74" s="2">
        <v>45681</v>
      </c>
      <c r="AL74" t="s">
        <v>752</v>
      </c>
      <c r="AM74">
        <v>2</v>
      </c>
      <c r="AN74">
        <v>1.9E-2</v>
      </c>
      <c r="AO74">
        <v>7.2184998658228237</v>
      </c>
      <c r="AP74">
        <v>720.76418749468723</v>
      </c>
      <c r="AQ74">
        <v>0.42399999999999999</v>
      </c>
      <c r="AR74">
        <v>1.9E-2</v>
      </c>
      <c r="AS74">
        <v>14.396500000000003</v>
      </c>
      <c r="AT74" s="2">
        <v>45681</v>
      </c>
      <c r="AU74" t="s">
        <v>872</v>
      </c>
      <c r="AV74">
        <v>2</v>
      </c>
      <c r="AW74">
        <v>1.8700000000000001E-2</v>
      </c>
      <c r="AX74">
        <v>7.2178876049903797</v>
      </c>
      <c r="AY74">
        <v>720.70712478510336</v>
      </c>
      <c r="AZ74">
        <v>0.42399999999999999</v>
      </c>
      <c r="BA74">
        <v>1.9E-2</v>
      </c>
      <c r="BB74">
        <v>14.399300000000011</v>
      </c>
      <c r="BC74" s="2">
        <v>45681</v>
      </c>
      <c r="BD74" t="s">
        <v>992</v>
      </c>
      <c r="BE74">
        <v>3</v>
      </c>
      <c r="BF74">
        <v>1.8200000000000001E-2</v>
      </c>
      <c r="BG74">
        <v>7.2187176036155547</v>
      </c>
      <c r="BH74">
        <v>720.78448065696966</v>
      </c>
      <c r="BI74">
        <v>0.42399999999999999</v>
      </c>
      <c r="BJ74">
        <v>1.9E-2</v>
      </c>
      <c r="BK74">
        <v>14.399500000000018</v>
      </c>
      <c r="BL74" s="2">
        <v>45681</v>
      </c>
      <c r="BM74" t="s">
        <v>1112</v>
      </c>
      <c r="BN74">
        <v>3</v>
      </c>
      <c r="BO74">
        <v>1.8100000000000002E-2</v>
      </c>
      <c r="BP74">
        <v>7.2178389485003844</v>
      </c>
      <c r="BQ74">
        <v>720.70259000023589</v>
      </c>
      <c r="BR74">
        <v>0.42399999999999999</v>
      </c>
      <c r="BS74">
        <v>1.9E-2</v>
      </c>
      <c r="BT74">
        <v>14.398899999999998</v>
      </c>
      <c r="BU74" s="2">
        <v>45681</v>
      </c>
      <c r="BV74" t="s">
        <v>1232</v>
      </c>
      <c r="BW74">
        <v>3</v>
      </c>
      <c r="BX74">
        <v>1.7899999999999999E-2</v>
      </c>
      <c r="BY74">
        <v>7.2184147169653317</v>
      </c>
      <c r="BZ74">
        <v>720.75625162116899</v>
      </c>
      <c r="CA74">
        <v>0.42399999999999999</v>
      </c>
      <c r="CB74">
        <v>1.9E-2</v>
      </c>
      <c r="CC74">
        <v>14.401299999999992</v>
      </c>
      <c r="CD74" s="2">
        <v>45681</v>
      </c>
      <c r="CE74" t="s">
        <v>1352</v>
      </c>
      <c r="CF74">
        <v>4</v>
      </c>
      <c r="CG74">
        <v>1.7899999999999999E-2</v>
      </c>
      <c r="CH74">
        <v>7.2187597725735504</v>
      </c>
      <c r="CI74">
        <v>720.78841080385484</v>
      </c>
      <c r="CJ74">
        <v>0.42399999999999999</v>
      </c>
      <c r="CK74">
        <v>1.9E-2</v>
      </c>
      <c r="CL74">
        <v>14.400100000000009</v>
      </c>
      <c r="CM74" s="2">
        <v>45681</v>
      </c>
      <c r="CN74" t="s">
        <v>1472</v>
      </c>
      <c r="CO74">
        <v>4</v>
      </c>
      <c r="CP74">
        <v>1.8100000000000002E-2</v>
      </c>
      <c r="CQ74">
        <v>7.2187176036155547</v>
      </c>
      <c r="CR74">
        <v>720.78448065696966</v>
      </c>
      <c r="CS74">
        <v>0.42399999999999999</v>
      </c>
      <c r="CT74">
        <v>1.9E-2</v>
      </c>
      <c r="CU74">
        <v>14.389800000000008</v>
      </c>
      <c r="CV74" s="2">
        <v>45681</v>
      </c>
      <c r="CW74" t="s">
        <v>1592</v>
      </c>
      <c r="CX74">
        <v>5</v>
      </c>
      <c r="CY74">
        <v>1.7899999999999999E-2</v>
      </c>
      <c r="CZ74">
        <v>7.2182026557630996</v>
      </c>
      <c r="DA74">
        <v>720.73648751712096</v>
      </c>
      <c r="DB74">
        <v>0.42399999999999999</v>
      </c>
      <c r="DC74">
        <v>1.9E-2</v>
      </c>
      <c r="DD74">
        <v>14.398200000000031</v>
      </c>
      <c r="DE74" s="2">
        <v>45681</v>
      </c>
      <c r="DF74" t="s">
        <v>1712</v>
      </c>
      <c r="DG74">
        <v>5</v>
      </c>
      <c r="DH74">
        <v>1.7999999999999999E-2</v>
      </c>
      <c r="DI74">
        <v>7.2155168175153479</v>
      </c>
      <c r="DJ74">
        <v>720.48616739243039</v>
      </c>
      <c r="DK74">
        <v>0.42399999999999999</v>
      </c>
      <c r="DL74">
        <v>1.9E-2</v>
      </c>
      <c r="DM74">
        <v>14.399799999999971</v>
      </c>
      <c r="DN74" s="2">
        <v>45681</v>
      </c>
      <c r="DO74" t="s">
        <v>1832</v>
      </c>
      <c r="DP74">
        <v>5</v>
      </c>
      <c r="DQ74">
        <v>1.7100000000000001E-2</v>
      </c>
      <c r="DR74">
        <v>6.8767289761498596</v>
      </c>
      <c r="DS74">
        <v>688.91114057716698</v>
      </c>
      <c r="DT74">
        <v>0.42399999999999999</v>
      </c>
      <c r="DU74">
        <v>1.37E-2</v>
      </c>
      <c r="DV74">
        <v>14.798800000000028</v>
      </c>
      <c r="DW74" s="2">
        <v>45681</v>
      </c>
      <c r="DX74" t="s">
        <v>1950</v>
      </c>
      <c r="DY74">
        <v>6</v>
      </c>
      <c r="DZ74">
        <v>1.7000000000000001E-2</v>
      </c>
      <c r="EA74">
        <v>7.2142047141684671</v>
      </c>
      <c r="EB74">
        <v>720.36387936050119</v>
      </c>
      <c r="EC74">
        <v>0.42399999999999999</v>
      </c>
      <c r="ED74">
        <v>1.89E-2</v>
      </c>
      <c r="EE74">
        <v>14.402100000000019</v>
      </c>
    </row>
    <row r="75" spans="1:135" x14ac:dyDescent="0.3">
      <c r="A75" s="2">
        <v>45681</v>
      </c>
      <c r="B75" t="s">
        <v>270</v>
      </c>
      <c r="C75">
        <v>0</v>
      </c>
      <c r="D75">
        <v>1.5100000000000001E-2</v>
      </c>
      <c r="E75">
        <v>7.2193943342972418</v>
      </c>
      <c r="F75">
        <v>825.12052232480823</v>
      </c>
      <c r="G75">
        <v>0.42399999999999999</v>
      </c>
      <c r="H75">
        <v>1.9E-2</v>
      </c>
      <c r="I75">
        <v>14.598979999999999</v>
      </c>
      <c r="J75" s="2">
        <v>45681</v>
      </c>
      <c r="K75" t="s">
        <v>395</v>
      </c>
      <c r="L75">
        <v>1</v>
      </c>
      <c r="M75">
        <v>1.8599999999999998E-2</v>
      </c>
      <c r="N75">
        <v>7.0658526980550462</v>
      </c>
      <c r="O75">
        <v>706.53747145873035</v>
      </c>
      <c r="P75">
        <v>0.42399999999999999</v>
      </c>
      <c r="Q75">
        <v>1.66E-2</v>
      </c>
      <c r="R75">
        <v>14.602429999999998</v>
      </c>
      <c r="S75" s="2">
        <v>45681</v>
      </c>
      <c r="T75" t="s">
        <v>515</v>
      </c>
      <c r="U75">
        <v>1</v>
      </c>
      <c r="V75">
        <v>1.8700000000000001E-2</v>
      </c>
      <c r="W75">
        <v>7.067095465903682</v>
      </c>
      <c r="X75">
        <v>706.6532974222232</v>
      </c>
      <c r="Y75">
        <v>0.42399999999999999</v>
      </c>
      <c r="Z75">
        <v>1.66E-2</v>
      </c>
      <c r="AA75">
        <v>14.600300000000004</v>
      </c>
      <c r="AB75" s="2">
        <v>45681</v>
      </c>
      <c r="AC75" t="s">
        <v>635</v>
      </c>
      <c r="AD75">
        <v>1</v>
      </c>
      <c r="AE75">
        <v>1.8599999999999998E-2</v>
      </c>
      <c r="AF75">
        <v>6.6695407213923232</v>
      </c>
      <c r="AG75">
        <v>669.60119523376454</v>
      </c>
      <c r="AH75">
        <v>0.42399999999999999</v>
      </c>
      <c r="AI75">
        <v>1.0500000000000001E-2</v>
      </c>
      <c r="AJ75">
        <v>15.001100000000008</v>
      </c>
      <c r="AK75" s="2">
        <v>45681</v>
      </c>
      <c r="AL75" t="s">
        <v>753</v>
      </c>
      <c r="AM75">
        <v>2</v>
      </c>
      <c r="AN75">
        <v>1.8700000000000001E-2</v>
      </c>
      <c r="AO75">
        <v>7.068281467847326</v>
      </c>
      <c r="AP75">
        <v>706.76383280337086</v>
      </c>
      <c r="AQ75">
        <v>0.42399999999999999</v>
      </c>
      <c r="AR75">
        <v>1.67E-2</v>
      </c>
      <c r="AS75">
        <v>14.597399999999993</v>
      </c>
      <c r="AT75" s="2">
        <v>45681</v>
      </c>
      <c r="AU75" t="s">
        <v>873</v>
      </c>
      <c r="AV75">
        <v>2</v>
      </c>
      <c r="AW75">
        <v>1.8499999999999999E-2</v>
      </c>
      <c r="AX75">
        <v>7.0686569337617904</v>
      </c>
      <c r="AY75">
        <v>706.79882622659886</v>
      </c>
      <c r="AZ75">
        <v>0.42399999999999999</v>
      </c>
      <c r="BA75">
        <v>1.67E-2</v>
      </c>
      <c r="BB75">
        <v>14.598800000000011</v>
      </c>
      <c r="BC75" s="2">
        <v>45681</v>
      </c>
      <c r="BD75" t="s">
        <v>993</v>
      </c>
      <c r="BE75">
        <v>3</v>
      </c>
      <c r="BF75">
        <v>1.8100000000000002E-2</v>
      </c>
      <c r="BG75">
        <v>7.0685316433000516</v>
      </c>
      <c r="BH75">
        <v>706.78714915556486</v>
      </c>
      <c r="BI75">
        <v>0.42399999999999999</v>
      </c>
      <c r="BJ75">
        <v>1.67E-2</v>
      </c>
      <c r="BK75">
        <v>14.600500000000011</v>
      </c>
      <c r="BL75" s="2">
        <v>45681</v>
      </c>
      <c r="BM75" t="s">
        <v>1113</v>
      </c>
      <c r="BN75">
        <v>3</v>
      </c>
      <c r="BO75">
        <v>1.8100000000000002E-2</v>
      </c>
      <c r="BP75">
        <v>7.0675212101911464</v>
      </c>
      <c r="BQ75">
        <v>706.69297678981479</v>
      </c>
      <c r="BR75">
        <v>0.42399999999999999</v>
      </c>
      <c r="BS75">
        <v>1.67E-2</v>
      </c>
      <c r="BT75">
        <v>14.599700000000013</v>
      </c>
      <c r="BU75" s="2">
        <v>45681</v>
      </c>
      <c r="BV75" t="s">
        <v>1233</v>
      </c>
      <c r="BW75">
        <v>3</v>
      </c>
      <c r="BX75">
        <v>1.78E-2</v>
      </c>
      <c r="BY75">
        <v>7.0698656420674304</v>
      </c>
      <c r="BZ75">
        <v>706.91147784068448</v>
      </c>
      <c r="CA75">
        <v>0.42399999999999999</v>
      </c>
      <c r="CB75">
        <v>1.67E-2</v>
      </c>
      <c r="CC75">
        <v>14.600300000000004</v>
      </c>
      <c r="CD75" s="2">
        <v>45681</v>
      </c>
      <c r="CE75" t="s">
        <v>1353</v>
      </c>
      <c r="CF75">
        <v>4</v>
      </c>
      <c r="CG75">
        <v>1.7899999999999999E-2</v>
      </c>
      <c r="CH75">
        <v>7.0688069579392767</v>
      </c>
      <c r="CI75">
        <v>706.8128084799406</v>
      </c>
      <c r="CJ75">
        <v>0.42399999999999999</v>
      </c>
      <c r="CK75">
        <v>1.67E-2</v>
      </c>
      <c r="CL75">
        <v>14.600799999999992</v>
      </c>
      <c r="CM75" s="2">
        <v>45681</v>
      </c>
      <c r="CN75" t="s">
        <v>1473</v>
      </c>
      <c r="CO75">
        <v>4</v>
      </c>
      <c r="CP75">
        <v>1.7999999999999999E-2</v>
      </c>
      <c r="CQ75">
        <v>7.0696657449876996</v>
      </c>
      <c r="CR75">
        <v>706.89284743285361</v>
      </c>
      <c r="CS75">
        <v>0.42399999999999999</v>
      </c>
      <c r="CT75">
        <v>1.67E-2</v>
      </c>
      <c r="CU75">
        <v>14.589500000000015</v>
      </c>
      <c r="CV75" s="2">
        <v>45681</v>
      </c>
      <c r="CW75" t="s">
        <v>1593</v>
      </c>
      <c r="CX75">
        <v>5</v>
      </c>
      <c r="CY75">
        <v>1.78E-2</v>
      </c>
      <c r="CZ75">
        <v>7.0678050397161183</v>
      </c>
      <c r="DA75">
        <v>706.71942970154225</v>
      </c>
      <c r="DB75">
        <v>0.42399999999999999</v>
      </c>
      <c r="DC75">
        <v>1.67E-2</v>
      </c>
      <c r="DD75">
        <v>14.599199999999996</v>
      </c>
      <c r="DE75" s="2">
        <v>45681</v>
      </c>
      <c r="DF75" t="s">
        <v>1713</v>
      </c>
      <c r="DG75">
        <v>5</v>
      </c>
      <c r="DH75">
        <v>1.7999999999999999E-2</v>
      </c>
      <c r="DI75">
        <v>7.0662581688050112</v>
      </c>
      <c r="DJ75">
        <v>706.57526133262706</v>
      </c>
      <c r="DK75">
        <v>0.42399999999999999</v>
      </c>
      <c r="DL75">
        <v>1.66E-2</v>
      </c>
      <c r="DM75">
        <v>14.59839999999997</v>
      </c>
      <c r="DN75" s="2">
        <v>45681</v>
      </c>
      <c r="DO75" t="s">
        <v>1833</v>
      </c>
      <c r="DP75">
        <v>5</v>
      </c>
      <c r="DQ75">
        <v>1.6799999999999999E-2</v>
      </c>
      <c r="DR75">
        <v>6.6659514943136529</v>
      </c>
      <c r="DS75">
        <v>669.26667927003245</v>
      </c>
      <c r="DT75">
        <v>0.42399999999999999</v>
      </c>
      <c r="DU75">
        <v>1.04E-2</v>
      </c>
      <c r="DV75">
        <v>15.000400000000013</v>
      </c>
      <c r="DW75" s="2">
        <v>45681</v>
      </c>
      <c r="DX75" t="s">
        <v>1951</v>
      </c>
      <c r="DY75">
        <v>6</v>
      </c>
      <c r="DZ75">
        <v>1.6899999999999998E-2</v>
      </c>
      <c r="EA75">
        <v>7.0647502230858983</v>
      </c>
      <c r="EB75">
        <v>706.43472079160574</v>
      </c>
      <c r="EC75">
        <v>0.42399999999999999</v>
      </c>
      <c r="ED75">
        <v>1.66E-2</v>
      </c>
      <c r="EE75">
        <v>14.600300000000004</v>
      </c>
    </row>
    <row r="76" spans="1:135" x14ac:dyDescent="0.3">
      <c r="A76" s="2">
        <v>45681</v>
      </c>
      <c r="B76" t="s">
        <v>271</v>
      </c>
      <c r="C76">
        <v>0</v>
      </c>
      <c r="D76">
        <v>1.7399999999999999E-2</v>
      </c>
      <c r="E76">
        <v>7.3143373377548011</v>
      </c>
      <c r="F76">
        <v>834.13061335293071</v>
      </c>
      <c r="G76">
        <v>0.42399999999999999</v>
      </c>
      <c r="H76">
        <v>2.0500000000000001E-2</v>
      </c>
      <c r="I76">
        <v>14.797459999999999</v>
      </c>
      <c r="J76" s="2">
        <v>45681</v>
      </c>
      <c r="K76" t="s">
        <v>396</v>
      </c>
      <c r="L76">
        <v>1</v>
      </c>
      <c r="M76">
        <v>1.78E-2</v>
      </c>
      <c r="N76">
        <v>6.8782863893004667</v>
      </c>
      <c r="O76">
        <v>689.05629148280354</v>
      </c>
      <c r="P76">
        <v>0.42399999999999999</v>
      </c>
      <c r="Q76">
        <v>1.37E-2</v>
      </c>
      <c r="R76">
        <v>14.801119999999997</v>
      </c>
      <c r="S76" s="2">
        <v>45681</v>
      </c>
      <c r="T76" t="s">
        <v>516</v>
      </c>
      <c r="U76">
        <v>1</v>
      </c>
      <c r="V76">
        <v>1.8100000000000002E-2</v>
      </c>
      <c r="W76">
        <v>6.8780901414574833</v>
      </c>
      <c r="X76">
        <v>689.03800118383742</v>
      </c>
      <c r="Y76">
        <v>0.42399999999999999</v>
      </c>
      <c r="Z76">
        <v>1.37E-2</v>
      </c>
      <c r="AA76">
        <v>14.800619999999995</v>
      </c>
      <c r="AB76" s="2">
        <v>45681</v>
      </c>
      <c r="AC76" t="s">
        <v>636</v>
      </c>
      <c r="AD76">
        <v>1</v>
      </c>
      <c r="AE76">
        <v>1.6500000000000001E-2</v>
      </c>
      <c r="AF76">
        <v>6.4617183103818494</v>
      </c>
      <c r="AG76">
        <v>650.23214652758827</v>
      </c>
      <c r="AH76">
        <v>0.42399999999999999</v>
      </c>
      <c r="AI76">
        <v>7.1999999999999998E-3</v>
      </c>
      <c r="AJ76">
        <v>15.200199999999995</v>
      </c>
      <c r="AK76" s="2">
        <v>45681</v>
      </c>
      <c r="AL76" t="s">
        <v>754</v>
      </c>
      <c r="AM76">
        <v>2</v>
      </c>
      <c r="AN76">
        <v>1.8100000000000002E-2</v>
      </c>
      <c r="AO76">
        <v>6.8805282370770122</v>
      </c>
      <c r="AP76">
        <v>689.26523169557754</v>
      </c>
      <c r="AQ76">
        <v>0.42399999999999999</v>
      </c>
      <c r="AR76">
        <v>1.37E-2</v>
      </c>
      <c r="AS76">
        <v>14.796700000000001</v>
      </c>
      <c r="AT76" s="2">
        <v>45681</v>
      </c>
      <c r="AU76" t="s">
        <v>874</v>
      </c>
      <c r="AV76">
        <v>2</v>
      </c>
      <c r="AW76">
        <v>1.7999999999999999E-2</v>
      </c>
      <c r="AX76">
        <v>6.8791350395801389</v>
      </c>
      <c r="AY76">
        <v>689.13538568886895</v>
      </c>
      <c r="AZ76">
        <v>0.42399999999999999</v>
      </c>
      <c r="BA76">
        <v>1.37E-2</v>
      </c>
      <c r="BB76">
        <v>14.799900000000008</v>
      </c>
      <c r="BC76" s="2">
        <v>45681</v>
      </c>
      <c r="BD76" t="s">
        <v>994</v>
      </c>
      <c r="BE76">
        <v>3</v>
      </c>
      <c r="BF76">
        <v>1.7600000000000001E-2</v>
      </c>
      <c r="BG76">
        <v>6.8816258463971609</v>
      </c>
      <c r="BH76">
        <v>689.3675288842154</v>
      </c>
      <c r="BI76">
        <v>0.42399999999999999</v>
      </c>
      <c r="BJ76">
        <v>1.38E-2</v>
      </c>
      <c r="BK76">
        <v>14.799000000000007</v>
      </c>
      <c r="BL76" s="2">
        <v>45681</v>
      </c>
      <c r="BM76" t="s">
        <v>1114</v>
      </c>
      <c r="BN76">
        <v>3</v>
      </c>
      <c r="BO76">
        <v>1.77E-2</v>
      </c>
      <c r="BP76">
        <v>6.8808907279274774</v>
      </c>
      <c r="BQ76">
        <v>689.29901584284096</v>
      </c>
      <c r="BR76">
        <v>0.42399999999999999</v>
      </c>
      <c r="BS76">
        <v>1.38E-2</v>
      </c>
      <c r="BT76">
        <v>14.797799999999995</v>
      </c>
      <c r="BU76" s="2">
        <v>45681</v>
      </c>
      <c r="BV76" t="s">
        <v>1234</v>
      </c>
      <c r="BW76">
        <v>3</v>
      </c>
      <c r="BX76">
        <v>1.7299999999999999E-2</v>
      </c>
      <c r="BY76">
        <v>6.8803319892340298</v>
      </c>
      <c r="BZ76">
        <v>689.24694139661165</v>
      </c>
      <c r="CA76">
        <v>0.42399999999999999</v>
      </c>
      <c r="CB76">
        <v>1.37E-2</v>
      </c>
      <c r="CC76">
        <v>14.801600000000008</v>
      </c>
      <c r="CD76" s="2">
        <v>45681</v>
      </c>
      <c r="CE76" t="s">
        <v>1354</v>
      </c>
      <c r="CF76">
        <v>4</v>
      </c>
      <c r="CG76">
        <v>1.7399999999999999E-2</v>
      </c>
      <c r="CH76">
        <v>6.8821257918318643</v>
      </c>
      <c r="CI76">
        <v>689.41412379872975</v>
      </c>
      <c r="CJ76">
        <v>0.42399999999999999</v>
      </c>
      <c r="CK76">
        <v>1.38E-2</v>
      </c>
      <c r="CL76">
        <v>14.79910000000001</v>
      </c>
      <c r="CM76" s="2">
        <v>45681</v>
      </c>
      <c r="CN76" t="s">
        <v>1474</v>
      </c>
      <c r="CO76">
        <v>4</v>
      </c>
      <c r="CP76">
        <v>1.7899999999999999E-2</v>
      </c>
      <c r="CQ76">
        <v>6.8808416659667317</v>
      </c>
      <c r="CR76">
        <v>689.29444326809937</v>
      </c>
      <c r="CS76">
        <v>0.42399999999999999</v>
      </c>
      <c r="CT76">
        <v>1.38E-2</v>
      </c>
      <c r="CU76">
        <v>14.790100000000024</v>
      </c>
      <c r="CV76" s="2">
        <v>45681</v>
      </c>
      <c r="CW76" t="s">
        <v>1594</v>
      </c>
      <c r="CX76">
        <v>5</v>
      </c>
      <c r="CY76">
        <v>1.7399999999999999E-2</v>
      </c>
      <c r="CZ76">
        <v>6.8807727359392388</v>
      </c>
      <c r="DA76">
        <v>689.28801898953702</v>
      </c>
      <c r="DB76">
        <v>0.42399999999999999</v>
      </c>
      <c r="DC76">
        <v>1.38E-2</v>
      </c>
      <c r="DD76">
        <v>14.79770000000002</v>
      </c>
      <c r="DE76" s="2">
        <v>45681</v>
      </c>
      <c r="DF76" t="s">
        <v>1714</v>
      </c>
      <c r="DG76">
        <v>5</v>
      </c>
      <c r="DH76">
        <v>1.7899999999999999E-2</v>
      </c>
      <c r="DI76">
        <v>6.8774462539065437</v>
      </c>
      <c r="DJ76">
        <v>688.97799086408986</v>
      </c>
      <c r="DK76">
        <v>0.42399999999999999</v>
      </c>
      <c r="DL76">
        <v>1.37E-2</v>
      </c>
      <c r="DM76">
        <v>14.798400000000015</v>
      </c>
      <c r="DN76" s="2">
        <v>45681</v>
      </c>
      <c r="DO76" t="s">
        <v>1834</v>
      </c>
      <c r="DP76">
        <v>5</v>
      </c>
      <c r="DQ76">
        <v>1.49E-2</v>
      </c>
      <c r="DR76">
        <v>6.458270187124163</v>
      </c>
      <c r="DS76">
        <v>649.91078143997197</v>
      </c>
      <c r="DT76">
        <v>0.42399999999999999</v>
      </c>
      <c r="DU76">
        <v>7.1999999999999998E-3</v>
      </c>
      <c r="DV76">
        <v>15.199600000000032</v>
      </c>
      <c r="DW76" s="2">
        <v>45681</v>
      </c>
      <c r="DX76" t="s">
        <v>1952</v>
      </c>
      <c r="DY76">
        <v>6</v>
      </c>
      <c r="DZ76">
        <v>1.67E-2</v>
      </c>
      <c r="EA76">
        <v>6.8750876305540096</v>
      </c>
      <c r="EB76">
        <v>688.7581671676337</v>
      </c>
      <c r="EC76">
        <v>0.42399999999999999</v>
      </c>
      <c r="ED76">
        <v>1.37E-2</v>
      </c>
      <c r="EE76">
        <v>14.800900000000013</v>
      </c>
    </row>
    <row r="77" spans="1:135" x14ac:dyDescent="0.3">
      <c r="A77" s="2">
        <v>45681</v>
      </c>
      <c r="B77" t="s">
        <v>272</v>
      </c>
      <c r="C77">
        <v>0</v>
      </c>
      <c r="D77">
        <v>1.9E-2</v>
      </c>
      <c r="E77">
        <v>7.3473025151975344</v>
      </c>
      <c r="F77">
        <v>837.25900869224608</v>
      </c>
      <c r="G77">
        <v>0.42399999999999999</v>
      </c>
      <c r="H77">
        <v>2.1000000000000001E-2</v>
      </c>
      <c r="I77">
        <v>14.997200000000001</v>
      </c>
      <c r="J77" s="2">
        <v>45681</v>
      </c>
      <c r="K77" t="s">
        <v>397</v>
      </c>
      <c r="L77">
        <v>1</v>
      </c>
      <c r="M77">
        <v>1.6E-2</v>
      </c>
      <c r="N77">
        <v>6.670262459327259</v>
      </c>
      <c r="O77">
        <v>669.66846120930052</v>
      </c>
      <c r="P77">
        <v>0.42399999999999999</v>
      </c>
      <c r="Q77">
        <v>1.0500000000000001E-2</v>
      </c>
      <c r="R77">
        <v>15.000259999999997</v>
      </c>
      <c r="S77" s="2">
        <v>45681</v>
      </c>
      <c r="T77" t="s">
        <v>517</v>
      </c>
      <c r="U77">
        <v>1</v>
      </c>
      <c r="V77">
        <v>1.6500000000000001E-2</v>
      </c>
      <c r="W77">
        <v>6.6703966701454966</v>
      </c>
      <c r="X77">
        <v>669.68096965756035</v>
      </c>
      <c r="Y77">
        <v>0.42399999999999999</v>
      </c>
      <c r="Z77">
        <v>1.0500000000000001E-2</v>
      </c>
      <c r="AA77">
        <v>14.999440000000007</v>
      </c>
      <c r="AB77" s="2">
        <v>45681</v>
      </c>
      <c r="AC77" t="s">
        <v>637</v>
      </c>
      <c r="AD77">
        <v>1</v>
      </c>
      <c r="AE77">
        <v>1.17E-2</v>
      </c>
      <c r="AF77">
        <v>6.2721252560835774</v>
      </c>
      <c r="AG77">
        <v>632.56207386698941</v>
      </c>
      <c r="AH77">
        <v>0.42399999999999999</v>
      </c>
      <c r="AI77">
        <v>4.3E-3</v>
      </c>
      <c r="AJ77">
        <v>15.401700000000005</v>
      </c>
      <c r="AK77" s="2">
        <v>45681</v>
      </c>
      <c r="AL77" t="s">
        <v>755</v>
      </c>
      <c r="AM77">
        <v>2</v>
      </c>
      <c r="AN77">
        <v>1.66E-2</v>
      </c>
      <c r="AO77">
        <v>6.6668905645705667</v>
      </c>
      <c r="AP77">
        <v>669.35420061797686</v>
      </c>
      <c r="AQ77">
        <v>0.42399999999999999</v>
      </c>
      <c r="AR77">
        <v>1.04E-2</v>
      </c>
      <c r="AS77">
        <v>15.001300000000001</v>
      </c>
      <c r="AT77" s="2">
        <v>45681</v>
      </c>
      <c r="AU77" t="s">
        <v>875</v>
      </c>
      <c r="AV77">
        <v>2</v>
      </c>
      <c r="AW77">
        <v>1.67E-2</v>
      </c>
      <c r="AX77">
        <v>6.6726441945125403</v>
      </c>
      <c r="AY77">
        <v>669.89043892856876</v>
      </c>
      <c r="AZ77">
        <v>0.42399999999999999</v>
      </c>
      <c r="BA77">
        <v>1.0500000000000001E-2</v>
      </c>
      <c r="BB77">
        <v>14.997600000000006</v>
      </c>
      <c r="BC77" s="2">
        <v>45681</v>
      </c>
      <c r="BD77" t="s">
        <v>995</v>
      </c>
      <c r="BE77">
        <v>3</v>
      </c>
      <c r="BF77">
        <v>1.67E-2</v>
      </c>
      <c r="BG77">
        <v>6.6718604195528624</v>
      </c>
      <c r="BH77">
        <v>669.81739110232684</v>
      </c>
      <c r="BI77">
        <v>0.42399999999999999</v>
      </c>
      <c r="BJ77">
        <v>1.0500000000000001E-2</v>
      </c>
      <c r="BK77">
        <v>15</v>
      </c>
      <c r="BL77" s="2">
        <v>45681</v>
      </c>
      <c r="BM77" t="s">
        <v>1115</v>
      </c>
      <c r="BN77">
        <v>3</v>
      </c>
      <c r="BO77">
        <v>1.6500000000000001E-2</v>
      </c>
      <c r="BP77">
        <v>6.6707571336422129</v>
      </c>
      <c r="BQ77">
        <v>669.71456485545423</v>
      </c>
      <c r="BR77">
        <v>0.42399999999999999</v>
      </c>
      <c r="BS77">
        <v>1.0500000000000001E-2</v>
      </c>
      <c r="BT77">
        <v>14.998999999999995</v>
      </c>
      <c r="BU77" s="2">
        <v>45681</v>
      </c>
      <c r="BV77" t="s">
        <v>1235</v>
      </c>
      <c r="BW77">
        <v>3</v>
      </c>
      <c r="BX77">
        <v>1.6500000000000001E-2</v>
      </c>
      <c r="BY77">
        <v>6.6731185952899956</v>
      </c>
      <c r="BZ77">
        <v>669.93465308102759</v>
      </c>
      <c r="CA77">
        <v>0.42399999999999999</v>
      </c>
      <c r="CB77">
        <v>1.0500000000000001E-2</v>
      </c>
      <c r="CC77">
        <v>15.000100000000003</v>
      </c>
      <c r="CD77" s="2">
        <v>45681</v>
      </c>
      <c r="CE77" t="s">
        <v>1355</v>
      </c>
      <c r="CF77">
        <v>4</v>
      </c>
      <c r="CG77">
        <v>1.67E-2</v>
      </c>
      <c r="CH77">
        <v>6.6722419675285778</v>
      </c>
      <c r="CI77">
        <v>669.85295137366347</v>
      </c>
      <c r="CJ77">
        <v>0.42399999999999999</v>
      </c>
      <c r="CK77">
        <v>1.0500000000000001E-2</v>
      </c>
      <c r="CL77">
        <v>15.000200000000007</v>
      </c>
      <c r="CM77" s="2">
        <v>45681</v>
      </c>
      <c r="CN77" t="s">
        <v>1475</v>
      </c>
      <c r="CO77">
        <v>4</v>
      </c>
      <c r="CP77">
        <v>1.72E-2</v>
      </c>
      <c r="CQ77">
        <v>6.6725821574877946</v>
      </c>
      <c r="CR77">
        <v>669.88465707786258</v>
      </c>
      <c r="CS77">
        <v>0.42399999999999999</v>
      </c>
      <c r="CT77">
        <v>1.0500000000000001E-2</v>
      </c>
      <c r="CU77">
        <v>14.989600000000024</v>
      </c>
      <c r="CV77" s="2">
        <v>45681</v>
      </c>
      <c r="CW77" t="s">
        <v>1595</v>
      </c>
      <c r="CX77">
        <v>5</v>
      </c>
      <c r="CY77">
        <v>1.6899999999999998E-2</v>
      </c>
      <c r="CZ77">
        <v>6.6705300700222327</v>
      </c>
      <c r="DA77">
        <v>669.69340252607208</v>
      </c>
      <c r="DB77">
        <v>0.42399999999999999</v>
      </c>
      <c r="DC77">
        <v>1.0500000000000001E-2</v>
      </c>
      <c r="DD77">
        <v>14.999000000000024</v>
      </c>
      <c r="DE77" s="2">
        <v>45681</v>
      </c>
      <c r="DF77" t="s">
        <v>1715</v>
      </c>
      <c r="DG77">
        <v>5</v>
      </c>
      <c r="DH77">
        <v>1.7000000000000001E-2</v>
      </c>
      <c r="DI77">
        <v>6.6684573035484238</v>
      </c>
      <c r="DJ77">
        <v>669.50022069071315</v>
      </c>
      <c r="DK77">
        <v>0.42399999999999999</v>
      </c>
      <c r="DL77">
        <v>1.0500000000000001E-2</v>
      </c>
      <c r="DM77">
        <v>14.998400000000004</v>
      </c>
      <c r="DN77" s="2">
        <v>45681</v>
      </c>
      <c r="DO77" t="s">
        <v>1835</v>
      </c>
      <c r="DP77">
        <v>5</v>
      </c>
      <c r="DQ77">
        <v>1.24E-2</v>
      </c>
      <c r="DR77">
        <v>6.2701559251980834</v>
      </c>
      <c r="DS77">
        <v>632.37853222846138</v>
      </c>
      <c r="DT77">
        <v>0.42399999999999999</v>
      </c>
      <c r="DU77">
        <v>4.3E-3</v>
      </c>
      <c r="DV77">
        <v>15.400000000000034</v>
      </c>
      <c r="DW77" s="2">
        <v>45681</v>
      </c>
      <c r="DX77" t="s">
        <v>1953</v>
      </c>
      <c r="DY77">
        <v>6</v>
      </c>
      <c r="DZ77">
        <v>1.61E-2</v>
      </c>
      <c r="EA77">
        <v>6.6650955455604812</v>
      </c>
      <c r="EB77">
        <v>669.18690484623687</v>
      </c>
      <c r="EC77">
        <v>0.42399999999999999</v>
      </c>
      <c r="ED77">
        <v>1.04E-2</v>
      </c>
      <c r="EE77">
        <v>15.001699999999971</v>
      </c>
    </row>
    <row r="78" spans="1:135" x14ac:dyDescent="0.3">
      <c r="A78" s="2">
        <v>45681</v>
      </c>
      <c r="B78" t="s">
        <v>273</v>
      </c>
      <c r="C78">
        <v>0</v>
      </c>
      <c r="D78">
        <v>1.9900000000000001E-2</v>
      </c>
      <c r="E78">
        <v>7.314170283805816</v>
      </c>
      <c r="F78">
        <v>729.68067045070211</v>
      </c>
      <c r="G78">
        <v>0.42399999999999999</v>
      </c>
      <c r="H78">
        <v>2.0500000000000001E-2</v>
      </c>
      <c r="I78">
        <v>15.1973</v>
      </c>
      <c r="J78" s="2">
        <v>45681</v>
      </c>
      <c r="K78" t="s">
        <v>398</v>
      </c>
      <c r="L78">
        <v>1</v>
      </c>
      <c r="M78">
        <v>1.2999999999999999E-2</v>
      </c>
      <c r="N78">
        <v>6.4603218691189754</v>
      </c>
      <c r="O78">
        <v>650.10199820188848</v>
      </c>
      <c r="P78">
        <v>0.42399999999999999</v>
      </c>
      <c r="Q78">
        <v>7.1999999999999998E-3</v>
      </c>
      <c r="R78">
        <v>15.201419999999999</v>
      </c>
      <c r="S78" s="2">
        <v>45681</v>
      </c>
      <c r="T78" t="s">
        <v>518</v>
      </c>
      <c r="U78">
        <v>1</v>
      </c>
      <c r="V78">
        <v>1.34E-2</v>
      </c>
      <c r="W78">
        <v>6.4618062975345891</v>
      </c>
      <c r="X78">
        <v>650.24034693022372</v>
      </c>
      <c r="Y78">
        <v>0.42399999999999999</v>
      </c>
      <c r="Z78">
        <v>7.1999999999999998E-3</v>
      </c>
      <c r="AA78">
        <v>15.199259999999995</v>
      </c>
      <c r="AB78" s="2">
        <v>45681</v>
      </c>
      <c r="AC78" t="s">
        <v>638</v>
      </c>
      <c r="AD78">
        <v>1</v>
      </c>
      <c r="AE78">
        <v>6.6E-3</v>
      </c>
      <c r="AF78">
        <v>6.1233124224628241</v>
      </c>
      <c r="AG78">
        <v>618.69271777353526</v>
      </c>
      <c r="AH78">
        <v>0.42399999999999999</v>
      </c>
      <c r="AI78">
        <v>2E-3</v>
      </c>
      <c r="AJ78">
        <v>15.601600000000005</v>
      </c>
      <c r="AK78" s="2">
        <v>45681</v>
      </c>
      <c r="AL78" t="s">
        <v>756</v>
      </c>
      <c r="AM78">
        <v>2</v>
      </c>
      <c r="AN78">
        <v>1.41E-2</v>
      </c>
      <c r="AO78">
        <v>6.461747504275845</v>
      </c>
      <c r="AP78">
        <v>650.23486739850875</v>
      </c>
      <c r="AQ78">
        <v>0.42399999999999999</v>
      </c>
      <c r="AR78">
        <v>7.1999999999999998E-3</v>
      </c>
      <c r="AS78">
        <v>15.197800000000001</v>
      </c>
      <c r="AT78" s="2">
        <v>45681</v>
      </c>
      <c r="AU78" t="s">
        <v>876</v>
      </c>
      <c r="AV78">
        <v>2</v>
      </c>
      <c r="AW78">
        <v>1.43E-2</v>
      </c>
      <c r="AX78">
        <v>6.4621201318950607</v>
      </c>
      <c r="AY78">
        <v>650.26959629261967</v>
      </c>
      <c r="AZ78">
        <v>0.42399999999999999</v>
      </c>
      <c r="BA78">
        <v>7.1999999999999998E-3</v>
      </c>
      <c r="BB78">
        <v>15.199300000000022</v>
      </c>
      <c r="BC78" s="2">
        <v>45681</v>
      </c>
      <c r="BD78" t="s">
        <v>996</v>
      </c>
      <c r="BE78">
        <v>3</v>
      </c>
      <c r="BF78">
        <v>1.43E-2</v>
      </c>
      <c r="BG78">
        <v>6.4610221171041626</v>
      </c>
      <c r="BH78">
        <v>650.16726131410803</v>
      </c>
      <c r="BI78">
        <v>0.42399999999999999</v>
      </c>
      <c r="BJ78">
        <v>7.1999999999999998E-3</v>
      </c>
      <c r="BK78">
        <v>15.201900000000023</v>
      </c>
      <c r="BL78" s="2">
        <v>45681</v>
      </c>
      <c r="BM78" t="s">
        <v>1116</v>
      </c>
      <c r="BN78">
        <v>3</v>
      </c>
      <c r="BO78">
        <v>1.4500000000000001E-2</v>
      </c>
      <c r="BP78">
        <v>6.4633847951641954</v>
      </c>
      <c r="BQ78">
        <v>650.38746290930305</v>
      </c>
      <c r="BR78">
        <v>0.42399999999999999</v>
      </c>
      <c r="BS78">
        <v>7.3000000000000001E-3</v>
      </c>
      <c r="BT78">
        <v>15.197599999999994</v>
      </c>
      <c r="BU78" s="2">
        <v>45681</v>
      </c>
      <c r="BV78" t="s">
        <v>1236</v>
      </c>
      <c r="BW78">
        <v>3</v>
      </c>
      <c r="BX78">
        <v>1.41E-2</v>
      </c>
      <c r="BY78">
        <v>6.4630024362469802</v>
      </c>
      <c r="BZ78">
        <v>650.35182705821853</v>
      </c>
      <c r="CA78">
        <v>0.42399999999999999</v>
      </c>
      <c r="CB78">
        <v>7.3000000000000001E-3</v>
      </c>
      <c r="CC78">
        <v>15.201300000000003</v>
      </c>
      <c r="CD78" s="2">
        <v>45681</v>
      </c>
      <c r="CE78" t="s">
        <v>1356</v>
      </c>
      <c r="CF78">
        <v>4</v>
      </c>
      <c r="CG78">
        <v>1.46E-2</v>
      </c>
      <c r="CH78">
        <v>6.4647589355358202</v>
      </c>
      <c r="CI78">
        <v>650.51553279193843</v>
      </c>
      <c r="CJ78">
        <v>0.42399999999999999</v>
      </c>
      <c r="CK78">
        <v>7.3000000000000001E-3</v>
      </c>
      <c r="CL78">
        <v>15.198900000000009</v>
      </c>
      <c r="CM78" s="2">
        <v>45681</v>
      </c>
      <c r="CN78" t="s">
        <v>1476</v>
      </c>
      <c r="CO78">
        <v>4</v>
      </c>
      <c r="CP78">
        <v>1.5100000000000001E-2</v>
      </c>
      <c r="CQ78">
        <v>6.4645132202613418</v>
      </c>
      <c r="CR78">
        <v>650.49263212835706</v>
      </c>
      <c r="CS78">
        <v>0.42399999999999999</v>
      </c>
      <c r="CT78">
        <v>7.3000000000000001E-3</v>
      </c>
      <c r="CU78">
        <v>15.188799999999986</v>
      </c>
      <c r="CV78" s="2">
        <v>45681</v>
      </c>
      <c r="CW78" t="s">
        <v>1596</v>
      </c>
      <c r="CX78">
        <v>5</v>
      </c>
      <c r="CY78">
        <v>1.5299999999999999E-2</v>
      </c>
      <c r="CZ78">
        <v>6.4630121675449796</v>
      </c>
      <c r="DA78">
        <v>650.35273401519214</v>
      </c>
      <c r="DB78">
        <v>0.42399999999999999</v>
      </c>
      <c r="DC78">
        <v>7.3000000000000001E-3</v>
      </c>
      <c r="DD78">
        <v>15.197800000000029</v>
      </c>
      <c r="DE78" s="2">
        <v>45681</v>
      </c>
      <c r="DF78" t="s">
        <v>1716</v>
      </c>
      <c r="DG78">
        <v>5</v>
      </c>
      <c r="DH78">
        <v>1.49E-2</v>
      </c>
      <c r="DI78">
        <v>6.4585345540531396</v>
      </c>
      <c r="DJ78">
        <v>649.93542043775267</v>
      </c>
      <c r="DK78">
        <v>0.42399999999999999</v>
      </c>
      <c r="DL78">
        <v>7.1999999999999998E-3</v>
      </c>
      <c r="DM78">
        <v>15.199599999999975</v>
      </c>
      <c r="DN78" s="2">
        <v>45681</v>
      </c>
      <c r="DO78" t="s">
        <v>1836</v>
      </c>
      <c r="DP78">
        <v>5</v>
      </c>
      <c r="DQ78">
        <v>8.5000000000000006E-3</v>
      </c>
      <c r="DR78">
        <v>6.1224210355661066</v>
      </c>
      <c r="DS78">
        <v>618.60964051476117</v>
      </c>
      <c r="DT78">
        <v>0.42399999999999999</v>
      </c>
      <c r="DU78">
        <v>2E-3</v>
      </c>
      <c r="DV78">
        <v>15.59899999999999</v>
      </c>
      <c r="DW78" s="2">
        <v>45681</v>
      </c>
      <c r="DX78" t="s">
        <v>1954</v>
      </c>
      <c r="DY78">
        <v>6</v>
      </c>
      <c r="DZ78">
        <v>1.44E-2</v>
      </c>
      <c r="EA78">
        <v>6.4582016625674203</v>
      </c>
      <c r="EB78">
        <v>649.90439495128362</v>
      </c>
      <c r="EC78">
        <v>0.42399999999999999</v>
      </c>
      <c r="ED78">
        <v>7.1999999999999998E-3</v>
      </c>
      <c r="EE78">
        <v>15.20010000000002</v>
      </c>
    </row>
    <row r="79" spans="1:135" x14ac:dyDescent="0.3">
      <c r="A79" s="2">
        <v>45681</v>
      </c>
      <c r="B79" t="s">
        <v>274</v>
      </c>
      <c r="C79">
        <v>0</v>
      </c>
      <c r="D79">
        <v>1.95E-2</v>
      </c>
      <c r="E79">
        <v>7.218055875351614</v>
      </c>
      <c r="F79">
        <v>720.72280758277043</v>
      </c>
      <c r="G79">
        <v>0.42399999999999999</v>
      </c>
      <c r="H79">
        <v>1.9E-2</v>
      </c>
      <c r="I79">
        <v>15.397419999999999</v>
      </c>
      <c r="J79" s="2">
        <v>45681</v>
      </c>
      <c r="K79" t="s">
        <v>399</v>
      </c>
      <c r="L79">
        <v>1</v>
      </c>
      <c r="M79">
        <v>8.3999999999999995E-3</v>
      </c>
      <c r="N79">
        <v>6.2723083666742614</v>
      </c>
      <c r="O79">
        <v>632.57913977404121</v>
      </c>
      <c r="P79">
        <v>0.42399999999999999</v>
      </c>
      <c r="Q79">
        <v>4.3E-3</v>
      </c>
      <c r="R79">
        <v>15.401400000000002</v>
      </c>
      <c r="S79" s="2">
        <v>45681</v>
      </c>
      <c r="T79" t="s">
        <v>519</v>
      </c>
      <c r="U79">
        <v>1</v>
      </c>
      <c r="V79">
        <v>9.5999999999999992E-3</v>
      </c>
      <c r="W79">
        <v>6.2729825428902242</v>
      </c>
      <c r="X79">
        <v>632.64197299736895</v>
      </c>
      <c r="Y79">
        <v>0.42399999999999999</v>
      </c>
      <c r="Z79">
        <v>4.3E-3</v>
      </c>
      <c r="AA79">
        <v>15.399929999999998</v>
      </c>
      <c r="AB79" s="2">
        <v>45681</v>
      </c>
      <c r="AC79" t="s">
        <v>639</v>
      </c>
      <c r="AD79">
        <v>1</v>
      </c>
      <c r="AE79">
        <v>2.5000000000000001E-3</v>
      </c>
      <c r="AF79">
        <v>6.0284438634349593</v>
      </c>
      <c r="AG79">
        <v>609.85096807213824</v>
      </c>
      <c r="AH79">
        <v>0.42399999999999999</v>
      </c>
      <c r="AI79">
        <v>5.0000000000000001E-4</v>
      </c>
      <c r="AJ79">
        <v>15.800300000000007</v>
      </c>
      <c r="AK79" s="2">
        <v>45681</v>
      </c>
      <c r="AL79" t="s">
        <v>757</v>
      </c>
      <c r="AM79">
        <v>2</v>
      </c>
      <c r="AN79">
        <v>1.0200000000000001E-2</v>
      </c>
      <c r="AO79">
        <v>6.2735156152852003</v>
      </c>
      <c r="AP79">
        <v>632.69165534458068</v>
      </c>
      <c r="AQ79">
        <v>0.42399999999999999</v>
      </c>
      <c r="AR79">
        <v>4.3E-3</v>
      </c>
      <c r="AS79">
        <v>15.397799999999989</v>
      </c>
      <c r="AT79" s="2">
        <v>45681</v>
      </c>
      <c r="AU79" t="s">
        <v>877</v>
      </c>
      <c r="AV79">
        <v>2</v>
      </c>
      <c r="AW79">
        <v>1.04E-2</v>
      </c>
      <c r="AX79">
        <v>6.27465811021737</v>
      </c>
      <c r="AY79">
        <v>632.79813587225885</v>
      </c>
      <c r="AZ79">
        <v>0.42399999999999999</v>
      </c>
      <c r="BA79">
        <v>4.3E-3</v>
      </c>
      <c r="BB79">
        <v>15.398300000000006</v>
      </c>
      <c r="BC79" s="2">
        <v>45681</v>
      </c>
      <c r="BD79" t="s">
        <v>997</v>
      </c>
      <c r="BE79">
        <v>3</v>
      </c>
      <c r="BF79">
        <v>1.0800000000000001E-2</v>
      </c>
      <c r="BG79">
        <v>6.2748917830105739</v>
      </c>
      <c r="BH79">
        <v>632.81991417658548</v>
      </c>
      <c r="BI79">
        <v>0.42399999999999999</v>
      </c>
      <c r="BJ79">
        <v>4.3E-3</v>
      </c>
      <c r="BK79">
        <v>15.399600000000021</v>
      </c>
      <c r="BL79" s="2">
        <v>45681</v>
      </c>
      <c r="BM79" t="s">
        <v>1117</v>
      </c>
      <c r="BN79">
        <v>3</v>
      </c>
      <c r="BO79">
        <v>1.0800000000000001E-2</v>
      </c>
      <c r="BP79">
        <v>6.2750002869832651</v>
      </c>
      <c r="BQ79">
        <v>632.8300267468403</v>
      </c>
      <c r="BR79">
        <v>0.42399999999999999</v>
      </c>
      <c r="BS79">
        <v>4.3E-3</v>
      </c>
      <c r="BT79">
        <v>15.397500000000008</v>
      </c>
      <c r="BU79" s="2">
        <v>45681</v>
      </c>
      <c r="BV79" t="s">
        <v>1237</v>
      </c>
      <c r="BW79">
        <v>3</v>
      </c>
      <c r="BX79">
        <v>1.1299999999999999E-2</v>
      </c>
      <c r="BY79">
        <v>6.2754429394009996</v>
      </c>
      <c r="BZ79">
        <v>632.87128195217315</v>
      </c>
      <c r="CA79">
        <v>0.42399999999999999</v>
      </c>
      <c r="CB79">
        <v>4.3E-3</v>
      </c>
      <c r="CC79">
        <v>15.400299999999987</v>
      </c>
      <c r="CD79" s="2">
        <v>45681</v>
      </c>
      <c r="CE79" t="s">
        <v>1357</v>
      </c>
      <c r="CF79">
        <v>4</v>
      </c>
      <c r="CG79">
        <v>1.1599999999999999E-2</v>
      </c>
      <c r="CH79">
        <v>6.2760697566333663</v>
      </c>
      <c r="CI79">
        <v>632.92970131822972</v>
      </c>
      <c r="CJ79">
        <v>0.42399999999999999</v>
      </c>
      <c r="CK79">
        <v>4.4000000000000003E-3</v>
      </c>
      <c r="CL79">
        <v>15.398799999999994</v>
      </c>
      <c r="CM79" s="2">
        <v>45681</v>
      </c>
      <c r="CN79" t="s">
        <v>1477</v>
      </c>
      <c r="CO79">
        <v>4</v>
      </c>
      <c r="CP79">
        <v>1.1599999999999999E-2</v>
      </c>
      <c r="CQ79">
        <v>6.2745910859024034</v>
      </c>
      <c r="CR79">
        <v>632.79188920610397</v>
      </c>
      <c r="CS79">
        <v>0.42399999999999999</v>
      </c>
      <c r="CT79">
        <v>4.3E-3</v>
      </c>
      <c r="CU79">
        <v>15.390299999999996</v>
      </c>
      <c r="CV79" s="2">
        <v>45681</v>
      </c>
      <c r="CW79" t="s">
        <v>1597</v>
      </c>
      <c r="CX79">
        <v>5</v>
      </c>
      <c r="CY79">
        <v>1.18E-2</v>
      </c>
      <c r="CZ79">
        <v>6.2746327682954997</v>
      </c>
      <c r="DA79">
        <v>632.79577400514063</v>
      </c>
      <c r="DB79">
        <v>0.42399999999999999</v>
      </c>
      <c r="DC79">
        <v>4.3E-3</v>
      </c>
      <c r="DD79">
        <v>15.397700000000043</v>
      </c>
      <c r="DE79" s="2">
        <v>45681</v>
      </c>
      <c r="DF79" t="s">
        <v>1717</v>
      </c>
      <c r="DG79">
        <v>5</v>
      </c>
      <c r="DH79">
        <v>1.2200000000000001E-2</v>
      </c>
      <c r="DI79">
        <v>6.2724742042109964</v>
      </c>
      <c r="DJ79">
        <v>632.59459583246485</v>
      </c>
      <c r="DK79">
        <v>0.42399999999999999</v>
      </c>
      <c r="DL79">
        <v>4.3E-3</v>
      </c>
      <c r="DM79">
        <v>15.397600000000011</v>
      </c>
      <c r="DN79" s="2">
        <v>45681</v>
      </c>
      <c r="DO79" t="s">
        <v>1837</v>
      </c>
      <c r="DP79">
        <v>5</v>
      </c>
      <c r="DQ79">
        <v>4.5999999999999999E-3</v>
      </c>
      <c r="DR79">
        <v>6.0273062382064957</v>
      </c>
      <c r="DS79">
        <v>609.74494140084539</v>
      </c>
      <c r="DT79">
        <v>0.42399999999999999</v>
      </c>
      <c r="DU79">
        <v>5.0000000000000001E-4</v>
      </c>
      <c r="DV79">
        <v>15.799800000000005</v>
      </c>
      <c r="DW79" s="2">
        <v>45681</v>
      </c>
      <c r="DX79" t="s">
        <v>1955</v>
      </c>
      <c r="DY79">
        <v>6</v>
      </c>
      <c r="DZ79">
        <v>1.2E-2</v>
      </c>
      <c r="EA79">
        <v>6.2692687551971646</v>
      </c>
      <c r="EB79">
        <v>632.29584798437577</v>
      </c>
      <c r="EC79">
        <v>0.42399999999999999</v>
      </c>
      <c r="ED79">
        <v>4.3E-3</v>
      </c>
      <c r="EE79">
        <v>15.401599999999974</v>
      </c>
    </row>
    <row r="80" spans="1:135" x14ac:dyDescent="0.3">
      <c r="A80" s="2">
        <v>45681</v>
      </c>
      <c r="B80" t="s">
        <v>275</v>
      </c>
      <c r="C80">
        <v>0</v>
      </c>
      <c r="D80">
        <v>1.89E-2</v>
      </c>
      <c r="E80">
        <v>7.0672584651451684</v>
      </c>
      <c r="F80">
        <v>706.66848895152964</v>
      </c>
      <c r="G80">
        <v>0.42399999999999999</v>
      </c>
      <c r="H80">
        <v>1.66E-2</v>
      </c>
      <c r="I80">
        <v>15.598850000000001</v>
      </c>
      <c r="J80" s="2">
        <v>45681</v>
      </c>
      <c r="K80" t="s">
        <v>400</v>
      </c>
      <c r="L80">
        <v>1</v>
      </c>
      <c r="M80">
        <v>5.4000000000000003E-3</v>
      </c>
      <c r="N80">
        <v>6.1245936289385581</v>
      </c>
      <c r="O80">
        <v>618.81212621707368</v>
      </c>
      <c r="P80">
        <v>0.42399999999999999</v>
      </c>
      <c r="Q80">
        <v>2E-3</v>
      </c>
      <c r="R80">
        <v>15.599400000000003</v>
      </c>
      <c r="S80" s="2">
        <v>45681</v>
      </c>
      <c r="T80" t="s">
        <v>520</v>
      </c>
      <c r="U80">
        <v>1</v>
      </c>
      <c r="V80">
        <v>5.4000000000000003E-3</v>
      </c>
      <c r="W80">
        <v>6.1241639110377468</v>
      </c>
      <c r="X80">
        <v>618.77207650871799</v>
      </c>
      <c r="Y80">
        <v>0.42399999999999999</v>
      </c>
      <c r="Z80">
        <v>2E-3</v>
      </c>
      <c r="AA80">
        <v>15.599400000000003</v>
      </c>
      <c r="AB80" s="2">
        <v>45681</v>
      </c>
      <c r="AC80" t="s">
        <v>640</v>
      </c>
      <c r="AD80">
        <v>1</v>
      </c>
      <c r="AE80">
        <v>5.0000000000000001E-4</v>
      </c>
      <c r="AF80">
        <v>5.9957336449311036</v>
      </c>
      <c r="AG80">
        <v>606.8023757075789</v>
      </c>
      <c r="AH80">
        <v>0.42399999999999999</v>
      </c>
      <c r="AI80">
        <v>0</v>
      </c>
      <c r="AJ80">
        <v>15.998800000000003</v>
      </c>
      <c r="AK80" s="2">
        <v>45681</v>
      </c>
      <c r="AL80" t="s">
        <v>758</v>
      </c>
      <c r="AM80">
        <v>2</v>
      </c>
      <c r="AN80">
        <v>5.7999999999999996E-3</v>
      </c>
      <c r="AO80">
        <v>6.1236381776633451</v>
      </c>
      <c r="AP80">
        <v>618.72307815822376</v>
      </c>
      <c r="AQ80">
        <v>0.42399999999999999</v>
      </c>
      <c r="AR80">
        <v>2E-3</v>
      </c>
      <c r="AS80">
        <v>15.598799999999997</v>
      </c>
      <c r="AT80" s="2">
        <v>45681</v>
      </c>
      <c r="AU80" t="s">
        <v>878</v>
      </c>
      <c r="AV80">
        <v>2</v>
      </c>
      <c r="AW80">
        <v>6.1999999999999998E-3</v>
      </c>
      <c r="AX80">
        <v>6.1235053454456576</v>
      </c>
      <c r="AY80">
        <v>618.71069819553531</v>
      </c>
      <c r="AZ80">
        <v>0.42399999999999999</v>
      </c>
      <c r="BA80">
        <v>2E-3</v>
      </c>
      <c r="BB80">
        <v>15.600800000000021</v>
      </c>
      <c r="BC80" s="2">
        <v>45681</v>
      </c>
      <c r="BD80" t="s">
        <v>998</v>
      </c>
      <c r="BE80">
        <v>3</v>
      </c>
      <c r="BF80">
        <v>6.4999999999999997E-3</v>
      </c>
      <c r="BG80">
        <v>6.124151665821099</v>
      </c>
      <c r="BH80">
        <v>618.77093525452642</v>
      </c>
      <c r="BI80">
        <v>0.42399999999999999</v>
      </c>
      <c r="BJ80">
        <v>2E-3</v>
      </c>
      <c r="BK80">
        <v>15.601300000000009</v>
      </c>
      <c r="BL80" s="2">
        <v>45681</v>
      </c>
      <c r="BM80" t="s">
        <v>1118</v>
      </c>
      <c r="BN80">
        <v>3</v>
      </c>
      <c r="BO80">
        <v>6.8999999999999999E-3</v>
      </c>
      <c r="BP80">
        <v>6.1245934262031829</v>
      </c>
      <c r="BQ80">
        <v>618.81210732213663</v>
      </c>
      <c r="BR80">
        <v>0.42399999999999999</v>
      </c>
      <c r="BS80">
        <v>2E-3</v>
      </c>
      <c r="BT80">
        <v>15.598600000000005</v>
      </c>
      <c r="BU80" s="2">
        <v>45681</v>
      </c>
      <c r="BV80" t="s">
        <v>1238</v>
      </c>
      <c r="BW80">
        <v>3</v>
      </c>
      <c r="BX80">
        <v>3.0000000000000001E-3</v>
      </c>
      <c r="BY80">
        <v>6.0420137530239666</v>
      </c>
      <c r="BZ80">
        <v>611.1156817818337</v>
      </c>
      <c r="CA80">
        <v>0.42399999999999999</v>
      </c>
      <c r="CB80">
        <v>6.9999999999999999E-4</v>
      </c>
      <c r="CC80">
        <v>15.764600000000002</v>
      </c>
      <c r="CD80" s="2">
        <v>45681</v>
      </c>
      <c r="CE80" t="s">
        <v>1358</v>
      </c>
      <c r="CF80">
        <v>4</v>
      </c>
      <c r="CG80">
        <v>7.7000000000000002E-3</v>
      </c>
      <c r="CH80">
        <v>6.1261967791897609</v>
      </c>
      <c r="CI80">
        <v>618.96153982048577</v>
      </c>
      <c r="CJ80">
        <v>0.42399999999999999</v>
      </c>
      <c r="CK80">
        <v>2E-3</v>
      </c>
      <c r="CL80">
        <v>15.598700000000008</v>
      </c>
      <c r="CM80" s="2">
        <v>45681</v>
      </c>
      <c r="CN80" t="s">
        <v>1478</v>
      </c>
      <c r="CO80">
        <v>4</v>
      </c>
      <c r="CP80">
        <v>7.7999999999999996E-3</v>
      </c>
      <c r="CQ80">
        <v>6.1244298187555728</v>
      </c>
      <c r="CR80">
        <v>618.79685910801936</v>
      </c>
      <c r="CS80">
        <v>0.42399999999999999</v>
      </c>
      <c r="CT80">
        <v>2E-3</v>
      </c>
      <c r="CU80">
        <v>15.591199999999986</v>
      </c>
      <c r="CV80" s="2">
        <v>45681</v>
      </c>
      <c r="CW80" t="s">
        <v>1598</v>
      </c>
      <c r="CX80">
        <v>5</v>
      </c>
      <c r="CY80">
        <v>7.9000000000000008E-3</v>
      </c>
      <c r="CZ80">
        <v>6.1235896022674998</v>
      </c>
      <c r="DA80">
        <v>618.71855093133104</v>
      </c>
      <c r="DB80">
        <v>0.42399999999999999</v>
      </c>
      <c r="DC80">
        <v>2E-3</v>
      </c>
      <c r="DD80">
        <v>15.600000000000023</v>
      </c>
      <c r="DE80" s="2">
        <v>45681</v>
      </c>
      <c r="DF80" t="s">
        <v>1718</v>
      </c>
      <c r="DG80">
        <v>5</v>
      </c>
      <c r="DH80">
        <v>8.3999999999999995E-3</v>
      </c>
      <c r="DI80">
        <v>6.1231010911079444</v>
      </c>
      <c r="DJ80">
        <v>618.67302169126049</v>
      </c>
      <c r="DK80">
        <v>0.42399999999999999</v>
      </c>
      <c r="DL80">
        <v>2E-3</v>
      </c>
      <c r="DM80">
        <v>15.59820000000002</v>
      </c>
      <c r="DN80" s="2">
        <v>45681</v>
      </c>
      <c r="DO80" t="s">
        <v>1838</v>
      </c>
      <c r="DP80">
        <v>5</v>
      </c>
      <c r="DQ80">
        <v>2.0999999999999999E-3</v>
      </c>
      <c r="DR80">
        <v>5.9957653049329513</v>
      </c>
      <c r="DS80">
        <v>606.80532641975105</v>
      </c>
      <c r="DT80">
        <v>0.42399999999999999</v>
      </c>
      <c r="DU80">
        <v>0</v>
      </c>
      <c r="DV80">
        <v>16.00139999999999</v>
      </c>
      <c r="DW80" s="2">
        <v>45681</v>
      </c>
      <c r="DX80" t="s">
        <v>1956</v>
      </c>
      <c r="DY80">
        <v>6</v>
      </c>
      <c r="DZ80">
        <v>8.6E-3</v>
      </c>
      <c r="EA80">
        <v>6.1205578163758769</v>
      </c>
      <c r="EB80">
        <v>618.43598848623174</v>
      </c>
      <c r="EC80">
        <v>0.42399999999999999</v>
      </c>
      <c r="ED80">
        <v>1.9E-3</v>
      </c>
      <c r="EE80">
        <v>15.60250000000002</v>
      </c>
    </row>
    <row r="81" spans="1:135" x14ac:dyDescent="0.3">
      <c r="A81" s="2">
        <v>45681</v>
      </c>
      <c r="B81" t="s">
        <v>276</v>
      </c>
      <c r="C81">
        <v>0</v>
      </c>
      <c r="D81">
        <v>1.78E-2</v>
      </c>
      <c r="E81">
        <v>6.8802979296910323</v>
      </c>
      <c r="F81">
        <v>689.24376704720419</v>
      </c>
      <c r="G81">
        <v>0.42399999999999999</v>
      </c>
      <c r="H81">
        <v>1.37E-2</v>
      </c>
      <c r="I81">
        <v>15.797179999999999</v>
      </c>
      <c r="J81" s="2">
        <v>45681</v>
      </c>
      <c r="K81" t="s">
        <v>401</v>
      </c>
      <c r="L81">
        <v>1</v>
      </c>
      <c r="M81">
        <v>1.9E-3</v>
      </c>
      <c r="N81">
        <v>6.0285978166240124</v>
      </c>
      <c r="O81">
        <v>609.86531650935797</v>
      </c>
      <c r="P81">
        <v>0.42399999999999999</v>
      </c>
      <c r="Q81">
        <v>5.0000000000000001E-4</v>
      </c>
      <c r="R81">
        <v>15.799720000000001</v>
      </c>
      <c r="S81" s="2">
        <v>45681</v>
      </c>
      <c r="T81" t="s">
        <v>521</v>
      </c>
      <c r="U81">
        <v>1</v>
      </c>
      <c r="V81">
        <v>2E-3</v>
      </c>
      <c r="W81">
        <v>6.0283014377793256</v>
      </c>
      <c r="X81">
        <v>609.83769400103324</v>
      </c>
      <c r="Y81">
        <v>0.42399999999999999</v>
      </c>
      <c r="Z81">
        <v>5.0000000000000001E-4</v>
      </c>
      <c r="AA81">
        <v>15.799940000000007</v>
      </c>
      <c r="AB81" s="2">
        <v>45681</v>
      </c>
      <c r="AC81" t="s">
        <v>641</v>
      </c>
      <c r="AD81">
        <v>1</v>
      </c>
      <c r="AE81">
        <v>-2.9999999999999997E-4</v>
      </c>
      <c r="AF81">
        <v>6.0295240942787647</v>
      </c>
      <c r="AG81">
        <v>712.20183654705477</v>
      </c>
      <c r="AH81">
        <v>0.42399999999999999</v>
      </c>
      <c r="AI81">
        <v>5.0000000000000001E-4</v>
      </c>
      <c r="AJ81">
        <v>16.201400000000007</v>
      </c>
      <c r="AK81" s="2">
        <v>45681</v>
      </c>
      <c r="AL81" t="s">
        <v>759</v>
      </c>
      <c r="AM81">
        <v>2</v>
      </c>
      <c r="AN81">
        <v>1.9E-3</v>
      </c>
      <c r="AO81">
        <v>6.0285009415524309</v>
      </c>
      <c r="AP81">
        <v>609.85628775268663</v>
      </c>
      <c r="AQ81">
        <v>0.42399999999999999</v>
      </c>
      <c r="AR81">
        <v>5.0000000000000001E-4</v>
      </c>
      <c r="AS81">
        <v>15.797799999999995</v>
      </c>
      <c r="AT81" s="2">
        <v>45681</v>
      </c>
      <c r="AU81" t="s">
        <v>879</v>
      </c>
      <c r="AV81">
        <v>2</v>
      </c>
      <c r="AW81">
        <v>2.5000000000000001E-3</v>
      </c>
      <c r="AX81">
        <v>6.0291127117652668</v>
      </c>
      <c r="AY81">
        <v>609.91330473652283</v>
      </c>
      <c r="AZ81">
        <v>0.42399999999999999</v>
      </c>
      <c r="BA81">
        <v>5.0000000000000001E-4</v>
      </c>
      <c r="BB81">
        <v>15.797800000000024</v>
      </c>
      <c r="BC81" s="2">
        <v>45681</v>
      </c>
      <c r="BD81" t="s">
        <v>999</v>
      </c>
      <c r="BE81">
        <v>3</v>
      </c>
      <c r="BF81">
        <v>2.7000000000000001E-3</v>
      </c>
      <c r="BG81">
        <v>6.0291863452534624</v>
      </c>
      <c r="BH81">
        <v>609.92016737762265</v>
      </c>
      <c r="BI81">
        <v>0.42399999999999999</v>
      </c>
      <c r="BJ81">
        <v>5.0000000000000001E-4</v>
      </c>
      <c r="BK81">
        <v>15.79910000000001</v>
      </c>
      <c r="BL81" s="2">
        <v>45681</v>
      </c>
      <c r="BM81" t="s">
        <v>1119</v>
      </c>
      <c r="BN81">
        <v>3</v>
      </c>
      <c r="BO81">
        <v>2.8999999999999998E-3</v>
      </c>
      <c r="BP81">
        <v>6.0292921204080034</v>
      </c>
      <c r="BQ81">
        <v>609.93002562202594</v>
      </c>
      <c r="BR81">
        <v>0.42399999999999999</v>
      </c>
      <c r="BS81">
        <v>5.0000000000000001E-4</v>
      </c>
      <c r="BT81">
        <v>15.79679999999999</v>
      </c>
      <c r="BU81" s="2">
        <v>45681</v>
      </c>
      <c r="BV81" t="s">
        <v>1239</v>
      </c>
      <c r="BW81">
        <v>3</v>
      </c>
      <c r="BX81">
        <v>2.8999999999999998E-3</v>
      </c>
      <c r="BY81">
        <v>6.0287200620004198</v>
      </c>
      <c r="BZ81">
        <v>609.87670977843914</v>
      </c>
      <c r="CA81">
        <v>0.42399999999999999</v>
      </c>
      <c r="CB81">
        <v>5.0000000000000001E-4</v>
      </c>
      <c r="CC81">
        <v>15.801899999999989</v>
      </c>
      <c r="CD81" s="2">
        <v>45681</v>
      </c>
      <c r="CE81" t="s">
        <v>1359</v>
      </c>
      <c r="CF81">
        <v>4</v>
      </c>
      <c r="CG81">
        <v>3.5000000000000001E-3</v>
      </c>
      <c r="CH81">
        <v>6.0295042343214318</v>
      </c>
      <c r="CI81">
        <v>609.94979463875745</v>
      </c>
      <c r="CJ81">
        <v>0.42399999999999999</v>
      </c>
      <c r="CK81">
        <v>5.0000000000000001E-4</v>
      </c>
      <c r="CL81">
        <v>15.7988</v>
      </c>
      <c r="CM81" s="2">
        <v>45681</v>
      </c>
      <c r="CN81" t="s">
        <v>1479</v>
      </c>
      <c r="CO81">
        <v>4</v>
      </c>
      <c r="CP81">
        <v>3.7000000000000002E-3</v>
      </c>
      <c r="CQ81">
        <v>6.029070980715681</v>
      </c>
      <c r="CR81">
        <v>609.90941540270148</v>
      </c>
      <c r="CS81">
        <v>0.42399999999999999</v>
      </c>
      <c r="CT81">
        <v>5.0000000000000001E-4</v>
      </c>
      <c r="CU81">
        <v>15.789799999999985</v>
      </c>
      <c r="CV81" s="2">
        <v>45681</v>
      </c>
      <c r="CW81" t="s">
        <v>1599</v>
      </c>
      <c r="CX81">
        <v>5</v>
      </c>
      <c r="CY81">
        <v>3.8E-3</v>
      </c>
      <c r="CZ81">
        <v>6.0278756772730357</v>
      </c>
      <c r="DA81">
        <v>609.79801312184691</v>
      </c>
      <c r="DB81">
        <v>0.42399999999999999</v>
      </c>
      <c r="DC81">
        <v>5.0000000000000001E-4</v>
      </c>
      <c r="DD81">
        <v>15.801000000000045</v>
      </c>
      <c r="DE81" s="2">
        <v>45681</v>
      </c>
      <c r="DF81" t="s">
        <v>1719</v>
      </c>
      <c r="DG81">
        <v>5</v>
      </c>
      <c r="DH81">
        <v>4.4000000000000003E-3</v>
      </c>
      <c r="DI81">
        <v>6.0284532135904527</v>
      </c>
      <c r="DJ81">
        <v>609.8518395066302</v>
      </c>
      <c r="DK81">
        <v>0.42399999999999999</v>
      </c>
      <c r="DL81">
        <v>5.0000000000000001E-4</v>
      </c>
      <c r="DM81">
        <v>15.796600000000012</v>
      </c>
      <c r="DN81" s="2">
        <v>45681</v>
      </c>
      <c r="DO81" t="s">
        <v>1839</v>
      </c>
      <c r="DP81">
        <v>5</v>
      </c>
      <c r="DQ81">
        <v>1.1999999999999999E-3</v>
      </c>
      <c r="DR81">
        <v>6.0297048288108526</v>
      </c>
      <c r="DS81">
        <v>712.21898825415008</v>
      </c>
      <c r="DT81">
        <v>0.42399999999999999</v>
      </c>
      <c r="DU81">
        <v>5.0000000000000001E-4</v>
      </c>
      <c r="DV81">
        <v>16.197900000000004</v>
      </c>
      <c r="DW81" s="2">
        <v>45681</v>
      </c>
      <c r="DX81" t="s">
        <v>1957</v>
      </c>
      <c r="DY81">
        <v>6</v>
      </c>
      <c r="DZ81">
        <v>4.5999999999999999E-3</v>
      </c>
      <c r="EA81">
        <v>6.027284407661317</v>
      </c>
      <c r="EB81">
        <v>609.74290679403475</v>
      </c>
      <c r="EC81">
        <v>0.42399999999999999</v>
      </c>
      <c r="ED81">
        <v>5.0000000000000001E-4</v>
      </c>
      <c r="EE81">
        <v>15.800400000000025</v>
      </c>
    </row>
    <row r="82" spans="1:135" x14ac:dyDescent="0.3">
      <c r="A82" s="2">
        <v>45681</v>
      </c>
      <c r="B82" t="s">
        <v>277</v>
      </c>
      <c r="C82">
        <v>0</v>
      </c>
      <c r="D82">
        <v>1.6E-2</v>
      </c>
      <c r="E82">
        <v>6.6699429483762884</v>
      </c>
      <c r="F82">
        <v>669.63868278867005</v>
      </c>
      <c r="G82">
        <v>0.42399999999999999</v>
      </c>
      <c r="H82">
        <v>1.0500000000000001E-2</v>
      </c>
      <c r="I82">
        <v>15.998610000000001</v>
      </c>
      <c r="J82" s="2">
        <v>45681</v>
      </c>
      <c r="K82" t="s">
        <v>402</v>
      </c>
      <c r="L82">
        <v>1</v>
      </c>
      <c r="M82">
        <v>5.0000000000000001E-4</v>
      </c>
      <c r="N82">
        <v>5.995736182564805</v>
      </c>
      <c r="O82">
        <v>606.80261221503986</v>
      </c>
      <c r="P82">
        <v>0.42399999999999999</v>
      </c>
      <c r="Q82">
        <v>0</v>
      </c>
      <c r="R82">
        <v>16.000869999999999</v>
      </c>
      <c r="S82" s="2">
        <v>45681</v>
      </c>
      <c r="T82" t="s">
        <v>522</v>
      </c>
      <c r="U82">
        <v>1</v>
      </c>
      <c r="V82">
        <v>2.0000000000000001E-4</v>
      </c>
      <c r="W82">
        <v>5.9957351755672503</v>
      </c>
      <c r="X82">
        <v>606.80251836286777</v>
      </c>
      <c r="Y82">
        <v>0.42399999999999999</v>
      </c>
      <c r="Z82">
        <v>0</v>
      </c>
      <c r="AA82">
        <v>15.999809999999997</v>
      </c>
      <c r="AB82" s="2">
        <v>45681</v>
      </c>
      <c r="AC82" t="s">
        <v>642</v>
      </c>
      <c r="AD82">
        <v>1</v>
      </c>
      <c r="AE82">
        <v>-2.0000000000000001E-4</v>
      </c>
      <c r="AF82">
        <v>6.1251764525945536</v>
      </c>
      <c r="AG82">
        <v>721.27924535122327</v>
      </c>
      <c r="AH82">
        <v>0.42399999999999999</v>
      </c>
      <c r="AI82">
        <v>2E-3</v>
      </c>
      <c r="AJ82">
        <v>16.399799999999999</v>
      </c>
      <c r="AK82" s="2">
        <v>45681</v>
      </c>
      <c r="AL82" t="s">
        <v>760</v>
      </c>
      <c r="AM82">
        <v>2</v>
      </c>
      <c r="AN82">
        <v>5.9999999999999995E-4</v>
      </c>
      <c r="AO82">
        <v>5.9957336449311036</v>
      </c>
      <c r="AP82">
        <v>606.8023757075789</v>
      </c>
      <c r="AQ82">
        <v>0.42399999999999999</v>
      </c>
      <c r="AR82">
        <v>0</v>
      </c>
      <c r="AS82">
        <v>15.996499999999997</v>
      </c>
      <c r="AT82" s="2">
        <v>45681</v>
      </c>
      <c r="AU82" t="s">
        <v>880</v>
      </c>
      <c r="AV82">
        <v>2</v>
      </c>
      <c r="AW82">
        <v>8.0000000000000004E-4</v>
      </c>
      <c r="AX82">
        <v>5.9957346922084076</v>
      </c>
      <c r="AY82">
        <v>606.80247331382361</v>
      </c>
      <c r="AZ82">
        <v>0.42399999999999999</v>
      </c>
      <c r="BA82">
        <v>0</v>
      </c>
      <c r="BB82">
        <v>15.999900000000025</v>
      </c>
      <c r="BC82" s="2">
        <v>45681</v>
      </c>
      <c r="BD82" t="s">
        <v>1000</v>
      </c>
      <c r="BE82">
        <v>3</v>
      </c>
      <c r="BF82">
        <v>8.0000000000000004E-4</v>
      </c>
      <c r="BG82">
        <v>5.9957335240914063</v>
      </c>
      <c r="BH82">
        <v>606.80236444531909</v>
      </c>
      <c r="BI82">
        <v>0.42399999999999999</v>
      </c>
      <c r="BJ82">
        <v>0</v>
      </c>
      <c r="BK82">
        <v>16.000100000000003</v>
      </c>
      <c r="BL82" s="2">
        <v>45681</v>
      </c>
      <c r="BM82" t="s">
        <v>1120</v>
      </c>
      <c r="BN82">
        <v>3</v>
      </c>
      <c r="BO82">
        <v>1E-3</v>
      </c>
      <c r="BP82">
        <v>5.9957338060507048</v>
      </c>
      <c r="BQ82">
        <v>606.80239072392567</v>
      </c>
      <c r="BR82">
        <v>0.42399999999999999</v>
      </c>
      <c r="BS82">
        <v>0</v>
      </c>
      <c r="BT82">
        <v>15.998899999999992</v>
      </c>
      <c r="BU82" s="2">
        <v>45681</v>
      </c>
      <c r="BV82" t="s">
        <v>1240</v>
      </c>
      <c r="BW82">
        <v>3</v>
      </c>
      <c r="BX82">
        <v>1E-3</v>
      </c>
      <c r="BY82">
        <v>5.9957334838115024</v>
      </c>
      <c r="BZ82">
        <v>606.80236069123202</v>
      </c>
      <c r="CA82">
        <v>0.42399999999999999</v>
      </c>
      <c r="CB82">
        <v>0</v>
      </c>
      <c r="CC82">
        <v>16.0017</v>
      </c>
      <c r="CD82" s="2">
        <v>45681</v>
      </c>
      <c r="CE82" t="s">
        <v>1360</v>
      </c>
      <c r="CF82">
        <v>4</v>
      </c>
      <c r="CG82">
        <v>1.4E-3</v>
      </c>
      <c r="CH82">
        <v>5.995735095007511</v>
      </c>
      <c r="CI82">
        <v>606.80251085470002</v>
      </c>
      <c r="CJ82">
        <v>0.42399999999999999</v>
      </c>
      <c r="CK82">
        <v>0</v>
      </c>
      <c r="CL82">
        <v>15.999500000000012</v>
      </c>
      <c r="CM82" s="2">
        <v>45681</v>
      </c>
      <c r="CN82" t="s">
        <v>1480</v>
      </c>
      <c r="CO82">
        <v>4</v>
      </c>
      <c r="CP82">
        <v>1.5E-3</v>
      </c>
      <c r="CQ82">
        <v>5.995735618646223</v>
      </c>
      <c r="CR82">
        <v>606.80255965782794</v>
      </c>
      <c r="CS82">
        <v>0.42399999999999999</v>
      </c>
      <c r="CT82">
        <v>0</v>
      </c>
      <c r="CU82">
        <v>15.989000000000004</v>
      </c>
      <c r="CV82" s="2">
        <v>45681</v>
      </c>
      <c r="CW82" t="s">
        <v>1600</v>
      </c>
      <c r="CX82">
        <v>5</v>
      </c>
      <c r="CY82">
        <v>1.5E-3</v>
      </c>
      <c r="CZ82">
        <v>5.9957334838115024</v>
      </c>
      <c r="DA82">
        <v>606.80236069123202</v>
      </c>
      <c r="DB82">
        <v>0.42399999999999999</v>
      </c>
      <c r="DC82">
        <v>0</v>
      </c>
      <c r="DD82">
        <v>15.997900000000016</v>
      </c>
      <c r="DE82" s="2">
        <v>45681</v>
      </c>
      <c r="DF82" t="s">
        <v>1720</v>
      </c>
      <c r="DG82">
        <v>5</v>
      </c>
      <c r="DH82">
        <v>1.8E-3</v>
      </c>
      <c r="DI82">
        <v>5.9957430704294286</v>
      </c>
      <c r="DJ82">
        <v>606.80325416402286</v>
      </c>
      <c r="DK82">
        <v>0.42399999999999999</v>
      </c>
      <c r="DL82">
        <v>0</v>
      </c>
      <c r="DM82">
        <v>15.998899999999992</v>
      </c>
      <c r="DN82" s="2">
        <v>45681</v>
      </c>
      <c r="DO82" t="s">
        <v>1840</v>
      </c>
      <c r="DP82">
        <v>5</v>
      </c>
      <c r="DQ82">
        <v>1.1999999999999999E-3</v>
      </c>
      <c r="DR82">
        <v>6.1276635290806771</v>
      </c>
      <c r="DS82">
        <v>721.51526890975629</v>
      </c>
      <c r="DT82">
        <v>0.42399999999999999</v>
      </c>
      <c r="DU82">
        <v>2E-3</v>
      </c>
      <c r="DV82">
        <v>16.399800000000027</v>
      </c>
      <c r="DW82" s="2">
        <v>45681</v>
      </c>
      <c r="DX82" t="s">
        <v>1958</v>
      </c>
      <c r="DY82">
        <v>6</v>
      </c>
      <c r="DZ82">
        <v>2.3999999999999998E-3</v>
      </c>
      <c r="EA82">
        <v>5.9957684870471244</v>
      </c>
      <c r="EB82">
        <v>606.805622992792</v>
      </c>
      <c r="EC82">
        <v>0.42399999999999999</v>
      </c>
      <c r="ED82">
        <v>0</v>
      </c>
      <c r="EE82">
        <v>16.002200000000016</v>
      </c>
    </row>
    <row r="83" spans="1:135" x14ac:dyDescent="0.3">
      <c r="A83" s="2">
        <v>45681</v>
      </c>
      <c r="B83" t="s">
        <v>278</v>
      </c>
      <c r="C83">
        <v>0</v>
      </c>
      <c r="D83">
        <v>1.1599999999999999E-2</v>
      </c>
      <c r="E83">
        <v>6.4606600317244451</v>
      </c>
      <c r="F83">
        <v>650.13351495671827</v>
      </c>
      <c r="G83">
        <v>0.42399999999999999</v>
      </c>
      <c r="H83">
        <v>7.1999999999999998E-3</v>
      </c>
      <c r="I83">
        <v>16.19914</v>
      </c>
      <c r="J83" s="2">
        <v>45681</v>
      </c>
      <c r="K83" t="s">
        <v>403</v>
      </c>
      <c r="L83">
        <v>1</v>
      </c>
      <c r="M83">
        <v>2.0000000000000001E-4</v>
      </c>
      <c r="N83">
        <v>6.0292476929779308</v>
      </c>
      <c r="O83">
        <v>712.17560606360564</v>
      </c>
      <c r="P83">
        <v>0.42399999999999999</v>
      </c>
      <c r="Q83">
        <v>5.0000000000000001E-4</v>
      </c>
      <c r="R83">
        <v>16.200409999999998</v>
      </c>
      <c r="S83" s="2">
        <v>45681</v>
      </c>
      <c r="T83" t="s">
        <v>523</v>
      </c>
      <c r="U83">
        <v>1</v>
      </c>
      <c r="V83">
        <v>-5.0000000000000001E-4</v>
      </c>
      <c r="W83">
        <v>6.0293664756341334</v>
      </c>
      <c r="X83">
        <v>712.18687853767926</v>
      </c>
      <c r="Y83">
        <v>0.42399999999999999</v>
      </c>
      <c r="Z83">
        <v>5.0000000000000001E-4</v>
      </c>
      <c r="AA83">
        <v>16.20008</v>
      </c>
      <c r="AB83" s="2">
        <v>45681</v>
      </c>
      <c r="AC83" t="s">
        <v>643</v>
      </c>
      <c r="AD83">
        <v>1</v>
      </c>
      <c r="AE83">
        <v>4.0000000000000002E-4</v>
      </c>
      <c r="AF83">
        <v>6.2744507524758406</v>
      </c>
      <c r="AG83">
        <v>735.44537640995736</v>
      </c>
      <c r="AH83">
        <v>0.42399999999999999</v>
      </c>
      <c r="AI83">
        <v>4.3E-3</v>
      </c>
      <c r="AJ83">
        <v>16.599400000000003</v>
      </c>
      <c r="AK83" s="2">
        <v>45681</v>
      </c>
      <c r="AL83" t="s">
        <v>761</v>
      </c>
      <c r="AM83">
        <v>2</v>
      </c>
      <c r="AN83">
        <v>1E-4</v>
      </c>
      <c r="AO83">
        <v>6.0287429021677639</v>
      </c>
      <c r="AP83">
        <v>712.12770141572082</v>
      </c>
      <c r="AQ83">
        <v>0.42399999999999999</v>
      </c>
      <c r="AR83">
        <v>5.0000000000000001E-4</v>
      </c>
      <c r="AS83">
        <v>16.196699999999993</v>
      </c>
      <c r="AT83" s="2">
        <v>45681</v>
      </c>
      <c r="AU83" t="s">
        <v>881</v>
      </c>
      <c r="AV83">
        <v>2</v>
      </c>
      <c r="AW83">
        <v>5.0000000000000001E-4</v>
      </c>
      <c r="AX83">
        <v>6.0288831585548843</v>
      </c>
      <c r="AY83">
        <v>712.14101174685857</v>
      </c>
      <c r="AZ83">
        <v>0.42399999999999999</v>
      </c>
      <c r="BA83">
        <v>5.0000000000000001E-4</v>
      </c>
      <c r="BB83">
        <v>16.198900000000009</v>
      </c>
      <c r="BC83" s="2">
        <v>45681</v>
      </c>
      <c r="BD83" t="s">
        <v>1001</v>
      </c>
      <c r="BE83">
        <v>3</v>
      </c>
      <c r="BF83">
        <v>1E-4</v>
      </c>
      <c r="BG83">
        <v>6.0286507021739304</v>
      </c>
      <c r="BH83">
        <v>712.11895163630606</v>
      </c>
      <c r="BI83">
        <v>0.42399999999999999</v>
      </c>
      <c r="BJ83">
        <v>5.0000000000000001E-4</v>
      </c>
      <c r="BK83">
        <v>16.19980000000001</v>
      </c>
      <c r="BL83" s="2">
        <v>45681</v>
      </c>
      <c r="BM83" t="s">
        <v>1121</v>
      </c>
      <c r="BN83">
        <v>3</v>
      </c>
      <c r="BO83">
        <v>0</v>
      </c>
      <c r="BP83">
        <v>6.0288066664979034</v>
      </c>
      <c r="BQ83">
        <v>712.1337526506511</v>
      </c>
      <c r="BR83">
        <v>0.42399999999999999</v>
      </c>
      <c r="BS83">
        <v>5.0000000000000001E-4</v>
      </c>
      <c r="BT83">
        <v>16.198299999999989</v>
      </c>
      <c r="BU83" s="2">
        <v>45681</v>
      </c>
      <c r="BV83" t="s">
        <v>1241</v>
      </c>
      <c r="BW83">
        <v>3</v>
      </c>
      <c r="BX83">
        <v>1E-4</v>
      </c>
      <c r="BY83">
        <v>6.0283335794456772</v>
      </c>
      <c r="BZ83">
        <v>712.08885668939479</v>
      </c>
      <c r="CA83">
        <v>0.42399999999999999</v>
      </c>
      <c r="CB83">
        <v>5.0000000000000001E-4</v>
      </c>
      <c r="CC83">
        <v>16.200099999999992</v>
      </c>
      <c r="CD83" s="2">
        <v>45681</v>
      </c>
      <c r="CE83" t="s">
        <v>1361</v>
      </c>
      <c r="CF83">
        <v>4</v>
      </c>
      <c r="CG83">
        <v>1E-3</v>
      </c>
      <c r="CH83">
        <v>6.0284254185705439</v>
      </c>
      <c r="CI83">
        <v>712.09757222234464</v>
      </c>
      <c r="CJ83">
        <v>0.42399999999999999</v>
      </c>
      <c r="CK83">
        <v>5.0000000000000001E-4</v>
      </c>
      <c r="CL83">
        <v>16.199700000000007</v>
      </c>
      <c r="CM83" s="2">
        <v>45681</v>
      </c>
      <c r="CN83" t="s">
        <v>1481</v>
      </c>
      <c r="CO83">
        <v>4</v>
      </c>
      <c r="CP83">
        <v>8.0000000000000004E-4</v>
      </c>
      <c r="CQ83">
        <v>6.0291485229419042</v>
      </c>
      <c r="CR83">
        <v>712.1661948271867</v>
      </c>
      <c r="CS83">
        <v>0.42399999999999999</v>
      </c>
      <c r="CT83">
        <v>5.0000000000000001E-4</v>
      </c>
      <c r="CU83">
        <v>16.191600000000022</v>
      </c>
      <c r="CV83" s="2">
        <v>45681</v>
      </c>
      <c r="CW83" t="s">
        <v>1601</v>
      </c>
      <c r="CX83">
        <v>5</v>
      </c>
      <c r="CY83">
        <v>6.9999999999999999E-4</v>
      </c>
      <c r="CZ83">
        <v>6.0293185043897042</v>
      </c>
      <c r="DA83">
        <v>712.18232606658296</v>
      </c>
      <c r="DB83">
        <v>0.42399999999999999</v>
      </c>
      <c r="DC83">
        <v>5.0000000000000001E-4</v>
      </c>
      <c r="DD83">
        <v>16.199600000000032</v>
      </c>
      <c r="DE83" s="2">
        <v>45681</v>
      </c>
      <c r="DF83" t="s">
        <v>1721</v>
      </c>
      <c r="DG83">
        <v>5</v>
      </c>
      <c r="DH83">
        <v>1.2999999999999999E-3</v>
      </c>
      <c r="DI83">
        <v>6.0293281302653066</v>
      </c>
      <c r="DJ83">
        <v>712.18323956217773</v>
      </c>
      <c r="DK83">
        <v>0.42399999999999999</v>
      </c>
      <c r="DL83">
        <v>5.0000000000000001E-4</v>
      </c>
      <c r="DM83">
        <v>16.197099999999978</v>
      </c>
      <c r="DN83" s="2">
        <v>45681</v>
      </c>
      <c r="DO83" t="s">
        <v>1841</v>
      </c>
      <c r="DP83">
        <v>5</v>
      </c>
      <c r="DQ83">
        <v>1.4E-3</v>
      </c>
      <c r="DR83">
        <v>6.2787354429848481</v>
      </c>
      <c r="DS83">
        <v>735.85199353926214</v>
      </c>
      <c r="DT83">
        <v>0.42399999999999999</v>
      </c>
      <c r="DU83">
        <v>4.4000000000000003E-3</v>
      </c>
      <c r="DV83">
        <v>16.600300000000004</v>
      </c>
      <c r="DW83" s="2">
        <v>45681</v>
      </c>
      <c r="DX83" t="s">
        <v>1959</v>
      </c>
      <c r="DY83">
        <v>6</v>
      </c>
      <c r="DZ83">
        <v>1.5E-3</v>
      </c>
      <c r="EA83">
        <v>6.0301680467050263</v>
      </c>
      <c r="EB83">
        <v>712.26294763230703</v>
      </c>
      <c r="EC83">
        <v>0.42399999999999999</v>
      </c>
      <c r="ED83">
        <v>5.0000000000000001E-4</v>
      </c>
      <c r="EE83">
        <v>16.199799999999982</v>
      </c>
    </row>
    <row r="84" spans="1:135" x14ac:dyDescent="0.3">
      <c r="A84" s="2">
        <v>45681</v>
      </c>
      <c r="B84" t="s">
        <v>279</v>
      </c>
      <c r="C84">
        <v>0</v>
      </c>
      <c r="D84">
        <v>9.1000000000000004E-3</v>
      </c>
      <c r="E84">
        <v>6.2722106887705964</v>
      </c>
      <c r="F84">
        <v>632.57003619341947</v>
      </c>
      <c r="G84">
        <v>0.42399999999999999</v>
      </c>
      <c r="H84">
        <v>4.3E-3</v>
      </c>
      <c r="I84">
        <v>16.399569999999997</v>
      </c>
      <c r="J84" s="2">
        <v>45681</v>
      </c>
      <c r="K84" t="s">
        <v>404</v>
      </c>
      <c r="L84">
        <v>1</v>
      </c>
      <c r="M84">
        <v>5.0000000000000001E-4</v>
      </c>
      <c r="N84">
        <v>6.1268593183951996</v>
      </c>
      <c r="O84">
        <v>721.43894931570458</v>
      </c>
      <c r="P84">
        <v>0.42399999999999999</v>
      </c>
      <c r="Q84">
        <v>2E-3</v>
      </c>
      <c r="R84">
        <v>16.402369999999998</v>
      </c>
      <c r="S84" s="2">
        <v>45681</v>
      </c>
      <c r="T84" t="s">
        <v>524</v>
      </c>
      <c r="U84">
        <v>1</v>
      </c>
      <c r="V84">
        <v>-1E-4</v>
      </c>
      <c r="W84">
        <v>6.1251764120474803</v>
      </c>
      <c r="X84">
        <v>721.27924150330591</v>
      </c>
      <c r="Y84">
        <v>0.42399999999999999</v>
      </c>
      <c r="Z84">
        <v>2E-3</v>
      </c>
      <c r="AA84">
        <v>16.398989999999998</v>
      </c>
      <c r="AB84" s="2">
        <v>45681</v>
      </c>
      <c r="AC84" t="s">
        <v>644</v>
      </c>
      <c r="AD84">
        <v>1</v>
      </c>
      <c r="AE84">
        <v>2.3999999999999998E-3</v>
      </c>
      <c r="AF84">
        <v>6.4637886440311592</v>
      </c>
      <c r="AG84">
        <v>753.41354231855701</v>
      </c>
      <c r="AH84">
        <v>0.42399999999999999</v>
      </c>
      <c r="AI84">
        <v>7.3000000000000001E-3</v>
      </c>
      <c r="AJ84">
        <v>16.800300000000007</v>
      </c>
      <c r="AK84" s="2">
        <v>45681</v>
      </c>
      <c r="AL84" t="s">
        <v>762</v>
      </c>
      <c r="AM84">
        <v>2</v>
      </c>
      <c r="AN84">
        <v>2.0000000000000001E-4</v>
      </c>
      <c r="AO84">
        <v>6.1256441631046359</v>
      </c>
      <c r="AP84">
        <v>721.32363107863</v>
      </c>
      <c r="AQ84">
        <v>0.42399999999999999</v>
      </c>
      <c r="AR84">
        <v>2E-3</v>
      </c>
      <c r="AS84">
        <v>16.398299999999992</v>
      </c>
      <c r="AT84" s="2">
        <v>45681</v>
      </c>
      <c r="AU84" t="s">
        <v>882</v>
      </c>
      <c r="AV84">
        <v>2</v>
      </c>
      <c r="AW84">
        <v>5.9999999999999995E-4</v>
      </c>
      <c r="AX84">
        <v>6.124388622927377</v>
      </c>
      <c r="AY84">
        <v>721.20448031580815</v>
      </c>
      <c r="AZ84">
        <v>0.42399999999999999</v>
      </c>
      <c r="BA84">
        <v>2E-3</v>
      </c>
      <c r="BB84">
        <v>16.398000000000025</v>
      </c>
      <c r="BC84" s="2">
        <v>45681</v>
      </c>
      <c r="BD84" t="s">
        <v>1002</v>
      </c>
      <c r="BE84">
        <v>3</v>
      </c>
      <c r="BF84">
        <v>2.9999999999999997E-4</v>
      </c>
      <c r="BG84">
        <v>6.1252190270232996</v>
      </c>
      <c r="BH84">
        <v>721.28328566451125</v>
      </c>
      <c r="BI84">
        <v>0.42399999999999999</v>
      </c>
      <c r="BJ84">
        <v>2E-3</v>
      </c>
      <c r="BK84">
        <v>16.40100000000001</v>
      </c>
      <c r="BL84" s="2">
        <v>45681</v>
      </c>
      <c r="BM84" t="s">
        <v>1122</v>
      </c>
      <c r="BN84">
        <v>3</v>
      </c>
      <c r="BO84">
        <v>2.0000000000000001E-4</v>
      </c>
      <c r="BP84">
        <v>6.1252008619337017</v>
      </c>
      <c r="BQ84">
        <v>721.28156179750829</v>
      </c>
      <c r="BR84">
        <v>0.42399999999999999</v>
      </c>
      <c r="BS84">
        <v>2E-3</v>
      </c>
      <c r="BT84">
        <v>16.398899999999998</v>
      </c>
      <c r="BU84" s="2">
        <v>45681</v>
      </c>
      <c r="BV84" t="s">
        <v>1242</v>
      </c>
      <c r="BW84">
        <v>3</v>
      </c>
      <c r="BX84">
        <v>2.0000000000000001E-4</v>
      </c>
      <c r="BY84">
        <v>6.1250977507219861</v>
      </c>
      <c r="BZ84">
        <v>721.27177654351647</v>
      </c>
      <c r="CA84">
        <v>0.42399999999999999</v>
      </c>
      <c r="CB84">
        <v>2E-3</v>
      </c>
      <c r="CC84">
        <v>16.40209999999999</v>
      </c>
      <c r="CD84" s="2">
        <v>45681</v>
      </c>
      <c r="CE84" t="s">
        <v>1362</v>
      </c>
      <c r="CF84">
        <v>4</v>
      </c>
      <c r="CG84">
        <v>1.1000000000000001E-3</v>
      </c>
      <c r="CH84">
        <v>6.1238445622750763</v>
      </c>
      <c r="CI84">
        <v>721.15284895990476</v>
      </c>
      <c r="CJ84">
        <v>0.42399999999999999</v>
      </c>
      <c r="CK84">
        <v>2E-3</v>
      </c>
      <c r="CL84">
        <v>16.399400000000014</v>
      </c>
      <c r="CM84" s="2">
        <v>45681</v>
      </c>
      <c r="CN84" t="s">
        <v>1482</v>
      </c>
      <c r="CO84">
        <v>4</v>
      </c>
      <c r="CP84">
        <v>8.9999999999999998E-4</v>
      </c>
      <c r="CQ84">
        <v>6.1245159407428647</v>
      </c>
      <c r="CR84">
        <v>721.21656277649788</v>
      </c>
      <c r="CS84">
        <v>0.42399999999999999</v>
      </c>
      <c r="CT84">
        <v>2E-3</v>
      </c>
      <c r="CU84">
        <v>16.39009999999999</v>
      </c>
      <c r="CV84" s="2">
        <v>45681</v>
      </c>
      <c r="CW84" t="s">
        <v>1602</v>
      </c>
      <c r="CX84">
        <v>5</v>
      </c>
      <c r="CY84">
        <v>6.9999999999999999E-4</v>
      </c>
      <c r="CZ84">
        <v>6.1245704765587341</v>
      </c>
      <c r="DA84">
        <v>721.22173822542391</v>
      </c>
      <c r="DB84">
        <v>0.42399999999999999</v>
      </c>
      <c r="DC84">
        <v>2E-3</v>
      </c>
      <c r="DD84">
        <v>16.397700000000043</v>
      </c>
      <c r="DE84" s="2">
        <v>45681</v>
      </c>
      <c r="DF84" t="s">
        <v>1722</v>
      </c>
      <c r="DG84">
        <v>5</v>
      </c>
      <c r="DH84">
        <v>1.2999999999999999E-3</v>
      </c>
      <c r="DI84">
        <v>6.1258512370166418</v>
      </c>
      <c r="DJ84">
        <v>721.34328239287936</v>
      </c>
      <c r="DK84">
        <v>0.42399999999999999</v>
      </c>
      <c r="DL84">
        <v>2E-3</v>
      </c>
      <c r="DM84">
        <v>16.397199999999998</v>
      </c>
      <c r="DN84" s="2">
        <v>45681</v>
      </c>
      <c r="DO84" t="s">
        <v>1842</v>
      </c>
      <c r="DP84">
        <v>5</v>
      </c>
      <c r="DQ84">
        <v>2.3999999999999998E-3</v>
      </c>
      <c r="DR84">
        <v>6.4664306914379166</v>
      </c>
      <c r="DS84">
        <v>753.66427261745832</v>
      </c>
      <c r="DT84">
        <v>0.42399999999999999</v>
      </c>
      <c r="DU84">
        <v>7.3000000000000001E-3</v>
      </c>
      <c r="DV84">
        <v>16.798900000000003</v>
      </c>
      <c r="DW84" s="2">
        <v>45681</v>
      </c>
      <c r="DX84" t="s">
        <v>1960</v>
      </c>
      <c r="DY84">
        <v>6</v>
      </c>
      <c r="DZ84">
        <v>1.5E-3</v>
      </c>
      <c r="EA84">
        <v>6.1290070564106793</v>
      </c>
      <c r="EB84">
        <v>721.64276965337353</v>
      </c>
      <c r="EC84">
        <v>0.42399999999999999</v>
      </c>
      <c r="ED84">
        <v>2.0999999999999999E-3</v>
      </c>
      <c r="EE84">
        <v>16.4024</v>
      </c>
    </row>
    <row r="85" spans="1:135" x14ac:dyDescent="0.3">
      <c r="A85" s="2">
        <v>45681</v>
      </c>
      <c r="B85" t="s">
        <v>280</v>
      </c>
      <c r="C85">
        <v>0</v>
      </c>
      <c r="D85">
        <v>4.8999999999999998E-3</v>
      </c>
      <c r="E85">
        <v>6.1240022498497364</v>
      </c>
      <c r="F85">
        <v>618.7570096859954</v>
      </c>
      <c r="G85">
        <v>0.42399999999999999</v>
      </c>
      <c r="H85">
        <v>2E-3</v>
      </c>
      <c r="I85">
        <v>16.598399999999998</v>
      </c>
      <c r="J85" s="2">
        <v>45681</v>
      </c>
      <c r="K85" t="s">
        <v>405</v>
      </c>
      <c r="L85">
        <v>1</v>
      </c>
      <c r="M85">
        <v>1E-3</v>
      </c>
      <c r="N85">
        <v>6.2762718027080737</v>
      </c>
      <c r="O85">
        <v>735.61819407699625</v>
      </c>
      <c r="P85">
        <v>0.42399999999999999</v>
      </c>
      <c r="Q85">
        <v>4.4000000000000003E-3</v>
      </c>
      <c r="R85">
        <v>16.601370000000003</v>
      </c>
      <c r="S85" s="2">
        <v>45681</v>
      </c>
      <c r="T85" t="s">
        <v>525</v>
      </c>
      <c r="U85">
        <v>1</v>
      </c>
      <c r="V85">
        <v>1E-3</v>
      </c>
      <c r="W85">
        <v>6.2766441464977634</v>
      </c>
      <c r="X85">
        <v>735.65352950263775</v>
      </c>
      <c r="Y85">
        <v>0.42399999999999999</v>
      </c>
      <c r="Z85">
        <v>4.4000000000000003E-3</v>
      </c>
      <c r="AA85">
        <v>16.601110000000006</v>
      </c>
      <c r="AB85" s="2">
        <v>45681</v>
      </c>
      <c r="AC85" t="s">
        <v>645</v>
      </c>
      <c r="AD85">
        <v>1</v>
      </c>
      <c r="AE85">
        <v>5.7999999999999996E-3</v>
      </c>
      <c r="AF85">
        <v>6.6714289986749016</v>
      </c>
      <c r="AG85">
        <v>773.11861197424821</v>
      </c>
      <c r="AH85">
        <v>0.42399999999999999</v>
      </c>
      <c r="AI85">
        <v>1.0500000000000001E-2</v>
      </c>
      <c r="AJ85">
        <v>16.999099999999999</v>
      </c>
      <c r="AK85" s="2">
        <v>45681</v>
      </c>
      <c r="AL85" t="s">
        <v>763</v>
      </c>
      <c r="AM85">
        <v>2</v>
      </c>
      <c r="AN85">
        <v>1.1999999999999999E-3</v>
      </c>
      <c r="AO85">
        <v>6.2742422188691336</v>
      </c>
      <c r="AP85">
        <v>735.42558657068082</v>
      </c>
      <c r="AQ85">
        <v>0.42399999999999999</v>
      </c>
      <c r="AR85">
        <v>4.3E-3</v>
      </c>
      <c r="AS85">
        <v>16.596800000000002</v>
      </c>
      <c r="AT85" s="2">
        <v>45681</v>
      </c>
      <c r="AU85" t="s">
        <v>883</v>
      </c>
      <c r="AV85">
        <v>2</v>
      </c>
      <c r="AW85">
        <v>1.2999999999999999E-3</v>
      </c>
      <c r="AX85">
        <v>6.2740587839018502</v>
      </c>
      <c r="AY85">
        <v>735.40817859228559</v>
      </c>
      <c r="AZ85">
        <v>0.42399999999999999</v>
      </c>
      <c r="BA85">
        <v>4.3E-3</v>
      </c>
      <c r="BB85">
        <v>16.598400000000026</v>
      </c>
      <c r="BC85" s="2">
        <v>45681</v>
      </c>
      <c r="BD85" t="s">
        <v>1003</v>
      </c>
      <c r="BE85">
        <v>3</v>
      </c>
      <c r="BF85">
        <v>1E-3</v>
      </c>
      <c r="BG85">
        <v>6.2749600642848682</v>
      </c>
      <c r="BH85">
        <v>735.49371010063408</v>
      </c>
      <c r="BI85">
        <v>0.42399999999999999</v>
      </c>
      <c r="BJ85">
        <v>4.3E-3</v>
      </c>
      <c r="BK85">
        <v>16.601100000000002</v>
      </c>
      <c r="BL85" s="2">
        <v>45681</v>
      </c>
      <c r="BM85" t="s">
        <v>1123</v>
      </c>
      <c r="BN85">
        <v>3</v>
      </c>
      <c r="BO85">
        <v>6.9999999999999999E-4</v>
      </c>
      <c r="BP85">
        <v>6.2738337476356216</v>
      </c>
      <c r="BQ85">
        <v>735.3868226506205</v>
      </c>
      <c r="BR85">
        <v>0.42399999999999999</v>
      </c>
      <c r="BS85">
        <v>4.3E-3</v>
      </c>
      <c r="BT85">
        <v>16.597700000000003</v>
      </c>
      <c r="BU85" s="2">
        <v>45681</v>
      </c>
      <c r="BV85" t="s">
        <v>1243</v>
      </c>
      <c r="BW85">
        <v>3</v>
      </c>
      <c r="BX85">
        <v>8.9999999999999998E-4</v>
      </c>
      <c r="BY85">
        <v>6.2735253871302747</v>
      </c>
      <c r="BZ85">
        <v>735.35755923866316</v>
      </c>
      <c r="CA85">
        <v>0.42399999999999999</v>
      </c>
      <c r="CB85">
        <v>4.3E-3</v>
      </c>
      <c r="CC85">
        <v>16.600699999999989</v>
      </c>
      <c r="CD85" s="2">
        <v>45681</v>
      </c>
      <c r="CE85" t="s">
        <v>1363</v>
      </c>
      <c r="CF85">
        <v>4</v>
      </c>
      <c r="CG85">
        <v>1.2999999999999999E-3</v>
      </c>
      <c r="CH85">
        <v>6.2735337803747981</v>
      </c>
      <c r="CI85">
        <v>735.35835575756835</v>
      </c>
      <c r="CJ85">
        <v>0.42399999999999999</v>
      </c>
      <c r="CK85">
        <v>4.3E-3</v>
      </c>
      <c r="CL85">
        <v>16.599999999999994</v>
      </c>
      <c r="CM85" s="2">
        <v>45681</v>
      </c>
      <c r="CN85" t="s">
        <v>1483</v>
      </c>
      <c r="CO85">
        <v>4</v>
      </c>
      <c r="CP85">
        <v>1.1999999999999999E-3</v>
      </c>
      <c r="CQ85">
        <v>6.2742091324559377</v>
      </c>
      <c r="CR85">
        <v>735.42244667006855</v>
      </c>
      <c r="CS85">
        <v>0.42399999999999999</v>
      </c>
      <c r="CT85">
        <v>4.3E-3</v>
      </c>
      <c r="CU85">
        <v>16.590499999999992</v>
      </c>
      <c r="CV85" s="2">
        <v>45681</v>
      </c>
      <c r="CW85" t="s">
        <v>1603</v>
      </c>
      <c r="CX85">
        <v>5</v>
      </c>
      <c r="CY85">
        <v>1E-3</v>
      </c>
      <c r="CZ85">
        <v>6.2759712677882016</v>
      </c>
      <c r="DA85">
        <v>735.58967331310032</v>
      </c>
      <c r="DB85">
        <v>0.42399999999999999</v>
      </c>
      <c r="DC85">
        <v>4.4000000000000003E-3</v>
      </c>
      <c r="DD85">
        <v>16.600000000000023</v>
      </c>
      <c r="DE85" s="2">
        <v>45681</v>
      </c>
      <c r="DF85" t="s">
        <v>1723</v>
      </c>
      <c r="DG85">
        <v>5</v>
      </c>
      <c r="DH85">
        <v>1.5E-3</v>
      </c>
      <c r="DI85">
        <v>6.2777877767480348</v>
      </c>
      <c r="DJ85">
        <v>735.76206001338858</v>
      </c>
      <c r="DK85">
        <v>0.42399999999999999</v>
      </c>
      <c r="DL85">
        <v>4.4000000000000003E-3</v>
      </c>
      <c r="DM85">
        <v>16.599499999999978</v>
      </c>
      <c r="DN85" s="2">
        <v>45681</v>
      </c>
      <c r="DO85" t="s">
        <v>1843</v>
      </c>
      <c r="DP85">
        <v>5</v>
      </c>
      <c r="DQ85">
        <v>5.0000000000000001E-3</v>
      </c>
      <c r="DR85">
        <v>6.6749460519600792</v>
      </c>
      <c r="DS85">
        <v>773.45238033101157</v>
      </c>
      <c r="DT85">
        <v>0.42399999999999999</v>
      </c>
      <c r="DU85">
        <v>1.06E-2</v>
      </c>
      <c r="DV85">
        <v>16.998400000000004</v>
      </c>
      <c r="DW85" s="2">
        <v>45681</v>
      </c>
      <c r="DX85" t="s">
        <v>1961</v>
      </c>
      <c r="DY85">
        <v>6</v>
      </c>
      <c r="DZ85">
        <v>1.6999999999999999E-3</v>
      </c>
      <c r="EA85">
        <v>6.2793987120376373</v>
      </c>
      <c r="EB85">
        <v>735.91493777237179</v>
      </c>
      <c r="EC85">
        <v>0.42399999999999999</v>
      </c>
      <c r="ED85">
        <v>4.4000000000000003E-3</v>
      </c>
      <c r="EE85">
        <v>16.601600000000019</v>
      </c>
    </row>
    <row r="86" spans="1:135" x14ac:dyDescent="0.3">
      <c r="A86" s="2">
        <v>45681</v>
      </c>
      <c r="B86" t="s">
        <v>281</v>
      </c>
      <c r="C86">
        <v>0</v>
      </c>
      <c r="D86">
        <v>2E-3</v>
      </c>
      <c r="E86">
        <v>6.0284851525214282</v>
      </c>
      <c r="F86">
        <v>609.85481621499719</v>
      </c>
      <c r="G86">
        <v>0.42399999999999999</v>
      </c>
      <c r="H86">
        <v>5.0000000000000001E-4</v>
      </c>
      <c r="I86">
        <v>16.798119999999997</v>
      </c>
      <c r="J86" s="2">
        <v>45681</v>
      </c>
      <c r="K86" t="s">
        <v>406</v>
      </c>
      <c r="L86">
        <v>1</v>
      </c>
      <c r="M86">
        <v>3.0999999999999999E-3</v>
      </c>
      <c r="N86">
        <v>6.4657766671182273</v>
      </c>
      <c r="O86">
        <v>753.60220570951981</v>
      </c>
      <c r="P86">
        <v>0.42399999999999999</v>
      </c>
      <c r="Q86">
        <v>7.3000000000000001E-3</v>
      </c>
      <c r="R86">
        <v>16.802129999999998</v>
      </c>
      <c r="S86" s="2">
        <v>45681</v>
      </c>
      <c r="T86" t="s">
        <v>526</v>
      </c>
      <c r="U86">
        <v>1</v>
      </c>
      <c r="V86">
        <v>2.8999999999999998E-3</v>
      </c>
      <c r="W86">
        <v>6.4637347164214134</v>
      </c>
      <c r="X86">
        <v>753.40842458839211</v>
      </c>
      <c r="Y86">
        <v>0.42399999999999999</v>
      </c>
      <c r="Z86">
        <v>7.3000000000000001E-3</v>
      </c>
      <c r="AA86">
        <v>16.799419999999998</v>
      </c>
      <c r="AB86" s="2">
        <v>45681</v>
      </c>
      <c r="AC86" t="s">
        <v>646</v>
      </c>
      <c r="AD86">
        <v>1</v>
      </c>
      <c r="AE86">
        <v>8.8000000000000005E-3</v>
      </c>
      <c r="AF86">
        <v>6.8815196130606724</v>
      </c>
      <c r="AG86">
        <v>793.05621127945778</v>
      </c>
      <c r="AH86">
        <v>0.42399999999999999</v>
      </c>
      <c r="AI86">
        <v>1.38E-2</v>
      </c>
      <c r="AJ86">
        <v>17.200400000000002</v>
      </c>
      <c r="AK86" s="2">
        <v>45681</v>
      </c>
      <c r="AL86" t="s">
        <v>764</v>
      </c>
      <c r="AM86">
        <v>2</v>
      </c>
      <c r="AN86">
        <v>2.8999999999999998E-3</v>
      </c>
      <c r="AO86">
        <v>6.469330618241651</v>
      </c>
      <c r="AP86">
        <v>753.93947567113275</v>
      </c>
      <c r="AQ86">
        <v>0.42399999999999999</v>
      </c>
      <c r="AR86">
        <v>7.4000000000000003E-3</v>
      </c>
      <c r="AS86">
        <v>16.8035</v>
      </c>
      <c r="AT86" s="2">
        <v>45681</v>
      </c>
      <c r="AU86" t="s">
        <v>884</v>
      </c>
      <c r="AV86">
        <v>2</v>
      </c>
      <c r="AW86">
        <v>3.0000000000000001E-3</v>
      </c>
      <c r="AX86">
        <v>6.4630040581299806</v>
      </c>
      <c r="AY86">
        <v>753.33908511653522</v>
      </c>
      <c r="AZ86">
        <v>0.42399999999999999</v>
      </c>
      <c r="BA86">
        <v>7.3000000000000001E-3</v>
      </c>
      <c r="BB86">
        <v>16.799000000000007</v>
      </c>
      <c r="BC86" s="2">
        <v>45681</v>
      </c>
      <c r="BD86" t="s">
        <v>1004</v>
      </c>
      <c r="BE86">
        <v>3</v>
      </c>
      <c r="BF86">
        <v>2.5999999999999999E-3</v>
      </c>
      <c r="BG86">
        <v>6.4613177052808846</v>
      </c>
      <c r="BH86">
        <v>753.179050231156</v>
      </c>
      <c r="BI86">
        <v>0.42399999999999999</v>
      </c>
      <c r="BJ86">
        <v>7.1999999999999998E-3</v>
      </c>
      <c r="BK86">
        <v>16.798900000000003</v>
      </c>
      <c r="BL86" s="2">
        <v>45681</v>
      </c>
      <c r="BM86" t="s">
        <v>1124</v>
      </c>
      <c r="BN86">
        <v>3</v>
      </c>
      <c r="BO86">
        <v>2.3999999999999998E-3</v>
      </c>
      <c r="BP86">
        <v>6.4637399875411621</v>
      </c>
      <c r="BQ86">
        <v>753.40892481765627</v>
      </c>
      <c r="BR86">
        <v>0.42399999999999999</v>
      </c>
      <c r="BS86">
        <v>7.3000000000000001E-3</v>
      </c>
      <c r="BT86">
        <v>16.799299999999988</v>
      </c>
      <c r="BU86" s="2">
        <v>45681</v>
      </c>
      <c r="BV86" t="s">
        <v>1244</v>
      </c>
      <c r="BW86">
        <v>3</v>
      </c>
      <c r="BX86">
        <v>2.5000000000000001E-3</v>
      </c>
      <c r="BY86">
        <v>6.4619060433390816</v>
      </c>
      <c r="BZ86">
        <v>753.23488351287892</v>
      </c>
      <c r="CA86">
        <v>0.42399999999999999</v>
      </c>
      <c r="CB86">
        <v>7.1999999999999998E-3</v>
      </c>
      <c r="CC86">
        <v>16.80080000000001</v>
      </c>
      <c r="CD86" s="2">
        <v>45681</v>
      </c>
      <c r="CE86" t="s">
        <v>1364</v>
      </c>
      <c r="CF86">
        <v>4</v>
      </c>
      <c r="CG86">
        <v>2.5000000000000001E-3</v>
      </c>
      <c r="CH86">
        <v>6.4625827740207686</v>
      </c>
      <c r="CI86">
        <v>753.29910525457103</v>
      </c>
      <c r="CJ86">
        <v>0.42399999999999999</v>
      </c>
      <c r="CK86">
        <v>7.3000000000000001E-3</v>
      </c>
      <c r="CL86">
        <v>16.80080000000001</v>
      </c>
      <c r="CM86" s="2">
        <v>45681</v>
      </c>
      <c r="CN86" t="s">
        <v>1484</v>
      </c>
      <c r="CO86">
        <v>4</v>
      </c>
      <c r="CP86">
        <v>2.3E-3</v>
      </c>
      <c r="CQ86">
        <v>6.4632007114437133</v>
      </c>
      <c r="CR86">
        <v>753.35774751600843</v>
      </c>
      <c r="CS86">
        <v>0.42399999999999999</v>
      </c>
      <c r="CT86">
        <v>7.3000000000000001E-3</v>
      </c>
      <c r="CU86">
        <v>16.7911</v>
      </c>
      <c r="CV86" s="2">
        <v>45681</v>
      </c>
      <c r="CW86" t="s">
        <v>1604</v>
      </c>
      <c r="CX86">
        <v>5</v>
      </c>
      <c r="CY86">
        <v>2.0999999999999999E-3</v>
      </c>
      <c r="CZ86">
        <v>6.4625045181660257</v>
      </c>
      <c r="DA86">
        <v>753.29167877395582</v>
      </c>
      <c r="DB86">
        <v>0.42399999999999999</v>
      </c>
      <c r="DC86">
        <v>7.3000000000000001E-3</v>
      </c>
      <c r="DD86">
        <v>16.797900000000027</v>
      </c>
      <c r="DE86" s="2">
        <v>45681</v>
      </c>
      <c r="DF86" t="s">
        <v>1724</v>
      </c>
      <c r="DG86">
        <v>5</v>
      </c>
      <c r="DH86">
        <v>2.5000000000000001E-3</v>
      </c>
      <c r="DI86">
        <v>6.4667550680378874</v>
      </c>
      <c r="DJ86">
        <v>753.6950559567955</v>
      </c>
      <c r="DK86">
        <v>0.42399999999999999</v>
      </c>
      <c r="DL86">
        <v>7.3000000000000001E-3</v>
      </c>
      <c r="DM86">
        <v>16.799499999999966</v>
      </c>
      <c r="DN86" s="2">
        <v>45681</v>
      </c>
      <c r="DO86" t="s">
        <v>1844</v>
      </c>
      <c r="DP86">
        <v>5</v>
      </c>
      <c r="DQ86">
        <v>7.6E-3</v>
      </c>
      <c r="DR86">
        <v>6.8832055604390154</v>
      </c>
      <c r="DS86">
        <v>793.21620768566265</v>
      </c>
      <c r="DT86">
        <v>0.42399999999999999</v>
      </c>
      <c r="DU86">
        <v>1.38E-2</v>
      </c>
      <c r="DV86">
        <v>17.198000000000036</v>
      </c>
      <c r="DW86" s="2">
        <v>45681</v>
      </c>
      <c r="DX86" t="s">
        <v>1962</v>
      </c>
      <c r="DY86">
        <v>6</v>
      </c>
      <c r="DZ86">
        <v>2.3E-3</v>
      </c>
      <c r="EA86">
        <v>6.4677184665397984</v>
      </c>
      <c r="EB86">
        <v>753.78648247462695</v>
      </c>
      <c r="EC86">
        <v>0.42399999999999999</v>
      </c>
      <c r="ED86">
        <v>7.3000000000000001E-3</v>
      </c>
      <c r="EE86">
        <v>16.800700000000006</v>
      </c>
    </row>
    <row r="87" spans="1:135" x14ac:dyDescent="0.3">
      <c r="A87" s="2">
        <v>45681</v>
      </c>
      <c r="B87" t="s">
        <v>282</v>
      </c>
      <c r="C87">
        <v>0</v>
      </c>
      <c r="D87">
        <v>2.0000000000000001E-4</v>
      </c>
      <c r="E87">
        <v>5.9957335240914063</v>
      </c>
      <c r="F87">
        <v>606.80236444531909</v>
      </c>
      <c r="G87">
        <v>0.42399999999999999</v>
      </c>
      <c r="H87">
        <v>0</v>
      </c>
      <c r="I87">
        <v>16.99738</v>
      </c>
      <c r="J87" s="2">
        <v>45681</v>
      </c>
      <c r="K87" t="s">
        <v>407</v>
      </c>
      <c r="L87">
        <v>1</v>
      </c>
      <c r="M87">
        <v>6.3E-3</v>
      </c>
      <c r="N87">
        <v>6.6730942670449984</v>
      </c>
      <c r="O87">
        <v>773.27664594257044</v>
      </c>
      <c r="P87">
        <v>0.42399999999999999</v>
      </c>
      <c r="Q87">
        <v>1.0500000000000001E-2</v>
      </c>
      <c r="R87">
        <v>17.00056</v>
      </c>
      <c r="S87" s="2">
        <v>45681</v>
      </c>
      <c r="T87" t="s">
        <v>527</v>
      </c>
      <c r="U87">
        <v>1</v>
      </c>
      <c r="V87">
        <v>6.1000000000000004E-3</v>
      </c>
      <c r="W87">
        <v>6.6740069817031653</v>
      </c>
      <c r="X87">
        <v>773.36326256363043</v>
      </c>
      <c r="Y87">
        <v>0.42399999999999999</v>
      </c>
      <c r="Z87">
        <v>1.0500000000000001E-2</v>
      </c>
      <c r="AA87">
        <v>17.000730000000004</v>
      </c>
      <c r="AB87" s="2">
        <v>45681</v>
      </c>
      <c r="AC87" t="s">
        <v>647</v>
      </c>
      <c r="AD87">
        <v>1</v>
      </c>
      <c r="AE87">
        <v>1.21E-2</v>
      </c>
      <c r="AF87">
        <v>7.0709072964240853</v>
      </c>
      <c r="AG87">
        <v>811.02910243064571</v>
      </c>
      <c r="AH87">
        <v>0.42399999999999999</v>
      </c>
      <c r="AI87">
        <v>1.67E-2</v>
      </c>
      <c r="AJ87">
        <v>17.401700000000005</v>
      </c>
      <c r="AK87" s="2">
        <v>45681</v>
      </c>
      <c r="AL87" t="s">
        <v>765</v>
      </c>
      <c r="AM87">
        <v>2</v>
      </c>
      <c r="AN87">
        <v>6.0000000000000001E-3</v>
      </c>
      <c r="AO87">
        <v>6.6707692977647124</v>
      </c>
      <c r="AP87">
        <v>773.0560063578713</v>
      </c>
      <c r="AQ87">
        <v>0.42399999999999999</v>
      </c>
      <c r="AR87">
        <v>1.0500000000000001E-2</v>
      </c>
      <c r="AS87">
        <v>16.996200000000002</v>
      </c>
      <c r="AT87" s="2">
        <v>45681</v>
      </c>
      <c r="AU87" t="s">
        <v>885</v>
      </c>
      <c r="AV87">
        <v>2</v>
      </c>
      <c r="AW87">
        <v>6.1999999999999998E-3</v>
      </c>
      <c r="AX87">
        <v>6.6707899767729586</v>
      </c>
      <c r="AY87">
        <v>773.05796879575394</v>
      </c>
      <c r="AZ87">
        <v>0.42399999999999999</v>
      </c>
      <c r="BA87">
        <v>1.0500000000000001E-2</v>
      </c>
      <c r="BB87">
        <v>16.998000000000019</v>
      </c>
      <c r="BC87" s="2">
        <v>45681</v>
      </c>
      <c r="BD87" t="s">
        <v>1005</v>
      </c>
      <c r="BE87">
        <v>3</v>
      </c>
      <c r="BF87">
        <v>5.7999999999999996E-3</v>
      </c>
      <c r="BG87">
        <v>6.6741926873066486</v>
      </c>
      <c r="BH87">
        <v>773.38088602540108</v>
      </c>
      <c r="BI87">
        <v>0.42399999999999999</v>
      </c>
      <c r="BJ87">
        <v>1.0500000000000001E-2</v>
      </c>
      <c r="BK87">
        <v>17.002800000000008</v>
      </c>
      <c r="BL87" s="2">
        <v>45681</v>
      </c>
      <c r="BM87" t="s">
        <v>1125</v>
      </c>
      <c r="BN87">
        <v>3</v>
      </c>
      <c r="BO87">
        <v>5.5999999999999999E-3</v>
      </c>
      <c r="BP87">
        <v>6.6709651401369454</v>
      </c>
      <c r="BQ87">
        <v>773.07459179899604</v>
      </c>
      <c r="BR87">
        <v>0.42399999999999999</v>
      </c>
      <c r="BS87">
        <v>1.0500000000000001E-2</v>
      </c>
      <c r="BT87">
        <v>16.997800000000012</v>
      </c>
      <c r="BU87" s="2">
        <v>45681</v>
      </c>
      <c r="BV87" t="s">
        <v>1245</v>
      </c>
      <c r="BW87">
        <v>3</v>
      </c>
      <c r="BX87">
        <v>5.4999999999999997E-3</v>
      </c>
      <c r="BY87">
        <v>6.6698618542262951</v>
      </c>
      <c r="BZ87">
        <v>772.96988996607547</v>
      </c>
      <c r="CA87">
        <v>0.42399999999999999</v>
      </c>
      <c r="CB87">
        <v>1.0500000000000001E-2</v>
      </c>
      <c r="CC87">
        <v>17</v>
      </c>
      <c r="CD87" s="2">
        <v>45681</v>
      </c>
      <c r="CE87" t="s">
        <v>1365</v>
      </c>
      <c r="CF87">
        <v>4</v>
      </c>
      <c r="CG87">
        <v>5.4000000000000003E-3</v>
      </c>
      <c r="CH87">
        <v>6.6712542407816668</v>
      </c>
      <c r="CI87">
        <v>773.10202745018023</v>
      </c>
      <c r="CJ87">
        <v>0.42399999999999999</v>
      </c>
      <c r="CK87">
        <v>1.0500000000000001E-2</v>
      </c>
      <c r="CL87">
        <v>17.000599999999991</v>
      </c>
      <c r="CM87" s="2">
        <v>45681</v>
      </c>
      <c r="CN87" t="s">
        <v>1485</v>
      </c>
      <c r="CO87">
        <v>4</v>
      </c>
      <c r="CP87">
        <v>4.7000000000000002E-3</v>
      </c>
      <c r="CQ87">
        <v>6.6699652492675359</v>
      </c>
      <c r="CR87">
        <v>772.97970215548924</v>
      </c>
      <c r="CS87">
        <v>0.42399999999999999</v>
      </c>
      <c r="CT87">
        <v>1.0500000000000001E-2</v>
      </c>
      <c r="CU87">
        <v>16.989099999999979</v>
      </c>
      <c r="CV87" s="2">
        <v>45681</v>
      </c>
      <c r="CW87" t="s">
        <v>1605</v>
      </c>
      <c r="CX87">
        <v>5</v>
      </c>
      <c r="CY87">
        <v>4.8999999999999998E-3</v>
      </c>
      <c r="CZ87">
        <v>6.6724710585023077</v>
      </c>
      <c r="DA87">
        <v>773.21750345186899</v>
      </c>
      <c r="DB87">
        <v>0.42399999999999999</v>
      </c>
      <c r="DC87">
        <v>1.0500000000000001E-2</v>
      </c>
      <c r="DD87">
        <v>16.999000000000024</v>
      </c>
      <c r="DE87" s="2">
        <v>45681</v>
      </c>
      <c r="DF87" t="s">
        <v>1725</v>
      </c>
      <c r="DG87">
        <v>5</v>
      </c>
      <c r="DH87">
        <v>4.8999999999999998E-3</v>
      </c>
      <c r="DI87">
        <v>6.6767503967974164</v>
      </c>
      <c r="DJ87">
        <v>773.62361265607478</v>
      </c>
      <c r="DK87">
        <v>0.42399999999999999</v>
      </c>
      <c r="DL87">
        <v>1.06E-2</v>
      </c>
      <c r="DM87">
        <v>17.000400000000013</v>
      </c>
      <c r="DN87" s="2">
        <v>45681</v>
      </c>
      <c r="DO87" t="s">
        <v>1845</v>
      </c>
      <c r="DP87">
        <v>5</v>
      </c>
      <c r="DQ87">
        <v>1.06E-2</v>
      </c>
      <c r="DR87">
        <v>7.0718224439067514</v>
      </c>
      <c r="DS87">
        <v>811.11594992675066</v>
      </c>
      <c r="DT87">
        <v>0.42399999999999999</v>
      </c>
      <c r="DU87">
        <v>1.67E-2</v>
      </c>
      <c r="DV87">
        <v>17.398799999999994</v>
      </c>
      <c r="DW87" s="2">
        <v>45681</v>
      </c>
      <c r="DX87" t="s">
        <v>1963</v>
      </c>
      <c r="DY87">
        <v>6</v>
      </c>
      <c r="DZ87">
        <v>4.4000000000000003E-3</v>
      </c>
      <c r="EA87">
        <v>6.6763380330447024</v>
      </c>
      <c r="EB87">
        <v>773.58447933594232</v>
      </c>
      <c r="EC87">
        <v>0.42399999999999999</v>
      </c>
      <c r="ED87">
        <v>1.06E-2</v>
      </c>
      <c r="EE87">
        <v>17.000200000000007</v>
      </c>
    </row>
    <row r="88" spans="1:135" x14ac:dyDescent="0.3">
      <c r="A88" s="2">
        <v>45681</v>
      </c>
      <c r="B88" t="s">
        <v>283</v>
      </c>
      <c r="C88">
        <v>0</v>
      </c>
      <c r="D88">
        <v>-2.9999999999999997E-4</v>
      </c>
      <c r="E88">
        <v>6.0297271824132999</v>
      </c>
      <c r="F88">
        <v>712.22110961102214</v>
      </c>
      <c r="G88">
        <v>0.42399999999999999</v>
      </c>
      <c r="H88">
        <v>5.0000000000000001E-4</v>
      </c>
      <c r="I88">
        <v>17.199910000000003</v>
      </c>
      <c r="J88" s="2">
        <v>45681</v>
      </c>
      <c r="K88" t="s">
        <v>408</v>
      </c>
      <c r="L88">
        <v>1</v>
      </c>
      <c r="M88">
        <v>9.1999999999999998E-3</v>
      </c>
      <c r="N88">
        <v>6.8826756101688149</v>
      </c>
      <c r="O88">
        <v>793.16591540502054</v>
      </c>
      <c r="P88">
        <v>0.42399999999999999</v>
      </c>
      <c r="Q88">
        <v>1.38E-2</v>
      </c>
      <c r="R88">
        <v>17.20138</v>
      </c>
      <c r="S88" s="2">
        <v>45681</v>
      </c>
      <c r="T88" t="s">
        <v>528</v>
      </c>
      <c r="U88">
        <v>1</v>
      </c>
      <c r="V88">
        <v>9.1000000000000004E-3</v>
      </c>
      <c r="W88">
        <v>6.8809069467574764</v>
      </c>
      <c r="X88">
        <v>792.99806924728455</v>
      </c>
      <c r="Y88">
        <v>0.42399999999999999</v>
      </c>
      <c r="Z88">
        <v>1.38E-2</v>
      </c>
      <c r="AA88">
        <v>17.198940000000007</v>
      </c>
      <c r="AB88" s="2">
        <v>45681</v>
      </c>
      <c r="AC88" t="s">
        <v>648</v>
      </c>
      <c r="AD88">
        <v>1</v>
      </c>
      <c r="AE88">
        <v>1.4800000000000001E-2</v>
      </c>
      <c r="AF88">
        <v>7.2183855230713352</v>
      </c>
      <c r="AG88">
        <v>825.02478613946971</v>
      </c>
      <c r="AH88">
        <v>0.42399999999999999</v>
      </c>
      <c r="AI88">
        <v>1.9E-2</v>
      </c>
      <c r="AJ88">
        <v>17.599400000000003</v>
      </c>
      <c r="AK88" s="2">
        <v>45681</v>
      </c>
      <c r="AL88" t="s">
        <v>766</v>
      </c>
      <c r="AM88">
        <v>2</v>
      </c>
      <c r="AN88">
        <v>8.8000000000000005E-3</v>
      </c>
      <c r="AO88">
        <v>6.8802748178582851</v>
      </c>
      <c r="AP88">
        <v>792.93808021475127</v>
      </c>
      <c r="AQ88">
        <v>0.42399999999999999</v>
      </c>
      <c r="AR88">
        <v>1.37E-2</v>
      </c>
      <c r="AS88">
        <v>17.19680000000001</v>
      </c>
      <c r="AT88" s="2">
        <v>45681</v>
      </c>
      <c r="AU88" t="s">
        <v>886</v>
      </c>
      <c r="AV88">
        <v>2</v>
      </c>
      <c r="AW88">
        <v>8.6E-3</v>
      </c>
      <c r="AX88">
        <v>6.8809024865792274</v>
      </c>
      <c r="AY88">
        <v>792.99764597636863</v>
      </c>
      <c r="AZ88">
        <v>0.42399999999999999</v>
      </c>
      <c r="BA88">
        <v>1.38E-2</v>
      </c>
      <c r="BB88">
        <v>17.199200000000019</v>
      </c>
      <c r="BC88" s="2">
        <v>45681</v>
      </c>
      <c r="BD88" t="s">
        <v>1006</v>
      </c>
      <c r="BE88">
        <v>3</v>
      </c>
      <c r="BF88">
        <v>8.6999999999999994E-3</v>
      </c>
      <c r="BG88">
        <v>6.8813728326491832</v>
      </c>
      <c r="BH88">
        <v>793.04228181840756</v>
      </c>
      <c r="BI88">
        <v>0.42399999999999999</v>
      </c>
      <c r="BJ88">
        <v>1.38E-2</v>
      </c>
      <c r="BK88">
        <v>17.201300000000003</v>
      </c>
      <c r="BL88" s="2">
        <v>45681</v>
      </c>
      <c r="BM88" t="s">
        <v>1126</v>
      </c>
      <c r="BN88">
        <v>3</v>
      </c>
      <c r="BO88">
        <v>8.6999999999999994E-3</v>
      </c>
      <c r="BP88">
        <v>6.8811084657202093</v>
      </c>
      <c r="BQ88">
        <v>793.01719339684792</v>
      </c>
      <c r="BR88">
        <v>0.42399999999999999</v>
      </c>
      <c r="BS88">
        <v>1.38E-2</v>
      </c>
      <c r="BT88">
        <v>17.199000000000012</v>
      </c>
      <c r="BU88" s="2">
        <v>45681</v>
      </c>
      <c r="BV88" t="s">
        <v>1246</v>
      </c>
      <c r="BW88">
        <v>3</v>
      </c>
      <c r="BX88">
        <v>8.3999999999999995E-3</v>
      </c>
      <c r="BY88">
        <v>6.8797647356548319</v>
      </c>
      <c r="BZ88">
        <v>792.88967341364355</v>
      </c>
      <c r="CA88">
        <v>0.42399999999999999</v>
      </c>
      <c r="CB88">
        <v>1.37E-2</v>
      </c>
      <c r="CC88">
        <v>17.200999999999993</v>
      </c>
      <c r="CD88" s="2">
        <v>45681</v>
      </c>
      <c r="CE88" t="s">
        <v>1366</v>
      </c>
      <c r="CF88">
        <v>4</v>
      </c>
      <c r="CG88">
        <v>8.3999999999999995E-3</v>
      </c>
      <c r="CH88">
        <v>6.878322476197213</v>
      </c>
      <c r="CI88">
        <v>792.75280299111557</v>
      </c>
      <c r="CJ88">
        <v>0.42399999999999999</v>
      </c>
      <c r="CK88">
        <v>1.37E-2</v>
      </c>
      <c r="CL88">
        <v>17.198900000000009</v>
      </c>
      <c r="CM88" s="2">
        <v>45681</v>
      </c>
      <c r="CN88" t="s">
        <v>1486</v>
      </c>
      <c r="CO88">
        <v>4</v>
      </c>
      <c r="CP88">
        <v>8.3999999999999995E-3</v>
      </c>
      <c r="CQ88">
        <v>6.8804909337680158</v>
      </c>
      <c r="CR88">
        <v>792.95858961458475</v>
      </c>
      <c r="CS88">
        <v>0.42399999999999999</v>
      </c>
      <c r="CT88">
        <v>1.37E-2</v>
      </c>
      <c r="CU88">
        <v>17.190700000000021</v>
      </c>
      <c r="CV88" s="2">
        <v>45681</v>
      </c>
      <c r="CW88" t="s">
        <v>1606</v>
      </c>
      <c r="CX88">
        <v>5</v>
      </c>
      <c r="CY88">
        <v>8.0999999999999996E-3</v>
      </c>
      <c r="CZ88">
        <v>6.8807358381009944</v>
      </c>
      <c r="DA88">
        <v>792.98183103578435</v>
      </c>
      <c r="DB88">
        <v>0.42399999999999999</v>
      </c>
      <c r="DC88">
        <v>1.38E-2</v>
      </c>
      <c r="DD88">
        <v>17.198500000000024</v>
      </c>
      <c r="DE88" s="2">
        <v>45681</v>
      </c>
      <c r="DF88" t="s">
        <v>1726</v>
      </c>
      <c r="DG88">
        <v>5</v>
      </c>
      <c r="DH88">
        <v>8.0000000000000002E-3</v>
      </c>
      <c r="DI88">
        <v>6.8848988062908596</v>
      </c>
      <c r="DJ88">
        <v>793.37689671700275</v>
      </c>
      <c r="DK88">
        <v>0.42399999999999999</v>
      </c>
      <c r="DL88">
        <v>1.38E-2</v>
      </c>
      <c r="DM88">
        <v>17.199999999999989</v>
      </c>
      <c r="DN88" s="2">
        <v>45681</v>
      </c>
      <c r="DO88" t="s">
        <v>1846</v>
      </c>
      <c r="DP88">
        <v>5</v>
      </c>
      <c r="DQ88">
        <v>1.32E-2</v>
      </c>
      <c r="DR88">
        <v>7.2212672036913199</v>
      </c>
      <c r="DS88">
        <v>825.29825763030635</v>
      </c>
      <c r="DT88">
        <v>0.42399999999999999</v>
      </c>
      <c r="DU88">
        <v>1.9E-2</v>
      </c>
      <c r="DV88">
        <v>17.600099999999998</v>
      </c>
      <c r="DW88" s="2">
        <v>45681</v>
      </c>
      <c r="DX88" t="s">
        <v>1964</v>
      </c>
      <c r="DY88">
        <v>6</v>
      </c>
      <c r="DZ88">
        <v>7.7999999999999996E-3</v>
      </c>
      <c r="EA88">
        <v>6.8870696966861624</v>
      </c>
      <c r="EB88">
        <v>793.58291421551678</v>
      </c>
      <c r="EC88">
        <v>0.42399999999999999</v>
      </c>
      <c r="ED88">
        <v>1.38E-2</v>
      </c>
      <c r="EE88">
        <v>17.202400000000011</v>
      </c>
    </row>
    <row r="89" spans="1:135" x14ac:dyDescent="0.3">
      <c r="A89" s="2">
        <v>45681</v>
      </c>
      <c r="B89" t="s">
        <v>284</v>
      </c>
      <c r="C89">
        <v>0</v>
      </c>
      <c r="D89">
        <v>-2.0000000000000001E-4</v>
      </c>
      <c r="E89">
        <v>6.1264566453934126</v>
      </c>
      <c r="F89">
        <v>721.40073564783484</v>
      </c>
      <c r="G89">
        <v>0.42399999999999999</v>
      </c>
      <c r="H89">
        <v>2E-3</v>
      </c>
      <c r="I89">
        <v>17.39978</v>
      </c>
      <c r="J89" s="2">
        <v>45681</v>
      </c>
      <c r="K89" t="s">
        <v>409</v>
      </c>
      <c r="L89">
        <v>1</v>
      </c>
      <c r="M89">
        <v>1.24E-2</v>
      </c>
      <c r="N89">
        <v>7.0699459252759214</v>
      </c>
      <c r="O89">
        <v>810.93786830868498</v>
      </c>
      <c r="P89">
        <v>0.42399999999999999</v>
      </c>
      <c r="Q89">
        <v>1.67E-2</v>
      </c>
      <c r="R89">
        <v>17.400489999999998</v>
      </c>
      <c r="S89" s="2">
        <v>45681</v>
      </c>
      <c r="T89" t="s">
        <v>529</v>
      </c>
      <c r="U89">
        <v>1</v>
      </c>
      <c r="V89">
        <v>1.2200000000000001E-2</v>
      </c>
      <c r="W89">
        <v>7.0693004158419823</v>
      </c>
      <c r="X89">
        <v>810.87660946340418</v>
      </c>
      <c r="Y89">
        <v>0.42399999999999999</v>
      </c>
      <c r="Z89">
        <v>1.67E-2</v>
      </c>
      <c r="AA89">
        <v>17.399050000000003</v>
      </c>
      <c r="AB89" s="2">
        <v>45681</v>
      </c>
      <c r="AC89" t="s">
        <v>649</v>
      </c>
      <c r="AD89">
        <v>1</v>
      </c>
      <c r="AE89">
        <v>1.6500000000000001E-2</v>
      </c>
      <c r="AF89">
        <v>7.3148502582535064</v>
      </c>
      <c r="AG89">
        <v>834.17928950825774</v>
      </c>
      <c r="AH89">
        <v>0.42399999999999999</v>
      </c>
      <c r="AI89">
        <v>2.0500000000000001E-2</v>
      </c>
      <c r="AJ89">
        <v>17.801100000000005</v>
      </c>
      <c r="AK89" s="2">
        <v>45681</v>
      </c>
      <c r="AL89" t="s">
        <v>767</v>
      </c>
      <c r="AM89">
        <v>2</v>
      </c>
      <c r="AN89">
        <v>1.1900000000000001E-2</v>
      </c>
      <c r="AO89">
        <v>7.068073866823342</v>
      </c>
      <c r="AP89">
        <v>810.76020996153522</v>
      </c>
      <c r="AQ89">
        <v>0.42399999999999999</v>
      </c>
      <c r="AR89">
        <v>1.67E-2</v>
      </c>
      <c r="AS89">
        <v>17.396100000000004</v>
      </c>
      <c r="AT89" s="2">
        <v>45681</v>
      </c>
      <c r="AU89" t="s">
        <v>887</v>
      </c>
      <c r="AV89">
        <v>2</v>
      </c>
      <c r="AW89">
        <v>1.15E-2</v>
      </c>
      <c r="AX89">
        <v>7.0689253553982656</v>
      </c>
      <c r="AY89">
        <v>810.84101622729554</v>
      </c>
      <c r="AZ89">
        <v>0.42399999999999999</v>
      </c>
      <c r="BA89">
        <v>1.67E-2</v>
      </c>
      <c r="BB89">
        <v>17.398900000000026</v>
      </c>
      <c r="BC89" s="2">
        <v>45681</v>
      </c>
      <c r="BD89" t="s">
        <v>1007</v>
      </c>
      <c r="BE89">
        <v>3</v>
      </c>
      <c r="BF89">
        <v>1.1599999999999999E-2</v>
      </c>
      <c r="BG89">
        <v>7.067547971260641</v>
      </c>
      <c r="BH89">
        <v>810.71030247263491</v>
      </c>
      <c r="BI89">
        <v>0.42399999999999999</v>
      </c>
      <c r="BJ89">
        <v>1.67E-2</v>
      </c>
      <c r="BK89">
        <v>17.398899999999998</v>
      </c>
      <c r="BL89" s="2">
        <v>45681</v>
      </c>
      <c r="BM89" t="s">
        <v>1127</v>
      </c>
      <c r="BN89">
        <v>3</v>
      </c>
      <c r="BO89">
        <v>1.15E-2</v>
      </c>
      <c r="BP89">
        <v>7.0683414775183184</v>
      </c>
      <c r="BQ89">
        <v>810.78560621648842</v>
      </c>
      <c r="BR89">
        <v>0.42399999999999999</v>
      </c>
      <c r="BS89">
        <v>1.67E-2</v>
      </c>
      <c r="BT89">
        <v>17.397799999999989</v>
      </c>
      <c r="BU89" s="2">
        <v>45681</v>
      </c>
      <c r="BV89" t="s">
        <v>1247</v>
      </c>
      <c r="BW89">
        <v>3</v>
      </c>
      <c r="BX89">
        <v>1.17E-2</v>
      </c>
      <c r="BY89">
        <v>7.0670297796421888</v>
      </c>
      <c r="BZ89">
        <v>810.66112608804372</v>
      </c>
      <c r="CA89">
        <v>0.42399999999999999</v>
      </c>
      <c r="CB89">
        <v>1.66E-2</v>
      </c>
      <c r="CC89">
        <v>17.399599999999992</v>
      </c>
      <c r="CD89" s="2">
        <v>45681</v>
      </c>
      <c r="CE89" t="s">
        <v>1367</v>
      </c>
      <c r="CF89">
        <v>4</v>
      </c>
      <c r="CG89">
        <v>1.14E-2</v>
      </c>
      <c r="CH89">
        <v>7.06646941906574</v>
      </c>
      <c r="CI89">
        <v>810.60794786933877</v>
      </c>
      <c r="CJ89">
        <v>0.42399999999999999</v>
      </c>
      <c r="CK89">
        <v>1.66E-2</v>
      </c>
      <c r="CL89">
        <v>17.398300000000006</v>
      </c>
      <c r="CM89" s="2">
        <v>45681</v>
      </c>
      <c r="CN89" t="s">
        <v>1487</v>
      </c>
      <c r="CO89">
        <v>4</v>
      </c>
      <c r="CP89">
        <v>1.12E-2</v>
      </c>
      <c r="CQ89">
        <v>7.0690506458600044</v>
      </c>
      <c r="CR89">
        <v>810.85290629211443</v>
      </c>
      <c r="CS89">
        <v>0.42399999999999999</v>
      </c>
      <c r="CT89">
        <v>1.67E-2</v>
      </c>
      <c r="CU89">
        <v>17.390999999999991</v>
      </c>
      <c r="CV89" s="2">
        <v>45681</v>
      </c>
      <c r="CW89" t="s">
        <v>1607</v>
      </c>
      <c r="CX89">
        <v>5</v>
      </c>
      <c r="CY89">
        <v>1.0999999999999999E-2</v>
      </c>
      <c r="CZ89">
        <v>7.0706749616843556</v>
      </c>
      <c r="DA89">
        <v>811.0070538638455</v>
      </c>
      <c r="DB89">
        <v>0.42399999999999999</v>
      </c>
      <c r="DC89">
        <v>1.67E-2</v>
      </c>
      <c r="DD89">
        <v>17.400400000000047</v>
      </c>
      <c r="DE89" s="2">
        <v>45681</v>
      </c>
      <c r="DF89" t="s">
        <v>1727</v>
      </c>
      <c r="DG89">
        <v>5</v>
      </c>
      <c r="DH89">
        <v>1.0800000000000001E-2</v>
      </c>
      <c r="DI89">
        <v>7.070466955189624</v>
      </c>
      <c r="DJ89">
        <v>810.98731404749537</v>
      </c>
      <c r="DK89">
        <v>0.42399999999999999</v>
      </c>
      <c r="DL89">
        <v>1.67E-2</v>
      </c>
      <c r="DM89">
        <v>17.39749999999998</v>
      </c>
      <c r="DN89" s="2">
        <v>45681</v>
      </c>
      <c r="DO89" t="s">
        <v>1847</v>
      </c>
      <c r="DP89">
        <v>5</v>
      </c>
      <c r="DQ89">
        <v>1.5299999999999999E-2</v>
      </c>
      <c r="DR89">
        <v>7.3158314974684142</v>
      </c>
      <c r="DS89">
        <v>834.27240910975252</v>
      </c>
      <c r="DT89">
        <v>0.42399999999999999</v>
      </c>
      <c r="DU89">
        <v>2.0500000000000001E-2</v>
      </c>
      <c r="DV89">
        <v>17.800099999999986</v>
      </c>
      <c r="DW89" s="2">
        <v>45681</v>
      </c>
      <c r="DX89" t="s">
        <v>1965</v>
      </c>
      <c r="DY89">
        <v>6</v>
      </c>
      <c r="DZ89">
        <v>1.0699999999999999E-2</v>
      </c>
      <c r="EA89">
        <v>7.074600324014745</v>
      </c>
      <c r="EB89">
        <v>811.3795707489993</v>
      </c>
      <c r="EC89">
        <v>0.42399999999999999</v>
      </c>
      <c r="ED89">
        <v>1.6799999999999999E-2</v>
      </c>
      <c r="EE89">
        <v>17.402600000000007</v>
      </c>
    </row>
    <row r="90" spans="1:135" x14ac:dyDescent="0.3">
      <c r="A90" s="2">
        <v>45681</v>
      </c>
      <c r="B90" t="s">
        <v>285</v>
      </c>
      <c r="C90">
        <v>0</v>
      </c>
      <c r="D90">
        <v>2.9999999999999997E-4</v>
      </c>
      <c r="E90">
        <v>6.2765708373861706</v>
      </c>
      <c r="F90">
        <v>735.64657246794775</v>
      </c>
      <c r="G90">
        <v>0.42399999999999999</v>
      </c>
      <c r="H90">
        <v>4.4000000000000003E-3</v>
      </c>
      <c r="I90">
        <v>17.599769999999999</v>
      </c>
      <c r="J90" s="2">
        <v>45681</v>
      </c>
      <c r="K90" t="s">
        <v>410</v>
      </c>
      <c r="L90">
        <v>1</v>
      </c>
      <c r="M90">
        <v>1.54E-2</v>
      </c>
      <c r="N90">
        <v>7.2184641843968276</v>
      </c>
      <c r="O90">
        <v>825.03225109925904</v>
      </c>
      <c r="P90">
        <v>0.42399999999999999</v>
      </c>
      <c r="Q90">
        <v>1.9E-2</v>
      </c>
      <c r="R90">
        <v>17.599440000000001</v>
      </c>
      <c r="S90" s="2">
        <v>45681</v>
      </c>
      <c r="T90" t="s">
        <v>530</v>
      </c>
      <c r="U90">
        <v>1</v>
      </c>
      <c r="V90">
        <v>1.46E-2</v>
      </c>
      <c r="W90">
        <v>7.2191145594797677</v>
      </c>
      <c r="X90">
        <v>825.09397169463</v>
      </c>
      <c r="Y90">
        <v>0.42399999999999999</v>
      </c>
      <c r="Z90">
        <v>1.9E-2</v>
      </c>
      <c r="AA90">
        <v>17.599789999999999</v>
      </c>
      <c r="AB90" s="2">
        <v>45681</v>
      </c>
      <c r="AC90" t="s">
        <v>650</v>
      </c>
      <c r="AD90">
        <v>1</v>
      </c>
      <c r="AE90">
        <v>1.8499999999999999E-2</v>
      </c>
      <c r="AF90">
        <v>7.3473008933145332</v>
      </c>
      <c r="AG90">
        <v>837.25885477554925</v>
      </c>
      <c r="AH90">
        <v>0.42399999999999999</v>
      </c>
      <c r="AI90">
        <v>2.1000000000000001E-2</v>
      </c>
      <c r="AJ90">
        <v>18.000699999999995</v>
      </c>
      <c r="AK90" s="2">
        <v>45681</v>
      </c>
      <c r="AL90" t="s">
        <v>768</v>
      </c>
      <c r="AM90">
        <v>2</v>
      </c>
      <c r="AN90">
        <v>1.4200000000000001E-2</v>
      </c>
      <c r="AO90">
        <v>7.217900580054379</v>
      </c>
      <c r="AP90">
        <v>824.97876504716055</v>
      </c>
      <c r="AQ90">
        <v>0.42399999999999999</v>
      </c>
      <c r="AR90">
        <v>1.9E-2</v>
      </c>
      <c r="AS90">
        <v>17.596400000000003</v>
      </c>
      <c r="AT90" s="2">
        <v>45681</v>
      </c>
      <c r="AU90" t="s">
        <v>888</v>
      </c>
      <c r="AV90">
        <v>2</v>
      </c>
      <c r="AW90">
        <v>1.43E-2</v>
      </c>
      <c r="AX90">
        <v>7.2183798464808353</v>
      </c>
      <c r="AY90">
        <v>825.02424743103131</v>
      </c>
      <c r="AZ90">
        <v>0.42399999999999999</v>
      </c>
      <c r="BA90">
        <v>1.9E-2</v>
      </c>
      <c r="BB90">
        <v>17.598900000000015</v>
      </c>
      <c r="BC90" s="2">
        <v>45681</v>
      </c>
      <c r="BD90" t="s">
        <v>1008</v>
      </c>
      <c r="BE90">
        <v>3</v>
      </c>
      <c r="BF90">
        <v>1.3899999999999999E-2</v>
      </c>
      <c r="BG90">
        <v>7.2184524257450793</v>
      </c>
      <c r="BH90">
        <v>825.03113520320801</v>
      </c>
      <c r="BI90">
        <v>0.42399999999999999</v>
      </c>
      <c r="BJ90">
        <v>1.9E-2</v>
      </c>
      <c r="BK90">
        <v>17.600600000000014</v>
      </c>
      <c r="BL90" s="2">
        <v>45681</v>
      </c>
      <c r="BM90" t="s">
        <v>1128</v>
      </c>
      <c r="BN90">
        <v>3</v>
      </c>
      <c r="BO90">
        <v>1.41E-2</v>
      </c>
      <c r="BP90">
        <v>7.2180100571568682</v>
      </c>
      <c r="BQ90">
        <v>824.98915442418684</v>
      </c>
      <c r="BR90">
        <v>0.42399999999999999</v>
      </c>
      <c r="BS90">
        <v>1.9E-2</v>
      </c>
      <c r="BT90">
        <v>17.59790000000001</v>
      </c>
      <c r="BU90" s="2">
        <v>45681</v>
      </c>
      <c r="BV90" t="s">
        <v>1248</v>
      </c>
      <c r="BW90">
        <v>3</v>
      </c>
      <c r="BX90">
        <v>1.38E-2</v>
      </c>
      <c r="BY90">
        <v>7.2172992669321836</v>
      </c>
      <c r="BZ90">
        <v>824.92170043186434</v>
      </c>
      <c r="CA90">
        <v>0.42399999999999999</v>
      </c>
      <c r="CB90">
        <v>1.9E-2</v>
      </c>
      <c r="CC90">
        <v>17.600099999999998</v>
      </c>
      <c r="CD90" s="2">
        <v>45681</v>
      </c>
      <c r="CE90" t="s">
        <v>1368</v>
      </c>
      <c r="CF90">
        <v>4</v>
      </c>
      <c r="CG90">
        <v>1.38E-2</v>
      </c>
      <c r="CH90">
        <v>7.2167210656427372</v>
      </c>
      <c r="CI90">
        <v>824.86682912949584</v>
      </c>
      <c r="CJ90">
        <v>0.42399999999999999</v>
      </c>
      <c r="CK90">
        <v>1.9E-2</v>
      </c>
      <c r="CL90">
        <v>17.598500000000001</v>
      </c>
      <c r="CM90" s="2">
        <v>45681</v>
      </c>
      <c r="CN90" t="s">
        <v>1488</v>
      </c>
      <c r="CO90">
        <v>4</v>
      </c>
      <c r="CP90">
        <v>1.34E-2</v>
      </c>
      <c r="CQ90">
        <v>7.2177006829746482</v>
      </c>
      <c r="CR90">
        <v>824.95979481429413</v>
      </c>
      <c r="CS90">
        <v>0.42399999999999999</v>
      </c>
      <c r="CT90">
        <v>1.9E-2</v>
      </c>
      <c r="CU90">
        <v>17.589700000000022</v>
      </c>
      <c r="CV90" s="2">
        <v>45681</v>
      </c>
      <c r="CW90" t="s">
        <v>1608</v>
      </c>
      <c r="CX90">
        <v>5</v>
      </c>
      <c r="CY90">
        <v>1.34E-2</v>
      </c>
      <c r="CZ90">
        <v>7.2195346271767278</v>
      </c>
      <c r="DA90">
        <v>825.13383611907147</v>
      </c>
      <c r="DB90">
        <v>0.42399999999999999</v>
      </c>
      <c r="DC90">
        <v>1.9E-2</v>
      </c>
      <c r="DD90">
        <v>17.600200000000029</v>
      </c>
      <c r="DE90" s="2">
        <v>45681</v>
      </c>
      <c r="DF90" t="s">
        <v>1728</v>
      </c>
      <c r="DG90">
        <v>5</v>
      </c>
      <c r="DH90">
        <v>1.35E-2</v>
      </c>
      <c r="DI90">
        <v>7.2206727835718763</v>
      </c>
      <c r="DJ90">
        <v>825.24184716097113</v>
      </c>
      <c r="DK90">
        <v>0.42399999999999999</v>
      </c>
      <c r="DL90">
        <v>1.9E-2</v>
      </c>
      <c r="DM90">
        <v>17.599400000000003</v>
      </c>
      <c r="DN90" s="2">
        <v>45681</v>
      </c>
      <c r="DO90" t="s">
        <v>1848</v>
      </c>
      <c r="DP90">
        <v>5</v>
      </c>
      <c r="DQ90">
        <v>1.6500000000000001E-2</v>
      </c>
      <c r="DR90">
        <v>7.3472915674872841</v>
      </c>
      <c r="DS90">
        <v>837.2579697545433</v>
      </c>
      <c r="DT90">
        <v>0.42399999999999999</v>
      </c>
      <c r="DU90">
        <v>2.1000000000000001E-2</v>
      </c>
      <c r="DV90">
        <v>17.998800000000017</v>
      </c>
      <c r="DW90" s="2">
        <v>45681</v>
      </c>
      <c r="DX90" t="s">
        <v>1966</v>
      </c>
      <c r="DY90">
        <v>6</v>
      </c>
      <c r="DZ90">
        <v>1.3100000000000001E-2</v>
      </c>
      <c r="EA90">
        <v>7.2214768320690501</v>
      </c>
      <c r="EB90">
        <v>825.31815136335285</v>
      </c>
      <c r="EC90">
        <v>0.42399999999999999</v>
      </c>
      <c r="ED90">
        <v>1.9E-2</v>
      </c>
      <c r="EE90">
        <v>17.600900000000024</v>
      </c>
    </row>
    <row r="91" spans="1:135" x14ac:dyDescent="0.3">
      <c r="A91" s="2">
        <v>45681</v>
      </c>
      <c r="B91" t="s">
        <v>286</v>
      </c>
      <c r="C91">
        <v>0</v>
      </c>
      <c r="D91">
        <v>2.0999999999999999E-3</v>
      </c>
      <c r="E91">
        <v>6.4643676562621062</v>
      </c>
      <c r="F91">
        <v>753.46849057927386</v>
      </c>
      <c r="G91">
        <v>0.42399999999999999</v>
      </c>
      <c r="H91">
        <v>7.3000000000000001E-3</v>
      </c>
      <c r="I91">
        <v>17.798789999999997</v>
      </c>
      <c r="J91" s="2">
        <v>45681</v>
      </c>
      <c r="K91" t="s">
        <v>411</v>
      </c>
      <c r="L91">
        <v>1</v>
      </c>
      <c r="M91">
        <v>1.6199999999999999E-2</v>
      </c>
      <c r="N91">
        <v>7.3150898914667311</v>
      </c>
      <c r="O91">
        <v>834.20203070019284</v>
      </c>
      <c r="P91">
        <v>0.42399999999999999</v>
      </c>
      <c r="Q91">
        <v>2.0500000000000001E-2</v>
      </c>
      <c r="R91">
        <v>17.801729999999999</v>
      </c>
      <c r="S91" s="2">
        <v>45681</v>
      </c>
      <c r="T91" t="s">
        <v>531</v>
      </c>
      <c r="U91">
        <v>1</v>
      </c>
      <c r="V91">
        <v>1.67E-2</v>
      </c>
      <c r="W91">
        <v>7.3150521826869861</v>
      </c>
      <c r="X91">
        <v>834.198452136995</v>
      </c>
      <c r="Y91">
        <v>0.42399999999999999</v>
      </c>
      <c r="Z91">
        <v>2.0500000000000001E-2</v>
      </c>
      <c r="AA91">
        <v>17.800920000000005</v>
      </c>
      <c r="AB91" s="2">
        <v>45681</v>
      </c>
      <c r="AC91" t="s">
        <v>651</v>
      </c>
      <c r="AD91">
        <v>1</v>
      </c>
      <c r="AE91">
        <v>1.9199999999999998E-2</v>
      </c>
      <c r="AF91">
        <v>7.314071348942826</v>
      </c>
      <c r="AG91">
        <v>729.67144972147139</v>
      </c>
      <c r="AH91">
        <v>0.42399999999999999</v>
      </c>
      <c r="AI91">
        <v>2.0500000000000001E-2</v>
      </c>
      <c r="AJ91">
        <v>18.199700000000007</v>
      </c>
      <c r="AK91" s="2">
        <v>45681</v>
      </c>
      <c r="AL91" t="s">
        <v>769</v>
      </c>
      <c r="AM91">
        <v>2</v>
      </c>
      <c r="AN91">
        <v>1.6500000000000001E-2</v>
      </c>
      <c r="AO91">
        <v>7.3142254278278109</v>
      </c>
      <c r="AP91">
        <v>834.11999310085935</v>
      </c>
      <c r="AQ91">
        <v>0.42399999999999999</v>
      </c>
      <c r="AR91">
        <v>2.0500000000000001E-2</v>
      </c>
      <c r="AS91">
        <v>17.796900000000008</v>
      </c>
      <c r="AT91" s="2">
        <v>45681</v>
      </c>
      <c r="AU91" t="s">
        <v>889</v>
      </c>
      <c r="AV91">
        <v>2</v>
      </c>
      <c r="AW91">
        <v>1.6299999999999999E-2</v>
      </c>
      <c r="AX91">
        <v>7.314085134948324</v>
      </c>
      <c r="AY91">
        <v>834.10667930659599</v>
      </c>
      <c r="AZ91">
        <v>0.42399999999999999</v>
      </c>
      <c r="BA91">
        <v>2.0500000000000001E-2</v>
      </c>
      <c r="BB91">
        <v>17.798300000000012</v>
      </c>
      <c r="BC91" s="2">
        <v>45681</v>
      </c>
      <c r="BD91" t="s">
        <v>1009</v>
      </c>
      <c r="BE91">
        <v>3</v>
      </c>
      <c r="BF91">
        <v>1.61E-2</v>
      </c>
      <c r="BG91">
        <v>7.314056346525077</v>
      </c>
      <c r="BH91">
        <v>834.10394728522988</v>
      </c>
      <c r="BI91">
        <v>0.42399999999999999</v>
      </c>
      <c r="BJ91">
        <v>2.0500000000000001E-2</v>
      </c>
      <c r="BK91">
        <v>17.799800000000005</v>
      </c>
      <c r="BL91" s="2">
        <v>45681</v>
      </c>
      <c r="BM91" t="s">
        <v>1129</v>
      </c>
      <c r="BN91">
        <v>3</v>
      </c>
      <c r="BO91">
        <v>1.6E-2</v>
      </c>
      <c r="BP91">
        <v>7.3143782903005494</v>
      </c>
      <c r="BQ91">
        <v>834.13449974952209</v>
      </c>
      <c r="BR91">
        <v>0.42399999999999999</v>
      </c>
      <c r="BS91">
        <v>2.0500000000000001E-2</v>
      </c>
      <c r="BT91">
        <v>17.798699999999997</v>
      </c>
      <c r="BU91" s="2">
        <v>45681</v>
      </c>
      <c r="BV91" t="s">
        <v>1249</v>
      </c>
      <c r="BW91">
        <v>3</v>
      </c>
      <c r="BX91">
        <v>1.5699999999999999E-2</v>
      </c>
      <c r="BY91">
        <v>7.3144516805062914</v>
      </c>
      <c r="BZ91">
        <v>834.14146448004715</v>
      </c>
      <c r="CA91">
        <v>0.42399999999999999</v>
      </c>
      <c r="CB91">
        <v>2.0500000000000001E-2</v>
      </c>
      <c r="CC91">
        <v>17.802300000000002</v>
      </c>
      <c r="CD91" s="2">
        <v>45681</v>
      </c>
      <c r="CE91" t="s">
        <v>1369</v>
      </c>
      <c r="CF91">
        <v>4</v>
      </c>
      <c r="CG91">
        <v>1.5699999999999999E-2</v>
      </c>
      <c r="CH91">
        <v>7.3136496593628646</v>
      </c>
      <c r="CI91">
        <v>834.06535267353593</v>
      </c>
      <c r="CJ91">
        <v>0.42399999999999999</v>
      </c>
      <c r="CK91">
        <v>2.0500000000000001E-2</v>
      </c>
      <c r="CL91">
        <v>17.79910000000001</v>
      </c>
      <c r="CM91" s="2">
        <v>45681</v>
      </c>
      <c r="CN91" t="s">
        <v>1489</v>
      </c>
      <c r="CO91">
        <v>4</v>
      </c>
      <c r="CP91">
        <v>1.5599999999999999E-2</v>
      </c>
      <c r="CQ91">
        <v>7.3138455017350958</v>
      </c>
      <c r="CR91">
        <v>834.08393811466067</v>
      </c>
      <c r="CS91">
        <v>0.42399999999999999</v>
      </c>
      <c r="CT91">
        <v>2.0500000000000001E-2</v>
      </c>
      <c r="CU91">
        <v>17.789400000000029</v>
      </c>
      <c r="CV91" s="2">
        <v>45681</v>
      </c>
      <c r="CW91" t="s">
        <v>1609</v>
      </c>
      <c r="CX91">
        <v>5</v>
      </c>
      <c r="CY91">
        <v>1.55E-2</v>
      </c>
      <c r="CZ91">
        <v>7.3145562919597822</v>
      </c>
      <c r="DA91">
        <v>834.15139210698339</v>
      </c>
      <c r="DB91">
        <v>0.42399999999999999</v>
      </c>
      <c r="DC91">
        <v>2.0500000000000001E-2</v>
      </c>
      <c r="DD91">
        <v>17.79910000000001</v>
      </c>
      <c r="DE91" s="2">
        <v>45681</v>
      </c>
      <c r="DF91" t="s">
        <v>1729</v>
      </c>
      <c r="DG91">
        <v>5</v>
      </c>
      <c r="DH91">
        <v>1.54E-2</v>
      </c>
      <c r="DI91">
        <v>7.3153096566132119</v>
      </c>
      <c r="DJ91">
        <v>834.22288641259388</v>
      </c>
      <c r="DK91">
        <v>0.42399999999999999</v>
      </c>
      <c r="DL91">
        <v>2.0500000000000001E-2</v>
      </c>
      <c r="DM91">
        <v>17.798799999999972</v>
      </c>
      <c r="DN91" s="2">
        <v>45681</v>
      </c>
      <c r="DO91" t="s">
        <v>1849</v>
      </c>
      <c r="DP91">
        <v>5</v>
      </c>
      <c r="DQ91">
        <v>1.7299999999999999E-2</v>
      </c>
      <c r="DR91">
        <v>7.3132908177491469</v>
      </c>
      <c r="DS91">
        <v>729.59870421422056</v>
      </c>
      <c r="DT91">
        <v>0.42399999999999999</v>
      </c>
      <c r="DU91">
        <v>2.0500000000000001E-2</v>
      </c>
      <c r="DV91">
        <v>18.198000000000036</v>
      </c>
      <c r="DW91" s="2">
        <v>45681</v>
      </c>
      <c r="DX91" t="s">
        <v>1967</v>
      </c>
      <c r="DY91">
        <v>6</v>
      </c>
      <c r="DZ91">
        <v>1.5100000000000001E-2</v>
      </c>
      <c r="EA91">
        <v>7.3164595716601069</v>
      </c>
      <c r="EB91">
        <v>834.33201335054423</v>
      </c>
      <c r="EC91">
        <v>0.42399999999999999</v>
      </c>
      <c r="ED91">
        <v>2.0500000000000001E-2</v>
      </c>
      <c r="EE91">
        <v>17.802599999999984</v>
      </c>
    </row>
    <row r="92" spans="1:135" x14ac:dyDescent="0.3">
      <c r="A92" s="2">
        <v>45681</v>
      </c>
      <c r="B92" t="s">
        <v>287</v>
      </c>
      <c r="C92">
        <v>0</v>
      </c>
      <c r="D92">
        <v>5.8999999999999999E-3</v>
      </c>
      <c r="E92">
        <v>6.6783580883210174</v>
      </c>
      <c r="F92">
        <v>773.77618258166456</v>
      </c>
      <c r="G92">
        <v>0.42399999999999999</v>
      </c>
      <c r="H92">
        <v>1.06E-2</v>
      </c>
      <c r="I92">
        <v>18.003569999999996</v>
      </c>
      <c r="J92" s="2">
        <v>45681</v>
      </c>
      <c r="K92" t="s">
        <v>412</v>
      </c>
      <c r="L92">
        <v>1</v>
      </c>
      <c r="M92">
        <v>1.83E-2</v>
      </c>
      <c r="N92">
        <v>7.3473025151975344</v>
      </c>
      <c r="O92">
        <v>837.25900869224608</v>
      </c>
      <c r="P92">
        <v>0.42399999999999999</v>
      </c>
      <c r="Q92">
        <v>2.1000000000000001E-2</v>
      </c>
      <c r="R92">
        <v>17.999409999999997</v>
      </c>
      <c r="S92" s="2">
        <v>45681</v>
      </c>
      <c r="T92" t="s">
        <v>532</v>
      </c>
      <c r="U92">
        <v>1</v>
      </c>
      <c r="V92">
        <v>1.84E-2</v>
      </c>
      <c r="W92">
        <v>7.3472992714315346</v>
      </c>
      <c r="X92">
        <v>837.25870085885265</v>
      </c>
      <c r="Y92">
        <v>0.42399999999999999</v>
      </c>
      <c r="Z92">
        <v>2.1000000000000001E-2</v>
      </c>
      <c r="AA92">
        <v>18.000470000000007</v>
      </c>
      <c r="AB92" s="2">
        <v>45681</v>
      </c>
      <c r="AC92" t="s">
        <v>652</v>
      </c>
      <c r="AD92">
        <v>1</v>
      </c>
      <c r="AE92">
        <v>1.9199999999999998E-2</v>
      </c>
      <c r="AF92">
        <v>7.2172425010271892</v>
      </c>
      <c r="AG92">
        <v>720.64700109573403</v>
      </c>
      <c r="AH92">
        <v>0.42399999999999999</v>
      </c>
      <c r="AI92">
        <v>1.9E-2</v>
      </c>
      <c r="AJ92">
        <v>18.400800000000004</v>
      </c>
      <c r="AK92" s="2">
        <v>45681</v>
      </c>
      <c r="AL92" t="s">
        <v>770</v>
      </c>
      <c r="AM92">
        <v>2</v>
      </c>
      <c r="AN92">
        <v>1.78E-2</v>
      </c>
      <c r="AO92">
        <v>7.3473004878437846</v>
      </c>
      <c r="AP92">
        <v>837.25881629637524</v>
      </c>
      <c r="AQ92">
        <v>0.42399999999999999</v>
      </c>
      <c r="AR92">
        <v>2.1000000000000001E-2</v>
      </c>
      <c r="AS92">
        <v>17.998499999999993</v>
      </c>
      <c r="AT92" s="2">
        <v>45681</v>
      </c>
      <c r="AU92" t="s">
        <v>890</v>
      </c>
      <c r="AV92">
        <v>2</v>
      </c>
      <c r="AW92">
        <v>1.7899999999999999E-2</v>
      </c>
      <c r="AX92">
        <v>7.3473025151975344</v>
      </c>
      <c r="AY92">
        <v>837.25900869224608</v>
      </c>
      <c r="AZ92">
        <v>0.42399999999999999</v>
      </c>
      <c r="BA92">
        <v>2.1000000000000001E-2</v>
      </c>
      <c r="BB92">
        <v>17.998500000000007</v>
      </c>
      <c r="BC92" s="2">
        <v>45681</v>
      </c>
      <c r="BD92" t="s">
        <v>1010</v>
      </c>
      <c r="BE92">
        <v>3</v>
      </c>
      <c r="BF92">
        <v>1.7899999999999999E-2</v>
      </c>
      <c r="BG92">
        <v>7.3473025151975344</v>
      </c>
      <c r="BH92">
        <v>837.25900869224608</v>
      </c>
      <c r="BI92">
        <v>0.42399999999999999</v>
      </c>
      <c r="BJ92">
        <v>2.1000000000000001E-2</v>
      </c>
      <c r="BK92">
        <v>18.000100000000003</v>
      </c>
      <c r="BL92" s="2">
        <v>45681</v>
      </c>
      <c r="BM92" t="s">
        <v>1130</v>
      </c>
      <c r="BN92">
        <v>3</v>
      </c>
      <c r="BO92">
        <v>1.7500000000000002E-2</v>
      </c>
      <c r="BP92">
        <v>7.3473012987852826</v>
      </c>
      <c r="BQ92">
        <v>837.25889325472349</v>
      </c>
      <c r="BR92">
        <v>0.42399999999999999</v>
      </c>
      <c r="BS92">
        <v>2.1000000000000001E-2</v>
      </c>
      <c r="BT92">
        <v>17.997000000000014</v>
      </c>
      <c r="BU92" s="2">
        <v>45681</v>
      </c>
      <c r="BV92" t="s">
        <v>1250</v>
      </c>
      <c r="BW92">
        <v>3</v>
      </c>
      <c r="BX92">
        <v>1.7399999999999999E-2</v>
      </c>
      <c r="BY92">
        <v>7.3473021097267832</v>
      </c>
      <c r="BZ92">
        <v>837.25897021307173</v>
      </c>
      <c r="CA92">
        <v>0.42399999999999999</v>
      </c>
      <c r="CB92">
        <v>2.1000000000000001E-2</v>
      </c>
      <c r="CC92">
        <v>18.002499999999998</v>
      </c>
      <c r="CD92" s="2">
        <v>45681</v>
      </c>
      <c r="CE92" t="s">
        <v>1370</v>
      </c>
      <c r="CF92">
        <v>4</v>
      </c>
      <c r="CG92">
        <v>1.7000000000000001E-2</v>
      </c>
      <c r="CH92">
        <v>7.3472842690137856</v>
      </c>
      <c r="CI92">
        <v>837.25727712940829</v>
      </c>
      <c r="CJ92">
        <v>0.42399999999999999</v>
      </c>
      <c r="CK92">
        <v>2.1000000000000001E-2</v>
      </c>
      <c r="CL92">
        <v>18.005600000000015</v>
      </c>
      <c r="CM92" s="2">
        <v>45681</v>
      </c>
      <c r="CN92" t="s">
        <v>1490</v>
      </c>
      <c r="CO92">
        <v>4</v>
      </c>
      <c r="CP92">
        <v>1.7000000000000001E-2</v>
      </c>
      <c r="CQ92">
        <v>7.3473025151975344</v>
      </c>
      <c r="CR92">
        <v>837.25900869224608</v>
      </c>
      <c r="CS92">
        <v>0.42399999999999999</v>
      </c>
      <c r="CT92">
        <v>2.1000000000000001E-2</v>
      </c>
      <c r="CU92">
        <v>17.990699999999975</v>
      </c>
      <c r="CV92" s="2">
        <v>45681</v>
      </c>
      <c r="CW92" t="s">
        <v>1610</v>
      </c>
      <c r="CX92">
        <v>5</v>
      </c>
      <c r="CY92">
        <v>1.6799999999999999E-2</v>
      </c>
      <c r="CZ92">
        <v>7.3473004878437846</v>
      </c>
      <c r="DA92">
        <v>837.25881629637524</v>
      </c>
      <c r="DB92">
        <v>0.42399999999999999</v>
      </c>
      <c r="DC92">
        <v>2.1000000000000001E-2</v>
      </c>
      <c r="DD92">
        <v>17.999700000000018</v>
      </c>
      <c r="DE92" s="2">
        <v>45681</v>
      </c>
      <c r="DF92" t="s">
        <v>1730</v>
      </c>
      <c r="DG92">
        <v>5</v>
      </c>
      <c r="DH92">
        <v>1.6799999999999999E-2</v>
      </c>
      <c r="DI92">
        <v>7.3473000823730326</v>
      </c>
      <c r="DJ92">
        <v>837.25877781720089</v>
      </c>
      <c r="DK92">
        <v>0.42399999999999999</v>
      </c>
      <c r="DL92">
        <v>2.1000000000000001E-2</v>
      </c>
      <c r="DM92">
        <v>17.997299999999996</v>
      </c>
      <c r="DN92" s="2">
        <v>45681</v>
      </c>
      <c r="DO92" t="s">
        <v>1850</v>
      </c>
      <c r="DP92">
        <v>5</v>
      </c>
      <c r="DQ92">
        <v>1.7500000000000002E-2</v>
      </c>
      <c r="DR92">
        <v>7.2152467739958714</v>
      </c>
      <c r="DS92">
        <v>720.46099933641528</v>
      </c>
      <c r="DT92">
        <v>0.42399999999999999</v>
      </c>
      <c r="DU92">
        <v>1.89E-2</v>
      </c>
      <c r="DV92">
        <v>18.400000000000034</v>
      </c>
      <c r="DW92" s="2">
        <v>45681</v>
      </c>
      <c r="DX92" t="s">
        <v>1968</v>
      </c>
      <c r="DY92">
        <v>6</v>
      </c>
      <c r="DZ92">
        <v>1.66E-2</v>
      </c>
      <c r="EA92">
        <v>7.3472842690137856</v>
      </c>
      <c r="EB92">
        <v>837.25727712940829</v>
      </c>
      <c r="EC92">
        <v>0.42399999999999999</v>
      </c>
      <c r="ED92">
        <v>2.1000000000000001E-2</v>
      </c>
      <c r="EE92">
        <v>18.000400000000013</v>
      </c>
    </row>
    <row r="93" spans="1:135" x14ac:dyDescent="0.3">
      <c r="A93" s="2">
        <v>45681</v>
      </c>
      <c r="B93" t="s">
        <v>288</v>
      </c>
      <c r="C93">
        <v>0</v>
      </c>
      <c r="D93">
        <v>9.4000000000000004E-3</v>
      </c>
      <c r="E93">
        <v>6.8815001504646727</v>
      </c>
      <c r="F93">
        <v>793.05436427909751</v>
      </c>
      <c r="G93">
        <v>0.42399999999999999</v>
      </c>
      <c r="H93">
        <v>1.38E-2</v>
      </c>
      <c r="I93">
        <v>18.198270000000001</v>
      </c>
      <c r="J93" s="2">
        <v>45681</v>
      </c>
      <c r="K93" t="s">
        <v>413</v>
      </c>
      <c r="L93">
        <v>1</v>
      </c>
      <c r="M93">
        <v>1.9400000000000001E-2</v>
      </c>
      <c r="N93">
        <v>7.3133248772921444</v>
      </c>
      <c r="O93">
        <v>729.60187856362779</v>
      </c>
      <c r="P93">
        <v>0.42399999999999999</v>
      </c>
      <c r="Q93">
        <v>2.0500000000000001E-2</v>
      </c>
      <c r="R93">
        <v>18.201810000000002</v>
      </c>
      <c r="S93" s="2">
        <v>45681</v>
      </c>
      <c r="T93" t="s">
        <v>533</v>
      </c>
      <c r="U93">
        <v>1</v>
      </c>
      <c r="V93">
        <v>1.9199999999999998E-2</v>
      </c>
      <c r="W93">
        <v>7.3133135241111464</v>
      </c>
      <c r="X93">
        <v>729.60082044715875</v>
      </c>
      <c r="Y93">
        <v>0.42399999999999999</v>
      </c>
      <c r="Z93">
        <v>2.0500000000000001E-2</v>
      </c>
      <c r="AA93">
        <v>18.201160000000002</v>
      </c>
      <c r="AB93" s="2">
        <v>45681</v>
      </c>
      <c r="AC93" t="s">
        <v>653</v>
      </c>
      <c r="AD93">
        <v>1</v>
      </c>
      <c r="AE93">
        <v>1.8800000000000001E-2</v>
      </c>
      <c r="AF93">
        <v>7.0681967244605826</v>
      </c>
      <c r="AG93">
        <v>706.75593471972627</v>
      </c>
      <c r="AH93">
        <v>0.42399999999999999</v>
      </c>
      <c r="AI93">
        <v>1.67E-2</v>
      </c>
      <c r="AJ93">
        <v>18.599800000000002</v>
      </c>
      <c r="AK93" s="2">
        <v>45681</v>
      </c>
      <c r="AL93" t="s">
        <v>771</v>
      </c>
      <c r="AM93">
        <v>2</v>
      </c>
      <c r="AN93">
        <v>1.89E-2</v>
      </c>
      <c r="AO93">
        <v>7.3138665862140932</v>
      </c>
      <c r="AP93">
        <v>729.65236583515355</v>
      </c>
      <c r="AQ93">
        <v>0.42399999999999999</v>
      </c>
      <c r="AR93">
        <v>2.0500000000000001E-2</v>
      </c>
      <c r="AS93">
        <v>18.197999999999993</v>
      </c>
      <c r="AT93" s="2">
        <v>45681</v>
      </c>
      <c r="AU93" t="s">
        <v>891</v>
      </c>
      <c r="AV93">
        <v>2</v>
      </c>
      <c r="AW93">
        <v>1.8599999999999998E-2</v>
      </c>
      <c r="AX93">
        <v>7.3138568549160938</v>
      </c>
      <c r="AY93">
        <v>729.65145887817994</v>
      </c>
      <c r="AZ93">
        <v>0.42399999999999999</v>
      </c>
      <c r="BA93">
        <v>2.0500000000000001E-2</v>
      </c>
      <c r="BB93">
        <v>18.19980000000001</v>
      </c>
      <c r="BC93" s="2">
        <v>45681</v>
      </c>
      <c r="BD93" t="s">
        <v>1011</v>
      </c>
      <c r="BE93">
        <v>3</v>
      </c>
      <c r="BF93">
        <v>1.84E-2</v>
      </c>
      <c r="BG93">
        <v>7.3143645042950496</v>
      </c>
      <c r="BH93">
        <v>729.69877180029869</v>
      </c>
      <c r="BI93">
        <v>0.42399999999999999</v>
      </c>
      <c r="BJ93">
        <v>2.0500000000000001E-2</v>
      </c>
      <c r="BK93">
        <v>18.199900000000014</v>
      </c>
      <c r="BL93" s="2">
        <v>45681</v>
      </c>
      <c r="BM93" t="s">
        <v>1131</v>
      </c>
      <c r="BN93">
        <v>3</v>
      </c>
      <c r="BO93">
        <v>1.83E-2</v>
      </c>
      <c r="BP93">
        <v>7.3142083980563122</v>
      </c>
      <c r="BQ93">
        <v>729.68422269884832</v>
      </c>
      <c r="BR93">
        <v>0.42399999999999999</v>
      </c>
      <c r="BS93">
        <v>2.0500000000000001E-2</v>
      </c>
      <c r="BT93">
        <v>18.198299999999989</v>
      </c>
      <c r="BU93" s="2">
        <v>45681</v>
      </c>
      <c r="BV93" t="s">
        <v>1251</v>
      </c>
      <c r="BW93">
        <v>3</v>
      </c>
      <c r="BX93">
        <v>1.78E-2</v>
      </c>
      <c r="BY93">
        <v>7.3149094569829991</v>
      </c>
      <c r="BZ93">
        <v>729.74956139081553</v>
      </c>
      <c r="CA93">
        <v>0.42399999999999999</v>
      </c>
      <c r="CB93">
        <v>2.0500000000000001E-2</v>
      </c>
      <c r="CC93">
        <v>18.1995</v>
      </c>
      <c r="CD93" s="2">
        <v>45681</v>
      </c>
      <c r="CE93" t="s">
        <v>1371</v>
      </c>
      <c r="CF93">
        <v>4</v>
      </c>
      <c r="CG93">
        <v>1.7999999999999999E-2</v>
      </c>
      <c r="CH93">
        <v>7.3146406298757727</v>
      </c>
      <c r="CI93">
        <v>729.72450670442208</v>
      </c>
      <c r="CJ93">
        <v>0.42399999999999999</v>
      </c>
      <c r="CK93">
        <v>2.0500000000000001E-2</v>
      </c>
      <c r="CL93">
        <v>18.199600000000004</v>
      </c>
      <c r="CM93" s="2">
        <v>45681</v>
      </c>
      <c r="CN93" t="s">
        <v>1491</v>
      </c>
      <c r="CO93">
        <v>4</v>
      </c>
      <c r="CP93">
        <v>1.7999999999999999E-2</v>
      </c>
      <c r="CQ93">
        <v>7.3144026185455457</v>
      </c>
      <c r="CR93">
        <v>729.70232404844489</v>
      </c>
      <c r="CS93">
        <v>0.42399999999999999</v>
      </c>
      <c r="CT93">
        <v>2.0500000000000001E-2</v>
      </c>
      <c r="CU93">
        <v>18.190100000000001</v>
      </c>
      <c r="CV93" s="2">
        <v>45681</v>
      </c>
      <c r="CW93" t="s">
        <v>1611</v>
      </c>
      <c r="CX93">
        <v>5</v>
      </c>
      <c r="CY93">
        <v>1.78E-2</v>
      </c>
      <c r="CZ93">
        <v>7.3136581742486131</v>
      </c>
      <c r="DA93">
        <v>729.63294183997073</v>
      </c>
      <c r="DB93">
        <v>0.42399999999999999</v>
      </c>
      <c r="DC93">
        <v>2.0500000000000001E-2</v>
      </c>
      <c r="DD93">
        <v>18.199800000000039</v>
      </c>
      <c r="DE93" s="2">
        <v>45681</v>
      </c>
      <c r="DF93" t="s">
        <v>1731</v>
      </c>
      <c r="DG93">
        <v>5</v>
      </c>
      <c r="DH93">
        <v>1.7899999999999999E-2</v>
      </c>
      <c r="DI93">
        <v>7.3136804751398614</v>
      </c>
      <c r="DJ93">
        <v>729.63502028303515</v>
      </c>
      <c r="DK93">
        <v>0.42399999999999999</v>
      </c>
      <c r="DL93">
        <v>2.0500000000000001E-2</v>
      </c>
      <c r="DM93">
        <v>18.197200000000009</v>
      </c>
      <c r="DN93" s="2">
        <v>45681</v>
      </c>
      <c r="DO93" t="s">
        <v>1851</v>
      </c>
      <c r="DP93">
        <v>6</v>
      </c>
      <c r="DQ93">
        <v>1.7500000000000002E-2</v>
      </c>
      <c r="DR93">
        <v>7.0643293444474367</v>
      </c>
      <c r="DS93">
        <v>706.39549490250113</v>
      </c>
      <c r="DT93">
        <v>0.42399999999999999</v>
      </c>
      <c r="DU93">
        <v>1.66E-2</v>
      </c>
      <c r="DV93">
        <v>18.600300000000004</v>
      </c>
      <c r="DW93" s="2">
        <v>45681</v>
      </c>
      <c r="DX93" t="s">
        <v>1969</v>
      </c>
      <c r="DY93">
        <v>6</v>
      </c>
      <c r="DZ93">
        <v>1.7299999999999999E-2</v>
      </c>
      <c r="EA93">
        <v>7.3125536719257136</v>
      </c>
      <c r="EB93">
        <v>729.53000222347657</v>
      </c>
      <c r="EC93">
        <v>0.42399999999999999</v>
      </c>
      <c r="ED93">
        <v>2.0500000000000001E-2</v>
      </c>
      <c r="EE93">
        <v>18.200699999999983</v>
      </c>
    </row>
    <row r="94" spans="1:135" x14ac:dyDescent="0.3">
      <c r="A94" s="2">
        <v>45681</v>
      </c>
      <c r="B94" t="s">
        <v>289</v>
      </c>
      <c r="C94">
        <v>0</v>
      </c>
      <c r="D94">
        <v>1.24E-2</v>
      </c>
      <c r="E94">
        <v>7.0687895226970268</v>
      </c>
      <c r="F94">
        <v>810.82812570394788</v>
      </c>
      <c r="G94">
        <v>0.42399999999999999</v>
      </c>
      <c r="H94">
        <v>1.67E-2</v>
      </c>
      <c r="I94">
        <v>18.397190000000002</v>
      </c>
      <c r="J94" s="2">
        <v>45681</v>
      </c>
      <c r="K94" t="s">
        <v>414</v>
      </c>
      <c r="L94">
        <v>1</v>
      </c>
      <c r="M94">
        <v>1.9400000000000001E-2</v>
      </c>
      <c r="N94">
        <v>7.2167405282387342</v>
      </c>
      <c r="O94">
        <v>720.60021723185002</v>
      </c>
      <c r="P94">
        <v>0.42399999999999999</v>
      </c>
      <c r="Q94">
        <v>1.9E-2</v>
      </c>
      <c r="R94">
        <v>18.401469999999996</v>
      </c>
      <c r="S94" s="2">
        <v>45681</v>
      </c>
      <c r="T94" t="s">
        <v>534</v>
      </c>
      <c r="U94">
        <v>1</v>
      </c>
      <c r="V94">
        <v>1.9199999999999998E-2</v>
      </c>
      <c r="W94">
        <v>7.2176921680888988</v>
      </c>
      <c r="X94">
        <v>720.68891006588535</v>
      </c>
      <c r="Y94">
        <v>0.42399999999999999</v>
      </c>
      <c r="Z94">
        <v>1.9E-2</v>
      </c>
      <c r="AA94">
        <v>18.399259999999998</v>
      </c>
      <c r="AB94" s="2">
        <v>45681</v>
      </c>
      <c r="AC94" t="s">
        <v>654</v>
      </c>
      <c r="AD94">
        <v>1</v>
      </c>
      <c r="AE94">
        <v>1.7899999999999999E-2</v>
      </c>
      <c r="AF94">
        <v>6.8794671201243576</v>
      </c>
      <c r="AG94">
        <v>689.16633559559023</v>
      </c>
      <c r="AH94">
        <v>0.42399999999999999</v>
      </c>
      <c r="AI94">
        <v>1.37E-2</v>
      </c>
      <c r="AJ94">
        <v>18.8001</v>
      </c>
      <c r="AK94" s="2">
        <v>45681</v>
      </c>
      <c r="AL94" t="s">
        <v>772</v>
      </c>
      <c r="AM94">
        <v>2</v>
      </c>
      <c r="AN94">
        <v>1.89E-2</v>
      </c>
      <c r="AO94">
        <v>7.2175826909864096</v>
      </c>
      <c r="AP94">
        <v>720.67870679993337</v>
      </c>
      <c r="AQ94">
        <v>0.42399999999999999</v>
      </c>
      <c r="AR94">
        <v>1.9E-2</v>
      </c>
      <c r="AS94">
        <v>18.397900000000007</v>
      </c>
      <c r="AT94" s="2">
        <v>45681</v>
      </c>
      <c r="AU94" t="s">
        <v>892</v>
      </c>
      <c r="AV94">
        <v>2</v>
      </c>
      <c r="AW94">
        <v>1.8599999999999998E-2</v>
      </c>
      <c r="AX94">
        <v>7.2179715374356217</v>
      </c>
      <c r="AY94">
        <v>720.71494728899995</v>
      </c>
      <c r="AZ94">
        <v>0.42399999999999999</v>
      </c>
      <c r="BA94">
        <v>1.9E-2</v>
      </c>
      <c r="BB94">
        <v>18.399100000000004</v>
      </c>
      <c r="BC94" s="2">
        <v>45681</v>
      </c>
      <c r="BD94" t="s">
        <v>1012</v>
      </c>
      <c r="BE94">
        <v>3</v>
      </c>
      <c r="BF94">
        <v>1.8499999999999999E-2</v>
      </c>
      <c r="BG94">
        <v>7.2175222758446624</v>
      </c>
      <c r="BH94">
        <v>720.67307610872251</v>
      </c>
      <c r="BI94">
        <v>0.42399999999999999</v>
      </c>
      <c r="BJ94">
        <v>1.9E-2</v>
      </c>
      <c r="BK94">
        <v>18.401400000000024</v>
      </c>
      <c r="BL94" s="2">
        <v>45681</v>
      </c>
      <c r="BM94" t="s">
        <v>1132</v>
      </c>
      <c r="BN94">
        <v>3</v>
      </c>
      <c r="BO94">
        <v>1.84E-2</v>
      </c>
      <c r="BP94">
        <v>7.2182926702695944</v>
      </c>
      <c r="BQ94">
        <v>720.74487686912619</v>
      </c>
      <c r="BR94">
        <v>0.42399999999999999</v>
      </c>
      <c r="BS94">
        <v>1.9E-2</v>
      </c>
      <c r="BT94">
        <v>18.398200000000003</v>
      </c>
      <c r="BU94" s="2">
        <v>45681</v>
      </c>
      <c r="BV94" t="s">
        <v>1252</v>
      </c>
      <c r="BW94">
        <v>3</v>
      </c>
      <c r="BX94">
        <v>1.78E-2</v>
      </c>
      <c r="BY94">
        <v>7.2182383371890984</v>
      </c>
      <c r="BZ94">
        <v>720.73981302602397</v>
      </c>
      <c r="CA94">
        <v>0.42399999999999999</v>
      </c>
      <c r="CB94">
        <v>1.9E-2</v>
      </c>
      <c r="CC94">
        <v>18.401600000000002</v>
      </c>
      <c r="CD94" s="2">
        <v>45681</v>
      </c>
      <c r="CE94" t="s">
        <v>1372</v>
      </c>
      <c r="CF94">
        <v>4</v>
      </c>
      <c r="CG94">
        <v>1.7999999999999999E-2</v>
      </c>
      <c r="CH94">
        <v>7.2195261122909793</v>
      </c>
      <c r="CI94">
        <v>720.85983366551932</v>
      </c>
      <c r="CJ94">
        <v>0.42399999999999999</v>
      </c>
      <c r="CK94">
        <v>1.9E-2</v>
      </c>
      <c r="CL94">
        <v>18.398799999999994</v>
      </c>
      <c r="CM94" s="2">
        <v>45681</v>
      </c>
      <c r="CN94" t="s">
        <v>1492</v>
      </c>
      <c r="CO94">
        <v>4</v>
      </c>
      <c r="CP94">
        <v>1.7999999999999999E-2</v>
      </c>
      <c r="CQ94">
        <v>7.2177408245788932</v>
      </c>
      <c r="CR94">
        <v>720.69344485075283</v>
      </c>
      <c r="CS94">
        <v>0.42399999999999999</v>
      </c>
      <c r="CT94">
        <v>1.9E-2</v>
      </c>
      <c r="CU94">
        <v>18.391400000000004</v>
      </c>
      <c r="CV94" s="2">
        <v>45681</v>
      </c>
      <c r="CW94" t="s">
        <v>1612</v>
      </c>
      <c r="CX94">
        <v>5</v>
      </c>
      <c r="CY94">
        <v>1.78E-2</v>
      </c>
      <c r="CZ94">
        <v>7.2169562386777164</v>
      </c>
      <c r="DA94">
        <v>720.62032144476314</v>
      </c>
      <c r="DB94">
        <v>0.42399999999999999</v>
      </c>
      <c r="DC94">
        <v>1.9E-2</v>
      </c>
      <c r="DD94">
        <v>18.400100000000009</v>
      </c>
      <c r="DE94" s="2">
        <v>45681</v>
      </c>
      <c r="DF94" t="s">
        <v>1732</v>
      </c>
      <c r="DG94">
        <v>5</v>
      </c>
      <c r="DH94">
        <v>1.8100000000000002E-2</v>
      </c>
      <c r="DI94">
        <v>7.2169623207389648</v>
      </c>
      <c r="DJ94">
        <v>720.62088829287154</v>
      </c>
      <c r="DK94">
        <v>0.42399999999999999</v>
      </c>
      <c r="DL94">
        <v>1.9E-2</v>
      </c>
      <c r="DM94">
        <v>18.39749999999998</v>
      </c>
      <c r="DN94" s="2">
        <v>45681</v>
      </c>
      <c r="DO94" t="s">
        <v>1852</v>
      </c>
      <c r="DP94">
        <v>6</v>
      </c>
      <c r="DQ94">
        <v>1.7399999999999999E-2</v>
      </c>
      <c r="DR94">
        <v>6.8743188580120798</v>
      </c>
      <c r="DS94">
        <v>688.6865175667258</v>
      </c>
      <c r="DT94">
        <v>0.42399999999999999</v>
      </c>
      <c r="DU94">
        <v>1.37E-2</v>
      </c>
      <c r="DV94">
        <v>18.801199999999994</v>
      </c>
      <c r="DW94" s="2">
        <v>45681</v>
      </c>
      <c r="DX94" t="s">
        <v>1970</v>
      </c>
      <c r="DY94">
        <v>6</v>
      </c>
      <c r="DZ94">
        <v>1.7299999999999999E-2</v>
      </c>
      <c r="EA94">
        <v>7.2147135799596702</v>
      </c>
      <c r="EB94">
        <v>720.41130565224125</v>
      </c>
      <c r="EC94">
        <v>0.42399999999999999</v>
      </c>
      <c r="ED94">
        <v>1.89E-2</v>
      </c>
      <c r="EE94">
        <v>18.401299999999992</v>
      </c>
    </row>
    <row r="95" spans="1:135" x14ac:dyDescent="0.3">
      <c r="A95" s="2">
        <v>45681</v>
      </c>
      <c r="B95" t="s">
        <v>290</v>
      </c>
      <c r="C95">
        <v>0</v>
      </c>
      <c r="D95">
        <v>1.5100000000000001E-2</v>
      </c>
      <c r="E95">
        <v>7.2186170468695634</v>
      </c>
      <c r="F95">
        <v>825.04675774792156</v>
      </c>
      <c r="G95">
        <v>0.42399999999999999</v>
      </c>
      <c r="H95">
        <v>1.9E-2</v>
      </c>
      <c r="I95">
        <v>18.597740000000002</v>
      </c>
      <c r="J95" s="2">
        <v>45681</v>
      </c>
      <c r="K95" t="s">
        <v>415</v>
      </c>
      <c r="L95">
        <v>1</v>
      </c>
      <c r="M95">
        <v>1.8800000000000001E-2</v>
      </c>
      <c r="N95">
        <v>7.0672819824486659</v>
      </c>
      <c r="O95">
        <v>706.67068076421572</v>
      </c>
      <c r="P95">
        <v>0.42399999999999999</v>
      </c>
      <c r="Q95">
        <v>1.66E-2</v>
      </c>
      <c r="R95">
        <v>18.600769999999997</v>
      </c>
      <c r="S95" s="2">
        <v>45681</v>
      </c>
      <c r="T95" t="s">
        <v>535</v>
      </c>
      <c r="U95">
        <v>1</v>
      </c>
      <c r="V95">
        <v>1.89E-2</v>
      </c>
      <c r="W95">
        <v>7.0681046826003424</v>
      </c>
      <c r="X95">
        <v>706.74735641835196</v>
      </c>
      <c r="Y95">
        <v>0.42399999999999999</v>
      </c>
      <c r="Z95">
        <v>1.67E-2</v>
      </c>
      <c r="AA95">
        <v>18.599119999999999</v>
      </c>
      <c r="AB95" s="2">
        <v>45681</v>
      </c>
      <c r="AC95" t="s">
        <v>655</v>
      </c>
      <c r="AD95">
        <v>1</v>
      </c>
      <c r="AE95">
        <v>1.6299999999999999E-2</v>
      </c>
      <c r="AF95">
        <v>6.6709205383544488</v>
      </c>
      <c r="AG95">
        <v>669.72979417463466</v>
      </c>
      <c r="AH95">
        <v>0.42399999999999999</v>
      </c>
      <c r="AI95">
        <v>1.0500000000000001E-2</v>
      </c>
      <c r="AJ95">
        <v>18.999800000000008</v>
      </c>
      <c r="AK95" s="2">
        <v>45681</v>
      </c>
      <c r="AL95" t="s">
        <v>773</v>
      </c>
      <c r="AM95">
        <v>2</v>
      </c>
      <c r="AN95">
        <v>1.8499999999999999E-2</v>
      </c>
      <c r="AO95">
        <v>7.0694228680084716</v>
      </c>
      <c r="AP95">
        <v>706.87021129838956</v>
      </c>
      <c r="AQ95">
        <v>0.42399999999999999</v>
      </c>
      <c r="AR95">
        <v>1.67E-2</v>
      </c>
      <c r="AS95">
        <v>18.596099999999993</v>
      </c>
      <c r="AT95" s="2">
        <v>45681</v>
      </c>
      <c r="AU95" t="s">
        <v>893</v>
      </c>
      <c r="AV95">
        <v>2</v>
      </c>
      <c r="AW95">
        <v>1.8200000000000001E-2</v>
      </c>
      <c r="AX95">
        <v>7.0681379312018366</v>
      </c>
      <c r="AY95">
        <v>706.75045518801119</v>
      </c>
      <c r="AZ95">
        <v>0.42399999999999999</v>
      </c>
      <c r="BA95">
        <v>1.67E-2</v>
      </c>
      <c r="BB95">
        <v>18.599400000000003</v>
      </c>
      <c r="BC95" s="2">
        <v>45681</v>
      </c>
      <c r="BD95" t="s">
        <v>1013</v>
      </c>
      <c r="BE95">
        <v>3</v>
      </c>
      <c r="BF95">
        <v>1.8200000000000001E-2</v>
      </c>
      <c r="BG95">
        <v>7.0677373261008754</v>
      </c>
      <c r="BH95">
        <v>706.71311879260156</v>
      </c>
      <c r="BI95">
        <v>0.42399999999999999</v>
      </c>
      <c r="BJ95">
        <v>1.67E-2</v>
      </c>
      <c r="BK95">
        <v>18.601500000000016</v>
      </c>
      <c r="BL95" s="2">
        <v>45681</v>
      </c>
      <c r="BM95" t="s">
        <v>1133</v>
      </c>
      <c r="BN95">
        <v>3</v>
      </c>
      <c r="BO95">
        <v>1.8100000000000002E-2</v>
      </c>
      <c r="BP95">
        <v>7.0679124894648586</v>
      </c>
      <c r="BQ95">
        <v>706.72944401812481</v>
      </c>
      <c r="BR95">
        <v>0.42399999999999999</v>
      </c>
      <c r="BS95">
        <v>1.67E-2</v>
      </c>
      <c r="BT95">
        <v>18.599299999999999</v>
      </c>
      <c r="BU95" s="2">
        <v>45681</v>
      </c>
      <c r="BV95" t="s">
        <v>1253</v>
      </c>
      <c r="BW95">
        <v>3</v>
      </c>
      <c r="BX95">
        <v>1.77E-2</v>
      </c>
      <c r="BY95">
        <v>7.0702220508566471</v>
      </c>
      <c r="BZ95">
        <v>706.9446951398395</v>
      </c>
      <c r="CA95">
        <v>0.42399999999999999</v>
      </c>
      <c r="CB95">
        <v>1.67E-2</v>
      </c>
      <c r="CC95">
        <v>18.599899999999991</v>
      </c>
      <c r="CD95" s="2">
        <v>45681</v>
      </c>
      <c r="CE95" t="s">
        <v>1373</v>
      </c>
      <c r="CF95">
        <v>4</v>
      </c>
      <c r="CG95">
        <v>1.7999999999999999E-2</v>
      </c>
      <c r="CH95">
        <v>7.0704803357243744</v>
      </c>
      <c r="CI95">
        <v>706.96876728951167</v>
      </c>
      <c r="CJ95">
        <v>0.42399999999999999</v>
      </c>
      <c r="CK95">
        <v>1.67E-2</v>
      </c>
      <c r="CL95">
        <v>18.598900000000015</v>
      </c>
      <c r="CM95" s="2">
        <v>45681</v>
      </c>
      <c r="CN95" t="s">
        <v>1493</v>
      </c>
      <c r="CO95">
        <v>4</v>
      </c>
      <c r="CP95">
        <v>1.7999999999999999E-2</v>
      </c>
      <c r="CQ95">
        <v>7.0691722870849931</v>
      </c>
      <c r="CR95">
        <v>706.84685715632133</v>
      </c>
      <c r="CS95">
        <v>0.42399999999999999</v>
      </c>
      <c r="CT95">
        <v>1.67E-2</v>
      </c>
      <c r="CU95">
        <v>18.590099999999978</v>
      </c>
      <c r="CV95" s="2">
        <v>45681</v>
      </c>
      <c r="CW95" t="s">
        <v>1613</v>
      </c>
      <c r="CX95">
        <v>5</v>
      </c>
      <c r="CY95">
        <v>1.7600000000000001E-2</v>
      </c>
      <c r="CZ95">
        <v>7.0686135483915464</v>
      </c>
      <c r="DA95">
        <v>706.79478271009202</v>
      </c>
      <c r="DB95">
        <v>0.42399999999999999</v>
      </c>
      <c r="DC95">
        <v>1.67E-2</v>
      </c>
      <c r="DD95">
        <v>18.59820000000002</v>
      </c>
      <c r="DE95" s="2">
        <v>45681</v>
      </c>
      <c r="DF95" t="s">
        <v>1733</v>
      </c>
      <c r="DG95">
        <v>5</v>
      </c>
      <c r="DH95">
        <v>1.7999999999999999E-2</v>
      </c>
      <c r="DI95">
        <v>7.0673525343591601</v>
      </c>
      <c r="DJ95">
        <v>706.67725620227372</v>
      </c>
      <c r="DK95">
        <v>0.42399999999999999</v>
      </c>
      <c r="DL95">
        <v>1.67E-2</v>
      </c>
      <c r="DM95">
        <v>18.597100000000012</v>
      </c>
      <c r="DN95" s="2">
        <v>45681</v>
      </c>
      <c r="DO95" t="s">
        <v>1853</v>
      </c>
      <c r="DP95">
        <v>6</v>
      </c>
      <c r="DQ95">
        <v>1.7000000000000001E-2</v>
      </c>
      <c r="DR95">
        <v>6.6674241640775174</v>
      </c>
      <c r="DS95">
        <v>669.40393209202466</v>
      </c>
      <c r="DT95">
        <v>0.42399999999999999</v>
      </c>
      <c r="DU95">
        <v>1.04E-2</v>
      </c>
      <c r="DV95">
        <v>18.999000000000024</v>
      </c>
      <c r="DW95" s="2">
        <v>45681</v>
      </c>
      <c r="DX95" t="s">
        <v>1971</v>
      </c>
      <c r="DY95">
        <v>6</v>
      </c>
      <c r="DZ95">
        <v>1.72E-2</v>
      </c>
      <c r="EA95">
        <v>7.0632966104472814</v>
      </c>
      <c r="EB95">
        <v>706.29924409368664</v>
      </c>
      <c r="EC95">
        <v>0.42399999999999999</v>
      </c>
      <c r="ED95">
        <v>1.66E-2</v>
      </c>
      <c r="EE95">
        <v>18.601999999999975</v>
      </c>
    </row>
    <row r="96" spans="1:135" x14ac:dyDescent="0.3">
      <c r="A96" s="2">
        <v>45681</v>
      </c>
      <c r="B96" t="s">
        <v>291</v>
      </c>
      <c r="C96">
        <v>0</v>
      </c>
      <c r="D96">
        <v>1.7399999999999999E-2</v>
      </c>
      <c r="E96">
        <v>7.3148052510002586</v>
      </c>
      <c r="F96">
        <v>834.17501831992467</v>
      </c>
      <c r="G96">
        <v>0.42399999999999999</v>
      </c>
      <c r="H96">
        <v>2.0500000000000001E-2</v>
      </c>
      <c r="I96">
        <v>18.798899999999996</v>
      </c>
      <c r="J96" s="2">
        <v>45681</v>
      </c>
      <c r="K96" t="s">
        <v>416</v>
      </c>
      <c r="L96">
        <v>1</v>
      </c>
      <c r="M96">
        <v>1.7999999999999999E-2</v>
      </c>
      <c r="N96">
        <v>6.8794087323363637</v>
      </c>
      <c r="O96">
        <v>689.16089385374914</v>
      </c>
      <c r="P96">
        <v>0.42399999999999999</v>
      </c>
      <c r="Q96">
        <v>1.37E-2</v>
      </c>
      <c r="R96">
        <v>18.80001</v>
      </c>
      <c r="S96" s="2">
        <v>45681</v>
      </c>
      <c r="T96" t="s">
        <v>536</v>
      </c>
      <c r="U96">
        <v>1</v>
      </c>
      <c r="V96">
        <v>1.8100000000000002E-2</v>
      </c>
      <c r="W96">
        <v>6.8792222157913807</v>
      </c>
      <c r="X96">
        <v>689.14351051175674</v>
      </c>
      <c r="Y96">
        <v>0.42399999999999999</v>
      </c>
      <c r="Z96">
        <v>1.37E-2</v>
      </c>
      <c r="AA96">
        <v>18.799499999999995</v>
      </c>
      <c r="AB96" s="2">
        <v>45681</v>
      </c>
      <c r="AC96" t="s">
        <v>656</v>
      </c>
      <c r="AD96">
        <v>1</v>
      </c>
      <c r="AE96">
        <v>1.34E-2</v>
      </c>
      <c r="AF96">
        <v>6.4605797485159524</v>
      </c>
      <c r="AG96">
        <v>650.12603256168666</v>
      </c>
      <c r="AH96">
        <v>0.42399999999999999</v>
      </c>
      <c r="AI96">
        <v>7.1999999999999998E-3</v>
      </c>
      <c r="AJ96">
        <v>19.201300000000003</v>
      </c>
      <c r="AK96" s="2">
        <v>45681</v>
      </c>
      <c r="AL96" t="s">
        <v>774</v>
      </c>
      <c r="AM96">
        <v>2</v>
      </c>
      <c r="AN96">
        <v>1.7999999999999999E-2</v>
      </c>
      <c r="AO96">
        <v>6.8797124299280874</v>
      </c>
      <c r="AP96">
        <v>689.18919846929771</v>
      </c>
      <c r="AQ96">
        <v>0.42399999999999999</v>
      </c>
      <c r="AR96">
        <v>1.37E-2</v>
      </c>
      <c r="AS96">
        <v>18.797499999999999</v>
      </c>
      <c r="AT96" s="2">
        <v>45681</v>
      </c>
      <c r="AU96" t="s">
        <v>894</v>
      </c>
      <c r="AV96">
        <v>2</v>
      </c>
      <c r="AW96">
        <v>1.77E-2</v>
      </c>
      <c r="AX96">
        <v>6.8808599121504814</v>
      </c>
      <c r="AY96">
        <v>689.29614381242482</v>
      </c>
      <c r="AZ96">
        <v>0.42399999999999999</v>
      </c>
      <c r="BA96">
        <v>1.38E-2</v>
      </c>
      <c r="BB96">
        <v>18.798200000000008</v>
      </c>
      <c r="BC96" s="2">
        <v>45681</v>
      </c>
      <c r="BD96" t="s">
        <v>1014</v>
      </c>
      <c r="BE96">
        <v>3</v>
      </c>
      <c r="BF96">
        <v>1.78E-2</v>
      </c>
      <c r="BG96">
        <v>6.8795749753438491</v>
      </c>
      <c r="BH96">
        <v>689.17638770204678</v>
      </c>
      <c r="BI96">
        <v>0.42399999999999999</v>
      </c>
      <c r="BJ96">
        <v>1.37E-2</v>
      </c>
      <c r="BK96">
        <v>18.801100000000019</v>
      </c>
      <c r="BL96" s="2">
        <v>45681</v>
      </c>
      <c r="BM96" t="s">
        <v>1134</v>
      </c>
      <c r="BN96">
        <v>3</v>
      </c>
      <c r="BO96">
        <v>1.7600000000000001E-2</v>
      </c>
      <c r="BP96">
        <v>6.8815459686594176</v>
      </c>
      <c r="BQ96">
        <v>689.36008427905779</v>
      </c>
      <c r="BR96">
        <v>0.42399999999999999</v>
      </c>
      <c r="BS96">
        <v>1.38E-2</v>
      </c>
      <c r="BT96">
        <v>18.7971</v>
      </c>
      <c r="BU96" s="2">
        <v>45681</v>
      </c>
      <c r="BV96" t="s">
        <v>1254</v>
      </c>
      <c r="BW96">
        <v>3</v>
      </c>
      <c r="BX96">
        <v>1.7299999999999999E-2</v>
      </c>
      <c r="BY96">
        <v>6.882476524030583</v>
      </c>
      <c r="BZ96">
        <v>689.44681203965035</v>
      </c>
      <c r="CA96">
        <v>0.42399999999999999</v>
      </c>
      <c r="CB96">
        <v>1.38E-2</v>
      </c>
      <c r="CC96">
        <v>18.799499999999995</v>
      </c>
      <c r="CD96" s="2">
        <v>45681</v>
      </c>
      <c r="CE96" t="s">
        <v>1374</v>
      </c>
      <c r="CF96">
        <v>4</v>
      </c>
      <c r="CG96">
        <v>1.7500000000000002E-2</v>
      </c>
      <c r="CH96">
        <v>6.882956601398539</v>
      </c>
      <c r="CI96">
        <v>689.49155525034382</v>
      </c>
      <c r="CJ96">
        <v>0.42399999999999999</v>
      </c>
      <c r="CK96">
        <v>1.38E-2</v>
      </c>
      <c r="CL96">
        <v>18.798300000000012</v>
      </c>
      <c r="CM96" s="2">
        <v>45681</v>
      </c>
      <c r="CN96" t="s">
        <v>1494</v>
      </c>
      <c r="CO96">
        <v>4</v>
      </c>
      <c r="CP96">
        <v>1.7600000000000001E-2</v>
      </c>
      <c r="CQ96">
        <v>6.8811242790794571</v>
      </c>
      <c r="CR96">
        <v>689.3207828102054</v>
      </c>
      <c r="CS96">
        <v>0.42399999999999999</v>
      </c>
      <c r="CT96">
        <v>1.38E-2</v>
      </c>
      <c r="CU96">
        <v>18.789799999999985</v>
      </c>
      <c r="CV96" s="2">
        <v>45681</v>
      </c>
      <c r="CW96" t="s">
        <v>1614</v>
      </c>
      <c r="CX96">
        <v>5</v>
      </c>
      <c r="CY96">
        <v>1.77E-2</v>
      </c>
      <c r="CZ96">
        <v>6.8792704668106266</v>
      </c>
      <c r="DA96">
        <v>689.14800750675045</v>
      </c>
      <c r="DB96">
        <v>0.42399999999999999</v>
      </c>
      <c r="DC96">
        <v>1.37E-2</v>
      </c>
      <c r="DD96">
        <v>18.799200000000042</v>
      </c>
      <c r="DE96" s="2">
        <v>45681</v>
      </c>
      <c r="DF96" t="s">
        <v>1734</v>
      </c>
      <c r="DG96">
        <v>5</v>
      </c>
      <c r="DH96">
        <v>1.77E-2</v>
      </c>
      <c r="DI96">
        <v>6.8787109171756766</v>
      </c>
      <c r="DJ96">
        <v>689.09585748077313</v>
      </c>
      <c r="DK96">
        <v>0.42399999999999999</v>
      </c>
      <c r="DL96">
        <v>1.37E-2</v>
      </c>
      <c r="DM96">
        <v>18.7971</v>
      </c>
      <c r="DN96" s="2">
        <v>45681</v>
      </c>
      <c r="DO96" t="s">
        <v>1854</v>
      </c>
      <c r="DP96">
        <v>6</v>
      </c>
      <c r="DQ96">
        <v>1.54E-2</v>
      </c>
      <c r="DR96">
        <v>6.4588070303971143</v>
      </c>
      <c r="DS96">
        <v>649.96081523301109</v>
      </c>
      <c r="DT96">
        <v>0.42399999999999999</v>
      </c>
      <c r="DU96">
        <v>7.1999999999999998E-3</v>
      </c>
      <c r="DV96">
        <v>19.199099999999987</v>
      </c>
      <c r="DW96" s="2">
        <v>45681</v>
      </c>
      <c r="DX96" t="s">
        <v>1972</v>
      </c>
      <c r="DY96">
        <v>6</v>
      </c>
      <c r="DZ96">
        <v>1.7299999999999999E-2</v>
      </c>
      <c r="EA96">
        <v>6.8675503347829476</v>
      </c>
      <c r="EB96">
        <v>688.05569120177074</v>
      </c>
      <c r="EC96">
        <v>0.42399999999999999</v>
      </c>
      <c r="ED96">
        <v>1.35E-2</v>
      </c>
      <c r="EE96">
        <v>18.808299999999974</v>
      </c>
    </row>
    <row r="97" spans="1:135" x14ac:dyDescent="0.3">
      <c r="A97" s="2">
        <v>45681</v>
      </c>
      <c r="B97" t="s">
        <v>292</v>
      </c>
      <c r="C97">
        <v>0</v>
      </c>
      <c r="D97">
        <v>1.9E-2</v>
      </c>
      <c r="E97">
        <v>7.3472988659607834</v>
      </c>
      <c r="F97">
        <v>837.25866237967841</v>
      </c>
      <c r="G97">
        <v>0.42399999999999999</v>
      </c>
      <c r="H97">
        <v>2.1000000000000001E-2</v>
      </c>
      <c r="I97">
        <v>18.999220000000001</v>
      </c>
      <c r="J97" s="2">
        <v>45681</v>
      </c>
      <c r="K97" t="s">
        <v>417</v>
      </c>
      <c r="L97">
        <v>1</v>
      </c>
      <c r="M97">
        <v>1.6199999999999999E-2</v>
      </c>
      <c r="N97">
        <v>6.6690541564923684</v>
      </c>
      <c r="O97">
        <v>669.55584738508867</v>
      </c>
      <c r="P97">
        <v>0.42399999999999999</v>
      </c>
      <c r="Q97">
        <v>1.0500000000000001E-2</v>
      </c>
      <c r="R97">
        <v>19.001399999999997</v>
      </c>
      <c r="S97" s="2">
        <v>45681</v>
      </c>
      <c r="T97" t="s">
        <v>537</v>
      </c>
      <c r="U97">
        <v>1</v>
      </c>
      <c r="V97">
        <v>1.6400000000000001E-2</v>
      </c>
      <c r="W97">
        <v>6.6699514632620378</v>
      </c>
      <c r="X97">
        <v>669.63947637602189</v>
      </c>
      <c r="Y97">
        <v>0.42399999999999999</v>
      </c>
      <c r="Z97">
        <v>1.0500000000000001E-2</v>
      </c>
      <c r="AA97">
        <v>18.999859999999998</v>
      </c>
      <c r="AB97" s="2">
        <v>45681</v>
      </c>
      <c r="AC97" t="s">
        <v>657</v>
      </c>
      <c r="AD97">
        <v>1</v>
      </c>
      <c r="AE97">
        <v>9.7000000000000003E-3</v>
      </c>
      <c r="AF97">
        <v>6.2731476505796104</v>
      </c>
      <c r="AG97">
        <v>632.65736103401969</v>
      </c>
      <c r="AH97">
        <v>0.42399999999999999</v>
      </c>
      <c r="AI97">
        <v>4.3E-3</v>
      </c>
      <c r="AJ97">
        <v>19.400500000000008</v>
      </c>
      <c r="AK97" s="2">
        <v>45681</v>
      </c>
      <c r="AL97" t="s">
        <v>775</v>
      </c>
      <c r="AM97">
        <v>2</v>
      </c>
      <c r="AN97">
        <v>1.66E-2</v>
      </c>
      <c r="AO97">
        <v>6.6720858612898404</v>
      </c>
      <c r="AP97">
        <v>669.8384022722131</v>
      </c>
      <c r="AQ97">
        <v>0.42399999999999999</v>
      </c>
      <c r="AR97">
        <v>1.0500000000000001E-2</v>
      </c>
      <c r="AS97">
        <v>18.996400000000008</v>
      </c>
      <c r="AT97" s="2">
        <v>45681</v>
      </c>
      <c r="AU97" t="s">
        <v>895</v>
      </c>
      <c r="AV97">
        <v>2</v>
      </c>
      <c r="AW97">
        <v>1.66E-2</v>
      </c>
      <c r="AX97">
        <v>6.6718896134468606</v>
      </c>
      <c r="AY97">
        <v>669.82011197324744</v>
      </c>
      <c r="AZ97">
        <v>0.42399999999999999</v>
      </c>
      <c r="BA97">
        <v>1.0500000000000001E-2</v>
      </c>
      <c r="BB97">
        <v>18.9983</v>
      </c>
      <c r="BC97" s="2">
        <v>45681</v>
      </c>
      <c r="BD97" t="s">
        <v>1015</v>
      </c>
      <c r="BE97">
        <v>3</v>
      </c>
      <c r="BF97">
        <v>1.7100000000000001E-2</v>
      </c>
      <c r="BG97">
        <v>6.6719102924551068</v>
      </c>
      <c r="BH97">
        <v>669.82203925681597</v>
      </c>
      <c r="BI97">
        <v>0.42399999999999999</v>
      </c>
      <c r="BJ97">
        <v>1.0500000000000001E-2</v>
      </c>
      <c r="BK97">
        <v>18.999899999999997</v>
      </c>
      <c r="BL97" s="2">
        <v>45681</v>
      </c>
      <c r="BM97" t="s">
        <v>1135</v>
      </c>
      <c r="BN97">
        <v>3</v>
      </c>
      <c r="BO97">
        <v>1.6799999999999999E-2</v>
      </c>
      <c r="BP97">
        <v>6.6709720331396927</v>
      </c>
      <c r="BQ97">
        <v>669.73459348861934</v>
      </c>
      <c r="BR97">
        <v>0.42399999999999999</v>
      </c>
      <c r="BS97">
        <v>1.0500000000000001E-2</v>
      </c>
      <c r="BT97">
        <v>18.998799999999989</v>
      </c>
      <c r="BU97" s="2">
        <v>45681</v>
      </c>
      <c r="BV97" t="s">
        <v>1255</v>
      </c>
      <c r="BW97">
        <v>4</v>
      </c>
      <c r="BX97">
        <v>1.66E-2</v>
      </c>
      <c r="BY97">
        <v>6.6731064311674988</v>
      </c>
      <c r="BZ97">
        <v>669.93351938481089</v>
      </c>
      <c r="CA97">
        <v>0.42399999999999999</v>
      </c>
      <c r="CB97">
        <v>1.0500000000000001E-2</v>
      </c>
      <c r="CC97">
        <v>19.000100000000003</v>
      </c>
      <c r="CD97" s="2">
        <v>45681</v>
      </c>
      <c r="CE97" t="s">
        <v>1375</v>
      </c>
      <c r="CF97">
        <v>4</v>
      </c>
      <c r="CG97">
        <v>1.6899999999999998E-2</v>
      </c>
      <c r="CH97">
        <v>6.6742713486321419</v>
      </c>
      <c r="CI97">
        <v>670.04208969251567</v>
      </c>
      <c r="CJ97">
        <v>0.42399999999999999</v>
      </c>
      <c r="CK97">
        <v>1.0500000000000001E-2</v>
      </c>
      <c r="CL97">
        <v>18.9983</v>
      </c>
      <c r="CM97" s="2">
        <v>45681</v>
      </c>
      <c r="CN97" t="s">
        <v>1495</v>
      </c>
      <c r="CO97">
        <v>4</v>
      </c>
      <c r="CP97">
        <v>1.6899999999999998E-2</v>
      </c>
      <c r="CQ97">
        <v>6.6731680627214924</v>
      </c>
      <c r="CR97">
        <v>669.93926344564306</v>
      </c>
      <c r="CS97">
        <v>0.42399999999999999</v>
      </c>
      <c r="CT97">
        <v>1.0500000000000001E-2</v>
      </c>
      <c r="CU97">
        <v>18.989000000000004</v>
      </c>
      <c r="CV97" s="2">
        <v>45681</v>
      </c>
      <c r="CW97" t="s">
        <v>1615</v>
      </c>
      <c r="CX97">
        <v>5</v>
      </c>
      <c r="CY97">
        <v>1.6500000000000001E-2</v>
      </c>
      <c r="CZ97">
        <v>6.6708686380984519</v>
      </c>
      <c r="DA97">
        <v>669.72495707077576</v>
      </c>
      <c r="DB97">
        <v>0.42399999999999999</v>
      </c>
      <c r="DC97">
        <v>1.0500000000000001E-2</v>
      </c>
      <c r="DD97">
        <v>18.998700000000042</v>
      </c>
      <c r="DE97" s="2">
        <v>45681</v>
      </c>
      <c r="DF97" t="s">
        <v>1735</v>
      </c>
      <c r="DG97">
        <v>5</v>
      </c>
      <c r="DH97">
        <v>1.72E-2</v>
      </c>
      <c r="DI97">
        <v>6.6668779949773178</v>
      </c>
      <c r="DJ97">
        <v>669.35302913188605</v>
      </c>
      <c r="DK97">
        <v>0.42399999999999999</v>
      </c>
      <c r="DL97">
        <v>1.04E-2</v>
      </c>
      <c r="DM97">
        <v>18.999899999999968</v>
      </c>
      <c r="DN97" s="2">
        <v>45681</v>
      </c>
      <c r="DO97" t="s">
        <v>1855</v>
      </c>
      <c r="DP97">
        <v>6</v>
      </c>
      <c r="DQ97">
        <v>1.21E-2</v>
      </c>
      <c r="DR97">
        <v>6.2714083432505694</v>
      </c>
      <c r="DS97">
        <v>632.49525759095297</v>
      </c>
      <c r="DT97">
        <v>0.42399999999999999</v>
      </c>
      <c r="DU97">
        <v>4.3E-3</v>
      </c>
      <c r="DV97">
        <v>19.398599999999988</v>
      </c>
      <c r="DW97" s="2">
        <v>45681</v>
      </c>
      <c r="DX97" t="s">
        <v>1973</v>
      </c>
      <c r="DY97">
        <v>6</v>
      </c>
      <c r="DZ97">
        <v>1.67E-2</v>
      </c>
      <c r="EA97">
        <v>6.6664035941998634</v>
      </c>
      <c r="EB97">
        <v>669.30881497942721</v>
      </c>
      <c r="EC97">
        <v>0.42399999999999999</v>
      </c>
      <c r="ED97">
        <v>1.04E-2</v>
      </c>
      <c r="EE97">
        <v>19.000499999999988</v>
      </c>
    </row>
    <row r="98" spans="1:135" x14ac:dyDescent="0.3">
      <c r="A98" s="2">
        <v>45681</v>
      </c>
      <c r="B98" t="s">
        <v>293</v>
      </c>
      <c r="C98">
        <v>0</v>
      </c>
      <c r="D98">
        <v>1.95E-2</v>
      </c>
      <c r="E98">
        <v>7.3138227953730972</v>
      </c>
      <c r="F98">
        <v>729.64828452877271</v>
      </c>
      <c r="G98">
        <v>0.42399999999999999</v>
      </c>
      <c r="H98">
        <v>2.0500000000000001E-2</v>
      </c>
      <c r="I98">
        <v>19.198360000000001</v>
      </c>
      <c r="J98" s="2">
        <v>45681</v>
      </c>
      <c r="K98" t="s">
        <v>418</v>
      </c>
      <c r="L98">
        <v>1</v>
      </c>
      <c r="M98">
        <v>1.3100000000000001E-2</v>
      </c>
      <c r="N98">
        <v>6.4601540042284924</v>
      </c>
      <c r="O98">
        <v>650.08635319409541</v>
      </c>
      <c r="P98">
        <v>0.42399999999999999</v>
      </c>
      <c r="Q98">
        <v>7.1999999999999998E-3</v>
      </c>
      <c r="R98">
        <v>19.201589999999996</v>
      </c>
      <c r="S98" s="2">
        <v>45681</v>
      </c>
      <c r="T98" t="s">
        <v>538</v>
      </c>
      <c r="U98">
        <v>1</v>
      </c>
      <c r="V98">
        <v>1.2800000000000001E-2</v>
      </c>
      <c r="W98">
        <v>6.4616676265381026</v>
      </c>
      <c r="X98">
        <v>650.22742279335114</v>
      </c>
      <c r="Y98">
        <v>0.42399999999999999</v>
      </c>
      <c r="Z98">
        <v>7.1999999999999998E-3</v>
      </c>
      <c r="AA98">
        <v>19.199399999999997</v>
      </c>
      <c r="AB98" s="2">
        <v>45681</v>
      </c>
      <c r="AC98" t="s">
        <v>658</v>
      </c>
      <c r="AD98">
        <v>2</v>
      </c>
      <c r="AE98">
        <v>5.4999999999999997E-3</v>
      </c>
      <c r="AF98">
        <v>6.1250168187602938</v>
      </c>
      <c r="AG98">
        <v>618.85156750845942</v>
      </c>
      <c r="AH98">
        <v>0.42399999999999999</v>
      </c>
      <c r="AI98">
        <v>2E-3</v>
      </c>
      <c r="AJ98">
        <v>19.598799999999997</v>
      </c>
      <c r="AK98" s="2">
        <v>45681</v>
      </c>
      <c r="AL98" t="s">
        <v>776</v>
      </c>
      <c r="AM98">
        <v>2</v>
      </c>
      <c r="AN98">
        <v>1.43E-2</v>
      </c>
      <c r="AO98">
        <v>6.4618440063143368</v>
      </c>
      <c r="AP98">
        <v>650.24386138849616</v>
      </c>
      <c r="AQ98">
        <v>0.42399999999999999</v>
      </c>
      <c r="AR98">
        <v>7.1999999999999998E-3</v>
      </c>
      <c r="AS98">
        <v>19.197699999999983</v>
      </c>
      <c r="AT98" s="2">
        <v>45681</v>
      </c>
      <c r="AU98" t="s">
        <v>896</v>
      </c>
      <c r="AV98">
        <v>2</v>
      </c>
      <c r="AW98">
        <v>1.43E-2</v>
      </c>
      <c r="AX98">
        <v>6.4623828769410379</v>
      </c>
      <c r="AY98">
        <v>650.29408413090471</v>
      </c>
      <c r="AZ98">
        <v>0.42399999999999999</v>
      </c>
      <c r="BA98">
        <v>7.3000000000000001E-3</v>
      </c>
      <c r="BB98">
        <v>19.199000000000012</v>
      </c>
      <c r="BC98" s="2">
        <v>45681</v>
      </c>
      <c r="BD98" t="s">
        <v>1016</v>
      </c>
      <c r="BE98">
        <v>3</v>
      </c>
      <c r="BF98">
        <v>1.46E-2</v>
      </c>
      <c r="BG98">
        <v>6.4611084823739047</v>
      </c>
      <c r="BH98">
        <v>650.17531055724794</v>
      </c>
      <c r="BI98">
        <v>0.42399999999999999</v>
      </c>
      <c r="BJ98">
        <v>7.1999999999999998E-3</v>
      </c>
      <c r="BK98">
        <v>19.201900000000023</v>
      </c>
      <c r="BL98" s="2">
        <v>45681</v>
      </c>
      <c r="BM98" t="s">
        <v>1136</v>
      </c>
      <c r="BN98">
        <v>3</v>
      </c>
      <c r="BO98">
        <v>1.46E-2</v>
      </c>
      <c r="BP98">
        <v>6.4622162284628013</v>
      </c>
      <c r="BQ98">
        <v>650.27855249273307</v>
      </c>
      <c r="BR98">
        <v>0.42399999999999999</v>
      </c>
      <c r="BS98">
        <v>7.1999999999999998E-3</v>
      </c>
      <c r="BT98">
        <v>19.198800000000006</v>
      </c>
      <c r="BU98" s="2">
        <v>45681</v>
      </c>
      <c r="BV98" t="s">
        <v>1256</v>
      </c>
      <c r="BW98">
        <v>4</v>
      </c>
      <c r="BX98">
        <v>1.4500000000000001E-2</v>
      </c>
      <c r="BY98">
        <v>6.4615005725891184</v>
      </c>
      <c r="BZ98">
        <v>650.21185336530584</v>
      </c>
      <c r="CA98">
        <v>0.42399999999999999</v>
      </c>
      <c r="CB98">
        <v>7.1999999999999998E-3</v>
      </c>
      <c r="CC98">
        <v>19.202799999999996</v>
      </c>
      <c r="CD98" s="2">
        <v>45681</v>
      </c>
      <c r="CE98" t="s">
        <v>1376</v>
      </c>
      <c r="CF98">
        <v>4</v>
      </c>
      <c r="CG98">
        <v>1.4999999999999999E-2</v>
      </c>
      <c r="CH98">
        <v>6.4630008143639808</v>
      </c>
      <c r="CI98">
        <v>650.35167589872299</v>
      </c>
      <c r="CJ98">
        <v>0.42399999999999999</v>
      </c>
      <c r="CK98">
        <v>7.3000000000000001E-3</v>
      </c>
      <c r="CL98">
        <v>19.200600000000009</v>
      </c>
      <c r="CM98" s="2">
        <v>45681</v>
      </c>
      <c r="CN98" t="s">
        <v>1496</v>
      </c>
      <c r="CO98">
        <v>4</v>
      </c>
      <c r="CP98">
        <v>1.5299999999999999E-2</v>
      </c>
      <c r="CQ98">
        <v>6.4640501726648836</v>
      </c>
      <c r="CR98">
        <v>650.44947609236726</v>
      </c>
      <c r="CS98">
        <v>0.42399999999999999</v>
      </c>
      <c r="CT98">
        <v>7.3000000000000001E-3</v>
      </c>
      <c r="CU98">
        <v>19.1892</v>
      </c>
      <c r="CV98" s="2">
        <v>45681</v>
      </c>
      <c r="CW98" t="s">
        <v>1616</v>
      </c>
      <c r="CX98">
        <v>5</v>
      </c>
      <c r="CY98">
        <v>1.49E-2</v>
      </c>
      <c r="CZ98">
        <v>6.4626083186780159</v>
      </c>
      <c r="DA98">
        <v>650.31509530079109</v>
      </c>
      <c r="DB98">
        <v>0.42399999999999999</v>
      </c>
      <c r="DC98">
        <v>7.3000000000000001E-3</v>
      </c>
      <c r="DD98">
        <v>19.198200000000043</v>
      </c>
      <c r="DE98" s="2">
        <v>45681</v>
      </c>
      <c r="DF98" t="s">
        <v>1736</v>
      </c>
      <c r="DG98">
        <v>5</v>
      </c>
      <c r="DH98">
        <v>1.5699999999999999E-2</v>
      </c>
      <c r="DI98">
        <v>6.4609710277896673</v>
      </c>
      <c r="DJ98">
        <v>650.16249978999701</v>
      </c>
      <c r="DK98">
        <v>0.42399999999999999</v>
      </c>
      <c r="DL98">
        <v>7.1999999999999998E-3</v>
      </c>
      <c r="DM98">
        <v>19.197200000000009</v>
      </c>
      <c r="DN98" s="2">
        <v>45681</v>
      </c>
      <c r="DO98" t="s">
        <v>1856</v>
      </c>
      <c r="DP98">
        <v>6</v>
      </c>
      <c r="DQ98">
        <v>8.6999999999999994E-3</v>
      </c>
      <c r="DR98">
        <v>6.1192106803561996</v>
      </c>
      <c r="DS98">
        <v>618.31043540919779</v>
      </c>
      <c r="DT98">
        <v>0.42399999999999999</v>
      </c>
      <c r="DU98">
        <v>1.9E-3</v>
      </c>
      <c r="DV98">
        <v>19.604199999999992</v>
      </c>
      <c r="DW98" s="2">
        <v>45681</v>
      </c>
      <c r="DX98" t="s">
        <v>1974</v>
      </c>
      <c r="DY98">
        <v>6</v>
      </c>
      <c r="DZ98">
        <v>1.4999999999999999E-2</v>
      </c>
      <c r="EA98">
        <v>6.4574860066937356</v>
      </c>
      <c r="EB98">
        <v>649.83769582385617</v>
      </c>
      <c r="EC98">
        <v>0.42399999999999999</v>
      </c>
      <c r="ED98">
        <v>7.1999999999999998E-3</v>
      </c>
      <c r="EE98">
        <v>19.20089999999999</v>
      </c>
    </row>
    <row r="99" spans="1:135" x14ac:dyDescent="0.3">
      <c r="A99" s="2">
        <v>45681</v>
      </c>
      <c r="B99" t="s">
        <v>294</v>
      </c>
      <c r="C99">
        <v>0</v>
      </c>
      <c r="D99">
        <v>1.9199999999999998E-2</v>
      </c>
      <c r="E99">
        <v>7.2176268872981542</v>
      </c>
      <c r="F99">
        <v>720.68282589618798</v>
      </c>
      <c r="G99">
        <v>0.42399999999999999</v>
      </c>
      <c r="H99">
        <v>1.9E-2</v>
      </c>
      <c r="I99">
        <v>19.398109999999996</v>
      </c>
      <c r="J99" s="2">
        <v>45681</v>
      </c>
      <c r="K99" t="s">
        <v>419</v>
      </c>
      <c r="L99">
        <v>1</v>
      </c>
      <c r="M99">
        <v>8.8000000000000005E-3</v>
      </c>
      <c r="N99">
        <v>6.2727688598049944</v>
      </c>
      <c r="O99">
        <v>632.62205773382539</v>
      </c>
      <c r="P99">
        <v>0.42399999999999999</v>
      </c>
      <c r="Q99">
        <v>4.3E-3</v>
      </c>
      <c r="R99">
        <v>19.400860000000002</v>
      </c>
      <c r="S99" s="2">
        <v>45681</v>
      </c>
      <c r="T99" t="s">
        <v>539</v>
      </c>
      <c r="U99">
        <v>1</v>
      </c>
      <c r="V99">
        <v>9.7999999999999997E-3</v>
      </c>
      <c r="W99">
        <v>6.2741729239179653</v>
      </c>
      <c r="X99">
        <v>632.75291650915437</v>
      </c>
      <c r="Y99">
        <v>0.42399999999999999</v>
      </c>
      <c r="Z99">
        <v>4.3E-3</v>
      </c>
      <c r="AA99">
        <v>19.398539999999997</v>
      </c>
      <c r="AB99" s="2">
        <v>45681</v>
      </c>
      <c r="AC99" t="s">
        <v>659</v>
      </c>
      <c r="AD99">
        <v>2</v>
      </c>
      <c r="AE99">
        <v>2E-3</v>
      </c>
      <c r="AF99">
        <v>6.0286528390047822</v>
      </c>
      <c r="AG99">
        <v>609.87044459524577</v>
      </c>
      <c r="AH99">
        <v>0.42399999999999999</v>
      </c>
      <c r="AI99">
        <v>5.0000000000000001E-4</v>
      </c>
      <c r="AJ99">
        <v>19.799700000000001</v>
      </c>
      <c r="AK99" s="2">
        <v>45681</v>
      </c>
      <c r="AL99" t="s">
        <v>777</v>
      </c>
      <c r="AM99">
        <v>2</v>
      </c>
      <c r="AN99">
        <v>1.0200000000000001E-2</v>
      </c>
      <c r="AO99">
        <v>6.2736642608621356</v>
      </c>
      <c r="AP99">
        <v>632.70550911235114</v>
      </c>
      <c r="AQ99">
        <v>0.42399999999999999</v>
      </c>
      <c r="AR99">
        <v>4.3E-3</v>
      </c>
      <c r="AS99">
        <v>19.397599999999997</v>
      </c>
      <c r="AT99" s="2">
        <v>45681</v>
      </c>
      <c r="AU99" t="s">
        <v>897</v>
      </c>
      <c r="AV99">
        <v>2</v>
      </c>
      <c r="AW99">
        <v>1.06E-2</v>
      </c>
      <c r="AX99">
        <v>6.2738058917950994</v>
      </c>
      <c r="AY99">
        <v>632.71870911530323</v>
      </c>
      <c r="AZ99">
        <v>0.42399999999999999</v>
      </c>
      <c r="BA99">
        <v>4.3E-3</v>
      </c>
      <c r="BB99">
        <v>19.399300000000011</v>
      </c>
      <c r="BC99" s="2">
        <v>45681</v>
      </c>
      <c r="BD99" t="s">
        <v>1017</v>
      </c>
      <c r="BE99">
        <v>3</v>
      </c>
      <c r="BF99">
        <v>1.04E-2</v>
      </c>
      <c r="BG99">
        <v>6.273580774434719</v>
      </c>
      <c r="BH99">
        <v>632.69772817731587</v>
      </c>
      <c r="BI99">
        <v>0.42399999999999999</v>
      </c>
      <c r="BJ99">
        <v>4.3E-3</v>
      </c>
      <c r="BK99">
        <v>19.401100000000014</v>
      </c>
      <c r="BL99" s="2">
        <v>45681</v>
      </c>
      <c r="BM99" t="s">
        <v>1137</v>
      </c>
      <c r="BN99">
        <v>3</v>
      </c>
      <c r="BO99">
        <v>1.12E-2</v>
      </c>
      <c r="BP99">
        <v>6.2755752445067126</v>
      </c>
      <c r="BQ99">
        <v>632.88361278802563</v>
      </c>
      <c r="BR99">
        <v>0.42399999999999999</v>
      </c>
      <c r="BS99">
        <v>4.3E-3</v>
      </c>
      <c r="BT99">
        <v>19.396800000000013</v>
      </c>
      <c r="BU99" s="2">
        <v>45681</v>
      </c>
      <c r="BV99" t="s">
        <v>1257</v>
      </c>
      <c r="BW99">
        <v>4</v>
      </c>
      <c r="BX99">
        <v>1.0800000000000001E-2</v>
      </c>
      <c r="BY99">
        <v>6.2759346132324048</v>
      </c>
      <c r="BZ99">
        <v>632.91710595326015</v>
      </c>
      <c r="CA99">
        <v>0.42399999999999999</v>
      </c>
      <c r="CB99">
        <v>4.4000000000000003E-3</v>
      </c>
      <c r="CC99">
        <v>19.399699999999996</v>
      </c>
      <c r="CD99" s="2">
        <v>45681</v>
      </c>
      <c r="CE99" t="s">
        <v>1377</v>
      </c>
      <c r="CF99">
        <v>4</v>
      </c>
      <c r="CG99">
        <v>1.1900000000000001E-2</v>
      </c>
      <c r="CH99">
        <v>6.2756921417239262</v>
      </c>
      <c r="CI99">
        <v>632.89450760866998</v>
      </c>
      <c r="CJ99">
        <v>0.42399999999999999</v>
      </c>
      <c r="CK99">
        <v>4.3E-3</v>
      </c>
      <c r="CL99">
        <v>19.399300000000011</v>
      </c>
      <c r="CM99" s="2">
        <v>45681</v>
      </c>
      <c r="CN99" t="s">
        <v>1497</v>
      </c>
      <c r="CO99">
        <v>4</v>
      </c>
      <c r="CP99">
        <v>1.1900000000000001E-2</v>
      </c>
      <c r="CQ99">
        <v>6.2736472310906386</v>
      </c>
      <c r="CR99">
        <v>632.70392193764758</v>
      </c>
      <c r="CS99">
        <v>0.42399999999999999</v>
      </c>
      <c r="CT99">
        <v>4.3E-3</v>
      </c>
      <c r="CU99">
        <v>19.391400000000004</v>
      </c>
      <c r="CV99" s="2">
        <v>45681</v>
      </c>
      <c r="CW99" t="s">
        <v>1617</v>
      </c>
      <c r="CX99">
        <v>5</v>
      </c>
      <c r="CY99">
        <v>1.2E-2</v>
      </c>
      <c r="CZ99">
        <v>6.2723563338639812</v>
      </c>
      <c r="DA99">
        <v>632.5836103161231</v>
      </c>
      <c r="DB99">
        <v>0.42399999999999999</v>
      </c>
      <c r="DC99">
        <v>4.3E-3</v>
      </c>
      <c r="DD99">
        <v>19.400400000000047</v>
      </c>
      <c r="DE99" s="2">
        <v>45681</v>
      </c>
      <c r="DF99" t="s">
        <v>1737</v>
      </c>
      <c r="DG99">
        <v>5</v>
      </c>
      <c r="DH99">
        <v>1.24E-2</v>
      </c>
      <c r="DI99">
        <v>6.2731138748661373</v>
      </c>
      <c r="DJ99">
        <v>632.65421313752404</v>
      </c>
      <c r="DK99">
        <v>0.42399999999999999</v>
      </c>
      <c r="DL99">
        <v>4.3E-3</v>
      </c>
      <c r="DM99">
        <v>19.396900000000016</v>
      </c>
      <c r="DN99" s="2">
        <v>45681</v>
      </c>
      <c r="DO99" t="s">
        <v>1857</v>
      </c>
      <c r="DP99">
        <v>6</v>
      </c>
      <c r="DQ99">
        <v>4.7999999999999996E-3</v>
      </c>
      <c r="DR99">
        <v>6.027240300553137</v>
      </c>
      <c r="DS99">
        <v>609.73879601155238</v>
      </c>
      <c r="DT99">
        <v>0.42399999999999999</v>
      </c>
      <c r="DU99">
        <v>5.0000000000000001E-4</v>
      </c>
      <c r="DV99">
        <v>19.800000000000011</v>
      </c>
      <c r="DW99" s="2">
        <v>45681</v>
      </c>
      <c r="DX99" t="s">
        <v>1975</v>
      </c>
      <c r="DY99">
        <v>6</v>
      </c>
      <c r="DZ99">
        <v>1.1900000000000001E-2</v>
      </c>
      <c r="EA99">
        <v>6.2684640579467876</v>
      </c>
      <c r="EB99">
        <v>632.2208502006406</v>
      </c>
      <c r="EC99">
        <v>0.42399999999999999</v>
      </c>
      <c r="ED99">
        <v>4.1999999999999997E-3</v>
      </c>
      <c r="EE99">
        <v>19.402499999999975</v>
      </c>
    </row>
    <row r="100" spans="1:135" x14ac:dyDescent="0.3">
      <c r="A100" s="2">
        <v>45681</v>
      </c>
      <c r="B100" t="s">
        <v>295</v>
      </c>
      <c r="C100">
        <v>0</v>
      </c>
      <c r="D100">
        <v>1.8700000000000001E-2</v>
      </c>
      <c r="E100">
        <v>7.0676310927643833</v>
      </c>
      <c r="F100">
        <v>706.70321784564055</v>
      </c>
      <c r="G100">
        <v>0.42399999999999999</v>
      </c>
      <c r="H100">
        <v>1.67E-2</v>
      </c>
      <c r="I100">
        <v>19.598410000000001</v>
      </c>
      <c r="J100" s="2">
        <v>45681</v>
      </c>
      <c r="K100" t="s">
        <v>420</v>
      </c>
      <c r="L100">
        <v>1</v>
      </c>
      <c r="M100">
        <v>4.7999999999999996E-3</v>
      </c>
      <c r="N100">
        <v>6.1232783223727516</v>
      </c>
      <c r="O100">
        <v>618.6895396451406</v>
      </c>
      <c r="P100">
        <v>0.42399999999999999</v>
      </c>
      <c r="Q100">
        <v>2E-3</v>
      </c>
      <c r="R100">
        <v>19.601520000000001</v>
      </c>
      <c r="S100" s="2">
        <v>45681</v>
      </c>
      <c r="T100" t="s">
        <v>540</v>
      </c>
      <c r="U100">
        <v>1</v>
      </c>
      <c r="V100">
        <v>5.5999999999999999E-3</v>
      </c>
      <c r="W100">
        <v>6.1239633652048147</v>
      </c>
      <c r="X100">
        <v>618.75338563708874</v>
      </c>
      <c r="Y100">
        <v>0.42399999999999999</v>
      </c>
      <c r="Z100">
        <v>2E-3</v>
      </c>
      <c r="AA100">
        <v>19.599720000000005</v>
      </c>
      <c r="AB100" s="2">
        <v>45681</v>
      </c>
      <c r="AC100" t="s">
        <v>660</v>
      </c>
      <c r="AD100">
        <v>2</v>
      </c>
      <c r="AE100">
        <v>5.9999999999999995E-4</v>
      </c>
      <c r="AF100">
        <v>5.9957383576793948</v>
      </c>
      <c r="AG100">
        <v>606.80281493571965</v>
      </c>
      <c r="AH100">
        <v>0.42399999999999999</v>
      </c>
      <c r="AI100">
        <v>0</v>
      </c>
      <c r="AJ100">
        <v>20.001599999999996</v>
      </c>
      <c r="AK100" s="2">
        <v>45681</v>
      </c>
      <c r="AL100" t="s">
        <v>778</v>
      </c>
      <c r="AM100">
        <v>2</v>
      </c>
      <c r="AN100">
        <v>5.7999999999999996E-3</v>
      </c>
      <c r="AO100">
        <v>6.1245985756817074</v>
      </c>
      <c r="AP100">
        <v>618.81258725353507</v>
      </c>
      <c r="AQ100">
        <v>0.42399999999999999</v>
      </c>
      <c r="AR100">
        <v>2E-3</v>
      </c>
      <c r="AS100">
        <v>19.597200000000001</v>
      </c>
      <c r="AT100" s="2">
        <v>45681</v>
      </c>
      <c r="AU100" t="s">
        <v>898</v>
      </c>
      <c r="AV100">
        <v>2</v>
      </c>
      <c r="AW100">
        <v>6.1999999999999998E-3</v>
      </c>
      <c r="AX100">
        <v>6.1240781134270552</v>
      </c>
      <c r="AY100">
        <v>618.76408017140159</v>
      </c>
      <c r="AZ100">
        <v>0.42399999999999999</v>
      </c>
      <c r="BA100">
        <v>2E-3</v>
      </c>
      <c r="BB100">
        <v>19.599900000000019</v>
      </c>
      <c r="BC100" s="2">
        <v>45681</v>
      </c>
      <c r="BD100" t="s">
        <v>1018</v>
      </c>
      <c r="BE100">
        <v>3</v>
      </c>
      <c r="BF100">
        <v>7.0000000000000001E-3</v>
      </c>
      <c r="BG100">
        <v>6.1246409068280032</v>
      </c>
      <c r="BH100">
        <v>618.81653251636988</v>
      </c>
      <c r="BI100">
        <v>0.42399999999999999</v>
      </c>
      <c r="BJ100">
        <v>2E-3</v>
      </c>
      <c r="BK100">
        <v>19.600600000000014</v>
      </c>
      <c r="BL100" s="2">
        <v>45681</v>
      </c>
      <c r="BM100" t="s">
        <v>1138</v>
      </c>
      <c r="BN100">
        <v>3</v>
      </c>
      <c r="BO100">
        <v>6.7999999999999996E-3</v>
      </c>
      <c r="BP100">
        <v>6.1255084520446248</v>
      </c>
      <c r="BQ100">
        <v>618.8973877305591</v>
      </c>
      <c r="BR100">
        <v>0.42399999999999999</v>
      </c>
      <c r="BS100">
        <v>2E-3</v>
      </c>
      <c r="BT100">
        <v>19.597100000000012</v>
      </c>
      <c r="BU100" s="2">
        <v>45681</v>
      </c>
      <c r="BV100" t="s">
        <v>1258</v>
      </c>
      <c r="BW100">
        <v>4</v>
      </c>
      <c r="BX100">
        <v>7.1999999999999998E-3</v>
      </c>
      <c r="BY100">
        <v>6.1258670909229664</v>
      </c>
      <c r="BZ100">
        <v>618.93081287402049</v>
      </c>
      <c r="CA100">
        <v>0.42399999999999999</v>
      </c>
      <c r="CB100">
        <v>2E-3</v>
      </c>
      <c r="CC100">
        <v>19.599899999999991</v>
      </c>
      <c r="CD100" s="2">
        <v>45681</v>
      </c>
      <c r="CE100" t="s">
        <v>1378</v>
      </c>
      <c r="CF100">
        <v>4</v>
      </c>
      <c r="CG100">
        <v>7.1000000000000004E-3</v>
      </c>
      <c r="CH100">
        <v>6.124889257662355</v>
      </c>
      <c r="CI100">
        <v>618.8396788141315</v>
      </c>
      <c r="CJ100">
        <v>0.42399999999999999</v>
      </c>
      <c r="CK100">
        <v>2E-3</v>
      </c>
      <c r="CL100">
        <v>19.600799999999992</v>
      </c>
      <c r="CM100" s="2">
        <v>45681</v>
      </c>
      <c r="CN100" t="s">
        <v>1498</v>
      </c>
      <c r="CO100">
        <v>4</v>
      </c>
      <c r="CP100">
        <v>7.7999999999999996E-3</v>
      </c>
      <c r="CQ100">
        <v>6.1257575327263254</v>
      </c>
      <c r="CR100">
        <v>618.92060205009352</v>
      </c>
      <c r="CS100">
        <v>0.42399999999999999</v>
      </c>
      <c r="CT100">
        <v>2E-3</v>
      </c>
      <c r="CU100">
        <v>19.589000000000027</v>
      </c>
      <c r="CV100" s="2">
        <v>45681</v>
      </c>
      <c r="CW100" t="s">
        <v>1618</v>
      </c>
      <c r="CX100">
        <v>5</v>
      </c>
      <c r="CY100">
        <v>7.7999999999999996E-3</v>
      </c>
      <c r="CZ100">
        <v>6.1246225390030302</v>
      </c>
      <c r="DA100">
        <v>618.81482063508247</v>
      </c>
      <c r="DB100">
        <v>0.42399999999999999</v>
      </c>
      <c r="DC100">
        <v>2E-3</v>
      </c>
      <c r="DD100">
        <v>19.598400000000026</v>
      </c>
      <c r="DE100" s="2">
        <v>45681</v>
      </c>
      <c r="DF100" t="s">
        <v>1738</v>
      </c>
      <c r="DG100">
        <v>5</v>
      </c>
      <c r="DH100">
        <v>8.3999999999999995E-3</v>
      </c>
      <c r="DI100">
        <v>6.1228651882256164</v>
      </c>
      <c r="DJ100">
        <v>618.65103554262737</v>
      </c>
      <c r="DK100">
        <v>0.42399999999999999</v>
      </c>
      <c r="DL100">
        <v>2E-3</v>
      </c>
      <c r="DM100">
        <v>19.598599999999976</v>
      </c>
      <c r="DN100" s="2">
        <v>45681</v>
      </c>
      <c r="DO100" t="s">
        <v>1858</v>
      </c>
      <c r="DP100">
        <v>6</v>
      </c>
      <c r="DQ100">
        <v>1.9E-3</v>
      </c>
      <c r="DR100">
        <v>5.9957565239164756</v>
      </c>
      <c r="DS100">
        <v>606.80450802901555</v>
      </c>
      <c r="DT100">
        <v>0.42399999999999999</v>
      </c>
      <c r="DU100">
        <v>0</v>
      </c>
      <c r="DV100">
        <v>20.000400000000013</v>
      </c>
      <c r="DW100" s="2">
        <v>45681</v>
      </c>
      <c r="DX100" t="s">
        <v>1976</v>
      </c>
      <c r="DY100">
        <v>6</v>
      </c>
      <c r="DZ100">
        <v>8.8000000000000005E-3</v>
      </c>
      <c r="EA100">
        <v>6.1205986067333242</v>
      </c>
      <c r="EB100">
        <v>618.43979014754586</v>
      </c>
      <c r="EC100">
        <v>0.42399999999999999</v>
      </c>
      <c r="ED100">
        <v>1.9E-3</v>
      </c>
      <c r="EE100">
        <v>19.60250000000002</v>
      </c>
    </row>
    <row r="101" spans="1:135" x14ac:dyDescent="0.3">
      <c r="A101" s="2">
        <v>45681</v>
      </c>
      <c r="B101" t="s">
        <v>296</v>
      </c>
      <c r="C101">
        <v>0</v>
      </c>
      <c r="D101">
        <v>1.77E-2</v>
      </c>
      <c r="E101">
        <v>6.8801466891012959</v>
      </c>
      <c r="F101">
        <v>689.22967142424079</v>
      </c>
      <c r="G101">
        <v>0.42399999999999999</v>
      </c>
      <c r="H101">
        <v>1.37E-2</v>
      </c>
      <c r="I101">
        <v>19.797329999999995</v>
      </c>
      <c r="J101" s="2">
        <v>45681</v>
      </c>
      <c r="K101" t="s">
        <v>421</v>
      </c>
      <c r="L101">
        <v>1</v>
      </c>
      <c r="M101">
        <v>1.8E-3</v>
      </c>
      <c r="N101">
        <v>6.0282772271208458</v>
      </c>
      <c r="O101">
        <v>609.83543756766289</v>
      </c>
      <c r="P101">
        <v>0.42399999999999999</v>
      </c>
      <c r="Q101">
        <v>5.0000000000000001E-4</v>
      </c>
      <c r="R101">
        <v>19.800699999999999</v>
      </c>
      <c r="S101" s="2">
        <v>45681</v>
      </c>
      <c r="T101" t="s">
        <v>541</v>
      </c>
      <c r="U101">
        <v>1</v>
      </c>
      <c r="V101">
        <v>2E-3</v>
      </c>
      <c r="W101">
        <v>6.0288024374379816</v>
      </c>
      <c r="X101">
        <v>609.88438716921985</v>
      </c>
      <c r="Y101">
        <v>0.42399999999999999</v>
      </c>
      <c r="Z101">
        <v>5.0000000000000001E-4</v>
      </c>
      <c r="AA101">
        <v>19.798410000000004</v>
      </c>
      <c r="AB101" s="2">
        <v>45681</v>
      </c>
      <c r="AC101" t="s">
        <v>661</v>
      </c>
      <c r="AD101">
        <v>2</v>
      </c>
      <c r="AE101">
        <v>1E-4</v>
      </c>
      <c r="AF101">
        <v>6.0293284911342759</v>
      </c>
      <c r="AG101">
        <v>712.18327380864287</v>
      </c>
      <c r="AH101">
        <v>0.42399999999999999</v>
      </c>
      <c r="AI101">
        <v>5.0000000000000001E-4</v>
      </c>
      <c r="AJ101">
        <v>20.200800000000001</v>
      </c>
      <c r="AK101" s="2">
        <v>45681</v>
      </c>
      <c r="AL101" t="s">
        <v>779</v>
      </c>
      <c r="AM101">
        <v>2</v>
      </c>
      <c r="AN101">
        <v>2.3999999999999998E-3</v>
      </c>
      <c r="AO101">
        <v>6.0287801203279026</v>
      </c>
      <c r="AP101">
        <v>609.88230721456057</v>
      </c>
      <c r="AQ101">
        <v>0.42399999999999999</v>
      </c>
      <c r="AR101">
        <v>5.0000000000000001E-4</v>
      </c>
      <c r="AS101">
        <v>19.796999999999983</v>
      </c>
      <c r="AT101" s="2">
        <v>45681</v>
      </c>
      <c r="AU101" t="s">
        <v>899</v>
      </c>
      <c r="AV101">
        <v>2</v>
      </c>
      <c r="AW101">
        <v>2.5000000000000001E-3</v>
      </c>
      <c r="AX101">
        <v>6.0274867740579161</v>
      </c>
      <c r="AY101">
        <v>609.7617673421978</v>
      </c>
      <c r="AZ101">
        <v>0.42399999999999999</v>
      </c>
      <c r="BA101">
        <v>5.0000000000000001E-4</v>
      </c>
      <c r="BB101">
        <v>19.802800000000019</v>
      </c>
      <c r="BC101" s="2">
        <v>45681</v>
      </c>
      <c r="BD101" t="s">
        <v>1019</v>
      </c>
      <c r="BE101">
        <v>3</v>
      </c>
      <c r="BF101">
        <v>2.8999999999999998E-3</v>
      </c>
      <c r="BG101">
        <v>6.0292787885297452</v>
      </c>
      <c r="BH101">
        <v>609.92878309097227</v>
      </c>
      <c r="BI101">
        <v>0.42399999999999999</v>
      </c>
      <c r="BJ101">
        <v>5.0000000000000001E-4</v>
      </c>
      <c r="BK101">
        <v>19.798900000000003</v>
      </c>
      <c r="BL101" s="2">
        <v>45681</v>
      </c>
      <c r="BM101" t="s">
        <v>1139</v>
      </c>
      <c r="BN101">
        <v>3</v>
      </c>
      <c r="BO101">
        <v>3.0000000000000001E-3</v>
      </c>
      <c r="BP101">
        <v>6.0293847218178813</v>
      </c>
      <c r="BQ101">
        <v>609.9386560734265</v>
      </c>
      <c r="BR101">
        <v>0.42399999999999999</v>
      </c>
      <c r="BS101">
        <v>5.0000000000000001E-4</v>
      </c>
      <c r="BT101">
        <v>19.796500000000009</v>
      </c>
      <c r="BU101" s="2">
        <v>45681</v>
      </c>
      <c r="BV101" t="s">
        <v>1259</v>
      </c>
      <c r="BW101">
        <v>4</v>
      </c>
      <c r="BX101">
        <v>3.3E-3</v>
      </c>
      <c r="BY101">
        <v>6.0291441316936814</v>
      </c>
      <c r="BZ101">
        <v>609.91623307385112</v>
      </c>
      <c r="CA101">
        <v>0.42399999999999999</v>
      </c>
      <c r="CB101">
        <v>5.0000000000000001E-4</v>
      </c>
      <c r="CC101">
        <v>19.800600000000003</v>
      </c>
      <c r="CD101" s="2">
        <v>45681</v>
      </c>
      <c r="CE101" t="s">
        <v>1379</v>
      </c>
      <c r="CF101">
        <v>4</v>
      </c>
      <c r="CG101">
        <v>3.3999999999999998E-3</v>
      </c>
      <c r="CH101">
        <v>6.0294811549263443</v>
      </c>
      <c r="CI101">
        <v>609.94764363913532</v>
      </c>
      <c r="CJ101">
        <v>0.42399999999999999</v>
      </c>
      <c r="CK101">
        <v>5.0000000000000001E-4</v>
      </c>
      <c r="CL101">
        <v>19.798900000000003</v>
      </c>
      <c r="CM101" s="2">
        <v>45681</v>
      </c>
      <c r="CN101" t="s">
        <v>1499</v>
      </c>
      <c r="CO101">
        <v>4</v>
      </c>
      <c r="CP101">
        <v>3.5999999999999999E-3</v>
      </c>
      <c r="CQ101">
        <v>6.028659079199624</v>
      </c>
      <c r="CR101">
        <v>609.871026181405</v>
      </c>
      <c r="CS101">
        <v>0.42399999999999999</v>
      </c>
      <c r="CT101">
        <v>5.0000000000000001E-4</v>
      </c>
      <c r="CU101">
        <v>19.791000000000025</v>
      </c>
      <c r="CV101" s="2">
        <v>45681</v>
      </c>
      <c r="CW101" t="s">
        <v>1619</v>
      </c>
      <c r="CX101">
        <v>5</v>
      </c>
      <c r="CY101">
        <v>3.8999999999999998E-3</v>
      </c>
      <c r="CZ101">
        <v>6.0282690893228947</v>
      </c>
      <c r="DA101">
        <v>609.8346791248938</v>
      </c>
      <c r="DB101">
        <v>0.42399999999999999</v>
      </c>
      <c r="DC101">
        <v>5.0000000000000001E-4</v>
      </c>
      <c r="DD101">
        <v>19.79970000000003</v>
      </c>
      <c r="DE101" s="2">
        <v>45681</v>
      </c>
      <c r="DF101" t="s">
        <v>1739</v>
      </c>
      <c r="DG101">
        <v>5</v>
      </c>
      <c r="DH101">
        <v>4.3E-3</v>
      </c>
      <c r="DI101">
        <v>6.0282912036975986</v>
      </c>
      <c r="DJ101">
        <v>609.83674018461625</v>
      </c>
      <c r="DK101">
        <v>0.42399999999999999</v>
      </c>
      <c r="DL101">
        <v>5.0000000000000001E-4</v>
      </c>
      <c r="DM101">
        <v>19.7971</v>
      </c>
      <c r="DN101" s="2">
        <v>45681</v>
      </c>
      <c r="DO101" t="s">
        <v>1859</v>
      </c>
      <c r="DP101">
        <v>6</v>
      </c>
      <c r="DQ101">
        <v>1E-3</v>
      </c>
      <c r="DR101">
        <v>6.0308936487762068</v>
      </c>
      <c r="DS101">
        <v>712.33180726886201</v>
      </c>
      <c r="DT101">
        <v>0.42399999999999999</v>
      </c>
      <c r="DU101">
        <v>5.0000000000000001E-4</v>
      </c>
      <c r="DV101">
        <v>20.20150000000001</v>
      </c>
      <c r="DW101" s="2">
        <v>45681</v>
      </c>
      <c r="DX101" t="s">
        <v>1977</v>
      </c>
      <c r="DY101">
        <v>6</v>
      </c>
      <c r="DZ101">
        <v>4.7000000000000002E-3</v>
      </c>
      <c r="EA101">
        <v>6.0270569466800037</v>
      </c>
      <c r="EB101">
        <v>609.72170743057632</v>
      </c>
      <c r="EC101">
        <v>0.42399999999999999</v>
      </c>
      <c r="ED101">
        <v>5.0000000000000001E-4</v>
      </c>
      <c r="EE101">
        <v>19.801100000000019</v>
      </c>
    </row>
    <row r="102" spans="1:135" x14ac:dyDescent="0.3">
      <c r="A102" s="2">
        <v>45681</v>
      </c>
      <c r="B102" t="s">
        <v>297</v>
      </c>
      <c r="C102">
        <v>0</v>
      </c>
      <c r="D102">
        <v>1.5800000000000002E-2</v>
      </c>
      <c r="E102">
        <v>6.6696757431520632</v>
      </c>
      <c r="F102">
        <v>669.61377926177227</v>
      </c>
      <c r="G102">
        <v>0.42399999999999999</v>
      </c>
      <c r="H102">
        <v>1.0500000000000001E-2</v>
      </c>
      <c r="I102">
        <v>19.998869999999997</v>
      </c>
      <c r="J102" s="2">
        <v>45681</v>
      </c>
      <c r="K102" t="s">
        <v>422</v>
      </c>
      <c r="L102">
        <v>1</v>
      </c>
      <c r="M102">
        <v>5.0000000000000001E-4</v>
      </c>
      <c r="N102">
        <v>5.9957338463306149</v>
      </c>
      <c r="O102">
        <v>606.8023944780133</v>
      </c>
      <c r="P102">
        <v>0.42399999999999999</v>
      </c>
      <c r="Q102">
        <v>0</v>
      </c>
      <c r="R102">
        <v>19.99973</v>
      </c>
      <c r="S102" s="2">
        <v>45681</v>
      </c>
      <c r="T102" t="s">
        <v>542</v>
      </c>
      <c r="U102">
        <v>1</v>
      </c>
      <c r="V102">
        <v>2.0000000000000001E-4</v>
      </c>
      <c r="W102">
        <v>5.9957382771204646</v>
      </c>
      <c r="X102">
        <v>606.80280742762739</v>
      </c>
      <c r="Y102">
        <v>0.42399999999999999</v>
      </c>
      <c r="Z102">
        <v>0</v>
      </c>
      <c r="AA102">
        <v>20.000789999999995</v>
      </c>
      <c r="AB102" s="2">
        <v>45681</v>
      </c>
      <c r="AC102" t="s">
        <v>662</v>
      </c>
      <c r="AD102">
        <v>2</v>
      </c>
      <c r="AE102">
        <v>2.9999999999999997E-4</v>
      </c>
      <c r="AF102">
        <v>6.1260223051260514</v>
      </c>
      <c r="AG102">
        <v>721.35951675646231</v>
      </c>
      <c r="AH102">
        <v>0.42399999999999999</v>
      </c>
      <c r="AI102">
        <v>2E-3</v>
      </c>
      <c r="AJ102">
        <v>20.401200000000003</v>
      </c>
      <c r="AK102" s="2">
        <v>45681</v>
      </c>
      <c r="AL102" t="s">
        <v>780</v>
      </c>
      <c r="AM102">
        <v>2</v>
      </c>
      <c r="AN102">
        <v>5.9999999999999995E-4</v>
      </c>
      <c r="AO102">
        <v>5.9957396466344166</v>
      </c>
      <c r="AP102">
        <v>606.80293506632768</v>
      </c>
      <c r="AQ102">
        <v>0.42399999999999999</v>
      </c>
      <c r="AR102">
        <v>0</v>
      </c>
      <c r="AS102">
        <v>19.999600000000001</v>
      </c>
      <c r="AT102" s="2">
        <v>45681</v>
      </c>
      <c r="AU102" t="s">
        <v>900</v>
      </c>
      <c r="AV102">
        <v>2</v>
      </c>
      <c r="AW102">
        <v>1E-3</v>
      </c>
      <c r="AX102">
        <v>5.9957335643713243</v>
      </c>
      <c r="AY102">
        <v>606.8023681994074</v>
      </c>
      <c r="AZ102">
        <v>0.42399999999999999</v>
      </c>
      <c r="BA102">
        <v>0</v>
      </c>
      <c r="BB102">
        <v>19.998400000000004</v>
      </c>
      <c r="BC102" s="2">
        <v>45681</v>
      </c>
      <c r="BD102" t="s">
        <v>1020</v>
      </c>
      <c r="BE102">
        <v>3</v>
      </c>
      <c r="BF102">
        <v>5.9999999999999995E-4</v>
      </c>
      <c r="BG102">
        <v>5.9957334838115024</v>
      </c>
      <c r="BH102">
        <v>606.80236069123202</v>
      </c>
      <c r="BI102">
        <v>0.42399999999999999</v>
      </c>
      <c r="BJ102">
        <v>0</v>
      </c>
      <c r="BK102">
        <v>20.000200000000007</v>
      </c>
      <c r="BL102" s="2">
        <v>45681</v>
      </c>
      <c r="BM102" t="s">
        <v>1140</v>
      </c>
      <c r="BN102">
        <v>3</v>
      </c>
      <c r="BO102">
        <v>8.0000000000000004E-4</v>
      </c>
      <c r="BP102">
        <v>5.995734208849564</v>
      </c>
      <c r="BQ102">
        <v>606.80242826477934</v>
      </c>
      <c r="BR102">
        <v>0.42399999999999999</v>
      </c>
      <c r="BS102">
        <v>0</v>
      </c>
      <c r="BT102">
        <v>19.997399999999999</v>
      </c>
      <c r="BU102" s="2">
        <v>45681</v>
      </c>
      <c r="BV102" t="s">
        <v>1260</v>
      </c>
      <c r="BW102">
        <v>4</v>
      </c>
      <c r="BX102">
        <v>1.1000000000000001E-3</v>
      </c>
      <c r="BY102">
        <v>5.9957335240914063</v>
      </c>
      <c r="BZ102">
        <v>606.80236444531909</v>
      </c>
      <c r="CA102">
        <v>0.42399999999999999</v>
      </c>
      <c r="CB102">
        <v>0</v>
      </c>
      <c r="CC102">
        <v>20.001800000000003</v>
      </c>
      <c r="CD102" s="2">
        <v>45681</v>
      </c>
      <c r="CE102" t="s">
        <v>1380</v>
      </c>
      <c r="CF102">
        <v>4</v>
      </c>
      <c r="CG102">
        <v>1.5E-3</v>
      </c>
      <c r="CH102">
        <v>5.995733886610525</v>
      </c>
      <c r="CI102">
        <v>606.80239823210093</v>
      </c>
      <c r="CJ102">
        <v>0.42399999999999999</v>
      </c>
      <c r="CK102">
        <v>0</v>
      </c>
      <c r="CL102">
        <v>20.000200000000007</v>
      </c>
      <c r="CM102" s="2">
        <v>45681</v>
      </c>
      <c r="CN102" t="s">
        <v>1500</v>
      </c>
      <c r="CO102">
        <v>4</v>
      </c>
      <c r="CP102">
        <v>1.6000000000000001E-3</v>
      </c>
      <c r="CQ102">
        <v>5.9957335240914063</v>
      </c>
      <c r="CR102">
        <v>606.80236444531909</v>
      </c>
      <c r="CS102">
        <v>0.42399999999999999</v>
      </c>
      <c r="CT102">
        <v>0</v>
      </c>
      <c r="CU102">
        <v>19.990800000000007</v>
      </c>
      <c r="CV102" s="2">
        <v>45681</v>
      </c>
      <c r="CW102" t="s">
        <v>1620</v>
      </c>
      <c r="CX102">
        <v>5</v>
      </c>
      <c r="CY102">
        <v>1.8E-3</v>
      </c>
      <c r="CZ102">
        <v>5.9957336046511944</v>
      </c>
      <c r="DA102">
        <v>606.80237195349127</v>
      </c>
      <c r="DB102">
        <v>0.42399999999999999</v>
      </c>
      <c r="DC102">
        <v>0</v>
      </c>
      <c r="DD102">
        <v>19.998500000000035</v>
      </c>
      <c r="DE102" s="2">
        <v>45681</v>
      </c>
      <c r="DF102" t="s">
        <v>1740</v>
      </c>
      <c r="DG102">
        <v>5</v>
      </c>
      <c r="DH102">
        <v>1.9E-3</v>
      </c>
      <c r="DI102">
        <v>5.9957365853639084</v>
      </c>
      <c r="DJ102">
        <v>606.80264975591615</v>
      </c>
      <c r="DK102">
        <v>0.42399999999999999</v>
      </c>
      <c r="DL102">
        <v>0</v>
      </c>
      <c r="DM102">
        <v>19.997399999999971</v>
      </c>
      <c r="DN102" s="2">
        <v>45681</v>
      </c>
      <c r="DO102" t="s">
        <v>1860</v>
      </c>
      <c r="DP102">
        <v>6</v>
      </c>
      <c r="DQ102">
        <v>1.1000000000000001E-3</v>
      </c>
      <c r="DR102">
        <v>6.128234350802475</v>
      </c>
      <c r="DS102">
        <v>721.56943989115496</v>
      </c>
      <c r="DT102">
        <v>0.42399999999999999</v>
      </c>
      <c r="DU102">
        <v>2.0999999999999999E-3</v>
      </c>
      <c r="DV102">
        <v>20.400700000000029</v>
      </c>
      <c r="DW102" s="2">
        <v>45681</v>
      </c>
      <c r="DX102" t="s">
        <v>1978</v>
      </c>
      <c r="DY102">
        <v>6</v>
      </c>
      <c r="DZ102">
        <v>2.0999999999999999E-3</v>
      </c>
      <c r="EA102">
        <v>5.9957657480111131</v>
      </c>
      <c r="EB102">
        <v>606.80536771463574</v>
      </c>
      <c r="EC102">
        <v>0.42399999999999999</v>
      </c>
      <c r="ED102">
        <v>0</v>
      </c>
      <c r="EE102">
        <v>20.001899999999978</v>
      </c>
    </row>
    <row r="103" spans="1:135" x14ac:dyDescent="0.3">
      <c r="A103" s="2">
        <v>45681</v>
      </c>
      <c r="B103" t="s">
        <v>298</v>
      </c>
      <c r="C103">
        <v>0</v>
      </c>
      <c r="D103">
        <v>1.2699999999999999E-2</v>
      </c>
      <c r="E103">
        <v>6.4618857698015839</v>
      </c>
      <c r="F103">
        <v>650.24775374550768</v>
      </c>
      <c r="G103">
        <v>0.42399999999999999</v>
      </c>
      <c r="H103">
        <v>7.1999999999999998E-3</v>
      </c>
      <c r="I103">
        <v>20.197919999999996</v>
      </c>
      <c r="J103" s="2">
        <v>45681</v>
      </c>
      <c r="K103" t="s">
        <v>423</v>
      </c>
      <c r="L103">
        <v>1</v>
      </c>
      <c r="M103">
        <v>-5.0000000000000001E-4</v>
      </c>
      <c r="N103">
        <v>6.0295600189872109</v>
      </c>
      <c r="O103">
        <v>712.20524580188635</v>
      </c>
      <c r="P103">
        <v>0.42399999999999999</v>
      </c>
      <c r="Q103">
        <v>5.0000000000000001E-4</v>
      </c>
      <c r="R103">
        <v>20.201349999999998</v>
      </c>
      <c r="S103" s="2">
        <v>45681</v>
      </c>
      <c r="T103" t="s">
        <v>543</v>
      </c>
      <c r="U103">
        <v>1</v>
      </c>
      <c r="V103">
        <v>-5.0000000000000001E-4</v>
      </c>
      <c r="W103">
        <v>6.0288995922843807</v>
      </c>
      <c r="X103">
        <v>712.14257130778776</v>
      </c>
      <c r="Y103">
        <v>0.42399999999999999</v>
      </c>
      <c r="Z103">
        <v>5.0000000000000001E-4</v>
      </c>
      <c r="AA103">
        <v>20.198670000000007</v>
      </c>
      <c r="AB103" s="2">
        <v>45681</v>
      </c>
      <c r="AC103" t="s">
        <v>663</v>
      </c>
      <c r="AD103">
        <v>2</v>
      </c>
      <c r="AE103">
        <v>8.9999999999999998E-4</v>
      </c>
      <c r="AF103">
        <v>6.2757549085960198</v>
      </c>
      <c r="AG103">
        <v>735.56914082576236</v>
      </c>
      <c r="AH103">
        <v>0.42399999999999999</v>
      </c>
      <c r="AI103">
        <v>4.4000000000000003E-3</v>
      </c>
      <c r="AJ103">
        <v>20.600899999999996</v>
      </c>
      <c r="AK103" s="2">
        <v>45681</v>
      </c>
      <c r="AL103" t="s">
        <v>781</v>
      </c>
      <c r="AM103">
        <v>2</v>
      </c>
      <c r="AN103">
        <v>-2.0000000000000001E-4</v>
      </c>
      <c r="AO103">
        <v>6.0293220887511332</v>
      </c>
      <c r="AP103">
        <v>712.18266622248257</v>
      </c>
      <c r="AQ103">
        <v>0.42399999999999999</v>
      </c>
      <c r="AR103">
        <v>5.0000000000000001E-4</v>
      </c>
      <c r="AS103">
        <v>20.19850000000001</v>
      </c>
      <c r="AT103" s="2">
        <v>45681</v>
      </c>
      <c r="AU103" t="s">
        <v>901</v>
      </c>
      <c r="AV103">
        <v>2</v>
      </c>
      <c r="AW103">
        <v>5.0000000000000001E-4</v>
      </c>
      <c r="AX103">
        <v>6.0284861175418119</v>
      </c>
      <c r="AY103">
        <v>712.10333255471801</v>
      </c>
      <c r="AZ103">
        <v>0.42399999999999999</v>
      </c>
      <c r="BA103">
        <v>5.0000000000000001E-4</v>
      </c>
      <c r="BB103">
        <v>20.197700000000026</v>
      </c>
      <c r="BC103" s="2">
        <v>45681</v>
      </c>
      <c r="BD103" t="s">
        <v>1021</v>
      </c>
      <c r="BE103">
        <v>3</v>
      </c>
      <c r="BF103">
        <v>1E-4</v>
      </c>
      <c r="BG103">
        <v>6.0284956258308986</v>
      </c>
      <c r="BH103">
        <v>712.10423489135235</v>
      </c>
      <c r="BI103">
        <v>0.42399999999999999</v>
      </c>
      <c r="BJ103">
        <v>5.0000000000000001E-4</v>
      </c>
      <c r="BK103">
        <v>20.199300000000022</v>
      </c>
      <c r="BL103" s="2">
        <v>45681</v>
      </c>
      <c r="BM103" t="s">
        <v>1141</v>
      </c>
      <c r="BN103">
        <v>3</v>
      </c>
      <c r="BO103">
        <v>2.0000000000000001E-4</v>
      </c>
      <c r="BP103">
        <v>6.0288933115424621</v>
      </c>
      <c r="BQ103">
        <v>712.14197526537964</v>
      </c>
      <c r="BR103">
        <v>0.42399999999999999</v>
      </c>
      <c r="BS103">
        <v>5.0000000000000001E-4</v>
      </c>
      <c r="BT103">
        <v>20.198599999999999</v>
      </c>
      <c r="BU103" s="2">
        <v>45681</v>
      </c>
      <c r="BV103" t="s">
        <v>1261</v>
      </c>
      <c r="BW103">
        <v>4</v>
      </c>
      <c r="BX103">
        <v>1E-4</v>
      </c>
      <c r="BY103">
        <v>6.0283942419245786</v>
      </c>
      <c r="BZ103">
        <v>712.09461355864255</v>
      </c>
      <c r="CA103">
        <v>0.42399999999999999</v>
      </c>
      <c r="CB103">
        <v>5.0000000000000001E-4</v>
      </c>
      <c r="CC103">
        <v>20.200299999999999</v>
      </c>
      <c r="CD103" s="2">
        <v>45681</v>
      </c>
      <c r="CE103" t="s">
        <v>1381</v>
      </c>
      <c r="CF103">
        <v>4</v>
      </c>
      <c r="CG103">
        <v>4.0000000000000002E-4</v>
      </c>
      <c r="CH103">
        <v>6.0282392831680651</v>
      </c>
      <c r="CI103">
        <v>712.07990797264938</v>
      </c>
      <c r="CJ103">
        <v>0.42399999999999999</v>
      </c>
      <c r="CK103">
        <v>5.0000000000000001E-4</v>
      </c>
      <c r="CL103">
        <v>20.199100000000016</v>
      </c>
      <c r="CM103" s="2">
        <v>45681</v>
      </c>
      <c r="CN103" t="s">
        <v>1501</v>
      </c>
      <c r="CO103">
        <v>4</v>
      </c>
      <c r="CP103">
        <v>2.9999999999999997E-4</v>
      </c>
      <c r="CQ103">
        <v>6.0291842935714657</v>
      </c>
      <c r="CR103">
        <v>712.16958945993213</v>
      </c>
      <c r="CS103">
        <v>0.42399999999999999</v>
      </c>
      <c r="CT103">
        <v>5.0000000000000001E-4</v>
      </c>
      <c r="CU103">
        <v>20.191699999999997</v>
      </c>
      <c r="CV103" s="2">
        <v>45681</v>
      </c>
      <c r="CW103" t="s">
        <v>1621</v>
      </c>
      <c r="CX103">
        <v>5</v>
      </c>
      <c r="CY103">
        <v>2.9999999999999997E-4</v>
      </c>
      <c r="CZ103">
        <v>6.0294314888141809</v>
      </c>
      <c r="DA103">
        <v>712.19304828846577</v>
      </c>
      <c r="DB103">
        <v>0.42399999999999999</v>
      </c>
      <c r="DC103">
        <v>5.0000000000000001E-4</v>
      </c>
      <c r="DD103">
        <v>20.200000000000045</v>
      </c>
      <c r="DE103" s="2">
        <v>45681</v>
      </c>
      <c r="DF103" t="s">
        <v>1741</v>
      </c>
      <c r="DG103">
        <v>5</v>
      </c>
      <c r="DH103">
        <v>1E-3</v>
      </c>
      <c r="DI103">
        <v>6.0296214883529053</v>
      </c>
      <c r="DJ103">
        <v>712.21107924469072</v>
      </c>
      <c r="DK103">
        <v>0.42399999999999999</v>
      </c>
      <c r="DL103">
        <v>5.0000000000000001E-4</v>
      </c>
      <c r="DM103">
        <v>20.197999999999979</v>
      </c>
      <c r="DN103" s="2">
        <v>45681</v>
      </c>
      <c r="DO103" t="s">
        <v>1861</v>
      </c>
      <c r="DP103">
        <v>6</v>
      </c>
      <c r="DQ103">
        <v>1.1999999999999999E-3</v>
      </c>
      <c r="DR103">
        <v>6.2779736445398182</v>
      </c>
      <c r="DS103">
        <v>735.77969886682877</v>
      </c>
      <c r="DT103">
        <v>0.42399999999999999</v>
      </c>
      <c r="DU103">
        <v>4.4000000000000003E-3</v>
      </c>
      <c r="DV103">
        <v>20.599400000000003</v>
      </c>
      <c r="DW103" s="2">
        <v>45681</v>
      </c>
      <c r="DX103" t="s">
        <v>1979</v>
      </c>
      <c r="DY103">
        <v>6</v>
      </c>
      <c r="DZ103">
        <v>1.8E-3</v>
      </c>
      <c r="EA103">
        <v>6.0303279968064709</v>
      </c>
      <c r="EB103">
        <v>712.27812689693417</v>
      </c>
      <c r="EC103">
        <v>0.42399999999999999</v>
      </c>
      <c r="ED103">
        <v>5.0000000000000001E-4</v>
      </c>
      <c r="EE103">
        <v>20.200300000000027</v>
      </c>
    </row>
    <row r="104" spans="1:135" x14ac:dyDescent="0.3">
      <c r="A104" s="2">
        <v>45681</v>
      </c>
      <c r="B104" t="s">
        <v>299</v>
      </c>
      <c r="C104">
        <v>0</v>
      </c>
      <c r="D104">
        <v>8.6E-3</v>
      </c>
      <c r="E104">
        <v>6.2728438718937376</v>
      </c>
      <c r="F104">
        <v>632.62904886049637</v>
      </c>
      <c r="G104">
        <v>0.42399999999999999</v>
      </c>
      <c r="H104">
        <v>4.3E-3</v>
      </c>
      <c r="I104">
        <v>20.398829999999997</v>
      </c>
      <c r="J104" s="2">
        <v>45681</v>
      </c>
      <c r="K104" t="s">
        <v>424</v>
      </c>
      <c r="L104">
        <v>1</v>
      </c>
      <c r="M104">
        <v>-4.0000000000000002E-4</v>
      </c>
      <c r="N104">
        <v>6.1251803856608298</v>
      </c>
      <c r="O104">
        <v>721.27961859921277</v>
      </c>
      <c r="P104">
        <v>0.42399999999999999</v>
      </c>
      <c r="Q104">
        <v>2E-3</v>
      </c>
      <c r="R104">
        <v>20.39969</v>
      </c>
      <c r="S104" s="2">
        <v>45681</v>
      </c>
      <c r="T104" t="s">
        <v>544</v>
      </c>
      <c r="U104">
        <v>1</v>
      </c>
      <c r="V104">
        <v>-2.0000000000000001E-4</v>
      </c>
      <c r="W104">
        <v>6.1250621503901392</v>
      </c>
      <c r="X104">
        <v>721.2683980720243</v>
      </c>
      <c r="Y104">
        <v>0.42399999999999999</v>
      </c>
      <c r="Z104">
        <v>2E-3</v>
      </c>
      <c r="AA104">
        <v>20.398809999999997</v>
      </c>
      <c r="AB104" s="2">
        <v>45681</v>
      </c>
      <c r="AC104" t="s">
        <v>664</v>
      </c>
      <c r="AD104">
        <v>2</v>
      </c>
      <c r="AE104">
        <v>2.7000000000000001E-3</v>
      </c>
      <c r="AF104">
        <v>6.4641142370433791</v>
      </c>
      <c r="AG104">
        <v>753.44444109541666</v>
      </c>
      <c r="AH104">
        <v>0.42399999999999999</v>
      </c>
      <c r="AI104">
        <v>7.3000000000000001E-3</v>
      </c>
      <c r="AJ104">
        <v>20.800600000000003</v>
      </c>
      <c r="AK104" s="2">
        <v>45681</v>
      </c>
      <c r="AL104" t="s">
        <v>782</v>
      </c>
      <c r="AM104">
        <v>2</v>
      </c>
      <c r="AN104">
        <v>-2.9999999999999997E-4</v>
      </c>
      <c r="AO104">
        <v>6.1255114930752486</v>
      </c>
      <c r="AP104">
        <v>721.31104069284117</v>
      </c>
      <c r="AQ104">
        <v>0.42399999999999999</v>
      </c>
      <c r="AR104">
        <v>2E-3</v>
      </c>
      <c r="AS104">
        <v>20.39800000000001</v>
      </c>
      <c r="AT104" s="2">
        <v>45681</v>
      </c>
      <c r="AU104" t="s">
        <v>902</v>
      </c>
      <c r="AV104">
        <v>2</v>
      </c>
      <c r="AW104">
        <v>2.9999999999999997E-4</v>
      </c>
      <c r="AX104">
        <v>6.1253839725243857</v>
      </c>
      <c r="AY104">
        <v>721.29893899256422</v>
      </c>
      <c r="AZ104">
        <v>0.42399999999999999</v>
      </c>
      <c r="BA104">
        <v>2E-3</v>
      </c>
      <c r="BB104">
        <v>20.399600000000021</v>
      </c>
      <c r="BC104" s="2">
        <v>45681</v>
      </c>
      <c r="BD104" t="s">
        <v>1022</v>
      </c>
      <c r="BE104">
        <v>3</v>
      </c>
      <c r="BF104">
        <v>1E-4</v>
      </c>
      <c r="BG104">
        <v>6.1251047653659603</v>
      </c>
      <c r="BH104">
        <v>721.27244223322964</v>
      </c>
      <c r="BI104">
        <v>0.42399999999999999</v>
      </c>
      <c r="BJ104">
        <v>2E-3</v>
      </c>
      <c r="BK104">
        <v>20.400800000000004</v>
      </c>
      <c r="BL104" s="2">
        <v>45681</v>
      </c>
      <c r="BM104" t="s">
        <v>1142</v>
      </c>
      <c r="BN104">
        <v>3</v>
      </c>
      <c r="BO104">
        <v>2.9999999999999997E-4</v>
      </c>
      <c r="BP104">
        <v>6.1245774101085591</v>
      </c>
      <c r="BQ104">
        <v>721.22239621930225</v>
      </c>
      <c r="BR104">
        <v>0.42399999999999999</v>
      </c>
      <c r="BS104">
        <v>2E-3</v>
      </c>
      <c r="BT104">
        <v>20.397899999999993</v>
      </c>
      <c r="BU104" s="2">
        <v>45681</v>
      </c>
      <c r="BV104" t="s">
        <v>1262</v>
      </c>
      <c r="BW104">
        <v>4</v>
      </c>
      <c r="BX104">
        <v>4.0000000000000002E-4</v>
      </c>
      <c r="BY104">
        <v>6.1253111905247666</v>
      </c>
      <c r="BZ104">
        <v>721.2920319808004</v>
      </c>
      <c r="CA104">
        <v>0.42399999999999999</v>
      </c>
      <c r="CB104">
        <v>2E-3</v>
      </c>
      <c r="CC104">
        <v>20.4024</v>
      </c>
      <c r="CD104" s="2">
        <v>45681</v>
      </c>
      <c r="CE104" t="s">
        <v>1382</v>
      </c>
      <c r="CF104">
        <v>4</v>
      </c>
      <c r="CG104">
        <v>4.0000000000000002E-4</v>
      </c>
      <c r="CH104">
        <v>6.1240691930705564</v>
      </c>
      <c r="CI104">
        <v>721.17416642239584</v>
      </c>
      <c r="CJ104">
        <v>0.42399999999999999</v>
      </c>
      <c r="CK104">
        <v>2E-3</v>
      </c>
      <c r="CL104">
        <v>20.399699999999996</v>
      </c>
      <c r="CM104" s="2">
        <v>45681</v>
      </c>
      <c r="CN104" t="s">
        <v>1502</v>
      </c>
      <c r="CO104">
        <v>4</v>
      </c>
      <c r="CP104">
        <v>4.0000000000000002E-4</v>
      </c>
      <c r="CQ104">
        <v>6.1257366104356272</v>
      </c>
      <c r="CR104">
        <v>721.33240433034109</v>
      </c>
      <c r="CS104">
        <v>0.42399999999999999</v>
      </c>
      <c r="CT104">
        <v>2E-3</v>
      </c>
      <c r="CU104">
        <v>20.392099999999999</v>
      </c>
      <c r="CV104" s="2">
        <v>45681</v>
      </c>
      <c r="CW104" t="s">
        <v>1622</v>
      </c>
      <c r="CX104">
        <v>5</v>
      </c>
      <c r="CY104">
        <v>2.9999999999999997E-4</v>
      </c>
      <c r="CZ104">
        <v>6.125450996839354</v>
      </c>
      <c r="DA104">
        <v>721.3052996000547</v>
      </c>
      <c r="DB104">
        <v>0.42399999999999999</v>
      </c>
      <c r="DC104">
        <v>2E-3</v>
      </c>
      <c r="DD104">
        <v>20.399100000000033</v>
      </c>
      <c r="DE104" s="2">
        <v>45681</v>
      </c>
      <c r="DF104" t="s">
        <v>1742</v>
      </c>
      <c r="DG104">
        <v>5</v>
      </c>
      <c r="DH104">
        <v>1E-3</v>
      </c>
      <c r="DI104">
        <v>6.1274198006128744</v>
      </c>
      <c r="DJ104">
        <v>721.49213907816181</v>
      </c>
      <c r="DK104">
        <v>0.42399999999999999</v>
      </c>
      <c r="DL104">
        <v>2E-3</v>
      </c>
      <c r="DM104">
        <v>20.399699999999996</v>
      </c>
      <c r="DN104" s="2">
        <v>45681</v>
      </c>
      <c r="DO104" t="s">
        <v>1862</v>
      </c>
      <c r="DP104">
        <v>6</v>
      </c>
      <c r="DQ104">
        <v>2.3E-3</v>
      </c>
      <c r="DR104">
        <v>6.466245796775933</v>
      </c>
      <c r="DS104">
        <v>753.64672611403603</v>
      </c>
      <c r="DT104">
        <v>0.42399999999999999</v>
      </c>
      <c r="DU104">
        <v>7.3000000000000001E-3</v>
      </c>
      <c r="DV104">
        <v>20.798699999999997</v>
      </c>
      <c r="DW104" s="2">
        <v>45681</v>
      </c>
      <c r="DX104" t="s">
        <v>1980</v>
      </c>
      <c r="DY104">
        <v>6</v>
      </c>
      <c r="DZ104">
        <v>1.9E-3</v>
      </c>
      <c r="EA104">
        <v>6.1279095687317549</v>
      </c>
      <c r="EB104">
        <v>721.53861807264354</v>
      </c>
      <c r="EC104">
        <v>0.42399999999999999</v>
      </c>
      <c r="ED104">
        <v>2.0999999999999999E-3</v>
      </c>
      <c r="EE104">
        <v>20.400699999999972</v>
      </c>
    </row>
    <row r="105" spans="1:135" x14ac:dyDescent="0.3">
      <c r="A105" s="2">
        <v>45681</v>
      </c>
      <c r="B105" t="s">
        <v>300</v>
      </c>
      <c r="C105">
        <v>0</v>
      </c>
      <c r="D105">
        <v>4.4000000000000003E-3</v>
      </c>
      <c r="E105">
        <v>6.123819950200553</v>
      </c>
      <c r="F105">
        <v>618.7400193586916</v>
      </c>
      <c r="G105">
        <v>0.42399999999999999</v>
      </c>
      <c r="H105">
        <v>2E-3</v>
      </c>
      <c r="I105">
        <v>20.598700000000001</v>
      </c>
      <c r="J105" s="2">
        <v>45681</v>
      </c>
      <c r="K105" t="s">
        <v>425</v>
      </c>
      <c r="L105">
        <v>1</v>
      </c>
      <c r="M105">
        <v>5.0000000000000001E-4</v>
      </c>
      <c r="N105">
        <v>6.2757673565480436</v>
      </c>
      <c r="O105">
        <v>735.57032213640935</v>
      </c>
      <c r="P105">
        <v>0.42399999999999999</v>
      </c>
      <c r="Q105">
        <v>4.4000000000000003E-3</v>
      </c>
      <c r="R105">
        <v>20.60078</v>
      </c>
      <c r="S105" s="2">
        <v>45681</v>
      </c>
      <c r="T105" t="s">
        <v>545</v>
      </c>
      <c r="U105">
        <v>1</v>
      </c>
      <c r="V105">
        <v>8.9999999999999998E-4</v>
      </c>
      <c r="W105">
        <v>6.27537883447543</v>
      </c>
      <c r="X105">
        <v>735.53345139171836</v>
      </c>
      <c r="Y105">
        <v>0.42399999999999999</v>
      </c>
      <c r="Z105">
        <v>4.3E-3</v>
      </c>
      <c r="AA105">
        <v>20.599639999999994</v>
      </c>
      <c r="AB105" s="2">
        <v>45681</v>
      </c>
      <c r="AC105" t="s">
        <v>665</v>
      </c>
      <c r="AD105">
        <v>2</v>
      </c>
      <c r="AE105">
        <v>5.8999999999999999E-3</v>
      </c>
      <c r="AF105">
        <v>6.6740394193631634</v>
      </c>
      <c r="AG105">
        <v>773.36634089756421</v>
      </c>
      <c r="AH105">
        <v>0.42399999999999999</v>
      </c>
      <c r="AI105">
        <v>1.0500000000000001E-2</v>
      </c>
      <c r="AJ105">
        <v>21.001599999999996</v>
      </c>
      <c r="AK105" s="2">
        <v>45681</v>
      </c>
      <c r="AL105" t="s">
        <v>783</v>
      </c>
      <c r="AM105">
        <v>2</v>
      </c>
      <c r="AN105">
        <v>4.0000000000000002E-4</v>
      </c>
      <c r="AO105">
        <v>6.2751617454359003</v>
      </c>
      <c r="AP105">
        <v>735.51284964186698</v>
      </c>
      <c r="AQ105">
        <v>0.42399999999999999</v>
      </c>
      <c r="AR105">
        <v>4.3E-3</v>
      </c>
      <c r="AS105">
        <v>20.597899999999996</v>
      </c>
      <c r="AT105" s="2">
        <v>45681</v>
      </c>
      <c r="AU105" t="s">
        <v>903</v>
      </c>
      <c r="AV105">
        <v>2</v>
      </c>
      <c r="AW105">
        <v>5.9999999999999995E-4</v>
      </c>
      <c r="AX105">
        <v>6.2747943889364333</v>
      </c>
      <c r="AY105">
        <v>735.47798751006758</v>
      </c>
      <c r="AZ105">
        <v>0.42399999999999999</v>
      </c>
      <c r="BA105">
        <v>4.3E-3</v>
      </c>
      <c r="BB105">
        <v>20.599299999999999</v>
      </c>
      <c r="BC105" s="2">
        <v>45681</v>
      </c>
      <c r="BD105" t="s">
        <v>1023</v>
      </c>
      <c r="BE105">
        <v>3</v>
      </c>
      <c r="BF105">
        <v>6.9999999999999999E-4</v>
      </c>
      <c r="BG105">
        <v>6.2730518378413924</v>
      </c>
      <c r="BH105">
        <v>735.31261941114815</v>
      </c>
      <c r="BI105">
        <v>0.42399999999999999</v>
      </c>
      <c r="BJ105">
        <v>4.3E-3</v>
      </c>
      <c r="BK105">
        <v>20.598800000000011</v>
      </c>
      <c r="BL105" s="2">
        <v>45681</v>
      </c>
      <c r="BM105" t="s">
        <v>1143</v>
      </c>
      <c r="BN105">
        <v>3</v>
      </c>
      <c r="BO105">
        <v>1E-3</v>
      </c>
      <c r="BP105">
        <v>6.2738601437814454</v>
      </c>
      <c r="BQ105">
        <v>735.38932764485912</v>
      </c>
      <c r="BR105">
        <v>0.42399999999999999</v>
      </c>
      <c r="BS105">
        <v>4.3E-3</v>
      </c>
      <c r="BT105">
        <v>20.597800000000007</v>
      </c>
      <c r="BU105" s="2">
        <v>45681</v>
      </c>
      <c r="BV105" t="s">
        <v>1263</v>
      </c>
      <c r="BW105">
        <v>4</v>
      </c>
      <c r="BX105">
        <v>8.0000000000000004E-4</v>
      </c>
      <c r="BY105">
        <v>6.2726689112651277</v>
      </c>
      <c r="BZ105">
        <v>735.27627967906062</v>
      </c>
      <c r="CA105">
        <v>0.42399999999999999</v>
      </c>
      <c r="CB105">
        <v>4.3E-3</v>
      </c>
      <c r="CC105">
        <v>20.599699999999984</v>
      </c>
      <c r="CD105" s="2">
        <v>45681</v>
      </c>
      <c r="CE105" t="s">
        <v>1383</v>
      </c>
      <c r="CF105">
        <v>4</v>
      </c>
      <c r="CG105">
        <v>8.0000000000000004E-4</v>
      </c>
      <c r="CH105">
        <v>6.2720116431794386</v>
      </c>
      <c r="CI105">
        <v>735.21390493772878</v>
      </c>
      <c r="CJ105">
        <v>0.42399999999999999</v>
      </c>
      <c r="CK105">
        <v>4.3E-3</v>
      </c>
      <c r="CL105">
        <v>20.598199999999991</v>
      </c>
      <c r="CM105" s="2">
        <v>45681</v>
      </c>
      <c r="CN105" t="s">
        <v>1503</v>
      </c>
      <c r="CO105">
        <v>4</v>
      </c>
      <c r="CP105">
        <v>5.9999999999999995E-4</v>
      </c>
      <c r="CQ105">
        <v>6.2732352728086767</v>
      </c>
      <c r="CR105">
        <v>735.33002738954349</v>
      </c>
      <c r="CS105">
        <v>0.42399999999999999</v>
      </c>
      <c r="CT105">
        <v>4.3E-3</v>
      </c>
      <c r="CU105">
        <v>20.589399999999983</v>
      </c>
      <c r="CV105" s="2">
        <v>45681</v>
      </c>
      <c r="CW105" t="s">
        <v>1623</v>
      </c>
      <c r="CX105">
        <v>5</v>
      </c>
      <c r="CY105">
        <v>5.9999999999999995E-4</v>
      </c>
      <c r="CZ105">
        <v>6.274444224396766</v>
      </c>
      <c r="DA105">
        <v>735.44475689525314</v>
      </c>
      <c r="DB105">
        <v>0.42399999999999999</v>
      </c>
      <c r="DC105">
        <v>4.3E-3</v>
      </c>
      <c r="DD105">
        <v>20.598299999999995</v>
      </c>
      <c r="DE105" s="2">
        <v>45681</v>
      </c>
      <c r="DF105" t="s">
        <v>1743</v>
      </c>
      <c r="DG105">
        <v>5</v>
      </c>
      <c r="DH105">
        <v>1.1000000000000001E-3</v>
      </c>
      <c r="DI105">
        <v>6.2761065328303873</v>
      </c>
      <c r="DJ105">
        <v>735.60250996560376</v>
      </c>
      <c r="DK105">
        <v>0.42399999999999999</v>
      </c>
      <c r="DL105">
        <v>4.4000000000000003E-3</v>
      </c>
      <c r="DM105">
        <v>20.5976</v>
      </c>
      <c r="DN105" s="2">
        <v>45681</v>
      </c>
      <c r="DO105" t="s">
        <v>1863</v>
      </c>
      <c r="DP105">
        <v>6</v>
      </c>
      <c r="DQ105">
        <v>4.4000000000000003E-3</v>
      </c>
      <c r="DR105">
        <v>6.676731339672167</v>
      </c>
      <c r="DS105">
        <v>773.62180413488863</v>
      </c>
      <c r="DT105">
        <v>0.42399999999999999</v>
      </c>
      <c r="DU105">
        <v>1.06E-2</v>
      </c>
      <c r="DV105">
        <v>21.000100000000032</v>
      </c>
      <c r="DW105" s="2">
        <v>45681</v>
      </c>
      <c r="DX105" t="s">
        <v>1981</v>
      </c>
      <c r="DY105">
        <v>6</v>
      </c>
      <c r="DZ105">
        <v>1.9E-3</v>
      </c>
      <c r="EA105">
        <v>6.2785690783361376</v>
      </c>
      <c r="EB105">
        <v>735.83620553409946</v>
      </c>
      <c r="EC105">
        <v>0.42399999999999999</v>
      </c>
      <c r="ED105">
        <v>4.4000000000000003E-3</v>
      </c>
      <c r="EE105">
        <v>20.600599999999986</v>
      </c>
    </row>
    <row r="106" spans="1:135" x14ac:dyDescent="0.3">
      <c r="A106" s="2">
        <v>45681</v>
      </c>
      <c r="B106" t="s">
        <v>301</v>
      </c>
      <c r="C106">
        <v>0</v>
      </c>
      <c r="D106">
        <v>1.9E-3</v>
      </c>
      <c r="E106">
        <v>6.028084648788151</v>
      </c>
      <c r="F106">
        <v>609.81748926705563</v>
      </c>
      <c r="G106">
        <v>0.42399999999999999</v>
      </c>
      <c r="H106">
        <v>5.0000000000000001E-4</v>
      </c>
      <c r="I106">
        <v>20.799349999999997</v>
      </c>
      <c r="J106" s="2">
        <v>45681</v>
      </c>
      <c r="K106" t="s">
        <v>426</v>
      </c>
      <c r="L106">
        <v>1</v>
      </c>
      <c r="M106">
        <v>2.5000000000000001E-3</v>
      </c>
      <c r="N106">
        <v>6.4641434309373764</v>
      </c>
      <c r="O106">
        <v>753.44721159595701</v>
      </c>
      <c r="P106">
        <v>0.42399999999999999</v>
      </c>
      <c r="Q106">
        <v>7.3000000000000001E-3</v>
      </c>
      <c r="R106">
        <v>20.800519999999999</v>
      </c>
      <c r="S106" s="2">
        <v>45681</v>
      </c>
      <c r="T106" t="s">
        <v>546</v>
      </c>
      <c r="U106">
        <v>1</v>
      </c>
      <c r="V106">
        <v>3.0000000000000001E-3</v>
      </c>
      <c r="W106">
        <v>6.4637513407221627</v>
      </c>
      <c r="X106">
        <v>753.41000223453329</v>
      </c>
      <c r="Y106">
        <v>0.42399999999999999</v>
      </c>
      <c r="Z106">
        <v>7.3000000000000001E-3</v>
      </c>
      <c r="AA106">
        <v>20.799440000000004</v>
      </c>
      <c r="AB106" s="2">
        <v>45681</v>
      </c>
      <c r="AC106" t="s">
        <v>666</v>
      </c>
      <c r="AD106">
        <v>2</v>
      </c>
      <c r="AE106">
        <v>8.8999999999999999E-3</v>
      </c>
      <c r="AF106">
        <v>6.8809624962502216</v>
      </c>
      <c r="AG106">
        <v>793.00334089414605</v>
      </c>
      <c r="AH106">
        <v>0.42399999999999999</v>
      </c>
      <c r="AI106">
        <v>1.38E-2</v>
      </c>
      <c r="AJ106">
        <v>21.199799999999996</v>
      </c>
      <c r="AK106" s="2">
        <v>45681</v>
      </c>
      <c r="AL106" t="s">
        <v>784</v>
      </c>
      <c r="AM106">
        <v>2</v>
      </c>
      <c r="AN106">
        <v>2.0999999999999999E-3</v>
      </c>
      <c r="AO106">
        <v>6.4637120100594156</v>
      </c>
      <c r="AP106">
        <v>753.40626975463863</v>
      </c>
      <c r="AQ106">
        <v>0.42399999999999999</v>
      </c>
      <c r="AR106">
        <v>7.3000000000000001E-3</v>
      </c>
      <c r="AS106">
        <v>20.797899999999984</v>
      </c>
      <c r="AT106" s="2">
        <v>45681</v>
      </c>
      <c r="AU106" t="s">
        <v>904</v>
      </c>
      <c r="AV106">
        <v>2</v>
      </c>
      <c r="AW106">
        <v>2.2000000000000001E-3</v>
      </c>
      <c r="AX106">
        <v>6.4651944111212796</v>
      </c>
      <c r="AY106">
        <v>753.54694961540952</v>
      </c>
      <c r="AZ106">
        <v>0.42399999999999999</v>
      </c>
      <c r="BA106">
        <v>7.3000000000000001E-3</v>
      </c>
      <c r="BB106">
        <v>20.801200000000023</v>
      </c>
      <c r="BC106" s="2">
        <v>45681</v>
      </c>
      <c r="BD106" t="s">
        <v>1024</v>
      </c>
      <c r="BE106">
        <v>3</v>
      </c>
      <c r="BF106">
        <v>2.5999999999999999E-3</v>
      </c>
      <c r="BG106">
        <v>6.4631727339619651</v>
      </c>
      <c r="BH106">
        <v>753.35509245299056</v>
      </c>
      <c r="BI106">
        <v>0.42399999999999999</v>
      </c>
      <c r="BJ106">
        <v>7.3000000000000001E-3</v>
      </c>
      <c r="BK106">
        <v>20.80080000000001</v>
      </c>
      <c r="BL106" s="2">
        <v>45681</v>
      </c>
      <c r="BM106" t="s">
        <v>1144</v>
      </c>
      <c r="BN106">
        <v>3</v>
      </c>
      <c r="BO106">
        <v>2.2000000000000001E-3</v>
      </c>
      <c r="BP106">
        <v>6.4610452289369098</v>
      </c>
      <c r="BQ106">
        <v>753.15319222611276</v>
      </c>
      <c r="BR106">
        <v>0.42399999999999999</v>
      </c>
      <c r="BS106">
        <v>7.1999999999999998E-3</v>
      </c>
      <c r="BT106">
        <v>20.796699999999987</v>
      </c>
      <c r="BU106" s="2">
        <v>45681</v>
      </c>
      <c r="BV106" t="s">
        <v>1264</v>
      </c>
      <c r="BW106">
        <v>4</v>
      </c>
      <c r="BX106">
        <v>2.3999999999999998E-3</v>
      </c>
      <c r="BY106">
        <v>6.4607804565371847</v>
      </c>
      <c r="BZ106">
        <v>753.12806532537888</v>
      </c>
      <c r="CA106">
        <v>0.42399999999999999</v>
      </c>
      <c r="CB106">
        <v>7.1999999999999998E-3</v>
      </c>
      <c r="CC106">
        <v>20.799700000000001</v>
      </c>
      <c r="CD106" s="2">
        <v>45681</v>
      </c>
      <c r="CE106" t="s">
        <v>1384</v>
      </c>
      <c r="CF106">
        <v>4</v>
      </c>
      <c r="CG106">
        <v>2.2000000000000001E-3</v>
      </c>
      <c r="CH106">
        <v>6.4626334578645146</v>
      </c>
      <c r="CI106">
        <v>753.30391515134249</v>
      </c>
      <c r="CJ106">
        <v>0.42399999999999999</v>
      </c>
      <c r="CK106">
        <v>7.3000000000000001E-3</v>
      </c>
      <c r="CL106">
        <v>20.80080000000001</v>
      </c>
      <c r="CM106" s="2">
        <v>45681</v>
      </c>
      <c r="CN106" t="s">
        <v>1504</v>
      </c>
      <c r="CO106">
        <v>4</v>
      </c>
      <c r="CP106">
        <v>2E-3</v>
      </c>
      <c r="CQ106">
        <v>6.4619765952495731</v>
      </c>
      <c r="CR106">
        <v>753.24157888918455</v>
      </c>
      <c r="CS106">
        <v>0.42399999999999999</v>
      </c>
      <c r="CT106">
        <v>7.1999999999999998E-3</v>
      </c>
      <c r="CU106">
        <v>20.789900000000017</v>
      </c>
      <c r="CV106" s="2">
        <v>45681</v>
      </c>
      <c r="CW106" t="s">
        <v>1624</v>
      </c>
      <c r="CX106">
        <v>5</v>
      </c>
      <c r="CY106">
        <v>2E-3</v>
      </c>
      <c r="CZ106">
        <v>6.4647723160705688</v>
      </c>
      <c r="DA106">
        <v>753.50689279509697</v>
      </c>
      <c r="DB106">
        <v>0.42399999999999999</v>
      </c>
      <c r="DC106">
        <v>7.3000000000000001E-3</v>
      </c>
      <c r="DD106">
        <v>20.800200000000018</v>
      </c>
      <c r="DE106" s="2">
        <v>45681</v>
      </c>
      <c r="DF106" t="s">
        <v>1744</v>
      </c>
      <c r="DG106">
        <v>5</v>
      </c>
      <c r="DH106">
        <v>1.6000000000000001E-3</v>
      </c>
      <c r="DI106">
        <v>6.4640757173221317</v>
      </c>
      <c r="DJ106">
        <v>753.44078557387036</v>
      </c>
      <c r="DK106">
        <v>0.42399999999999999</v>
      </c>
      <c r="DL106">
        <v>7.3000000000000001E-3</v>
      </c>
      <c r="DM106">
        <v>20.796899999999994</v>
      </c>
      <c r="DN106" s="2">
        <v>45681</v>
      </c>
      <c r="DO106" t="s">
        <v>1864</v>
      </c>
      <c r="DP106">
        <v>6</v>
      </c>
      <c r="DQ106">
        <v>7.9000000000000008E-3</v>
      </c>
      <c r="DR106">
        <v>6.8863479587512284</v>
      </c>
      <c r="DS106">
        <v>793.51442128549161</v>
      </c>
      <c r="DT106">
        <v>0.42399999999999999</v>
      </c>
      <c r="DU106">
        <v>1.38E-2</v>
      </c>
      <c r="DV106">
        <v>21.201099999999997</v>
      </c>
      <c r="DW106" s="2">
        <v>45681</v>
      </c>
      <c r="DX106" t="s">
        <v>1982</v>
      </c>
      <c r="DY106">
        <v>6</v>
      </c>
      <c r="DZ106">
        <v>2.3E-3</v>
      </c>
      <c r="EA106">
        <v>6.4693034517014034</v>
      </c>
      <c r="EB106">
        <v>753.93689756646324</v>
      </c>
      <c r="EC106">
        <v>0.42399999999999999</v>
      </c>
      <c r="ED106">
        <v>7.4000000000000003E-3</v>
      </c>
      <c r="EE106">
        <v>20.802200000000028</v>
      </c>
    </row>
    <row r="107" spans="1:135" x14ac:dyDescent="0.3">
      <c r="A107" s="2">
        <v>45681</v>
      </c>
      <c r="B107" t="s">
        <v>302</v>
      </c>
      <c r="C107">
        <v>0</v>
      </c>
      <c r="D107">
        <v>5.0000000000000001E-4</v>
      </c>
      <c r="E107">
        <v>5.9957348936081623</v>
      </c>
      <c r="F107">
        <v>606.80249208428074</v>
      </c>
      <c r="G107">
        <v>0.42399999999999999</v>
      </c>
      <c r="H107">
        <v>0</v>
      </c>
      <c r="I107">
        <v>20.998419999999996</v>
      </c>
      <c r="J107" s="2">
        <v>45681</v>
      </c>
      <c r="K107" t="s">
        <v>427</v>
      </c>
      <c r="L107">
        <v>1</v>
      </c>
      <c r="M107">
        <v>6.1999999999999998E-3</v>
      </c>
      <c r="N107">
        <v>6.6726681172867872</v>
      </c>
      <c r="O107">
        <v>773.2362043305161</v>
      </c>
      <c r="P107">
        <v>0.42399999999999999</v>
      </c>
      <c r="Q107">
        <v>1.0500000000000001E-2</v>
      </c>
      <c r="R107">
        <v>21.000160000000001</v>
      </c>
      <c r="S107" s="2">
        <v>45681</v>
      </c>
      <c r="T107" t="s">
        <v>547</v>
      </c>
      <c r="U107">
        <v>1</v>
      </c>
      <c r="V107">
        <v>6.3E-3</v>
      </c>
      <c r="W107">
        <v>6.6735548818169574</v>
      </c>
      <c r="X107">
        <v>773.32035828442929</v>
      </c>
      <c r="Y107">
        <v>0.42399999999999999</v>
      </c>
      <c r="Z107">
        <v>1.0500000000000001E-2</v>
      </c>
      <c r="AA107">
        <v>21.000299999999996</v>
      </c>
      <c r="AB107" s="2">
        <v>45681</v>
      </c>
      <c r="AC107" t="s">
        <v>667</v>
      </c>
      <c r="AD107">
        <v>2</v>
      </c>
      <c r="AE107">
        <v>1.2E-2</v>
      </c>
      <c r="AF107">
        <v>7.0702516502213939</v>
      </c>
      <c r="AG107">
        <v>810.96688160601036</v>
      </c>
      <c r="AH107">
        <v>0.42399999999999999</v>
      </c>
      <c r="AI107">
        <v>1.67E-2</v>
      </c>
      <c r="AJ107">
        <v>21.400999999999996</v>
      </c>
      <c r="AK107" s="2">
        <v>45681</v>
      </c>
      <c r="AL107" t="s">
        <v>785</v>
      </c>
      <c r="AM107">
        <v>2</v>
      </c>
      <c r="AN107">
        <v>5.4000000000000003E-3</v>
      </c>
      <c r="AO107">
        <v>6.6731425180642452</v>
      </c>
      <c r="AP107">
        <v>773.28122496429694</v>
      </c>
      <c r="AQ107">
        <v>0.42399999999999999</v>
      </c>
      <c r="AR107">
        <v>1.0500000000000001E-2</v>
      </c>
      <c r="AS107">
        <v>20.99839999999999</v>
      </c>
      <c r="AT107" s="2">
        <v>45681</v>
      </c>
      <c r="AU107" t="s">
        <v>905</v>
      </c>
      <c r="AV107">
        <v>2</v>
      </c>
      <c r="AW107">
        <v>5.4999999999999997E-3</v>
      </c>
      <c r="AX107">
        <v>6.6753596321250424</v>
      </c>
      <c r="AY107">
        <v>773.49162908866651</v>
      </c>
      <c r="AZ107">
        <v>0.42399999999999999</v>
      </c>
      <c r="BA107">
        <v>1.06E-2</v>
      </c>
      <c r="BB107">
        <v>21.00230000000002</v>
      </c>
      <c r="BC107" s="2">
        <v>45681</v>
      </c>
      <c r="BD107" t="s">
        <v>1025</v>
      </c>
      <c r="BE107">
        <v>3</v>
      </c>
      <c r="BF107">
        <v>5.7000000000000002E-3</v>
      </c>
      <c r="BG107">
        <v>6.6703686926637493</v>
      </c>
      <c r="BH107">
        <v>773.01798893378987</v>
      </c>
      <c r="BI107">
        <v>0.42399999999999999</v>
      </c>
      <c r="BJ107">
        <v>1.0500000000000001E-2</v>
      </c>
      <c r="BK107">
        <v>20.999200000000002</v>
      </c>
      <c r="BL107" s="2">
        <v>45681</v>
      </c>
      <c r="BM107" t="s">
        <v>1145</v>
      </c>
      <c r="BN107">
        <v>3</v>
      </c>
      <c r="BO107">
        <v>5.4000000000000003E-3</v>
      </c>
      <c r="BP107">
        <v>6.671699042194378</v>
      </c>
      <c r="BQ107">
        <v>773.14423910424648</v>
      </c>
      <c r="BR107">
        <v>0.42399999999999999</v>
      </c>
      <c r="BS107">
        <v>1.0500000000000001E-2</v>
      </c>
      <c r="BT107">
        <v>20.998500000000007</v>
      </c>
      <c r="BU107" s="2">
        <v>45681</v>
      </c>
      <c r="BV107" t="s">
        <v>1265</v>
      </c>
      <c r="BW107">
        <v>4</v>
      </c>
      <c r="BX107">
        <v>5.4999999999999997E-3</v>
      </c>
      <c r="BY107">
        <v>6.672266295773575</v>
      </c>
      <c r="BZ107">
        <v>773.1980714689123</v>
      </c>
      <c r="CA107">
        <v>0.42399999999999999</v>
      </c>
      <c r="CB107">
        <v>1.0500000000000001E-2</v>
      </c>
      <c r="CC107">
        <v>21.002299999999991</v>
      </c>
      <c r="CD107" s="2">
        <v>45681</v>
      </c>
      <c r="CE107" t="s">
        <v>1385</v>
      </c>
      <c r="CF107">
        <v>4</v>
      </c>
      <c r="CG107">
        <v>5.1999999999999998E-3</v>
      </c>
      <c r="CH107">
        <v>6.6704412719279924</v>
      </c>
      <c r="CI107">
        <v>773.02487670596656</v>
      </c>
      <c r="CJ107">
        <v>0.42399999999999999</v>
      </c>
      <c r="CK107">
        <v>1.0500000000000001E-2</v>
      </c>
      <c r="CL107">
        <v>20.999899999999997</v>
      </c>
      <c r="CM107" s="2">
        <v>45681</v>
      </c>
      <c r="CN107" t="s">
        <v>1505</v>
      </c>
      <c r="CO107">
        <v>4</v>
      </c>
      <c r="CP107">
        <v>5.0000000000000001E-3</v>
      </c>
      <c r="CQ107">
        <v>6.6704311351592427</v>
      </c>
      <c r="CR107">
        <v>773.02391472661213</v>
      </c>
      <c r="CS107">
        <v>0.42399999999999999</v>
      </c>
      <c r="CT107">
        <v>1.0500000000000001E-2</v>
      </c>
      <c r="CU107">
        <v>20.989600000000024</v>
      </c>
      <c r="CV107" s="2">
        <v>45681</v>
      </c>
      <c r="CW107" t="s">
        <v>1625</v>
      </c>
      <c r="CX107">
        <v>5</v>
      </c>
      <c r="CY107">
        <v>4.8999999999999998E-3</v>
      </c>
      <c r="CZ107">
        <v>6.6714517050369002</v>
      </c>
      <c r="DA107">
        <v>773.12076680800192</v>
      </c>
      <c r="DB107">
        <v>0.42399999999999999</v>
      </c>
      <c r="DC107">
        <v>1.0500000000000001E-2</v>
      </c>
      <c r="DD107">
        <v>20.998000000000047</v>
      </c>
      <c r="DE107" s="2">
        <v>45681</v>
      </c>
      <c r="DF107" t="s">
        <v>1745</v>
      </c>
      <c r="DG107">
        <v>5</v>
      </c>
      <c r="DH107">
        <v>3.5999999999999999E-3</v>
      </c>
      <c r="DI107">
        <v>6.6739575142716712</v>
      </c>
      <c r="DJ107">
        <v>773.35856810438167</v>
      </c>
      <c r="DK107">
        <v>0.42399999999999999</v>
      </c>
      <c r="DL107">
        <v>1.0500000000000001E-2</v>
      </c>
      <c r="DM107">
        <v>20.997799999999984</v>
      </c>
      <c r="DN107" s="2">
        <v>45681</v>
      </c>
      <c r="DO107" t="s">
        <v>1865</v>
      </c>
      <c r="DP107">
        <v>6</v>
      </c>
      <c r="DQ107">
        <v>1.0699999999999999E-2</v>
      </c>
      <c r="DR107">
        <v>7.0713334461822948</v>
      </c>
      <c r="DS107">
        <v>811.06954404269982</v>
      </c>
      <c r="DT107">
        <v>0.42399999999999999</v>
      </c>
      <c r="DU107">
        <v>1.67E-2</v>
      </c>
      <c r="DV107">
        <v>21.398200000000031</v>
      </c>
      <c r="DW107" s="2">
        <v>45681</v>
      </c>
      <c r="DX107" t="s">
        <v>1983</v>
      </c>
      <c r="DY107">
        <v>6</v>
      </c>
      <c r="DZ107">
        <v>4.1999999999999997E-3</v>
      </c>
      <c r="EA107">
        <v>6.6787011165754864</v>
      </c>
      <c r="EB107">
        <v>773.80873596301365</v>
      </c>
      <c r="EC107">
        <v>0.42399999999999999</v>
      </c>
      <c r="ED107">
        <v>1.06E-2</v>
      </c>
      <c r="EE107">
        <v>21.002499999999998</v>
      </c>
    </row>
    <row r="108" spans="1:135" x14ac:dyDescent="0.3">
      <c r="A108" s="2">
        <v>45681</v>
      </c>
      <c r="B108" t="s">
        <v>303</v>
      </c>
      <c r="C108">
        <v>0</v>
      </c>
      <c r="D108">
        <v>-2.9999999999999997E-4</v>
      </c>
      <c r="E108">
        <v>6.0289833341583714</v>
      </c>
      <c r="F108">
        <v>712.15051841162938</v>
      </c>
      <c r="G108">
        <v>0.42399999999999999</v>
      </c>
      <c r="H108">
        <v>5.0000000000000001E-4</v>
      </c>
      <c r="I108">
        <v>21.197659999999999</v>
      </c>
      <c r="J108" s="2">
        <v>45681</v>
      </c>
      <c r="K108" t="s">
        <v>428</v>
      </c>
      <c r="L108">
        <v>1</v>
      </c>
      <c r="M108">
        <v>9.5999999999999992E-3</v>
      </c>
      <c r="N108">
        <v>6.8819084595098836</v>
      </c>
      <c r="O108">
        <v>793.09311280748796</v>
      </c>
      <c r="P108">
        <v>0.42399999999999999</v>
      </c>
      <c r="Q108">
        <v>1.38E-2</v>
      </c>
      <c r="R108">
        <v>21.200629999999997</v>
      </c>
      <c r="S108" s="2">
        <v>45681</v>
      </c>
      <c r="T108" t="s">
        <v>548</v>
      </c>
      <c r="U108">
        <v>1</v>
      </c>
      <c r="V108">
        <v>9.4999999999999998E-3</v>
      </c>
      <c r="W108">
        <v>6.8830887848630269</v>
      </c>
      <c r="X108">
        <v>793.20512568350125</v>
      </c>
      <c r="Y108">
        <v>0.42399999999999999</v>
      </c>
      <c r="Z108">
        <v>1.38E-2</v>
      </c>
      <c r="AA108">
        <v>21.201099999999997</v>
      </c>
      <c r="AB108" s="2">
        <v>45681</v>
      </c>
      <c r="AC108" t="s">
        <v>668</v>
      </c>
      <c r="AD108">
        <v>2</v>
      </c>
      <c r="AE108">
        <v>1.4500000000000001E-2</v>
      </c>
      <c r="AF108">
        <v>7.2180956114851114</v>
      </c>
      <c r="AG108">
        <v>824.99727352993716</v>
      </c>
      <c r="AH108">
        <v>0.42399999999999999</v>
      </c>
      <c r="AI108">
        <v>1.9E-2</v>
      </c>
      <c r="AJ108">
        <v>21.599000000000004</v>
      </c>
      <c r="AK108" s="2">
        <v>45681</v>
      </c>
      <c r="AL108" t="s">
        <v>786</v>
      </c>
      <c r="AM108">
        <v>2</v>
      </c>
      <c r="AN108">
        <v>8.9999999999999993E-3</v>
      </c>
      <c r="AO108">
        <v>6.8805018814782626</v>
      </c>
      <c r="AP108">
        <v>792.9596285522872</v>
      </c>
      <c r="AQ108">
        <v>0.42399999999999999</v>
      </c>
      <c r="AR108">
        <v>1.37E-2</v>
      </c>
      <c r="AS108">
        <v>21.196999999999989</v>
      </c>
      <c r="AT108" s="2">
        <v>45681</v>
      </c>
      <c r="AU108" t="s">
        <v>906</v>
      </c>
      <c r="AV108">
        <v>2</v>
      </c>
      <c r="AW108">
        <v>8.8000000000000005E-3</v>
      </c>
      <c r="AX108">
        <v>6.8810119636817157</v>
      </c>
      <c r="AY108">
        <v>793.00803535339492</v>
      </c>
      <c r="AZ108">
        <v>0.42399999999999999</v>
      </c>
      <c r="BA108">
        <v>1.38E-2</v>
      </c>
      <c r="BB108">
        <v>21.199400000000026</v>
      </c>
      <c r="BC108" s="2">
        <v>45681</v>
      </c>
      <c r="BD108" t="s">
        <v>1026</v>
      </c>
      <c r="BE108">
        <v>3</v>
      </c>
      <c r="BF108">
        <v>8.6E-3</v>
      </c>
      <c r="BG108">
        <v>6.8791090894521414</v>
      </c>
      <c r="BH108">
        <v>792.8274525890082</v>
      </c>
      <c r="BI108">
        <v>0.42399999999999999</v>
      </c>
      <c r="BJ108">
        <v>1.37E-2</v>
      </c>
      <c r="BK108">
        <v>21.199100000000016</v>
      </c>
      <c r="BL108" s="2">
        <v>45681</v>
      </c>
      <c r="BM108" t="s">
        <v>1146</v>
      </c>
      <c r="BN108">
        <v>3</v>
      </c>
      <c r="BO108">
        <v>8.5000000000000006E-3</v>
      </c>
      <c r="BP108">
        <v>6.8792956059971244</v>
      </c>
      <c r="BQ108">
        <v>792.8451530091271</v>
      </c>
      <c r="BR108">
        <v>0.42399999999999999</v>
      </c>
      <c r="BS108">
        <v>1.37E-2</v>
      </c>
      <c r="BT108">
        <v>21.197300000000013</v>
      </c>
      <c r="BU108" s="2">
        <v>45681</v>
      </c>
      <c r="BV108" t="s">
        <v>1266</v>
      </c>
      <c r="BW108">
        <v>4</v>
      </c>
      <c r="BX108">
        <v>9.7000000000000003E-3</v>
      </c>
      <c r="BY108">
        <v>7.1185034804084779</v>
      </c>
      <c r="BZ108">
        <v>815.54598029076465</v>
      </c>
      <c r="CA108">
        <v>0.42399999999999999</v>
      </c>
      <c r="CB108">
        <v>1.7399999999999999E-2</v>
      </c>
      <c r="CC108">
        <v>21.461700000000008</v>
      </c>
      <c r="CD108" s="2">
        <v>45681</v>
      </c>
      <c r="CE108" t="s">
        <v>1386</v>
      </c>
      <c r="CF108">
        <v>4</v>
      </c>
      <c r="CG108">
        <v>8.3999999999999995E-3</v>
      </c>
      <c r="CH108">
        <v>6.8777053497157707</v>
      </c>
      <c r="CI108">
        <v>792.69423768802665</v>
      </c>
      <c r="CJ108">
        <v>0.42399999999999999</v>
      </c>
      <c r="CK108">
        <v>1.37E-2</v>
      </c>
      <c r="CL108">
        <v>21.198299999999989</v>
      </c>
      <c r="CM108" s="2">
        <v>45681</v>
      </c>
      <c r="CN108" t="s">
        <v>1506</v>
      </c>
      <c r="CO108">
        <v>4</v>
      </c>
      <c r="CP108">
        <v>8.3000000000000001E-3</v>
      </c>
      <c r="CQ108">
        <v>6.8801491219257969</v>
      </c>
      <c r="CR108">
        <v>792.92615167075814</v>
      </c>
      <c r="CS108">
        <v>0.42399999999999999</v>
      </c>
      <c r="CT108">
        <v>1.37E-2</v>
      </c>
      <c r="CU108">
        <v>21.190399999999983</v>
      </c>
      <c r="CV108" s="2">
        <v>45681</v>
      </c>
      <c r="CW108" t="s">
        <v>1626</v>
      </c>
      <c r="CX108">
        <v>5</v>
      </c>
      <c r="CY108">
        <v>8.0999999999999996E-3</v>
      </c>
      <c r="CZ108">
        <v>6.8823743454015922</v>
      </c>
      <c r="DA108">
        <v>793.13732537861119</v>
      </c>
      <c r="DB108">
        <v>0.42399999999999999</v>
      </c>
      <c r="DC108">
        <v>1.38E-2</v>
      </c>
      <c r="DD108">
        <v>21.20010000000002</v>
      </c>
      <c r="DE108" s="2">
        <v>45681</v>
      </c>
      <c r="DF108" t="s">
        <v>1746</v>
      </c>
      <c r="DG108">
        <v>5</v>
      </c>
      <c r="DH108">
        <v>7.7000000000000002E-3</v>
      </c>
      <c r="DI108">
        <v>6.8825803245425723</v>
      </c>
      <c r="DJ108">
        <v>793.15687279909014</v>
      </c>
      <c r="DK108">
        <v>0.42399999999999999</v>
      </c>
      <c r="DL108">
        <v>1.38E-2</v>
      </c>
      <c r="DM108">
        <v>21.197699999999998</v>
      </c>
      <c r="DN108" s="2">
        <v>45681</v>
      </c>
      <c r="DO108" t="s">
        <v>1866</v>
      </c>
      <c r="DP108">
        <v>6</v>
      </c>
      <c r="DQ108">
        <v>1.3100000000000001E-2</v>
      </c>
      <c r="DR108">
        <v>7.2205774979456336</v>
      </c>
      <c r="DS108">
        <v>825.23280455504073</v>
      </c>
      <c r="DT108">
        <v>0.42399999999999999</v>
      </c>
      <c r="DU108">
        <v>1.9E-2</v>
      </c>
      <c r="DV108">
        <v>21.59899999999999</v>
      </c>
      <c r="DW108" s="2">
        <v>45681</v>
      </c>
      <c r="DX108" t="s">
        <v>1984</v>
      </c>
      <c r="DY108">
        <v>6</v>
      </c>
      <c r="DZ108">
        <v>8.0000000000000002E-3</v>
      </c>
      <c r="EA108">
        <v>6.8871593057219034</v>
      </c>
      <c r="EB108">
        <v>793.59141811300867</v>
      </c>
      <c r="EC108">
        <v>0.42399999999999999</v>
      </c>
      <c r="ED108">
        <v>1.3899999999999999E-2</v>
      </c>
      <c r="EE108">
        <v>21.202499999999986</v>
      </c>
    </row>
    <row r="109" spans="1:135" x14ac:dyDescent="0.3">
      <c r="A109" s="2">
        <v>45681</v>
      </c>
      <c r="B109" t="s">
        <v>304</v>
      </c>
      <c r="C109">
        <v>0</v>
      </c>
      <c r="D109">
        <v>-1E-4</v>
      </c>
      <c r="E109">
        <v>6.1255295365236222</v>
      </c>
      <c r="F109">
        <v>721.31275301609173</v>
      </c>
      <c r="G109">
        <v>0.42399999999999999</v>
      </c>
      <c r="H109">
        <v>2E-3</v>
      </c>
      <c r="I109">
        <v>21.398299999999999</v>
      </c>
      <c r="J109" s="2">
        <v>45681</v>
      </c>
      <c r="K109" t="s">
        <v>429</v>
      </c>
      <c r="L109">
        <v>1</v>
      </c>
      <c r="M109">
        <v>1.23E-2</v>
      </c>
      <c r="N109">
        <v>7.069064026394754</v>
      </c>
      <c r="O109">
        <v>810.85417610486218</v>
      </c>
      <c r="P109">
        <v>0.42399999999999999</v>
      </c>
      <c r="Q109">
        <v>1.67E-2</v>
      </c>
      <c r="R109">
        <v>21.399459999999998</v>
      </c>
      <c r="S109" s="2">
        <v>45681</v>
      </c>
      <c r="T109" t="s">
        <v>549</v>
      </c>
      <c r="U109">
        <v>1</v>
      </c>
      <c r="V109">
        <v>1.21E-2</v>
      </c>
      <c r="W109">
        <v>7.0712081557205568</v>
      </c>
      <c r="X109">
        <v>811.05765397788093</v>
      </c>
      <c r="Y109">
        <v>0.42399999999999999</v>
      </c>
      <c r="Z109">
        <v>1.67E-2</v>
      </c>
      <c r="AA109">
        <v>21.40128</v>
      </c>
      <c r="AB109" s="2">
        <v>45681</v>
      </c>
      <c r="AC109" t="s">
        <v>669</v>
      </c>
      <c r="AD109">
        <v>2</v>
      </c>
      <c r="AE109">
        <v>1.66E-2</v>
      </c>
      <c r="AF109">
        <v>7.3148664770835019</v>
      </c>
      <c r="AG109">
        <v>834.18082867522435</v>
      </c>
      <c r="AH109">
        <v>0.42399999999999999</v>
      </c>
      <c r="AI109">
        <v>2.0500000000000001E-2</v>
      </c>
      <c r="AJ109">
        <v>21.801200000000009</v>
      </c>
      <c r="AK109" s="2">
        <v>45681</v>
      </c>
      <c r="AL109" t="s">
        <v>787</v>
      </c>
      <c r="AM109">
        <v>2</v>
      </c>
      <c r="AN109">
        <v>1.14E-2</v>
      </c>
      <c r="AO109">
        <v>7.0701600138319023</v>
      </c>
      <c r="AP109">
        <v>810.95818531264752</v>
      </c>
      <c r="AQ109">
        <v>0.42399999999999999</v>
      </c>
      <c r="AR109">
        <v>1.67E-2</v>
      </c>
      <c r="AS109">
        <v>21.398600000000002</v>
      </c>
      <c r="AT109" s="2">
        <v>45681</v>
      </c>
      <c r="AU109" t="s">
        <v>907</v>
      </c>
      <c r="AV109">
        <v>2</v>
      </c>
      <c r="AW109">
        <v>1.18E-2</v>
      </c>
      <c r="AX109">
        <v>7.0678918104566124</v>
      </c>
      <c r="AY109">
        <v>810.74293281233247</v>
      </c>
      <c r="AZ109">
        <v>0.42399999999999999</v>
      </c>
      <c r="BA109">
        <v>1.67E-2</v>
      </c>
      <c r="BB109">
        <v>21.397700000000015</v>
      </c>
      <c r="BC109" s="2">
        <v>45681</v>
      </c>
      <c r="BD109" t="s">
        <v>1027</v>
      </c>
      <c r="BE109">
        <v>3</v>
      </c>
      <c r="BF109">
        <v>1.1599999999999999E-2</v>
      </c>
      <c r="BG109">
        <v>7.0681590156808349</v>
      </c>
      <c r="BH109">
        <v>810.76829058811131</v>
      </c>
      <c r="BI109">
        <v>0.42399999999999999</v>
      </c>
      <c r="BJ109">
        <v>1.67E-2</v>
      </c>
      <c r="BK109">
        <v>21.399600000000021</v>
      </c>
      <c r="BL109" s="2">
        <v>45681</v>
      </c>
      <c r="BM109" t="s">
        <v>1147</v>
      </c>
      <c r="BN109">
        <v>3</v>
      </c>
      <c r="BO109">
        <v>1.1599999999999999E-2</v>
      </c>
      <c r="BP109">
        <v>7.0692683836527346</v>
      </c>
      <c r="BQ109">
        <v>810.87356960864463</v>
      </c>
      <c r="BR109">
        <v>0.42399999999999999</v>
      </c>
      <c r="BS109">
        <v>1.67E-2</v>
      </c>
      <c r="BT109">
        <v>21.398899999999998</v>
      </c>
      <c r="BU109" s="2">
        <v>45681</v>
      </c>
      <c r="BV109" t="s">
        <v>1267</v>
      </c>
      <c r="BW109">
        <v>4</v>
      </c>
      <c r="BX109">
        <v>9.7999999999999997E-3</v>
      </c>
      <c r="BY109">
        <v>7.1226181975791016</v>
      </c>
      <c r="BZ109">
        <v>815.93646695025677</v>
      </c>
      <c r="CA109">
        <v>0.42399999999999999</v>
      </c>
      <c r="CB109">
        <v>1.7500000000000002E-2</v>
      </c>
      <c r="CC109">
        <v>21.46690000000001</v>
      </c>
      <c r="CD109" s="2">
        <v>45681</v>
      </c>
      <c r="CE109" t="s">
        <v>1387</v>
      </c>
      <c r="CF109">
        <v>4</v>
      </c>
      <c r="CG109">
        <v>1.12E-2</v>
      </c>
      <c r="CH109">
        <v>7.0665128044359884</v>
      </c>
      <c r="CI109">
        <v>810.61206514097523</v>
      </c>
      <c r="CJ109">
        <v>0.42399999999999999</v>
      </c>
      <c r="CK109">
        <v>1.66E-2</v>
      </c>
      <c r="CL109">
        <v>21.398300000000006</v>
      </c>
      <c r="CM109" s="2">
        <v>45681</v>
      </c>
      <c r="CN109" t="s">
        <v>1507</v>
      </c>
      <c r="CO109">
        <v>4</v>
      </c>
      <c r="CP109">
        <v>1.12E-2</v>
      </c>
      <c r="CQ109">
        <v>7.0674741755841497</v>
      </c>
      <c r="CR109">
        <v>810.70329926293584</v>
      </c>
      <c r="CS109">
        <v>0.42399999999999999</v>
      </c>
      <c r="CT109">
        <v>1.67E-2</v>
      </c>
      <c r="CU109">
        <v>21.389100000000013</v>
      </c>
      <c r="CV109" s="2">
        <v>45681</v>
      </c>
      <c r="CW109" t="s">
        <v>1627</v>
      </c>
      <c r="CX109">
        <v>5</v>
      </c>
      <c r="CY109">
        <v>1.0999999999999999E-2</v>
      </c>
      <c r="CZ109">
        <v>7.0693689403987241</v>
      </c>
      <c r="DA109">
        <v>810.88311244383897</v>
      </c>
      <c r="DB109">
        <v>0.42399999999999999</v>
      </c>
      <c r="DC109">
        <v>1.67E-2</v>
      </c>
      <c r="DD109">
        <v>21.398799999999994</v>
      </c>
      <c r="DE109" s="2">
        <v>45681</v>
      </c>
      <c r="DF109" t="s">
        <v>1747</v>
      </c>
      <c r="DG109">
        <v>5</v>
      </c>
      <c r="DH109">
        <v>1.0699999999999999E-2</v>
      </c>
      <c r="DI109">
        <v>7.0723718567729499</v>
      </c>
      <c r="DJ109">
        <v>811.16808920775293</v>
      </c>
      <c r="DK109">
        <v>0.42399999999999999</v>
      </c>
      <c r="DL109">
        <v>1.67E-2</v>
      </c>
      <c r="DM109">
        <v>21.399699999999996</v>
      </c>
      <c r="DN109" s="2">
        <v>45681</v>
      </c>
      <c r="DO109" t="s">
        <v>1867</v>
      </c>
      <c r="DP109">
        <v>6</v>
      </c>
      <c r="DQ109">
        <v>1.54E-2</v>
      </c>
      <c r="DR109">
        <v>7.3156603888119314</v>
      </c>
      <c r="DS109">
        <v>834.25617089825232</v>
      </c>
      <c r="DT109">
        <v>0.42399999999999999</v>
      </c>
      <c r="DU109">
        <v>2.0500000000000001E-2</v>
      </c>
      <c r="DV109">
        <v>21.799599999999998</v>
      </c>
      <c r="DW109" s="2">
        <v>45681</v>
      </c>
      <c r="DX109" t="s">
        <v>1985</v>
      </c>
      <c r="DY109">
        <v>6</v>
      </c>
      <c r="DZ109">
        <v>1.04E-2</v>
      </c>
      <c r="EA109">
        <v>7.0726208158134263</v>
      </c>
      <c r="EB109">
        <v>811.19171542069421</v>
      </c>
      <c r="EC109">
        <v>0.42399999999999999</v>
      </c>
      <c r="ED109">
        <v>1.67E-2</v>
      </c>
      <c r="EE109">
        <v>21.400199999999984</v>
      </c>
    </row>
    <row r="110" spans="1:135" x14ac:dyDescent="0.3">
      <c r="A110" s="2">
        <v>45681</v>
      </c>
      <c r="B110" t="s">
        <v>305</v>
      </c>
      <c r="C110">
        <v>0</v>
      </c>
      <c r="D110">
        <v>5.0000000000000001E-4</v>
      </c>
      <c r="E110">
        <v>6.2744185986453678</v>
      </c>
      <c r="F110">
        <v>735.4423250114454</v>
      </c>
      <c r="G110">
        <v>0.42399999999999999</v>
      </c>
      <c r="H110">
        <v>4.3E-3</v>
      </c>
      <c r="I110">
        <v>21.597270000000002</v>
      </c>
      <c r="J110" s="2">
        <v>45681</v>
      </c>
      <c r="K110" t="s">
        <v>430</v>
      </c>
      <c r="L110">
        <v>1</v>
      </c>
      <c r="M110">
        <v>1.47E-2</v>
      </c>
      <c r="N110">
        <v>7.2187589616320507</v>
      </c>
      <c r="O110">
        <v>825.06022545888163</v>
      </c>
      <c r="P110">
        <v>0.42399999999999999</v>
      </c>
      <c r="Q110">
        <v>1.9E-2</v>
      </c>
      <c r="R110">
        <v>21.599910000000001</v>
      </c>
      <c r="S110" s="2">
        <v>45681</v>
      </c>
      <c r="T110" t="s">
        <v>550</v>
      </c>
      <c r="U110">
        <v>1</v>
      </c>
      <c r="V110">
        <v>1.4500000000000001E-2</v>
      </c>
      <c r="W110">
        <v>7.2185318980120714</v>
      </c>
      <c r="X110">
        <v>825.03867712134559</v>
      </c>
      <c r="Y110">
        <v>0.42399999999999999</v>
      </c>
      <c r="Z110">
        <v>1.9E-2</v>
      </c>
      <c r="AA110">
        <v>21.598849999999999</v>
      </c>
      <c r="AB110" s="2">
        <v>45681</v>
      </c>
      <c r="AC110" t="s">
        <v>670</v>
      </c>
      <c r="AD110">
        <v>2</v>
      </c>
      <c r="AE110">
        <v>1.8200000000000001E-2</v>
      </c>
      <c r="AF110">
        <v>7.3473017042560347</v>
      </c>
      <c r="AG110">
        <v>837.25893173389773</v>
      </c>
      <c r="AH110">
        <v>0.42399999999999999</v>
      </c>
      <c r="AI110">
        <v>2.1000000000000001E-2</v>
      </c>
      <c r="AJ110">
        <v>22.000200000000007</v>
      </c>
      <c r="AK110" s="2">
        <v>45681</v>
      </c>
      <c r="AL110" t="s">
        <v>788</v>
      </c>
      <c r="AM110">
        <v>2</v>
      </c>
      <c r="AN110">
        <v>1.4200000000000001E-2</v>
      </c>
      <c r="AO110">
        <v>7.2187678819885504</v>
      </c>
      <c r="AP110">
        <v>825.06107200071347</v>
      </c>
      <c r="AQ110">
        <v>0.42399999999999999</v>
      </c>
      <c r="AR110">
        <v>1.9E-2</v>
      </c>
      <c r="AS110">
        <v>21.597699999999989</v>
      </c>
      <c r="AT110" s="2">
        <v>45681</v>
      </c>
      <c r="AU110" t="s">
        <v>908</v>
      </c>
      <c r="AV110">
        <v>2</v>
      </c>
      <c r="AW110">
        <v>1.4200000000000001E-2</v>
      </c>
      <c r="AX110">
        <v>7.2187982922947969</v>
      </c>
      <c r="AY110">
        <v>825.0639579387763</v>
      </c>
      <c r="AZ110">
        <v>0.42399999999999999</v>
      </c>
      <c r="BA110">
        <v>1.9E-2</v>
      </c>
      <c r="BB110">
        <v>21.599600000000009</v>
      </c>
      <c r="BC110" s="2">
        <v>45681</v>
      </c>
      <c r="BD110" t="s">
        <v>1028</v>
      </c>
      <c r="BE110">
        <v>3</v>
      </c>
      <c r="BF110">
        <v>1.4200000000000001E-2</v>
      </c>
      <c r="BG110">
        <v>7.2172331751999401</v>
      </c>
      <c r="BH110">
        <v>824.9154283264744</v>
      </c>
      <c r="BI110">
        <v>0.42399999999999999</v>
      </c>
      <c r="BJ110">
        <v>1.9E-2</v>
      </c>
      <c r="BK110">
        <v>21.598700000000008</v>
      </c>
      <c r="BL110" s="2">
        <v>45681</v>
      </c>
      <c r="BM110" t="s">
        <v>1148</v>
      </c>
      <c r="BN110">
        <v>3</v>
      </c>
      <c r="BO110">
        <v>1.3899999999999999E-2</v>
      </c>
      <c r="BP110">
        <v>7.2175555244461602</v>
      </c>
      <c r="BQ110">
        <v>824.94601926994062</v>
      </c>
      <c r="BR110">
        <v>0.42399999999999999</v>
      </c>
      <c r="BS110">
        <v>1.9E-2</v>
      </c>
      <c r="BT110">
        <v>21.597199999999987</v>
      </c>
      <c r="BU110" s="2">
        <v>45681</v>
      </c>
      <c r="BV110" t="s">
        <v>1268</v>
      </c>
      <c r="BW110">
        <v>4</v>
      </c>
      <c r="BX110">
        <v>1.2999999999999999E-2</v>
      </c>
      <c r="BY110">
        <v>7.2178044834866366</v>
      </c>
      <c r="BZ110">
        <v>824.9696454828819</v>
      </c>
      <c r="CA110">
        <v>0.42399999999999999</v>
      </c>
      <c r="CB110">
        <v>1.9E-2</v>
      </c>
      <c r="CC110">
        <v>21.600899999999996</v>
      </c>
      <c r="CD110" s="2">
        <v>45681</v>
      </c>
      <c r="CE110" t="s">
        <v>1388</v>
      </c>
      <c r="CF110">
        <v>4</v>
      </c>
      <c r="CG110">
        <v>1.38E-2</v>
      </c>
      <c r="CH110">
        <v>7.2170207085269586</v>
      </c>
      <c r="CI110">
        <v>824.89526523920847</v>
      </c>
      <c r="CJ110">
        <v>0.42399999999999999</v>
      </c>
      <c r="CK110">
        <v>1.9E-2</v>
      </c>
      <c r="CL110">
        <v>21.59899999999999</v>
      </c>
      <c r="CM110" s="2">
        <v>45681</v>
      </c>
      <c r="CN110" t="s">
        <v>1508</v>
      </c>
      <c r="CO110">
        <v>4</v>
      </c>
      <c r="CP110">
        <v>1.37E-2</v>
      </c>
      <c r="CQ110">
        <v>7.2182659092000954</v>
      </c>
      <c r="CR110">
        <v>825.01343478308911</v>
      </c>
      <c r="CS110">
        <v>0.42399999999999999</v>
      </c>
      <c r="CT110">
        <v>1.9E-2</v>
      </c>
      <c r="CU110">
        <v>21.590600000000023</v>
      </c>
      <c r="CV110" s="2">
        <v>45681</v>
      </c>
      <c r="CW110" t="s">
        <v>1628</v>
      </c>
      <c r="CX110">
        <v>5</v>
      </c>
      <c r="CY110">
        <v>1.35E-2</v>
      </c>
      <c r="CZ110">
        <v>7.2192033575740107</v>
      </c>
      <c r="DA110">
        <v>825.10239863377365</v>
      </c>
      <c r="DB110">
        <v>0.42399999999999999</v>
      </c>
      <c r="DC110">
        <v>1.9E-2</v>
      </c>
      <c r="DD110">
        <v>21.599600000000009</v>
      </c>
      <c r="DE110" s="2">
        <v>45681</v>
      </c>
      <c r="DF110" t="s">
        <v>1748</v>
      </c>
      <c r="DG110">
        <v>5</v>
      </c>
      <c r="DH110">
        <v>1.3299999999999999E-2</v>
      </c>
      <c r="DI110">
        <v>7.2209079566068546</v>
      </c>
      <c r="DJ110">
        <v>825.26416508199054</v>
      </c>
      <c r="DK110">
        <v>0.42399999999999999</v>
      </c>
      <c r="DL110">
        <v>1.9E-2</v>
      </c>
      <c r="DM110">
        <v>21.599800000000016</v>
      </c>
      <c r="DN110" s="2">
        <v>45681</v>
      </c>
      <c r="DO110" t="s">
        <v>1868</v>
      </c>
      <c r="DP110">
        <v>6</v>
      </c>
      <c r="DQ110">
        <v>1.6299999999999999E-2</v>
      </c>
      <c r="DR110">
        <v>7.3472879182505357</v>
      </c>
      <c r="DS110">
        <v>837.25762344197585</v>
      </c>
      <c r="DT110">
        <v>0.42399999999999999</v>
      </c>
      <c r="DU110">
        <v>2.1000000000000001E-2</v>
      </c>
      <c r="DV110">
        <v>21.999400000000037</v>
      </c>
      <c r="DW110" s="2">
        <v>45681</v>
      </c>
      <c r="DX110" t="s">
        <v>1986</v>
      </c>
      <c r="DY110">
        <v>6</v>
      </c>
      <c r="DZ110">
        <v>1.2999999999999999E-2</v>
      </c>
      <c r="EA110">
        <v>7.2214119567490567</v>
      </c>
      <c r="EB110">
        <v>825.31199469548551</v>
      </c>
      <c r="EC110">
        <v>0.42399999999999999</v>
      </c>
      <c r="ED110">
        <v>1.9E-2</v>
      </c>
      <c r="EE110">
        <v>21.600799999999992</v>
      </c>
    </row>
    <row r="111" spans="1:135" x14ac:dyDescent="0.3">
      <c r="A111" s="2">
        <v>45681</v>
      </c>
      <c r="B111" t="s">
        <v>306</v>
      </c>
      <c r="C111">
        <v>0</v>
      </c>
      <c r="D111">
        <v>2.5000000000000001E-3</v>
      </c>
      <c r="E111">
        <v>6.4654863500612523</v>
      </c>
      <c r="F111">
        <v>753.57465462081291</v>
      </c>
      <c r="G111">
        <v>0.42399999999999999</v>
      </c>
      <c r="H111">
        <v>7.3000000000000001E-3</v>
      </c>
      <c r="I111">
        <v>21.799900000000001</v>
      </c>
      <c r="J111" s="2">
        <v>45681</v>
      </c>
      <c r="K111" t="s">
        <v>431</v>
      </c>
      <c r="L111">
        <v>1</v>
      </c>
      <c r="M111">
        <v>1.7399999999999999E-2</v>
      </c>
      <c r="N111">
        <v>7.3150055535507406</v>
      </c>
      <c r="O111">
        <v>834.19402703196545</v>
      </c>
      <c r="P111">
        <v>0.42399999999999999</v>
      </c>
      <c r="Q111">
        <v>2.0500000000000001E-2</v>
      </c>
      <c r="R111">
        <v>21.801459999999999</v>
      </c>
      <c r="S111" s="2">
        <v>45681</v>
      </c>
      <c r="T111" t="s">
        <v>551</v>
      </c>
      <c r="U111">
        <v>1</v>
      </c>
      <c r="V111">
        <v>1.67E-2</v>
      </c>
      <c r="W111">
        <v>7.3141909628140658</v>
      </c>
      <c r="X111">
        <v>834.11672237105483</v>
      </c>
      <c r="Y111">
        <v>0.42399999999999999</v>
      </c>
      <c r="Z111">
        <v>2.0500000000000001E-2</v>
      </c>
      <c r="AA111">
        <v>21.798280000000005</v>
      </c>
      <c r="AB111" s="2">
        <v>45681</v>
      </c>
      <c r="AC111" t="s">
        <v>671</v>
      </c>
      <c r="AD111">
        <v>2</v>
      </c>
      <c r="AE111">
        <v>1.9E-2</v>
      </c>
      <c r="AF111">
        <v>7.3139780906703349</v>
      </c>
      <c r="AG111">
        <v>729.66275805047519</v>
      </c>
      <c r="AH111">
        <v>0.42399999999999999</v>
      </c>
      <c r="AI111">
        <v>2.0500000000000001E-2</v>
      </c>
      <c r="AJ111">
        <v>22.200000000000003</v>
      </c>
      <c r="AK111" s="2">
        <v>45681</v>
      </c>
      <c r="AL111" t="s">
        <v>789</v>
      </c>
      <c r="AM111">
        <v>2</v>
      </c>
      <c r="AN111">
        <v>1.6400000000000001E-2</v>
      </c>
      <c r="AO111">
        <v>7.3143312556935518</v>
      </c>
      <c r="AP111">
        <v>834.13003616531807</v>
      </c>
      <c r="AQ111">
        <v>0.42399999999999999</v>
      </c>
      <c r="AR111">
        <v>2.0500000000000001E-2</v>
      </c>
      <c r="AS111">
        <v>21.797199999999989</v>
      </c>
      <c r="AT111" s="2">
        <v>45681</v>
      </c>
      <c r="AU111" t="s">
        <v>909</v>
      </c>
      <c r="AV111">
        <v>2</v>
      </c>
      <c r="AW111">
        <v>1.6199999999999999E-2</v>
      </c>
      <c r="AX111">
        <v>7.3143596386460494</v>
      </c>
      <c r="AY111">
        <v>834.13272970751007</v>
      </c>
      <c r="AZ111">
        <v>0.42399999999999999</v>
      </c>
      <c r="BA111">
        <v>2.0500000000000001E-2</v>
      </c>
      <c r="BB111">
        <v>21.79910000000001</v>
      </c>
      <c r="BC111" s="2">
        <v>45681</v>
      </c>
      <c r="BD111" t="s">
        <v>1029</v>
      </c>
      <c r="BE111">
        <v>3</v>
      </c>
      <c r="BF111">
        <v>1.6E-2</v>
      </c>
      <c r="BG111">
        <v>7.3138617205650949</v>
      </c>
      <c r="BH111">
        <v>834.0854772816275</v>
      </c>
      <c r="BI111">
        <v>0.42399999999999999</v>
      </c>
      <c r="BJ111">
        <v>2.0500000000000001E-2</v>
      </c>
      <c r="BK111">
        <v>21.799200000000013</v>
      </c>
      <c r="BL111" s="2">
        <v>45681</v>
      </c>
      <c r="BM111" t="s">
        <v>1149</v>
      </c>
      <c r="BN111">
        <v>3</v>
      </c>
      <c r="BO111">
        <v>1.5900000000000001E-2</v>
      </c>
      <c r="BP111">
        <v>7.3142931414430574</v>
      </c>
      <c r="BQ111">
        <v>834.12641912294612</v>
      </c>
      <c r="BR111">
        <v>0.42399999999999999</v>
      </c>
      <c r="BS111">
        <v>2.0500000000000001E-2</v>
      </c>
      <c r="BT111">
        <v>21.79849999999999</v>
      </c>
      <c r="BU111" s="2">
        <v>45681</v>
      </c>
      <c r="BV111" t="s">
        <v>1269</v>
      </c>
      <c r="BW111">
        <v>4</v>
      </c>
      <c r="BX111">
        <v>1.5699999999999999E-2</v>
      </c>
      <c r="BY111">
        <v>7.3140348565753284</v>
      </c>
      <c r="BZ111">
        <v>834.10190788899865</v>
      </c>
      <c r="CA111">
        <v>0.42399999999999999</v>
      </c>
      <c r="CB111">
        <v>2.0500000000000001E-2</v>
      </c>
      <c r="CC111">
        <v>21.800999999999988</v>
      </c>
      <c r="CD111" s="2">
        <v>45681</v>
      </c>
      <c r="CE111" t="s">
        <v>1389</v>
      </c>
      <c r="CF111">
        <v>4</v>
      </c>
      <c r="CG111">
        <v>1.5599999999999999E-2</v>
      </c>
      <c r="CH111">
        <v>7.3140441824025793</v>
      </c>
      <c r="CI111">
        <v>834.10279291000484</v>
      </c>
      <c r="CJ111">
        <v>0.42399999999999999</v>
      </c>
      <c r="CK111">
        <v>2.0500000000000001E-2</v>
      </c>
      <c r="CL111">
        <v>21.800299999999993</v>
      </c>
      <c r="CM111" s="2">
        <v>45681</v>
      </c>
      <c r="CN111" t="s">
        <v>1509</v>
      </c>
      <c r="CO111">
        <v>4</v>
      </c>
      <c r="CP111">
        <v>1.5800000000000002E-2</v>
      </c>
      <c r="CQ111">
        <v>7.3141240601403226</v>
      </c>
      <c r="CR111">
        <v>834.11037330731665</v>
      </c>
      <c r="CS111">
        <v>0.42399999999999999</v>
      </c>
      <c r="CT111">
        <v>2.0500000000000001E-2</v>
      </c>
      <c r="CU111">
        <v>21.790299999999974</v>
      </c>
      <c r="CV111" s="2">
        <v>45681</v>
      </c>
      <c r="CW111" t="s">
        <v>1629</v>
      </c>
      <c r="CX111">
        <v>5</v>
      </c>
      <c r="CY111">
        <v>1.55E-2</v>
      </c>
      <c r="CZ111">
        <v>7.3149455438797446</v>
      </c>
      <c r="DA111">
        <v>834.18833211418792</v>
      </c>
      <c r="DB111">
        <v>0.42399999999999999</v>
      </c>
      <c r="DC111">
        <v>2.0500000000000001E-2</v>
      </c>
      <c r="DD111">
        <v>21.80030000000005</v>
      </c>
      <c r="DE111" s="2">
        <v>45681</v>
      </c>
      <c r="DF111" t="s">
        <v>1749</v>
      </c>
      <c r="DG111">
        <v>5</v>
      </c>
      <c r="DH111">
        <v>1.54E-2</v>
      </c>
      <c r="DI111">
        <v>7.3147659203375133</v>
      </c>
      <c r="DJ111">
        <v>834.17128584003001</v>
      </c>
      <c r="DK111">
        <v>0.42399999999999999</v>
      </c>
      <c r="DL111">
        <v>2.0500000000000001E-2</v>
      </c>
      <c r="DM111">
        <v>21.7971</v>
      </c>
      <c r="DN111" s="2">
        <v>45681</v>
      </c>
      <c r="DO111" t="s">
        <v>1869</v>
      </c>
      <c r="DP111">
        <v>6</v>
      </c>
      <c r="DQ111">
        <v>1.7399999999999999E-2</v>
      </c>
      <c r="DR111">
        <v>7.3129891475111739</v>
      </c>
      <c r="DS111">
        <v>729.57058854804143</v>
      </c>
      <c r="DT111">
        <v>0.42399999999999999</v>
      </c>
      <c r="DU111">
        <v>2.0500000000000001E-2</v>
      </c>
      <c r="DV111">
        <v>22.198900000000037</v>
      </c>
      <c r="DW111" s="2">
        <v>45681</v>
      </c>
      <c r="DX111" t="s">
        <v>1987</v>
      </c>
      <c r="DY111">
        <v>6</v>
      </c>
      <c r="DZ111">
        <v>1.5100000000000001E-2</v>
      </c>
      <c r="EA111">
        <v>7.3158444725324134</v>
      </c>
      <c r="EB111">
        <v>834.27364044332603</v>
      </c>
      <c r="EC111">
        <v>0.42399999999999999</v>
      </c>
      <c r="ED111">
        <v>2.0500000000000001E-2</v>
      </c>
      <c r="EE111">
        <v>21.800700000000006</v>
      </c>
    </row>
    <row r="112" spans="1:135" x14ac:dyDescent="0.3">
      <c r="A112" s="2">
        <v>45681</v>
      </c>
      <c r="B112" t="s">
        <v>307</v>
      </c>
      <c r="C112">
        <v>0</v>
      </c>
      <c r="D112">
        <v>6.1999999999999998E-3</v>
      </c>
      <c r="E112">
        <v>6.6743333856568867</v>
      </c>
      <c r="F112">
        <v>773.39423829883856</v>
      </c>
      <c r="G112">
        <v>0.42399999999999999</v>
      </c>
      <c r="H112">
        <v>1.0500000000000001E-2</v>
      </c>
      <c r="I112">
        <v>21.999780000000001</v>
      </c>
      <c r="J112" s="2">
        <v>45681</v>
      </c>
      <c r="K112" t="s">
        <v>432</v>
      </c>
      <c r="L112">
        <v>1</v>
      </c>
      <c r="M112">
        <v>1.8200000000000001E-2</v>
      </c>
      <c r="N112">
        <v>7.3473025151975344</v>
      </c>
      <c r="O112">
        <v>837.25900869224608</v>
      </c>
      <c r="P112">
        <v>0.42399999999999999</v>
      </c>
      <c r="Q112">
        <v>2.1000000000000001E-2</v>
      </c>
      <c r="R112">
        <v>21.999549999999999</v>
      </c>
      <c r="S112" s="2">
        <v>45681</v>
      </c>
      <c r="T112" t="s">
        <v>552</v>
      </c>
      <c r="U112">
        <v>1</v>
      </c>
      <c r="V112">
        <v>1.8200000000000001E-2</v>
      </c>
      <c r="W112">
        <v>7.3473025151975344</v>
      </c>
      <c r="X112">
        <v>837.25900869224608</v>
      </c>
      <c r="Y112">
        <v>0.42399999999999999</v>
      </c>
      <c r="Z112">
        <v>2.1000000000000001E-2</v>
      </c>
      <c r="AA112">
        <v>21.998429999999999</v>
      </c>
      <c r="AB112" s="2">
        <v>45681</v>
      </c>
      <c r="AC112" t="s">
        <v>672</v>
      </c>
      <c r="AD112">
        <v>2</v>
      </c>
      <c r="AE112">
        <v>1.9E-2</v>
      </c>
      <c r="AF112">
        <v>7.2179764030846227</v>
      </c>
      <c r="AG112">
        <v>720.71540076748681</v>
      </c>
      <c r="AH112">
        <v>0.42399999999999999</v>
      </c>
      <c r="AI112">
        <v>1.9E-2</v>
      </c>
      <c r="AJ112">
        <v>22.399600000000007</v>
      </c>
      <c r="AK112" s="2">
        <v>45681</v>
      </c>
      <c r="AL112" t="s">
        <v>790</v>
      </c>
      <c r="AM112">
        <v>2</v>
      </c>
      <c r="AN112">
        <v>1.8100000000000002E-2</v>
      </c>
      <c r="AO112">
        <v>7.3473025151975344</v>
      </c>
      <c r="AP112">
        <v>837.25900869224608</v>
      </c>
      <c r="AQ112">
        <v>0.42399999999999999</v>
      </c>
      <c r="AR112">
        <v>2.1000000000000001E-2</v>
      </c>
      <c r="AS112">
        <v>21.997399999999985</v>
      </c>
      <c r="AT112" s="2">
        <v>45681</v>
      </c>
      <c r="AU112" t="s">
        <v>910</v>
      </c>
      <c r="AV112">
        <v>2</v>
      </c>
      <c r="AW112">
        <v>1.78E-2</v>
      </c>
      <c r="AX112">
        <v>7.3473008933145332</v>
      </c>
      <c r="AY112">
        <v>837.25885477554925</v>
      </c>
      <c r="AZ112">
        <v>0.42399999999999999</v>
      </c>
      <c r="BA112">
        <v>2.1000000000000001E-2</v>
      </c>
      <c r="BB112">
        <v>22.000200000000007</v>
      </c>
      <c r="BC112" s="2">
        <v>45681</v>
      </c>
      <c r="BD112" t="s">
        <v>1030</v>
      </c>
      <c r="BE112">
        <v>3</v>
      </c>
      <c r="BF112">
        <v>1.7500000000000002E-2</v>
      </c>
      <c r="BG112">
        <v>7.3473004878437846</v>
      </c>
      <c r="BH112">
        <v>837.25881629637524</v>
      </c>
      <c r="BI112">
        <v>0.42399999999999999</v>
      </c>
      <c r="BJ112">
        <v>2.1000000000000001E-2</v>
      </c>
      <c r="BK112">
        <v>21.998700000000014</v>
      </c>
      <c r="BL112" s="2">
        <v>45681</v>
      </c>
      <c r="BM112" t="s">
        <v>1150</v>
      </c>
      <c r="BN112">
        <v>3</v>
      </c>
      <c r="BO112">
        <v>1.7399999999999999E-2</v>
      </c>
      <c r="BP112">
        <v>7.3473025151975344</v>
      </c>
      <c r="BQ112">
        <v>837.25900869224608</v>
      </c>
      <c r="BR112">
        <v>0.42399999999999999</v>
      </c>
      <c r="BS112">
        <v>2.1000000000000001E-2</v>
      </c>
      <c r="BT112">
        <v>21.998700000000014</v>
      </c>
      <c r="BU112" s="2">
        <v>45681</v>
      </c>
      <c r="BV112" t="s">
        <v>1270</v>
      </c>
      <c r="BW112">
        <v>4</v>
      </c>
      <c r="BX112">
        <v>1.7100000000000001E-2</v>
      </c>
      <c r="BY112">
        <v>7.3472984604900349</v>
      </c>
      <c r="BZ112">
        <v>837.2586239005044</v>
      </c>
      <c r="CA112">
        <v>0.42399999999999999</v>
      </c>
      <c r="CB112">
        <v>2.1000000000000001E-2</v>
      </c>
      <c r="CC112">
        <v>21.999400000000009</v>
      </c>
      <c r="CD112" s="2">
        <v>45681</v>
      </c>
      <c r="CE112" t="s">
        <v>1390</v>
      </c>
      <c r="CF112">
        <v>4</v>
      </c>
      <c r="CG112">
        <v>1.72E-2</v>
      </c>
      <c r="CH112">
        <v>7.3472988659607834</v>
      </c>
      <c r="CI112">
        <v>837.25866237967841</v>
      </c>
      <c r="CJ112">
        <v>0.42399999999999999</v>
      </c>
      <c r="CK112">
        <v>2.1000000000000001E-2</v>
      </c>
      <c r="CL112">
        <v>21.998700000000014</v>
      </c>
      <c r="CM112" s="2">
        <v>45681</v>
      </c>
      <c r="CN112" t="s">
        <v>1510</v>
      </c>
      <c r="CO112">
        <v>4</v>
      </c>
      <c r="CP112">
        <v>1.7000000000000001E-2</v>
      </c>
      <c r="CQ112">
        <v>7.3473025151975344</v>
      </c>
      <c r="CR112">
        <v>837.25900869224608</v>
      </c>
      <c r="CS112">
        <v>0.42399999999999999</v>
      </c>
      <c r="CT112">
        <v>2.1000000000000001E-2</v>
      </c>
      <c r="CU112">
        <v>21.990699999999975</v>
      </c>
      <c r="CV112" s="2">
        <v>45681</v>
      </c>
      <c r="CW112" t="s">
        <v>1630</v>
      </c>
      <c r="CX112">
        <v>5</v>
      </c>
      <c r="CY112">
        <v>1.7000000000000001E-2</v>
      </c>
      <c r="CZ112">
        <v>7.3472992714315346</v>
      </c>
      <c r="DA112">
        <v>837.25870085885265</v>
      </c>
      <c r="DB112">
        <v>0.42399999999999999</v>
      </c>
      <c r="DC112">
        <v>2.1000000000000001E-2</v>
      </c>
      <c r="DD112">
        <v>22.000100000000032</v>
      </c>
      <c r="DE112" s="2">
        <v>45681</v>
      </c>
      <c r="DF112" t="s">
        <v>1750</v>
      </c>
      <c r="DG112">
        <v>5</v>
      </c>
      <c r="DH112">
        <v>1.7100000000000001E-2</v>
      </c>
      <c r="DI112">
        <v>7.3472923784287838</v>
      </c>
      <c r="DJ112">
        <v>837.25804671289166</v>
      </c>
      <c r="DK112">
        <v>0.42399999999999999</v>
      </c>
      <c r="DL112">
        <v>2.1000000000000001E-2</v>
      </c>
      <c r="DM112">
        <v>21.998999999999967</v>
      </c>
      <c r="DN112" s="2">
        <v>45681</v>
      </c>
      <c r="DO112" t="s">
        <v>1870</v>
      </c>
      <c r="DP112">
        <v>6</v>
      </c>
      <c r="DQ112">
        <v>1.7500000000000002E-2</v>
      </c>
      <c r="DR112">
        <v>7.214969837473646</v>
      </c>
      <c r="DS112">
        <v>720.43518885254377</v>
      </c>
      <c r="DT112">
        <v>0.42399999999999999</v>
      </c>
      <c r="DU112">
        <v>1.89E-2</v>
      </c>
      <c r="DV112">
        <v>22.400399999999991</v>
      </c>
      <c r="DW112" s="2">
        <v>45681</v>
      </c>
      <c r="DX112" t="s">
        <v>1988</v>
      </c>
      <c r="DY112">
        <v>6</v>
      </c>
      <c r="DZ112">
        <v>1.66E-2</v>
      </c>
      <c r="EA112">
        <v>7.3472781869525363</v>
      </c>
      <c r="EB112">
        <v>837.25669994179577</v>
      </c>
      <c r="EC112">
        <v>0.42399999999999999</v>
      </c>
      <c r="ED112">
        <v>2.1000000000000001E-2</v>
      </c>
      <c r="EE112">
        <v>22.001100000000008</v>
      </c>
    </row>
    <row r="113" spans="1:135" x14ac:dyDescent="0.3">
      <c r="A113" s="2">
        <v>45681</v>
      </c>
      <c r="B113" t="s">
        <v>308</v>
      </c>
      <c r="C113">
        <v>0</v>
      </c>
      <c r="D113">
        <v>9.2999999999999992E-3</v>
      </c>
      <c r="E113">
        <v>6.8807001566749948</v>
      </c>
      <c r="F113">
        <v>792.97844486845702</v>
      </c>
      <c r="G113">
        <v>0.42399999999999999</v>
      </c>
      <c r="H113">
        <v>1.38E-2</v>
      </c>
      <c r="I113">
        <v>22.197479999999999</v>
      </c>
      <c r="J113" s="2">
        <v>45681</v>
      </c>
      <c r="K113" t="s">
        <v>433</v>
      </c>
      <c r="L113">
        <v>1</v>
      </c>
      <c r="M113">
        <v>1.9300000000000001E-2</v>
      </c>
      <c r="N113">
        <v>7.3132016141841563</v>
      </c>
      <c r="O113">
        <v>729.59039044196334</v>
      </c>
      <c r="P113">
        <v>0.42399999999999999</v>
      </c>
      <c r="Q113">
        <v>2.0500000000000001E-2</v>
      </c>
      <c r="R113">
        <v>22.202179999999998</v>
      </c>
      <c r="S113" s="2">
        <v>45681</v>
      </c>
      <c r="T113" t="s">
        <v>553</v>
      </c>
      <c r="U113">
        <v>1</v>
      </c>
      <c r="V113">
        <v>1.9E-2</v>
      </c>
      <c r="W113">
        <v>7.3139748469043351</v>
      </c>
      <c r="X113">
        <v>729.6624557314841</v>
      </c>
      <c r="Y113">
        <v>0.42399999999999999</v>
      </c>
      <c r="Z113">
        <v>2.0500000000000001E-2</v>
      </c>
      <c r="AA113">
        <v>22.199160000000006</v>
      </c>
      <c r="AB113" s="2">
        <v>45681</v>
      </c>
      <c r="AC113" t="s">
        <v>673</v>
      </c>
      <c r="AD113">
        <v>2</v>
      </c>
      <c r="AE113">
        <v>1.8499999999999999E-2</v>
      </c>
      <c r="AF113">
        <v>7.0675856800403887</v>
      </c>
      <c r="AG113">
        <v>706.69898537976428</v>
      </c>
      <c r="AH113">
        <v>0.42399999999999999</v>
      </c>
      <c r="AI113">
        <v>1.67E-2</v>
      </c>
      <c r="AJ113">
        <v>22.600499999999997</v>
      </c>
      <c r="AK113" s="2">
        <v>45681</v>
      </c>
      <c r="AL113" t="s">
        <v>791</v>
      </c>
      <c r="AM113">
        <v>2</v>
      </c>
      <c r="AN113">
        <v>1.89E-2</v>
      </c>
      <c r="AO113">
        <v>7.3138053601308508</v>
      </c>
      <c r="AP113">
        <v>729.64665956419526</v>
      </c>
      <c r="AQ113">
        <v>0.42399999999999999</v>
      </c>
      <c r="AR113">
        <v>2.0500000000000001E-2</v>
      </c>
      <c r="AS113">
        <v>22.1982</v>
      </c>
      <c r="AT113" s="2">
        <v>45681</v>
      </c>
      <c r="AU113" t="s">
        <v>911</v>
      </c>
      <c r="AV113">
        <v>2</v>
      </c>
      <c r="AW113">
        <v>1.84E-2</v>
      </c>
      <c r="AX113">
        <v>7.3145323691855344</v>
      </c>
      <c r="AY113">
        <v>729.71441680809176</v>
      </c>
      <c r="AZ113">
        <v>0.42399999999999999</v>
      </c>
      <c r="BA113">
        <v>2.0500000000000001E-2</v>
      </c>
      <c r="BB113">
        <v>22.197800000000001</v>
      </c>
      <c r="BC113" s="2">
        <v>45681</v>
      </c>
      <c r="BD113" t="s">
        <v>1031</v>
      </c>
      <c r="BE113">
        <v>3</v>
      </c>
      <c r="BF113">
        <v>1.8200000000000001E-2</v>
      </c>
      <c r="BG113">
        <v>7.3143989693087947</v>
      </c>
      <c r="BH113">
        <v>729.70198393957969</v>
      </c>
      <c r="BI113">
        <v>0.42399999999999999</v>
      </c>
      <c r="BJ113">
        <v>2.0500000000000001E-2</v>
      </c>
      <c r="BK113">
        <v>22.19980000000001</v>
      </c>
      <c r="BL113" s="2">
        <v>45681</v>
      </c>
      <c r="BM113" t="s">
        <v>1151</v>
      </c>
      <c r="BN113">
        <v>3</v>
      </c>
      <c r="BO113">
        <v>1.84E-2</v>
      </c>
      <c r="BP113">
        <v>7.3147444303877647</v>
      </c>
      <c r="BQ113">
        <v>729.73418091213966</v>
      </c>
      <c r="BR113">
        <v>0.42399999999999999</v>
      </c>
      <c r="BS113">
        <v>2.0500000000000001E-2</v>
      </c>
      <c r="BT113">
        <v>22.196699999999993</v>
      </c>
      <c r="BU113" s="2">
        <v>45681</v>
      </c>
      <c r="BV113" t="s">
        <v>1271</v>
      </c>
      <c r="BW113">
        <v>4</v>
      </c>
      <c r="BX113">
        <v>1.7399999999999999E-2</v>
      </c>
      <c r="BY113">
        <v>7.3147476741537636</v>
      </c>
      <c r="BZ113">
        <v>729.73448323113087</v>
      </c>
      <c r="CA113">
        <v>0.42399999999999999</v>
      </c>
      <c r="CB113">
        <v>2.0500000000000001E-2</v>
      </c>
      <c r="CC113">
        <v>22.199999999999989</v>
      </c>
      <c r="CD113" s="2">
        <v>45681</v>
      </c>
      <c r="CE113" t="s">
        <v>1391</v>
      </c>
      <c r="CF113">
        <v>4</v>
      </c>
      <c r="CG113">
        <v>1.77E-2</v>
      </c>
      <c r="CH113">
        <v>7.3145356129515333</v>
      </c>
      <c r="CI113">
        <v>729.71471912708296</v>
      </c>
      <c r="CJ113">
        <v>0.42399999999999999</v>
      </c>
      <c r="CK113">
        <v>2.0500000000000001E-2</v>
      </c>
      <c r="CL113">
        <v>22.199999999999989</v>
      </c>
      <c r="CM113" s="2">
        <v>45681</v>
      </c>
      <c r="CN113" t="s">
        <v>1511</v>
      </c>
      <c r="CO113">
        <v>4</v>
      </c>
      <c r="CP113">
        <v>1.7999999999999999E-2</v>
      </c>
      <c r="CQ113">
        <v>7.314201505053564</v>
      </c>
      <c r="CR113">
        <v>729.68358027099214</v>
      </c>
      <c r="CS113">
        <v>0.42399999999999999</v>
      </c>
      <c r="CT113">
        <v>2.0500000000000001E-2</v>
      </c>
      <c r="CU113">
        <v>22.190700000000021</v>
      </c>
      <c r="CV113" s="2">
        <v>45681</v>
      </c>
      <c r="CW113" t="s">
        <v>1631</v>
      </c>
      <c r="CX113">
        <v>5</v>
      </c>
      <c r="CY113">
        <v>1.7899999999999999E-2</v>
      </c>
      <c r="CZ113">
        <v>7.3133836705508886</v>
      </c>
      <c r="DA113">
        <v>729.60735809534287</v>
      </c>
      <c r="DB113">
        <v>0.42399999999999999</v>
      </c>
      <c r="DC113">
        <v>2.0500000000000001E-2</v>
      </c>
      <c r="DD113">
        <v>22.200600000000009</v>
      </c>
      <c r="DE113" s="2">
        <v>45681</v>
      </c>
      <c r="DF113" t="s">
        <v>1751</v>
      </c>
      <c r="DG113">
        <v>5</v>
      </c>
      <c r="DH113">
        <v>1.77E-2</v>
      </c>
      <c r="DI113">
        <v>7.3129275159571803</v>
      </c>
      <c r="DJ113">
        <v>729.56484448720926</v>
      </c>
      <c r="DK113">
        <v>0.42399999999999999</v>
      </c>
      <c r="DL113">
        <v>2.0500000000000001E-2</v>
      </c>
      <c r="DM113">
        <v>22.199399999999969</v>
      </c>
      <c r="DN113" s="2">
        <v>45681</v>
      </c>
      <c r="DO113" t="s">
        <v>1871</v>
      </c>
      <c r="DP113">
        <v>6</v>
      </c>
      <c r="DQ113">
        <v>1.7500000000000002E-2</v>
      </c>
      <c r="DR113">
        <v>7.0636818076597452</v>
      </c>
      <c r="DS113">
        <v>706.33514447388825</v>
      </c>
      <c r="DT113">
        <v>0.42399999999999999</v>
      </c>
      <c r="DU113">
        <v>1.66E-2</v>
      </c>
      <c r="DV113">
        <v>22.601100000000031</v>
      </c>
      <c r="DW113" s="2">
        <v>45681</v>
      </c>
      <c r="DX113" t="s">
        <v>1989</v>
      </c>
      <c r="DY113">
        <v>6</v>
      </c>
      <c r="DZ113">
        <v>1.7500000000000002E-2</v>
      </c>
      <c r="EA113">
        <v>7.3127584346544463</v>
      </c>
      <c r="EB113">
        <v>729.54908610979442</v>
      </c>
      <c r="EC113">
        <v>0.42399999999999999</v>
      </c>
      <c r="ED113">
        <v>2.0500000000000001E-2</v>
      </c>
      <c r="EE113">
        <v>22.20010000000002</v>
      </c>
    </row>
    <row r="114" spans="1:135" x14ac:dyDescent="0.3">
      <c r="A114" s="2">
        <v>45681</v>
      </c>
      <c r="B114" t="s">
        <v>309</v>
      </c>
      <c r="C114">
        <v>0</v>
      </c>
      <c r="D114">
        <v>1.24E-2</v>
      </c>
      <c r="E114">
        <v>7.0693685349279756</v>
      </c>
      <c r="F114">
        <v>810.88307396466496</v>
      </c>
      <c r="G114">
        <v>0.42399999999999999</v>
      </c>
      <c r="H114">
        <v>1.67E-2</v>
      </c>
      <c r="I114">
        <v>22.397869999999998</v>
      </c>
      <c r="J114" s="2">
        <v>45681</v>
      </c>
      <c r="K114" t="s">
        <v>434</v>
      </c>
      <c r="L114">
        <v>1</v>
      </c>
      <c r="M114">
        <v>1.9199999999999998E-2</v>
      </c>
      <c r="N114">
        <v>7.2172080360134414</v>
      </c>
      <c r="O114">
        <v>720.64378895645279</v>
      </c>
      <c r="P114">
        <v>0.42399999999999999</v>
      </c>
      <c r="Q114">
        <v>1.9E-2</v>
      </c>
      <c r="R114">
        <v>22.400729999999996</v>
      </c>
      <c r="S114" s="2">
        <v>45681</v>
      </c>
      <c r="T114" t="s">
        <v>554</v>
      </c>
      <c r="U114">
        <v>1</v>
      </c>
      <c r="V114">
        <v>1.89E-2</v>
      </c>
      <c r="W114">
        <v>7.2172599362694383</v>
      </c>
      <c r="X114">
        <v>720.6486260603117</v>
      </c>
      <c r="Y114">
        <v>0.42399999999999999</v>
      </c>
      <c r="Z114">
        <v>1.9E-2</v>
      </c>
      <c r="AA114">
        <v>22.399960000000007</v>
      </c>
      <c r="AB114" s="2">
        <v>45681</v>
      </c>
      <c r="AC114" t="s">
        <v>674</v>
      </c>
      <c r="AD114">
        <v>2</v>
      </c>
      <c r="AE114">
        <v>1.7899999999999999E-2</v>
      </c>
      <c r="AF114">
        <v>6.8796029528255973</v>
      </c>
      <c r="AG114">
        <v>689.17899520334572</v>
      </c>
      <c r="AH114">
        <v>0.42399999999999999</v>
      </c>
      <c r="AI114">
        <v>1.37E-2</v>
      </c>
      <c r="AJ114">
        <v>22.799900000000008</v>
      </c>
      <c r="AK114" s="2">
        <v>45681</v>
      </c>
      <c r="AL114" t="s">
        <v>792</v>
      </c>
      <c r="AM114">
        <v>2</v>
      </c>
      <c r="AN114">
        <v>1.9E-2</v>
      </c>
      <c r="AO114">
        <v>7.2184856743465762</v>
      </c>
      <c r="AP114">
        <v>720.76286484910088</v>
      </c>
      <c r="AQ114">
        <v>0.42399999999999999</v>
      </c>
      <c r="AR114">
        <v>1.9E-2</v>
      </c>
      <c r="AS114">
        <v>22.396499999999989</v>
      </c>
      <c r="AT114" s="2">
        <v>45681</v>
      </c>
      <c r="AU114" t="s">
        <v>912</v>
      </c>
      <c r="AV114">
        <v>2</v>
      </c>
      <c r="AW114">
        <v>1.83E-2</v>
      </c>
      <c r="AX114">
        <v>7.2172173618406923</v>
      </c>
      <c r="AY114">
        <v>720.64465812355252</v>
      </c>
      <c r="AZ114">
        <v>0.42399999999999999</v>
      </c>
      <c r="BA114">
        <v>1.9E-2</v>
      </c>
      <c r="BB114">
        <v>22.400300000000016</v>
      </c>
      <c r="BC114" s="2">
        <v>45681</v>
      </c>
      <c r="BD114" t="s">
        <v>1032</v>
      </c>
      <c r="BE114">
        <v>3</v>
      </c>
      <c r="BF114">
        <v>1.83E-2</v>
      </c>
      <c r="BG114">
        <v>7.2189576422995314</v>
      </c>
      <c r="BH114">
        <v>720.8068522623164</v>
      </c>
      <c r="BI114">
        <v>0.42399999999999999</v>
      </c>
      <c r="BJ114">
        <v>1.9E-2</v>
      </c>
      <c r="BK114">
        <v>22.399100000000004</v>
      </c>
      <c r="BL114" s="2">
        <v>45681</v>
      </c>
      <c r="BM114" t="s">
        <v>1152</v>
      </c>
      <c r="BN114">
        <v>3</v>
      </c>
      <c r="BO114">
        <v>1.84E-2</v>
      </c>
      <c r="BP114">
        <v>7.2191084774185192</v>
      </c>
      <c r="BQ114">
        <v>720.82091009540602</v>
      </c>
      <c r="BR114">
        <v>0.42399999999999999</v>
      </c>
      <c r="BS114">
        <v>1.9E-2</v>
      </c>
      <c r="BT114">
        <v>22.396899999999988</v>
      </c>
      <c r="BU114" s="2">
        <v>45681</v>
      </c>
      <c r="BV114" t="s">
        <v>1272</v>
      </c>
      <c r="BW114">
        <v>4</v>
      </c>
      <c r="BX114">
        <v>1.7399999999999999E-2</v>
      </c>
      <c r="BY114">
        <v>7.2180489823488658</v>
      </c>
      <c r="BZ114">
        <v>720.72216515491436</v>
      </c>
      <c r="CA114">
        <v>0.42399999999999999</v>
      </c>
      <c r="CB114">
        <v>1.9E-2</v>
      </c>
      <c r="CC114">
        <v>22.401899999999983</v>
      </c>
      <c r="CD114" s="2">
        <v>45681</v>
      </c>
      <c r="CE114" t="s">
        <v>1392</v>
      </c>
      <c r="CF114">
        <v>4</v>
      </c>
      <c r="CG114">
        <v>1.77E-2</v>
      </c>
      <c r="CH114">
        <v>7.2184917564078246</v>
      </c>
      <c r="CI114">
        <v>720.7634316972094</v>
      </c>
      <c r="CJ114">
        <v>0.42399999999999999</v>
      </c>
      <c r="CK114">
        <v>1.9E-2</v>
      </c>
      <c r="CL114">
        <v>22.400499999999994</v>
      </c>
      <c r="CM114" s="2">
        <v>45681</v>
      </c>
      <c r="CN114" t="s">
        <v>1512</v>
      </c>
      <c r="CO114">
        <v>4</v>
      </c>
      <c r="CP114">
        <v>1.8200000000000001E-2</v>
      </c>
      <c r="CQ114">
        <v>7.217587556635408</v>
      </c>
      <c r="CR114">
        <v>720.67916027842</v>
      </c>
      <c r="CS114">
        <v>0.42399999999999999</v>
      </c>
      <c r="CT114">
        <v>1.9E-2</v>
      </c>
      <c r="CU114">
        <v>22.391600000000011</v>
      </c>
      <c r="CV114" s="2">
        <v>45681</v>
      </c>
      <c r="CW114" t="s">
        <v>1632</v>
      </c>
      <c r="CX114">
        <v>5</v>
      </c>
      <c r="CY114">
        <v>1.7999999999999999E-2</v>
      </c>
      <c r="CZ114">
        <v>7.2166201034259974</v>
      </c>
      <c r="DA114">
        <v>720.588993639303</v>
      </c>
      <c r="DB114">
        <v>0.42399999999999999</v>
      </c>
      <c r="DC114">
        <v>1.9E-2</v>
      </c>
      <c r="DD114">
        <v>22.400700000000029</v>
      </c>
      <c r="DE114" s="2">
        <v>45681</v>
      </c>
      <c r="DF114" t="s">
        <v>1752</v>
      </c>
      <c r="DG114">
        <v>5</v>
      </c>
      <c r="DH114">
        <v>1.77E-2</v>
      </c>
      <c r="DI114">
        <v>7.2167482321829839</v>
      </c>
      <c r="DJ114">
        <v>720.60093523945409</v>
      </c>
      <c r="DK114">
        <v>0.42399999999999999</v>
      </c>
      <c r="DL114">
        <v>1.9E-2</v>
      </c>
      <c r="DM114">
        <v>22.397899999999993</v>
      </c>
      <c r="DN114" s="2">
        <v>45681</v>
      </c>
      <c r="DO114" t="s">
        <v>1872</v>
      </c>
      <c r="DP114">
        <v>6</v>
      </c>
      <c r="DQ114">
        <v>1.7399999999999999E-2</v>
      </c>
      <c r="DR114">
        <v>6.8760380539919206</v>
      </c>
      <c r="DS114">
        <v>688.84674663204714</v>
      </c>
      <c r="DT114">
        <v>0.42399999999999999</v>
      </c>
      <c r="DU114">
        <v>1.37E-2</v>
      </c>
      <c r="DV114">
        <v>22.799500000000023</v>
      </c>
      <c r="DW114" s="2">
        <v>45681</v>
      </c>
      <c r="DX114" t="s">
        <v>1990</v>
      </c>
      <c r="DY114">
        <v>6</v>
      </c>
      <c r="DZ114">
        <v>1.7600000000000001E-2</v>
      </c>
      <c r="EA114">
        <v>7.2135259561330276</v>
      </c>
      <c r="EB114">
        <v>720.30061911159828</v>
      </c>
      <c r="EC114">
        <v>0.42399999999999999</v>
      </c>
      <c r="ED114">
        <v>1.89E-2</v>
      </c>
      <c r="EE114">
        <v>22.403200000000027</v>
      </c>
    </row>
    <row r="115" spans="1:135" x14ac:dyDescent="0.3">
      <c r="A115" s="2">
        <v>45681</v>
      </c>
      <c r="B115" t="s">
        <v>310</v>
      </c>
      <c r="C115">
        <v>0</v>
      </c>
      <c r="D115">
        <v>1.4999999999999999E-2</v>
      </c>
      <c r="E115">
        <v>7.2194839433329836</v>
      </c>
      <c r="F115">
        <v>825.12902622230024</v>
      </c>
      <c r="G115">
        <v>0.42399999999999999</v>
      </c>
      <c r="H115">
        <v>1.9E-2</v>
      </c>
      <c r="I115">
        <v>22.599129999999995</v>
      </c>
      <c r="J115" s="2">
        <v>45681</v>
      </c>
      <c r="K115" t="s">
        <v>435</v>
      </c>
      <c r="L115">
        <v>1</v>
      </c>
      <c r="M115">
        <v>1.8700000000000001E-2</v>
      </c>
      <c r="N115">
        <v>7.0672763058581651</v>
      </c>
      <c r="O115">
        <v>706.67015170598097</v>
      </c>
      <c r="P115">
        <v>0.42399999999999999</v>
      </c>
      <c r="Q115">
        <v>1.66E-2</v>
      </c>
      <c r="R115">
        <v>22.60078</v>
      </c>
      <c r="S115" s="2">
        <v>45681</v>
      </c>
      <c r="T115" t="s">
        <v>555</v>
      </c>
      <c r="U115">
        <v>1</v>
      </c>
      <c r="V115">
        <v>1.8499999999999999E-2</v>
      </c>
      <c r="W115">
        <v>7.0672012937694237</v>
      </c>
      <c r="X115">
        <v>706.66316057931033</v>
      </c>
      <c r="Y115">
        <v>0.42399999999999999</v>
      </c>
      <c r="Z115">
        <v>1.66E-2</v>
      </c>
      <c r="AA115">
        <v>22.600170000000006</v>
      </c>
      <c r="AB115" s="2">
        <v>45681</v>
      </c>
      <c r="AC115" t="s">
        <v>675</v>
      </c>
      <c r="AD115">
        <v>2</v>
      </c>
      <c r="AE115">
        <v>1.61E-2</v>
      </c>
      <c r="AF115">
        <v>6.6708881006944507</v>
      </c>
      <c r="AG115">
        <v>669.72677098472286</v>
      </c>
      <c r="AH115">
        <v>0.42399999999999999</v>
      </c>
      <c r="AI115">
        <v>1.0500000000000001E-2</v>
      </c>
      <c r="AJ115">
        <v>22.999800000000008</v>
      </c>
      <c r="AK115" s="2">
        <v>45681</v>
      </c>
      <c r="AL115" t="s">
        <v>793</v>
      </c>
      <c r="AM115">
        <v>2</v>
      </c>
      <c r="AN115">
        <v>1.8599999999999998E-2</v>
      </c>
      <c r="AO115">
        <v>7.0683872957130642</v>
      </c>
      <c r="AP115">
        <v>706.77369596045764</v>
      </c>
      <c r="AQ115">
        <v>0.42399999999999999</v>
      </c>
      <c r="AR115">
        <v>1.67E-2</v>
      </c>
      <c r="AS115">
        <v>22.597300000000004</v>
      </c>
      <c r="AT115" s="2">
        <v>45681</v>
      </c>
      <c r="AU115" t="s">
        <v>913</v>
      </c>
      <c r="AV115">
        <v>2</v>
      </c>
      <c r="AW115">
        <v>1.7999999999999999E-2</v>
      </c>
      <c r="AX115">
        <v>7.0693048760202286</v>
      </c>
      <c r="AY115">
        <v>706.8592144450854</v>
      </c>
      <c r="AZ115">
        <v>0.42399999999999999</v>
      </c>
      <c r="BA115">
        <v>1.67E-2</v>
      </c>
      <c r="BB115">
        <v>22.598000000000013</v>
      </c>
      <c r="BC115" s="2">
        <v>45681</v>
      </c>
      <c r="BD115" t="s">
        <v>1033</v>
      </c>
      <c r="BE115">
        <v>3</v>
      </c>
      <c r="BF115">
        <v>1.8200000000000001E-2</v>
      </c>
      <c r="BG115">
        <v>7.0659710955140351</v>
      </c>
      <c r="BH115">
        <v>706.54850610190806</v>
      </c>
      <c r="BI115">
        <v>0.42399999999999999</v>
      </c>
      <c r="BJ115">
        <v>1.66E-2</v>
      </c>
      <c r="BK115">
        <v>22.603499999999997</v>
      </c>
      <c r="BL115" s="2">
        <v>45681</v>
      </c>
      <c r="BM115" t="s">
        <v>1153</v>
      </c>
      <c r="BN115">
        <v>3</v>
      </c>
      <c r="BO115">
        <v>1.84E-2</v>
      </c>
      <c r="BP115">
        <v>7.0698713186579303</v>
      </c>
      <c r="BQ115">
        <v>706.91200689891912</v>
      </c>
      <c r="BR115">
        <v>0.42399999999999999</v>
      </c>
      <c r="BS115">
        <v>1.67E-2</v>
      </c>
      <c r="BT115">
        <v>22.597000000000008</v>
      </c>
      <c r="BU115" s="2">
        <v>45681</v>
      </c>
      <c r="BV115" t="s">
        <v>1273</v>
      </c>
      <c r="BW115">
        <v>4</v>
      </c>
      <c r="BX115">
        <v>1.72E-2</v>
      </c>
      <c r="BY115">
        <v>7.0659374414417897</v>
      </c>
      <c r="BZ115">
        <v>706.54536954237483</v>
      </c>
      <c r="CA115">
        <v>0.42399999999999999</v>
      </c>
      <c r="CB115">
        <v>1.66E-2</v>
      </c>
      <c r="CC115">
        <v>22.604799999999983</v>
      </c>
      <c r="CD115" s="2">
        <v>45681</v>
      </c>
      <c r="CE115" t="s">
        <v>1393</v>
      </c>
      <c r="CF115">
        <v>4</v>
      </c>
      <c r="CG115">
        <v>1.7600000000000001E-2</v>
      </c>
      <c r="CH115">
        <v>7.0706202231331101</v>
      </c>
      <c r="CI115">
        <v>706.98180479600592</v>
      </c>
      <c r="CJ115">
        <v>0.42399999999999999</v>
      </c>
      <c r="CK115">
        <v>1.67E-2</v>
      </c>
      <c r="CL115">
        <v>22.598700000000008</v>
      </c>
      <c r="CM115" s="2">
        <v>45681</v>
      </c>
      <c r="CN115" t="s">
        <v>1513</v>
      </c>
      <c r="CO115">
        <v>4</v>
      </c>
      <c r="CP115">
        <v>1.8100000000000002E-2</v>
      </c>
      <c r="CQ115">
        <v>7.0693794826382232</v>
      </c>
      <c r="CR115">
        <v>706.86616778188238</v>
      </c>
      <c r="CS115">
        <v>0.42399999999999999</v>
      </c>
      <c r="CT115">
        <v>1.67E-2</v>
      </c>
      <c r="CU115">
        <v>22.589799999999997</v>
      </c>
      <c r="CV115" s="2">
        <v>45681</v>
      </c>
      <c r="CW115" t="s">
        <v>1633</v>
      </c>
      <c r="CX115">
        <v>5</v>
      </c>
      <c r="CY115">
        <v>1.7999999999999999E-2</v>
      </c>
      <c r="CZ115">
        <v>7.0670670829511861</v>
      </c>
      <c r="DA115">
        <v>706.65065213105061</v>
      </c>
      <c r="DB115">
        <v>0.42399999999999999</v>
      </c>
      <c r="DC115">
        <v>1.66E-2</v>
      </c>
      <c r="DD115">
        <v>22.600000000000023</v>
      </c>
      <c r="DE115" s="2">
        <v>45681</v>
      </c>
      <c r="DF115" t="s">
        <v>1753</v>
      </c>
      <c r="DG115">
        <v>5</v>
      </c>
      <c r="DH115">
        <v>1.7600000000000001E-2</v>
      </c>
      <c r="DI115">
        <v>7.0647810388628951</v>
      </c>
      <c r="DJ115">
        <v>706.43759282202188</v>
      </c>
      <c r="DK115">
        <v>0.42399999999999999</v>
      </c>
      <c r="DL115">
        <v>1.66E-2</v>
      </c>
      <c r="DM115">
        <v>22.600099999999998</v>
      </c>
      <c r="DN115" s="2">
        <v>45681</v>
      </c>
      <c r="DO115" t="s">
        <v>1873</v>
      </c>
      <c r="DP115">
        <v>6</v>
      </c>
      <c r="DQ115">
        <v>1.72E-2</v>
      </c>
      <c r="DR115">
        <v>6.6683198489641864</v>
      </c>
      <c r="DS115">
        <v>669.48740992346222</v>
      </c>
      <c r="DT115">
        <v>0.42399999999999999</v>
      </c>
      <c r="DU115">
        <v>1.0500000000000001E-2</v>
      </c>
      <c r="DV115">
        <v>22.998199999999997</v>
      </c>
      <c r="DW115" s="2">
        <v>45681</v>
      </c>
      <c r="DX115" t="s">
        <v>1991</v>
      </c>
      <c r="DY115">
        <v>6</v>
      </c>
      <c r="DZ115">
        <v>1.7500000000000002E-2</v>
      </c>
      <c r="EA115">
        <v>7.0645965496716618</v>
      </c>
      <c r="EB115">
        <v>706.42039842939892</v>
      </c>
      <c r="EC115">
        <v>0.42399999999999999</v>
      </c>
      <c r="ED115">
        <v>1.66E-2</v>
      </c>
      <c r="EE115">
        <v>22.600500000000011</v>
      </c>
    </row>
    <row r="116" spans="1:135" x14ac:dyDescent="0.3">
      <c r="A116" s="2">
        <v>45681</v>
      </c>
      <c r="B116" t="s">
        <v>311</v>
      </c>
      <c r="C116">
        <v>0</v>
      </c>
      <c r="D116">
        <v>1.72E-2</v>
      </c>
      <c r="E116">
        <v>7.3143024672703048</v>
      </c>
      <c r="F116">
        <v>834.12730414395196</v>
      </c>
      <c r="G116">
        <v>0.42399999999999999</v>
      </c>
      <c r="H116">
        <v>2.0500000000000001E-2</v>
      </c>
      <c r="I116">
        <v>22.797359999999998</v>
      </c>
      <c r="J116" s="2">
        <v>45681</v>
      </c>
      <c r="K116" t="s">
        <v>436</v>
      </c>
      <c r="L116">
        <v>1</v>
      </c>
      <c r="M116">
        <v>1.7899999999999999E-2</v>
      </c>
      <c r="N116">
        <v>6.8779835026502427</v>
      </c>
      <c r="O116">
        <v>689.02806244700264</v>
      </c>
      <c r="P116">
        <v>0.42399999999999999</v>
      </c>
      <c r="Q116">
        <v>1.37E-2</v>
      </c>
      <c r="R116">
        <v>22.80142</v>
      </c>
      <c r="S116" s="2">
        <v>45681</v>
      </c>
      <c r="T116" t="s">
        <v>556</v>
      </c>
      <c r="U116">
        <v>1</v>
      </c>
      <c r="V116">
        <v>1.7899999999999999E-2</v>
      </c>
      <c r="W116">
        <v>6.8779640400542474</v>
      </c>
      <c r="X116">
        <v>689.02624853305576</v>
      </c>
      <c r="Y116">
        <v>0.42399999999999999</v>
      </c>
      <c r="Z116">
        <v>1.37E-2</v>
      </c>
      <c r="AA116">
        <v>22.800749999999994</v>
      </c>
      <c r="AK116" s="2">
        <v>45681</v>
      </c>
      <c r="AL116" t="s">
        <v>794</v>
      </c>
      <c r="AM116">
        <v>2</v>
      </c>
      <c r="AN116">
        <v>1.8100000000000002E-2</v>
      </c>
      <c r="AO116">
        <v>6.8796812086803394</v>
      </c>
      <c r="AP116">
        <v>689.18628864900757</v>
      </c>
      <c r="AQ116">
        <v>0.42399999999999999</v>
      </c>
      <c r="AR116">
        <v>1.37E-2</v>
      </c>
      <c r="AS116">
        <v>22.797600000000003</v>
      </c>
      <c r="AT116" s="2">
        <v>45681</v>
      </c>
      <c r="AU116" t="s">
        <v>914</v>
      </c>
      <c r="AV116">
        <v>2</v>
      </c>
      <c r="AW116">
        <v>1.7999999999999999E-2</v>
      </c>
      <c r="AX116">
        <v>6.8788179614536684</v>
      </c>
      <c r="AY116">
        <v>689.10583400748192</v>
      </c>
      <c r="AZ116">
        <v>0.42399999999999999</v>
      </c>
      <c r="BA116">
        <v>1.37E-2</v>
      </c>
      <c r="BB116">
        <v>22.800200000000018</v>
      </c>
      <c r="BC116" s="2">
        <v>45681</v>
      </c>
      <c r="BD116" t="s">
        <v>1034</v>
      </c>
      <c r="BE116">
        <v>3</v>
      </c>
      <c r="BF116">
        <v>1.77E-2</v>
      </c>
      <c r="BG116">
        <v>6.879406704982614</v>
      </c>
      <c r="BH116">
        <v>689.1607049043796</v>
      </c>
      <c r="BI116">
        <v>0.42399999999999999</v>
      </c>
      <c r="BJ116">
        <v>1.37E-2</v>
      </c>
      <c r="BK116">
        <v>22.801200000000023</v>
      </c>
      <c r="BL116" s="2">
        <v>45681</v>
      </c>
      <c r="BM116" t="s">
        <v>1154</v>
      </c>
      <c r="BN116">
        <v>3</v>
      </c>
      <c r="BO116">
        <v>1.7899999999999999E-2</v>
      </c>
      <c r="BP116">
        <v>6.8806523111264992</v>
      </c>
      <c r="BQ116">
        <v>689.27679539698977</v>
      </c>
      <c r="BR116">
        <v>0.42399999999999999</v>
      </c>
      <c r="BS116">
        <v>1.37E-2</v>
      </c>
      <c r="BT116">
        <v>22.798000000000002</v>
      </c>
      <c r="BU116" s="2">
        <v>45681</v>
      </c>
      <c r="BV116" t="s">
        <v>1274</v>
      </c>
      <c r="BW116">
        <v>4</v>
      </c>
      <c r="BX116">
        <v>1.7000000000000001E-2</v>
      </c>
      <c r="BY116">
        <v>6.8799755804448131</v>
      </c>
      <c r="BZ116">
        <v>689.21372409745663</v>
      </c>
      <c r="CA116">
        <v>0.42399999999999999</v>
      </c>
      <c r="CB116">
        <v>1.37E-2</v>
      </c>
      <c r="CC116">
        <v>22.801999999999992</v>
      </c>
      <c r="CD116" s="2">
        <v>45681</v>
      </c>
      <c r="CE116" t="s">
        <v>1394</v>
      </c>
      <c r="CF116">
        <v>4</v>
      </c>
      <c r="CG116">
        <v>1.7500000000000002E-2</v>
      </c>
      <c r="CH116">
        <v>6.8830429666682811</v>
      </c>
      <c r="CI116">
        <v>689.49960449348384</v>
      </c>
      <c r="CJ116">
        <v>0.42399999999999999</v>
      </c>
      <c r="CK116">
        <v>1.38E-2</v>
      </c>
      <c r="CL116">
        <v>22.798200000000008</v>
      </c>
      <c r="CM116" s="2">
        <v>45681</v>
      </c>
      <c r="CN116" t="s">
        <v>1514</v>
      </c>
      <c r="CO116">
        <v>4</v>
      </c>
      <c r="CP116">
        <v>1.78E-2</v>
      </c>
      <c r="CQ116">
        <v>6.8787388946574248</v>
      </c>
      <c r="CR116">
        <v>689.09846498207196</v>
      </c>
      <c r="CS116">
        <v>0.42399999999999999</v>
      </c>
      <c r="CT116">
        <v>1.37E-2</v>
      </c>
      <c r="CU116">
        <v>22.792200000000008</v>
      </c>
      <c r="CV116" s="2">
        <v>45681</v>
      </c>
      <c r="CW116" t="s">
        <v>1634</v>
      </c>
      <c r="CX116">
        <v>5</v>
      </c>
      <c r="CY116">
        <v>1.7600000000000001E-2</v>
      </c>
      <c r="CZ116">
        <v>6.8772759561915588</v>
      </c>
      <c r="DA116">
        <v>688.96211911705325</v>
      </c>
      <c r="DB116">
        <v>0.42399999999999999</v>
      </c>
      <c r="DC116">
        <v>1.37E-2</v>
      </c>
      <c r="DD116">
        <v>22.801100000000019</v>
      </c>
      <c r="DE116" s="2">
        <v>45681</v>
      </c>
      <c r="DF116" t="s">
        <v>1754</v>
      </c>
      <c r="DG116">
        <v>5</v>
      </c>
      <c r="DH116">
        <v>1.7600000000000001E-2</v>
      </c>
      <c r="DI116">
        <v>6.8760084546271747</v>
      </c>
      <c r="DJ116">
        <v>688.84398797125266</v>
      </c>
      <c r="DK116">
        <v>0.42399999999999999</v>
      </c>
      <c r="DL116">
        <v>1.37E-2</v>
      </c>
      <c r="DM116">
        <v>22.799800000000005</v>
      </c>
      <c r="DW116" s="2">
        <v>45681</v>
      </c>
      <c r="DX116" t="s">
        <v>1992</v>
      </c>
      <c r="DY116">
        <v>6</v>
      </c>
      <c r="DZ116">
        <v>1.7500000000000002E-2</v>
      </c>
      <c r="EA116">
        <v>6.872467073096999</v>
      </c>
      <c r="EB116">
        <v>688.51393121264027</v>
      </c>
      <c r="EC116">
        <v>0.42399999999999999</v>
      </c>
      <c r="ED116">
        <v>1.3599999999999999E-2</v>
      </c>
      <c r="EE116">
        <v>22.803499999999985</v>
      </c>
    </row>
    <row r="117" spans="1:135" x14ac:dyDescent="0.3">
      <c r="A117" s="2">
        <v>45681</v>
      </c>
      <c r="B117" t="s">
        <v>312</v>
      </c>
      <c r="C117">
        <v>0</v>
      </c>
      <c r="D117">
        <v>1.8800000000000001E-2</v>
      </c>
      <c r="E117">
        <v>7.3473012987852826</v>
      </c>
      <c r="F117">
        <v>837.25889325472349</v>
      </c>
      <c r="G117">
        <v>0.42399999999999999</v>
      </c>
      <c r="H117">
        <v>2.1000000000000001E-2</v>
      </c>
      <c r="I117">
        <v>22.998509999999996</v>
      </c>
      <c r="S117" s="2">
        <v>45681</v>
      </c>
      <c r="T117" t="s">
        <v>557</v>
      </c>
      <c r="U117">
        <v>1</v>
      </c>
      <c r="V117">
        <v>1.61E-2</v>
      </c>
      <c r="W117">
        <v>6.670290031338256</v>
      </c>
      <c r="X117">
        <v>669.67103092072546</v>
      </c>
      <c r="Y117">
        <v>0.42399999999999999</v>
      </c>
      <c r="Z117">
        <v>1.0500000000000001E-2</v>
      </c>
      <c r="AA117">
        <v>22.999539999999996</v>
      </c>
      <c r="AK117" s="2">
        <v>45681</v>
      </c>
      <c r="AL117" t="s">
        <v>795</v>
      </c>
      <c r="AM117">
        <v>2</v>
      </c>
      <c r="AN117">
        <v>1.67E-2</v>
      </c>
      <c r="AO117">
        <v>6.6698156305607981</v>
      </c>
      <c r="AP117">
        <v>669.62681676826639</v>
      </c>
      <c r="AQ117">
        <v>0.42399999999999999</v>
      </c>
      <c r="AR117">
        <v>1.0500000000000001E-2</v>
      </c>
      <c r="AS117">
        <v>22.998499999999993</v>
      </c>
      <c r="AT117" s="2">
        <v>45681</v>
      </c>
      <c r="AU117" t="s">
        <v>915</v>
      </c>
      <c r="AV117">
        <v>2</v>
      </c>
      <c r="AW117">
        <v>1.67E-2</v>
      </c>
      <c r="AX117">
        <v>6.6706918528514683</v>
      </c>
      <c r="AY117">
        <v>669.70848068575685</v>
      </c>
      <c r="AZ117">
        <v>0.42399999999999999</v>
      </c>
      <c r="BA117">
        <v>1.0500000000000001E-2</v>
      </c>
      <c r="BB117">
        <v>22.999500000000012</v>
      </c>
      <c r="BC117" s="2">
        <v>45681</v>
      </c>
      <c r="BD117" t="s">
        <v>1035</v>
      </c>
      <c r="BE117">
        <v>3</v>
      </c>
      <c r="BF117">
        <v>1.6299999999999999E-2</v>
      </c>
      <c r="BG117">
        <v>6.6731149460532473</v>
      </c>
      <c r="BH117">
        <v>669.93431297216262</v>
      </c>
      <c r="BI117">
        <v>0.42399999999999999</v>
      </c>
      <c r="BJ117">
        <v>1.0500000000000001E-2</v>
      </c>
      <c r="BK117">
        <v>22.998800000000017</v>
      </c>
      <c r="BL117" s="2">
        <v>45681</v>
      </c>
      <c r="BM117" t="s">
        <v>1155</v>
      </c>
      <c r="BN117">
        <v>3</v>
      </c>
      <c r="BO117">
        <v>1.6799999999999999E-2</v>
      </c>
      <c r="BP117">
        <v>6.6726304085070423</v>
      </c>
      <c r="BQ117">
        <v>669.8891540728564</v>
      </c>
      <c r="BR117">
        <v>0.42399999999999999</v>
      </c>
      <c r="BS117">
        <v>1.0500000000000001E-2</v>
      </c>
      <c r="BT117">
        <v>22.997199999999992</v>
      </c>
      <c r="CD117" s="2">
        <v>45681</v>
      </c>
      <c r="CE117" t="s">
        <v>1395</v>
      </c>
      <c r="CF117">
        <v>4</v>
      </c>
      <c r="CG117">
        <v>1.6500000000000001E-2</v>
      </c>
      <c r="CH117">
        <v>6.6742182319638967</v>
      </c>
      <c r="CI117">
        <v>670.03713921903523</v>
      </c>
      <c r="CJ117">
        <v>0.42399999999999999</v>
      </c>
      <c r="CK117">
        <v>1.0500000000000001E-2</v>
      </c>
      <c r="CL117">
        <v>22.998400000000004</v>
      </c>
      <c r="CM117" s="2">
        <v>45681</v>
      </c>
      <c r="CN117" t="s">
        <v>1515</v>
      </c>
      <c r="CO117">
        <v>4</v>
      </c>
      <c r="CP117">
        <v>1.7000000000000001E-2</v>
      </c>
      <c r="CQ117">
        <v>6.6698152250900504</v>
      </c>
      <c r="CR117">
        <v>669.62677897839274</v>
      </c>
      <c r="CS117">
        <v>0.42399999999999999</v>
      </c>
      <c r="CT117">
        <v>1.0500000000000001E-2</v>
      </c>
      <c r="CU117">
        <v>22.992199999999997</v>
      </c>
      <c r="CV117" s="2">
        <v>45681</v>
      </c>
      <c r="CW117" t="s">
        <v>1635</v>
      </c>
      <c r="CX117">
        <v>5</v>
      </c>
      <c r="CY117">
        <v>1.7100000000000001E-2</v>
      </c>
      <c r="CZ117">
        <v>6.6697223722883079</v>
      </c>
      <c r="DA117">
        <v>669.61812509727031</v>
      </c>
      <c r="DB117">
        <v>0.42399999999999999</v>
      </c>
      <c r="DC117">
        <v>1.0500000000000001E-2</v>
      </c>
      <c r="DD117">
        <v>22.99980000000005</v>
      </c>
      <c r="DE117" s="2">
        <v>45681</v>
      </c>
      <c r="DF117" t="s">
        <v>1755</v>
      </c>
      <c r="DG117">
        <v>5</v>
      </c>
      <c r="DH117">
        <v>1.6500000000000001E-2</v>
      </c>
      <c r="DI117">
        <v>6.6669071888713161</v>
      </c>
      <c r="DJ117">
        <v>669.35575000280664</v>
      </c>
      <c r="DK117">
        <v>0.42399999999999999</v>
      </c>
      <c r="DL117">
        <v>1.04E-2</v>
      </c>
      <c r="DM117">
        <v>22.999799999999993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I117"/>
  <sheetViews>
    <sheetView zoomScale="130" zoomScaleNormal="130" workbookViewId="0">
      <selection activeCell="J1" sqref="J1:K1048576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IF(COUNT(Resultados!A2,Resultados!J2,Resultados!S2,Resultados!AB2,Resultados!AK2,Resultados!AT2,Resultados!BC2,Resultados!BL2,Resultados!BU2,Resultados!CD2,Resultados!CM2,Resultados!CV2,Resultados!DE2,Resultados!DN2,Resultados!DW2)=0, "", AVERAGE(ABS(Resultados!A2),ABS(Resultados!J2),ABS(Resultados!S2),ABS(Resultados!AB2),ABS(Resultados!AK2),ABS(Resultados!AT2),ABS(Resultados!BC2),ABS(Resultados!BL2),ABS(Resultados!BU2),ABS(Resultados!CD2),ABS(Resultados!CM2),ABS(Resultados!CV2),ABS(Resultados!DE2),ABS(Resultados!DN2),ABS(Resultados!DW2)))</f>
        <v>45681</v>
      </c>
      <c r="B2" t="str">
        <f>IF(COUNT(Resultados!B2,Resultados!K2,Resultados!T2,Resultados!AC2,Resultados!AL2,Resultados!AU2,Resultados!BD2,Resultados!BM2,Resultados!BV2,Resultados!CE2,Resultados!CN2,Resultados!CW2,Resultados!DF2,Resultados!DO2,Resultados!DX2)=0, "", AVERAGE(ABS(Resultados!B2),ABS(Resultados!K2),ABS(Resultados!T2),ABS(Resultados!AC2),ABS(Resultados!AL2),ABS(Resultados!AU2),ABS(Resultados!BD2),ABS(Resultados!BM2),ABS(Resultados!BV2),ABS(Resultados!CE2),ABS(Resultados!CN2),ABS(Resultados!CW2),ABS(Resultados!DF2),ABS(Resultados!DO2),ABS(Resultados!DX2)))</f>
        <v/>
      </c>
      <c r="C2">
        <f>IF(COUNT(Resultados!C2,Resultados!L2,Resultados!U2,Resultados!AD2,Resultados!AM2,Resultados!AV2,Resultados!BE2,Resultados!BN2,Resultados!BW2,Resultados!CF2,Resultados!CO2,Resultados!CX2,Resultados!DG2,Resultados!DP2,Resultados!DY2)=0, "", AVERAGE(ABS(Resultados!C2),ABS(Resultados!L2),ABS(Resultados!U2),ABS(Resultados!AD2),ABS(Resultados!AM2),ABS(Resultados!AV2),ABS(Resultados!BE2),ABS(Resultados!BN2),ABS(Resultados!BW2),ABS(Resultados!CF2),ABS(Resultados!CO2),ABS(Resultados!CX2),ABS(Resultados!DG2),ABS(Resultados!DP2),ABS(Resultados!DY2)))</f>
        <v>2.8</v>
      </c>
      <c r="D2">
        <f>IF(COUNT(Resultados!D2,Resultados!M2,Resultados!V2,Resultados!AE2,Resultados!AN2,Resultados!AW2,Resultados!BF2,Resultados!BO2,Resultados!BX2,Resultados!CG2,Resultados!CP2,Resultados!CY2,Resultados!DH2,Resultados!DQ2,Resultados!DZ2)=0, "", AVERAGE(ABS(Resultados!D2),ABS(Resultados!M2),ABS(Resultados!V2),ABS(Resultados!AE2),ABS(Resultados!AN2),ABS(Resultados!AW2),ABS(Resultados!BF2),ABS(Resultados!BO2),ABS(Resultados!BX2),ABS(Resultados!CG2),ABS(Resultados!CP2),ABS(Resultados!CY2),ABS(Resultados!DH2),ABS(Resultados!DQ2),ABS(Resultados!DZ2)))</f>
        <v>1.08E-3</v>
      </c>
      <c r="E2">
        <f>IF(COUNT(Resultados!E2,Resultados!N2,Resultados!W2,Resultados!AF2,Resultados!AO2,Resultados!AX2,Resultados!BG2,Resultados!BP2,Resultados!BY2,Resultados!CH2,Resultados!CQ2,Resultados!CZ2,Resultados!DI2,Resultados!DR2,Resultados!EA2)=0, "", AVERAGE(ABS(Resultados!E2),ABS(Resultados!N2),ABS(Resultados!W2),ABS(Resultados!AF2),ABS(Resultados!AO2),ABS(Resultados!AX2),ABS(Resultados!BG2),ABS(Resultados!BP2),ABS(Resultados!BY2),ABS(Resultados!CH2),ABS(Resultados!CQ2),ABS(Resultados!CZ2),ABS(Resultados!DI2),ABS(Resultados!DR2),ABS(Resultados!EA2)))</f>
        <v>5.9957432154347226</v>
      </c>
      <c r="F2">
        <f>IF(COUNT(Resultados!F2,Resultados!O2,Resultados!X2,Resultados!AG2,Resultados!AP2,Resultados!AY2,Resultados!BH2,Resultados!BQ2,Resultados!BZ2,Resultados!CI2,Resultados!CR2,Resultados!DA2,Resultados!DJ2,Resultados!DS2,Resultados!EB2)=0, "", AVERAGE(ABS(Resultados!F2),ABS(Resultados!O2),ABS(Resultados!X2),ABS(Resultados!AG2),ABS(Resultados!AP2),ABS(Resultados!AY2),ABS(Resultados!BH2),ABS(Resultados!BQ2),ABS(Resultados!BZ2),ABS(Resultados!CI2),ABS(Resultados!CR2),ABS(Resultados!DA2),ABS(Resultados!DJ2),ABS(Resultados!DS2),ABS(Resultados!EB2)))</f>
        <v>606.80326767851614</v>
      </c>
      <c r="G2">
        <f>IF(COUNT(Resultados!G2,Resultados!P2,Resultados!Y2,Resultados!AH2,Resultados!AQ2,Resultados!AZ2,Resultados!BI2,Resultados!BR2,Resultados!CA2,Resultados!CJ2,Resultados!CS2,Resultados!DB2,Resultados!DK2,Resultados!DT2,Resultados!EC2)=0, "", AVERAGE(ABS(Resultados!G2),ABS(Resultados!P2),ABS(Resultados!Y2),ABS(Resultados!AH2),ABS(Resultados!AQ2),ABS(Resultados!AZ2),ABS(Resultados!BI2),ABS(Resultados!BR2),ABS(Resultados!CA2),ABS(Resultados!CJ2),ABS(Resultados!CS2),ABS(Resultados!DB2),ABS(Resultados!DK2),ABS(Resultados!DT2),ABS(Resultados!EC2)))</f>
        <v>0.42400000000000015</v>
      </c>
      <c r="H2">
        <f>IF(COUNT(Resultados!H2,Resultados!Q2,Resultados!Z2,Resultados!AI2,Resultados!AR2,Resultados!BA2,Resultados!BJ2,Resultados!BS2,Resultados!CB2,Resultados!CK2,Resultados!CT2,Resultados!DC2,Resultados!DL2,Resultados!DU2,Resultados!ED2)=0, "", AVERAGE(ABS(Resultados!H2),ABS(Resultados!Q2),ABS(Resultados!Z2),ABS(Resultados!AI2),ABS(Resultados!AR2),ABS(Resultados!BA2),ABS(Resultados!BJ2),ABS(Resultados!BS2),ABS(Resultados!CB2),ABS(Resultados!CK2),ABS(Resultados!CT2),ABS(Resultados!DC2),ABS(Resultados!DL2),ABS(Resultados!DU2),ABS(Resultados!ED2)))</f>
        <v>0</v>
      </c>
      <c r="I2">
        <f>IF(COUNT(Resultados!I2,Resultados!R2,Resultados!AA2,Resultados!AJ2,Resultados!AS2,Resultados!BB2,Resultados!BK2,Resultados!BT2,Resultados!CC2,Resultados!CL2,Resultados!CU2,Resultados!DD2,Resultados!DM2,Resultados!DV2,Resultados!EE2)=0, "", AVERAGE(ABS(Resultados!I2),ABS(Resultados!R2),ABS(Resultados!AA2),ABS(Resultados!AJ2),ABS(Resultados!AS2),ABS(Resultados!BB2),ABS(Resultados!BK2),ABS(Resultados!BT2),ABS(Resultados!CC2),ABS(Resultados!CL2),ABS(Resultados!CU2),ABS(Resultados!DD2),ABS(Resultados!DM2),ABS(Resultados!DV2),ABS(Resultados!EE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IF(COUNT(Resultados!A3,Resultados!J3,Resultados!S3,Resultados!AB3,Resultados!AK3,Resultados!AT3,Resultados!BC3,Resultados!BL3,Resultados!BU3,Resultados!CD3,Resultados!CM3,Resultados!CV3,Resultados!DE3,Resultados!DN3,Resultados!DW3)=0, "", AVERAGE(ABS(Resultados!A3),ABS(Resultados!J3),ABS(Resultados!S3),ABS(Resultados!AB3),ABS(Resultados!AK3),ABS(Resultados!AT3),ABS(Resultados!BC3),ABS(Resultados!BL3),ABS(Resultados!BU3),ABS(Resultados!CD3),ABS(Resultados!CM3),ABS(Resultados!CV3),ABS(Resultados!DE3),ABS(Resultados!DN3),ABS(Resultados!DW3)))</f>
        <v>45681</v>
      </c>
      <c r="B3" t="str">
        <f>IF(COUNT(Resultados!B3,Resultados!K3,Resultados!T3,Resultados!AC3,Resultados!AL3,Resultados!AU3,Resultados!BD3,Resultados!BM3,Resultados!BV3,Resultados!CE3,Resultados!CN3,Resultados!CW3,Resultados!DF3,Resultados!DO3,Resultados!DX3)=0, "", AVERAGE(ABS(Resultados!B3),ABS(Resultados!K3),ABS(Resultados!T3),ABS(Resultados!AC3),ABS(Resultados!AL3),ABS(Resultados!AU3),ABS(Resultados!BD3),ABS(Resultados!BM3),ABS(Resultados!BV3),ABS(Resultados!CE3),ABS(Resultados!CN3),ABS(Resultados!CW3),ABS(Resultados!DF3),ABS(Resultados!DO3),ABS(Resultados!DX3)))</f>
        <v/>
      </c>
      <c r="C3">
        <f>IF(COUNT(Resultados!C3,Resultados!L3,Resultados!U3,Resultados!AD3,Resultados!AM3,Resultados!AV3,Resultados!BE3,Resultados!BN3,Resultados!BW3,Resultados!CF3,Resultados!CO3,Resultados!CX3,Resultados!DG3,Resultados!DP3,Resultados!DY3)=0, "", AVERAGE(ABS(Resultados!C3),ABS(Resultados!L3),ABS(Resultados!U3),ABS(Resultados!AD3),ABS(Resultados!AM3),ABS(Resultados!AV3),ABS(Resultados!BE3),ABS(Resultados!BN3),ABS(Resultados!BW3),ABS(Resultados!CF3),ABS(Resultados!CO3),ABS(Resultados!CX3),ABS(Resultados!DG3),ABS(Resultados!DP3),ABS(Resultados!DY3)))</f>
        <v>2.8</v>
      </c>
      <c r="D3">
        <f>IF(COUNT(Resultados!D3,Resultados!M3,Resultados!V3,Resultados!AE3,Resultados!AN3,Resultados!AW3,Resultados!BF3,Resultados!BO3,Resultados!BX3,Resultados!CG3,Resultados!CP3,Resultados!CY3,Resultados!DH3,Resultados!DQ3,Resultados!DZ3)=0, "", AVERAGE(ABS(Resultados!D3),ABS(Resultados!M3),ABS(Resultados!V3),ABS(Resultados!AE3),ABS(Resultados!AN3),ABS(Resultados!AW3),ABS(Resultados!BF3),ABS(Resultados!BO3),ABS(Resultados!BX3),ABS(Resultados!CG3),ABS(Resultados!CP3),ABS(Resultados!CY3),ABS(Resultados!DH3),ABS(Resultados!DQ3),ABS(Resultados!DZ3)))</f>
        <v>5.533333333333333E-4</v>
      </c>
      <c r="E3">
        <f>IF(COUNT(Resultados!E3,Resultados!N3,Resultados!W3,Resultados!AF3,Resultados!AO3,Resultados!AX3,Resultados!BG3,Resultados!BP3,Resultados!BY3,Resultados!CH3,Resultados!CQ3,Resultados!CZ3,Resultados!DI3,Resultados!DR3,Resultados!EA3)=0, "", AVERAGE(ABS(Resultados!E3),ABS(Resultados!N3),ABS(Resultados!W3),ABS(Resultados!AF3),ABS(Resultados!AO3),ABS(Resultados!AX3),ABS(Resultados!BG3),ABS(Resultados!BP3),ABS(Resultados!BY3),ABS(Resultados!CH3),ABS(Resultados!CQ3),ABS(Resultados!CZ3),ABS(Resultados!DI3),ABS(Resultados!DR3),ABS(Resultados!EA3)))</f>
        <v>6.0580617727924695</v>
      </c>
      <c r="F3">
        <f>IF(COUNT(Resultados!F3,Resultados!O3,Resultados!X3,Resultados!AG3,Resultados!AP3,Resultados!AY3,Resultados!BH3,Resultados!BQ3,Resultados!BZ3,Resultados!CI3,Resultados!CR3,Resultados!DA3,Resultados!DJ3,Resultados!DS3,Resultados!EB3)=0, "", AVERAGE(ABS(Resultados!F3),ABS(Resultados!O3),ABS(Resultados!X3),ABS(Resultados!AG3),ABS(Resultados!AP3),ABS(Resultados!AY3),ABS(Resultados!BH3),ABS(Resultados!BQ3),ABS(Resultados!BZ3),ABS(Resultados!CI3),ABS(Resultados!CR3),ABS(Resultados!DA3),ABS(Resultados!DJ3),ABS(Resultados!DS3),ABS(Resultados!EB3)))</f>
        <v>714.91006223800525</v>
      </c>
      <c r="G3">
        <f>IF(COUNT(Resultados!G3,Resultados!P3,Resultados!Y3,Resultados!AH3,Resultados!AQ3,Resultados!AZ3,Resultados!BI3,Resultados!BR3,Resultados!CA3,Resultados!CJ3,Resultados!CS3,Resultados!DB3,Resultados!DK3,Resultados!DT3,Resultados!EC3)=0, "", AVERAGE(ABS(Resultados!G3),ABS(Resultados!P3),ABS(Resultados!Y3),ABS(Resultados!AH3),ABS(Resultados!AQ3),ABS(Resultados!AZ3),ABS(Resultados!BI3),ABS(Resultados!BR3),ABS(Resultados!CA3),ABS(Resultados!CJ3),ABS(Resultados!CS3),ABS(Resultados!DB3),ABS(Resultados!DK3),ABS(Resultados!DT3),ABS(Resultados!EC3)))</f>
        <v>0.42400000000000015</v>
      </c>
      <c r="H3">
        <f>IF(COUNT(Resultados!H3,Resultados!Q3,Resultados!Z3,Resultados!AI3,Resultados!AR3,Resultados!BA3,Resultados!BJ3,Resultados!BS3,Resultados!CB3,Resultados!CK3,Resultados!CT3,Resultados!DC3,Resultados!DL3,Resultados!DU3,Resultados!ED3)=0, "", AVERAGE(ABS(Resultados!H3),ABS(Resultados!Q3),ABS(Resultados!Z3),ABS(Resultados!AI3),ABS(Resultados!AR3),ABS(Resultados!BA3),ABS(Resultados!BJ3),ABS(Resultados!BS3),ABS(Resultados!CB3),ABS(Resultados!CK3),ABS(Resultados!CT3),ABS(Resultados!DC3),ABS(Resultados!DL3),ABS(Resultados!DU3),ABS(Resultados!ED3)))</f>
        <v>9.533333333333337E-4</v>
      </c>
      <c r="I3">
        <f>IF(COUNT(Resultados!I3,Resultados!R3,Resultados!AA3,Resultados!AJ3,Resultados!AS3,Resultados!BB3,Resultados!BK3,Resultados!BT3,Resultados!CC3,Resultados!CL3,Resultados!CU3,Resultados!DD3,Resultados!DM3,Resultados!DV3,Resultados!EE3)=0, "", AVERAGE(ABS(Resultados!I3),ABS(Resultados!R3),ABS(Resultados!AA3),ABS(Resultados!AJ3),ABS(Resultados!AS3),ABS(Resultados!BB3),ABS(Resultados!BK3),ABS(Resultados!BT3),ABS(Resultados!CC3),ABS(Resultados!CL3),ABS(Resultados!CU3),ABS(Resultados!DD3),ABS(Resultados!DM3),ABS(Resultados!DV3),ABS(Resultados!EE3)))</f>
        <v>0.1987433333333346</v>
      </c>
    </row>
    <row r="4" spans="1:9" x14ac:dyDescent="0.3">
      <c r="A4">
        <f>IF(COUNT(Resultados!A4,Resultados!J4,Resultados!S4,Resultados!AB4,Resultados!AK4,Resultados!AT4,Resultados!BC4,Resultados!BL4,Resultados!BU4,Resultados!CD4,Resultados!CM4,Resultados!CV4,Resultados!DE4,Resultados!DN4,Resultados!DW4)=0, "", AVERAGE(ABS(Resultados!A4),ABS(Resultados!J4),ABS(Resultados!S4),ABS(Resultados!AB4),ABS(Resultados!AK4),ABS(Resultados!AT4),ABS(Resultados!BC4),ABS(Resultados!BL4),ABS(Resultados!BU4),ABS(Resultados!CD4),ABS(Resultados!CM4),ABS(Resultados!CV4),ABS(Resultados!DE4),ABS(Resultados!DN4),ABS(Resultados!DW4)))</f>
        <v>45681</v>
      </c>
      <c r="B4" t="str">
        <f>IF(COUNT(Resultados!B4,Resultados!K4,Resultados!T4,Resultados!AC4,Resultados!AL4,Resultados!AU4,Resultados!BD4,Resultados!BM4,Resultados!BV4,Resultados!CE4,Resultados!CN4,Resultados!CW4,Resultados!DF4,Resultados!DO4,Resultados!DX4)=0, "", AVERAGE(ABS(Resultados!B4),ABS(Resultados!K4),ABS(Resultados!T4),ABS(Resultados!AC4),ABS(Resultados!AL4),ABS(Resultados!AU4),ABS(Resultados!BD4),ABS(Resultados!BM4),ABS(Resultados!BV4),ABS(Resultados!CE4),ABS(Resultados!CN4),ABS(Resultados!CW4),ABS(Resultados!DF4),ABS(Resultados!DO4),ABS(Resultados!DX4)))</f>
        <v/>
      </c>
      <c r="C4">
        <f>IF(COUNT(Resultados!C4,Resultados!L4,Resultados!U4,Resultados!AD4,Resultados!AM4,Resultados!AV4,Resultados!BE4,Resultados!BN4,Resultados!BW4,Resultados!CF4,Resultados!CO4,Resultados!CX4,Resultados!DG4,Resultados!DP4,Resultados!DY4)=0, "", AVERAGE(ABS(Resultados!C4),ABS(Resultados!L4),ABS(Resultados!U4),ABS(Resultados!AD4),ABS(Resultados!AM4),ABS(Resultados!AV4),ABS(Resultados!BE4),ABS(Resultados!BN4),ABS(Resultados!BW4),ABS(Resultados!CF4),ABS(Resultados!CO4),ABS(Resultados!CX4),ABS(Resultados!DG4),ABS(Resultados!DP4),ABS(Resultados!DY4)))</f>
        <v>2.8</v>
      </c>
      <c r="D4">
        <f>IF(COUNT(Resultados!D4,Resultados!M4,Resultados!V4,Resultados!AE4,Resultados!AN4,Resultados!AW4,Resultados!BF4,Resultados!BO4,Resultados!BX4,Resultados!CG4,Resultados!CP4,Resultados!CY4,Resultados!DH4,Resultados!DQ4,Resultados!DZ4)=0, "", AVERAGE(ABS(Resultados!D4),ABS(Resultados!M4),ABS(Resultados!V4),ABS(Resultados!AE4),ABS(Resultados!AN4),ABS(Resultados!AW4),ABS(Resultados!BF4),ABS(Resultados!BO4),ABS(Resultados!BX4),ABS(Resultados!CG4),ABS(Resultados!CP4),ABS(Resultados!CY4),ABS(Resultados!DH4),ABS(Resultados!DQ4),ABS(Resultados!DZ4)))</f>
        <v>4.2000000000000002E-4</v>
      </c>
      <c r="E4">
        <f>IF(COUNT(Resultados!E4,Resultados!N4,Resultados!W4,Resultados!AF4,Resultados!AO4,Resultados!AX4,Resultados!BG4,Resultados!BP4,Resultados!BY4,Resultados!CH4,Resultados!CQ4,Resultados!CZ4,Resultados!DI4,Resultados!DR4,Resultados!EA4)=0, "", AVERAGE(ABS(Resultados!E4),ABS(Resultados!N4),ABS(Resultados!W4),ABS(Resultados!AF4),ABS(Resultados!AO4),ABS(Resultados!AX4),ABS(Resultados!BG4),ABS(Resultados!BP4),ABS(Resultados!BY4),ABS(Resultados!CH4),ABS(Resultados!CQ4),ABS(Resultados!CZ4),ABS(Resultados!DI4),ABS(Resultados!DR4),ABS(Resultados!EA4)))</f>
        <v>6.1352419693203046</v>
      </c>
      <c r="F4">
        <f>IF(COUNT(Resultados!F4,Resultados!O4,Resultados!X4,Resultados!AG4,Resultados!AP4,Resultados!AY4,Resultados!BH4,Resultados!BQ4,Resultados!BZ4,Resultados!CI4,Resultados!CR4,Resultados!DA4,Resultados!DJ4,Resultados!DS4,Resultados!EB4)=0, "", AVERAGE(ABS(Resultados!F4),ABS(Resultados!O4),ABS(Resultados!X4),ABS(Resultados!AG4),ABS(Resultados!AP4),ABS(Resultados!AY4),ABS(Resultados!BH4),ABS(Resultados!BQ4),ABS(Resultados!BZ4),ABS(Resultados!CI4),ABS(Resultados!CR4),ABS(Resultados!DA4),ABS(Resultados!DJ4),ABS(Resultados!DS4),ABS(Resultados!EB4)))</f>
        <v>715.39021990523543</v>
      </c>
      <c r="G4">
        <f>IF(COUNT(Resultados!G4,Resultados!P4,Resultados!Y4,Resultados!AH4,Resultados!AQ4,Resultados!AZ4,Resultados!BI4,Resultados!BR4,Resultados!CA4,Resultados!CJ4,Resultados!CS4,Resultados!DB4,Resultados!DK4,Resultados!DT4,Resultados!EC4)=0, "", AVERAGE(ABS(Resultados!G4),ABS(Resultados!P4),ABS(Resultados!Y4),ABS(Resultados!AH4),ABS(Resultados!AQ4),ABS(Resultados!AZ4),ABS(Resultados!BI4),ABS(Resultados!BR4),ABS(Resultados!CA4),ABS(Resultados!CJ4),ABS(Resultados!CS4),ABS(Resultados!DB4),ABS(Resultados!DK4),ABS(Resultados!DT4),ABS(Resultados!EC4)))</f>
        <v>0.42400000000000015</v>
      </c>
      <c r="H4">
        <f>IF(COUNT(Resultados!H4,Resultados!Q4,Resultados!Z4,Resultados!AI4,Resultados!AR4,Resultados!BA4,Resultados!BJ4,Resultados!BS4,Resultados!CB4,Resultados!CK4,Resultados!CT4,Resultados!DC4,Resultados!DL4,Resultados!DU4,Resultados!ED4)=0, "", AVERAGE(ABS(Resultados!H4),ABS(Resultados!Q4),ABS(Resultados!Z4),ABS(Resultados!AI4),ABS(Resultados!AR4),ABS(Resultados!BA4),ABS(Resultados!BJ4),ABS(Resultados!BS4),ABS(Resultados!CB4),ABS(Resultados!CK4),ABS(Resultados!CT4),ABS(Resultados!DC4),ABS(Resultados!DL4),ABS(Resultados!DU4),ABS(Resultados!ED4)))</f>
        <v>2.166666666666667E-3</v>
      </c>
      <c r="I4">
        <f>IF(COUNT(Resultados!I4,Resultados!R4,Resultados!AA4,Resultados!AJ4,Resultados!AS4,Resultados!BB4,Resultados!BK4,Resultados!BT4,Resultados!CC4,Resultados!CL4,Resultados!CU4,Resultados!DD4,Resultados!DM4,Resultados!DV4,Resultados!EE4)=0, "", AVERAGE(ABS(Resultados!I4),ABS(Resultados!R4),ABS(Resultados!AA4),ABS(Resultados!AJ4),ABS(Resultados!AS4),ABS(Resultados!BB4),ABS(Resultados!BK4),ABS(Resultados!BT4),ABS(Resultados!CC4),ABS(Resultados!CL4),ABS(Resultados!CU4),ABS(Resultados!DD4),ABS(Resultados!DM4),ABS(Resultados!DV4),ABS(Resultados!EE4)))</f>
        <v>0.39875333333333352</v>
      </c>
    </row>
    <row r="5" spans="1:9" x14ac:dyDescent="0.3">
      <c r="A5">
        <f>IF(COUNT(Resultados!A5,Resultados!J5,Resultados!S5,Resultados!AB5,Resultados!AK5,Resultados!AT5,Resultados!BC5,Resultados!BL5,Resultados!BU5,Resultados!CD5,Resultados!CM5,Resultados!CV5,Resultados!DE5,Resultados!DN5,Resultados!DW5)=0, "", AVERAGE(ABS(Resultados!A5),ABS(Resultados!J5),ABS(Resultados!S5),ABS(Resultados!AB5),ABS(Resultados!AK5),ABS(Resultados!AT5),ABS(Resultados!BC5),ABS(Resultados!BL5),ABS(Resultados!BU5),ABS(Resultados!CD5),ABS(Resultados!CM5),ABS(Resultados!CV5),ABS(Resultados!DE5),ABS(Resultados!DN5),ABS(Resultados!DW5)))</f>
        <v>45681</v>
      </c>
      <c r="B5" t="str">
        <f>IF(COUNT(Resultados!B5,Resultados!K5,Resultados!T5,Resultados!AC5,Resultados!AL5,Resultados!AU5,Resultados!BD5,Resultados!BM5,Resultados!BV5,Resultados!CE5,Resultados!CN5,Resultados!CW5,Resultados!DF5,Resultados!DO5,Resultados!DX5)=0, "", AVERAGE(ABS(Resultados!B5),ABS(Resultados!K5),ABS(Resultados!T5),ABS(Resultados!AC5),ABS(Resultados!AL5),ABS(Resultados!AU5),ABS(Resultados!BD5),ABS(Resultados!BM5),ABS(Resultados!BV5),ABS(Resultados!CE5),ABS(Resultados!CN5),ABS(Resultados!CW5),ABS(Resultados!DF5),ABS(Resultados!DO5),ABS(Resultados!DX5)))</f>
        <v/>
      </c>
      <c r="C5">
        <f>IF(COUNT(Resultados!C5,Resultados!L5,Resultados!U5,Resultados!AD5,Resultados!AM5,Resultados!AV5,Resultados!BE5,Resultados!BN5,Resultados!BW5,Resultados!CF5,Resultados!CO5,Resultados!CX5,Resultados!DG5,Resultados!DP5,Resultados!DY5)=0, "", AVERAGE(ABS(Resultados!C5),ABS(Resultados!L5),ABS(Resultados!U5),ABS(Resultados!AD5),ABS(Resultados!AM5),ABS(Resultados!AV5),ABS(Resultados!BE5),ABS(Resultados!BN5),ABS(Resultados!BW5),ABS(Resultados!CF5),ABS(Resultados!CO5),ABS(Resultados!CX5),ABS(Resultados!DG5),ABS(Resultados!DP5),ABS(Resultados!DY5)))</f>
        <v>2.8</v>
      </c>
      <c r="D5">
        <f>IF(COUNT(Resultados!D5,Resultados!M5,Resultados!V5,Resultados!AE5,Resultados!AN5,Resultados!AW5,Resultados!BF5,Resultados!BO5,Resultados!BX5,Resultados!CG5,Resultados!CP5,Resultados!CY5,Resultados!DH5,Resultados!DQ5,Resultados!DZ5)=0, "", AVERAGE(ABS(Resultados!D5),ABS(Resultados!M5),ABS(Resultados!V5),ABS(Resultados!AE5),ABS(Resultados!AN5),ABS(Resultados!AW5),ABS(Resultados!BF5),ABS(Resultados!BO5),ABS(Resultados!BX5),ABS(Resultados!CG5),ABS(Resultados!CP5),ABS(Resultados!CY5),ABS(Resultados!DH5),ABS(Resultados!DQ5),ABS(Resultados!DZ5)))</f>
        <v>8.4000000000000003E-4</v>
      </c>
      <c r="E5">
        <f>IF(COUNT(Resultados!E5,Resultados!N5,Resultados!W5,Resultados!AF5,Resultados!AO5,Resultados!AX5,Resultados!BG5,Resultados!BP5,Resultados!BY5,Resultados!CH5,Resultados!CQ5,Resultados!CZ5,Resultados!DI5,Resultados!DR5,Resultados!EA5)=0, "", AVERAGE(ABS(Resultados!E5),ABS(Resultados!N5),ABS(Resultados!W5),ABS(Resultados!AF5),ABS(Resultados!AO5),ABS(Resultados!AX5),ABS(Resultados!BG5),ABS(Resultados!BP5),ABS(Resultados!BY5),ABS(Resultados!CH5),ABS(Resultados!CQ5),ABS(Resultados!CZ5),ABS(Resultados!DI5),ABS(Resultados!DR5),ABS(Resultados!EA5)))</f>
        <v>6.2650979749375137</v>
      </c>
      <c r="F5">
        <f>IF(COUNT(Resultados!F5,Resultados!O5,Resultados!X5,Resultados!AG5,Resultados!AP5,Resultados!AY5,Resultados!BH5,Resultados!BQ5,Resultados!BZ5,Resultados!CI5,Resultados!CR5,Resultados!DA5,Resultados!DJ5,Resultados!DS5,Resultados!EB5)=0, "", AVERAGE(ABS(Resultados!F5),ABS(Resultados!O5),ABS(Resultados!X5),ABS(Resultados!AG5),ABS(Resultados!AP5),ABS(Resultados!AY5),ABS(Resultados!BH5),ABS(Resultados!BQ5),ABS(Resultados!BZ5),ABS(Resultados!CI5),ABS(Resultados!CR5),ABS(Resultados!DA5),ABS(Resultados!DJ5),ABS(Resultados!DS5),ABS(Resultados!EB5)))</f>
        <v>727.7303529343626</v>
      </c>
      <c r="G5">
        <f>IF(COUNT(Resultados!G5,Resultados!P5,Resultados!Y5,Resultados!AH5,Resultados!AQ5,Resultados!AZ5,Resultados!BI5,Resultados!BR5,Resultados!CA5,Resultados!CJ5,Resultados!CS5,Resultados!DB5,Resultados!DK5,Resultados!DT5,Resultados!EC5)=0, "", AVERAGE(ABS(Resultados!G5),ABS(Resultados!P5),ABS(Resultados!Y5),ABS(Resultados!AH5),ABS(Resultados!AQ5),ABS(Resultados!AZ5),ABS(Resultados!BI5),ABS(Resultados!BR5),ABS(Resultados!CA5),ABS(Resultados!CJ5),ABS(Resultados!CS5),ABS(Resultados!DB5),ABS(Resultados!DK5),ABS(Resultados!DT5),ABS(Resultados!EC5)))</f>
        <v>0.42400000000000015</v>
      </c>
      <c r="H5">
        <f>IF(COUNT(Resultados!H5,Resultados!Q5,Resultados!Z5,Resultados!AI5,Resultados!AR5,Resultados!BA5,Resultados!BJ5,Resultados!BS5,Resultados!CB5,Resultados!CK5,Resultados!CT5,Resultados!DC5,Resultados!DL5,Resultados!DU5,Resultados!ED5)=0, "", AVERAGE(ABS(Resultados!H5),ABS(Resultados!Q5),ABS(Resultados!Z5),ABS(Resultados!AI5),ABS(Resultados!AR5),ABS(Resultados!BA5),ABS(Resultados!BJ5),ABS(Resultados!BS5),ABS(Resultados!CB5),ABS(Resultados!CK5),ABS(Resultados!CT5),ABS(Resultados!DC5),ABS(Resultados!DL5),ABS(Resultados!DU5),ABS(Resultados!ED5)))</f>
        <v>4.1799999999999997E-3</v>
      </c>
      <c r="I5">
        <f>IF(COUNT(Resultados!I5,Resultados!R5,Resultados!AA5,Resultados!AJ5,Resultados!AS5,Resultados!BB5,Resultados!BK5,Resultados!BT5,Resultados!CC5,Resultados!CL5,Resultados!CU5,Resultados!DD5,Resultados!DM5,Resultados!DV5,Resultados!EE5)=0, "", AVERAGE(ABS(Resultados!I5),ABS(Resultados!R5),ABS(Resultados!AA5),ABS(Resultados!AJ5),ABS(Resultados!AS5),ABS(Resultados!BB5),ABS(Resultados!BK5),ABS(Resultados!BT5),ABS(Resultados!CC5),ABS(Resultados!CL5),ABS(Resultados!CU5),ABS(Resultados!DD5),ABS(Resultados!DM5),ABS(Resultados!DV5),ABS(Resultados!EE5)))</f>
        <v>0.59864666666666821</v>
      </c>
    </row>
    <row r="6" spans="1:9" x14ac:dyDescent="0.3">
      <c r="A6">
        <f>IF(COUNT(Resultados!A6,Resultados!J6,Resultados!S6,Resultados!AB6,Resultados!AK6,Resultados!AT6,Resultados!BC6,Resultados!BL6,Resultados!BU6,Resultados!CD6,Resultados!CM6,Resultados!CV6,Resultados!DE6,Resultados!DN6,Resultados!DW6)=0, "", AVERAGE(ABS(Resultados!A6),ABS(Resultados!J6),ABS(Resultados!S6),ABS(Resultados!AB6),ABS(Resultados!AK6),ABS(Resultados!AT6),ABS(Resultados!BC6),ABS(Resultados!BL6),ABS(Resultados!BU6),ABS(Resultados!CD6),ABS(Resultados!CM6),ABS(Resultados!CV6),ABS(Resultados!DE6),ABS(Resultados!DN6),ABS(Resultados!DW6)))</f>
        <v>45681</v>
      </c>
      <c r="B6" t="str">
        <f>IF(COUNT(Resultados!B6,Resultados!K6,Resultados!T6,Resultados!AC6,Resultados!AL6,Resultados!AU6,Resultados!BD6,Resultados!BM6,Resultados!BV6,Resultados!CE6,Resultados!CN6,Resultados!CW6,Resultados!DF6,Resultados!DO6,Resultados!DX6)=0, "", AVERAGE(ABS(Resultados!B6),ABS(Resultados!K6),ABS(Resultados!T6),ABS(Resultados!AC6),ABS(Resultados!AL6),ABS(Resultados!AU6),ABS(Resultados!BD6),ABS(Resultados!BM6),ABS(Resultados!BV6),ABS(Resultados!CE6),ABS(Resultados!CN6),ABS(Resultados!CW6),ABS(Resultados!DF6),ABS(Resultados!DO6),ABS(Resultados!DX6)))</f>
        <v/>
      </c>
      <c r="C6">
        <f>IF(COUNT(Resultados!C6,Resultados!L6,Resultados!U6,Resultados!AD6,Resultados!AM6,Resultados!AV6,Resultados!BE6,Resultados!BN6,Resultados!BW6,Resultados!CF6,Resultados!CO6,Resultados!CX6,Resultados!DG6,Resultados!DP6,Resultados!DY6)=0, "", AVERAGE(ABS(Resultados!C6),ABS(Resultados!L6),ABS(Resultados!U6),ABS(Resultados!AD6),ABS(Resultados!AM6),ABS(Resultados!AV6),ABS(Resultados!BE6),ABS(Resultados!BN6),ABS(Resultados!BW6),ABS(Resultados!CF6),ABS(Resultados!CO6),ABS(Resultados!CX6),ABS(Resultados!DG6),ABS(Resultados!DP6),ABS(Resultados!DY6)))</f>
        <v>2.8</v>
      </c>
      <c r="D6">
        <f>IF(COUNT(Resultados!D6,Resultados!M6,Resultados!V6,Resultados!AE6,Resultados!AN6,Resultados!AW6,Resultados!BF6,Resultados!BO6,Resultados!BX6,Resultados!CG6,Resultados!CP6,Resultados!CY6,Resultados!DH6,Resultados!DQ6,Resultados!DZ6)=0, "", AVERAGE(ABS(Resultados!D6),ABS(Resultados!M6),ABS(Resultados!V6),ABS(Resultados!AE6),ABS(Resultados!AN6),ABS(Resultados!AW6),ABS(Resultados!BF6),ABS(Resultados!BO6),ABS(Resultados!BX6),ABS(Resultados!CG6),ABS(Resultados!CP6),ABS(Resultados!CY6),ABS(Resultados!DH6),ABS(Resultados!DQ6),ABS(Resultados!DZ6)))</f>
        <v>2.3933333333333333E-3</v>
      </c>
      <c r="E6">
        <f>IF(COUNT(Resultados!E6,Resultados!N6,Resultados!W6,Resultados!AF6,Resultados!AO6,Resultados!AX6,Resultados!BG6,Resultados!BP6,Resultados!BY6,Resultados!CH6,Resultados!CQ6,Resultados!CZ6,Resultados!DI6,Resultados!DR6,Resultados!EA6)=0, "", AVERAGE(ABS(Resultados!E6),ABS(Resultados!N6),ABS(Resultados!W6),ABS(Resultados!AF6),ABS(Resultados!AO6),ABS(Resultados!AX6),ABS(Resultados!BG6),ABS(Resultados!BP6),ABS(Resultados!BY6),ABS(Resultados!CH6),ABS(Resultados!CQ6),ABS(Resultados!CZ6),ABS(Resultados!DI6),ABS(Resultados!DR6),ABS(Resultados!EA6)))</f>
        <v>6.4346305922965579</v>
      </c>
      <c r="F6">
        <f>IF(COUNT(Resultados!F6,Resultados!O6,Resultados!X6,Resultados!AG6,Resultados!AP6,Resultados!AY6,Resultados!BH6,Resultados!BQ6,Resultados!BZ6,Resultados!CI6,Resultados!CR6,Resultados!DA6,Resultados!DJ6,Resultados!DS6,Resultados!EB6)=0, "", AVERAGE(ABS(Resultados!F6),ABS(Resultados!O6),ABS(Resultados!X6),ABS(Resultados!AG6),ABS(Resultados!AP6),ABS(Resultados!AY6),ABS(Resultados!BH6),ABS(Resultados!BQ6),ABS(Resultados!BZ6),ABS(Resultados!CI6),ABS(Resultados!CR6),ABS(Resultados!DA6),ABS(Resultados!DJ6),ABS(Resultados!DS6),ABS(Resultados!EB6)))</f>
        <v>743.82989343634665</v>
      </c>
      <c r="G6">
        <f>IF(COUNT(Resultados!G6,Resultados!P6,Resultados!Y6,Resultados!AH6,Resultados!AQ6,Resultados!AZ6,Resultados!BI6,Resultados!BR6,Resultados!CA6,Resultados!CJ6,Resultados!CS6,Resultados!DB6,Resultados!DK6,Resultados!DT6,Resultados!EC6)=0, "", AVERAGE(ABS(Resultados!G6),ABS(Resultados!P6),ABS(Resultados!Y6),ABS(Resultados!AH6),ABS(Resultados!AQ6),ABS(Resultados!AZ6),ABS(Resultados!BI6),ABS(Resultados!BR6),ABS(Resultados!CA6),ABS(Resultados!CJ6),ABS(Resultados!CS6),ABS(Resultados!DB6),ABS(Resultados!DK6),ABS(Resultados!DT6),ABS(Resultados!EC6)))</f>
        <v>0.42400000000000015</v>
      </c>
      <c r="H6">
        <f>IF(COUNT(Resultados!H6,Resultados!Q6,Resultados!Z6,Resultados!AI6,Resultados!AR6,Resultados!BA6,Resultados!BJ6,Resultados!BS6,Resultados!CB6,Resultados!CK6,Resultados!CT6,Resultados!DC6,Resultados!DL6,Resultados!DU6,Resultados!ED6)=0, "", AVERAGE(ABS(Resultados!H6),ABS(Resultados!Q6),ABS(Resultados!Z6),ABS(Resultados!AI6),ABS(Resultados!AR6),ABS(Resultados!BA6),ABS(Resultados!BJ6),ABS(Resultados!BS6),ABS(Resultados!CB6),ABS(Resultados!CK6),ABS(Resultados!CT6),ABS(Resultados!DC6),ABS(Resultados!DL6),ABS(Resultados!DU6),ABS(Resultados!ED6)))</f>
        <v>6.8133333333333336E-3</v>
      </c>
      <c r="I6">
        <f>IF(COUNT(Resultados!I6,Resultados!R6,Resultados!AA6,Resultados!AJ6,Resultados!AS6,Resultados!BB6,Resultados!BK6,Resultados!BT6,Resultados!CC6,Resultados!CL6,Resultados!CU6,Resultados!DD6,Resultados!DM6,Resultados!DV6,Resultados!EE6)=0, "", AVERAGE(ABS(Resultados!I6),ABS(Resultados!R6),ABS(Resultados!AA6),ABS(Resultados!AJ6),ABS(Resultados!AS6),ABS(Resultados!BB6),ABS(Resultados!BK6),ABS(Resultados!BT6),ABS(Resultados!CC6),ABS(Resultados!CL6),ABS(Resultados!CU6),ABS(Resultados!DD6),ABS(Resultados!DM6),ABS(Resultados!DV6),ABS(Resultados!EE6)))</f>
        <v>0.79867866666666376</v>
      </c>
    </row>
    <row r="7" spans="1:9" x14ac:dyDescent="0.3">
      <c r="A7">
        <f>IF(COUNT(Resultados!A7,Resultados!J7,Resultados!S7,Resultados!AB7,Resultados!AK7,Resultados!AT7,Resultados!BC7,Resultados!BL7,Resultados!BU7,Resultados!CD7,Resultados!CM7,Resultados!CV7,Resultados!DE7,Resultados!DN7,Resultados!DW7)=0, "", AVERAGE(ABS(Resultados!A7),ABS(Resultados!J7),ABS(Resultados!S7),ABS(Resultados!AB7),ABS(Resultados!AK7),ABS(Resultados!AT7),ABS(Resultados!BC7),ABS(Resultados!BL7),ABS(Resultados!BU7),ABS(Resultados!CD7),ABS(Resultados!CM7),ABS(Resultados!CV7),ABS(Resultados!DE7),ABS(Resultados!DN7),ABS(Resultados!DW7)))</f>
        <v>45681</v>
      </c>
      <c r="B7" t="str">
        <f>IF(COUNT(Resultados!B7,Resultados!K7,Resultados!T7,Resultados!AC7,Resultados!AL7,Resultados!AU7,Resultados!BD7,Resultados!BM7,Resultados!BV7,Resultados!CE7,Resultados!CN7,Resultados!CW7,Resultados!DF7,Resultados!DO7,Resultados!DX7)=0, "", AVERAGE(ABS(Resultados!B7),ABS(Resultados!K7),ABS(Resultados!T7),ABS(Resultados!AC7),ABS(Resultados!AL7),ABS(Resultados!AU7),ABS(Resultados!BD7),ABS(Resultados!BM7),ABS(Resultados!BV7),ABS(Resultados!CE7),ABS(Resultados!CN7),ABS(Resultados!CW7),ABS(Resultados!DF7),ABS(Resultados!DO7),ABS(Resultados!DX7)))</f>
        <v/>
      </c>
      <c r="C7">
        <f>IF(COUNT(Resultados!C7,Resultados!L7,Resultados!U7,Resultados!AD7,Resultados!AM7,Resultados!AV7,Resultados!BE7,Resultados!BN7,Resultados!BW7,Resultados!CF7,Resultados!CO7,Resultados!CX7,Resultados!DG7,Resultados!DP7,Resultados!DY7)=0, "", AVERAGE(ABS(Resultados!C7),ABS(Resultados!L7),ABS(Resultados!U7),ABS(Resultados!AD7),ABS(Resultados!AM7),ABS(Resultados!AV7),ABS(Resultados!BE7),ABS(Resultados!BN7),ABS(Resultados!BW7),ABS(Resultados!CF7),ABS(Resultados!CO7),ABS(Resultados!CX7),ABS(Resultados!DG7),ABS(Resultados!DP7),ABS(Resultados!DY7)))</f>
        <v>2.8</v>
      </c>
      <c r="D7">
        <f>IF(COUNT(Resultados!D7,Resultados!M7,Resultados!V7,Resultados!AE7,Resultados!AN7,Resultados!AW7,Resultados!BF7,Resultados!BO7,Resultados!BX7,Resultados!CG7,Resultados!CP7,Resultados!CY7,Resultados!DH7,Resultados!DQ7,Resultados!DZ7)=0, "", AVERAGE(ABS(Resultados!D7),ABS(Resultados!M7),ABS(Resultados!V7),ABS(Resultados!AE7),ABS(Resultados!AN7),ABS(Resultados!AW7),ABS(Resultados!BF7),ABS(Resultados!BO7),ABS(Resultados!BX7),ABS(Resultados!CG7),ABS(Resultados!CP7),ABS(Resultados!CY7),ABS(Resultados!DH7),ABS(Resultados!DQ7),ABS(Resultados!DZ7)))</f>
        <v>5.1399999999999996E-3</v>
      </c>
      <c r="E7">
        <f>IF(COUNT(Resultados!E7,Resultados!N7,Resultados!W7,Resultados!AF7,Resultados!AO7,Resultados!AX7,Resultados!BG7,Resultados!BP7,Resultados!BY7,Resultados!CH7,Resultados!CQ7,Resultados!CZ7,Resultados!DI7,Resultados!DR7,Resultados!EA7)=0, "", AVERAGE(ABS(Resultados!E7),ABS(Resultados!N7),ABS(Resultados!W7),ABS(Resultados!AF7),ABS(Resultados!AO7),ABS(Resultados!AX7),ABS(Resultados!BG7),ABS(Resultados!BP7),ABS(Resultados!BY7),ABS(Resultados!CH7),ABS(Resultados!CQ7),ABS(Resultados!CZ7),ABS(Resultados!DI7),ABS(Resultados!DR7),ABS(Resultados!EA7)))</f>
        <v>6.627224415147535</v>
      </c>
      <c r="F7">
        <f>IF(COUNT(Resultados!F7,Resultados!O7,Resultados!X7,Resultados!AG7,Resultados!AP7,Resultados!AY7,Resultados!BH7,Resultados!BQ7,Resultados!BZ7,Resultados!CI7,Resultados!CR7,Resultados!DA7,Resultados!DJ7,Resultados!DS7,Resultados!EB7)=0, "", AVERAGE(ABS(Resultados!F7),ABS(Resultados!O7),ABS(Resultados!X7),ABS(Resultados!AG7),ABS(Resultados!AP7),ABS(Resultados!AY7),ABS(Resultados!BH7),ABS(Resultados!BQ7),ABS(Resultados!BZ7),ABS(Resultados!CI7),ABS(Resultados!CR7),ABS(Resultados!DA7),ABS(Resultados!DJ7),ABS(Resultados!DS7),ABS(Resultados!EB7)))</f>
        <v>762.11074715701818</v>
      </c>
      <c r="G7">
        <f>IF(COUNT(Resultados!G7,Resultados!P7,Resultados!Y7,Resultados!AH7,Resultados!AQ7,Resultados!AZ7,Resultados!BI7,Resultados!BR7,Resultados!CA7,Resultados!CJ7,Resultados!CS7,Resultados!DB7,Resultados!DK7,Resultados!DT7,Resultados!EC7)=0, "", AVERAGE(ABS(Resultados!G7),ABS(Resultados!P7),ABS(Resultados!Y7),ABS(Resultados!AH7),ABS(Resultados!AQ7),ABS(Resultados!AZ7),ABS(Resultados!BI7),ABS(Resultados!BR7),ABS(Resultados!CA7),ABS(Resultados!CJ7),ABS(Resultados!CS7),ABS(Resultados!DB7),ABS(Resultados!DK7),ABS(Resultados!DT7),ABS(Resultados!EC7)))</f>
        <v>0.42400000000000015</v>
      </c>
      <c r="H7">
        <f>IF(COUNT(Resultados!H7,Resultados!Q7,Resultados!Z7,Resultados!AI7,Resultados!AR7,Resultados!BA7,Resultados!BJ7,Resultados!BS7,Resultados!CB7,Resultados!CK7,Resultados!CT7,Resultados!DC7,Resultados!DL7,Resultados!DU7,Resultados!ED7)=0, "", AVERAGE(ABS(Resultados!H7),ABS(Resultados!Q7),ABS(Resultados!Z7),ABS(Resultados!AI7),ABS(Resultados!AR7),ABS(Resultados!BA7),ABS(Resultados!BJ7),ABS(Resultados!BS7),ABS(Resultados!CB7),ABS(Resultados!CK7),ABS(Resultados!CT7),ABS(Resultados!DC7),ABS(Resultados!DL7),ABS(Resultados!DU7),ABS(Resultados!ED7)))</f>
        <v>9.8066666666666649E-3</v>
      </c>
      <c r="I7">
        <f>IF(COUNT(Resultados!I7,Resultados!R7,Resultados!AA7,Resultados!AJ7,Resultados!AS7,Resultados!BB7,Resultados!BK7,Resultados!BT7,Resultados!CC7,Resultados!CL7,Resultados!CU7,Resultados!DD7,Resultados!DM7,Resultados!DV7,Resultados!EE7)=0, "", AVERAGE(ABS(Resultados!I7),ABS(Resultados!R7),ABS(Resultados!AA7),ABS(Resultados!AJ7),ABS(Resultados!AS7),ABS(Resultados!BB7),ABS(Resultados!BK7),ABS(Resultados!BT7),ABS(Resultados!CC7),ABS(Resultados!CL7),ABS(Resultados!CU7),ABS(Resultados!DD7),ABS(Resultados!DM7),ABS(Resultados!DV7),ABS(Resultados!EE7)))</f>
        <v>0.9984573333333352</v>
      </c>
    </row>
    <row r="8" spans="1:9" x14ac:dyDescent="0.3">
      <c r="A8">
        <f>IF(COUNT(Resultados!A8,Resultados!J8,Resultados!S8,Resultados!AB8,Resultados!AK8,Resultados!AT8,Resultados!BC8,Resultados!BL8,Resultados!BU8,Resultados!CD8,Resultados!CM8,Resultados!CV8,Resultados!DE8,Resultados!DN8,Resultados!DW8)=0, "", AVERAGE(ABS(Resultados!A8),ABS(Resultados!J8),ABS(Resultados!S8),ABS(Resultados!AB8),ABS(Resultados!AK8),ABS(Resultados!AT8),ABS(Resultados!BC8),ABS(Resultados!BL8),ABS(Resultados!BU8),ABS(Resultados!CD8),ABS(Resultados!CM8),ABS(Resultados!CV8),ABS(Resultados!DE8),ABS(Resultados!DN8),ABS(Resultados!DW8)))</f>
        <v>45681</v>
      </c>
      <c r="B8" t="str">
        <f>IF(COUNT(Resultados!B8,Resultados!K8,Resultados!T8,Resultados!AC8,Resultados!AL8,Resultados!AU8,Resultados!BD8,Resultados!BM8,Resultados!BV8,Resultados!CE8,Resultados!CN8,Resultados!CW8,Resultados!DF8,Resultados!DO8,Resultados!DX8)=0, "", AVERAGE(ABS(Resultados!B8),ABS(Resultados!K8),ABS(Resultados!T8),ABS(Resultados!AC8),ABS(Resultados!AL8),ABS(Resultados!AU8),ABS(Resultados!BD8),ABS(Resultados!BM8),ABS(Resultados!BV8),ABS(Resultados!CE8),ABS(Resultados!CN8),ABS(Resultados!CW8),ABS(Resultados!DF8),ABS(Resultados!DO8),ABS(Resultados!DX8)))</f>
        <v/>
      </c>
      <c r="C8">
        <f>IF(COUNT(Resultados!C8,Resultados!L8,Resultados!U8,Resultados!AD8,Resultados!AM8,Resultados!AV8,Resultados!BE8,Resultados!BN8,Resultados!BW8,Resultados!CF8,Resultados!CO8,Resultados!CX8,Resultados!DG8,Resultados!DP8,Resultados!DY8)=0, "", AVERAGE(ABS(Resultados!C8),ABS(Resultados!L8),ABS(Resultados!U8),ABS(Resultados!AD8),ABS(Resultados!AM8),ABS(Resultados!AV8),ABS(Resultados!BE8),ABS(Resultados!BN8),ABS(Resultados!BW8),ABS(Resultados!CF8),ABS(Resultados!CO8),ABS(Resultados!CX8),ABS(Resultados!DG8),ABS(Resultados!DP8),ABS(Resultados!DY8)))</f>
        <v>2.8</v>
      </c>
      <c r="D8">
        <f>IF(COUNT(Resultados!D8,Resultados!M8,Resultados!V8,Resultados!AE8,Resultados!AN8,Resultados!AW8,Resultados!BF8,Resultados!BO8,Resultados!BX8,Resultados!CG8,Resultados!CP8,Resultados!CY8,Resultados!DH8,Resultados!DQ8,Resultados!DZ8)=0, "", AVERAGE(ABS(Resultados!D8),ABS(Resultados!M8),ABS(Resultados!V8),ABS(Resultados!AE8),ABS(Resultados!AN8),ABS(Resultados!AW8),ABS(Resultados!BF8),ABS(Resultados!BO8),ABS(Resultados!BX8),ABS(Resultados!CG8),ABS(Resultados!CP8),ABS(Resultados!CY8),ABS(Resultados!DH8),ABS(Resultados!DQ8),ABS(Resultados!DZ8)))</f>
        <v>7.8000000000000005E-3</v>
      </c>
      <c r="E8">
        <f>IF(COUNT(Resultados!E8,Resultados!N8,Resultados!W8,Resultados!AF8,Resultados!AO8,Resultados!AX8,Resultados!BG8,Resultados!BP8,Resultados!BY8,Resultados!CH8,Resultados!CQ8,Resultados!CZ8,Resultados!DI8,Resultados!DR8,Resultados!EA8)=0, "", AVERAGE(ABS(Resultados!E8),ABS(Resultados!N8),ABS(Resultados!W8),ABS(Resultados!AF8),ABS(Resultados!AO8),ABS(Resultados!AX8),ABS(Resultados!BG8),ABS(Resultados!BP8),ABS(Resultados!BY8),ABS(Resultados!CH8),ABS(Resultados!CQ8),ABS(Resultados!CZ8),ABS(Resultados!DI8),ABS(Resultados!DR8),ABS(Resultados!EA8)))</f>
        <v>6.8243382892262101</v>
      </c>
      <c r="F8">
        <f>IF(COUNT(Resultados!F8,Resultados!O8,Resultados!X8,Resultados!AG8,Resultados!AP8,Resultados!AY8,Resultados!BH8,Resultados!BQ8,Resultados!BZ8,Resultados!CI8,Resultados!CR8,Resultados!DA8,Resultados!DJ8,Resultados!DS8,Resultados!EB8)=0, "", AVERAGE(ABS(Resultados!F8),ABS(Resultados!O8),ABS(Resultados!X8),ABS(Resultados!AG8),ABS(Resultados!AP8),ABS(Resultados!AY8),ABS(Resultados!BH8),ABS(Resultados!BQ8),ABS(Resultados!BZ8),ABS(Resultados!CI8),ABS(Resultados!CR8),ABS(Resultados!DA8),ABS(Resultados!DJ8),ABS(Resultados!DS8),ABS(Resultados!EB8)))</f>
        <v>787.62970364756745</v>
      </c>
      <c r="G8">
        <f>IF(COUNT(Resultados!G8,Resultados!P8,Resultados!Y8,Resultados!AH8,Resultados!AQ8,Resultados!AZ8,Resultados!BI8,Resultados!BR8,Resultados!CA8,Resultados!CJ8,Resultados!CS8,Resultados!DB8,Resultados!DK8,Resultados!DT8,Resultados!EC8)=0, "", AVERAGE(ABS(Resultados!G8),ABS(Resultados!P8),ABS(Resultados!Y8),ABS(Resultados!AH8),ABS(Resultados!AQ8),ABS(Resultados!AZ8),ABS(Resultados!BI8),ABS(Resultados!BR8),ABS(Resultados!CA8),ABS(Resultados!CJ8),ABS(Resultados!CS8),ABS(Resultados!DB8),ABS(Resultados!DK8),ABS(Resultados!DT8),ABS(Resultados!EC8)))</f>
        <v>0.42400000000000015</v>
      </c>
      <c r="H8">
        <f>IF(COUNT(Resultados!H8,Resultados!Q8,Resultados!Z8,Resultados!AI8,Resultados!AR8,Resultados!BA8,Resultados!BJ8,Resultados!BS8,Resultados!CB8,Resultados!CK8,Resultados!CT8,Resultados!DC8,Resultados!DL8,Resultados!DU8,Resultados!ED8)=0, "", AVERAGE(ABS(Resultados!H8),ABS(Resultados!Q8),ABS(Resultados!Z8),ABS(Resultados!AI8),ABS(Resultados!AR8),ABS(Resultados!BA8),ABS(Resultados!BJ8),ABS(Resultados!BS8),ABS(Resultados!CB8),ABS(Resultados!CK8),ABS(Resultados!CT8),ABS(Resultados!DC8),ABS(Resultados!DL8),ABS(Resultados!DU8),ABS(Resultados!ED8)))</f>
        <v>1.2866666666666669E-2</v>
      </c>
      <c r="I8">
        <f>IF(COUNT(Resultados!I8,Resultados!R8,Resultados!AA8,Resultados!AJ8,Resultados!AS8,Resultados!BB8,Resultados!BK8,Resultados!BT8,Resultados!CC8,Resultados!CL8,Resultados!CU8,Resultados!DD8,Resultados!DM8,Resultados!DV8,Resultados!EE8)=0, "", AVERAGE(ABS(Resultados!I8),ABS(Resultados!R8),ABS(Resultados!AA8),ABS(Resultados!AJ8),ABS(Resultados!AS8),ABS(Resultados!BB8),ABS(Resultados!BK8),ABS(Resultados!BT8),ABS(Resultados!CC8),ABS(Resultados!CL8),ABS(Resultados!CU8),ABS(Resultados!DD8),ABS(Resultados!DM8),ABS(Resultados!DV8),ABS(Resultados!EE8)))</f>
        <v>1.1985660000000045</v>
      </c>
    </row>
    <row r="9" spans="1:9" x14ac:dyDescent="0.3">
      <c r="A9">
        <f>IF(COUNT(Resultados!A9,Resultados!J9,Resultados!S9,Resultados!AB9,Resultados!AK9,Resultados!AT9,Resultados!BC9,Resultados!BL9,Resultados!BU9,Resultados!CD9,Resultados!CM9,Resultados!CV9,Resultados!DE9,Resultados!DN9,Resultados!DW9)=0, "", AVERAGE(ABS(Resultados!A9),ABS(Resultados!J9),ABS(Resultados!S9),ABS(Resultados!AB9),ABS(Resultados!AK9),ABS(Resultados!AT9),ABS(Resultados!BC9),ABS(Resultados!BL9),ABS(Resultados!BU9),ABS(Resultados!CD9),ABS(Resultados!CM9),ABS(Resultados!CV9),ABS(Resultados!DE9),ABS(Resultados!DN9),ABS(Resultados!DW9)))</f>
        <v>45681</v>
      </c>
      <c r="B9" t="str">
        <f>IF(COUNT(Resultados!B9,Resultados!K9,Resultados!T9,Resultados!AC9,Resultados!AL9,Resultados!AU9,Resultados!BD9,Resultados!BM9,Resultados!BV9,Resultados!CE9,Resultados!CN9,Resultados!CW9,Resultados!DF9,Resultados!DO9,Resultados!DX9)=0, "", AVERAGE(ABS(Resultados!B9),ABS(Resultados!K9),ABS(Resultados!T9),ABS(Resultados!AC9),ABS(Resultados!AL9),ABS(Resultados!AU9),ABS(Resultados!BD9),ABS(Resultados!BM9),ABS(Resultados!BV9),ABS(Resultados!CE9),ABS(Resultados!CN9),ABS(Resultados!CW9),ABS(Resultados!DF9),ABS(Resultados!DO9),ABS(Resultados!DX9)))</f>
        <v/>
      </c>
      <c r="C9">
        <f>IF(COUNT(Resultados!C9,Resultados!L9,Resultados!U9,Resultados!AD9,Resultados!AM9,Resultados!AV9,Resultados!BE9,Resultados!BN9,Resultados!BW9,Resultados!CF9,Resultados!CO9,Resultados!CX9,Resultados!DG9,Resultados!DP9,Resultados!DY9)=0, "", AVERAGE(ABS(Resultados!C9),ABS(Resultados!L9),ABS(Resultados!U9),ABS(Resultados!AD9),ABS(Resultados!AM9),ABS(Resultados!AV9),ABS(Resultados!BE9),ABS(Resultados!BN9),ABS(Resultados!BW9),ABS(Resultados!CF9),ABS(Resultados!CO9),ABS(Resultados!CX9),ABS(Resultados!DG9),ABS(Resultados!DP9),ABS(Resultados!DY9)))</f>
        <v>2.8</v>
      </c>
      <c r="D9">
        <f>IF(COUNT(Resultados!D9,Resultados!M9,Resultados!V9,Resultados!AE9,Resultados!AN9,Resultados!AW9,Resultados!BF9,Resultados!BO9,Resultados!BX9,Resultados!CG9,Resultados!CP9,Resultados!CY9,Resultados!DH9,Resultados!DQ9,Resultados!DZ9)=0, "", AVERAGE(ABS(Resultados!D9),ABS(Resultados!M9),ABS(Resultados!V9),ABS(Resultados!AE9),ABS(Resultados!AN9),ABS(Resultados!AW9),ABS(Resultados!BF9),ABS(Resultados!BO9),ABS(Resultados!BX9),ABS(Resultados!CG9),ABS(Resultados!CP9),ABS(Resultados!CY9),ABS(Resultados!DH9),ABS(Resultados!DQ9),ABS(Resultados!DZ9)))</f>
        <v>1.0620000000000001E-2</v>
      </c>
      <c r="E9">
        <f>IF(COUNT(Resultados!E9,Resultados!N9,Resultados!W9,Resultados!AF9,Resultados!AO9,Resultados!AX9,Resultados!BG9,Resultados!BP9,Resultados!BY9,Resultados!CH9,Resultados!CQ9,Resultados!CZ9,Resultados!DI9,Resultados!DR9,Resultados!EA9)=0, "", AVERAGE(ABS(Resultados!E9),ABS(Resultados!N9),ABS(Resultados!W9),ABS(Resultados!AF9),ABS(Resultados!AO9),ABS(Resultados!AX9),ABS(Resultados!BG9),ABS(Resultados!BP9),ABS(Resultados!BY9),ABS(Resultados!CH9),ABS(Resultados!CQ9),ABS(Resultados!CZ9),ABS(Resultados!DI9),ABS(Resultados!DR9),ABS(Resultados!EA9)))</f>
        <v>7.0066940101485935</v>
      </c>
      <c r="F9">
        <f>IF(COUNT(Resultados!F9,Resultados!O9,Resultados!X9,Resultados!AG9,Resultados!AP9,Resultados!AY9,Resultados!BH9,Resultados!BQ9,Resultados!BZ9,Resultados!CI9,Resultados!CR9,Resultados!DA9,Resultados!DJ9,Resultados!DS9,Resultados!EB9)=0, "", AVERAGE(ABS(Resultados!F9),ABS(Resultados!O9),ABS(Resultados!X9),ABS(Resultados!AG9),ABS(Resultados!AP9),ABS(Resultados!AY9),ABS(Resultados!BH9),ABS(Resultados!BQ9),ABS(Resultados!BZ9),ABS(Resultados!CI9),ABS(Resultados!CR9),ABS(Resultados!DA9),ABS(Resultados!DJ9),ABS(Resultados!DS9),ABS(Resultados!EB9)))</f>
        <v>804.93526156310168</v>
      </c>
      <c r="G9">
        <f>IF(COUNT(Resultados!G9,Resultados!P9,Resultados!Y9,Resultados!AH9,Resultados!AQ9,Resultados!AZ9,Resultados!BI9,Resultados!BR9,Resultados!CA9,Resultados!CJ9,Resultados!CS9,Resultados!DB9,Resultados!DK9,Resultados!DT9,Resultados!EC9)=0, "", AVERAGE(ABS(Resultados!G9),ABS(Resultados!P9),ABS(Resultados!Y9),ABS(Resultados!AH9),ABS(Resultados!AQ9),ABS(Resultados!AZ9),ABS(Resultados!BI9),ABS(Resultados!BR9),ABS(Resultados!CA9),ABS(Resultados!CJ9),ABS(Resultados!CS9),ABS(Resultados!DB9),ABS(Resultados!DK9),ABS(Resultados!DT9),ABS(Resultados!EC9)))</f>
        <v>0.42400000000000015</v>
      </c>
      <c r="H9">
        <f>IF(COUNT(Resultados!H9,Resultados!Q9,Resultados!Z9,Resultados!AI9,Resultados!AR9,Resultados!BA9,Resultados!BJ9,Resultados!BS9,Resultados!CB9,Resultados!CK9,Resultados!CT9,Resultados!DC9,Resultados!DL9,Resultados!DU9,Resultados!ED9)=0, "", AVERAGE(ABS(Resultados!H9),ABS(Resultados!Q9),ABS(Resultados!Z9),ABS(Resultados!AI9),ABS(Resultados!AR9),ABS(Resultados!BA9),ABS(Resultados!BJ9),ABS(Resultados!BS9),ABS(Resultados!CB9),ABS(Resultados!CK9),ABS(Resultados!CT9),ABS(Resultados!DC9),ABS(Resultados!DL9),ABS(Resultados!DU9),ABS(Resultados!ED9)))</f>
        <v>1.5713333333333329E-2</v>
      </c>
      <c r="I9">
        <f>IF(COUNT(Resultados!I9,Resultados!R9,Resultados!AA9,Resultados!AJ9,Resultados!AS9,Resultados!BB9,Resultados!BK9,Resultados!BT9,Resultados!CC9,Resultados!CL9,Resultados!CU9,Resultados!DD9,Resultados!DM9,Resultados!DV9,Resultados!EE9)=0, "", AVERAGE(ABS(Resultados!I9),ABS(Resultados!R9),ABS(Resultados!AA9),ABS(Resultados!AJ9),ABS(Resultados!AS9),ABS(Resultados!BB9),ABS(Resultados!BK9),ABS(Resultados!BT9),ABS(Resultados!CC9),ABS(Resultados!CL9),ABS(Resultados!CU9),ABS(Resultados!DD9),ABS(Resultados!DM9),ABS(Resultados!DV9),ABS(Resultados!EE9)))</f>
        <v>1.3987579999999975</v>
      </c>
    </row>
    <row r="10" spans="1:9" x14ac:dyDescent="0.3">
      <c r="A10">
        <f>IF(COUNT(Resultados!A10,Resultados!J10,Resultados!S10,Resultados!AB10,Resultados!AK10,Resultados!AT10,Resultados!BC10,Resultados!BL10,Resultados!BU10,Resultados!CD10,Resultados!CM10,Resultados!CV10,Resultados!DE10,Resultados!DN10,Resultados!DW10)=0, "", AVERAGE(ABS(Resultados!A10),ABS(Resultados!J10),ABS(Resultados!S10),ABS(Resultados!AB10),ABS(Resultados!AK10),ABS(Resultados!AT10),ABS(Resultados!BC10),ABS(Resultados!BL10),ABS(Resultados!BU10),ABS(Resultados!CD10),ABS(Resultados!CM10),ABS(Resultados!CV10),ABS(Resultados!DE10),ABS(Resultados!DN10),ABS(Resultados!DW10)))</f>
        <v>45681</v>
      </c>
      <c r="B10" t="str">
        <f>IF(COUNT(Resultados!B10,Resultados!K10,Resultados!T10,Resultados!AC10,Resultados!AL10,Resultados!AU10,Resultados!BD10,Resultados!BM10,Resultados!BV10,Resultados!CE10,Resultados!CN10,Resultados!CW10,Resultados!DF10,Resultados!DO10,Resultados!DX10)=0, "", AVERAGE(ABS(Resultados!B10),ABS(Resultados!K10),ABS(Resultados!T10),ABS(Resultados!AC10),ABS(Resultados!AL10),ABS(Resultados!AU10),ABS(Resultados!BD10),ABS(Resultados!BM10),ABS(Resultados!BV10),ABS(Resultados!CE10),ABS(Resultados!CN10),ABS(Resultados!CW10),ABS(Resultados!DF10),ABS(Resultados!DO10),ABS(Resultados!DX10)))</f>
        <v/>
      </c>
      <c r="C10">
        <f>IF(COUNT(Resultados!C10,Resultados!L10,Resultados!U10,Resultados!AD10,Resultados!AM10,Resultados!AV10,Resultados!BE10,Resultados!BN10,Resultados!BW10,Resultados!CF10,Resultados!CO10,Resultados!CX10,Resultados!DG10,Resultados!DP10,Resultados!DY10)=0, "", AVERAGE(ABS(Resultados!C10),ABS(Resultados!L10),ABS(Resultados!U10),ABS(Resultados!AD10),ABS(Resultados!AM10),ABS(Resultados!AV10),ABS(Resultados!BE10),ABS(Resultados!BN10),ABS(Resultados!BW10),ABS(Resultados!CF10),ABS(Resultados!CO10),ABS(Resultados!CX10),ABS(Resultados!DG10),ABS(Resultados!DP10),ABS(Resultados!DY10)))</f>
        <v>2.8</v>
      </c>
      <c r="D10">
        <f>IF(COUNT(Resultados!D10,Resultados!M10,Resultados!V10,Resultados!AE10,Resultados!AN10,Resultados!AW10,Resultados!BF10,Resultados!BO10,Resultados!BX10,Resultados!CG10,Resultados!CP10,Resultados!CY10,Resultados!DH10,Resultados!DQ10,Resultados!DZ10)=0, "", AVERAGE(ABS(Resultados!D10),ABS(Resultados!M10),ABS(Resultados!V10),ABS(Resultados!AE10),ABS(Resultados!AN10),ABS(Resultados!AW10),ABS(Resultados!BF10),ABS(Resultados!BO10),ABS(Resultados!BX10),ABS(Resultados!CG10),ABS(Resultados!CP10),ABS(Resultados!CY10),ABS(Resultados!DH10),ABS(Resultados!DQ10),ABS(Resultados!DZ10)))</f>
        <v>1.3019999999999999E-2</v>
      </c>
      <c r="E10">
        <f>IF(COUNT(Resultados!E10,Resultados!N10,Resultados!W10,Resultados!AF10,Resultados!AO10,Resultados!AX10,Resultados!BG10,Resultados!BP10,Resultados!BY10,Resultados!CH10,Resultados!CQ10,Resultados!CZ10,Resultados!DI10,Resultados!DR10,Resultados!EA10)=0, "", AVERAGE(ABS(Resultados!E10),ABS(Resultados!N10),ABS(Resultados!W10),ABS(Resultados!AF10),ABS(Resultados!AO10),ABS(Resultados!AX10),ABS(Resultados!BG10),ABS(Resultados!BP10),ABS(Resultados!BY10),ABS(Resultados!CH10),ABS(Resultados!CQ10),ABS(Resultados!CZ10),ABS(Resultados!DI10),ABS(Resultados!DR10),ABS(Resultados!EA10)))</f>
        <v>7.1557718134981725</v>
      </c>
      <c r="F10">
        <f>IF(COUNT(Resultados!F10,Resultados!O10,Resultados!X10,Resultados!AG10,Resultados!AP10,Resultados!AY10,Resultados!BH10,Resultados!BQ10,Resultados!BZ10,Resultados!CI10,Resultados!CR10,Resultados!DA10,Resultados!DJ10,Resultados!DS10,Resultados!EB10)=0, "", AVERAGE(ABS(Resultados!F10),ABS(Resultados!O10),ABS(Resultados!X10),ABS(Resultados!AG10),ABS(Resultados!AP10),ABS(Resultados!AY10),ABS(Resultados!BH10),ABS(Resultados!BQ10),ABS(Resultados!BZ10),ABS(Resultados!CI10),ABS(Resultados!CR10),ABS(Resultados!DA10),ABS(Resultados!DJ10),ABS(Resultados!DS10),ABS(Resultados!EB10)))</f>
        <v>819.08274510097647</v>
      </c>
      <c r="G10">
        <f>IF(COUNT(Resultados!G10,Resultados!P10,Resultados!Y10,Resultados!AH10,Resultados!AQ10,Resultados!AZ10,Resultados!BI10,Resultados!BR10,Resultados!CA10,Resultados!CJ10,Resultados!CS10,Resultados!DB10,Resultados!DK10,Resultados!DT10,Resultados!EC10)=0, "", AVERAGE(ABS(Resultados!G10),ABS(Resultados!P10),ABS(Resultados!Y10),ABS(Resultados!AH10),ABS(Resultados!AQ10),ABS(Resultados!AZ10),ABS(Resultados!BI10),ABS(Resultados!BR10),ABS(Resultados!CA10),ABS(Resultados!CJ10),ABS(Resultados!CS10),ABS(Resultados!DB10),ABS(Resultados!DK10),ABS(Resultados!DT10),ABS(Resultados!EC10)))</f>
        <v>0.42400000000000015</v>
      </c>
      <c r="H10">
        <f>IF(COUNT(Resultados!H10,Resultados!Q10,Resultados!Z10,Resultados!AI10,Resultados!AR10,Resultados!BA10,Resultados!BJ10,Resultados!BS10,Resultados!CB10,Resultados!CK10,Resultados!CT10,Resultados!DC10,Resultados!DL10,Resultados!DU10,Resultados!ED10)=0, "", AVERAGE(ABS(Resultados!H10),ABS(Resultados!Q10),ABS(Resultados!Z10),ABS(Resultados!AI10),ABS(Resultados!AR10),ABS(Resultados!BA10),ABS(Resultados!BJ10),ABS(Resultados!BS10),ABS(Resultados!CB10),ABS(Resultados!CK10),ABS(Resultados!CT10),ABS(Resultados!DC10),ABS(Resultados!DL10),ABS(Resultados!DU10),ABS(Resultados!ED10)))</f>
        <v>1.8019999999999998E-2</v>
      </c>
      <c r="I10">
        <f>IF(COUNT(Resultados!I10,Resultados!R10,Resultados!AA10,Resultados!AJ10,Resultados!AS10,Resultados!BB10,Resultados!BK10,Resultados!BT10,Resultados!CC10,Resultados!CL10,Resultados!CU10,Resultados!DD10,Resultados!DM10,Resultados!DV10,Resultados!EE10)=0, "", AVERAGE(ABS(Resultados!I10),ABS(Resultados!R10),ABS(Resultados!AA10),ABS(Resultados!AJ10),ABS(Resultados!AS10),ABS(Resultados!BB10),ABS(Resultados!BK10),ABS(Resultados!BT10),ABS(Resultados!CC10),ABS(Resultados!CL10),ABS(Resultados!CU10),ABS(Resultados!DD10),ABS(Resultados!DM10),ABS(Resultados!DV10),ABS(Resultados!EE10)))</f>
        <v>1.5984366666666678</v>
      </c>
    </row>
    <row r="11" spans="1:9" x14ac:dyDescent="0.3">
      <c r="A11">
        <f>IF(COUNT(Resultados!A11,Resultados!J11,Resultados!S11,Resultados!AB11,Resultados!AK11,Resultados!AT11,Resultados!BC11,Resultados!BL11,Resultados!BU11,Resultados!CD11,Resultados!CM11,Resultados!CV11,Resultados!DE11,Resultados!DN11,Resultados!DW11)=0, "", AVERAGE(ABS(Resultados!A11),ABS(Resultados!J11),ABS(Resultados!S11),ABS(Resultados!AB11),ABS(Resultados!AK11),ABS(Resultados!AT11),ABS(Resultados!BC11),ABS(Resultados!BL11),ABS(Resultados!BU11),ABS(Resultados!CD11),ABS(Resultados!CM11),ABS(Resultados!CV11),ABS(Resultados!DE11),ABS(Resultados!DN11),ABS(Resultados!DW11)))</f>
        <v>45681</v>
      </c>
      <c r="B11" t="str">
        <f>IF(COUNT(Resultados!B11,Resultados!K11,Resultados!T11,Resultados!AC11,Resultados!AL11,Resultados!AU11,Resultados!BD11,Resultados!BM11,Resultados!BV11,Resultados!CE11,Resultados!CN11,Resultados!CW11,Resultados!DF11,Resultados!DO11,Resultados!DX11)=0, "", AVERAGE(ABS(Resultados!B11),ABS(Resultados!K11),ABS(Resultados!T11),ABS(Resultados!AC11),ABS(Resultados!AL11),ABS(Resultados!AU11),ABS(Resultados!BD11),ABS(Resultados!BM11),ABS(Resultados!BV11),ABS(Resultados!CE11),ABS(Resultados!CN11),ABS(Resultados!CW11),ABS(Resultados!DF11),ABS(Resultados!DO11),ABS(Resultados!DX11)))</f>
        <v/>
      </c>
      <c r="C11">
        <f>IF(COUNT(Resultados!C11,Resultados!L11,Resultados!U11,Resultados!AD11,Resultados!AM11,Resultados!AV11,Resultados!BE11,Resultados!BN11,Resultados!BW11,Resultados!CF11,Resultados!CO11,Resultados!CX11,Resultados!DG11,Resultados!DP11,Resultados!DY11)=0, "", AVERAGE(ABS(Resultados!C11),ABS(Resultados!L11),ABS(Resultados!U11),ABS(Resultados!AD11),ABS(Resultados!AM11),ABS(Resultados!AV11),ABS(Resultados!BE11),ABS(Resultados!BN11),ABS(Resultados!BW11),ABS(Resultados!CF11),ABS(Resultados!CO11),ABS(Resultados!CX11),ABS(Resultados!DG11),ABS(Resultados!DP11),ABS(Resultados!DY11)))</f>
        <v>2.8</v>
      </c>
      <c r="D11">
        <f>IF(COUNT(Resultados!D11,Resultados!M11,Resultados!V11,Resultados!AE11,Resultados!AN11,Resultados!AW11,Resultados!BF11,Resultados!BO11,Resultados!BX11,Resultados!CG11,Resultados!CP11,Resultados!CY11,Resultados!DH11,Resultados!DQ11,Resultados!DZ11)=0, "", AVERAGE(ABS(Resultados!D11),ABS(Resultados!M11),ABS(Resultados!V11),ABS(Resultados!AE11),ABS(Resultados!AN11),ABS(Resultados!AW11),ABS(Resultados!BF11),ABS(Resultados!BO11),ABS(Resultados!BX11),ABS(Resultados!CG11),ABS(Resultados!CP11),ABS(Resultados!CY11),ABS(Resultados!DH11),ABS(Resultados!DQ11),ABS(Resultados!DZ11)))</f>
        <v>1.5040000000000001E-2</v>
      </c>
      <c r="E11">
        <f>IF(COUNT(Resultados!E11,Resultados!N11,Resultados!W11,Resultados!AF11,Resultados!AO11,Resultados!AX11,Resultados!BG11,Resultados!BP11,Resultados!BY11,Resultados!CH11,Resultados!CQ11,Resultados!CZ11,Resultados!DI11,Resultados!DR11,Resultados!EA11)=0, "", AVERAGE(ABS(Resultados!E11),ABS(Resultados!N11),ABS(Resultados!W11),ABS(Resultados!AF11),ABS(Resultados!AO11),ABS(Resultados!AX11),ABS(Resultados!BG11),ABS(Resultados!BP11),ABS(Resultados!BY11),ABS(Resultados!CH11),ABS(Resultados!CQ11),ABS(Resultados!CZ11),ABS(Resultados!DI11),ABS(Resultados!DR11),ABS(Resultados!EA11)))</f>
        <v>7.2578703998596374</v>
      </c>
      <c r="F11">
        <f>IF(COUNT(Resultados!F11,Resultados!O11,Resultados!X11,Resultados!AG11,Resultados!AP11,Resultados!AY11,Resultados!BH11,Resultados!BQ11,Resultados!BZ11,Resultados!CI11,Resultados!CR11,Resultados!DA11,Resultados!DJ11,Resultados!DS11,Resultados!EB11)=0, "", AVERAGE(ABS(Resultados!F11),ABS(Resultados!O11),ABS(Resultados!X11),ABS(Resultados!AG11),ABS(Resultados!AP11),ABS(Resultados!AY11),ABS(Resultados!BH11),ABS(Resultados!BQ11),ABS(Resultados!BZ11),ABS(Resultados!CI11),ABS(Resultados!CR11),ABS(Resultados!DA11),ABS(Resultados!DJ11),ABS(Resultados!DS11),ABS(Resultados!EB11)))</f>
        <v>828.77190094667958</v>
      </c>
      <c r="G11">
        <f>IF(COUNT(Resultados!G11,Resultados!P11,Resultados!Y11,Resultados!AH11,Resultados!AQ11,Resultados!AZ11,Resultados!BI11,Resultados!BR11,Resultados!CA11,Resultados!CJ11,Resultados!CS11,Resultados!DB11,Resultados!DK11,Resultados!DT11,Resultados!EC11)=0, "", AVERAGE(ABS(Resultados!G11),ABS(Resultados!P11),ABS(Resultados!Y11),ABS(Resultados!AH11),ABS(Resultados!AQ11),ABS(Resultados!AZ11),ABS(Resultados!BI11),ABS(Resultados!BR11),ABS(Resultados!CA11),ABS(Resultados!CJ11),ABS(Resultados!CS11),ABS(Resultados!DB11),ABS(Resultados!DK11),ABS(Resultados!DT11),ABS(Resultados!EC11)))</f>
        <v>0.42400000000000015</v>
      </c>
      <c r="H11">
        <f>IF(COUNT(Resultados!H11,Resultados!Q11,Resultados!Z11,Resultados!AI11,Resultados!AR11,Resultados!BA11,Resultados!BJ11,Resultados!BS11,Resultados!CB11,Resultados!CK11,Resultados!CT11,Resultados!DC11,Resultados!DL11,Resultados!DU11,Resultados!ED11)=0, "", AVERAGE(ABS(Resultados!H11),ABS(Resultados!Q11),ABS(Resultados!Z11),ABS(Resultados!AI11),ABS(Resultados!AR11),ABS(Resultados!BA11),ABS(Resultados!BJ11),ABS(Resultados!BS11),ABS(Resultados!CB11),ABS(Resultados!CK11),ABS(Resultados!CT11),ABS(Resultados!DC11),ABS(Resultados!DL11),ABS(Resultados!DU11),ABS(Resultados!ED11)))</f>
        <v>1.9620000000000002E-2</v>
      </c>
      <c r="I11">
        <f>IF(COUNT(Resultados!I11,Resultados!R11,Resultados!AA11,Resultados!AJ11,Resultados!AS11,Resultados!BB11,Resultados!BK11,Resultados!BT11,Resultados!CC11,Resultados!CL11,Resultados!CU11,Resultados!DD11,Resultados!DM11,Resultados!DV11,Resultados!EE11)=0, "", AVERAGE(ABS(Resultados!I11),ABS(Resultados!R11),ABS(Resultados!AA11),ABS(Resultados!AJ11),ABS(Resultados!AS11),ABS(Resultados!BB11),ABS(Resultados!BK11),ABS(Resultados!BT11),ABS(Resultados!CC11),ABS(Resultados!CL11),ABS(Resultados!CU11),ABS(Resultados!DD11),ABS(Resultados!DM11),ABS(Resultados!DV11),ABS(Resultados!EE11)))</f>
        <v>1.7987526666666647</v>
      </c>
    </row>
    <row r="12" spans="1:9" x14ac:dyDescent="0.3">
      <c r="A12">
        <f>IF(COUNT(Resultados!A12,Resultados!J12,Resultados!S12,Resultados!AB12,Resultados!AK12,Resultados!AT12,Resultados!BC12,Resultados!BL12,Resultados!BU12,Resultados!CD12,Resultados!CM12,Resultados!CV12,Resultados!DE12,Resultados!DN12,Resultados!DW12)=0, "", AVERAGE(ABS(Resultados!A12),ABS(Resultados!J12),ABS(Resultados!S12),ABS(Resultados!AB12),ABS(Resultados!AK12),ABS(Resultados!AT12),ABS(Resultados!BC12),ABS(Resultados!BL12),ABS(Resultados!BU12),ABS(Resultados!CD12),ABS(Resultados!CM12),ABS(Resultados!CV12),ABS(Resultados!DE12),ABS(Resultados!DN12),ABS(Resultados!DW12)))</f>
        <v>45681</v>
      </c>
      <c r="B12" t="str">
        <f>IF(COUNT(Resultados!B12,Resultados!K12,Resultados!T12,Resultados!AC12,Resultados!AL12,Resultados!AU12,Resultados!BD12,Resultados!BM12,Resultados!BV12,Resultados!CE12,Resultados!CN12,Resultados!CW12,Resultados!DF12,Resultados!DO12,Resultados!DX12)=0, "", AVERAGE(ABS(Resultados!B12),ABS(Resultados!K12),ABS(Resultados!T12),ABS(Resultados!AC12),ABS(Resultados!AL12),ABS(Resultados!AU12),ABS(Resultados!BD12),ABS(Resultados!BM12),ABS(Resultados!BV12),ABS(Resultados!CE12),ABS(Resultados!CN12),ABS(Resultados!CW12),ABS(Resultados!DF12),ABS(Resultados!DO12),ABS(Resultados!DX12)))</f>
        <v/>
      </c>
      <c r="C12">
        <f>IF(COUNT(Resultados!C12,Resultados!L12,Resultados!U12,Resultados!AD12,Resultados!AM12,Resultados!AV12,Resultados!BE12,Resultados!BN12,Resultados!BW12,Resultados!CF12,Resultados!CO12,Resultados!CX12,Resultados!DG12,Resultados!DP12,Resultados!DY12)=0, "", AVERAGE(ABS(Resultados!C12),ABS(Resultados!L12),ABS(Resultados!U12),ABS(Resultados!AD12),ABS(Resultados!AM12),ABS(Resultados!AV12),ABS(Resultados!BE12),ABS(Resultados!BN12),ABS(Resultados!BW12),ABS(Resultados!CF12),ABS(Resultados!CO12),ABS(Resultados!CX12),ABS(Resultados!DG12),ABS(Resultados!DP12),ABS(Resultados!DY12)))</f>
        <v>2.8</v>
      </c>
      <c r="D12">
        <f>IF(COUNT(Resultados!D12,Resultados!M12,Resultados!V12,Resultados!AE12,Resultados!AN12,Resultados!AW12,Resultados!BF12,Resultados!BO12,Resultados!BX12,Resultados!CG12,Resultados!CP12,Resultados!CY12,Resultados!DH12,Resultados!DQ12,Resultados!DZ12)=0, "", AVERAGE(ABS(Resultados!D12),ABS(Resultados!M12),ABS(Resultados!V12),ABS(Resultados!AE12),ABS(Resultados!AN12),ABS(Resultados!AW12),ABS(Resultados!BF12),ABS(Resultados!BO12),ABS(Resultados!BX12),ABS(Resultados!CG12),ABS(Resultados!CP12),ABS(Resultados!CY12),ABS(Resultados!DH12),ABS(Resultados!DQ12),ABS(Resultados!DZ12)))</f>
        <v>1.682666666666667E-2</v>
      </c>
      <c r="E12">
        <f>IF(COUNT(Resultados!E12,Resultados!N12,Resultados!W12,Resultados!AF12,Resultados!AO12,Resultados!AX12,Resultados!BG12,Resultados!BP12,Resultados!BY12,Resultados!CH12,Resultados!CQ12,Resultados!CZ12,Resultados!DI12,Resultados!DR12,Resultados!EA12)=0, "", AVERAGE(ABS(Resultados!E12),ABS(Resultados!N12),ABS(Resultados!W12),ABS(Resultados!AF12),ABS(Resultados!AO12),ABS(Resultados!AX12),ABS(Resultados!BG12),ABS(Resultados!BP12),ABS(Resultados!BY12),ABS(Resultados!CH12),ABS(Resultados!CQ12),ABS(Resultados!CZ12),ABS(Resultados!DI12),ABS(Resultados!DR12),ABS(Resultados!EA12)))</f>
        <v>7.302363516194565</v>
      </c>
      <c r="F12">
        <f>IF(COUNT(Resultados!F12,Resultados!O12,Resultados!X12,Resultados!AG12,Resultados!AP12,Resultados!AY12,Resultados!BH12,Resultados!BQ12,Resultados!BZ12,Resultados!CI12,Resultados!CR12,Resultados!DA12,Resultados!DJ12,Resultados!DS12,Resultados!EB12)=0, "", AVERAGE(ABS(Resultados!F12),ABS(Resultados!O12),ABS(Resultados!X12),ABS(Resultados!AG12),ABS(Resultados!AP12),ABS(Resultados!AY12),ABS(Resultados!BH12),ABS(Resultados!BQ12),ABS(Resultados!BZ12),ABS(Resultados!CI12),ABS(Resultados!CR12),ABS(Resultados!DA12),ABS(Resultados!DJ12),ABS(Resultados!DS12),ABS(Resultados!EB12)))</f>
        <v>832.99429768686423</v>
      </c>
      <c r="G12">
        <f>IF(COUNT(Resultados!G12,Resultados!P12,Resultados!Y12,Resultados!AH12,Resultados!AQ12,Resultados!AZ12,Resultados!BI12,Resultados!BR12,Resultados!CA12,Resultados!CJ12,Resultados!CS12,Resultados!DB12,Resultados!DK12,Resultados!DT12,Resultados!EC12)=0, "", AVERAGE(ABS(Resultados!G12),ABS(Resultados!P12),ABS(Resultados!Y12),ABS(Resultados!AH12),ABS(Resultados!AQ12),ABS(Resultados!AZ12),ABS(Resultados!BI12),ABS(Resultados!BR12),ABS(Resultados!CA12),ABS(Resultados!CJ12),ABS(Resultados!CS12),ABS(Resultados!DB12),ABS(Resultados!DK12),ABS(Resultados!DT12),ABS(Resultados!EC12)))</f>
        <v>0.42400000000000015</v>
      </c>
      <c r="H12">
        <f>IF(COUNT(Resultados!H12,Resultados!Q12,Resultados!Z12,Resultados!AI12,Resultados!AR12,Resultados!BA12,Resultados!BJ12,Resultados!BS12,Resultados!CB12,Resultados!CK12,Resultados!CT12,Resultados!DC12,Resultados!DL12,Resultados!DU12,Resultados!ED12)=0, "", AVERAGE(ABS(Resultados!H12),ABS(Resultados!Q12),ABS(Resultados!Z12),ABS(Resultados!AI12),ABS(Resultados!AR12),ABS(Resultados!BA12),ABS(Resultados!BJ12),ABS(Resultados!BS12),ABS(Resultados!CB12),ABS(Resultados!CK12),ABS(Resultados!CT12),ABS(Resultados!DC12),ABS(Resultados!DL12),ABS(Resultados!DU12),ABS(Resultados!ED12)))</f>
        <v>2.0299999999999999E-2</v>
      </c>
      <c r="I12">
        <f>IF(COUNT(Resultados!I12,Resultados!R12,Resultados!AA12,Resultados!AJ12,Resultados!AS12,Resultados!BB12,Resultados!BK12,Resultados!BT12,Resultados!CC12,Resultados!CL12,Resultados!CU12,Resultados!DD12,Resultados!DM12,Resultados!DV12,Resultados!EE12)=0, "", AVERAGE(ABS(Resultados!I12),ABS(Resultados!R12),ABS(Resultados!AA12),ABS(Resultados!AJ12),ABS(Resultados!AS12),ABS(Resultados!BB12),ABS(Resultados!BK12),ABS(Resultados!BT12),ABS(Resultados!CC12),ABS(Resultados!CL12),ABS(Resultados!CU12),ABS(Resultados!DD12),ABS(Resultados!DM12),ABS(Resultados!DV12),ABS(Resultados!EE12)))</f>
        <v>1.9997413333333314</v>
      </c>
    </row>
    <row r="13" spans="1:9" x14ac:dyDescent="0.3">
      <c r="A13">
        <f>IF(COUNT(Resultados!A13,Resultados!J13,Resultados!S13,Resultados!AB13,Resultados!AK13,Resultados!AT13,Resultados!BC13,Resultados!BL13,Resultados!BU13,Resultados!CD13,Resultados!CM13,Resultados!CV13,Resultados!DE13,Resultados!DN13,Resultados!DW13)=0, "", AVERAGE(ABS(Resultados!A13),ABS(Resultados!J13),ABS(Resultados!S13),ABS(Resultados!AB13),ABS(Resultados!AK13),ABS(Resultados!AT13),ABS(Resultados!BC13),ABS(Resultados!BL13),ABS(Resultados!BU13),ABS(Resultados!CD13),ABS(Resultados!CM13),ABS(Resultados!CV13),ABS(Resultados!DE13),ABS(Resultados!DN13),ABS(Resultados!DW13)))</f>
        <v>45681</v>
      </c>
      <c r="B13" t="str">
        <f>IF(COUNT(Resultados!B13,Resultados!K13,Resultados!T13,Resultados!AC13,Resultados!AL13,Resultados!AU13,Resultados!BD13,Resultados!BM13,Resultados!BV13,Resultados!CE13,Resultados!CN13,Resultados!CW13,Resultados!DF13,Resultados!DO13,Resultados!DX13)=0, "", AVERAGE(ABS(Resultados!B13),ABS(Resultados!K13),ABS(Resultados!T13),ABS(Resultados!AC13),ABS(Resultados!AL13),ABS(Resultados!AU13),ABS(Resultados!BD13),ABS(Resultados!BM13),ABS(Resultados!BV13),ABS(Resultados!CE13),ABS(Resultados!CN13),ABS(Resultados!CW13),ABS(Resultados!DF13),ABS(Resultados!DO13),ABS(Resultados!DX13)))</f>
        <v/>
      </c>
      <c r="C13">
        <f>IF(COUNT(Resultados!C13,Resultados!L13,Resultados!U13,Resultados!AD13,Resultados!AM13,Resultados!AV13,Resultados!BE13,Resultados!BN13,Resultados!BW13,Resultados!CF13,Resultados!CO13,Resultados!CX13,Resultados!DG13,Resultados!DP13,Resultados!DY13)=0, "", AVERAGE(ABS(Resultados!C13),ABS(Resultados!L13),ABS(Resultados!U13),ABS(Resultados!AD13),ABS(Resultados!AM13),ABS(Resultados!AV13),ABS(Resultados!BE13),ABS(Resultados!BN13),ABS(Resultados!BW13),ABS(Resultados!CF13),ABS(Resultados!CO13),ABS(Resultados!CX13),ABS(Resultados!DG13),ABS(Resultados!DP13),ABS(Resultados!DY13)))</f>
        <v>2.8</v>
      </c>
      <c r="D13">
        <f>IF(COUNT(Resultados!D13,Resultados!M13,Resultados!V13,Resultados!AE13,Resultados!AN13,Resultados!AW13,Resultados!BF13,Resultados!BO13,Resultados!BX13,Resultados!CG13,Resultados!CP13,Resultados!CY13,Resultados!DH13,Resultados!DQ13,Resultados!DZ13)=0, "", AVERAGE(ABS(Resultados!D13),ABS(Resultados!M13),ABS(Resultados!V13),ABS(Resultados!AE13),ABS(Resultados!AN13),ABS(Resultados!AW13),ABS(Resultados!BF13),ABS(Resultados!BO13),ABS(Resultados!BX13),ABS(Resultados!CG13),ABS(Resultados!CP13),ABS(Resultados!CY13),ABS(Resultados!DH13),ABS(Resultados!DQ13),ABS(Resultados!DZ13)))</f>
        <v>1.7720000000000003E-2</v>
      </c>
      <c r="E13">
        <f>IF(COUNT(Resultados!E13,Resultados!N13,Resultados!W13,Resultados!AF13,Resultados!AO13,Resultados!AX13,Resultados!BG13,Resultados!BP13,Resultados!BY13,Resultados!CH13,Resultados!CQ13,Resultados!CZ13,Resultados!DI13,Resultados!DR13,Resultados!EA13)=0, "", AVERAGE(ABS(Resultados!E13),ABS(Resultados!N13),ABS(Resultados!W13),ABS(Resultados!AF13),ABS(Resultados!AO13),ABS(Resultados!AX13),ABS(Resultados!BG13),ABS(Resultados!BP13),ABS(Resultados!BY13),ABS(Resultados!CH13),ABS(Resultados!CQ13),ABS(Resultados!CZ13),ABS(Resultados!DI13),ABS(Resultados!DR13),ABS(Resultados!EA13)))</f>
        <v>7.2851830177026695</v>
      </c>
      <c r="F13">
        <f>IF(COUNT(Resultados!F13,Resultados!O13,Resultados!X13,Resultados!AG13,Resultados!AP13,Resultados!AY13,Resultados!BH13,Resultados!BQ13,Resultados!BZ13,Resultados!CI13,Resultados!CR13,Resultados!DA13,Resultados!DJ13,Resultados!DS13,Resultados!EB13)=0, "", AVERAGE(ABS(Resultados!F13),ABS(Resultados!O13),ABS(Resultados!X13),ABS(Resultados!AG13),ABS(Resultados!AP13),ABS(Resultados!AY13),ABS(Resultados!BH13),ABS(Resultados!BQ13),ABS(Resultados!BZ13),ABS(Resultados!CI13),ABS(Resultados!CR13),ABS(Resultados!DA13),ABS(Resultados!DJ13),ABS(Resultados!DS13),ABS(Resultados!EB13)))</f>
        <v>733.89237798228862</v>
      </c>
      <c r="G13">
        <f>IF(COUNT(Resultados!G13,Resultados!P13,Resultados!Y13,Resultados!AH13,Resultados!AQ13,Resultados!AZ13,Resultados!BI13,Resultados!BR13,Resultados!CA13,Resultados!CJ13,Resultados!CS13,Resultados!DB13,Resultados!DK13,Resultados!DT13,Resultados!EC13)=0, "", AVERAGE(ABS(Resultados!G13),ABS(Resultados!P13),ABS(Resultados!Y13),ABS(Resultados!AH13),ABS(Resultados!AQ13),ABS(Resultados!AZ13),ABS(Resultados!BI13),ABS(Resultados!BR13),ABS(Resultados!CA13),ABS(Resultados!CJ13),ABS(Resultados!CS13),ABS(Resultados!DB13),ABS(Resultados!DK13),ABS(Resultados!DT13),ABS(Resultados!EC13)))</f>
        <v>0.42400000000000015</v>
      </c>
      <c r="H13">
        <f>IF(COUNT(Resultados!H13,Resultados!Q13,Resultados!Z13,Resultados!AI13,Resultados!AR13,Resultados!BA13,Resultados!BJ13,Resultados!BS13,Resultados!CB13,Resultados!CK13,Resultados!CT13,Resultados!DC13,Resultados!DL13,Resultados!DU13,Resultados!ED13)=0, "", AVERAGE(ABS(Resultados!H13),ABS(Resultados!Q13),ABS(Resultados!Z13),ABS(Resultados!AI13),ABS(Resultados!AR13),ABS(Resultados!BA13),ABS(Resultados!BJ13),ABS(Resultados!BS13),ABS(Resultados!CB13),ABS(Resultados!CK13),ABS(Resultados!CT13),ABS(Resultados!DC13),ABS(Resultados!DL13),ABS(Resultados!DU13),ABS(Resultados!ED13)))</f>
        <v>2.0053333333333333E-2</v>
      </c>
      <c r="I13">
        <f>IF(COUNT(Resultados!I13,Resultados!R13,Resultados!AA13,Resultados!AJ13,Resultados!AS13,Resultados!BB13,Resultados!BK13,Resultados!BT13,Resultados!CC13,Resultados!CL13,Resultados!CU13,Resultados!DD13,Resultados!DM13,Resultados!DV13,Resultados!EE13)=0, "", AVERAGE(ABS(Resultados!I13),ABS(Resultados!R13),ABS(Resultados!AA13),ABS(Resultados!AJ13),ABS(Resultados!AS13),ABS(Resultados!BB13),ABS(Resultados!BK13),ABS(Resultados!BT13),ABS(Resultados!CC13),ABS(Resultados!CL13),ABS(Resultados!CU13),ABS(Resultados!DD13),ABS(Resultados!DM13),ABS(Resultados!DV13),ABS(Resultados!EE13)))</f>
        <v>2.1985626666666671</v>
      </c>
    </row>
    <row r="14" spans="1:9" x14ac:dyDescent="0.3">
      <c r="A14">
        <f>IF(COUNT(Resultados!A14,Resultados!J14,Resultados!S14,Resultados!AB14,Resultados!AK14,Resultados!AT14,Resultados!BC14,Resultados!BL14,Resultados!BU14,Resultados!CD14,Resultados!CM14,Resultados!CV14,Resultados!DE14,Resultados!DN14,Resultados!DW14)=0, "", AVERAGE(ABS(Resultados!A14),ABS(Resultados!J14),ABS(Resultados!S14),ABS(Resultados!AB14),ABS(Resultados!AK14),ABS(Resultados!AT14),ABS(Resultados!BC14),ABS(Resultados!BL14),ABS(Resultados!BU14),ABS(Resultados!CD14),ABS(Resultados!CM14),ABS(Resultados!CV14),ABS(Resultados!DE14),ABS(Resultados!DN14),ABS(Resultados!DW14)))</f>
        <v>45681</v>
      </c>
      <c r="B14" t="str">
        <f>IF(COUNT(Resultados!B14,Resultados!K14,Resultados!T14,Resultados!AC14,Resultados!AL14,Resultados!AU14,Resultados!BD14,Resultados!BM14,Resultados!BV14,Resultados!CE14,Resultados!CN14,Resultados!CW14,Resultados!DF14,Resultados!DO14,Resultados!DX14)=0, "", AVERAGE(ABS(Resultados!B14),ABS(Resultados!K14),ABS(Resultados!T14),ABS(Resultados!AC14),ABS(Resultados!AL14),ABS(Resultados!AU14),ABS(Resultados!BD14),ABS(Resultados!BM14),ABS(Resultados!BV14),ABS(Resultados!CE14),ABS(Resultados!CN14),ABS(Resultados!CW14),ABS(Resultados!DF14),ABS(Resultados!DO14),ABS(Resultados!DX14)))</f>
        <v/>
      </c>
      <c r="C14">
        <f>IF(COUNT(Resultados!C14,Resultados!L14,Resultados!U14,Resultados!AD14,Resultados!AM14,Resultados!AV14,Resultados!BE14,Resultados!BN14,Resultados!BW14,Resultados!CF14,Resultados!CO14,Resultados!CX14,Resultados!DG14,Resultados!DP14,Resultados!DY14)=0, "", AVERAGE(ABS(Resultados!C14),ABS(Resultados!L14),ABS(Resultados!U14),ABS(Resultados!AD14),ABS(Resultados!AM14),ABS(Resultados!AV14),ABS(Resultados!BE14),ABS(Resultados!BN14),ABS(Resultados!BW14),ABS(Resultados!CF14),ABS(Resultados!CO14),ABS(Resultados!CX14),ABS(Resultados!DG14),ABS(Resultados!DP14),ABS(Resultados!DY14)))</f>
        <v>2.8</v>
      </c>
      <c r="D14">
        <f>IF(COUNT(Resultados!D14,Resultados!M14,Resultados!V14,Resultados!AE14,Resultados!AN14,Resultados!AW14,Resultados!BF14,Resultados!BO14,Resultados!BX14,Resultados!CG14,Resultados!CP14,Resultados!CY14,Resultados!DH14,Resultados!DQ14,Resultados!DZ14)=0, "", AVERAGE(ABS(Resultados!D14),ABS(Resultados!M14),ABS(Resultados!V14),ABS(Resultados!AE14),ABS(Resultados!AN14),ABS(Resultados!AW14),ABS(Resultados!BF14),ABS(Resultados!BO14),ABS(Resultados!BX14),ABS(Resultados!CG14),ABS(Resultados!CP14),ABS(Resultados!CY14),ABS(Resultados!DH14),ABS(Resultados!DQ14),ABS(Resultados!DZ14)))</f>
        <v>1.7953333333333335E-2</v>
      </c>
      <c r="E14">
        <f>IF(COUNT(Resultados!E14,Resultados!N14,Resultados!W14,Resultados!AF14,Resultados!AO14,Resultados!AX14,Resultados!BG14,Resultados!BP14,Resultados!BY14,Resultados!CH14,Resultados!CQ14,Resultados!CZ14,Resultados!DI14,Resultados!DR14,Resultados!EA14)=0, "", AVERAGE(ABS(Resultados!E14),ABS(Resultados!N14),ABS(Resultados!W14),ABS(Resultados!AF14),ABS(Resultados!AO14),ABS(Resultados!AX14),ABS(Resultados!BG14),ABS(Resultados!BP14),ABS(Resultados!BY14),ABS(Resultados!CH14),ABS(Resultados!CQ14),ABS(Resultados!CZ14),ABS(Resultados!DI14),ABS(Resultados!DR14),ABS(Resultados!EA14)))</f>
        <v>7.2078342550902663</v>
      </c>
      <c r="F14">
        <f>IF(COUNT(Resultados!F14,Resultados!O14,Resultados!X14,Resultados!AG14,Resultados!AP14,Resultados!AY14,Resultados!BH14,Resultados!BQ14,Resultados!BZ14,Resultados!CI14,Resultados!CR14,Resultados!DA14,Resultados!DJ14,Resultados!DS14,Resultados!EB14)=0, "", AVERAGE(ABS(Resultados!F14),ABS(Resultados!O14),ABS(Resultados!X14),ABS(Resultados!AG14),ABS(Resultados!AP14),ABS(Resultados!AY14),ABS(Resultados!BH14),ABS(Resultados!BQ14),ABS(Resultados!BZ14),ABS(Resultados!CI14),ABS(Resultados!CR14),ABS(Resultados!DA14),ABS(Resultados!DJ14),ABS(Resultados!DS14),ABS(Resultados!EB14)))</f>
        <v>726.70465031153242</v>
      </c>
      <c r="G14">
        <f>IF(COUNT(Resultados!G14,Resultados!P14,Resultados!Y14,Resultados!AH14,Resultados!AQ14,Resultados!AZ14,Resultados!BI14,Resultados!BR14,Resultados!CA14,Resultados!CJ14,Resultados!CS14,Resultados!DB14,Resultados!DK14,Resultados!DT14,Resultados!EC14)=0, "", AVERAGE(ABS(Resultados!G14),ABS(Resultados!P14),ABS(Resultados!Y14),ABS(Resultados!AH14),ABS(Resultados!AQ14),ABS(Resultados!AZ14),ABS(Resultados!BI14),ABS(Resultados!BR14),ABS(Resultados!CA14),ABS(Resultados!CJ14),ABS(Resultados!CS14),ABS(Resultados!DB14),ABS(Resultados!DK14),ABS(Resultados!DT14),ABS(Resultados!EC14)))</f>
        <v>0.42400000000000015</v>
      </c>
      <c r="H14">
        <f>IF(COUNT(Resultados!H14,Resultados!Q14,Resultados!Z14,Resultados!AI14,Resultados!AR14,Resultados!BA14,Resultados!BJ14,Resultados!BS14,Resultados!CB14,Resultados!CK14,Resultados!CT14,Resultados!DC14,Resultados!DL14,Resultados!DU14,Resultados!ED14)=0, "", AVERAGE(ABS(Resultados!H14),ABS(Resultados!Q14),ABS(Resultados!Z14),ABS(Resultados!AI14),ABS(Resultados!AR14),ABS(Resultados!BA14),ABS(Resultados!BJ14),ABS(Resultados!BS14),ABS(Resultados!CB14),ABS(Resultados!CK14),ABS(Resultados!CT14),ABS(Resultados!DC14),ABS(Resultados!DL14),ABS(Resultados!DU14),ABS(Resultados!ED14)))</f>
        <v>1.8839999999999999E-2</v>
      </c>
      <c r="I14">
        <f>IF(COUNT(Resultados!I14,Resultados!R14,Resultados!AA14,Resultados!AJ14,Resultados!AS14,Resultados!BB14,Resultados!BK14,Resultados!BT14,Resultados!CC14,Resultados!CL14,Resultados!CU14,Resultados!DD14,Resultados!DM14,Resultados!DV14,Resultados!EE14)=0, "", AVERAGE(ABS(Resultados!I14),ABS(Resultados!R14),ABS(Resultados!AA14),ABS(Resultados!AJ14),ABS(Resultados!AS14),ABS(Resultados!BB14),ABS(Resultados!BK14),ABS(Resultados!BT14),ABS(Resultados!CC14),ABS(Resultados!CL14),ABS(Resultados!CU14),ABS(Resultados!DD14),ABS(Resultados!DM14),ABS(Resultados!DV14),ABS(Resultados!EE14)))</f>
        <v>2.3984673333333379</v>
      </c>
    </row>
    <row r="15" spans="1:9" x14ac:dyDescent="0.3">
      <c r="A15">
        <f>IF(COUNT(Resultados!A15,Resultados!J15,Resultados!S15,Resultados!AB15,Resultados!AK15,Resultados!AT15,Resultados!BC15,Resultados!BL15,Resultados!BU15,Resultados!CD15,Resultados!CM15,Resultados!CV15,Resultados!DE15,Resultados!DN15,Resultados!DW15)=0, "", AVERAGE(ABS(Resultados!A15),ABS(Resultados!J15),ABS(Resultados!S15),ABS(Resultados!AB15),ABS(Resultados!AK15),ABS(Resultados!AT15),ABS(Resultados!BC15),ABS(Resultados!BL15),ABS(Resultados!BU15),ABS(Resultados!CD15),ABS(Resultados!CM15),ABS(Resultados!CV15),ABS(Resultados!DE15),ABS(Resultados!DN15),ABS(Resultados!DW15)))</f>
        <v>45681</v>
      </c>
      <c r="B15" t="str">
        <f>IF(COUNT(Resultados!B15,Resultados!K15,Resultados!T15,Resultados!AC15,Resultados!AL15,Resultados!AU15,Resultados!BD15,Resultados!BM15,Resultados!BV15,Resultados!CE15,Resultados!CN15,Resultados!CW15,Resultados!DF15,Resultados!DO15,Resultados!DX15)=0, "", AVERAGE(ABS(Resultados!B15),ABS(Resultados!K15),ABS(Resultados!T15),ABS(Resultados!AC15),ABS(Resultados!AL15),ABS(Resultados!AU15),ABS(Resultados!BD15),ABS(Resultados!BM15),ABS(Resultados!BV15),ABS(Resultados!CE15),ABS(Resultados!CN15),ABS(Resultados!CW15),ABS(Resultados!DF15),ABS(Resultados!DO15),ABS(Resultados!DX15)))</f>
        <v/>
      </c>
      <c r="C15">
        <f>IF(COUNT(Resultados!C15,Resultados!L15,Resultados!U15,Resultados!AD15,Resultados!AM15,Resultados!AV15,Resultados!BE15,Resultados!BN15,Resultados!BW15,Resultados!CF15,Resultados!CO15,Resultados!CX15,Resultados!DG15,Resultados!DP15,Resultados!DY15)=0, "", AVERAGE(ABS(Resultados!C15),ABS(Resultados!L15),ABS(Resultados!U15),ABS(Resultados!AD15),ABS(Resultados!AM15),ABS(Resultados!AV15),ABS(Resultados!BE15),ABS(Resultados!BN15),ABS(Resultados!BW15),ABS(Resultados!CF15),ABS(Resultados!CO15),ABS(Resultados!CX15),ABS(Resultados!DG15),ABS(Resultados!DP15),ABS(Resultados!DY15)))</f>
        <v>2.8</v>
      </c>
      <c r="D15">
        <f>IF(COUNT(Resultados!D15,Resultados!M15,Resultados!V15,Resultados!AE15,Resultados!AN15,Resultados!AW15,Resultados!BF15,Resultados!BO15,Resultados!BX15,Resultados!CG15,Resultados!CP15,Resultados!CY15,Resultados!DH15,Resultados!DQ15,Resultados!DZ15)=0, "", AVERAGE(ABS(Resultados!D15),ABS(Resultados!M15),ABS(Resultados!V15),ABS(Resultados!AE15),ABS(Resultados!AN15),ABS(Resultados!AW15),ABS(Resultados!BF15),ABS(Resultados!BO15),ABS(Resultados!BX15),ABS(Resultados!CG15),ABS(Resultados!CP15),ABS(Resultados!CY15),ABS(Resultados!DH15),ABS(Resultados!DQ15),ABS(Resultados!DZ15)))</f>
        <v>1.7986666666666668E-2</v>
      </c>
      <c r="E15">
        <f>IF(COUNT(Resultados!E15,Resultados!N15,Resultados!W15,Resultados!AF15,Resultados!AO15,Resultados!AX15,Resultados!BG15,Resultados!BP15,Resultados!BY15,Resultados!CH15,Resultados!CQ15,Resultados!CZ15,Resultados!DI15,Resultados!DR15,Resultados!EA15)=0, "", AVERAGE(ABS(Resultados!E15),ABS(Resultados!N15),ABS(Resultados!W15),ABS(Resultados!AF15),ABS(Resultados!AO15),ABS(Resultados!AX15),ABS(Resultados!BG15),ABS(Resultados!BP15),ABS(Resultados!BY15),ABS(Resultados!CH15),ABS(Resultados!CQ15),ABS(Resultados!CZ15),ABS(Resultados!DI15),ABS(Resultados!DR15),ABS(Resultados!EA15)))</f>
        <v>7.0773713111199941</v>
      </c>
      <c r="F15">
        <f>IF(COUNT(Resultados!F15,Resultados!O15,Resultados!X15,Resultados!AG15,Resultados!AP15,Resultados!AY15,Resultados!BH15,Resultados!BQ15,Resultados!BZ15,Resultados!CI15,Resultados!CR15,Resultados!DA15,Resultados!DJ15,Resultados!DS15,Resultados!EB15)=0, "", AVERAGE(ABS(Resultados!F15),ABS(Resultados!O15),ABS(Resultados!X15),ABS(Resultados!AG15),ABS(Resultados!AP15),ABS(Resultados!AY15),ABS(Resultados!BH15),ABS(Resultados!BQ15),ABS(Resultados!BZ15),ABS(Resultados!CI15),ABS(Resultados!CR15),ABS(Resultados!DA15),ABS(Resultados!DJ15),ABS(Resultados!DS15),ABS(Resultados!EB15)))</f>
        <v>714.56248645414337</v>
      </c>
      <c r="G15">
        <f>IF(COUNT(Resultados!G15,Resultados!P15,Resultados!Y15,Resultados!AH15,Resultados!AQ15,Resultados!AZ15,Resultados!BI15,Resultados!BR15,Resultados!CA15,Resultados!CJ15,Resultados!CS15,Resultados!DB15,Resultados!DK15,Resultados!DT15,Resultados!EC15)=0, "", AVERAGE(ABS(Resultados!G15),ABS(Resultados!P15),ABS(Resultados!Y15),ABS(Resultados!AH15),ABS(Resultados!AQ15),ABS(Resultados!AZ15),ABS(Resultados!BI15),ABS(Resultados!BR15),ABS(Resultados!CA15),ABS(Resultados!CJ15),ABS(Resultados!CS15),ABS(Resultados!DB15),ABS(Resultados!DK15),ABS(Resultados!DT15),ABS(Resultados!EC15)))</f>
        <v>0.42400000000000015</v>
      </c>
      <c r="H15">
        <f>IF(COUNT(Resultados!H15,Resultados!Q15,Resultados!Z15,Resultados!AI15,Resultados!AR15,Resultados!BA15,Resultados!BJ15,Resultados!BS15,Resultados!CB15,Resultados!CK15,Resultados!CT15,Resultados!DC15,Resultados!DL15,Resultados!DU15,Resultados!ED15)=0, "", AVERAGE(ABS(Resultados!H15),ABS(Resultados!Q15),ABS(Resultados!Z15),ABS(Resultados!AI15),ABS(Resultados!AR15),ABS(Resultados!BA15),ABS(Resultados!BJ15),ABS(Resultados!BS15),ABS(Resultados!CB15),ABS(Resultados!CK15),ABS(Resultados!CT15),ABS(Resultados!DC15),ABS(Resultados!DL15),ABS(Resultados!DU15),ABS(Resultados!ED15)))</f>
        <v>1.6806666666666661E-2</v>
      </c>
      <c r="I15">
        <f>IF(COUNT(Resultados!I15,Resultados!R15,Resultados!AA15,Resultados!AJ15,Resultados!AS15,Resultados!BB15,Resultados!BK15,Resultados!BT15,Resultados!CC15,Resultados!CL15,Resultados!CU15,Resultados!DD15,Resultados!DM15,Resultados!DV15,Resultados!EE15)=0, "", AVERAGE(ABS(Resultados!I15),ABS(Resultados!R15),ABS(Resultados!AA15),ABS(Resultados!AJ15),ABS(Resultados!AS15),ABS(Resultados!BB15),ABS(Resultados!BK15),ABS(Resultados!BT15),ABS(Resultados!CC15),ABS(Resultados!CL15),ABS(Resultados!CU15),ABS(Resultados!DD15),ABS(Resultados!DM15),ABS(Resultados!DV15),ABS(Resultados!EE15)))</f>
        <v>2.5993753333333331</v>
      </c>
    </row>
    <row r="16" spans="1:9" x14ac:dyDescent="0.3">
      <c r="A16">
        <f>IF(COUNT(Resultados!A16,Resultados!J16,Resultados!S16,Resultados!AB16,Resultados!AK16,Resultados!AT16,Resultados!BC16,Resultados!BL16,Resultados!BU16,Resultados!CD16,Resultados!CM16,Resultados!CV16,Resultados!DE16,Resultados!DN16,Resultados!DW16)=0, "", AVERAGE(ABS(Resultados!A16),ABS(Resultados!J16),ABS(Resultados!S16),ABS(Resultados!AB16),ABS(Resultados!AK16),ABS(Resultados!AT16),ABS(Resultados!BC16),ABS(Resultados!BL16),ABS(Resultados!BU16),ABS(Resultados!CD16),ABS(Resultados!CM16),ABS(Resultados!CV16),ABS(Resultados!DE16),ABS(Resultados!DN16),ABS(Resultados!DW16)))</f>
        <v>45681</v>
      </c>
      <c r="B16" t="str">
        <f>IF(COUNT(Resultados!B16,Resultados!K16,Resultados!T16,Resultados!AC16,Resultados!AL16,Resultados!AU16,Resultados!BD16,Resultados!BM16,Resultados!BV16,Resultados!CE16,Resultados!CN16,Resultados!CW16,Resultados!DF16,Resultados!DO16,Resultados!DX16)=0, "", AVERAGE(ABS(Resultados!B16),ABS(Resultados!K16),ABS(Resultados!T16),ABS(Resultados!AC16),ABS(Resultados!AL16),ABS(Resultados!AU16),ABS(Resultados!BD16),ABS(Resultados!BM16),ABS(Resultados!BV16),ABS(Resultados!CE16),ABS(Resultados!CN16),ABS(Resultados!CW16),ABS(Resultados!DF16),ABS(Resultados!DO16),ABS(Resultados!DX16)))</f>
        <v/>
      </c>
      <c r="C16">
        <f>IF(COUNT(Resultados!C16,Resultados!L16,Resultados!U16,Resultados!AD16,Resultados!AM16,Resultados!AV16,Resultados!BE16,Resultados!BN16,Resultados!BW16,Resultados!CF16,Resultados!CO16,Resultados!CX16,Resultados!DG16,Resultados!DP16,Resultados!DY16)=0, "", AVERAGE(ABS(Resultados!C16),ABS(Resultados!L16),ABS(Resultados!U16),ABS(Resultados!AD16),ABS(Resultados!AM16),ABS(Resultados!AV16),ABS(Resultados!BE16),ABS(Resultados!BN16),ABS(Resultados!BW16),ABS(Resultados!CF16),ABS(Resultados!CO16),ABS(Resultados!CX16),ABS(Resultados!DG16),ABS(Resultados!DP16),ABS(Resultados!DY16)))</f>
        <v>2.8</v>
      </c>
      <c r="D16">
        <f>IF(COUNT(Resultados!D16,Resultados!M16,Resultados!V16,Resultados!AE16,Resultados!AN16,Resultados!AW16,Resultados!BF16,Resultados!BO16,Resultados!BX16,Resultados!CG16,Resultados!CP16,Resultados!CY16,Resultados!DH16,Resultados!DQ16,Resultados!DZ16)=0, "", AVERAGE(ABS(Resultados!D16),ABS(Resultados!M16),ABS(Resultados!V16),ABS(Resultados!AE16),ABS(Resultados!AN16),ABS(Resultados!AW16),ABS(Resultados!BF16),ABS(Resultados!BO16),ABS(Resultados!BX16),ABS(Resultados!CG16),ABS(Resultados!CP16),ABS(Resultados!CY16),ABS(Resultados!DH16),ABS(Resultados!DQ16),ABS(Resultados!DZ16)))</f>
        <v>1.7726666666666668E-2</v>
      </c>
      <c r="E16">
        <f>IF(COUNT(Resultados!E16,Resultados!N16,Resultados!W16,Resultados!AF16,Resultados!AO16,Resultados!AX16,Resultados!BG16,Resultados!BP16,Resultados!BY16,Resultados!CH16,Resultados!CQ16,Resultados!CZ16,Resultados!DI16,Resultados!DR16,Resultados!EA16)=0, "", AVERAGE(ABS(Resultados!E16),ABS(Resultados!N16),ABS(Resultados!W16),ABS(Resultados!AF16),ABS(Resultados!AO16),ABS(Resultados!AX16),ABS(Resultados!BG16),ABS(Resultados!BP16),ABS(Resultados!BY16),ABS(Resultados!CH16),ABS(Resultados!CQ16),ABS(Resultados!CZ16),ABS(Resultados!DI16),ABS(Resultados!DR16),ABS(Resultados!EA16)))</f>
        <v>6.9083440981835151</v>
      </c>
      <c r="F16">
        <f>IF(COUNT(Resultados!F16,Resultados!O16,Resultados!X16,Resultados!AG16,Resultados!AP16,Resultados!AY16,Resultados!BH16,Resultados!BQ16,Resultados!BZ16,Resultados!CI16,Resultados!CR16,Resultados!DA16,Resultados!DJ16,Resultados!DS16,Resultados!EB16)=0, "", AVERAGE(ABS(Resultados!F16),ABS(Resultados!O16),ABS(Resultados!X16),ABS(Resultados!AG16),ABS(Resultados!AP16),ABS(Resultados!AY16),ABS(Resultados!BH16),ABS(Resultados!BQ16),ABS(Resultados!BZ16),ABS(Resultados!CI16),ABS(Resultados!CR16),ABS(Resultados!DA16),ABS(Resultados!DJ16),ABS(Resultados!DS16),ABS(Resultados!EB16)))</f>
        <v>698.81999915144411</v>
      </c>
      <c r="G16">
        <f>IF(COUNT(Resultados!G16,Resultados!P16,Resultados!Y16,Resultados!AH16,Resultados!AQ16,Resultados!AZ16,Resultados!BI16,Resultados!BR16,Resultados!CA16,Resultados!CJ16,Resultados!CS16,Resultados!DB16,Resultados!DK16,Resultados!DT16,Resultados!EC16)=0, "", AVERAGE(ABS(Resultados!G16),ABS(Resultados!P16),ABS(Resultados!Y16),ABS(Resultados!AH16),ABS(Resultados!AQ16),ABS(Resultados!AZ16),ABS(Resultados!BI16),ABS(Resultados!BR16),ABS(Resultados!CA16),ABS(Resultados!CJ16),ABS(Resultados!CS16),ABS(Resultados!DB16),ABS(Resultados!DK16),ABS(Resultados!DT16),ABS(Resultados!EC16)))</f>
        <v>0.42400000000000015</v>
      </c>
      <c r="H16">
        <f>IF(COUNT(Resultados!H16,Resultados!Q16,Resultados!Z16,Resultados!AI16,Resultados!AR16,Resultados!BA16,Resultados!BJ16,Resultados!BS16,Resultados!CB16,Resultados!CK16,Resultados!CT16,Resultados!DC16,Resultados!DL16,Resultados!DU16,Resultados!ED16)=0, "", AVERAGE(ABS(Resultados!H16),ABS(Resultados!Q16),ABS(Resultados!Z16),ABS(Resultados!AI16),ABS(Resultados!AR16),ABS(Resultados!BA16),ABS(Resultados!BJ16),ABS(Resultados!BS16),ABS(Resultados!CB16),ABS(Resultados!CK16),ABS(Resultados!CT16),ABS(Resultados!DC16),ABS(Resultados!DL16),ABS(Resultados!DU16),ABS(Resultados!ED16)))</f>
        <v>1.4186666666666665E-2</v>
      </c>
      <c r="I16">
        <f>IF(COUNT(Resultados!I16,Resultados!R16,Resultados!AA16,Resultados!AJ16,Resultados!AS16,Resultados!BB16,Resultados!BK16,Resultados!BT16,Resultados!CC16,Resultados!CL16,Resultados!CU16,Resultados!DD16,Resultados!DM16,Resultados!DV16,Resultados!EE16)=0, "", AVERAGE(ABS(Resultados!I16),ABS(Resultados!R16),ABS(Resultados!AA16),ABS(Resultados!AJ16),ABS(Resultados!AS16),ABS(Resultados!BB16),ABS(Resultados!BK16),ABS(Resultados!BT16),ABS(Resultados!CC16),ABS(Resultados!CL16),ABS(Resultados!CU16),ABS(Resultados!DD16),ABS(Resultados!DM16),ABS(Resultados!DV16),ABS(Resultados!EE16)))</f>
        <v>2.7987233333333359</v>
      </c>
    </row>
    <row r="17" spans="1:9" x14ac:dyDescent="0.3">
      <c r="A17">
        <f>IF(COUNT(Resultados!A17,Resultados!J17,Resultados!S17,Resultados!AB17,Resultados!AK17,Resultados!AT17,Resultados!BC17,Resultados!BL17,Resultados!BU17,Resultados!CD17,Resultados!CM17,Resultados!CV17,Resultados!DE17,Resultados!DN17,Resultados!DW17)=0, "", AVERAGE(ABS(Resultados!A17),ABS(Resultados!J17),ABS(Resultados!S17),ABS(Resultados!AB17),ABS(Resultados!AK17),ABS(Resultados!AT17),ABS(Resultados!BC17),ABS(Resultados!BL17),ABS(Resultados!BU17),ABS(Resultados!CD17),ABS(Resultados!CM17),ABS(Resultados!CV17),ABS(Resultados!DE17),ABS(Resultados!DN17),ABS(Resultados!DW17)))</f>
        <v>45681</v>
      </c>
      <c r="B17" t="str">
        <f>IF(COUNT(Resultados!B17,Resultados!K17,Resultados!T17,Resultados!AC17,Resultados!AL17,Resultados!AU17,Resultados!BD17,Resultados!BM17,Resultados!BV17,Resultados!CE17,Resultados!CN17,Resultados!CW17,Resultados!DF17,Resultados!DO17,Resultados!DX17)=0, "", AVERAGE(ABS(Resultados!B17),ABS(Resultados!K17),ABS(Resultados!T17),ABS(Resultados!AC17),ABS(Resultados!AL17),ABS(Resultados!AU17),ABS(Resultados!BD17),ABS(Resultados!BM17),ABS(Resultados!BV17),ABS(Resultados!CE17),ABS(Resultados!CN17),ABS(Resultados!CW17),ABS(Resultados!DF17),ABS(Resultados!DO17),ABS(Resultados!DX17)))</f>
        <v/>
      </c>
      <c r="C17">
        <f>IF(COUNT(Resultados!C17,Resultados!L17,Resultados!U17,Resultados!AD17,Resultados!AM17,Resultados!AV17,Resultados!BE17,Resultados!BN17,Resultados!BW17,Resultados!CF17,Resultados!CO17,Resultados!CX17,Resultados!DG17,Resultados!DP17,Resultados!DY17)=0, "", AVERAGE(ABS(Resultados!C17),ABS(Resultados!L17),ABS(Resultados!U17),ABS(Resultados!AD17),ABS(Resultados!AM17),ABS(Resultados!AV17),ABS(Resultados!BE17),ABS(Resultados!BN17),ABS(Resultados!BW17),ABS(Resultados!CF17),ABS(Resultados!CO17),ABS(Resultados!CX17),ABS(Resultados!DG17),ABS(Resultados!DP17),ABS(Resultados!DY17)))</f>
        <v>2.8</v>
      </c>
      <c r="D17">
        <f>IF(COUNT(Resultados!D17,Resultados!M17,Resultados!V17,Resultados!AE17,Resultados!AN17,Resultados!AW17,Resultados!BF17,Resultados!BO17,Resultados!BX17,Resultados!CG17,Resultados!CP17,Resultados!CY17,Resultados!DH17,Resultados!DQ17,Resultados!DZ17)=0, "", AVERAGE(ABS(Resultados!D17),ABS(Resultados!M17),ABS(Resultados!V17),ABS(Resultados!AE17),ABS(Resultados!AN17),ABS(Resultados!AW17),ABS(Resultados!BF17),ABS(Resultados!BO17),ABS(Resultados!BX17),ABS(Resultados!CG17),ABS(Resultados!CP17),ABS(Resultados!CY17),ABS(Resultados!DH17),ABS(Resultados!DQ17),ABS(Resultados!DZ17)))</f>
        <v>1.6786666666666668E-2</v>
      </c>
      <c r="E17">
        <f>IF(COUNT(Resultados!E17,Resultados!N17,Resultados!W17,Resultados!AF17,Resultados!AO17,Resultados!AX17,Resultados!BG17,Resultados!BP17,Resultados!BY17,Resultados!CH17,Resultados!CQ17,Resultados!CZ17,Resultados!DI17,Resultados!DR17,Resultados!EA17)=0, "", AVERAGE(ABS(Resultados!E17),ABS(Resultados!N17),ABS(Resultados!W17),ABS(Resultados!AF17),ABS(Resultados!AO17),ABS(Resultados!AX17),ABS(Resultados!BG17),ABS(Resultados!BP17),ABS(Resultados!BY17),ABS(Resultados!CH17),ABS(Resultados!CQ17),ABS(Resultados!CZ17),ABS(Resultados!DI17),ABS(Resultados!DR17),ABS(Resultados!EA17)))</f>
        <v>6.7139744497780729</v>
      </c>
      <c r="F17">
        <f>IF(COUNT(Resultados!F17,Resultados!O17,Resultados!X17,Resultados!AG17,Resultados!AP17,Resultados!AY17,Resultados!BH17,Resultados!BQ17,Resultados!BZ17,Resultados!CI17,Resultados!CR17,Resultados!DA17,Resultados!DJ17,Resultados!DS17,Resultados!EB17)=0, "", AVERAGE(ABS(Resultados!F17),ABS(Resultados!O17),ABS(Resultados!X17),ABS(Resultados!AG17),ABS(Resultados!AP17),ABS(Resultados!AY17),ABS(Resultados!BH17),ABS(Resultados!BQ17),ABS(Resultados!BZ17),ABS(Resultados!CI17),ABS(Resultados!CR17),ABS(Resultados!DA17),ABS(Resultados!DJ17),ABS(Resultados!DS17),ABS(Resultados!EB17)))</f>
        <v>680.70844624579888</v>
      </c>
      <c r="G17">
        <f>IF(COUNT(Resultados!G17,Resultados!P17,Resultados!Y17,Resultados!AH17,Resultados!AQ17,Resultados!AZ17,Resultados!BI17,Resultados!BR17,Resultados!CA17,Resultados!CJ17,Resultados!CS17,Resultados!DB17,Resultados!DK17,Resultados!DT17,Resultados!EC17)=0, "", AVERAGE(ABS(Resultados!G17),ABS(Resultados!P17),ABS(Resultados!Y17),ABS(Resultados!AH17),ABS(Resultados!AQ17),ABS(Resultados!AZ17),ABS(Resultados!BI17),ABS(Resultados!BR17),ABS(Resultados!CA17),ABS(Resultados!CJ17),ABS(Resultados!CS17),ABS(Resultados!DB17),ABS(Resultados!DK17),ABS(Resultados!DT17),ABS(Resultados!EC17)))</f>
        <v>0.42400000000000015</v>
      </c>
      <c r="H17">
        <f>IF(COUNT(Resultados!H17,Resultados!Q17,Resultados!Z17,Resultados!AI17,Resultados!AR17,Resultados!BA17,Resultados!BJ17,Resultados!BS17,Resultados!CB17,Resultados!CK17,Resultados!CT17,Resultados!DC17,Resultados!DL17,Resultados!DU17,Resultados!ED17)=0, "", AVERAGE(ABS(Resultados!H17),ABS(Resultados!Q17),ABS(Resultados!Z17),ABS(Resultados!AI17),ABS(Resultados!AR17),ABS(Resultados!BA17),ABS(Resultados!BJ17),ABS(Resultados!BS17),ABS(Resultados!CB17),ABS(Resultados!CK17),ABS(Resultados!CT17),ABS(Resultados!DC17),ABS(Resultados!DL17),ABS(Resultados!DU17),ABS(Resultados!ED17)))</f>
        <v>1.116E-2</v>
      </c>
      <c r="I17">
        <f>IF(COUNT(Resultados!I17,Resultados!R17,Resultados!AA17,Resultados!AJ17,Resultados!AS17,Resultados!BB17,Resultados!BK17,Resultados!BT17,Resultados!CC17,Resultados!CL17,Resultados!CU17,Resultados!DD17,Resultados!DM17,Resultados!DV17,Resultados!EE17)=0, "", AVERAGE(ABS(Resultados!I17),ABS(Resultados!R17),ABS(Resultados!AA17),ABS(Resultados!AJ17),ABS(Resultados!AS17),ABS(Resultados!BB17),ABS(Resultados!BK17),ABS(Resultados!BT17),ABS(Resultados!CC17),ABS(Resultados!CL17),ABS(Resultados!CU17),ABS(Resultados!DD17),ABS(Resultados!DM17),ABS(Resultados!DV17),ABS(Resultados!EE17)))</f>
        <v>3.0002200000000063</v>
      </c>
    </row>
    <row r="18" spans="1:9" x14ac:dyDescent="0.3">
      <c r="A18">
        <f>IF(COUNT(Resultados!A18,Resultados!J18,Resultados!S18,Resultados!AB18,Resultados!AK18,Resultados!AT18,Resultados!BC18,Resultados!BL18,Resultados!BU18,Resultados!CD18,Resultados!CM18,Resultados!CV18,Resultados!DE18,Resultados!DN18,Resultados!DW18)=0, "", AVERAGE(ABS(Resultados!A18),ABS(Resultados!J18),ABS(Resultados!S18),ABS(Resultados!AB18),ABS(Resultados!AK18),ABS(Resultados!AT18),ABS(Resultados!BC18),ABS(Resultados!BL18),ABS(Resultados!BU18),ABS(Resultados!CD18),ABS(Resultados!CM18),ABS(Resultados!CV18),ABS(Resultados!DE18),ABS(Resultados!DN18),ABS(Resultados!DW18)))</f>
        <v>45681</v>
      </c>
      <c r="B18" t="str">
        <f>IF(COUNT(Resultados!B18,Resultados!K18,Resultados!T18,Resultados!AC18,Resultados!AL18,Resultados!AU18,Resultados!BD18,Resultados!BM18,Resultados!BV18,Resultados!CE18,Resultados!CN18,Resultados!CW18,Resultados!DF18,Resultados!DO18,Resultados!DX18)=0, "", AVERAGE(ABS(Resultados!B18),ABS(Resultados!K18),ABS(Resultados!T18),ABS(Resultados!AC18),ABS(Resultados!AL18),ABS(Resultados!AU18),ABS(Resultados!BD18),ABS(Resultados!BM18),ABS(Resultados!BV18),ABS(Resultados!CE18),ABS(Resultados!CN18),ABS(Resultados!CW18),ABS(Resultados!DF18),ABS(Resultados!DO18),ABS(Resultados!DX18)))</f>
        <v/>
      </c>
      <c r="C18">
        <f>IF(COUNT(Resultados!C18,Resultados!L18,Resultados!U18,Resultados!AD18,Resultados!AM18,Resultados!AV18,Resultados!BE18,Resultados!BN18,Resultados!BW18,Resultados!CF18,Resultados!CO18,Resultados!CX18,Resultados!DG18,Resultados!DP18,Resultados!DY18)=0, "", AVERAGE(ABS(Resultados!C18),ABS(Resultados!L18),ABS(Resultados!U18),ABS(Resultados!AD18),ABS(Resultados!AM18),ABS(Resultados!AV18),ABS(Resultados!BE18),ABS(Resultados!BN18),ABS(Resultados!BW18),ABS(Resultados!CF18),ABS(Resultados!CO18),ABS(Resultados!CX18),ABS(Resultados!DG18),ABS(Resultados!DP18),ABS(Resultados!DY18)))</f>
        <v>2.8</v>
      </c>
      <c r="D18">
        <f>IF(COUNT(Resultados!D18,Resultados!M18,Resultados!V18,Resultados!AE18,Resultados!AN18,Resultados!AW18,Resultados!BF18,Resultados!BO18,Resultados!BX18,Resultados!CG18,Resultados!CP18,Resultados!CY18,Resultados!DH18,Resultados!DQ18,Resultados!DZ18)=0, "", AVERAGE(ABS(Resultados!D18),ABS(Resultados!M18),ABS(Resultados!V18),ABS(Resultados!AE18),ABS(Resultados!AN18),ABS(Resultados!AW18),ABS(Resultados!BF18),ABS(Resultados!BO18),ABS(Resultados!BX18),ABS(Resultados!CG18),ABS(Resultados!CP18),ABS(Resultados!CY18),ABS(Resultados!DH18),ABS(Resultados!DQ18),ABS(Resultados!DZ18)))</f>
        <v>1.474E-2</v>
      </c>
      <c r="E18">
        <f>IF(COUNT(Resultados!E18,Resultados!N18,Resultados!W18,Resultados!AF18,Resultados!AO18,Resultados!AX18,Resultados!BG18,Resultados!BP18,Resultados!BY18,Resultados!CH18,Resultados!CQ18,Resultados!CZ18,Resultados!DI18,Resultados!DR18,Resultados!EA18)=0, "", AVERAGE(ABS(Resultados!E18),ABS(Resultados!N18),ABS(Resultados!W18),ABS(Resultados!AF18),ABS(Resultados!AO18),ABS(Resultados!AX18),ABS(Resultados!BG18),ABS(Resultados!BP18),ABS(Resultados!BY18),ABS(Resultados!CH18),ABS(Resultados!CQ18),ABS(Resultados!CZ18),ABS(Resultados!DI18),ABS(Resultados!DR18),ABS(Resultados!EA18)))</f>
        <v>6.5187603950201432</v>
      </c>
      <c r="F18">
        <f>IF(COUNT(Resultados!F18,Resultados!O18,Resultados!X18,Resultados!AG18,Resultados!AP18,Resultados!AY18,Resultados!BH18,Resultados!BQ18,Resultados!BZ18,Resultados!CI18,Resultados!CR18,Resultados!DA18,Resultados!DJ18,Resultados!DS18,Resultados!EB18)=0, "", AVERAGE(ABS(Resultados!F18),ABS(Resultados!O18),ABS(Resultados!X18),ABS(Resultados!AG18),ABS(Resultados!AP18),ABS(Resultados!AY18),ABS(Resultados!BH18),ABS(Resultados!BQ18),ABS(Resultados!BZ18),ABS(Resultados!CI18),ABS(Resultados!CR18),ABS(Resultados!DA18),ABS(Resultados!DJ18),ABS(Resultados!DS18),ABS(Resultados!EB18)))</f>
        <v>655.5484688158773</v>
      </c>
      <c r="G18">
        <f>IF(COUNT(Resultados!G18,Resultados!P18,Resultados!Y18,Resultados!AH18,Resultados!AQ18,Resultados!AZ18,Resultados!BI18,Resultados!BR18,Resultados!CA18,Resultados!CJ18,Resultados!CS18,Resultados!DB18,Resultados!DK18,Resultados!DT18,Resultados!EC18)=0, "", AVERAGE(ABS(Resultados!G18),ABS(Resultados!P18),ABS(Resultados!Y18),ABS(Resultados!AH18),ABS(Resultados!AQ18),ABS(Resultados!AZ18),ABS(Resultados!BI18),ABS(Resultados!BR18),ABS(Resultados!CA18),ABS(Resultados!CJ18),ABS(Resultados!CS18),ABS(Resultados!DB18),ABS(Resultados!DK18),ABS(Resultados!DT18),ABS(Resultados!EC18)))</f>
        <v>0.42400000000000015</v>
      </c>
      <c r="H18">
        <f>IF(COUNT(Resultados!H18,Resultados!Q18,Resultados!Z18,Resultados!AI18,Resultados!AR18,Resultados!BA18,Resultados!BJ18,Resultados!BS18,Resultados!CB18,Resultados!CK18,Resultados!CT18,Resultados!DC18,Resultados!DL18,Resultados!DU18,Resultados!ED18)=0, "", AVERAGE(ABS(Resultados!H18),ABS(Resultados!Q18),ABS(Resultados!Z18),ABS(Resultados!AI18),ABS(Resultados!AR18),ABS(Resultados!BA18),ABS(Resultados!BJ18),ABS(Resultados!BS18),ABS(Resultados!CB18),ABS(Resultados!CK18),ABS(Resultados!CT18),ABS(Resultados!DC18),ABS(Resultados!DL18),ABS(Resultados!DU18),ABS(Resultados!ED18)))</f>
        <v>8.1266666666666657E-3</v>
      </c>
      <c r="I18">
        <f>IF(COUNT(Resultados!I18,Resultados!R18,Resultados!AA18,Resultados!AJ18,Resultados!AS18,Resultados!BB18,Resultados!BK18,Resultados!BT18,Resultados!CC18,Resultados!CL18,Resultados!CU18,Resultados!DD18,Resultados!DM18,Resultados!DV18,Resultados!EE18)=0, "", AVERAGE(ABS(Resultados!I18),ABS(Resultados!R18),ABS(Resultados!AA18),ABS(Resultados!AJ18),ABS(Resultados!AS18),ABS(Resultados!BB18),ABS(Resultados!BK18),ABS(Resultados!BT18),ABS(Resultados!CC18),ABS(Resultados!CL18),ABS(Resultados!CU18),ABS(Resultados!DD18),ABS(Resultados!DM18),ABS(Resultados!DV18),ABS(Resultados!EE18)))</f>
        <v>3.1984406666666754</v>
      </c>
    </row>
    <row r="19" spans="1:9" x14ac:dyDescent="0.3">
      <c r="A19">
        <f>IF(COUNT(Resultados!A19,Resultados!J19,Resultados!S19,Resultados!AB19,Resultados!AK19,Resultados!AT19,Resultados!BC19,Resultados!BL19,Resultados!BU19,Resultados!CD19,Resultados!CM19,Resultados!CV19,Resultados!DE19,Resultados!DN19,Resultados!DW19)=0, "", AVERAGE(ABS(Resultados!A19),ABS(Resultados!J19),ABS(Resultados!S19),ABS(Resultados!AB19),ABS(Resultados!AK19),ABS(Resultados!AT19),ABS(Resultados!BC19),ABS(Resultados!BL19),ABS(Resultados!BU19),ABS(Resultados!CD19),ABS(Resultados!CM19),ABS(Resultados!CV19),ABS(Resultados!DE19),ABS(Resultados!DN19),ABS(Resultados!DW19)))</f>
        <v>45681</v>
      </c>
      <c r="B19" t="str">
        <f>IF(COUNT(Resultados!B19,Resultados!K19,Resultados!T19,Resultados!AC19,Resultados!AL19,Resultados!AU19,Resultados!BD19,Resultados!BM19,Resultados!BV19,Resultados!CE19,Resultados!CN19,Resultados!CW19,Resultados!DF19,Resultados!DO19,Resultados!DX19)=0, "", AVERAGE(ABS(Resultados!B19),ABS(Resultados!K19),ABS(Resultados!T19),ABS(Resultados!AC19),ABS(Resultados!AL19),ABS(Resultados!AU19),ABS(Resultados!BD19),ABS(Resultados!BM19),ABS(Resultados!BV19),ABS(Resultados!CE19),ABS(Resultados!CN19),ABS(Resultados!CW19),ABS(Resultados!DF19),ABS(Resultados!DO19),ABS(Resultados!DX19)))</f>
        <v/>
      </c>
      <c r="C19">
        <f>IF(COUNT(Resultados!C19,Resultados!L19,Resultados!U19,Resultados!AD19,Resultados!AM19,Resultados!AV19,Resultados!BE19,Resultados!BN19,Resultados!BW19,Resultados!CF19,Resultados!CO19,Resultados!CX19,Resultados!DG19,Resultados!DP19,Resultados!DY19)=0, "", AVERAGE(ABS(Resultados!C19),ABS(Resultados!L19),ABS(Resultados!U19),ABS(Resultados!AD19),ABS(Resultados!AM19),ABS(Resultados!AV19),ABS(Resultados!BE19),ABS(Resultados!BN19),ABS(Resultados!BW19),ABS(Resultados!CF19),ABS(Resultados!CO19),ABS(Resultados!CX19),ABS(Resultados!DG19),ABS(Resultados!DP19),ABS(Resultados!DY19)))</f>
        <v>2.8</v>
      </c>
      <c r="D19">
        <f>IF(COUNT(Resultados!D19,Resultados!M19,Resultados!V19,Resultados!AE19,Resultados!AN19,Resultados!AW19,Resultados!BF19,Resultados!BO19,Resultados!BX19,Resultados!CG19,Resultados!CP19,Resultados!CY19,Resultados!DH19,Resultados!DQ19,Resultados!DZ19)=0, "", AVERAGE(ABS(Resultados!D19),ABS(Resultados!M19),ABS(Resultados!V19),ABS(Resultados!AE19),ABS(Resultados!AN19),ABS(Resultados!AW19),ABS(Resultados!BF19),ABS(Resultados!BO19),ABS(Resultados!BX19),ABS(Resultados!CG19),ABS(Resultados!CP19),ABS(Resultados!CY19),ABS(Resultados!DH19),ABS(Resultados!DQ19),ABS(Resultados!DZ19)))</f>
        <v>1.1426666666666667E-2</v>
      </c>
      <c r="E19">
        <f>IF(COUNT(Resultados!E19,Resultados!N19,Resultados!W19,Resultados!AF19,Resultados!AO19,Resultados!AX19,Resultados!BG19,Resultados!BP19,Resultados!BY19,Resultados!CH19,Resultados!CQ19,Resultados!CZ19,Resultados!DI19,Resultados!DR19,Resultados!EA19)=0, "", AVERAGE(ABS(Resultados!E19),ABS(Resultados!N19),ABS(Resultados!W19),ABS(Resultados!AF19),ABS(Resultados!AO19),ABS(Resultados!AX19),ABS(Resultados!BG19),ABS(Resultados!BP19),ABS(Resultados!BY19),ABS(Resultados!CH19),ABS(Resultados!CQ19),ABS(Resultados!CZ19),ABS(Resultados!DI19),ABS(Resultados!DR19),ABS(Resultados!EA19)))</f>
        <v>6.3365749723533717</v>
      </c>
      <c r="F19">
        <f>IF(COUNT(Resultados!F19,Resultados!O19,Resultados!X19,Resultados!AG19,Resultados!AP19,Resultados!AY19,Resultados!BH19,Resultados!BQ19,Resultados!BZ19,Resultados!CI19,Resultados!CR19,Resultados!DA19,Resultados!DJ19,Resultados!DS19,Resultados!EB19)=0, "", AVERAGE(ABS(Resultados!F19),ABS(Resultados!O19),ABS(Resultados!X19),ABS(Resultados!AG19),ABS(Resultados!AP19),ABS(Resultados!AY19),ABS(Resultados!BH19),ABS(Resultados!BQ19),ABS(Resultados!BZ19),ABS(Resultados!CI19),ABS(Resultados!CR19),ABS(Resultados!DA19),ABS(Resultados!DJ19),ABS(Resultados!DS19),ABS(Resultados!EB19)))</f>
        <v>638.56878742333424</v>
      </c>
      <c r="G19">
        <f>IF(COUNT(Resultados!G19,Resultados!P19,Resultados!Y19,Resultados!AH19,Resultados!AQ19,Resultados!AZ19,Resultados!BI19,Resultados!BR19,Resultados!CA19,Resultados!CJ19,Resultados!CS19,Resultados!DB19,Resultados!DK19,Resultados!DT19,Resultados!EC19)=0, "", AVERAGE(ABS(Resultados!G19),ABS(Resultados!P19),ABS(Resultados!Y19),ABS(Resultados!AH19),ABS(Resultados!AQ19),ABS(Resultados!AZ19),ABS(Resultados!BI19),ABS(Resultados!BR19),ABS(Resultados!CA19),ABS(Resultados!CJ19),ABS(Resultados!CS19),ABS(Resultados!DB19),ABS(Resultados!DK19),ABS(Resultados!DT19),ABS(Resultados!EC19)))</f>
        <v>0.42400000000000015</v>
      </c>
      <c r="H19">
        <f>IF(COUNT(Resultados!H19,Resultados!Q19,Resultados!Z19,Resultados!AI19,Resultados!AR19,Resultados!BA19,Resultados!BJ19,Resultados!BS19,Resultados!CB19,Resultados!CK19,Resultados!CT19,Resultados!DC19,Resultados!DL19,Resultados!DU19,Resultados!ED19)=0, "", AVERAGE(ABS(Resultados!H19),ABS(Resultados!Q19),ABS(Resultados!Z19),ABS(Resultados!AI19),ABS(Resultados!AR19),ABS(Resultados!BA19),ABS(Resultados!BJ19),ABS(Resultados!BS19),ABS(Resultados!CB19),ABS(Resultados!CK19),ABS(Resultados!CT19),ABS(Resultados!DC19),ABS(Resultados!DL19),ABS(Resultados!DU19),ABS(Resultados!ED19)))</f>
        <v>5.2866666666666652E-3</v>
      </c>
      <c r="I19">
        <f>IF(COUNT(Resultados!I19,Resultados!R19,Resultados!AA19,Resultados!AJ19,Resultados!AS19,Resultados!BB19,Resultados!BK19,Resultados!BT19,Resultados!CC19,Resultados!CL19,Resultados!CU19,Resultados!DD19,Resultados!DM19,Resultados!DV19,Resultados!EE19)=0, "", AVERAGE(ABS(Resultados!I19),ABS(Resultados!R19),ABS(Resultados!AA19),ABS(Resultados!AJ19),ABS(Resultados!AS19),ABS(Resultados!BB19),ABS(Resultados!BK19),ABS(Resultados!BT19),ABS(Resultados!CC19),ABS(Resultados!CL19),ABS(Resultados!CU19),ABS(Resultados!DD19),ABS(Resultados!DM19),ABS(Resultados!DV19),ABS(Resultados!EE19)))</f>
        <v>3.3984966666666687</v>
      </c>
    </row>
    <row r="20" spans="1:9" x14ac:dyDescent="0.3">
      <c r="A20">
        <f>IF(COUNT(Resultados!A20,Resultados!J20,Resultados!S20,Resultados!AB20,Resultados!AK20,Resultados!AT20,Resultados!BC20,Resultados!BL20,Resultados!BU20,Resultados!CD20,Resultados!CM20,Resultados!CV20,Resultados!DE20,Resultados!DN20,Resultados!DW20)=0, "", AVERAGE(ABS(Resultados!A20),ABS(Resultados!J20),ABS(Resultados!S20),ABS(Resultados!AB20),ABS(Resultados!AK20),ABS(Resultados!AT20),ABS(Resultados!BC20),ABS(Resultados!BL20),ABS(Resultados!BU20),ABS(Resultados!CD20),ABS(Resultados!CM20),ABS(Resultados!CV20),ABS(Resultados!DE20),ABS(Resultados!DN20),ABS(Resultados!DW20)))</f>
        <v>45681</v>
      </c>
      <c r="B20" t="str">
        <f>IF(COUNT(Resultados!B20,Resultados!K20,Resultados!T20,Resultados!AC20,Resultados!AL20,Resultados!AU20,Resultados!BD20,Resultados!BM20,Resultados!BV20,Resultados!CE20,Resultados!CN20,Resultados!CW20,Resultados!DF20,Resultados!DO20,Resultados!DX20)=0, "", AVERAGE(ABS(Resultados!B20),ABS(Resultados!K20),ABS(Resultados!T20),ABS(Resultados!AC20),ABS(Resultados!AL20),ABS(Resultados!AU20),ABS(Resultados!BD20),ABS(Resultados!BM20),ABS(Resultados!BV20),ABS(Resultados!CE20),ABS(Resultados!CN20),ABS(Resultados!CW20),ABS(Resultados!DF20),ABS(Resultados!DO20),ABS(Resultados!DX20)))</f>
        <v/>
      </c>
      <c r="C20">
        <f>IF(COUNT(Resultados!C20,Resultados!L20,Resultados!U20,Resultados!AD20,Resultados!AM20,Resultados!AV20,Resultados!BE20,Resultados!BN20,Resultados!BW20,Resultados!CF20,Resultados!CO20,Resultados!CX20,Resultados!DG20,Resultados!DP20,Resultados!DY20)=0, "", AVERAGE(ABS(Resultados!C20),ABS(Resultados!L20),ABS(Resultados!U20),ABS(Resultados!AD20),ABS(Resultados!AM20),ABS(Resultados!AV20),ABS(Resultados!BE20),ABS(Resultados!BN20),ABS(Resultados!BW20),ABS(Resultados!CF20),ABS(Resultados!CO20),ABS(Resultados!CX20),ABS(Resultados!DG20),ABS(Resultados!DP20),ABS(Resultados!DY20)))</f>
        <v>2.8</v>
      </c>
      <c r="D20">
        <f>IF(COUNT(Resultados!D20,Resultados!M20,Resultados!V20,Resultados!AE20,Resultados!AN20,Resultados!AW20,Resultados!BF20,Resultados!BO20,Resultados!BX20,Resultados!CG20,Resultados!CP20,Resultados!CY20,Resultados!DH20,Resultados!DQ20,Resultados!DZ20)=0, "", AVERAGE(ABS(Resultados!D20),ABS(Resultados!M20),ABS(Resultados!V20),ABS(Resultados!AE20),ABS(Resultados!AN20),ABS(Resultados!AW20),ABS(Resultados!BF20),ABS(Resultados!BO20),ABS(Resultados!BX20),ABS(Resultados!CG20),ABS(Resultados!CP20),ABS(Resultados!CY20),ABS(Resultados!DH20),ABS(Resultados!DQ20),ABS(Resultados!DZ20)))</f>
        <v>7.6333333333333331E-3</v>
      </c>
      <c r="E20">
        <f>IF(COUNT(Resultados!E20,Resultados!N20,Resultados!W20,Resultados!AF20,Resultados!AO20,Resultados!AX20,Resultados!BG20,Resultados!BP20,Resultados!BY20,Resultados!CH20,Resultados!CQ20,Resultados!CZ20,Resultados!DI20,Resultados!DR20,Resultados!EA20)=0, "", AVERAGE(ABS(Resultados!E20),ABS(Resultados!N20),ABS(Resultados!W20),ABS(Resultados!AF20),ABS(Resultados!AO20),ABS(Resultados!AX20),ABS(Resultados!BG20),ABS(Resultados!BP20),ABS(Resultados!BY20),ABS(Resultados!CH20),ABS(Resultados!CQ20),ABS(Resultados!CZ20),ABS(Resultados!DI20),ABS(Resultados!DR20),ABS(Resultados!EA20)))</f>
        <v>6.1867840135330683</v>
      </c>
      <c r="F20">
        <f>IF(COUNT(Resultados!F20,Resultados!O20,Resultados!X20,Resultados!AG20,Resultados!AP20,Resultados!AY20,Resultados!BH20,Resultados!BQ20,Resultados!BZ20,Resultados!CI20,Resultados!CR20,Resultados!DA20,Resultados!DJ20,Resultados!DS20,Resultados!EB20)=0, "", AVERAGE(ABS(Resultados!F20),ABS(Resultados!O20),ABS(Resultados!X20),ABS(Resultados!AG20),ABS(Resultados!AP20),ABS(Resultados!AY20),ABS(Resultados!BH20),ABS(Resultados!BQ20),ABS(Resultados!BZ20),ABS(Resultados!CI20),ABS(Resultados!CR20),ABS(Resultados!DA20),ABS(Resultados!DJ20),ABS(Resultados!DS20),ABS(Resultados!EB20)))</f>
        <v>624.60827006128193</v>
      </c>
      <c r="G20">
        <f>IF(COUNT(Resultados!G20,Resultados!P20,Resultados!Y20,Resultados!AH20,Resultados!AQ20,Resultados!AZ20,Resultados!BI20,Resultados!BR20,Resultados!CA20,Resultados!CJ20,Resultados!CS20,Resultados!DB20,Resultados!DK20,Resultados!DT20,Resultados!EC20)=0, "", AVERAGE(ABS(Resultados!G20),ABS(Resultados!P20),ABS(Resultados!Y20),ABS(Resultados!AH20),ABS(Resultados!AQ20),ABS(Resultados!AZ20),ABS(Resultados!BI20),ABS(Resultados!BR20),ABS(Resultados!CA20),ABS(Resultados!CJ20),ABS(Resultados!CS20),ABS(Resultados!DB20),ABS(Resultados!DK20),ABS(Resultados!DT20),ABS(Resultados!EC20)))</f>
        <v>0.42400000000000015</v>
      </c>
      <c r="H20">
        <f>IF(COUNT(Resultados!H20,Resultados!Q20,Resultados!Z20,Resultados!AI20,Resultados!AR20,Resultados!BA20,Resultados!BJ20,Resultados!BS20,Resultados!CB20,Resultados!CK20,Resultados!CT20,Resultados!DC20,Resultados!DL20,Resultados!DU20,Resultados!ED20)=0, "", AVERAGE(ABS(Resultados!H20),ABS(Resultados!Q20),ABS(Resultados!Z20),ABS(Resultados!AI20),ABS(Resultados!AR20),ABS(Resultados!BA20),ABS(Resultados!BJ20),ABS(Resultados!BS20),ABS(Resultados!CB20),ABS(Resultados!CK20),ABS(Resultados!CT20),ABS(Resultados!DC20),ABS(Resultados!DL20),ABS(Resultados!DU20),ABS(Resultados!ED20)))</f>
        <v>2.9733333333333348E-3</v>
      </c>
      <c r="I20">
        <f>IF(COUNT(Resultados!I20,Resultados!R20,Resultados!AA20,Resultados!AJ20,Resultados!AS20,Resultados!BB20,Resultados!BK20,Resultados!BT20,Resultados!CC20,Resultados!CL20,Resultados!CU20,Resultados!DD20,Resultados!DM20,Resultados!DV20,Resultados!EE20)=0, "", AVERAGE(ABS(Resultados!I20),ABS(Resultados!R20),ABS(Resultados!AA20),ABS(Resultados!AJ20),ABS(Resultados!AS20),ABS(Resultados!BB20),ABS(Resultados!BK20),ABS(Resultados!BT20),ABS(Resultados!CC20),ABS(Resultados!CL20),ABS(Resultados!CU20),ABS(Resultados!DD20),ABS(Resultados!DM20),ABS(Resultados!DV20),ABS(Resultados!EE20)))</f>
        <v>3.5992093333333375</v>
      </c>
    </row>
    <row r="21" spans="1:9" x14ac:dyDescent="0.3">
      <c r="A21">
        <f>IF(COUNT(Resultados!A21,Resultados!J21,Resultados!S21,Resultados!AB21,Resultados!AK21,Resultados!AT21,Resultados!BC21,Resultados!BL21,Resultados!BU21,Resultados!CD21,Resultados!CM21,Resultados!CV21,Resultados!DE21,Resultados!DN21,Resultados!DW21)=0, "", AVERAGE(ABS(Resultados!A21),ABS(Resultados!J21),ABS(Resultados!S21),ABS(Resultados!AB21),ABS(Resultados!AK21),ABS(Resultados!AT21),ABS(Resultados!BC21),ABS(Resultados!BL21),ABS(Resultados!BU21),ABS(Resultados!CD21),ABS(Resultados!CM21),ABS(Resultados!CV21),ABS(Resultados!DE21),ABS(Resultados!DN21),ABS(Resultados!DW21)))</f>
        <v>45681</v>
      </c>
      <c r="B21" t="str">
        <f>IF(COUNT(Resultados!B21,Resultados!K21,Resultados!T21,Resultados!AC21,Resultados!AL21,Resultados!AU21,Resultados!BD21,Resultados!BM21,Resultados!BV21,Resultados!CE21,Resultados!CN21,Resultados!CW21,Resultados!DF21,Resultados!DO21,Resultados!DX21)=0, "", AVERAGE(ABS(Resultados!B21),ABS(Resultados!K21),ABS(Resultados!T21),ABS(Resultados!AC21),ABS(Resultados!AL21),ABS(Resultados!AU21),ABS(Resultados!BD21),ABS(Resultados!BM21),ABS(Resultados!BV21),ABS(Resultados!CE21),ABS(Resultados!CN21),ABS(Resultados!CW21),ABS(Resultados!DF21),ABS(Resultados!DO21),ABS(Resultados!DX21)))</f>
        <v/>
      </c>
      <c r="C21">
        <f>IF(COUNT(Resultados!C21,Resultados!L21,Resultados!U21,Resultados!AD21,Resultados!AM21,Resultados!AV21,Resultados!BE21,Resultados!BN21,Resultados!BW21,Resultados!CF21,Resultados!CO21,Resultados!CX21,Resultados!DG21,Resultados!DP21,Resultados!DY21)=0, "", AVERAGE(ABS(Resultados!C21),ABS(Resultados!L21),ABS(Resultados!U21),ABS(Resultados!AD21),ABS(Resultados!AM21),ABS(Resultados!AV21),ABS(Resultados!BE21),ABS(Resultados!BN21),ABS(Resultados!BW21),ABS(Resultados!CF21),ABS(Resultados!CO21),ABS(Resultados!CX21),ABS(Resultados!DG21),ABS(Resultados!DP21),ABS(Resultados!DY21)))</f>
        <v>2.8</v>
      </c>
      <c r="D21">
        <f>IF(COUNT(Resultados!D21,Resultados!M21,Resultados!V21,Resultados!AE21,Resultados!AN21,Resultados!AW21,Resultados!BF21,Resultados!BO21,Resultados!BX21,Resultados!CG21,Resultados!CP21,Resultados!CY21,Resultados!DH21,Resultados!DQ21,Resultados!DZ21)=0, "", AVERAGE(ABS(Resultados!D21),ABS(Resultados!M21),ABS(Resultados!V21),ABS(Resultados!AE21),ABS(Resultados!AN21),ABS(Resultados!AW21),ABS(Resultados!BF21),ABS(Resultados!BO21),ABS(Resultados!BX21),ABS(Resultados!CG21),ABS(Resultados!CP21),ABS(Resultados!CY21),ABS(Resultados!DH21),ABS(Resultados!DQ21),ABS(Resultados!DZ21)))</f>
        <v>3.926666666666666E-3</v>
      </c>
      <c r="E21">
        <f>IF(COUNT(Resultados!E21,Resultados!N21,Resultados!W21,Resultados!AF21,Resultados!AO21,Resultados!AX21,Resultados!BG21,Resultados!BP21,Resultados!BY21,Resultados!CH21,Resultados!CQ21,Resultados!CZ21,Resultados!DI21,Resultados!DR21,Resultados!EA21)=0, "", AVERAGE(ABS(Resultados!E21),ABS(Resultados!N21),ABS(Resultados!W21),ABS(Resultados!AF21),ABS(Resultados!AO21),ABS(Resultados!AX21),ABS(Resultados!BG21),ABS(Resultados!BP21),ABS(Resultados!BY21),ABS(Resultados!CH21),ABS(Resultados!CQ21),ABS(Resultados!CZ21),ABS(Resultados!DI21),ABS(Resultados!DR21),ABS(Resultados!EA21)))</f>
        <v>6.0852355988087323</v>
      </c>
      <c r="F21">
        <f>IF(COUNT(Resultados!F21,Resultados!O21,Resultados!X21,Resultados!AG21,Resultados!AP21,Resultados!AY21,Resultados!BH21,Resultados!BQ21,Resultados!BZ21,Resultados!CI21,Resultados!CR21,Resultados!DA21,Resultados!DJ21,Resultados!DS21,Resultados!EB21)=0, "", AVERAGE(ABS(Resultados!F21),ABS(Resultados!O21),ABS(Resultados!X21),ABS(Resultados!AG21),ABS(Resultados!AP21),ABS(Resultados!AY21),ABS(Resultados!BH21),ABS(Resultados!BQ21),ABS(Resultados!BZ21),ABS(Resultados!CI21),ABS(Resultados!CR21),ABS(Resultados!DA21),ABS(Resultados!DJ21),ABS(Resultados!DS21),ABS(Resultados!EB21)))</f>
        <v>615.14395780897394</v>
      </c>
      <c r="G21">
        <f>IF(COUNT(Resultados!G21,Resultados!P21,Resultados!Y21,Resultados!AH21,Resultados!AQ21,Resultados!AZ21,Resultados!BI21,Resultados!BR21,Resultados!CA21,Resultados!CJ21,Resultados!CS21,Resultados!DB21,Resultados!DK21,Resultados!DT21,Resultados!EC21)=0, "", AVERAGE(ABS(Resultados!G21),ABS(Resultados!P21),ABS(Resultados!Y21),ABS(Resultados!AH21),ABS(Resultados!AQ21),ABS(Resultados!AZ21),ABS(Resultados!BI21),ABS(Resultados!BR21),ABS(Resultados!CA21),ABS(Resultados!CJ21),ABS(Resultados!CS21),ABS(Resultados!DB21),ABS(Resultados!DK21),ABS(Resultados!DT21),ABS(Resultados!EC21)))</f>
        <v>0.42400000000000015</v>
      </c>
      <c r="H21">
        <f>IF(COUNT(Resultados!H21,Resultados!Q21,Resultados!Z21,Resultados!AI21,Resultados!AR21,Resultados!BA21,Resultados!BJ21,Resultados!BS21,Resultados!CB21,Resultados!CK21,Resultados!CT21,Resultados!DC21,Resultados!DL21,Resultados!DU21,Resultados!ED21)=0, "", AVERAGE(ABS(Resultados!H21),ABS(Resultados!Q21),ABS(Resultados!Z21),ABS(Resultados!AI21),ABS(Resultados!AR21),ABS(Resultados!BA21),ABS(Resultados!BJ21),ABS(Resultados!BS21),ABS(Resultados!CB21),ABS(Resultados!CK21),ABS(Resultados!CT21),ABS(Resultados!DC21),ABS(Resultados!DL21),ABS(Resultados!DU21),ABS(Resultados!ED21)))</f>
        <v>1.3800000000000004E-3</v>
      </c>
      <c r="I21">
        <f>IF(COUNT(Resultados!I21,Resultados!R21,Resultados!AA21,Resultados!AJ21,Resultados!AS21,Resultados!BB21,Resultados!BK21,Resultados!BT21,Resultados!CC21,Resultados!CL21,Resultados!CU21,Resultados!DD21,Resultados!DM21,Resultados!DV21,Resultados!EE21)=0, "", AVERAGE(ABS(Resultados!I21),ABS(Resultados!R21),ABS(Resultados!AA21),ABS(Resultados!AJ21),ABS(Resultados!AS21),ABS(Resultados!BB21),ABS(Resultados!BK21),ABS(Resultados!BT21),ABS(Resultados!CC21),ABS(Resultados!CL21),ABS(Resultados!CU21),ABS(Resultados!DD21),ABS(Resultados!DM21),ABS(Resultados!DV21),ABS(Resultados!EE21)))</f>
        <v>3.7986266666666739</v>
      </c>
    </row>
    <row r="22" spans="1:9" x14ac:dyDescent="0.3">
      <c r="A22">
        <f>IF(COUNT(Resultados!A22,Resultados!J22,Resultados!S22,Resultados!AB22,Resultados!AK22,Resultados!AT22,Resultados!BC22,Resultados!BL22,Resultados!BU22,Resultados!CD22,Resultados!CM22,Resultados!CV22,Resultados!DE22,Resultados!DN22,Resultados!DW22)=0, "", AVERAGE(ABS(Resultados!A22),ABS(Resultados!J22),ABS(Resultados!S22),ABS(Resultados!AB22),ABS(Resultados!AK22),ABS(Resultados!AT22),ABS(Resultados!BC22),ABS(Resultados!BL22),ABS(Resultados!BU22),ABS(Resultados!CD22),ABS(Resultados!CM22),ABS(Resultados!CV22),ABS(Resultados!DE22),ABS(Resultados!DN22),ABS(Resultados!DW22)))</f>
        <v>45681</v>
      </c>
      <c r="B22" t="str">
        <f>IF(COUNT(Resultados!B22,Resultados!K22,Resultados!T22,Resultados!AC22,Resultados!AL22,Resultados!AU22,Resultados!BD22,Resultados!BM22,Resultados!BV22,Resultados!CE22,Resultados!CN22,Resultados!CW22,Resultados!DF22,Resultados!DO22,Resultados!DX22)=0, "", AVERAGE(ABS(Resultados!B22),ABS(Resultados!K22),ABS(Resultados!T22),ABS(Resultados!AC22),ABS(Resultados!AL22),ABS(Resultados!AU22),ABS(Resultados!BD22),ABS(Resultados!BM22),ABS(Resultados!BV22),ABS(Resultados!CE22),ABS(Resultados!CN22),ABS(Resultados!CW22),ABS(Resultados!DF22),ABS(Resultados!DO22),ABS(Resultados!DX22)))</f>
        <v/>
      </c>
      <c r="C22">
        <f>IF(COUNT(Resultados!C22,Resultados!L22,Resultados!U22,Resultados!AD22,Resultados!AM22,Resultados!AV22,Resultados!BE22,Resultados!BN22,Resultados!BW22,Resultados!CF22,Resultados!CO22,Resultados!CX22,Resultados!DG22,Resultados!DP22,Resultados!DY22)=0, "", AVERAGE(ABS(Resultados!C22),ABS(Resultados!L22),ABS(Resultados!U22),ABS(Resultados!AD22),ABS(Resultados!AM22),ABS(Resultados!AV22),ABS(Resultados!BE22),ABS(Resultados!BN22),ABS(Resultados!BW22),ABS(Resultados!CF22),ABS(Resultados!CO22),ABS(Resultados!CX22),ABS(Resultados!DG22),ABS(Resultados!DP22),ABS(Resultados!DY22)))</f>
        <v>2.8</v>
      </c>
      <c r="D22">
        <f>IF(COUNT(Resultados!D22,Resultados!M22,Resultados!V22,Resultados!AE22,Resultados!AN22,Resultados!AW22,Resultados!BF22,Resultados!BO22,Resultados!BX22,Resultados!CG22,Resultados!CP22,Resultados!CY22,Resultados!DH22,Resultados!DQ22,Resultados!DZ22)=0, "", AVERAGE(ABS(Resultados!D22),ABS(Resultados!M22),ABS(Resultados!V22),ABS(Resultados!AE22),ABS(Resultados!AN22),ABS(Resultados!AW22),ABS(Resultados!BF22),ABS(Resultados!BO22),ABS(Resultados!BX22),ABS(Resultados!CG22),ABS(Resultados!CP22),ABS(Resultados!CY22),ABS(Resultados!DH22),ABS(Resultados!DQ22),ABS(Resultados!DZ22)))</f>
        <v>1.9666666666666665E-3</v>
      </c>
      <c r="E22">
        <f>IF(COUNT(Resultados!E22,Resultados!N22,Resultados!W22,Resultados!AF22,Resultados!AO22,Resultados!AX22,Resultados!BG22,Resultados!BP22,Resultados!BY22,Resultados!CH22,Resultados!CQ22,Resultados!CZ22,Resultados!DI22,Resultados!DR22,Resultados!EA22)=0, "", AVERAGE(ABS(Resultados!E22),ABS(Resultados!N22),ABS(Resultados!W22),ABS(Resultados!AF22),ABS(Resultados!AO22),ABS(Resultados!AX22),ABS(Resultados!BG22),ABS(Resultados!BP22),ABS(Resultados!BY22),ABS(Resultados!CH22),ABS(Resultados!CQ22),ABS(Resultados!CZ22),ABS(Resultados!DI22),ABS(Resultados!DR22),ABS(Resultados!EA22)))</f>
        <v>6.0407302973250268</v>
      </c>
      <c r="F22">
        <f>IF(COUNT(Resultados!F22,Resultados!O22,Resultados!X22,Resultados!AG22,Resultados!AP22,Resultados!AY22,Resultados!BH22,Resultados!BQ22,Resultados!BZ22,Resultados!CI22,Resultados!CR22,Resultados!DA22,Resultados!DJ22,Resultados!DS22,Resultados!EB22)=0, "", AVERAGE(ABS(Resultados!F22),ABS(Resultados!O22),ABS(Resultados!X22),ABS(Resultados!AG22),ABS(Resultados!AP22),ABS(Resultados!AY22),ABS(Resultados!BH22),ABS(Resultados!BQ22),ABS(Resultados!BZ22),ABS(Resultados!CI22),ABS(Resultados!CR22),ABS(Resultados!DA22),ABS(Resultados!DJ22),ABS(Resultados!DS22),ABS(Resultados!EB22)))</f>
        <v>610.99606371069251</v>
      </c>
      <c r="G22">
        <f>IF(COUNT(Resultados!G22,Resultados!P22,Resultados!Y22,Resultados!AH22,Resultados!AQ22,Resultados!AZ22,Resultados!BI22,Resultados!BR22,Resultados!CA22,Resultados!CJ22,Resultados!CS22,Resultados!DB22,Resultados!DK22,Resultados!DT22,Resultados!EC22)=0, "", AVERAGE(ABS(Resultados!G22),ABS(Resultados!P22),ABS(Resultados!Y22),ABS(Resultados!AH22),ABS(Resultados!AQ22),ABS(Resultados!AZ22),ABS(Resultados!BI22),ABS(Resultados!BR22),ABS(Resultados!CA22),ABS(Resultados!CJ22),ABS(Resultados!CS22),ABS(Resultados!DB22),ABS(Resultados!DK22),ABS(Resultados!DT22),ABS(Resultados!EC22)))</f>
        <v>0.42400000000000015</v>
      </c>
      <c r="H22">
        <f>IF(COUNT(Resultados!H22,Resultados!Q22,Resultados!Z22,Resultados!AI22,Resultados!AR22,Resultados!BA22,Resultados!BJ22,Resultados!BS22,Resultados!CB22,Resultados!CK22,Resultados!CT22,Resultados!DC22,Resultados!DL22,Resultados!DU22,Resultados!ED22)=0, "", AVERAGE(ABS(Resultados!H22),ABS(Resultados!Q22),ABS(Resultados!Z22),ABS(Resultados!AI22),ABS(Resultados!AR22),ABS(Resultados!BA22),ABS(Resultados!BJ22),ABS(Resultados!BS22),ABS(Resultados!CB22),ABS(Resultados!CK22),ABS(Resultados!CT22),ABS(Resultados!DC22),ABS(Resultados!DL22),ABS(Resultados!DU22),ABS(Resultados!ED22)))</f>
        <v>6.9999999999999999E-4</v>
      </c>
      <c r="I22">
        <f>IF(COUNT(Resultados!I22,Resultados!R22,Resultados!AA22,Resultados!AJ22,Resultados!AS22,Resultados!BB22,Resultados!BK22,Resultados!BT22,Resultados!CC22,Resultados!CL22,Resultados!CU22,Resultados!DD22,Resultados!DM22,Resultados!DV22,Resultados!EE22)=0, "", AVERAGE(ABS(Resultados!I22),ABS(Resultados!R22),ABS(Resultados!AA22),ABS(Resultados!AJ22),ABS(Resultados!AS22),ABS(Resultados!BB22),ABS(Resultados!BK22),ABS(Resultados!BT22),ABS(Resultados!CC22),ABS(Resultados!CL22),ABS(Resultados!CU22),ABS(Resultados!DD22),ABS(Resultados!DM22),ABS(Resultados!DV22),ABS(Resultados!EE22)))</f>
        <v>3.9988173333333403</v>
      </c>
    </row>
    <row r="23" spans="1:9" x14ac:dyDescent="0.3">
      <c r="A23">
        <f>IF(COUNT(Resultados!A23,Resultados!J23,Resultados!S23,Resultados!AB23,Resultados!AK23,Resultados!AT23,Resultados!BC23,Resultados!BL23,Resultados!BU23,Resultados!CD23,Resultados!CM23,Resultados!CV23,Resultados!DE23,Resultados!DN23,Resultados!DW23)=0, "", AVERAGE(ABS(Resultados!A23),ABS(Resultados!J23),ABS(Resultados!S23),ABS(Resultados!AB23),ABS(Resultados!AK23),ABS(Resultados!AT23),ABS(Resultados!BC23),ABS(Resultados!BL23),ABS(Resultados!BU23),ABS(Resultados!CD23),ABS(Resultados!CM23),ABS(Resultados!CV23),ABS(Resultados!DE23),ABS(Resultados!DN23),ABS(Resultados!DW23)))</f>
        <v>45681</v>
      </c>
      <c r="B23" t="str">
        <f>IF(COUNT(Resultados!B23,Resultados!K23,Resultados!T23,Resultados!AC23,Resultados!AL23,Resultados!AU23,Resultados!BD23,Resultados!BM23,Resultados!BV23,Resultados!CE23,Resultados!CN23,Resultados!CW23,Resultados!DF23,Resultados!DO23,Resultados!DX23)=0, "", AVERAGE(ABS(Resultados!B23),ABS(Resultados!K23),ABS(Resultados!T23),ABS(Resultados!AC23),ABS(Resultados!AL23),ABS(Resultados!AU23),ABS(Resultados!BD23),ABS(Resultados!BM23),ABS(Resultados!BV23),ABS(Resultados!CE23),ABS(Resultados!CN23),ABS(Resultados!CW23),ABS(Resultados!DF23),ABS(Resultados!DO23),ABS(Resultados!DX23)))</f>
        <v/>
      </c>
      <c r="C23">
        <f>IF(COUNT(Resultados!C23,Resultados!L23,Resultados!U23,Resultados!AD23,Resultados!AM23,Resultados!AV23,Resultados!BE23,Resultados!BN23,Resultados!BW23,Resultados!CF23,Resultados!CO23,Resultados!CX23,Resultados!DG23,Resultados!DP23,Resultados!DY23)=0, "", AVERAGE(ABS(Resultados!C23),ABS(Resultados!L23),ABS(Resultados!U23),ABS(Resultados!AD23),ABS(Resultados!AM23),ABS(Resultados!AV23),ABS(Resultados!BE23),ABS(Resultados!BN23),ABS(Resultados!BW23),ABS(Resultados!CF23),ABS(Resultados!CO23),ABS(Resultados!CX23),ABS(Resultados!DG23),ABS(Resultados!DP23),ABS(Resultados!DY23)))</f>
        <v>2.8</v>
      </c>
      <c r="D23">
        <f>IF(COUNT(Resultados!D23,Resultados!M23,Resultados!V23,Resultados!AE23,Resultados!AN23,Resultados!AW23,Resultados!BF23,Resultados!BO23,Resultados!BX23,Resultados!CG23,Resultados!CP23,Resultados!CY23,Resultados!DH23,Resultados!DQ23,Resultados!DZ23)=0, "", AVERAGE(ABS(Resultados!D23),ABS(Resultados!M23),ABS(Resultados!V23),ABS(Resultados!AE23),ABS(Resultados!AN23),ABS(Resultados!AW23),ABS(Resultados!BF23),ABS(Resultados!BO23),ABS(Resultados!BX23),ABS(Resultados!CG23),ABS(Resultados!CP23),ABS(Resultados!CY23),ABS(Resultados!DH23),ABS(Resultados!DQ23),ABS(Resultados!DZ23)))</f>
        <v>1.2466666666666665E-3</v>
      </c>
      <c r="E23">
        <f>IF(COUNT(Resultados!E23,Resultados!N23,Resultados!W23,Resultados!AF23,Resultados!AO23,Resultados!AX23,Resultados!BG23,Resultados!BP23,Resultados!BY23,Resultados!CH23,Resultados!CQ23,Resultados!CZ23,Resultados!DI23,Resultados!DR23,Resultados!EA23)=0, "", AVERAGE(ABS(Resultados!E23),ABS(Resultados!N23),ABS(Resultados!W23),ABS(Resultados!AF23),ABS(Resultados!AO23),ABS(Resultados!AX23),ABS(Resultados!BG23),ABS(Resultados!BP23),ABS(Resultados!BY23),ABS(Resultados!CH23),ABS(Resultados!CQ23),ABS(Resultados!CZ23),ABS(Resultados!DI23),ABS(Resultados!DR23),ABS(Resultados!EA23)))</f>
        <v>6.0581128399412307</v>
      </c>
      <c r="F23">
        <f>IF(COUNT(Resultados!F23,Resultados!O23,Resultados!X23,Resultados!AG23,Resultados!AP23,Resultados!AY23,Resultados!BH23,Resultados!BQ23,Resultados!BZ23,Resultados!CI23,Resultados!CR23,Resultados!DA23,Resultados!DJ23,Resultados!DS23,Resultados!EB23)=0, "", AVERAGE(ABS(Resultados!F23),ABS(Resultados!O23),ABS(Resultados!X23),ABS(Resultados!AG23),ABS(Resultados!AP23),ABS(Resultados!AY23),ABS(Resultados!BH23),ABS(Resultados!BQ23),ABS(Resultados!BZ23),ABS(Resultados!CI23),ABS(Resultados!CR23),ABS(Resultados!DA23),ABS(Resultados!DJ23),ABS(Resultados!DS23),ABS(Resultados!EB23)))</f>
        <v>708.0494207596289</v>
      </c>
      <c r="G23">
        <f>IF(COUNT(Resultados!G23,Resultados!P23,Resultados!Y23,Resultados!AH23,Resultados!AQ23,Resultados!AZ23,Resultados!BI23,Resultados!BR23,Resultados!CA23,Resultados!CJ23,Resultados!CS23,Resultados!DB23,Resultados!DK23,Resultados!DT23,Resultados!EC23)=0, "", AVERAGE(ABS(Resultados!G23),ABS(Resultados!P23),ABS(Resultados!Y23),ABS(Resultados!AH23),ABS(Resultados!AQ23),ABS(Resultados!AZ23),ABS(Resultados!BI23),ABS(Resultados!BR23),ABS(Resultados!CA23),ABS(Resultados!CJ23),ABS(Resultados!CS23),ABS(Resultados!DB23),ABS(Resultados!DK23),ABS(Resultados!DT23),ABS(Resultados!EC23)))</f>
        <v>0.42400000000000015</v>
      </c>
      <c r="H23">
        <f>IF(COUNT(Resultados!H23,Resultados!Q23,Resultados!Z23,Resultados!AI23,Resultados!AR23,Resultados!BA23,Resultados!BJ23,Resultados!BS23,Resultados!CB23,Resultados!CK23,Resultados!CT23,Resultados!DC23,Resultados!DL23,Resultados!DU23,Resultados!ED23)=0, "", AVERAGE(ABS(Resultados!H23),ABS(Resultados!Q23),ABS(Resultados!Z23),ABS(Resultados!AI23),ABS(Resultados!AR23),ABS(Resultados!BA23),ABS(Resultados!BJ23),ABS(Resultados!BS23),ABS(Resultados!CB23),ABS(Resultados!CK23),ABS(Resultados!CT23),ABS(Resultados!DC23),ABS(Resultados!DL23),ABS(Resultados!DU23),ABS(Resultados!ED23)))</f>
        <v>9.533333333333337E-4</v>
      </c>
      <c r="I23">
        <f>IF(COUNT(Resultados!I23,Resultados!R23,Resultados!AA23,Resultados!AJ23,Resultados!AS23,Resultados!BB23,Resultados!BK23,Resultados!BT23,Resultados!CC23,Resultados!CL23,Resultados!CU23,Resultados!DD23,Resultados!DM23,Resultados!DV23,Resultados!EE23)=0, "", AVERAGE(ABS(Resultados!I23),ABS(Resultados!R23),ABS(Resultados!AA23),ABS(Resultados!AJ23),ABS(Resultados!AS23),ABS(Resultados!BB23),ABS(Resultados!BK23),ABS(Resultados!BT23),ABS(Resultados!CC23),ABS(Resultados!CL23),ABS(Resultados!CU23),ABS(Resultados!DD23),ABS(Resultados!DM23),ABS(Resultados!DV23),ABS(Resultados!EE23)))</f>
        <v>4.1995020000000043</v>
      </c>
    </row>
    <row r="24" spans="1:9" x14ac:dyDescent="0.3">
      <c r="A24">
        <f>IF(COUNT(Resultados!A24,Resultados!J24,Resultados!S24,Resultados!AB24,Resultados!AK24,Resultados!AT24,Resultados!BC24,Resultados!BL24,Resultados!BU24,Resultados!CD24,Resultados!CM24,Resultados!CV24,Resultados!DE24,Resultados!DN24,Resultados!DW24)=0, "", AVERAGE(ABS(Resultados!A24),ABS(Resultados!J24),ABS(Resultados!S24),ABS(Resultados!AB24),ABS(Resultados!AK24),ABS(Resultados!AT24),ABS(Resultados!BC24),ABS(Resultados!BL24),ABS(Resultados!BU24),ABS(Resultados!CD24),ABS(Resultados!CM24),ABS(Resultados!CV24),ABS(Resultados!DE24),ABS(Resultados!DN24),ABS(Resultados!DW24)))</f>
        <v>45681</v>
      </c>
      <c r="B24" t="str">
        <f>IF(COUNT(Resultados!B24,Resultados!K24,Resultados!T24,Resultados!AC24,Resultados!AL24,Resultados!AU24,Resultados!BD24,Resultados!BM24,Resultados!BV24,Resultados!CE24,Resultados!CN24,Resultados!CW24,Resultados!DF24,Resultados!DO24,Resultados!DX24)=0, "", AVERAGE(ABS(Resultados!B24),ABS(Resultados!K24),ABS(Resultados!T24),ABS(Resultados!AC24),ABS(Resultados!AL24),ABS(Resultados!AU24),ABS(Resultados!BD24),ABS(Resultados!BM24),ABS(Resultados!BV24),ABS(Resultados!CE24),ABS(Resultados!CN24),ABS(Resultados!CW24),ABS(Resultados!DF24),ABS(Resultados!DO24),ABS(Resultados!DX24)))</f>
        <v/>
      </c>
      <c r="C24">
        <f>IF(COUNT(Resultados!C24,Resultados!L24,Resultados!U24,Resultados!AD24,Resultados!AM24,Resultados!AV24,Resultados!BE24,Resultados!BN24,Resultados!BW24,Resultados!CF24,Resultados!CO24,Resultados!CX24,Resultados!DG24,Resultados!DP24,Resultados!DY24)=0, "", AVERAGE(ABS(Resultados!C24),ABS(Resultados!L24),ABS(Resultados!U24),ABS(Resultados!AD24),ABS(Resultados!AM24),ABS(Resultados!AV24),ABS(Resultados!BE24),ABS(Resultados!BN24),ABS(Resultados!BW24),ABS(Resultados!CF24),ABS(Resultados!CO24),ABS(Resultados!CX24),ABS(Resultados!DG24),ABS(Resultados!DP24),ABS(Resultados!DY24)))</f>
        <v>2.8</v>
      </c>
      <c r="D24">
        <f>IF(COUNT(Resultados!D24,Resultados!M24,Resultados!V24,Resultados!AE24,Resultados!AN24,Resultados!AW24,Resultados!BF24,Resultados!BO24,Resultados!BX24,Resultados!CG24,Resultados!CP24,Resultados!CY24,Resultados!DH24,Resultados!DQ24,Resultados!DZ24)=0, "", AVERAGE(ABS(Resultados!D24),ABS(Resultados!M24),ABS(Resultados!V24),ABS(Resultados!AE24),ABS(Resultados!AN24),ABS(Resultados!AW24),ABS(Resultados!BF24),ABS(Resultados!BO24),ABS(Resultados!BX24),ABS(Resultados!CG24),ABS(Resultados!CP24),ABS(Resultados!CY24),ABS(Resultados!DH24),ABS(Resultados!DQ24),ABS(Resultados!DZ24)))</f>
        <v>9.6000000000000002E-4</v>
      </c>
      <c r="E24">
        <f>IF(COUNT(Resultados!E24,Resultados!N24,Resultados!W24,Resultados!AF24,Resultados!AO24,Resultados!AX24,Resultados!BG24,Resultados!BP24,Resultados!BY24,Resultados!CH24,Resultados!CQ24,Resultados!CZ24,Resultados!DI24,Resultados!DR24,Resultados!EA24)=0, "", AVERAGE(ABS(Resultados!E24),ABS(Resultados!N24),ABS(Resultados!W24),ABS(Resultados!AF24),ABS(Resultados!AO24),ABS(Resultados!AX24),ABS(Resultados!BG24),ABS(Resultados!BP24),ABS(Resultados!BY24),ABS(Resultados!CH24),ABS(Resultados!CQ24),ABS(Resultados!CZ24),ABS(Resultados!DI24),ABS(Resultados!DR24),ABS(Resultados!EA24)))</f>
        <v>6.13537194972705</v>
      </c>
      <c r="F24">
        <f>IF(COUNT(Resultados!F24,Resultados!O24,Resultados!X24,Resultados!AG24,Resultados!AP24,Resultados!AY24,Resultados!BH24,Resultados!BQ24,Resultados!BZ24,Resultados!CI24,Resultados!CR24,Resultados!DA24,Resultados!DJ24,Resultados!DS24,Resultados!EB24)=0, "", AVERAGE(ABS(Resultados!F24),ABS(Resultados!O24),ABS(Resultados!X24),ABS(Resultados!AG24),ABS(Resultados!AP24),ABS(Resultados!AY24),ABS(Resultados!BH24),ABS(Resultados!BQ24),ABS(Resultados!BZ24),ABS(Resultados!CI24),ABS(Resultados!CR24),ABS(Resultados!DA24),ABS(Resultados!DJ24),ABS(Resultados!DS24),ABS(Resultados!EB24)))</f>
        <v>715.40245915038145</v>
      </c>
      <c r="G24">
        <f>IF(COUNT(Resultados!G24,Resultados!P24,Resultados!Y24,Resultados!AH24,Resultados!AQ24,Resultados!AZ24,Resultados!BI24,Resultados!BR24,Resultados!CA24,Resultados!CJ24,Resultados!CS24,Resultados!DB24,Resultados!DK24,Resultados!DT24,Resultados!EC24)=0, "", AVERAGE(ABS(Resultados!G24),ABS(Resultados!P24),ABS(Resultados!Y24),ABS(Resultados!AH24),ABS(Resultados!AQ24),ABS(Resultados!AZ24),ABS(Resultados!BI24),ABS(Resultados!BR24),ABS(Resultados!CA24),ABS(Resultados!CJ24),ABS(Resultados!CS24),ABS(Resultados!DB24),ABS(Resultados!DK24),ABS(Resultados!DT24),ABS(Resultados!EC24)))</f>
        <v>0.42400000000000015</v>
      </c>
      <c r="H24">
        <f>IF(COUNT(Resultados!H24,Resultados!Q24,Resultados!Z24,Resultados!AI24,Resultados!AR24,Resultados!BA24,Resultados!BJ24,Resultados!BS24,Resultados!CB24,Resultados!CK24,Resultados!CT24,Resultados!DC24,Resultados!DL24,Resultados!DU24,Resultados!ED24)=0, "", AVERAGE(ABS(Resultados!H24),ABS(Resultados!Q24),ABS(Resultados!Z24),ABS(Resultados!AI24),ABS(Resultados!AR24),ABS(Resultados!BA24),ABS(Resultados!BJ24),ABS(Resultados!BS24),ABS(Resultados!CB24),ABS(Resultados!CK24),ABS(Resultados!CT24),ABS(Resultados!DC24),ABS(Resultados!DL24),ABS(Resultados!DU24),ABS(Resultados!ED24)))</f>
        <v>2.1533333333333344E-3</v>
      </c>
      <c r="I24">
        <f>IF(COUNT(Resultados!I24,Resultados!R24,Resultados!AA24,Resultados!AJ24,Resultados!AS24,Resultados!BB24,Resultados!BK24,Resultados!BT24,Resultados!CC24,Resultados!CL24,Resultados!CU24,Resultados!DD24,Resultados!DM24,Resultados!DV24,Resultados!EE24)=0, "", AVERAGE(ABS(Resultados!I24),ABS(Resultados!R24),ABS(Resultados!AA24),ABS(Resultados!AJ24),ABS(Resultados!AS24),ABS(Resultados!BB24),ABS(Resultados!BK24),ABS(Resultados!BT24),ABS(Resultados!CC24),ABS(Resultados!CL24),ABS(Resultados!CU24),ABS(Resultados!DD24),ABS(Resultados!DM24),ABS(Resultados!DV24),ABS(Resultados!EE24)))</f>
        <v>4.3988020000000052</v>
      </c>
    </row>
    <row r="25" spans="1:9" x14ac:dyDescent="0.3">
      <c r="A25">
        <f>IF(COUNT(Resultados!A25,Resultados!J25,Resultados!S25,Resultados!AB25,Resultados!AK25,Resultados!AT25,Resultados!BC25,Resultados!BL25,Resultados!BU25,Resultados!CD25,Resultados!CM25,Resultados!CV25,Resultados!DE25,Resultados!DN25,Resultados!DW25)=0, "", AVERAGE(ABS(Resultados!A25),ABS(Resultados!J25),ABS(Resultados!S25),ABS(Resultados!AB25),ABS(Resultados!AK25),ABS(Resultados!AT25),ABS(Resultados!BC25),ABS(Resultados!BL25),ABS(Resultados!BU25),ABS(Resultados!CD25),ABS(Resultados!CM25),ABS(Resultados!CV25),ABS(Resultados!DE25),ABS(Resultados!DN25),ABS(Resultados!DW25)))</f>
        <v>45681</v>
      </c>
      <c r="B25" t="str">
        <f>IF(COUNT(Resultados!B25,Resultados!K25,Resultados!T25,Resultados!AC25,Resultados!AL25,Resultados!AU25,Resultados!BD25,Resultados!BM25,Resultados!BV25,Resultados!CE25,Resultados!CN25,Resultados!CW25,Resultados!DF25,Resultados!DO25,Resultados!DX25)=0, "", AVERAGE(ABS(Resultados!B25),ABS(Resultados!K25),ABS(Resultados!T25),ABS(Resultados!AC25),ABS(Resultados!AL25),ABS(Resultados!AU25),ABS(Resultados!BD25),ABS(Resultados!BM25),ABS(Resultados!BV25),ABS(Resultados!CE25),ABS(Resultados!CN25),ABS(Resultados!CW25),ABS(Resultados!DF25),ABS(Resultados!DO25),ABS(Resultados!DX25)))</f>
        <v/>
      </c>
      <c r="C25">
        <f>IF(COUNT(Resultados!C25,Resultados!L25,Resultados!U25,Resultados!AD25,Resultados!AM25,Resultados!AV25,Resultados!BE25,Resultados!BN25,Resultados!BW25,Resultados!CF25,Resultados!CO25,Resultados!CX25,Resultados!DG25,Resultados!DP25,Resultados!DY25)=0, "", AVERAGE(ABS(Resultados!C25),ABS(Resultados!L25),ABS(Resultados!U25),ABS(Resultados!AD25),ABS(Resultados!AM25),ABS(Resultados!AV25),ABS(Resultados!BE25),ABS(Resultados!BN25),ABS(Resultados!BW25),ABS(Resultados!CF25),ABS(Resultados!CO25),ABS(Resultados!CX25),ABS(Resultados!DG25),ABS(Resultados!DP25),ABS(Resultados!DY25)))</f>
        <v>2.8</v>
      </c>
      <c r="D25">
        <f>IF(COUNT(Resultados!D25,Resultados!M25,Resultados!V25,Resultados!AE25,Resultados!AN25,Resultados!AW25,Resultados!BF25,Resultados!BO25,Resultados!BX25,Resultados!CG25,Resultados!CP25,Resultados!CY25,Resultados!DH25,Resultados!DQ25,Resultados!DZ25)=0, "", AVERAGE(ABS(Resultados!D25),ABS(Resultados!M25),ABS(Resultados!V25),ABS(Resultados!AE25),ABS(Resultados!AN25),ABS(Resultados!AW25),ABS(Resultados!BF25),ABS(Resultados!BO25),ABS(Resultados!BX25),ABS(Resultados!CG25),ABS(Resultados!CP25),ABS(Resultados!CY25),ABS(Resultados!DH25),ABS(Resultados!DQ25),ABS(Resultados!DZ25)))</f>
        <v>1.1199999999999999E-3</v>
      </c>
      <c r="E25">
        <f>IF(COUNT(Resultados!E25,Resultados!N25,Resultados!W25,Resultados!AF25,Resultados!AO25,Resultados!AX25,Resultados!BG25,Resultados!BP25,Resultados!BY25,Resultados!CH25,Resultados!CQ25,Resultados!CZ25,Resultados!DI25,Resultados!DR25,Resultados!EA25)=0, "", AVERAGE(ABS(Resultados!E25),ABS(Resultados!N25),ABS(Resultados!W25),ABS(Resultados!AF25),ABS(Resultados!AO25),ABS(Resultados!AX25),ABS(Resultados!BG25),ABS(Resultados!BP25),ABS(Resultados!BY25),ABS(Resultados!CH25),ABS(Resultados!CQ25),ABS(Resultados!CZ25),ABS(Resultados!DI25),ABS(Resultados!DR25),ABS(Resultados!EA25)))</f>
        <v>6.2649124991007881</v>
      </c>
      <c r="F25">
        <f>IF(COUNT(Resultados!F25,Resultados!O25,Resultados!X25,Resultados!AG25,Resultados!AP25,Resultados!AY25,Resultados!BH25,Resultados!BQ25,Resultados!BZ25,Resultados!CI25,Resultados!CR25,Resultados!DA25,Resultados!DJ25,Resultados!DS25,Resultados!EB25)=0, "", AVERAGE(ABS(Resultados!F25),ABS(Resultados!O25),ABS(Resultados!X25),ABS(Resultados!AG25),ABS(Resultados!AP25),ABS(Resultados!AY25),ABS(Resultados!BH25),ABS(Resultados!BQ25),ABS(Resultados!BZ25),ABS(Resultados!CI25),ABS(Resultados!CR25),ABS(Resultados!DA25),ABS(Resultados!DJ25),ABS(Resultados!DS25),ABS(Resultados!EB25)))</f>
        <v>727.71283098354581</v>
      </c>
      <c r="G25">
        <f>IF(COUNT(Resultados!G25,Resultados!P25,Resultados!Y25,Resultados!AH25,Resultados!AQ25,Resultados!AZ25,Resultados!BI25,Resultados!BR25,Resultados!CA25,Resultados!CJ25,Resultados!CS25,Resultados!DB25,Resultados!DK25,Resultados!DT25,Resultados!EC25)=0, "", AVERAGE(ABS(Resultados!G25),ABS(Resultados!P25),ABS(Resultados!Y25),ABS(Resultados!AH25),ABS(Resultados!AQ25),ABS(Resultados!AZ25),ABS(Resultados!BI25),ABS(Resultados!BR25),ABS(Resultados!CA25),ABS(Resultados!CJ25),ABS(Resultados!CS25),ABS(Resultados!DB25),ABS(Resultados!DK25),ABS(Resultados!DT25),ABS(Resultados!EC25)))</f>
        <v>0.42400000000000015</v>
      </c>
      <c r="H25">
        <f>IF(COUNT(Resultados!H25,Resultados!Q25,Resultados!Z25,Resultados!AI25,Resultados!AR25,Resultados!BA25,Resultados!BJ25,Resultados!BS25,Resultados!CB25,Resultados!CK25,Resultados!CT25,Resultados!DC25,Resultados!DL25,Resultados!DU25,Resultados!ED25)=0, "", AVERAGE(ABS(Resultados!H25),ABS(Resultados!Q25),ABS(Resultados!Z25),ABS(Resultados!AI25),ABS(Resultados!AR25),ABS(Resultados!BA25),ABS(Resultados!BJ25),ABS(Resultados!BS25),ABS(Resultados!CB25),ABS(Resultados!CK25),ABS(Resultados!CT25),ABS(Resultados!DC25),ABS(Resultados!DL25),ABS(Resultados!DU25),ABS(Resultados!ED25)))</f>
        <v>4.1599999999999996E-3</v>
      </c>
      <c r="I25">
        <f>IF(COUNT(Resultados!I25,Resultados!R25,Resultados!AA25,Resultados!AJ25,Resultados!AS25,Resultados!BB25,Resultados!BK25,Resultados!BT25,Resultados!CC25,Resultados!CL25,Resultados!CU25,Resultados!DD25,Resultados!DM25,Resultados!DV25,Resultados!EE25)=0, "", AVERAGE(ABS(Resultados!I25),ABS(Resultados!R25),ABS(Resultados!AA25),ABS(Resultados!AJ25),ABS(Resultados!AS25),ABS(Resultados!BB25),ABS(Resultados!BK25),ABS(Resultados!BT25),ABS(Resultados!CC25),ABS(Resultados!CL25),ABS(Resultados!CU25),ABS(Resultados!DD25),ABS(Resultados!DM25),ABS(Resultados!DV25),ABS(Resultados!EE25)))</f>
        <v>4.5985500000000004</v>
      </c>
    </row>
    <row r="26" spans="1:9" x14ac:dyDescent="0.3">
      <c r="A26">
        <f>IF(COUNT(Resultados!A26,Resultados!J26,Resultados!S26,Resultados!AB26,Resultados!AK26,Resultados!AT26,Resultados!BC26,Resultados!BL26,Resultados!BU26,Resultados!CD26,Resultados!CM26,Resultados!CV26,Resultados!DE26,Resultados!DN26,Resultados!DW26)=0, "", AVERAGE(ABS(Resultados!A26),ABS(Resultados!J26),ABS(Resultados!S26),ABS(Resultados!AB26),ABS(Resultados!AK26),ABS(Resultados!AT26),ABS(Resultados!BC26),ABS(Resultados!BL26),ABS(Resultados!BU26),ABS(Resultados!CD26),ABS(Resultados!CM26),ABS(Resultados!CV26),ABS(Resultados!DE26),ABS(Resultados!DN26),ABS(Resultados!DW26)))</f>
        <v>45681</v>
      </c>
      <c r="B26" t="str">
        <f>IF(COUNT(Resultados!B26,Resultados!K26,Resultados!T26,Resultados!AC26,Resultados!AL26,Resultados!AU26,Resultados!BD26,Resultados!BM26,Resultados!BV26,Resultados!CE26,Resultados!CN26,Resultados!CW26,Resultados!DF26,Resultados!DO26,Resultados!DX26)=0, "", AVERAGE(ABS(Resultados!B26),ABS(Resultados!K26),ABS(Resultados!T26),ABS(Resultados!AC26),ABS(Resultados!AL26),ABS(Resultados!AU26),ABS(Resultados!BD26),ABS(Resultados!BM26),ABS(Resultados!BV26),ABS(Resultados!CE26),ABS(Resultados!CN26),ABS(Resultados!CW26),ABS(Resultados!DF26),ABS(Resultados!DO26),ABS(Resultados!DX26)))</f>
        <v/>
      </c>
      <c r="C26">
        <f>IF(COUNT(Resultados!C26,Resultados!L26,Resultados!U26,Resultados!AD26,Resultados!AM26,Resultados!AV26,Resultados!BE26,Resultados!BN26,Resultados!BW26,Resultados!CF26,Resultados!CO26,Resultados!CX26,Resultados!DG26,Resultados!DP26,Resultados!DY26)=0, "", AVERAGE(ABS(Resultados!C26),ABS(Resultados!L26),ABS(Resultados!U26),ABS(Resultados!AD26),ABS(Resultados!AM26),ABS(Resultados!AV26),ABS(Resultados!BE26),ABS(Resultados!BN26),ABS(Resultados!BW26),ABS(Resultados!CF26),ABS(Resultados!CO26),ABS(Resultados!CX26),ABS(Resultados!DG26),ABS(Resultados!DP26),ABS(Resultados!DY26)))</f>
        <v>2.8</v>
      </c>
      <c r="D26">
        <f>IF(COUNT(Resultados!D26,Resultados!M26,Resultados!V26,Resultados!AE26,Resultados!AN26,Resultados!AW26,Resultados!BF26,Resultados!BO26,Resultados!BX26,Resultados!CG26,Resultados!CP26,Resultados!CY26,Resultados!DH26,Resultados!DQ26,Resultados!DZ26)=0, "", AVERAGE(ABS(Resultados!D26),ABS(Resultados!M26),ABS(Resultados!V26),ABS(Resultados!AE26),ABS(Resultados!AN26),ABS(Resultados!AW26),ABS(Resultados!BF26),ABS(Resultados!BO26),ABS(Resultados!BX26),ABS(Resultados!CG26),ABS(Resultados!CP26),ABS(Resultados!CY26),ABS(Resultados!DH26),ABS(Resultados!DQ26),ABS(Resultados!DZ26)))</f>
        <v>2.3600000000000001E-3</v>
      </c>
      <c r="E26">
        <f>IF(COUNT(Resultados!E26,Resultados!N26,Resultados!W26,Resultados!AF26,Resultados!AO26,Resultados!AX26,Resultados!BG26,Resultados!BP26,Resultados!BY26,Resultados!CH26,Resultados!CQ26,Resultados!CZ26,Resultados!DI26,Resultados!DR26,Resultados!EA26)=0, "", AVERAGE(ABS(Resultados!E26),ABS(Resultados!N26),ABS(Resultados!W26),ABS(Resultados!AF26),ABS(Resultados!AO26),ABS(Resultados!AX26),ABS(Resultados!BG26),ABS(Resultados!BP26),ABS(Resultados!BY26),ABS(Resultados!CH26),ABS(Resultados!CQ26),ABS(Resultados!CZ26),ABS(Resultados!DI26),ABS(Resultados!DR26),ABS(Resultados!EA26)))</f>
        <v>6.4346501367976483</v>
      </c>
      <c r="F26">
        <f>IF(COUNT(Resultados!F26,Resultados!O26,Resultados!X26,Resultados!AG26,Resultados!AP26,Resultados!AY26,Resultados!BH26,Resultados!BQ26,Resultados!BZ26,Resultados!CI26,Resultados!CR26,Resultados!DA26,Resultados!DJ26,Resultados!DS26,Resultados!EB26)=0, "", AVERAGE(ABS(Resultados!F26),ABS(Resultados!O26),ABS(Resultados!X26),ABS(Resultados!AG26),ABS(Resultados!AP26),ABS(Resultados!AY26),ABS(Resultados!BH26),ABS(Resultados!BQ26),ABS(Resultados!BZ26),ABS(Resultados!CI26),ABS(Resultados!CR26),ABS(Resultados!DA26),ABS(Resultados!DJ26),ABS(Resultados!DS26),ABS(Resultados!EB26)))</f>
        <v>743.83172697767293</v>
      </c>
      <c r="G26">
        <f>IF(COUNT(Resultados!G26,Resultados!P26,Resultados!Y26,Resultados!AH26,Resultados!AQ26,Resultados!AZ26,Resultados!BI26,Resultados!BR26,Resultados!CA26,Resultados!CJ26,Resultados!CS26,Resultados!DB26,Resultados!DK26,Resultados!DT26,Resultados!EC26)=0, "", AVERAGE(ABS(Resultados!G26),ABS(Resultados!P26),ABS(Resultados!Y26),ABS(Resultados!AH26),ABS(Resultados!AQ26),ABS(Resultados!AZ26),ABS(Resultados!BI26),ABS(Resultados!BR26),ABS(Resultados!CA26),ABS(Resultados!CJ26),ABS(Resultados!CS26),ABS(Resultados!DB26),ABS(Resultados!DK26),ABS(Resultados!DT26),ABS(Resultados!EC26)))</f>
        <v>0.42400000000000015</v>
      </c>
      <c r="H26">
        <f>IF(COUNT(Resultados!H26,Resultados!Q26,Resultados!Z26,Resultados!AI26,Resultados!AR26,Resultados!BA26,Resultados!BJ26,Resultados!BS26,Resultados!CB26,Resultados!CK26,Resultados!CT26,Resultados!DC26,Resultados!DL26,Resultados!DU26,Resultados!ED26)=0, "", AVERAGE(ABS(Resultados!H26),ABS(Resultados!Q26),ABS(Resultados!Z26),ABS(Resultados!AI26),ABS(Resultados!AR26),ABS(Resultados!BA26),ABS(Resultados!BJ26),ABS(Resultados!BS26),ABS(Resultados!CB26),ABS(Resultados!CK26),ABS(Resultados!CT26),ABS(Resultados!DC26),ABS(Resultados!DL26),ABS(Resultados!DU26),ABS(Resultados!ED26)))</f>
        <v>6.8066666666666666E-3</v>
      </c>
      <c r="I26">
        <f>IF(COUNT(Resultados!I26,Resultados!R26,Resultados!AA26,Resultados!AJ26,Resultados!AS26,Resultados!BB26,Resultados!BK26,Resultados!BT26,Resultados!CC26,Resultados!CL26,Resultados!CU26,Resultados!DD26,Resultados!DM26,Resultados!DV26,Resultados!EE26)=0, "", AVERAGE(ABS(Resultados!I26),ABS(Resultados!R26),ABS(Resultados!AA26),ABS(Resultados!AJ26),ABS(Resultados!AS26),ABS(Resultados!BB26),ABS(Resultados!BK26),ABS(Resultados!BT26),ABS(Resultados!CC26),ABS(Resultados!CL26),ABS(Resultados!CU26),ABS(Resultados!DD26),ABS(Resultados!DM26),ABS(Resultados!DV26),ABS(Resultados!EE26)))</f>
        <v>4.7986466666666674</v>
      </c>
    </row>
    <row r="27" spans="1:9" x14ac:dyDescent="0.3">
      <c r="A27">
        <f>IF(COUNT(Resultados!A27,Resultados!J27,Resultados!S27,Resultados!AB27,Resultados!AK27,Resultados!AT27,Resultados!BC27,Resultados!BL27,Resultados!BU27,Resultados!CD27,Resultados!CM27,Resultados!CV27,Resultados!DE27,Resultados!DN27,Resultados!DW27)=0, "", AVERAGE(ABS(Resultados!A27),ABS(Resultados!J27),ABS(Resultados!S27),ABS(Resultados!AB27),ABS(Resultados!AK27),ABS(Resultados!AT27),ABS(Resultados!BC27),ABS(Resultados!BL27),ABS(Resultados!BU27),ABS(Resultados!CD27),ABS(Resultados!CM27),ABS(Resultados!CV27),ABS(Resultados!DE27),ABS(Resultados!DN27),ABS(Resultados!DW27)))</f>
        <v>45681</v>
      </c>
      <c r="B27" t="str">
        <f>IF(COUNT(Resultados!B27,Resultados!K27,Resultados!T27,Resultados!AC27,Resultados!AL27,Resultados!AU27,Resultados!BD27,Resultados!BM27,Resultados!BV27,Resultados!CE27,Resultados!CN27,Resultados!CW27,Resultados!DF27,Resultados!DO27,Resultados!DX27)=0, "", AVERAGE(ABS(Resultados!B27),ABS(Resultados!K27),ABS(Resultados!T27),ABS(Resultados!AC27),ABS(Resultados!AL27),ABS(Resultados!AU27),ABS(Resultados!BD27),ABS(Resultados!BM27),ABS(Resultados!BV27),ABS(Resultados!CE27),ABS(Resultados!CN27),ABS(Resultados!CW27),ABS(Resultados!DF27),ABS(Resultados!DO27),ABS(Resultados!DX27)))</f>
        <v/>
      </c>
      <c r="C27">
        <f>IF(COUNT(Resultados!C27,Resultados!L27,Resultados!U27,Resultados!AD27,Resultados!AM27,Resultados!AV27,Resultados!BE27,Resultados!BN27,Resultados!BW27,Resultados!CF27,Resultados!CO27,Resultados!CX27,Resultados!DG27,Resultados!DP27,Resultados!DY27)=0, "", AVERAGE(ABS(Resultados!C27),ABS(Resultados!L27),ABS(Resultados!U27),ABS(Resultados!AD27),ABS(Resultados!AM27),ABS(Resultados!AV27),ABS(Resultados!BE27),ABS(Resultados!BN27),ABS(Resultados!BW27),ABS(Resultados!CF27),ABS(Resultados!CO27),ABS(Resultados!CX27),ABS(Resultados!DG27),ABS(Resultados!DP27),ABS(Resultados!DY27)))</f>
        <v>2.8</v>
      </c>
      <c r="D27">
        <f>IF(COUNT(Resultados!D27,Resultados!M27,Resultados!V27,Resultados!AE27,Resultados!AN27,Resultados!AW27,Resultados!BF27,Resultados!BO27,Resultados!BX27,Resultados!CG27,Resultados!CP27,Resultados!CY27,Resultados!DH27,Resultados!DQ27,Resultados!DZ27)=0, "", AVERAGE(ABS(Resultados!D27),ABS(Resultados!M27),ABS(Resultados!V27),ABS(Resultados!AE27),ABS(Resultados!AN27),ABS(Resultados!AW27),ABS(Resultados!BF27),ABS(Resultados!BO27),ABS(Resultados!BX27),ABS(Resultados!CG27),ABS(Resultados!CP27),ABS(Resultados!CY27),ABS(Resultados!DH27),ABS(Resultados!DQ27),ABS(Resultados!DZ27)))</f>
        <v>5.1399999999999996E-3</v>
      </c>
      <c r="E27">
        <f>IF(COUNT(Resultados!E27,Resultados!N27,Resultados!W27,Resultados!AF27,Resultados!AO27,Resultados!AX27,Resultados!BG27,Resultados!BP27,Resultados!BY27,Resultados!CH27,Resultados!CQ27,Resultados!CZ27,Resultados!DI27,Resultados!DR27,Resultados!EA27)=0, "", AVERAGE(ABS(Resultados!E27),ABS(Resultados!N27),ABS(Resultados!W27),ABS(Resultados!AF27),ABS(Resultados!AO27),ABS(Resultados!AX27),ABS(Resultados!BG27),ABS(Resultados!BP27),ABS(Resultados!BY27),ABS(Resultados!CH27),ABS(Resultados!CQ27),ABS(Resultados!CZ27),ABS(Resultados!DI27),ABS(Resultados!DR27),ABS(Resultados!EA27)))</f>
        <v>6.6272258573053318</v>
      </c>
      <c r="F27">
        <f>IF(COUNT(Resultados!F27,Resultados!O27,Resultados!X27,Resultados!AG27,Resultados!AP27,Resultados!AY27,Resultados!BH27,Resultados!BQ27,Resultados!BZ27,Resultados!CI27,Resultados!CR27,Resultados!DA27,Resultados!DJ27,Resultados!DS27,Resultados!EB27)=0, "", AVERAGE(ABS(Resultados!F27),ABS(Resultados!O27),ABS(Resultados!X27),ABS(Resultados!AG27),ABS(Resultados!AP27),ABS(Resultados!AY27),ABS(Resultados!BH27),ABS(Resultados!BQ27),ABS(Resultados!BZ27),ABS(Resultados!CI27),ABS(Resultados!CR27),ABS(Resultados!DA27),ABS(Resultados!DJ27),ABS(Resultados!DS27),ABS(Resultados!EB27)))</f>
        <v>762.11088367997934</v>
      </c>
      <c r="G27">
        <f>IF(COUNT(Resultados!G27,Resultados!P27,Resultados!Y27,Resultados!AH27,Resultados!AQ27,Resultados!AZ27,Resultados!BI27,Resultados!BR27,Resultados!CA27,Resultados!CJ27,Resultados!CS27,Resultados!DB27,Resultados!DK27,Resultados!DT27,Resultados!EC27)=0, "", AVERAGE(ABS(Resultados!G27),ABS(Resultados!P27),ABS(Resultados!Y27),ABS(Resultados!AH27),ABS(Resultados!AQ27),ABS(Resultados!AZ27),ABS(Resultados!BI27),ABS(Resultados!BR27),ABS(Resultados!CA27),ABS(Resultados!CJ27),ABS(Resultados!CS27),ABS(Resultados!DB27),ABS(Resultados!DK27),ABS(Resultados!DT27),ABS(Resultados!EC27)))</f>
        <v>0.42400000000000015</v>
      </c>
      <c r="H27">
        <f>IF(COUNT(Resultados!H27,Resultados!Q27,Resultados!Z27,Resultados!AI27,Resultados!AR27,Resultados!BA27,Resultados!BJ27,Resultados!BS27,Resultados!CB27,Resultados!CK27,Resultados!CT27,Resultados!DC27,Resultados!DL27,Resultados!DU27,Resultados!ED27)=0, "", AVERAGE(ABS(Resultados!H27),ABS(Resultados!Q27),ABS(Resultados!Z27),ABS(Resultados!AI27),ABS(Resultados!AR27),ABS(Resultados!BA27),ABS(Resultados!BJ27),ABS(Resultados!BS27),ABS(Resultados!CB27),ABS(Resultados!CK27),ABS(Resultados!CT27),ABS(Resultados!DC27),ABS(Resultados!DL27),ABS(Resultados!DU27),ABS(Resultados!ED27)))</f>
        <v>9.8133333333333319E-3</v>
      </c>
      <c r="I27">
        <f>IF(COUNT(Resultados!I27,Resultados!R27,Resultados!AA27,Resultados!AJ27,Resultados!AS27,Resultados!BB27,Resultados!BK27,Resultados!BT27,Resultados!CC27,Resultados!CL27,Resultados!CU27,Resultados!DD27,Resultados!DM27,Resultados!DV27,Resultados!EE27)=0, "", AVERAGE(ABS(Resultados!I27),ABS(Resultados!R27),ABS(Resultados!AA27),ABS(Resultados!AJ27),ABS(Resultados!AS27),ABS(Resultados!BB27),ABS(Resultados!BK27),ABS(Resultados!BT27),ABS(Resultados!CC27),ABS(Resultados!CL27),ABS(Resultados!CU27),ABS(Resultados!DD27),ABS(Resultados!DM27),ABS(Resultados!DV27),ABS(Resultados!EE27)))</f>
        <v>4.9985466666666696</v>
      </c>
    </row>
    <row r="28" spans="1:9" x14ac:dyDescent="0.3">
      <c r="A28">
        <f>IF(COUNT(Resultados!A28,Resultados!J28,Resultados!S28,Resultados!AB28,Resultados!AK28,Resultados!AT28,Resultados!BC28,Resultados!BL28,Resultados!BU28,Resultados!CD28,Resultados!CM28,Resultados!CV28,Resultados!DE28,Resultados!DN28,Resultados!DW28)=0, "", AVERAGE(ABS(Resultados!A28),ABS(Resultados!J28),ABS(Resultados!S28),ABS(Resultados!AB28),ABS(Resultados!AK28),ABS(Resultados!AT28),ABS(Resultados!BC28),ABS(Resultados!BL28),ABS(Resultados!BU28),ABS(Resultados!CD28),ABS(Resultados!CM28),ABS(Resultados!CV28),ABS(Resultados!DE28),ABS(Resultados!DN28),ABS(Resultados!DW28)))</f>
        <v>45681</v>
      </c>
      <c r="B28" t="str">
        <f>IF(COUNT(Resultados!B28,Resultados!K28,Resultados!T28,Resultados!AC28,Resultados!AL28,Resultados!AU28,Resultados!BD28,Resultados!BM28,Resultados!BV28,Resultados!CE28,Resultados!CN28,Resultados!CW28,Resultados!DF28,Resultados!DO28,Resultados!DX28)=0, "", AVERAGE(ABS(Resultados!B28),ABS(Resultados!K28),ABS(Resultados!T28),ABS(Resultados!AC28),ABS(Resultados!AL28),ABS(Resultados!AU28),ABS(Resultados!BD28),ABS(Resultados!BM28),ABS(Resultados!BV28),ABS(Resultados!CE28),ABS(Resultados!CN28),ABS(Resultados!CW28),ABS(Resultados!DF28),ABS(Resultados!DO28),ABS(Resultados!DX28)))</f>
        <v/>
      </c>
      <c r="C28">
        <f>IF(COUNT(Resultados!C28,Resultados!L28,Resultados!U28,Resultados!AD28,Resultados!AM28,Resultados!AV28,Resultados!BE28,Resultados!BN28,Resultados!BW28,Resultados!CF28,Resultados!CO28,Resultados!CX28,Resultados!DG28,Resultados!DP28,Resultados!DY28)=0, "", AVERAGE(ABS(Resultados!C28),ABS(Resultados!L28),ABS(Resultados!U28),ABS(Resultados!AD28),ABS(Resultados!AM28),ABS(Resultados!AV28),ABS(Resultados!BE28),ABS(Resultados!BN28),ABS(Resultados!BW28),ABS(Resultados!CF28),ABS(Resultados!CO28),ABS(Resultados!CX28),ABS(Resultados!DG28),ABS(Resultados!DP28),ABS(Resultados!DY28)))</f>
        <v>2.8</v>
      </c>
      <c r="D28">
        <f>IF(COUNT(Resultados!D28,Resultados!M28,Resultados!V28,Resultados!AE28,Resultados!AN28,Resultados!AW28,Resultados!BF28,Resultados!BO28,Resultados!BX28,Resultados!CG28,Resultados!CP28,Resultados!CY28,Resultados!DH28,Resultados!DQ28,Resultados!DZ28)=0, "", AVERAGE(ABS(Resultados!D28),ABS(Resultados!M28),ABS(Resultados!V28),ABS(Resultados!AE28),ABS(Resultados!AN28),ABS(Resultados!AW28),ABS(Resultados!BF28),ABS(Resultados!BO28),ABS(Resultados!BX28),ABS(Resultados!CG28),ABS(Resultados!CP28),ABS(Resultados!CY28),ABS(Resultados!DH28),ABS(Resultados!DQ28),ABS(Resultados!DZ28)))</f>
        <v>8.0000000000000002E-3</v>
      </c>
      <c r="E28">
        <f>IF(COUNT(Resultados!E28,Resultados!N28,Resultados!W28,Resultados!AF28,Resultados!AO28,Resultados!AX28,Resultados!BG28,Resultados!BP28,Resultados!BY28,Resultados!CH28,Resultados!CQ28,Resultados!CZ28,Resultados!DI28,Resultados!DR28,Resultados!EA28)=0, "", AVERAGE(ABS(Resultados!E28),ABS(Resultados!N28),ABS(Resultados!W28),ABS(Resultados!AF28),ABS(Resultados!AO28),ABS(Resultados!AX28),ABS(Resultados!BG28),ABS(Resultados!BP28),ABS(Resultados!BY28),ABS(Resultados!CH28),ABS(Resultados!CQ28),ABS(Resultados!CZ28),ABS(Resultados!DI28),ABS(Resultados!DR28),ABS(Resultados!EA28)))</f>
        <v>6.8244263626090644</v>
      </c>
      <c r="F28">
        <f>IF(COUNT(Resultados!F28,Resultados!O28,Resultados!X28,Resultados!AG28,Resultados!AP28,Resultados!AY28,Resultados!BH28,Resultados!BQ28,Resultados!BZ28,Resultados!CI28,Resultados!CR28,Resultados!DA28,Resultados!DJ28,Resultados!DS28,Resultados!EB28)=0, "", AVERAGE(ABS(Resultados!F28),ABS(Resultados!O28),ABS(Resultados!X28),ABS(Resultados!AG28),ABS(Resultados!AP28),ABS(Resultados!AY28),ABS(Resultados!BH28),ABS(Resultados!BQ28),ABS(Resultados!BZ28),ABS(Resultados!CI28),ABS(Resultados!CR28),ABS(Resultados!DA28),ABS(Resultados!DJ28),ABS(Resultados!DS28),ABS(Resultados!EB28)))</f>
        <v>787.63806181160021</v>
      </c>
      <c r="G28">
        <f>IF(COUNT(Resultados!G28,Resultados!P28,Resultados!Y28,Resultados!AH28,Resultados!AQ28,Resultados!AZ28,Resultados!BI28,Resultados!BR28,Resultados!CA28,Resultados!CJ28,Resultados!CS28,Resultados!DB28,Resultados!DK28,Resultados!DT28,Resultados!EC28)=0, "", AVERAGE(ABS(Resultados!G28),ABS(Resultados!P28),ABS(Resultados!Y28),ABS(Resultados!AH28),ABS(Resultados!AQ28),ABS(Resultados!AZ28),ABS(Resultados!BI28),ABS(Resultados!BR28),ABS(Resultados!CA28),ABS(Resultados!CJ28),ABS(Resultados!CS28),ABS(Resultados!DB28),ABS(Resultados!DK28),ABS(Resultados!DT28),ABS(Resultados!EC28)))</f>
        <v>0.42400000000000015</v>
      </c>
      <c r="H28">
        <f>IF(COUNT(Resultados!H28,Resultados!Q28,Resultados!Z28,Resultados!AI28,Resultados!AR28,Resultados!BA28,Resultados!BJ28,Resultados!BS28,Resultados!CB28,Resultados!CK28,Resultados!CT28,Resultados!DC28,Resultados!DL28,Resultados!DU28,Resultados!ED28)=0, "", AVERAGE(ABS(Resultados!H28),ABS(Resultados!Q28),ABS(Resultados!Z28),ABS(Resultados!AI28),ABS(Resultados!AR28),ABS(Resultados!BA28),ABS(Resultados!BJ28),ABS(Resultados!BS28),ABS(Resultados!CB28),ABS(Resultados!CK28),ABS(Resultados!CT28),ABS(Resultados!DC28),ABS(Resultados!DL28),ABS(Resultados!DU28),ABS(Resultados!ED28)))</f>
        <v>1.2873333333333336E-2</v>
      </c>
      <c r="I28">
        <f>IF(COUNT(Resultados!I28,Resultados!R28,Resultados!AA28,Resultados!AJ28,Resultados!AS28,Resultados!BB28,Resultados!BK28,Resultados!BT28,Resultados!CC28,Resultados!CL28,Resultados!CU28,Resultados!DD28,Resultados!DM28,Resultados!DV28,Resultados!EE28)=0, "", AVERAGE(ABS(Resultados!I28),ABS(Resultados!R28),ABS(Resultados!AA28),ABS(Resultados!AJ28),ABS(Resultados!AS28),ABS(Resultados!BB28),ABS(Resultados!BK28),ABS(Resultados!BT28),ABS(Resultados!CC28),ABS(Resultados!CL28),ABS(Resultados!CU28),ABS(Resultados!DD28),ABS(Resultados!DM28),ABS(Resultados!DV28),ABS(Resultados!EE28)))</f>
        <v>5.1986346666666723</v>
      </c>
    </row>
    <row r="29" spans="1:9" x14ac:dyDescent="0.3">
      <c r="A29">
        <f>IF(COUNT(Resultados!A29,Resultados!J29,Resultados!S29,Resultados!AB29,Resultados!AK29,Resultados!AT29,Resultados!BC29,Resultados!BL29,Resultados!BU29,Resultados!CD29,Resultados!CM29,Resultados!CV29,Resultados!DE29,Resultados!DN29,Resultados!DW29)=0, "", AVERAGE(ABS(Resultados!A29),ABS(Resultados!J29),ABS(Resultados!S29),ABS(Resultados!AB29),ABS(Resultados!AK29),ABS(Resultados!AT29),ABS(Resultados!BC29),ABS(Resultados!BL29),ABS(Resultados!BU29),ABS(Resultados!CD29),ABS(Resultados!CM29),ABS(Resultados!CV29),ABS(Resultados!DE29),ABS(Resultados!DN29),ABS(Resultados!DW29)))</f>
        <v>45681</v>
      </c>
      <c r="B29" t="str">
        <f>IF(COUNT(Resultados!B29,Resultados!K29,Resultados!T29,Resultados!AC29,Resultados!AL29,Resultados!AU29,Resultados!BD29,Resultados!BM29,Resultados!BV29,Resultados!CE29,Resultados!CN29,Resultados!CW29,Resultados!DF29,Resultados!DO29,Resultados!DX29)=0, "", AVERAGE(ABS(Resultados!B29),ABS(Resultados!K29),ABS(Resultados!T29),ABS(Resultados!AC29),ABS(Resultados!AL29),ABS(Resultados!AU29),ABS(Resultados!BD29),ABS(Resultados!BM29),ABS(Resultados!BV29),ABS(Resultados!CE29),ABS(Resultados!CN29),ABS(Resultados!CW29),ABS(Resultados!DF29),ABS(Resultados!DO29),ABS(Resultados!DX29)))</f>
        <v/>
      </c>
      <c r="C29">
        <f>IF(COUNT(Resultados!C29,Resultados!L29,Resultados!U29,Resultados!AD29,Resultados!AM29,Resultados!AV29,Resultados!BE29,Resultados!BN29,Resultados!BW29,Resultados!CF29,Resultados!CO29,Resultados!CX29,Resultados!DG29,Resultados!DP29,Resultados!DY29)=0, "", AVERAGE(ABS(Resultados!C29),ABS(Resultados!L29),ABS(Resultados!U29),ABS(Resultados!AD29),ABS(Resultados!AM29),ABS(Resultados!AV29),ABS(Resultados!BE29),ABS(Resultados!BN29),ABS(Resultados!BW29),ABS(Resultados!CF29),ABS(Resultados!CO29),ABS(Resultados!CX29),ABS(Resultados!DG29),ABS(Resultados!DP29),ABS(Resultados!DY29)))</f>
        <v>2.8</v>
      </c>
      <c r="D29">
        <f>IF(COUNT(Resultados!D29,Resultados!M29,Resultados!V29,Resultados!AE29,Resultados!AN29,Resultados!AW29,Resultados!BF29,Resultados!BO29,Resultados!BX29,Resultados!CG29,Resultados!CP29,Resultados!CY29,Resultados!DH29,Resultados!DQ29,Resultados!DZ29)=0, "", AVERAGE(ABS(Resultados!D29),ABS(Resultados!M29),ABS(Resultados!V29),ABS(Resultados!AE29),ABS(Resultados!AN29),ABS(Resultados!AW29),ABS(Resultados!BF29),ABS(Resultados!BO29),ABS(Resultados!BX29),ABS(Resultados!CG29),ABS(Resultados!CP29),ABS(Resultados!CY29),ABS(Resultados!DH29),ABS(Resultados!DQ29),ABS(Resultados!DZ29)))</f>
        <v>1.068E-2</v>
      </c>
      <c r="E29">
        <f>IF(COUNT(Resultados!E29,Resultados!N29,Resultados!W29,Resultados!AF29,Resultados!AO29,Resultados!AX29,Resultados!BG29,Resultados!BP29,Resultados!BY29,Resultados!CH29,Resultados!CQ29,Resultados!CZ29,Resultados!DI29,Resultados!DR29,Resultados!EA29)=0, "", AVERAGE(ABS(Resultados!E29),ABS(Resultados!N29),ABS(Resultados!W29),ABS(Resultados!AF29),ABS(Resultados!AO29),ABS(Resultados!AX29),ABS(Resultados!BG29),ABS(Resultados!BP29),ABS(Resultados!BY29),ABS(Resultados!CH29),ABS(Resultados!CQ29),ABS(Resultados!CZ29),ABS(Resultados!DI29),ABS(Resultados!DR29),ABS(Resultados!EA29)))</f>
        <v>7.0065268156364171</v>
      </c>
      <c r="F29">
        <f>IF(COUNT(Resultados!F29,Resultados!O29,Resultados!X29,Resultados!AG29,Resultados!AP29,Resultados!AY29,Resultados!BH29,Resultados!BQ29,Resultados!BZ29,Resultados!CI29,Resultados!CR29,Resultados!DA29,Resultados!DJ29,Resultados!DS29,Resultados!EB29)=0, "", AVERAGE(ABS(Resultados!F29),ABS(Resultados!O29),ABS(Resultados!X29),ABS(Resultados!AG29),ABS(Resultados!AP29),ABS(Resultados!AY29),ABS(Resultados!BH29),ABS(Resultados!BQ29),ABS(Resultados!BZ29),ABS(Resultados!CI29),ABS(Resultados!CR29),ABS(Resultados!DA29),ABS(Resultados!DJ29),ABS(Resultados!DS29),ABS(Resultados!EB29)))</f>
        <v>804.91939480389578</v>
      </c>
      <c r="G29">
        <f>IF(COUNT(Resultados!G29,Resultados!P29,Resultados!Y29,Resultados!AH29,Resultados!AQ29,Resultados!AZ29,Resultados!BI29,Resultados!BR29,Resultados!CA29,Resultados!CJ29,Resultados!CS29,Resultados!DB29,Resultados!DK29,Resultados!DT29,Resultados!EC29)=0, "", AVERAGE(ABS(Resultados!G29),ABS(Resultados!P29),ABS(Resultados!Y29),ABS(Resultados!AH29),ABS(Resultados!AQ29),ABS(Resultados!AZ29),ABS(Resultados!BI29),ABS(Resultados!BR29),ABS(Resultados!CA29),ABS(Resultados!CJ29),ABS(Resultados!CS29),ABS(Resultados!DB29),ABS(Resultados!DK29),ABS(Resultados!DT29),ABS(Resultados!EC29)))</f>
        <v>0.42400000000000015</v>
      </c>
      <c r="H29">
        <f>IF(COUNT(Resultados!H29,Resultados!Q29,Resultados!Z29,Resultados!AI29,Resultados!AR29,Resultados!BA29,Resultados!BJ29,Resultados!BS29,Resultados!CB29,Resultados!CK29,Resultados!CT29,Resultados!DC29,Resultados!DL29,Resultados!DU29,Resultados!ED29)=0, "", AVERAGE(ABS(Resultados!H29),ABS(Resultados!Q29),ABS(Resultados!Z29),ABS(Resultados!AI29),ABS(Resultados!AR29),ABS(Resultados!BA29),ABS(Resultados!BJ29),ABS(Resultados!BS29),ABS(Resultados!CB29),ABS(Resultados!CK29),ABS(Resultados!CT29),ABS(Resultados!DC29),ABS(Resultados!DL29),ABS(Resultados!DU29),ABS(Resultados!ED29)))</f>
        <v>1.5713333333333329E-2</v>
      </c>
      <c r="I29">
        <f>IF(COUNT(Resultados!I29,Resultados!R29,Resultados!AA29,Resultados!AJ29,Resultados!AS29,Resultados!BB29,Resultados!BK29,Resultados!BT29,Resultados!CC29,Resultados!CL29,Resultados!CU29,Resultados!DD29,Resultados!DM29,Resultados!DV29,Resultados!EE29)=0, "", AVERAGE(ABS(Resultados!I29),ABS(Resultados!R29),ABS(Resultados!AA29),ABS(Resultados!AJ29),ABS(Resultados!AS29),ABS(Resultados!BB29),ABS(Resultados!BK29),ABS(Resultados!BT29),ABS(Resultados!CC29),ABS(Resultados!CL29),ABS(Resultados!CU29),ABS(Resultados!DD29),ABS(Resultados!DM29),ABS(Resultados!DV29),ABS(Resultados!EE29)))</f>
        <v>5.3985806666666711</v>
      </c>
    </row>
    <row r="30" spans="1:9" x14ac:dyDescent="0.3">
      <c r="A30">
        <f>IF(COUNT(Resultados!A30,Resultados!J30,Resultados!S30,Resultados!AB30,Resultados!AK30,Resultados!AT30,Resultados!BC30,Resultados!BL30,Resultados!BU30,Resultados!CD30,Resultados!CM30,Resultados!CV30,Resultados!DE30,Resultados!DN30,Resultados!DW30)=0, "", AVERAGE(ABS(Resultados!A30),ABS(Resultados!J30),ABS(Resultados!S30),ABS(Resultados!AB30),ABS(Resultados!AK30),ABS(Resultados!AT30),ABS(Resultados!BC30),ABS(Resultados!BL30),ABS(Resultados!BU30),ABS(Resultados!CD30),ABS(Resultados!CM30),ABS(Resultados!CV30),ABS(Resultados!DE30),ABS(Resultados!DN30),ABS(Resultados!DW30)))</f>
        <v>45681</v>
      </c>
      <c r="B30" t="str">
        <f>IF(COUNT(Resultados!B30,Resultados!K30,Resultados!T30,Resultados!AC30,Resultados!AL30,Resultados!AU30,Resultados!BD30,Resultados!BM30,Resultados!BV30,Resultados!CE30,Resultados!CN30,Resultados!CW30,Resultados!DF30,Resultados!DO30,Resultados!DX30)=0, "", AVERAGE(ABS(Resultados!B30),ABS(Resultados!K30),ABS(Resultados!T30),ABS(Resultados!AC30),ABS(Resultados!AL30),ABS(Resultados!AU30),ABS(Resultados!BD30),ABS(Resultados!BM30),ABS(Resultados!BV30),ABS(Resultados!CE30),ABS(Resultados!CN30),ABS(Resultados!CW30),ABS(Resultados!DF30),ABS(Resultados!DO30),ABS(Resultados!DX30)))</f>
        <v/>
      </c>
      <c r="C30">
        <f>IF(COUNT(Resultados!C30,Resultados!L30,Resultados!U30,Resultados!AD30,Resultados!AM30,Resultados!AV30,Resultados!BE30,Resultados!BN30,Resultados!BW30,Resultados!CF30,Resultados!CO30,Resultados!CX30,Resultados!DG30,Resultados!DP30,Resultados!DY30)=0, "", AVERAGE(ABS(Resultados!C30),ABS(Resultados!L30),ABS(Resultados!U30),ABS(Resultados!AD30),ABS(Resultados!AM30),ABS(Resultados!AV30),ABS(Resultados!BE30),ABS(Resultados!BN30),ABS(Resultados!BW30),ABS(Resultados!CF30),ABS(Resultados!CO30),ABS(Resultados!CX30),ABS(Resultados!DG30),ABS(Resultados!DP30),ABS(Resultados!DY30)))</f>
        <v>2.8</v>
      </c>
      <c r="D30">
        <f>IF(COUNT(Resultados!D30,Resultados!M30,Resultados!V30,Resultados!AE30,Resultados!AN30,Resultados!AW30,Resultados!BF30,Resultados!BO30,Resultados!BX30,Resultados!CG30,Resultados!CP30,Resultados!CY30,Resultados!DH30,Resultados!DQ30,Resultados!DZ30)=0, "", AVERAGE(ABS(Resultados!D30),ABS(Resultados!M30),ABS(Resultados!V30),ABS(Resultados!AE30),ABS(Resultados!AN30),ABS(Resultados!AW30),ABS(Resultados!BF30),ABS(Resultados!BO30),ABS(Resultados!BX30),ABS(Resultados!CG30),ABS(Resultados!CP30),ABS(Resultados!CY30),ABS(Resultados!DH30),ABS(Resultados!DQ30),ABS(Resultados!DZ30)))</f>
        <v>1.3133333333333332E-2</v>
      </c>
      <c r="E30">
        <f>IF(COUNT(Resultados!E30,Resultados!N30,Resultados!W30,Resultados!AF30,Resultados!AO30,Resultados!AX30,Resultados!BG30,Resultados!BP30,Resultados!BY30,Resultados!CH30,Resultados!CQ30,Resultados!CZ30,Resultados!DI30,Resultados!DR30,Resultados!EA30)=0, "", AVERAGE(ABS(Resultados!E30),ABS(Resultados!N30),ABS(Resultados!W30),ABS(Resultados!AF30),ABS(Resultados!AO30),ABS(Resultados!AX30),ABS(Resultados!BG30),ABS(Resultados!BP30),ABS(Resultados!BY30),ABS(Resultados!CH30),ABS(Resultados!CQ30),ABS(Resultados!CZ30),ABS(Resultados!DI30),ABS(Resultados!DR30),ABS(Resultados!EA30)))</f>
        <v>7.1559684992495622</v>
      </c>
      <c r="F30">
        <f>IF(COUNT(Resultados!F30,Resultados!O30,Resultados!X30,Resultados!AG30,Resultados!AP30,Resultados!AY30,Resultados!BH30,Resultados!BQ30,Resultados!BZ30,Resultados!CI30,Resultados!CR30,Resultados!DA30,Resultados!DJ30,Resultados!DS30,Resultados!EB30)=0, "", AVERAGE(ABS(Resultados!F30),ABS(Resultados!O30),ABS(Resultados!X30),ABS(Resultados!AG30),ABS(Resultados!AP30),ABS(Resultados!AY30),ABS(Resultados!BH30),ABS(Resultados!BQ30),ABS(Resultados!BZ30),ABS(Resultados!CI30),ABS(Resultados!CR30),ABS(Resultados!DA30),ABS(Resultados!DJ30),ABS(Resultados!DS30),ABS(Resultados!EB30)))</f>
        <v>819.10141057878366</v>
      </c>
      <c r="G30">
        <f>IF(COUNT(Resultados!G30,Resultados!P30,Resultados!Y30,Resultados!AH30,Resultados!AQ30,Resultados!AZ30,Resultados!BI30,Resultados!BR30,Resultados!CA30,Resultados!CJ30,Resultados!CS30,Resultados!DB30,Resultados!DK30,Resultados!DT30,Resultados!EC30)=0, "", AVERAGE(ABS(Resultados!G30),ABS(Resultados!P30),ABS(Resultados!Y30),ABS(Resultados!AH30),ABS(Resultados!AQ30),ABS(Resultados!AZ30),ABS(Resultados!BI30),ABS(Resultados!BR30),ABS(Resultados!CA30),ABS(Resultados!CJ30),ABS(Resultados!CS30),ABS(Resultados!DB30),ABS(Resultados!DK30),ABS(Resultados!DT30),ABS(Resultados!EC30)))</f>
        <v>0.42400000000000015</v>
      </c>
      <c r="H30">
        <f>IF(COUNT(Resultados!H30,Resultados!Q30,Resultados!Z30,Resultados!AI30,Resultados!AR30,Resultados!BA30,Resultados!BJ30,Resultados!BS30,Resultados!CB30,Resultados!CK30,Resultados!CT30,Resultados!DC30,Resultados!DL30,Resultados!DU30,Resultados!ED30)=0, "", AVERAGE(ABS(Resultados!H30),ABS(Resultados!Q30),ABS(Resultados!Z30),ABS(Resultados!AI30),ABS(Resultados!AR30),ABS(Resultados!BA30),ABS(Resultados!BJ30),ABS(Resultados!BS30),ABS(Resultados!CB30),ABS(Resultados!CK30),ABS(Resultados!CT30),ABS(Resultados!DC30),ABS(Resultados!DL30),ABS(Resultados!DU30),ABS(Resultados!ED30)))</f>
        <v>1.8019999999999998E-2</v>
      </c>
      <c r="I30">
        <f>IF(COUNT(Resultados!I30,Resultados!R30,Resultados!AA30,Resultados!AJ30,Resultados!AS30,Resultados!BB30,Resultados!BK30,Resultados!BT30,Resultados!CC30,Resultados!CL30,Resultados!CU30,Resultados!DD30,Resultados!DM30,Resultados!DV30,Resultados!EE30)=0, "", AVERAGE(ABS(Resultados!I30),ABS(Resultados!R30),ABS(Resultados!AA30),ABS(Resultados!AJ30),ABS(Resultados!AS30),ABS(Resultados!BB30),ABS(Resultados!BK30),ABS(Resultados!BT30),ABS(Resultados!CC30),ABS(Resultados!CL30),ABS(Resultados!CU30),ABS(Resultados!DD30),ABS(Resultados!DM30),ABS(Resultados!DV30),ABS(Resultados!EE30)))</f>
        <v>5.5987433333333323</v>
      </c>
    </row>
    <row r="31" spans="1:9" x14ac:dyDescent="0.3">
      <c r="A31">
        <f>IF(COUNT(Resultados!A31,Resultados!J31,Resultados!S31,Resultados!AB31,Resultados!AK31,Resultados!AT31,Resultados!BC31,Resultados!BL31,Resultados!BU31,Resultados!CD31,Resultados!CM31,Resultados!CV31,Resultados!DE31,Resultados!DN31,Resultados!DW31)=0, "", AVERAGE(ABS(Resultados!A31),ABS(Resultados!J31),ABS(Resultados!S31),ABS(Resultados!AB31),ABS(Resultados!AK31),ABS(Resultados!AT31),ABS(Resultados!BC31),ABS(Resultados!BL31),ABS(Resultados!BU31),ABS(Resultados!CD31),ABS(Resultados!CM31),ABS(Resultados!CV31),ABS(Resultados!DE31),ABS(Resultados!DN31),ABS(Resultados!DW31)))</f>
        <v>45681</v>
      </c>
      <c r="B31" t="str">
        <f>IF(COUNT(Resultados!B31,Resultados!K31,Resultados!T31,Resultados!AC31,Resultados!AL31,Resultados!AU31,Resultados!BD31,Resultados!BM31,Resultados!BV31,Resultados!CE31,Resultados!CN31,Resultados!CW31,Resultados!DF31,Resultados!DO31,Resultados!DX31)=0, "", AVERAGE(ABS(Resultados!B31),ABS(Resultados!K31),ABS(Resultados!T31),ABS(Resultados!AC31),ABS(Resultados!AL31),ABS(Resultados!AU31),ABS(Resultados!BD31),ABS(Resultados!BM31),ABS(Resultados!BV31),ABS(Resultados!CE31),ABS(Resultados!CN31),ABS(Resultados!CW31),ABS(Resultados!DF31),ABS(Resultados!DO31),ABS(Resultados!DX31)))</f>
        <v/>
      </c>
      <c r="C31">
        <f>IF(COUNT(Resultados!C31,Resultados!L31,Resultados!U31,Resultados!AD31,Resultados!AM31,Resultados!AV31,Resultados!BE31,Resultados!BN31,Resultados!BW31,Resultados!CF31,Resultados!CO31,Resultados!CX31,Resultados!DG31,Resultados!DP31,Resultados!DY31)=0, "", AVERAGE(ABS(Resultados!C31),ABS(Resultados!L31),ABS(Resultados!U31),ABS(Resultados!AD31),ABS(Resultados!AM31),ABS(Resultados!AV31),ABS(Resultados!BE31),ABS(Resultados!BN31),ABS(Resultados!BW31),ABS(Resultados!CF31),ABS(Resultados!CO31),ABS(Resultados!CX31),ABS(Resultados!DG31),ABS(Resultados!DP31),ABS(Resultados!DY31)))</f>
        <v>2.8</v>
      </c>
      <c r="D31">
        <f>IF(COUNT(Resultados!D31,Resultados!M31,Resultados!V31,Resultados!AE31,Resultados!AN31,Resultados!AW31,Resultados!BF31,Resultados!BO31,Resultados!BX31,Resultados!CG31,Resultados!CP31,Resultados!CY31,Resultados!DH31,Resultados!DQ31,Resultados!DZ31)=0, "", AVERAGE(ABS(Resultados!D31),ABS(Resultados!M31),ABS(Resultados!V31),ABS(Resultados!AE31),ABS(Resultados!AN31),ABS(Resultados!AW31),ABS(Resultados!BF31),ABS(Resultados!BO31),ABS(Resultados!BX31),ABS(Resultados!CG31),ABS(Resultados!CP31),ABS(Resultados!CY31),ABS(Resultados!DH31),ABS(Resultados!DQ31),ABS(Resultados!DZ31)))</f>
        <v>1.5100000000000001E-2</v>
      </c>
      <c r="E31">
        <f>IF(COUNT(Resultados!E31,Resultados!N31,Resultados!W31,Resultados!AF31,Resultados!AO31,Resultados!AX31,Resultados!BG31,Resultados!BP31,Resultados!BY31,Resultados!CH31,Resultados!CQ31,Resultados!CZ31,Resultados!DI31,Resultados!DR31,Resultados!EA31)=0, "", AVERAGE(ABS(Resultados!E31),ABS(Resultados!N31),ABS(Resultados!W31),ABS(Resultados!AF31),ABS(Resultados!AO31),ABS(Resultados!AX31),ABS(Resultados!BG31),ABS(Resultados!BP31),ABS(Resultados!BY31),ABS(Resultados!CH31),ABS(Resultados!CQ31),ABS(Resultados!CZ31),ABS(Resultados!DI31),ABS(Resultados!DR31),ABS(Resultados!EA31)))</f>
        <v>7.2577694376428958</v>
      </c>
      <c r="F31">
        <f>IF(COUNT(Resultados!F31,Resultados!O31,Resultados!X31,Resultados!AG31,Resultados!AP31,Resultados!AY31,Resultados!BH31,Resultados!BQ31,Resultados!BZ31,Resultados!CI31,Resultados!CR31,Resultados!DA31,Resultados!DJ31,Resultados!DS31,Resultados!EB31)=0, "", AVERAGE(ABS(Resultados!F31),ABS(Resultados!O31),ABS(Resultados!X31),ABS(Resultados!AG31),ABS(Resultados!AP31),ABS(Resultados!AY31),ABS(Resultados!BH31),ABS(Resultados!BQ31),ABS(Resultados!BZ31),ABS(Resultados!CI31),ABS(Resultados!CR31),ABS(Resultados!DA31),ABS(Resultados!DJ31),ABS(Resultados!DS31),ABS(Resultados!EB31)))</f>
        <v>828.76231963231112</v>
      </c>
      <c r="G31">
        <f>IF(COUNT(Resultados!G31,Resultados!P31,Resultados!Y31,Resultados!AH31,Resultados!AQ31,Resultados!AZ31,Resultados!BI31,Resultados!BR31,Resultados!CA31,Resultados!CJ31,Resultados!CS31,Resultados!DB31,Resultados!DK31,Resultados!DT31,Resultados!EC31)=0, "", AVERAGE(ABS(Resultados!G31),ABS(Resultados!P31),ABS(Resultados!Y31),ABS(Resultados!AH31),ABS(Resultados!AQ31),ABS(Resultados!AZ31),ABS(Resultados!BI31),ABS(Resultados!BR31),ABS(Resultados!CA31),ABS(Resultados!CJ31),ABS(Resultados!CS31),ABS(Resultados!DB31),ABS(Resultados!DK31),ABS(Resultados!DT31),ABS(Resultados!EC31)))</f>
        <v>0.42400000000000015</v>
      </c>
      <c r="H31">
        <f>IF(COUNT(Resultados!H31,Resultados!Q31,Resultados!Z31,Resultados!AI31,Resultados!AR31,Resultados!BA31,Resultados!BJ31,Resultados!BS31,Resultados!CB31,Resultados!CK31,Resultados!CT31,Resultados!DC31,Resultados!DL31,Resultados!DU31,Resultados!ED31)=0, "", AVERAGE(ABS(Resultados!H31),ABS(Resultados!Q31),ABS(Resultados!Z31),ABS(Resultados!AI31),ABS(Resultados!AR31),ABS(Resultados!BA31),ABS(Resultados!BJ31),ABS(Resultados!BS31),ABS(Resultados!CB31),ABS(Resultados!CK31),ABS(Resultados!CT31),ABS(Resultados!DC31),ABS(Resultados!DL31),ABS(Resultados!DU31),ABS(Resultados!ED31)))</f>
        <v>1.9620000000000002E-2</v>
      </c>
      <c r="I31">
        <f>IF(COUNT(Resultados!I31,Resultados!R31,Resultados!AA31,Resultados!AJ31,Resultados!AS31,Resultados!BB31,Resultados!BK31,Resultados!BT31,Resultados!CC31,Resultados!CL31,Resultados!CU31,Resultados!DD31,Resultados!DM31,Resultados!DV31,Resultados!EE31)=0, "", AVERAGE(ABS(Resultados!I31),ABS(Resultados!R31),ABS(Resultados!AA31),ABS(Resultados!AJ31),ABS(Resultados!AS31),ABS(Resultados!BB31),ABS(Resultados!BK31),ABS(Resultados!BT31),ABS(Resultados!CC31),ABS(Resultados!CL31),ABS(Resultados!CU31),ABS(Resultados!DD31),ABS(Resultados!DM31),ABS(Resultados!DV31),ABS(Resultados!EE31)))</f>
        <v>5.798659333333342</v>
      </c>
    </row>
    <row r="32" spans="1:9" x14ac:dyDescent="0.3">
      <c r="A32">
        <f>IF(COUNT(Resultados!A32,Resultados!J32,Resultados!S32,Resultados!AB32,Resultados!AK32,Resultados!AT32,Resultados!BC32,Resultados!BL32,Resultados!BU32,Resultados!CD32,Resultados!CM32,Resultados!CV32,Resultados!DE32,Resultados!DN32,Resultados!DW32)=0, "", AVERAGE(ABS(Resultados!A32),ABS(Resultados!J32),ABS(Resultados!S32),ABS(Resultados!AB32),ABS(Resultados!AK32),ABS(Resultados!AT32),ABS(Resultados!BC32),ABS(Resultados!BL32),ABS(Resultados!BU32),ABS(Resultados!CD32),ABS(Resultados!CM32),ABS(Resultados!CV32),ABS(Resultados!DE32),ABS(Resultados!DN32),ABS(Resultados!DW32)))</f>
        <v>45681</v>
      </c>
      <c r="B32" t="str">
        <f>IF(COUNT(Resultados!B32,Resultados!K32,Resultados!T32,Resultados!AC32,Resultados!AL32,Resultados!AU32,Resultados!BD32,Resultados!BM32,Resultados!BV32,Resultados!CE32,Resultados!CN32,Resultados!CW32,Resultados!DF32,Resultados!DO32,Resultados!DX32)=0, "", AVERAGE(ABS(Resultados!B32),ABS(Resultados!K32),ABS(Resultados!T32),ABS(Resultados!AC32),ABS(Resultados!AL32),ABS(Resultados!AU32),ABS(Resultados!BD32),ABS(Resultados!BM32),ABS(Resultados!BV32),ABS(Resultados!CE32),ABS(Resultados!CN32),ABS(Resultados!CW32),ABS(Resultados!DF32),ABS(Resultados!DO32),ABS(Resultados!DX32)))</f>
        <v/>
      </c>
      <c r="C32">
        <f>IF(COUNT(Resultados!C32,Resultados!L32,Resultados!U32,Resultados!AD32,Resultados!AM32,Resultados!AV32,Resultados!BE32,Resultados!BN32,Resultados!BW32,Resultados!CF32,Resultados!CO32,Resultados!CX32,Resultados!DG32,Resultados!DP32,Resultados!DY32)=0, "", AVERAGE(ABS(Resultados!C32),ABS(Resultados!L32),ABS(Resultados!U32),ABS(Resultados!AD32),ABS(Resultados!AM32),ABS(Resultados!AV32),ABS(Resultados!BE32),ABS(Resultados!BN32),ABS(Resultados!BW32),ABS(Resultados!CF32),ABS(Resultados!CO32),ABS(Resultados!CX32),ABS(Resultados!DG32),ABS(Resultados!DP32),ABS(Resultados!DY32)))</f>
        <v>2.8</v>
      </c>
      <c r="D32">
        <f>IF(COUNT(Resultados!D32,Resultados!M32,Resultados!V32,Resultados!AE32,Resultados!AN32,Resultados!AW32,Resultados!BF32,Resultados!BO32,Resultados!BX32,Resultados!CG32,Resultados!CP32,Resultados!CY32,Resultados!DH32,Resultados!DQ32,Resultados!DZ32)=0, "", AVERAGE(ABS(Resultados!D32),ABS(Resultados!M32),ABS(Resultados!V32),ABS(Resultados!AE32),ABS(Resultados!AN32),ABS(Resultados!AW32),ABS(Resultados!BF32),ABS(Resultados!BO32),ABS(Resultados!BX32),ABS(Resultados!CG32),ABS(Resultados!CP32),ABS(Resultados!CY32),ABS(Resultados!DH32),ABS(Resultados!DQ32),ABS(Resultados!DZ32)))</f>
        <v>1.6766666666666669E-2</v>
      </c>
      <c r="E32">
        <f>IF(COUNT(Resultados!E32,Resultados!N32,Resultados!W32,Resultados!AF32,Resultados!AO32,Resultados!AX32,Resultados!BG32,Resultados!BP32,Resultados!BY32,Resultados!CH32,Resultados!CQ32,Resultados!CZ32,Resultados!DI32,Resultados!DR32,Resultados!EA32)=0, "", AVERAGE(ABS(Resultados!E32),ABS(Resultados!N32),ABS(Resultados!W32),ABS(Resultados!AF32),ABS(Resultados!AO32),ABS(Resultados!AX32),ABS(Resultados!BG32),ABS(Resultados!BP32),ABS(Resultados!BY32),ABS(Resultados!CH32),ABS(Resultados!CQ32),ABS(Resultados!CZ32),ABS(Resultados!DI32),ABS(Resultados!DR32),ABS(Resultados!EA32)))</f>
        <v>7.3023480272119157</v>
      </c>
      <c r="F32">
        <f>IF(COUNT(Resultados!F32,Resultados!O32,Resultados!X32,Resultados!AG32,Resultados!AP32,Resultados!AY32,Resultados!BH32,Resultados!BQ32,Resultados!BZ32,Resultados!CI32,Resultados!CR32,Resultados!DA32,Resultados!DJ32,Resultados!DS32,Resultados!EB32)=0, "", AVERAGE(ABS(Resultados!F32),ABS(Resultados!O32),ABS(Resultados!X32),ABS(Resultados!AG32),ABS(Resultados!AP32),ABS(Resultados!AY32),ABS(Resultados!BH32),ABS(Resultados!BQ32),ABS(Resultados!BZ32),ABS(Resultados!CI32),ABS(Resultados!CR32),ABS(Resultados!DA32),ABS(Resultados!DJ32),ABS(Resultados!DS32),ABS(Resultados!EB32)))</f>
        <v>832.99282778241093</v>
      </c>
      <c r="G32">
        <f>IF(COUNT(Resultados!G32,Resultados!P32,Resultados!Y32,Resultados!AH32,Resultados!AQ32,Resultados!AZ32,Resultados!BI32,Resultados!BR32,Resultados!CA32,Resultados!CJ32,Resultados!CS32,Resultados!DB32,Resultados!DK32,Resultados!DT32,Resultados!EC32)=0, "", AVERAGE(ABS(Resultados!G32),ABS(Resultados!P32),ABS(Resultados!Y32),ABS(Resultados!AH32),ABS(Resultados!AQ32),ABS(Resultados!AZ32),ABS(Resultados!BI32),ABS(Resultados!BR32),ABS(Resultados!CA32),ABS(Resultados!CJ32),ABS(Resultados!CS32),ABS(Resultados!DB32),ABS(Resultados!DK32),ABS(Resultados!DT32),ABS(Resultados!EC32)))</f>
        <v>0.42400000000000015</v>
      </c>
      <c r="H32">
        <f>IF(COUNT(Resultados!H32,Resultados!Q32,Resultados!Z32,Resultados!AI32,Resultados!AR32,Resultados!BA32,Resultados!BJ32,Resultados!BS32,Resultados!CB32,Resultados!CK32,Resultados!CT32,Resultados!DC32,Resultados!DL32,Resultados!DU32,Resultados!ED32)=0, "", AVERAGE(ABS(Resultados!H32),ABS(Resultados!Q32),ABS(Resultados!Z32),ABS(Resultados!AI32),ABS(Resultados!AR32),ABS(Resultados!BA32),ABS(Resultados!BJ32),ABS(Resultados!BS32),ABS(Resultados!CB32),ABS(Resultados!CK32),ABS(Resultados!CT32),ABS(Resultados!DC32),ABS(Resultados!DL32),ABS(Resultados!DU32),ABS(Resultados!ED32)))</f>
        <v>2.0299999999999999E-2</v>
      </c>
      <c r="I32">
        <f>IF(COUNT(Resultados!I32,Resultados!R32,Resultados!AA32,Resultados!AJ32,Resultados!AS32,Resultados!BB32,Resultados!BK32,Resultados!BT32,Resultados!CC32,Resultados!CL32,Resultados!CU32,Resultados!DD32,Resultados!DM32,Resultados!DV32,Resultados!EE32)=0, "", AVERAGE(ABS(Resultados!I32),ABS(Resultados!R32),ABS(Resultados!AA32),ABS(Resultados!AJ32),ABS(Resultados!AS32),ABS(Resultados!BB32),ABS(Resultados!BK32),ABS(Resultados!BT32),ABS(Resultados!CC32),ABS(Resultados!CL32),ABS(Resultados!CU32),ABS(Resultados!DD32),ABS(Resultados!DM32),ABS(Resultados!DV32),ABS(Resultados!EE32)))</f>
        <v>5.9986860000000011</v>
      </c>
    </row>
    <row r="33" spans="1:9" x14ac:dyDescent="0.3">
      <c r="A33">
        <f>IF(COUNT(Resultados!A33,Resultados!J33,Resultados!S33,Resultados!AB33,Resultados!AK33,Resultados!AT33,Resultados!BC33,Resultados!BL33,Resultados!BU33,Resultados!CD33,Resultados!CM33,Resultados!CV33,Resultados!DE33,Resultados!DN33,Resultados!DW33)=0, "", AVERAGE(ABS(Resultados!A33),ABS(Resultados!J33),ABS(Resultados!S33),ABS(Resultados!AB33),ABS(Resultados!AK33),ABS(Resultados!AT33),ABS(Resultados!BC33),ABS(Resultados!BL33),ABS(Resultados!BU33),ABS(Resultados!CD33),ABS(Resultados!CM33),ABS(Resultados!CV33),ABS(Resultados!DE33),ABS(Resultados!DN33),ABS(Resultados!DW33)))</f>
        <v>45681</v>
      </c>
      <c r="B33" t="str">
        <f>IF(COUNT(Resultados!B33,Resultados!K33,Resultados!T33,Resultados!AC33,Resultados!AL33,Resultados!AU33,Resultados!BD33,Resultados!BM33,Resultados!BV33,Resultados!CE33,Resultados!CN33,Resultados!CW33,Resultados!DF33,Resultados!DO33,Resultados!DX33)=0, "", AVERAGE(ABS(Resultados!B33),ABS(Resultados!K33),ABS(Resultados!T33),ABS(Resultados!AC33),ABS(Resultados!AL33),ABS(Resultados!AU33),ABS(Resultados!BD33),ABS(Resultados!BM33),ABS(Resultados!BV33),ABS(Resultados!CE33),ABS(Resultados!CN33),ABS(Resultados!CW33),ABS(Resultados!DF33),ABS(Resultados!DO33),ABS(Resultados!DX33)))</f>
        <v/>
      </c>
      <c r="C33">
        <f>IF(COUNT(Resultados!C33,Resultados!L33,Resultados!U33,Resultados!AD33,Resultados!AM33,Resultados!AV33,Resultados!BE33,Resultados!BN33,Resultados!BW33,Resultados!CF33,Resultados!CO33,Resultados!CX33,Resultados!DG33,Resultados!DP33,Resultados!DY33)=0, "", AVERAGE(ABS(Resultados!C33),ABS(Resultados!L33),ABS(Resultados!U33),ABS(Resultados!AD33),ABS(Resultados!AM33),ABS(Resultados!AV33),ABS(Resultados!BE33),ABS(Resultados!BN33),ABS(Resultados!BW33),ABS(Resultados!CF33),ABS(Resultados!CO33),ABS(Resultados!CX33),ABS(Resultados!DG33),ABS(Resultados!DP33),ABS(Resultados!DY33)))</f>
        <v>2.8</v>
      </c>
      <c r="D33">
        <f>IF(COUNT(Resultados!D33,Resultados!M33,Resultados!V33,Resultados!AE33,Resultados!AN33,Resultados!AW33,Resultados!BF33,Resultados!BO33,Resultados!BX33,Resultados!CG33,Resultados!CP33,Resultados!CY33,Resultados!DH33,Resultados!DQ33,Resultados!DZ33)=0, "", AVERAGE(ABS(Resultados!D33),ABS(Resultados!M33),ABS(Resultados!V33),ABS(Resultados!AE33),ABS(Resultados!AN33),ABS(Resultados!AW33),ABS(Resultados!BF33),ABS(Resultados!BO33),ABS(Resultados!BX33),ABS(Resultados!CG33),ABS(Resultados!CP33),ABS(Resultados!CY33),ABS(Resultados!DH33),ABS(Resultados!DQ33),ABS(Resultados!DZ33)))</f>
        <v>1.772E-2</v>
      </c>
      <c r="E33">
        <f>IF(COUNT(Resultados!E33,Resultados!N33,Resultados!W33,Resultados!AF33,Resultados!AO33,Resultados!AX33,Resultados!BG33,Resultados!BP33,Resultados!BY33,Resultados!CH33,Resultados!CQ33,Resultados!CZ33,Resultados!DI33,Resultados!DR33,Resultados!EA33)=0, "", AVERAGE(ABS(Resultados!E33),ABS(Resultados!N33),ABS(Resultados!W33),ABS(Resultados!AF33),ABS(Resultados!AO33),ABS(Resultados!AX33),ABS(Resultados!BG33),ABS(Resultados!BP33),ABS(Resultados!BY33),ABS(Resultados!CH33),ABS(Resultados!CQ33),ABS(Resultados!CZ33),ABS(Resultados!DI33),ABS(Resultados!DR33),ABS(Resultados!EA33)))</f>
        <v>7.2852506231923799</v>
      </c>
      <c r="F33">
        <f>IF(COUNT(Resultados!F33,Resultados!O33,Resultados!X33,Resultados!AG33,Resultados!AP33,Resultados!AY33,Resultados!BH33,Resultados!BQ33,Resultados!BZ33,Resultados!CI33,Resultados!CR33,Resultados!DA33,Resultados!DJ33,Resultados!DS33,Resultados!EB33)=0, "", AVERAGE(ABS(Resultados!F33),ABS(Resultados!O33),ABS(Resultados!X33),ABS(Resultados!AG33),ABS(Resultados!AP33),ABS(Resultados!AY33),ABS(Resultados!BH33),ABS(Resultados!BQ33),ABS(Resultados!BZ33),ABS(Resultados!CI33),ABS(Resultados!CR33),ABS(Resultados!DA33),ABS(Resultados!DJ33),ABS(Resultados!DS33),ABS(Resultados!EB33)))</f>
        <v>733.89882333722028</v>
      </c>
      <c r="G33">
        <f>IF(COUNT(Resultados!G33,Resultados!P33,Resultados!Y33,Resultados!AH33,Resultados!AQ33,Resultados!AZ33,Resultados!BI33,Resultados!BR33,Resultados!CA33,Resultados!CJ33,Resultados!CS33,Resultados!DB33,Resultados!DK33,Resultados!DT33,Resultados!EC33)=0, "", AVERAGE(ABS(Resultados!G33),ABS(Resultados!P33),ABS(Resultados!Y33),ABS(Resultados!AH33),ABS(Resultados!AQ33),ABS(Resultados!AZ33),ABS(Resultados!BI33),ABS(Resultados!BR33),ABS(Resultados!CA33),ABS(Resultados!CJ33),ABS(Resultados!CS33),ABS(Resultados!DB33),ABS(Resultados!DK33),ABS(Resultados!DT33),ABS(Resultados!EC33)))</f>
        <v>0.42400000000000015</v>
      </c>
      <c r="H33">
        <f>IF(COUNT(Resultados!H33,Resultados!Q33,Resultados!Z33,Resultados!AI33,Resultados!AR33,Resultados!BA33,Resultados!BJ33,Resultados!BS33,Resultados!CB33,Resultados!CK33,Resultados!CT33,Resultados!DC33,Resultados!DL33,Resultados!DU33,Resultados!ED33)=0, "", AVERAGE(ABS(Resultados!H33),ABS(Resultados!Q33),ABS(Resultados!Z33),ABS(Resultados!AI33),ABS(Resultados!AR33),ABS(Resultados!BA33),ABS(Resultados!BJ33),ABS(Resultados!BS33),ABS(Resultados!CB33),ABS(Resultados!CK33),ABS(Resultados!CT33),ABS(Resultados!DC33),ABS(Resultados!DL33),ABS(Resultados!DU33),ABS(Resultados!ED33)))</f>
        <v>2.0053333333333333E-2</v>
      </c>
      <c r="I33">
        <f>IF(COUNT(Resultados!I33,Resultados!R33,Resultados!AA33,Resultados!AJ33,Resultados!AS33,Resultados!BB33,Resultados!BK33,Resultados!BT33,Resultados!CC33,Resultados!CL33,Resultados!CU33,Resultados!DD33,Resultados!DM33,Resultados!DV33,Resultados!EE33)=0, "", AVERAGE(ABS(Resultados!I33),ABS(Resultados!R33),ABS(Resultados!AA33),ABS(Resultados!AJ33),ABS(Resultados!AS33),ABS(Resultados!BB33),ABS(Resultados!BK33),ABS(Resultados!BT33),ABS(Resultados!CC33),ABS(Resultados!CL33),ABS(Resultados!CU33),ABS(Resultados!DD33),ABS(Resultados!DM33),ABS(Resultados!DV33),ABS(Resultados!EE33)))</f>
        <v>6.1987106666666687</v>
      </c>
    </row>
    <row r="34" spans="1:9" x14ac:dyDescent="0.3">
      <c r="A34">
        <f>IF(COUNT(Resultados!A34,Resultados!J34,Resultados!S34,Resultados!AB34,Resultados!AK34,Resultados!AT34,Resultados!BC34,Resultados!BL34,Resultados!BU34,Resultados!CD34,Resultados!CM34,Resultados!CV34,Resultados!DE34,Resultados!DN34,Resultados!DW34)=0, "", AVERAGE(ABS(Resultados!A34),ABS(Resultados!J34),ABS(Resultados!S34),ABS(Resultados!AB34),ABS(Resultados!AK34),ABS(Resultados!AT34),ABS(Resultados!BC34),ABS(Resultados!BL34),ABS(Resultados!BU34),ABS(Resultados!CD34),ABS(Resultados!CM34),ABS(Resultados!CV34),ABS(Resultados!DE34),ABS(Resultados!DN34),ABS(Resultados!DW34)))</f>
        <v>45681</v>
      </c>
      <c r="B34" t="str">
        <f>IF(COUNT(Resultados!B34,Resultados!K34,Resultados!T34,Resultados!AC34,Resultados!AL34,Resultados!AU34,Resultados!BD34,Resultados!BM34,Resultados!BV34,Resultados!CE34,Resultados!CN34,Resultados!CW34,Resultados!DF34,Resultados!DO34,Resultados!DX34)=0, "", AVERAGE(ABS(Resultados!B34),ABS(Resultados!K34),ABS(Resultados!T34),ABS(Resultados!AC34),ABS(Resultados!AL34),ABS(Resultados!AU34),ABS(Resultados!BD34),ABS(Resultados!BM34),ABS(Resultados!BV34),ABS(Resultados!CE34),ABS(Resultados!CN34),ABS(Resultados!CW34),ABS(Resultados!DF34),ABS(Resultados!DO34),ABS(Resultados!DX34)))</f>
        <v/>
      </c>
      <c r="C34">
        <f>IF(COUNT(Resultados!C34,Resultados!L34,Resultados!U34,Resultados!AD34,Resultados!AM34,Resultados!AV34,Resultados!BE34,Resultados!BN34,Resultados!BW34,Resultados!CF34,Resultados!CO34,Resultados!CX34,Resultados!DG34,Resultados!DP34,Resultados!DY34)=0, "", AVERAGE(ABS(Resultados!C34),ABS(Resultados!L34),ABS(Resultados!U34),ABS(Resultados!AD34),ABS(Resultados!AM34),ABS(Resultados!AV34),ABS(Resultados!BE34),ABS(Resultados!BN34),ABS(Resultados!BW34),ABS(Resultados!CF34),ABS(Resultados!CO34),ABS(Resultados!CX34),ABS(Resultados!DG34),ABS(Resultados!DP34),ABS(Resultados!DY34)))</f>
        <v>2.8</v>
      </c>
      <c r="D34">
        <f>IF(COUNT(Resultados!D34,Resultados!M34,Resultados!V34,Resultados!AE34,Resultados!AN34,Resultados!AW34,Resultados!BF34,Resultados!BO34,Resultados!BX34,Resultados!CG34,Resultados!CP34,Resultados!CY34,Resultados!DH34,Resultados!DQ34,Resultados!DZ34)=0, "", AVERAGE(ABS(Resultados!D34),ABS(Resultados!M34),ABS(Resultados!V34),ABS(Resultados!AE34),ABS(Resultados!AN34),ABS(Resultados!AW34),ABS(Resultados!BF34),ABS(Resultados!BO34),ABS(Resultados!BX34),ABS(Resultados!CG34),ABS(Resultados!CP34),ABS(Resultados!CY34),ABS(Resultados!DH34),ABS(Resultados!DQ34),ABS(Resultados!DZ34)))</f>
        <v>1.7940000000000001E-2</v>
      </c>
      <c r="E34">
        <f>IF(COUNT(Resultados!E34,Resultados!N34,Resultados!W34,Resultados!AF34,Resultados!AO34,Resultados!AX34,Resultados!BG34,Resultados!BP34,Resultados!BY34,Resultados!CH34,Resultados!CQ34,Resultados!CZ34,Resultados!DI34,Resultados!DR34,Resultados!EA34)=0, "", AVERAGE(ABS(Resultados!E34),ABS(Resultados!N34),ABS(Resultados!W34),ABS(Resultados!AF34),ABS(Resultados!AO34),ABS(Resultados!AX34),ABS(Resultados!BG34),ABS(Resultados!BP34),ABS(Resultados!BY34),ABS(Resultados!CH34),ABS(Resultados!CQ34),ABS(Resultados!CZ34),ABS(Resultados!DI34),ABS(Resultados!DR34),ABS(Resultados!EA34)))</f>
        <v>7.2076106785187353</v>
      </c>
      <c r="F34">
        <f>IF(COUNT(Resultados!F34,Resultados!O34,Resultados!X34,Resultados!AG34,Resultados!AP34,Resultados!AY34,Resultados!BH34,Resultados!BQ34,Resultados!BZ34,Resultados!CI34,Resultados!CR34,Resultados!DA34,Resultados!DJ34,Resultados!DS34,Resultados!EB34)=0, "", AVERAGE(ABS(Resultados!F34),ABS(Resultados!O34),ABS(Resultados!X34),ABS(Resultados!AG34),ABS(Resultados!AP34),ABS(Resultados!AY34),ABS(Resultados!BH34),ABS(Resultados!BQ34),ABS(Resultados!BZ34),ABS(Resultados!CI34),ABS(Resultados!CR34),ABS(Resultados!DA34),ABS(Resultados!DJ34),ABS(Resultados!DS34),ABS(Resultados!EB34)))</f>
        <v>726.68380663350354</v>
      </c>
      <c r="G34">
        <f>IF(COUNT(Resultados!G34,Resultados!P34,Resultados!Y34,Resultados!AH34,Resultados!AQ34,Resultados!AZ34,Resultados!BI34,Resultados!BR34,Resultados!CA34,Resultados!CJ34,Resultados!CS34,Resultados!DB34,Resultados!DK34,Resultados!DT34,Resultados!EC34)=0, "", AVERAGE(ABS(Resultados!G34),ABS(Resultados!P34),ABS(Resultados!Y34),ABS(Resultados!AH34),ABS(Resultados!AQ34),ABS(Resultados!AZ34),ABS(Resultados!BI34),ABS(Resultados!BR34),ABS(Resultados!CA34),ABS(Resultados!CJ34),ABS(Resultados!CS34),ABS(Resultados!DB34),ABS(Resultados!DK34),ABS(Resultados!DT34),ABS(Resultados!EC34)))</f>
        <v>0.42400000000000015</v>
      </c>
      <c r="H34">
        <f>IF(COUNT(Resultados!H34,Resultados!Q34,Resultados!Z34,Resultados!AI34,Resultados!AR34,Resultados!BA34,Resultados!BJ34,Resultados!BS34,Resultados!CB34,Resultados!CK34,Resultados!CT34,Resultados!DC34,Resultados!DL34,Resultados!DU34,Resultados!ED34)=0, "", AVERAGE(ABS(Resultados!H34),ABS(Resultados!Q34),ABS(Resultados!Z34),ABS(Resultados!AI34),ABS(Resultados!AR34),ABS(Resultados!BA34),ABS(Resultados!BJ34),ABS(Resultados!BS34),ABS(Resultados!CB34),ABS(Resultados!CK34),ABS(Resultados!CT34),ABS(Resultados!DC34),ABS(Resultados!DL34),ABS(Resultados!DU34),ABS(Resultados!ED34)))</f>
        <v>1.8839999999999999E-2</v>
      </c>
      <c r="I34">
        <f>IF(COUNT(Resultados!I34,Resultados!R34,Resultados!AA34,Resultados!AJ34,Resultados!AS34,Resultados!BB34,Resultados!BK34,Resultados!BT34,Resultados!CC34,Resultados!CL34,Resultados!CU34,Resultados!DD34,Resultados!DM34,Resultados!DV34,Resultados!EE34)=0, "", AVERAGE(ABS(Resultados!I34),ABS(Resultados!R34),ABS(Resultados!AA34),ABS(Resultados!AJ34),ABS(Resultados!AS34),ABS(Resultados!BB34),ABS(Resultados!BK34),ABS(Resultados!BT34),ABS(Resultados!CC34),ABS(Resultados!CL34),ABS(Resultados!CU34),ABS(Resultados!DD34),ABS(Resultados!DM34),ABS(Resultados!DV34),ABS(Resultados!EE34)))</f>
        <v>6.3988140000000033</v>
      </c>
    </row>
    <row r="35" spans="1:9" x14ac:dyDescent="0.3">
      <c r="A35">
        <f>IF(COUNT(Resultados!A35,Resultados!J35,Resultados!S35,Resultados!AB35,Resultados!AK35,Resultados!AT35,Resultados!BC35,Resultados!BL35,Resultados!BU35,Resultados!CD35,Resultados!CM35,Resultados!CV35,Resultados!DE35,Resultados!DN35,Resultados!DW35)=0, "", AVERAGE(ABS(Resultados!A35),ABS(Resultados!J35),ABS(Resultados!S35),ABS(Resultados!AB35),ABS(Resultados!AK35),ABS(Resultados!AT35),ABS(Resultados!BC35),ABS(Resultados!BL35),ABS(Resultados!BU35),ABS(Resultados!CD35),ABS(Resultados!CM35),ABS(Resultados!CV35),ABS(Resultados!DE35),ABS(Resultados!DN35),ABS(Resultados!DW35)))</f>
        <v>45681</v>
      </c>
      <c r="B35" t="str">
        <f>IF(COUNT(Resultados!B35,Resultados!K35,Resultados!T35,Resultados!AC35,Resultados!AL35,Resultados!AU35,Resultados!BD35,Resultados!BM35,Resultados!BV35,Resultados!CE35,Resultados!CN35,Resultados!CW35,Resultados!DF35,Resultados!DO35,Resultados!DX35)=0, "", AVERAGE(ABS(Resultados!B35),ABS(Resultados!K35),ABS(Resultados!T35),ABS(Resultados!AC35),ABS(Resultados!AL35),ABS(Resultados!AU35),ABS(Resultados!BD35),ABS(Resultados!BM35),ABS(Resultados!BV35),ABS(Resultados!CE35),ABS(Resultados!CN35),ABS(Resultados!CW35),ABS(Resultados!DF35),ABS(Resultados!DO35),ABS(Resultados!DX35)))</f>
        <v/>
      </c>
      <c r="C35">
        <f>IF(COUNT(Resultados!C35,Resultados!L35,Resultados!U35,Resultados!AD35,Resultados!AM35,Resultados!AV35,Resultados!BE35,Resultados!BN35,Resultados!BW35,Resultados!CF35,Resultados!CO35,Resultados!CX35,Resultados!DG35,Resultados!DP35,Resultados!DY35)=0, "", AVERAGE(ABS(Resultados!C35),ABS(Resultados!L35),ABS(Resultados!U35),ABS(Resultados!AD35),ABS(Resultados!AM35),ABS(Resultados!AV35),ABS(Resultados!BE35),ABS(Resultados!BN35),ABS(Resultados!BW35),ABS(Resultados!CF35),ABS(Resultados!CO35),ABS(Resultados!CX35),ABS(Resultados!DG35),ABS(Resultados!DP35),ABS(Resultados!DY35)))</f>
        <v>2.8666666666666667</v>
      </c>
      <c r="D35">
        <f>IF(COUNT(Resultados!D35,Resultados!M35,Resultados!V35,Resultados!AE35,Resultados!AN35,Resultados!AW35,Resultados!BF35,Resultados!BO35,Resultados!BX35,Resultados!CG35,Resultados!CP35,Resultados!CY35,Resultados!DH35,Resultados!DQ35,Resultados!DZ35)=0, "", AVERAGE(ABS(Resultados!D35),ABS(Resultados!M35),ABS(Resultados!V35),ABS(Resultados!AE35),ABS(Resultados!AN35),ABS(Resultados!AW35),ABS(Resultados!BF35),ABS(Resultados!BO35),ABS(Resultados!BX35),ABS(Resultados!CG35),ABS(Resultados!CP35),ABS(Resultados!CY35),ABS(Resultados!DH35),ABS(Resultados!DQ35),ABS(Resultados!DZ35)))</f>
        <v>1.7953333333333332E-2</v>
      </c>
      <c r="E35">
        <f>IF(COUNT(Resultados!E35,Resultados!N35,Resultados!W35,Resultados!AF35,Resultados!AO35,Resultados!AX35,Resultados!BG35,Resultados!BP35,Resultados!BY35,Resultados!CH35,Resultados!CQ35,Resultados!CZ35,Resultados!DI35,Resultados!DR35,Resultados!EA35)=0, "", AVERAGE(ABS(Resultados!E35),ABS(Resultados!N35),ABS(Resultados!W35),ABS(Resultados!AF35),ABS(Resultados!AO35),ABS(Resultados!AX35),ABS(Resultados!BG35),ABS(Resultados!BP35),ABS(Resultados!BY35),ABS(Resultados!CH35),ABS(Resultados!CQ35),ABS(Resultados!CZ35),ABS(Resultados!DI35),ABS(Resultados!DR35),ABS(Resultados!EA35)))</f>
        <v>7.0776726569813642</v>
      </c>
      <c r="F35">
        <f>IF(COUNT(Resultados!F35,Resultados!O35,Resultados!X35,Resultados!AG35,Resultados!AP35,Resultados!AY35,Resultados!BH35,Resultados!BQ35,Resultados!BZ35,Resultados!CI35,Resultados!CR35,Resultados!DA35,Resultados!DJ35,Resultados!DS35,Resultados!EB35)=0, "", AVERAGE(ABS(Resultados!F35),ABS(Resultados!O35),ABS(Resultados!X35),ABS(Resultados!AG35),ABS(Resultados!AP35),ABS(Resultados!AY35),ABS(Resultados!BH35),ABS(Resultados!BQ35),ABS(Resultados!BZ35),ABS(Resultados!CI35),ABS(Resultados!CR35),ABS(Resultados!DA35),ABS(Resultados!DJ35),ABS(Resultados!DS35),ABS(Resultados!EB35)))</f>
        <v>714.59059160241111</v>
      </c>
      <c r="G35">
        <f>IF(COUNT(Resultados!G35,Resultados!P35,Resultados!Y35,Resultados!AH35,Resultados!AQ35,Resultados!AZ35,Resultados!BI35,Resultados!BR35,Resultados!CA35,Resultados!CJ35,Resultados!CS35,Resultados!DB35,Resultados!DK35,Resultados!DT35,Resultados!EC35)=0, "", AVERAGE(ABS(Resultados!G35),ABS(Resultados!P35),ABS(Resultados!Y35),ABS(Resultados!AH35),ABS(Resultados!AQ35),ABS(Resultados!AZ35),ABS(Resultados!BI35),ABS(Resultados!BR35),ABS(Resultados!CA35),ABS(Resultados!CJ35),ABS(Resultados!CS35),ABS(Resultados!DB35),ABS(Resultados!DK35),ABS(Resultados!DT35),ABS(Resultados!EC35)))</f>
        <v>0.42400000000000015</v>
      </c>
      <c r="H35">
        <f>IF(COUNT(Resultados!H35,Resultados!Q35,Resultados!Z35,Resultados!AI35,Resultados!AR35,Resultados!BA35,Resultados!BJ35,Resultados!BS35,Resultados!CB35,Resultados!CK35,Resultados!CT35,Resultados!DC35,Resultados!DL35,Resultados!DU35,Resultados!ED35)=0, "", AVERAGE(ABS(Resultados!H35),ABS(Resultados!Q35),ABS(Resultados!Z35),ABS(Resultados!AI35),ABS(Resultados!AR35),ABS(Resultados!BA35),ABS(Resultados!BJ35),ABS(Resultados!BS35),ABS(Resultados!CB35),ABS(Resultados!CK35),ABS(Resultados!CT35),ABS(Resultados!DC35),ABS(Resultados!DL35),ABS(Resultados!DU35),ABS(Resultados!ED35)))</f>
        <v>1.6813333333333329E-2</v>
      </c>
      <c r="I35">
        <f>IF(COUNT(Resultados!I35,Resultados!R35,Resultados!AA35,Resultados!AJ35,Resultados!AS35,Resultados!BB35,Resultados!BK35,Resultados!BT35,Resultados!CC35,Resultados!CL35,Resultados!CU35,Resultados!DD35,Resultados!DM35,Resultados!DV35,Resultados!EE35)=0, "", AVERAGE(ABS(Resultados!I35),ABS(Resultados!R35),ABS(Resultados!AA35),ABS(Resultados!AJ35),ABS(Resultados!AS35),ABS(Resultados!BB35),ABS(Resultados!BK35),ABS(Resultados!BT35),ABS(Resultados!CC35),ABS(Resultados!CL35),ABS(Resultados!CU35),ABS(Resultados!DD35),ABS(Resultados!DM35),ABS(Resultados!DV35),ABS(Resultados!EE35)))</f>
        <v>6.599064000000002</v>
      </c>
    </row>
    <row r="36" spans="1:9" x14ac:dyDescent="0.3">
      <c r="A36">
        <f>IF(COUNT(Resultados!A36,Resultados!J36,Resultados!S36,Resultados!AB36,Resultados!AK36,Resultados!AT36,Resultados!BC36,Resultados!BL36,Resultados!BU36,Resultados!CD36,Resultados!CM36,Resultados!CV36,Resultados!DE36,Resultados!DN36,Resultados!DW36)=0, "", AVERAGE(ABS(Resultados!A36),ABS(Resultados!J36),ABS(Resultados!S36),ABS(Resultados!AB36),ABS(Resultados!AK36),ABS(Resultados!AT36),ABS(Resultados!BC36),ABS(Resultados!BL36),ABS(Resultados!BU36),ABS(Resultados!CD36),ABS(Resultados!CM36),ABS(Resultados!CV36),ABS(Resultados!DE36),ABS(Resultados!DN36),ABS(Resultados!DW36)))</f>
        <v>45681</v>
      </c>
      <c r="B36" t="str">
        <f>IF(COUNT(Resultados!B36,Resultados!K36,Resultados!T36,Resultados!AC36,Resultados!AL36,Resultados!AU36,Resultados!BD36,Resultados!BM36,Resultados!BV36,Resultados!CE36,Resultados!CN36,Resultados!CW36,Resultados!DF36,Resultados!DO36,Resultados!DX36)=0, "", AVERAGE(ABS(Resultados!B36),ABS(Resultados!K36),ABS(Resultados!T36),ABS(Resultados!AC36),ABS(Resultados!AL36),ABS(Resultados!AU36),ABS(Resultados!BD36),ABS(Resultados!BM36),ABS(Resultados!BV36),ABS(Resultados!CE36),ABS(Resultados!CN36),ABS(Resultados!CW36),ABS(Resultados!DF36),ABS(Resultados!DO36),ABS(Resultados!DX36)))</f>
        <v/>
      </c>
      <c r="C36">
        <f>IF(COUNT(Resultados!C36,Resultados!L36,Resultados!U36,Resultados!AD36,Resultados!AM36,Resultados!AV36,Resultados!BE36,Resultados!BN36,Resultados!BW36,Resultados!CF36,Resultados!CO36,Resultados!CX36,Resultados!DG36,Resultados!DP36,Resultados!DY36)=0, "", AVERAGE(ABS(Resultados!C36),ABS(Resultados!L36),ABS(Resultados!U36),ABS(Resultados!AD36),ABS(Resultados!AM36),ABS(Resultados!AV36),ABS(Resultados!BE36),ABS(Resultados!BN36),ABS(Resultados!BW36),ABS(Resultados!CF36),ABS(Resultados!CO36),ABS(Resultados!CX36),ABS(Resultados!DG36),ABS(Resultados!DP36),ABS(Resultados!DY36)))</f>
        <v>2.8666666666666667</v>
      </c>
      <c r="D36">
        <f>IF(COUNT(Resultados!D36,Resultados!M36,Resultados!V36,Resultados!AE36,Resultados!AN36,Resultados!AW36,Resultados!BF36,Resultados!BO36,Resultados!BX36,Resultados!CG36,Resultados!CP36,Resultados!CY36,Resultados!DH36,Resultados!DQ36,Resultados!DZ36)=0, "", AVERAGE(ABS(Resultados!D36),ABS(Resultados!M36),ABS(Resultados!V36),ABS(Resultados!AE36),ABS(Resultados!AN36),ABS(Resultados!AW36),ABS(Resultados!BF36),ABS(Resultados!BO36),ABS(Resultados!BX36),ABS(Resultados!CG36),ABS(Resultados!CP36),ABS(Resultados!CY36),ABS(Resultados!DH36),ABS(Resultados!DQ36),ABS(Resultados!DZ36)))</f>
        <v>1.7746666666666668E-2</v>
      </c>
      <c r="E36">
        <f>IF(COUNT(Resultados!E36,Resultados!N36,Resultados!W36,Resultados!AF36,Resultados!AO36,Resultados!AX36,Resultados!BG36,Resultados!BP36,Resultados!BY36,Resultados!CH36,Resultados!CQ36,Resultados!CZ36,Resultados!DI36,Resultados!DR36,Resultados!EA36)=0, "", AVERAGE(ABS(Resultados!E36),ABS(Resultados!N36),ABS(Resultados!W36),ABS(Resultados!AF36),ABS(Resultados!AO36),ABS(Resultados!AX36),ABS(Resultados!BG36),ABS(Resultados!BP36),ABS(Resultados!BY36),ABS(Resultados!CH36),ABS(Resultados!CQ36),ABS(Resultados!CZ36),ABS(Resultados!DI36),ABS(Resultados!DR36),ABS(Resultados!EA36)))</f>
        <v>6.9080526998712068</v>
      </c>
      <c r="F36">
        <f>IF(COUNT(Resultados!F36,Resultados!O36,Resultados!X36,Resultados!AG36,Resultados!AP36,Resultados!AY36,Resultados!BH36,Resultados!BQ36,Resultados!BZ36,Resultados!CI36,Resultados!CR36,Resultados!DA36,Resultados!DJ36,Resultados!DS36,Resultados!EB36)=0, "", AVERAGE(ABS(Resultados!F36),ABS(Resultados!O36),ABS(Resultados!X36),ABS(Resultados!AG36),ABS(Resultados!AP36),ABS(Resultados!AY36),ABS(Resultados!BH36),ABS(Resultados!BQ36),ABS(Resultados!BZ36),ABS(Resultados!CI36),ABS(Resultados!CR36),ABS(Resultados!DA36),ABS(Resultados!DJ36),ABS(Resultados!DS36),ABS(Resultados!EB36)))</f>
        <v>698.79285677455016</v>
      </c>
      <c r="G36">
        <f>IF(COUNT(Resultados!G36,Resultados!P36,Resultados!Y36,Resultados!AH36,Resultados!AQ36,Resultados!AZ36,Resultados!BI36,Resultados!BR36,Resultados!CA36,Resultados!CJ36,Resultados!CS36,Resultados!DB36,Resultados!DK36,Resultados!DT36,Resultados!EC36)=0, "", AVERAGE(ABS(Resultados!G36),ABS(Resultados!P36),ABS(Resultados!Y36),ABS(Resultados!AH36),ABS(Resultados!AQ36),ABS(Resultados!AZ36),ABS(Resultados!BI36),ABS(Resultados!BR36),ABS(Resultados!CA36),ABS(Resultados!CJ36),ABS(Resultados!CS36),ABS(Resultados!DB36),ABS(Resultados!DK36),ABS(Resultados!DT36),ABS(Resultados!EC36)))</f>
        <v>0.42400000000000015</v>
      </c>
      <c r="H36">
        <f>IF(COUNT(Resultados!H36,Resultados!Q36,Resultados!Z36,Resultados!AI36,Resultados!AR36,Resultados!BA36,Resultados!BJ36,Resultados!BS36,Resultados!CB36,Resultados!CK36,Resultados!CT36,Resultados!DC36,Resultados!DL36,Resultados!DU36,Resultados!ED36)=0, "", AVERAGE(ABS(Resultados!H36),ABS(Resultados!Q36),ABS(Resultados!Z36),ABS(Resultados!AI36),ABS(Resultados!AR36),ABS(Resultados!BA36),ABS(Resultados!BJ36),ABS(Resultados!BS36),ABS(Resultados!CB36),ABS(Resultados!CK36),ABS(Resultados!CT36),ABS(Resultados!DC36),ABS(Resultados!DL36),ABS(Resultados!DU36),ABS(Resultados!ED36)))</f>
        <v>1.4166666666666666E-2</v>
      </c>
      <c r="I36">
        <f>IF(COUNT(Resultados!I36,Resultados!R36,Resultados!AA36,Resultados!AJ36,Resultados!AS36,Resultados!BB36,Resultados!BK36,Resultados!BT36,Resultados!CC36,Resultados!CL36,Resultados!CU36,Resultados!DD36,Resultados!DM36,Resultados!DV36,Resultados!EE36)=0, "", AVERAGE(ABS(Resultados!I36),ABS(Resultados!R36),ABS(Resultados!AA36),ABS(Resultados!AJ36),ABS(Resultados!AS36),ABS(Resultados!BB36),ABS(Resultados!BK36),ABS(Resultados!BT36),ABS(Resultados!CC36),ABS(Resultados!CL36),ABS(Resultados!CU36),ABS(Resultados!DD36),ABS(Resultados!DM36),ABS(Resultados!DV36),ABS(Resultados!EE36)))</f>
        <v>6.799060666666672</v>
      </c>
    </row>
    <row r="37" spans="1:9" x14ac:dyDescent="0.3">
      <c r="A37">
        <f>IF(COUNT(Resultados!A37,Resultados!J37,Resultados!S37,Resultados!AB37,Resultados!AK37,Resultados!AT37,Resultados!BC37,Resultados!BL37,Resultados!BU37,Resultados!CD37,Resultados!CM37,Resultados!CV37,Resultados!DE37,Resultados!DN37,Resultados!DW37)=0, "", AVERAGE(ABS(Resultados!A37),ABS(Resultados!J37),ABS(Resultados!S37),ABS(Resultados!AB37),ABS(Resultados!AK37),ABS(Resultados!AT37),ABS(Resultados!BC37),ABS(Resultados!BL37),ABS(Resultados!BU37),ABS(Resultados!CD37),ABS(Resultados!CM37),ABS(Resultados!CV37),ABS(Resultados!DE37),ABS(Resultados!DN37),ABS(Resultados!DW37)))</f>
        <v>45681</v>
      </c>
      <c r="B37" t="str">
        <f>IF(COUNT(Resultados!B37,Resultados!K37,Resultados!T37,Resultados!AC37,Resultados!AL37,Resultados!AU37,Resultados!BD37,Resultados!BM37,Resultados!BV37,Resultados!CE37,Resultados!CN37,Resultados!CW37,Resultados!DF37,Resultados!DO37,Resultados!DX37)=0, "", AVERAGE(ABS(Resultados!B37),ABS(Resultados!K37),ABS(Resultados!T37),ABS(Resultados!AC37),ABS(Resultados!AL37),ABS(Resultados!AU37),ABS(Resultados!BD37),ABS(Resultados!BM37),ABS(Resultados!BV37),ABS(Resultados!CE37),ABS(Resultados!CN37),ABS(Resultados!CW37),ABS(Resultados!DF37),ABS(Resultados!DO37),ABS(Resultados!DX37)))</f>
        <v/>
      </c>
      <c r="C37">
        <f>IF(COUNT(Resultados!C37,Resultados!L37,Resultados!U37,Resultados!AD37,Resultados!AM37,Resultados!AV37,Resultados!BE37,Resultados!BN37,Resultados!BW37,Resultados!CF37,Resultados!CO37,Resultados!CX37,Resultados!DG37,Resultados!DP37,Resultados!DY37)=0, "", AVERAGE(ABS(Resultados!C37),ABS(Resultados!L37),ABS(Resultados!U37),ABS(Resultados!AD37),ABS(Resultados!AM37),ABS(Resultados!AV37),ABS(Resultados!BE37),ABS(Resultados!BN37),ABS(Resultados!BW37),ABS(Resultados!CF37),ABS(Resultados!CO37),ABS(Resultados!CX37),ABS(Resultados!DG37),ABS(Resultados!DP37),ABS(Resultados!DY37)))</f>
        <v>2.8666666666666667</v>
      </c>
      <c r="D37">
        <f>IF(COUNT(Resultados!D37,Resultados!M37,Resultados!V37,Resultados!AE37,Resultados!AN37,Resultados!AW37,Resultados!BF37,Resultados!BO37,Resultados!BX37,Resultados!CG37,Resultados!CP37,Resultados!CY37,Resultados!DH37,Resultados!DQ37,Resultados!DZ37)=0, "", AVERAGE(ABS(Resultados!D37),ABS(Resultados!M37),ABS(Resultados!V37),ABS(Resultados!AE37),ABS(Resultados!AN37),ABS(Resultados!AW37),ABS(Resultados!BF37),ABS(Resultados!BO37),ABS(Resultados!BX37),ABS(Resultados!CG37),ABS(Resultados!CP37),ABS(Resultados!CY37),ABS(Resultados!DH37),ABS(Resultados!DQ37),ABS(Resultados!DZ37)))</f>
        <v>1.6886666666666664E-2</v>
      </c>
      <c r="E37">
        <f>IF(COUNT(Resultados!E37,Resultados!N37,Resultados!W37,Resultados!AF37,Resultados!AO37,Resultados!AX37,Resultados!BG37,Resultados!BP37,Resultados!BY37,Resultados!CH37,Resultados!CQ37,Resultados!CZ37,Resultados!DI37,Resultados!DR37,Resultados!EA37)=0, "", AVERAGE(ABS(Resultados!E37),ABS(Resultados!N37),ABS(Resultados!W37),ABS(Resultados!AF37),ABS(Resultados!AO37),ABS(Resultados!AX37),ABS(Resultados!BG37),ABS(Resultados!BP37),ABS(Resultados!BY37),ABS(Resultados!CH37),ABS(Resultados!CQ37),ABS(Resultados!CZ37),ABS(Resultados!DI37),ABS(Resultados!DR37),ABS(Resultados!EA37)))</f>
        <v>6.7149860452364658</v>
      </c>
      <c r="F37">
        <f>IF(COUNT(Resultados!F37,Resultados!O37,Resultados!X37,Resultados!AG37,Resultados!AP37,Resultados!AY37,Resultados!BH37,Resultados!BQ37,Resultados!BZ37,Resultados!CI37,Resultados!CR37,Resultados!DA37,Resultados!DJ37,Resultados!DS37,Resultados!EB37)=0, "", AVERAGE(ABS(Resultados!F37),ABS(Resultados!O37),ABS(Resultados!X37),ABS(Resultados!AG37),ABS(Resultados!AP37),ABS(Resultados!AY37),ABS(Resultados!BH37),ABS(Resultados!BQ37),ABS(Resultados!BZ37),ABS(Resultados!CI37),ABS(Resultados!CR37),ABS(Resultados!DA37),ABS(Resultados!DJ37),ABS(Resultados!DS37),ABS(Resultados!EB37)))</f>
        <v>680.80272629917386</v>
      </c>
      <c r="G37">
        <f>IF(COUNT(Resultados!G37,Resultados!P37,Resultados!Y37,Resultados!AH37,Resultados!AQ37,Resultados!AZ37,Resultados!BI37,Resultados!BR37,Resultados!CA37,Resultados!CJ37,Resultados!CS37,Resultados!DB37,Resultados!DK37,Resultados!DT37,Resultados!EC37)=0, "", AVERAGE(ABS(Resultados!G37),ABS(Resultados!P37),ABS(Resultados!Y37),ABS(Resultados!AH37),ABS(Resultados!AQ37),ABS(Resultados!AZ37),ABS(Resultados!BI37),ABS(Resultados!BR37),ABS(Resultados!CA37),ABS(Resultados!CJ37),ABS(Resultados!CS37),ABS(Resultados!DB37),ABS(Resultados!DK37),ABS(Resultados!DT37),ABS(Resultados!EC37)))</f>
        <v>0.42400000000000015</v>
      </c>
      <c r="H37">
        <f>IF(COUNT(Resultados!H37,Resultados!Q37,Resultados!Z37,Resultados!AI37,Resultados!AR37,Resultados!BA37,Resultados!BJ37,Resultados!BS37,Resultados!CB37,Resultados!CK37,Resultados!CT37,Resultados!DC37,Resultados!DL37,Resultados!DU37,Resultados!ED37)=0, "", AVERAGE(ABS(Resultados!H37),ABS(Resultados!Q37),ABS(Resultados!Z37),ABS(Resultados!AI37),ABS(Resultados!AR37),ABS(Resultados!BA37),ABS(Resultados!BJ37),ABS(Resultados!BS37),ABS(Resultados!CB37),ABS(Resultados!CK37),ABS(Resultados!CT37),ABS(Resultados!DC37),ABS(Resultados!DL37),ABS(Resultados!DU37),ABS(Resultados!ED37)))</f>
        <v>1.1173333333333332E-2</v>
      </c>
      <c r="I37">
        <f>IF(COUNT(Resultados!I37,Resultados!R37,Resultados!AA37,Resultados!AJ37,Resultados!AS37,Resultados!BB37,Resultados!BK37,Resultados!BT37,Resultados!CC37,Resultados!CL37,Resultados!CU37,Resultados!DD37,Resultados!DM37,Resultados!DV37,Resultados!EE37)=0, "", AVERAGE(ABS(Resultados!I37),ABS(Resultados!R37),ABS(Resultados!AA37),ABS(Resultados!AJ37),ABS(Resultados!AS37),ABS(Resultados!BB37),ABS(Resultados!BK37),ABS(Resultados!BT37),ABS(Resultados!CC37),ABS(Resultados!CL37),ABS(Resultados!CU37),ABS(Resultados!DD37),ABS(Resultados!DM37),ABS(Resultados!DV37),ABS(Resultados!EE37)))</f>
        <v>6.9993833333333351</v>
      </c>
    </row>
    <row r="38" spans="1:9" x14ac:dyDescent="0.3">
      <c r="A38">
        <f>IF(COUNT(Resultados!A38,Resultados!J38,Resultados!S38,Resultados!AB38,Resultados!AK38,Resultados!AT38,Resultados!BC38,Resultados!BL38,Resultados!BU38,Resultados!CD38,Resultados!CM38,Resultados!CV38,Resultados!DE38,Resultados!DN38,Resultados!DW38)=0, "", AVERAGE(ABS(Resultados!A38),ABS(Resultados!J38),ABS(Resultados!S38),ABS(Resultados!AB38),ABS(Resultados!AK38),ABS(Resultados!AT38),ABS(Resultados!BC38),ABS(Resultados!BL38),ABS(Resultados!BU38),ABS(Resultados!CD38),ABS(Resultados!CM38),ABS(Resultados!CV38),ABS(Resultados!DE38),ABS(Resultados!DN38),ABS(Resultados!DW38)))</f>
        <v>45681</v>
      </c>
      <c r="B38" t="str">
        <f>IF(COUNT(Resultados!B38,Resultados!K38,Resultados!T38,Resultados!AC38,Resultados!AL38,Resultados!AU38,Resultados!BD38,Resultados!BM38,Resultados!BV38,Resultados!CE38,Resultados!CN38,Resultados!CW38,Resultados!DF38,Resultados!DO38,Resultados!DX38)=0, "", AVERAGE(ABS(Resultados!B38),ABS(Resultados!K38),ABS(Resultados!T38),ABS(Resultados!AC38),ABS(Resultados!AL38),ABS(Resultados!AU38),ABS(Resultados!BD38),ABS(Resultados!BM38),ABS(Resultados!BV38),ABS(Resultados!CE38),ABS(Resultados!CN38),ABS(Resultados!CW38),ABS(Resultados!DF38),ABS(Resultados!DO38),ABS(Resultados!DX38)))</f>
        <v/>
      </c>
      <c r="C38">
        <f>IF(COUNT(Resultados!C38,Resultados!L38,Resultados!U38,Resultados!AD38,Resultados!AM38,Resultados!AV38,Resultados!BE38,Resultados!BN38,Resultados!BW38,Resultados!CF38,Resultados!CO38,Resultados!CX38,Resultados!DG38,Resultados!DP38,Resultados!DY38)=0, "", AVERAGE(ABS(Resultados!C38),ABS(Resultados!L38),ABS(Resultados!U38),ABS(Resultados!AD38),ABS(Resultados!AM38),ABS(Resultados!AV38),ABS(Resultados!BE38),ABS(Resultados!BN38),ABS(Resultados!BW38),ABS(Resultados!CF38),ABS(Resultados!CO38),ABS(Resultados!CX38),ABS(Resultados!DG38),ABS(Resultados!DP38),ABS(Resultados!DY38)))</f>
        <v>2.8666666666666667</v>
      </c>
      <c r="D38">
        <f>IF(COUNT(Resultados!D38,Resultados!M38,Resultados!V38,Resultados!AE38,Resultados!AN38,Resultados!AW38,Resultados!BF38,Resultados!BO38,Resultados!BX38,Resultados!CG38,Resultados!CP38,Resultados!CY38,Resultados!DH38,Resultados!DQ38,Resultados!DZ38)=0, "", AVERAGE(ABS(Resultados!D38),ABS(Resultados!M38),ABS(Resultados!V38),ABS(Resultados!AE38),ABS(Resultados!AN38),ABS(Resultados!AW38),ABS(Resultados!BF38),ABS(Resultados!BO38),ABS(Resultados!BX38),ABS(Resultados!CG38),ABS(Resultados!CP38),ABS(Resultados!CY38),ABS(Resultados!DH38),ABS(Resultados!DQ38),ABS(Resultados!DZ38)))</f>
        <v>1.4833333333333334E-2</v>
      </c>
      <c r="E38">
        <f>IF(COUNT(Resultados!E38,Resultados!N38,Resultados!W38,Resultados!AF38,Resultados!AO38,Resultados!AX38,Resultados!BG38,Resultados!BP38,Resultados!BY38,Resultados!CH38,Resultados!CQ38,Resultados!CZ38,Resultados!DI38,Resultados!DR38,Resultados!EA38)=0, "", AVERAGE(ABS(Resultados!E38),ABS(Resultados!N38),ABS(Resultados!W38),ABS(Resultados!AF38),ABS(Resultados!AO38),ABS(Resultados!AX38),ABS(Resultados!BG38),ABS(Resultados!BP38),ABS(Resultados!BY38),ABS(Resultados!CH38),ABS(Resultados!CQ38),ABS(Resultados!CZ38),ABS(Resultados!DI38),ABS(Resultados!DR38),ABS(Resultados!EA38)))</f>
        <v>6.5186652986135849</v>
      </c>
      <c r="F38">
        <f>IF(COUNT(Resultados!F38,Resultados!O38,Resultados!X38,Resultados!AG38,Resultados!AP38,Resultados!AY38,Resultados!BH38,Resultados!BQ38,Resultados!BZ38,Resultados!CI38,Resultados!CR38,Resultados!DA38,Resultados!DJ38,Resultados!DS38,Resultados!EB38)=0, "", AVERAGE(ABS(Resultados!F38),ABS(Resultados!O38),ABS(Resultados!X38),ABS(Resultados!AG38),ABS(Resultados!AP38),ABS(Resultados!AY38),ABS(Resultados!BH38),ABS(Resultados!BQ38),ABS(Resultados!BZ38),ABS(Resultados!CI38),ABS(Resultados!CR38),ABS(Resultados!DA38),ABS(Resultados!DJ38),ABS(Resultados!DS38),ABS(Resultados!EB38)))</f>
        <v>655.53960583078629</v>
      </c>
      <c r="G38">
        <f>IF(COUNT(Resultados!G38,Resultados!P38,Resultados!Y38,Resultados!AH38,Resultados!AQ38,Resultados!AZ38,Resultados!BI38,Resultados!BR38,Resultados!CA38,Resultados!CJ38,Resultados!CS38,Resultados!DB38,Resultados!DK38,Resultados!DT38,Resultados!EC38)=0, "", AVERAGE(ABS(Resultados!G38),ABS(Resultados!P38),ABS(Resultados!Y38),ABS(Resultados!AH38),ABS(Resultados!AQ38),ABS(Resultados!AZ38),ABS(Resultados!BI38),ABS(Resultados!BR38),ABS(Resultados!CA38),ABS(Resultados!CJ38),ABS(Resultados!CS38),ABS(Resultados!DB38),ABS(Resultados!DK38),ABS(Resultados!DT38),ABS(Resultados!EC38)))</f>
        <v>0.42400000000000015</v>
      </c>
      <c r="H38">
        <f>IF(COUNT(Resultados!H38,Resultados!Q38,Resultados!Z38,Resultados!AI38,Resultados!AR38,Resultados!BA38,Resultados!BJ38,Resultados!BS38,Resultados!CB38,Resultados!CK38,Resultados!CT38,Resultados!DC38,Resultados!DL38,Resultados!DU38,Resultados!ED38)=0, "", AVERAGE(ABS(Resultados!H38),ABS(Resultados!Q38),ABS(Resultados!Z38),ABS(Resultados!AI38),ABS(Resultados!AR38),ABS(Resultados!BA38),ABS(Resultados!BJ38),ABS(Resultados!BS38),ABS(Resultados!CB38),ABS(Resultados!CK38),ABS(Resultados!CT38),ABS(Resultados!DC38),ABS(Resultados!DL38),ABS(Resultados!DU38),ABS(Resultados!ED38)))</f>
        <v>8.1333333333333327E-3</v>
      </c>
      <c r="I38">
        <f>IF(COUNT(Resultados!I38,Resultados!R38,Resultados!AA38,Resultados!AJ38,Resultados!AS38,Resultados!BB38,Resultados!BK38,Resultados!BT38,Resultados!CC38,Resultados!CL38,Resultados!CU38,Resultados!DD38,Resultados!DM38,Resultados!DV38,Resultados!EE38)=0, "", AVERAGE(ABS(Resultados!I38),ABS(Resultados!R38),ABS(Resultados!AA38),ABS(Resultados!AJ38),ABS(Resultados!AS38),ABS(Resultados!BB38),ABS(Resultados!BK38),ABS(Resultados!BT38),ABS(Resultados!CC38),ABS(Resultados!CL38),ABS(Resultados!CU38),ABS(Resultados!DD38),ABS(Resultados!DM38),ABS(Resultados!DV38),ABS(Resultados!EE38)))</f>
        <v>7.1985353333333304</v>
      </c>
    </row>
    <row r="39" spans="1:9" x14ac:dyDescent="0.3">
      <c r="A39">
        <f>IF(COUNT(Resultados!A39,Resultados!J39,Resultados!S39,Resultados!AB39,Resultados!AK39,Resultados!AT39,Resultados!BC39,Resultados!BL39,Resultados!BU39,Resultados!CD39,Resultados!CM39,Resultados!CV39,Resultados!DE39,Resultados!DN39,Resultados!DW39)=0, "", AVERAGE(ABS(Resultados!A39),ABS(Resultados!J39),ABS(Resultados!S39),ABS(Resultados!AB39),ABS(Resultados!AK39),ABS(Resultados!AT39),ABS(Resultados!BC39),ABS(Resultados!BL39),ABS(Resultados!BU39),ABS(Resultados!CD39),ABS(Resultados!CM39),ABS(Resultados!CV39),ABS(Resultados!DE39),ABS(Resultados!DN39),ABS(Resultados!DW39)))</f>
        <v>45681</v>
      </c>
      <c r="B39" t="str">
        <f>IF(COUNT(Resultados!B39,Resultados!K39,Resultados!T39,Resultados!AC39,Resultados!AL39,Resultados!AU39,Resultados!BD39,Resultados!BM39,Resultados!BV39,Resultados!CE39,Resultados!CN39,Resultados!CW39,Resultados!DF39,Resultados!DO39,Resultados!DX39)=0, "", AVERAGE(ABS(Resultados!B39),ABS(Resultados!K39),ABS(Resultados!T39),ABS(Resultados!AC39),ABS(Resultados!AL39),ABS(Resultados!AU39),ABS(Resultados!BD39),ABS(Resultados!BM39),ABS(Resultados!BV39),ABS(Resultados!CE39),ABS(Resultados!CN39),ABS(Resultados!CW39),ABS(Resultados!DF39),ABS(Resultados!DO39),ABS(Resultados!DX39)))</f>
        <v/>
      </c>
      <c r="C39">
        <f>IF(COUNT(Resultados!C39,Resultados!L39,Resultados!U39,Resultados!AD39,Resultados!AM39,Resultados!AV39,Resultados!BE39,Resultados!BN39,Resultados!BW39,Resultados!CF39,Resultados!CO39,Resultados!CX39,Resultados!DG39,Resultados!DP39,Resultados!DY39)=0, "", AVERAGE(ABS(Resultados!C39),ABS(Resultados!L39),ABS(Resultados!U39),ABS(Resultados!AD39),ABS(Resultados!AM39),ABS(Resultados!AV39),ABS(Resultados!BE39),ABS(Resultados!BN39),ABS(Resultados!BW39),ABS(Resultados!CF39),ABS(Resultados!CO39),ABS(Resultados!CX39),ABS(Resultados!DG39),ABS(Resultados!DP39),ABS(Resultados!DY39)))</f>
        <v>2.8666666666666667</v>
      </c>
      <c r="D39">
        <f>IF(COUNT(Resultados!D39,Resultados!M39,Resultados!V39,Resultados!AE39,Resultados!AN39,Resultados!AW39,Resultados!BF39,Resultados!BO39,Resultados!BX39,Resultados!CG39,Resultados!CP39,Resultados!CY39,Resultados!DH39,Resultados!DQ39,Resultados!DZ39)=0, "", AVERAGE(ABS(Resultados!D39),ABS(Resultados!M39),ABS(Resultados!V39),ABS(Resultados!AE39),ABS(Resultados!AN39),ABS(Resultados!AW39),ABS(Resultados!BF39),ABS(Resultados!BO39),ABS(Resultados!BX39),ABS(Resultados!CG39),ABS(Resultados!CP39),ABS(Resultados!CY39),ABS(Resultados!DH39),ABS(Resultados!DQ39),ABS(Resultados!DZ39)))</f>
        <v>1.1500000000000002E-2</v>
      </c>
      <c r="E39">
        <f>IF(COUNT(Resultados!E39,Resultados!N39,Resultados!W39,Resultados!AF39,Resultados!AO39,Resultados!AX39,Resultados!BG39,Resultados!BP39,Resultados!BY39,Resultados!CH39,Resultados!CQ39,Resultados!CZ39,Resultados!DI39,Resultados!DR39,Resultados!EA39)=0, "", AVERAGE(ABS(Resultados!E39),ABS(Resultados!N39),ABS(Resultados!W39),ABS(Resultados!AF39),ABS(Resultados!AO39),ABS(Resultados!AX39),ABS(Resultados!BG39),ABS(Resultados!BP39),ABS(Resultados!BY39),ABS(Resultados!CH39),ABS(Resultados!CQ39),ABS(Resultados!CZ39),ABS(Resultados!DI39),ABS(Resultados!DR39),ABS(Resultados!EA39)))</f>
        <v>6.336502536355459</v>
      </c>
      <c r="F39">
        <f>IF(COUNT(Resultados!F39,Resultados!O39,Resultados!X39,Resultados!AG39,Resultados!AP39,Resultados!AY39,Resultados!BH39,Resultados!BQ39,Resultados!BZ39,Resultados!CI39,Resultados!CR39,Resultados!DA39,Resultados!DJ39,Resultados!DS39,Resultados!EB39)=0, "", AVERAGE(ABS(Resultados!F39),ABS(Resultados!O39),ABS(Resultados!X39),ABS(Resultados!AG39),ABS(Resultados!AP39),ABS(Resultados!AY39),ABS(Resultados!BH39),ABS(Resultados!BQ39),ABS(Resultados!BZ39),ABS(Resultados!CI39),ABS(Resultados!CR39),ABS(Resultados!DA39),ABS(Resultados!DJ39),ABS(Resultados!DS39),ABS(Resultados!EB39)))</f>
        <v>638.56203638832892</v>
      </c>
      <c r="G39">
        <f>IF(COUNT(Resultados!G39,Resultados!P39,Resultados!Y39,Resultados!AH39,Resultados!AQ39,Resultados!AZ39,Resultados!BI39,Resultados!BR39,Resultados!CA39,Resultados!CJ39,Resultados!CS39,Resultados!DB39,Resultados!DK39,Resultados!DT39,Resultados!EC39)=0, "", AVERAGE(ABS(Resultados!G39),ABS(Resultados!P39),ABS(Resultados!Y39),ABS(Resultados!AH39),ABS(Resultados!AQ39),ABS(Resultados!AZ39),ABS(Resultados!BI39),ABS(Resultados!BR39),ABS(Resultados!CA39),ABS(Resultados!CJ39),ABS(Resultados!CS39),ABS(Resultados!DB39),ABS(Resultados!DK39),ABS(Resultados!DT39),ABS(Resultados!EC39)))</f>
        <v>0.42400000000000015</v>
      </c>
      <c r="H39">
        <f>IF(COUNT(Resultados!H39,Resultados!Q39,Resultados!Z39,Resultados!AI39,Resultados!AR39,Resultados!BA39,Resultados!BJ39,Resultados!BS39,Resultados!CB39,Resultados!CK39,Resultados!CT39,Resultados!DC39,Resultados!DL39,Resultados!DU39,Resultados!ED39)=0, "", AVERAGE(ABS(Resultados!H39),ABS(Resultados!Q39),ABS(Resultados!Z39),ABS(Resultados!AI39),ABS(Resultados!AR39),ABS(Resultados!BA39),ABS(Resultados!BJ39),ABS(Resultados!BS39),ABS(Resultados!CB39),ABS(Resultados!CK39),ABS(Resultados!CT39),ABS(Resultados!DC39),ABS(Resultados!DL39),ABS(Resultados!DU39),ABS(Resultados!ED39)))</f>
        <v>5.2799999999999982E-3</v>
      </c>
      <c r="I39">
        <f>IF(COUNT(Resultados!I39,Resultados!R39,Resultados!AA39,Resultados!AJ39,Resultados!AS39,Resultados!BB39,Resultados!BK39,Resultados!BT39,Resultados!CC39,Resultados!CL39,Resultados!CU39,Resultados!DD39,Resultados!DM39,Resultados!DV39,Resultados!EE39)=0, "", AVERAGE(ABS(Resultados!I39),ABS(Resultados!R39),ABS(Resultados!AA39),ABS(Resultados!AJ39),ABS(Resultados!AS39),ABS(Resultados!BB39),ABS(Resultados!BK39),ABS(Resultados!BT39),ABS(Resultados!CC39),ABS(Resultados!CL39),ABS(Resultados!CU39),ABS(Resultados!DD39),ABS(Resultados!DM39),ABS(Resultados!DV39),ABS(Resultados!EE39)))</f>
        <v>7.3985653333333357</v>
      </c>
    </row>
    <row r="40" spans="1:9" x14ac:dyDescent="0.3">
      <c r="A40">
        <f>IF(COUNT(Resultados!A40,Resultados!J40,Resultados!S40,Resultados!AB40,Resultados!AK40,Resultados!AT40,Resultados!BC40,Resultados!BL40,Resultados!BU40,Resultados!CD40,Resultados!CM40,Resultados!CV40,Resultados!DE40,Resultados!DN40,Resultados!DW40)=0, "", AVERAGE(ABS(Resultados!A40),ABS(Resultados!J40),ABS(Resultados!S40),ABS(Resultados!AB40),ABS(Resultados!AK40),ABS(Resultados!AT40),ABS(Resultados!BC40),ABS(Resultados!BL40),ABS(Resultados!BU40),ABS(Resultados!CD40),ABS(Resultados!CM40),ABS(Resultados!CV40),ABS(Resultados!DE40),ABS(Resultados!DN40),ABS(Resultados!DW40)))</f>
        <v>45681</v>
      </c>
      <c r="B40" t="str">
        <f>IF(COUNT(Resultados!B40,Resultados!K40,Resultados!T40,Resultados!AC40,Resultados!AL40,Resultados!AU40,Resultados!BD40,Resultados!BM40,Resultados!BV40,Resultados!CE40,Resultados!CN40,Resultados!CW40,Resultados!DF40,Resultados!DO40,Resultados!DX40)=0, "", AVERAGE(ABS(Resultados!B40),ABS(Resultados!K40),ABS(Resultados!T40),ABS(Resultados!AC40),ABS(Resultados!AL40),ABS(Resultados!AU40),ABS(Resultados!BD40),ABS(Resultados!BM40),ABS(Resultados!BV40),ABS(Resultados!CE40),ABS(Resultados!CN40),ABS(Resultados!CW40),ABS(Resultados!DF40),ABS(Resultados!DO40),ABS(Resultados!DX40)))</f>
        <v/>
      </c>
      <c r="C40">
        <f>IF(COUNT(Resultados!C40,Resultados!L40,Resultados!U40,Resultados!AD40,Resultados!AM40,Resultados!AV40,Resultados!BE40,Resultados!BN40,Resultados!BW40,Resultados!CF40,Resultados!CO40,Resultados!CX40,Resultados!DG40,Resultados!DP40,Resultados!DY40)=0, "", AVERAGE(ABS(Resultados!C40),ABS(Resultados!L40),ABS(Resultados!U40),ABS(Resultados!AD40),ABS(Resultados!AM40),ABS(Resultados!AV40),ABS(Resultados!BE40),ABS(Resultados!BN40),ABS(Resultados!BW40),ABS(Resultados!CF40),ABS(Resultados!CO40),ABS(Resultados!CX40),ABS(Resultados!DG40),ABS(Resultados!DP40),ABS(Resultados!DY40)))</f>
        <v>3</v>
      </c>
      <c r="D40">
        <f>IF(COUNT(Resultados!D40,Resultados!M40,Resultados!V40,Resultados!AE40,Resultados!AN40,Resultados!AW40,Resultados!BF40,Resultados!BO40,Resultados!BX40,Resultados!CG40,Resultados!CP40,Resultados!CY40,Resultados!DH40,Resultados!DQ40,Resultados!DZ40)=0, "", AVERAGE(ABS(Resultados!D40),ABS(Resultados!M40),ABS(Resultados!V40),ABS(Resultados!AE40),ABS(Resultados!AN40),ABS(Resultados!AW40),ABS(Resultados!BF40),ABS(Resultados!BO40),ABS(Resultados!BX40),ABS(Resultados!CG40),ABS(Resultados!CP40),ABS(Resultados!CY40),ABS(Resultados!DH40),ABS(Resultados!DQ40),ABS(Resultados!DZ40)))</f>
        <v>7.5800000000000008E-3</v>
      </c>
      <c r="E40">
        <f>IF(COUNT(Resultados!E40,Resultados!N40,Resultados!W40,Resultados!AF40,Resultados!AO40,Resultados!AX40,Resultados!BG40,Resultados!BP40,Resultados!BY40,Resultados!CH40,Resultados!CQ40,Resultados!CZ40,Resultados!DI40,Resultados!DR40,Resultados!EA40)=0, "", AVERAGE(ABS(Resultados!E40),ABS(Resultados!N40),ABS(Resultados!W40),ABS(Resultados!AF40),ABS(Resultados!AO40),ABS(Resultados!AX40),ABS(Resultados!BG40),ABS(Resultados!BP40),ABS(Resultados!BY40),ABS(Resultados!CH40),ABS(Resultados!CQ40),ABS(Resultados!CZ40),ABS(Resultados!DI40),ABS(Resultados!DR40),ABS(Resultados!EA40)))</f>
        <v>6.1869647426588816</v>
      </c>
      <c r="F40">
        <f>IF(COUNT(Resultados!F40,Resultados!O40,Resultados!X40,Resultados!AG40,Resultados!AP40,Resultados!AY40,Resultados!BH40,Resultados!BQ40,Resultados!BZ40,Resultados!CI40,Resultados!CR40,Resultados!DA40,Resultados!DJ40,Resultados!DS40,Resultados!EB40)=0, "", AVERAGE(ABS(Resultados!F40),ABS(Resultados!O40),ABS(Resultados!X40),ABS(Resultados!AG40),ABS(Resultados!AP40),ABS(Resultados!AY40),ABS(Resultados!BH40),ABS(Resultados!BQ40),ABS(Resultados!BZ40),ABS(Resultados!CI40),ABS(Resultados!CR40),ABS(Resultados!DA40),ABS(Resultados!DJ40),ABS(Resultados!DS40),ABS(Resultados!EB40)))</f>
        <v>624.62511401580753</v>
      </c>
      <c r="G40">
        <f>IF(COUNT(Resultados!G40,Resultados!P40,Resultados!Y40,Resultados!AH40,Resultados!AQ40,Resultados!AZ40,Resultados!BI40,Resultados!BR40,Resultados!CA40,Resultados!CJ40,Resultados!CS40,Resultados!DB40,Resultados!DK40,Resultados!DT40,Resultados!EC40)=0, "", AVERAGE(ABS(Resultados!G40),ABS(Resultados!P40),ABS(Resultados!Y40),ABS(Resultados!AH40),ABS(Resultados!AQ40),ABS(Resultados!AZ40),ABS(Resultados!BI40),ABS(Resultados!BR40),ABS(Resultados!CA40),ABS(Resultados!CJ40),ABS(Resultados!CS40),ABS(Resultados!DB40),ABS(Resultados!DK40),ABS(Resultados!DT40),ABS(Resultados!EC40)))</f>
        <v>0.42400000000000015</v>
      </c>
      <c r="H40">
        <f>IF(COUNT(Resultados!H40,Resultados!Q40,Resultados!Z40,Resultados!AI40,Resultados!AR40,Resultados!BA40,Resultados!BJ40,Resultados!BS40,Resultados!CB40,Resultados!CK40,Resultados!CT40,Resultados!DC40,Resultados!DL40,Resultados!DU40,Resultados!ED40)=0, "", AVERAGE(ABS(Resultados!H40),ABS(Resultados!Q40),ABS(Resultados!Z40),ABS(Resultados!AI40),ABS(Resultados!AR40),ABS(Resultados!BA40),ABS(Resultados!BJ40),ABS(Resultados!BS40),ABS(Resultados!CB40),ABS(Resultados!CK40),ABS(Resultados!CT40),ABS(Resultados!DC40),ABS(Resultados!DL40),ABS(Resultados!DU40),ABS(Resultados!ED40)))</f>
        <v>2.9666666666666678E-3</v>
      </c>
      <c r="I40">
        <f>IF(COUNT(Resultados!I40,Resultados!R40,Resultados!AA40,Resultados!AJ40,Resultados!AS40,Resultados!BB40,Resultados!BK40,Resultados!BT40,Resultados!CC40,Resultados!CL40,Resultados!CU40,Resultados!DD40,Resultados!DM40,Resultados!DV40,Resultados!EE40)=0, "", AVERAGE(ABS(Resultados!I40),ABS(Resultados!R40),ABS(Resultados!AA40),ABS(Resultados!AJ40),ABS(Resultados!AS40),ABS(Resultados!BB40),ABS(Resultados!BK40),ABS(Resultados!BT40),ABS(Resultados!CC40),ABS(Resultados!CL40),ABS(Resultados!CU40),ABS(Resultados!DD40),ABS(Resultados!DM40),ABS(Resultados!DV40),ABS(Resultados!EE40)))</f>
        <v>7.5989126666666644</v>
      </c>
    </row>
    <row r="41" spans="1:9" x14ac:dyDescent="0.3">
      <c r="A41">
        <f>IF(COUNT(Resultados!A41,Resultados!J41,Resultados!S41,Resultados!AB41,Resultados!AK41,Resultados!AT41,Resultados!BC41,Resultados!BL41,Resultados!BU41,Resultados!CD41,Resultados!CM41,Resultados!CV41,Resultados!DE41,Resultados!DN41,Resultados!DW41)=0, "", AVERAGE(ABS(Resultados!A41),ABS(Resultados!J41),ABS(Resultados!S41),ABS(Resultados!AB41),ABS(Resultados!AK41),ABS(Resultados!AT41),ABS(Resultados!BC41),ABS(Resultados!BL41),ABS(Resultados!BU41),ABS(Resultados!CD41),ABS(Resultados!CM41),ABS(Resultados!CV41),ABS(Resultados!DE41),ABS(Resultados!DN41),ABS(Resultados!DW41)))</f>
        <v>45681</v>
      </c>
      <c r="B41" t="str">
        <f>IF(COUNT(Resultados!B41,Resultados!K41,Resultados!T41,Resultados!AC41,Resultados!AL41,Resultados!AU41,Resultados!BD41,Resultados!BM41,Resultados!BV41,Resultados!CE41,Resultados!CN41,Resultados!CW41,Resultados!DF41,Resultados!DO41,Resultados!DX41)=0, "", AVERAGE(ABS(Resultados!B41),ABS(Resultados!K41),ABS(Resultados!T41),ABS(Resultados!AC41),ABS(Resultados!AL41),ABS(Resultados!AU41),ABS(Resultados!BD41),ABS(Resultados!BM41),ABS(Resultados!BV41),ABS(Resultados!CE41),ABS(Resultados!CN41),ABS(Resultados!CW41),ABS(Resultados!DF41),ABS(Resultados!DO41),ABS(Resultados!DX41)))</f>
        <v/>
      </c>
      <c r="C41">
        <f>IF(COUNT(Resultados!C41,Resultados!L41,Resultados!U41,Resultados!AD41,Resultados!AM41,Resultados!AV41,Resultados!BE41,Resultados!BN41,Resultados!BW41,Resultados!CF41,Resultados!CO41,Resultados!CX41,Resultados!DG41,Resultados!DP41,Resultados!DY41)=0, "", AVERAGE(ABS(Resultados!C41),ABS(Resultados!L41),ABS(Resultados!U41),ABS(Resultados!AD41),ABS(Resultados!AM41),ABS(Resultados!AV41),ABS(Resultados!BE41),ABS(Resultados!BN41),ABS(Resultados!BW41),ABS(Resultados!CF41),ABS(Resultados!CO41),ABS(Resultados!CX41),ABS(Resultados!DG41),ABS(Resultados!DP41),ABS(Resultados!DY41)))</f>
        <v>3</v>
      </c>
      <c r="D41">
        <f>IF(COUNT(Resultados!D41,Resultados!M41,Resultados!V41,Resultados!AE41,Resultados!AN41,Resultados!AW41,Resultados!BF41,Resultados!BO41,Resultados!BX41,Resultados!CG41,Resultados!CP41,Resultados!CY41,Resultados!DH41,Resultados!DQ41,Resultados!DZ41)=0, "", AVERAGE(ABS(Resultados!D41),ABS(Resultados!M41),ABS(Resultados!V41),ABS(Resultados!AE41),ABS(Resultados!AN41),ABS(Resultados!AW41),ABS(Resultados!BF41),ABS(Resultados!BO41),ABS(Resultados!BX41),ABS(Resultados!CG41),ABS(Resultados!CP41),ABS(Resultados!CY41),ABS(Resultados!DH41),ABS(Resultados!DQ41),ABS(Resultados!DZ41)))</f>
        <v>4.0466666666666663E-3</v>
      </c>
      <c r="E41">
        <f>IF(COUNT(Resultados!E41,Resultados!N41,Resultados!W41,Resultados!AF41,Resultados!AO41,Resultados!AX41,Resultados!BG41,Resultados!BP41,Resultados!BY41,Resultados!CH41,Resultados!CQ41,Resultados!CZ41,Resultados!DI41,Resultados!DR41,Resultados!EA41)=0, "", AVERAGE(ABS(Resultados!E41),ABS(Resultados!N41),ABS(Resultados!W41),ABS(Resultados!AF41),ABS(Resultados!AO41),ABS(Resultados!AX41),ABS(Resultados!BG41),ABS(Resultados!BP41),ABS(Resultados!BY41),ABS(Resultados!CH41),ABS(Resultados!CQ41),ABS(Resultados!CZ41),ABS(Resultados!DI41),ABS(Resultados!DR41),ABS(Resultados!EA41)))</f>
        <v>6.0852197357117381</v>
      </c>
      <c r="F41">
        <f>IF(COUNT(Resultados!F41,Resultados!O41,Resultados!X41,Resultados!AG41,Resultados!AP41,Resultados!AY41,Resultados!BH41,Resultados!BQ41,Resultados!BZ41,Resultados!CI41,Resultados!CR41,Resultados!DA41,Resultados!DJ41,Resultados!DS41,Resultados!EB41)=0, "", AVERAGE(ABS(Resultados!F41),ABS(Resultados!O41),ABS(Resultados!X41),ABS(Resultados!AG41),ABS(Resultados!AP41),ABS(Resultados!AY41),ABS(Resultados!BH41),ABS(Resultados!BQ41),ABS(Resultados!BZ41),ABS(Resultados!CI41),ABS(Resultados!CR41),ABS(Resultados!DA41),ABS(Resultados!DJ41),ABS(Resultados!DS41),ABS(Resultados!EB41)))</f>
        <v>615.14247936833408</v>
      </c>
      <c r="G41">
        <f>IF(COUNT(Resultados!G41,Resultados!P41,Resultados!Y41,Resultados!AH41,Resultados!AQ41,Resultados!AZ41,Resultados!BI41,Resultados!BR41,Resultados!CA41,Resultados!CJ41,Resultados!CS41,Resultados!DB41,Resultados!DK41,Resultados!DT41,Resultados!EC41)=0, "", AVERAGE(ABS(Resultados!G41),ABS(Resultados!P41),ABS(Resultados!Y41),ABS(Resultados!AH41),ABS(Resultados!AQ41),ABS(Resultados!AZ41),ABS(Resultados!BI41),ABS(Resultados!BR41),ABS(Resultados!CA41),ABS(Resultados!CJ41),ABS(Resultados!CS41),ABS(Resultados!DB41),ABS(Resultados!DK41),ABS(Resultados!DT41),ABS(Resultados!EC41)))</f>
        <v>0.42400000000000015</v>
      </c>
      <c r="H41">
        <f>IF(COUNT(Resultados!H41,Resultados!Q41,Resultados!Z41,Resultados!AI41,Resultados!AR41,Resultados!BA41,Resultados!BJ41,Resultados!BS41,Resultados!CB41,Resultados!CK41,Resultados!CT41,Resultados!DC41,Resultados!DL41,Resultados!DU41,Resultados!ED41)=0, "", AVERAGE(ABS(Resultados!H41),ABS(Resultados!Q41),ABS(Resultados!Z41),ABS(Resultados!AI41),ABS(Resultados!AR41),ABS(Resultados!BA41),ABS(Resultados!BJ41),ABS(Resultados!BS41),ABS(Resultados!CB41),ABS(Resultados!CK41),ABS(Resultados!CT41),ABS(Resultados!DC41),ABS(Resultados!DL41),ABS(Resultados!DU41),ABS(Resultados!ED41)))</f>
        <v>1.3800000000000004E-3</v>
      </c>
      <c r="I41">
        <f>IF(COUNT(Resultados!I41,Resultados!R41,Resultados!AA41,Resultados!AJ41,Resultados!AS41,Resultados!BB41,Resultados!BK41,Resultados!BT41,Resultados!CC41,Resultados!CL41,Resultados!CU41,Resultados!DD41,Resultados!DM41,Resultados!DV41,Resultados!EE41)=0, "", AVERAGE(ABS(Resultados!I41),ABS(Resultados!R41),ABS(Resultados!AA41),ABS(Resultados!AJ41),ABS(Resultados!AS41),ABS(Resultados!BB41),ABS(Resultados!BK41),ABS(Resultados!BT41),ABS(Resultados!CC41),ABS(Resultados!CL41),ABS(Resultados!CU41),ABS(Resultados!DD41),ABS(Resultados!DM41),ABS(Resultados!DV41),ABS(Resultados!EE41)))</f>
        <v>7.7987446666666687</v>
      </c>
    </row>
    <row r="42" spans="1:9" x14ac:dyDescent="0.3">
      <c r="A42">
        <f>IF(COUNT(Resultados!A42,Resultados!J42,Resultados!S42,Resultados!AB42,Resultados!AK42,Resultados!AT42,Resultados!BC42,Resultados!BL42,Resultados!BU42,Resultados!CD42,Resultados!CM42,Resultados!CV42,Resultados!DE42,Resultados!DN42,Resultados!DW42)=0, "", AVERAGE(ABS(Resultados!A42),ABS(Resultados!J42),ABS(Resultados!S42),ABS(Resultados!AB42),ABS(Resultados!AK42),ABS(Resultados!AT42),ABS(Resultados!BC42),ABS(Resultados!BL42),ABS(Resultados!BU42),ABS(Resultados!CD42),ABS(Resultados!CM42),ABS(Resultados!CV42),ABS(Resultados!DE42),ABS(Resultados!DN42),ABS(Resultados!DW42)))</f>
        <v>45681</v>
      </c>
      <c r="B42" t="str">
        <f>IF(COUNT(Resultados!B42,Resultados!K42,Resultados!T42,Resultados!AC42,Resultados!AL42,Resultados!AU42,Resultados!BD42,Resultados!BM42,Resultados!BV42,Resultados!CE42,Resultados!CN42,Resultados!CW42,Resultados!DF42,Resultados!DO42,Resultados!DX42)=0, "", AVERAGE(ABS(Resultados!B42),ABS(Resultados!K42),ABS(Resultados!T42),ABS(Resultados!AC42),ABS(Resultados!AL42),ABS(Resultados!AU42),ABS(Resultados!BD42),ABS(Resultados!BM42),ABS(Resultados!BV42),ABS(Resultados!CE42),ABS(Resultados!CN42),ABS(Resultados!CW42),ABS(Resultados!DF42),ABS(Resultados!DO42),ABS(Resultados!DX42)))</f>
        <v/>
      </c>
      <c r="C42">
        <f>IF(COUNT(Resultados!C42,Resultados!L42,Resultados!U42,Resultados!AD42,Resultados!AM42,Resultados!AV42,Resultados!BE42,Resultados!BN42,Resultados!BW42,Resultados!CF42,Resultados!CO42,Resultados!CX42,Resultados!DG42,Resultados!DP42,Resultados!DY42)=0, "", AVERAGE(ABS(Resultados!C42),ABS(Resultados!L42),ABS(Resultados!U42),ABS(Resultados!AD42),ABS(Resultados!AM42),ABS(Resultados!AV42),ABS(Resultados!BE42),ABS(Resultados!BN42),ABS(Resultados!BW42),ABS(Resultados!CF42),ABS(Resultados!CO42),ABS(Resultados!CX42),ABS(Resultados!DG42),ABS(Resultados!DP42),ABS(Resultados!DY42)))</f>
        <v>3</v>
      </c>
      <c r="D42">
        <f>IF(COUNT(Resultados!D42,Resultados!M42,Resultados!V42,Resultados!AE42,Resultados!AN42,Resultados!AW42,Resultados!BF42,Resultados!BO42,Resultados!BX42,Resultados!CG42,Resultados!CP42,Resultados!CY42,Resultados!DH42,Resultados!DQ42,Resultados!DZ42)=0, "", AVERAGE(ABS(Resultados!D42),ABS(Resultados!M42),ABS(Resultados!V42),ABS(Resultados!AE42),ABS(Resultados!AN42),ABS(Resultados!AW42),ABS(Resultados!BF42),ABS(Resultados!BO42),ABS(Resultados!BX42),ABS(Resultados!CG42),ABS(Resultados!CP42),ABS(Resultados!CY42),ABS(Resultados!DH42),ABS(Resultados!DQ42),ABS(Resultados!DZ42)))</f>
        <v>1.9866666666666665E-3</v>
      </c>
      <c r="E42">
        <f>IF(COUNT(Resultados!E42,Resultados!N42,Resultados!W42,Resultados!AF42,Resultados!AO42,Resultados!AX42,Resultados!BG42,Resultados!BP42,Resultados!BY42,Resultados!CH42,Resultados!CQ42,Resultados!CZ42,Resultados!DI42,Resultados!DR42,Resultados!EA42)=0, "", AVERAGE(ABS(Resultados!E42),ABS(Resultados!N42),ABS(Resultados!W42),ABS(Resultados!AF42),ABS(Resultados!AO42),ABS(Resultados!AX42),ABS(Resultados!BG42),ABS(Resultados!BP42),ABS(Resultados!BY42),ABS(Resultados!CH42),ABS(Resultados!CQ42),ABS(Resultados!CZ42),ABS(Resultados!DI42),ABS(Resultados!DR42),ABS(Resultados!EA42)))</f>
        <v>6.0406645869504594</v>
      </c>
      <c r="F42">
        <f>IF(COUNT(Resultados!F42,Resultados!O42,Resultados!X42,Resultados!AG42,Resultados!AP42,Resultados!AY42,Resultados!BH42,Resultados!BQ42,Resultados!BZ42,Resultados!CI42,Resultados!CR42,Resultados!DA42,Resultados!DJ42,Resultados!DS42,Resultados!EB42)=0, "", AVERAGE(ABS(Resultados!F42),ABS(Resultados!O42),ABS(Resultados!X42),ABS(Resultados!AG42),ABS(Resultados!AP42),ABS(Resultados!AY42),ABS(Resultados!BH42),ABS(Resultados!BQ42),ABS(Resultados!BZ42),ABS(Resultados!CI42),ABS(Resultados!CR42),ABS(Resultados!DA42),ABS(Resultados!DJ42),ABS(Resultados!DS42),ABS(Resultados!EB42)))</f>
        <v>610.98993950378281</v>
      </c>
      <c r="G42">
        <f>IF(COUNT(Resultados!G42,Resultados!P42,Resultados!Y42,Resultados!AH42,Resultados!AQ42,Resultados!AZ42,Resultados!BI42,Resultados!BR42,Resultados!CA42,Resultados!CJ42,Resultados!CS42,Resultados!DB42,Resultados!DK42,Resultados!DT42,Resultados!EC42)=0, "", AVERAGE(ABS(Resultados!G42),ABS(Resultados!P42),ABS(Resultados!Y42),ABS(Resultados!AH42),ABS(Resultados!AQ42),ABS(Resultados!AZ42),ABS(Resultados!BI42),ABS(Resultados!BR42),ABS(Resultados!CA42),ABS(Resultados!CJ42),ABS(Resultados!CS42),ABS(Resultados!DB42),ABS(Resultados!DK42),ABS(Resultados!DT42),ABS(Resultados!EC42)))</f>
        <v>0.42400000000000015</v>
      </c>
      <c r="H42">
        <f>IF(COUNT(Resultados!H42,Resultados!Q42,Resultados!Z42,Resultados!AI42,Resultados!AR42,Resultados!BA42,Resultados!BJ42,Resultados!BS42,Resultados!CB42,Resultados!CK42,Resultados!CT42,Resultados!DC42,Resultados!DL42,Resultados!DU42,Resultados!ED42)=0, "", AVERAGE(ABS(Resultados!H42),ABS(Resultados!Q42),ABS(Resultados!Z42),ABS(Resultados!AI42),ABS(Resultados!AR42),ABS(Resultados!BA42),ABS(Resultados!BJ42),ABS(Resultados!BS42),ABS(Resultados!CB42),ABS(Resultados!CK42),ABS(Resultados!CT42),ABS(Resultados!DC42),ABS(Resultados!DL42),ABS(Resultados!DU42),ABS(Resultados!ED42)))</f>
        <v>6.9999999999999999E-4</v>
      </c>
      <c r="I42">
        <f>IF(COUNT(Resultados!I42,Resultados!R42,Resultados!AA42,Resultados!AJ42,Resultados!AS42,Resultados!BB42,Resultados!BK42,Resultados!BT42,Resultados!CC42,Resultados!CL42,Resultados!CU42,Resultados!DD42,Resultados!DM42,Resultados!DV42,Resultados!EE42)=0, "", AVERAGE(ABS(Resultados!I42),ABS(Resultados!R42),ABS(Resultados!AA42),ABS(Resultados!AJ42),ABS(Resultados!AS42),ABS(Resultados!BB42),ABS(Resultados!BK42),ABS(Resultados!BT42),ABS(Resultados!CC42),ABS(Resultados!CL42),ABS(Resultados!CU42),ABS(Resultados!DD42),ABS(Resultados!DM42),ABS(Resultados!DV42),ABS(Resultados!EE42)))</f>
        <v>7.9990340000000062</v>
      </c>
    </row>
    <row r="43" spans="1:9" x14ac:dyDescent="0.3">
      <c r="A43">
        <f>IF(COUNT(Resultados!A43,Resultados!J43,Resultados!S43,Resultados!AB43,Resultados!AK43,Resultados!AT43,Resultados!BC43,Resultados!BL43,Resultados!BU43,Resultados!CD43,Resultados!CM43,Resultados!CV43,Resultados!DE43,Resultados!DN43,Resultados!DW43)=0, "", AVERAGE(ABS(Resultados!A43),ABS(Resultados!J43),ABS(Resultados!S43),ABS(Resultados!AB43),ABS(Resultados!AK43),ABS(Resultados!AT43),ABS(Resultados!BC43),ABS(Resultados!BL43),ABS(Resultados!BU43),ABS(Resultados!CD43),ABS(Resultados!CM43),ABS(Resultados!CV43),ABS(Resultados!DE43),ABS(Resultados!DN43),ABS(Resultados!DW43)))</f>
        <v>45681</v>
      </c>
      <c r="B43" t="str">
        <f>IF(COUNT(Resultados!B43,Resultados!K43,Resultados!T43,Resultados!AC43,Resultados!AL43,Resultados!AU43,Resultados!BD43,Resultados!BM43,Resultados!BV43,Resultados!CE43,Resultados!CN43,Resultados!CW43,Resultados!DF43,Resultados!DO43,Resultados!DX43)=0, "", AVERAGE(ABS(Resultados!B43),ABS(Resultados!K43),ABS(Resultados!T43),ABS(Resultados!AC43),ABS(Resultados!AL43),ABS(Resultados!AU43),ABS(Resultados!BD43),ABS(Resultados!BM43),ABS(Resultados!BV43),ABS(Resultados!CE43),ABS(Resultados!CN43),ABS(Resultados!CW43),ABS(Resultados!DF43),ABS(Resultados!DO43),ABS(Resultados!DX43)))</f>
        <v/>
      </c>
      <c r="C43">
        <f>IF(COUNT(Resultados!C43,Resultados!L43,Resultados!U43,Resultados!AD43,Resultados!AM43,Resultados!AV43,Resultados!BE43,Resultados!BN43,Resultados!BW43,Resultados!CF43,Resultados!CO43,Resultados!CX43,Resultados!DG43,Resultados!DP43,Resultados!DY43)=0, "", AVERAGE(ABS(Resultados!C43),ABS(Resultados!L43),ABS(Resultados!U43),ABS(Resultados!AD43),ABS(Resultados!AM43),ABS(Resultados!AV43),ABS(Resultados!BE43),ABS(Resultados!BN43),ABS(Resultados!BW43),ABS(Resultados!CF43),ABS(Resultados!CO43),ABS(Resultados!CX43),ABS(Resultados!DG43),ABS(Resultados!DP43),ABS(Resultados!DY43)))</f>
        <v>3</v>
      </c>
      <c r="D43">
        <f>IF(COUNT(Resultados!D43,Resultados!M43,Resultados!V43,Resultados!AE43,Resultados!AN43,Resultados!AW43,Resultados!BF43,Resultados!BO43,Resultados!BX43,Resultados!CG43,Resultados!CP43,Resultados!CY43,Resultados!DH43,Resultados!DQ43,Resultados!DZ43)=0, "", AVERAGE(ABS(Resultados!D43),ABS(Resultados!M43),ABS(Resultados!V43),ABS(Resultados!AE43),ABS(Resultados!AN43),ABS(Resultados!AW43),ABS(Resultados!BF43),ABS(Resultados!BO43),ABS(Resultados!BX43),ABS(Resultados!CG43),ABS(Resultados!CP43),ABS(Resultados!CY43),ABS(Resultados!DH43),ABS(Resultados!DQ43),ABS(Resultados!DZ43)))</f>
        <v>1.2733333333333333E-3</v>
      </c>
      <c r="E43">
        <f>IF(COUNT(Resultados!E43,Resultados!N43,Resultados!W43,Resultados!AF43,Resultados!AO43,Resultados!AX43,Resultados!BG43,Resultados!BP43,Resultados!BY43,Resultados!CH43,Resultados!CQ43,Resultados!CZ43,Resultados!DI43,Resultados!DR43,Resultados!EA43)=0, "", AVERAGE(ABS(Resultados!E43),ABS(Resultados!N43),ABS(Resultados!W43),ABS(Resultados!AF43),ABS(Resultados!AO43),ABS(Resultados!AX43),ABS(Resultados!BG43),ABS(Resultados!BP43),ABS(Resultados!BY43),ABS(Resultados!CH43),ABS(Resultados!CQ43),ABS(Resultados!CZ43),ABS(Resultados!DI43),ABS(Resultados!DR43),ABS(Resultados!EA43)))</f>
        <v>6.0579876113813613</v>
      </c>
      <c r="F43">
        <f>IF(COUNT(Resultados!F43,Resultados!O43,Resultados!X43,Resultados!AG43,Resultados!AP43,Resultados!AY43,Resultados!BH43,Resultados!BQ43,Resultados!BZ43,Resultados!CI43,Resultados!CR43,Resultados!DA43,Resultados!DJ43,Resultados!DS43,Resultados!EB43)=0, "", AVERAGE(ABS(Resultados!F43),ABS(Resultados!O43),ABS(Resultados!X43),ABS(Resultados!AG43),ABS(Resultados!AP43),ABS(Resultados!AY43),ABS(Resultados!BH43),ABS(Resultados!BQ43),ABS(Resultados!BZ43),ABS(Resultados!CI43),ABS(Resultados!CR43),ABS(Resultados!DA43),ABS(Resultados!DJ43),ABS(Resultados!DS43),ABS(Resultados!EB43)))</f>
        <v>708.03752995201444</v>
      </c>
      <c r="G43">
        <f>IF(COUNT(Resultados!G43,Resultados!P43,Resultados!Y43,Resultados!AH43,Resultados!AQ43,Resultados!AZ43,Resultados!BI43,Resultados!BR43,Resultados!CA43,Resultados!CJ43,Resultados!CS43,Resultados!DB43,Resultados!DK43,Resultados!DT43,Resultados!EC43)=0, "", AVERAGE(ABS(Resultados!G43),ABS(Resultados!P43),ABS(Resultados!Y43),ABS(Resultados!AH43),ABS(Resultados!AQ43),ABS(Resultados!AZ43),ABS(Resultados!BI43),ABS(Resultados!BR43),ABS(Resultados!CA43),ABS(Resultados!CJ43),ABS(Resultados!CS43),ABS(Resultados!DB43),ABS(Resultados!DK43),ABS(Resultados!DT43),ABS(Resultados!EC43)))</f>
        <v>0.42400000000000015</v>
      </c>
      <c r="H43">
        <f>IF(COUNT(Resultados!H43,Resultados!Q43,Resultados!Z43,Resultados!AI43,Resultados!AR43,Resultados!BA43,Resultados!BJ43,Resultados!BS43,Resultados!CB43,Resultados!CK43,Resultados!CT43,Resultados!DC43,Resultados!DL43,Resultados!DU43,Resultados!ED43)=0, "", AVERAGE(ABS(Resultados!H43),ABS(Resultados!Q43),ABS(Resultados!Z43),ABS(Resultados!AI43),ABS(Resultados!AR43),ABS(Resultados!BA43),ABS(Resultados!BJ43),ABS(Resultados!BS43),ABS(Resultados!CB43),ABS(Resultados!CK43),ABS(Resultados!CT43),ABS(Resultados!DC43),ABS(Resultados!DL43),ABS(Resultados!DU43),ABS(Resultados!ED43)))</f>
        <v>9.533333333333337E-4</v>
      </c>
      <c r="I43">
        <f>IF(COUNT(Resultados!I43,Resultados!R43,Resultados!AA43,Resultados!AJ43,Resultados!AS43,Resultados!BB43,Resultados!BK43,Resultados!BT43,Resultados!CC43,Resultados!CL43,Resultados!CU43,Resultados!DD43,Resultados!DM43,Resultados!DV43,Resultados!EE43)=0, "", AVERAGE(ABS(Resultados!I43),ABS(Resultados!R43),ABS(Resultados!AA43),ABS(Resultados!AJ43),ABS(Resultados!AS43),ABS(Resultados!BB43),ABS(Resultados!BK43),ABS(Resultados!BT43),ABS(Resultados!CC43),ABS(Resultados!CL43),ABS(Resultados!CU43),ABS(Resultados!DD43),ABS(Resultados!DM43),ABS(Resultados!DV43),ABS(Resultados!EE43)))</f>
        <v>8.1991126666666698</v>
      </c>
    </row>
    <row r="44" spans="1:9" x14ac:dyDescent="0.3">
      <c r="A44">
        <f>IF(COUNT(Resultados!A44,Resultados!J44,Resultados!S44,Resultados!AB44,Resultados!AK44,Resultados!AT44,Resultados!BC44,Resultados!BL44,Resultados!BU44,Resultados!CD44,Resultados!CM44,Resultados!CV44,Resultados!DE44,Resultados!DN44,Resultados!DW44)=0, "", AVERAGE(ABS(Resultados!A44),ABS(Resultados!J44),ABS(Resultados!S44),ABS(Resultados!AB44),ABS(Resultados!AK44),ABS(Resultados!AT44),ABS(Resultados!BC44),ABS(Resultados!BL44),ABS(Resultados!BU44),ABS(Resultados!CD44),ABS(Resultados!CM44),ABS(Resultados!CV44),ABS(Resultados!DE44),ABS(Resultados!DN44),ABS(Resultados!DW44)))</f>
        <v>45681</v>
      </c>
      <c r="B44" t="str">
        <f>IF(COUNT(Resultados!B44,Resultados!K44,Resultados!T44,Resultados!AC44,Resultados!AL44,Resultados!AU44,Resultados!BD44,Resultados!BM44,Resultados!BV44,Resultados!CE44,Resultados!CN44,Resultados!CW44,Resultados!DF44,Resultados!DO44,Resultados!DX44)=0, "", AVERAGE(ABS(Resultados!B44),ABS(Resultados!K44),ABS(Resultados!T44),ABS(Resultados!AC44),ABS(Resultados!AL44),ABS(Resultados!AU44),ABS(Resultados!BD44),ABS(Resultados!BM44),ABS(Resultados!BV44),ABS(Resultados!CE44),ABS(Resultados!CN44),ABS(Resultados!CW44),ABS(Resultados!DF44),ABS(Resultados!DO44),ABS(Resultados!DX44)))</f>
        <v/>
      </c>
      <c r="C44">
        <f>IF(COUNT(Resultados!C44,Resultados!L44,Resultados!U44,Resultados!AD44,Resultados!AM44,Resultados!AV44,Resultados!BE44,Resultados!BN44,Resultados!BW44,Resultados!CF44,Resultados!CO44,Resultados!CX44,Resultados!DG44,Resultados!DP44,Resultados!DY44)=0, "", AVERAGE(ABS(Resultados!C44),ABS(Resultados!L44),ABS(Resultados!U44),ABS(Resultados!AD44),ABS(Resultados!AM44),ABS(Resultados!AV44),ABS(Resultados!BE44),ABS(Resultados!BN44),ABS(Resultados!BW44),ABS(Resultados!CF44),ABS(Resultados!CO44),ABS(Resultados!CX44),ABS(Resultados!DG44),ABS(Resultados!DP44),ABS(Resultados!DY44)))</f>
        <v>3</v>
      </c>
      <c r="D44">
        <f>IF(COUNT(Resultados!D44,Resultados!M44,Resultados!V44,Resultados!AE44,Resultados!AN44,Resultados!AW44,Resultados!BF44,Resultados!BO44,Resultados!BX44,Resultados!CG44,Resultados!CP44,Resultados!CY44,Resultados!DH44,Resultados!DQ44,Resultados!DZ44)=0, "", AVERAGE(ABS(Resultados!D44),ABS(Resultados!M44),ABS(Resultados!V44),ABS(Resultados!AE44),ABS(Resultados!AN44),ABS(Resultados!AW44),ABS(Resultados!BF44),ABS(Resultados!BO44),ABS(Resultados!BX44),ABS(Resultados!CG44),ABS(Resultados!CP44),ABS(Resultados!CY44),ABS(Resultados!DH44),ABS(Resultados!DQ44),ABS(Resultados!DZ44)))</f>
        <v>1.0000000000000002E-3</v>
      </c>
      <c r="E44">
        <f>IF(COUNT(Resultados!E44,Resultados!N44,Resultados!W44,Resultados!AF44,Resultados!AO44,Resultados!AX44,Resultados!BG44,Resultados!BP44,Resultados!BY44,Resultados!CH44,Resultados!CQ44,Resultados!CZ44,Resultados!DI44,Resultados!DR44,Resultados!EA44)=0, "", AVERAGE(ABS(Resultados!E44),ABS(Resultados!N44),ABS(Resultados!W44),ABS(Resultados!AF44),ABS(Resultados!AO44),ABS(Resultados!AX44),ABS(Resultados!BG44),ABS(Resultados!BP44),ABS(Resultados!BY44),ABS(Resultados!CH44),ABS(Resultados!CQ44),ABS(Resultados!CZ44),ABS(Resultados!DI44),ABS(Resultados!DR44),ABS(Resultados!EA44)))</f>
        <v>6.1351313379777457</v>
      </c>
      <c r="F44">
        <f>IF(COUNT(Resultados!F44,Resultados!O44,Resultados!X44,Resultados!AG44,Resultados!AP44,Resultados!AY44,Resultados!BH44,Resultados!BQ44,Resultados!BZ44,Resultados!CI44,Resultados!CR44,Resultados!DA44,Resultados!DJ44,Resultados!DS44,Resultados!EB44)=0, "", AVERAGE(ABS(Resultados!F44),ABS(Resultados!O44),ABS(Resultados!X44),ABS(Resultados!AG44),ABS(Resultados!AP44),ABS(Resultados!AY44),ABS(Resultados!BH44),ABS(Resultados!BQ44),ABS(Resultados!BZ44),ABS(Resultados!CI44),ABS(Resultados!CR44),ABS(Resultados!DA44),ABS(Resultados!DJ44),ABS(Resultados!DS44),ABS(Resultados!EB44)))</f>
        <v>715.3797908583025</v>
      </c>
      <c r="G44">
        <f>IF(COUNT(Resultados!G44,Resultados!P44,Resultados!Y44,Resultados!AH44,Resultados!AQ44,Resultados!AZ44,Resultados!BI44,Resultados!BR44,Resultados!CA44,Resultados!CJ44,Resultados!CS44,Resultados!DB44,Resultados!DK44,Resultados!DT44,Resultados!EC44)=0, "", AVERAGE(ABS(Resultados!G44),ABS(Resultados!P44),ABS(Resultados!Y44),ABS(Resultados!AH44),ABS(Resultados!AQ44),ABS(Resultados!AZ44),ABS(Resultados!BI44),ABS(Resultados!BR44),ABS(Resultados!CA44),ABS(Resultados!CJ44),ABS(Resultados!CS44),ABS(Resultados!DB44),ABS(Resultados!DK44),ABS(Resultados!DT44),ABS(Resultados!EC44)))</f>
        <v>0.42400000000000015</v>
      </c>
      <c r="H44">
        <f>IF(COUNT(Resultados!H44,Resultados!Q44,Resultados!Z44,Resultados!AI44,Resultados!AR44,Resultados!BA44,Resultados!BJ44,Resultados!BS44,Resultados!CB44,Resultados!CK44,Resultados!CT44,Resultados!DC44,Resultados!DL44,Resultados!DU44,Resultados!ED44)=0, "", AVERAGE(ABS(Resultados!H44),ABS(Resultados!Q44),ABS(Resultados!Z44),ABS(Resultados!AI44),ABS(Resultados!AR44),ABS(Resultados!BA44),ABS(Resultados!BJ44),ABS(Resultados!BS44),ABS(Resultados!CB44),ABS(Resultados!CK44),ABS(Resultados!CT44),ABS(Resultados!DC44),ABS(Resultados!DL44),ABS(Resultados!DU44),ABS(Resultados!ED44)))</f>
        <v>2.1666666666666679E-3</v>
      </c>
      <c r="I44">
        <f>IF(COUNT(Resultados!I44,Resultados!R44,Resultados!AA44,Resultados!AJ44,Resultados!AS44,Resultados!BB44,Resultados!BK44,Resultados!BT44,Resultados!CC44,Resultados!CL44,Resultados!CU44,Resultados!DD44,Resultados!DM44,Resultados!DV44,Resultados!EE44)=0, "", AVERAGE(ABS(Resultados!I44),ABS(Resultados!R44),ABS(Resultados!AA44),ABS(Resultados!AJ44),ABS(Resultados!AS44),ABS(Resultados!BB44),ABS(Resultados!BK44),ABS(Resultados!BT44),ABS(Resultados!CC44),ABS(Resultados!CL44),ABS(Resultados!CU44),ABS(Resultados!DD44),ABS(Resultados!DM44),ABS(Resultados!DV44),ABS(Resultados!EE44)))</f>
        <v>8.3986960000000064</v>
      </c>
    </row>
    <row r="45" spans="1:9" x14ac:dyDescent="0.3">
      <c r="A45">
        <f>IF(COUNT(Resultados!A45,Resultados!J45,Resultados!S45,Resultados!AB45,Resultados!AK45,Resultados!AT45,Resultados!BC45,Resultados!BL45,Resultados!BU45,Resultados!CD45,Resultados!CM45,Resultados!CV45,Resultados!DE45,Resultados!DN45,Resultados!DW45)=0, "", AVERAGE(ABS(Resultados!A45),ABS(Resultados!J45),ABS(Resultados!S45),ABS(Resultados!AB45),ABS(Resultados!AK45),ABS(Resultados!AT45),ABS(Resultados!BC45),ABS(Resultados!BL45),ABS(Resultados!BU45),ABS(Resultados!CD45),ABS(Resultados!CM45),ABS(Resultados!CV45),ABS(Resultados!DE45),ABS(Resultados!DN45),ABS(Resultados!DW45)))</f>
        <v>45681</v>
      </c>
      <c r="B45" t="str">
        <f>IF(COUNT(Resultados!B45,Resultados!K45,Resultados!T45,Resultados!AC45,Resultados!AL45,Resultados!AU45,Resultados!BD45,Resultados!BM45,Resultados!BV45,Resultados!CE45,Resultados!CN45,Resultados!CW45,Resultados!DF45,Resultados!DO45,Resultados!DX45)=0, "", AVERAGE(ABS(Resultados!B45),ABS(Resultados!K45),ABS(Resultados!T45),ABS(Resultados!AC45),ABS(Resultados!AL45),ABS(Resultados!AU45),ABS(Resultados!BD45),ABS(Resultados!BM45),ABS(Resultados!BV45),ABS(Resultados!CE45),ABS(Resultados!CN45),ABS(Resultados!CW45),ABS(Resultados!DF45),ABS(Resultados!DO45),ABS(Resultados!DX45)))</f>
        <v/>
      </c>
      <c r="C45">
        <f>IF(COUNT(Resultados!C45,Resultados!L45,Resultados!U45,Resultados!AD45,Resultados!AM45,Resultados!AV45,Resultados!BE45,Resultados!BN45,Resultados!BW45,Resultados!CF45,Resultados!CO45,Resultados!CX45,Resultados!DG45,Resultados!DP45,Resultados!DY45)=0, "", AVERAGE(ABS(Resultados!C45),ABS(Resultados!L45),ABS(Resultados!U45),ABS(Resultados!AD45),ABS(Resultados!AM45),ABS(Resultados!AV45),ABS(Resultados!BE45),ABS(Resultados!BN45),ABS(Resultados!BW45),ABS(Resultados!CF45),ABS(Resultados!CO45),ABS(Resultados!CX45),ABS(Resultados!DG45),ABS(Resultados!DP45),ABS(Resultados!DY45)))</f>
        <v>3</v>
      </c>
      <c r="D45">
        <f>IF(COUNT(Resultados!D45,Resultados!M45,Resultados!V45,Resultados!AE45,Resultados!AN45,Resultados!AW45,Resultados!BF45,Resultados!BO45,Resultados!BX45,Resultados!CG45,Resultados!CP45,Resultados!CY45,Resultados!DH45,Resultados!DQ45,Resultados!DZ45)=0, "", AVERAGE(ABS(Resultados!D45),ABS(Resultados!M45),ABS(Resultados!V45),ABS(Resultados!AE45),ABS(Resultados!AN45),ABS(Resultados!AW45),ABS(Resultados!BF45),ABS(Resultados!BO45),ABS(Resultados!BX45),ABS(Resultados!CG45),ABS(Resultados!CP45),ABS(Resultados!CY45),ABS(Resultados!DH45),ABS(Resultados!DQ45),ABS(Resultados!DZ45)))</f>
        <v>1.1666666666666665E-3</v>
      </c>
      <c r="E45">
        <f>IF(COUNT(Resultados!E45,Resultados!N45,Resultados!W45,Resultados!AF45,Resultados!AO45,Resultados!AX45,Resultados!BG45,Resultados!BP45,Resultados!BY45,Resultados!CH45,Resultados!CQ45,Resultados!CZ45,Resultados!DI45,Resultados!DR45,Resultados!EA45)=0, "", AVERAGE(ABS(Resultados!E45),ABS(Resultados!N45),ABS(Resultados!W45),ABS(Resultados!AF45),ABS(Resultados!AO45),ABS(Resultados!AX45),ABS(Resultados!BG45),ABS(Resultados!BP45),ABS(Resultados!BY45),ABS(Resultados!CH45),ABS(Resultados!CQ45),ABS(Resultados!CZ45),ABS(Resultados!DI45),ABS(Resultados!DR45),ABS(Resultados!EA45)))</f>
        <v>6.2654183157519521</v>
      </c>
      <c r="F45">
        <f>IF(COUNT(Resultados!F45,Resultados!O45,Resultados!X45,Resultados!AG45,Resultados!AP45,Resultados!AY45,Resultados!BH45,Resultados!BQ45,Resultados!BZ45,Resultados!CI45,Resultados!CR45,Resultados!DA45,Resultados!DJ45,Resultados!DS45,Resultados!EB45)=0, "", AVERAGE(ABS(Resultados!F45),ABS(Resultados!O45),ABS(Resultados!X45),ABS(Resultados!AG45),ABS(Resultados!AP45),ABS(Resultados!AY45),ABS(Resultados!BH45),ABS(Resultados!BQ45),ABS(Resultados!BZ45),ABS(Resultados!CI45),ABS(Resultados!CR45),ABS(Resultados!DA45),ABS(Resultados!DJ45),ABS(Resultados!DS45),ABS(Resultados!EB45)))</f>
        <v>727.76075805220614</v>
      </c>
      <c r="G45">
        <f>IF(COUNT(Resultados!G45,Resultados!P45,Resultados!Y45,Resultados!AH45,Resultados!AQ45,Resultados!AZ45,Resultados!BI45,Resultados!BR45,Resultados!CA45,Resultados!CJ45,Resultados!CS45,Resultados!DB45,Resultados!DK45,Resultados!DT45,Resultados!EC45)=0, "", AVERAGE(ABS(Resultados!G45),ABS(Resultados!P45),ABS(Resultados!Y45),ABS(Resultados!AH45),ABS(Resultados!AQ45),ABS(Resultados!AZ45),ABS(Resultados!BI45),ABS(Resultados!BR45),ABS(Resultados!CA45),ABS(Resultados!CJ45),ABS(Resultados!CS45),ABS(Resultados!DB45),ABS(Resultados!DK45),ABS(Resultados!DT45),ABS(Resultados!EC45)))</f>
        <v>0.42400000000000015</v>
      </c>
      <c r="H45">
        <f>IF(COUNT(Resultados!H45,Resultados!Q45,Resultados!Z45,Resultados!AI45,Resultados!AR45,Resultados!BA45,Resultados!BJ45,Resultados!BS45,Resultados!CB45,Resultados!CK45,Resultados!CT45,Resultados!DC45,Resultados!DL45,Resultados!DU45,Resultados!ED45)=0, "", AVERAGE(ABS(Resultados!H45),ABS(Resultados!Q45),ABS(Resultados!Z45),ABS(Resultados!AI45),ABS(Resultados!AR45),ABS(Resultados!BA45),ABS(Resultados!BJ45),ABS(Resultados!BS45),ABS(Resultados!CB45),ABS(Resultados!CK45),ABS(Resultados!CT45),ABS(Resultados!DC45),ABS(Resultados!DL45),ABS(Resultados!DU45),ABS(Resultados!ED45)))</f>
        <v>4.1799999999999997E-3</v>
      </c>
      <c r="I45">
        <f>IF(COUNT(Resultados!I45,Resultados!R45,Resultados!AA45,Resultados!AJ45,Resultados!AS45,Resultados!BB45,Resultados!BK45,Resultados!BT45,Resultados!CC45,Resultados!CL45,Resultados!CU45,Resultados!DD45,Resultados!DM45,Resultados!DV45,Resultados!EE45)=0, "", AVERAGE(ABS(Resultados!I45),ABS(Resultados!R45),ABS(Resultados!AA45),ABS(Resultados!AJ45),ABS(Resultados!AS45),ABS(Resultados!BB45),ABS(Resultados!BK45),ABS(Resultados!BT45),ABS(Resultados!CC45),ABS(Resultados!CL45),ABS(Resultados!CU45),ABS(Resultados!DD45),ABS(Resultados!DM45),ABS(Resultados!DV45),ABS(Resultados!EE45)))</f>
        <v>8.5990306666666694</v>
      </c>
    </row>
    <row r="46" spans="1:9" x14ac:dyDescent="0.3">
      <c r="A46">
        <f>IF(COUNT(Resultados!A46,Resultados!J46,Resultados!S46,Resultados!AB46,Resultados!AK46,Resultados!AT46,Resultados!BC46,Resultados!BL46,Resultados!BU46,Resultados!CD46,Resultados!CM46,Resultados!CV46,Resultados!DE46,Resultados!DN46,Resultados!DW46)=0, "", AVERAGE(ABS(Resultados!A46),ABS(Resultados!J46),ABS(Resultados!S46),ABS(Resultados!AB46),ABS(Resultados!AK46),ABS(Resultados!AT46),ABS(Resultados!BC46),ABS(Resultados!BL46),ABS(Resultados!BU46),ABS(Resultados!CD46),ABS(Resultados!CM46),ABS(Resultados!CV46),ABS(Resultados!DE46),ABS(Resultados!DN46),ABS(Resultados!DW46)))</f>
        <v>45681</v>
      </c>
      <c r="B46" t="str">
        <f>IF(COUNT(Resultados!B46,Resultados!K46,Resultados!T46,Resultados!AC46,Resultados!AL46,Resultados!AU46,Resultados!BD46,Resultados!BM46,Resultados!BV46,Resultados!CE46,Resultados!CN46,Resultados!CW46,Resultados!DF46,Resultados!DO46,Resultados!DX46)=0, "", AVERAGE(ABS(Resultados!B46),ABS(Resultados!K46),ABS(Resultados!T46),ABS(Resultados!AC46),ABS(Resultados!AL46),ABS(Resultados!AU46),ABS(Resultados!BD46),ABS(Resultados!BM46),ABS(Resultados!BV46),ABS(Resultados!CE46),ABS(Resultados!CN46),ABS(Resultados!CW46),ABS(Resultados!DF46),ABS(Resultados!DO46),ABS(Resultados!DX46)))</f>
        <v/>
      </c>
      <c r="C46">
        <f>IF(COUNT(Resultados!C46,Resultados!L46,Resultados!U46,Resultados!AD46,Resultados!AM46,Resultados!AV46,Resultados!BE46,Resultados!BN46,Resultados!BW46,Resultados!CF46,Resultados!CO46,Resultados!CX46,Resultados!DG46,Resultados!DP46,Resultados!DY46)=0, "", AVERAGE(ABS(Resultados!C46),ABS(Resultados!L46),ABS(Resultados!U46),ABS(Resultados!AD46),ABS(Resultados!AM46),ABS(Resultados!AV46),ABS(Resultados!BE46),ABS(Resultados!BN46),ABS(Resultados!BW46),ABS(Resultados!CF46),ABS(Resultados!CO46),ABS(Resultados!CX46),ABS(Resultados!DG46),ABS(Resultados!DP46),ABS(Resultados!DY46)))</f>
        <v>3</v>
      </c>
      <c r="D46">
        <f>IF(COUNT(Resultados!D46,Resultados!M46,Resultados!V46,Resultados!AE46,Resultados!AN46,Resultados!AW46,Resultados!BF46,Resultados!BO46,Resultados!BX46,Resultados!CG46,Resultados!CP46,Resultados!CY46,Resultados!DH46,Resultados!DQ46,Resultados!DZ46)=0, "", AVERAGE(ABS(Resultados!D46),ABS(Resultados!M46),ABS(Resultados!V46),ABS(Resultados!AE46),ABS(Resultados!AN46),ABS(Resultados!AW46),ABS(Resultados!BF46),ABS(Resultados!BO46),ABS(Resultados!BX46),ABS(Resultados!CG46),ABS(Resultados!CP46),ABS(Resultados!CY46),ABS(Resultados!DH46),ABS(Resultados!DQ46),ABS(Resultados!DZ46)))</f>
        <v>2.3400000000000001E-3</v>
      </c>
      <c r="E46">
        <f>IF(COUNT(Resultados!E46,Resultados!N46,Resultados!W46,Resultados!AF46,Resultados!AO46,Resultados!AX46,Resultados!BG46,Resultados!BP46,Resultados!BY46,Resultados!CH46,Resultados!CQ46,Resultados!CZ46,Resultados!DI46,Resultados!DR46,Resultados!EA46)=0, "", AVERAGE(ABS(Resultados!E46),ABS(Resultados!N46),ABS(Resultados!W46),ABS(Resultados!AF46),ABS(Resultados!AO46),ABS(Resultados!AX46),ABS(Resultados!BG46),ABS(Resultados!BP46),ABS(Resultados!BY46),ABS(Resultados!CH46),ABS(Resultados!CQ46),ABS(Resultados!CZ46),ABS(Resultados!DI46),ABS(Resultados!DR46),ABS(Resultados!EA46)))</f>
        <v>6.4348221526273575</v>
      </c>
      <c r="F46">
        <f>IF(COUNT(Resultados!F46,Resultados!O46,Resultados!X46,Resultados!AG46,Resultados!AP46,Resultados!AY46,Resultados!BH46,Resultados!BQ46,Resultados!BZ46,Resultados!CI46,Resultados!CR46,Resultados!DA46,Resultados!DJ46,Resultados!DS46,Resultados!EB46)=0, "", AVERAGE(ABS(Resultados!F46),ABS(Resultados!O46),ABS(Resultados!X46),ABS(Resultados!AG46),ABS(Resultados!AP46),ABS(Resultados!AY46),ABS(Resultados!BH46),ABS(Resultados!BQ46),ABS(Resultados!BZ46),ABS(Resultados!CI46),ABS(Resultados!CR46),ABS(Resultados!DA46),ABS(Resultados!DJ46),ABS(Resultados!DS46),ABS(Resultados!EB46)))</f>
        <v>743.84809261219505</v>
      </c>
      <c r="G46">
        <f>IF(COUNT(Resultados!G46,Resultados!P46,Resultados!Y46,Resultados!AH46,Resultados!AQ46,Resultados!AZ46,Resultados!BI46,Resultados!BR46,Resultados!CA46,Resultados!CJ46,Resultados!CS46,Resultados!DB46,Resultados!DK46,Resultados!DT46,Resultados!EC46)=0, "", AVERAGE(ABS(Resultados!G46),ABS(Resultados!P46),ABS(Resultados!Y46),ABS(Resultados!AH46),ABS(Resultados!AQ46),ABS(Resultados!AZ46),ABS(Resultados!BI46),ABS(Resultados!BR46),ABS(Resultados!CA46),ABS(Resultados!CJ46),ABS(Resultados!CS46),ABS(Resultados!DB46),ABS(Resultados!DK46),ABS(Resultados!DT46),ABS(Resultados!EC46)))</f>
        <v>0.42400000000000015</v>
      </c>
      <c r="H46">
        <f>IF(COUNT(Resultados!H46,Resultados!Q46,Resultados!Z46,Resultados!AI46,Resultados!AR46,Resultados!BA46,Resultados!BJ46,Resultados!BS46,Resultados!CB46,Resultados!CK46,Resultados!CT46,Resultados!DC46,Resultados!DL46,Resultados!DU46,Resultados!ED46)=0, "", AVERAGE(ABS(Resultados!H46),ABS(Resultados!Q46),ABS(Resultados!Z46),ABS(Resultados!AI46),ABS(Resultados!AR46),ABS(Resultados!BA46),ABS(Resultados!BJ46),ABS(Resultados!BS46),ABS(Resultados!CB46),ABS(Resultados!CK46),ABS(Resultados!CT46),ABS(Resultados!DC46),ABS(Resultados!DL46),ABS(Resultados!DU46),ABS(Resultados!ED46)))</f>
        <v>6.8333333333333336E-3</v>
      </c>
      <c r="I46">
        <f>IF(COUNT(Resultados!I46,Resultados!R46,Resultados!AA46,Resultados!AJ46,Resultados!AS46,Resultados!BB46,Resultados!BK46,Resultados!BT46,Resultados!CC46,Resultados!CL46,Resultados!CU46,Resultados!DD46,Resultados!DM46,Resultados!DV46,Resultados!EE46)=0, "", AVERAGE(ABS(Resultados!I46),ABS(Resultados!R46),ABS(Resultados!AA46),ABS(Resultados!AJ46),ABS(Resultados!AS46),ABS(Resultados!BB46),ABS(Resultados!BK46),ABS(Resultados!BT46),ABS(Resultados!CC46),ABS(Resultados!CL46),ABS(Resultados!CU46),ABS(Resultados!DD46),ABS(Resultados!DM46),ABS(Resultados!DV46),ABS(Resultados!EE46)))</f>
        <v>8.7989093333333326</v>
      </c>
    </row>
    <row r="47" spans="1:9" x14ac:dyDescent="0.3">
      <c r="A47">
        <f>IF(COUNT(Resultados!A47,Resultados!J47,Resultados!S47,Resultados!AB47,Resultados!AK47,Resultados!AT47,Resultados!BC47,Resultados!BL47,Resultados!BU47,Resultados!CD47,Resultados!CM47,Resultados!CV47,Resultados!DE47,Resultados!DN47,Resultados!DW47)=0, "", AVERAGE(ABS(Resultados!A47),ABS(Resultados!J47),ABS(Resultados!S47),ABS(Resultados!AB47),ABS(Resultados!AK47),ABS(Resultados!AT47),ABS(Resultados!BC47),ABS(Resultados!BL47),ABS(Resultados!BU47),ABS(Resultados!CD47),ABS(Resultados!CM47),ABS(Resultados!CV47),ABS(Resultados!DE47),ABS(Resultados!DN47),ABS(Resultados!DW47)))</f>
        <v>45681</v>
      </c>
      <c r="B47" t="str">
        <f>IF(COUNT(Resultados!B47,Resultados!K47,Resultados!T47,Resultados!AC47,Resultados!AL47,Resultados!AU47,Resultados!BD47,Resultados!BM47,Resultados!BV47,Resultados!CE47,Resultados!CN47,Resultados!CW47,Resultados!DF47,Resultados!DO47,Resultados!DX47)=0, "", AVERAGE(ABS(Resultados!B47),ABS(Resultados!K47),ABS(Resultados!T47),ABS(Resultados!AC47),ABS(Resultados!AL47),ABS(Resultados!AU47),ABS(Resultados!BD47),ABS(Resultados!BM47),ABS(Resultados!BV47),ABS(Resultados!CE47),ABS(Resultados!CN47),ABS(Resultados!CW47),ABS(Resultados!DF47),ABS(Resultados!DO47),ABS(Resultados!DX47)))</f>
        <v/>
      </c>
      <c r="C47">
        <f>IF(COUNT(Resultados!C47,Resultados!L47,Resultados!U47,Resultados!AD47,Resultados!AM47,Resultados!AV47,Resultados!BE47,Resultados!BN47,Resultados!BW47,Resultados!CF47,Resultados!CO47,Resultados!CX47,Resultados!DG47,Resultados!DP47,Resultados!DY47)=0, "", AVERAGE(ABS(Resultados!C47),ABS(Resultados!L47),ABS(Resultados!U47),ABS(Resultados!AD47),ABS(Resultados!AM47),ABS(Resultados!AV47),ABS(Resultados!BE47),ABS(Resultados!BN47),ABS(Resultados!BW47),ABS(Resultados!CF47),ABS(Resultados!CO47),ABS(Resultados!CX47),ABS(Resultados!DG47),ABS(Resultados!DP47),ABS(Resultados!DY47)))</f>
        <v>3</v>
      </c>
      <c r="D47">
        <f>IF(COUNT(Resultados!D47,Resultados!M47,Resultados!V47,Resultados!AE47,Resultados!AN47,Resultados!AW47,Resultados!BF47,Resultados!BO47,Resultados!BX47,Resultados!CG47,Resultados!CP47,Resultados!CY47,Resultados!DH47,Resultados!DQ47,Resultados!DZ47)=0, "", AVERAGE(ABS(Resultados!D47),ABS(Resultados!M47),ABS(Resultados!V47),ABS(Resultados!AE47),ABS(Resultados!AN47),ABS(Resultados!AW47),ABS(Resultados!BF47),ABS(Resultados!BO47),ABS(Resultados!BX47),ABS(Resultados!CG47),ABS(Resultados!CP47),ABS(Resultados!CY47),ABS(Resultados!DH47),ABS(Resultados!DQ47),ABS(Resultados!DZ47)))</f>
        <v>5.0200000000000002E-3</v>
      </c>
      <c r="E47">
        <f>IF(COUNT(Resultados!E47,Resultados!N47,Resultados!W47,Resultados!AF47,Resultados!AO47,Resultados!AX47,Resultados!BG47,Resultados!BP47,Resultados!BY47,Resultados!CH47,Resultados!CQ47,Resultados!CZ47,Resultados!DI47,Resultados!DR47,Resultados!EA47)=0, "", AVERAGE(ABS(Resultados!E47),ABS(Resultados!N47),ABS(Resultados!W47),ABS(Resultados!AF47),ABS(Resultados!AO47),ABS(Resultados!AX47),ABS(Resultados!BG47),ABS(Resultados!BP47),ABS(Resultados!BY47),ABS(Resultados!CH47),ABS(Resultados!CQ47),ABS(Resultados!CZ47),ABS(Resultados!DI47),ABS(Resultados!DR47),ABS(Resultados!EA47)))</f>
        <v>6.6278117519758393</v>
      </c>
      <c r="F47">
        <f>IF(COUNT(Resultados!F47,Resultados!O47,Resultados!X47,Resultados!AG47,Resultados!AP47,Resultados!AY47,Resultados!BH47,Resultados!BQ47,Resultados!BZ47,Resultados!CI47,Resultados!CR47,Resultados!DA47,Resultados!DJ47,Resultados!DS47,Resultados!EB47)=0, "", AVERAGE(ABS(Resultados!F47),ABS(Resultados!O47),ABS(Resultados!X47),ABS(Resultados!AG47),ABS(Resultados!AP47),ABS(Resultados!AY47),ABS(Resultados!BH47),ABS(Resultados!BQ47),ABS(Resultados!BZ47),ABS(Resultados!CI47),ABS(Resultados!CR47),ABS(Resultados!DA47),ABS(Resultados!DJ47),ABS(Resultados!DS47),ABS(Resultados!EB47)))</f>
        <v>762.16648514812118</v>
      </c>
      <c r="G47">
        <f>IF(COUNT(Resultados!G47,Resultados!P47,Resultados!Y47,Resultados!AH47,Resultados!AQ47,Resultados!AZ47,Resultados!BI47,Resultados!BR47,Resultados!CA47,Resultados!CJ47,Resultados!CS47,Resultados!DB47,Resultados!DK47,Resultados!DT47,Resultados!EC47)=0, "", AVERAGE(ABS(Resultados!G47),ABS(Resultados!P47),ABS(Resultados!Y47),ABS(Resultados!AH47),ABS(Resultados!AQ47),ABS(Resultados!AZ47),ABS(Resultados!BI47),ABS(Resultados!BR47),ABS(Resultados!CA47),ABS(Resultados!CJ47),ABS(Resultados!CS47),ABS(Resultados!DB47),ABS(Resultados!DK47),ABS(Resultados!DT47),ABS(Resultados!EC47)))</f>
        <v>0.42400000000000015</v>
      </c>
      <c r="H47">
        <f>IF(COUNT(Resultados!H47,Resultados!Q47,Resultados!Z47,Resultados!AI47,Resultados!AR47,Resultados!BA47,Resultados!BJ47,Resultados!BS47,Resultados!CB47,Resultados!CK47,Resultados!CT47,Resultados!DC47,Resultados!DL47,Resultados!DU47,Resultados!ED47)=0, "", AVERAGE(ABS(Resultados!H47),ABS(Resultados!Q47),ABS(Resultados!Z47),ABS(Resultados!AI47),ABS(Resultados!AR47),ABS(Resultados!BA47),ABS(Resultados!BJ47),ABS(Resultados!BS47),ABS(Resultados!CB47),ABS(Resultados!CK47),ABS(Resultados!CT47),ABS(Resultados!DC47),ABS(Resultados!DL47),ABS(Resultados!DU47),ABS(Resultados!ED47)))</f>
        <v>9.8133333333333336E-3</v>
      </c>
      <c r="I47">
        <f>IF(COUNT(Resultados!I47,Resultados!R47,Resultados!AA47,Resultados!AJ47,Resultados!AS47,Resultados!BB47,Resultados!BK47,Resultados!BT47,Resultados!CC47,Resultados!CL47,Resultados!CU47,Resultados!DD47,Resultados!DM47,Resultados!DV47,Resultados!EE47)=0, "", AVERAGE(ABS(Resultados!I47),ABS(Resultados!R47),ABS(Resultados!AA47),ABS(Resultados!AJ47),ABS(Resultados!AS47),ABS(Resultados!BB47),ABS(Resultados!BK47),ABS(Resultados!BT47),ABS(Resultados!CC47),ABS(Resultados!CL47),ABS(Resultados!CU47),ABS(Resultados!DD47),ABS(Resultados!DM47),ABS(Resultados!DV47),ABS(Resultados!EE47)))</f>
        <v>8.9990880000000004</v>
      </c>
    </row>
    <row r="48" spans="1:9" x14ac:dyDescent="0.3">
      <c r="A48">
        <f>IF(COUNT(Resultados!A48,Resultados!J48,Resultados!S48,Resultados!AB48,Resultados!AK48,Resultados!AT48,Resultados!BC48,Resultados!BL48,Resultados!BU48,Resultados!CD48,Resultados!CM48,Resultados!CV48,Resultados!DE48,Resultados!DN48,Resultados!DW48)=0, "", AVERAGE(ABS(Resultados!A48),ABS(Resultados!J48),ABS(Resultados!S48),ABS(Resultados!AB48),ABS(Resultados!AK48),ABS(Resultados!AT48),ABS(Resultados!BC48),ABS(Resultados!BL48),ABS(Resultados!BU48),ABS(Resultados!CD48),ABS(Resultados!CM48),ABS(Resultados!CV48),ABS(Resultados!DE48),ABS(Resultados!DN48),ABS(Resultados!DW48)))</f>
        <v>45681</v>
      </c>
      <c r="B48" t="str">
        <f>IF(COUNT(Resultados!B48,Resultados!K48,Resultados!T48,Resultados!AC48,Resultados!AL48,Resultados!AU48,Resultados!BD48,Resultados!BM48,Resultados!BV48,Resultados!CE48,Resultados!CN48,Resultados!CW48,Resultados!DF48,Resultados!DO48,Resultados!DX48)=0, "", AVERAGE(ABS(Resultados!B48),ABS(Resultados!K48),ABS(Resultados!T48),ABS(Resultados!AC48),ABS(Resultados!AL48),ABS(Resultados!AU48),ABS(Resultados!BD48),ABS(Resultados!BM48),ABS(Resultados!BV48),ABS(Resultados!CE48),ABS(Resultados!CN48),ABS(Resultados!CW48),ABS(Resultados!DF48),ABS(Resultados!DO48),ABS(Resultados!DX48)))</f>
        <v/>
      </c>
      <c r="C48">
        <f>IF(COUNT(Resultados!C48,Resultados!L48,Resultados!U48,Resultados!AD48,Resultados!AM48,Resultados!AV48,Resultados!BE48,Resultados!BN48,Resultados!BW48,Resultados!CF48,Resultados!CO48,Resultados!CX48,Resultados!DG48,Resultados!DP48,Resultados!DY48)=0, "", AVERAGE(ABS(Resultados!C48),ABS(Resultados!L48),ABS(Resultados!U48),ABS(Resultados!AD48),ABS(Resultados!AM48),ABS(Resultados!AV48),ABS(Resultados!BE48),ABS(Resultados!BN48),ABS(Resultados!BW48),ABS(Resultados!CF48),ABS(Resultados!CO48),ABS(Resultados!CX48),ABS(Resultados!DG48),ABS(Resultados!DP48),ABS(Resultados!DY48)))</f>
        <v>3</v>
      </c>
      <c r="D48">
        <f>IF(COUNT(Resultados!D48,Resultados!M48,Resultados!V48,Resultados!AE48,Resultados!AN48,Resultados!AW48,Resultados!BF48,Resultados!BO48,Resultados!BX48,Resultados!CG48,Resultados!CP48,Resultados!CY48,Resultados!DH48,Resultados!DQ48,Resultados!DZ48)=0, "", AVERAGE(ABS(Resultados!D48),ABS(Resultados!M48),ABS(Resultados!V48),ABS(Resultados!AE48),ABS(Resultados!AN48),ABS(Resultados!AW48),ABS(Resultados!BF48),ABS(Resultados!BO48),ABS(Resultados!BX48),ABS(Resultados!CG48),ABS(Resultados!CP48),ABS(Resultados!CY48),ABS(Resultados!DH48),ABS(Resultados!DQ48),ABS(Resultados!DZ48)))</f>
        <v>7.9266666666666669E-3</v>
      </c>
      <c r="E48">
        <f>IF(COUNT(Resultados!E48,Resultados!N48,Resultados!W48,Resultados!AF48,Resultados!AO48,Resultados!AX48,Resultados!BG48,Resultados!BP48,Resultados!BY48,Resultados!CH48,Resultados!CQ48,Resultados!CZ48,Resultados!DI48,Resultados!DR48,Resultados!EA48)=0, "", AVERAGE(ABS(Resultados!E48),ABS(Resultados!N48),ABS(Resultados!W48),ABS(Resultados!AF48),ABS(Resultados!AO48),ABS(Resultados!AX48),ABS(Resultados!BG48),ABS(Resultados!BP48),ABS(Resultados!BY48),ABS(Resultados!CH48),ABS(Resultados!CQ48),ABS(Resultados!CZ48),ABS(Resultados!DI48),ABS(Resultados!DR48),ABS(Resultados!EA48)))</f>
        <v>6.8251366335608772</v>
      </c>
      <c r="F48">
        <f>IF(COUNT(Resultados!F48,Resultados!O48,Resultados!X48,Resultados!AG48,Resultados!AP48,Resultados!AY48,Resultados!BH48,Resultados!BQ48,Resultados!BZ48,Resultados!CI48,Resultados!CR48,Resultados!DA48,Resultados!DJ48,Resultados!DS48,Resultados!EB48)=0, "", AVERAGE(ABS(Resultados!F48),ABS(Resultados!O48),ABS(Resultados!X48),ABS(Resultados!AG48),ABS(Resultados!AP48),ABS(Resultados!AY48),ABS(Resultados!BH48),ABS(Resultados!BQ48),ABS(Resultados!BZ48),ABS(Resultados!CI48),ABS(Resultados!CR48),ABS(Resultados!DA48),ABS(Resultados!DJ48),ABS(Resultados!DS48),ABS(Resultados!EB48)))</f>
        <v>787.70546652492715</v>
      </c>
      <c r="G48">
        <f>IF(COUNT(Resultados!G48,Resultados!P48,Resultados!Y48,Resultados!AH48,Resultados!AQ48,Resultados!AZ48,Resultados!BI48,Resultados!BR48,Resultados!CA48,Resultados!CJ48,Resultados!CS48,Resultados!DB48,Resultados!DK48,Resultados!DT48,Resultados!EC48)=0, "", AVERAGE(ABS(Resultados!G48),ABS(Resultados!P48),ABS(Resultados!Y48),ABS(Resultados!AH48),ABS(Resultados!AQ48),ABS(Resultados!AZ48),ABS(Resultados!BI48),ABS(Resultados!BR48),ABS(Resultados!CA48),ABS(Resultados!CJ48),ABS(Resultados!CS48),ABS(Resultados!DB48),ABS(Resultados!DK48),ABS(Resultados!DT48),ABS(Resultados!EC48)))</f>
        <v>0.42400000000000015</v>
      </c>
      <c r="H48">
        <f>IF(COUNT(Resultados!H48,Resultados!Q48,Resultados!Z48,Resultados!AI48,Resultados!AR48,Resultados!BA48,Resultados!BJ48,Resultados!BS48,Resultados!CB48,Resultados!CK48,Resultados!CT48,Resultados!DC48,Resultados!DL48,Resultados!DU48,Resultados!ED48)=0, "", AVERAGE(ABS(Resultados!H48),ABS(Resultados!Q48),ABS(Resultados!Z48),ABS(Resultados!AI48),ABS(Resultados!AR48),ABS(Resultados!BA48),ABS(Resultados!BJ48),ABS(Resultados!BS48),ABS(Resultados!CB48),ABS(Resultados!CK48),ABS(Resultados!CT48),ABS(Resultados!DC48),ABS(Resultados!DL48),ABS(Resultados!DU48),ABS(Resultados!ED48)))</f>
        <v>1.2893333333333337E-2</v>
      </c>
      <c r="I48">
        <f>IF(COUNT(Resultados!I48,Resultados!R48,Resultados!AA48,Resultados!AJ48,Resultados!AS48,Resultados!BB48,Resultados!BK48,Resultados!BT48,Resultados!CC48,Resultados!CL48,Resultados!CU48,Resultados!DD48,Resultados!DM48,Resultados!DV48,Resultados!EE48)=0, "", AVERAGE(ABS(Resultados!I48),ABS(Resultados!R48),ABS(Resultados!AA48),ABS(Resultados!AJ48),ABS(Resultados!AS48),ABS(Resultados!BB48),ABS(Resultados!BK48),ABS(Resultados!BT48),ABS(Resultados!CC48),ABS(Resultados!CL48),ABS(Resultados!CU48),ABS(Resultados!DD48),ABS(Resultados!DM48),ABS(Resultados!DV48),ABS(Resultados!EE48)))</f>
        <v>9.199262000000008</v>
      </c>
    </row>
    <row r="49" spans="1:9" x14ac:dyDescent="0.3">
      <c r="A49">
        <f>IF(COUNT(Resultados!A49,Resultados!J49,Resultados!S49,Resultados!AB49,Resultados!AK49,Resultados!AT49,Resultados!BC49,Resultados!BL49,Resultados!BU49,Resultados!CD49,Resultados!CM49,Resultados!CV49,Resultados!DE49,Resultados!DN49,Resultados!DW49)=0, "", AVERAGE(ABS(Resultados!A49),ABS(Resultados!J49),ABS(Resultados!S49),ABS(Resultados!AB49),ABS(Resultados!AK49),ABS(Resultados!AT49),ABS(Resultados!BC49),ABS(Resultados!BL49),ABS(Resultados!BU49),ABS(Resultados!CD49),ABS(Resultados!CM49),ABS(Resultados!CV49),ABS(Resultados!DE49),ABS(Resultados!DN49),ABS(Resultados!DW49)))</f>
        <v>45681</v>
      </c>
      <c r="B49" t="str">
        <f>IF(COUNT(Resultados!B49,Resultados!K49,Resultados!T49,Resultados!AC49,Resultados!AL49,Resultados!AU49,Resultados!BD49,Resultados!BM49,Resultados!BV49,Resultados!CE49,Resultados!CN49,Resultados!CW49,Resultados!DF49,Resultados!DO49,Resultados!DX49)=0, "", AVERAGE(ABS(Resultados!B49),ABS(Resultados!K49),ABS(Resultados!T49),ABS(Resultados!AC49),ABS(Resultados!AL49),ABS(Resultados!AU49),ABS(Resultados!BD49),ABS(Resultados!BM49),ABS(Resultados!BV49),ABS(Resultados!CE49),ABS(Resultados!CN49),ABS(Resultados!CW49),ABS(Resultados!DF49),ABS(Resultados!DO49),ABS(Resultados!DX49)))</f>
        <v/>
      </c>
      <c r="C49">
        <f>IF(COUNT(Resultados!C49,Resultados!L49,Resultados!U49,Resultados!AD49,Resultados!AM49,Resultados!AV49,Resultados!BE49,Resultados!BN49,Resultados!BW49,Resultados!CF49,Resultados!CO49,Resultados!CX49,Resultados!DG49,Resultados!DP49,Resultados!DY49)=0, "", AVERAGE(ABS(Resultados!C49),ABS(Resultados!L49),ABS(Resultados!U49),ABS(Resultados!AD49),ABS(Resultados!AM49),ABS(Resultados!AV49),ABS(Resultados!BE49),ABS(Resultados!BN49),ABS(Resultados!BW49),ABS(Resultados!CF49),ABS(Resultados!CO49),ABS(Resultados!CX49),ABS(Resultados!DG49),ABS(Resultados!DP49),ABS(Resultados!DY49)))</f>
        <v>3</v>
      </c>
      <c r="D49">
        <f>IF(COUNT(Resultados!D49,Resultados!M49,Resultados!V49,Resultados!AE49,Resultados!AN49,Resultados!AW49,Resultados!BF49,Resultados!BO49,Resultados!BX49,Resultados!CG49,Resultados!CP49,Resultados!CY49,Resultados!DH49,Resultados!DQ49,Resultados!DZ49)=0, "", AVERAGE(ABS(Resultados!D49),ABS(Resultados!M49),ABS(Resultados!V49),ABS(Resultados!AE49),ABS(Resultados!AN49),ABS(Resultados!AW49),ABS(Resultados!BF49),ABS(Resultados!BO49),ABS(Resultados!BX49),ABS(Resultados!CG49),ABS(Resultados!CP49),ABS(Resultados!CY49),ABS(Resultados!DH49),ABS(Resultados!DQ49),ABS(Resultados!DZ49)))</f>
        <v>1.0706666666666666E-2</v>
      </c>
      <c r="E49">
        <f>IF(COUNT(Resultados!E49,Resultados!N49,Resultados!W49,Resultados!AF49,Resultados!AO49,Resultados!AX49,Resultados!BG49,Resultados!BP49,Resultados!BY49,Resultados!CH49,Resultados!CQ49,Resultados!CZ49,Resultados!DI49,Resultados!DR49,Resultados!EA49)=0, "", AVERAGE(ABS(Resultados!E49),ABS(Resultados!N49),ABS(Resultados!W49),ABS(Resultados!AF49),ABS(Resultados!AO49),ABS(Resultados!AX49),ABS(Resultados!BG49),ABS(Resultados!BP49),ABS(Resultados!BY49),ABS(Resultados!CH49),ABS(Resultados!CQ49),ABS(Resultados!CZ49),ABS(Resultados!DI49),ABS(Resultados!DR49),ABS(Resultados!EA49)))</f>
        <v>7.0066959726270239</v>
      </c>
      <c r="F49">
        <f>IF(COUNT(Resultados!F49,Resultados!O49,Resultados!X49,Resultados!AG49,Resultados!AP49,Resultados!AY49,Resultados!BH49,Resultados!BQ49,Resultados!BZ49,Resultados!CI49,Resultados!CR49,Resultados!DA49,Resultados!DJ49,Resultados!DS49,Resultados!EB49)=0, "", AVERAGE(ABS(Resultados!F49),ABS(Resultados!O49),ABS(Resultados!X49),ABS(Resultados!AG49),ABS(Resultados!AP49),ABS(Resultados!AY49),ABS(Resultados!BH49),ABS(Resultados!BQ49),ABS(Resultados!BZ49),ABS(Resultados!CI49),ABS(Resultados!CR49),ABS(Resultados!DA49),ABS(Resultados!DJ49),ABS(Resultados!DS49),ABS(Resultados!EB49)))</f>
        <v>804.93544780230457</v>
      </c>
      <c r="G49">
        <f>IF(COUNT(Resultados!G49,Resultados!P49,Resultados!Y49,Resultados!AH49,Resultados!AQ49,Resultados!AZ49,Resultados!BI49,Resultados!BR49,Resultados!CA49,Resultados!CJ49,Resultados!CS49,Resultados!DB49,Resultados!DK49,Resultados!DT49,Resultados!EC49)=0, "", AVERAGE(ABS(Resultados!G49),ABS(Resultados!P49),ABS(Resultados!Y49),ABS(Resultados!AH49),ABS(Resultados!AQ49),ABS(Resultados!AZ49),ABS(Resultados!BI49),ABS(Resultados!BR49),ABS(Resultados!CA49),ABS(Resultados!CJ49),ABS(Resultados!CS49),ABS(Resultados!DB49),ABS(Resultados!DK49),ABS(Resultados!DT49),ABS(Resultados!EC49)))</f>
        <v>0.42400000000000015</v>
      </c>
      <c r="H49">
        <f>IF(COUNT(Resultados!H49,Resultados!Q49,Resultados!Z49,Resultados!AI49,Resultados!AR49,Resultados!BA49,Resultados!BJ49,Resultados!BS49,Resultados!CB49,Resultados!CK49,Resultados!CT49,Resultados!DC49,Resultados!DL49,Resultados!DU49,Resultados!ED49)=0, "", AVERAGE(ABS(Resultados!H49),ABS(Resultados!Q49),ABS(Resultados!Z49),ABS(Resultados!AI49),ABS(Resultados!AR49),ABS(Resultados!BA49),ABS(Resultados!BJ49),ABS(Resultados!BS49),ABS(Resultados!CB49),ABS(Resultados!CK49),ABS(Resultados!CT49),ABS(Resultados!DC49),ABS(Resultados!DL49),ABS(Resultados!DU49),ABS(Resultados!ED49)))</f>
        <v>1.5713333333333329E-2</v>
      </c>
      <c r="I49">
        <f>IF(COUNT(Resultados!I49,Resultados!R49,Resultados!AA49,Resultados!AJ49,Resultados!AS49,Resultados!BB49,Resultados!BK49,Resultados!BT49,Resultados!CC49,Resultados!CL49,Resultados!CU49,Resultados!DD49,Resultados!DM49,Resultados!DV49,Resultados!EE49)=0, "", AVERAGE(ABS(Resultados!I49),ABS(Resultados!R49),ABS(Resultados!AA49),ABS(Resultados!AJ49),ABS(Resultados!AS49),ABS(Resultados!BB49),ABS(Resultados!BK49),ABS(Resultados!BT49),ABS(Resultados!CC49),ABS(Resultados!CL49),ABS(Resultados!CU49),ABS(Resultados!DD49),ABS(Resultados!DM49),ABS(Resultados!DV49),ABS(Resultados!EE49)))</f>
        <v>9.3987546666666724</v>
      </c>
    </row>
    <row r="50" spans="1:9" x14ac:dyDescent="0.3">
      <c r="A50">
        <f>IF(COUNT(Resultados!A50,Resultados!J50,Resultados!S50,Resultados!AB50,Resultados!AK50,Resultados!AT50,Resultados!BC50,Resultados!BL50,Resultados!BU50,Resultados!CD50,Resultados!CM50,Resultados!CV50,Resultados!DE50,Resultados!DN50,Resultados!DW50)=0, "", AVERAGE(ABS(Resultados!A50),ABS(Resultados!J50),ABS(Resultados!S50),ABS(Resultados!AB50),ABS(Resultados!AK50),ABS(Resultados!AT50),ABS(Resultados!BC50),ABS(Resultados!BL50),ABS(Resultados!BU50),ABS(Resultados!CD50),ABS(Resultados!CM50),ABS(Resultados!CV50),ABS(Resultados!DE50),ABS(Resultados!DN50),ABS(Resultados!DW50)))</f>
        <v>45681</v>
      </c>
      <c r="B50" t="str">
        <f>IF(COUNT(Resultados!B50,Resultados!K50,Resultados!T50,Resultados!AC50,Resultados!AL50,Resultados!AU50,Resultados!BD50,Resultados!BM50,Resultados!BV50,Resultados!CE50,Resultados!CN50,Resultados!CW50,Resultados!DF50,Resultados!DO50,Resultados!DX50)=0, "", AVERAGE(ABS(Resultados!B50),ABS(Resultados!K50),ABS(Resultados!T50),ABS(Resultados!AC50),ABS(Resultados!AL50),ABS(Resultados!AU50),ABS(Resultados!BD50),ABS(Resultados!BM50),ABS(Resultados!BV50),ABS(Resultados!CE50),ABS(Resultados!CN50),ABS(Resultados!CW50),ABS(Resultados!DF50),ABS(Resultados!DO50),ABS(Resultados!DX50)))</f>
        <v/>
      </c>
      <c r="C50">
        <f>IF(COUNT(Resultados!C50,Resultados!L50,Resultados!U50,Resultados!AD50,Resultados!AM50,Resultados!AV50,Resultados!BE50,Resultados!BN50,Resultados!BW50,Resultados!CF50,Resultados!CO50,Resultados!CX50,Resultados!DG50,Resultados!DP50,Resultados!DY50)=0, "", AVERAGE(ABS(Resultados!C50),ABS(Resultados!L50),ABS(Resultados!U50),ABS(Resultados!AD50),ABS(Resultados!AM50),ABS(Resultados!AV50),ABS(Resultados!BE50),ABS(Resultados!BN50),ABS(Resultados!BW50),ABS(Resultados!CF50),ABS(Resultados!CO50),ABS(Resultados!CX50),ABS(Resultados!DG50),ABS(Resultados!DP50),ABS(Resultados!DY50)))</f>
        <v>3</v>
      </c>
      <c r="D50">
        <f>IF(COUNT(Resultados!D50,Resultados!M50,Resultados!V50,Resultados!AE50,Resultados!AN50,Resultados!AW50,Resultados!BF50,Resultados!BO50,Resultados!BX50,Resultados!CG50,Resultados!CP50,Resultados!CY50,Resultados!DH50,Resultados!DQ50,Resultados!DZ50)=0, "", AVERAGE(ABS(Resultados!D50),ABS(Resultados!M50),ABS(Resultados!V50),ABS(Resultados!AE50),ABS(Resultados!AN50),ABS(Resultados!AW50),ABS(Resultados!BF50),ABS(Resultados!BO50),ABS(Resultados!BX50),ABS(Resultados!CG50),ABS(Resultados!CP50),ABS(Resultados!CY50),ABS(Resultados!DH50),ABS(Resultados!DQ50),ABS(Resultados!DZ50)))</f>
        <v>1.3073333333333333E-2</v>
      </c>
      <c r="E50">
        <f>IF(COUNT(Resultados!E50,Resultados!N50,Resultados!W50,Resultados!AF50,Resultados!AO50,Resultados!AX50,Resultados!BG50,Resultados!BP50,Resultados!BY50,Resultados!CH50,Resultados!CQ50,Resultados!CZ50,Resultados!DI50,Resultados!DR50,Resultados!EA50)=0, "", AVERAGE(ABS(Resultados!E50),ABS(Resultados!N50),ABS(Resultados!W50),ABS(Resultados!AF50),ABS(Resultados!AO50),ABS(Resultados!AX50),ABS(Resultados!BG50),ABS(Resultados!BP50),ABS(Resultados!BY50),ABS(Resultados!CH50),ABS(Resultados!CQ50),ABS(Resultados!CZ50),ABS(Resultados!DI50),ABS(Resultados!DR50),ABS(Resultados!EA50)))</f>
        <v>7.1559214132829387</v>
      </c>
      <c r="F50">
        <f>IF(COUNT(Resultados!F50,Resultados!O50,Resultados!X50,Resultados!AG50,Resultados!AP50,Resultados!AY50,Resultados!BH50,Resultados!BQ50,Resultados!BZ50,Resultados!CI50,Resultados!CR50,Resultados!DA50,Resultados!DJ50,Resultados!DS50,Resultados!EB50)=0, "", AVERAGE(ABS(Resultados!F50),ABS(Resultados!O50),ABS(Resultados!X50),ABS(Resultados!AG50),ABS(Resultados!AP50),ABS(Resultados!AY50),ABS(Resultados!BH50),ABS(Resultados!BQ50),ABS(Resultados!BZ50),ABS(Resultados!CI50),ABS(Resultados!CR50),ABS(Resultados!DA50),ABS(Resultados!DJ50),ABS(Resultados!DS50),ABS(Resultados!EB50)))</f>
        <v>819.09694212055081</v>
      </c>
      <c r="G50">
        <f>IF(COUNT(Resultados!G50,Resultados!P50,Resultados!Y50,Resultados!AH50,Resultados!AQ50,Resultados!AZ50,Resultados!BI50,Resultados!BR50,Resultados!CA50,Resultados!CJ50,Resultados!CS50,Resultados!DB50,Resultados!DK50,Resultados!DT50,Resultados!EC50)=0, "", AVERAGE(ABS(Resultados!G50),ABS(Resultados!P50),ABS(Resultados!Y50),ABS(Resultados!AH50),ABS(Resultados!AQ50),ABS(Resultados!AZ50),ABS(Resultados!BI50),ABS(Resultados!BR50),ABS(Resultados!CA50),ABS(Resultados!CJ50),ABS(Resultados!CS50),ABS(Resultados!DB50),ABS(Resultados!DK50),ABS(Resultados!DT50),ABS(Resultados!EC50)))</f>
        <v>0.42400000000000015</v>
      </c>
      <c r="H50">
        <f>IF(COUNT(Resultados!H50,Resultados!Q50,Resultados!Z50,Resultados!AI50,Resultados!AR50,Resultados!BA50,Resultados!BJ50,Resultados!BS50,Resultados!CB50,Resultados!CK50,Resultados!CT50,Resultados!DC50,Resultados!DL50,Resultados!DU50,Resultados!ED50)=0, "", AVERAGE(ABS(Resultados!H50),ABS(Resultados!Q50),ABS(Resultados!Z50),ABS(Resultados!AI50),ABS(Resultados!AR50),ABS(Resultados!BA50),ABS(Resultados!BJ50),ABS(Resultados!BS50),ABS(Resultados!CB50),ABS(Resultados!CK50),ABS(Resultados!CT50),ABS(Resultados!DC50),ABS(Resultados!DL50),ABS(Resultados!DU50),ABS(Resultados!ED50)))</f>
        <v>1.8019999999999998E-2</v>
      </c>
      <c r="I50">
        <f>IF(COUNT(Resultados!I50,Resultados!R50,Resultados!AA50,Resultados!AJ50,Resultados!AS50,Resultados!BB50,Resultados!BK50,Resultados!BT50,Resultados!CC50,Resultados!CL50,Resultados!CU50,Resultados!DD50,Resultados!DM50,Resultados!DV50,Resultados!EE50)=0, "", AVERAGE(ABS(Resultados!I50),ABS(Resultados!R50),ABS(Resultados!AA50),ABS(Resultados!AJ50),ABS(Resultados!AS50),ABS(Resultados!BB50),ABS(Resultados!BK50),ABS(Resultados!BT50),ABS(Resultados!CC50),ABS(Resultados!CL50),ABS(Resultados!CU50),ABS(Resultados!DD50),ABS(Resultados!DM50),ABS(Resultados!DV50),ABS(Resultados!EE50)))</f>
        <v>9.5986626666666712</v>
      </c>
    </row>
    <row r="51" spans="1:9" x14ac:dyDescent="0.3">
      <c r="A51">
        <f>IF(COUNT(Resultados!A51,Resultados!J51,Resultados!S51,Resultados!AB51,Resultados!AK51,Resultados!AT51,Resultados!BC51,Resultados!BL51,Resultados!BU51,Resultados!CD51,Resultados!CM51,Resultados!CV51,Resultados!DE51,Resultados!DN51,Resultados!DW51)=0, "", AVERAGE(ABS(Resultados!A51),ABS(Resultados!J51),ABS(Resultados!S51),ABS(Resultados!AB51),ABS(Resultados!AK51),ABS(Resultados!AT51),ABS(Resultados!BC51),ABS(Resultados!BL51),ABS(Resultados!BU51),ABS(Resultados!CD51),ABS(Resultados!CM51),ABS(Resultados!CV51),ABS(Resultados!DE51),ABS(Resultados!DN51),ABS(Resultados!DW51)))</f>
        <v>45681</v>
      </c>
      <c r="B51" t="str">
        <f>IF(COUNT(Resultados!B51,Resultados!K51,Resultados!T51,Resultados!AC51,Resultados!AL51,Resultados!AU51,Resultados!BD51,Resultados!BM51,Resultados!BV51,Resultados!CE51,Resultados!CN51,Resultados!CW51,Resultados!DF51,Resultados!DO51,Resultados!DX51)=0, "", AVERAGE(ABS(Resultados!B51),ABS(Resultados!K51),ABS(Resultados!T51),ABS(Resultados!AC51),ABS(Resultados!AL51),ABS(Resultados!AU51),ABS(Resultados!BD51),ABS(Resultados!BM51),ABS(Resultados!BV51),ABS(Resultados!CE51),ABS(Resultados!CN51),ABS(Resultados!CW51),ABS(Resultados!DF51),ABS(Resultados!DO51),ABS(Resultados!DX51)))</f>
        <v/>
      </c>
      <c r="C51">
        <f>IF(COUNT(Resultados!C51,Resultados!L51,Resultados!U51,Resultados!AD51,Resultados!AM51,Resultados!AV51,Resultados!BE51,Resultados!BN51,Resultados!BW51,Resultados!CF51,Resultados!CO51,Resultados!CX51,Resultados!DG51,Resultados!DP51,Resultados!DY51)=0, "", AVERAGE(ABS(Resultados!C51),ABS(Resultados!L51),ABS(Resultados!U51),ABS(Resultados!AD51),ABS(Resultados!AM51),ABS(Resultados!AV51),ABS(Resultados!BE51),ABS(Resultados!BN51),ABS(Resultados!BW51),ABS(Resultados!CF51),ABS(Resultados!CO51),ABS(Resultados!CX51),ABS(Resultados!DG51),ABS(Resultados!DP51),ABS(Resultados!DY51)))</f>
        <v>3</v>
      </c>
      <c r="D51">
        <f>IF(COUNT(Resultados!D51,Resultados!M51,Resultados!V51,Resultados!AE51,Resultados!AN51,Resultados!AW51,Resultados!BF51,Resultados!BO51,Resultados!BX51,Resultados!CG51,Resultados!CP51,Resultados!CY51,Resultados!DH51,Resultados!DQ51,Resultados!DZ51)=0, "", AVERAGE(ABS(Resultados!D51),ABS(Resultados!M51),ABS(Resultados!V51),ABS(Resultados!AE51),ABS(Resultados!AN51),ABS(Resultados!AW51),ABS(Resultados!BF51),ABS(Resultados!BO51),ABS(Resultados!BX51),ABS(Resultados!CG51),ABS(Resultados!CP51),ABS(Resultados!CY51),ABS(Resultados!DH51),ABS(Resultados!DQ51),ABS(Resultados!DZ51)))</f>
        <v>1.5153333333333335E-2</v>
      </c>
      <c r="E51">
        <f>IF(COUNT(Resultados!E51,Resultados!N51,Resultados!W51,Resultados!AF51,Resultados!AO51,Resultados!AX51,Resultados!BG51,Resultados!BP51,Resultados!BY51,Resultados!CH51,Resultados!CQ51,Resultados!CZ51,Resultados!DI51,Resultados!DR51,Resultados!EA51)=0, "", AVERAGE(ABS(Resultados!E51),ABS(Resultados!N51),ABS(Resultados!W51),ABS(Resultados!AF51),ABS(Resultados!AO51),ABS(Resultados!AX51),ABS(Resultados!BG51),ABS(Resultados!BP51),ABS(Resultados!BY51),ABS(Resultados!CH51),ABS(Resultados!CQ51),ABS(Resultados!CZ51),ABS(Resultados!DI51),ABS(Resultados!DR51),ABS(Resultados!EA51)))</f>
        <v>7.2579479258670307</v>
      </c>
      <c r="F51">
        <f>IF(COUNT(Resultados!F51,Resultados!O51,Resultados!X51,Resultados!AG51,Resultados!AP51,Resultados!AY51,Resultados!BH51,Resultados!BQ51,Resultados!BZ51,Resultados!CI51,Resultados!CR51,Resultados!DA51,Resultados!DJ51,Resultados!DS51,Resultados!EB51)=0, "", AVERAGE(ABS(Resultados!F51),ABS(Resultados!O51),ABS(Resultados!X51),ABS(Resultados!AG51),ABS(Resultados!AP51),ABS(Resultados!AY51),ABS(Resultados!BH51),ABS(Resultados!BQ51),ABS(Resultados!BZ51),ABS(Resultados!CI51),ABS(Resultados!CR51),ABS(Resultados!DA51),ABS(Resultados!DJ51),ABS(Resultados!DS51),ABS(Resultados!EB51)))</f>
        <v>828.77925816478148</v>
      </c>
      <c r="G51">
        <f>IF(COUNT(Resultados!G51,Resultados!P51,Resultados!Y51,Resultados!AH51,Resultados!AQ51,Resultados!AZ51,Resultados!BI51,Resultados!BR51,Resultados!CA51,Resultados!CJ51,Resultados!CS51,Resultados!DB51,Resultados!DK51,Resultados!DT51,Resultados!EC51)=0, "", AVERAGE(ABS(Resultados!G51),ABS(Resultados!P51),ABS(Resultados!Y51),ABS(Resultados!AH51),ABS(Resultados!AQ51),ABS(Resultados!AZ51),ABS(Resultados!BI51),ABS(Resultados!BR51),ABS(Resultados!CA51),ABS(Resultados!CJ51),ABS(Resultados!CS51),ABS(Resultados!DB51),ABS(Resultados!DK51),ABS(Resultados!DT51),ABS(Resultados!EC51)))</f>
        <v>0.42400000000000015</v>
      </c>
      <c r="H51">
        <f>IF(COUNT(Resultados!H51,Resultados!Q51,Resultados!Z51,Resultados!AI51,Resultados!AR51,Resultados!BA51,Resultados!BJ51,Resultados!BS51,Resultados!CB51,Resultados!CK51,Resultados!CT51,Resultados!DC51,Resultados!DL51,Resultados!DU51,Resultados!ED51)=0, "", AVERAGE(ABS(Resultados!H51),ABS(Resultados!Q51),ABS(Resultados!Z51),ABS(Resultados!AI51),ABS(Resultados!AR51),ABS(Resultados!BA51),ABS(Resultados!BJ51),ABS(Resultados!BS51),ABS(Resultados!CB51),ABS(Resultados!CK51),ABS(Resultados!CT51),ABS(Resultados!DC51),ABS(Resultados!DL51),ABS(Resultados!DU51),ABS(Resultados!ED51)))</f>
        <v>1.9620000000000002E-2</v>
      </c>
      <c r="I51">
        <f>IF(COUNT(Resultados!I51,Resultados!R51,Resultados!AA51,Resultados!AJ51,Resultados!AS51,Resultados!BB51,Resultados!BK51,Resultados!BT51,Resultados!CC51,Resultados!CL51,Resultados!CU51,Resultados!DD51,Resultados!DM51,Resultados!DV51,Resultados!EE51)=0, "", AVERAGE(ABS(Resultados!I51),ABS(Resultados!R51),ABS(Resultados!AA51),ABS(Resultados!AJ51),ABS(Resultados!AS51),ABS(Resultados!BB51),ABS(Resultados!BK51),ABS(Resultados!BT51),ABS(Resultados!CC51),ABS(Resultados!CL51),ABS(Resultados!CU51),ABS(Resultados!DD51),ABS(Resultados!DM51),ABS(Resultados!DV51),ABS(Resultados!EE51)))</f>
        <v>9.7989693333333356</v>
      </c>
    </row>
    <row r="52" spans="1:9" x14ac:dyDescent="0.3">
      <c r="A52">
        <f>IF(COUNT(Resultados!A52,Resultados!J52,Resultados!S52,Resultados!AB52,Resultados!AK52,Resultados!AT52,Resultados!BC52,Resultados!BL52,Resultados!BU52,Resultados!CD52,Resultados!CM52,Resultados!CV52,Resultados!DE52,Resultados!DN52,Resultados!DW52)=0, "", AVERAGE(ABS(Resultados!A52),ABS(Resultados!J52),ABS(Resultados!S52),ABS(Resultados!AB52),ABS(Resultados!AK52),ABS(Resultados!AT52),ABS(Resultados!BC52),ABS(Resultados!BL52),ABS(Resultados!BU52),ABS(Resultados!CD52),ABS(Resultados!CM52),ABS(Resultados!CV52),ABS(Resultados!DE52),ABS(Resultados!DN52),ABS(Resultados!DW52)))</f>
        <v>45681</v>
      </c>
      <c r="B52" t="str">
        <f>IF(COUNT(Resultados!B52,Resultados!K52,Resultados!T52,Resultados!AC52,Resultados!AL52,Resultados!AU52,Resultados!BD52,Resultados!BM52,Resultados!BV52,Resultados!CE52,Resultados!CN52,Resultados!CW52,Resultados!DF52,Resultados!DO52,Resultados!DX52)=0, "", AVERAGE(ABS(Resultados!B52),ABS(Resultados!K52),ABS(Resultados!T52),ABS(Resultados!AC52),ABS(Resultados!AL52),ABS(Resultados!AU52),ABS(Resultados!BD52),ABS(Resultados!BM52),ABS(Resultados!BV52),ABS(Resultados!CE52),ABS(Resultados!CN52),ABS(Resultados!CW52),ABS(Resultados!DF52),ABS(Resultados!DO52),ABS(Resultados!DX52)))</f>
        <v/>
      </c>
      <c r="C52">
        <f>IF(COUNT(Resultados!C52,Resultados!L52,Resultados!U52,Resultados!AD52,Resultados!AM52,Resultados!AV52,Resultados!BE52,Resultados!BN52,Resultados!BW52,Resultados!CF52,Resultados!CO52,Resultados!CX52,Resultados!DG52,Resultados!DP52,Resultados!DY52)=0, "", AVERAGE(ABS(Resultados!C52),ABS(Resultados!L52),ABS(Resultados!U52),ABS(Resultados!AD52),ABS(Resultados!AM52),ABS(Resultados!AV52),ABS(Resultados!BE52),ABS(Resultados!BN52),ABS(Resultados!BW52),ABS(Resultados!CF52),ABS(Resultados!CO52),ABS(Resultados!CX52),ABS(Resultados!DG52),ABS(Resultados!DP52),ABS(Resultados!DY52)))</f>
        <v>3</v>
      </c>
      <c r="D52">
        <f>IF(COUNT(Resultados!D52,Resultados!M52,Resultados!V52,Resultados!AE52,Resultados!AN52,Resultados!AW52,Resultados!BF52,Resultados!BO52,Resultados!BX52,Resultados!CG52,Resultados!CP52,Resultados!CY52,Resultados!DH52,Resultados!DQ52,Resultados!DZ52)=0, "", AVERAGE(ABS(Resultados!D52),ABS(Resultados!M52),ABS(Resultados!V52),ABS(Resultados!AE52),ABS(Resultados!AN52),ABS(Resultados!AW52),ABS(Resultados!BF52),ABS(Resultados!BO52),ABS(Resultados!BX52),ABS(Resultados!CG52),ABS(Resultados!CP52),ABS(Resultados!CY52),ABS(Resultados!DH52),ABS(Resultados!DQ52),ABS(Resultados!DZ52)))</f>
        <v>1.6773333333333338E-2</v>
      </c>
      <c r="E52">
        <f>IF(COUNT(Resultados!E52,Resultados!N52,Resultados!W52,Resultados!AF52,Resultados!AO52,Resultados!AX52,Resultados!BG52,Resultados!BP52,Resultados!BY52,Resultados!CH52,Resultados!CQ52,Resultados!CZ52,Resultados!DI52,Resultados!DR52,Resultados!EA52)=0, "", AVERAGE(ABS(Resultados!E52),ABS(Resultados!N52),ABS(Resultados!W52),ABS(Resultados!AF52),ABS(Resultados!AO52),ABS(Resultados!AX52),ABS(Resultados!BG52),ABS(Resultados!BP52),ABS(Resultados!BY52),ABS(Resultados!CH52),ABS(Resultados!CQ52),ABS(Resultados!CZ52),ABS(Resultados!DI52),ABS(Resultados!DR52),ABS(Resultados!EA52)))</f>
        <v>7.3024059284350109</v>
      </c>
      <c r="F52">
        <f>IF(COUNT(Resultados!F52,Resultados!O52,Resultados!X52,Resultados!AG52,Resultados!AP52,Resultados!AY52,Resultados!BH52,Resultados!BQ52,Resultados!BZ52,Resultados!CI52,Resultados!CR52,Resultados!DA52,Resultados!DJ52,Resultados!DS52,Resultados!EB52)=0, "", AVERAGE(ABS(Resultados!F52),ABS(Resultados!O52),ABS(Resultados!X52),ABS(Resultados!AG52),ABS(Resultados!AP52),ABS(Resultados!AY52),ABS(Resultados!BH52),ABS(Resultados!BQ52),ABS(Resultados!BZ52),ABS(Resultados!CI52),ABS(Resultados!CR52),ABS(Resultados!DA52),ABS(Resultados!DJ52),ABS(Resultados!DS52),ABS(Resultados!EB52)))</f>
        <v>832.99832260848257</v>
      </c>
      <c r="G52">
        <f>IF(COUNT(Resultados!G52,Resultados!P52,Resultados!Y52,Resultados!AH52,Resultados!AQ52,Resultados!AZ52,Resultados!BI52,Resultados!BR52,Resultados!CA52,Resultados!CJ52,Resultados!CS52,Resultados!DB52,Resultados!DK52,Resultados!DT52,Resultados!EC52)=0, "", AVERAGE(ABS(Resultados!G52),ABS(Resultados!P52),ABS(Resultados!Y52),ABS(Resultados!AH52),ABS(Resultados!AQ52),ABS(Resultados!AZ52),ABS(Resultados!BI52),ABS(Resultados!BR52),ABS(Resultados!CA52),ABS(Resultados!CJ52),ABS(Resultados!CS52),ABS(Resultados!DB52),ABS(Resultados!DK52),ABS(Resultados!DT52),ABS(Resultados!EC52)))</f>
        <v>0.42400000000000015</v>
      </c>
      <c r="H52">
        <f>IF(COUNT(Resultados!H52,Resultados!Q52,Resultados!Z52,Resultados!AI52,Resultados!AR52,Resultados!BA52,Resultados!BJ52,Resultados!BS52,Resultados!CB52,Resultados!CK52,Resultados!CT52,Resultados!DC52,Resultados!DL52,Resultados!DU52,Resultados!ED52)=0, "", AVERAGE(ABS(Resultados!H52),ABS(Resultados!Q52),ABS(Resultados!Z52),ABS(Resultados!AI52),ABS(Resultados!AR52),ABS(Resultados!BA52),ABS(Resultados!BJ52),ABS(Resultados!BS52),ABS(Resultados!CB52),ABS(Resultados!CK52),ABS(Resultados!CT52),ABS(Resultados!DC52),ABS(Resultados!DL52),ABS(Resultados!DU52),ABS(Resultados!ED52)))</f>
        <v>2.0299999999999999E-2</v>
      </c>
      <c r="I52">
        <f>IF(COUNT(Resultados!I52,Resultados!R52,Resultados!AA52,Resultados!AJ52,Resultados!AS52,Resultados!BB52,Resultados!BK52,Resultados!BT52,Resultados!CC52,Resultados!CL52,Resultados!CU52,Resultados!DD52,Resultados!DM52,Resultados!DV52,Resultados!EE52)=0, "", AVERAGE(ABS(Resultados!I52),ABS(Resultados!R52),ABS(Resultados!AA52),ABS(Resultados!AJ52),ABS(Resultados!AS52),ABS(Resultados!BB52),ABS(Resultados!BK52),ABS(Resultados!BT52),ABS(Resultados!CC52),ABS(Resultados!CL52),ABS(Resultados!CU52),ABS(Resultados!DD52),ABS(Resultados!DM52),ABS(Resultados!DV52),ABS(Resultados!EE52)))</f>
        <v>9.9989900000000027</v>
      </c>
    </row>
    <row r="53" spans="1:9" x14ac:dyDescent="0.3">
      <c r="A53">
        <f>IF(COUNT(Resultados!A53,Resultados!J53,Resultados!S53,Resultados!AB53,Resultados!AK53,Resultados!AT53,Resultados!BC53,Resultados!BL53,Resultados!BU53,Resultados!CD53,Resultados!CM53,Resultados!CV53,Resultados!DE53,Resultados!DN53,Resultados!DW53)=0, "", AVERAGE(ABS(Resultados!A53),ABS(Resultados!J53),ABS(Resultados!S53),ABS(Resultados!AB53),ABS(Resultados!AK53),ABS(Resultados!AT53),ABS(Resultados!BC53),ABS(Resultados!BL53),ABS(Resultados!BU53),ABS(Resultados!CD53),ABS(Resultados!CM53),ABS(Resultados!CV53),ABS(Resultados!DE53),ABS(Resultados!DN53),ABS(Resultados!DW53)))</f>
        <v>45681</v>
      </c>
      <c r="B53" t="str">
        <f>IF(COUNT(Resultados!B53,Resultados!K53,Resultados!T53,Resultados!AC53,Resultados!AL53,Resultados!AU53,Resultados!BD53,Resultados!BM53,Resultados!BV53,Resultados!CE53,Resultados!CN53,Resultados!CW53,Resultados!DF53,Resultados!DO53,Resultados!DX53)=0, "", AVERAGE(ABS(Resultados!B53),ABS(Resultados!K53),ABS(Resultados!T53),ABS(Resultados!AC53),ABS(Resultados!AL53),ABS(Resultados!AU53),ABS(Resultados!BD53),ABS(Resultados!BM53),ABS(Resultados!BV53),ABS(Resultados!CE53),ABS(Resultados!CN53),ABS(Resultados!CW53),ABS(Resultados!DF53),ABS(Resultados!DO53),ABS(Resultados!DX53)))</f>
        <v/>
      </c>
      <c r="C53">
        <f>IF(COUNT(Resultados!C53,Resultados!L53,Resultados!U53,Resultados!AD53,Resultados!AM53,Resultados!AV53,Resultados!BE53,Resultados!BN53,Resultados!BW53,Resultados!CF53,Resultados!CO53,Resultados!CX53,Resultados!DG53,Resultados!DP53,Resultados!DY53)=0, "", AVERAGE(ABS(Resultados!C53),ABS(Resultados!L53),ABS(Resultados!U53),ABS(Resultados!AD53),ABS(Resultados!AM53),ABS(Resultados!AV53),ABS(Resultados!BE53),ABS(Resultados!BN53),ABS(Resultados!BW53),ABS(Resultados!CF53),ABS(Resultados!CO53),ABS(Resultados!CX53),ABS(Resultados!DG53),ABS(Resultados!DP53),ABS(Resultados!DY53)))</f>
        <v>3</v>
      </c>
      <c r="D53">
        <f>IF(COUNT(Resultados!D53,Resultados!M53,Resultados!V53,Resultados!AE53,Resultados!AN53,Resultados!AW53,Resultados!BF53,Resultados!BO53,Resultados!BX53,Resultados!CG53,Resultados!CP53,Resultados!CY53,Resultados!DH53,Resultados!DQ53,Resultados!DZ53)=0, "", AVERAGE(ABS(Resultados!D53),ABS(Resultados!M53),ABS(Resultados!V53),ABS(Resultados!AE53),ABS(Resultados!AN53),ABS(Resultados!AW53),ABS(Resultados!BF53),ABS(Resultados!BO53),ABS(Resultados!BX53),ABS(Resultados!CG53),ABS(Resultados!CP53),ABS(Resultados!CY53),ABS(Resultados!DH53),ABS(Resultados!DQ53),ABS(Resultados!DZ53)))</f>
        <v>1.772E-2</v>
      </c>
      <c r="E53">
        <f>IF(COUNT(Resultados!E53,Resultados!N53,Resultados!W53,Resultados!AF53,Resultados!AO53,Resultados!AX53,Resultados!BG53,Resultados!BP53,Resultados!BY53,Resultados!CH53,Resultados!CQ53,Resultados!CZ53,Resultados!DI53,Resultados!DR53,Resultados!EA53)=0, "", AVERAGE(ABS(Resultados!E53),ABS(Resultados!N53),ABS(Resultados!W53),ABS(Resultados!AF53),ABS(Resultados!AO53),ABS(Resultados!AX53),ABS(Resultados!BG53),ABS(Resultados!BP53),ABS(Resultados!BY53),ABS(Resultados!CH53),ABS(Resultados!CQ53),ABS(Resultados!CZ53),ABS(Resultados!DI53),ABS(Resultados!DR53),ABS(Resultados!EA53)))</f>
        <v>7.2852021018593014</v>
      </c>
      <c r="F53">
        <f>IF(COUNT(Resultados!F53,Resultados!O53,Resultados!X53,Resultados!AG53,Resultados!AP53,Resultados!AY53,Resultados!BH53,Resultados!BQ53,Resultados!BZ53,Resultados!CI53,Resultados!CR53,Resultados!DA53,Resultados!DJ53,Resultados!DS53,Resultados!EB53)=0, "", AVERAGE(ABS(Resultados!F53),ABS(Resultados!O53),ABS(Resultados!X53),ABS(Resultados!AG53),ABS(Resultados!AP53),ABS(Resultados!AY53),ABS(Resultados!BH53),ABS(Resultados!BQ53),ABS(Resultados!BZ53),ABS(Resultados!CI53),ABS(Resultados!CR53),ABS(Resultados!DA53),ABS(Resultados!DJ53),ABS(Resultados!DS53),ABS(Resultados!EB53)))</f>
        <v>733.89424844048312</v>
      </c>
      <c r="G53">
        <f>IF(COUNT(Resultados!G53,Resultados!P53,Resultados!Y53,Resultados!AH53,Resultados!AQ53,Resultados!AZ53,Resultados!BI53,Resultados!BR53,Resultados!CA53,Resultados!CJ53,Resultados!CS53,Resultados!DB53,Resultados!DK53,Resultados!DT53,Resultados!EC53)=0, "", AVERAGE(ABS(Resultados!G53),ABS(Resultados!P53),ABS(Resultados!Y53),ABS(Resultados!AH53),ABS(Resultados!AQ53),ABS(Resultados!AZ53),ABS(Resultados!BI53),ABS(Resultados!BR53),ABS(Resultados!CA53),ABS(Resultados!CJ53),ABS(Resultados!CS53),ABS(Resultados!DB53),ABS(Resultados!DK53),ABS(Resultados!DT53),ABS(Resultados!EC53)))</f>
        <v>0.42400000000000015</v>
      </c>
      <c r="H53">
        <f>IF(COUNT(Resultados!H53,Resultados!Q53,Resultados!Z53,Resultados!AI53,Resultados!AR53,Resultados!BA53,Resultados!BJ53,Resultados!BS53,Resultados!CB53,Resultados!CK53,Resultados!CT53,Resultados!DC53,Resultados!DL53,Resultados!DU53,Resultados!ED53)=0, "", AVERAGE(ABS(Resultados!H53),ABS(Resultados!Q53),ABS(Resultados!Z53),ABS(Resultados!AI53),ABS(Resultados!AR53),ABS(Resultados!BA53),ABS(Resultados!BJ53),ABS(Resultados!BS53),ABS(Resultados!CB53),ABS(Resultados!CK53),ABS(Resultados!CT53),ABS(Resultados!DC53),ABS(Resultados!DL53),ABS(Resultados!DU53),ABS(Resultados!ED53)))</f>
        <v>2.0053333333333333E-2</v>
      </c>
      <c r="I53">
        <f>IF(COUNT(Resultados!I53,Resultados!R53,Resultados!AA53,Resultados!AJ53,Resultados!AS53,Resultados!BB53,Resultados!BK53,Resultados!BT53,Resultados!CC53,Resultados!CL53,Resultados!CU53,Resultados!DD53,Resultados!DM53,Resultados!DV53,Resultados!EE53)=0, "", AVERAGE(ABS(Resultados!I53),ABS(Resultados!R53),ABS(Resultados!AA53),ABS(Resultados!AJ53),ABS(Resultados!AS53),ABS(Resultados!BB53),ABS(Resultados!BK53),ABS(Resultados!BT53),ABS(Resultados!CC53),ABS(Resultados!CL53),ABS(Resultados!CU53),ABS(Resultados!DD53),ABS(Resultados!DM53),ABS(Resultados!DV53),ABS(Resultados!EE53)))</f>
        <v>10.198732666666668</v>
      </c>
    </row>
    <row r="54" spans="1:9" x14ac:dyDescent="0.3">
      <c r="A54">
        <f>IF(COUNT(Resultados!A54,Resultados!J54,Resultados!S54,Resultados!AB54,Resultados!AK54,Resultados!AT54,Resultados!BC54,Resultados!BL54,Resultados!BU54,Resultados!CD54,Resultados!CM54,Resultados!CV54,Resultados!DE54,Resultados!DN54,Resultados!DW54)=0, "", AVERAGE(ABS(Resultados!A54),ABS(Resultados!J54),ABS(Resultados!S54),ABS(Resultados!AB54),ABS(Resultados!AK54),ABS(Resultados!AT54),ABS(Resultados!BC54),ABS(Resultados!BL54),ABS(Resultados!BU54),ABS(Resultados!CD54),ABS(Resultados!CM54),ABS(Resultados!CV54),ABS(Resultados!DE54),ABS(Resultados!DN54),ABS(Resultados!DW54)))</f>
        <v>45681</v>
      </c>
      <c r="B54" t="str">
        <f>IF(COUNT(Resultados!B54,Resultados!K54,Resultados!T54,Resultados!AC54,Resultados!AL54,Resultados!AU54,Resultados!BD54,Resultados!BM54,Resultados!BV54,Resultados!CE54,Resultados!CN54,Resultados!CW54,Resultados!DF54,Resultados!DO54,Resultados!DX54)=0, "", AVERAGE(ABS(Resultados!B54),ABS(Resultados!K54),ABS(Resultados!T54),ABS(Resultados!AC54),ABS(Resultados!AL54),ABS(Resultados!AU54),ABS(Resultados!BD54),ABS(Resultados!BM54),ABS(Resultados!BV54),ABS(Resultados!CE54),ABS(Resultados!CN54),ABS(Resultados!CW54),ABS(Resultados!DF54),ABS(Resultados!DO54),ABS(Resultados!DX54)))</f>
        <v/>
      </c>
      <c r="C54">
        <f>IF(COUNT(Resultados!C54,Resultados!L54,Resultados!U54,Resultados!AD54,Resultados!AM54,Resultados!AV54,Resultados!BE54,Resultados!BN54,Resultados!BW54,Resultados!CF54,Resultados!CO54,Resultados!CX54,Resultados!DG54,Resultados!DP54,Resultados!DY54)=0, "", AVERAGE(ABS(Resultados!C54),ABS(Resultados!L54),ABS(Resultados!U54),ABS(Resultados!AD54),ABS(Resultados!AM54),ABS(Resultados!AV54),ABS(Resultados!BE54),ABS(Resultados!BN54),ABS(Resultados!BW54),ABS(Resultados!CF54),ABS(Resultados!CO54),ABS(Resultados!CX54),ABS(Resultados!DG54),ABS(Resultados!DP54),ABS(Resultados!DY54)))</f>
        <v>3</v>
      </c>
      <c r="D54">
        <f>IF(COUNT(Resultados!D54,Resultados!M54,Resultados!V54,Resultados!AE54,Resultados!AN54,Resultados!AW54,Resultados!BF54,Resultados!BO54,Resultados!BX54,Resultados!CG54,Resultados!CP54,Resultados!CY54,Resultados!DH54,Resultados!DQ54,Resultados!DZ54)=0, "", AVERAGE(ABS(Resultados!D54),ABS(Resultados!M54),ABS(Resultados!V54),ABS(Resultados!AE54),ABS(Resultados!AN54),ABS(Resultados!AW54),ABS(Resultados!BF54),ABS(Resultados!BO54),ABS(Resultados!BX54),ABS(Resultados!CG54),ABS(Resultados!CP54),ABS(Resultados!CY54),ABS(Resultados!DH54),ABS(Resultados!DQ54),ABS(Resultados!DZ54)))</f>
        <v>1.7933333333333336E-2</v>
      </c>
      <c r="E54">
        <f>IF(COUNT(Resultados!E54,Resultados!N54,Resultados!W54,Resultados!AF54,Resultados!AO54,Resultados!AX54,Resultados!BG54,Resultados!BP54,Resultados!BY54,Resultados!CH54,Resultados!CQ54,Resultados!CZ54,Resultados!DI54,Resultados!DR54,Resultados!EA54)=0, "", AVERAGE(ABS(Resultados!E54),ABS(Resultados!N54),ABS(Resultados!W54),ABS(Resultados!AF54),ABS(Resultados!AO54),ABS(Resultados!AX54),ABS(Resultados!BG54),ABS(Resultados!BP54),ABS(Resultados!BY54),ABS(Resultados!CH54),ABS(Resultados!CQ54),ABS(Resultados!CZ54),ABS(Resultados!DI54),ABS(Resultados!DR54),ABS(Resultados!EA54)))</f>
        <v>7.2077307248921105</v>
      </c>
      <c r="F54">
        <f>IF(COUNT(Resultados!F54,Resultados!O54,Resultados!X54,Resultados!AG54,Resultados!AP54,Resultados!AY54,Resultados!BH54,Resultados!BQ54,Resultados!BZ54,Resultados!CI54,Resultados!CR54,Resultados!DA54,Resultados!DJ54,Resultados!DS54,Resultados!EB54)=0, "", AVERAGE(ABS(Resultados!F54),ABS(Resultados!O54),ABS(Resultados!X54),ABS(Resultados!AG54),ABS(Resultados!AP54),ABS(Resultados!AY54),ABS(Resultados!BH54),ABS(Resultados!BQ54),ABS(Resultados!BZ54),ABS(Resultados!CI54),ABS(Resultados!CR54),ABS(Resultados!DA54),ABS(Resultados!DJ54),ABS(Resultados!DS54),ABS(Resultados!EB54)))</f>
        <v>726.69501944863828</v>
      </c>
      <c r="G54">
        <f>IF(COUNT(Resultados!G54,Resultados!P54,Resultados!Y54,Resultados!AH54,Resultados!AQ54,Resultados!AZ54,Resultados!BI54,Resultados!BR54,Resultados!CA54,Resultados!CJ54,Resultados!CS54,Resultados!DB54,Resultados!DK54,Resultados!DT54,Resultados!EC54)=0, "", AVERAGE(ABS(Resultados!G54),ABS(Resultados!P54),ABS(Resultados!Y54),ABS(Resultados!AH54),ABS(Resultados!AQ54),ABS(Resultados!AZ54),ABS(Resultados!BI54),ABS(Resultados!BR54),ABS(Resultados!CA54),ABS(Resultados!CJ54),ABS(Resultados!CS54),ABS(Resultados!DB54),ABS(Resultados!DK54),ABS(Resultados!DT54),ABS(Resultados!EC54)))</f>
        <v>0.42400000000000015</v>
      </c>
      <c r="H54">
        <f>IF(COUNT(Resultados!H54,Resultados!Q54,Resultados!Z54,Resultados!AI54,Resultados!AR54,Resultados!BA54,Resultados!BJ54,Resultados!BS54,Resultados!CB54,Resultados!CK54,Resultados!CT54,Resultados!DC54,Resultados!DL54,Resultados!DU54,Resultados!ED54)=0, "", AVERAGE(ABS(Resultados!H54),ABS(Resultados!Q54),ABS(Resultados!Z54),ABS(Resultados!AI54),ABS(Resultados!AR54),ABS(Resultados!BA54),ABS(Resultados!BJ54),ABS(Resultados!BS54),ABS(Resultados!CB54),ABS(Resultados!CK54),ABS(Resultados!CT54),ABS(Resultados!DC54),ABS(Resultados!DL54),ABS(Resultados!DU54),ABS(Resultados!ED54)))</f>
        <v>1.8839999999999999E-2</v>
      </c>
      <c r="I54">
        <f>IF(COUNT(Resultados!I54,Resultados!R54,Resultados!AA54,Resultados!AJ54,Resultados!AS54,Resultados!BB54,Resultados!BK54,Resultados!BT54,Resultados!CC54,Resultados!CL54,Resultados!CU54,Resultados!DD54,Resultados!DM54,Resultados!DV54,Resultados!EE54)=0, "", AVERAGE(ABS(Resultados!I54),ABS(Resultados!R54),ABS(Resultados!AA54),ABS(Resultados!AJ54),ABS(Resultados!AS54),ABS(Resultados!BB54),ABS(Resultados!BK54),ABS(Resultados!BT54),ABS(Resultados!CC54),ABS(Resultados!CL54),ABS(Resultados!CU54),ABS(Resultados!DD54),ABS(Resultados!DM54),ABS(Resultados!DV54),ABS(Resultados!EE54)))</f>
        <v>10.398660666666665</v>
      </c>
    </row>
    <row r="55" spans="1:9" x14ac:dyDescent="0.3">
      <c r="A55">
        <f>IF(COUNT(Resultados!A55,Resultados!J55,Resultados!S55,Resultados!AB55,Resultados!AK55,Resultados!AT55,Resultados!BC55,Resultados!BL55,Resultados!BU55,Resultados!CD55,Resultados!CM55,Resultados!CV55,Resultados!DE55,Resultados!DN55,Resultados!DW55)=0, "", AVERAGE(ABS(Resultados!A55),ABS(Resultados!J55),ABS(Resultados!S55),ABS(Resultados!AB55),ABS(Resultados!AK55),ABS(Resultados!AT55),ABS(Resultados!BC55),ABS(Resultados!BL55),ABS(Resultados!BU55),ABS(Resultados!CD55),ABS(Resultados!CM55),ABS(Resultados!CV55),ABS(Resultados!DE55),ABS(Resultados!DN55),ABS(Resultados!DW55)))</f>
        <v>45681</v>
      </c>
      <c r="B55" t="str">
        <f>IF(COUNT(Resultados!B55,Resultados!K55,Resultados!T55,Resultados!AC55,Resultados!AL55,Resultados!AU55,Resultados!BD55,Resultados!BM55,Resultados!BV55,Resultados!CE55,Resultados!CN55,Resultados!CW55,Resultados!DF55,Resultados!DO55,Resultados!DX55)=0, "", AVERAGE(ABS(Resultados!B55),ABS(Resultados!K55),ABS(Resultados!T55),ABS(Resultados!AC55),ABS(Resultados!AL55),ABS(Resultados!AU55),ABS(Resultados!BD55),ABS(Resultados!BM55),ABS(Resultados!BV55),ABS(Resultados!CE55),ABS(Resultados!CN55),ABS(Resultados!CW55),ABS(Resultados!DF55),ABS(Resultados!DO55),ABS(Resultados!DX55)))</f>
        <v/>
      </c>
      <c r="C55">
        <f>IF(COUNT(Resultados!C55,Resultados!L55,Resultados!U55,Resultados!AD55,Resultados!AM55,Resultados!AV55,Resultados!BE55,Resultados!BN55,Resultados!BW55,Resultados!CF55,Resultados!CO55,Resultados!CX55,Resultados!DG55,Resultados!DP55,Resultados!DY55)=0, "", AVERAGE(ABS(Resultados!C55),ABS(Resultados!L55),ABS(Resultados!U55),ABS(Resultados!AD55),ABS(Resultados!AM55),ABS(Resultados!AV55),ABS(Resultados!BE55),ABS(Resultados!BN55),ABS(Resultados!BW55),ABS(Resultados!CF55),ABS(Resultados!CO55),ABS(Resultados!CX55),ABS(Resultados!DG55),ABS(Resultados!DP55),ABS(Resultados!DY55)))</f>
        <v>3</v>
      </c>
      <c r="D55">
        <f>IF(COUNT(Resultados!D55,Resultados!M55,Resultados!V55,Resultados!AE55,Resultados!AN55,Resultados!AW55,Resultados!BF55,Resultados!BO55,Resultados!BX55,Resultados!CG55,Resultados!CP55,Resultados!CY55,Resultados!DH55,Resultados!DQ55,Resultados!DZ55)=0, "", AVERAGE(ABS(Resultados!D55),ABS(Resultados!M55),ABS(Resultados!V55),ABS(Resultados!AE55),ABS(Resultados!AN55),ABS(Resultados!AW55),ABS(Resultados!BF55),ABS(Resultados!BO55),ABS(Resultados!BX55),ABS(Resultados!CG55),ABS(Resultados!CP55),ABS(Resultados!CY55),ABS(Resultados!DH55),ABS(Resultados!DQ55),ABS(Resultados!DZ55)))</f>
        <v>1.7919999999999998E-2</v>
      </c>
      <c r="E55">
        <f>IF(COUNT(Resultados!E55,Resultados!N55,Resultados!W55,Resultados!AF55,Resultados!AO55,Resultados!AX55,Resultados!BG55,Resultados!BP55,Resultados!BY55,Resultados!CH55,Resultados!CQ55,Resultados!CZ55,Resultados!DI55,Resultados!DR55,Resultados!EA55)=0, "", AVERAGE(ABS(Resultados!E55),ABS(Resultados!N55),ABS(Resultados!W55),ABS(Resultados!AF55),ABS(Resultados!AO55),ABS(Resultados!AX55),ABS(Resultados!BG55),ABS(Resultados!BP55),ABS(Resultados!BY55),ABS(Resultados!CH55),ABS(Resultados!CQ55),ABS(Resultados!CZ55),ABS(Resultados!DI55),ABS(Resultados!DR55),ABS(Resultados!EA55)))</f>
        <v>7.0778746895403799</v>
      </c>
      <c r="F55">
        <f>IF(COUNT(Resultados!F55,Resultados!O55,Resultados!X55,Resultados!AG55,Resultados!AP55,Resultados!AY55,Resultados!BH55,Resultados!BQ55,Resultados!BZ55,Resultados!CI55,Resultados!CR55,Resultados!DA55,Resultados!DJ55,Resultados!DS55,Resultados!EB55)=0, "", AVERAGE(ABS(Resultados!F55),ABS(Resultados!O55),ABS(Resultados!X55),ABS(Resultados!AG55),ABS(Resultados!AP55),ABS(Resultados!AY55),ABS(Resultados!BH55),ABS(Resultados!BQ55),ABS(Resultados!BZ55),ABS(Resultados!CI55),ABS(Resultados!CR55),ABS(Resultados!DA55),ABS(Resultados!DJ55),ABS(Resultados!DS55),ABS(Resultados!EB55)))</f>
        <v>714.60940044980975</v>
      </c>
      <c r="G55">
        <f>IF(COUNT(Resultados!G55,Resultados!P55,Resultados!Y55,Resultados!AH55,Resultados!AQ55,Resultados!AZ55,Resultados!BI55,Resultados!BR55,Resultados!CA55,Resultados!CJ55,Resultados!CS55,Resultados!DB55,Resultados!DK55,Resultados!DT55,Resultados!EC55)=0, "", AVERAGE(ABS(Resultados!G55),ABS(Resultados!P55),ABS(Resultados!Y55),ABS(Resultados!AH55),ABS(Resultados!AQ55),ABS(Resultados!AZ55),ABS(Resultados!BI55),ABS(Resultados!BR55),ABS(Resultados!CA55),ABS(Resultados!CJ55),ABS(Resultados!CS55),ABS(Resultados!DB55),ABS(Resultados!DK55),ABS(Resultados!DT55),ABS(Resultados!EC55)))</f>
        <v>0.42400000000000015</v>
      </c>
      <c r="H55">
        <f>IF(COUNT(Resultados!H55,Resultados!Q55,Resultados!Z55,Resultados!AI55,Resultados!AR55,Resultados!BA55,Resultados!BJ55,Resultados!BS55,Resultados!CB55,Resultados!CK55,Resultados!CT55,Resultados!DC55,Resultados!DL55,Resultados!DU55,Resultados!ED55)=0, "", AVERAGE(ABS(Resultados!H55),ABS(Resultados!Q55),ABS(Resultados!Z55),ABS(Resultados!AI55),ABS(Resultados!AR55),ABS(Resultados!BA55),ABS(Resultados!BJ55),ABS(Resultados!BS55),ABS(Resultados!CB55),ABS(Resultados!CK55),ABS(Resultados!CT55),ABS(Resultados!DC55),ABS(Resultados!DL55),ABS(Resultados!DU55),ABS(Resultados!ED55)))</f>
        <v>1.6833333333333329E-2</v>
      </c>
      <c r="I55">
        <f>IF(COUNT(Resultados!I55,Resultados!R55,Resultados!AA55,Resultados!AJ55,Resultados!AS55,Resultados!BB55,Resultados!BK55,Resultados!BT55,Resultados!CC55,Resultados!CL55,Resultados!CU55,Resultados!DD55,Resultados!DM55,Resultados!DV55,Resultados!EE55)=0, "", AVERAGE(ABS(Resultados!I55),ABS(Resultados!R55),ABS(Resultados!AA55),ABS(Resultados!AJ55),ABS(Resultados!AS55),ABS(Resultados!BB55),ABS(Resultados!BK55),ABS(Resultados!BT55),ABS(Resultados!CC55),ABS(Resultados!CL55),ABS(Resultados!CU55),ABS(Resultados!DD55),ABS(Resultados!DM55),ABS(Resultados!DV55),ABS(Resultados!EE55)))</f>
        <v>10.598785333333336</v>
      </c>
    </row>
    <row r="56" spans="1:9" x14ac:dyDescent="0.3">
      <c r="A56">
        <f>IF(COUNT(Resultados!A56,Resultados!J56,Resultados!S56,Resultados!AB56,Resultados!AK56,Resultados!AT56,Resultados!BC56,Resultados!BL56,Resultados!BU56,Resultados!CD56,Resultados!CM56,Resultados!CV56,Resultados!DE56,Resultados!DN56,Resultados!DW56)=0, "", AVERAGE(ABS(Resultados!A56),ABS(Resultados!J56),ABS(Resultados!S56),ABS(Resultados!AB56),ABS(Resultados!AK56),ABS(Resultados!AT56),ABS(Resultados!BC56),ABS(Resultados!BL56),ABS(Resultados!BU56),ABS(Resultados!CD56),ABS(Resultados!CM56),ABS(Resultados!CV56),ABS(Resultados!DE56),ABS(Resultados!DN56),ABS(Resultados!DW56)))</f>
        <v>45681</v>
      </c>
      <c r="B56" t="str">
        <f>IF(COUNT(Resultados!B56,Resultados!K56,Resultados!T56,Resultados!AC56,Resultados!AL56,Resultados!AU56,Resultados!BD56,Resultados!BM56,Resultados!BV56,Resultados!CE56,Resultados!CN56,Resultados!CW56,Resultados!DF56,Resultados!DO56,Resultados!DX56)=0, "", AVERAGE(ABS(Resultados!B56),ABS(Resultados!K56),ABS(Resultados!T56),ABS(Resultados!AC56),ABS(Resultados!AL56),ABS(Resultados!AU56),ABS(Resultados!BD56),ABS(Resultados!BM56),ABS(Resultados!BV56),ABS(Resultados!CE56),ABS(Resultados!CN56),ABS(Resultados!CW56),ABS(Resultados!DF56),ABS(Resultados!DO56),ABS(Resultados!DX56)))</f>
        <v/>
      </c>
      <c r="C56">
        <f>IF(COUNT(Resultados!C56,Resultados!L56,Resultados!U56,Resultados!AD56,Resultados!AM56,Resultados!AV56,Resultados!BE56,Resultados!BN56,Resultados!BW56,Resultados!CF56,Resultados!CO56,Resultados!CX56,Resultados!DG56,Resultados!DP56,Resultados!DY56)=0, "", AVERAGE(ABS(Resultados!C56),ABS(Resultados!L56),ABS(Resultados!U56),ABS(Resultados!AD56),ABS(Resultados!AM56),ABS(Resultados!AV56),ABS(Resultados!BE56),ABS(Resultados!BN56),ABS(Resultados!BW56),ABS(Resultados!CF56),ABS(Resultados!CO56),ABS(Resultados!CX56),ABS(Resultados!DG56),ABS(Resultados!DP56),ABS(Resultados!DY56)))</f>
        <v>3</v>
      </c>
      <c r="D56">
        <f>IF(COUNT(Resultados!D56,Resultados!M56,Resultados!V56,Resultados!AE56,Resultados!AN56,Resultados!AW56,Resultados!BF56,Resultados!BO56,Resultados!BX56,Resultados!CG56,Resultados!CP56,Resultados!CY56,Resultados!DH56,Resultados!DQ56,Resultados!DZ56)=0, "", AVERAGE(ABS(Resultados!D56),ABS(Resultados!M56),ABS(Resultados!V56),ABS(Resultados!AE56),ABS(Resultados!AN56),ABS(Resultados!AW56),ABS(Resultados!BF56),ABS(Resultados!BO56),ABS(Resultados!BX56),ABS(Resultados!CG56),ABS(Resultados!CP56),ABS(Resultados!CY56),ABS(Resultados!DH56),ABS(Resultados!DQ56),ABS(Resultados!DZ56)))</f>
        <v>1.7639999999999999E-2</v>
      </c>
      <c r="E56">
        <f>IF(COUNT(Resultados!E56,Resultados!N56,Resultados!W56,Resultados!AF56,Resultados!AO56,Resultados!AX56,Resultados!BG56,Resultados!BP56,Resultados!BY56,Resultados!CH56,Resultados!CQ56,Resultados!CZ56,Resultados!DI56,Resultados!DR56,Resultados!EA56)=0, "", AVERAGE(ABS(Resultados!E56),ABS(Resultados!N56),ABS(Resultados!W56),ABS(Resultados!AF56),ABS(Resultados!AO56),ABS(Resultados!AX56),ABS(Resultados!BG56),ABS(Resultados!BP56),ABS(Resultados!BY56),ABS(Resultados!CH56),ABS(Resultados!CQ56),ABS(Resultados!CZ56),ABS(Resultados!DI56),ABS(Resultados!DR56),ABS(Resultados!EA56)))</f>
        <v>6.9086303064702212</v>
      </c>
      <c r="F56">
        <f>IF(COUNT(Resultados!F56,Resultados!O56,Resultados!X56,Resultados!AG56,Resultados!AP56,Resultados!AY56,Resultados!BH56,Resultados!BQ56,Resultados!BZ56,Resultados!CI56,Resultados!CR56,Resultados!DA56,Resultados!DJ56,Resultados!DS56,Resultados!EB56)=0, "", AVERAGE(ABS(Resultados!F56),ABS(Resultados!O56),ABS(Resultados!X56),ABS(Resultados!AG56),ABS(Resultados!AP56),ABS(Resultados!AY56),ABS(Resultados!BH56),ABS(Resultados!BQ56),ABS(Resultados!BZ56),ABS(Resultados!CI56),ABS(Resultados!CR56),ABS(Resultados!DA56),ABS(Resultados!DJ56),ABS(Resultados!DS56),ABS(Resultados!EB56)))</f>
        <v>698.84667353399834</v>
      </c>
      <c r="G56">
        <f>IF(COUNT(Resultados!G56,Resultados!P56,Resultados!Y56,Resultados!AH56,Resultados!AQ56,Resultados!AZ56,Resultados!BI56,Resultados!BR56,Resultados!CA56,Resultados!CJ56,Resultados!CS56,Resultados!DB56,Resultados!DK56,Resultados!DT56,Resultados!EC56)=0, "", AVERAGE(ABS(Resultados!G56),ABS(Resultados!P56),ABS(Resultados!Y56),ABS(Resultados!AH56),ABS(Resultados!AQ56),ABS(Resultados!AZ56),ABS(Resultados!BI56),ABS(Resultados!BR56),ABS(Resultados!CA56),ABS(Resultados!CJ56),ABS(Resultados!CS56),ABS(Resultados!DB56),ABS(Resultados!DK56),ABS(Resultados!DT56),ABS(Resultados!EC56)))</f>
        <v>0.42400000000000015</v>
      </c>
      <c r="H56">
        <f>IF(COUNT(Resultados!H56,Resultados!Q56,Resultados!Z56,Resultados!AI56,Resultados!AR56,Resultados!BA56,Resultados!BJ56,Resultados!BS56,Resultados!CB56,Resultados!CK56,Resultados!CT56,Resultados!DC56,Resultados!DL56,Resultados!DU56,Resultados!ED56)=0, "", AVERAGE(ABS(Resultados!H56),ABS(Resultados!Q56),ABS(Resultados!Z56),ABS(Resultados!AI56),ABS(Resultados!AR56),ABS(Resultados!BA56),ABS(Resultados!BJ56),ABS(Resultados!BS56),ABS(Resultados!CB56),ABS(Resultados!CK56),ABS(Resultados!CT56),ABS(Resultados!DC56),ABS(Resultados!DL56),ABS(Resultados!DU56),ABS(Resultados!ED56)))</f>
        <v>1.4186666666666665E-2</v>
      </c>
      <c r="I56">
        <f>IF(COUNT(Resultados!I56,Resultados!R56,Resultados!AA56,Resultados!AJ56,Resultados!AS56,Resultados!BB56,Resultados!BK56,Resultados!BT56,Resultados!CC56,Resultados!CL56,Resultados!CU56,Resultados!DD56,Resultados!DM56,Resultados!DV56,Resultados!EE56)=0, "", AVERAGE(ABS(Resultados!I56),ABS(Resultados!R56),ABS(Resultados!AA56),ABS(Resultados!AJ56),ABS(Resultados!AS56),ABS(Resultados!BB56),ABS(Resultados!BK56),ABS(Resultados!BT56),ABS(Resultados!CC56),ABS(Resultados!CL56),ABS(Resultados!CU56),ABS(Resultados!DD56),ABS(Resultados!DM56),ABS(Resultados!DV56),ABS(Resultados!EE56)))</f>
        <v>10.798462666666669</v>
      </c>
    </row>
    <row r="57" spans="1:9" x14ac:dyDescent="0.3">
      <c r="A57">
        <f>IF(COUNT(Resultados!A57,Resultados!J57,Resultados!S57,Resultados!AB57,Resultados!AK57,Resultados!AT57,Resultados!BC57,Resultados!BL57,Resultados!BU57,Resultados!CD57,Resultados!CM57,Resultados!CV57,Resultados!DE57,Resultados!DN57,Resultados!DW57)=0, "", AVERAGE(ABS(Resultados!A57),ABS(Resultados!J57),ABS(Resultados!S57),ABS(Resultados!AB57),ABS(Resultados!AK57),ABS(Resultados!AT57),ABS(Resultados!BC57),ABS(Resultados!BL57),ABS(Resultados!BU57),ABS(Resultados!CD57),ABS(Resultados!CM57),ABS(Resultados!CV57),ABS(Resultados!DE57),ABS(Resultados!DN57),ABS(Resultados!DW57)))</f>
        <v>45681</v>
      </c>
      <c r="B57" t="str">
        <f>IF(COUNT(Resultados!B57,Resultados!K57,Resultados!T57,Resultados!AC57,Resultados!AL57,Resultados!AU57,Resultados!BD57,Resultados!BM57,Resultados!BV57,Resultados!CE57,Resultados!CN57,Resultados!CW57,Resultados!DF57,Resultados!DO57,Resultados!DX57)=0, "", AVERAGE(ABS(Resultados!B57),ABS(Resultados!K57),ABS(Resultados!T57),ABS(Resultados!AC57),ABS(Resultados!AL57),ABS(Resultados!AU57),ABS(Resultados!BD57),ABS(Resultados!BM57),ABS(Resultados!BV57),ABS(Resultados!CE57),ABS(Resultados!CN57),ABS(Resultados!CW57),ABS(Resultados!DF57),ABS(Resultados!DO57),ABS(Resultados!DX57)))</f>
        <v/>
      </c>
      <c r="C57">
        <f>IF(COUNT(Resultados!C57,Resultados!L57,Resultados!U57,Resultados!AD57,Resultados!AM57,Resultados!AV57,Resultados!BE57,Resultados!BN57,Resultados!BW57,Resultados!CF57,Resultados!CO57,Resultados!CX57,Resultados!DG57,Resultados!DP57,Resultados!DY57)=0, "", AVERAGE(ABS(Resultados!C57),ABS(Resultados!L57),ABS(Resultados!U57),ABS(Resultados!AD57),ABS(Resultados!AM57),ABS(Resultados!AV57),ABS(Resultados!BE57),ABS(Resultados!BN57),ABS(Resultados!BW57),ABS(Resultados!CF57),ABS(Resultados!CO57),ABS(Resultados!CX57),ABS(Resultados!DG57),ABS(Resultados!DP57),ABS(Resultados!DY57)))</f>
        <v>3</v>
      </c>
      <c r="D57">
        <f>IF(COUNT(Resultados!D57,Resultados!M57,Resultados!V57,Resultados!AE57,Resultados!AN57,Resultados!AW57,Resultados!BF57,Resultados!BO57,Resultados!BX57,Resultados!CG57,Resultados!CP57,Resultados!CY57,Resultados!DH57,Resultados!DQ57,Resultados!DZ57)=0, "", AVERAGE(ABS(Resultados!D57),ABS(Resultados!M57),ABS(Resultados!V57),ABS(Resultados!AE57),ABS(Resultados!AN57),ABS(Resultados!AW57),ABS(Resultados!BF57),ABS(Resultados!BO57),ABS(Resultados!BX57),ABS(Resultados!CG57),ABS(Resultados!CP57),ABS(Resultados!CY57),ABS(Resultados!DH57),ABS(Resultados!DQ57),ABS(Resultados!DZ57)))</f>
        <v>1.6786666666666668E-2</v>
      </c>
      <c r="E57">
        <f>IF(COUNT(Resultados!E57,Resultados!N57,Resultados!W57,Resultados!AF57,Resultados!AO57,Resultados!AX57,Resultados!BG57,Resultados!BP57,Resultados!BY57,Resultados!CH57,Resultados!CQ57,Resultados!CZ57,Resultados!DI57,Resultados!DR57,Resultados!EA57)=0, "", AVERAGE(ABS(Resultados!E57),ABS(Resultados!N57),ABS(Resultados!W57),ABS(Resultados!AF57),ABS(Resultados!AO57),ABS(Resultados!AX57),ABS(Resultados!BG57),ABS(Resultados!BP57),ABS(Resultados!BY57),ABS(Resultados!CH57),ABS(Resultados!CQ57),ABS(Resultados!CZ57),ABS(Resultados!DI57),ABS(Resultados!DR57),ABS(Resultados!EA57)))</f>
        <v>6.7153994632131262</v>
      </c>
      <c r="F57">
        <f>IF(COUNT(Resultados!F57,Resultados!O57,Resultados!X57,Resultados!AG57,Resultados!AP57,Resultados!AY57,Resultados!BH57,Resultados!BQ57,Resultados!BZ57,Resultados!CI57,Resultados!CR57,Resultados!DA57,Resultados!DJ57,Resultados!DS57,Resultados!EB57)=0, "", AVERAGE(ABS(Resultados!F57),ABS(Resultados!O57),ABS(Resultados!X57),ABS(Resultados!AG57),ABS(Resultados!AP57),ABS(Resultados!AY57),ABS(Resultados!BH57),ABS(Resultados!BQ57),ABS(Resultados!BZ57),ABS(Resultados!CI57),ABS(Resultados!CR57),ABS(Resultados!DA57),ABS(Resultados!DJ57),ABS(Resultados!DS57),ABS(Resultados!EB57)))</f>
        <v>680.84125598148501</v>
      </c>
      <c r="G57">
        <f>IF(COUNT(Resultados!G57,Resultados!P57,Resultados!Y57,Resultados!AH57,Resultados!AQ57,Resultados!AZ57,Resultados!BI57,Resultados!BR57,Resultados!CA57,Resultados!CJ57,Resultados!CS57,Resultados!DB57,Resultados!DK57,Resultados!DT57,Resultados!EC57)=0, "", AVERAGE(ABS(Resultados!G57),ABS(Resultados!P57),ABS(Resultados!Y57),ABS(Resultados!AH57),ABS(Resultados!AQ57),ABS(Resultados!AZ57),ABS(Resultados!BI57),ABS(Resultados!BR57),ABS(Resultados!CA57),ABS(Resultados!CJ57),ABS(Resultados!CS57),ABS(Resultados!DB57),ABS(Resultados!DK57),ABS(Resultados!DT57),ABS(Resultados!EC57)))</f>
        <v>0.42400000000000015</v>
      </c>
      <c r="H57">
        <f>IF(COUNT(Resultados!H57,Resultados!Q57,Resultados!Z57,Resultados!AI57,Resultados!AR57,Resultados!BA57,Resultados!BJ57,Resultados!BS57,Resultados!CB57,Resultados!CK57,Resultados!CT57,Resultados!DC57,Resultados!DL57,Resultados!DU57,Resultados!ED57)=0, "", AVERAGE(ABS(Resultados!H57),ABS(Resultados!Q57),ABS(Resultados!Z57),ABS(Resultados!AI57),ABS(Resultados!AR57),ABS(Resultados!BA57),ABS(Resultados!BJ57),ABS(Resultados!BS57),ABS(Resultados!CB57),ABS(Resultados!CK57),ABS(Resultados!CT57),ABS(Resultados!DC57),ABS(Resultados!DL57),ABS(Resultados!DU57),ABS(Resultados!ED57)))</f>
        <v>1.1179999999999997E-2</v>
      </c>
      <c r="I57">
        <f>IF(COUNT(Resultados!I57,Resultados!R57,Resultados!AA57,Resultados!AJ57,Resultados!AS57,Resultados!BB57,Resultados!BK57,Resultados!BT57,Resultados!CC57,Resultados!CL57,Resultados!CU57,Resultados!DD57,Resultados!DM57,Resultados!DV57,Resultados!EE57)=0, "", AVERAGE(ABS(Resultados!I57),ABS(Resultados!R57),ABS(Resultados!AA57),ABS(Resultados!AJ57),ABS(Resultados!AS57),ABS(Resultados!BB57),ABS(Resultados!BK57),ABS(Resultados!BT57),ABS(Resultados!CC57),ABS(Resultados!CL57),ABS(Resultados!CU57),ABS(Resultados!DD57),ABS(Resultados!DM57),ABS(Resultados!DV57),ABS(Resultados!EE57)))</f>
        <v>10.999080000000003</v>
      </c>
    </row>
    <row r="58" spans="1:9" x14ac:dyDescent="0.3">
      <c r="A58">
        <f>IF(COUNT(Resultados!A58,Resultados!J58,Resultados!S58,Resultados!AB58,Resultados!AK58,Resultados!AT58,Resultados!BC58,Resultados!BL58,Resultados!BU58,Resultados!CD58,Resultados!CM58,Resultados!CV58,Resultados!DE58,Resultados!DN58,Resultados!DW58)=0, "", AVERAGE(ABS(Resultados!A58),ABS(Resultados!J58),ABS(Resultados!S58),ABS(Resultados!AB58),ABS(Resultados!AK58),ABS(Resultados!AT58),ABS(Resultados!BC58),ABS(Resultados!BL58),ABS(Resultados!BU58),ABS(Resultados!CD58),ABS(Resultados!CM58),ABS(Resultados!CV58),ABS(Resultados!DE58),ABS(Resultados!DN58),ABS(Resultados!DW58)))</f>
        <v>45681</v>
      </c>
      <c r="B58" t="str">
        <f>IF(COUNT(Resultados!B58,Resultados!K58,Resultados!T58,Resultados!AC58,Resultados!AL58,Resultados!AU58,Resultados!BD58,Resultados!BM58,Resultados!BV58,Resultados!CE58,Resultados!CN58,Resultados!CW58,Resultados!DF58,Resultados!DO58,Resultados!DX58)=0, "", AVERAGE(ABS(Resultados!B58),ABS(Resultados!K58),ABS(Resultados!T58),ABS(Resultados!AC58),ABS(Resultados!AL58),ABS(Resultados!AU58),ABS(Resultados!BD58),ABS(Resultados!BM58),ABS(Resultados!BV58),ABS(Resultados!CE58),ABS(Resultados!CN58),ABS(Resultados!CW58),ABS(Resultados!DF58),ABS(Resultados!DO58),ABS(Resultados!DX58)))</f>
        <v/>
      </c>
      <c r="C58">
        <f>IF(COUNT(Resultados!C58,Resultados!L58,Resultados!U58,Resultados!AD58,Resultados!AM58,Resultados!AV58,Resultados!BE58,Resultados!BN58,Resultados!BW58,Resultados!CF58,Resultados!CO58,Resultados!CX58,Resultados!DG58,Resultados!DP58,Resultados!DY58)=0, "", AVERAGE(ABS(Resultados!C58),ABS(Resultados!L58),ABS(Resultados!U58),ABS(Resultados!AD58),ABS(Resultados!AM58),ABS(Resultados!AV58),ABS(Resultados!BE58),ABS(Resultados!BN58),ABS(Resultados!BW58),ABS(Resultados!CF58),ABS(Resultados!CO58),ABS(Resultados!CX58),ABS(Resultados!DG58),ABS(Resultados!DP58),ABS(Resultados!DY58)))</f>
        <v>3</v>
      </c>
      <c r="D58">
        <f>IF(COUNT(Resultados!D58,Resultados!M58,Resultados!V58,Resultados!AE58,Resultados!AN58,Resultados!AW58,Resultados!BF58,Resultados!BO58,Resultados!BX58,Resultados!CG58,Resultados!CP58,Resultados!CY58,Resultados!DH58,Resultados!DQ58,Resultados!DZ58)=0, "", AVERAGE(ABS(Resultados!D58),ABS(Resultados!M58),ABS(Resultados!V58),ABS(Resultados!AE58),ABS(Resultados!AN58),ABS(Resultados!AW58),ABS(Resultados!BF58),ABS(Resultados!BO58),ABS(Resultados!BX58),ABS(Resultados!CG58),ABS(Resultados!CP58),ABS(Resultados!CY58),ABS(Resultados!DH58),ABS(Resultados!DQ58),ABS(Resultados!DZ58)))</f>
        <v>1.4746666666666665E-2</v>
      </c>
      <c r="E58">
        <f>IF(COUNT(Resultados!E58,Resultados!N58,Resultados!W58,Resultados!AF58,Resultados!AO58,Resultados!AX58,Resultados!BG58,Resultados!BP58,Resultados!BY58,Resultados!CH58,Resultados!CQ58,Resultados!CZ58,Resultados!DI58,Resultados!DR58,Resultados!EA58)=0, "", AVERAGE(ABS(Resultados!E58),ABS(Resultados!N58),ABS(Resultados!W58),ABS(Resultados!AF58),ABS(Resultados!AO58),ABS(Resultados!AX58),ABS(Resultados!BG58),ABS(Resultados!BP58),ABS(Resultados!BY58),ABS(Resultados!CH58),ABS(Resultados!CQ58),ABS(Resultados!CZ58),ABS(Resultados!DI58),ABS(Resultados!DR58),ABS(Resultados!EA58)))</f>
        <v>6.5186238054401722</v>
      </c>
      <c r="F58">
        <f>IF(COUNT(Resultados!F58,Resultados!O58,Resultados!X58,Resultados!AG58,Resultados!AP58,Resultados!AY58,Resultados!BH58,Resultados!BQ58,Resultados!BZ58,Resultados!CI58,Resultados!CR58,Resultados!DA58,Resultados!DJ58,Resultados!DS58,Resultados!EB58)=0, "", AVERAGE(ABS(Resultados!F58),ABS(Resultados!O58),ABS(Resultados!X58),ABS(Resultados!AG58),ABS(Resultados!AP58),ABS(Resultados!AY58),ABS(Resultados!BH58),ABS(Resultados!BQ58),ABS(Resultados!BZ58),ABS(Resultados!CI58),ABS(Resultados!CR58),ABS(Resultados!DA58),ABS(Resultados!DJ58),ABS(Resultados!DS58),ABS(Resultados!EB58)))</f>
        <v>655.53573866702413</v>
      </c>
      <c r="G58">
        <f>IF(COUNT(Resultados!G58,Resultados!P58,Resultados!Y58,Resultados!AH58,Resultados!AQ58,Resultados!AZ58,Resultados!BI58,Resultados!BR58,Resultados!CA58,Resultados!CJ58,Resultados!CS58,Resultados!DB58,Resultados!DK58,Resultados!DT58,Resultados!EC58)=0, "", AVERAGE(ABS(Resultados!G58),ABS(Resultados!P58),ABS(Resultados!Y58),ABS(Resultados!AH58),ABS(Resultados!AQ58),ABS(Resultados!AZ58),ABS(Resultados!BI58),ABS(Resultados!BR58),ABS(Resultados!CA58),ABS(Resultados!CJ58),ABS(Resultados!CS58),ABS(Resultados!DB58),ABS(Resultados!DK58),ABS(Resultados!DT58),ABS(Resultados!EC58)))</f>
        <v>0.42400000000000015</v>
      </c>
      <c r="H58">
        <f>IF(COUNT(Resultados!H58,Resultados!Q58,Resultados!Z58,Resultados!AI58,Resultados!AR58,Resultados!BA58,Resultados!BJ58,Resultados!BS58,Resultados!CB58,Resultados!CK58,Resultados!CT58,Resultados!DC58,Resultados!DL58,Resultados!DU58,Resultados!ED58)=0, "", AVERAGE(ABS(Resultados!H58),ABS(Resultados!Q58),ABS(Resultados!Z58),ABS(Resultados!AI58),ABS(Resultados!AR58),ABS(Resultados!BA58),ABS(Resultados!BJ58),ABS(Resultados!BS58),ABS(Resultados!CB58),ABS(Resultados!CK58),ABS(Resultados!CT58),ABS(Resultados!DC58),ABS(Resultados!DL58),ABS(Resultados!DU58),ABS(Resultados!ED58)))</f>
        <v>8.1266666666666657E-3</v>
      </c>
      <c r="I58">
        <f>IF(COUNT(Resultados!I58,Resultados!R58,Resultados!AA58,Resultados!AJ58,Resultados!AS58,Resultados!BB58,Resultados!BK58,Resultados!BT58,Resultados!CC58,Resultados!CL58,Resultados!CU58,Resultados!DD58,Resultados!DM58,Resultados!DV58,Resultados!EE58)=0, "", AVERAGE(ABS(Resultados!I58),ABS(Resultados!R58),ABS(Resultados!AA58),ABS(Resultados!AJ58),ABS(Resultados!AS58),ABS(Resultados!BB58),ABS(Resultados!BK58),ABS(Resultados!BT58),ABS(Resultados!CC58),ABS(Resultados!CL58),ABS(Resultados!CU58),ABS(Resultados!DD58),ABS(Resultados!DM58),ABS(Resultados!DV58),ABS(Resultados!EE58)))</f>
        <v>11.198542666666672</v>
      </c>
    </row>
    <row r="59" spans="1:9" x14ac:dyDescent="0.3">
      <c r="A59">
        <f>IF(COUNT(Resultados!A59,Resultados!J59,Resultados!S59,Resultados!AB59,Resultados!AK59,Resultados!AT59,Resultados!BC59,Resultados!BL59,Resultados!BU59,Resultados!CD59,Resultados!CM59,Resultados!CV59,Resultados!DE59,Resultados!DN59,Resultados!DW59)=0, "", AVERAGE(ABS(Resultados!A59),ABS(Resultados!J59),ABS(Resultados!S59),ABS(Resultados!AB59),ABS(Resultados!AK59),ABS(Resultados!AT59),ABS(Resultados!BC59),ABS(Resultados!BL59),ABS(Resultados!BU59),ABS(Resultados!CD59),ABS(Resultados!CM59),ABS(Resultados!CV59),ABS(Resultados!DE59),ABS(Resultados!DN59),ABS(Resultados!DW59)))</f>
        <v>45681</v>
      </c>
      <c r="B59" t="str">
        <f>IF(COUNT(Resultados!B59,Resultados!K59,Resultados!T59,Resultados!AC59,Resultados!AL59,Resultados!AU59,Resultados!BD59,Resultados!BM59,Resultados!BV59,Resultados!CE59,Resultados!CN59,Resultados!CW59,Resultados!DF59,Resultados!DO59,Resultados!DX59)=0, "", AVERAGE(ABS(Resultados!B59),ABS(Resultados!K59),ABS(Resultados!T59),ABS(Resultados!AC59),ABS(Resultados!AL59),ABS(Resultados!AU59),ABS(Resultados!BD59),ABS(Resultados!BM59),ABS(Resultados!BV59),ABS(Resultados!CE59),ABS(Resultados!CN59),ABS(Resultados!CW59),ABS(Resultados!DF59),ABS(Resultados!DO59),ABS(Resultados!DX59)))</f>
        <v/>
      </c>
      <c r="C59">
        <f>IF(COUNT(Resultados!C59,Resultados!L59,Resultados!U59,Resultados!AD59,Resultados!AM59,Resultados!AV59,Resultados!BE59,Resultados!BN59,Resultados!BW59,Resultados!CF59,Resultados!CO59,Resultados!CX59,Resultados!DG59,Resultados!DP59,Resultados!DY59)=0, "", AVERAGE(ABS(Resultados!C59),ABS(Resultados!L59),ABS(Resultados!U59),ABS(Resultados!AD59),ABS(Resultados!AM59),ABS(Resultados!AV59),ABS(Resultados!BE59),ABS(Resultados!BN59),ABS(Resultados!BW59),ABS(Resultados!CF59),ABS(Resultados!CO59),ABS(Resultados!CX59),ABS(Resultados!DG59),ABS(Resultados!DP59),ABS(Resultados!DY59)))</f>
        <v>3</v>
      </c>
      <c r="D59">
        <f>IF(COUNT(Resultados!D59,Resultados!M59,Resultados!V59,Resultados!AE59,Resultados!AN59,Resultados!AW59,Resultados!BF59,Resultados!BO59,Resultados!BX59,Resultados!CG59,Resultados!CP59,Resultados!CY59,Resultados!DH59,Resultados!DQ59,Resultados!DZ59)=0, "", AVERAGE(ABS(Resultados!D59),ABS(Resultados!M59),ABS(Resultados!V59),ABS(Resultados!AE59),ABS(Resultados!AN59),ABS(Resultados!AW59),ABS(Resultados!BF59),ABS(Resultados!BO59),ABS(Resultados!BX59),ABS(Resultados!CG59),ABS(Resultados!CP59),ABS(Resultados!CY59),ABS(Resultados!DH59),ABS(Resultados!DQ59),ABS(Resultados!DZ59)))</f>
        <v>1.1566666666666668E-2</v>
      </c>
      <c r="E59">
        <f>IF(COUNT(Resultados!E59,Resultados!N59,Resultados!W59,Resultados!AF59,Resultados!AO59,Resultados!AX59,Resultados!BG59,Resultados!BP59,Resultados!BY59,Resultados!CH59,Resultados!CQ59,Resultados!CZ59,Resultados!DI59,Resultados!DR59,Resultados!EA59)=0, "", AVERAGE(ABS(Resultados!E59),ABS(Resultados!N59),ABS(Resultados!W59),ABS(Resultados!AF59),ABS(Resultados!AO59),ABS(Resultados!AX59),ABS(Resultados!BG59),ABS(Resultados!BP59),ABS(Resultados!BY59),ABS(Resultados!CH59),ABS(Resultados!CQ59),ABS(Resultados!CZ59),ABS(Resultados!DI59),ABS(Resultados!DR59),ABS(Resultados!EA59)))</f>
        <v>6.3366667952594078</v>
      </c>
      <c r="F59">
        <f>IF(COUNT(Resultados!F59,Resultados!O59,Resultados!X59,Resultados!AG59,Resultados!AP59,Resultados!AY59,Resultados!BH59,Resultados!BQ59,Resultados!BZ59,Resultados!CI59,Resultados!CR59,Resultados!DA59,Resultados!DJ59,Resultados!DS59,Resultados!EB59)=0, "", AVERAGE(ABS(Resultados!F59),ABS(Resultados!O59),ABS(Resultados!X59),ABS(Resultados!AG59),ABS(Resultados!AP59),ABS(Resultados!AY59),ABS(Resultados!BH59),ABS(Resultados!BQ59),ABS(Resultados!BZ59),ABS(Resultados!CI59),ABS(Resultados!CR59),ABS(Resultados!DA59),ABS(Resultados!DJ59),ABS(Resultados!DS59),ABS(Resultados!EB59)))</f>
        <v>638.57734531817698</v>
      </c>
      <c r="G59">
        <f>IF(COUNT(Resultados!G59,Resultados!P59,Resultados!Y59,Resultados!AH59,Resultados!AQ59,Resultados!AZ59,Resultados!BI59,Resultados!BR59,Resultados!CA59,Resultados!CJ59,Resultados!CS59,Resultados!DB59,Resultados!DK59,Resultados!DT59,Resultados!EC59)=0, "", AVERAGE(ABS(Resultados!G59),ABS(Resultados!P59),ABS(Resultados!Y59),ABS(Resultados!AH59),ABS(Resultados!AQ59),ABS(Resultados!AZ59),ABS(Resultados!BI59),ABS(Resultados!BR59),ABS(Resultados!CA59),ABS(Resultados!CJ59),ABS(Resultados!CS59),ABS(Resultados!DB59),ABS(Resultados!DK59),ABS(Resultados!DT59),ABS(Resultados!EC59)))</f>
        <v>0.42400000000000015</v>
      </c>
      <c r="H59">
        <f>IF(COUNT(Resultados!H59,Resultados!Q59,Resultados!Z59,Resultados!AI59,Resultados!AR59,Resultados!BA59,Resultados!BJ59,Resultados!BS59,Resultados!CB59,Resultados!CK59,Resultados!CT59,Resultados!DC59,Resultados!DL59,Resultados!DU59,Resultados!ED59)=0, "", AVERAGE(ABS(Resultados!H59),ABS(Resultados!Q59),ABS(Resultados!Z59),ABS(Resultados!AI59),ABS(Resultados!AR59),ABS(Resultados!BA59),ABS(Resultados!BJ59),ABS(Resultados!BS59),ABS(Resultados!CB59),ABS(Resultados!CK59),ABS(Resultados!CT59),ABS(Resultados!DC59),ABS(Resultados!DL59),ABS(Resultados!DU59),ABS(Resultados!ED59)))</f>
        <v>5.2933333333333322E-3</v>
      </c>
      <c r="I59">
        <f>IF(COUNT(Resultados!I59,Resultados!R59,Resultados!AA59,Resultados!AJ59,Resultados!AS59,Resultados!BB59,Resultados!BK59,Resultados!BT59,Resultados!CC59,Resultados!CL59,Resultados!CU59,Resultados!DD59,Resultados!DM59,Resultados!DV59,Resultados!EE59)=0, "", AVERAGE(ABS(Resultados!I59),ABS(Resultados!R59),ABS(Resultados!AA59),ABS(Resultados!AJ59),ABS(Resultados!AS59),ABS(Resultados!BB59),ABS(Resultados!BK59),ABS(Resultados!BT59),ABS(Resultados!CC59),ABS(Resultados!CL59),ABS(Resultados!CU59),ABS(Resultados!DD59),ABS(Resultados!DM59),ABS(Resultados!DV59),ABS(Resultados!EE59)))</f>
        <v>11.398380000000001</v>
      </c>
    </row>
    <row r="60" spans="1:9" x14ac:dyDescent="0.3">
      <c r="A60">
        <f>IF(COUNT(Resultados!A60,Resultados!J60,Resultados!S60,Resultados!AB60,Resultados!AK60,Resultados!AT60,Resultados!BC60,Resultados!BL60,Resultados!BU60,Resultados!CD60,Resultados!CM60,Resultados!CV60,Resultados!DE60,Resultados!DN60,Resultados!DW60)=0, "", AVERAGE(ABS(Resultados!A60),ABS(Resultados!J60),ABS(Resultados!S60),ABS(Resultados!AB60),ABS(Resultados!AK60),ABS(Resultados!AT60),ABS(Resultados!BC60),ABS(Resultados!BL60),ABS(Resultados!BU60),ABS(Resultados!CD60),ABS(Resultados!CM60),ABS(Resultados!CV60),ABS(Resultados!DE60),ABS(Resultados!DN60),ABS(Resultados!DW60)))</f>
        <v>45681</v>
      </c>
      <c r="B60" t="str">
        <f>IF(COUNT(Resultados!B60,Resultados!K60,Resultados!T60,Resultados!AC60,Resultados!AL60,Resultados!AU60,Resultados!BD60,Resultados!BM60,Resultados!BV60,Resultados!CE60,Resultados!CN60,Resultados!CW60,Resultados!DF60,Resultados!DO60,Resultados!DX60)=0, "", AVERAGE(ABS(Resultados!B60),ABS(Resultados!K60),ABS(Resultados!T60),ABS(Resultados!AC60),ABS(Resultados!AL60),ABS(Resultados!AU60),ABS(Resultados!BD60),ABS(Resultados!BM60),ABS(Resultados!BV60),ABS(Resultados!CE60),ABS(Resultados!CN60),ABS(Resultados!CW60),ABS(Resultados!DF60),ABS(Resultados!DO60),ABS(Resultados!DX60)))</f>
        <v/>
      </c>
      <c r="C60">
        <f>IF(COUNT(Resultados!C60,Resultados!L60,Resultados!U60,Resultados!AD60,Resultados!AM60,Resultados!AV60,Resultados!BE60,Resultados!BN60,Resultados!BW60,Resultados!CF60,Resultados!CO60,Resultados!CX60,Resultados!DG60,Resultados!DP60,Resultados!DY60)=0, "", AVERAGE(ABS(Resultados!C60),ABS(Resultados!L60),ABS(Resultados!U60),ABS(Resultados!AD60),ABS(Resultados!AM60),ABS(Resultados!AV60),ABS(Resultados!BE60),ABS(Resultados!BN60),ABS(Resultados!BW60),ABS(Resultados!CF60),ABS(Resultados!CO60),ABS(Resultados!CX60),ABS(Resultados!DG60),ABS(Resultados!DP60),ABS(Resultados!DY60)))</f>
        <v>3</v>
      </c>
      <c r="D60">
        <f>IF(COUNT(Resultados!D60,Resultados!M60,Resultados!V60,Resultados!AE60,Resultados!AN60,Resultados!AW60,Resultados!BF60,Resultados!BO60,Resultados!BX60,Resultados!CG60,Resultados!CP60,Resultados!CY60,Resultados!DH60,Resultados!DQ60,Resultados!DZ60)=0, "", AVERAGE(ABS(Resultados!D60),ABS(Resultados!M60),ABS(Resultados!V60),ABS(Resultados!AE60),ABS(Resultados!AN60),ABS(Resultados!AW60),ABS(Resultados!BF60),ABS(Resultados!BO60),ABS(Resultados!BX60),ABS(Resultados!CG60),ABS(Resultados!CP60),ABS(Resultados!CY60),ABS(Resultados!DH60),ABS(Resultados!DQ60),ABS(Resultados!DZ60)))</f>
        <v>7.6933333333333333E-3</v>
      </c>
      <c r="E60">
        <f>IF(COUNT(Resultados!E60,Resultados!N60,Resultados!W60,Resultados!AF60,Resultados!AO60,Resultados!AX60,Resultados!BG60,Resultados!BP60,Resultados!BY60,Resultados!CH60,Resultados!CQ60,Resultados!CZ60,Resultados!DI60,Resultados!DR60,Resultados!EA60)=0, "", AVERAGE(ABS(Resultados!E60),ABS(Resultados!N60),ABS(Resultados!W60),ABS(Resultados!AF60),ABS(Resultados!AO60),ABS(Resultados!AX60),ABS(Resultados!BG60),ABS(Resultados!BP60),ABS(Resultados!BY60),ABS(Resultados!CH60),ABS(Resultados!CQ60),ABS(Resultados!CZ60),ABS(Resultados!DI60),ABS(Resultados!DR60),ABS(Resultados!EA60)))</f>
        <v>6.1870568250661959</v>
      </c>
      <c r="F60">
        <f>IF(COUNT(Resultados!F60,Resultados!O60,Resultados!X60,Resultados!AG60,Resultados!AP60,Resultados!AY60,Resultados!BH60,Resultados!BQ60,Resultados!BZ60,Resultados!CI60,Resultados!CR60,Resultados!DA60,Resultados!DJ60,Resultados!DS60,Resultados!EB60)=0, "", AVERAGE(ABS(Resultados!F60),ABS(Resultados!O60),ABS(Resultados!X60),ABS(Resultados!AG60),ABS(Resultados!AP60),ABS(Resultados!AY60),ABS(Resultados!BH60),ABS(Resultados!BQ60),ABS(Resultados!BZ60),ABS(Resultados!CI60),ABS(Resultados!CR60),ABS(Resultados!DA60),ABS(Resultados!DJ60),ABS(Resultados!DS60),ABS(Resultados!EB60)))</f>
        <v>624.6336960961695</v>
      </c>
      <c r="G60">
        <f>IF(COUNT(Resultados!G60,Resultados!P60,Resultados!Y60,Resultados!AH60,Resultados!AQ60,Resultados!AZ60,Resultados!BI60,Resultados!BR60,Resultados!CA60,Resultados!CJ60,Resultados!CS60,Resultados!DB60,Resultados!DK60,Resultados!DT60,Resultados!EC60)=0, "", AVERAGE(ABS(Resultados!G60),ABS(Resultados!P60),ABS(Resultados!Y60),ABS(Resultados!AH60),ABS(Resultados!AQ60),ABS(Resultados!AZ60),ABS(Resultados!BI60),ABS(Resultados!BR60),ABS(Resultados!CA60),ABS(Resultados!CJ60),ABS(Resultados!CS60),ABS(Resultados!DB60),ABS(Resultados!DK60),ABS(Resultados!DT60),ABS(Resultados!EC60)))</f>
        <v>0.42400000000000015</v>
      </c>
      <c r="H60">
        <f>IF(COUNT(Resultados!H60,Resultados!Q60,Resultados!Z60,Resultados!AI60,Resultados!AR60,Resultados!BA60,Resultados!BJ60,Resultados!BS60,Resultados!CB60,Resultados!CK60,Resultados!CT60,Resultados!DC60,Resultados!DL60,Resultados!DU60,Resultados!ED60)=0, "", AVERAGE(ABS(Resultados!H60),ABS(Resultados!Q60),ABS(Resultados!Z60),ABS(Resultados!AI60),ABS(Resultados!AR60),ABS(Resultados!BA60),ABS(Resultados!BJ60),ABS(Resultados!BS60),ABS(Resultados!CB60),ABS(Resultados!CK60),ABS(Resultados!CT60),ABS(Resultados!DC60),ABS(Resultados!DL60),ABS(Resultados!DU60),ABS(Resultados!ED60)))</f>
        <v>2.9800000000000017E-3</v>
      </c>
      <c r="I60">
        <f>IF(COUNT(Resultados!I60,Resultados!R60,Resultados!AA60,Resultados!AJ60,Resultados!AS60,Resultados!BB60,Resultados!BK60,Resultados!BT60,Resultados!CC60,Resultados!CL60,Resultados!CU60,Resultados!DD60,Resultados!DM60,Resultados!DV60,Resultados!EE60)=0, "", AVERAGE(ABS(Resultados!I60),ABS(Resultados!R60),ABS(Resultados!AA60),ABS(Resultados!AJ60),ABS(Resultados!AS60),ABS(Resultados!BB60),ABS(Resultados!BK60),ABS(Resultados!BT60),ABS(Resultados!CC60),ABS(Resultados!CL60),ABS(Resultados!CU60),ABS(Resultados!DD60),ABS(Resultados!DM60),ABS(Resultados!DV60),ABS(Resultados!EE60)))</f>
        <v>11.59876866666667</v>
      </c>
    </row>
    <row r="61" spans="1:9" x14ac:dyDescent="0.3">
      <c r="A61">
        <f>IF(COUNT(Resultados!A61,Resultados!J61,Resultados!S61,Resultados!AB61,Resultados!AK61,Resultados!AT61,Resultados!BC61,Resultados!BL61,Resultados!BU61,Resultados!CD61,Resultados!CM61,Resultados!CV61,Resultados!DE61,Resultados!DN61,Resultados!DW61)=0, "", AVERAGE(ABS(Resultados!A61),ABS(Resultados!J61),ABS(Resultados!S61),ABS(Resultados!AB61),ABS(Resultados!AK61),ABS(Resultados!AT61),ABS(Resultados!BC61),ABS(Resultados!BL61),ABS(Resultados!BU61),ABS(Resultados!CD61),ABS(Resultados!CM61),ABS(Resultados!CV61),ABS(Resultados!DE61),ABS(Resultados!DN61),ABS(Resultados!DW61)))</f>
        <v>45681</v>
      </c>
      <c r="B61" t="str">
        <f>IF(COUNT(Resultados!B61,Resultados!K61,Resultados!T61,Resultados!AC61,Resultados!AL61,Resultados!AU61,Resultados!BD61,Resultados!BM61,Resultados!BV61,Resultados!CE61,Resultados!CN61,Resultados!CW61,Resultados!DF61,Resultados!DO61,Resultados!DX61)=0, "", AVERAGE(ABS(Resultados!B61),ABS(Resultados!K61),ABS(Resultados!T61),ABS(Resultados!AC61),ABS(Resultados!AL61),ABS(Resultados!AU61),ABS(Resultados!BD61),ABS(Resultados!BM61),ABS(Resultados!BV61),ABS(Resultados!CE61),ABS(Resultados!CN61),ABS(Resultados!CW61),ABS(Resultados!DF61),ABS(Resultados!DO61),ABS(Resultados!DX61)))</f>
        <v/>
      </c>
      <c r="C61">
        <f>IF(COUNT(Resultados!C61,Resultados!L61,Resultados!U61,Resultados!AD61,Resultados!AM61,Resultados!AV61,Resultados!BE61,Resultados!BN61,Resultados!BW61,Resultados!CF61,Resultados!CO61,Resultados!CX61,Resultados!DG61,Resultados!DP61,Resultados!DY61)=0, "", AVERAGE(ABS(Resultados!C61),ABS(Resultados!L61),ABS(Resultados!U61),ABS(Resultados!AD61),ABS(Resultados!AM61),ABS(Resultados!AV61),ABS(Resultados!BE61),ABS(Resultados!BN61),ABS(Resultados!BW61),ABS(Resultados!CF61),ABS(Resultados!CO61),ABS(Resultados!CX61),ABS(Resultados!DG61),ABS(Resultados!DP61),ABS(Resultados!DY61)))</f>
        <v>3</v>
      </c>
      <c r="D61">
        <f>IF(COUNT(Resultados!D61,Resultados!M61,Resultados!V61,Resultados!AE61,Resultados!AN61,Resultados!AW61,Resultados!BF61,Resultados!BO61,Resultados!BX61,Resultados!CG61,Resultados!CP61,Resultados!CY61,Resultados!DH61,Resultados!DQ61,Resultados!DZ61)=0, "", AVERAGE(ABS(Resultados!D61),ABS(Resultados!M61),ABS(Resultados!V61),ABS(Resultados!AE61),ABS(Resultados!AN61),ABS(Resultados!AW61),ABS(Resultados!BF61),ABS(Resultados!BO61),ABS(Resultados!BX61),ABS(Resultados!CG61),ABS(Resultados!CP61),ABS(Resultados!CY61),ABS(Resultados!DH61),ABS(Resultados!DQ61),ABS(Resultados!DZ61)))</f>
        <v>4.0666666666666663E-3</v>
      </c>
      <c r="E61">
        <f>IF(COUNT(Resultados!E61,Resultados!N61,Resultados!W61,Resultados!AF61,Resultados!AO61,Resultados!AX61,Resultados!BG61,Resultados!BP61,Resultados!BY61,Resultados!CH61,Resultados!CQ61,Resultados!CZ61,Resultados!DI61,Resultados!DR61,Resultados!EA61)=0, "", AVERAGE(ABS(Resultados!E61),ABS(Resultados!N61),ABS(Resultados!W61),ABS(Resultados!AF61),ABS(Resultados!AO61),ABS(Resultados!AX61),ABS(Resultados!BG61),ABS(Resultados!BP61),ABS(Resultados!BY61),ABS(Resultados!CH61),ABS(Resultados!CQ61),ABS(Resultados!CZ61),ABS(Resultados!DI61),ABS(Resultados!DR61),ABS(Resultados!EA61)))</f>
        <v>6.0852730448434329</v>
      </c>
      <c r="F61">
        <f>IF(COUNT(Resultados!F61,Resultados!O61,Resultados!X61,Resultados!AG61,Resultados!AP61,Resultados!AY61,Resultados!BH61,Resultados!BQ61,Resultados!BZ61,Resultados!CI61,Resultados!CR61,Resultados!DA61,Resultados!DJ61,Resultados!DS61,Resultados!EB61)=0, "", AVERAGE(ABS(Resultados!F61),ABS(Resultados!O61),ABS(Resultados!X61),ABS(Resultados!AG61),ABS(Resultados!AP61),ABS(Resultados!AY61),ABS(Resultados!BH61),ABS(Resultados!BQ61),ABS(Resultados!BZ61),ABS(Resultados!CI61),ABS(Resultados!CR61),ABS(Resultados!DA61),ABS(Resultados!DJ61),ABS(Resultados!DS61),ABS(Resultados!EB61)))</f>
        <v>615.14744777940791</v>
      </c>
      <c r="G61">
        <f>IF(COUNT(Resultados!G61,Resultados!P61,Resultados!Y61,Resultados!AH61,Resultados!AQ61,Resultados!AZ61,Resultados!BI61,Resultados!BR61,Resultados!CA61,Resultados!CJ61,Resultados!CS61,Resultados!DB61,Resultados!DK61,Resultados!DT61,Resultados!EC61)=0, "", AVERAGE(ABS(Resultados!G61),ABS(Resultados!P61),ABS(Resultados!Y61),ABS(Resultados!AH61),ABS(Resultados!AQ61),ABS(Resultados!AZ61),ABS(Resultados!BI61),ABS(Resultados!BR61),ABS(Resultados!CA61),ABS(Resultados!CJ61),ABS(Resultados!CS61),ABS(Resultados!DB61),ABS(Resultados!DK61),ABS(Resultados!DT61),ABS(Resultados!EC61)))</f>
        <v>0.42400000000000015</v>
      </c>
      <c r="H61">
        <f>IF(COUNT(Resultados!H61,Resultados!Q61,Resultados!Z61,Resultados!AI61,Resultados!AR61,Resultados!BA61,Resultados!BJ61,Resultados!BS61,Resultados!CB61,Resultados!CK61,Resultados!CT61,Resultados!DC61,Resultados!DL61,Resultados!DU61,Resultados!ED61)=0, "", AVERAGE(ABS(Resultados!H61),ABS(Resultados!Q61),ABS(Resultados!Z61),ABS(Resultados!AI61),ABS(Resultados!AR61),ABS(Resultados!BA61),ABS(Resultados!BJ61),ABS(Resultados!BS61),ABS(Resultados!CB61),ABS(Resultados!CK61),ABS(Resultados!CT61),ABS(Resultados!DC61),ABS(Resultados!DL61),ABS(Resultados!DU61),ABS(Resultados!ED61)))</f>
        <v>1.3800000000000004E-3</v>
      </c>
      <c r="I61">
        <f>IF(COUNT(Resultados!I61,Resultados!R61,Resultados!AA61,Resultados!AJ61,Resultados!AS61,Resultados!BB61,Resultados!BK61,Resultados!BT61,Resultados!CC61,Resultados!CL61,Resultados!CU61,Resultados!DD61,Resultados!DM61,Resultados!DV61,Resultados!EE61)=0, "", AVERAGE(ABS(Resultados!I61),ABS(Resultados!R61),ABS(Resultados!AA61),ABS(Resultados!AJ61),ABS(Resultados!AS61),ABS(Resultados!BB61),ABS(Resultados!BK61),ABS(Resultados!BT61),ABS(Resultados!CC61),ABS(Resultados!CL61),ABS(Resultados!CU61),ABS(Resultados!DD61),ABS(Resultados!DM61),ABS(Resultados!DV61),ABS(Resultados!EE61)))</f>
        <v>11.798532666666665</v>
      </c>
    </row>
    <row r="62" spans="1:9" x14ac:dyDescent="0.3">
      <c r="A62">
        <f>IF(COUNT(Resultados!A62,Resultados!J62,Resultados!S62,Resultados!AB62,Resultados!AK62,Resultados!AT62,Resultados!BC62,Resultados!BL62,Resultados!BU62,Resultados!CD62,Resultados!CM62,Resultados!CV62,Resultados!DE62,Resultados!DN62,Resultados!DW62)=0, "", AVERAGE(ABS(Resultados!A62),ABS(Resultados!J62),ABS(Resultados!S62),ABS(Resultados!AB62),ABS(Resultados!AK62),ABS(Resultados!AT62),ABS(Resultados!BC62),ABS(Resultados!BL62),ABS(Resultados!BU62),ABS(Resultados!CD62),ABS(Resultados!CM62),ABS(Resultados!CV62),ABS(Resultados!DE62),ABS(Resultados!DN62),ABS(Resultados!DW62)))</f>
        <v>45681</v>
      </c>
      <c r="B62" t="str">
        <f>IF(COUNT(Resultados!B62,Resultados!K62,Resultados!T62,Resultados!AC62,Resultados!AL62,Resultados!AU62,Resultados!BD62,Resultados!BM62,Resultados!BV62,Resultados!CE62,Resultados!CN62,Resultados!CW62,Resultados!DF62,Resultados!DO62,Resultados!DX62)=0, "", AVERAGE(ABS(Resultados!B62),ABS(Resultados!K62),ABS(Resultados!T62),ABS(Resultados!AC62),ABS(Resultados!AL62),ABS(Resultados!AU62),ABS(Resultados!BD62),ABS(Resultados!BM62),ABS(Resultados!BV62),ABS(Resultados!CE62),ABS(Resultados!CN62),ABS(Resultados!CW62),ABS(Resultados!DF62),ABS(Resultados!DO62),ABS(Resultados!DX62)))</f>
        <v/>
      </c>
      <c r="C62">
        <f>IF(COUNT(Resultados!C62,Resultados!L62,Resultados!U62,Resultados!AD62,Resultados!AM62,Resultados!AV62,Resultados!BE62,Resultados!BN62,Resultados!BW62,Resultados!CF62,Resultados!CO62,Resultados!CX62,Resultados!DG62,Resultados!DP62,Resultados!DY62)=0, "", AVERAGE(ABS(Resultados!C62),ABS(Resultados!L62),ABS(Resultados!U62),ABS(Resultados!AD62),ABS(Resultados!AM62),ABS(Resultados!AV62),ABS(Resultados!BE62),ABS(Resultados!BN62),ABS(Resultados!BW62),ABS(Resultados!CF62),ABS(Resultados!CO62),ABS(Resultados!CX62),ABS(Resultados!DG62),ABS(Resultados!DP62),ABS(Resultados!DY62)))</f>
        <v>3</v>
      </c>
      <c r="D62">
        <f>IF(COUNT(Resultados!D62,Resultados!M62,Resultados!V62,Resultados!AE62,Resultados!AN62,Resultados!AW62,Resultados!BF62,Resultados!BO62,Resultados!BX62,Resultados!CG62,Resultados!CP62,Resultados!CY62,Resultados!DH62,Resultados!DQ62,Resultados!DZ62)=0, "", AVERAGE(ABS(Resultados!D62),ABS(Resultados!M62),ABS(Resultados!V62),ABS(Resultados!AE62),ABS(Resultados!AN62),ABS(Resultados!AW62),ABS(Resultados!BF62),ABS(Resultados!BO62),ABS(Resultados!BX62),ABS(Resultados!CG62),ABS(Resultados!CP62),ABS(Resultados!CY62),ABS(Resultados!DH62),ABS(Resultados!DQ62),ABS(Resultados!DZ62)))</f>
        <v>2.1133333333333334E-3</v>
      </c>
      <c r="E62">
        <f>IF(COUNT(Resultados!E62,Resultados!N62,Resultados!W62,Resultados!AF62,Resultados!AO62,Resultados!AX62,Resultados!BG62,Resultados!BP62,Resultados!BY62,Resultados!CH62,Resultados!CQ62,Resultados!CZ62,Resultados!DI62,Resultados!DR62,Resultados!EA62)=0, "", AVERAGE(ABS(Resultados!E62),ABS(Resultados!N62),ABS(Resultados!W62),ABS(Resultados!AF62),ABS(Resultados!AO62),ABS(Resultados!AX62),ABS(Resultados!BG62),ABS(Resultados!BP62),ABS(Resultados!BY62),ABS(Resultados!CH62),ABS(Resultados!CQ62),ABS(Resultados!CZ62),ABS(Resultados!DI62),ABS(Resultados!DR62),ABS(Resultados!EA62)))</f>
        <v>6.0406798255673397</v>
      </c>
      <c r="F62">
        <f>IF(COUNT(Resultados!F62,Resultados!O62,Resultados!X62,Resultados!AG62,Resultados!AP62,Resultados!AY62,Resultados!BH62,Resultados!BQ62,Resultados!BZ62,Resultados!CI62,Resultados!CR62,Resultados!DA62,Resultados!DJ62,Resultados!DS62,Resultados!EB62)=0, "", AVERAGE(ABS(Resultados!F62),ABS(Resultados!O62),ABS(Resultados!X62),ABS(Resultados!AG62),ABS(Resultados!AP62),ABS(Resultados!AY62),ABS(Resultados!BH62),ABS(Resultados!BQ62),ABS(Resultados!BZ62),ABS(Resultados!CI62),ABS(Resultados!CR62),ABS(Resultados!DA62),ABS(Resultados!DJ62),ABS(Resultados!DS62),ABS(Resultados!EB62)))</f>
        <v>610.99135974287617</v>
      </c>
      <c r="G62">
        <f>IF(COUNT(Resultados!G62,Resultados!P62,Resultados!Y62,Resultados!AH62,Resultados!AQ62,Resultados!AZ62,Resultados!BI62,Resultados!BR62,Resultados!CA62,Resultados!CJ62,Resultados!CS62,Resultados!DB62,Resultados!DK62,Resultados!DT62,Resultados!EC62)=0, "", AVERAGE(ABS(Resultados!G62),ABS(Resultados!P62),ABS(Resultados!Y62),ABS(Resultados!AH62),ABS(Resultados!AQ62),ABS(Resultados!AZ62),ABS(Resultados!BI62),ABS(Resultados!BR62),ABS(Resultados!CA62),ABS(Resultados!CJ62),ABS(Resultados!CS62),ABS(Resultados!DB62),ABS(Resultados!DK62),ABS(Resultados!DT62),ABS(Resultados!EC62)))</f>
        <v>0.42400000000000015</v>
      </c>
      <c r="H62">
        <f>IF(COUNT(Resultados!H62,Resultados!Q62,Resultados!Z62,Resultados!AI62,Resultados!AR62,Resultados!BA62,Resultados!BJ62,Resultados!BS62,Resultados!CB62,Resultados!CK62,Resultados!CT62,Resultados!DC62,Resultados!DL62,Resultados!DU62,Resultados!ED62)=0, "", AVERAGE(ABS(Resultados!H62),ABS(Resultados!Q62),ABS(Resultados!Z62),ABS(Resultados!AI62),ABS(Resultados!AR62),ABS(Resultados!BA62),ABS(Resultados!BJ62),ABS(Resultados!BS62),ABS(Resultados!CB62),ABS(Resultados!CK62),ABS(Resultados!CT62),ABS(Resultados!DC62),ABS(Resultados!DL62),ABS(Resultados!DU62),ABS(Resultados!ED62)))</f>
        <v>6.9999999999999999E-4</v>
      </c>
      <c r="I62">
        <f>IF(COUNT(Resultados!I62,Resultados!R62,Resultados!AA62,Resultados!AJ62,Resultados!AS62,Resultados!BB62,Resultados!BK62,Resultados!BT62,Resultados!CC62,Resultados!CL62,Resultados!CU62,Resultados!DD62,Resultados!DM62,Resultados!DV62,Resultados!EE62)=0, "", AVERAGE(ABS(Resultados!I62),ABS(Resultados!R62),ABS(Resultados!AA62),ABS(Resultados!AJ62),ABS(Resultados!AS62),ABS(Resultados!BB62),ABS(Resultados!BK62),ABS(Resultados!BT62),ABS(Resultados!CC62),ABS(Resultados!CL62),ABS(Resultados!CU62),ABS(Resultados!DD62),ABS(Resultados!DM62),ABS(Resultados!DV62),ABS(Resultados!EE62)))</f>
        <v>11.99941466666667</v>
      </c>
    </row>
    <row r="63" spans="1:9" x14ac:dyDescent="0.3">
      <c r="A63">
        <f>IF(COUNT(Resultados!A63,Resultados!J63,Resultados!S63,Resultados!AB63,Resultados!AK63,Resultados!AT63,Resultados!BC63,Resultados!BL63,Resultados!BU63,Resultados!CD63,Resultados!CM63,Resultados!CV63,Resultados!DE63,Resultados!DN63,Resultados!DW63)=0, "", AVERAGE(ABS(Resultados!A63),ABS(Resultados!J63),ABS(Resultados!S63),ABS(Resultados!AB63),ABS(Resultados!AK63),ABS(Resultados!AT63),ABS(Resultados!BC63),ABS(Resultados!BL63),ABS(Resultados!BU63),ABS(Resultados!CD63),ABS(Resultados!CM63),ABS(Resultados!CV63),ABS(Resultados!DE63),ABS(Resultados!DN63),ABS(Resultados!DW63)))</f>
        <v>45681</v>
      </c>
      <c r="B63" t="str">
        <f>IF(COUNT(Resultados!B63,Resultados!K63,Resultados!T63,Resultados!AC63,Resultados!AL63,Resultados!AU63,Resultados!BD63,Resultados!BM63,Resultados!BV63,Resultados!CE63,Resultados!CN63,Resultados!CW63,Resultados!DF63,Resultados!DO63,Resultados!DX63)=0, "", AVERAGE(ABS(Resultados!B63),ABS(Resultados!K63),ABS(Resultados!T63),ABS(Resultados!AC63),ABS(Resultados!AL63),ABS(Resultados!AU63),ABS(Resultados!BD63),ABS(Resultados!BM63),ABS(Resultados!BV63),ABS(Resultados!CE63),ABS(Resultados!CN63),ABS(Resultados!CW63),ABS(Resultados!DF63),ABS(Resultados!DO63),ABS(Resultados!DX63)))</f>
        <v/>
      </c>
      <c r="C63">
        <f>IF(COUNT(Resultados!C63,Resultados!L63,Resultados!U63,Resultados!AD63,Resultados!AM63,Resultados!AV63,Resultados!BE63,Resultados!BN63,Resultados!BW63,Resultados!CF63,Resultados!CO63,Resultados!CX63,Resultados!DG63,Resultados!DP63,Resultados!DY63)=0, "", AVERAGE(ABS(Resultados!C63),ABS(Resultados!L63),ABS(Resultados!U63),ABS(Resultados!AD63),ABS(Resultados!AM63),ABS(Resultados!AV63),ABS(Resultados!BE63),ABS(Resultados!BN63),ABS(Resultados!BW63),ABS(Resultados!CF63),ABS(Resultados!CO63),ABS(Resultados!CX63),ABS(Resultados!DG63),ABS(Resultados!DP63),ABS(Resultados!DY63)))</f>
        <v>3</v>
      </c>
      <c r="D63">
        <f>IF(COUNT(Resultados!D63,Resultados!M63,Resultados!V63,Resultados!AE63,Resultados!AN63,Resultados!AW63,Resultados!BF63,Resultados!BO63,Resultados!BX63,Resultados!CG63,Resultados!CP63,Resultados!CY63,Resultados!DH63,Resultados!DQ63,Resultados!DZ63)=0, "", AVERAGE(ABS(Resultados!D63),ABS(Resultados!M63),ABS(Resultados!V63),ABS(Resultados!AE63),ABS(Resultados!AN63),ABS(Resultados!AW63),ABS(Resultados!BF63),ABS(Resultados!BO63),ABS(Resultados!BX63),ABS(Resultados!CG63),ABS(Resultados!CP63),ABS(Resultados!CY63),ABS(Resultados!DH63),ABS(Resultados!DQ63),ABS(Resultados!DZ63)))</f>
        <v>1.34E-3</v>
      </c>
      <c r="E63">
        <f>IF(COUNT(Resultados!E63,Resultados!N63,Resultados!W63,Resultados!AF63,Resultados!AO63,Resultados!AX63,Resultados!BG63,Resultados!BP63,Resultados!BY63,Resultados!CH63,Resultados!CQ63,Resultados!CZ63,Resultados!DI63,Resultados!DR63,Resultados!EA63)=0, "", AVERAGE(ABS(Resultados!E63),ABS(Resultados!N63),ABS(Resultados!W63),ABS(Resultados!AF63),ABS(Resultados!AO63),ABS(Resultados!AX63),ABS(Resultados!BG63),ABS(Resultados!BP63),ABS(Resultados!BY63),ABS(Resultados!CH63),ABS(Resultados!CQ63),ABS(Resultados!CZ63),ABS(Resultados!DI63),ABS(Resultados!DR63),ABS(Resultados!EA63)))</f>
        <v>6.0582531111956124</v>
      </c>
      <c r="F63">
        <f>IF(COUNT(Resultados!F63,Resultados!O63,Resultados!X63,Resultados!AG63,Resultados!AP63,Resultados!AY63,Resultados!BH63,Resultados!BQ63,Resultados!BZ63,Resultados!CI63,Resultados!CR63,Resultados!DA63,Resultados!DJ63,Resultados!DS63,Resultados!EB63)=0, "", AVERAGE(ABS(Resultados!F63),ABS(Resultados!O63),ABS(Resultados!X63),ABS(Resultados!AG63),ABS(Resultados!AP63),ABS(Resultados!AY63),ABS(Resultados!BH63),ABS(Resultados!BQ63),ABS(Resultados!BZ63),ABS(Resultados!CI63),ABS(Resultados!CR63),ABS(Resultados!DA63),ABS(Resultados!DJ63),ABS(Resultados!DS63),ABS(Resultados!EB63)))</f>
        <v>708.06256670197683</v>
      </c>
      <c r="G63">
        <f>IF(COUNT(Resultados!G63,Resultados!P63,Resultados!Y63,Resultados!AH63,Resultados!AQ63,Resultados!AZ63,Resultados!BI63,Resultados!BR63,Resultados!CA63,Resultados!CJ63,Resultados!CS63,Resultados!DB63,Resultados!DK63,Resultados!DT63,Resultados!EC63)=0, "", AVERAGE(ABS(Resultados!G63),ABS(Resultados!P63),ABS(Resultados!Y63),ABS(Resultados!AH63),ABS(Resultados!AQ63),ABS(Resultados!AZ63),ABS(Resultados!BI63),ABS(Resultados!BR63),ABS(Resultados!CA63),ABS(Resultados!CJ63),ABS(Resultados!CS63),ABS(Resultados!DB63),ABS(Resultados!DK63),ABS(Resultados!DT63),ABS(Resultados!EC63)))</f>
        <v>0.42400000000000015</v>
      </c>
      <c r="H63">
        <f>IF(COUNT(Resultados!H63,Resultados!Q63,Resultados!Z63,Resultados!AI63,Resultados!AR63,Resultados!BA63,Resultados!BJ63,Resultados!BS63,Resultados!CB63,Resultados!CK63,Resultados!CT63,Resultados!DC63,Resultados!DL63,Resultados!DU63,Resultados!ED63)=0, "", AVERAGE(ABS(Resultados!H63),ABS(Resultados!Q63),ABS(Resultados!Z63),ABS(Resultados!AI63),ABS(Resultados!AR63),ABS(Resultados!BA63),ABS(Resultados!BJ63),ABS(Resultados!BS63),ABS(Resultados!CB63),ABS(Resultados!CK63),ABS(Resultados!CT63),ABS(Resultados!DC63),ABS(Resultados!DL63),ABS(Resultados!DU63),ABS(Resultados!ED63)))</f>
        <v>9.533333333333337E-4</v>
      </c>
      <c r="I63">
        <f>IF(COUNT(Resultados!I63,Resultados!R63,Resultados!AA63,Resultados!AJ63,Resultados!AS63,Resultados!BB63,Resultados!BK63,Resultados!BT63,Resultados!CC63,Resultados!CL63,Resultados!CU63,Resultados!DD63,Resultados!DM63,Resultados!DV63,Resultados!EE63)=0, "", AVERAGE(ABS(Resultados!I63),ABS(Resultados!R63),ABS(Resultados!AA63),ABS(Resultados!AJ63),ABS(Resultados!AS63),ABS(Resultados!BB63),ABS(Resultados!BK63),ABS(Resultados!BT63),ABS(Resultados!CC63),ABS(Resultados!CL63),ABS(Resultados!CU63),ABS(Resultados!DD63),ABS(Resultados!DM63),ABS(Resultados!DV63),ABS(Resultados!EE63)))</f>
        <v>12.199524000000004</v>
      </c>
    </row>
    <row r="64" spans="1:9" x14ac:dyDescent="0.3">
      <c r="A64">
        <f>IF(COUNT(Resultados!A64,Resultados!J64,Resultados!S64,Resultados!AB64,Resultados!AK64,Resultados!AT64,Resultados!BC64,Resultados!BL64,Resultados!BU64,Resultados!CD64,Resultados!CM64,Resultados!CV64,Resultados!DE64,Resultados!DN64,Resultados!DW64)=0, "", AVERAGE(ABS(Resultados!A64),ABS(Resultados!J64),ABS(Resultados!S64),ABS(Resultados!AB64),ABS(Resultados!AK64),ABS(Resultados!AT64),ABS(Resultados!BC64),ABS(Resultados!BL64),ABS(Resultados!BU64),ABS(Resultados!CD64),ABS(Resultados!CM64),ABS(Resultados!CV64),ABS(Resultados!DE64),ABS(Resultados!DN64),ABS(Resultados!DW64)))</f>
        <v>45681</v>
      </c>
      <c r="B64" t="str">
        <f>IF(COUNT(Resultados!B64,Resultados!K64,Resultados!T64,Resultados!AC64,Resultados!AL64,Resultados!AU64,Resultados!BD64,Resultados!BM64,Resultados!BV64,Resultados!CE64,Resultados!CN64,Resultados!CW64,Resultados!DF64,Resultados!DO64,Resultados!DX64)=0, "", AVERAGE(ABS(Resultados!B64),ABS(Resultados!K64),ABS(Resultados!T64),ABS(Resultados!AC64),ABS(Resultados!AL64),ABS(Resultados!AU64),ABS(Resultados!BD64),ABS(Resultados!BM64),ABS(Resultados!BV64),ABS(Resultados!CE64),ABS(Resultados!CN64),ABS(Resultados!CW64),ABS(Resultados!DF64),ABS(Resultados!DO64),ABS(Resultados!DX64)))</f>
        <v/>
      </c>
      <c r="C64">
        <f>IF(COUNT(Resultados!C64,Resultados!L64,Resultados!U64,Resultados!AD64,Resultados!AM64,Resultados!AV64,Resultados!BE64,Resultados!BN64,Resultados!BW64,Resultados!CF64,Resultados!CO64,Resultados!CX64,Resultados!DG64,Resultados!DP64,Resultados!DY64)=0, "", AVERAGE(ABS(Resultados!C64),ABS(Resultados!L64),ABS(Resultados!U64),ABS(Resultados!AD64),ABS(Resultados!AM64),ABS(Resultados!AV64),ABS(Resultados!BE64),ABS(Resultados!BN64),ABS(Resultados!BW64),ABS(Resultados!CF64),ABS(Resultados!CO64),ABS(Resultados!CX64),ABS(Resultados!DG64),ABS(Resultados!DP64),ABS(Resultados!DY64)))</f>
        <v>3</v>
      </c>
      <c r="D64">
        <f>IF(COUNT(Resultados!D64,Resultados!M64,Resultados!V64,Resultados!AE64,Resultados!AN64,Resultados!AW64,Resultados!BF64,Resultados!BO64,Resultados!BX64,Resultados!CG64,Resultados!CP64,Resultados!CY64,Resultados!DH64,Resultados!DQ64,Resultados!DZ64)=0, "", AVERAGE(ABS(Resultados!D64),ABS(Resultados!M64),ABS(Resultados!V64),ABS(Resultados!AE64),ABS(Resultados!AN64),ABS(Resultados!AW64),ABS(Resultados!BF64),ABS(Resultados!BO64),ABS(Resultados!BX64),ABS(Resultados!CG64),ABS(Resultados!CP64),ABS(Resultados!CY64),ABS(Resultados!DH64),ABS(Resultados!DQ64),ABS(Resultados!DZ64)))</f>
        <v>1.0399999999999997E-3</v>
      </c>
      <c r="E64">
        <f>IF(COUNT(Resultados!E64,Resultados!N64,Resultados!W64,Resultados!AF64,Resultados!AO64,Resultados!AX64,Resultados!BG64,Resultados!BP64,Resultados!BY64,Resultados!CH64,Resultados!CQ64,Resultados!CZ64,Resultados!DI64,Resultados!DR64,Resultados!EA64)=0, "", AVERAGE(ABS(Resultados!E64),ABS(Resultados!N64),ABS(Resultados!W64),ABS(Resultados!AF64),ABS(Resultados!AO64),ABS(Resultados!AX64),ABS(Resultados!BG64),ABS(Resultados!BP64),ABS(Resultados!BY64),ABS(Resultados!CH64),ABS(Resultados!CQ64),ABS(Resultados!CZ64),ABS(Resultados!DI64),ABS(Resultados!DR64),ABS(Resultados!EA64)))</f>
        <v>6.1354977375662427</v>
      </c>
      <c r="F64">
        <f>IF(COUNT(Resultados!F64,Resultados!O64,Resultados!X64,Resultados!AG64,Resultados!AP64,Resultados!AY64,Resultados!BH64,Resultados!BQ64,Resultados!BZ64,Resultados!CI64,Resultados!CR64,Resultados!DA64,Resultados!DJ64,Resultados!DS64,Resultados!EB64)=0, "", AVERAGE(ABS(Resultados!F64),ABS(Resultados!O64),ABS(Resultados!X64),ABS(Resultados!AG64),ABS(Resultados!AP64),ABS(Resultados!AY64),ABS(Resultados!BH64),ABS(Resultados!BQ64),ABS(Resultados!BZ64),ABS(Resultados!CI64),ABS(Resultados!CR64),ABS(Resultados!DA64),ABS(Resultados!DJ64),ABS(Resultados!DS64),ABS(Resultados!EB64)))</f>
        <v>715.41443450245845</v>
      </c>
      <c r="G64">
        <f>IF(COUNT(Resultados!G64,Resultados!P64,Resultados!Y64,Resultados!AH64,Resultados!AQ64,Resultados!AZ64,Resultados!BI64,Resultados!BR64,Resultados!CA64,Resultados!CJ64,Resultados!CS64,Resultados!DB64,Resultados!DK64,Resultados!DT64,Resultados!EC64)=0, "", AVERAGE(ABS(Resultados!G64),ABS(Resultados!P64),ABS(Resultados!Y64),ABS(Resultados!AH64),ABS(Resultados!AQ64),ABS(Resultados!AZ64),ABS(Resultados!BI64),ABS(Resultados!BR64),ABS(Resultados!CA64),ABS(Resultados!CJ64),ABS(Resultados!CS64),ABS(Resultados!DB64),ABS(Resultados!DK64),ABS(Resultados!DT64),ABS(Resultados!EC64)))</f>
        <v>0.42400000000000015</v>
      </c>
      <c r="H64">
        <f>IF(COUNT(Resultados!H64,Resultados!Q64,Resultados!Z64,Resultados!AI64,Resultados!AR64,Resultados!BA64,Resultados!BJ64,Resultados!BS64,Resultados!CB64,Resultados!CK64,Resultados!CT64,Resultados!DC64,Resultados!DL64,Resultados!DU64,Resultados!ED64)=0, "", AVERAGE(ABS(Resultados!H64),ABS(Resultados!Q64),ABS(Resultados!Z64),ABS(Resultados!AI64),ABS(Resultados!AR64),ABS(Resultados!BA64),ABS(Resultados!BJ64),ABS(Resultados!BS64),ABS(Resultados!CB64),ABS(Resultados!CK64),ABS(Resultados!CT64),ABS(Resultados!DC64),ABS(Resultados!DL64),ABS(Resultados!DU64),ABS(Resultados!ED64)))</f>
        <v>2.166666666666667E-3</v>
      </c>
      <c r="I64">
        <f>IF(COUNT(Resultados!I64,Resultados!R64,Resultados!AA64,Resultados!AJ64,Resultados!AS64,Resultados!BB64,Resultados!BK64,Resultados!BT64,Resultados!CC64,Resultados!CL64,Resultados!CU64,Resultados!DD64,Resultados!DM64,Resultados!DV64,Resultados!EE64)=0, "", AVERAGE(ABS(Resultados!I64),ABS(Resultados!R64),ABS(Resultados!AA64),ABS(Resultados!AJ64),ABS(Resultados!AS64),ABS(Resultados!BB64),ABS(Resultados!BK64),ABS(Resultados!BT64),ABS(Resultados!CC64),ABS(Resultados!CL64),ABS(Resultados!CU64),ABS(Resultados!DD64),ABS(Resultados!DM64),ABS(Resultados!DV64),ABS(Resultados!EE64)))</f>
        <v>12.399055333333335</v>
      </c>
    </row>
    <row r="65" spans="1:9" x14ac:dyDescent="0.3">
      <c r="A65">
        <f>IF(COUNT(Resultados!A65,Resultados!J65,Resultados!S65,Resultados!AB65,Resultados!AK65,Resultados!AT65,Resultados!BC65,Resultados!BL65,Resultados!BU65,Resultados!CD65,Resultados!CM65,Resultados!CV65,Resultados!DE65,Resultados!DN65,Resultados!DW65)=0, "", AVERAGE(ABS(Resultados!A65),ABS(Resultados!J65),ABS(Resultados!S65),ABS(Resultados!AB65),ABS(Resultados!AK65),ABS(Resultados!AT65),ABS(Resultados!BC65),ABS(Resultados!BL65),ABS(Resultados!BU65),ABS(Resultados!CD65),ABS(Resultados!CM65),ABS(Resultados!CV65),ABS(Resultados!DE65),ABS(Resultados!DN65),ABS(Resultados!DW65)))</f>
        <v>45681</v>
      </c>
      <c r="B65" t="str">
        <f>IF(COUNT(Resultados!B65,Resultados!K65,Resultados!T65,Resultados!AC65,Resultados!AL65,Resultados!AU65,Resultados!BD65,Resultados!BM65,Resultados!BV65,Resultados!CE65,Resultados!CN65,Resultados!CW65,Resultados!DF65,Resultados!DO65,Resultados!DX65)=0, "", AVERAGE(ABS(Resultados!B65),ABS(Resultados!K65),ABS(Resultados!T65),ABS(Resultados!AC65),ABS(Resultados!AL65),ABS(Resultados!AU65),ABS(Resultados!BD65),ABS(Resultados!BM65),ABS(Resultados!BV65),ABS(Resultados!CE65),ABS(Resultados!CN65),ABS(Resultados!CW65),ABS(Resultados!DF65),ABS(Resultados!DO65),ABS(Resultados!DX65)))</f>
        <v/>
      </c>
      <c r="C65">
        <f>IF(COUNT(Resultados!C65,Resultados!L65,Resultados!U65,Resultados!AD65,Resultados!AM65,Resultados!AV65,Resultados!BE65,Resultados!BN65,Resultados!BW65,Resultados!CF65,Resultados!CO65,Resultados!CX65,Resultados!DG65,Resultados!DP65,Resultados!DY65)=0, "", AVERAGE(ABS(Resultados!C65),ABS(Resultados!L65),ABS(Resultados!U65),ABS(Resultados!AD65),ABS(Resultados!AM65),ABS(Resultados!AV65),ABS(Resultados!BE65),ABS(Resultados!BN65),ABS(Resultados!BW65),ABS(Resultados!CF65),ABS(Resultados!CO65),ABS(Resultados!CX65),ABS(Resultados!DG65),ABS(Resultados!DP65),ABS(Resultados!DY65)))</f>
        <v>3</v>
      </c>
      <c r="D65">
        <f>IF(COUNT(Resultados!D65,Resultados!M65,Resultados!V65,Resultados!AE65,Resultados!AN65,Resultados!AW65,Resultados!BF65,Resultados!BO65,Resultados!BX65,Resultados!CG65,Resultados!CP65,Resultados!CY65,Resultados!DH65,Resultados!DQ65,Resultados!DZ65)=0, "", AVERAGE(ABS(Resultados!D65),ABS(Resultados!M65),ABS(Resultados!V65),ABS(Resultados!AE65),ABS(Resultados!AN65),ABS(Resultados!AW65),ABS(Resultados!BF65),ABS(Resultados!BO65),ABS(Resultados!BX65),ABS(Resultados!CG65),ABS(Resultados!CP65),ABS(Resultados!CY65),ABS(Resultados!DH65),ABS(Resultados!DQ65),ABS(Resultados!DZ65)))</f>
        <v>1.1733333333333331E-3</v>
      </c>
      <c r="E65">
        <f>IF(COUNT(Resultados!E65,Resultados!N65,Resultados!W65,Resultados!AF65,Resultados!AO65,Resultados!AX65,Resultados!BG65,Resultados!BP65,Resultados!BY65,Resultados!CH65,Resultados!CQ65,Resultados!CZ65,Resultados!DI65,Resultados!DR65,Resultados!EA65)=0, "", AVERAGE(ABS(Resultados!E65),ABS(Resultados!N65),ABS(Resultados!W65),ABS(Resultados!AF65),ABS(Resultados!AO65),ABS(Resultados!AX65),ABS(Resultados!BG65),ABS(Resultados!BP65),ABS(Resultados!BY65),ABS(Resultados!CH65),ABS(Resultados!CQ65),ABS(Resultados!CZ65),ABS(Resultados!DI65),ABS(Resultados!DR65),ABS(Resultados!EA65)))</f>
        <v>6.2651804125472568</v>
      </c>
      <c r="F65">
        <f>IF(COUNT(Resultados!F65,Resultados!O65,Resultados!X65,Resultados!AG65,Resultados!AP65,Resultados!AY65,Resultados!BH65,Resultados!BQ65,Resultados!BZ65,Resultados!CI65,Resultados!CR65,Resultados!DA65,Resultados!DJ65,Resultados!DS65,Resultados!EB65)=0, "", AVERAGE(ABS(Resultados!F65),ABS(Resultados!O65),ABS(Resultados!X65),ABS(Resultados!AG65),ABS(Resultados!AP65),ABS(Resultados!AY65),ABS(Resultados!BH65),ABS(Resultados!BQ65),ABS(Resultados!BZ65),ABS(Resultados!CI65),ABS(Resultados!CR65),ABS(Resultados!DA65),ABS(Resultados!DJ65),ABS(Resultados!DS65),ABS(Resultados!EB65)))</f>
        <v>727.73819589939421</v>
      </c>
      <c r="G65">
        <f>IF(COUNT(Resultados!G65,Resultados!P65,Resultados!Y65,Resultados!AH65,Resultados!AQ65,Resultados!AZ65,Resultados!BI65,Resultados!BR65,Resultados!CA65,Resultados!CJ65,Resultados!CS65,Resultados!DB65,Resultados!DK65,Resultados!DT65,Resultados!EC65)=0, "", AVERAGE(ABS(Resultados!G65),ABS(Resultados!P65),ABS(Resultados!Y65),ABS(Resultados!AH65),ABS(Resultados!AQ65),ABS(Resultados!AZ65),ABS(Resultados!BI65),ABS(Resultados!BR65),ABS(Resultados!CA65),ABS(Resultados!CJ65),ABS(Resultados!CS65),ABS(Resultados!DB65),ABS(Resultados!DK65),ABS(Resultados!DT65),ABS(Resultados!EC65)))</f>
        <v>0.42400000000000015</v>
      </c>
      <c r="H65">
        <f>IF(COUNT(Resultados!H65,Resultados!Q65,Resultados!Z65,Resultados!AI65,Resultados!AR65,Resultados!BA65,Resultados!BJ65,Resultados!BS65,Resultados!CB65,Resultados!CK65,Resultados!CT65,Resultados!DC65,Resultados!DL65,Resultados!DU65,Resultados!ED65)=0, "", AVERAGE(ABS(Resultados!H65),ABS(Resultados!Q65),ABS(Resultados!Z65),ABS(Resultados!AI65),ABS(Resultados!AR65),ABS(Resultados!BA65),ABS(Resultados!BJ65),ABS(Resultados!BS65),ABS(Resultados!CB65),ABS(Resultados!CK65),ABS(Resultados!CT65),ABS(Resultados!DC65),ABS(Resultados!DL65),ABS(Resultados!DU65),ABS(Resultados!ED65)))</f>
        <v>4.1799999999999997E-3</v>
      </c>
      <c r="I65">
        <f>IF(COUNT(Resultados!I65,Resultados!R65,Resultados!AA65,Resultados!AJ65,Resultados!AS65,Resultados!BB65,Resultados!BK65,Resultados!BT65,Resultados!CC65,Resultados!CL65,Resultados!CU65,Resultados!DD65,Resultados!DM65,Resultados!DV65,Resultados!EE65)=0, "", AVERAGE(ABS(Resultados!I65),ABS(Resultados!R65),ABS(Resultados!AA65),ABS(Resultados!AJ65),ABS(Resultados!AS65),ABS(Resultados!BB65),ABS(Resultados!BK65),ABS(Resultados!BT65),ABS(Resultados!CC65),ABS(Resultados!CL65),ABS(Resultados!CU65),ABS(Resultados!DD65),ABS(Resultados!DM65),ABS(Resultados!DV65),ABS(Resultados!EE65)))</f>
        <v>12.598772666666667</v>
      </c>
    </row>
    <row r="66" spans="1:9" x14ac:dyDescent="0.3">
      <c r="A66">
        <f>IF(COUNT(Resultados!A66,Resultados!J66,Resultados!S66,Resultados!AB66,Resultados!AK66,Resultados!AT66,Resultados!BC66,Resultados!BL66,Resultados!BU66,Resultados!CD66,Resultados!CM66,Resultados!CV66,Resultados!DE66,Resultados!DN66,Resultados!DW66)=0, "", AVERAGE(ABS(Resultados!A66),ABS(Resultados!J66),ABS(Resultados!S66),ABS(Resultados!AB66),ABS(Resultados!AK66),ABS(Resultados!AT66),ABS(Resultados!BC66),ABS(Resultados!BL66),ABS(Resultados!BU66),ABS(Resultados!CD66),ABS(Resultados!CM66),ABS(Resultados!CV66),ABS(Resultados!DE66),ABS(Resultados!DN66),ABS(Resultados!DW66)))</f>
        <v>45681</v>
      </c>
      <c r="B66" t="str">
        <f>IF(COUNT(Resultados!B66,Resultados!K66,Resultados!T66,Resultados!AC66,Resultados!AL66,Resultados!AU66,Resultados!BD66,Resultados!BM66,Resultados!BV66,Resultados!CE66,Resultados!CN66,Resultados!CW66,Resultados!DF66,Resultados!DO66,Resultados!DX66)=0, "", AVERAGE(ABS(Resultados!B66),ABS(Resultados!K66),ABS(Resultados!T66),ABS(Resultados!AC66),ABS(Resultados!AL66),ABS(Resultados!AU66),ABS(Resultados!BD66),ABS(Resultados!BM66),ABS(Resultados!BV66),ABS(Resultados!CE66),ABS(Resultados!CN66),ABS(Resultados!CW66),ABS(Resultados!DF66),ABS(Resultados!DO66),ABS(Resultados!DX66)))</f>
        <v/>
      </c>
      <c r="C66">
        <f>IF(COUNT(Resultados!C66,Resultados!L66,Resultados!U66,Resultados!AD66,Resultados!AM66,Resultados!AV66,Resultados!BE66,Resultados!BN66,Resultados!BW66,Resultados!CF66,Resultados!CO66,Resultados!CX66,Resultados!DG66,Resultados!DP66,Resultados!DY66)=0, "", AVERAGE(ABS(Resultados!C66),ABS(Resultados!L66),ABS(Resultados!U66),ABS(Resultados!AD66),ABS(Resultados!AM66),ABS(Resultados!AV66),ABS(Resultados!BE66),ABS(Resultados!BN66),ABS(Resultados!BW66),ABS(Resultados!CF66),ABS(Resultados!CO66),ABS(Resultados!CX66),ABS(Resultados!DG66),ABS(Resultados!DP66),ABS(Resultados!DY66)))</f>
        <v>3</v>
      </c>
      <c r="D66">
        <f>IF(COUNT(Resultados!D66,Resultados!M66,Resultados!V66,Resultados!AE66,Resultados!AN66,Resultados!AW66,Resultados!BF66,Resultados!BO66,Resultados!BX66,Resultados!CG66,Resultados!CP66,Resultados!CY66,Resultados!DH66,Resultados!DQ66,Resultados!DZ66)=0, "", AVERAGE(ABS(Resultados!D66),ABS(Resultados!M66),ABS(Resultados!V66),ABS(Resultados!AE66),ABS(Resultados!AN66),ABS(Resultados!AW66),ABS(Resultados!BF66),ABS(Resultados!BO66),ABS(Resultados!BX66),ABS(Resultados!CG66),ABS(Resultados!CP66),ABS(Resultados!CY66),ABS(Resultados!DH66),ABS(Resultados!DQ66),ABS(Resultados!DZ66)))</f>
        <v>2.5000000000000001E-3</v>
      </c>
      <c r="E66">
        <f>IF(COUNT(Resultados!E66,Resultados!N66,Resultados!W66,Resultados!AF66,Resultados!AO66,Resultados!AX66,Resultados!BG66,Resultados!BP66,Resultados!BY66,Resultados!CH66,Resultados!CQ66,Resultados!CZ66,Resultados!DI66,Resultados!DR66,Resultados!EA66)=0, "", AVERAGE(ABS(Resultados!E66),ABS(Resultados!N66),ABS(Resultados!W66),ABS(Resultados!AF66),ABS(Resultados!AO66),ABS(Resultados!AX66),ABS(Resultados!BG66),ABS(Resultados!BP66),ABS(Resultados!BY66),ABS(Resultados!CH66),ABS(Resultados!CQ66),ABS(Resultados!CZ66),ABS(Resultados!DI66),ABS(Resultados!DR66),ABS(Resultados!EA66)))</f>
        <v>6.4349244623585564</v>
      </c>
      <c r="F66">
        <f>IF(COUNT(Resultados!F66,Resultados!O66,Resultados!X66,Resultados!AG66,Resultados!AP66,Resultados!AY66,Resultados!BH66,Resultados!BQ66,Resultados!BZ66,Resultados!CI66,Resultados!CR66,Resultados!DA66,Resultados!DJ66,Resultados!DS66,Resultados!EB66)=0, "", AVERAGE(ABS(Resultados!F66),ABS(Resultados!O66),ABS(Resultados!X66),ABS(Resultados!AG66),ABS(Resultados!AP66),ABS(Resultados!AY66),ABS(Resultados!BH66),ABS(Resultados!BQ66),ABS(Resultados!BZ66),ABS(Resultados!CI66),ABS(Resultados!CR66),ABS(Resultados!DA66),ABS(Resultados!DJ66),ABS(Resultados!DS66),ABS(Resultados!EB66)))</f>
        <v>743.85783053342368</v>
      </c>
      <c r="G66">
        <f>IF(COUNT(Resultados!G66,Resultados!P66,Resultados!Y66,Resultados!AH66,Resultados!AQ66,Resultados!AZ66,Resultados!BI66,Resultados!BR66,Resultados!CA66,Resultados!CJ66,Resultados!CS66,Resultados!DB66,Resultados!DK66,Resultados!DT66,Resultados!EC66)=0, "", AVERAGE(ABS(Resultados!G66),ABS(Resultados!P66),ABS(Resultados!Y66),ABS(Resultados!AH66),ABS(Resultados!AQ66),ABS(Resultados!AZ66),ABS(Resultados!BI66),ABS(Resultados!BR66),ABS(Resultados!CA66),ABS(Resultados!CJ66),ABS(Resultados!CS66),ABS(Resultados!DB66),ABS(Resultados!DK66),ABS(Resultados!DT66),ABS(Resultados!EC66)))</f>
        <v>0.42400000000000015</v>
      </c>
      <c r="H66">
        <f>IF(COUNT(Resultados!H66,Resultados!Q66,Resultados!Z66,Resultados!AI66,Resultados!AR66,Resultados!BA66,Resultados!BJ66,Resultados!BS66,Resultados!CB66,Resultados!CK66,Resultados!CT66,Resultados!DC66,Resultados!DL66,Resultados!DU66,Resultados!ED66)=0, "", AVERAGE(ABS(Resultados!H66),ABS(Resultados!Q66),ABS(Resultados!Z66),ABS(Resultados!AI66),ABS(Resultados!AR66),ABS(Resultados!BA66),ABS(Resultados!BJ66),ABS(Resultados!BS66),ABS(Resultados!CB66),ABS(Resultados!CK66),ABS(Resultados!CT66),ABS(Resultados!DC66),ABS(Resultados!DL66),ABS(Resultados!DU66),ABS(Resultados!ED66)))</f>
        <v>6.8400000000000006E-3</v>
      </c>
      <c r="I66">
        <f>IF(COUNT(Resultados!I66,Resultados!R66,Resultados!AA66,Resultados!AJ66,Resultados!AS66,Resultados!BB66,Resultados!BK66,Resultados!BT66,Resultados!CC66,Resultados!CL66,Resultados!CU66,Resultados!DD66,Resultados!DM66,Resultados!DV66,Resultados!EE66)=0, "", AVERAGE(ABS(Resultados!I66),ABS(Resultados!R66),ABS(Resultados!AA66),ABS(Resultados!AJ66),ABS(Resultados!AS66),ABS(Resultados!BB66),ABS(Resultados!BK66),ABS(Resultados!BT66),ABS(Resultados!CC66),ABS(Resultados!CL66),ABS(Resultados!CU66),ABS(Resultados!DD66),ABS(Resultados!DM66),ABS(Resultados!DV66),ABS(Resultados!EE66)))</f>
        <v>12.79907600000001</v>
      </c>
    </row>
    <row r="67" spans="1:9" x14ac:dyDescent="0.3">
      <c r="A67">
        <f>IF(COUNT(Resultados!A67,Resultados!J67,Resultados!S67,Resultados!AB67,Resultados!AK67,Resultados!AT67,Resultados!BC67,Resultados!BL67,Resultados!BU67,Resultados!CD67,Resultados!CM67,Resultados!CV67,Resultados!DE67,Resultados!DN67,Resultados!DW67)=0, "", AVERAGE(ABS(Resultados!A67),ABS(Resultados!J67),ABS(Resultados!S67),ABS(Resultados!AB67),ABS(Resultados!AK67),ABS(Resultados!AT67),ABS(Resultados!BC67),ABS(Resultados!BL67),ABS(Resultados!BU67),ABS(Resultados!CD67),ABS(Resultados!CM67),ABS(Resultados!CV67),ABS(Resultados!DE67),ABS(Resultados!DN67),ABS(Resultados!DW67)))</f>
        <v>45681</v>
      </c>
      <c r="B67" t="str">
        <f>IF(COUNT(Resultados!B67,Resultados!K67,Resultados!T67,Resultados!AC67,Resultados!AL67,Resultados!AU67,Resultados!BD67,Resultados!BM67,Resultados!BV67,Resultados!CE67,Resultados!CN67,Resultados!CW67,Resultados!DF67,Resultados!DO67,Resultados!DX67)=0, "", AVERAGE(ABS(Resultados!B67),ABS(Resultados!K67),ABS(Resultados!T67),ABS(Resultados!AC67),ABS(Resultados!AL67),ABS(Resultados!AU67),ABS(Resultados!BD67),ABS(Resultados!BM67),ABS(Resultados!BV67),ABS(Resultados!CE67),ABS(Resultados!CN67),ABS(Resultados!CW67),ABS(Resultados!DF67),ABS(Resultados!DO67),ABS(Resultados!DX67)))</f>
        <v/>
      </c>
      <c r="C67">
        <f>IF(COUNT(Resultados!C67,Resultados!L67,Resultados!U67,Resultados!AD67,Resultados!AM67,Resultados!AV67,Resultados!BE67,Resultados!BN67,Resultados!BW67,Resultados!CF67,Resultados!CO67,Resultados!CX67,Resultados!DG67,Resultados!DP67,Resultados!DY67)=0, "", AVERAGE(ABS(Resultados!C67),ABS(Resultados!L67),ABS(Resultados!U67),ABS(Resultados!AD67),ABS(Resultados!AM67),ABS(Resultados!AV67),ABS(Resultados!BE67),ABS(Resultados!BN67),ABS(Resultados!BW67),ABS(Resultados!CF67),ABS(Resultados!CO67),ABS(Resultados!CX67),ABS(Resultados!DG67),ABS(Resultados!DP67),ABS(Resultados!DY67)))</f>
        <v>3</v>
      </c>
      <c r="D67">
        <f>IF(COUNT(Resultados!D67,Resultados!M67,Resultados!V67,Resultados!AE67,Resultados!AN67,Resultados!AW67,Resultados!BF67,Resultados!BO67,Resultados!BX67,Resultados!CG67,Resultados!CP67,Resultados!CY67,Resultados!DH67,Resultados!DQ67,Resultados!DZ67)=0, "", AVERAGE(ABS(Resultados!D67),ABS(Resultados!M67),ABS(Resultados!V67),ABS(Resultados!AE67),ABS(Resultados!AN67),ABS(Resultados!AW67),ABS(Resultados!BF67),ABS(Resultados!BO67),ABS(Resultados!BX67),ABS(Resultados!CG67),ABS(Resultados!CP67),ABS(Resultados!CY67),ABS(Resultados!DH67),ABS(Resultados!DQ67),ABS(Resultados!DZ67)))</f>
        <v>5.0133333333333332E-3</v>
      </c>
      <c r="E67">
        <f>IF(COUNT(Resultados!E67,Resultados!N67,Resultados!W67,Resultados!AF67,Resultados!AO67,Resultados!AX67,Resultados!BG67,Resultados!BP67,Resultados!BY67,Resultados!CH67,Resultados!CQ67,Resultados!CZ67,Resultados!DI67,Resultados!DR67,Resultados!EA67)=0, "", AVERAGE(ABS(Resultados!E67),ABS(Resultados!N67),ABS(Resultados!W67),ABS(Resultados!AF67),ABS(Resultados!AO67),ABS(Resultados!AX67),ABS(Resultados!BG67),ABS(Resultados!BP67),ABS(Resultados!BY67),ABS(Resultados!CH67),ABS(Resultados!CQ67),ABS(Resultados!CZ67),ABS(Resultados!DI67),ABS(Resultados!DR67),ABS(Resultados!EA67)))</f>
        <v>6.6273397408795489</v>
      </c>
      <c r="F67">
        <f>IF(COUNT(Resultados!F67,Resultados!O67,Resultados!X67,Resultados!AG67,Resultados!AP67,Resultados!AY67,Resultados!BH67,Resultados!BQ67,Resultados!BZ67,Resultados!CI67,Resultados!CR67,Resultados!DA67,Resultados!DJ67,Resultados!DS67,Resultados!EB67)=0, "", AVERAGE(ABS(Resultados!F67),ABS(Resultados!O67),ABS(Resultados!X67),ABS(Resultados!AG67),ABS(Resultados!AP67),ABS(Resultados!AY67),ABS(Resultados!BH67),ABS(Resultados!BQ67),ABS(Resultados!BZ67),ABS(Resultados!CI67),ABS(Resultados!CR67),ABS(Resultados!DA67),ABS(Resultados!DJ67),ABS(Resultados!DS67),ABS(Resultados!EB67)))</f>
        <v>762.12169132247391</v>
      </c>
      <c r="G67">
        <f>IF(COUNT(Resultados!G67,Resultados!P67,Resultados!Y67,Resultados!AH67,Resultados!AQ67,Resultados!AZ67,Resultados!BI67,Resultados!BR67,Resultados!CA67,Resultados!CJ67,Resultados!CS67,Resultados!DB67,Resultados!DK67,Resultados!DT67,Resultados!EC67)=0, "", AVERAGE(ABS(Resultados!G67),ABS(Resultados!P67),ABS(Resultados!Y67),ABS(Resultados!AH67),ABS(Resultados!AQ67),ABS(Resultados!AZ67),ABS(Resultados!BI67),ABS(Resultados!BR67),ABS(Resultados!CA67),ABS(Resultados!CJ67),ABS(Resultados!CS67),ABS(Resultados!DB67),ABS(Resultados!DK67),ABS(Resultados!DT67),ABS(Resultados!EC67)))</f>
        <v>0.42400000000000015</v>
      </c>
      <c r="H67">
        <f>IF(COUNT(Resultados!H67,Resultados!Q67,Resultados!Z67,Resultados!AI67,Resultados!AR67,Resultados!BA67,Resultados!BJ67,Resultados!BS67,Resultados!CB67,Resultados!CK67,Resultados!CT67,Resultados!DC67,Resultados!DL67,Resultados!DU67,Resultados!ED67)=0, "", AVERAGE(ABS(Resultados!H67),ABS(Resultados!Q67),ABS(Resultados!Z67),ABS(Resultados!AI67),ABS(Resultados!AR67),ABS(Resultados!BA67),ABS(Resultados!BJ67),ABS(Resultados!BS67),ABS(Resultados!CB67),ABS(Resultados!CK67),ABS(Resultados!CT67),ABS(Resultados!DC67),ABS(Resultados!DL67),ABS(Resultados!DU67),ABS(Resultados!ED67)))</f>
        <v>9.8199999999999989E-3</v>
      </c>
      <c r="I67">
        <f>IF(COUNT(Resultados!I67,Resultados!R67,Resultados!AA67,Resultados!AJ67,Resultados!AS67,Resultados!BB67,Resultados!BK67,Resultados!BT67,Resultados!CC67,Resultados!CL67,Resultados!CU67,Resultados!DD67,Resultados!DM67,Resultados!DV67,Resultados!EE67)=0, "", AVERAGE(ABS(Resultados!I67),ABS(Resultados!R67),ABS(Resultados!AA67),ABS(Resultados!AJ67),ABS(Resultados!AS67),ABS(Resultados!BB67),ABS(Resultados!BK67),ABS(Resultados!BT67),ABS(Resultados!CC67),ABS(Resultados!CL67),ABS(Resultados!CU67),ABS(Resultados!DD67),ABS(Resultados!DM67),ABS(Resultados!DV67),ABS(Resultados!EE67)))</f>
        <v>12.998646000000003</v>
      </c>
    </row>
    <row r="68" spans="1:9" x14ac:dyDescent="0.3">
      <c r="A68">
        <f>IF(COUNT(Resultados!A68,Resultados!J68,Resultados!S68,Resultados!AB68,Resultados!AK68,Resultados!AT68,Resultados!BC68,Resultados!BL68,Resultados!BU68,Resultados!CD68,Resultados!CM68,Resultados!CV68,Resultados!DE68,Resultados!DN68,Resultados!DW68)=0, "", AVERAGE(ABS(Resultados!A68),ABS(Resultados!J68),ABS(Resultados!S68),ABS(Resultados!AB68),ABS(Resultados!AK68),ABS(Resultados!AT68),ABS(Resultados!BC68),ABS(Resultados!BL68),ABS(Resultados!BU68),ABS(Resultados!CD68),ABS(Resultados!CM68),ABS(Resultados!CV68),ABS(Resultados!DE68),ABS(Resultados!DN68),ABS(Resultados!DW68)))</f>
        <v>45681</v>
      </c>
      <c r="B68" t="str">
        <f>IF(COUNT(Resultados!B68,Resultados!K68,Resultados!T68,Resultados!AC68,Resultados!AL68,Resultados!AU68,Resultados!BD68,Resultados!BM68,Resultados!BV68,Resultados!CE68,Resultados!CN68,Resultados!CW68,Resultados!DF68,Resultados!DO68,Resultados!DX68)=0, "", AVERAGE(ABS(Resultados!B68),ABS(Resultados!K68),ABS(Resultados!T68),ABS(Resultados!AC68),ABS(Resultados!AL68),ABS(Resultados!AU68),ABS(Resultados!BD68),ABS(Resultados!BM68),ABS(Resultados!BV68),ABS(Resultados!CE68),ABS(Resultados!CN68),ABS(Resultados!CW68),ABS(Resultados!DF68),ABS(Resultados!DO68),ABS(Resultados!DX68)))</f>
        <v/>
      </c>
      <c r="C68">
        <f>IF(COUNT(Resultados!C68,Resultados!L68,Resultados!U68,Resultados!AD68,Resultados!AM68,Resultados!AV68,Resultados!BE68,Resultados!BN68,Resultados!BW68,Resultados!CF68,Resultados!CO68,Resultados!CX68,Resultados!DG68,Resultados!DP68,Resultados!DY68)=0, "", AVERAGE(ABS(Resultados!C68),ABS(Resultados!L68),ABS(Resultados!U68),ABS(Resultados!AD68),ABS(Resultados!AM68),ABS(Resultados!AV68),ABS(Resultados!BE68),ABS(Resultados!BN68),ABS(Resultados!BW68),ABS(Resultados!CF68),ABS(Resultados!CO68),ABS(Resultados!CX68),ABS(Resultados!DG68),ABS(Resultados!DP68),ABS(Resultados!DY68)))</f>
        <v>3</v>
      </c>
      <c r="D68">
        <f>IF(COUNT(Resultados!D68,Resultados!M68,Resultados!V68,Resultados!AE68,Resultados!AN68,Resultados!AW68,Resultados!BF68,Resultados!BO68,Resultados!BX68,Resultados!CG68,Resultados!CP68,Resultados!CY68,Resultados!DH68,Resultados!DQ68,Resultados!DZ68)=0, "", AVERAGE(ABS(Resultados!D68),ABS(Resultados!M68),ABS(Resultados!V68),ABS(Resultados!AE68),ABS(Resultados!AN68),ABS(Resultados!AW68),ABS(Resultados!BF68),ABS(Resultados!BO68),ABS(Resultados!BX68),ABS(Resultados!CG68),ABS(Resultados!CP68),ABS(Resultados!CY68),ABS(Resultados!DH68),ABS(Resultados!DQ68),ABS(Resultados!DZ68)))</f>
        <v>7.8666666666666676E-3</v>
      </c>
      <c r="E68">
        <f>IF(COUNT(Resultados!E68,Resultados!N68,Resultados!W68,Resultados!AF68,Resultados!AO68,Resultados!AX68,Resultados!BG68,Resultados!BP68,Resultados!BY68,Resultados!CH68,Resultados!CQ68,Resultados!CZ68,Resultados!DI68,Resultados!DR68,Resultados!EA68)=0, "", AVERAGE(ABS(Resultados!E68),ABS(Resultados!N68),ABS(Resultados!W68),ABS(Resultados!AF68),ABS(Resultados!AO68),ABS(Resultados!AX68),ABS(Resultados!BG68),ABS(Resultados!BP68),ABS(Resultados!BY68),ABS(Resultados!CH68),ABS(Resultados!CQ68),ABS(Resultados!CZ68),ABS(Resultados!DI68),ABS(Resultados!DR68),ABS(Resultados!EA68)))</f>
        <v>6.8246237241450389</v>
      </c>
      <c r="F68">
        <f>IF(COUNT(Resultados!F68,Resultados!O68,Resultados!X68,Resultados!AG68,Resultados!AP68,Resultados!AY68,Resultados!BH68,Resultados!BQ68,Resultados!BZ68,Resultados!CI68,Resultados!CR68,Resultados!DA68,Resultados!DJ68,Resultados!DS68,Resultados!EB68)=0, "", AVERAGE(ABS(Resultados!F68),ABS(Resultados!O68),ABS(Resultados!X68),ABS(Resultados!AG68),ABS(Resultados!AP68),ABS(Resultados!AY68),ABS(Resultados!BH68),ABS(Resultados!BQ68),ABS(Resultados!BZ68),ABS(Resultados!CI68),ABS(Resultados!CR68),ABS(Resultados!DA68),ABS(Resultados!DJ68),ABS(Resultados!DS68),ABS(Resultados!EB68)))</f>
        <v>787.65679142136435</v>
      </c>
      <c r="G68">
        <f>IF(COUNT(Resultados!G68,Resultados!P68,Resultados!Y68,Resultados!AH68,Resultados!AQ68,Resultados!AZ68,Resultados!BI68,Resultados!BR68,Resultados!CA68,Resultados!CJ68,Resultados!CS68,Resultados!DB68,Resultados!DK68,Resultados!DT68,Resultados!EC68)=0, "", AVERAGE(ABS(Resultados!G68),ABS(Resultados!P68),ABS(Resultados!Y68),ABS(Resultados!AH68),ABS(Resultados!AQ68),ABS(Resultados!AZ68),ABS(Resultados!BI68),ABS(Resultados!BR68),ABS(Resultados!CA68),ABS(Resultados!CJ68),ABS(Resultados!CS68),ABS(Resultados!DB68),ABS(Resultados!DK68),ABS(Resultados!DT68),ABS(Resultados!EC68)))</f>
        <v>0.42400000000000015</v>
      </c>
      <c r="H68">
        <f>IF(COUNT(Resultados!H68,Resultados!Q68,Resultados!Z68,Resultados!AI68,Resultados!AR68,Resultados!BA68,Resultados!BJ68,Resultados!BS68,Resultados!CB68,Resultados!CK68,Resultados!CT68,Resultados!DC68,Resultados!DL68,Resultados!DU68,Resultados!ED68)=0, "", AVERAGE(ABS(Resultados!H68),ABS(Resultados!Q68),ABS(Resultados!Z68),ABS(Resultados!AI68),ABS(Resultados!AR68),ABS(Resultados!BA68),ABS(Resultados!BJ68),ABS(Resultados!BS68),ABS(Resultados!CB68),ABS(Resultados!CK68),ABS(Resultados!CT68),ABS(Resultados!DC68),ABS(Resultados!DL68),ABS(Resultados!DU68),ABS(Resultados!ED68)))</f>
        <v>1.2880000000000001E-2</v>
      </c>
      <c r="I68">
        <f>IF(COUNT(Resultados!I68,Resultados!R68,Resultados!AA68,Resultados!AJ68,Resultados!AS68,Resultados!BB68,Resultados!BK68,Resultados!BT68,Resultados!CC68,Resultados!CL68,Resultados!CU68,Resultados!DD68,Resultados!DM68,Resultados!DV68,Resultados!EE68)=0, "", AVERAGE(ABS(Resultados!I68),ABS(Resultados!R68),ABS(Resultados!AA68),ABS(Resultados!AJ68),ABS(Resultados!AS68),ABS(Resultados!BB68),ABS(Resultados!BK68),ABS(Resultados!BT68),ABS(Resultados!CC68),ABS(Resultados!CL68),ABS(Resultados!CU68),ABS(Resultados!DD68),ABS(Resultados!DM68),ABS(Resultados!DV68),ABS(Resultados!EE68)))</f>
        <v>13.198806666666668</v>
      </c>
    </row>
    <row r="69" spans="1:9" x14ac:dyDescent="0.3">
      <c r="A69">
        <f>IF(COUNT(Resultados!A69,Resultados!J69,Resultados!S69,Resultados!AB69,Resultados!AK69,Resultados!AT69,Resultados!BC69,Resultados!BL69,Resultados!BU69,Resultados!CD69,Resultados!CM69,Resultados!CV69,Resultados!DE69,Resultados!DN69,Resultados!DW69)=0, "", AVERAGE(ABS(Resultados!A69),ABS(Resultados!J69),ABS(Resultados!S69),ABS(Resultados!AB69),ABS(Resultados!AK69),ABS(Resultados!AT69),ABS(Resultados!BC69),ABS(Resultados!BL69),ABS(Resultados!BU69),ABS(Resultados!CD69),ABS(Resultados!CM69),ABS(Resultados!CV69),ABS(Resultados!DE69),ABS(Resultados!DN69),ABS(Resultados!DW69)))</f>
        <v>45681</v>
      </c>
      <c r="B69" t="str">
        <f>IF(COUNT(Resultados!B69,Resultados!K69,Resultados!T69,Resultados!AC69,Resultados!AL69,Resultados!AU69,Resultados!BD69,Resultados!BM69,Resultados!BV69,Resultados!CE69,Resultados!CN69,Resultados!CW69,Resultados!DF69,Resultados!DO69,Resultados!DX69)=0, "", AVERAGE(ABS(Resultados!B69),ABS(Resultados!K69),ABS(Resultados!T69),ABS(Resultados!AC69),ABS(Resultados!AL69),ABS(Resultados!AU69),ABS(Resultados!BD69),ABS(Resultados!BM69),ABS(Resultados!BV69),ABS(Resultados!CE69),ABS(Resultados!CN69),ABS(Resultados!CW69),ABS(Resultados!DF69),ABS(Resultados!DO69),ABS(Resultados!DX69)))</f>
        <v/>
      </c>
      <c r="C69">
        <f>IF(COUNT(Resultados!C69,Resultados!L69,Resultados!U69,Resultados!AD69,Resultados!AM69,Resultados!AV69,Resultados!BE69,Resultados!BN69,Resultados!BW69,Resultados!CF69,Resultados!CO69,Resultados!CX69,Resultados!DG69,Resultados!DP69,Resultados!DY69)=0, "", AVERAGE(ABS(Resultados!C69),ABS(Resultados!L69),ABS(Resultados!U69),ABS(Resultados!AD69),ABS(Resultados!AM69),ABS(Resultados!AV69),ABS(Resultados!BE69),ABS(Resultados!BN69),ABS(Resultados!BW69),ABS(Resultados!CF69),ABS(Resultados!CO69),ABS(Resultados!CX69),ABS(Resultados!DG69),ABS(Resultados!DP69),ABS(Resultados!DY69)))</f>
        <v>3</v>
      </c>
      <c r="D69">
        <f>IF(COUNT(Resultados!D69,Resultados!M69,Resultados!V69,Resultados!AE69,Resultados!AN69,Resultados!AW69,Resultados!BF69,Resultados!BO69,Resultados!BX69,Resultados!CG69,Resultados!CP69,Resultados!CY69,Resultados!DH69,Resultados!DQ69,Resultados!DZ69)=0, "", AVERAGE(ABS(Resultados!D69),ABS(Resultados!M69),ABS(Resultados!V69),ABS(Resultados!AE69),ABS(Resultados!AN69),ABS(Resultados!AW69),ABS(Resultados!BF69),ABS(Resultados!BO69),ABS(Resultados!BX69),ABS(Resultados!CG69),ABS(Resultados!CP69),ABS(Resultados!CY69),ABS(Resultados!DH69),ABS(Resultados!DQ69),ABS(Resultados!DZ69)))</f>
        <v>1.078E-2</v>
      </c>
      <c r="E69">
        <f>IF(COUNT(Resultados!E69,Resultados!N69,Resultados!W69,Resultados!AF69,Resultados!AO69,Resultados!AX69,Resultados!BG69,Resultados!BP69,Resultados!BY69,Resultados!CH69,Resultados!CQ69,Resultados!CZ69,Resultados!DI69,Resultados!DR69,Resultados!EA69)=0, "", AVERAGE(ABS(Resultados!E69),ABS(Resultados!N69),ABS(Resultados!W69),ABS(Resultados!AF69),ABS(Resultados!AO69),ABS(Resultados!AX69),ABS(Resultados!BG69),ABS(Resultados!BP69),ABS(Resultados!BY69),ABS(Resultados!CH69),ABS(Resultados!CQ69),ABS(Resultados!CZ69),ABS(Resultados!DI69),ABS(Resultados!DR69),ABS(Resultados!EA69)))</f>
        <v>7.0232676432721579</v>
      </c>
      <c r="F69">
        <f>IF(COUNT(Resultados!F69,Resultados!O69,Resultados!X69,Resultados!AG69,Resultados!AP69,Resultados!AY69,Resultados!BH69,Resultados!BQ69,Resultados!BZ69,Resultados!CI69,Resultados!CR69,Resultados!DA69,Resultados!DJ69,Resultados!DS69,Resultados!EB69)=0, "", AVERAGE(ABS(Resultados!F69),ABS(Resultados!O69),ABS(Resultados!X69),ABS(Resultados!AG69),ABS(Resultados!AP69),ABS(Resultados!AY69),ABS(Resultados!BH69),ABS(Resultados!BQ69),ABS(Resultados!BZ69),ABS(Resultados!CI69),ABS(Resultados!CR69),ABS(Resultados!DA69),ABS(Resultados!DJ69),ABS(Resultados!DS69),ABS(Resultados!EB69)))</f>
        <v>806.50809934652762</v>
      </c>
      <c r="G69">
        <f>IF(COUNT(Resultados!G69,Resultados!P69,Resultados!Y69,Resultados!AH69,Resultados!AQ69,Resultados!AZ69,Resultados!BI69,Resultados!BR69,Resultados!CA69,Resultados!CJ69,Resultados!CS69,Resultados!DB69,Resultados!DK69,Resultados!DT69,Resultados!EC69)=0, "", AVERAGE(ABS(Resultados!G69),ABS(Resultados!P69),ABS(Resultados!Y69),ABS(Resultados!AH69),ABS(Resultados!AQ69),ABS(Resultados!AZ69),ABS(Resultados!BI69),ABS(Resultados!BR69),ABS(Resultados!CA69),ABS(Resultados!CJ69),ABS(Resultados!CS69),ABS(Resultados!DB69),ABS(Resultados!DK69),ABS(Resultados!DT69),ABS(Resultados!EC69)))</f>
        <v>0.42400000000000015</v>
      </c>
      <c r="H69">
        <f>IF(COUNT(Resultados!H69,Resultados!Q69,Resultados!Z69,Resultados!AI69,Resultados!AR69,Resultados!BA69,Resultados!BJ69,Resultados!BS69,Resultados!CB69,Resultados!CK69,Resultados!CT69,Resultados!DC69,Resultados!DL69,Resultados!DU69,Resultados!ED69)=0, "", AVERAGE(ABS(Resultados!H69),ABS(Resultados!Q69),ABS(Resultados!Z69),ABS(Resultados!AI69),ABS(Resultados!AR69),ABS(Resultados!BA69),ABS(Resultados!BJ69),ABS(Resultados!BS69),ABS(Resultados!CB69),ABS(Resultados!CK69),ABS(Resultados!CT69),ABS(Resultados!DC69),ABS(Resultados!DL69),ABS(Resultados!DU69),ABS(Resultados!ED69)))</f>
        <v>1.5966666666666664E-2</v>
      </c>
      <c r="I69">
        <f>IF(COUNT(Resultados!I69,Resultados!R69,Resultados!AA69,Resultados!AJ69,Resultados!AS69,Resultados!BB69,Resultados!BK69,Resultados!BT69,Resultados!CC69,Resultados!CL69,Resultados!CU69,Resultados!DD69,Resultados!DM69,Resultados!DV69,Resultados!EE69)=0, "", AVERAGE(ABS(Resultados!I69),ABS(Resultados!R69),ABS(Resultados!AA69),ABS(Resultados!AJ69),ABS(Resultados!AS69),ABS(Resultados!BB69),ABS(Resultados!BK69),ABS(Resultados!BT69),ABS(Resultados!CC69),ABS(Resultados!CL69),ABS(Resultados!CU69),ABS(Resultados!DD69),ABS(Resultados!DM69),ABS(Resultados!DV69),ABS(Resultados!EE69)))</f>
        <v>13.425936000000004</v>
      </c>
    </row>
    <row r="70" spans="1:9" x14ac:dyDescent="0.3">
      <c r="A70">
        <f>IF(COUNT(Resultados!A70,Resultados!J70,Resultados!S70,Resultados!AB70,Resultados!AK70,Resultados!AT70,Resultados!BC70,Resultados!BL70,Resultados!BU70,Resultados!CD70,Resultados!CM70,Resultados!CV70,Resultados!DE70,Resultados!DN70,Resultados!DW70)=0, "", AVERAGE(ABS(Resultados!A70),ABS(Resultados!J70),ABS(Resultados!S70),ABS(Resultados!AB70),ABS(Resultados!AK70),ABS(Resultados!AT70),ABS(Resultados!BC70),ABS(Resultados!BL70),ABS(Resultados!BU70),ABS(Resultados!CD70),ABS(Resultados!CM70),ABS(Resultados!CV70),ABS(Resultados!DE70),ABS(Resultados!DN70),ABS(Resultados!DW70)))</f>
        <v>45681</v>
      </c>
      <c r="B70" t="str">
        <f>IF(COUNT(Resultados!B70,Resultados!K70,Resultados!T70,Resultados!AC70,Resultados!AL70,Resultados!AU70,Resultados!BD70,Resultados!BM70,Resultados!BV70,Resultados!CE70,Resultados!CN70,Resultados!CW70,Resultados!DF70,Resultados!DO70,Resultados!DX70)=0, "", AVERAGE(ABS(Resultados!B70),ABS(Resultados!K70),ABS(Resultados!T70),ABS(Resultados!AC70),ABS(Resultados!AL70),ABS(Resultados!AU70),ABS(Resultados!BD70),ABS(Resultados!BM70),ABS(Resultados!BV70),ABS(Resultados!CE70),ABS(Resultados!CN70),ABS(Resultados!CW70),ABS(Resultados!DF70),ABS(Resultados!DO70),ABS(Resultados!DX70)))</f>
        <v/>
      </c>
      <c r="C70">
        <f>IF(COUNT(Resultados!C70,Resultados!L70,Resultados!U70,Resultados!AD70,Resultados!AM70,Resultados!AV70,Resultados!BE70,Resultados!BN70,Resultados!BW70,Resultados!CF70,Resultados!CO70,Resultados!CX70,Resultados!DG70,Resultados!DP70,Resultados!DY70)=0, "", AVERAGE(ABS(Resultados!C70),ABS(Resultados!L70),ABS(Resultados!U70),ABS(Resultados!AD70),ABS(Resultados!AM70),ABS(Resultados!AV70),ABS(Resultados!BE70),ABS(Resultados!BN70),ABS(Resultados!BW70),ABS(Resultados!CF70),ABS(Resultados!CO70),ABS(Resultados!CX70),ABS(Resultados!DG70),ABS(Resultados!DP70),ABS(Resultados!DY70)))</f>
        <v>3</v>
      </c>
      <c r="D70">
        <f>IF(COUNT(Resultados!D70,Resultados!M70,Resultados!V70,Resultados!AE70,Resultados!AN70,Resultados!AW70,Resultados!BF70,Resultados!BO70,Resultados!BX70,Resultados!CG70,Resultados!CP70,Resultados!CY70,Resultados!DH70,Resultados!DQ70,Resultados!DZ70)=0, "", AVERAGE(ABS(Resultados!D70),ABS(Resultados!M70),ABS(Resultados!V70),ABS(Resultados!AE70),ABS(Resultados!AN70),ABS(Resultados!AW70),ABS(Resultados!BF70),ABS(Resultados!BO70),ABS(Resultados!BX70),ABS(Resultados!CG70),ABS(Resultados!CP70),ABS(Resultados!CY70),ABS(Resultados!DH70),ABS(Resultados!DQ70),ABS(Resultados!DZ70)))</f>
        <v>1.3226666666666668E-2</v>
      </c>
      <c r="E70">
        <f>IF(COUNT(Resultados!E70,Resultados!N70,Resultados!W70,Resultados!AF70,Resultados!AO70,Resultados!AX70,Resultados!BG70,Resultados!BP70,Resultados!BY70,Resultados!CH70,Resultados!CQ70,Resultados!CZ70,Resultados!DI70,Resultados!DR70,Resultados!EA70)=0, "", AVERAGE(ABS(Resultados!E70),ABS(Resultados!N70),ABS(Resultados!W70),ABS(Resultados!AF70),ABS(Resultados!AO70),ABS(Resultados!AX70),ABS(Resultados!BG70),ABS(Resultados!BP70),ABS(Resultados!BY70),ABS(Resultados!CH70),ABS(Resultados!CQ70),ABS(Resultados!CZ70),ABS(Resultados!DI70),ABS(Resultados!DR70),ABS(Resultados!EA70)))</f>
        <v>7.1644450382783909</v>
      </c>
      <c r="F70">
        <f>IF(COUNT(Resultados!F70,Resultados!O70,Resultados!X70,Resultados!AG70,Resultados!AP70,Resultados!AY70,Resultados!BH70,Resultados!BQ70,Resultados!BZ70,Resultados!CI70,Resultados!CR70,Resultados!DA70,Resultados!DJ70,Resultados!DS70,Resultados!EB70)=0, "", AVERAGE(ABS(Resultados!F70),ABS(Resultados!O70),ABS(Resultados!X70),ABS(Resultados!AG70),ABS(Resultados!AP70),ABS(Resultados!AY70),ABS(Resultados!BH70),ABS(Resultados!BQ70),ABS(Resultados!BZ70),ABS(Resultados!CI70),ABS(Resultados!CR70),ABS(Resultados!DA70),ABS(Resultados!DJ70),ABS(Resultados!DS70),ABS(Resultados!EB70)))</f>
        <v>819.90583413261925</v>
      </c>
      <c r="G70">
        <f>IF(COUNT(Resultados!G70,Resultados!P70,Resultados!Y70,Resultados!AH70,Resultados!AQ70,Resultados!AZ70,Resultados!BI70,Resultados!BR70,Resultados!CA70,Resultados!CJ70,Resultados!CS70,Resultados!DB70,Resultados!DK70,Resultados!DT70,Resultados!EC70)=0, "", AVERAGE(ABS(Resultados!G70),ABS(Resultados!P70),ABS(Resultados!Y70),ABS(Resultados!AH70),ABS(Resultados!AQ70),ABS(Resultados!AZ70),ABS(Resultados!BI70),ABS(Resultados!BR70),ABS(Resultados!CA70),ABS(Resultados!CJ70),ABS(Resultados!CS70),ABS(Resultados!DB70),ABS(Resultados!DK70),ABS(Resultados!DT70),ABS(Resultados!EC70)))</f>
        <v>0.42400000000000015</v>
      </c>
      <c r="H70">
        <f>IF(COUNT(Resultados!H70,Resultados!Q70,Resultados!Z70,Resultados!AI70,Resultados!AR70,Resultados!BA70,Resultados!BJ70,Resultados!BS70,Resultados!CB70,Resultados!CK70,Resultados!CT70,Resultados!DC70,Resultados!DL70,Resultados!DU70,Resultados!ED70)=0, "", AVERAGE(ABS(Resultados!H70),ABS(Resultados!Q70),ABS(Resultados!Z70),ABS(Resultados!AI70),ABS(Resultados!AR70),ABS(Resultados!BA70),ABS(Resultados!BJ70),ABS(Resultados!BS70),ABS(Resultados!CB70),ABS(Resultados!CK70),ABS(Resultados!CT70),ABS(Resultados!DC70),ABS(Resultados!DL70),ABS(Resultados!DU70),ABS(Resultados!ED70)))</f>
        <v>1.8159999999999999E-2</v>
      </c>
      <c r="I70">
        <f>IF(COUNT(Resultados!I70,Resultados!R70,Resultados!AA70,Resultados!AJ70,Resultados!AS70,Resultados!BB70,Resultados!BK70,Resultados!BT70,Resultados!CC70,Resultados!CL70,Resultados!CU70,Resultados!DD70,Resultados!DM70,Resultados!DV70,Resultados!EE70)=0, "", AVERAGE(ABS(Resultados!I70),ABS(Resultados!R70),ABS(Resultados!AA70),ABS(Resultados!AJ70),ABS(Resultados!AS70),ABS(Resultados!BB70),ABS(Resultados!BK70),ABS(Resultados!BT70),ABS(Resultados!CC70),ABS(Resultados!CL70),ABS(Resultados!CU70),ABS(Resultados!DD70),ABS(Resultados!DM70),ABS(Resultados!DV70),ABS(Resultados!EE70)))</f>
        <v>13.625448666666671</v>
      </c>
    </row>
    <row r="71" spans="1:9" x14ac:dyDescent="0.3">
      <c r="A71">
        <f>IF(COUNT(Resultados!A71,Resultados!J71,Resultados!S71,Resultados!AB71,Resultados!AK71,Resultados!AT71,Resultados!BC71,Resultados!BL71,Resultados!BU71,Resultados!CD71,Resultados!CM71,Resultados!CV71,Resultados!DE71,Resultados!DN71,Resultados!DW71)=0, "", AVERAGE(ABS(Resultados!A71),ABS(Resultados!J71),ABS(Resultados!S71),ABS(Resultados!AB71),ABS(Resultados!AK71),ABS(Resultados!AT71),ABS(Resultados!BC71),ABS(Resultados!BL71),ABS(Resultados!BU71),ABS(Resultados!CD71),ABS(Resultados!CM71),ABS(Resultados!CV71),ABS(Resultados!DE71),ABS(Resultados!DN71),ABS(Resultados!DW71)))</f>
        <v>45681</v>
      </c>
      <c r="B71" t="str">
        <f>IF(COUNT(Resultados!B71,Resultados!K71,Resultados!T71,Resultados!AC71,Resultados!AL71,Resultados!AU71,Resultados!BD71,Resultados!BM71,Resultados!BV71,Resultados!CE71,Resultados!CN71,Resultados!CW71,Resultados!DF71,Resultados!DO71,Resultados!DX71)=0, "", AVERAGE(ABS(Resultados!B71),ABS(Resultados!K71),ABS(Resultados!T71),ABS(Resultados!AC71),ABS(Resultados!AL71),ABS(Resultados!AU71),ABS(Resultados!BD71),ABS(Resultados!BM71),ABS(Resultados!BV71),ABS(Resultados!CE71),ABS(Resultados!CN71),ABS(Resultados!CW71),ABS(Resultados!DF71),ABS(Resultados!DO71),ABS(Resultados!DX71)))</f>
        <v/>
      </c>
      <c r="C71">
        <f>IF(COUNT(Resultados!C71,Resultados!L71,Resultados!U71,Resultados!AD71,Resultados!AM71,Resultados!AV71,Resultados!BE71,Resultados!BN71,Resultados!BW71,Resultados!CF71,Resultados!CO71,Resultados!CX71,Resultados!DG71,Resultados!DP71,Resultados!DY71)=0, "", AVERAGE(ABS(Resultados!C71),ABS(Resultados!L71),ABS(Resultados!U71),ABS(Resultados!AD71),ABS(Resultados!AM71),ABS(Resultados!AV71),ABS(Resultados!BE71),ABS(Resultados!BN71),ABS(Resultados!BW71),ABS(Resultados!CF71),ABS(Resultados!CO71),ABS(Resultados!CX71),ABS(Resultados!DG71),ABS(Resultados!DP71),ABS(Resultados!DY71)))</f>
        <v>3</v>
      </c>
      <c r="D71">
        <f>IF(COUNT(Resultados!D71,Resultados!M71,Resultados!V71,Resultados!AE71,Resultados!AN71,Resultados!AW71,Resultados!BF71,Resultados!BO71,Resultados!BX71,Resultados!CG71,Resultados!CP71,Resultados!CY71,Resultados!DH71,Resultados!DQ71,Resultados!DZ71)=0, "", AVERAGE(ABS(Resultados!D71),ABS(Resultados!M71),ABS(Resultados!V71),ABS(Resultados!AE71),ABS(Resultados!AN71),ABS(Resultados!AW71),ABS(Resultados!BF71),ABS(Resultados!BO71),ABS(Resultados!BX71),ABS(Resultados!CG71),ABS(Resultados!CP71),ABS(Resultados!CY71),ABS(Resultados!DH71),ABS(Resultados!DQ71),ABS(Resultados!DZ71)))</f>
        <v>1.5193333333333333E-2</v>
      </c>
      <c r="E71">
        <f>IF(COUNT(Resultados!E71,Resultados!N71,Resultados!W71,Resultados!AF71,Resultados!AO71,Resultados!AX71,Resultados!BG71,Resultados!BP71,Resultados!BY71,Resultados!CH71,Resultados!CQ71,Resultados!CZ71,Resultados!DI71,Resultados!DR71,Resultados!EA71)=0, "", AVERAGE(ABS(Resultados!E71),ABS(Resultados!N71),ABS(Resultados!W71),ABS(Resultados!AF71),ABS(Resultados!AO71),ABS(Resultados!AX71),ABS(Resultados!BG71),ABS(Resultados!BP71),ABS(Resultados!BY71),ABS(Resultados!CH71),ABS(Resultados!CQ71),ABS(Resultados!CZ71),ABS(Resultados!DI71),ABS(Resultados!DR71),ABS(Resultados!EA71)))</f>
        <v>7.2576459853152233</v>
      </c>
      <c r="F71">
        <f>IF(COUNT(Resultados!F71,Resultados!O71,Resultados!X71,Resultados!AG71,Resultados!AP71,Resultados!AY71,Resultados!BH71,Resultados!BQ71,Resultados!BZ71,Resultados!CI71,Resultados!CR71,Resultados!DA71,Resultados!DJ71,Resultados!DS71,Resultados!EB71)=0, "", AVERAGE(ABS(Resultados!F71),ABS(Resultados!O71),ABS(Resultados!X71),ABS(Resultados!AG71),ABS(Resultados!AP71),ABS(Resultados!AY71),ABS(Resultados!BH71),ABS(Resultados!BQ71),ABS(Resultados!BZ71),ABS(Resultados!CI71),ABS(Resultados!CR71),ABS(Resultados!DA71),ABS(Resultados!DJ71),ABS(Resultados!DS71),ABS(Resultados!EB71)))</f>
        <v>821.78841744487784</v>
      </c>
      <c r="G71">
        <f>IF(COUNT(Resultados!G71,Resultados!P71,Resultados!Y71,Resultados!AH71,Resultados!AQ71,Resultados!AZ71,Resultados!BI71,Resultados!BR71,Resultados!CA71,Resultados!CJ71,Resultados!CS71,Resultados!DB71,Resultados!DK71,Resultados!DT71,Resultados!EC71)=0, "", AVERAGE(ABS(Resultados!G71),ABS(Resultados!P71),ABS(Resultados!Y71),ABS(Resultados!AH71),ABS(Resultados!AQ71),ABS(Resultados!AZ71),ABS(Resultados!BI71),ABS(Resultados!BR71),ABS(Resultados!CA71),ABS(Resultados!CJ71),ABS(Resultados!CS71),ABS(Resultados!DB71),ABS(Resultados!DK71),ABS(Resultados!DT71),ABS(Resultados!EC71)))</f>
        <v>0.42400000000000015</v>
      </c>
      <c r="H71">
        <f>IF(COUNT(Resultados!H71,Resultados!Q71,Resultados!Z71,Resultados!AI71,Resultados!AR71,Resultados!BA71,Resultados!BJ71,Resultados!BS71,Resultados!CB71,Resultados!CK71,Resultados!CT71,Resultados!DC71,Resultados!DL71,Resultados!DU71,Resultados!ED71)=0, "", AVERAGE(ABS(Resultados!H71),ABS(Resultados!Q71),ABS(Resultados!Z71),ABS(Resultados!AI71),ABS(Resultados!AR71),ABS(Resultados!BA71),ABS(Resultados!BJ71),ABS(Resultados!BS71),ABS(Resultados!CB71),ABS(Resultados!CK71),ABS(Resultados!CT71),ABS(Resultados!DC71),ABS(Resultados!DL71),ABS(Resultados!DU71),ABS(Resultados!ED71)))</f>
        <v>1.9620000000000002E-2</v>
      </c>
      <c r="I71">
        <f>IF(COUNT(Resultados!I71,Resultados!R71,Resultados!AA71,Resultados!AJ71,Resultados!AS71,Resultados!BB71,Resultados!BK71,Resultados!BT71,Resultados!CC71,Resultados!CL71,Resultados!CU71,Resultados!DD71,Resultados!DM71,Resultados!DV71,Resultados!EE71)=0, "", AVERAGE(ABS(Resultados!I71),ABS(Resultados!R71),ABS(Resultados!AA71),ABS(Resultados!AJ71),ABS(Resultados!AS71),ABS(Resultados!BB71),ABS(Resultados!BK71),ABS(Resultados!BT71),ABS(Resultados!CC71),ABS(Resultados!CL71),ABS(Resultados!CU71),ABS(Resultados!DD71),ABS(Resultados!DM71),ABS(Resultados!DV71),ABS(Resultados!EE71)))</f>
        <v>13.82503866666667</v>
      </c>
    </row>
    <row r="72" spans="1:9" x14ac:dyDescent="0.3">
      <c r="A72">
        <f>IF(COUNT(Resultados!A72,Resultados!J72,Resultados!S72,Resultados!AB72,Resultados!AK72,Resultados!AT72,Resultados!BC72,Resultados!BL72,Resultados!BU72,Resultados!CD72,Resultados!CM72,Resultados!CV72,Resultados!DE72,Resultados!DN72,Resultados!DW72)=0, "", AVERAGE(ABS(Resultados!A72),ABS(Resultados!J72),ABS(Resultados!S72),ABS(Resultados!AB72),ABS(Resultados!AK72),ABS(Resultados!AT72),ABS(Resultados!BC72),ABS(Resultados!BL72),ABS(Resultados!BU72),ABS(Resultados!CD72),ABS(Resultados!CM72),ABS(Resultados!CV72),ABS(Resultados!DE72),ABS(Resultados!DN72),ABS(Resultados!DW72)))</f>
        <v>45681</v>
      </c>
      <c r="B72" t="str">
        <f>IF(COUNT(Resultados!B72,Resultados!K72,Resultados!T72,Resultados!AC72,Resultados!AL72,Resultados!AU72,Resultados!BD72,Resultados!BM72,Resultados!BV72,Resultados!CE72,Resultados!CN72,Resultados!CW72,Resultados!DF72,Resultados!DO72,Resultados!DX72)=0, "", AVERAGE(ABS(Resultados!B72),ABS(Resultados!K72),ABS(Resultados!T72),ABS(Resultados!AC72),ABS(Resultados!AL72),ABS(Resultados!AU72),ABS(Resultados!BD72),ABS(Resultados!BM72),ABS(Resultados!BV72),ABS(Resultados!CE72),ABS(Resultados!CN72),ABS(Resultados!CW72),ABS(Resultados!DF72),ABS(Resultados!DO72),ABS(Resultados!DX72)))</f>
        <v/>
      </c>
      <c r="C72">
        <f>IF(COUNT(Resultados!C72,Resultados!L72,Resultados!U72,Resultados!AD72,Resultados!AM72,Resultados!AV72,Resultados!BE72,Resultados!BN72,Resultados!BW72,Resultados!CF72,Resultados!CO72,Resultados!CX72,Resultados!DG72,Resultados!DP72,Resultados!DY72)=0, "", AVERAGE(ABS(Resultados!C72),ABS(Resultados!L72),ABS(Resultados!U72),ABS(Resultados!AD72),ABS(Resultados!AM72),ABS(Resultados!AV72),ABS(Resultados!BE72),ABS(Resultados!BN72),ABS(Resultados!BW72),ABS(Resultados!CF72),ABS(Resultados!CO72),ABS(Resultados!CX72),ABS(Resultados!DG72),ABS(Resultados!DP72),ABS(Resultados!DY72)))</f>
        <v>3</v>
      </c>
      <c r="D72">
        <f>IF(COUNT(Resultados!D72,Resultados!M72,Resultados!V72,Resultados!AE72,Resultados!AN72,Resultados!AW72,Resultados!BF72,Resultados!BO72,Resultados!BX72,Resultados!CG72,Resultados!CP72,Resultados!CY72,Resultados!DH72,Resultados!DQ72,Resultados!DZ72)=0, "", AVERAGE(ABS(Resultados!D72),ABS(Resultados!M72),ABS(Resultados!V72),ABS(Resultados!AE72),ABS(Resultados!AN72),ABS(Resultados!AW72),ABS(Resultados!BF72),ABS(Resultados!BO72),ABS(Resultados!BX72),ABS(Resultados!CG72),ABS(Resultados!CP72),ABS(Resultados!CY72),ABS(Resultados!DH72),ABS(Resultados!DQ72),ABS(Resultados!DZ72)))</f>
        <v>1.684666666666667E-2</v>
      </c>
      <c r="E72">
        <f>IF(COUNT(Resultados!E72,Resultados!N72,Resultados!W72,Resultados!AF72,Resultados!AO72,Resultados!AX72,Resultados!BG72,Resultados!BP72,Resultados!BY72,Resultados!CH72,Resultados!CQ72,Resultados!CZ72,Resultados!DI72,Resultados!DR72,Resultados!EA72)=0, "", AVERAGE(ABS(Resultados!E72),ABS(Resultados!N72),ABS(Resultados!W72),ABS(Resultados!AF72),ABS(Resultados!AO72),ABS(Resultados!AX72),ABS(Resultados!BG72),ABS(Resultados!BP72),ABS(Resultados!BY72),ABS(Resultados!CH72),ABS(Resultados!CQ72),ABS(Resultados!CZ72),ABS(Resultados!DI72),ABS(Resultados!DR72),ABS(Resultados!EA72)))</f>
        <v>7.2936208910407831</v>
      </c>
      <c r="F72">
        <f>IF(COUNT(Resultados!F72,Resultados!O72,Resultados!X72,Resultados!AG72,Resultados!AP72,Resultados!AY72,Resultados!BH72,Resultados!BQ72,Resultados!BZ72,Resultados!CI72,Resultados!CR72,Resultados!DA72,Resultados!DJ72,Resultados!DS72,Resultados!EB72)=0, "", AVERAGE(ABS(Resultados!F72),ABS(Resultados!O72),ABS(Resultados!X72),ABS(Resultados!AG72),ABS(Resultados!AP72),ABS(Resultados!AY72),ABS(Resultados!BH72),ABS(Resultados!BQ72),ABS(Resultados!BZ72),ABS(Resultados!CI72),ABS(Resultados!CR72),ABS(Resultados!DA72),ABS(Resultados!DJ72),ABS(Resultados!DS72),ABS(Resultados!EB72)))</f>
        <v>825.21340538494837</v>
      </c>
      <c r="G72">
        <f>IF(COUNT(Resultados!G72,Resultados!P72,Resultados!Y72,Resultados!AH72,Resultados!AQ72,Resultados!AZ72,Resultados!BI72,Resultados!BR72,Resultados!CA72,Resultados!CJ72,Resultados!CS72,Resultados!DB72,Resultados!DK72,Resultados!DT72,Resultados!EC72)=0, "", AVERAGE(ABS(Resultados!G72),ABS(Resultados!P72),ABS(Resultados!Y72),ABS(Resultados!AH72),ABS(Resultados!AQ72),ABS(Resultados!AZ72),ABS(Resultados!BI72),ABS(Resultados!BR72),ABS(Resultados!CA72),ABS(Resultados!CJ72),ABS(Resultados!CS72),ABS(Resultados!DB72),ABS(Resultados!DK72),ABS(Resultados!DT72),ABS(Resultados!EC72)))</f>
        <v>0.42400000000000015</v>
      </c>
      <c r="H72">
        <f>IF(COUNT(Resultados!H72,Resultados!Q72,Resultados!Z72,Resultados!AI72,Resultados!AR72,Resultados!BA72,Resultados!BJ72,Resultados!BS72,Resultados!CB72,Resultados!CK72,Resultados!CT72,Resultados!DC72,Resultados!DL72,Resultados!DU72,Resultados!ED72)=0, "", AVERAGE(ABS(Resultados!H72),ABS(Resultados!Q72),ABS(Resultados!Z72),ABS(Resultados!AI72),ABS(Resultados!AR72),ABS(Resultados!BA72),ABS(Resultados!BJ72),ABS(Resultados!BS72),ABS(Resultados!CB72),ABS(Resultados!CK72),ABS(Resultados!CT72),ABS(Resultados!DC72),ABS(Resultados!DL72),ABS(Resultados!DU72),ABS(Resultados!ED72)))</f>
        <v>2.0166666666666666E-2</v>
      </c>
      <c r="I72">
        <f>IF(COUNT(Resultados!I72,Resultados!R72,Resultados!AA72,Resultados!AJ72,Resultados!AS72,Resultados!BB72,Resultados!BK72,Resultados!BT72,Resultados!CC72,Resultados!CL72,Resultados!CU72,Resultados!DD72,Resultados!DM72,Resultados!DV72,Resultados!EE72)=0, "", AVERAGE(ABS(Resultados!I72),ABS(Resultados!R72),ABS(Resultados!AA72),ABS(Resultados!AJ72),ABS(Resultados!AS72),ABS(Resultados!BB72),ABS(Resultados!BK72),ABS(Resultados!BT72),ABS(Resultados!CC72),ABS(Resultados!CL72),ABS(Resultados!CU72),ABS(Resultados!DD72),ABS(Resultados!DM72),ABS(Resultados!DV72),ABS(Resultados!EE72)))</f>
        <v>14.025676666666669</v>
      </c>
    </row>
    <row r="73" spans="1:9" x14ac:dyDescent="0.3">
      <c r="A73">
        <f>IF(COUNT(Resultados!A73,Resultados!J73,Resultados!S73,Resultados!AB73,Resultados!AK73,Resultados!AT73,Resultados!BC73,Resultados!BL73,Resultados!BU73,Resultados!CD73,Resultados!CM73,Resultados!CV73,Resultados!DE73,Resultados!DN73,Resultados!DW73)=0, "", AVERAGE(ABS(Resultados!A73),ABS(Resultados!J73),ABS(Resultados!S73),ABS(Resultados!AB73),ABS(Resultados!AK73),ABS(Resultados!AT73),ABS(Resultados!BC73),ABS(Resultados!BL73),ABS(Resultados!BU73),ABS(Resultados!CD73),ABS(Resultados!CM73),ABS(Resultados!CV73),ABS(Resultados!DE73),ABS(Resultados!DN73),ABS(Resultados!DW73)))</f>
        <v>45681</v>
      </c>
      <c r="B73" t="str">
        <f>IF(COUNT(Resultados!B73,Resultados!K73,Resultados!T73,Resultados!AC73,Resultados!AL73,Resultados!AU73,Resultados!BD73,Resultados!BM73,Resultados!BV73,Resultados!CE73,Resultados!CN73,Resultados!CW73,Resultados!DF73,Resultados!DO73,Resultados!DX73)=0, "", AVERAGE(ABS(Resultados!B73),ABS(Resultados!K73),ABS(Resultados!T73),ABS(Resultados!AC73),ABS(Resultados!AL73),ABS(Resultados!AU73),ABS(Resultados!BD73),ABS(Resultados!BM73),ABS(Resultados!BV73),ABS(Resultados!CE73),ABS(Resultados!CN73),ABS(Resultados!CW73),ABS(Resultados!DF73),ABS(Resultados!DO73),ABS(Resultados!DX73)))</f>
        <v/>
      </c>
      <c r="C73">
        <f>IF(COUNT(Resultados!C73,Resultados!L73,Resultados!U73,Resultados!AD73,Resultados!AM73,Resultados!AV73,Resultados!BE73,Resultados!BN73,Resultados!BW73,Resultados!CF73,Resultados!CO73,Resultados!CX73,Resultados!DG73,Resultados!DP73,Resultados!DY73)=0, "", AVERAGE(ABS(Resultados!C73),ABS(Resultados!L73),ABS(Resultados!U73),ABS(Resultados!AD73),ABS(Resultados!AM73),ABS(Resultados!AV73),ABS(Resultados!BE73),ABS(Resultados!BN73),ABS(Resultados!BW73),ABS(Resultados!CF73),ABS(Resultados!CO73),ABS(Resultados!CX73),ABS(Resultados!DG73),ABS(Resultados!DP73),ABS(Resultados!DY73)))</f>
        <v>3</v>
      </c>
      <c r="D73">
        <f>IF(COUNT(Resultados!D73,Resultados!M73,Resultados!V73,Resultados!AE73,Resultados!AN73,Resultados!AW73,Resultados!BF73,Resultados!BO73,Resultados!BX73,Resultados!CG73,Resultados!CP73,Resultados!CY73,Resultados!DH73,Resultados!DQ73,Resultados!DZ73)=0, "", AVERAGE(ABS(Resultados!D73),ABS(Resultados!M73),ABS(Resultados!V73),ABS(Resultados!AE73),ABS(Resultados!AN73),ABS(Resultados!AW73),ABS(Resultados!BF73),ABS(Resultados!BO73),ABS(Resultados!BX73),ABS(Resultados!CG73),ABS(Resultados!CP73),ABS(Resultados!CY73),ABS(Resultados!DH73),ABS(Resultados!DQ73),ABS(Resultados!DZ73)))</f>
        <v>1.7639999999999996E-2</v>
      </c>
      <c r="E73">
        <f>IF(COUNT(Resultados!E73,Resultados!N73,Resultados!W73,Resultados!AF73,Resultados!AO73,Resultados!AX73,Resultados!BG73,Resultados!BP73,Resultados!BY73,Resultados!CH73,Resultados!CQ73,Resultados!CZ73,Resultados!DI73,Resultados!DR73,Resultados!EA73)=0, "", AVERAGE(ABS(Resultados!E73),ABS(Resultados!N73),ABS(Resultados!W73),ABS(Resultados!AF73),ABS(Resultados!AO73),ABS(Resultados!AX73),ABS(Resultados!BG73),ABS(Resultados!BP73),ABS(Resultados!BY73),ABS(Resultados!CH73),ABS(Resultados!CQ73),ABS(Resultados!CZ73),ABS(Resultados!DI73),ABS(Resultados!DR73),ABS(Resultados!EA73)))</f>
        <v>7.2685711243591395</v>
      </c>
      <c r="F73">
        <f>IF(COUNT(Resultados!F73,Resultados!O73,Resultados!X73,Resultados!AG73,Resultados!AP73,Resultados!AY73,Resultados!BH73,Resultados!BQ73,Resultados!BZ73,Resultados!CI73,Resultados!CR73,Resultados!DA73,Resultados!DJ73,Resultados!DS73,Resultados!EB73)=0, "", AVERAGE(ABS(Resultados!F73),ABS(Resultados!O73),ABS(Resultados!X73),ABS(Resultados!AG73),ABS(Resultados!AP73),ABS(Resultados!AY73),ABS(Resultados!BH73),ABS(Resultados!BQ73),ABS(Resultados!BZ73),ABS(Resultados!CI73),ABS(Resultados!CR73),ABS(Resultados!DA73),ABS(Resultados!DJ73),ABS(Resultados!DS73),ABS(Resultados!EB73)))</f>
        <v>732.34410246643938</v>
      </c>
      <c r="G73">
        <f>IF(COUNT(Resultados!G73,Resultados!P73,Resultados!Y73,Resultados!AH73,Resultados!AQ73,Resultados!AZ73,Resultados!BI73,Resultados!BR73,Resultados!CA73,Resultados!CJ73,Resultados!CS73,Resultados!DB73,Resultados!DK73,Resultados!DT73,Resultados!EC73)=0, "", AVERAGE(ABS(Resultados!G73),ABS(Resultados!P73),ABS(Resultados!Y73),ABS(Resultados!AH73),ABS(Resultados!AQ73),ABS(Resultados!AZ73),ABS(Resultados!BI73),ABS(Resultados!BR73),ABS(Resultados!CA73),ABS(Resultados!CJ73),ABS(Resultados!CS73),ABS(Resultados!DB73),ABS(Resultados!DK73),ABS(Resultados!DT73),ABS(Resultados!EC73)))</f>
        <v>0.42400000000000015</v>
      </c>
      <c r="H73">
        <f>IF(COUNT(Resultados!H73,Resultados!Q73,Resultados!Z73,Resultados!AI73,Resultados!AR73,Resultados!BA73,Resultados!BJ73,Resultados!BS73,Resultados!CB73,Resultados!CK73,Resultados!CT73,Resultados!DC73,Resultados!DL73,Resultados!DU73,Resultados!ED73)=0, "", AVERAGE(ABS(Resultados!H73),ABS(Resultados!Q73),ABS(Resultados!Z73),ABS(Resultados!AI73),ABS(Resultados!AR73),ABS(Resultados!BA73),ABS(Resultados!BJ73),ABS(Resultados!BS73),ABS(Resultados!CB73),ABS(Resultados!CK73),ABS(Resultados!CT73),ABS(Resultados!DC73),ABS(Resultados!DL73),ABS(Resultados!DU73),ABS(Resultados!ED73)))</f>
        <v>1.9793333333333333E-2</v>
      </c>
      <c r="I73">
        <f>IF(COUNT(Resultados!I73,Resultados!R73,Resultados!AA73,Resultados!AJ73,Resultados!AS73,Resultados!BB73,Resultados!BK73,Resultados!BT73,Resultados!CC73,Resultados!CL73,Resultados!CU73,Resultados!DD73,Resultados!DM73,Resultados!DV73,Resultados!EE73)=0, "", AVERAGE(ABS(Resultados!I73),ABS(Resultados!R73),ABS(Resultados!AA73),ABS(Resultados!AJ73),ABS(Resultados!AS73),ABS(Resultados!BB73),ABS(Resultados!BK73),ABS(Resultados!BT73),ABS(Resultados!CC73),ABS(Resultados!CL73),ABS(Resultados!CU73),ABS(Resultados!DD73),ABS(Resultados!DM73),ABS(Resultados!DV73),ABS(Resultados!EE73)))</f>
        <v>14.225540000000001</v>
      </c>
    </row>
    <row r="74" spans="1:9" x14ac:dyDescent="0.3">
      <c r="A74">
        <f>IF(COUNT(Resultados!A74,Resultados!J74,Resultados!S74,Resultados!AB74,Resultados!AK74,Resultados!AT74,Resultados!BC74,Resultados!BL74,Resultados!BU74,Resultados!CD74,Resultados!CM74,Resultados!CV74,Resultados!DE74,Resultados!DN74,Resultados!DW74)=0, "", AVERAGE(ABS(Resultados!A74),ABS(Resultados!J74),ABS(Resultados!S74),ABS(Resultados!AB74),ABS(Resultados!AK74),ABS(Resultados!AT74),ABS(Resultados!BC74),ABS(Resultados!BL74),ABS(Resultados!BU74),ABS(Resultados!CD74),ABS(Resultados!CM74),ABS(Resultados!CV74),ABS(Resultados!DE74),ABS(Resultados!DN74),ABS(Resultados!DW74)))</f>
        <v>45681</v>
      </c>
      <c r="B74" t="str">
        <f>IF(COUNT(Resultados!B74,Resultados!K74,Resultados!T74,Resultados!AC74,Resultados!AL74,Resultados!AU74,Resultados!BD74,Resultados!BM74,Resultados!BV74,Resultados!CE74,Resultados!CN74,Resultados!CW74,Resultados!DF74,Resultados!DO74,Resultados!DX74)=0, "", AVERAGE(ABS(Resultados!B74),ABS(Resultados!K74),ABS(Resultados!T74),ABS(Resultados!AC74),ABS(Resultados!AL74),ABS(Resultados!AU74),ABS(Resultados!BD74),ABS(Resultados!BM74),ABS(Resultados!BV74),ABS(Resultados!CE74),ABS(Resultados!CN74),ABS(Resultados!CW74),ABS(Resultados!DF74),ABS(Resultados!DO74),ABS(Resultados!DX74)))</f>
        <v/>
      </c>
      <c r="C74">
        <f>IF(COUNT(Resultados!C74,Resultados!L74,Resultados!U74,Resultados!AD74,Resultados!AM74,Resultados!AV74,Resultados!BE74,Resultados!BN74,Resultados!BW74,Resultados!CF74,Resultados!CO74,Resultados!CX74,Resultados!DG74,Resultados!DP74,Resultados!DY74)=0, "", AVERAGE(ABS(Resultados!C74),ABS(Resultados!L74),ABS(Resultados!U74),ABS(Resultados!AD74),ABS(Resultados!AM74),ABS(Resultados!AV74),ABS(Resultados!BE74),ABS(Resultados!BN74),ABS(Resultados!BW74),ABS(Resultados!CF74),ABS(Resultados!CO74),ABS(Resultados!CX74),ABS(Resultados!DG74),ABS(Resultados!DP74),ABS(Resultados!DY74)))</f>
        <v>3</v>
      </c>
      <c r="D74">
        <f>IF(COUNT(Resultados!D74,Resultados!M74,Resultados!V74,Resultados!AE74,Resultados!AN74,Resultados!AW74,Resultados!BF74,Resultados!BO74,Resultados!BX74,Resultados!CG74,Resultados!CP74,Resultados!CY74,Resultados!DH74,Resultados!DQ74,Resultados!DZ74)=0, "", AVERAGE(ABS(Resultados!D74),ABS(Resultados!M74),ABS(Resultados!V74),ABS(Resultados!AE74),ABS(Resultados!AN74),ABS(Resultados!AW74),ABS(Resultados!BF74),ABS(Resultados!BO74),ABS(Resultados!BX74),ABS(Resultados!CG74),ABS(Resultados!CP74),ABS(Resultados!CY74),ABS(Resultados!DH74),ABS(Resultados!DQ74),ABS(Resultados!DZ74)))</f>
        <v>1.7866666666666666E-2</v>
      </c>
      <c r="E74">
        <f>IF(COUNT(Resultados!E74,Resultados!N74,Resultados!W74,Resultados!AF74,Resultados!AO74,Resultados!AX74,Resultados!BG74,Resultados!BP74,Resultados!BY74,Resultados!CH74,Resultados!CQ74,Resultados!CZ74,Resultados!DI74,Resultados!DR74,Resultados!EA74)=0, "", AVERAGE(ABS(Resultados!E74),ABS(Resultados!N74),ABS(Resultados!W74),ABS(Resultados!AF74),ABS(Resultados!AO74),ABS(Resultados!AX74),ABS(Resultados!BG74),ABS(Resultados!BP74),ABS(Resultados!BY74),ABS(Resultados!CH74),ABS(Resultados!CQ74),ABS(Resultados!CZ74),ABS(Resultados!DI74),ABS(Resultados!DR74),ABS(Resultados!EA74)))</f>
        <v>7.185100591395182</v>
      </c>
      <c r="F74">
        <f>IF(COUNT(Resultados!F74,Resultados!O74,Resultados!X74,Resultados!AG74,Resultados!AP74,Resultados!AY74,Resultados!BH74,Resultados!BQ74,Resultados!BZ74,Resultados!CI74,Resultados!CR74,Resultados!DA74,Resultados!DJ74,Resultados!DS74,Resultados!EB74)=0, "", AVERAGE(ABS(Resultados!F74),ABS(Resultados!O74),ABS(Resultados!X74),ABS(Resultados!AG74),ABS(Resultados!AP74),ABS(Resultados!AY74),ABS(Resultados!BH74),ABS(Resultados!BQ74),ABS(Resultados!BZ74),ABS(Resultados!CI74),ABS(Resultados!CR74),ABS(Resultados!DA74),ABS(Resultados!DJ74),ABS(Resultados!DS74),ABS(Resultados!EB74)))</f>
        <v>724.58602027350253</v>
      </c>
      <c r="G74">
        <f>IF(COUNT(Resultados!G74,Resultados!P74,Resultados!Y74,Resultados!AH74,Resultados!AQ74,Resultados!AZ74,Resultados!BI74,Resultados!BR74,Resultados!CA74,Resultados!CJ74,Resultados!CS74,Resultados!DB74,Resultados!DK74,Resultados!DT74,Resultados!EC74)=0, "", AVERAGE(ABS(Resultados!G74),ABS(Resultados!P74),ABS(Resultados!Y74),ABS(Resultados!AH74),ABS(Resultados!AQ74),ABS(Resultados!AZ74),ABS(Resultados!BI74),ABS(Resultados!BR74),ABS(Resultados!CA74),ABS(Resultados!CJ74),ABS(Resultados!CS74),ABS(Resultados!DB74),ABS(Resultados!DK74),ABS(Resultados!DT74),ABS(Resultados!EC74)))</f>
        <v>0.42400000000000015</v>
      </c>
      <c r="H74">
        <f>IF(COUNT(Resultados!H74,Resultados!Q74,Resultados!Z74,Resultados!AI74,Resultados!AR74,Resultados!BA74,Resultados!BJ74,Resultados!BS74,Resultados!CB74,Resultados!CK74,Resultados!CT74,Resultados!DC74,Resultados!DL74,Resultados!DU74,Resultados!ED74)=0, "", AVERAGE(ABS(Resultados!H74),ABS(Resultados!Q74),ABS(Resultados!Z74),ABS(Resultados!AI74),ABS(Resultados!AR74),ABS(Resultados!BA74),ABS(Resultados!BJ74),ABS(Resultados!BS74),ABS(Resultados!CB74),ABS(Resultados!CK74),ABS(Resultados!CT74),ABS(Resultados!DC74),ABS(Resultados!DL74),ABS(Resultados!DU74),ABS(Resultados!ED74)))</f>
        <v>1.8486666666666665E-2</v>
      </c>
      <c r="I74">
        <f>IF(COUNT(Resultados!I74,Resultados!R74,Resultados!AA74,Resultados!AJ74,Resultados!AS74,Resultados!BB74,Resultados!BK74,Resultados!BT74,Resultados!CC74,Resultados!CL74,Resultados!CU74,Resultados!DD74,Resultados!DM74,Resultados!DV74,Resultados!EE74)=0, "", AVERAGE(ABS(Resultados!I74),ABS(Resultados!R74),ABS(Resultados!AA74),ABS(Resultados!AJ74),ABS(Resultados!AS74),ABS(Resultados!BB74),ABS(Resultados!BK74),ABS(Resultados!BT74),ABS(Resultados!CC74),ABS(Resultados!CL74),ABS(Resultados!CU74),ABS(Resultados!DD74),ABS(Resultados!DM74),ABS(Resultados!DV74),ABS(Resultados!EE74)))</f>
        <v>14.425560000000006</v>
      </c>
    </row>
    <row r="75" spans="1:9" x14ac:dyDescent="0.3">
      <c r="A75">
        <f>IF(COUNT(Resultados!A75,Resultados!J75,Resultados!S75,Resultados!AB75,Resultados!AK75,Resultados!AT75,Resultados!BC75,Resultados!BL75,Resultados!BU75,Resultados!CD75,Resultados!CM75,Resultados!CV75,Resultados!DE75,Resultados!DN75,Resultados!DW75)=0, "", AVERAGE(ABS(Resultados!A75),ABS(Resultados!J75),ABS(Resultados!S75),ABS(Resultados!AB75),ABS(Resultados!AK75),ABS(Resultados!AT75),ABS(Resultados!BC75),ABS(Resultados!BL75),ABS(Resultados!BU75),ABS(Resultados!CD75),ABS(Resultados!CM75),ABS(Resultados!CV75),ABS(Resultados!DE75),ABS(Resultados!DN75),ABS(Resultados!DW75)))</f>
        <v>45681</v>
      </c>
      <c r="B75" t="str">
        <f>IF(COUNT(Resultados!B75,Resultados!K75,Resultados!T75,Resultados!AC75,Resultados!AL75,Resultados!AU75,Resultados!BD75,Resultados!BM75,Resultados!BV75,Resultados!CE75,Resultados!CN75,Resultados!CW75,Resultados!DF75,Resultados!DO75,Resultados!DX75)=0, "", AVERAGE(ABS(Resultados!B75),ABS(Resultados!K75),ABS(Resultados!T75),ABS(Resultados!AC75),ABS(Resultados!AL75),ABS(Resultados!AU75),ABS(Resultados!BD75),ABS(Resultados!BM75),ABS(Resultados!BV75),ABS(Resultados!CE75),ABS(Resultados!CN75),ABS(Resultados!CW75),ABS(Resultados!DF75),ABS(Resultados!DO75),ABS(Resultados!DX75)))</f>
        <v/>
      </c>
      <c r="C75">
        <f>IF(COUNT(Resultados!C75,Resultados!L75,Resultados!U75,Resultados!AD75,Resultados!AM75,Resultados!AV75,Resultados!BE75,Resultados!BN75,Resultados!BW75,Resultados!CF75,Resultados!CO75,Resultados!CX75,Resultados!DG75,Resultados!DP75,Resultados!DY75)=0, "", AVERAGE(ABS(Resultados!C75),ABS(Resultados!L75),ABS(Resultados!U75),ABS(Resultados!AD75),ABS(Resultados!AM75),ABS(Resultados!AV75),ABS(Resultados!BE75),ABS(Resultados!BN75),ABS(Resultados!BW75),ABS(Resultados!CF75),ABS(Resultados!CO75),ABS(Resultados!CX75),ABS(Resultados!DG75),ABS(Resultados!DP75),ABS(Resultados!DY75)))</f>
        <v>3</v>
      </c>
      <c r="D75">
        <f>IF(COUNT(Resultados!D75,Resultados!M75,Resultados!V75,Resultados!AE75,Resultados!AN75,Resultados!AW75,Resultados!BF75,Resultados!BO75,Resultados!BX75,Resultados!CG75,Resultados!CP75,Resultados!CY75,Resultados!DH75,Resultados!DQ75,Resultados!DZ75)=0, "", AVERAGE(ABS(Resultados!D75),ABS(Resultados!M75),ABS(Resultados!V75),ABS(Resultados!AE75),ABS(Resultados!AN75),ABS(Resultados!AW75),ABS(Resultados!BF75),ABS(Resultados!BO75),ABS(Resultados!BX75),ABS(Resultados!CG75),ABS(Resultados!CP75),ABS(Resultados!CY75),ABS(Resultados!DH75),ABS(Resultados!DQ75),ABS(Resultados!DZ75)))</f>
        <v>1.7839999999999998E-2</v>
      </c>
      <c r="E75">
        <f>IF(COUNT(Resultados!E75,Resultados!N75,Resultados!W75,Resultados!AF75,Resultados!AO75,Resultados!AX75,Resultados!BG75,Resultados!BP75,Resultados!BY75,Resultados!CH75,Resultados!CQ75,Resultados!CZ75,Resultados!DI75,Resultados!DR75,Resultados!EA75)=0, "", AVERAGE(ABS(Resultados!E75),ABS(Resultados!N75),ABS(Resultados!W75),ABS(Resultados!AF75),ABS(Resultados!AO75),ABS(Resultados!AX75),ABS(Resultados!BG75),ABS(Resultados!BP75),ABS(Resultados!BY75),ABS(Resultados!CH75),ABS(Resultados!CQ75),ABS(Resultados!CZ75),ABS(Resultados!DI75),ABS(Resultados!DR75),ABS(Resultados!EA75)))</f>
        <v>7.0245318497109128</v>
      </c>
      <c r="F75">
        <f>IF(COUNT(Resultados!F75,Resultados!O75,Resultados!X75,Resultados!AG75,Resultados!AP75,Resultados!AY75,Resultados!BH75,Resultados!BQ75,Resultados!BZ75,Resultados!CI75,Resultados!CR75,Resultados!DA75,Resultados!DJ75,Resultados!DS75,Resultados!EB75)=0, "", AVERAGE(ABS(Resultados!F75),ABS(Resultados!O75),ABS(Resultados!X75),ABS(Resultados!AG75),ABS(Resultados!AP75),ABS(Resultados!AY75),ABS(Resultados!BH75),ABS(Resultados!BQ75),ABS(Resultados!BZ75),ABS(Resultados!CI75),ABS(Resultados!CR75),ABS(Resultados!DA75),ABS(Resultados!DJ75),ABS(Resultados!DS75),ABS(Resultados!EB75)))</f>
        <v>709.63789975094426</v>
      </c>
      <c r="G75">
        <f>IF(COUNT(Resultados!G75,Resultados!P75,Resultados!Y75,Resultados!AH75,Resultados!AQ75,Resultados!AZ75,Resultados!BI75,Resultados!BR75,Resultados!CA75,Resultados!CJ75,Resultados!CS75,Resultados!DB75,Resultados!DK75,Resultados!DT75,Resultados!EC75)=0, "", AVERAGE(ABS(Resultados!G75),ABS(Resultados!P75),ABS(Resultados!Y75),ABS(Resultados!AH75),ABS(Resultados!AQ75),ABS(Resultados!AZ75),ABS(Resultados!BI75),ABS(Resultados!BR75),ABS(Resultados!CA75),ABS(Resultados!CJ75),ABS(Resultados!CS75),ABS(Resultados!DB75),ABS(Resultados!DK75),ABS(Resultados!DT75),ABS(Resultados!EC75)))</f>
        <v>0.42400000000000015</v>
      </c>
      <c r="H75">
        <f>IF(COUNT(Resultados!H75,Resultados!Q75,Resultados!Z75,Resultados!AI75,Resultados!AR75,Resultados!BA75,Resultados!BJ75,Resultados!BS75,Resultados!CB75,Resultados!CK75,Resultados!CT75,Resultados!DC75,Resultados!DL75,Resultados!DU75,Resultados!ED75)=0, "", AVERAGE(ABS(Resultados!H75),ABS(Resultados!Q75),ABS(Resultados!Z75),ABS(Resultados!AI75),ABS(Resultados!AR75),ABS(Resultados!BA75),ABS(Resultados!BJ75),ABS(Resultados!BS75),ABS(Resultados!CB75),ABS(Resultados!CK75),ABS(Resultados!CT75),ABS(Resultados!DC75),ABS(Resultados!DL75),ABS(Resultados!DU75),ABS(Resultados!ED75)))</f>
        <v>1.5993333333333328E-2</v>
      </c>
      <c r="I75">
        <f>IF(COUNT(Resultados!I75,Resultados!R75,Resultados!AA75,Resultados!AJ75,Resultados!AS75,Resultados!BB75,Resultados!BK75,Resultados!BT75,Resultados!CC75,Resultados!CL75,Resultados!CU75,Resultados!DD75,Resultados!DM75,Resultados!DV75,Resultados!EE75)=0, "", AVERAGE(ABS(Resultados!I75),ABS(Resultados!R75),ABS(Resultados!AA75),ABS(Resultados!AJ75),ABS(Resultados!AS75),ABS(Resultados!BB75),ABS(Resultados!BK75),ABS(Resultados!BT75),ABS(Resultados!CC75),ABS(Resultados!CL75),ABS(Resultados!CU75),ABS(Resultados!DD75),ABS(Resultados!DM75),ABS(Resultados!DV75),ABS(Resultados!EE75)))</f>
        <v>14.65254066666667</v>
      </c>
    </row>
    <row r="76" spans="1:9" x14ac:dyDescent="0.3">
      <c r="A76">
        <f>IF(COUNT(Resultados!A76,Resultados!J76,Resultados!S76,Resultados!AB76,Resultados!AK76,Resultados!AT76,Resultados!BC76,Resultados!BL76,Resultados!BU76,Resultados!CD76,Resultados!CM76,Resultados!CV76,Resultados!DE76,Resultados!DN76,Resultados!DW76)=0, "", AVERAGE(ABS(Resultados!A76),ABS(Resultados!J76),ABS(Resultados!S76),ABS(Resultados!AB76),ABS(Resultados!AK76),ABS(Resultados!AT76),ABS(Resultados!BC76),ABS(Resultados!BL76),ABS(Resultados!BU76),ABS(Resultados!CD76),ABS(Resultados!CM76),ABS(Resultados!CV76),ABS(Resultados!DE76),ABS(Resultados!DN76),ABS(Resultados!DW76)))</f>
        <v>45681</v>
      </c>
      <c r="B76" t="str">
        <f>IF(COUNT(Resultados!B76,Resultados!K76,Resultados!T76,Resultados!AC76,Resultados!AL76,Resultados!AU76,Resultados!BD76,Resultados!BM76,Resultados!BV76,Resultados!CE76,Resultados!CN76,Resultados!CW76,Resultados!DF76,Resultados!DO76,Resultados!DX76)=0, "", AVERAGE(ABS(Resultados!B76),ABS(Resultados!K76),ABS(Resultados!T76),ABS(Resultados!AC76),ABS(Resultados!AL76),ABS(Resultados!AU76),ABS(Resultados!BD76),ABS(Resultados!BM76),ABS(Resultados!BV76),ABS(Resultados!CE76),ABS(Resultados!CN76),ABS(Resultados!CW76),ABS(Resultados!DF76),ABS(Resultados!DO76),ABS(Resultados!DX76)))</f>
        <v/>
      </c>
      <c r="C76">
        <f>IF(COUNT(Resultados!C76,Resultados!L76,Resultados!U76,Resultados!AD76,Resultados!AM76,Resultados!AV76,Resultados!BE76,Resultados!BN76,Resultados!BW76,Resultados!CF76,Resultados!CO76,Resultados!CX76,Resultados!DG76,Resultados!DP76,Resultados!DY76)=0, "", AVERAGE(ABS(Resultados!C76),ABS(Resultados!L76),ABS(Resultados!U76),ABS(Resultados!AD76),ABS(Resultados!AM76),ABS(Resultados!AV76),ABS(Resultados!BE76),ABS(Resultados!BN76),ABS(Resultados!BW76),ABS(Resultados!CF76),ABS(Resultados!CO76),ABS(Resultados!CX76),ABS(Resultados!DG76),ABS(Resultados!DP76),ABS(Resultados!DY76)))</f>
        <v>3</v>
      </c>
      <c r="D76">
        <f>IF(COUNT(Resultados!D76,Resultados!M76,Resultados!V76,Resultados!AE76,Resultados!AN76,Resultados!AW76,Resultados!BF76,Resultados!BO76,Resultados!BX76,Resultados!CG76,Resultados!CP76,Resultados!CY76,Resultados!DH76,Resultados!DQ76,Resultados!DZ76)=0, "", AVERAGE(ABS(Resultados!D76),ABS(Resultados!M76),ABS(Resultados!V76),ABS(Resultados!AE76),ABS(Resultados!AN76),ABS(Resultados!AW76),ABS(Resultados!BF76),ABS(Resultados!BO76),ABS(Resultados!BX76),ABS(Resultados!CG76),ABS(Resultados!CP76),ABS(Resultados!CY76),ABS(Resultados!DH76),ABS(Resultados!DQ76),ABS(Resultados!DZ76)))</f>
        <v>1.7380000000000003E-2</v>
      </c>
      <c r="E76">
        <f>IF(COUNT(Resultados!E76,Resultados!N76,Resultados!W76,Resultados!AF76,Resultados!AO76,Resultados!AX76,Resultados!BG76,Resultados!BP76,Resultados!BY76,Resultados!CH76,Resultados!CQ76,Resultados!CZ76,Resultados!DI76,Resultados!DR76,Resultados!EA76)=0, "", AVERAGE(ABS(Resultados!E76),ABS(Resultados!N76),ABS(Resultados!W76),ABS(Resultados!AF76),ABS(Resultados!AO76),ABS(Resultados!AX76),ABS(Resultados!BG76),ABS(Resultados!BP76),ABS(Resultados!BY76),ABS(Resultados!CH76),ABS(Resultados!CQ76),ABS(Resultados!CZ76),ABS(Resultados!DI76),ABS(Resultados!DR76),ABS(Resultados!EA76)))</f>
        <v>6.8526325522955309</v>
      </c>
      <c r="F76">
        <f>IF(COUNT(Resultados!F76,Resultados!O76,Resultados!X76,Resultados!AG76,Resultados!AP76,Resultados!AY76,Resultados!BH76,Resultados!BQ76,Resultados!BZ76,Resultados!CI76,Resultados!CR76,Resultados!DA76,Resultados!DJ76,Resultados!DS76,Resultados!EB76)=0, "", AVERAGE(ABS(Resultados!F76),ABS(Resultados!O76),ABS(Resultados!X76),ABS(Resultados!AG76),ABS(Resultados!AP76),ABS(Resultados!AY76),ABS(Resultados!BH76),ABS(Resultados!BQ76),ABS(Resultados!BZ76),ABS(Resultados!CI76),ABS(Resultados!CR76),ABS(Resultados!DA76),ABS(Resultados!DJ76),ABS(Resultados!DS76),ABS(Resultados!EB76)))</f>
        <v>693.6276454388892</v>
      </c>
      <c r="G76">
        <f>IF(COUNT(Resultados!G76,Resultados!P76,Resultados!Y76,Resultados!AH76,Resultados!AQ76,Resultados!AZ76,Resultados!BI76,Resultados!BR76,Resultados!CA76,Resultados!CJ76,Resultados!CS76,Resultados!DB76,Resultados!DK76,Resultados!DT76,Resultados!EC76)=0, "", AVERAGE(ABS(Resultados!G76),ABS(Resultados!P76),ABS(Resultados!Y76),ABS(Resultados!AH76),ABS(Resultados!AQ76),ABS(Resultados!AZ76),ABS(Resultados!BI76),ABS(Resultados!BR76),ABS(Resultados!CA76),ABS(Resultados!CJ76),ABS(Resultados!CS76),ABS(Resultados!DB76),ABS(Resultados!DK76),ABS(Resultados!DT76),ABS(Resultados!EC76)))</f>
        <v>0.42400000000000015</v>
      </c>
      <c r="H76">
        <f>IF(COUNT(Resultados!H76,Resultados!Q76,Resultados!Z76,Resultados!AI76,Resultados!AR76,Resultados!BA76,Resultados!BJ76,Resultados!BS76,Resultados!CB76,Resultados!CK76,Resultados!CT76,Resultados!DC76,Resultados!DL76,Resultados!DU76,Resultados!ED76)=0, "", AVERAGE(ABS(Resultados!H76),ABS(Resultados!Q76),ABS(Resultados!Z76),ABS(Resultados!AI76),ABS(Resultados!AR76),ABS(Resultados!BA76),ABS(Resultados!BJ76),ABS(Resultados!BS76),ABS(Resultados!CB76),ABS(Resultados!CK76),ABS(Resultados!CT76),ABS(Resultados!DC76),ABS(Resultados!DL76),ABS(Resultados!DU76),ABS(Resultados!ED76)))</f>
        <v>1.332E-2</v>
      </c>
      <c r="I76">
        <f>IF(COUNT(Resultados!I76,Resultados!R76,Resultados!AA76,Resultados!AJ76,Resultados!AS76,Resultados!BB76,Resultados!BK76,Resultados!BT76,Resultados!CC76,Resultados!CL76,Resultados!CU76,Resultados!DD76,Resultados!DM76,Resultados!DV76,Resultados!EE76)=0, "", AVERAGE(ABS(Resultados!I76),ABS(Resultados!R76),ABS(Resultados!AA76),ABS(Resultados!AJ76),ABS(Resultados!AS76),ABS(Resultados!BB76),ABS(Resultados!BK76),ABS(Resultados!BT76),ABS(Resultados!CC76),ABS(Resultados!CL76),ABS(Resultados!CU76),ABS(Resultados!DD76),ABS(Resultados!DM76),ABS(Resultados!DV76),ABS(Resultados!EE76)))</f>
        <v>14.852013333333341</v>
      </c>
    </row>
    <row r="77" spans="1:9" x14ac:dyDescent="0.3">
      <c r="A77">
        <f>IF(COUNT(Resultados!A77,Resultados!J77,Resultados!S77,Resultados!AB77,Resultados!AK77,Resultados!AT77,Resultados!BC77,Resultados!BL77,Resultados!BU77,Resultados!CD77,Resultados!CM77,Resultados!CV77,Resultados!DE77,Resultados!DN77,Resultados!DW77)=0, "", AVERAGE(ABS(Resultados!A77),ABS(Resultados!J77),ABS(Resultados!S77),ABS(Resultados!AB77),ABS(Resultados!AK77),ABS(Resultados!AT77),ABS(Resultados!BC77),ABS(Resultados!BL77),ABS(Resultados!BU77),ABS(Resultados!CD77),ABS(Resultados!CM77),ABS(Resultados!CV77),ABS(Resultados!DE77),ABS(Resultados!DN77),ABS(Resultados!DW77)))</f>
        <v>45681</v>
      </c>
      <c r="B77" t="str">
        <f>IF(COUNT(Resultados!B77,Resultados!K77,Resultados!T77,Resultados!AC77,Resultados!AL77,Resultados!AU77,Resultados!BD77,Resultados!BM77,Resultados!BV77,Resultados!CE77,Resultados!CN77,Resultados!CW77,Resultados!DF77,Resultados!DO77,Resultados!DX77)=0, "", AVERAGE(ABS(Resultados!B77),ABS(Resultados!K77),ABS(Resultados!T77),ABS(Resultados!AC77),ABS(Resultados!AL77),ABS(Resultados!AU77),ABS(Resultados!BD77),ABS(Resultados!BM77),ABS(Resultados!BV77),ABS(Resultados!CE77),ABS(Resultados!CN77),ABS(Resultados!CW77),ABS(Resultados!DF77),ABS(Resultados!DO77),ABS(Resultados!DX77)))</f>
        <v/>
      </c>
      <c r="C77">
        <f>IF(COUNT(Resultados!C77,Resultados!L77,Resultados!U77,Resultados!AD77,Resultados!AM77,Resultados!AV77,Resultados!BE77,Resultados!BN77,Resultados!BW77,Resultados!CF77,Resultados!CO77,Resultados!CX77,Resultados!DG77,Resultados!DP77,Resultados!DY77)=0, "", AVERAGE(ABS(Resultados!C77),ABS(Resultados!L77),ABS(Resultados!U77),ABS(Resultados!AD77),ABS(Resultados!AM77),ABS(Resultados!AV77),ABS(Resultados!BE77),ABS(Resultados!BN77),ABS(Resultados!BW77),ABS(Resultados!CF77),ABS(Resultados!CO77),ABS(Resultados!CX77),ABS(Resultados!DG77),ABS(Resultados!DP77),ABS(Resultados!DY77)))</f>
        <v>3</v>
      </c>
      <c r="D77">
        <f>IF(COUNT(Resultados!D77,Resultados!M77,Resultados!V77,Resultados!AE77,Resultados!AN77,Resultados!AW77,Resultados!BF77,Resultados!BO77,Resultados!BX77,Resultados!CG77,Resultados!CP77,Resultados!CY77,Resultados!DH77,Resultados!DQ77,Resultados!DZ77)=0, "", AVERAGE(ABS(Resultados!D77),ABS(Resultados!M77),ABS(Resultados!V77),ABS(Resultados!AE77),ABS(Resultados!AN77),ABS(Resultados!AW77),ABS(Resultados!BF77),ABS(Resultados!BO77),ABS(Resultados!BX77),ABS(Resultados!CG77),ABS(Resultados!CP77),ABS(Resultados!CY77),ABS(Resultados!DH77),ABS(Resultados!DQ77),ABS(Resultados!DZ77)))</f>
        <v>1.6166666666666666E-2</v>
      </c>
      <c r="E77">
        <f>IF(COUNT(Resultados!E77,Resultados!N77,Resultados!W77,Resultados!AF77,Resultados!AO77,Resultados!AX77,Resultados!BG77,Resultados!BP77,Resultados!BY77,Resultados!CH77,Resultados!CQ77,Resultados!CZ77,Resultados!DI77,Resultados!DR77,Resultados!EA77)=0, "", AVERAGE(ABS(Resultados!E77),ABS(Resultados!N77),ABS(Resultados!W77),ABS(Resultados!AF77),ABS(Resultados!AO77),ABS(Resultados!AX77),ABS(Resultados!BG77),ABS(Resultados!BP77),ABS(Resultados!BY77),ABS(Resultados!CH77),ABS(Resultados!CQ77),ABS(Resultados!CZ77),ABS(Resultados!DI77),ABS(Resultados!DR77),ABS(Resultados!EA77)))</f>
        <v>6.6622947185111761</v>
      </c>
      <c r="F77">
        <f>IF(COUNT(Resultados!F77,Resultados!O77,Resultados!X77,Resultados!AG77,Resultados!AP77,Resultados!AY77,Resultados!BH77,Resultados!BQ77,Resultados!BZ77,Resultados!CI77,Resultados!CR77,Resultados!DA77,Resultados!DJ77,Resultados!DS77,Resultados!EB77)=0, "", AVERAGE(ABS(Resultados!F77),ABS(Resultados!O77),ABS(Resultados!X77),ABS(Resultados!AG77),ABS(Resultados!AP77),ABS(Resultados!AY77),ABS(Resultados!BH77),ABS(Resultados!BQ77),ABS(Resultados!BZ77),ABS(Resultados!CI77),ABS(Resultados!CR77),ABS(Resultados!DA77),ABS(Resultados!DJ77),ABS(Resultados!DS77),ABS(Resultados!EB77)))</f>
        <v>675.89189538363087</v>
      </c>
      <c r="G77">
        <f>IF(COUNT(Resultados!G77,Resultados!P77,Resultados!Y77,Resultados!AH77,Resultados!AQ77,Resultados!AZ77,Resultados!BI77,Resultados!BR77,Resultados!CA77,Resultados!CJ77,Resultados!CS77,Resultados!DB77,Resultados!DK77,Resultados!DT77,Resultados!EC77)=0, "", AVERAGE(ABS(Resultados!G77),ABS(Resultados!P77),ABS(Resultados!Y77),ABS(Resultados!AH77),ABS(Resultados!AQ77),ABS(Resultados!AZ77),ABS(Resultados!BI77),ABS(Resultados!BR77),ABS(Resultados!CA77),ABS(Resultados!CJ77),ABS(Resultados!CS77),ABS(Resultados!DB77),ABS(Resultados!DK77),ABS(Resultados!DT77),ABS(Resultados!EC77)))</f>
        <v>0.42400000000000015</v>
      </c>
      <c r="H77">
        <f>IF(COUNT(Resultados!H77,Resultados!Q77,Resultados!Z77,Resultados!AI77,Resultados!AR77,Resultados!BA77,Resultados!BJ77,Resultados!BS77,Resultados!CB77,Resultados!CK77,Resultados!CT77,Resultados!DC77,Resultados!DL77,Resultados!DU77,Resultados!ED77)=0, "", AVERAGE(ABS(Resultados!H77),ABS(Resultados!Q77),ABS(Resultados!Z77),ABS(Resultados!AI77),ABS(Resultados!AR77),ABS(Resultados!BA77),ABS(Resultados!BJ77),ABS(Resultados!BS77),ABS(Resultados!CB77),ABS(Resultados!CK77),ABS(Resultados!CT77),ABS(Resultados!DC77),ABS(Resultados!DL77),ABS(Resultados!DU77),ABS(Resultados!ED77)))</f>
        <v>1.0359999999999999E-2</v>
      </c>
      <c r="I77">
        <f>IF(COUNT(Resultados!I77,Resultados!R77,Resultados!AA77,Resultados!AJ77,Resultados!AS77,Resultados!BB77,Resultados!BK77,Resultados!BT77,Resultados!CC77,Resultados!CL77,Resultados!CU77,Resultados!DD77,Resultados!DM77,Resultados!DV77,Resultados!EE77)=0, "", AVERAGE(ABS(Resultados!I77),ABS(Resultados!R77),ABS(Resultados!AA77),ABS(Resultados!AJ77),ABS(Resultados!AS77),ABS(Resultados!BB77),ABS(Resultados!BK77),ABS(Resultados!BT77),ABS(Resultados!CC77),ABS(Resultados!CL77),ABS(Resultados!CU77),ABS(Resultados!DD77),ABS(Resultados!DM77),ABS(Resultados!DV77),ABS(Resultados!EE77)))</f>
        <v>15.052366666666671</v>
      </c>
    </row>
    <row r="78" spans="1:9" x14ac:dyDescent="0.3">
      <c r="A78">
        <f>IF(COUNT(Resultados!A78,Resultados!J78,Resultados!S78,Resultados!AB78,Resultados!AK78,Resultados!AT78,Resultados!BC78,Resultados!BL78,Resultados!BU78,Resultados!CD78,Resultados!CM78,Resultados!CV78,Resultados!DE78,Resultados!DN78,Resultados!DW78)=0, "", AVERAGE(ABS(Resultados!A78),ABS(Resultados!J78),ABS(Resultados!S78),ABS(Resultados!AB78),ABS(Resultados!AK78),ABS(Resultados!AT78),ABS(Resultados!BC78),ABS(Resultados!BL78),ABS(Resultados!BU78),ABS(Resultados!CD78),ABS(Resultados!CM78),ABS(Resultados!CV78),ABS(Resultados!DE78),ABS(Resultados!DN78),ABS(Resultados!DW78)))</f>
        <v>45681</v>
      </c>
      <c r="B78" t="str">
        <f>IF(COUNT(Resultados!B78,Resultados!K78,Resultados!T78,Resultados!AC78,Resultados!AL78,Resultados!AU78,Resultados!BD78,Resultados!BM78,Resultados!BV78,Resultados!CE78,Resultados!CN78,Resultados!CW78,Resultados!DF78,Resultados!DO78,Resultados!DX78)=0, "", AVERAGE(ABS(Resultados!B78),ABS(Resultados!K78),ABS(Resultados!T78),ABS(Resultados!AC78),ABS(Resultados!AL78),ABS(Resultados!AU78),ABS(Resultados!BD78),ABS(Resultados!BM78),ABS(Resultados!BV78),ABS(Resultados!CE78),ABS(Resultados!CN78),ABS(Resultados!CW78),ABS(Resultados!DF78),ABS(Resultados!DO78),ABS(Resultados!DX78)))</f>
        <v/>
      </c>
      <c r="C78">
        <f>IF(COUNT(Resultados!C78,Resultados!L78,Resultados!U78,Resultados!AD78,Resultados!AM78,Resultados!AV78,Resultados!BE78,Resultados!BN78,Resultados!BW78,Resultados!CF78,Resultados!CO78,Resultados!CX78,Resultados!DG78,Resultados!DP78,Resultados!DY78)=0, "", AVERAGE(ABS(Resultados!C78),ABS(Resultados!L78),ABS(Resultados!U78),ABS(Resultados!AD78),ABS(Resultados!AM78),ABS(Resultados!AV78),ABS(Resultados!BE78),ABS(Resultados!BN78),ABS(Resultados!BW78),ABS(Resultados!CF78),ABS(Resultados!CO78),ABS(Resultados!CX78),ABS(Resultados!DG78),ABS(Resultados!DP78),ABS(Resultados!DY78)))</f>
        <v>3</v>
      </c>
      <c r="D78">
        <f>IF(COUNT(Resultados!D78,Resultados!M78,Resultados!V78,Resultados!AE78,Resultados!AN78,Resultados!AW78,Resultados!BF78,Resultados!BO78,Resultados!BX78,Resultados!CG78,Resultados!CP78,Resultados!CY78,Resultados!DH78,Resultados!DQ78,Resultados!DZ78)=0, "", AVERAGE(ABS(Resultados!D78),ABS(Resultados!M78),ABS(Resultados!V78),ABS(Resultados!AE78),ABS(Resultados!AN78),ABS(Resultados!AW78),ABS(Resultados!BF78),ABS(Resultados!BO78),ABS(Resultados!BX78),ABS(Resultados!CG78),ABS(Resultados!CP78),ABS(Resultados!CY78),ABS(Resultados!DH78),ABS(Resultados!DQ78),ABS(Resultados!DZ78)))</f>
        <v>1.3800000000000002E-2</v>
      </c>
      <c r="E78">
        <f>IF(COUNT(Resultados!E78,Resultados!N78,Resultados!W78,Resultados!AF78,Resultados!AO78,Resultados!AX78,Resultados!BG78,Resultados!BP78,Resultados!BY78,Resultados!CH78,Resultados!CQ78,Resultados!CZ78,Resultados!DI78,Resultados!DR78,Resultados!EA78)=0, "", AVERAGE(ABS(Resultados!E78),ABS(Resultados!N78),ABS(Resultados!W78),ABS(Resultados!AF78),ABS(Resultados!AO78),ABS(Resultados!AX78),ABS(Resultados!BG78),ABS(Resultados!BP78),ABS(Resultados!BY78),ABS(Resultados!CH78),ABS(Resultados!CQ78),ABS(Resultados!CZ78),ABS(Resultados!DI78),ABS(Resultados!DR78),ABS(Resultados!EA78)))</f>
        <v>6.4734886288758169</v>
      </c>
      <c r="F78">
        <f>IF(COUNT(Resultados!F78,Resultados!O78,Resultados!X78,Resultados!AG78,Resultados!AP78,Resultados!AY78,Resultados!BH78,Resultados!BQ78,Resultados!BZ78,Resultados!CI78,Resultados!CR78,Resultados!DA78,Resultados!DJ78,Resultados!DS78,Resultados!EB78)=0, "", AVERAGE(ABS(Resultados!F78),ABS(Resultados!O78),ABS(Resultados!X78),ABS(Resultados!AG78),ABS(Resultados!AP78),ABS(Resultados!AY78),ABS(Resultados!BH78),ABS(Resultados!BQ78),ABS(Resultados!BZ78),ABS(Resultados!CI78),ABS(Resultados!CR78),ABS(Resultados!DA78),ABS(Resultados!DJ78),ABS(Resultados!DS78),ABS(Resultados!EB78)))</f>
        <v>651.32914021122633</v>
      </c>
      <c r="G78">
        <f>IF(COUNT(Resultados!G78,Resultados!P78,Resultados!Y78,Resultados!AH78,Resultados!AQ78,Resultados!AZ78,Resultados!BI78,Resultados!BR78,Resultados!CA78,Resultados!CJ78,Resultados!CS78,Resultados!DB78,Resultados!DK78,Resultados!DT78,Resultados!EC78)=0, "", AVERAGE(ABS(Resultados!G78),ABS(Resultados!P78),ABS(Resultados!Y78),ABS(Resultados!AH78),ABS(Resultados!AQ78),ABS(Resultados!AZ78),ABS(Resultados!BI78),ABS(Resultados!BR78),ABS(Resultados!CA78),ABS(Resultados!CJ78),ABS(Resultados!CS78),ABS(Resultados!DB78),ABS(Resultados!DK78),ABS(Resultados!DT78),ABS(Resultados!EC78)))</f>
        <v>0.42400000000000015</v>
      </c>
      <c r="H78">
        <f>IF(COUNT(Resultados!H78,Resultados!Q78,Resultados!Z78,Resultados!AI78,Resultados!AR78,Resultados!BA78,Resultados!BJ78,Resultados!BS78,Resultados!CB78,Resultados!CK78,Resultados!CT78,Resultados!DC78,Resultados!DL78,Resultados!DU78,Resultados!ED78)=0, "", AVERAGE(ABS(Resultados!H78),ABS(Resultados!Q78),ABS(Resultados!Z78),ABS(Resultados!AI78),ABS(Resultados!AR78),ABS(Resultados!BA78),ABS(Resultados!BJ78),ABS(Resultados!BS78),ABS(Resultados!CB78),ABS(Resultados!CK78),ABS(Resultados!CT78),ABS(Resultados!DC78),ABS(Resultados!DL78),ABS(Resultados!DU78),ABS(Resultados!ED78)))</f>
        <v>7.4266666666666665E-3</v>
      </c>
      <c r="I78">
        <f>IF(COUNT(Resultados!I78,Resultados!R78,Resultados!AA78,Resultados!AJ78,Resultados!AS78,Resultados!BB78,Resultados!BK78,Resultados!BT78,Resultados!CC78,Resultados!CL78,Resultados!CU78,Resultados!DD78,Resultados!DM78,Resultados!DV78,Resultados!EE78)=0, "", AVERAGE(ABS(Resultados!I78),ABS(Resultados!R78),ABS(Resultados!AA78),ABS(Resultados!AJ78),ABS(Resultados!AS78),ABS(Resultados!BB78),ABS(Resultados!BK78),ABS(Resultados!BT78),ABS(Resultados!CC78),ABS(Resultados!CL78),ABS(Resultados!CU78),ABS(Resultados!DD78),ABS(Resultados!DM78),ABS(Resultados!DV78),ABS(Resultados!EE78)))</f>
        <v>15.252112000000004</v>
      </c>
    </row>
    <row r="79" spans="1:9" x14ac:dyDescent="0.3">
      <c r="A79">
        <f>IF(COUNT(Resultados!A79,Resultados!J79,Resultados!S79,Resultados!AB79,Resultados!AK79,Resultados!AT79,Resultados!BC79,Resultados!BL79,Resultados!BU79,Resultados!CD79,Resultados!CM79,Resultados!CV79,Resultados!DE79,Resultados!DN79,Resultados!DW79)=0, "", AVERAGE(ABS(Resultados!A79),ABS(Resultados!J79),ABS(Resultados!S79),ABS(Resultados!AB79),ABS(Resultados!AK79),ABS(Resultados!AT79),ABS(Resultados!BC79),ABS(Resultados!BL79),ABS(Resultados!BU79),ABS(Resultados!CD79),ABS(Resultados!CM79),ABS(Resultados!CV79),ABS(Resultados!DE79),ABS(Resultados!DN79),ABS(Resultados!DW79)))</f>
        <v>45681</v>
      </c>
      <c r="B79" t="str">
        <f>IF(COUNT(Resultados!B79,Resultados!K79,Resultados!T79,Resultados!AC79,Resultados!AL79,Resultados!AU79,Resultados!BD79,Resultados!BM79,Resultados!BV79,Resultados!CE79,Resultados!CN79,Resultados!CW79,Resultados!DF79,Resultados!DO79,Resultados!DX79)=0, "", AVERAGE(ABS(Resultados!B79),ABS(Resultados!K79),ABS(Resultados!T79),ABS(Resultados!AC79),ABS(Resultados!AL79),ABS(Resultados!AU79),ABS(Resultados!BD79),ABS(Resultados!BM79),ABS(Resultados!BV79),ABS(Resultados!CE79),ABS(Resultados!CN79),ABS(Resultados!CW79),ABS(Resultados!DF79),ABS(Resultados!DO79),ABS(Resultados!DX79)))</f>
        <v/>
      </c>
      <c r="C79">
        <f>IF(COUNT(Resultados!C79,Resultados!L79,Resultados!U79,Resultados!AD79,Resultados!AM79,Resultados!AV79,Resultados!BE79,Resultados!BN79,Resultados!BW79,Resultados!CF79,Resultados!CO79,Resultados!CX79,Resultados!DG79,Resultados!DP79,Resultados!DY79)=0, "", AVERAGE(ABS(Resultados!C79),ABS(Resultados!L79),ABS(Resultados!U79),ABS(Resultados!AD79),ABS(Resultados!AM79),ABS(Resultados!AV79),ABS(Resultados!BE79),ABS(Resultados!BN79),ABS(Resultados!BW79),ABS(Resultados!CF79),ABS(Resultados!CO79),ABS(Resultados!CX79),ABS(Resultados!DG79),ABS(Resultados!DP79),ABS(Resultados!DY79)))</f>
        <v>3</v>
      </c>
      <c r="D79">
        <f>IF(COUNT(Resultados!D79,Resultados!M79,Resultados!V79,Resultados!AE79,Resultados!AN79,Resultados!AW79,Resultados!BF79,Resultados!BO79,Resultados!BX79,Resultados!CG79,Resultados!CP79,Resultados!CY79,Resultados!DH79,Resultados!DQ79,Resultados!DZ79)=0, "", AVERAGE(ABS(Resultados!D79),ABS(Resultados!M79),ABS(Resultados!V79),ABS(Resultados!AE79),ABS(Resultados!AN79),ABS(Resultados!AW79),ABS(Resultados!BF79),ABS(Resultados!BO79),ABS(Resultados!BX79),ABS(Resultados!CG79),ABS(Resultados!CP79),ABS(Resultados!CY79),ABS(Resultados!DH79),ABS(Resultados!DQ79),ABS(Resultados!DZ79)))</f>
        <v>1.0486666666666667E-2</v>
      </c>
      <c r="E79">
        <f>IF(COUNT(Resultados!E79,Resultados!N79,Resultados!W79,Resultados!AF79,Resultados!AO79,Resultados!AX79,Resultados!BG79,Resultados!BP79,Resultados!BY79,Resultados!CH79,Resultados!CQ79,Resultados!CZ79,Resultados!DI79,Resultados!DR79,Resultados!EA79)=0, "", AVERAGE(ABS(Resultados!E79),ABS(Resultados!N79),ABS(Resultados!W79),ABS(Resultados!AF79),ABS(Resultados!AO79),ABS(Resultados!AX79),ABS(Resultados!BG79),ABS(Resultados!BP79),ABS(Resultados!BY79),ABS(Resultados!CH79),ABS(Resultados!CQ79),ABS(Resultados!CZ79),ABS(Resultados!DI79),ABS(Resultados!DR79),ABS(Resultados!EA79)))</f>
        <v>6.3039761461129595</v>
      </c>
      <c r="F79">
        <f>IF(COUNT(Resultados!F79,Resultados!O79,Resultados!X79,Resultados!AG79,Resultados!AP79,Resultados!AY79,Resultados!BH79,Resultados!BQ79,Resultados!BZ79,Resultados!CI79,Resultados!CR79,Resultados!DA79,Resultados!DJ79,Resultados!DS79,Resultados!EB79)=0, "", AVERAGE(ABS(Resultados!F79),ABS(Resultados!O79),ABS(Resultados!X79),ABS(Resultados!AG79),ABS(Resultados!AP79),ABS(Resultados!AY79),ABS(Resultados!BH79),ABS(Resultados!BQ79),ABS(Resultados!BZ79),ABS(Resultados!CI79),ABS(Resultados!CR79),ABS(Resultados!DA79),ABS(Resultados!DJ79),ABS(Resultados!DS79),ABS(Resultados!EB79)))</f>
        <v>635.53057681772793</v>
      </c>
      <c r="G79">
        <f>IF(COUNT(Resultados!G79,Resultados!P79,Resultados!Y79,Resultados!AH79,Resultados!AQ79,Resultados!AZ79,Resultados!BI79,Resultados!BR79,Resultados!CA79,Resultados!CJ79,Resultados!CS79,Resultados!DB79,Resultados!DK79,Resultados!DT79,Resultados!EC79)=0, "", AVERAGE(ABS(Resultados!G79),ABS(Resultados!P79),ABS(Resultados!Y79),ABS(Resultados!AH79),ABS(Resultados!AQ79),ABS(Resultados!AZ79),ABS(Resultados!BI79),ABS(Resultados!BR79),ABS(Resultados!CA79),ABS(Resultados!CJ79),ABS(Resultados!CS79),ABS(Resultados!DB79),ABS(Resultados!DK79),ABS(Resultados!DT79),ABS(Resultados!EC79)))</f>
        <v>0.42400000000000015</v>
      </c>
      <c r="H79">
        <f>IF(COUNT(Resultados!H79,Resultados!Q79,Resultados!Z79,Resultados!AI79,Resultados!AR79,Resultados!BA79,Resultados!BJ79,Resultados!BS79,Resultados!CB79,Resultados!CK79,Resultados!CT79,Resultados!DC79,Resultados!DL79,Resultados!DU79,Resultados!ED79)=0, "", AVERAGE(ABS(Resultados!H79),ABS(Resultados!Q79),ABS(Resultados!Z79),ABS(Resultados!AI79),ABS(Resultados!AR79),ABS(Resultados!BA79),ABS(Resultados!BJ79),ABS(Resultados!BS79),ABS(Resultados!CB79),ABS(Resultados!CK79),ABS(Resultados!CT79),ABS(Resultados!DC79),ABS(Resultados!DL79),ABS(Resultados!DU79),ABS(Resultados!ED79)))</f>
        <v>4.7799999999999987E-3</v>
      </c>
      <c r="I79">
        <f>IF(COUNT(Resultados!I79,Resultados!R79,Resultados!AA79,Resultados!AJ79,Resultados!AS79,Resultados!BB79,Resultados!BK79,Resultados!BT79,Resultados!CC79,Resultados!CL79,Resultados!CU79,Resultados!DD79,Resultados!DM79,Resultados!DV79,Resultados!EE79)=0, "", AVERAGE(ABS(Resultados!I79),ABS(Resultados!R79),ABS(Resultados!AA79),ABS(Resultados!AJ79),ABS(Resultados!AS79),ABS(Resultados!BB79),ABS(Resultados!BK79),ABS(Resultados!BT79),ABS(Resultados!CC79),ABS(Resultados!CL79),ABS(Resultados!CU79),ABS(Resultados!DD79),ABS(Resultados!DM79),ABS(Resultados!DV79),ABS(Resultados!EE79)))</f>
        <v>15.451890000000002</v>
      </c>
    </row>
    <row r="80" spans="1:9" x14ac:dyDescent="0.3">
      <c r="A80">
        <f>IF(COUNT(Resultados!A80,Resultados!J80,Resultados!S80,Resultados!AB80,Resultados!AK80,Resultados!AT80,Resultados!BC80,Resultados!BL80,Resultados!BU80,Resultados!CD80,Resultados!CM80,Resultados!CV80,Resultados!DE80,Resultados!DN80,Resultados!DW80)=0, "", AVERAGE(ABS(Resultados!A80),ABS(Resultados!J80),ABS(Resultados!S80),ABS(Resultados!AB80),ABS(Resultados!AK80),ABS(Resultados!AT80),ABS(Resultados!BC80),ABS(Resultados!BL80),ABS(Resultados!BU80),ABS(Resultados!CD80),ABS(Resultados!CM80),ABS(Resultados!CV80),ABS(Resultados!DE80),ABS(Resultados!DN80),ABS(Resultados!DW80)))</f>
        <v>45681</v>
      </c>
      <c r="B80" t="str">
        <f>IF(COUNT(Resultados!B80,Resultados!K80,Resultados!T80,Resultados!AC80,Resultados!AL80,Resultados!AU80,Resultados!BD80,Resultados!BM80,Resultados!BV80,Resultados!CE80,Resultados!CN80,Resultados!CW80,Resultados!DF80,Resultados!DO80,Resultados!DX80)=0, "", AVERAGE(ABS(Resultados!B80),ABS(Resultados!K80),ABS(Resultados!T80),ABS(Resultados!AC80),ABS(Resultados!AL80),ABS(Resultados!AU80),ABS(Resultados!BD80),ABS(Resultados!BM80),ABS(Resultados!BV80),ABS(Resultados!CE80),ABS(Resultados!CN80),ABS(Resultados!CW80),ABS(Resultados!DF80),ABS(Resultados!DO80),ABS(Resultados!DX80)))</f>
        <v/>
      </c>
      <c r="C80">
        <f>IF(COUNT(Resultados!C80,Resultados!L80,Resultados!U80,Resultados!AD80,Resultados!AM80,Resultados!AV80,Resultados!BE80,Resultados!BN80,Resultados!BW80,Resultados!CF80,Resultados!CO80,Resultados!CX80,Resultados!DG80,Resultados!DP80,Resultados!DY80)=0, "", AVERAGE(ABS(Resultados!C80),ABS(Resultados!L80),ABS(Resultados!U80),ABS(Resultados!AD80),ABS(Resultados!AM80),ABS(Resultados!AV80),ABS(Resultados!BE80),ABS(Resultados!BN80),ABS(Resultados!BW80),ABS(Resultados!CF80),ABS(Resultados!CO80),ABS(Resultados!CX80),ABS(Resultados!DG80),ABS(Resultados!DP80),ABS(Resultados!DY80)))</f>
        <v>3</v>
      </c>
      <c r="D80">
        <f>IF(COUNT(Resultados!D80,Resultados!M80,Resultados!V80,Resultados!AE80,Resultados!AN80,Resultados!AW80,Resultados!BF80,Resultados!BO80,Resultados!BX80,Resultados!CG80,Resultados!CP80,Resultados!CY80,Resultados!DH80,Resultados!DQ80,Resultados!DZ80)=0, "", AVERAGE(ABS(Resultados!D80),ABS(Resultados!M80),ABS(Resultados!V80),ABS(Resultados!AE80),ABS(Resultados!AN80),ABS(Resultados!AW80),ABS(Resultados!BF80),ABS(Resultados!BO80),ABS(Resultados!BX80),ABS(Resultados!CG80),ABS(Resultados!CP80),ABS(Resultados!CY80),ABS(Resultados!DH80),ABS(Resultados!DQ80),ABS(Resultados!DZ80)))</f>
        <v>6.7400000000000003E-3</v>
      </c>
      <c r="E80">
        <f>IF(COUNT(Resultados!E80,Resultados!N80,Resultados!W80,Resultados!AF80,Resultados!AO80,Resultados!AX80,Resultados!BG80,Resultados!BP80,Resultados!BY80,Resultados!CH80,Resultados!CQ80,Resultados!CZ80,Resultados!DI80,Resultados!DR80,Resultados!EA80)=0, "", AVERAGE(ABS(Resultados!E80),ABS(Resultados!N80),ABS(Resultados!W80),ABS(Resultados!AF80),ABS(Resultados!AO80),ABS(Resultados!AX80),ABS(Resultados!BG80),ABS(Resultados!BP80),ABS(Resultados!BY80),ABS(Resultados!CH80),ABS(Resultados!CQ80),ABS(Resultados!CZ80),ABS(Resultados!DI80),ABS(Resultados!DR80),ABS(Resultados!EA80)))</f>
        <v>6.164219495389295</v>
      </c>
      <c r="F80">
        <f>IF(COUNT(Resultados!F80,Resultados!O80,Resultados!X80,Resultados!AG80,Resultados!AP80,Resultados!AY80,Resultados!BH80,Resultados!BQ80,Resultados!BZ80,Resultados!CI80,Resultados!CR80,Resultados!DA80,Resultados!DJ80,Resultados!DS80,Resultados!EB80)=0, "", AVERAGE(ABS(Resultados!F80),ABS(Resultados!O80),ABS(Resultados!X80),ABS(Resultados!AG80),ABS(Resultados!AP80),ABS(Resultados!AY80),ABS(Resultados!BH80),ABS(Resultados!BQ80),ABS(Resultados!BZ80),ABS(Resultados!CI80),ABS(Resultados!CR80),ABS(Resultados!DA80),ABS(Resultados!DJ80),ABS(Resultados!DS80),ABS(Resultados!EB80)))</f>
        <v>622.5052569702824</v>
      </c>
      <c r="G80">
        <f>IF(COUNT(Resultados!G80,Resultados!P80,Resultados!Y80,Resultados!AH80,Resultados!AQ80,Resultados!AZ80,Resultados!BI80,Resultados!BR80,Resultados!CA80,Resultados!CJ80,Resultados!CS80,Resultados!DB80,Resultados!DK80,Resultados!DT80,Resultados!EC80)=0, "", AVERAGE(ABS(Resultados!G80),ABS(Resultados!P80),ABS(Resultados!Y80),ABS(Resultados!AH80),ABS(Resultados!AQ80),ABS(Resultados!AZ80),ABS(Resultados!BI80),ABS(Resultados!BR80),ABS(Resultados!CA80),ABS(Resultados!CJ80),ABS(Resultados!CS80),ABS(Resultados!DB80),ABS(Resultados!DK80),ABS(Resultados!DT80),ABS(Resultados!EC80)))</f>
        <v>0.42400000000000015</v>
      </c>
      <c r="H80">
        <f>IF(COUNT(Resultados!H80,Resultados!Q80,Resultados!Z80,Resultados!AI80,Resultados!AR80,Resultados!BA80,Resultados!BJ80,Resultados!BS80,Resultados!CB80,Resultados!CK80,Resultados!CT80,Resultados!DC80,Resultados!DL80,Resultados!DU80,Resultados!ED80)=0, "", AVERAGE(ABS(Resultados!H80),ABS(Resultados!Q80),ABS(Resultados!Z80),ABS(Resultados!AI80),ABS(Resultados!AR80),ABS(Resultados!BA80),ABS(Resultados!BJ80),ABS(Resultados!BS80),ABS(Resultados!CB80),ABS(Resultados!CK80),ABS(Resultados!CT80),ABS(Resultados!DC80),ABS(Resultados!DL80),ABS(Resultados!DU80),ABS(Resultados!ED80)))</f>
        <v>2.6133333333333343E-3</v>
      </c>
      <c r="I80">
        <f>IF(COUNT(Resultados!I80,Resultados!R80,Resultados!AA80,Resultados!AJ80,Resultados!AS80,Resultados!BB80,Resultados!BK80,Resultados!BT80,Resultados!CC80,Resultados!CL80,Resultados!CU80,Resultados!DD80,Resultados!DM80,Resultados!DV80,Resultados!EE80)=0, "", AVERAGE(ABS(Resultados!I80),ABS(Resultados!R80),ABS(Resultados!AA80),ABS(Resultados!AJ80),ABS(Resultados!AS80),ABS(Resultados!BB80),ABS(Resultados!BK80),ABS(Resultados!BT80),ABS(Resultados!CC80),ABS(Resultados!CL80),ABS(Resultados!CU80),ABS(Resultados!DD80),ABS(Resultados!DM80),ABS(Resultados!DV80),ABS(Resultados!EE80)))</f>
        <v>15.66350333333334</v>
      </c>
    </row>
    <row r="81" spans="1:9" x14ac:dyDescent="0.3">
      <c r="A81">
        <f>IF(COUNT(Resultados!A81,Resultados!J81,Resultados!S81,Resultados!AB81,Resultados!AK81,Resultados!AT81,Resultados!BC81,Resultados!BL81,Resultados!BU81,Resultados!CD81,Resultados!CM81,Resultados!CV81,Resultados!DE81,Resultados!DN81,Resultados!DW81)=0, "", AVERAGE(ABS(Resultados!A81),ABS(Resultados!J81),ABS(Resultados!S81),ABS(Resultados!AB81),ABS(Resultados!AK81),ABS(Resultados!AT81),ABS(Resultados!BC81),ABS(Resultados!BL81),ABS(Resultados!BU81),ABS(Resultados!CD81),ABS(Resultados!CM81),ABS(Resultados!CV81),ABS(Resultados!DE81),ABS(Resultados!DN81),ABS(Resultados!DW81)))</f>
        <v>45681</v>
      </c>
      <c r="B81" t="str">
        <f>IF(COUNT(Resultados!B81,Resultados!K81,Resultados!T81,Resultados!AC81,Resultados!AL81,Resultados!AU81,Resultados!BD81,Resultados!BM81,Resultados!BV81,Resultados!CE81,Resultados!CN81,Resultados!CW81,Resultados!DF81,Resultados!DO81,Resultados!DX81)=0, "", AVERAGE(ABS(Resultados!B81),ABS(Resultados!K81),ABS(Resultados!T81),ABS(Resultados!AC81),ABS(Resultados!AL81),ABS(Resultados!AU81),ABS(Resultados!BD81),ABS(Resultados!BM81),ABS(Resultados!BV81),ABS(Resultados!CE81),ABS(Resultados!CN81),ABS(Resultados!CW81),ABS(Resultados!DF81),ABS(Resultados!DO81),ABS(Resultados!DX81)))</f>
        <v/>
      </c>
      <c r="C81">
        <f>IF(COUNT(Resultados!C81,Resultados!L81,Resultados!U81,Resultados!AD81,Resultados!AM81,Resultados!AV81,Resultados!BE81,Resultados!BN81,Resultados!BW81,Resultados!CF81,Resultados!CO81,Resultados!CX81,Resultados!DG81,Resultados!DP81,Resultados!DY81)=0, "", AVERAGE(ABS(Resultados!C81),ABS(Resultados!L81),ABS(Resultados!U81),ABS(Resultados!AD81),ABS(Resultados!AM81),ABS(Resultados!AV81),ABS(Resultados!BE81),ABS(Resultados!BN81),ABS(Resultados!BW81),ABS(Resultados!CF81),ABS(Resultados!CO81),ABS(Resultados!CX81),ABS(Resultados!DG81),ABS(Resultados!DP81),ABS(Resultados!DY81)))</f>
        <v>3</v>
      </c>
      <c r="D81">
        <f>IF(COUNT(Resultados!D81,Resultados!M81,Resultados!V81,Resultados!AE81,Resultados!AN81,Resultados!AW81,Resultados!BF81,Resultados!BO81,Resultados!BX81,Resultados!CG81,Resultados!CP81,Resultados!CY81,Resultados!DH81,Resultados!DQ81,Resultados!DZ81)=0, "", AVERAGE(ABS(Resultados!D81),ABS(Resultados!M81),ABS(Resultados!V81),ABS(Resultados!AE81),ABS(Resultados!AN81),ABS(Resultados!AW81),ABS(Resultados!BF81),ABS(Resultados!BO81),ABS(Resultados!BX81),ABS(Resultados!CG81),ABS(Resultados!CP81),ABS(Resultados!CY81),ABS(Resultados!DH81),ABS(Resultados!DQ81),ABS(Resultados!DZ81)))</f>
        <v>3.7400000000000003E-3</v>
      </c>
      <c r="E81">
        <f>IF(COUNT(Resultados!E81,Resultados!N81,Resultados!W81,Resultados!AF81,Resultados!AO81,Resultados!AX81,Resultados!BG81,Resultados!BP81,Resultados!BY81,Resultados!CH81,Resultados!CQ81,Resultados!CZ81,Resultados!DI81,Resultados!DR81,Resultados!EA81)=0, "", AVERAGE(ABS(Resultados!E81),ABS(Resultados!N81),ABS(Resultados!W81),ABS(Resultados!AF81),ABS(Resultados!AO81),ABS(Resultados!AX81),ABS(Resultados!BG81),ABS(Resultados!BP81),ABS(Resultados!BY81),ABS(Resultados!CH81),ABS(Resultados!CQ81),ABS(Resultados!CZ81),ABS(Resultados!DI81),ABS(Resultados!DR81),ABS(Resultados!EA81)))</f>
        <v>6.0855617867816978</v>
      </c>
      <c r="F81">
        <f>IF(COUNT(Resultados!F81,Resultados!O81,Resultados!X81,Resultados!AG81,Resultados!AP81,Resultados!AY81,Resultados!BH81,Resultados!BQ81,Resultados!BZ81,Resultados!CI81,Resultados!CR81,Resultados!DA81,Resultados!DJ81,Resultados!DS81,Resultados!EB81)=0, "", AVERAGE(ABS(Resultados!F81),ABS(Resultados!O81),ABS(Resultados!X81),ABS(Resultados!AG81),ABS(Resultados!AP81),ABS(Resultados!AY81),ABS(Resultados!BH81),ABS(Resultados!BQ81),ABS(Resultados!BZ81),ABS(Resultados!CI81),ABS(Resultados!CR81),ABS(Resultados!DA81),ABS(Resultados!DJ81),ABS(Resultados!DS81),ABS(Resultados!EB81)))</f>
        <v>628.80773780600452</v>
      </c>
      <c r="G81">
        <f>IF(COUNT(Resultados!G81,Resultados!P81,Resultados!Y81,Resultados!AH81,Resultados!AQ81,Resultados!AZ81,Resultados!BI81,Resultados!BR81,Resultados!CA81,Resultados!CJ81,Resultados!CS81,Resultados!DB81,Resultados!DK81,Resultados!DT81,Resultados!EC81)=0, "", AVERAGE(ABS(Resultados!G81),ABS(Resultados!P81),ABS(Resultados!Y81),ABS(Resultados!AH81),ABS(Resultados!AQ81),ABS(Resultados!AZ81),ABS(Resultados!BI81),ABS(Resultados!BR81),ABS(Resultados!CA81),ABS(Resultados!CJ81),ABS(Resultados!CS81),ABS(Resultados!DB81),ABS(Resultados!DK81),ABS(Resultados!DT81),ABS(Resultados!EC81)))</f>
        <v>0.42400000000000015</v>
      </c>
      <c r="H81">
        <f>IF(COUNT(Resultados!H81,Resultados!Q81,Resultados!Z81,Resultados!AI81,Resultados!AR81,Resultados!BA81,Resultados!BJ81,Resultados!BS81,Resultados!CB81,Resultados!CK81,Resultados!CT81,Resultados!DC81,Resultados!DL81,Resultados!DU81,Resultados!ED81)=0, "", AVERAGE(ABS(Resultados!H81),ABS(Resultados!Q81),ABS(Resultados!Z81),ABS(Resultados!AI81),ABS(Resultados!AR81),ABS(Resultados!BA81),ABS(Resultados!BJ81),ABS(Resultados!BS81),ABS(Resultados!CB81),ABS(Resultados!CK81),ABS(Resultados!CT81),ABS(Resultados!DC81),ABS(Resultados!DL81),ABS(Resultados!DU81),ABS(Resultados!ED81)))</f>
        <v>1.3800000000000004E-3</v>
      </c>
      <c r="I81">
        <f>IF(COUNT(Resultados!I81,Resultados!R81,Resultados!AA81,Resultados!AJ81,Resultados!AS81,Resultados!BB81,Resultados!BK81,Resultados!BT81,Resultados!CC81,Resultados!CL81,Resultados!CU81,Resultados!DD81,Resultados!DM81,Resultados!DV81,Resultados!EE81)=0, "", AVERAGE(ABS(Resultados!I81),ABS(Resultados!R81),ABS(Resultados!AA81),ABS(Resultados!AJ81),ABS(Resultados!AS81),ABS(Resultados!BB81),ABS(Resultados!BK81),ABS(Resultados!BT81),ABS(Resultados!CC81),ABS(Resultados!CL81),ABS(Resultados!CU81),ABS(Resultados!DD81),ABS(Resultados!DM81),ABS(Resultados!DV81),ABS(Resultados!EE81)))</f>
        <v>15.851742666666672</v>
      </c>
    </row>
    <row r="82" spans="1:9" x14ac:dyDescent="0.3">
      <c r="A82">
        <f>IF(COUNT(Resultados!A82,Resultados!J82,Resultados!S82,Resultados!AB82,Resultados!AK82,Resultados!AT82,Resultados!BC82,Resultados!BL82,Resultados!BU82,Resultados!CD82,Resultados!CM82,Resultados!CV82,Resultados!DE82,Resultados!DN82,Resultados!DW82)=0, "", AVERAGE(ABS(Resultados!A82),ABS(Resultados!J82),ABS(Resultados!S82),ABS(Resultados!AB82),ABS(Resultados!AK82),ABS(Resultados!AT82),ABS(Resultados!BC82),ABS(Resultados!BL82),ABS(Resultados!BU82),ABS(Resultados!CD82),ABS(Resultados!CM82),ABS(Resultados!CV82),ABS(Resultados!DE82),ABS(Resultados!DN82),ABS(Resultados!DW82)))</f>
        <v>45681</v>
      </c>
      <c r="B82" t="str">
        <f>IF(COUNT(Resultados!B82,Resultados!K82,Resultados!T82,Resultados!AC82,Resultados!AL82,Resultados!AU82,Resultados!BD82,Resultados!BM82,Resultados!BV82,Resultados!CE82,Resultados!CN82,Resultados!CW82,Resultados!DF82,Resultados!DO82,Resultados!DX82)=0, "", AVERAGE(ABS(Resultados!B82),ABS(Resultados!K82),ABS(Resultados!T82),ABS(Resultados!AC82),ABS(Resultados!AL82),ABS(Resultados!AU82),ABS(Resultados!BD82),ABS(Resultados!BM82),ABS(Resultados!BV82),ABS(Resultados!CE82),ABS(Resultados!CN82),ABS(Resultados!CW82),ABS(Resultados!DF82),ABS(Resultados!DO82),ABS(Resultados!DX82)))</f>
        <v/>
      </c>
      <c r="C82">
        <f>IF(COUNT(Resultados!C82,Resultados!L82,Resultados!U82,Resultados!AD82,Resultados!AM82,Resultados!AV82,Resultados!BE82,Resultados!BN82,Resultados!BW82,Resultados!CF82,Resultados!CO82,Resultados!CX82,Resultados!DG82,Resultados!DP82,Resultados!DY82)=0, "", AVERAGE(ABS(Resultados!C82),ABS(Resultados!L82),ABS(Resultados!U82),ABS(Resultados!AD82),ABS(Resultados!AM82),ABS(Resultados!AV82),ABS(Resultados!BE82),ABS(Resultados!BN82),ABS(Resultados!BW82),ABS(Resultados!CF82),ABS(Resultados!CO82),ABS(Resultados!CX82),ABS(Resultados!DG82),ABS(Resultados!DP82),ABS(Resultados!DY82)))</f>
        <v>3</v>
      </c>
      <c r="D82">
        <f>IF(COUNT(Resultados!D82,Resultados!M82,Resultados!V82,Resultados!AE82,Resultados!AN82,Resultados!AW82,Resultados!BF82,Resultados!BO82,Resultados!BX82,Resultados!CG82,Resultados!CP82,Resultados!CY82,Resultados!DH82,Resultados!DQ82,Resultados!DZ82)=0, "", AVERAGE(ABS(Resultados!D82),ABS(Resultados!M82),ABS(Resultados!V82),ABS(Resultados!AE82),ABS(Resultados!AN82),ABS(Resultados!AW82),ABS(Resultados!BF82),ABS(Resultados!BO82),ABS(Resultados!BX82),ABS(Resultados!CG82),ABS(Resultados!CP82),ABS(Resultados!CY82),ABS(Resultados!DH82),ABS(Resultados!DQ82),ABS(Resultados!DZ82)))</f>
        <v>2.0599999999999998E-3</v>
      </c>
      <c r="E82">
        <f>IF(COUNT(Resultados!E82,Resultados!N82,Resultados!W82,Resultados!AF82,Resultados!AO82,Resultados!AX82,Resultados!BG82,Resultados!BP82,Resultados!BY82,Resultados!CH82,Resultados!CQ82,Resultados!CZ82,Resultados!DI82,Resultados!DR82,Resultados!EA82)=0, "", AVERAGE(ABS(Resultados!E82),ABS(Resultados!N82),ABS(Resultados!W82),ABS(Resultados!AF82),ABS(Resultados!AO82),ABS(Resultados!AX82),ABS(Resultados!BG82),ABS(Resultados!BP82),ABS(Resultados!BY82),ABS(Resultados!CH82),ABS(Resultados!CQ82),ABS(Resultados!CZ82),ABS(Resultados!DI82),ABS(Resultados!DR82),ABS(Resultados!EA82)))</f>
        <v>6.058109279614567</v>
      </c>
      <c r="F82">
        <f>IF(COUNT(Resultados!F82,Resultados!O82,Resultados!X82,Resultados!AG82,Resultados!AP82,Resultados!AY82,Resultados!BH82,Resultados!BQ82,Resultados!BZ82,Resultados!CI82,Resultados!CR82,Resultados!DA82,Resultados!DJ82,Resultados!DS82,Resultados!EB82)=0, "", AVERAGE(ABS(Resultados!F82),ABS(Resultados!O82),ABS(Resultados!X82),ABS(Resultados!AG82),ABS(Resultados!AP82),ABS(Resultados!AY82),ABS(Resultados!BH82),ABS(Resultados!BQ82),ABS(Resultados!BZ82),ABS(Resultados!CI82),ABS(Resultados!CR82),ABS(Resultados!DA82),ABS(Resultados!DJ82),ABS(Resultados!DS82),ABS(Resultados!EB82)))</f>
        <v>626.27110672466745</v>
      </c>
      <c r="G82">
        <f>IF(COUNT(Resultados!G82,Resultados!P82,Resultados!Y82,Resultados!AH82,Resultados!AQ82,Resultados!AZ82,Resultados!BI82,Resultados!BR82,Resultados!CA82,Resultados!CJ82,Resultados!CS82,Resultados!DB82,Resultados!DK82,Resultados!DT82,Resultados!EC82)=0, "", AVERAGE(ABS(Resultados!G82),ABS(Resultados!P82),ABS(Resultados!Y82),ABS(Resultados!AH82),ABS(Resultados!AQ82),ABS(Resultados!AZ82),ABS(Resultados!BI82),ABS(Resultados!BR82),ABS(Resultados!CA82),ABS(Resultados!CJ82),ABS(Resultados!CS82),ABS(Resultados!DB82),ABS(Resultados!DK82),ABS(Resultados!DT82),ABS(Resultados!EC82)))</f>
        <v>0.42400000000000015</v>
      </c>
      <c r="H82">
        <f>IF(COUNT(Resultados!H82,Resultados!Q82,Resultados!Z82,Resultados!AI82,Resultados!AR82,Resultados!BA82,Resultados!BJ82,Resultados!BS82,Resultados!CB82,Resultados!CK82,Resultados!CT82,Resultados!DC82,Resultados!DL82,Resultados!DU82,Resultados!ED82)=0, "", AVERAGE(ABS(Resultados!H82),ABS(Resultados!Q82),ABS(Resultados!Z82),ABS(Resultados!AI82),ABS(Resultados!AR82),ABS(Resultados!BA82),ABS(Resultados!BJ82),ABS(Resultados!BS82),ABS(Resultados!CB82),ABS(Resultados!CK82),ABS(Resultados!CT82),ABS(Resultados!DC82),ABS(Resultados!DL82),ABS(Resultados!DU82),ABS(Resultados!ED82)))</f>
        <v>9.6666666666666667E-4</v>
      </c>
      <c r="I82">
        <f>IF(COUNT(Resultados!I82,Resultados!R82,Resultados!AA82,Resultados!AJ82,Resultados!AS82,Resultados!BB82,Resultados!BK82,Resultados!BT82,Resultados!CC82,Resultados!CL82,Resultados!CU82,Resultados!DD82,Resultados!DM82,Resultados!DV82,Resultados!EE82)=0, "", AVERAGE(ABS(Resultados!I82),ABS(Resultados!R82),ABS(Resultados!AA82),ABS(Resultados!AJ82),ABS(Resultados!AS82),ABS(Resultados!BB82),ABS(Resultados!BK82),ABS(Resultados!BT82),ABS(Resultados!CC82),ABS(Resultados!CL82),ABS(Resultados!CU82),ABS(Resultados!DD82),ABS(Resultados!DM82),ABS(Resultados!DV82),ABS(Resultados!EE82)))</f>
        <v>16.052232666666672</v>
      </c>
    </row>
    <row r="83" spans="1:9" x14ac:dyDescent="0.3">
      <c r="A83">
        <f>IF(COUNT(Resultados!A83,Resultados!J83,Resultados!S83,Resultados!AB83,Resultados!AK83,Resultados!AT83,Resultados!BC83,Resultados!BL83,Resultados!BU83,Resultados!CD83,Resultados!CM83,Resultados!CV83,Resultados!DE83,Resultados!DN83,Resultados!DW83)=0, "", AVERAGE(ABS(Resultados!A83),ABS(Resultados!J83),ABS(Resultados!S83),ABS(Resultados!AB83),ABS(Resultados!AK83),ABS(Resultados!AT83),ABS(Resultados!BC83),ABS(Resultados!BL83),ABS(Resultados!BU83),ABS(Resultados!CD83),ABS(Resultados!CM83),ABS(Resultados!CV83),ABS(Resultados!DE83),ABS(Resultados!DN83),ABS(Resultados!DW83)))</f>
        <v>45681</v>
      </c>
      <c r="B83" t="str">
        <f>IF(COUNT(Resultados!B83,Resultados!K83,Resultados!T83,Resultados!AC83,Resultados!AL83,Resultados!AU83,Resultados!BD83,Resultados!BM83,Resultados!BV83,Resultados!CE83,Resultados!CN83,Resultados!CW83,Resultados!DF83,Resultados!DO83,Resultados!DX83)=0, "", AVERAGE(ABS(Resultados!B83),ABS(Resultados!K83),ABS(Resultados!T83),ABS(Resultados!AC83),ABS(Resultados!AL83),ABS(Resultados!AU83),ABS(Resultados!BD83),ABS(Resultados!BM83),ABS(Resultados!BV83),ABS(Resultados!CE83),ABS(Resultados!CN83),ABS(Resultados!CW83),ABS(Resultados!DF83),ABS(Resultados!DO83),ABS(Resultados!DX83)))</f>
        <v/>
      </c>
      <c r="C83">
        <f>IF(COUNT(Resultados!C83,Resultados!L83,Resultados!U83,Resultados!AD83,Resultados!AM83,Resultados!AV83,Resultados!BE83,Resultados!BN83,Resultados!BW83,Resultados!CF83,Resultados!CO83,Resultados!CX83,Resultados!DG83,Resultados!DP83,Resultados!DY83)=0, "", AVERAGE(ABS(Resultados!C83),ABS(Resultados!L83),ABS(Resultados!U83),ABS(Resultados!AD83),ABS(Resultados!AM83),ABS(Resultados!AV83),ABS(Resultados!BE83),ABS(Resultados!BN83),ABS(Resultados!BW83),ABS(Resultados!CF83),ABS(Resultados!CO83),ABS(Resultados!CX83),ABS(Resultados!DG83),ABS(Resultados!DP83),ABS(Resultados!DY83)))</f>
        <v>3</v>
      </c>
      <c r="D83">
        <f>IF(COUNT(Resultados!D83,Resultados!M83,Resultados!V83,Resultados!AE83,Resultados!AN83,Resultados!AW83,Resultados!BF83,Resultados!BO83,Resultados!BX83,Resultados!CG83,Resultados!CP83,Resultados!CY83,Resultados!DH83,Resultados!DQ83,Resultados!DZ83)=0, "", AVERAGE(ABS(Resultados!D83),ABS(Resultados!M83),ABS(Resultados!V83),ABS(Resultados!AE83),ABS(Resultados!AN83),ABS(Resultados!AW83),ABS(Resultados!BF83),ABS(Resultados!BO83),ABS(Resultados!BX83),ABS(Resultados!CG83),ABS(Resultados!CP83),ABS(Resultados!CY83),ABS(Resultados!DH83),ABS(Resultados!DQ83),ABS(Resultados!DZ83)))</f>
        <v>1.3466666666666666E-3</v>
      </c>
      <c r="E83">
        <f>IF(COUNT(Resultados!E83,Resultados!N83,Resultados!W83,Resultados!AF83,Resultados!AO83,Resultados!AX83,Resultados!BG83,Resultados!BP83,Resultados!BY83,Resultados!CH83,Resultados!CQ83,Resultados!CZ83,Resultados!DI83,Resultados!DR83,Resultados!EA83)=0, "", AVERAGE(ABS(Resultados!E83),ABS(Resultados!N83),ABS(Resultados!W83),ABS(Resultados!AF83),ABS(Resultados!AO83),ABS(Resultados!AX83),ABS(Resultados!BG83),ABS(Resultados!BP83),ABS(Resultados!BY83),ABS(Resultados!CH83),ABS(Resultados!CQ83),ABS(Resultados!CZ83),ABS(Resultados!DI83),ABS(Resultados!DR83),ABS(Resultados!EA83)))</f>
        <v>6.0908177351673238</v>
      </c>
      <c r="F83">
        <f>IF(COUNT(Resultados!F83,Resultados!O83,Resultados!X83,Resultados!AG83,Resultados!AP83,Resultados!AY83,Resultados!BH83,Resultados!BQ83,Resultados!BZ83,Resultados!CI83,Resultados!CR83,Resultados!DA83,Resultados!DJ83,Resultados!DS83,Resultados!EB83)=0, "", AVERAGE(ABS(Resultados!F83),ABS(Resultados!O83),ABS(Resultados!X83),ABS(Resultados!AG83),ABS(Resultados!AP83),ABS(Resultados!AY83),ABS(Resultados!BH83),ABS(Resultados!BQ83),ABS(Resultados!BZ83),ABS(Resultados!CI83),ABS(Resultados!CR83),ABS(Resultados!DA83),ABS(Resultados!DJ83),ABS(Resultados!DS83),ABS(Resultados!EB83)))</f>
        <v>711.15306159711679</v>
      </c>
      <c r="G83">
        <f>IF(COUNT(Resultados!G83,Resultados!P83,Resultados!Y83,Resultados!AH83,Resultados!AQ83,Resultados!AZ83,Resultados!BI83,Resultados!BR83,Resultados!CA83,Resultados!CJ83,Resultados!CS83,Resultados!DB83,Resultados!DK83,Resultados!DT83,Resultados!EC83)=0, "", AVERAGE(ABS(Resultados!G83),ABS(Resultados!P83),ABS(Resultados!Y83),ABS(Resultados!AH83),ABS(Resultados!AQ83),ABS(Resultados!AZ83),ABS(Resultados!BI83),ABS(Resultados!BR83),ABS(Resultados!CA83),ABS(Resultados!CJ83),ABS(Resultados!CS83),ABS(Resultados!DB83),ABS(Resultados!DK83),ABS(Resultados!DT83),ABS(Resultados!EC83)))</f>
        <v>0.42400000000000015</v>
      </c>
      <c r="H83">
        <f>IF(COUNT(Resultados!H83,Resultados!Q83,Resultados!Z83,Resultados!AI83,Resultados!AR83,Resultados!BA83,Resultados!BJ83,Resultados!BS83,Resultados!CB83,Resultados!CK83,Resultados!CT83,Resultados!DC83,Resultados!DL83,Resultados!DU83,Resultados!ED83)=0, "", AVERAGE(ABS(Resultados!H83),ABS(Resultados!Q83),ABS(Resultados!Z83),ABS(Resultados!AI83),ABS(Resultados!AR83),ABS(Resultados!BA83),ABS(Resultados!BJ83),ABS(Resultados!BS83),ABS(Resultados!CB83),ABS(Resultados!CK83),ABS(Resultados!CT83),ABS(Resultados!DC83),ABS(Resultados!DL83),ABS(Resultados!DU83),ABS(Resultados!ED83)))</f>
        <v>1.4600000000000004E-3</v>
      </c>
      <c r="I83">
        <f>IF(COUNT(Resultados!I83,Resultados!R83,Resultados!AA83,Resultados!AJ83,Resultados!AS83,Resultados!BB83,Resultados!BK83,Resultados!BT83,Resultados!CC83,Resultados!CL83,Resultados!CU83,Resultados!DD83,Resultados!DM83,Resultados!DV83,Resultados!EE83)=0, "", AVERAGE(ABS(Resultados!I83),ABS(Resultados!R83),ABS(Resultados!AA83),ABS(Resultados!AJ83),ABS(Resultados!AS83),ABS(Resultados!BB83),ABS(Resultados!BK83),ABS(Resultados!BT83),ABS(Resultados!CC83),ABS(Resultados!CL83),ABS(Resultados!CU83),ABS(Resultados!DD83),ABS(Resultados!DM83),ABS(Resultados!DV83),ABS(Resultados!EE83)))</f>
        <v>16.252062000000002</v>
      </c>
    </row>
    <row r="84" spans="1:9" x14ac:dyDescent="0.3">
      <c r="A84">
        <f>IF(COUNT(Resultados!A84,Resultados!J84,Resultados!S84,Resultados!AB84,Resultados!AK84,Resultados!AT84,Resultados!BC84,Resultados!BL84,Resultados!BU84,Resultados!CD84,Resultados!CM84,Resultados!CV84,Resultados!DE84,Resultados!DN84,Resultados!DW84)=0, "", AVERAGE(ABS(Resultados!A84),ABS(Resultados!J84),ABS(Resultados!S84),ABS(Resultados!AB84),ABS(Resultados!AK84),ABS(Resultados!AT84),ABS(Resultados!BC84),ABS(Resultados!BL84),ABS(Resultados!BU84),ABS(Resultados!CD84),ABS(Resultados!CM84),ABS(Resultados!CV84),ABS(Resultados!DE84),ABS(Resultados!DN84),ABS(Resultados!DW84)))</f>
        <v>45681</v>
      </c>
      <c r="B84" t="str">
        <f>IF(COUNT(Resultados!B84,Resultados!K84,Resultados!T84,Resultados!AC84,Resultados!AL84,Resultados!AU84,Resultados!BD84,Resultados!BM84,Resultados!BV84,Resultados!CE84,Resultados!CN84,Resultados!CW84,Resultados!DF84,Resultados!DO84,Resultados!DX84)=0, "", AVERAGE(ABS(Resultados!B84),ABS(Resultados!K84),ABS(Resultados!T84),ABS(Resultados!AC84),ABS(Resultados!AL84),ABS(Resultados!AU84),ABS(Resultados!BD84),ABS(Resultados!BM84),ABS(Resultados!BV84),ABS(Resultados!CE84),ABS(Resultados!CN84),ABS(Resultados!CW84),ABS(Resultados!DF84),ABS(Resultados!DO84),ABS(Resultados!DX84)))</f>
        <v/>
      </c>
      <c r="C84">
        <f>IF(COUNT(Resultados!C84,Resultados!L84,Resultados!U84,Resultados!AD84,Resultados!AM84,Resultados!AV84,Resultados!BE84,Resultados!BN84,Resultados!BW84,Resultados!CF84,Resultados!CO84,Resultados!CX84,Resultados!DG84,Resultados!DP84,Resultados!DY84)=0, "", AVERAGE(ABS(Resultados!C84),ABS(Resultados!L84),ABS(Resultados!U84),ABS(Resultados!AD84),ABS(Resultados!AM84),ABS(Resultados!AV84),ABS(Resultados!BE84),ABS(Resultados!BN84),ABS(Resultados!BW84),ABS(Resultados!CF84),ABS(Resultados!CO84),ABS(Resultados!CX84),ABS(Resultados!DG84),ABS(Resultados!DP84),ABS(Resultados!DY84)))</f>
        <v>3</v>
      </c>
      <c r="D84">
        <f>IF(COUNT(Resultados!D84,Resultados!M84,Resultados!V84,Resultados!AE84,Resultados!AN84,Resultados!AW84,Resultados!BF84,Resultados!BO84,Resultados!BX84,Resultados!CG84,Resultados!CP84,Resultados!CY84,Resultados!DH84,Resultados!DQ84,Resultados!DZ84)=0, "", AVERAGE(ABS(Resultados!D84),ABS(Resultados!M84),ABS(Resultados!V84),ABS(Resultados!AE84),ABS(Resultados!AN84),ABS(Resultados!AW84),ABS(Resultados!BF84),ABS(Resultados!BO84),ABS(Resultados!BX84),ABS(Resultados!CG84),ABS(Resultados!CP84),ABS(Resultados!CY84),ABS(Resultados!DH84),ABS(Resultados!DQ84),ABS(Resultados!DZ84)))</f>
        <v>1.4333333333333336E-3</v>
      </c>
      <c r="E84">
        <f>IF(COUNT(Resultados!E84,Resultados!N84,Resultados!W84,Resultados!AF84,Resultados!AO84,Resultados!AX84,Resultados!BG84,Resultados!BP84,Resultados!BY84,Resultados!CH84,Resultados!CQ84,Resultados!CZ84,Resultados!DI84,Resultados!DR84,Resultados!EA84)=0, "", AVERAGE(ABS(Resultados!E84),ABS(Resultados!N84),ABS(Resultados!W84),ABS(Resultados!AF84),ABS(Resultados!AO84),ABS(Resultados!AX84),ABS(Resultados!BG84),ABS(Resultados!BP84),ABS(Resultados!BY84),ABS(Resultados!CH84),ABS(Resultados!CQ84),ABS(Resultados!CZ84),ABS(Resultados!DI84),ABS(Resultados!DR84),ABS(Resultados!EA84)))</f>
        <v>6.1805203635598236</v>
      </c>
      <c r="F84">
        <f>IF(COUNT(Resultados!F84,Resultados!O84,Resultados!X84,Resultados!AG84,Resultados!AP84,Resultados!AY84,Resultados!BH84,Resultados!BQ84,Resultados!BZ84,Resultados!CI84,Resultados!CR84,Resultados!DA84,Resultados!DJ84,Resultados!DS84,Resultados!EB84)=0, "", AVERAGE(ABS(Resultados!F84),ABS(Resultados!O84),ABS(Resultados!X84),ABS(Resultados!AG84),ABS(Resultados!AP84),ABS(Resultados!AY84),ABS(Resultados!BH84),ABS(Resultados!BQ84),ABS(Resultados!BZ84),ABS(Resultados!CI84),ABS(Resultados!CR84),ABS(Resultados!DA84),ABS(Resultados!DJ84),ABS(Resultados!DS84),ABS(Resultados!EB84)))</f>
        <v>719.68719862376668</v>
      </c>
      <c r="G84">
        <f>IF(COUNT(Resultados!G84,Resultados!P84,Resultados!Y84,Resultados!AH84,Resultados!AQ84,Resultados!AZ84,Resultados!BI84,Resultados!BR84,Resultados!CA84,Resultados!CJ84,Resultados!CS84,Resultados!DB84,Resultados!DK84,Resultados!DT84,Resultados!EC84)=0, "", AVERAGE(ABS(Resultados!G84),ABS(Resultados!P84),ABS(Resultados!Y84),ABS(Resultados!AH84),ABS(Resultados!AQ84),ABS(Resultados!AZ84),ABS(Resultados!BI84),ABS(Resultados!BR84),ABS(Resultados!CA84),ABS(Resultados!CJ84),ABS(Resultados!CS84),ABS(Resultados!DB84),ABS(Resultados!DK84),ABS(Resultados!DT84),ABS(Resultados!EC84)))</f>
        <v>0.42400000000000015</v>
      </c>
      <c r="H84">
        <f>IF(COUNT(Resultados!H84,Resultados!Q84,Resultados!Z84,Resultados!AI84,Resultados!AR84,Resultados!BA84,Resultados!BJ84,Resultados!BS84,Resultados!CB84,Resultados!CK84,Resultados!CT84,Resultados!DC84,Resultados!DL84,Resultados!DU84,Resultados!ED84)=0, "", AVERAGE(ABS(Resultados!H84),ABS(Resultados!Q84),ABS(Resultados!Z84),ABS(Resultados!AI84),ABS(Resultados!AR84),ABS(Resultados!BA84),ABS(Resultados!BJ84),ABS(Resultados!BS84),ABS(Resultados!CB84),ABS(Resultados!CK84),ABS(Resultados!CT84),ABS(Resultados!DC84),ABS(Resultados!DL84),ABS(Resultados!DU84),ABS(Resultados!ED84)))</f>
        <v>2.8666666666666675E-3</v>
      </c>
      <c r="I84">
        <f>IF(COUNT(Resultados!I84,Resultados!R84,Resultados!AA84,Resultados!AJ84,Resultados!AS84,Resultados!BB84,Resultados!BK84,Resultados!BT84,Resultados!CC84,Resultados!CL84,Resultados!CU84,Resultados!DD84,Resultados!DM84,Resultados!DV84,Resultados!EE84)=0, "", AVERAGE(ABS(Resultados!I84),ABS(Resultados!R84),ABS(Resultados!AA84),ABS(Resultados!AJ84),ABS(Resultados!AS84),ABS(Resultados!BB84),ABS(Resultados!BK84),ABS(Resultados!BT84),ABS(Resultados!CC84),ABS(Resultados!CL84),ABS(Resultados!CU84),ABS(Resultados!DD84),ABS(Resultados!DM84),ABS(Resultados!DV84),ABS(Resultados!EE84)))</f>
        <v>16.452348666666673</v>
      </c>
    </row>
    <row r="85" spans="1:9" x14ac:dyDescent="0.3">
      <c r="A85">
        <f>IF(COUNT(Resultados!A85,Resultados!J85,Resultados!S85,Resultados!AB85,Resultados!AK85,Resultados!AT85,Resultados!BC85,Resultados!BL85,Resultados!BU85,Resultados!CD85,Resultados!CM85,Resultados!CV85,Resultados!DE85,Resultados!DN85,Resultados!DW85)=0, "", AVERAGE(ABS(Resultados!A85),ABS(Resultados!J85),ABS(Resultados!S85),ABS(Resultados!AB85),ABS(Resultados!AK85),ABS(Resultados!AT85),ABS(Resultados!BC85),ABS(Resultados!BL85),ABS(Resultados!BU85),ABS(Resultados!CD85),ABS(Resultados!CM85),ABS(Resultados!CV85),ABS(Resultados!DE85),ABS(Resultados!DN85),ABS(Resultados!DW85)))</f>
        <v>45681</v>
      </c>
      <c r="B85" t="str">
        <f>IF(COUNT(Resultados!B85,Resultados!K85,Resultados!T85,Resultados!AC85,Resultados!AL85,Resultados!AU85,Resultados!BD85,Resultados!BM85,Resultados!BV85,Resultados!CE85,Resultados!CN85,Resultados!CW85,Resultados!DF85,Resultados!DO85,Resultados!DX85)=0, "", AVERAGE(ABS(Resultados!B85),ABS(Resultados!K85),ABS(Resultados!T85),ABS(Resultados!AC85),ABS(Resultados!AL85),ABS(Resultados!AU85),ABS(Resultados!BD85),ABS(Resultados!BM85),ABS(Resultados!BV85),ABS(Resultados!CE85),ABS(Resultados!CN85),ABS(Resultados!CW85),ABS(Resultados!DF85),ABS(Resultados!DO85),ABS(Resultados!DX85)))</f>
        <v/>
      </c>
      <c r="C85">
        <f>IF(COUNT(Resultados!C85,Resultados!L85,Resultados!U85,Resultados!AD85,Resultados!AM85,Resultados!AV85,Resultados!BE85,Resultados!BN85,Resultados!BW85,Resultados!CF85,Resultados!CO85,Resultados!CX85,Resultados!DG85,Resultados!DP85,Resultados!DY85)=0, "", AVERAGE(ABS(Resultados!C85),ABS(Resultados!L85),ABS(Resultados!U85),ABS(Resultados!AD85),ABS(Resultados!AM85),ABS(Resultados!AV85),ABS(Resultados!BE85),ABS(Resultados!BN85),ABS(Resultados!BW85),ABS(Resultados!CF85),ABS(Resultados!CO85),ABS(Resultados!CX85),ABS(Resultados!DG85),ABS(Resultados!DP85),ABS(Resultados!DY85)))</f>
        <v>3</v>
      </c>
      <c r="D85">
        <f>IF(COUNT(Resultados!D85,Resultados!M85,Resultados!V85,Resultados!AE85,Resultados!AN85,Resultados!AW85,Resultados!BF85,Resultados!BO85,Resultados!BX85,Resultados!CG85,Resultados!CP85,Resultados!CY85,Resultados!DH85,Resultados!DQ85,Resultados!DZ85)=0, "", AVERAGE(ABS(Resultados!D85),ABS(Resultados!M85),ABS(Resultados!V85),ABS(Resultados!AE85),ABS(Resultados!AN85),ABS(Resultados!AW85),ABS(Resultados!BF85),ABS(Resultados!BO85),ABS(Resultados!BX85),ABS(Resultados!CG85),ABS(Resultados!CP85),ABS(Resultados!CY85),ABS(Resultados!DH85),ABS(Resultados!DQ85),ABS(Resultados!DZ85)))</f>
        <v>1.9666666666666669E-3</v>
      </c>
      <c r="E85">
        <f>IF(COUNT(Resultados!E85,Resultados!N85,Resultados!W85,Resultados!AF85,Resultados!AO85,Resultados!AX85,Resultados!BG85,Resultados!BP85,Resultados!BY85,Resultados!CH85,Resultados!CQ85,Resultados!CZ85,Resultados!DI85,Resultados!DR85,Resultados!EA85)=0, "", AVERAGE(ABS(Resultados!E85),ABS(Resultados!N85),ABS(Resultados!W85),ABS(Resultados!AF85),ABS(Resultados!AO85),ABS(Resultados!AX85),ABS(Resultados!BG85),ABS(Resultados!BP85),ABS(Resultados!BY85),ABS(Resultados!CH85),ABS(Resultados!CQ85),ABS(Resultados!CZ85),ABS(Resultados!DI85),ABS(Resultados!DR85),ABS(Resultados!EA85)))</f>
        <v>6.318320941394461</v>
      </c>
      <c r="F85">
        <f>IF(COUNT(Resultados!F85,Resultados!O85,Resultados!X85,Resultados!AG85,Resultados!AP85,Resultados!AY85,Resultados!BH85,Resultados!BQ85,Resultados!BZ85,Resultados!CI85,Resultados!CR85,Resultados!DA85,Resultados!DJ85,Resultados!DS85,Resultados!EB85)=0, "", AVERAGE(ABS(Resultados!F85),ABS(Resultados!O85),ABS(Resultados!X85),ABS(Resultados!AG85),ABS(Resultados!AP85),ABS(Resultados!AY85),ABS(Resultados!BH85),ABS(Resultados!BQ85),ABS(Resultados!BZ85),ABS(Resultados!CI85),ABS(Resultados!CR85),ABS(Resultados!DA85),ABS(Resultados!DJ85),ABS(Resultados!DS85),ABS(Resultados!EB85)))</f>
        <v>732.78127041668472</v>
      </c>
      <c r="G85">
        <f>IF(COUNT(Resultados!G85,Resultados!P85,Resultados!Y85,Resultados!AH85,Resultados!AQ85,Resultados!AZ85,Resultados!BI85,Resultados!BR85,Resultados!CA85,Resultados!CJ85,Resultados!CS85,Resultados!DB85,Resultados!DK85,Resultados!DT85,Resultados!EC85)=0, "", AVERAGE(ABS(Resultados!G85),ABS(Resultados!P85),ABS(Resultados!Y85),ABS(Resultados!AH85),ABS(Resultados!AQ85),ABS(Resultados!AZ85),ABS(Resultados!BI85),ABS(Resultados!BR85),ABS(Resultados!CA85),ABS(Resultados!CJ85),ABS(Resultados!CS85),ABS(Resultados!DB85),ABS(Resultados!DK85),ABS(Resultados!DT85),ABS(Resultados!EC85)))</f>
        <v>0.42400000000000015</v>
      </c>
      <c r="H85">
        <f>IF(COUNT(Resultados!H85,Resultados!Q85,Resultados!Z85,Resultados!AI85,Resultados!AR85,Resultados!BA85,Resultados!BJ85,Resultados!BS85,Resultados!CB85,Resultados!CK85,Resultados!CT85,Resultados!DC85,Resultados!DL85,Resultados!DU85,Resultados!ED85)=0, "", AVERAGE(ABS(Resultados!H85),ABS(Resultados!Q85),ABS(Resultados!Z85),ABS(Resultados!AI85),ABS(Resultados!AR85),ABS(Resultados!BA85),ABS(Resultados!BJ85),ABS(Resultados!BS85),ABS(Resultados!CB85),ABS(Resultados!CK85),ABS(Resultados!CT85),ABS(Resultados!DC85),ABS(Resultados!DL85),ABS(Resultados!DU85),ABS(Resultados!ED85)))</f>
        <v>5.0133333333333323E-3</v>
      </c>
      <c r="I85">
        <f>IF(COUNT(Resultados!I85,Resultados!R85,Resultados!AA85,Resultados!AJ85,Resultados!AS85,Resultados!BB85,Resultados!BK85,Resultados!BT85,Resultados!CC85,Resultados!CL85,Resultados!CU85,Resultados!DD85,Resultados!DM85,Resultados!DV85,Resultados!EE85)=0, "", AVERAGE(ABS(Resultados!I85),ABS(Resultados!R85),ABS(Resultados!AA85),ABS(Resultados!AJ85),ABS(Resultados!AS85),ABS(Resultados!BB85),ABS(Resultados!BK85),ABS(Resultados!BT85),ABS(Resultados!CC85),ABS(Resultados!CL85),ABS(Resultados!CU85),ABS(Resultados!DD85),ABS(Resultados!DM85),ABS(Resultados!DV85),ABS(Resultados!EE85)))</f>
        <v>16.652312000000002</v>
      </c>
    </row>
    <row r="86" spans="1:9" x14ac:dyDescent="0.3">
      <c r="A86">
        <f>IF(COUNT(Resultados!A86,Resultados!J86,Resultados!S86,Resultados!AB86,Resultados!AK86,Resultados!AT86,Resultados!BC86,Resultados!BL86,Resultados!BU86,Resultados!CD86,Resultados!CM86,Resultados!CV86,Resultados!DE86,Resultados!DN86,Resultados!DW86)=0, "", AVERAGE(ABS(Resultados!A86),ABS(Resultados!J86),ABS(Resultados!S86),ABS(Resultados!AB86),ABS(Resultados!AK86),ABS(Resultados!AT86),ABS(Resultados!BC86),ABS(Resultados!BL86),ABS(Resultados!BU86),ABS(Resultados!CD86),ABS(Resultados!CM86),ABS(Resultados!CV86),ABS(Resultados!DE86),ABS(Resultados!DN86),ABS(Resultados!DW86)))</f>
        <v>45681</v>
      </c>
      <c r="B86" t="str">
        <f>IF(COUNT(Resultados!B86,Resultados!K86,Resultados!T86,Resultados!AC86,Resultados!AL86,Resultados!AU86,Resultados!BD86,Resultados!BM86,Resultados!BV86,Resultados!CE86,Resultados!CN86,Resultados!CW86,Resultados!DF86,Resultados!DO86,Resultados!DX86)=0, "", AVERAGE(ABS(Resultados!B86),ABS(Resultados!K86),ABS(Resultados!T86),ABS(Resultados!AC86),ABS(Resultados!AL86),ABS(Resultados!AU86),ABS(Resultados!BD86),ABS(Resultados!BM86),ABS(Resultados!BV86),ABS(Resultados!CE86),ABS(Resultados!CN86),ABS(Resultados!CW86),ABS(Resultados!DF86),ABS(Resultados!DO86),ABS(Resultados!DX86)))</f>
        <v/>
      </c>
      <c r="C86">
        <f>IF(COUNT(Resultados!C86,Resultados!L86,Resultados!U86,Resultados!AD86,Resultados!AM86,Resultados!AV86,Resultados!BE86,Resultados!BN86,Resultados!BW86,Resultados!CF86,Resultados!CO86,Resultados!CX86,Resultados!DG86,Resultados!DP86,Resultados!DY86)=0, "", AVERAGE(ABS(Resultados!C86),ABS(Resultados!L86),ABS(Resultados!U86),ABS(Resultados!AD86),ABS(Resultados!AM86),ABS(Resultados!AV86),ABS(Resultados!BE86),ABS(Resultados!BN86),ABS(Resultados!BW86),ABS(Resultados!CF86),ABS(Resultados!CO86),ABS(Resultados!CX86),ABS(Resultados!DG86),ABS(Resultados!DP86),ABS(Resultados!DY86)))</f>
        <v>3</v>
      </c>
      <c r="D86">
        <f>IF(COUNT(Resultados!D86,Resultados!M86,Resultados!V86,Resultados!AE86,Resultados!AN86,Resultados!AW86,Resultados!BF86,Resultados!BO86,Resultados!BX86,Resultados!CG86,Resultados!CP86,Resultados!CY86,Resultados!DH86,Resultados!DQ86,Resultados!DZ86)=0, "", AVERAGE(ABS(Resultados!D86),ABS(Resultados!M86),ABS(Resultados!V86),ABS(Resultados!AE86),ABS(Resultados!AN86),ABS(Resultados!AW86),ABS(Resultados!BF86),ABS(Resultados!BO86),ABS(Resultados!BX86),ABS(Resultados!CG86),ABS(Resultados!CP86),ABS(Resultados!CY86),ABS(Resultados!DH86),ABS(Resultados!DQ86),ABS(Resultados!DZ86)))</f>
        <v>3.3E-3</v>
      </c>
      <c r="E86">
        <f>IF(COUNT(Resultados!E86,Resultados!N86,Resultados!W86,Resultados!AF86,Resultados!AO86,Resultados!AX86,Resultados!BG86,Resultados!BP86,Resultados!BY86,Resultados!CH86,Resultados!CQ86,Resultados!CZ86,Resultados!DI86,Resultados!DR86,Resultados!EA86)=0, "", AVERAGE(ABS(Resultados!E86),ABS(Resultados!N86),ABS(Resultados!W86),ABS(Resultados!AF86),ABS(Resultados!AO86),ABS(Resultados!AX86),ABS(Resultados!BG86),ABS(Resultados!BP86),ABS(Resultados!BY86),ABS(Resultados!CH86),ABS(Resultados!CQ86),ABS(Resultados!CZ86),ABS(Resultados!DI86),ABS(Resultados!DR86),ABS(Resultados!EA86)))</f>
        <v>6.4909854440201133</v>
      </c>
      <c r="F86">
        <f>IF(COUNT(Resultados!F86,Resultados!O86,Resultados!X86,Resultados!AG86,Resultados!AP86,Resultados!AY86,Resultados!BH86,Resultados!BQ86,Resultados!BZ86,Resultados!CI86,Resultados!CR86,Resultados!DA86,Resultados!DJ86,Resultados!DS86,Resultados!EB86)=0, "", AVERAGE(ABS(Resultados!F86),ABS(Resultados!O86),ABS(Resultados!X86),ABS(Resultados!AG86),ABS(Resultados!AP86),ABS(Resultados!AY86),ABS(Resultados!BH86),ABS(Resultados!BQ86),ABS(Resultados!BZ86),ABS(Resultados!CI86),ABS(Resultados!CR86),ABS(Resultados!DA86),ABS(Resultados!DJ86),ABS(Resultados!DS86),ABS(Resultados!EB86)))</f>
        <v>749.17795698688974</v>
      </c>
      <c r="G86">
        <f>IF(COUNT(Resultados!G86,Resultados!P86,Resultados!Y86,Resultados!AH86,Resultados!AQ86,Resultados!AZ86,Resultados!BI86,Resultados!BR86,Resultados!CA86,Resultados!CJ86,Resultados!CS86,Resultados!DB86,Resultados!DK86,Resultados!DT86,Resultados!EC86)=0, "", AVERAGE(ABS(Resultados!G86),ABS(Resultados!P86),ABS(Resultados!Y86),ABS(Resultados!AH86),ABS(Resultados!AQ86),ABS(Resultados!AZ86),ABS(Resultados!BI86),ABS(Resultados!BR86),ABS(Resultados!CA86),ABS(Resultados!CJ86),ABS(Resultados!CS86),ABS(Resultados!DB86),ABS(Resultados!DK86),ABS(Resultados!DT86),ABS(Resultados!EC86)))</f>
        <v>0.42400000000000015</v>
      </c>
      <c r="H86">
        <f>IF(COUNT(Resultados!H86,Resultados!Q86,Resultados!Z86,Resultados!AI86,Resultados!AR86,Resultados!BA86,Resultados!BJ86,Resultados!BS86,Resultados!CB86,Resultados!CK86,Resultados!CT86,Resultados!DC86,Resultados!DL86,Resultados!DU86,Resultados!ED86)=0, "", AVERAGE(ABS(Resultados!H86),ABS(Resultados!Q86),ABS(Resultados!Z86),ABS(Resultados!AI86),ABS(Resultados!AR86),ABS(Resultados!BA86),ABS(Resultados!BJ86),ABS(Resultados!BS86),ABS(Resultados!CB86),ABS(Resultados!CK86),ABS(Resultados!CT86),ABS(Resultados!DC86),ABS(Resultados!DL86),ABS(Resultados!DU86),ABS(Resultados!ED86)))</f>
        <v>7.7066666666666672E-3</v>
      </c>
      <c r="I86">
        <f>IF(COUNT(Resultados!I86,Resultados!R86,Resultados!AA86,Resultados!AJ86,Resultados!AS86,Resultados!BB86,Resultados!BK86,Resultados!BT86,Resultados!CC86,Resultados!CL86,Resultados!CU86,Resultados!DD86,Resultados!DM86,Resultados!DV86,Resultados!EE86)=0, "", AVERAGE(ABS(Resultados!I86),ABS(Resultados!R86),ABS(Resultados!AA86),ABS(Resultados!AJ86),ABS(Resultados!AS86),ABS(Resultados!BB86),ABS(Resultados!BK86),ABS(Resultados!BT86),ABS(Resultados!CC86),ABS(Resultados!CL86),ABS(Resultados!CU86),ABS(Resultados!DD86),ABS(Resultados!DM86),ABS(Resultados!DV86),ABS(Resultados!EE86)))</f>
        <v>16.852638000000002</v>
      </c>
    </row>
    <row r="87" spans="1:9" x14ac:dyDescent="0.3">
      <c r="A87">
        <f>IF(COUNT(Resultados!A87,Resultados!J87,Resultados!S87,Resultados!AB87,Resultados!AK87,Resultados!AT87,Resultados!BC87,Resultados!BL87,Resultados!BU87,Resultados!CD87,Resultados!CM87,Resultados!CV87,Resultados!DE87,Resultados!DN87,Resultados!DW87)=0, "", AVERAGE(ABS(Resultados!A87),ABS(Resultados!J87),ABS(Resultados!S87),ABS(Resultados!AB87),ABS(Resultados!AK87),ABS(Resultados!AT87),ABS(Resultados!BC87),ABS(Resultados!BL87),ABS(Resultados!BU87),ABS(Resultados!CD87),ABS(Resultados!CM87),ABS(Resultados!CV87),ABS(Resultados!DE87),ABS(Resultados!DN87),ABS(Resultados!DW87)))</f>
        <v>45681</v>
      </c>
      <c r="B87" t="str">
        <f>IF(COUNT(Resultados!B87,Resultados!K87,Resultados!T87,Resultados!AC87,Resultados!AL87,Resultados!AU87,Resultados!BD87,Resultados!BM87,Resultados!BV87,Resultados!CE87,Resultados!CN87,Resultados!CW87,Resultados!DF87,Resultados!DO87,Resultados!DX87)=0, "", AVERAGE(ABS(Resultados!B87),ABS(Resultados!K87),ABS(Resultados!T87),ABS(Resultados!AC87),ABS(Resultados!AL87),ABS(Resultados!AU87),ABS(Resultados!BD87),ABS(Resultados!BM87),ABS(Resultados!BV87),ABS(Resultados!CE87),ABS(Resultados!CN87),ABS(Resultados!CW87),ABS(Resultados!DF87),ABS(Resultados!DO87),ABS(Resultados!DX87)))</f>
        <v/>
      </c>
      <c r="C87">
        <f>IF(COUNT(Resultados!C87,Resultados!L87,Resultados!U87,Resultados!AD87,Resultados!AM87,Resultados!AV87,Resultados!BE87,Resultados!BN87,Resultados!BW87,Resultados!CF87,Resultados!CO87,Resultados!CX87,Resultados!DG87,Resultados!DP87,Resultados!DY87)=0, "", AVERAGE(ABS(Resultados!C87),ABS(Resultados!L87),ABS(Resultados!U87),ABS(Resultados!AD87),ABS(Resultados!AM87),ABS(Resultados!AV87),ABS(Resultados!BE87),ABS(Resultados!BN87),ABS(Resultados!BW87),ABS(Resultados!CF87),ABS(Resultados!CO87),ABS(Resultados!CX87),ABS(Resultados!DG87),ABS(Resultados!DP87),ABS(Resultados!DY87)))</f>
        <v>3</v>
      </c>
      <c r="D87">
        <f>IF(COUNT(Resultados!D87,Resultados!M87,Resultados!V87,Resultados!AE87,Resultados!AN87,Resultados!AW87,Resultados!BF87,Resultados!BO87,Resultados!BX87,Resultados!CG87,Resultados!CP87,Resultados!CY87,Resultados!DH87,Resultados!DQ87,Resultados!DZ87)=0, "", AVERAGE(ABS(Resultados!D87),ABS(Resultados!M87),ABS(Resultados!V87),ABS(Resultados!AE87),ABS(Resultados!AN87),ABS(Resultados!AW87),ABS(Resultados!BF87),ABS(Resultados!BO87),ABS(Resultados!BX87),ABS(Resultados!CG87),ABS(Resultados!CP87),ABS(Resultados!CY87),ABS(Resultados!DH87),ABS(Resultados!DQ87),ABS(Resultados!DZ87)))</f>
        <v>5.9133333333333338E-3</v>
      </c>
      <c r="E87">
        <f>IF(COUNT(Resultados!E87,Resultados!N87,Resultados!W87,Resultados!AF87,Resultados!AO87,Resultados!AX87,Resultados!BG87,Resultados!BP87,Resultados!BY87,Resultados!CH87,Resultados!CQ87,Resultados!CZ87,Resultados!DI87,Resultados!DR87,Resultados!EA87)=0, "", AVERAGE(ABS(Resultados!E87),ABS(Resultados!N87),ABS(Resultados!W87),ABS(Resultados!AF87),ABS(Resultados!AO87),ABS(Resultados!AX87),ABS(Resultados!BG87),ABS(Resultados!BP87),ABS(Resultados!BY87),ABS(Resultados!CH87),ABS(Resultados!CQ87),ABS(Resultados!CZ87),ABS(Resultados!DI87),ABS(Resultados!DR87),ABS(Resultados!EA87)))</f>
        <v>6.6805948298514402</v>
      </c>
      <c r="F87">
        <f>IF(COUNT(Resultados!F87,Resultados!O87,Resultados!X87,Resultados!AG87,Resultados!AP87,Resultados!AY87,Resultados!BH87,Resultados!BQ87,Resultados!BZ87,Resultados!CI87,Resultados!CR87,Resultados!DA87,Resultados!DJ87,Resultados!DS87,Resultados!EB87)=0, "", AVERAGE(ABS(Resultados!F87),ABS(Resultados!O87),ABS(Resultados!X87),ABS(Resultados!AG87),ABS(Resultados!AP87),ABS(Resultados!AY87),ABS(Resultados!BH87),ABS(Resultados!BQ87),ABS(Resultados!BZ87),ABS(Resultados!CI87),ABS(Resultados!CR87),ABS(Resultados!DA87),ABS(Resultados!DJ87),ABS(Resultados!DS87),ABS(Resultados!EB87)))</f>
        <v>767.17559955350464</v>
      </c>
      <c r="G87">
        <f>IF(COUNT(Resultados!G87,Resultados!P87,Resultados!Y87,Resultados!AH87,Resultados!AQ87,Resultados!AZ87,Resultados!BI87,Resultados!BR87,Resultados!CA87,Resultados!CJ87,Resultados!CS87,Resultados!DB87,Resultados!DK87,Resultados!DT87,Resultados!EC87)=0, "", AVERAGE(ABS(Resultados!G87),ABS(Resultados!P87),ABS(Resultados!Y87),ABS(Resultados!AH87),ABS(Resultados!AQ87),ABS(Resultados!AZ87),ABS(Resultados!BI87),ABS(Resultados!BR87),ABS(Resultados!CA87),ABS(Resultados!CJ87),ABS(Resultados!CS87),ABS(Resultados!DB87),ABS(Resultados!DK87),ABS(Resultados!DT87),ABS(Resultados!EC87)))</f>
        <v>0.42400000000000015</v>
      </c>
      <c r="H87">
        <f>IF(COUNT(Resultados!H87,Resultados!Q87,Resultados!Z87,Resultados!AI87,Resultados!AR87,Resultados!BA87,Resultados!BJ87,Resultados!BS87,Resultados!CB87,Resultados!CK87,Resultados!CT87,Resultados!DC87,Resultados!DL87,Resultados!DU87,Resultados!ED87)=0, "", AVERAGE(ABS(Resultados!H87),ABS(Resultados!Q87),ABS(Resultados!Z87),ABS(Resultados!AI87),ABS(Resultados!AR87),ABS(Resultados!BA87),ABS(Resultados!BJ87),ABS(Resultados!BS87),ABS(Resultados!CB87),ABS(Resultados!CK87),ABS(Resultados!CT87),ABS(Resultados!DC87),ABS(Resultados!DL87),ABS(Resultados!DU87),ABS(Resultados!ED87)))</f>
        <v>1.0639999999999998E-2</v>
      </c>
      <c r="I87">
        <f>IF(COUNT(Resultados!I87,Resultados!R87,Resultados!AA87,Resultados!AJ87,Resultados!AS87,Resultados!BB87,Resultados!BK87,Resultados!BT87,Resultados!CC87,Resultados!CL87,Resultados!CU87,Resultados!DD87,Resultados!DM87,Resultados!DV87,Resultados!EE87)=0, "", AVERAGE(ABS(Resultados!I87),ABS(Resultados!R87),ABS(Resultados!AA87),ABS(Resultados!AJ87),ABS(Resultados!AS87),ABS(Resultados!BB87),ABS(Resultados!BK87),ABS(Resultados!BT87),ABS(Resultados!CC87),ABS(Resultados!CL87),ABS(Resultados!CU87),ABS(Resultados!DD87),ABS(Resultados!DM87),ABS(Resultados!DV87),ABS(Resultados!EE87)))</f>
        <v>17.052218000000003</v>
      </c>
    </row>
    <row r="88" spans="1:9" x14ac:dyDescent="0.3">
      <c r="A88">
        <f>IF(COUNT(Resultados!A88,Resultados!J88,Resultados!S88,Resultados!AB88,Resultados!AK88,Resultados!AT88,Resultados!BC88,Resultados!BL88,Resultados!BU88,Resultados!CD88,Resultados!CM88,Resultados!CV88,Resultados!DE88,Resultados!DN88,Resultados!DW88)=0, "", AVERAGE(ABS(Resultados!A88),ABS(Resultados!J88),ABS(Resultados!S88),ABS(Resultados!AB88),ABS(Resultados!AK88),ABS(Resultados!AT88),ABS(Resultados!BC88),ABS(Resultados!BL88),ABS(Resultados!BU88),ABS(Resultados!CD88),ABS(Resultados!CM88),ABS(Resultados!CV88),ABS(Resultados!DE88),ABS(Resultados!DN88),ABS(Resultados!DW88)))</f>
        <v>45681</v>
      </c>
      <c r="B88" t="str">
        <f>IF(COUNT(Resultados!B88,Resultados!K88,Resultados!T88,Resultados!AC88,Resultados!AL88,Resultados!AU88,Resultados!BD88,Resultados!BM88,Resultados!BV88,Resultados!CE88,Resultados!CN88,Resultados!CW88,Resultados!DF88,Resultados!DO88,Resultados!DX88)=0, "", AVERAGE(ABS(Resultados!B88),ABS(Resultados!K88),ABS(Resultados!T88),ABS(Resultados!AC88),ABS(Resultados!AL88),ABS(Resultados!AU88),ABS(Resultados!BD88),ABS(Resultados!BM88),ABS(Resultados!BV88),ABS(Resultados!CE88),ABS(Resultados!CN88),ABS(Resultados!CW88),ABS(Resultados!DF88),ABS(Resultados!DO88),ABS(Resultados!DX88)))</f>
        <v/>
      </c>
      <c r="C88">
        <f>IF(COUNT(Resultados!C88,Resultados!L88,Resultados!U88,Resultados!AD88,Resultados!AM88,Resultados!AV88,Resultados!BE88,Resultados!BN88,Resultados!BW88,Resultados!CF88,Resultados!CO88,Resultados!CX88,Resultados!DG88,Resultados!DP88,Resultados!DY88)=0, "", AVERAGE(ABS(Resultados!C88),ABS(Resultados!L88),ABS(Resultados!U88),ABS(Resultados!AD88),ABS(Resultados!AM88),ABS(Resultados!AV88),ABS(Resultados!BE88),ABS(Resultados!BN88),ABS(Resultados!BW88),ABS(Resultados!CF88),ABS(Resultados!CO88),ABS(Resultados!CX88),ABS(Resultados!DG88),ABS(Resultados!DP88),ABS(Resultados!DY88)))</f>
        <v>3</v>
      </c>
      <c r="D88">
        <f>IF(COUNT(Resultados!D88,Resultados!M88,Resultados!V88,Resultados!AE88,Resultados!AN88,Resultados!AW88,Resultados!BF88,Resultados!BO88,Resultados!BX88,Resultados!CG88,Resultados!CP88,Resultados!CY88,Resultados!DH88,Resultados!DQ88,Resultados!DZ88)=0, "", AVERAGE(ABS(Resultados!D88),ABS(Resultados!M88),ABS(Resultados!V88),ABS(Resultados!AE88),ABS(Resultados!AN88),ABS(Resultados!AW88),ABS(Resultados!BF88),ABS(Resultados!BO88),ABS(Resultados!BX88),ABS(Resultados!CG88),ABS(Resultados!CP88),ABS(Resultados!CY88),ABS(Resultados!DH88),ABS(Resultados!DQ88),ABS(Resultados!DZ88)))</f>
        <v>8.7000000000000011E-3</v>
      </c>
      <c r="E88">
        <f>IF(COUNT(Resultados!E88,Resultados!N88,Resultados!W88,Resultados!AF88,Resultados!AO88,Resultados!AX88,Resultados!BG88,Resultados!BP88,Resultados!BY88,Resultados!CH88,Resultados!CQ88,Resultados!CZ88,Resultados!DI88,Resultados!DR88,Resultados!EA88)=0, "", AVERAGE(ABS(Resultados!E88),ABS(Resultados!N88),ABS(Resultados!W88),ABS(Resultados!AF88),ABS(Resultados!AO88),ABS(Resultados!AX88),ABS(Resultados!BG88),ABS(Resultados!BP88),ABS(Resultados!BY88),ABS(Resultados!CH88),ABS(Resultados!CQ88),ABS(Resultados!CZ88),ABS(Resultados!DI88),ABS(Resultados!DR88),ABS(Resultados!EA88)))</f>
        <v>6.8698602370404824</v>
      </c>
      <c r="F88">
        <f>IF(COUNT(Resultados!F88,Resultados!O88,Resultados!X88,Resultados!AG88,Resultados!AP88,Resultados!AY88,Resultados!BH88,Resultados!BQ88,Resultados!BZ88,Resultados!CI88,Resultados!CR88,Resultados!DA88,Resultados!DJ88,Resultados!DS88,Resultados!EB88)=0, "", AVERAGE(ABS(Resultados!F88),ABS(Resultados!O88),ABS(Resultados!X88),ABS(Resultados!AG88),ABS(Resultados!AP88),ABS(Resultados!AY88),ABS(Resultados!BH88),ABS(Resultados!BQ88),ABS(Resultados!BZ88),ABS(Resultados!CI88),ABS(Resultados!CR88),ABS(Resultados!DA88),ABS(Resultados!DJ88),ABS(Resultados!DS88),ABS(Resultados!EB88)))</f>
        <v>791.94973649514168</v>
      </c>
      <c r="G88">
        <f>IF(COUNT(Resultados!G88,Resultados!P88,Resultados!Y88,Resultados!AH88,Resultados!AQ88,Resultados!AZ88,Resultados!BI88,Resultados!BR88,Resultados!CA88,Resultados!CJ88,Resultados!CS88,Resultados!DB88,Resultados!DK88,Resultados!DT88,Resultados!EC88)=0, "", AVERAGE(ABS(Resultados!G88),ABS(Resultados!P88),ABS(Resultados!Y88),ABS(Resultados!AH88),ABS(Resultados!AQ88),ABS(Resultados!AZ88),ABS(Resultados!BI88),ABS(Resultados!BR88),ABS(Resultados!CA88),ABS(Resultados!CJ88),ABS(Resultados!CS88),ABS(Resultados!DB88),ABS(Resultados!DK88),ABS(Resultados!DT88),ABS(Resultados!EC88)))</f>
        <v>0.42400000000000015</v>
      </c>
      <c r="H88">
        <f>IF(COUNT(Resultados!H88,Resultados!Q88,Resultados!Z88,Resultados!AI88,Resultados!AR88,Resultados!BA88,Resultados!BJ88,Resultados!BS88,Resultados!CB88,Resultados!CK88,Resultados!CT88,Resultados!DC88,Resultados!DL88,Resultados!DU88,Resultados!ED88)=0, "", AVERAGE(ABS(Resultados!H88),ABS(Resultados!Q88),ABS(Resultados!Z88),ABS(Resultados!AI88),ABS(Resultados!AR88),ABS(Resultados!BA88),ABS(Resultados!BJ88),ABS(Resultados!BS88),ABS(Resultados!CB88),ABS(Resultados!CK88),ABS(Resultados!CT88),ABS(Resultados!DC88),ABS(Resultados!DL88),ABS(Resultados!DU88),ABS(Resultados!ED88)))</f>
        <v>1.3580000000000002E-2</v>
      </c>
      <c r="I88">
        <f>IF(COUNT(Resultados!I88,Resultados!R88,Resultados!AA88,Resultados!AJ88,Resultados!AS88,Resultados!BB88,Resultados!BK88,Resultados!BT88,Resultados!CC88,Resultados!CL88,Resultados!CU88,Resultados!DD88,Resultados!DM88,Resultados!DV88,Resultados!EE88)=0, "", AVERAGE(ABS(Resultados!I88),ABS(Resultados!R88),ABS(Resultados!AA88),ABS(Resultados!AJ88),ABS(Resultados!AS88),ABS(Resultados!BB88),ABS(Resultados!BK88),ABS(Resultados!BT88),ABS(Resultados!CC88),ABS(Resultados!CL88),ABS(Resultados!CU88),ABS(Resultados!DD88),ABS(Resultados!DM88),ABS(Resultados!DV88),ABS(Resultados!EE88)))</f>
        <v>17.252502000000003</v>
      </c>
    </row>
    <row r="89" spans="1:9" x14ac:dyDescent="0.3">
      <c r="A89">
        <f>IF(COUNT(Resultados!A89,Resultados!J89,Resultados!S89,Resultados!AB89,Resultados!AK89,Resultados!AT89,Resultados!BC89,Resultados!BL89,Resultados!BU89,Resultados!CD89,Resultados!CM89,Resultados!CV89,Resultados!DE89,Resultados!DN89,Resultados!DW89)=0, "", AVERAGE(ABS(Resultados!A89),ABS(Resultados!J89),ABS(Resultados!S89),ABS(Resultados!AB89),ABS(Resultados!AK89),ABS(Resultados!AT89),ABS(Resultados!BC89),ABS(Resultados!BL89),ABS(Resultados!BU89),ABS(Resultados!CD89),ABS(Resultados!CM89),ABS(Resultados!CV89),ABS(Resultados!DE89),ABS(Resultados!DN89),ABS(Resultados!DW89)))</f>
        <v>45681</v>
      </c>
      <c r="B89" t="str">
        <f>IF(COUNT(Resultados!B89,Resultados!K89,Resultados!T89,Resultados!AC89,Resultados!AL89,Resultados!AU89,Resultados!BD89,Resultados!BM89,Resultados!BV89,Resultados!CE89,Resultados!CN89,Resultados!CW89,Resultados!DF89,Resultados!DO89,Resultados!DX89)=0, "", AVERAGE(ABS(Resultados!B89),ABS(Resultados!K89),ABS(Resultados!T89),ABS(Resultados!AC89),ABS(Resultados!AL89),ABS(Resultados!AU89),ABS(Resultados!BD89),ABS(Resultados!BM89),ABS(Resultados!BV89),ABS(Resultados!CE89),ABS(Resultados!CN89),ABS(Resultados!CW89),ABS(Resultados!DF89),ABS(Resultados!DO89),ABS(Resultados!DX89)))</f>
        <v/>
      </c>
      <c r="C89">
        <f>IF(COUNT(Resultados!C89,Resultados!L89,Resultados!U89,Resultados!AD89,Resultados!AM89,Resultados!AV89,Resultados!BE89,Resultados!BN89,Resultados!BW89,Resultados!CF89,Resultados!CO89,Resultados!CX89,Resultados!DG89,Resultados!DP89,Resultados!DY89)=0, "", AVERAGE(ABS(Resultados!C89),ABS(Resultados!L89),ABS(Resultados!U89),ABS(Resultados!AD89),ABS(Resultados!AM89),ABS(Resultados!AV89),ABS(Resultados!BE89),ABS(Resultados!BN89),ABS(Resultados!BW89),ABS(Resultados!CF89),ABS(Resultados!CO89),ABS(Resultados!CX89),ABS(Resultados!DG89),ABS(Resultados!DP89),ABS(Resultados!DY89)))</f>
        <v>3</v>
      </c>
      <c r="D89">
        <f>IF(COUNT(Resultados!D89,Resultados!M89,Resultados!V89,Resultados!AE89,Resultados!AN89,Resultados!AW89,Resultados!BF89,Resultados!BO89,Resultados!BX89,Resultados!CG89,Resultados!CP89,Resultados!CY89,Resultados!DH89,Resultados!DQ89,Resultados!DZ89)=0, "", AVERAGE(ABS(Resultados!D89),ABS(Resultados!M89),ABS(Resultados!V89),ABS(Resultados!AE89),ABS(Resultados!AN89),ABS(Resultados!AW89),ABS(Resultados!BF89),ABS(Resultados!BO89),ABS(Resultados!BX89),ABS(Resultados!CG89),ABS(Resultados!CP89),ABS(Resultados!CY89),ABS(Resultados!DH89),ABS(Resultados!DQ89),ABS(Resultados!DZ89)))</f>
        <v>1.1326666666666667E-2</v>
      </c>
      <c r="E89">
        <f>IF(COUNT(Resultados!E89,Resultados!N89,Resultados!W89,Resultados!AF89,Resultados!AO89,Resultados!AX89,Resultados!BG89,Resultados!BP89,Resultados!BY89,Resultados!CH89,Resultados!CQ89,Resultados!CZ89,Resultados!DI89,Resultados!DR89,Resultados!EA89)=0, "", AVERAGE(ABS(Resultados!E89),ABS(Resultados!N89),ABS(Resultados!W89),ABS(Resultados!AF89),ABS(Resultados!AO89),ABS(Resultados!AX89),ABS(Resultados!BG89),ABS(Resultados!BP89),ABS(Resultados!BY89),ABS(Resultados!CH89),ABS(Resultados!CQ89),ABS(Resultados!CZ89),ABS(Resultados!DI89),ABS(Resultados!DR89),ABS(Resultados!EA89)))</f>
        <v>7.0391710332460313</v>
      </c>
      <c r="F89">
        <f>IF(COUNT(Resultados!F89,Resultados!O89,Resultados!X89,Resultados!AG89,Resultados!AP89,Resultados!AY89,Resultados!BH89,Resultados!BQ89,Resultados!BZ89,Resultados!CI89,Resultados!CR89,Resultados!DA89,Resultados!DJ89,Resultados!DS89,Resultados!EB89)=0, "", AVERAGE(ABS(Resultados!F89),ABS(Resultados!O89),ABS(Resultados!X89),ABS(Resultados!AG89),ABS(Resultados!AP89),ABS(Resultados!AY89),ABS(Resultados!BH89),ABS(Resultados!BQ89),ABS(Resultados!BZ89),ABS(Resultados!CI89),ABS(Resultados!CR89),ABS(Resultados!DA89),ABS(Resultados!DJ89),ABS(Resultados!DS89),ABS(Resultados!EB89)))</f>
        <v>808.01733105504832</v>
      </c>
      <c r="G89">
        <f>IF(COUNT(Resultados!G89,Resultados!P89,Resultados!Y89,Resultados!AH89,Resultados!AQ89,Resultados!AZ89,Resultados!BI89,Resultados!BR89,Resultados!CA89,Resultados!CJ89,Resultados!CS89,Resultados!DB89,Resultados!DK89,Resultados!DT89,Resultados!EC89)=0, "", AVERAGE(ABS(Resultados!G89),ABS(Resultados!P89),ABS(Resultados!Y89),ABS(Resultados!AH89),ABS(Resultados!AQ89),ABS(Resultados!AZ89),ABS(Resultados!BI89),ABS(Resultados!BR89),ABS(Resultados!CA89),ABS(Resultados!CJ89),ABS(Resultados!CS89),ABS(Resultados!DB89),ABS(Resultados!DK89),ABS(Resultados!DT89),ABS(Resultados!EC89)))</f>
        <v>0.42400000000000015</v>
      </c>
      <c r="H89">
        <f>IF(COUNT(Resultados!H89,Resultados!Q89,Resultados!Z89,Resultados!AI89,Resultados!AR89,Resultados!BA89,Resultados!BJ89,Resultados!BS89,Resultados!CB89,Resultados!CK89,Resultados!CT89,Resultados!DC89,Resultados!DL89,Resultados!DU89,Resultados!ED89)=0, "", AVERAGE(ABS(Resultados!H89),ABS(Resultados!Q89),ABS(Resultados!Z89),ABS(Resultados!AI89),ABS(Resultados!AR89),ABS(Resultados!BA89),ABS(Resultados!BJ89),ABS(Resultados!BS89),ABS(Resultados!CB89),ABS(Resultados!CK89),ABS(Resultados!CT89),ABS(Resultados!DC89),ABS(Resultados!DL89),ABS(Resultados!DU89),ABS(Resultados!ED89)))</f>
        <v>1.6219999999999998E-2</v>
      </c>
      <c r="I89">
        <f>IF(COUNT(Resultados!I89,Resultados!R89,Resultados!AA89,Resultados!AJ89,Resultados!AS89,Resultados!BB89,Resultados!BK89,Resultados!BT89,Resultados!CC89,Resultados!CL89,Resultados!CU89,Resultados!DD89,Resultados!DM89,Resultados!DV89,Resultados!EE89)=0, "", AVERAGE(ABS(Resultados!I89),ABS(Resultados!R89),ABS(Resultados!AA89),ABS(Resultados!AJ89),ABS(Resultados!AS89),ABS(Resultados!BB89),ABS(Resultados!BK89),ABS(Resultados!BT89),ABS(Resultados!CC89),ABS(Resultados!CL89),ABS(Resultados!CU89),ABS(Resultados!DD89),ABS(Resultados!DM89),ABS(Resultados!DV89),ABS(Resultados!EE89)))</f>
        <v>17.452108000000003</v>
      </c>
    </row>
    <row r="90" spans="1:9" x14ac:dyDescent="0.3">
      <c r="A90">
        <f>IF(COUNT(Resultados!A90,Resultados!J90,Resultados!S90,Resultados!AB90,Resultados!AK90,Resultados!AT90,Resultados!BC90,Resultados!BL90,Resultados!BU90,Resultados!CD90,Resultados!CM90,Resultados!CV90,Resultados!DE90,Resultados!DN90,Resultados!DW90)=0, "", AVERAGE(ABS(Resultados!A90),ABS(Resultados!J90),ABS(Resultados!S90),ABS(Resultados!AB90),ABS(Resultados!AK90),ABS(Resultados!AT90),ABS(Resultados!BC90),ABS(Resultados!BL90),ABS(Resultados!BU90),ABS(Resultados!CD90),ABS(Resultados!CM90),ABS(Resultados!CV90),ABS(Resultados!DE90),ABS(Resultados!DN90),ABS(Resultados!DW90)))</f>
        <v>45681</v>
      </c>
      <c r="B90" t="str">
        <f>IF(COUNT(Resultados!B90,Resultados!K90,Resultados!T90,Resultados!AC90,Resultados!AL90,Resultados!AU90,Resultados!BD90,Resultados!BM90,Resultados!BV90,Resultados!CE90,Resultados!CN90,Resultados!CW90,Resultados!DF90,Resultados!DO90,Resultados!DX90)=0, "", AVERAGE(ABS(Resultados!B90),ABS(Resultados!K90),ABS(Resultados!T90),ABS(Resultados!AC90),ABS(Resultados!AL90),ABS(Resultados!AU90),ABS(Resultados!BD90),ABS(Resultados!BM90),ABS(Resultados!BV90),ABS(Resultados!CE90),ABS(Resultados!CN90),ABS(Resultados!CW90),ABS(Resultados!DF90),ABS(Resultados!DO90),ABS(Resultados!DX90)))</f>
        <v/>
      </c>
      <c r="C90">
        <f>IF(COUNT(Resultados!C90,Resultados!L90,Resultados!U90,Resultados!AD90,Resultados!AM90,Resultados!AV90,Resultados!BE90,Resultados!BN90,Resultados!BW90,Resultados!CF90,Resultados!CO90,Resultados!CX90,Resultados!DG90,Resultados!DP90,Resultados!DY90)=0, "", AVERAGE(ABS(Resultados!C90),ABS(Resultados!L90),ABS(Resultados!U90),ABS(Resultados!AD90),ABS(Resultados!AM90),ABS(Resultados!AV90),ABS(Resultados!BE90),ABS(Resultados!BN90),ABS(Resultados!BW90),ABS(Resultados!CF90),ABS(Resultados!CO90),ABS(Resultados!CX90),ABS(Resultados!DG90),ABS(Resultados!DP90),ABS(Resultados!DY90)))</f>
        <v>3</v>
      </c>
      <c r="D90">
        <f>IF(COUNT(Resultados!D90,Resultados!M90,Resultados!V90,Resultados!AE90,Resultados!AN90,Resultados!AW90,Resultados!BF90,Resultados!BO90,Resultados!BX90,Resultados!CG90,Resultados!CP90,Resultados!CY90,Resultados!DH90,Resultados!DQ90,Resultados!DZ90)=0, "", AVERAGE(ABS(Resultados!D90),ABS(Resultados!M90),ABS(Resultados!V90),ABS(Resultados!AE90),ABS(Resultados!AN90),ABS(Resultados!AW90),ABS(Resultados!BF90),ABS(Resultados!BO90),ABS(Resultados!BX90),ABS(Resultados!CG90),ABS(Resultados!CP90),ABS(Resultados!CY90),ABS(Resultados!DH90),ABS(Resultados!DQ90),ABS(Resultados!DZ90)))</f>
        <v>1.3520000000000003E-2</v>
      </c>
      <c r="E90">
        <f>IF(COUNT(Resultados!E90,Resultados!N90,Resultados!W90,Resultados!AF90,Resultados!AO90,Resultados!AX90,Resultados!BG90,Resultados!BP90,Resultados!BY90,Resultados!CH90,Resultados!CQ90,Resultados!CZ90,Resultados!DI90,Resultados!DR90,Resultados!EA90)=0, "", AVERAGE(ABS(Resultados!E90),ABS(Resultados!N90),ABS(Resultados!W90),ABS(Resultados!AF90),ABS(Resultados!AO90),ABS(Resultados!AX90),ABS(Resultados!BG90),ABS(Resultados!BP90),ABS(Resultados!BY90),ABS(Resultados!CH90),ABS(Resultados!CQ90),ABS(Resultados!CZ90),ABS(Resultados!DI90),ABS(Resultados!DR90),ABS(Resultados!EA90)))</f>
        <v>7.1729926806579298</v>
      </c>
      <c r="F90">
        <f>IF(COUNT(Resultados!F90,Resultados!O90,Resultados!X90,Resultados!AG90,Resultados!AP90,Resultados!AY90,Resultados!BH90,Resultados!BQ90,Resultados!BZ90,Resultados!CI90,Resultados!CR90,Resultados!DA90,Resultados!DJ90,Resultados!DS90,Resultados!EB90)=0, "", AVERAGE(ABS(Resultados!F90),ABS(Resultados!O90),ABS(Resultados!X90),ABS(Resultados!AG90),ABS(Resultados!AP90),ABS(Resultados!AY90),ABS(Resultados!BH90),ABS(Resultados!BQ90),ABS(Resultados!BZ90),ABS(Resultados!CI90),ABS(Resultados!CR90),ABS(Resultados!DA90),ABS(Resultados!DJ90),ABS(Resultados!DS90),ABS(Resultados!EB90)))</f>
        <v>820.71700539443771</v>
      </c>
      <c r="G90">
        <f>IF(COUNT(Resultados!G90,Resultados!P90,Resultados!Y90,Resultados!AH90,Resultados!AQ90,Resultados!AZ90,Resultados!BI90,Resultados!BR90,Resultados!CA90,Resultados!CJ90,Resultados!CS90,Resultados!DB90,Resultados!DK90,Resultados!DT90,Resultados!EC90)=0, "", AVERAGE(ABS(Resultados!G90),ABS(Resultados!P90),ABS(Resultados!Y90),ABS(Resultados!AH90),ABS(Resultados!AQ90),ABS(Resultados!AZ90),ABS(Resultados!BI90),ABS(Resultados!BR90),ABS(Resultados!CA90),ABS(Resultados!CJ90),ABS(Resultados!CS90),ABS(Resultados!DB90),ABS(Resultados!DK90),ABS(Resultados!DT90),ABS(Resultados!EC90)))</f>
        <v>0.42400000000000015</v>
      </c>
      <c r="H90">
        <f>IF(COUNT(Resultados!H90,Resultados!Q90,Resultados!Z90,Resultados!AI90,Resultados!AR90,Resultados!BA90,Resultados!BJ90,Resultados!BS90,Resultados!CB90,Resultados!CK90,Resultados!CT90,Resultados!DC90,Resultados!DL90,Resultados!DU90,Resultados!ED90)=0, "", AVERAGE(ABS(Resultados!H90),ABS(Resultados!Q90),ABS(Resultados!Z90),ABS(Resultados!AI90),ABS(Resultados!AR90),ABS(Resultados!BA90),ABS(Resultados!BJ90),ABS(Resultados!BS90),ABS(Resultados!CB90),ABS(Resultados!CK90),ABS(Resultados!CT90),ABS(Resultados!DC90),ABS(Resultados!DL90),ABS(Resultados!DU90),ABS(Resultados!ED90)))</f>
        <v>1.8293333333333332E-2</v>
      </c>
      <c r="I90">
        <f>IF(COUNT(Resultados!I90,Resultados!R90,Resultados!AA90,Resultados!AJ90,Resultados!AS90,Resultados!BB90,Resultados!BK90,Resultados!BT90,Resultados!CC90,Resultados!CL90,Resultados!CU90,Resultados!DD90,Resultados!DM90,Resultados!DV90,Resultados!EE90)=0, "", AVERAGE(ABS(Resultados!I90),ABS(Resultados!R90),ABS(Resultados!AA90),ABS(Resultados!AJ90),ABS(Resultados!AS90),ABS(Resultados!BB90),ABS(Resultados!BK90),ABS(Resultados!BT90),ABS(Resultados!CC90),ABS(Resultados!CL90),ABS(Resultados!CU90),ABS(Resultados!DD90),ABS(Resultados!DM90),ABS(Resultados!DV90),ABS(Resultados!EE90)))</f>
        <v>17.652073333333345</v>
      </c>
    </row>
    <row r="91" spans="1:9" x14ac:dyDescent="0.3">
      <c r="A91">
        <f>IF(COUNT(Resultados!A91,Resultados!J91,Resultados!S91,Resultados!AB91,Resultados!AK91,Resultados!AT91,Resultados!BC91,Resultados!BL91,Resultados!BU91,Resultados!CD91,Resultados!CM91,Resultados!CV91,Resultados!DE91,Resultados!DN91,Resultados!DW91)=0, "", AVERAGE(ABS(Resultados!A91),ABS(Resultados!J91),ABS(Resultados!S91),ABS(Resultados!AB91),ABS(Resultados!AK91),ABS(Resultados!AT91),ABS(Resultados!BC91),ABS(Resultados!BL91),ABS(Resultados!BU91),ABS(Resultados!CD91),ABS(Resultados!CM91),ABS(Resultados!CV91),ABS(Resultados!DE91),ABS(Resultados!DN91),ABS(Resultados!DW91)))</f>
        <v>45681</v>
      </c>
      <c r="B91" t="str">
        <f>IF(COUNT(Resultados!B91,Resultados!K91,Resultados!T91,Resultados!AC91,Resultados!AL91,Resultados!AU91,Resultados!BD91,Resultados!BM91,Resultados!BV91,Resultados!CE91,Resultados!CN91,Resultados!CW91,Resultados!DF91,Resultados!DO91,Resultados!DX91)=0, "", AVERAGE(ABS(Resultados!B91),ABS(Resultados!K91),ABS(Resultados!T91),ABS(Resultados!AC91),ABS(Resultados!AL91),ABS(Resultados!AU91),ABS(Resultados!BD91),ABS(Resultados!BM91),ABS(Resultados!BV91),ABS(Resultados!CE91),ABS(Resultados!CN91),ABS(Resultados!CW91),ABS(Resultados!DF91),ABS(Resultados!DO91),ABS(Resultados!DX91)))</f>
        <v/>
      </c>
      <c r="C91">
        <f>IF(COUNT(Resultados!C91,Resultados!L91,Resultados!U91,Resultados!AD91,Resultados!AM91,Resultados!AV91,Resultados!BE91,Resultados!BN91,Resultados!BW91,Resultados!CF91,Resultados!CO91,Resultados!CX91,Resultados!DG91,Resultados!DP91,Resultados!DY91)=0, "", AVERAGE(ABS(Resultados!C91),ABS(Resultados!L91),ABS(Resultados!U91),ABS(Resultados!AD91),ABS(Resultados!AM91),ABS(Resultados!AV91),ABS(Resultados!BE91),ABS(Resultados!BN91),ABS(Resultados!BW91),ABS(Resultados!CF91),ABS(Resultados!CO91),ABS(Resultados!CX91),ABS(Resultados!DG91),ABS(Resultados!DP91),ABS(Resultados!DY91)))</f>
        <v>3</v>
      </c>
      <c r="D91">
        <f>IF(COUNT(Resultados!D91,Resultados!M91,Resultados!V91,Resultados!AE91,Resultados!AN91,Resultados!AW91,Resultados!BF91,Resultados!BO91,Resultados!BX91,Resultados!CG91,Resultados!CP91,Resultados!CY91,Resultados!DH91,Resultados!DQ91,Resultados!DZ91)=0, "", AVERAGE(ABS(Resultados!D91),ABS(Resultados!M91),ABS(Resultados!V91),ABS(Resultados!AE91),ABS(Resultados!AN91),ABS(Resultados!AW91),ABS(Resultados!BF91),ABS(Resultados!BO91),ABS(Resultados!BX91),ABS(Resultados!CG91),ABS(Resultados!CP91),ABS(Resultados!CY91),ABS(Resultados!DH91),ABS(Resultados!DQ91),ABS(Resultados!DZ91)))</f>
        <v>1.5293333333333332E-2</v>
      </c>
      <c r="E91">
        <f>IF(COUNT(Resultados!E91,Resultados!N91,Resultados!W91,Resultados!AF91,Resultados!AO91,Resultados!AX91,Resultados!BG91,Resultados!BP91,Resultados!BY91,Resultados!CH91,Resultados!CQ91,Resultados!CZ91,Resultados!DI91,Resultados!DR91,Resultados!EA91)=0, "", AVERAGE(ABS(Resultados!E91),ABS(Resultados!N91),ABS(Resultados!W91),ABS(Resultados!AF91),ABS(Resultados!AO91),ABS(Resultados!AX91),ABS(Resultados!BG91),ABS(Resultados!BP91),ABS(Resultados!BY91),ABS(Resultados!CH91),ABS(Resultados!CQ91),ABS(Resultados!CZ91),ABS(Resultados!DI91),ABS(Resultados!DR91),ABS(Resultados!EA91)))</f>
        <v>7.2577926305697948</v>
      </c>
      <c r="F91">
        <f>IF(COUNT(Resultados!F91,Resultados!O91,Resultados!X91,Resultados!AG91,Resultados!AP91,Resultados!AY91,Resultados!BH91,Resultados!BQ91,Resultados!BZ91,Resultados!CI91,Resultados!CR91,Resultados!DA91,Resultados!DJ91,Resultados!DS91,Resultados!EB91)=0, "", AVERAGE(ABS(Resultados!F91),ABS(Resultados!O91),ABS(Resultados!X91),ABS(Resultados!AG91),ABS(Resultados!AP91),ABS(Resultados!AY91),ABS(Resultados!BH91),ABS(Resultados!BQ91),ABS(Resultados!BZ91),ABS(Resultados!CI91),ABS(Resultados!CR91),ABS(Resultados!DA91),ABS(Resultados!DJ91),ABS(Resultados!DS91),ABS(Resultados!EB91)))</f>
        <v>814.84008626218179</v>
      </c>
      <c r="G91">
        <f>IF(COUNT(Resultados!G91,Resultados!P91,Resultados!Y91,Resultados!AH91,Resultados!AQ91,Resultados!AZ91,Resultados!BI91,Resultados!BR91,Resultados!CA91,Resultados!CJ91,Resultados!CS91,Resultados!DB91,Resultados!DK91,Resultados!DT91,Resultados!EC91)=0, "", AVERAGE(ABS(Resultados!G91),ABS(Resultados!P91),ABS(Resultados!Y91),ABS(Resultados!AH91),ABS(Resultados!AQ91),ABS(Resultados!AZ91),ABS(Resultados!BI91),ABS(Resultados!BR91),ABS(Resultados!CA91),ABS(Resultados!CJ91),ABS(Resultados!CS91),ABS(Resultados!DB91),ABS(Resultados!DK91),ABS(Resultados!DT91),ABS(Resultados!EC91)))</f>
        <v>0.42400000000000015</v>
      </c>
      <c r="H91">
        <f>IF(COUNT(Resultados!H91,Resultados!Q91,Resultados!Z91,Resultados!AI91,Resultados!AR91,Resultados!BA91,Resultados!BJ91,Resultados!BS91,Resultados!CB91,Resultados!CK91,Resultados!CT91,Resultados!DC91,Resultados!DL91,Resultados!DU91,Resultados!ED91)=0, "", AVERAGE(ABS(Resultados!H91),ABS(Resultados!Q91),ABS(Resultados!Z91),ABS(Resultados!AI91),ABS(Resultados!AR91),ABS(Resultados!BA91),ABS(Resultados!BJ91),ABS(Resultados!BS91),ABS(Resultados!CB91),ABS(Resultados!CK91),ABS(Resultados!CT91),ABS(Resultados!DC91),ABS(Resultados!DL91),ABS(Resultados!DU91),ABS(Resultados!ED91)))</f>
        <v>1.9620000000000002E-2</v>
      </c>
      <c r="I91">
        <f>IF(COUNT(Resultados!I91,Resultados!R91,Resultados!AA91,Resultados!AJ91,Resultados!AS91,Resultados!BB91,Resultados!BK91,Resultados!BT91,Resultados!CC91,Resultados!CL91,Resultados!CU91,Resultados!DD91,Resultados!DM91,Resultados!DV91,Resultados!EE91)=0, "", AVERAGE(ABS(Resultados!I91),ABS(Resultados!R91),ABS(Resultados!AA91),ABS(Resultados!AJ91),ABS(Resultados!AS91),ABS(Resultados!BB91),ABS(Resultados!BK91),ABS(Resultados!BT91),ABS(Resultados!CC91),ABS(Resultados!CL91),ABS(Resultados!CU91),ABS(Resultados!DD91),ABS(Resultados!DM91),ABS(Resultados!DV91),ABS(Resultados!EE91)))</f>
        <v>17.852276000000007</v>
      </c>
    </row>
    <row r="92" spans="1:9" x14ac:dyDescent="0.3">
      <c r="A92">
        <f>IF(COUNT(Resultados!A92,Resultados!J92,Resultados!S92,Resultados!AB92,Resultados!AK92,Resultados!AT92,Resultados!BC92,Resultados!BL92,Resultados!BU92,Resultados!CD92,Resultados!CM92,Resultados!CV92,Resultados!DE92,Resultados!DN92,Resultados!DW92)=0, "", AVERAGE(ABS(Resultados!A92),ABS(Resultados!J92),ABS(Resultados!S92),ABS(Resultados!AB92),ABS(Resultados!AK92),ABS(Resultados!AT92),ABS(Resultados!BC92),ABS(Resultados!BL92),ABS(Resultados!BU92),ABS(Resultados!CD92),ABS(Resultados!CM92),ABS(Resultados!CV92),ABS(Resultados!DE92),ABS(Resultados!DN92),ABS(Resultados!DW92)))</f>
        <v>45681</v>
      </c>
      <c r="B92" t="str">
        <f>IF(COUNT(Resultados!B92,Resultados!K92,Resultados!T92,Resultados!AC92,Resultados!AL92,Resultados!AU92,Resultados!BD92,Resultados!BM92,Resultados!BV92,Resultados!CE92,Resultados!CN92,Resultados!CW92,Resultados!DF92,Resultados!DO92,Resultados!DX92)=0, "", AVERAGE(ABS(Resultados!B92),ABS(Resultados!K92),ABS(Resultados!T92),ABS(Resultados!AC92),ABS(Resultados!AL92),ABS(Resultados!AU92),ABS(Resultados!BD92),ABS(Resultados!BM92),ABS(Resultados!BV92),ABS(Resultados!CE92),ABS(Resultados!CN92),ABS(Resultados!CW92),ABS(Resultados!DF92),ABS(Resultados!DO92),ABS(Resultados!DX92)))</f>
        <v/>
      </c>
      <c r="C92">
        <f>IF(COUNT(Resultados!C92,Resultados!L92,Resultados!U92,Resultados!AD92,Resultados!AM92,Resultados!AV92,Resultados!BE92,Resultados!BN92,Resultados!BW92,Resultados!CF92,Resultados!CO92,Resultados!CX92,Resultados!DG92,Resultados!DP92,Resultados!DY92)=0, "", AVERAGE(ABS(Resultados!C92),ABS(Resultados!L92),ABS(Resultados!U92),ABS(Resultados!AD92),ABS(Resultados!AM92),ABS(Resultados!AV92),ABS(Resultados!BE92),ABS(Resultados!BN92),ABS(Resultados!BW92),ABS(Resultados!CF92),ABS(Resultados!CO92),ABS(Resultados!CX92),ABS(Resultados!DG92),ABS(Resultados!DP92),ABS(Resultados!DY92)))</f>
        <v>3</v>
      </c>
      <c r="D92">
        <f>IF(COUNT(Resultados!D92,Resultados!M92,Resultados!V92,Resultados!AE92,Resultados!AN92,Resultados!AW92,Resultados!BF92,Resultados!BO92,Resultados!BX92,Resultados!CG92,Resultados!CP92,Resultados!CY92,Resultados!DH92,Resultados!DQ92,Resultados!DZ92)=0, "", AVERAGE(ABS(Resultados!D92),ABS(Resultados!M92),ABS(Resultados!V92),ABS(Resultados!AE92),ABS(Resultados!AN92),ABS(Resultados!AW92),ABS(Resultados!BF92),ABS(Resultados!BO92),ABS(Resultados!BX92),ABS(Resultados!CG92),ABS(Resultados!CP92),ABS(Resultados!CY92),ABS(Resultados!DH92),ABS(Resultados!DQ92),ABS(Resultados!DZ92)))</f>
        <v>1.6800000000000002E-2</v>
      </c>
      <c r="E92">
        <f>IF(COUNT(Resultados!E92,Resultados!N92,Resultados!W92,Resultados!AF92,Resultados!AO92,Resultados!AX92,Resultados!BG92,Resultados!BP92,Resultados!BY92,Resultados!CH92,Resultados!CQ92,Resultados!CZ92,Resultados!DI92,Resultados!DR92,Resultados!EA92)=0, "", AVERAGE(ABS(Resultados!E92),ABS(Resultados!N92),ABS(Resultados!W92),ABS(Resultados!AF92),ABS(Resultados!AO92),ABS(Resultados!AX92),ABS(Resultados!BG92),ABS(Resultados!BP92),ABS(Resultados!BY92),ABS(Resultados!CH92),ABS(Resultados!CQ92),ABS(Resultados!CZ92),ABS(Resultados!DI92),ABS(Resultados!DR92),ABS(Resultados!EA92)))</f>
        <v>7.2852286466777336</v>
      </c>
      <c r="F92">
        <f>IF(COUNT(Resultados!F92,Resultados!O92,Resultados!X92,Resultados!AG92,Resultados!AP92,Resultados!AY92,Resultados!BH92,Resultados!BQ92,Resultados!BZ92,Resultados!CI92,Resultados!CR92,Resultados!DA92,Resultados!DJ92,Resultados!DS92,Resultados!EB92)=0, "", AVERAGE(ABS(Resultados!F92),ABS(Resultados!O92),ABS(Resultados!X92),ABS(Resultados!AG92),ABS(Resultados!AP92),ABS(Resultados!AY92),ABS(Resultados!BH92),ABS(Resultados!BQ92),ABS(Resultados!BZ92),ABS(Resultados!CI92),ABS(Resultados!CR92),ABS(Resultados!DA92),ABS(Resultados!DJ92),ABS(Resultados!DS92),ABS(Resultados!EB92)))</f>
        <v>817.46584978521435</v>
      </c>
      <c r="G92">
        <f>IF(COUNT(Resultados!G92,Resultados!P92,Resultados!Y92,Resultados!AH92,Resultados!AQ92,Resultados!AZ92,Resultados!BI92,Resultados!BR92,Resultados!CA92,Resultados!CJ92,Resultados!CS92,Resultados!DB92,Resultados!DK92,Resultados!DT92,Resultados!EC92)=0, "", AVERAGE(ABS(Resultados!G92),ABS(Resultados!P92),ABS(Resultados!Y92),ABS(Resultados!AH92),ABS(Resultados!AQ92),ABS(Resultados!AZ92),ABS(Resultados!BI92),ABS(Resultados!BR92),ABS(Resultados!CA92),ABS(Resultados!CJ92),ABS(Resultados!CS92),ABS(Resultados!DB92),ABS(Resultados!DK92),ABS(Resultados!DT92),ABS(Resultados!EC92)))</f>
        <v>0.42400000000000015</v>
      </c>
      <c r="H92">
        <f>IF(COUNT(Resultados!H92,Resultados!Q92,Resultados!Z92,Resultados!AI92,Resultados!AR92,Resultados!BA92,Resultados!BJ92,Resultados!BS92,Resultados!CB92,Resultados!CK92,Resultados!CT92,Resultados!DC92,Resultados!DL92,Resultados!DU92,Resultados!ED92)=0, "", AVERAGE(ABS(Resultados!H92),ABS(Resultados!Q92),ABS(Resultados!Z92),ABS(Resultados!AI92),ABS(Resultados!AR92),ABS(Resultados!BA92),ABS(Resultados!BJ92),ABS(Resultados!BS92),ABS(Resultados!CB92),ABS(Resultados!CK92),ABS(Resultados!CT92),ABS(Resultados!DC92),ABS(Resultados!DL92),ABS(Resultados!DU92),ABS(Resultados!ED92)))</f>
        <v>2.0033333333333334E-2</v>
      </c>
      <c r="I92">
        <f>IF(COUNT(Resultados!I92,Resultados!R92,Resultados!AA92,Resultados!AJ92,Resultados!AS92,Resultados!BB92,Resultados!BK92,Resultados!BT92,Resultados!CC92,Resultados!CL92,Resultados!CU92,Resultados!DD92,Resultados!DM92,Resultados!DV92,Resultados!EE92)=0, "", AVERAGE(ABS(Resultados!I92),ABS(Resultados!R92),ABS(Resultados!AA92),ABS(Resultados!AJ92),ABS(Resultados!AS92),ABS(Resultados!BB92),ABS(Resultados!BK92),ABS(Resultados!BT92),ABS(Resultados!CC92),ABS(Resultados!CL92),ABS(Resultados!CU92),ABS(Resultados!DD92),ABS(Resultados!DM92),ABS(Resultados!DV92),ABS(Resultados!EE92)))</f>
        <v>18.052970000000006</v>
      </c>
    </row>
    <row r="93" spans="1:9" x14ac:dyDescent="0.3">
      <c r="A93">
        <f>IF(COUNT(Resultados!A93,Resultados!J93,Resultados!S93,Resultados!AB93,Resultados!AK93,Resultados!AT93,Resultados!BC93,Resultados!BL93,Resultados!BU93,Resultados!CD93,Resultados!CM93,Resultados!CV93,Resultados!DE93,Resultados!DN93,Resultados!DW93)=0, "", AVERAGE(ABS(Resultados!A93),ABS(Resultados!J93),ABS(Resultados!S93),ABS(Resultados!AB93),ABS(Resultados!AK93),ABS(Resultados!AT93),ABS(Resultados!BC93),ABS(Resultados!BL93),ABS(Resultados!BU93),ABS(Resultados!CD93),ABS(Resultados!CM93),ABS(Resultados!CV93),ABS(Resultados!DE93),ABS(Resultados!DN93),ABS(Resultados!DW93)))</f>
        <v>45681</v>
      </c>
      <c r="B93" t="str">
        <f>IF(COUNT(Resultados!B93,Resultados!K93,Resultados!T93,Resultados!AC93,Resultados!AL93,Resultados!AU93,Resultados!BD93,Resultados!BM93,Resultados!BV93,Resultados!CE93,Resultados!CN93,Resultados!CW93,Resultados!DF93,Resultados!DO93,Resultados!DX93)=0, "", AVERAGE(ABS(Resultados!B93),ABS(Resultados!K93),ABS(Resultados!T93),ABS(Resultados!AC93),ABS(Resultados!AL93),ABS(Resultados!AU93),ABS(Resultados!BD93),ABS(Resultados!BM93),ABS(Resultados!BV93),ABS(Resultados!CE93),ABS(Resultados!CN93),ABS(Resultados!CW93),ABS(Resultados!DF93),ABS(Resultados!DO93),ABS(Resultados!DX93)))</f>
        <v/>
      </c>
      <c r="C93">
        <f>IF(COUNT(Resultados!C93,Resultados!L93,Resultados!U93,Resultados!AD93,Resultados!AM93,Resultados!AV93,Resultados!BE93,Resultados!BN93,Resultados!BW93,Resultados!CF93,Resultados!CO93,Resultados!CX93,Resultados!DG93,Resultados!DP93,Resultados!DY93)=0, "", AVERAGE(ABS(Resultados!C93),ABS(Resultados!L93),ABS(Resultados!U93),ABS(Resultados!AD93),ABS(Resultados!AM93),ABS(Resultados!AV93),ABS(Resultados!BE93),ABS(Resultados!BN93),ABS(Resultados!BW93),ABS(Resultados!CF93),ABS(Resultados!CO93),ABS(Resultados!CX93),ABS(Resultados!DG93),ABS(Resultados!DP93),ABS(Resultados!DY93)))</f>
        <v>3.0666666666666669</v>
      </c>
      <c r="D93">
        <f>IF(COUNT(Resultados!D93,Resultados!M93,Resultados!V93,Resultados!AE93,Resultados!AN93,Resultados!AW93,Resultados!BF93,Resultados!BO93,Resultados!BX93,Resultados!CG93,Resultados!CP93,Resultados!CY93,Resultados!DH93,Resultados!DQ93,Resultados!DZ93)=0, "", AVERAGE(ABS(Resultados!D93),ABS(Resultados!M93),ABS(Resultados!V93),ABS(Resultados!AE93),ABS(Resultados!AN93),ABS(Resultados!AW93),ABS(Resultados!BF93),ABS(Resultados!BO93),ABS(Resultados!BX93),ABS(Resultados!CG93),ABS(Resultados!CP93),ABS(Resultados!CY93),ABS(Resultados!DH93),ABS(Resultados!DQ93),ABS(Resultados!DZ93)))</f>
        <v>1.7686666666666667E-2</v>
      </c>
      <c r="E93">
        <f>IF(COUNT(Resultados!E93,Resultados!N93,Resultados!W93,Resultados!AF93,Resultados!AO93,Resultados!AX93,Resultados!BG93,Resultados!BP93,Resultados!BY93,Resultados!CH93,Resultados!CQ93,Resultados!CZ93,Resultados!DI93,Resultados!DR93,Resultados!EA93)=0, "", AVERAGE(ABS(Resultados!E93),ABS(Resultados!N93),ABS(Resultados!W93),ABS(Resultados!AF93),ABS(Resultados!AO93),ABS(Resultados!AX93),ABS(Resultados!BG93),ABS(Resultados!BP93),ABS(Resultados!BY93),ABS(Resultados!CH93),ABS(Resultados!CQ93),ABS(Resultados!CZ93),ABS(Resultados!DI93),ABS(Resultados!DR93),ABS(Resultados!EA93)))</f>
        <v>7.2520537327317358</v>
      </c>
      <c r="F93">
        <f>IF(COUNT(Resultados!F93,Resultados!O93,Resultados!X93,Resultados!AG93,Resultados!AP93,Resultados!AY93,Resultados!BH93,Resultados!BQ93,Resultados!BZ93,Resultados!CI93,Resultados!CR93,Resultados!DA93,Resultados!DJ93,Resultados!DS93,Resultados!EB93)=0, "", AVERAGE(ABS(Resultados!F93),ABS(Resultados!O93),ABS(Resultados!X93),ABS(Resultados!AG93),ABS(Resultados!AP93),ABS(Resultados!AY93),ABS(Resultados!BH93),ABS(Resultados!BQ93),ABS(Resultados!BZ93),ABS(Resultados!CI93),ABS(Resultados!CR93),ABS(Resultados!DA93),ABS(Resultados!DJ93),ABS(Resultados!DS93),ABS(Resultados!EB93)))</f>
        <v>730.80464457431708</v>
      </c>
      <c r="G93">
        <f>IF(COUNT(Resultados!G93,Resultados!P93,Resultados!Y93,Resultados!AH93,Resultados!AQ93,Resultados!AZ93,Resultados!BI93,Resultados!BR93,Resultados!CA93,Resultados!CJ93,Resultados!CS93,Resultados!DB93,Resultados!DK93,Resultados!DT93,Resultados!EC93)=0, "", AVERAGE(ABS(Resultados!G93),ABS(Resultados!P93),ABS(Resultados!Y93),ABS(Resultados!AH93),ABS(Resultados!AQ93),ABS(Resultados!AZ93),ABS(Resultados!BI93),ABS(Resultados!BR93),ABS(Resultados!CA93),ABS(Resultados!CJ93),ABS(Resultados!CS93),ABS(Resultados!DB93),ABS(Resultados!DK93),ABS(Resultados!DT93),ABS(Resultados!EC93)))</f>
        <v>0.42400000000000015</v>
      </c>
      <c r="H93">
        <f>IF(COUNT(Resultados!H93,Resultados!Q93,Resultados!Z93,Resultados!AI93,Resultados!AR93,Resultados!BA93,Resultados!BJ93,Resultados!BS93,Resultados!CB93,Resultados!CK93,Resultados!CT93,Resultados!DC93,Resultados!DL93,Resultados!DU93,Resultados!ED93)=0, "", AVERAGE(ABS(Resultados!H93),ABS(Resultados!Q93),ABS(Resultados!Z93),ABS(Resultados!AI93),ABS(Resultados!AR93),ABS(Resultados!BA93),ABS(Resultados!BJ93),ABS(Resultados!BS93),ABS(Resultados!CB93),ABS(Resultados!CK93),ABS(Resultados!CT93),ABS(Resultados!DC93),ABS(Resultados!DL93),ABS(Resultados!DU93),ABS(Resultados!ED93)))</f>
        <v>1.9539999999999998E-2</v>
      </c>
      <c r="I93">
        <f>IF(COUNT(Resultados!I93,Resultados!R93,Resultados!AA93,Resultados!AJ93,Resultados!AS93,Resultados!BB93,Resultados!BK93,Resultados!BT93,Resultados!CC93,Resultados!CL93,Resultados!CU93,Resultados!DD93,Resultados!DM93,Resultados!DV93,Resultados!EE93)=0, "", AVERAGE(ABS(Resultados!I93),ABS(Resultados!R93),ABS(Resultados!AA93),ABS(Resultados!AJ93),ABS(Resultados!AS93),ABS(Resultados!BB93),ABS(Resultados!BK93),ABS(Resultados!BT93),ABS(Resultados!CC93),ABS(Resultados!CL93),ABS(Resultados!CU93),ABS(Resultados!DD93),ABS(Resultados!DM93),ABS(Resultados!DV93),ABS(Resultados!EE93)))</f>
        <v>18.25228266666667</v>
      </c>
    </row>
    <row r="94" spans="1:9" x14ac:dyDescent="0.3">
      <c r="A94">
        <f>IF(COUNT(Resultados!A94,Resultados!J94,Resultados!S94,Resultados!AB94,Resultados!AK94,Resultados!AT94,Resultados!BC94,Resultados!BL94,Resultados!BU94,Resultados!CD94,Resultados!CM94,Resultados!CV94,Resultados!DE94,Resultados!DN94,Resultados!DW94)=0, "", AVERAGE(ABS(Resultados!A94),ABS(Resultados!J94),ABS(Resultados!S94),ABS(Resultados!AB94),ABS(Resultados!AK94),ABS(Resultados!AT94),ABS(Resultados!BC94),ABS(Resultados!BL94),ABS(Resultados!BU94),ABS(Resultados!CD94),ABS(Resultados!CM94),ABS(Resultados!CV94),ABS(Resultados!DE94),ABS(Resultados!DN94),ABS(Resultados!DW94)))</f>
        <v>45681</v>
      </c>
      <c r="B94" t="str">
        <f>IF(COUNT(Resultados!B94,Resultados!K94,Resultados!T94,Resultados!AC94,Resultados!AL94,Resultados!AU94,Resultados!BD94,Resultados!BM94,Resultados!BV94,Resultados!CE94,Resultados!CN94,Resultados!CW94,Resultados!DF94,Resultados!DO94,Resultados!DX94)=0, "", AVERAGE(ABS(Resultados!B94),ABS(Resultados!K94),ABS(Resultados!T94),ABS(Resultados!AC94),ABS(Resultados!AL94),ABS(Resultados!AU94),ABS(Resultados!BD94),ABS(Resultados!BM94),ABS(Resultados!BV94),ABS(Resultados!CE94),ABS(Resultados!CN94),ABS(Resultados!CW94),ABS(Resultados!DF94),ABS(Resultados!DO94),ABS(Resultados!DX94)))</f>
        <v/>
      </c>
      <c r="C94">
        <f>IF(COUNT(Resultados!C94,Resultados!L94,Resultados!U94,Resultados!AD94,Resultados!AM94,Resultados!AV94,Resultados!BE94,Resultados!BN94,Resultados!BW94,Resultados!CF94,Resultados!CO94,Resultados!CX94,Resultados!DG94,Resultados!DP94,Resultados!DY94)=0, "", AVERAGE(ABS(Resultados!C94),ABS(Resultados!L94),ABS(Resultados!U94),ABS(Resultados!AD94),ABS(Resultados!AM94),ABS(Resultados!AV94),ABS(Resultados!BE94),ABS(Resultados!BN94),ABS(Resultados!BW94),ABS(Resultados!CF94),ABS(Resultados!CO94),ABS(Resultados!CX94),ABS(Resultados!DG94),ABS(Resultados!DP94),ABS(Resultados!DY94)))</f>
        <v>3.0666666666666669</v>
      </c>
      <c r="D94">
        <f>IF(COUNT(Resultados!D94,Resultados!M94,Resultados!V94,Resultados!AE94,Resultados!AN94,Resultados!AW94,Resultados!BF94,Resultados!BO94,Resultados!BX94,Resultados!CG94,Resultados!CP94,Resultados!CY94,Resultados!DH94,Resultados!DQ94,Resultados!DZ94)=0, "", AVERAGE(ABS(Resultados!D94),ABS(Resultados!M94),ABS(Resultados!V94),ABS(Resultados!AE94),ABS(Resultados!AN94),ABS(Resultados!AW94),ABS(Resultados!BF94),ABS(Resultados!BO94),ABS(Resultados!BX94),ABS(Resultados!CG94),ABS(Resultados!CP94),ABS(Resultados!CY94),ABS(Resultados!DH94),ABS(Resultados!DQ94),ABS(Resultados!DZ94)))</f>
        <v>1.7846666666666663E-2</v>
      </c>
      <c r="E94">
        <f>IF(COUNT(Resultados!E94,Resultados!N94,Resultados!W94,Resultados!AF94,Resultados!AO94,Resultados!AX94,Resultados!BG94,Resultados!BP94,Resultados!BY94,Resultados!CH94,Resultados!CQ94,Resultados!CZ94,Resultados!DI94,Resultados!DR94,Resultados!EA94)=0, "", AVERAGE(ABS(Resultados!E94),ABS(Resultados!N94),ABS(Resultados!W94),ABS(Resultados!AF94),ABS(Resultados!AO94),ABS(Resultados!AX94),ABS(Resultados!BG94),ABS(Resultados!BP94),ABS(Resultados!BY94),ABS(Resultados!CH94),ABS(Resultados!CQ94),ABS(Resultados!CZ94),ABS(Resultados!DI94),ABS(Resultados!DR94),ABS(Resultados!EA94)))</f>
        <v>7.1621676523421787</v>
      </c>
      <c r="F94">
        <f>IF(COUNT(Resultados!F94,Resultados!O94,Resultados!X94,Resultados!AG94,Resultados!AP94,Resultados!AY94,Resultados!BH94,Resultados!BQ94,Resultados!BZ94,Resultados!CI94,Resultados!CR94,Resultados!DA94,Resultados!DJ94,Resultados!DS94,Resultados!EB94)=0, "", AVERAGE(ABS(Resultados!F94),ABS(Resultados!O94),ABS(Resultados!X94),ABS(Resultados!AG94),ABS(Resultados!AP94),ABS(Resultados!AY94),ABS(Resultados!BH94),ABS(Resultados!BQ94),ABS(Resultados!BZ94),ABS(Resultados!CI94),ABS(Resultados!CR94),ABS(Resultados!DA94),ABS(Resultados!DJ94),ABS(Resultados!DS94),ABS(Resultados!EB94)))</f>
        <v>722.44848801086368</v>
      </c>
      <c r="G94">
        <f>IF(COUNT(Resultados!G94,Resultados!P94,Resultados!Y94,Resultados!AH94,Resultados!AQ94,Resultados!AZ94,Resultados!BI94,Resultados!BR94,Resultados!CA94,Resultados!CJ94,Resultados!CS94,Resultados!DB94,Resultados!DK94,Resultados!DT94,Resultados!EC94)=0, "", AVERAGE(ABS(Resultados!G94),ABS(Resultados!P94),ABS(Resultados!Y94),ABS(Resultados!AH94),ABS(Resultados!AQ94),ABS(Resultados!AZ94),ABS(Resultados!BI94),ABS(Resultados!BR94),ABS(Resultados!CA94),ABS(Resultados!CJ94),ABS(Resultados!CS94),ABS(Resultados!DB94),ABS(Resultados!DK94),ABS(Resultados!DT94),ABS(Resultados!EC94)))</f>
        <v>0.42400000000000015</v>
      </c>
      <c r="H94">
        <f>IF(COUNT(Resultados!H94,Resultados!Q94,Resultados!Z94,Resultados!AI94,Resultados!AR94,Resultados!BA94,Resultados!BJ94,Resultados!BS94,Resultados!CB94,Resultados!CK94,Resultados!CT94,Resultados!DC94,Resultados!DL94,Resultados!DU94,Resultados!ED94)=0, "", AVERAGE(ABS(Resultados!H94),ABS(Resultados!Q94),ABS(Resultados!Z94),ABS(Resultados!AI94),ABS(Resultados!AR94),ABS(Resultados!BA94),ABS(Resultados!BJ94),ABS(Resultados!BS94),ABS(Resultados!CB94),ABS(Resultados!CK94),ABS(Resultados!CT94),ABS(Resultados!DC94),ABS(Resultados!DL94),ABS(Resultados!DU94),ABS(Resultados!ED94)))</f>
        <v>1.8133333333333328E-2</v>
      </c>
      <c r="I94">
        <f>IF(COUNT(Resultados!I94,Resultados!R94,Resultados!AA94,Resultados!AJ94,Resultados!AS94,Resultados!BB94,Resultados!BK94,Resultados!BT94,Resultados!CC94,Resultados!CL94,Resultados!CU94,Resultados!DD94,Resultados!DM94,Resultados!DV94,Resultados!EE94)=0, "", AVERAGE(ABS(Resultados!I94),ABS(Resultados!R94),ABS(Resultados!AA94),ABS(Resultados!AJ94),ABS(Resultados!AS94),ABS(Resultados!BB94),ABS(Resultados!BK94),ABS(Resultados!BT94),ABS(Resultados!CC94),ABS(Resultados!CL94),ABS(Resultados!CU94),ABS(Resultados!DD94),ABS(Resultados!DM94),ABS(Resultados!DV94),ABS(Resultados!EE94)))</f>
        <v>18.452434666666665</v>
      </c>
    </row>
    <row r="95" spans="1:9" x14ac:dyDescent="0.3">
      <c r="A95">
        <f>IF(COUNT(Resultados!A95,Resultados!J95,Resultados!S95,Resultados!AB95,Resultados!AK95,Resultados!AT95,Resultados!BC95,Resultados!BL95,Resultados!BU95,Resultados!CD95,Resultados!CM95,Resultados!CV95,Resultados!DE95,Resultados!DN95,Resultados!DW95)=0, "", AVERAGE(ABS(Resultados!A95),ABS(Resultados!J95),ABS(Resultados!S95),ABS(Resultados!AB95),ABS(Resultados!AK95),ABS(Resultados!AT95),ABS(Resultados!BC95),ABS(Resultados!BL95),ABS(Resultados!BU95),ABS(Resultados!CD95),ABS(Resultados!CM95),ABS(Resultados!CV95),ABS(Resultados!DE95),ABS(Resultados!DN95),ABS(Resultados!DW95)))</f>
        <v>45681</v>
      </c>
      <c r="B95" t="str">
        <f>IF(COUNT(Resultados!B95,Resultados!K95,Resultados!T95,Resultados!AC95,Resultados!AL95,Resultados!AU95,Resultados!BD95,Resultados!BM95,Resultados!BV95,Resultados!CE95,Resultados!CN95,Resultados!CW95,Resultados!DF95,Resultados!DO95,Resultados!DX95)=0, "", AVERAGE(ABS(Resultados!B95),ABS(Resultados!K95),ABS(Resultados!T95),ABS(Resultados!AC95),ABS(Resultados!AL95),ABS(Resultados!AU95),ABS(Resultados!BD95),ABS(Resultados!BM95),ABS(Resultados!BV95),ABS(Resultados!CE95),ABS(Resultados!CN95),ABS(Resultados!CW95),ABS(Resultados!DF95),ABS(Resultados!DO95),ABS(Resultados!DX95)))</f>
        <v/>
      </c>
      <c r="C95">
        <f>IF(COUNT(Resultados!C95,Resultados!L95,Resultados!U95,Resultados!AD95,Resultados!AM95,Resultados!AV95,Resultados!BE95,Resultados!BN95,Resultados!BW95,Resultados!CF95,Resultados!CO95,Resultados!CX95,Resultados!DG95,Resultados!DP95,Resultados!DY95)=0, "", AVERAGE(ABS(Resultados!C95),ABS(Resultados!L95),ABS(Resultados!U95),ABS(Resultados!AD95),ABS(Resultados!AM95),ABS(Resultados!AV95),ABS(Resultados!BE95),ABS(Resultados!BN95),ABS(Resultados!BW95),ABS(Resultados!CF95),ABS(Resultados!CO95),ABS(Resultados!CX95),ABS(Resultados!DG95),ABS(Resultados!DP95),ABS(Resultados!DY95)))</f>
        <v>3.0666666666666669</v>
      </c>
      <c r="D95">
        <f>IF(COUNT(Resultados!D95,Resultados!M95,Resultados!V95,Resultados!AE95,Resultados!AN95,Resultados!AW95,Resultados!BF95,Resultados!BO95,Resultados!BX95,Resultados!CG95,Resultados!CP95,Resultados!CY95,Resultados!DH95,Resultados!DQ95,Resultados!DZ95)=0, "", AVERAGE(ABS(Resultados!D95),ABS(Resultados!M95),ABS(Resultados!V95),ABS(Resultados!AE95),ABS(Resultados!AN95),ABS(Resultados!AW95),ABS(Resultados!BF95),ABS(Resultados!BO95),ABS(Resultados!BX95),ABS(Resultados!CG95),ABS(Resultados!CP95),ABS(Resultados!CY95),ABS(Resultados!DH95),ABS(Resultados!DQ95),ABS(Resultados!DZ95)))</f>
        <v>1.7706666666666662E-2</v>
      </c>
      <c r="E95">
        <f>IF(COUNT(Resultados!E95,Resultados!N95,Resultados!W95,Resultados!AF95,Resultados!AO95,Resultados!AX95,Resultados!BG95,Resultados!BP95,Resultados!BY95,Resultados!CH95,Resultados!CQ95,Resultados!CZ95,Resultados!DI95,Resultados!DR95,Resultados!EA95)=0, "", AVERAGE(ABS(Resultados!E95),ABS(Resultados!N95),ABS(Resultados!W95),ABS(Resultados!AF95),ABS(Resultados!AO95),ABS(Resultados!AX95),ABS(Resultados!BG95),ABS(Resultados!BP95),ABS(Resultados!BY95),ABS(Resultados!CH95),ABS(Resultados!CQ95),ABS(Resultados!CZ95),ABS(Resultados!DI95),ABS(Resultados!DR95),ABS(Resultados!EA95)))</f>
        <v>7.0249797597327062</v>
      </c>
      <c r="F95">
        <f>IF(COUNT(Resultados!F95,Resultados!O95,Resultados!X95,Resultados!AG95,Resultados!AP95,Resultados!AY95,Resultados!BH95,Resultados!BQ95,Resultados!BZ95,Resultados!CI95,Resultados!CR95,Resultados!DA95,Resultados!DJ95,Resultados!DS95,Resultados!EB95)=0, "", AVERAGE(ABS(Resultados!F95),ABS(Resultados!O95),ABS(Resultados!X95),ABS(Resultados!AG95),ABS(Resultados!AP95),ABS(Resultados!AY95),ABS(Resultados!BH95),ABS(Resultados!BQ95),ABS(Resultados!BZ95),ABS(Resultados!CI95),ABS(Resultados!CR95),ABS(Resultados!DA95),ABS(Resultados!DJ95),ABS(Resultados!DS95),ABS(Resultados!EB95)))</f>
        <v>709.67955687239998</v>
      </c>
      <c r="G95">
        <f>IF(COUNT(Resultados!G95,Resultados!P95,Resultados!Y95,Resultados!AH95,Resultados!AQ95,Resultados!AZ95,Resultados!BI95,Resultados!BR95,Resultados!CA95,Resultados!CJ95,Resultados!CS95,Resultados!DB95,Resultados!DK95,Resultados!DT95,Resultados!EC95)=0, "", AVERAGE(ABS(Resultados!G95),ABS(Resultados!P95),ABS(Resultados!Y95),ABS(Resultados!AH95),ABS(Resultados!AQ95),ABS(Resultados!AZ95),ABS(Resultados!BI95),ABS(Resultados!BR95),ABS(Resultados!CA95),ABS(Resultados!CJ95),ABS(Resultados!CS95),ABS(Resultados!DB95),ABS(Resultados!DK95),ABS(Resultados!DT95),ABS(Resultados!EC95)))</f>
        <v>0.42400000000000015</v>
      </c>
      <c r="H95">
        <f>IF(COUNT(Resultados!H95,Resultados!Q95,Resultados!Z95,Resultados!AI95,Resultados!AR95,Resultados!BA95,Resultados!BJ95,Resultados!BS95,Resultados!CB95,Resultados!CK95,Resultados!CT95,Resultados!DC95,Resultados!DL95,Resultados!DU95,Resultados!ED95)=0, "", AVERAGE(ABS(Resultados!H95),ABS(Resultados!Q95),ABS(Resultados!Z95),ABS(Resultados!AI95),ABS(Resultados!AR95),ABS(Resultados!BA95),ABS(Resultados!BJ95),ABS(Resultados!BS95),ABS(Resultados!CB95),ABS(Resultados!CK95),ABS(Resultados!CT95),ABS(Resultados!DC95),ABS(Resultados!DL95),ABS(Resultados!DU95),ABS(Resultados!ED95)))</f>
        <v>1.6006666666666662E-2</v>
      </c>
      <c r="I95">
        <f>IF(COUNT(Resultados!I95,Resultados!R95,Resultados!AA95,Resultados!AJ95,Resultados!AS95,Resultados!BB95,Resultados!BK95,Resultados!BT95,Resultados!CC95,Resultados!CL95,Resultados!CU95,Resultados!DD95,Resultados!DM95,Resultados!DV95,Resultados!EE95)=0, "", AVERAGE(ABS(Resultados!I95),ABS(Resultados!R95),ABS(Resultados!AA95),ABS(Resultados!AJ95),ABS(Resultados!AS95),ABS(Resultados!BB95),ABS(Resultados!BK95),ABS(Resultados!BT95),ABS(Resultados!CC95),ABS(Resultados!CL95),ABS(Resultados!CU95),ABS(Resultados!DD95),ABS(Resultados!DM95),ABS(Resultados!DV95),ABS(Resultados!EE95)))</f>
        <v>18.65192866666667</v>
      </c>
    </row>
    <row r="96" spans="1:9" x14ac:dyDescent="0.3">
      <c r="A96">
        <f>IF(COUNT(Resultados!A96,Resultados!J96,Resultados!S96,Resultados!AB96,Resultados!AK96,Resultados!AT96,Resultados!BC96,Resultados!BL96,Resultados!BU96,Resultados!CD96,Resultados!CM96,Resultados!CV96,Resultados!DE96,Resultados!DN96,Resultados!DW96)=0, "", AVERAGE(ABS(Resultados!A96),ABS(Resultados!J96),ABS(Resultados!S96),ABS(Resultados!AB96),ABS(Resultados!AK96),ABS(Resultados!AT96),ABS(Resultados!BC96),ABS(Resultados!BL96),ABS(Resultados!BU96),ABS(Resultados!CD96),ABS(Resultados!CM96),ABS(Resultados!CV96),ABS(Resultados!DE96),ABS(Resultados!DN96),ABS(Resultados!DW96)))</f>
        <v>45681</v>
      </c>
      <c r="B96" t="str">
        <f>IF(COUNT(Resultados!B96,Resultados!K96,Resultados!T96,Resultados!AC96,Resultados!AL96,Resultados!AU96,Resultados!BD96,Resultados!BM96,Resultados!BV96,Resultados!CE96,Resultados!CN96,Resultados!CW96,Resultados!DF96,Resultados!DO96,Resultados!DX96)=0, "", AVERAGE(ABS(Resultados!B96),ABS(Resultados!K96),ABS(Resultados!T96),ABS(Resultados!AC96),ABS(Resultados!AL96),ABS(Resultados!AU96),ABS(Resultados!BD96),ABS(Resultados!BM96),ABS(Resultados!BV96),ABS(Resultados!CE96),ABS(Resultados!CN96),ABS(Resultados!CW96),ABS(Resultados!DF96),ABS(Resultados!DO96),ABS(Resultados!DX96)))</f>
        <v/>
      </c>
      <c r="C96">
        <f>IF(COUNT(Resultados!C96,Resultados!L96,Resultados!U96,Resultados!AD96,Resultados!AM96,Resultados!AV96,Resultados!BE96,Resultados!BN96,Resultados!BW96,Resultados!CF96,Resultados!CO96,Resultados!CX96,Resultados!DG96,Resultados!DP96,Resultados!DY96)=0, "", AVERAGE(ABS(Resultados!C96),ABS(Resultados!L96),ABS(Resultados!U96),ABS(Resultados!AD96),ABS(Resultados!AM96),ABS(Resultados!AV96),ABS(Resultados!BE96),ABS(Resultados!BN96),ABS(Resultados!BW96),ABS(Resultados!CF96),ABS(Resultados!CO96),ABS(Resultados!CX96),ABS(Resultados!DG96),ABS(Resultados!DP96),ABS(Resultados!DY96)))</f>
        <v>3.0666666666666669</v>
      </c>
      <c r="D96">
        <f>IF(COUNT(Resultados!D96,Resultados!M96,Resultados!V96,Resultados!AE96,Resultados!AN96,Resultados!AW96,Resultados!BF96,Resultados!BO96,Resultados!BX96,Resultados!CG96,Resultados!CP96,Resultados!CY96,Resultados!DH96,Resultados!DQ96,Resultados!DZ96)=0, "", AVERAGE(ABS(Resultados!D96),ABS(Resultados!M96),ABS(Resultados!V96),ABS(Resultados!AE96),ABS(Resultados!AN96),ABS(Resultados!AW96),ABS(Resultados!BF96),ABS(Resultados!BO96),ABS(Resultados!BX96),ABS(Resultados!CG96),ABS(Resultados!CP96),ABS(Resultados!CY96),ABS(Resultados!DH96),ABS(Resultados!DQ96),ABS(Resultados!DZ96)))</f>
        <v>1.7233333333333333E-2</v>
      </c>
      <c r="E96">
        <f>IF(COUNT(Resultados!E96,Resultados!N96,Resultados!W96,Resultados!AF96,Resultados!AO96,Resultados!AX96,Resultados!BG96,Resultados!BP96,Resultados!BY96,Resultados!CH96,Resultados!CQ96,Resultados!CZ96,Resultados!DI96,Resultados!DR96,Resultados!EA96)=0, "", AVERAGE(ABS(Resultados!E96),ABS(Resultados!N96),ABS(Resultados!W96),ABS(Resultados!AF96),ABS(Resultados!AO96),ABS(Resultados!AX96),ABS(Resultados!BG96),ABS(Resultados!BP96),ABS(Resultados!BY96),ABS(Resultados!CH96),ABS(Resultados!CQ96),ABS(Resultados!CZ96),ABS(Resultados!DI96),ABS(Resultados!DR96),ABS(Resultados!EA96)))</f>
        <v>6.852440359160048</v>
      </c>
      <c r="F96">
        <f>IF(COUNT(Resultados!F96,Resultados!O96,Resultados!X96,Resultados!AG96,Resultados!AP96,Resultados!AY96,Resultados!BH96,Resultados!BQ96,Resultados!BZ96,Resultados!CI96,Resultados!CR96,Resultados!DA96,Resultados!DJ96,Resultados!DS96,Resultados!EB96)=0, "", AVERAGE(ABS(Resultados!F96),ABS(Resultados!O96),ABS(Resultados!X96),ABS(Resultados!AG96),ABS(Resultados!AP96),ABS(Resultados!AY96),ABS(Resultados!BH96),ABS(Resultados!BQ96),ABS(Resultados!BZ96),ABS(Resultados!CI96),ABS(Resultados!CR96),ABS(Resultados!DA96),ABS(Resultados!DJ96),ABS(Resultados!DS96),ABS(Resultados!EB96)))</f>
        <v>693.60978606882998</v>
      </c>
      <c r="G96">
        <f>IF(COUNT(Resultados!G96,Resultados!P96,Resultados!Y96,Resultados!AH96,Resultados!AQ96,Resultados!AZ96,Resultados!BI96,Resultados!BR96,Resultados!CA96,Resultados!CJ96,Resultados!CS96,Resultados!DB96,Resultados!DK96,Resultados!DT96,Resultados!EC96)=0, "", AVERAGE(ABS(Resultados!G96),ABS(Resultados!P96),ABS(Resultados!Y96),ABS(Resultados!AH96),ABS(Resultados!AQ96),ABS(Resultados!AZ96),ABS(Resultados!BI96),ABS(Resultados!BR96),ABS(Resultados!CA96),ABS(Resultados!CJ96),ABS(Resultados!CS96),ABS(Resultados!DB96),ABS(Resultados!DK96),ABS(Resultados!DT96),ABS(Resultados!EC96)))</f>
        <v>0.42400000000000015</v>
      </c>
      <c r="H96">
        <f>IF(COUNT(Resultados!H96,Resultados!Q96,Resultados!Z96,Resultados!AI96,Resultados!AR96,Resultados!BA96,Resultados!BJ96,Resultados!BS96,Resultados!CB96,Resultados!CK96,Resultados!CT96,Resultados!DC96,Resultados!DL96,Resultados!DU96,Resultados!ED96)=0, "", AVERAGE(ABS(Resultados!H96),ABS(Resultados!Q96),ABS(Resultados!Z96),ABS(Resultados!AI96),ABS(Resultados!AR96),ABS(Resultados!BA96),ABS(Resultados!BJ96),ABS(Resultados!BS96),ABS(Resultados!CB96),ABS(Resultados!CK96),ABS(Resultados!CT96),ABS(Resultados!DC96),ABS(Resultados!DL96),ABS(Resultados!DU96),ABS(Resultados!ED96)))</f>
        <v>1.3306666666666668E-2</v>
      </c>
      <c r="I96">
        <f>IF(COUNT(Resultados!I96,Resultados!R96,Resultados!AA96,Resultados!AJ96,Resultados!AS96,Resultados!BB96,Resultados!BK96,Resultados!BT96,Resultados!CC96,Resultados!CL96,Resultados!CU96,Resultados!DD96,Resultados!DM96,Resultados!DV96,Resultados!EE96)=0, "", AVERAGE(ABS(Resultados!I96),ABS(Resultados!R96),ABS(Resultados!AA96),ABS(Resultados!AJ96),ABS(Resultados!AS96),ABS(Resultados!BB96),ABS(Resultados!BK96),ABS(Resultados!BT96),ABS(Resultados!CC96),ABS(Resultados!CL96),ABS(Resultados!CU96),ABS(Resultados!DD96),ABS(Resultados!DM96),ABS(Resultados!DV96),ABS(Resultados!EE96)))</f>
        <v>18.852327333333335</v>
      </c>
    </row>
    <row r="97" spans="1:9" x14ac:dyDescent="0.3">
      <c r="A97">
        <f>IF(COUNT(Resultados!A97,Resultados!J97,Resultados!S97,Resultados!AB97,Resultados!AK97,Resultados!AT97,Resultados!BC97,Resultados!BL97,Resultados!BU97,Resultados!CD97,Resultados!CM97,Resultados!CV97,Resultados!DE97,Resultados!DN97,Resultados!DW97)=0, "", AVERAGE(ABS(Resultados!A97),ABS(Resultados!J97),ABS(Resultados!S97),ABS(Resultados!AB97),ABS(Resultados!AK97),ABS(Resultados!AT97),ABS(Resultados!BC97),ABS(Resultados!BL97),ABS(Resultados!BU97),ABS(Resultados!CD97),ABS(Resultados!CM97),ABS(Resultados!CV97),ABS(Resultados!DE97),ABS(Resultados!DN97),ABS(Resultados!DW97)))</f>
        <v>45681</v>
      </c>
      <c r="B97" t="str">
        <f>IF(COUNT(Resultados!B97,Resultados!K97,Resultados!T97,Resultados!AC97,Resultados!AL97,Resultados!AU97,Resultados!BD97,Resultados!BM97,Resultados!BV97,Resultados!CE97,Resultados!CN97,Resultados!CW97,Resultados!DF97,Resultados!DO97,Resultados!DX97)=0, "", AVERAGE(ABS(Resultados!B97),ABS(Resultados!K97),ABS(Resultados!T97),ABS(Resultados!AC97),ABS(Resultados!AL97),ABS(Resultados!AU97),ABS(Resultados!BD97),ABS(Resultados!BM97),ABS(Resultados!BV97),ABS(Resultados!CE97),ABS(Resultados!CN97),ABS(Resultados!CW97),ABS(Resultados!DF97),ABS(Resultados!DO97),ABS(Resultados!DX97)))</f>
        <v/>
      </c>
      <c r="C97">
        <f>IF(COUNT(Resultados!C97,Resultados!L97,Resultados!U97,Resultados!AD97,Resultados!AM97,Resultados!AV97,Resultados!BE97,Resultados!BN97,Resultados!BW97,Resultados!CF97,Resultados!CO97,Resultados!CX97,Resultados!DG97,Resultados!DP97,Resultados!DY97)=0, "", AVERAGE(ABS(Resultados!C97),ABS(Resultados!L97),ABS(Resultados!U97),ABS(Resultados!AD97),ABS(Resultados!AM97),ABS(Resultados!AV97),ABS(Resultados!BE97),ABS(Resultados!BN97),ABS(Resultados!BW97),ABS(Resultados!CF97),ABS(Resultados!CO97),ABS(Resultados!CX97),ABS(Resultados!DG97),ABS(Resultados!DP97),ABS(Resultados!DY97)))</f>
        <v>3.1333333333333333</v>
      </c>
      <c r="D97">
        <f>IF(COUNT(Resultados!D97,Resultados!M97,Resultados!V97,Resultados!AE97,Resultados!AN97,Resultados!AW97,Resultados!BF97,Resultados!BO97,Resultados!BX97,Resultados!CG97,Resultados!CP97,Resultados!CY97,Resultados!DH97,Resultados!DQ97,Resultados!DZ97)=0, "", AVERAGE(ABS(Resultados!D97),ABS(Resultados!M97),ABS(Resultados!V97),ABS(Resultados!AE97),ABS(Resultados!AN97),ABS(Resultados!AW97),ABS(Resultados!BF97),ABS(Resultados!BO97),ABS(Resultados!BX97),ABS(Resultados!CG97),ABS(Resultados!CP97),ABS(Resultados!CY97),ABS(Resultados!DH97),ABS(Resultados!DQ97),ABS(Resultados!DZ97)))</f>
        <v>1.6086666666666669E-2</v>
      </c>
      <c r="E97">
        <f>IF(COUNT(Resultados!E97,Resultados!N97,Resultados!W97,Resultados!AF97,Resultados!AO97,Resultados!AX97,Resultados!BG97,Resultados!BP97,Resultados!BY97,Resultados!CH97,Resultados!CQ97,Resultados!CZ97,Resultados!DI97,Resultados!DR97,Resultados!EA97)=0, "", AVERAGE(ABS(Resultados!E97),ABS(Resultados!N97),ABS(Resultados!W97),ABS(Resultados!AF97),ABS(Resultados!AO97),ABS(Resultados!AX97),ABS(Resultados!BG97),ABS(Resultados!BP97),ABS(Resultados!BY97),ABS(Resultados!CH97),ABS(Resultados!CQ97),ABS(Resultados!CZ97),ABS(Resultados!DI97),ABS(Resultados!DR97),ABS(Resultados!EA97)))</f>
        <v>6.6628276233115749</v>
      </c>
      <c r="F97">
        <f>IF(COUNT(Resultados!F97,Resultados!O97,Resultados!X97,Resultados!AG97,Resultados!AP97,Resultados!AY97,Resultados!BH97,Resultados!BQ97,Resultados!BZ97,Resultados!CI97,Resultados!CR97,Resultados!DA97,Resultados!DJ97,Resultados!DS97,Resultados!EB97)=0, "", AVERAGE(ABS(Resultados!F97),ABS(Resultados!O97),ABS(Resultados!X97),ABS(Resultados!AG97),ABS(Resultados!AP97),ABS(Resultados!AY97),ABS(Resultados!BH97),ABS(Resultados!BQ97),ABS(Resultados!BZ97),ABS(Resultados!CI97),ABS(Resultados!CR97),ABS(Resultados!DA97),ABS(Resultados!DJ97),ABS(Resultados!DS97),ABS(Resultados!EB97)))</f>
        <v>675.94156169744781</v>
      </c>
      <c r="G97">
        <f>IF(COUNT(Resultados!G97,Resultados!P97,Resultados!Y97,Resultados!AH97,Resultados!AQ97,Resultados!AZ97,Resultados!BI97,Resultados!BR97,Resultados!CA97,Resultados!CJ97,Resultados!CS97,Resultados!DB97,Resultados!DK97,Resultados!DT97,Resultados!EC97)=0, "", AVERAGE(ABS(Resultados!G97),ABS(Resultados!P97),ABS(Resultados!Y97),ABS(Resultados!AH97),ABS(Resultados!AQ97),ABS(Resultados!AZ97),ABS(Resultados!BI97),ABS(Resultados!BR97),ABS(Resultados!CA97),ABS(Resultados!CJ97),ABS(Resultados!CS97),ABS(Resultados!DB97),ABS(Resultados!DK97),ABS(Resultados!DT97),ABS(Resultados!EC97)))</f>
        <v>0.42400000000000015</v>
      </c>
      <c r="H97">
        <f>IF(COUNT(Resultados!H97,Resultados!Q97,Resultados!Z97,Resultados!AI97,Resultados!AR97,Resultados!BA97,Resultados!BJ97,Resultados!BS97,Resultados!CB97,Resultados!CK97,Resultados!CT97,Resultados!DC97,Resultados!DL97,Resultados!DU97,Resultados!ED97)=0, "", AVERAGE(ABS(Resultados!H97),ABS(Resultados!Q97),ABS(Resultados!Z97),ABS(Resultados!AI97),ABS(Resultados!AR97),ABS(Resultados!BA97),ABS(Resultados!BJ97),ABS(Resultados!BS97),ABS(Resultados!CB97),ABS(Resultados!CK97),ABS(Resultados!CT97),ABS(Resultados!DC97),ABS(Resultados!DL97),ABS(Resultados!DU97),ABS(Resultados!ED97)))</f>
        <v>1.0359999999999998E-2</v>
      </c>
      <c r="I97">
        <f>IF(COUNT(Resultados!I97,Resultados!R97,Resultados!AA97,Resultados!AJ97,Resultados!AS97,Resultados!BB97,Resultados!BK97,Resultados!BT97,Resultados!CC97,Resultados!CL97,Resultados!CU97,Resultados!DD97,Resultados!DM97,Resultados!DV97,Resultados!EE97)=0, "", AVERAGE(ABS(Resultados!I97),ABS(Resultados!R97),ABS(Resultados!AA97),ABS(Resultados!AJ97),ABS(Resultados!AS97),ABS(Resultados!BB97),ABS(Resultados!BK97),ABS(Resultados!BT97),ABS(Resultados!CC97),ABS(Resultados!CL97),ABS(Resultados!CU97),ABS(Resultados!DD97),ABS(Resultados!DM97),ABS(Resultados!DV97),ABS(Resultados!EE97)))</f>
        <v>19.051965333333332</v>
      </c>
    </row>
    <row r="98" spans="1:9" x14ac:dyDescent="0.3">
      <c r="A98">
        <f>IF(COUNT(Resultados!A98,Resultados!J98,Resultados!S98,Resultados!AB98,Resultados!AK98,Resultados!AT98,Resultados!BC98,Resultados!BL98,Resultados!BU98,Resultados!CD98,Resultados!CM98,Resultados!CV98,Resultados!DE98,Resultados!DN98,Resultados!DW98)=0, "", AVERAGE(ABS(Resultados!A98),ABS(Resultados!J98),ABS(Resultados!S98),ABS(Resultados!AB98),ABS(Resultados!AK98),ABS(Resultados!AT98),ABS(Resultados!BC98),ABS(Resultados!BL98),ABS(Resultados!BU98),ABS(Resultados!CD98),ABS(Resultados!CM98),ABS(Resultados!CV98),ABS(Resultados!DE98),ABS(Resultados!DN98),ABS(Resultados!DW98)))</f>
        <v>45681</v>
      </c>
      <c r="B98" t="str">
        <f>IF(COUNT(Resultados!B98,Resultados!K98,Resultados!T98,Resultados!AC98,Resultados!AL98,Resultados!AU98,Resultados!BD98,Resultados!BM98,Resultados!BV98,Resultados!CE98,Resultados!CN98,Resultados!CW98,Resultados!DF98,Resultados!DO98,Resultados!DX98)=0, "", AVERAGE(ABS(Resultados!B98),ABS(Resultados!K98),ABS(Resultados!T98),ABS(Resultados!AC98),ABS(Resultados!AL98),ABS(Resultados!AU98),ABS(Resultados!BD98),ABS(Resultados!BM98),ABS(Resultados!BV98),ABS(Resultados!CE98),ABS(Resultados!CN98),ABS(Resultados!CW98),ABS(Resultados!DF98),ABS(Resultados!DO98),ABS(Resultados!DX98)))</f>
        <v/>
      </c>
      <c r="C98">
        <f>IF(COUNT(Resultados!C98,Resultados!L98,Resultados!U98,Resultados!AD98,Resultados!AM98,Resultados!AV98,Resultados!BE98,Resultados!BN98,Resultados!BW98,Resultados!CF98,Resultados!CO98,Resultados!CX98,Resultados!DG98,Resultados!DP98,Resultados!DY98)=0, "", AVERAGE(ABS(Resultados!C98),ABS(Resultados!L98),ABS(Resultados!U98),ABS(Resultados!AD98),ABS(Resultados!AM98),ABS(Resultados!AV98),ABS(Resultados!BE98),ABS(Resultados!BN98),ABS(Resultados!BW98),ABS(Resultados!CF98),ABS(Resultados!CO98),ABS(Resultados!CX98),ABS(Resultados!DG98),ABS(Resultados!DP98),ABS(Resultados!DY98)))</f>
        <v>3.2</v>
      </c>
      <c r="D98">
        <f>IF(COUNT(Resultados!D98,Resultados!M98,Resultados!V98,Resultados!AE98,Resultados!AN98,Resultados!AW98,Resultados!BF98,Resultados!BO98,Resultados!BX98,Resultados!CG98,Resultados!CP98,Resultados!CY98,Resultados!DH98,Resultados!DQ98,Resultados!DZ98)=0, "", AVERAGE(ABS(Resultados!D98),ABS(Resultados!M98),ABS(Resultados!V98),ABS(Resultados!AE98),ABS(Resultados!AN98),ABS(Resultados!AW98),ABS(Resultados!BF98),ABS(Resultados!BO98),ABS(Resultados!BX98),ABS(Resultados!CG98),ABS(Resultados!CP98),ABS(Resultados!CY98),ABS(Resultados!DH98),ABS(Resultados!DQ98),ABS(Resultados!DZ98)))</f>
        <v>1.3853333333333336E-2</v>
      </c>
      <c r="E98">
        <f>IF(COUNT(Resultados!E98,Resultados!N98,Resultados!W98,Resultados!AF98,Resultados!AO98,Resultados!AX98,Resultados!BG98,Resultados!BP98,Resultados!BY98,Resultados!CH98,Resultados!CQ98,Resultados!CZ98,Resultados!DI98,Resultados!DR98,Resultados!EA98)=0, "", AVERAGE(ABS(Resultados!E98),ABS(Resultados!N98),ABS(Resultados!W98),ABS(Resultados!AF98),ABS(Resultados!AO98),ABS(Resultados!AX98),ABS(Resultados!BG98),ABS(Resultados!BP98),ABS(Resultados!BY98),ABS(Resultados!CH98),ABS(Resultados!CQ98),ABS(Resultados!CZ98),ABS(Resultados!DI98),ABS(Resultados!DR98),ABS(Resultados!EA98)))</f>
        <v>6.4731360288085122</v>
      </c>
      <c r="F98">
        <f>IF(COUNT(Resultados!F98,Resultados!O98,Resultados!X98,Resultados!AG98,Resultados!AP98,Resultados!AY98,Resultados!BH98,Resultados!BQ98,Resultados!BZ98,Resultados!CI98,Resultados!CR98,Resultados!DA98,Resultados!DJ98,Resultados!DS98,Resultados!EB98)=0, "", AVERAGE(ABS(Resultados!F98),ABS(Resultados!O98),ABS(Resultados!X98),ABS(Resultados!AG98),ABS(Resultados!AP98),ABS(Resultados!AY98),ABS(Resultados!BH98),ABS(Resultados!BQ98),ABS(Resultados!BZ98),ABS(Resultados!CI98),ABS(Resultados!CR98),ABS(Resultados!DA98),ABS(Resultados!DJ98),ABS(Resultados!DS98),ABS(Resultados!EB98)))</f>
        <v>651.29627788495316</v>
      </c>
      <c r="G98">
        <f>IF(COUNT(Resultados!G98,Resultados!P98,Resultados!Y98,Resultados!AH98,Resultados!AQ98,Resultados!AZ98,Resultados!BI98,Resultados!BR98,Resultados!CA98,Resultados!CJ98,Resultados!CS98,Resultados!DB98,Resultados!DK98,Resultados!DT98,Resultados!EC98)=0, "", AVERAGE(ABS(Resultados!G98),ABS(Resultados!P98),ABS(Resultados!Y98),ABS(Resultados!AH98),ABS(Resultados!AQ98),ABS(Resultados!AZ98),ABS(Resultados!BI98),ABS(Resultados!BR98),ABS(Resultados!CA98),ABS(Resultados!CJ98),ABS(Resultados!CS98),ABS(Resultados!DB98),ABS(Resultados!DK98),ABS(Resultados!DT98),ABS(Resultados!EC98)))</f>
        <v>0.42400000000000015</v>
      </c>
      <c r="H98">
        <f>IF(COUNT(Resultados!H98,Resultados!Q98,Resultados!Z98,Resultados!AI98,Resultados!AR98,Resultados!BA98,Resultados!BJ98,Resultados!BS98,Resultados!CB98,Resultados!CK98,Resultados!CT98,Resultados!DC98,Resultados!DL98,Resultados!DU98,Resultados!ED98)=0, "", AVERAGE(ABS(Resultados!H98),ABS(Resultados!Q98),ABS(Resultados!Z98),ABS(Resultados!AI98),ABS(Resultados!AR98),ABS(Resultados!BA98),ABS(Resultados!BJ98),ABS(Resultados!BS98),ABS(Resultados!CB98),ABS(Resultados!CK98),ABS(Resultados!CT98),ABS(Resultados!DC98),ABS(Resultados!DL98),ABS(Resultados!DU98),ABS(Resultados!ED98)))</f>
        <v>7.4133333333333325E-3</v>
      </c>
      <c r="I98">
        <f>IF(COUNT(Resultados!I98,Resultados!R98,Resultados!AA98,Resultados!AJ98,Resultados!AS98,Resultados!BB98,Resultados!BK98,Resultados!BT98,Resultados!CC98,Resultados!CL98,Resultados!CU98,Resultados!DD98,Resultados!DM98,Resultados!DV98,Resultados!EE98)=0, "", AVERAGE(ABS(Resultados!I98),ABS(Resultados!R98),ABS(Resultados!AA98),ABS(Resultados!AJ98),ABS(Resultados!AS98),ABS(Resultados!BB98),ABS(Resultados!BK98),ABS(Resultados!BT98),ABS(Resultados!CC98),ABS(Resultados!CL98),ABS(Resultados!CU98),ABS(Resultados!DD98),ABS(Resultados!DM98),ABS(Resultados!DV98),ABS(Resultados!EE98)))</f>
        <v>19.252576666666673</v>
      </c>
    </row>
    <row r="99" spans="1:9" x14ac:dyDescent="0.3">
      <c r="A99">
        <f>IF(COUNT(Resultados!A99,Resultados!J99,Resultados!S99,Resultados!AB99,Resultados!AK99,Resultados!AT99,Resultados!BC99,Resultados!BL99,Resultados!BU99,Resultados!CD99,Resultados!CM99,Resultados!CV99,Resultados!DE99,Resultados!DN99,Resultados!DW99)=0, "", AVERAGE(ABS(Resultados!A99),ABS(Resultados!J99),ABS(Resultados!S99),ABS(Resultados!AB99),ABS(Resultados!AK99),ABS(Resultados!AT99),ABS(Resultados!BC99),ABS(Resultados!BL99),ABS(Resultados!BU99),ABS(Resultados!CD99),ABS(Resultados!CM99),ABS(Resultados!CV99),ABS(Resultados!DE99),ABS(Resultados!DN99),ABS(Resultados!DW99)))</f>
        <v>45681</v>
      </c>
      <c r="B99" t="str">
        <f>IF(COUNT(Resultados!B99,Resultados!K99,Resultados!T99,Resultados!AC99,Resultados!AL99,Resultados!AU99,Resultados!BD99,Resultados!BM99,Resultados!BV99,Resultados!CE99,Resultados!CN99,Resultados!CW99,Resultados!DF99,Resultados!DO99,Resultados!DX99)=0, "", AVERAGE(ABS(Resultados!B99),ABS(Resultados!K99),ABS(Resultados!T99),ABS(Resultados!AC99),ABS(Resultados!AL99),ABS(Resultados!AU99),ABS(Resultados!BD99),ABS(Resultados!BM99),ABS(Resultados!BV99),ABS(Resultados!CE99),ABS(Resultados!CN99),ABS(Resultados!CW99),ABS(Resultados!DF99),ABS(Resultados!DO99),ABS(Resultados!DX99)))</f>
        <v/>
      </c>
      <c r="C99">
        <f>IF(COUNT(Resultados!C99,Resultados!L99,Resultados!U99,Resultados!AD99,Resultados!AM99,Resultados!AV99,Resultados!BE99,Resultados!BN99,Resultados!BW99,Resultados!CF99,Resultados!CO99,Resultados!CX99,Resultados!DG99,Resultados!DP99,Resultados!DY99)=0, "", AVERAGE(ABS(Resultados!C99),ABS(Resultados!L99),ABS(Resultados!U99),ABS(Resultados!AD99),ABS(Resultados!AM99),ABS(Resultados!AV99),ABS(Resultados!BE99),ABS(Resultados!BN99),ABS(Resultados!BW99),ABS(Resultados!CF99),ABS(Resultados!CO99),ABS(Resultados!CX99),ABS(Resultados!DG99),ABS(Resultados!DP99),ABS(Resultados!DY99)))</f>
        <v>3.2</v>
      </c>
      <c r="D99">
        <f>IF(COUNT(Resultados!D99,Resultados!M99,Resultados!V99,Resultados!AE99,Resultados!AN99,Resultados!AW99,Resultados!BF99,Resultados!BO99,Resultados!BX99,Resultados!CG99,Resultados!CP99,Resultados!CY99,Resultados!DH99,Resultados!DQ99,Resultados!DZ99)=0, "", AVERAGE(ABS(Resultados!D99),ABS(Resultados!M99),ABS(Resultados!V99),ABS(Resultados!AE99),ABS(Resultados!AN99),ABS(Resultados!AW99),ABS(Resultados!BF99),ABS(Resultados!BO99),ABS(Resultados!BX99),ABS(Resultados!CG99),ABS(Resultados!CP99),ABS(Resultados!CY99),ABS(Resultados!DH99),ABS(Resultados!DQ99),ABS(Resultados!DZ99)))</f>
        <v>1.0526666666666667E-2</v>
      </c>
      <c r="E99">
        <f>IF(COUNT(Resultados!E99,Resultados!N99,Resultados!W99,Resultados!AF99,Resultados!AO99,Resultados!AX99,Resultados!BG99,Resultados!BP99,Resultados!BY99,Resultados!CH99,Resultados!CQ99,Resultados!CZ99,Resultados!DI99,Resultados!DR99,Resultados!EA99)=0, "", AVERAGE(ABS(Resultados!E99),ABS(Resultados!N99),ABS(Resultados!W99),ABS(Resultados!AF99),ABS(Resultados!AO99),ABS(Resultados!AX99),ABS(Resultados!BG99),ABS(Resultados!BP99),ABS(Resultados!BY99),ABS(Resultados!CH99),ABS(Resultados!CQ99),ABS(Resultados!CZ99),ABS(Resultados!DI99),ABS(Resultados!DR99),ABS(Resultados!EA99)))</f>
        <v>6.3037530823267707</v>
      </c>
      <c r="F99">
        <f>IF(COUNT(Resultados!F99,Resultados!O99,Resultados!X99,Resultados!AG99,Resultados!AP99,Resultados!AY99,Resultados!BH99,Resultados!BQ99,Resultados!BZ99,Resultados!CI99,Resultados!CR99,Resultados!DA99,Resultados!DJ99,Resultados!DS99,Resultados!EB99)=0, "", AVERAGE(ABS(Resultados!F99),ABS(Resultados!O99),ABS(Resultados!X99),ABS(Resultados!AG99),ABS(Resultados!AP99),ABS(Resultados!AY99),ABS(Resultados!BH99),ABS(Resultados!BQ99),ABS(Resultados!BZ99),ABS(Resultados!CI99),ABS(Resultados!CR99),ABS(Resultados!DA99),ABS(Resultados!DJ99),ABS(Resultados!DS99),ABS(Resultados!EB99)))</f>
        <v>635.50978727285519</v>
      </c>
      <c r="G99">
        <f>IF(COUNT(Resultados!G99,Resultados!P99,Resultados!Y99,Resultados!AH99,Resultados!AQ99,Resultados!AZ99,Resultados!BI99,Resultados!BR99,Resultados!CA99,Resultados!CJ99,Resultados!CS99,Resultados!DB99,Resultados!DK99,Resultados!DT99,Resultados!EC99)=0, "", AVERAGE(ABS(Resultados!G99),ABS(Resultados!P99),ABS(Resultados!Y99),ABS(Resultados!AH99),ABS(Resultados!AQ99),ABS(Resultados!AZ99),ABS(Resultados!BI99),ABS(Resultados!BR99),ABS(Resultados!CA99),ABS(Resultados!CJ99),ABS(Resultados!CS99),ABS(Resultados!DB99),ABS(Resultados!DK99),ABS(Resultados!DT99),ABS(Resultados!EC99)))</f>
        <v>0.42400000000000015</v>
      </c>
      <c r="H99">
        <f>IF(COUNT(Resultados!H99,Resultados!Q99,Resultados!Z99,Resultados!AI99,Resultados!AR99,Resultados!BA99,Resultados!BJ99,Resultados!BS99,Resultados!CB99,Resultados!CK99,Resultados!CT99,Resultados!DC99,Resultados!DL99,Resultados!DU99,Resultados!ED99)=0, "", AVERAGE(ABS(Resultados!H99),ABS(Resultados!Q99),ABS(Resultados!Z99),ABS(Resultados!AI99),ABS(Resultados!AR99),ABS(Resultados!BA99),ABS(Resultados!BJ99),ABS(Resultados!BS99),ABS(Resultados!CB99),ABS(Resultados!CK99),ABS(Resultados!CT99),ABS(Resultados!DC99),ABS(Resultados!DL99),ABS(Resultados!DU99),ABS(Resultados!ED99)))</f>
        <v>4.7733333333333326E-3</v>
      </c>
      <c r="I99">
        <f>IF(COUNT(Resultados!I99,Resultados!R99,Resultados!AA99,Resultados!AJ99,Resultados!AS99,Resultados!BB99,Resultados!BK99,Resultados!BT99,Resultados!CC99,Resultados!CL99,Resultados!CU99,Resultados!DD99,Resultados!DM99,Resultados!DV99,Resultados!EE99)=0, "", AVERAGE(ABS(Resultados!I99),ABS(Resultados!R99),ABS(Resultados!AA99),ABS(Resultados!AJ99),ABS(Resultados!AS99),ABS(Resultados!BB99),ABS(Resultados!BK99),ABS(Resultados!BT99),ABS(Resultados!CC99),ABS(Resultados!CL99),ABS(Resultados!CU99),ABS(Resultados!DD99),ABS(Resultados!DM99),ABS(Resultados!DV99),ABS(Resultados!EE99)))</f>
        <v>19.452147333333343</v>
      </c>
    </row>
    <row r="100" spans="1:9" x14ac:dyDescent="0.3">
      <c r="A100">
        <f>IF(COUNT(Resultados!A100,Resultados!J100,Resultados!S100,Resultados!AB100,Resultados!AK100,Resultados!AT100,Resultados!BC100,Resultados!BL100,Resultados!BU100,Resultados!CD100,Resultados!CM100,Resultados!CV100,Resultados!DE100,Resultados!DN100,Resultados!DW100)=0, "", AVERAGE(ABS(Resultados!A100),ABS(Resultados!J100),ABS(Resultados!S100),ABS(Resultados!AB100),ABS(Resultados!AK100),ABS(Resultados!AT100),ABS(Resultados!BC100),ABS(Resultados!BL100),ABS(Resultados!BU100),ABS(Resultados!CD100),ABS(Resultados!CM100),ABS(Resultados!CV100),ABS(Resultados!DE100),ABS(Resultados!DN100),ABS(Resultados!DW100)))</f>
        <v>45681</v>
      </c>
      <c r="B100" t="str">
        <f>IF(COUNT(Resultados!B100,Resultados!K100,Resultados!T100,Resultados!AC100,Resultados!AL100,Resultados!AU100,Resultados!BD100,Resultados!BM100,Resultados!BV100,Resultados!CE100,Resultados!CN100,Resultados!CW100,Resultados!DF100,Resultados!DO100,Resultados!DX100)=0, "", AVERAGE(ABS(Resultados!B100),ABS(Resultados!K100),ABS(Resultados!T100),ABS(Resultados!AC100),ABS(Resultados!AL100),ABS(Resultados!AU100),ABS(Resultados!BD100),ABS(Resultados!BM100),ABS(Resultados!BV100),ABS(Resultados!CE100),ABS(Resultados!CN100),ABS(Resultados!CW100),ABS(Resultados!DF100),ABS(Resultados!DO100),ABS(Resultados!DX100)))</f>
        <v/>
      </c>
      <c r="C100">
        <f>IF(COUNT(Resultados!C100,Resultados!L100,Resultados!U100,Resultados!AD100,Resultados!AM100,Resultados!AV100,Resultados!BE100,Resultados!BN100,Resultados!BW100,Resultados!CF100,Resultados!CO100,Resultados!CX100,Resultados!DG100,Resultados!DP100,Resultados!DY100)=0, "", AVERAGE(ABS(Resultados!C100),ABS(Resultados!L100),ABS(Resultados!U100),ABS(Resultados!AD100),ABS(Resultados!AM100),ABS(Resultados!AV100),ABS(Resultados!BE100),ABS(Resultados!BN100),ABS(Resultados!BW100),ABS(Resultados!CF100),ABS(Resultados!CO100),ABS(Resultados!CX100),ABS(Resultados!DG100),ABS(Resultados!DP100),ABS(Resultados!DY100)))</f>
        <v>3.2</v>
      </c>
      <c r="D100">
        <f>IF(COUNT(Resultados!D100,Resultados!M100,Resultados!V100,Resultados!AE100,Resultados!AN100,Resultados!AW100,Resultados!BF100,Resultados!BO100,Resultados!BX100,Resultados!CG100,Resultados!CP100,Resultados!CY100,Resultados!DH100,Resultados!DQ100,Resultados!DZ100)=0, "", AVERAGE(ABS(Resultados!D100),ABS(Resultados!M100),ABS(Resultados!V100),ABS(Resultados!AE100),ABS(Resultados!AN100),ABS(Resultados!AW100),ABS(Resultados!BF100),ABS(Resultados!BO100),ABS(Resultados!BX100),ABS(Resultados!CG100),ABS(Resultados!CP100),ABS(Resultados!CY100),ABS(Resultados!DH100),ABS(Resultados!DQ100),ABS(Resultados!DZ100)))</f>
        <v>6.966666666666667E-3</v>
      </c>
      <c r="E100">
        <f>IF(COUNT(Resultados!E100,Resultados!N100,Resultados!W100,Resultados!AF100,Resultados!AO100,Resultados!AX100,Resultados!BG100,Resultados!BP100,Resultados!BY100,Resultados!CH100,Resultados!CQ100,Resultados!CZ100,Resultados!DI100,Resultados!DR100,Resultados!EA100)=0, "", AVERAGE(ABS(Resultados!E100),ABS(Resultados!N100),ABS(Resultados!W100),ABS(Resultados!AF100),ABS(Resultados!AO100),ABS(Resultados!AX100),ABS(Resultados!BG100),ABS(Resultados!BP100),ABS(Resultados!BY100),ABS(Resultados!CH100),ABS(Resultados!CQ100),ABS(Resultados!CZ100),ABS(Resultados!DI100),ABS(Resultados!DR100),ABS(Resultados!EA100)))</f>
        <v>6.1699862616795222</v>
      </c>
      <c r="F100">
        <f>IF(COUNT(Resultados!F100,Resultados!O100,Resultados!X100,Resultados!AG100,Resultados!AP100,Resultados!AY100,Resultados!BH100,Resultados!BQ100,Resultados!BZ100,Resultados!CI100,Resultados!CR100,Resultados!DA100,Resultados!DJ100,Resultados!DS100,Resultados!EB100)=0, "", AVERAGE(ABS(Resultados!F100),ABS(Resultados!O100),ABS(Resultados!X100),ABS(Resultados!AG100),ABS(Resultados!AP100),ABS(Resultados!AY100),ABS(Resultados!BH100),ABS(Resultados!BQ100),ABS(Resultados!BZ100),ABS(Resultados!CI100),ABS(Resultados!CR100),ABS(Resultados!DA100),ABS(Resultados!DJ100),ABS(Resultados!DS100),ABS(Resultados!EB100)))</f>
        <v>623.04271958853144</v>
      </c>
      <c r="G100">
        <f>IF(COUNT(Resultados!G100,Resultados!P100,Resultados!Y100,Resultados!AH100,Resultados!AQ100,Resultados!AZ100,Resultados!BI100,Resultados!BR100,Resultados!CA100,Resultados!CJ100,Resultados!CS100,Resultados!DB100,Resultados!DK100,Resultados!DT100,Resultados!EC100)=0, "", AVERAGE(ABS(Resultados!G100),ABS(Resultados!P100),ABS(Resultados!Y100),ABS(Resultados!AH100),ABS(Resultados!AQ100),ABS(Resultados!AZ100),ABS(Resultados!BI100),ABS(Resultados!BR100),ABS(Resultados!CA100),ABS(Resultados!CJ100),ABS(Resultados!CS100),ABS(Resultados!DB100),ABS(Resultados!DK100),ABS(Resultados!DT100),ABS(Resultados!EC100)))</f>
        <v>0.42400000000000015</v>
      </c>
      <c r="H100">
        <f>IF(COUNT(Resultados!H100,Resultados!Q100,Resultados!Z100,Resultados!AI100,Resultados!AR100,Resultados!BA100,Resultados!BJ100,Resultados!BS100,Resultados!CB100,Resultados!CK100,Resultados!CT100,Resultados!DC100,Resultados!DL100,Resultados!DU100,Resultados!ED100)=0, "", AVERAGE(ABS(Resultados!H100),ABS(Resultados!Q100),ABS(Resultados!Z100),ABS(Resultados!AI100),ABS(Resultados!AR100),ABS(Resultados!BA100),ABS(Resultados!BJ100),ABS(Resultados!BS100),ABS(Resultados!CB100),ABS(Resultados!CK100),ABS(Resultados!CT100),ABS(Resultados!DC100),ABS(Resultados!DL100),ABS(Resultados!DU100),ABS(Resultados!ED100)))</f>
        <v>2.706666666666668E-3</v>
      </c>
      <c r="I100">
        <f>IF(COUNT(Resultados!I100,Resultados!R100,Resultados!AA100,Resultados!AJ100,Resultados!AS100,Resultados!BB100,Resultados!BK100,Resultados!BT100,Resultados!CC100,Resultados!CL100,Resultados!CU100,Resultados!DD100,Resultados!DM100,Resultados!DV100,Resultados!EE100)=0, "", AVERAGE(ABS(Resultados!I100),ABS(Resultados!R100),ABS(Resultados!AA100),ABS(Resultados!AJ100),ABS(Resultados!AS100),ABS(Resultados!BB100),ABS(Resultados!BK100),ABS(Resultados!BT100),ABS(Resultados!CC100),ABS(Resultados!CL100),ABS(Resultados!CU100),ABS(Resultados!DD100),ABS(Resultados!DM100),ABS(Resultados!DV100),ABS(Resultados!EE100)))</f>
        <v>19.652376666666672</v>
      </c>
    </row>
    <row r="101" spans="1:9" x14ac:dyDescent="0.3">
      <c r="A101">
        <f>IF(COUNT(Resultados!A101,Resultados!J101,Resultados!S101,Resultados!AB101,Resultados!AK101,Resultados!AT101,Resultados!BC101,Resultados!BL101,Resultados!BU101,Resultados!CD101,Resultados!CM101,Resultados!CV101,Resultados!DE101,Resultados!DN101,Resultados!DW101)=0, "", AVERAGE(ABS(Resultados!A101),ABS(Resultados!J101),ABS(Resultados!S101),ABS(Resultados!AB101),ABS(Resultados!AK101),ABS(Resultados!AT101),ABS(Resultados!BC101),ABS(Resultados!BL101),ABS(Resultados!BU101),ABS(Resultados!CD101),ABS(Resultados!CM101),ABS(Resultados!CV101),ABS(Resultados!DE101),ABS(Resultados!DN101),ABS(Resultados!DW101)))</f>
        <v>45681</v>
      </c>
      <c r="B101" t="str">
        <f>IF(COUNT(Resultados!B101,Resultados!K101,Resultados!T101,Resultados!AC101,Resultados!AL101,Resultados!AU101,Resultados!BD101,Resultados!BM101,Resultados!BV101,Resultados!CE101,Resultados!CN101,Resultados!CW101,Resultados!DF101,Resultados!DO101,Resultados!DX101)=0, "", AVERAGE(ABS(Resultados!B101),ABS(Resultados!K101),ABS(Resultados!T101),ABS(Resultados!AC101),ABS(Resultados!AL101),ABS(Resultados!AU101),ABS(Resultados!BD101),ABS(Resultados!BM101),ABS(Resultados!BV101),ABS(Resultados!CE101),ABS(Resultados!CN101),ABS(Resultados!CW101),ABS(Resultados!DF101),ABS(Resultados!DO101),ABS(Resultados!DX101)))</f>
        <v/>
      </c>
      <c r="C101">
        <f>IF(COUNT(Resultados!C101,Resultados!L101,Resultados!U101,Resultados!AD101,Resultados!AM101,Resultados!AV101,Resultados!BE101,Resultados!BN101,Resultados!BW101,Resultados!CF101,Resultados!CO101,Resultados!CX101,Resultados!DG101,Resultados!DP101,Resultados!DY101)=0, "", AVERAGE(ABS(Resultados!C101),ABS(Resultados!L101),ABS(Resultados!U101),ABS(Resultados!AD101),ABS(Resultados!AM101),ABS(Resultados!AV101),ABS(Resultados!BE101),ABS(Resultados!BN101),ABS(Resultados!BW101),ABS(Resultados!CF101),ABS(Resultados!CO101),ABS(Resultados!CX101),ABS(Resultados!DG101),ABS(Resultados!DP101),ABS(Resultados!DY101)))</f>
        <v>3.2</v>
      </c>
      <c r="D101">
        <f>IF(COUNT(Resultados!D101,Resultados!M101,Resultados!V101,Resultados!AE101,Resultados!AN101,Resultados!AW101,Resultados!BF101,Resultados!BO101,Resultados!BX101,Resultados!CG101,Resultados!CP101,Resultados!CY101,Resultados!DH101,Resultados!DQ101,Resultados!DZ101)=0, "", AVERAGE(ABS(Resultados!D101),ABS(Resultados!M101),ABS(Resultados!V101),ABS(Resultados!AE101),ABS(Resultados!AN101),ABS(Resultados!AW101),ABS(Resultados!BF101),ABS(Resultados!BO101),ABS(Resultados!BX101),ABS(Resultados!CG101),ABS(Resultados!CP101),ABS(Resultados!CY101),ABS(Resultados!DH101),ABS(Resultados!DQ101),ABS(Resultados!DZ101)))</f>
        <v>3.773333333333333E-3</v>
      </c>
      <c r="E101">
        <f>IF(COUNT(Resultados!E101,Resultados!N101,Resultados!W101,Resultados!AF101,Resultados!AO101,Resultados!AX101,Resultados!BG101,Resultados!BP101,Resultados!BY101,Resultados!CH101,Resultados!CQ101,Resultados!CZ101,Resultados!DI101,Resultados!DR101,Resultados!EA101)=0, "", AVERAGE(ABS(Resultados!E101),ABS(Resultados!N101),ABS(Resultados!W101),ABS(Resultados!AF101),ABS(Resultados!AO101),ABS(Resultados!AX101),ABS(Resultados!BG101),ABS(Resultados!BP101),ABS(Resultados!BY101),ABS(Resultados!CH101),ABS(Resultados!CQ101),ABS(Resultados!CZ101),ABS(Resultados!DI101),ABS(Resultados!DR101),ABS(Resultados!EA101)))</f>
        <v>6.0855520335882813</v>
      </c>
      <c r="F101">
        <f>IF(COUNT(Resultados!F101,Resultados!O101,Resultados!X101,Resultados!AG101,Resultados!AP101,Resultados!AY101,Resultados!BH101,Resultados!BQ101,Resultados!BZ101,Resultados!CI101,Resultados!CR101,Resultados!DA101,Resultados!DJ101,Resultados!DS101,Resultados!EB101)=0, "", AVERAGE(ABS(Resultados!F101),ABS(Resultados!O101),ABS(Resultados!X101),ABS(Resultados!AG101),ABS(Resultados!AP101),ABS(Resultados!AY101),ABS(Resultados!BH101),ABS(Resultados!BQ101),ABS(Resultados!BZ101),ABS(Resultados!CI101),ABS(Resultados!CR101),ABS(Resultados!DA101),ABS(Resultados!DJ101),ABS(Resultados!DS101),ABS(Resultados!EB101)))</f>
        <v>628.80694137295097</v>
      </c>
      <c r="G101">
        <f>IF(COUNT(Resultados!G101,Resultados!P101,Resultados!Y101,Resultados!AH101,Resultados!AQ101,Resultados!AZ101,Resultados!BI101,Resultados!BR101,Resultados!CA101,Resultados!CJ101,Resultados!CS101,Resultados!DB101,Resultados!DK101,Resultados!DT101,Resultados!EC101)=0, "", AVERAGE(ABS(Resultados!G101),ABS(Resultados!P101),ABS(Resultados!Y101),ABS(Resultados!AH101),ABS(Resultados!AQ101),ABS(Resultados!AZ101),ABS(Resultados!BI101),ABS(Resultados!BR101),ABS(Resultados!CA101),ABS(Resultados!CJ101),ABS(Resultados!CS101),ABS(Resultados!DB101),ABS(Resultados!DK101),ABS(Resultados!DT101),ABS(Resultados!EC101)))</f>
        <v>0.42400000000000015</v>
      </c>
      <c r="H101">
        <f>IF(COUNT(Resultados!H101,Resultados!Q101,Resultados!Z101,Resultados!AI101,Resultados!AR101,Resultados!BA101,Resultados!BJ101,Resultados!BS101,Resultados!CB101,Resultados!CK101,Resultados!CT101,Resultados!DC101,Resultados!DL101,Resultados!DU101,Resultados!ED101)=0, "", AVERAGE(ABS(Resultados!H101),ABS(Resultados!Q101),ABS(Resultados!Z101),ABS(Resultados!AI101),ABS(Resultados!AR101),ABS(Resultados!BA101),ABS(Resultados!BJ101),ABS(Resultados!BS101),ABS(Resultados!CB101),ABS(Resultados!CK101),ABS(Resultados!CT101),ABS(Resultados!DC101),ABS(Resultados!DL101),ABS(Resultados!DU101),ABS(Resultados!ED101)))</f>
        <v>1.3800000000000004E-3</v>
      </c>
      <c r="I101">
        <f>IF(COUNT(Resultados!I101,Resultados!R101,Resultados!AA101,Resultados!AJ101,Resultados!AS101,Resultados!BB101,Resultados!BK101,Resultados!BT101,Resultados!CC101,Resultados!CL101,Resultados!CU101,Resultados!DD101,Resultados!DM101,Resultados!DV101,Resultados!EE101)=0, "", AVERAGE(ABS(Resultados!I101),ABS(Resultados!R101),ABS(Resultados!AA101),ABS(Resultados!AJ101),ABS(Resultados!AS101),ABS(Resultados!BB101),ABS(Resultados!BK101),ABS(Resultados!BT101),ABS(Resultados!CC101),ABS(Resultados!CL101),ABS(Resultados!CU101),ABS(Resultados!DD101),ABS(Resultados!DM101),ABS(Resultados!DV101),ABS(Resultados!EE101)))</f>
        <v>19.852156000000004</v>
      </c>
    </row>
    <row r="102" spans="1:9" x14ac:dyDescent="0.3">
      <c r="A102">
        <f>IF(COUNT(Resultados!A102,Resultados!J102,Resultados!S102,Resultados!AB102,Resultados!AK102,Resultados!AT102,Resultados!BC102,Resultados!BL102,Resultados!BU102,Resultados!CD102,Resultados!CM102,Resultados!CV102,Resultados!DE102,Resultados!DN102,Resultados!DW102)=0, "", AVERAGE(ABS(Resultados!A102),ABS(Resultados!J102),ABS(Resultados!S102),ABS(Resultados!AB102),ABS(Resultados!AK102),ABS(Resultados!AT102),ABS(Resultados!BC102),ABS(Resultados!BL102),ABS(Resultados!BU102),ABS(Resultados!CD102),ABS(Resultados!CM102),ABS(Resultados!CV102),ABS(Resultados!DE102),ABS(Resultados!DN102),ABS(Resultados!DW102)))</f>
        <v>45681</v>
      </c>
      <c r="B102" t="str">
        <f>IF(COUNT(Resultados!B102,Resultados!K102,Resultados!T102,Resultados!AC102,Resultados!AL102,Resultados!AU102,Resultados!BD102,Resultados!BM102,Resultados!BV102,Resultados!CE102,Resultados!CN102,Resultados!CW102,Resultados!DF102,Resultados!DO102,Resultados!DX102)=0, "", AVERAGE(ABS(Resultados!B102),ABS(Resultados!K102),ABS(Resultados!T102),ABS(Resultados!AC102),ABS(Resultados!AL102),ABS(Resultados!AU102),ABS(Resultados!BD102),ABS(Resultados!BM102),ABS(Resultados!BV102),ABS(Resultados!CE102),ABS(Resultados!CN102),ABS(Resultados!CW102),ABS(Resultados!DF102),ABS(Resultados!DO102),ABS(Resultados!DX102)))</f>
        <v/>
      </c>
      <c r="C102">
        <f>IF(COUNT(Resultados!C102,Resultados!L102,Resultados!U102,Resultados!AD102,Resultados!AM102,Resultados!AV102,Resultados!BE102,Resultados!BN102,Resultados!BW102,Resultados!CF102,Resultados!CO102,Resultados!CX102,Resultados!DG102,Resultados!DP102,Resultados!DY102)=0, "", AVERAGE(ABS(Resultados!C102),ABS(Resultados!L102),ABS(Resultados!U102),ABS(Resultados!AD102),ABS(Resultados!AM102),ABS(Resultados!AV102),ABS(Resultados!BE102),ABS(Resultados!BN102),ABS(Resultados!BW102),ABS(Resultados!CF102),ABS(Resultados!CO102),ABS(Resultados!CX102),ABS(Resultados!DG102),ABS(Resultados!DP102),ABS(Resultados!DY102)))</f>
        <v>3.2</v>
      </c>
      <c r="D102">
        <f>IF(COUNT(Resultados!D102,Resultados!M102,Resultados!V102,Resultados!AE102,Resultados!AN102,Resultados!AW102,Resultados!BF102,Resultados!BO102,Resultados!BX102,Resultados!CG102,Resultados!CP102,Resultados!CY102,Resultados!DH102,Resultados!DQ102,Resultados!DZ102)=0, "", AVERAGE(ABS(Resultados!D102),ABS(Resultados!M102),ABS(Resultados!V102),ABS(Resultados!AE102),ABS(Resultados!AN102),ABS(Resultados!AW102),ABS(Resultados!BF102),ABS(Resultados!BO102),ABS(Resultados!BX102),ABS(Resultados!CG102),ABS(Resultados!CP102),ABS(Resultados!CY102),ABS(Resultados!DH102),ABS(Resultados!DQ102),ABS(Resultados!DZ102)))</f>
        <v>2.0600000000000002E-3</v>
      </c>
      <c r="E102">
        <f>IF(COUNT(Resultados!E102,Resultados!N102,Resultados!W102,Resultados!AF102,Resultados!AO102,Resultados!AX102,Resultados!BG102,Resultados!BP102,Resultados!BY102,Resultados!CH102,Resultados!CQ102,Resultados!CZ102,Resultados!DI102,Resultados!DR102,Resultados!EA102)=0, "", AVERAGE(ABS(Resultados!E102),ABS(Resultados!N102),ABS(Resultados!W102),ABS(Resultados!AF102),ABS(Resultados!AO102),ABS(Resultados!AX102),ABS(Resultados!BG102),ABS(Resultados!BP102),ABS(Resultados!BY102),ABS(Resultados!CH102),ABS(Resultados!CQ102),ABS(Resultados!CZ102),ABS(Resultados!DI102),ABS(Resultados!DR102),ABS(Resultados!EA102)))</f>
        <v>6.0581854866012019</v>
      </c>
      <c r="F102">
        <f>IF(COUNT(Resultados!F102,Resultados!O102,Resultados!X102,Resultados!AG102,Resultados!AP102,Resultados!AY102,Resultados!BH102,Resultados!BQ102,Resultados!BZ102,Resultados!CI102,Resultados!CR102,Resultados!DA102,Resultados!DJ102,Resultados!DS102,Resultados!EB102)=0, "", AVERAGE(ABS(Resultados!F102),ABS(Resultados!O102),ABS(Resultados!X102),ABS(Resultados!AG102),ABS(Resultados!AP102),ABS(Resultados!AY102),ABS(Resultados!BH102),ABS(Resultados!BQ102),ABS(Resultados!BZ102),ABS(Resultados!CI102),ABS(Resultados!CR102),ABS(Resultados!DA102),ABS(Resultados!DJ102),ABS(Resultados!DS102),ABS(Resultados!EB102)))</f>
        <v>626.27836977223728</v>
      </c>
      <c r="G102">
        <f>IF(COUNT(Resultados!G102,Resultados!P102,Resultados!Y102,Resultados!AH102,Resultados!AQ102,Resultados!AZ102,Resultados!BI102,Resultados!BR102,Resultados!CA102,Resultados!CJ102,Resultados!CS102,Resultados!DB102,Resultados!DK102,Resultados!DT102,Resultados!EC102)=0, "", AVERAGE(ABS(Resultados!G102),ABS(Resultados!P102),ABS(Resultados!Y102),ABS(Resultados!AH102),ABS(Resultados!AQ102),ABS(Resultados!AZ102),ABS(Resultados!BI102),ABS(Resultados!BR102),ABS(Resultados!CA102),ABS(Resultados!CJ102),ABS(Resultados!CS102),ABS(Resultados!DB102),ABS(Resultados!DK102),ABS(Resultados!DT102),ABS(Resultados!EC102)))</f>
        <v>0.42400000000000015</v>
      </c>
      <c r="H102">
        <f>IF(COUNT(Resultados!H102,Resultados!Q102,Resultados!Z102,Resultados!AI102,Resultados!AR102,Resultados!BA102,Resultados!BJ102,Resultados!BS102,Resultados!CB102,Resultados!CK102,Resultados!CT102,Resultados!DC102,Resultados!DL102,Resultados!DU102,Resultados!ED102)=0, "", AVERAGE(ABS(Resultados!H102),ABS(Resultados!Q102),ABS(Resultados!Z102),ABS(Resultados!AI102),ABS(Resultados!AR102),ABS(Resultados!BA102),ABS(Resultados!BJ102),ABS(Resultados!BS102),ABS(Resultados!CB102),ABS(Resultados!CK102),ABS(Resultados!CT102),ABS(Resultados!DC102),ABS(Resultados!DL102),ABS(Resultados!DU102),ABS(Resultados!ED102)))</f>
        <v>9.7333333333333332E-4</v>
      </c>
      <c r="I102">
        <f>IF(COUNT(Resultados!I102,Resultados!R102,Resultados!AA102,Resultados!AJ102,Resultados!AS102,Resultados!BB102,Resultados!BK102,Resultados!BT102,Resultados!CC102,Resultados!CL102,Resultados!CU102,Resultados!DD102,Resultados!DM102,Resultados!DV102,Resultados!EE102)=0, "", AVERAGE(ABS(Resultados!I102),ABS(Resultados!R102),ABS(Resultados!AA102),ABS(Resultados!AJ102),ABS(Resultados!AS102),ABS(Resultados!BB102),ABS(Resultados!BK102),ABS(Resultados!BT102),ABS(Resultados!CC102),ABS(Resultados!CL102),ABS(Resultados!CU102),ABS(Resultados!DD102),ABS(Resultados!DM102),ABS(Resultados!DV102),ABS(Resultados!EE102)))</f>
        <v>20.052499333333337</v>
      </c>
    </row>
    <row r="103" spans="1:9" x14ac:dyDescent="0.3">
      <c r="A103">
        <f>IF(COUNT(Resultados!A103,Resultados!J103,Resultados!S103,Resultados!AB103,Resultados!AK103,Resultados!AT103,Resultados!BC103,Resultados!BL103,Resultados!BU103,Resultados!CD103,Resultados!CM103,Resultados!CV103,Resultados!DE103,Resultados!DN103,Resultados!DW103)=0, "", AVERAGE(ABS(Resultados!A103),ABS(Resultados!J103),ABS(Resultados!S103),ABS(Resultados!AB103),ABS(Resultados!AK103),ABS(Resultados!AT103),ABS(Resultados!BC103),ABS(Resultados!BL103),ABS(Resultados!BU103),ABS(Resultados!CD103),ABS(Resultados!CM103),ABS(Resultados!CV103),ABS(Resultados!DE103),ABS(Resultados!DN103),ABS(Resultados!DW103)))</f>
        <v>45681</v>
      </c>
      <c r="B103" t="str">
        <f>IF(COUNT(Resultados!B103,Resultados!K103,Resultados!T103,Resultados!AC103,Resultados!AL103,Resultados!AU103,Resultados!BD103,Resultados!BM103,Resultados!BV103,Resultados!CE103,Resultados!CN103,Resultados!CW103,Resultados!DF103,Resultados!DO103,Resultados!DX103)=0, "", AVERAGE(ABS(Resultados!B103),ABS(Resultados!K103),ABS(Resultados!T103),ABS(Resultados!AC103),ABS(Resultados!AL103),ABS(Resultados!AU103),ABS(Resultados!BD103),ABS(Resultados!BM103),ABS(Resultados!BV103),ABS(Resultados!CE103),ABS(Resultados!CN103),ABS(Resultados!CW103),ABS(Resultados!DF103),ABS(Resultados!DO103),ABS(Resultados!DX103)))</f>
        <v/>
      </c>
      <c r="C103">
        <f>IF(COUNT(Resultados!C103,Resultados!L103,Resultados!U103,Resultados!AD103,Resultados!AM103,Resultados!AV103,Resultados!BE103,Resultados!BN103,Resultados!BW103,Resultados!CF103,Resultados!CO103,Resultados!CX103,Resultados!DG103,Resultados!DP103,Resultados!DY103)=0, "", AVERAGE(ABS(Resultados!C103),ABS(Resultados!L103),ABS(Resultados!U103),ABS(Resultados!AD103),ABS(Resultados!AM103),ABS(Resultados!AV103),ABS(Resultados!BE103),ABS(Resultados!BN103),ABS(Resultados!BW103),ABS(Resultados!CF103),ABS(Resultados!CO103),ABS(Resultados!CX103),ABS(Resultados!DG103),ABS(Resultados!DP103),ABS(Resultados!DY103)))</f>
        <v>3.2</v>
      </c>
      <c r="D103">
        <f>IF(COUNT(Resultados!D103,Resultados!M103,Resultados!V103,Resultados!AE103,Resultados!AN103,Resultados!AW103,Resultados!BF103,Resultados!BO103,Resultados!BX103,Resultados!CG103,Resultados!CP103,Resultados!CY103,Resultados!DH103,Resultados!DQ103,Resultados!DZ103)=0, "", AVERAGE(ABS(Resultados!D103),ABS(Resultados!M103),ABS(Resultados!V103),ABS(Resultados!AE103),ABS(Resultados!AN103),ABS(Resultados!AW103),ABS(Resultados!BF103),ABS(Resultados!BO103),ABS(Resultados!BX103),ABS(Resultados!CG103),ABS(Resultados!CP103),ABS(Resultados!CY103),ABS(Resultados!DH103),ABS(Resultados!DQ103),ABS(Resultados!DZ103)))</f>
        <v>1.3800000000000004E-3</v>
      </c>
      <c r="E103">
        <f>IF(COUNT(Resultados!E103,Resultados!N103,Resultados!W103,Resultados!AF103,Resultados!AO103,Resultados!AX103,Resultados!BG103,Resultados!BP103,Resultados!BY103,Resultados!CH103,Resultados!CQ103,Resultados!CZ103,Resultados!DI103,Resultados!DR103,Resultados!EA103)=0, "", AVERAGE(ABS(Resultados!E103),ABS(Resultados!N103),ABS(Resultados!W103),ABS(Resultados!AF103),ABS(Resultados!AO103),ABS(Resultados!AX103),ABS(Resultados!BG103),ABS(Resultados!BP103),ABS(Resultados!BY103),ABS(Resultados!CH103),ABS(Resultados!CQ103),ABS(Resultados!CZ103),ABS(Resultados!DI103),ABS(Resultados!DR103),ABS(Resultados!EA103)))</f>
        <v>6.0909646580341992</v>
      </c>
      <c r="F103">
        <f>IF(COUNT(Resultados!F103,Resultados!O103,Resultados!X103,Resultados!AG103,Resultados!AP103,Resultados!AY103,Resultados!BH103,Resultados!BQ103,Resultados!BZ103,Resultados!CI103,Resultados!CR103,Resultados!DA103,Resultados!DJ103,Resultados!DS103,Resultados!EB103)=0, "", AVERAGE(ABS(Resultados!F103),ABS(Resultados!O103),ABS(Resultados!X103),ABS(Resultados!AG103),ABS(Resultados!AP103),ABS(Resultados!AY103),ABS(Resultados!BH103),ABS(Resultados!BQ103),ABS(Resultados!BZ103),ABS(Resultados!CI103),ABS(Resultados!CR103),ABS(Resultados!DA103),ABS(Resultados!DJ103),ABS(Resultados!DS103),ABS(Resultados!EB103)))</f>
        <v>711.16686566020144</v>
      </c>
      <c r="G103">
        <f>IF(COUNT(Resultados!G103,Resultados!P103,Resultados!Y103,Resultados!AH103,Resultados!AQ103,Resultados!AZ103,Resultados!BI103,Resultados!BR103,Resultados!CA103,Resultados!CJ103,Resultados!CS103,Resultados!DB103,Resultados!DK103,Resultados!DT103,Resultados!EC103)=0, "", AVERAGE(ABS(Resultados!G103),ABS(Resultados!P103),ABS(Resultados!Y103),ABS(Resultados!AH103),ABS(Resultados!AQ103),ABS(Resultados!AZ103),ABS(Resultados!BI103),ABS(Resultados!BR103),ABS(Resultados!CA103),ABS(Resultados!CJ103),ABS(Resultados!CS103),ABS(Resultados!DB103),ABS(Resultados!DK103),ABS(Resultados!DT103),ABS(Resultados!EC103)))</f>
        <v>0.42400000000000015</v>
      </c>
      <c r="H103">
        <f>IF(COUNT(Resultados!H103,Resultados!Q103,Resultados!Z103,Resultados!AI103,Resultados!AR103,Resultados!BA103,Resultados!BJ103,Resultados!BS103,Resultados!CB103,Resultados!CK103,Resultados!CT103,Resultados!DC103,Resultados!DL103,Resultados!DU103,Resultados!ED103)=0, "", AVERAGE(ABS(Resultados!H103),ABS(Resultados!Q103),ABS(Resultados!Z103),ABS(Resultados!AI103),ABS(Resultados!AR103),ABS(Resultados!BA103),ABS(Resultados!BJ103),ABS(Resultados!BS103),ABS(Resultados!CB103),ABS(Resultados!CK103),ABS(Resultados!CT103),ABS(Resultados!DC103),ABS(Resultados!DL103),ABS(Resultados!DU103),ABS(Resultados!ED103)))</f>
        <v>1.4666666666666671E-3</v>
      </c>
      <c r="I103">
        <f>IF(COUNT(Resultados!I103,Resultados!R103,Resultados!AA103,Resultados!AJ103,Resultados!AS103,Resultados!BB103,Resultados!BK103,Resultados!BT103,Resultados!CC103,Resultados!CL103,Resultados!CU103,Resultados!DD103,Resultados!DM103,Resultados!DV103,Resultados!EE103)=0, "", AVERAGE(ABS(Resultados!I103),ABS(Resultados!R103),ABS(Resultados!AA103),ABS(Resultados!AJ103),ABS(Resultados!AS103),ABS(Resultados!BB103),ABS(Resultados!BK103),ABS(Resultados!BT103),ABS(Resultados!CC103),ABS(Resultados!CL103),ABS(Resultados!CU103),ABS(Resultados!DD103),ABS(Resultados!DM103),ABS(Resultados!DV103),ABS(Resultados!EE103)))</f>
        <v>20.252116000000008</v>
      </c>
    </row>
    <row r="104" spans="1:9" x14ac:dyDescent="0.3">
      <c r="A104">
        <f>IF(COUNT(Resultados!A104,Resultados!J104,Resultados!S104,Resultados!AB104,Resultados!AK104,Resultados!AT104,Resultados!BC104,Resultados!BL104,Resultados!BU104,Resultados!CD104,Resultados!CM104,Resultados!CV104,Resultados!DE104,Resultados!DN104,Resultados!DW104)=0, "", AVERAGE(ABS(Resultados!A104),ABS(Resultados!J104),ABS(Resultados!S104),ABS(Resultados!AB104),ABS(Resultados!AK104),ABS(Resultados!AT104),ABS(Resultados!BC104),ABS(Resultados!BL104),ABS(Resultados!BU104),ABS(Resultados!CD104),ABS(Resultados!CM104),ABS(Resultados!CV104),ABS(Resultados!DE104),ABS(Resultados!DN104),ABS(Resultados!DW104)))</f>
        <v>45681</v>
      </c>
      <c r="B104" t="str">
        <f>IF(COUNT(Resultados!B104,Resultados!K104,Resultados!T104,Resultados!AC104,Resultados!AL104,Resultados!AU104,Resultados!BD104,Resultados!BM104,Resultados!BV104,Resultados!CE104,Resultados!CN104,Resultados!CW104,Resultados!DF104,Resultados!DO104,Resultados!DX104)=0, "", AVERAGE(ABS(Resultados!B104),ABS(Resultados!K104),ABS(Resultados!T104),ABS(Resultados!AC104),ABS(Resultados!AL104),ABS(Resultados!AU104),ABS(Resultados!BD104),ABS(Resultados!BM104),ABS(Resultados!BV104),ABS(Resultados!CE104),ABS(Resultados!CN104),ABS(Resultados!CW104),ABS(Resultados!DF104),ABS(Resultados!DO104),ABS(Resultados!DX104)))</f>
        <v/>
      </c>
      <c r="C104">
        <f>IF(COUNT(Resultados!C104,Resultados!L104,Resultados!U104,Resultados!AD104,Resultados!AM104,Resultados!AV104,Resultados!BE104,Resultados!BN104,Resultados!BW104,Resultados!CF104,Resultados!CO104,Resultados!CX104,Resultados!DG104,Resultados!DP104,Resultados!DY104)=0, "", AVERAGE(ABS(Resultados!C104),ABS(Resultados!L104),ABS(Resultados!U104),ABS(Resultados!AD104),ABS(Resultados!AM104),ABS(Resultados!AV104),ABS(Resultados!BE104),ABS(Resultados!BN104),ABS(Resultados!BW104),ABS(Resultados!CF104),ABS(Resultados!CO104),ABS(Resultados!CX104),ABS(Resultados!DG104),ABS(Resultados!DP104),ABS(Resultados!DY104)))</f>
        <v>3.2</v>
      </c>
      <c r="D104">
        <f>IF(COUNT(Resultados!D104,Resultados!M104,Resultados!V104,Resultados!AE104,Resultados!AN104,Resultados!AW104,Resultados!BF104,Resultados!BO104,Resultados!BX104,Resultados!CG104,Resultados!CP104,Resultados!CY104,Resultados!DH104,Resultados!DQ104,Resultados!DZ104)=0, "", AVERAGE(ABS(Resultados!D104),ABS(Resultados!M104),ABS(Resultados!V104),ABS(Resultados!AE104),ABS(Resultados!AN104),ABS(Resultados!AW104),ABS(Resultados!BF104),ABS(Resultados!BO104),ABS(Resultados!BX104),ABS(Resultados!CG104),ABS(Resultados!CP104),ABS(Resultados!CY104),ABS(Resultados!DH104),ABS(Resultados!DQ104),ABS(Resultados!DZ104)))</f>
        <v>1.3066666666666665E-3</v>
      </c>
      <c r="E104">
        <f>IF(COUNT(Resultados!E104,Resultados!N104,Resultados!W104,Resultados!AF104,Resultados!AO104,Resultados!AX104,Resultados!BG104,Resultados!BP104,Resultados!BY104,Resultados!CH104,Resultados!CQ104,Resultados!CZ104,Resultados!DI104,Resultados!DR104,Resultados!EA104)=0, "", AVERAGE(ABS(Resultados!E104),ABS(Resultados!N104),ABS(Resultados!W104),ABS(Resultados!AF104),ABS(Resultados!AO104),ABS(Resultados!AX104),ABS(Resultados!BG104),ABS(Resultados!BP104),ABS(Resultados!BY104),ABS(Resultados!CH104),ABS(Resultados!CQ104),ABS(Resultados!CZ104),ABS(Resultados!DI104),ABS(Resultados!DR104),ABS(Resultados!EA104)))</f>
        <v>6.1806614295368725</v>
      </c>
      <c r="F104">
        <f>IF(COUNT(Resultados!F104,Resultados!O104,Resultados!X104,Resultados!AG104,Resultados!AP104,Resultados!AY104,Resultados!BH104,Resultados!BQ104,Resultados!BZ104,Resultados!CI104,Resultados!CR104,Resultados!DA104,Resultados!DJ104,Resultados!DS104,Resultados!EB104)=0, "", AVERAGE(ABS(Resultados!F104),ABS(Resultados!O104),ABS(Resultados!X104),ABS(Resultados!AG104),ABS(Resultados!AP104),ABS(Resultados!AY104),ABS(Resultados!BH104),ABS(Resultados!BQ104),ABS(Resultados!BZ104),ABS(Resultados!CI104),ABS(Resultados!CR104),ABS(Resultados!DA104),ABS(Resultados!DJ104),ABS(Resultados!DS104),ABS(Resultados!EB104)))</f>
        <v>719.70051402423474</v>
      </c>
      <c r="G104">
        <f>IF(COUNT(Resultados!G104,Resultados!P104,Resultados!Y104,Resultados!AH104,Resultados!AQ104,Resultados!AZ104,Resultados!BI104,Resultados!BR104,Resultados!CA104,Resultados!CJ104,Resultados!CS104,Resultados!DB104,Resultados!DK104,Resultados!DT104,Resultados!EC104)=0, "", AVERAGE(ABS(Resultados!G104),ABS(Resultados!P104),ABS(Resultados!Y104),ABS(Resultados!AH104),ABS(Resultados!AQ104),ABS(Resultados!AZ104),ABS(Resultados!BI104),ABS(Resultados!BR104),ABS(Resultados!CA104),ABS(Resultados!CJ104),ABS(Resultados!CS104),ABS(Resultados!DB104),ABS(Resultados!DK104),ABS(Resultados!DT104),ABS(Resultados!EC104)))</f>
        <v>0.42400000000000015</v>
      </c>
      <c r="H104">
        <f>IF(COUNT(Resultados!H104,Resultados!Q104,Resultados!Z104,Resultados!AI104,Resultados!AR104,Resultados!BA104,Resultados!BJ104,Resultados!BS104,Resultados!CB104,Resultados!CK104,Resultados!CT104,Resultados!DC104,Resultados!DL104,Resultados!DU104,Resultados!ED104)=0, "", AVERAGE(ABS(Resultados!H104),ABS(Resultados!Q104),ABS(Resultados!Z104),ABS(Resultados!AI104),ABS(Resultados!AR104),ABS(Resultados!BA104),ABS(Resultados!BJ104),ABS(Resultados!BS104),ABS(Resultados!CB104),ABS(Resultados!CK104),ABS(Resultados!CT104),ABS(Resultados!DC104),ABS(Resultados!DL104),ABS(Resultados!DU104),ABS(Resultados!ED104)))</f>
        <v>2.8666666666666675E-3</v>
      </c>
      <c r="I104">
        <f>IF(COUNT(Resultados!I104,Resultados!R104,Resultados!AA104,Resultados!AJ104,Resultados!AS104,Resultados!BB104,Resultados!BK104,Resultados!BT104,Resultados!CC104,Resultados!CL104,Resultados!CU104,Resultados!DD104,Resultados!DM104,Resultados!DV104,Resultados!EE104)=0, "", AVERAGE(ABS(Resultados!I104),ABS(Resultados!R104),ABS(Resultados!AA104),ABS(Resultados!AJ104),ABS(Resultados!AS104),ABS(Resultados!BB104),ABS(Resultados!BK104),ABS(Resultados!BT104),ABS(Resultados!CC104),ABS(Resultados!CL104),ABS(Resultados!CU104),ABS(Resultados!DD104),ABS(Resultados!DM104),ABS(Resultados!DV104),ABS(Resultados!EE104)))</f>
        <v>20.452442000000005</v>
      </c>
    </row>
    <row r="105" spans="1:9" x14ac:dyDescent="0.3">
      <c r="A105">
        <f>IF(COUNT(Resultados!A105,Resultados!J105,Resultados!S105,Resultados!AB105,Resultados!AK105,Resultados!AT105,Resultados!BC105,Resultados!BL105,Resultados!BU105,Resultados!CD105,Resultados!CM105,Resultados!CV105,Resultados!DE105,Resultados!DN105,Resultados!DW105)=0, "", AVERAGE(ABS(Resultados!A105),ABS(Resultados!J105),ABS(Resultados!S105),ABS(Resultados!AB105),ABS(Resultados!AK105),ABS(Resultados!AT105),ABS(Resultados!BC105),ABS(Resultados!BL105),ABS(Resultados!BU105),ABS(Resultados!CD105),ABS(Resultados!CM105),ABS(Resultados!CV105),ABS(Resultados!DE105),ABS(Resultados!DN105),ABS(Resultados!DW105)))</f>
        <v>45681</v>
      </c>
      <c r="B105" t="str">
        <f>IF(COUNT(Resultados!B105,Resultados!K105,Resultados!T105,Resultados!AC105,Resultados!AL105,Resultados!AU105,Resultados!BD105,Resultados!BM105,Resultados!BV105,Resultados!CE105,Resultados!CN105,Resultados!CW105,Resultados!DF105,Resultados!DO105,Resultados!DX105)=0, "", AVERAGE(ABS(Resultados!B105),ABS(Resultados!K105),ABS(Resultados!T105),ABS(Resultados!AC105),ABS(Resultados!AL105),ABS(Resultados!AU105),ABS(Resultados!BD105),ABS(Resultados!BM105),ABS(Resultados!BV105),ABS(Resultados!CE105),ABS(Resultados!CN105),ABS(Resultados!CW105),ABS(Resultados!DF105),ABS(Resultados!DO105),ABS(Resultados!DX105)))</f>
        <v/>
      </c>
      <c r="C105">
        <f>IF(COUNT(Resultados!C105,Resultados!L105,Resultados!U105,Resultados!AD105,Resultados!AM105,Resultados!AV105,Resultados!BE105,Resultados!BN105,Resultados!BW105,Resultados!CF105,Resultados!CO105,Resultados!CX105,Resultados!DG105,Resultados!DP105,Resultados!DY105)=0, "", AVERAGE(ABS(Resultados!C105),ABS(Resultados!L105),ABS(Resultados!U105),ABS(Resultados!AD105),ABS(Resultados!AM105),ABS(Resultados!AV105),ABS(Resultados!BE105),ABS(Resultados!BN105),ABS(Resultados!BW105),ABS(Resultados!CF105),ABS(Resultados!CO105),ABS(Resultados!CX105),ABS(Resultados!DG105),ABS(Resultados!DP105),ABS(Resultados!DY105)))</f>
        <v>3.2</v>
      </c>
      <c r="D105">
        <f>IF(COUNT(Resultados!D105,Resultados!M105,Resultados!V105,Resultados!AE105,Resultados!AN105,Resultados!AW105,Resultados!BF105,Resultados!BO105,Resultados!BX105,Resultados!CG105,Resultados!CP105,Resultados!CY105,Resultados!DH105,Resultados!DQ105,Resultados!DZ105)=0, "", AVERAGE(ABS(Resultados!D105),ABS(Resultados!M105),ABS(Resultados!V105),ABS(Resultados!AE105),ABS(Resultados!AN105),ABS(Resultados!AW105),ABS(Resultados!BF105),ABS(Resultados!BO105),ABS(Resultados!BX105),ABS(Resultados!CG105),ABS(Resultados!CP105),ABS(Resultados!CY105),ABS(Resultados!DH105),ABS(Resultados!DQ105),ABS(Resultados!DZ105)))</f>
        <v>1.6399999999999997E-3</v>
      </c>
      <c r="E105">
        <f>IF(COUNT(Resultados!E105,Resultados!N105,Resultados!W105,Resultados!AF105,Resultados!AO105,Resultados!AX105,Resultados!BG105,Resultados!BP105,Resultados!BY105,Resultados!CH105,Resultados!CQ105,Resultados!CZ105,Resultados!DI105,Resultados!DR105,Resultados!EA105)=0, "", AVERAGE(ABS(Resultados!E105),ABS(Resultados!N105),ABS(Resultados!W105),ABS(Resultados!AF105),ABS(Resultados!AO105),ABS(Resultados!AX105),ABS(Resultados!BG105),ABS(Resultados!BP105),ABS(Resultados!BY105),ABS(Resultados!CH105),ABS(Resultados!CQ105),ABS(Resultados!CZ105),ABS(Resultados!DI105),ABS(Resultados!DR105),ABS(Resultados!EA105)))</f>
        <v>6.3179760452714042</v>
      </c>
      <c r="F105">
        <f>IF(COUNT(Resultados!F105,Resultados!O105,Resultados!X105,Resultados!AG105,Resultados!AP105,Resultados!AY105,Resultados!BH105,Resultados!BQ105,Resultados!BZ105,Resultados!CI105,Resultados!CR105,Resultados!DA105,Resultados!DJ105,Resultados!DS105,Resultados!EB105)=0, "", AVERAGE(ABS(Resultados!F105),ABS(Resultados!O105),ABS(Resultados!X105),ABS(Resultados!AG105),ABS(Resultados!AP105),ABS(Resultados!AY105),ABS(Resultados!BH105),ABS(Resultados!BQ105),ABS(Resultados!BZ105),ABS(Resultados!CI105),ABS(Resultados!CR105),ABS(Resultados!DA105),ABS(Resultados!DJ105),ABS(Resultados!DS105),ABS(Resultados!EB105)))</f>
        <v>732.74856043523346</v>
      </c>
      <c r="G105">
        <f>IF(COUNT(Resultados!G105,Resultados!P105,Resultados!Y105,Resultados!AH105,Resultados!AQ105,Resultados!AZ105,Resultados!BI105,Resultados!BR105,Resultados!CA105,Resultados!CJ105,Resultados!CS105,Resultados!DB105,Resultados!DK105,Resultados!DT105,Resultados!EC105)=0, "", AVERAGE(ABS(Resultados!G105),ABS(Resultados!P105),ABS(Resultados!Y105),ABS(Resultados!AH105),ABS(Resultados!AQ105),ABS(Resultados!AZ105),ABS(Resultados!BI105),ABS(Resultados!BR105),ABS(Resultados!CA105),ABS(Resultados!CJ105),ABS(Resultados!CS105),ABS(Resultados!DB105),ABS(Resultados!DK105),ABS(Resultados!DT105),ABS(Resultados!EC105)))</f>
        <v>0.42400000000000015</v>
      </c>
      <c r="H105">
        <f>IF(COUNT(Resultados!H105,Resultados!Q105,Resultados!Z105,Resultados!AI105,Resultados!AR105,Resultados!BA105,Resultados!BJ105,Resultados!BS105,Resultados!CB105,Resultados!CK105,Resultados!CT105,Resultados!DC105,Resultados!DL105,Resultados!DU105,Resultados!ED105)=0, "", AVERAGE(ABS(Resultados!H105),ABS(Resultados!Q105),ABS(Resultados!Z105),ABS(Resultados!AI105),ABS(Resultados!AR105),ABS(Resultados!BA105),ABS(Resultados!BJ105),ABS(Resultados!BS105),ABS(Resultados!CB105),ABS(Resultados!CK105),ABS(Resultados!CT105),ABS(Resultados!DC105),ABS(Resultados!DL105),ABS(Resultados!DU105),ABS(Resultados!ED105)))</f>
        <v>5.0000000000000001E-3</v>
      </c>
      <c r="I105">
        <f>IF(COUNT(Resultados!I105,Resultados!R105,Resultados!AA105,Resultados!AJ105,Resultados!AS105,Resultados!BB105,Resultados!BK105,Resultados!BT105,Resultados!CC105,Resultados!CL105,Resultados!CU105,Resultados!DD105,Resultados!DM105,Resultados!DV105,Resultados!EE105)=0, "", AVERAGE(ABS(Resultados!I105),ABS(Resultados!R105),ABS(Resultados!AA105),ABS(Resultados!AJ105),ABS(Resultados!AS105),ABS(Resultados!BB105),ABS(Resultados!BK105),ABS(Resultados!BT105),ABS(Resultados!CC105),ABS(Resultados!CL105),ABS(Resultados!CU105),ABS(Resultados!DD105),ABS(Resultados!DM105),ABS(Resultados!DV105),ABS(Resultados!EE105)))</f>
        <v>20.651894666666667</v>
      </c>
    </row>
    <row r="106" spans="1:9" x14ac:dyDescent="0.3">
      <c r="A106">
        <f>IF(COUNT(Resultados!A106,Resultados!J106,Resultados!S106,Resultados!AB106,Resultados!AK106,Resultados!AT106,Resultados!BC106,Resultados!BL106,Resultados!BU106,Resultados!CD106,Resultados!CM106,Resultados!CV106,Resultados!DE106,Resultados!DN106,Resultados!DW106)=0, "", AVERAGE(ABS(Resultados!A106),ABS(Resultados!J106),ABS(Resultados!S106),ABS(Resultados!AB106),ABS(Resultados!AK106),ABS(Resultados!AT106),ABS(Resultados!BC106),ABS(Resultados!BL106),ABS(Resultados!BU106),ABS(Resultados!CD106),ABS(Resultados!CM106),ABS(Resultados!CV106),ABS(Resultados!DE106),ABS(Resultados!DN106),ABS(Resultados!DW106)))</f>
        <v>45681</v>
      </c>
      <c r="B106" t="str">
        <f>IF(COUNT(Resultados!B106,Resultados!K106,Resultados!T106,Resultados!AC106,Resultados!AL106,Resultados!AU106,Resultados!BD106,Resultados!BM106,Resultados!BV106,Resultados!CE106,Resultados!CN106,Resultados!CW106,Resultados!DF106,Resultados!DO106,Resultados!DX106)=0, "", AVERAGE(ABS(Resultados!B106),ABS(Resultados!K106),ABS(Resultados!T106),ABS(Resultados!AC106),ABS(Resultados!AL106),ABS(Resultados!AU106),ABS(Resultados!BD106),ABS(Resultados!BM106),ABS(Resultados!BV106),ABS(Resultados!CE106),ABS(Resultados!CN106),ABS(Resultados!CW106),ABS(Resultados!DF106),ABS(Resultados!DO106),ABS(Resultados!DX106)))</f>
        <v/>
      </c>
      <c r="C106">
        <f>IF(COUNT(Resultados!C106,Resultados!L106,Resultados!U106,Resultados!AD106,Resultados!AM106,Resultados!AV106,Resultados!BE106,Resultados!BN106,Resultados!BW106,Resultados!CF106,Resultados!CO106,Resultados!CX106,Resultados!DG106,Resultados!DP106,Resultados!DY106)=0, "", AVERAGE(ABS(Resultados!C106),ABS(Resultados!L106),ABS(Resultados!U106),ABS(Resultados!AD106),ABS(Resultados!AM106),ABS(Resultados!AV106),ABS(Resultados!BE106),ABS(Resultados!BN106),ABS(Resultados!BW106),ABS(Resultados!CF106),ABS(Resultados!CO106),ABS(Resultados!CX106),ABS(Resultados!DG106),ABS(Resultados!DP106),ABS(Resultados!DY106)))</f>
        <v>3.2</v>
      </c>
      <c r="D106">
        <f>IF(COUNT(Resultados!D106,Resultados!M106,Resultados!V106,Resultados!AE106,Resultados!AN106,Resultados!AW106,Resultados!BF106,Resultados!BO106,Resultados!BX106,Resultados!CG106,Resultados!CP106,Resultados!CY106,Resultados!DH106,Resultados!DQ106,Resultados!DZ106)=0, "", AVERAGE(ABS(Resultados!D106),ABS(Resultados!M106),ABS(Resultados!V106),ABS(Resultados!AE106),ABS(Resultados!AN106),ABS(Resultados!AW106),ABS(Resultados!BF106),ABS(Resultados!BO106),ABS(Resultados!BX106),ABS(Resultados!CG106),ABS(Resultados!CP106),ABS(Resultados!CY106),ABS(Resultados!DH106),ABS(Resultados!DQ106),ABS(Resultados!DZ106)))</f>
        <v>3.0533333333333337E-3</v>
      </c>
      <c r="E106">
        <f>IF(COUNT(Resultados!E106,Resultados!N106,Resultados!W106,Resultados!AF106,Resultados!AO106,Resultados!AX106,Resultados!BG106,Resultados!BP106,Resultados!BY106,Resultados!CH106,Resultados!CQ106,Resultados!CZ106,Resultados!DI106,Resultados!DR106,Resultados!EA106)=0, "", AVERAGE(ABS(Resultados!E106),ABS(Resultados!N106),ABS(Resultados!W106),ABS(Resultados!AF106),ABS(Resultados!AO106),ABS(Resultados!AX106),ABS(Resultados!BG106),ABS(Resultados!BP106),ABS(Resultados!BY106),ABS(Resultados!CH106),ABS(Resultados!CQ106),ABS(Resultados!CZ106),ABS(Resultados!DI106),ABS(Resultados!DR106),ABS(Resultados!EA106)))</f>
        <v>6.4906637502849396</v>
      </c>
      <c r="F106">
        <f>IF(COUNT(Resultados!F106,Resultados!O106,Resultados!X106,Resultados!AG106,Resultados!AP106,Resultados!AY106,Resultados!BH106,Resultados!BQ106,Resultados!BZ106,Resultados!CI106,Resultados!CR106,Resultados!DA106,Resultados!DJ106,Resultados!DS106,Resultados!EB106)=0, "", AVERAGE(ABS(Resultados!F106),ABS(Resultados!O106),ABS(Resultados!X106),ABS(Resultados!AG106),ABS(Resultados!AP106),ABS(Resultados!AY106),ABS(Resultados!BH106),ABS(Resultados!BQ106),ABS(Resultados!BZ106),ABS(Resultados!CI106),ABS(Resultados!CR106),ABS(Resultados!DA106),ABS(Resultados!DJ106),ABS(Resultados!DS106),ABS(Resultados!EB106)))</f>
        <v>749.14747364184473</v>
      </c>
      <c r="G106">
        <f>IF(COUNT(Resultados!G106,Resultados!P106,Resultados!Y106,Resultados!AH106,Resultados!AQ106,Resultados!AZ106,Resultados!BI106,Resultados!BR106,Resultados!CA106,Resultados!CJ106,Resultados!CS106,Resultados!DB106,Resultados!DK106,Resultados!DT106,Resultados!EC106)=0, "", AVERAGE(ABS(Resultados!G106),ABS(Resultados!P106),ABS(Resultados!Y106),ABS(Resultados!AH106),ABS(Resultados!AQ106),ABS(Resultados!AZ106),ABS(Resultados!BI106),ABS(Resultados!BR106),ABS(Resultados!CA106),ABS(Resultados!CJ106),ABS(Resultados!CS106),ABS(Resultados!DB106),ABS(Resultados!DK106),ABS(Resultados!DT106),ABS(Resultados!EC106)))</f>
        <v>0.42400000000000015</v>
      </c>
      <c r="H106">
        <f>IF(COUNT(Resultados!H106,Resultados!Q106,Resultados!Z106,Resultados!AI106,Resultados!AR106,Resultados!BA106,Resultados!BJ106,Resultados!BS106,Resultados!CB106,Resultados!CK106,Resultados!CT106,Resultados!DC106,Resultados!DL106,Resultados!DU106,Resultados!ED106)=0, "", AVERAGE(ABS(Resultados!H106),ABS(Resultados!Q106),ABS(Resultados!Z106),ABS(Resultados!AI106),ABS(Resultados!AR106),ABS(Resultados!BA106),ABS(Resultados!BJ106),ABS(Resultados!BS106),ABS(Resultados!CB106),ABS(Resultados!CK106),ABS(Resultados!CT106),ABS(Resultados!DC106),ABS(Resultados!DL106),ABS(Resultados!DU106),ABS(Resultados!ED106)))</f>
        <v>7.7000000000000002E-3</v>
      </c>
      <c r="I106">
        <f>IF(COUNT(Resultados!I106,Resultados!R106,Resultados!AA106,Resultados!AJ106,Resultados!AS106,Resultados!BB106,Resultados!BK106,Resultados!BT106,Resultados!CC106,Resultados!CL106,Resultados!CU106,Resultados!DD106,Resultados!DM106,Resultados!DV106,Resultados!EE106)=0, "", AVERAGE(ABS(Resultados!I106),ABS(Resultados!R106),ABS(Resultados!AA106),ABS(Resultados!AJ106),ABS(Resultados!AS106),ABS(Resultados!BB106),ABS(Resultados!BK106),ABS(Resultados!BT106),ABS(Resultados!CC106),ABS(Resultados!CL106),ABS(Resultados!CU106),ABS(Resultados!DD106),ABS(Resultados!DM106),ABS(Resultados!DV106),ABS(Resultados!EE106)))</f>
        <v>20.852434000000006</v>
      </c>
    </row>
    <row r="107" spans="1:9" x14ac:dyDescent="0.3">
      <c r="A107">
        <f>IF(COUNT(Resultados!A107,Resultados!J107,Resultados!S107,Resultados!AB107,Resultados!AK107,Resultados!AT107,Resultados!BC107,Resultados!BL107,Resultados!BU107,Resultados!CD107,Resultados!CM107,Resultados!CV107,Resultados!DE107,Resultados!DN107,Resultados!DW107)=0, "", AVERAGE(ABS(Resultados!A107),ABS(Resultados!J107),ABS(Resultados!S107),ABS(Resultados!AB107),ABS(Resultados!AK107),ABS(Resultados!AT107),ABS(Resultados!BC107),ABS(Resultados!BL107),ABS(Resultados!BU107),ABS(Resultados!CD107),ABS(Resultados!CM107),ABS(Resultados!CV107),ABS(Resultados!DE107),ABS(Resultados!DN107),ABS(Resultados!DW107)))</f>
        <v>45681</v>
      </c>
      <c r="B107" t="str">
        <f>IF(COUNT(Resultados!B107,Resultados!K107,Resultados!T107,Resultados!AC107,Resultados!AL107,Resultados!AU107,Resultados!BD107,Resultados!BM107,Resultados!BV107,Resultados!CE107,Resultados!CN107,Resultados!CW107,Resultados!DF107,Resultados!DO107,Resultados!DX107)=0, "", AVERAGE(ABS(Resultados!B107),ABS(Resultados!K107),ABS(Resultados!T107),ABS(Resultados!AC107),ABS(Resultados!AL107),ABS(Resultados!AU107),ABS(Resultados!BD107),ABS(Resultados!BM107),ABS(Resultados!BV107),ABS(Resultados!CE107),ABS(Resultados!CN107),ABS(Resultados!CW107),ABS(Resultados!DF107),ABS(Resultados!DO107),ABS(Resultados!DX107)))</f>
        <v/>
      </c>
      <c r="C107">
        <f>IF(COUNT(Resultados!C107,Resultados!L107,Resultados!U107,Resultados!AD107,Resultados!AM107,Resultados!AV107,Resultados!BE107,Resultados!BN107,Resultados!BW107,Resultados!CF107,Resultados!CO107,Resultados!CX107,Resultados!DG107,Resultados!DP107,Resultados!DY107)=0, "", AVERAGE(ABS(Resultados!C107),ABS(Resultados!L107),ABS(Resultados!U107),ABS(Resultados!AD107),ABS(Resultados!AM107),ABS(Resultados!AV107),ABS(Resultados!BE107),ABS(Resultados!BN107),ABS(Resultados!BW107),ABS(Resultados!CF107),ABS(Resultados!CO107),ABS(Resultados!CX107),ABS(Resultados!DG107),ABS(Resultados!DP107),ABS(Resultados!DY107)))</f>
        <v>3.2</v>
      </c>
      <c r="D107">
        <f>IF(COUNT(Resultados!D107,Resultados!M107,Resultados!V107,Resultados!AE107,Resultados!AN107,Resultados!AW107,Resultados!BF107,Resultados!BO107,Resultados!BX107,Resultados!CG107,Resultados!CP107,Resultados!CY107,Resultados!DH107,Resultados!DQ107,Resultados!DZ107)=0, "", AVERAGE(ABS(Resultados!D107),ABS(Resultados!M107),ABS(Resultados!V107),ABS(Resultados!AE107),ABS(Resultados!AN107),ABS(Resultados!AW107),ABS(Resultados!BF107),ABS(Resultados!BO107),ABS(Resultados!BX107),ABS(Resultados!CG107),ABS(Resultados!CP107),ABS(Resultados!CY107),ABS(Resultados!DH107),ABS(Resultados!DQ107),ABS(Resultados!DZ107)))</f>
        <v>5.7400000000000003E-3</v>
      </c>
      <c r="E107">
        <f>IF(COUNT(Resultados!E107,Resultados!N107,Resultados!W107,Resultados!AF107,Resultados!AO107,Resultados!AX107,Resultados!BG107,Resultados!BP107,Resultados!BY107,Resultados!CH107,Resultados!CQ107,Resultados!CZ107,Resultados!DI107,Resultados!DR107,Resultados!EA107)=0, "", AVERAGE(ABS(Resultados!E107),ABS(Resultados!N107),ABS(Resultados!W107),ABS(Resultados!AF107),ABS(Resultados!AO107),ABS(Resultados!AX107),ABS(Resultados!BG107),ABS(Resultados!BP107),ABS(Resultados!BY107),ABS(Resultados!CH107),ABS(Resultados!CQ107),ABS(Resultados!CZ107),ABS(Resultados!DI107),ABS(Resultados!DR107),ABS(Resultados!EA107)))</f>
        <v>6.6807574608605256</v>
      </c>
      <c r="F107">
        <f>IF(COUNT(Resultados!F107,Resultados!O107,Resultados!X107,Resultados!AG107,Resultados!AP107,Resultados!AY107,Resultados!BH107,Resultados!BQ107,Resultados!BZ107,Resultados!CI107,Resultados!CR107,Resultados!DA107,Resultados!DJ107,Resultados!DS107,Resultados!EB107)=0, "", AVERAGE(ABS(Resultados!F107),ABS(Resultados!O107),ABS(Resultados!X107),ABS(Resultados!AG107),ABS(Resultados!AP107),ABS(Resultados!AY107),ABS(Resultados!BH107),ABS(Resultados!BQ107),ABS(Resultados!BZ107),ABS(Resultados!CI107),ABS(Resultados!CR107),ABS(Resultados!DA107),ABS(Resultados!DJ107),ABS(Resultados!DS107),ABS(Resultados!EB107)))</f>
        <v>767.19103308105514</v>
      </c>
      <c r="G107">
        <f>IF(COUNT(Resultados!G107,Resultados!P107,Resultados!Y107,Resultados!AH107,Resultados!AQ107,Resultados!AZ107,Resultados!BI107,Resultados!BR107,Resultados!CA107,Resultados!CJ107,Resultados!CS107,Resultados!DB107,Resultados!DK107,Resultados!DT107,Resultados!EC107)=0, "", AVERAGE(ABS(Resultados!G107),ABS(Resultados!P107),ABS(Resultados!Y107),ABS(Resultados!AH107),ABS(Resultados!AQ107),ABS(Resultados!AZ107),ABS(Resultados!BI107),ABS(Resultados!BR107),ABS(Resultados!CA107),ABS(Resultados!CJ107),ABS(Resultados!CS107),ABS(Resultados!DB107),ABS(Resultados!DK107),ABS(Resultados!DT107),ABS(Resultados!EC107)))</f>
        <v>0.42400000000000015</v>
      </c>
      <c r="H107">
        <f>IF(COUNT(Resultados!H107,Resultados!Q107,Resultados!Z107,Resultados!AI107,Resultados!AR107,Resultados!BA107,Resultados!BJ107,Resultados!BS107,Resultados!CB107,Resultados!CK107,Resultados!CT107,Resultados!DC107,Resultados!DL107,Resultados!DU107,Resultados!ED107)=0, "", AVERAGE(ABS(Resultados!H107),ABS(Resultados!Q107),ABS(Resultados!Z107),ABS(Resultados!AI107),ABS(Resultados!AR107),ABS(Resultados!BA107),ABS(Resultados!BJ107),ABS(Resultados!BS107),ABS(Resultados!CB107),ABS(Resultados!CK107),ABS(Resultados!CT107),ABS(Resultados!DC107),ABS(Resultados!DL107),ABS(Resultados!DU107),ABS(Resultados!ED107)))</f>
        <v>1.0639999999999998E-2</v>
      </c>
      <c r="I107">
        <f>IF(COUNT(Resultados!I107,Resultados!R107,Resultados!AA107,Resultados!AJ107,Resultados!AS107,Resultados!BB107,Resultados!BK107,Resultados!BT107,Resultados!CC107,Resultados!CL107,Resultados!CU107,Resultados!DD107,Resultados!DM107,Resultados!DV107,Resultados!EE107)=0, "", AVERAGE(ABS(Resultados!I107),ABS(Resultados!R107),ABS(Resultados!AA107),ABS(Resultados!AJ107),ABS(Resultados!AS107),ABS(Resultados!BB107),ABS(Resultados!BK107),ABS(Resultados!BT107),ABS(Resultados!CC107),ABS(Resultados!CL107),ABS(Resultados!CU107),ABS(Resultados!DD107),ABS(Resultados!DM107),ABS(Resultados!DV107),ABS(Resultados!EE107)))</f>
        <v>21.052438666666671</v>
      </c>
    </row>
    <row r="108" spans="1:9" x14ac:dyDescent="0.3">
      <c r="A108">
        <f>IF(COUNT(Resultados!A108,Resultados!J108,Resultados!S108,Resultados!AB108,Resultados!AK108,Resultados!AT108,Resultados!BC108,Resultados!BL108,Resultados!BU108,Resultados!CD108,Resultados!CM108,Resultados!CV108,Resultados!DE108,Resultados!DN108,Resultados!DW108)=0, "", AVERAGE(ABS(Resultados!A108),ABS(Resultados!J108),ABS(Resultados!S108),ABS(Resultados!AB108),ABS(Resultados!AK108),ABS(Resultados!AT108),ABS(Resultados!BC108),ABS(Resultados!BL108),ABS(Resultados!BU108),ABS(Resultados!CD108),ABS(Resultados!CM108),ABS(Resultados!CV108),ABS(Resultados!DE108),ABS(Resultados!DN108),ABS(Resultados!DW108)))</f>
        <v>45681</v>
      </c>
      <c r="B108" t="str">
        <f>IF(COUNT(Resultados!B108,Resultados!K108,Resultados!T108,Resultados!AC108,Resultados!AL108,Resultados!AU108,Resultados!BD108,Resultados!BM108,Resultados!BV108,Resultados!CE108,Resultados!CN108,Resultados!CW108,Resultados!DF108,Resultados!DO108,Resultados!DX108)=0, "", AVERAGE(ABS(Resultados!B108),ABS(Resultados!K108),ABS(Resultados!T108),ABS(Resultados!AC108),ABS(Resultados!AL108),ABS(Resultados!AU108),ABS(Resultados!BD108),ABS(Resultados!BM108),ABS(Resultados!BV108),ABS(Resultados!CE108),ABS(Resultados!CN108),ABS(Resultados!CW108),ABS(Resultados!DF108),ABS(Resultados!DO108),ABS(Resultados!DX108)))</f>
        <v/>
      </c>
      <c r="C108">
        <f>IF(COUNT(Resultados!C108,Resultados!L108,Resultados!U108,Resultados!AD108,Resultados!AM108,Resultados!AV108,Resultados!BE108,Resultados!BN108,Resultados!BW108,Resultados!CF108,Resultados!CO108,Resultados!CX108,Resultados!DG108,Resultados!DP108,Resultados!DY108)=0, "", AVERAGE(ABS(Resultados!C108),ABS(Resultados!L108),ABS(Resultados!U108),ABS(Resultados!AD108),ABS(Resultados!AM108),ABS(Resultados!AV108),ABS(Resultados!BE108),ABS(Resultados!BN108),ABS(Resultados!BW108),ABS(Resultados!CF108),ABS(Resultados!CO108),ABS(Resultados!CX108),ABS(Resultados!DG108),ABS(Resultados!DP108),ABS(Resultados!DY108)))</f>
        <v>3.2</v>
      </c>
      <c r="D108">
        <f>IF(COUNT(Resultados!D108,Resultados!M108,Resultados!V108,Resultados!AE108,Resultados!AN108,Resultados!AW108,Resultados!BF108,Resultados!BO108,Resultados!BX108,Resultados!CG108,Resultados!CP108,Resultados!CY108,Resultados!DH108,Resultados!DQ108,Resultados!DZ108)=0, "", AVERAGE(ABS(Resultados!D108),ABS(Resultados!M108),ABS(Resultados!V108),ABS(Resultados!AE108),ABS(Resultados!AN108),ABS(Resultados!AW108),ABS(Resultados!BF108),ABS(Resultados!BO108),ABS(Resultados!BX108),ABS(Resultados!CG108),ABS(Resultados!CP108),ABS(Resultados!CY108),ABS(Resultados!DH108),ABS(Resultados!DQ108),ABS(Resultados!DZ108)))</f>
        <v>8.8066666666666658E-3</v>
      </c>
      <c r="E108">
        <f>IF(COUNT(Resultados!E108,Resultados!N108,Resultados!W108,Resultados!AF108,Resultados!AO108,Resultados!AX108,Resultados!BG108,Resultados!BP108,Resultados!BY108,Resultados!CH108,Resultados!CQ108,Resultados!CZ108,Resultados!DI108,Resultados!DR108,Resultados!EA108)=0, "", AVERAGE(ABS(Resultados!E108),ABS(Resultados!N108),ABS(Resultados!W108),ABS(Resultados!AF108),ABS(Resultados!AO108),ABS(Resultados!AX108),ABS(Resultados!BG108),ABS(Resultados!BP108),ABS(Resultados!BY108),ABS(Resultados!CH108),ABS(Resultados!CQ108),ABS(Resultados!CZ108),ABS(Resultados!DI108),ABS(Resultados!DR108),ABS(Resultados!EA108)))</f>
        <v>6.8854029437524931</v>
      </c>
      <c r="F108">
        <f>IF(COUNT(Resultados!F108,Resultados!O108,Resultados!X108,Resultados!AG108,Resultados!AP108,Resultados!AY108,Resultados!BH108,Resultados!BQ108,Resultados!BZ108,Resultados!CI108,Resultados!CR108,Resultados!DA108,Resultados!DJ108,Resultados!DS108,Resultados!EB108)=0, "", AVERAGE(ABS(Resultados!F108),ABS(Resultados!O108),ABS(Resultados!X108),ABS(Resultados!AG108),ABS(Resultados!AP108),ABS(Resultados!AY108),ABS(Resultados!BH108),ABS(Resultados!BQ108),ABS(Resultados!BZ108),ABS(Resultados!CI108),ABS(Resultados!CR108),ABS(Resultados!DA108),ABS(Resultados!DJ108),ABS(Resultados!DS108),ABS(Resultados!EB108)))</f>
        <v>793.42473936211161</v>
      </c>
      <c r="G108">
        <f>IF(COUNT(Resultados!G108,Resultados!P108,Resultados!Y108,Resultados!AH108,Resultados!AQ108,Resultados!AZ108,Resultados!BI108,Resultados!BR108,Resultados!CA108,Resultados!CJ108,Resultados!CS108,Resultados!DB108,Resultados!DK108,Resultados!DT108,Resultados!EC108)=0, "", AVERAGE(ABS(Resultados!G108),ABS(Resultados!P108),ABS(Resultados!Y108),ABS(Resultados!AH108),ABS(Resultados!AQ108),ABS(Resultados!AZ108),ABS(Resultados!BI108),ABS(Resultados!BR108),ABS(Resultados!CA108),ABS(Resultados!CJ108),ABS(Resultados!CS108),ABS(Resultados!DB108),ABS(Resultados!DK108),ABS(Resultados!DT108),ABS(Resultados!EC108)))</f>
        <v>0.42400000000000015</v>
      </c>
      <c r="H108">
        <f>IF(COUNT(Resultados!H108,Resultados!Q108,Resultados!Z108,Resultados!AI108,Resultados!AR108,Resultados!BA108,Resultados!BJ108,Resultados!BS108,Resultados!CB108,Resultados!CK108,Resultados!CT108,Resultados!DC108,Resultados!DL108,Resultados!DU108,Resultados!ED108)=0, "", AVERAGE(ABS(Resultados!H108),ABS(Resultados!Q108),ABS(Resultados!Z108),ABS(Resultados!AI108),ABS(Resultados!AR108),ABS(Resultados!BA108),ABS(Resultados!BJ108),ABS(Resultados!BS108),ABS(Resultados!CB108),ABS(Resultados!CK108),ABS(Resultados!CT108),ABS(Resultados!DC108),ABS(Resultados!DL108),ABS(Resultados!DU108),ABS(Resultados!ED108)))</f>
        <v>1.3819999999999999E-2</v>
      </c>
      <c r="I108">
        <f>IF(COUNT(Resultados!I108,Resultados!R108,Resultados!AA108,Resultados!AJ108,Resultados!AS108,Resultados!BB108,Resultados!BK108,Resultados!BT108,Resultados!CC108,Resultados!CL108,Resultados!CU108,Resultados!DD108,Resultados!DM108,Resultados!DV108,Resultados!EE108)=0, "", AVERAGE(ABS(Resultados!I108),ABS(Resultados!R108),ABS(Resultados!AA108),ABS(Resultados!AJ108),ABS(Resultados!AS108),ABS(Resultados!BB108),ABS(Resultados!BK108),ABS(Resultados!BT108),ABS(Resultados!CC108),ABS(Resultados!CL108),ABS(Resultados!CU108),ABS(Resultados!DD108),ABS(Resultados!DM108),ABS(Resultados!DV108),ABS(Resultados!EE108)))</f>
        <v>21.269392666666668</v>
      </c>
    </row>
    <row r="109" spans="1:9" x14ac:dyDescent="0.3">
      <c r="A109">
        <f>IF(COUNT(Resultados!A109,Resultados!J109,Resultados!S109,Resultados!AB109,Resultados!AK109,Resultados!AT109,Resultados!BC109,Resultados!BL109,Resultados!BU109,Resultados!CD109,Resultados!CM109,Resultados!CV109,Resultados!DE109,Resultados!DN109,Resultados!DW109)=0, "", AVERAGE(ABS(Resultados!A109),ABS(Resultados!J109),ABS(Resultados!S109),ABS(Resultados!AB109),ABS(Resultados!AK109),ABS(Resultados!AT109),ABS(Resultados!BC109),ABS(Resultados!BL109),ABS(Resultados!BU109),ABS(Resultados!CD109),ABS(Resultados!CM109),ABS(Resultados!CV109),ABS(Resultados!DE109),ABS(Resultados!DN109),ABS(Resultados!DW109)))</f>
        <v>45681</v>
      </c>
      <c r="B109" t="str">
        <f>IF(COUNT(Resultados!B109,Resultados!K109,Resultados!T109,Resultados!AC109,Resultados!AL109,Resultados!AU109,Resultados!BD109,Resultados!BM109,Resultados!BV109,Resultados!CE109,Resultados!CN109,Resultados!CW109,Resultados!DF109,Resultados!DO109,Resultados!DX109)=0, "", AVERAGE(ABS(Resultados!B109),ABS(Resultados!K109),ABS(Resultados!T109),ABS(Resultados!AC109),ABS(Resultados!AL109),ABS(Resultados!AU109),ABS(Resultados!BD109),ABS(Resultados!BM109),ABS(Resultados!BV109),ABS(Resultados!CE109),ABS(Resultados!CN109),ABS(Resultados!CW109),ABS(Resultados!DF109),ABS(Resultados!DO109),ABS(Resultados!DX109)))</f>
        <v/>
      </c>
      <c r="C109">
        <f>IF(COUNT(Resultados!C109,Resultados!L109,Resultados!U109,Resultados!AD109,Resultados!AM109,Resultados!AV109,Resultados!BE109,Resultados!BN109,Resultados!BW109,Resultados!CF109,Resultados!CO109,Resultados!CX109,Resultados!DG109,Resultados!DP109,Resultados!DY109)=0, "", AVERAGE(ABS(Resultados!C109),ABS(Resultados!L109),ABS(Resultados!U109),ABS(Resultados!AD109),ABS(Resultados!AM109),ABS(Resultados!AV109),ABS(Resultados!BE109),ABS(Resultados!BN109),ABS(Resultados!BW109),ABS(Resultados!CF109),ABS(Resultados!CO109),ABS(Resultados!CX109),ABS(Resultados!DG109),ABS(Resultados!DP109),ABS(Resultados!DY109)))</f>
        <v>3.2</v>
      </c>
      <c r="D109">
        <f>IF(COUNT(Resultados!D109,Resultados!M109,Resultados!V109,Resultados!AE109,Resultados!AN109,Resultados!AW109,Resultados!BF109,Resultados!BO109,Resultados!BX109,Resultados!CG109,Resultados!CP109,Resultados!CY109,Resultados!DH109,Resultados!DQ109,Resultados!DZ109)=0, "", AVERAGE(ABS(Resultados!D109),ABS(Resultados!M109),ABS(Resultados!V109),ABS(Resultados!AE109),ABS(Resultados!AN109),ABS(Resultados!AW109),ABS(Resultados!BF109),ABS(Resultados!BO109),ABS(Resultados!BX109),ABS(Resultados!CG109),ABS(Resultados!CP109),ABS(Resultados!CY109),ABS(Resultados!DH109),ABS(Resultados!DQ109),ABS(Resultados!DZ109)))</f>
        <v>1.1146666666666666E-2</v>
      </c>
      <c r="E109">
        <f>IF(COUNT(Resultados!E109,Resultados!N109,Resultados!W109,Resultados!AF109,Resultados!AO109,Resultados!AX109,Resultados!BG109,Resultados!BP109,Resultados!BY109,Resultados!CH109,Resultados!CQ109,Resultados!CZ109,Resultados!DI109,Resultados!DR109,Resultados!EA109)=0, "", AVERAGE(ABS(Resultados!E109),ABS(Resultados!N109),ABS(Resultados!W109),ABS(Resultados!AF109),ABS(Resultados!AO109),ABS(Resultados!AX109),ABS(Resultados!BG109),ABS(Resultados!BP109),ABS(Resultados!BY109),ABS(Resultados!CH109),ABS(Resultados!CQ109),ABS(Resultados!CZ109),ABS(Resultados!DI109),ABS(Resultados!DR109),ABS(Resultados!EA109)))</f>
        <v>7.0428516399160523</v>
      </c>
      <c r="F109">
        <f>IF(COUNT(Resultados!F109,Resultados!O109,Resultados!X109,Resultados!AG109,Resultados!AP109,Resultados!AY109,Resultados!BH109,Resultados!BQ109,Resultados!BZ109,Resultados!CI109,Resultados!CR109,Resultados!DA109,Resultados!DJ109,Resultados!DS109,Resultados!EB109)=0, "", AVERAGE(ABS(Resultados!F109),ABS(Resultados!O109),ABS(Resultados!X109),ABS(Resultados!AG109),ABS(Resultados!AP109),ABS(Resultados!AY109),ABS(Resultados!BH109),ABS(Resultados!BQ109),ABS(Resultados!BZ109),ABS(Resultados!CI109),ABS(Resultados!CR109),ABS(Resultados!DA109),ABS(Resultados!DJ109),ABS(Resultados!DS109),ABS(Resultados!EB109)))</f>
        <v>808.36662062803339</v>
      </c>
      <c r="G109">
        <f>IF(COUNT(Resultados!G109,Resultados!P109,Resultados!Y109,Resultados!AH109,Resultados!AQ109,Resultados!AZ109,Resultados!BI109,Resultados!BR109,Resultados!CA109,Resultados!CJ109,Resultados!CS109,Resultados!DB109,Resultados!DK109,Resultados!DT109,Resultados!EC109)=0, "", AVERAGE(ABS(Resultados!G109),ABS(Resultados!P109),ABS(Resultados!Y109),ABS(Resultados!AH109),ABS(Resultados!AQ109),ABS(Resultados!AZ109),ABS(Resultados!BI109),ABS(Resultados!BR109),ABS(Resultados!CA109),ABS(Resultados!CJ109),ABS(Resultados!CS109),ABS(Resultados!DB109),ABS(Resultados!DK109),ABS(Resultados!DT109),ABS(Resultados!EC109)))</f>
        <v>0.42400000000000015</v>
      </c>
      <c r="H109">
        <f>IF(COUNT(Resultados!H109,Resultados!Q109,Resultados!Z109,Resultados!AI109,Resultados!AR109,Resultados!BA109,Resultados!BJ109,Resultados!BS109,Resultados!CB109,Resultados!CK109,Resultados!CT109,Resultados!DC109,Resultados!DL109,Resultados!DU109,Resultados!ED109)=0, "", AVERAGE(ABS(Resultados!H109),ABS(Resultados!Q109),ABS(Resultados!Z109),ABS(Resultados!AI109),ABS(Resultados!AR109),ABS(Resultados!BA109),ABS(Resultados!BJ109),ABS(Resultados!BS109),ABS(Resultados!CB109),ABS(Resultados!CK109),ABS(Resultados!CT109),ABS(Resultados!DC109),ABS(Resultados!DL109),ABS(Resultados!DU109),ABS(Resultados!ED109)))</f>
        <v>1.6273333333333331E-2</v>
      </c>
      <c r="I109">
        <f>IF(COUNT(Resultados!I109,Resultados!R109,Resultados!AA109,Resultados!AJ109,Resultados!AS109,Resultados!BB109,Resultados!BK109,Resultados!BT109,Resultados!CC109,Resultados!CL109,Resultados!CU109,Resultados!DD109,Resultados!DM109,Resultados!DV109,Resultados!EE109)=0, "", AVERAGE(ABS(Resultados!I109),ABS(Resultados!R109),ABS(Resultados!AA109),ABS(Resultados!AJ109),ABS(Resultados!AS109),ABS(Resultados!BB109),ABS(Resultados!BK109),ABS(Resultados!BT109),ABS(Resultados!CC109),ABS(Resultados!CL109),ABS(Resultados!CU109),ABS(Resultados!DD109),ABS(Resultados!DM109),ABS(Resultados!DV109),ABS(Resultados!EE109)))</f>
        <v>21.456509333333333</v>
      </c>
    </row>
    <row r="110" spans="1:9" x14ac:dyDescent="0.3">
      <c r="A110">
        <f>IF(COUNT(Resultados!A110,Resultados!J110,Resultados!S110,Resultados!AB110,Resultados!AK110,Resultados!AT110,Resultados!BC110,Resultados!BL110,Resultados!BU110,Resultados!CD110,Resultados!CM110,Resultados!CV110,Resultados!DE110,Resultados!DN110,Resultados!DW110)=0, "", AVERAGE(ABS(Resultados!A110),ABS(Resultados!J110),ABS(Resultados!S110),ABS(Resultados!AB110),ABS(Resultados!AK110),ABS(Resultados!AT110),ABS(Resultados!BC110),ABS(Resultados!BL110),ABS(Resultados!BU110),ABS(Resultados!CD110),ABS(Resultados!CM110),ABS(Resultados!CV110),ABS(Resultados!DE110),ABS(Resultados!DN110),ABS(Resultados!DW110)))</f>
        <v>45681</v>
      </c>
      <c r="B110" t="str">
        <f>IF(COUNT(Resultados!B110,Resultados!K110,Resultados!T110,Resultados!AC110,Resultados!AL110,Resultados!AU110,Resultados!BD110,Resultados!BM110,Resultados!BV110,Resultados!CE110,Resultados!CN110,Resultados!CW110,Resultados!DF110,Resultados!DO110,Resultados!DX110)=0, "", AVERAGE(ABS(Resultados!B110),ABS(Resultados!K110),ABS(Resultados!T110),ABS(Resultados!AC110),ABS(Resultados!AL110),ABS(Resultados!AU110),ABS(Resultados!BD110),ABS(Resultados!BM110),ABS(Resultados!BV110),ABS(Resultados!CE110),ABS(Resultados!CN110),ABS(Resultados!CW110),ABS(Resultados!DF110),ABS(Resultados!DO110),ABS(Resultados!DX110)))</f>
        <v/>
      </c>
      <c r="C110">
        <f>IF(COUNT(Resultados!C110,Resultados!L110,Resultados!U110,Resultados!AD110,Resultados!AM110,Resultados!AV110,Resultados!BE110,Resultados!BN110,Resultados!BW110,Resultados!CF110,Resultados!CO110,Resultados!CX110,Resultados!DG110,Resultados!DP110,Resultados!DY110)=0, "", AVERAGE(ABS(Resultados!C110),ABS(Resultados!L110),ABS(Resultados!U110),ABS(Resultados!AD110),ABS(Resultados!AM110),ABS(Resultados!AV110),ABS(Resultados!BE110),ABS(Resultados!BN110),ABS(Resultados!BW110),ABS(Resultados!CF110),ABS(Resultados!CO110),ABS(Resultados!CX110),ABS(Resultados!DG110),ABS(Resultados!DP110),ABS(Resultados!DY110)))</f>
        <v>3.2</v>
      </c>
      <c r="D110">
        <f>IF(COUNT(Resultados!D110,Resultados!M110,Resultados!V110,Resultados!AE110,Resultados!AN110,Resultados!AW110,Resultados!BF110,Resultados!BO110,Resultados!BX110,Resultados!CG110,Resultados!CP110,Resultados!CY110,Resultados!DH110,Resultados!DQ110,Resultados!DZ110)=0, "", AVERAGE(ABS(Resultados!D110),ABS(Resultados!M110),ABS(Resultados!V110),ABS(Resultados!AE110),ABS(Resultados!AN110),ABS(Resultados!AW110),ABS(Resultados!BF110),ABS(Resultados!BO110),ABS(Resultados!BX110),ABS(Resultados!CG110),ABS(Resultados!CP110),ABS(Resultados!CY110),ABS(Resultados!DH110),ABS(Resultados!DQ110),ABS(Resultados!DZ110)))</f>
        <v>1.3400000000000002E-2</v>
      </c>
      <c r="E110">
        <f>IF(COUNT(Resultados!E110,Resultados!N110,Resultados!W110,Resultados!AF110,Resultados!AO110,Resultados!AX110,Resultados!BG110,Resultados!BP110,Resultados!BY110,Resultados!CH110,Resultados!CQ110,Resultados!CZ110,Resultados!DI110,Resultados!DR110,Resultados!EA110)=0, "", AVERAGE(ABS(Resultados!E110),ABS(Resultados!N110),ABS(Resultados!W110),ABS(Resultados!AF110),ABS(Resultados!AO110),ABS(Resultados!AX110),ABS(Resultados!BG110),ABS(Resultados!BP110),ABS(Resultados!BY110),ABS(Resultados!CH110),ABS(Resultados!CQ110),ABS(Resultados!CZ110),ABS(Resultados!DI110),ABS(Resultados!DR110),ABS(Resultados!EA110)))</f>
        <v>7.1728845551246083</v>
      </c>
      <c r="F110">
        <f>IF(COUNT(Resultados!F110,Resultados!O110,Resultados!X110,Resultados!AG110,Resultados!AP110,Resultados!AY110,Resultados!BH110,Resultados!BQ110,Resultados!BZ110,Resultados!CI110,Resultados!CR110,Resultados!DA110,Resultados!DJ110,Resultados!DS110,Resultados!EB110)=0, "", AVERAGE(ABS(Resultados!F110),ABS(Resultados!O110),ABS(Resultados!X110),ABS(Resultados!AG110),ABS(Resultados!AP110),ABS(Resultados!AY110),ABS(Resultados!BH110),ABS(Resultados!BQ110),ABS(Resultados!BZ110),ABS(Resultados!CI110),ABS(Resultados!CR110),ABS(Resultados!DA110),ABS(Resultados!DJ110),ABS(Resultados!DS110),ABS(Resultados!EB110)))</f>
        <v>820.7067442813252</v>
      </c>
      <c r="G110">
        <f>IF(COUNT(Resultados!G110,Resultados!P110,Resultados!Y110,Resultados!AH110,Resultados!AQ110,Resultados!AZ110,Resultados!BI110,Resultados!BR110,Resultados!CA110,Resultados!CJ110,Resultados!CS110,Resultados!DB110,Resultados!DK110,Resultados!DT110,Resultados!EC110)=0, "", AVERAGE(ABS(Resultados!G110),ABS(Resultados!P110),ABS(Resultados!Y110),ABS(Resultados!AH110),ABS(Resultados!AQ110),ABS(Resultados!AZ110),ABS(Resultados!BI110),ABS(Resultados!BR110),ABS(Resultados!CA110),ABS(Resultados!CJ110),ABS(Resultados!CS110),ABS(Resultados!DB110),ABS(Resultados!DK110),ABS(Resultados!DT110),ABS(Resultados!EC110)))</f>
        <v>0.42400000000000015</v>
      </c>
      <c r="H110">
        <f>IF(COUNT(Resultados!H110,Resultados!Q110,Resultados!Z110,Resultados!AI110,Resultados!AR110,Resultados!BA110,Resultados!BJ110,Resultados!BS110,Resultados!CB110,Resultados!CK110,Resultados!CT110,Resultados!DC110,Resultados!DL110,Resultados!DU110,Resultados!ED110)=0, "", AVERAGE(ABS(Resultados!H110),ABS(Resultados!Q110),ABS(Resultados!Z110),ABS(Resultados!AI110),ABS(Resultados!AR110),ABS(Resultados!BA110),ABS(Resultados!BJ110),ABS(Resultados!BS110),ABS(Resultados!CB110),ABS(Resultados!CK110),ABS(Resultados!CT110),ABS(Resultados!DC110),ABS(Resultados!DL110),ABS(Resultados!DU110),ABS(Resultados!ED110)))</f>
        <v>1.8286666666666666E-2</v>
      </c>
      <c r="I110">
        <f>IF(COUNT(Resultados!I110,Resultados!R110,Resultados!AA110,Resultados!AJ110,Resultados!AS110,Resultados!BB110,Resultados!BK110,Resultados!BT110,Resultados!CC110,Resultados!CL110,Resultados!CU110,Resultados!DD110,Resultados!DM110,Resultados!DV110,Resultados!EE110)=0, "", AVERAGE(ABS(Resultados!I110),ABS(Resultados!R110),ABS(Resultados!AA110),ABS(Resultados!AJ110),ABS(Resultados!AS110),ABS(Resultados!BB110),ABS(Resultados!BK110),ABS(Resultados!BT110),ABS(Resultados!CC110),ABS(Resultados!CL110),ABS(Resultados!CU110),ABS(Resultados!DD110),ABS(Resultados!DM110),ABS(Resultados!DV110),ABS(Resultados!EE110)))</f>
        <v>21.651968666666672</v>
      </c>
    </row>
    <row r="111" spans="1:9" x14ac:dyDescent="0.3">
      <c r="A111">
        <f>IF(COUNT(Resultados!A111,Resultados!J111,Resultados!S111,Resultados!AB111,Resultados!AK111,Resultados!AT111,Resultados!BC111,Resultados!BL111,Resultados!BU111,Resultados!CD111,Resultados!CM111,Resultados!CV111,Resultados!DE111,Resultados!DN111,Resultados!DW111)=0, "", AVERAGE(ABS(Resultados!A111),ABS(Resultados!J111),ABS(Resultados!S111),ABS(Resultados!AB111),ABS(Resultados!AK111),ABS(Resultados!AT111),ABS(Resultados!BC111),ABS(Resultados!BL111),ABS(Resultados!BU111),ABS(Resultados!CD111),ABS(Resultados!CM111),ABS(Resultados!CV111),ABS(Resultados!DE111),ABS(Resultados!DN111),ABS(Resultados!DW111)))</f>
        <v>45681</v>
      </c>
      <c r="B111" t="str">
        <f>IF(COUNT(Resultados!B111,Resultados!K111,Resultados!T111,Resultados!AC111,Resultados!AL111,Resultados!AU111,Resultados!BD111,Resultados!BM111,Resultados!BV111,Resultados!CE111,Resultados!CN111,Resultados!CW111,Resultados!DF111,Resultados!DO111,Resultados!DX111)=0, "", AVERAGE(ABS(Resultados!B111),ABS(Resultados!K111),ABS(Resultados!T111),ABS(Resultados!AC111),ABS(Resultados!AL111),ABS(Resultados!AU111),ABS(Resultados!BD111),ABS(Resultados!BM111),ABS(Resultados!BV111),ABS(Resultados!CE111),ABS(Resultados!CN111),ABS(Resultados!CW111),ABS(Resultados!DF111),ABS(Resultados!DO111),ABS(Resultados!DX111)))</f>
        <v/>
      </c>
      <c r="C111">
        <f>IF(COUNT(Resultados!C111,Resultados!L111,Resultados!U111,Resultados!AD111,Resultados!AM111,Resultados!AV111,Resultados!BE111,Resultados!BN111,Resultados!BW111,Resultados!CF111,Resultados!CO111,Resultados!CX111,Resultados!DG111,Resultados!DP111,Resultados!DY111)=0, "", AVERAGE(ABS(Resultados!C111),ABS(Resultados!L111),ABS(Resultados!U111),ABS(Resultados!AD111),ABS(Resultados!AM111),ABS(Resultados!AV111),ABS(Resultados!BE111),ABS(Resultados!BN111),ABS(Resultados!BW111),ABS(Resultados!CF111),ABS(Resultados!CO111),ABS(Resultados!CX111),ABS(Resultados!DG111),ABS(Resultados!DP111),ABS(Resultados!DY111)))</f>
        <v>3.2</v>
      </c>
      <c r="D111">
        <f>IF(COUNT(Resultados!D111,Resultados!M111,Resultados!V111,Resultados!AE111,Resultados!AN111,Resultados!AW111,Resultados!BF111,Resultados!BO111,Resultados!BX111,Resultados!CG111,Resultados!CP111,Resultados!CY111,Resultados!DH111,Resultados!DQ111,Resultados!DZ111)=0, "", AVERAGE(ABS(Resultados!D111),ABS(Resultados!M111),ABS(Resultados!V111),ABS(Resultados!AE111),ABS(Resultados!AN111),ABS(Resultados!AW111),ABS(Resultados!BF111),ABS(Resultados!BO111),ABS(Resultados!BX111),ABS(Resultados!CG111),ABS(Resultados!CP111),ABS(Resultados!CY111),ABS(Resultados!DH111),ABS(Resultados!DQ111),ABS(Resultados!DZ111)))</f>
        <v>1.5373333333333334E-2</v>
      </c>
      <c r="E111">
        <f>IF(COUNT(Resultados!E111,Resultados!N111,Resultados!W111,Resultados!AF111,Resultados!AO111,Resultados!AX111,Resultados!BG111,Resultados!BP111,Resultados!BY111,Resultados!CH111,Resultados!CQ111,Resultados!CZ111,Resultados!DI111,Resultados!DR111,Resultados!EA111)=0, "", AVERAGE(ABS(Resultados!E111),ABS(Resultados!N111),ABS(Resultados!W111),ABS(Resultados!AF111),ABS(Resultados!AO111),ABS(Resultados!AX111),ABS(Resultados!BG111),ABS(Resultados!BP111),ABS(Resultados!BY111),ABS(Resultados!CH111),ABS(Resultados!CQ111),ABS(Resultados!CZ111),ABS(Resultados!DI111),ABS(Resultados!DR111),ABS(Resultados!EA111)))</f>
        <v>7.2577503264548815</v>
      </c>
      <c r="F111">
        <f>IF(COUNT(Resultados!F111,Resultados!O111,Resultados!X111,Resultados!AG111,Resultados!AP111,Resultados!AY111,Resultados!BH111,Resultados!BQ111,Resultados!BZ111,Resultados!CI111,Resultados!CR111,Resultados!DA111,Resultados!DJ111,Resultados!DS111,Resultados!EB111)=0, "", AVERAGE(ABS(Resultados!F111),ABS(Resultados!O111),ABS(Resultados!X111),ABS(Resultados!AG111),ABS(Resultados!AP111),ABS(Resultados!AY111),ABS(Resultados!BH111),ABS(Resultados!BQ111),ABS(Resultados!BZ111),ABS(Resultados!CI111),ABS(Resultados!CR111),ABS(Resultados!DA111),ABS(Resultados!DJ111),ABS(Resultados!DS111),ABS(Resultados!EB111)))</f>
        <v>814.83611636024102</v>
      </c>
      <c r="G111">
        <f>IF(COUNT(Resultados!G111,Resultados!P111,Resultados!Y111,Resultados!AH111,Resultados!AQ111,Resultados!AZ111,Resultados!BI111,Resultados!BR111,Resultados!CA111,Resultados!CJ111,Resultados!CS111,Resultados!DB111,Resultados!DK111,Resultados!DT111,Resultados!EC111)=0, "", AVERAGE(ABS(Resultados!G111),ABS(Resultados!P111),ABS(Resultados!Y111),ABS(Resultados!AH111),ABS(Resultados!AQ111),ABS(Resultados!AZ111),ABS(Resultados!BI111),ABS(Resultados!BR111),ABS(Resultados!CA111),ABS(Resultados!CJ111),ABS(Resultados!CS111),ABS(Resultados!DB111),ABS(Resultados!DK111),ABS(Resultados!DT111),ABS(Resultados!EC111)))</f>
        <v>0.42400000000000015</v>
      </c>
      <c r="H111">
        <f>IF(COUNT(Resultados!H111,Resultados!Q111,Resultados!Z111,Resultados!AI111,Resultados!AR111,Resultados!BA111,Resultados!BJ111,Resultados!BS111,Resultados!CB111,Resultados!CK111,Resultados!CT111,Resultados!DC111,Resultados!DL111,Resultados!DU111,Resultados!ED111)=0, "", AVERAGE(ABS(Resultados!H111),ABS(Resultados!Q111),ABS(Resultados!Z111),ABS(Resultados!AI111),ABS(Resultados!AR111),ABS(Resultados!BA111),ABS(Resultados!BJ111),ABS(Resultados!BS111),ABS(Resultados!CB111),ABS(Resultados!CK111),ABS(Resultados!CT111),ABS(Resultados!DC111),ABS(Resultados!DL111),ABS(Resultados!DU111),ABS(Resultados!ED111)))</f>
        <v>1.9620000000000002E-2</v>
      </c>
      <c r="I111">
        <f>IF(COUNT(Resultados!I111,Resultados!R111,Resultados!AA111,Resultados!AJ111,Resultados!AS111,Resultados!BB111,Resultados!BK111,Resultados!BT111,Resultados!CC111,Resultados!CL111,Resultados!CU111,Resultados!DD111,Resultados!DM111,Resultados!DV111,Resultados!EE111)=0, "", AVERAGE(ABS(Resultados!I111),ABS(Resultados!R111),ABS(Resultados!AA111),ABS(Resultados!AJ111),ABS(Resultados!AS111),ABS(Resultados!BB111),ABS(Resultados!BK111),ABS(Resultados!BT111),ABS(Resultados!CC111),ABS(Resultados!CL111),ABS(Resultados!CU111),ABS(Resultados!DD111),ABS(Resultados!DM111),ABS(Resultados!DV111),ABS(Resultados!EE111)))</f>
        <v>21.852149333333337</v>
      </c>
    </row>
    <row r="112" spans="1:9" x14ac:dyDescent="0.3">
      <c r="A112">
        <f>IF(COUNT(Resultados!A112,Resultados!J112,Resultados!S112,Resultados!AB112,Resultados!AK112,Resultados!AT112,Resultados!BC112,Resultados!BL112,Resultados!BU112,Resultados!CD112,Resultados!CM112,Resultados!CV112,Resultados!DE112,Resultados!DN112,Resultados!DW112)=0, "", AVERAGE(ABS(Resultados!A112),ABS(Resultados!J112),ABS(Resultados!S112),ABS(Resultados!AB112),ABS(Resultados!AK112),ABS(Resultados!AT112),ABS(Resultados!BC112),ABS(Resultados!BL112),ABS(Resultados!BU112),ABS(Resultados!CD112),ABS(Resultados!CM112),ABS(Resultados!CV112),ABS(Resultados!DE112),ABS(Resultados!DN112),ABS(Resultados!DW112)))</f>
        <v>45681</v>
      </c>
      <c r="B112" t="str">
        <f>IF(COUNT(Resultados!B112,Resultados!K112,Resultados!T112,Resultados!AC112,Resultados!AL112,Resultados!AU112,Resultados!BD112,Resultados!BM112,Resultados!BV112,Resultados!CE112,Resultados!CN112,Resultados!CW112,Resultados!DF112,Resultados!DO112,Resultados!DX112)=0, "", AVERAGE(ABS(Resultados!B112),ABS(Resultados!K112),ABS(Resultados!T112),ABS(Resultados!AC112),ABS(Resultados!AL112),ABS(Resultados!AU112),ABS(Resultados!BD112),ABS(Resultados!BM112),ABS(Resultados!BV112),ABS(Resultados!CE112),ABS(Resultados!CN112),ABS(Resultados!CW112),ABS(Resultados!DF112),ABS(Resultados!DO112),ABS(Resultados!DX112)))</f>
        <v/>
      </c>
      <c r="C112">
        <f>IF(COUNT(Resultados!C112,Resultados!L112,Resultados!U112,Resultados!AD112,Resultados!AM112,Resultados!AV112,Resultados!BE112,Resultados!BN112,Resultados!BW112,Resultados!CF112,Resultados!CO112,Resultados!CX112,Resultados!DG112,Resultados!DP112,Resultados!DY112)=0, "", AVERAGE(ABS(Resultados!C112),ABS(Resultados!L112),ABS(Resultados!U112),ABS(Resultados!AD112),ABS(Resultados!AM112),ABS(Resultados!AV112),ABS(Resultados!BE112),ABS(Resultados!BN112),ABS(Resultados!BW112),ABS(Resultados!CF112),ABS(Resultados!CO112),ABS(Resultados!CX112),ABS(Resultados!DG112),ABS(Resultados!DP112),ABS(Resultados!DY112)))</f>
        <v>3.2</v>
      </c>
      <c r="D112">
        <f>IF(COUNT(Resultados!D112,Resultados!M112,Resultados!V112,Resultados!AE112,Resultados!AN112,Resultados!AW112,Resultados!BF112,Resultados!BO112,Resultados!BX112,Resultados!CG112,Resultados!CP112,Resultados!CY112,Resultados!DH112,Resultados!DQ112,Resultados!DZ112)=0, "", AVERAGE(ABS(Resultados!D112),ABS(Resultados!M112),ABS(Resultados!V112),ABS(Resultados!AE112),ABS(Resultados!AN112),ABS(Resultados!AW112),ABS(Resultados!BF112),ABS(Resultados!BO112),ABS(Resultados!BX112),ABS(Resultados!CG112),ABS(Resultados!CP112),ABS(Resultados!CY112),ABS(Resultados!DH112),ABS(Resultados!DQ112),ABS(Resultados!DZ112)))</f>
        <v>1.6793333333333337E-2</v>
      </c>
      <c r="E112">
        <f>IF(COUNT(Resultados!E112,Resultados!N112,Resultados!W112,Resultados!AF112,Resultados!AO112,Resultados!AX112,Resultados!BG112,Resultados!BP112,Resultados!BY112,Resultados!CH112,Resultados!CQ112,Resultados!CZ112,Resultados!DI112,Resultados!DR112,Resultados!EA112)=0, "", AVERAGE(ABS(Resultados!E112),ABS(Resultados!N112),ABS(Resultados!W112),ABS(Resultados!AF112),ABS(Resultados!AO112),ABS(Resultados!AX112),ABS(Resultados!BG112),ABS(Resultados!BP112),ABS(Resultados!BY112),ABS(Resultados!CH112),ABS(Resultados!CQ112),ABS(Resultados!CZ112),ABS(Resultados!DI112),ABS(Resultados!DR112),ABS(Resultados!EA112)))</f>
        <v>7.284990716441655</v>
      </c>
      <c r="F112">
        <f>IF(COUNT(Resultados!F112,Resultados!O112,Resultados!X112,Resultados!AG112,Resultados!AP112,Resultados!AY112,Resultados!BH112,Resultados!BQ112,Resultados!BZ112,Resultados!CI112,Resultados!CR112,Resultados!DA112,Resultados!DJ112,Resultados!DS112,Resultados!EB112)=0, "", AVERAGE(ABS(Resultados!F112),ABS(Resultados!O112),ABS(Resultados!X112),ABS(Resultados!AG112),ABS(Resultados!AP112),ABS(Resultados!AY112),ABS(Resultados!BH112),ABS(Resultados!BQ112),ABS(Resultados!BZ112),ABS(Resultados!CI112),ABS(Resultados!CR112),ABS(Resultados!DA112),ABS(Resultados!DJ112),ABS(Resultados!DS112),ABS(Resultados!EB112)))</f>
        <v>817.44321841638316</v>
      </c>
      <c r="G112">
        <f>IF(COUNT(Resultados!G112,Resultados!P112,Resultados!Y112,Resultados!AH112,Resultados!AQ112,Resultados!AZ112,Resultados!BI112,Resultados!BR112,Resultados!CA112,Resultados!CJ112,Resultados!CS112,Resultados!DB112,Resultados!DK112,Resultados!DT112,Resultados!EC112)=0, "", AVERAGE(ABS(Resultados!G112),ABS(Resultados!P112),ABS(Resultados!Y112),ABS(Resultados!AH112),ABS(Resultados!AQ112),ABS(Resultados!AZ112),ABS(Resultados!BI112),ABS(Resultados!BR112),ABS(Resultados!CA112),ABS(Resultados!CJ112),ABS(Resultados!CS112),ABS(Resultados!DB112),ABS(Resultados!DK112),ABS(Resultados!DT112),ABS(Resultados!EC112)))</f>
        <v>0.42400000000000015</v>
      </c>
      <c r="H112">
        <f>IF(COUNT(Resultados!H112,Resultados!Q112,Resultados!Z112,Resultados!AI112,Resultados!AR112,Resultados!BA112,Resultados!BJ112,Resultados!BS112,Resultados!CB112,Resultados!CK112,Resultados!CT112,Resultados!DC112,Resultados!DL112,Resultados!DU112,Resultados!ED112)=0, "", AVERAGE(ABS(Resultados!H112),ABS(Resultados!Q112),ABS(Resultados!Z112),ABS(Resultados!AI112),ABS(Resultados!AR112),ABS(Resultados!BA112),ABS(Resultados!BJ112),ABS(Resultados!BS112),ABS(Resultados!CB112),ABS(Resultados!CK112),ABS(Resultados!CT112),ABS(Resultados!DC112),ABS(Resultados!DL112),ABS(Resultados!DU112),ABS(Resultados!ED112)))</f>
        <v>2.0026666666666668E-2</v>
      </c>
      <c r="I112">
        <f>IF(COUNT(Resultados!I112,Resultados!R112,Resultados!AA112,Resultados!AJ112,Resultados!AS112,Resultados!BB112,Resultados!BK112,Resultados!BT112,Resultados!CC112,Resultados!CL112,Resultados!CU112,Resultados!DD112,Resultados!DM112,Resultados!DV112,Resultados!EE112)=0, "", AVERAGE(ABS(Resultados!I112),ABS(Resultados!R112),ABS(Resultados!AA112),ABS(Resultados!AJ112),ABS(Resultados!AS112),ABS(Resultados!BB112),ABS(Resultados!BK112),ABS(Resultados!BT112),ABS(Resultados!CC112),ABS(Resultados!CL112),ABS(Resultados!CU112),ABS(Resultados!DD112),ABS(Resultados!DM112),ABS(Resultados!DV112),ABS(Resultados!EE112)))</f>
        <v>22.052117333333335</v>
      </c>
    </row>
    <row r="113" spans="1:9" x14ac:dyDescent="0.3">
      <c r="A113">
        <f>IF(COUNT(Resultados!A113,Resultados!J113,Resultados!S113,Resultados!AB113,Resultados!AK113,Resultados!AT113,Resultados!BC113,Resultados!BL113,Resultados!BU113,Resultados!CD113,Resultados!CM113,Resultados!CV113,Resultados!DE113,Resultados!DN113,Resultados!DW113)=0, "", AVERAGE(ABS(Resultados!A113),ABS(Resultados!J113),ABS(Resultados!S113),ABS(Resultados!AB113),ABS(Resultados!AK113),ABS(Resultados!AT113),ABS(Resultados!BC113),ABS(Resultados!BL113),ABS(Resultados!BU113),ABS(Resultados!CD113),ABS(Resultados!CM113),ABS(Resultados!CV113),ABS(Resultados!DE113),ABS(Resultados!DN113),ABS(Resultados!DW113)))</f>
        <v>45681</v>
      </c>
      <c r="B113" t="str">
        <f>IF(COUNT(Resultados!B113,Resultados!K113,Resultados!T113,Resultados!AC113,Resultados!AL113,Resultados!AU113,Resultados!BD113,Resultados!BM113,Resultados!BV113,Resultados!CE113,Resultados!CN113,Resultados!CW113,Resultados!DF113,Resultados!DO113,Resultados!DX113)=0, "", AVERAGE(ABS(Resultados!B113),ABS(Resultados!K113),ABS(Resultados!T113),ABS(Resultados!AC113),ABS(Resultados!AL113),ABS(Resultados!AU113),ABS(Resultados!BD113),ABS(Resultados!BM113),ABS(Resultados!BV113),ABS(Resultados!CE113),ABS(Resultados!CN113),ABS(Resultados!CW113),ABS(Resultados!DF113),ABS(Resultados!DO113),ABS(Resultados!DX113)))</f>
        <v/>
      </c>
      <c r="C113">
        <f>IF(COUNT(Resultados!C113,Resultados!L113,Resultados!U113,Resultados!AD113,Resultados!AM113,Resultados!AV113,Resultados!BE113,Resultados!BN113,Resultados!BW113,Resultados!CF113,Resultados!CO113,Resultados!CX113,Resultados!DG113,Resultados!DP113,Resultados!DY113)=0, "", AVERAGE(ABS(Resultados!C113),ABS(Resultados!L113),ABS(Resultados!U113),ABS(Resultados!AD113),ABS(Resultados!AM113),ABS(Resultados!AV113),ABS(Resultados!BE113),ABS(Resultados!BN113),ABS(Resultados!BW113),ABS(Resultados!CF113),ABS(Resultados!CO113),ABS(Resultados!CX113),ABS(Resultados!DG113),ABS(Resultados!DP113),ABS(Resultados!DY113)))</f>
        <v>3.2</v>
      </c>
      <c r="D113">
        <f>IF(COUNT(Resultados!D113,Resultados!M113,Resultados!V113,Resultados!AE113,Resultados!AN113,Resultados!AW113,Resultados!BF113,Resultados!BO113,Resultados!BX113,Resultados!CG113,Resultados!CP113,Resultados!CY113,Resultados!DH113,Resultados!DQ113,Resultados!DZ113)=0, "", AVERAGE(ABS(Resultados!D113),ABS(Resultados!M113),ABS(Resultados!V113),ABS(Resultados!AE113),ABS(Resultados!AN113),ABS(Resultados!AW113),ABS(Resultados!BF113),ABS(Resultados!BO113),ABS(Resultados!BX113),ABS(Resultados!CG113),ABS(Resultados!CP113),ABS(Resultados!CY113),ABS(Resultados!DH113),ABS(Resultados!DQ113),ABS(Resultados!DZ113)))</f>
        <v>1.7579999999999998E-2</v>
      </c>
      <c r="E113">
        <f>IF(COUNT(Resultados!E113,Resultados!N113,Resultados!W113,Resultados!AF113,Resultados!AO113,Resultados!AX113,Resultados!BG113,Resultados!BP113,Resultados!BY113,Resultados!CH113,Resultados!CQ113,Resultados!CZ113,Resultados!DI113,Resultados!DR113,Resultados!EA113)=0, "", AVERAGE(ABS(Resultados!E113),ABS(Resultados!N113),ABS(Resultados!W113),ABS(Resultados!AF113),ABS(Resultados!AO113),ABS(Resultados!AX113),ABS(Resultados!BG113),ABS(Resultados!BP113),ABS(Resultados!BY113),ABS(Resultados!CH113),ABS(Resultados!CQ113),ABS(Resultados!CZ113),ABS(Resultados!DI113),ABS(Resultados!DR113),ABS(Resultados!EA113)))</f>
        <v>7.2519453098531956</v>
      </c>
      <c r="F113">
        <f>IF(COUNT(Resultados!F113,Resultados!O113,Resultados!X113,Resultados!AG113,Resultados!AP113,Resultados!AY113,Resultados!BH113,Resultados!BQ113,Resultados!BZ113,Resultados!CI113,Resultados!CR113,Resultados!DA113,Resultados!DJ113,Resultados!DS113,Resultados!EB113)=0, "", AVERAGE(ABS(Resultados!F113),ABS(Resultados!O113),ABS(Resultados!X113),ABS(Resultados!AG113),ABS(Resultados!AP113),ABS(Resultados!AY113),ABS(Resultados!BH113),ABS(Resultados!BQ113),ABS(Resultados!BZ113),ABS(Resultados!CI113),ABS(Resultados!CR113),ABS(Resultados!DA113),ABS(Resultados!DJ113),ABS(Resultados!DS113),ABS(Resultados!EB113)))</f>
        <v>730.79444889607464</v>
      </c>
      <c r="G113">
        <f>IF(COUNT(Resultados!G113,Resultados!P113,Resultados!Y113,Resultados!AH113,Resultados!AQ113,Resultados!AZ113,Resultados!BI113,Resultados!BR113,Resultados!CA113,Resultados!CJ113,Resultados!CS113,Resultados!DB113,Resultados!DK113,Resultados!DT113,Resultados!EC113)=0, "", AVERAGE(ABS(Resultados!G113),ABS(Resultados!P113),ABS(Resultados!Y113),ABS(Resultados!AH113),ABS(Resultados!AQ113),ABS(Resultados!AZ113),ABS(Resultados!BI113),ABS(Resultados!BR113),ABS(Resultados!CA113),ABS(Resultados!CJ113),ABS(Resultados!CS113),ABS(Resultados!DB113),ABS(Resultados!DK113),ABS(Resultados!DT113),ABS(Resultados!EC113)))</f>
        <v>0.42400000000000015</v>
      </c>
      <c r="H113">
        <f>IF(COUNT(Resultados!H113,Resultados!Q113,Resultados!Z113,Resultados!AI113,Resultados!AR113,Resultados!BA113,Resultados!BJ113,Resultados!BS113,Resultados!CB113,Resultados!CK113,Resultados!CT113,Resultados!DC113,Resultados!DL113,Resultados!DU113,Resultados!ED113)=0, "", AVERAGE(ABS(Resultados!H113),ABS(Resultados!Q113),ABS(Resultados!Z113),ABS(Resultados!AI113),ABS(Resultados!AR113),ABS(Resultados!BA113),ABS(Resultados!BJ113),ABS(Resultados!BS113),ABS(Resultados!CB113),ABS(Resultados!CK113),ABS(Resultados!CT113),ABS(Resultados!DC113),ABS(Resultados!DL113),ABS(Resultados!DU113),ABS(Resultados!ED113)))</f>
        <v>1.9539999999999998E-2</v>
      </c>
      <c r="I113">
        <f>IF(COUNT(Resultados!I113,Resultados!R113,Resultados!AA113,Resultados!AJ113,Resultados!AS113,Resultados!BB113,Resultados!BK113,Resultados!BT113,Resultados!CC113,Resultados!CL113,Resultados!CU113,Resultados!DD113,Resultados!DM113,Resultados!DV113,Resultados!EE113)=0, "", AVERAGE(ABS(Resultados!I113),ABS(Resultados!R113),ABS(Resultados!AA113),ABS(Resultados!AJ113),ABS(Resultados!AS113),ABS(Resultados!BB113),ABS(Resultados!BK113),ABS(Resultados!BT113),ABS(Resultados!CC113),ABS(Resultados!CL113),ABS(Resultados!CU113),ABS(Resultados!DD113),ABS(Resultados!DM113),ABS(Resultados!DV113),ABS(Resultados!EE113)))</f>
        <v>22.252248000000005</v>
      </c>
    </row>
    <row r="114" spans="1:9" x14ac:dyDescent="0.3">
      <c r="A114">
        <f>IF(COUNT(Resultados!A114,Resultados!J114,Resultados!S114,Resultados!AB114,Resultados!AK114,Resultados!AT114,Resultados!BC114,Resultados!BL114,Resultados!BU114,Resultados!CD114,Resultados!CM114,Resultados!CV114,Resultados!DE114,Resultados!DN114,Resultados!DW114)=0, "", AVERAGE(ABS(Resultados!A114),ABS(Resultados!J114),ABS(Resultados!S114),ABS(Resultados!AB114),ABS(Resultados!AK114),ABS(Resultados!AT114),ABS(Resultados!BC114),ABS(Resultados!BL114),ABS(Resultados!BU114),ABS(Resultados!CD114),ABS(Resultados!CM114),ABS(Resultados!CV114),ABS(Resultados!DE114),ABS(Resultados!DN114),ABS(Resultados!DW114)))</f>
        <v>45681</v>
      </c>
      <c r="B114" t="str">
        <f>IF(COUNT(Resultados!B114,Resultados!K114,Resultados!T114,Resultados!AC114,Resultados!AL114,Resultados!AU114,Resultados!BD114,Resultados!BM114,Resultados!BV114,Resultados!CE114,Resultados!CN114,Resultados!CW114,Resultados!DF114,Resultados!DO114,Resultados!DX114)=0, "", AVERAGE(ABS(Resultados!B114),ABS(Resultados!K114),ABS(Resultados!T114),ABS(Resultados!AC114),ABS(Resultados!AL114),ABS(Resultados!AU114),ABS(Resultados!BD114),ABS(Resultados!BM114),ABS(Resultados!BV114),ABS(Resultados!CE114),ABS(Resultados!CN114),ABS(Resultados!CW114),ABS(Resultados!DF114),ABS(Resultados!DO114),ABS(Resultados!DX114)))</f>
        <v/>
      </c>
      <c r="C114">
        <f>IF(COUNT(Resultados!C114,Resultados!L114,Resultados!U114,Resultados!AD114,Resultados!AM114,Resultados!AV114,Resultados!BE114,Resultados!BN114,Resultados!BW114,Resultados!CF114,Resultados!CO114,Resultados!CX114,Resultados!DG114,Resultados!DP114,Resultados!DY114)=0, "", AVERAGE(ABS(Resultados!C114),ABS(Resultados!L114),ABS(Resultados!U114),ABS(Resultados!AD114),ABS(Resultados!AM114),ABS(Resultados!AV114),ABS(Resultados!BE114),ABS(Resultados!BN114),ABS(Resultados!BW114),ABS(Resultados!CF114),ABS(Resultados!CO114),ABS(Resultados!CX114),ABS(Resultados!DG114),ABS(Resultados!DP114),ABS(Resultados!DY114)))</f>
        <v>3.2</v>
      </c>
      <c r="D114">
        <f>IF(COUNT(Resultados!D114,Resultados!M114,Resultados!V114,Resultados!AE114,Resultados!AN114,Resultados!AW114,Resultados!BF114,Resultados!BO114,Resultados!BX114,Resultados!CG114,Resultados!CP114,Resultados!CY114,Resultados!DH114,Resultados!DQ114,Resultados!DZ114)=0, "", AVERAGE(ABS(Resultados!D114),ABS(Resultados!M114),ABS(Resultados!V114),ABS(Resultados!AE114),ABS(Resultados!AN114),ABS(Resultados!AW114),ABS(Resultados!BF114),ABS(Resultados!BO114),ABS(Resultados!BX114),ABS(Resultados!CG114),ABS(Resultados!CP114),ABS(Resultados!CY114),ABS(Resultados!DH114),ABS(Resultados!DQ114),ABS(Resultados!DZ114)))</f>
        <v>1.7759999999999995E-2</v>
      </c>
      <c r="E114">
        <f>IF(COUNT(Resultados!E114,Resultados!N114,Resultados!W114,Resultados!AF114,Resultados!AO114,Resultados!AX114,Resultados!BG114,Resultados!BP114,Resultados!BY114,Resultados!CH114,Resultados!CQ114,Resultados!CZ114,Resultados!DI114,Resultados!DR114,Resultados!EA114)=0, "", AVERAGE(ABS(Resultados!E114),ABS(Resultados!N114),ABS(Resultados!W114),ABS(Resultados!AF114),ABS(Resultados!AO114),ABS(Resultados!AX114),ABS(Resultados!BG114),ABS(Resultados!BP114),ABS(Resultados!BY114),ABS(Resultados!CH114),ABS(Resultados!CQ114),ABS(Resultados!CZ114),ABS(Resultados!DI114),ABS(Resultados!DR114),ABS(Resultados!EA114)))</f>
        <v>7.1622846171378525</v>
      </c>
      <c r="F114">
        <f>IF(COUNT(Resultados!F114,Resultados!O114,Resultados!X114,Resultados!AG114,Resultados!AP114,Resultados!AY114,Resultados!BH114,Resultados!BQ114,Resultados!BZ114,Resultados!CI114,Resultados!CR114,Resultados!DA114,Resultados!DJ114,Resultados!DS114,Resultados!EB114)=0, "", AVERAGE(ABS(Resultados!F114),ABS(Resultados!O114),ABS(Resultados!X114),ABS(Resultados!AG114),ABS(Resultados!AP114),ABS(Resultados!AY114),ABS(Resultados!BH114),ABS(Resultados!BQ114),ABS(Resultados!BZ114),ABS(Resultados!CI114),ABS(Resultados!CR114),ABS(Resultados!DA114),ABS(Resultados!DJ114),ABS(Resultados!DS114),ABS(Resultados!EB114)))</f>
        <v>722.45945475120641</v>
      </c>
      <c r="G114">
        <f>IF(COUNT(Resultados!G114,Resultados!P114,Resultados!Y114,Resultados!AH114,Resultados!AQ114,Resultados!AZ114,Resultados!BI114,Resultados!BR114,Resultados!CA114,Resultados!CJ114,Resultados!CS114,Resultados!DB114,Resultados!DK114,Resultados!DT114,Resultados!EC114)=0, "", AVERAGE(ABS(Resultados!G114),ABS(Resultados!P114),ABS(Resultados!Y114),ABS(Resultados!AH114),ABS(Resultados!AQ114),ABS(Resultados!AZ114),ABS(Resultados!BI114),ABS(Resultados!BR114),ABS(Resultados!CA114),ABS(Resultados!CJ114),ABS(Resultados!CS114),ABS(Resultados!DB114),ABS(Resultados!DK114),ABS(Resultados!DT114),ABS(Resultados!EC114)))</f>
        <v>0.42400000000000015</v>
      </c>
      <c r="H114">
        <f>IF(COUNT(Resultados!H114,Resultados!Q114,Resultados!Z114,Resultados!AI114,Resultados!AR114,Resultados!BA114,Resultados!BJ114,Resultados!BS114,Resultados!CB114,Resultados!CK114,Resultados!CT114,Resultados!DC114,Resultados!DL114,Resultados!DU114,Resultados!ED114)=0, "", AVERAGE(ABS(Resultados!H114),ABS(Resultados!Q114),ABS(Resultados!Z114),ABS(Resultados!AI114),ABS(Resultados!AR114),ABS(Resultados!BA114),ABS(Resultados!BJ114),ABS(Resultados!BS114),ABS(Resultados!CB114),ABS(Resultados!CK114),ABS(Resultados!CT114),ABS(Resultados!DC114),ABS(Resultados!DL114),ABS(Resultados!DU114),ABS(Resultados!ED114)))</f>
        <v>1.8133333333333328E-2</v>
      </c>
      <c r="I114">
        <f>IF(COUNT(Resultados!I114,Resultados!R114,Resultados!AA114,Resultados!AJ114,Resultados!AS114,Resultados!BB114,Resultados!BK114,Resultados!BT114,Resultados!CC114,Resultados!CL114,Resultados!CU114,Resultados!DD114,Resultados!DM114,Resultados!DV114,Resultados!EE114)=0, "", AVERAGE(ABS(Resultados!I114),ABS(Resultados!R114),ABS(Resultados!AA114),ABS(Resultados!AJ114),ABS(Resultados!AS114),ABS(Resultados!BB114),ABS(Resultados!BK114),ABS(Resultados!BT114),ABS(Resultados!CC114),ABS(Resultados!CL114),ABS(Resultados!CU114),ABS(Resultados!DD114),ABS(Resultados!DM114),ABS(Resultados!DV114),ABS(Resultados!EE114)))</f>
        <v>22.452437333333339</v>
      </c>
    </row>
    <row r="115" spans="1:9" x14ac:dyDescent="0.3">
      <c r="A115">
        <f>IF(COUNT(Resultados!A115,Resultados!J115,Resultados!S115,Resultados!AB115,Resultados!AK115,Resultados!AT115,Resultados!BC115,Resultados!BL115,Resultados!BU115,Resultados!CD115,Resultados!CM115,Resultados!CV115,Resultados!DE115,Resultados!DN115,Resultados!DW115)=0, "", AVERAGE(ABS(Resultados!A115),ABS(Resultados!J115),ABS(Resultados!S115),ABS(Resultados!AB115),ABS(Resultados!AK115),ABS(Resultados!AT115),ABS(Resultados!BC115),ABS(Resultados!BL115),ABS(Resultados!BU115),ABS(Resultados!CD115),ABS(Resultados!CM115),ABS(Resultados!CV115),ABS(Resultados!DE115),ABS(Resultados!DN115),ABS(Resultados!DW115)))</f>
        <v>45681</v>
      </c>
      <c r="B115" t="str">
        <f>IF(COUNT(Resultados!B115,Resultados!K115,Resultados!T115,Resultados!AC115,Resultados!AL115,Resultados!AU115,Resultados!BD115,Resultados!BM115,Resultados!BV115,Resultados!CE115,Resultados!CN115,Resultados!CW115,Resultados!DF115,Resultados!DO115,Resultados!DX115)=0, "", AVERAGE(ABS(Resultados!B115),ABS(Resultados!K115),ABS(Resultados!T115),ABS(Resultados!AC115),ABS(Resultados!AL115),ABS(Resultados!AU115),ABS(Resultados!BD115),ABS(Resultados!BM115),ABS(Resultados!BV115),ABS(Resultados!CE115),ABS(Resultados!CN115),ABS(Resultados!CW115),ABS(Resultados!DF115),ABS(Resultados!DO115),ABS(Resultados!DX115)))</f>
        <v/>
      </c>
      <c r="C115">
        <f>IF(COUNT(Resultados!C115,Resultados!L115,Resultados!U115,Resultados!AD115,Resultados!AM115,Resultados!AV115,Resultados!BE115,Resultados!BN115,Resultados!BW115,Resultados!CF115,Resultados!CO115,Resultados!CX115,Resultados!DG115,Resultados!DP115,Resultados!DY115)=0, "", AVERAGE(ABS(Resultados!C115),ABS(Resultados!L115),ABS(Resultados!U115),ABS(Resultados!AD115),ABS(Resultados!AM115),ABS(Resultados!AV115),ABS(Resultados!BE115),ABS(Resultados!BN115),ABS(Resultados!BW115),ABS(Resultados!CF115),ABS(Resultados!CO115),ABS(Resultados!CX115),ABS(Resultados!DG115),ABS(Resultados!DP115),ABS(Resultados!DY115)))</f>
        <v>3.2</v>
      </c>
      <c r="D115">
        <f>IF(COUNT(Resultados!D115,Resultados!M115,Resultados!V115,Resultados!AE115,Resultados!AN115,Resultados!AW115,Resultados!BF115,Resultados!BO115,Resultados!BX115,Resultados!CG115,Resultados!CP115,Resultados!CY115,Resultados!DH115,Resultados!DQ115,Resultados!DZ115)=0, "", AVERAGE(ABS(Resultados!D115),ABS(Resultados!M115),ABS(Resultados!V115),ABS(Resultados!AE115),ABS(Resultados!AN115),ABS(Resultados!AW115),ABS(Resultados!BF115),ABS(Resultados!BO115),ABS(Resultados!BX115),ABS(Resultados!CG115),ABS(Resultados!CP115),ABS(Resultados!CY115),ABS(Resultados!DH115),ABS(Resultados!DQ115),ABS(Resultados!DZ115)))</f>
        <v>1.7646666666666665E-2</v>
      </c>
      <c r="E115">
        <f>IF(COUNT(Resultados!E115,Resultados!N115,Resultados!W115,Resultados!AF115,Resultados!AO115,Resultados!AX115,Resultados!BG115,Resultados!BP115,Resultados!BY115,Resultados!CH115,Resultados!CQ115,Resultados!CZ115,Resultados!DI115,Resultados!DR115,Resultados!EA115)=0, "", AVERAGE(ABS(Resultados!E115),ABS(Resultados!N115),ABS(Resultados!W115),ABS(Resultados!AF115),ABS(Resultados!AO115),ABS(Resultados!AX115),ABS(Resultados!BG115),ABS(Resultados!BP115),ABS(Resultados!BY115),ABS(Resultados!CH115),ABS(Resultados!CQ115),ABS(Resultados!CZ115),ABS(Resultados!DI115),ABS(Resultados!DR115),ABS(Resultados!EA115)))</f>
        <v>7.0246057264815551</v>
      </c>
      <c r="F115">
        <f>IF(COUNT(Resultados!F115,Resultados!O115,Resultados!X115,Resultados!AG115,Resultados!AP115,Resultados!AY115,Resultados!BH115,Resultados!BQ115,Resultados!BZ115,Resultados!CI115,Resultados!CR115,Resultados!DA115,Resultados!DJ115,Resultados!DS115,Resultados!EB115)=0, "", AVERAGE(ABS(Resultados!F115),ABS(Resultados!O115),ABS(Resultados!X115),ABS(Resultados!AG115),ABS(Resultados!AP115),ABS(Resultados!AY115),ABS(Resultados!BH115),ABS(Resultados!BQ115),ABS(Resultados!BZ115),ABS(Resultados!CI115),ABS(Resultados!CR115),ABS(Resultados!DA115),ABS(Resultados!DJ115),ABS(Resultados!DS115),ABS(Resultados!EB115)))</f>
        <v>709.6447952216588</v>
      </c>
      <c r="G115">
        <f>IF(COUNT(Resultados!G115,Resultados!P115,Resultados!Y115,Resultados!AH115,Resultados!AQ115,Resultados!AZ115,Resultados!BI115,Resultados!BR115,Resultados!CA115,Resultados!CJ115,Resultados!CS115,Resultados!DB115,Resultados!DK115,Resultados!DT115,Resultados!EC115)=0, "", AVERAGE(ABS(Resultados!G115),ABS(Resultados!P115),ABS(Resultados!Y115),ABS(Resultados!AH115),ABS(Resultados!AQ115),ABS(Resultados!AZ115),ABS(Resultados!BI115),ABS(Resultados!BR115),ABS(Resultados!CA115),ABS(Resultados!CJ115),ABS(Resultados!CS115),ABS(Resultados!DB115),ABS(Resultados!DK115),ABS(Resultados!DT115),ABS(Resultados!EC115)))</f>
        <v>0.42400000000000015</v>
      </c>
      <c r="H115">
        <f>IF(COUNT(Resultados!H115,Resultados!Q115,Resultados!Z115,Resultados!AI115,Resultados!AR115,Resultados!BA115,Resultados!BJ115,Resultados!BS115,Resultados!CB115,Resultados!CK115,Resultados!CT115,Resultados!DC115,Resultados!DL115,Resultados!DU115,Resultados!ED115)=0, "", AVERAGE(ABS(Resultados!H115),ABS(Resultados!Q115),ABS(Resultados!Z115),ABS(Resultados!AI115),ABS(Resultados!AR115),ABS(Resultados!BA115),ABS(Resultados!BJ115),ABS(Resultados!BS115),ABS(Resultados!CB115),ABS(Resultados!CK115),ABS(Resultados!CT115),ABS(Resultados!DC115),ABS(Resultados!DL115),ABS(Resultados!DU115),ABS(Resultados!ED115)))</f>
        <v>1.5980000000000001E-2</v>
      </c>
      <c r="I115">
        <f>IF(COUNT(Resultados!I115,Resultados!R115,Resultados!AA115,Resultados!AJ115,Resultados!AS115,Resultados!BB115,Resultados!BK115,Resultados!BT115,Resultados!CC115,Resultados!CL115,Resultados!CU115,Resultados!DD115,Resultados!DM115,Resultados!DV115,Resultados!EE115)=0, "", AVERAGE(ABS(Resultados!I115),ABS(Resultados!R115),ABS(Resultados!AA115),ABS(Resultados!AJ115),ABS(Resultados!AS115),ABS(Resultados!BB115),ABS(Resultados!BK115),ABS(Resultados!BT115),ABS(Resultados!CC115),ABS(Resultados!CL115),ABS(Resultados!CU115),ABS(Resultados!DD115),ABS(Resultados!DM115),ABS(Resultados!DV115),ABS(Resultados!EE115)))</f>
        <v>22.652518666666669</v>
      </c>
    </row>
    <row r="116" spans="1:9" x14ac:dyDescent="0.3">
      <c r="A116">
        <f>IF(COUNT(Resultados!A116,Resultados!J116,Resultados!S116,Resultados!AK116,Resultados!AT116,Resultados!BC116,Resultados!BL116,Resultados!BU116,Resultados!CD116,Resultados!CM116,Resultados!CV116,Resultados!DE116,Resultados!DW116)=0, "", AVERAGE(ABS(Resultados!A116),ABS(Resultados!J116),ABS(Resultados!S116),ABS(Resultados!AK116),ABS(Resultados!AT116),ABS(Resultados!BC116),ABS(Resultados!BL116),ABS(Resultados!BU116),ABS(Resultados!CD116),ABS(Resultados!CM116),ABS(Resultados!CV116),ABS(Resultados!DE116),ABS(Resultados!DW116)))</f>
        <v>45681</v>
      </c>
      <c r="B116" t="str">
        <f>IF(COUNT(Resultados!B116,Resultados!K116,Resultados!T116,Resultados!AL116,Resultados!AU116,Resultados!BD116,Resultados!BM116,Resultados!BV116,Resultados!CE116,Resultados!CN116,Resultados!CW116,Resultados!DF116,Resultados!DX116)=0, "", AVERAGE(ABS(Resultados!B116),ABS(Resultados!K116),ABS(Resultados!T116),ABS(Resultados!AL116),ABS(Resultados!AU116),ABS(Resultados!BD116),ABS(Resultados!BM116),ABS(Resultados!BV116),ABS(Resultados!CE116),ABS(Resultados!CN116),ABS(Resultados!CW116),ABS(Resultados!DF116),ABS(Resultados!DX116)))</f>
        <v/>
      </c>
      <c r="C116">
        <f>IF(COUNT(Resultados!C116,Resultados!L116,Resultados!U116,Resultados!AM116,Resultados!AV116,Resultados!BE116,Resultados!BN116,Resultados!BW116,Resultados!CF116,Resultados!CO116,Resultados!CX116,Resultados!DG116,Resultados!DY116)=0, "", AVERAGE(ABS(Resultados!C116),ABS(Resultados!L116),ABS(Resultados!U116),ABS(Resultados!AM116),ABS(Resultados!AV116),ABS(Resultados!BE116),ABS(Resultados!BN116),ABS(Resultados!BW116),ABS(Resultados!CF116),ABS(Resultados!CO116),ABS(Resultados!CX116),ABS(Resultados!DG116),ABS(Resultados!DY116)))</f>
        <v>3.0769230769230771</v>
      </c>
      <c r="D116">
        <f>IF(COUNT(Resultados!D116,Resultados!M116,Resultados!V116,Resultados!AN116,Resultados!AW116,Resultados!BF116,Resultados!BO116,Resultados!BX116,Resultados!CG116,Resultados!CP116,Resultados!CY116,Resultados!DH116,Resultados!DZ116)=0, "", AVERAGE(ABS(Resultados!D116),ABS(Resultados!M116),ABS(Resultados!V116),ABS(Resultados!AN116),ABS(Resultados!AW116),ABS(Resultados!BF116),ABS(Resultados!BO116),ABS(Resultados!BX116),ABS(Resultados!CG116),ABS(Resultados!CP116),ABS(Resultados!CY116),ABS(Resultados!DH116),ABS(Resultados!DZ116)))</f>
        <v>1.766923076923077E-2</v>
      </c>
      <c r="E116">
        <f>IF(COUNT(Resultados!E116,Resultados!N116,Resultados!W116,Resultados!AO116,Resultados!AX116,Resultados!BG116,Resultados!BP116,Resultados!BY116,Resultados!CH116,Resultados!CQ116,Resultados!CZ116,Resultados!DI116,Resultados!EA116)=0, "", AVERAGE(ABS(Resultados!E116),ABS(Resultados!N116),ABS(Resultados!W116),ABS(Resultados!AO116),ABS(Resultados!AX116),ABS(Resultados!BG116),ABS(Resultados!BP116),ABS(Resultados!BY116),ABS(Resultados!CH116),ABS(Resultados!CQ116),ABS(Resultados!CZ116),ABS(Resultados!DI116),ABS(Resultados!EA116)))</f>
        <v>6.9120243939926276</v>
      </c>
      <c r="F116">
        <f>IF(COUNT(Resultados!F116,Resultados!O116,Resultados!X116,Resultados!AP116,Resultados!AY116,Resultados!BH116,Resultados!BQ116,Resultados!BZ116,Resultados!CI116,Resultados!CR116,Resultados!DA116,Resultados!DJ116,Resultados!EB116)=0, "", AVERAGE(ABS(Resultados!F116),ABS(Resultados!O116),ABS(Resultados!X116),ABS(Resultados!AP116),ABS(Resultados!AY116),ABS(Resultados!BH116),ABS(Resultados!BQ116),ABS(Resultados!BZ116),ABS(Resultados!CI116),ABS(Resultados!CR116),ABS(Resultados!DA116),ABS(Resultados!DJ116),ABS(Resultados!EB116)))</f>
        <v>700.23408230429436</v>
      </c>
      <c r="G116">
        <f>IF(COUNT(Resultados!G116,Resultados!P116,Resultados!Y116,Resultados!AQ116,Resultados!AZ116,Resultados!BI116,Resultados!BR116,Resultados!CA116,Resultados!CJ116,Resultados!CS116,Resultados!DB116,Resultados!DK116,Resultados!EC116)=0, "", AVERAGE(ABS(Resultados!G116),ABS(Resultados!P116),ABS(Resultados!Y116),ABS(Resultados!AQ116),ABS(Resultados!AZ116),ABS(Resultados!BI116),ABS(Resultados!BR116),ABS(Resultados!CA116),ABS(Resultados!CJ116),ABS(Resultados!CS116),ABS(Resultados!DB116),ABS(Resultados!DK116),ABS(Resultados!EC116)))</f>
        <v>0.4240000000000001</v>
      </c>
      <c r="H116">
        <f>IF(COUNT(Resultados!H116,Resultados!Q116,Resultados!Z116,Resultados!AR116,Resultados!BA116,Resultados!BJ116,Resultados!BS116,Resultados!CB116,Resultados!CK116,Resultados!CT116,Resultados!DC116,Resultados!DL116,Resultados!ED116)=0, "", AVERAGE(ABS(Resultados!H116),ABS(Resultados!Q116),ABS(Resultados!Z116),ABS(Resultados!AR116),ABS(Resultados!BA116),ABS(Resultados!BJ116),ABS(Resultados!BS116),ABS(Resultados!CB116),ABS(Resultados!CK116),ABS(Resultados!CT116),ABS(Resultados!DC116),ABS(Resultados!DL116),ABS(Resultados!ED116)))</f>
        <v>1.4223076923076922E-2</v>
      </c>
      <c r="I116">
        <f>IF(COUNT(Resultados!I116,Resultados!R116,Resultados!AA116,Resultados!AS116,Resultados!BB116,Resultados!BK116,Resultados!BT116,Resultados!CC116,Resultados!CL116,Resultados!CU116,Resultados!DD116,Resultados!DM116,Resultados!EE116)=0, "", AVERAGE(ABS(Resultados!I116),ABS(Resultados!R116),ABS(Resultados!AA116),ABS(Resultados!AS116),ABS(Resultados!BB116),ABS(Resultados!BK116),ABS(Resultados!BT116),ABS(Resultados!CC116),ABS(Resultados!CL116),ABS(Resultados!CU116),ABS(Resultados!DD116),ABS(Resultados!DM116),ABS(Resultados!EE116)))</f>
        <v>22.799486923076927</v>
      </c>
    </row>
    <row r="117" spans="1:9" x14ac:dyDescent="0.3">
      <c r="A117">
        <f>IF(COUNT(Resultados!A117,Resultados!S117,Resultados!AK117,Resultados!AT117,Resultados!BC117,Resultados!BL117,Resultados!CD117,Resultados!CM117,Resultados!CV117,Resultados!DE117)=0, "", AVERAGE(ABS(Resultados!A117),ABS(Resultados!S117),ABS(Resultados!AK117),ABS(Resultados!AT117),ABS(Resultados!BC117),ABS(Resultados!BL117),ABS(Resultados!CD117),ABS(Resultados!CM117),ABS(Resultados!CV117),ABS(Resultados!DE117)))</f>
        <v>45681</v>
      </c>
      <c r="B117" t="str">
        <f>IF(COUNT(Resultados!B117,Resultados!T117,Resultados!AL117,Resultados!AU117,Resultados!BD117,Resultados!BM117,Resultados!CE117,Resultados!CN117,Resultados!CW117,Resultados!DF117)=0, "", AVERAGE(ABS(Resultados!B117),ABS(Resultados!T117),ABS(Resultados!AL117),ABS(Resultados!AU117),ABS(Resultados!BD117),ABS(Resultados!BM117),ABS(Resultados!CE117),ABS(Resultados!CN117),ABS(Resultados!CW117),ABS(Resultados!DF117)))</f>
        <v/>
      </c>
      <c r="C117">
        <f>IF(COUNT(Resultados!C117,Resultados!U117,Resultados!AM117,Resultados!AV117,Resultados!BE117,Resultados!BN117,Resultados!CF117,Resultados!CO117,Resultados!CX117,Resultados!DG117)=0, "", AVERAGE(ABS(Resultados!C117),ABS(Resultados!U117),ABS(Resultados!AM117),ABS(Resultados!AV117),ABS(Resultados!BE117),ABS(Resultados!BN117),ABS(Resultados!CF117),ABS(Resultados!CO117),ABS(Resultados!CX117),ABS(Resultados!DG117)))</f>
        <v>2.9</v>
      </c>
      <c r="D117">
        <f>IF(COUNT(Resultados!D117,Resultados!V117,Resultados!AN117,Resultados!AW117,Resultados!BF117,Resultados!BO117,Resultados!CG117,Resultados!CP117,Resultados!CY117,Resultados!DH117)=0, "", AVERAGE(ABS(Resultados!D117),ABS(Resultados!V117),ABS(Resultados!AN117),ABS(Resultados!AW117),ABS(Resultados!BF117),ABS(Resultados!BO117),ABS(Resultados!CG117),ABS(Resultados!CP117),ABS(Resultados!CY117),ABS(Resultados!DH117)))</f>
        <v>1.6849999999999997E-2</v>
      </c>
      <c r="E117">
        <f>IF(COUNT(Resultados!E117,Resultados!W117,Resultados!AO117,Resultados!AX117,Resultados!BG117,Resultados!BP117,Resultados!CH117,Resultados!CQ117,Resultados!CZ117,Resultados!DI117)=0, "", AVERAGE(ABS(Resultados!E117),ABS(Resultados!W117),ABS(Resultados!AO117),ABS(Resultados!AX117),ABS(Resultados!BG117),ABS(Resultados!BP117),ABS(Resultados!CH117),ABS(Resultados!CQ117),ABS(Resultados!CZ117),ABS(Resultados!DI117)))</f>
        <v>6.7384507186309666</v>
      </c>
      <c r="F117">
        <f>IF(COUNT(Resultados!F117,Resultados!X117,Resultados!AP117,Resultados!AY117,Resultados!BH117,Resultados!BQ117,Resultados!CI117,Resultados!CR117,Resultados!DA117,Resultados!DJ117)=0, "", AVERAGE(ABS(Resultados!F117),ABS(Resultados!X117),ABS(Resultados!AP117),ABS(Resultados!AY117),ABS(Resultados!BH117),ABS(Resultados!BQ117),ABS(Resultados!CI117),ABS(Resultados!CR117),ABS(Resultados!DA117),ABS(Resultados!DJ117)))</f>
        <v>686.47264819719953</v>
      </c>
      <c r="G117">
        <f>IF(COUNT(Resultados!G117,Resultados!Y117,Resultados!AQ117,Resultados!AZ117,Resultados!BI117,Resultados!BR117,Resultados!CJ117,Resultados!CS117,Resultados!DB117,Resultados!DK117)=0, "", AVERAGE(ABS(Resultados!G117),ABS(Resultados!Y117),ABS(Resultados!AQ117),ABS(Resultados!AZ117),ABS(Resultados!BI117),ABS(Resultados!BR117),ABS(Resultados!CJ117),ABS(Resultados!CS117),ABS(Resultados!DB117),ABS(Resultados!DK117)))</f>
        <v>0.42400000000000004</v>
      </c>
      <c r="H117">
        <f>IF(COUNT(Resultados!H117,Resultados!Z117,Resultados!AR117,Resultados!BA117,Resultados!BJ117,Resultados!BS117,Resultados!CK117,Resultados!CT117,Resultados!DC117,Resultados!DL117)=0, "", AVERAGE(ABS(Resultados!H117),ABS(Resultados!Z117),ABS(Resultados!AR117),ABS(Resultados!BA117),ABS(Resultados!BJ117),ABS(Resultados!BS117),ABS(Resultados!CK117),ABS(Resultados!CT117),ABS(Resultados!DC117),ABS(Resultados!DL117)))</f>
        <v>1.1539999999999998E-2</v>
      </c>
      <c r="I117">
        <f>IF(COUNT(Resultados!I117,Resultados!AA117,Resultados!AS117,Resultados!BB117,Resultados!BK117,Resultados!BT117,Resultados!CL117,Resultados!CU117,Resultados!DD117,Resultados!DM117)=0, "", AVERAGE(ABS(Resultados!I117),ABS(Resultados!AA117),ABS(Resultados!AS117),ABS(Resultados!BB117),ABS(Resultados!BK117),ABS(Resultados!BT117),ABS(Resultados!CL117),ABS(Resultados!CU117),ABS(Resultados!DD117),ABS(Resultados!DM117)))</f>
        <v>22.998225000000005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17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IF(COUNT(Resultados!A2,Resultados!J2,Resultados!S2,Resultados!AB2,Resultados!AK2,Resultados!AT2,Resultados!BC2,Resultados!BL2,Resultados!BU2,Resultados!CD2,Resultados!CM2,Resultados!CV2,Resultados!DE2,Resultados!DN2,Resultados!DW2)&lt;=1, "", _xlfn.STDEV.S(ABS(Resultados!A2),ABS(Resultados!J2),ABS(Resultados!S2),ABS(Resultados!AB2),ABS(Resultados!AK2),ABS(Resultados!AT2),ABS(Resultados!BC2),ABS(Resultados!BL2),ABS(Resultados!BU2),ABS(Resultados!CD2),ABS(Resultados!CM2),ABS(Resultados!CV2),ABS(Resultados!DE2),ABS(Resultados!DN2),ABS(Resultados!DW2))/SQRT(COUNT(Resultados!A2,Resultados!J2,Resultados!S2,Resultados!AB2,Resultados!AK2,Resultados!AT2,Resultados!BC2,Resultados!BL2,Resultados!BU2,Resultados!CD2,Resultados!CM2,Resultados!CV2,Resultados!DE2,Resultados!DN2,Resultados!DW2)))</f>
        <v>0</v>
      </c>
      <c r="B2" t="str">
        <f>IF(COUNT(Resultados!B2,Resultados!K2,Resultados!T2,Resultados!AC2,Resultados!AL2,Resultados!AU2,Resultados!BD2,Resultados!BM2,Resultados!BV2,Resultados!CE2,Resultados!CN2,Resultados!CW2,Resultados!DF2,Resultados!DO2,Resultados!DX2)&lt;=1, "", _xlfn.STDEV.S(ABS(Resultados!B2),ABS(Resultados!K2),ABS(Resultados!T2),ABS(Resultados!AC2),ABS(Resultados!AL2),ABS(Resultados!AU2),ABS(Resultados!BD2),ABS(Resultados!BM2),ABS(Resultados!BV2),ABS(Resultados!CE2),ABS(Resultados!CN2),ABS(Resultados!CW2),ABS(Resultados!DF2),ABS(Resultados!DO2),ABS(Resultados!DX2))/SQRT(COUNT(Resultados!B2,Resultados!K2,Resultados!T2,Resultados!AC2,Resultados!AL2,Resultados!AU2,Resultados!BD2,Resultados!BM2,Resultados!BV2,Resultados!CE2,Resultados!CN2,Resultados!CW2,Resultados!DF2,Resultados!DO2,Resultados!DX2)))</f>
        <v/>
      </c>
      <c r="C2">
        <f>IF(COUNT(Resultados!C2,Resultados!L2,Resultados!U2,Resultados!AD2,Resultados!AM2,Resultados!AV2,Resultados!BE2,Resultados!BN2,Resultados!BW2,Resultados!CF2,Resultados!CO2,Resultados!CX2,Resultados!DG2,Resultados!DP2,Resultados!DY2)&lt;=1, "", _xlfn.STDEV.S(ABS(Resultados!C2),ABS(Resultados!L2),ABS(Resultados!U2),ABS(Resultados!AD2),ABS(Resultados!AM2),ABS(Resultados!AV2),ABS(Resultados!BE2),ABS(Resultados!BN2),ABS(Resultados!BW2),ABS(Resultados!CF2),ABS(Resultados!CO2),ABS(Resultados!CX2),ABS(Resultados!DG2),ABS(Resultados!DP2),ABS(Resultados!DY2))/SQRT(COUNT(Resultados!C2,Resultados!L2,Resultados!U2,Resultados!AD2,Resultados!AM2,Resultados!AV2,Resultados!BE2,Resultados!BN2,Resultados!BW2,Resultados!CF2,Resultados!CO2,Resultados!CX2,Resultados!DG2,Resultados!DP2,Resultados!DY2)))</f>
        <v>0.48007935851918326</v>
      </c>
      <c r="D2">
        <f>IF(COUNT(Resultados!D2,Resultados!M2,Resultados!V2,Resultados!AE2,Resultados!AN2,Resultados!AW2,Resultados!BF2,Resultados!BO2,Resultados!BX2,Resultados!CG2,Resultados!CP2,Resultados!CY2,Resultados!DH2,Resultados!DQ2,Resultados!DZ2)&lt;=1, "", _xlfn.STDEV.S(ABS(Resultados!D2),ABS(Resultados!M2),ABS(Resultados!V2),ABS(Resultados!AE2),ABS(Resultados!AN2),ABS(Resultados!AW2),ABS(Resultados!BF2),ABS(Resultados!BO2),ABS(Resultados!BX2),ABS(Resultados!CG2),ABS(Resultados!CP2),ABS(Resultados!CY2),ABS(Resultados!DH2),ABS(Resultados!DQ2),ABS(Resultados!DZ2))/SQRT(COUNT(Resultados!D2,Resultados!M2,Resultados!V2,Resultados!AE2,Resultados!AN2,Resultados!AW2,Resultados!BF2,Resultados!BO2,Resultados!BX2,Resultados!CG2,Resultados!CP2,Resultados!CY2,Resultados!DH2,Resultados!DQ2,Resultados!DZ2)))</f>
        <v>1.6852299546352717E-4</v>
      </c>
      <c r="E2">
        <f>IF(COUNT(Resultados!E2,Resultados!N2,Resultados!W2,Resultados!AF2,Resultados!AO2,Resultados!AX2,Resultados!BG2,Resultados!BP2,Resultados!BY2,Resultados!CH2,Resultados!CQ2,Resultados!CZ2,Resultados!DI2,Resultados!DR2,Resultados!EA2)&lt;=1, "", _xlfn.STDEV.S(ABS(Resultados!E2),ABS(Resultados!N2),ABS(Resultados!W2),ABS(Resultados!AF2),ABS(Resultados!AO2),ABS(Resultados!AX2),ABS(Resultados!BG2),ABS(Resultados!BP2),ABS(Resultados!BY2),ABS(Resultados!CH2),ABS(Resultados!CQ2),ABS(Resultados!CZ2),ABS(Resultados!DI2),ABS(Resultados!DR2),ABS(Resultados!EA2))/SQRT(COUNT(Resultados!E2,Resultados!N2,Resultados!W2,Resultados!AF2,Resultados!AO2,Resultados!AX2,Resultados!BG2,Resultados!BP2,Resultados!BY2,Resultados!CH2,Resultados!CQ2,Resultados!CZ2,Resultados!DI2,Resultados!DR2,Resultados!EA2)))</f>
        <v>4.8409387630977626E-6</v>
      </c>
      <c r="F2">
        <f>IF(COUNT(Resultados!F2,Resultados!O2,Resultados!X2,Resultados!AG2,Resultados!AP2,Resultados!AY2,Resultados!BH2,Resultados!BQ2,Resultados!BZ2,Resultados!CI2,Resultados!CR2,Resultados!DA2,Resultados!DJ2,Resultados!DS2,Resultados!EB2)&lt;=1, "", _xlfn.STDEV.S(ABS(Resultados!F2),ABS(Resultados!O2),ABS(Resultados!X2),ABS(Resultados!AG2),ABS(Resultados!AP2),ABS(Resultados!AY2),ABS(Resultados!BH2),ABS(Resultados!BQ2),ABS(Resultados!BZ2),ABS(Resultados!CI2),ABS(Resultados!CR2),ABS(Resultados!DA2),ABS(Resultados!DJ2),ABS(Resultados!DS2),ABS(Resultados!EB2))/SQRT(COUNT(Resultados!F2,Resultados!O2,Resultados!X2,Resultados!AG2,Resultados!AP2,Resultados!AY2,Resultados!BH2,Resultados!BQ2,Resultados!BZ2,Resultados!CI2,Resultados!CR2,Resultados!DA2,Resultados!DJ2,Resultados!DS2,Resultados!EB2)))</f>
        <v>4.5117549271973757E-4</v>
      </c>
      <c r="G2">
        <f>IF(COUNT(Resultados!G2,Resultados!P2,Resultados!Y2,Resultados!AH2,Resultados!AQ2,Resultados!AZ2,Resultados!BI2,Resultados!BR2,Resultados!CA2,Resultados!CJ2,Resultados!CS2,Resultados!DB2,Resultados!DK2,Resultados!DT2,Resultados!EC2)&lt;=1, "", _xlfn.STDEV.S(ABS(Resultados!G2),ABS(Resultados!P2),ABS(Resultados!Y2),ABS(Resultados!AH2),ABS(Resultados!AQ2),ABS(Resultados!AZ2),ABS(Resultados!BI2),ABS(Resultados!BR2),ABS(Resultados!CA2),ABS(Resultados!CJ2),ABS(Resultados!CS2),ABS(Resultados!DB2),ABS(Resultados!DK2),ABS(Resultados!DT2),ABS(Resultados!EC2))/SQRT(COUNT(Resultados!G2,Resultados!P2,Resultados!Y2,Resultados!AH2,Resultados!AQ2,Resultados!AZ2,Resultados!BI2,Resultados!BR2,Resultados!CA2,Resultados!CJ2,Resultados!CS2,Resultados!DB2,Resultados!DK2,Resultados!DT2,Resultados!EC2)))</f>
        <v>4.4507937654163114E-17</v>
      </c>
      <c r="H2">
        <f>IF(COUNT(Resultados!H2,Resultados!Q2,Resultados!Z2,Resultados!AI2,Resultados!AR2,Resultados!BA2,Resultados!BJ2,Resultados!BS2,Resultados!CB2,Resultados!CK2,Resultados!CT2,Resultados!DC2,Resultados!DL2,Resultados!DU2,Resultados!ED2)&lt;=1, "", _xlfn.STDEV.S(ABS(Resultados!H2),ABS(Resultados!Q2),ABS(Resultados!Z2),ABS(Resultados!AI2),ABS(Resultados!AR2),ABS(Resultados!BA2),ABS(Resultados!BJ2),ABS(Resultados!BS2),ABS(Resultados!CB2),ABS(Resultados!CK2),ABS(Resultados!CT2),ABS(Resultados!DC2),ABS(Resultados!DL2),ABS(Resultados!DU2),ABS(Resultados!ED2))/SQRT(COUNT(Resultados!H2,Resultados!Q2,Resultados!Z2,Resultados!AI2,Resultados!AR2,Resultados!BA2,Resultados!BJ2,Resultados!BS2,Resultados!CB2,Resultados!CK2,Resultados!CT2,Resultados!DC2,Resultados!DL2,Resultados!DU2,Resultados!ED2)))</f>
        <v>0</v>
      </c>
      <c r="I2">
        <f>IF(COUNT(Resultados!I2,Resultados!R2,Resultados!AA2,Resultados!AJ2,Resultados!AS2,Resultados!BB2,Resultados!BK2,Resultados!BT2,Resultados!CC2,Resultados!CL2,Resultados!CU2,Resultados!DD2,Resultados!DM2,Resultados!DV2,Resultados!EE2)&lt;=1, "", _xlfn.STDEV.S(ABS(Resultados!I2),ABS(Resultados!R2),ABS(Resultados!AA2),ABS(Resultados!AJ2),ABS(Resultados!AS2),ABS(Resultados!BB2),ABS(Resultados!BK2),ABS(Resultados!BT2),ABS(Resultados!CC2),ABS(Resultados!CL2),ABS(Resultados!CU2),ABS(Resultados!DD2),ABS(Resultados!DM2),ABS(Resultados!DV2),ABS(Resultados!EE2))/SQRT(COUNT(Resultados!I2,Resultados!R2,Resultados!AA2,Resultados!AJ2,Resultados!AS2,Resultados!BB2,Resultados!BK2,Resultados!BT2,Resultados!CC2,Resultados!CL2,Resultados!CU2,Resultados!DD2,Resultados!DM2,Resultados!DV2,Resultados!EE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IF(COUNT(Resultados!A3,Resultados!J3,Resultados!S3,Resultados!AB3,Resultados!AK3,Resultados!AT3,Resultados!BC3,Resultados!BL3,Resultados!BU3,Resultados!CD3,Resultados!CM3,Resultados!CV3,Resultados!DE3,Resultados!DN3,Resultados!DW3)&lt;=1, "", _xlfn.STDEV.S(ABS(Resultados!A3),ABS(Resultados!J3),ABS(Resultados!S3),ABS(Resultados!AB3),ABS(Resultados!AK3),ABS(Resultados!AT3),ABS(Resultados!BC3),ABS(Resultados!BL3),ABS(Resultados!BU3),ABS(Resultados!CD3),ABS(Resultados!CM3),ABS(Resultados!CV3),ABS(Resultados!DE3),ABS(Resultados!DN3),ABS(Resultados!DW3))/SQRT(COUNT(Resultados!A3,Resultados!J3,Resultados!S3,Resultados!AB3,Resultados!AK3,Resultados!AT3,Resultados!BC3,Resultados!BL3,Resultados!BU3,Resultados!CD3,Resultados!CM3,Resultados!CV3,Resultados!DE3,Resultados!DN3,Resultados!DW3)))</f>
        <v>0</v>
      </c>
      <c r="B3" t="str">
        <f>IF(COUNT(Resultados!B3,Resultados!K3,Resultados!T3,Resultados!AC3,Resultados!AL3,Resultados!AU3,Resultados!BD3,Resultados!BM3,Resultados!BV3,Resultados!CE3,Resultados!CN3,Resultados!CW3,Resultados!DF3,Resultados!DO3,Resultados!DX3)&lt;=1, "", _xlfn.STDEV.S(ABS(Resultados!B3),ABS(Resultados!K3),ABS(Resultados!T3),ABS(Resultados!AC3),ABS(Resultados!AL3),ABS(Resultados!AU3),ABS(Resultados!BD3),ABS(Resultados!BM3),ABS(Resultados!BV3),ABS(Resultados!CE3),ABS(Resultados!CN3),ABS(Resultados!CW3),ABS(Resultados!DF3),ABS(Resultados!DO3),ABS(Resultados!DX3))/SQRT(COUNT(Resultados!B3,Resultados!K3,Resultados!T3,Resultados!AC3,Resultados!AL3,Resultados!AU3,Resultados!BD3,Resultados!BM3,Resultados!BV3,Resultados!CE3,Resultados!CN3,Resultados!CW3,Resultados!DF3,Resultados!DO3,Resultados!DX3)))</f>
        <v/>
      </c>
      <c r="C3">
        <f>IF(COUNT(Resultados!C3,Resultados!L3,Resultados!U3,Resultados!AD3,Resultados!AM3,Resultados!AV3,Resultados!BE3,Resultados!BN3,Resultados!BW3,Resultados!CF3,Resultados!CO3,Resultados!CX3,Resultados!DG3,Resultados!DP3,Resultados!DY3)&lt;=1, "", _xlfn.STDEV.S(ABS(Resultados!C3),ABS(Resultados!L3),ABS(Resultados!U3),ABS(Resultados!AD3),ABS(Resultados!AM3),ABS(Resultados!AV3),ABS(Resultados!BE3),ABS(Resultados!BN3),ABS(Resultados!BW3),ABS(Resultados!CF3),ABS(Resultados!CO3),ABS(Resultados!CX3),ABS(Resultados!DG3),ABS(Resultados!DP3),ABS(Resultados!DY3))/SQRT(COUNT(Resultados!C3,Resultados!L3,Resultados!U3,Resultados!AD3,Resultados!AM3,Resultados!AV3,Resultados!BE3,Resultados!BN3,Resultados!BW3,Resultados!CF3,Resultados!CO3,Resultados!CX3,Resultados!DG3,Resultados!DP3,Resultados!DY3)))</f>
        <v>0.48007935851918326</v>
      </c>
      <c r="D3">
        <f>IF(COUNT(Resultados!D3,Resultados!M3,Resultados!V3,Resultados!AE3,Resultados!AN3,Resultados!AW3,Resultados!BF3,Resultados!BO3,Resultados!BX3,Resultados!CG3,Resultados!CP3,Resultados!CY3,Resultados!DH3,Resultados!DQ3,Resultados!DZ3)&lt;=1, "", _xlfn.STDEV.S(ABS(Resultados!D3),ABS(Resultados!M3),ABS(Resultados!V3),ABS(Resultados!AE3),ABS(Resultados!AN3),ABS(Resultados!AW3),ABS(Resultados!BF3),ABS(Resultados!BO3),ABS(Resultados!BX3),ABS(Resultados!CG3),ABS(Resultados!CP3),ABS(Resultados!CY3),ABS(Resultados!DH3),ABS(Resultados!DQ3),ABS(Resultados!DZ3))/SQRT(COUNT(Resultados!D3,Resultados!M3,Resultados!V3,Resultados!AE3,Resultados!AN3,Resultados!AW3,Resultados!BF3,Resultados!BO3,Resultados!BX3,Resultados!CG3,Resultados!CP3,Resultados!CY3,Resultados!DH3,Resultados!DQ3,Resultados!DZ3)))</f>
        <v>1.1664625671811849E-4</v>
      </c>
      <c r="E3">
        <f>IF(COUNT(Resultados!E3,Resultados!N3,Resultados!W3,Resultados!AF3,Resultados!AO3,Resultados!AX3,Resultados!BG3,Resultados!BP3,Resultados!BY3,Resultados!CH3,Resultados!CQ3,Resultados!CZ3,Resultados!DI3,Resultados!DR3,Resultados!EA3)&lt;=1, "", _xlfn.STDEV.S(ABS(Resultados!E3),ABS(Resultados!N3),ABS(Resultados!W3),ABS(Resultados!AF3),ABS(Resultados!AO3),ABS(Resultados!AX3),ABS(Resultados!BG3),ABS(Resultados!BP3),ABS(Resultados!BY3),ABS(Resultados!CH3),ABS(Resultados!CQ3),ABS(Resultados!CZ3),ABS(Resultados!DI3),ABS(Resultados!DR3),ABS(Resultados!EA3))/SQRT(COUNT(Resultados!E3,Resultados!N3,Resultados!W3,Resultados!AF3,Resultados!AO3,Resultados!AX3,Resultados!BG3,Resultados!BP3,Resultados!BY3,Resultados!CH3,Resultados!CQ3,Resultados!CZ3,Resultados!DI3,Resultados!DR3,Resultados!EA3)))</f>
        <v>2.8891280862198804E-2</v>
      </c>
      <c r="F3">
        <f>IF(COUNT(Resultados!F3,Resultados!O3,Resultados!X3,Resultados!AG3,Resultados!AP3,Resultados!AY3,Resultados!BH3,Resultados!BQ3,Resultados!BZ3,Resultados!CI3,Resultados!CR3,Resultados!DA3,Resultados!DJ3,Resultados!DS3,Resultados!EB3)&lt;=1, "", _xlfn.STDEV.S(ABS(Resultados!F3),ABS(Resultados!O3),ABS(Resultados!X3),ABS(Resultados!AG3),ABS(Resultados!AP3),ABS(Resultados!AY3),ABS(Resultados!BH3),ABS(Resultados!BQ3),ABS(Resultados!BZ3),ABS(Resultados!CI3),ABS(Resultados!CR3),ABS(Resultados!DA3),ABS(Resultados!DJ3),ABS(Resultados!DS3),ABS(Resultados!EB3))/SQRT(COUNT(Resultados!F3,Resultados!O3,Resultados!X3,Resultados!AG3,Resultados!AP3,Resultados!AY3,Resultados!BH3,Resultados!BQ3,Resultados!BZ3,Resultados!CI3,Resultados!CR3,Resultados!DA3,Resultados!DJ3,Resultados!DS3,Resultados!EB3)))</f>
        <v>2.7417825538226666</v>
      </c>
      <c r="G3">
        <f>IF(COUNT(Resultados!G3,Resultados!P3,Resultados!Y3,Resultados!AH3,Resultados!AQ3,Resultados!AZ3,Resultados!BI3,Resultados!BR3,Resultados!CA3,Resultados!CJ3,Resultados!CS3,Resultados!DB3,Resultados!DK3,Resultados!DT3,Resultados!EC3)&lt;=1, "", _xlfn.STDEV.S(ABS(Resultados!G3),ABS(Resultados!P3),ABS(Resultados!Y3),ABS(Resultados!AH3),ABS(Resultados!AQ3),ABS(Resultados!AZ3),ABS(Resultados!BI3),ABS(Resultados!BR3),ABS(Resultados!CA3),ABS(Resultados!CJ3),ABS(Resultados!CS3),ABS(Resultados!DB3),ABS(Resultados!DK3),ABS(Resultados!DT3),ABS(Resultados!EC3))/SQRT(COUNT(Resultados!G3,Resultados!P3,Resultados!Y3,Resultados!AH3,Resultados!AQ3,Resultados!AZ3,Resultados!BI3,Resultados!BR3,Resultados!CA3,Resultados!CJ3,Resultados!CS3,Resultados!DB3,Resultados!DK3,Resultados!DT3,Resultados!EC3)))</f>
        <v>4.4507937654163114E-17</v>
      </c>
      <c r="H3">
        <f>IF(COUNT(Resultados!H3,Resultados!Q3,Resultados!Z3,Resultados!AI3,Resultados!AR3,Resultados!BA3,Resultados!BJ3,Resultados!BS3,Resultados!CB3,Resultados!CK3,Resultados!CT3,Resultados!DC3,Resultados!DL3,Resultados!DU3,Resultados!ED3)&lt;=1, "", _xlfn.STDEV.S(ABS(Resultados!H3),ABS(Resultados!Q3),ABS(Resultados!Z3),ABS(Resultados!AI3),ABS(Resultados!AR3),ABS(Resultados!BA3),ABS(Resultados!BJ3),ABS(Resultados!BS3),ABS(Resultados!CB3),ABS(Resultados!CK3),ABS(Resultados!CT3),ABS(Resultados!DC3),ABS(Resultados!DL3),ABS(Resultados!DU3),ABS(Resultados!ED3))/SQRT(COUNT(Resultados!H3,Resultados!Q3,Resultados!Z3,Resultados!AI3,Resultados!AR3,Resultados!BA3,Resultados!BJ3,Resultados!BS3,Resultados!CB3,Resultados!CK3,Resultados!CT3,Resultados!DC3,Resultados!DL3,Resultados!DU3,Resultados!ED3)))</f>
        <v>4.533333333333332E-4</v>
      </c>
      <c r="I3">
        <f>IF(COUNT(Resultados!I3,Resultados!R3,Resultados!AA3,Resultados!AJ3,Resultados!AS3,Resultados!BB3,Resultados!BK3,Resultados!BT3,Resultados!CC3,Resultados!CL3,Resultados!CU3,Resultados!DD3,Resultados!DM3,Resultados!DV3,Resultados!EE3)&lt;=1, "", _xlfn.STDEV.S(ABS(Resultados!I3),ABS(Resultados!R3),ABS(Resultados!AA3),ABS(Resultados!AJ3),ABS(Resultados!AS3),ABS(Resultados!BB3),ABS(Resultados!BK3),ABS(Resultados!BT3),ABS(Resultados!CC3),ABS(Resultados!CL3),ABS(Resultados!CU3),ABS(Resultados!DD3),ABS(Resultados!DM3),ABS(Resultados!DV3),ABS(Resultados!EE3))/SQRT(COUNT(Resultados!I3,Resultados!R3,Resultados!AA3,Resultados!AJ3,Resultados!AS3,Resultados!BB3,Resultados!BK3,Resultados!BT3,Resultados!CC3,Resultados!CL3,Resultados!CU3,Resultados!DD3,Resultados!DM3,Resultados!DV3,Resultados!EE3)))</f>
        <v>7.677454108447352E-4</v>
      </c>
    </row>
    <row r="4" spans="1:9" x14ac:dyDescent="0.3">
      <c r="A4">
        <f>IF(COUNT(Resultados!A4,Resultados!J4,Resultados!S4,Resultados!AB4,Resultados!AK4,Resultados!AT4,Resultados!BC4,Resultados!BL4,Resultados!BU4,Resultados!CD4,Resultados!CM4,Resultados!CV4,Resultados!DE4,Resultados!DN4,Resultados!DW4)&lt;=1, "", _xlfn.STDEV.S(ABS(Resultados!A4),ABS(Resultados!J4),ABS(Resultados!S4),ABS(Resultados!AB4),ABS(Resultados!AK4),ABS(Resultados!AT4),ABS(Resultados!BC4),ABS(Resultados!BL4),ABS(Resultados!BU4),ABS(Resultados!CD4),ABS(Resultados!CM4),ABS(Resultados!CV4),ABS(Resultados!DE4),ABS(Resultados!DN4),ABS(Resultados!DW4))/SQRT(COUNT(Resultados!A4,Resultados!J4,Resultados!S4,Resultados!AB4,Resultados!AK4,Resultados!AT4,Resultados!BC4,Resultados!BL4,Resultados!BU4,Resultados!CD4,Resultados!CM4,Resultados!CV4,Resultados!DE4,Resultados!DN4,Resultados!DW4)))</f>
        <v>0</v>
      </c>
      <c r="B4" t="str">
        <f>IF(COUNT(Resultados!B4,Resultados!K4,Resultados!T4,Resultados!AC4,Resultados!AL4,Resultados!AU4,Resultados!BD4,Resultados!BM4,Resultados!BV4,Resultados!CE4,Resultados!CN4,Resultados!CW4,Resultados!DF4,Resultados!DO4,Resultados!DX4)&lt;=1, "", _xlfn.STDEV.S(ABS(Resultados!B4),ABS(Resultados!K4),ABS(Resultados!T4),ABS(Resultados!AC4),ABS(Resultados!AL4),ABS(Resultados!AU4),ABS(Resultados!BD4),ABS(Resultados!BM4),ABS(Resultados!BV4),ABS(Resultados!CE4),ABS(Resultados!CN4),ABS(Resultados!CW4),ABS(Resultados!DF4),ABS(Resultados!DO4),ABS(Resultados!DX4))/SQRT(COUNT(Resultados!B4,Resultados!K4,Resultados!T4,Resultados!AC4,Resultados!AL4,Resultados!AU4,Resultados!BD4,Resultados!BM4,Resultados!BV4,Resultados!CE4,Resultados!CN4,Resultados!CW4,Resultados!DF4,Resultados!DO4,Resultados!DX4)))</f>
        <v/>
      </c>
      <c r="C4">
        <f>IF(COUNT(Resultados!C4,Resultados!L4,Resultados!U4,Resultados!AD4,Resultados!AM4,Resultados!AV4,Resultados!BE4,Resultados!BN4,Resultados!BW4,Resultados!CF4,Resultados!CO4,Resultados!CX4,Resultados!DG4,Resultados!DP4,Resultados!DY4)&lt;=1, "", _xlfn.STDEV.S(ABS(Resultados!C4),ABS(Resultados!L4),ABS(Resultados!U4),ABS(Resultados!AD4),ABS(Resultados!AM4),ABS(Resultados!AV4),ABS(Resultados!BE4),ABS(Resultados!BN4),ABS(Resultados!BW4),ABS(Resultados!CF4),ABS(Resultados!CO4),ABS(Resultados!CX4),ABS(Resultados!DG4),ABS(Resultados!DP4),ABS(Resultados!DY4))/SQRT(COUNT(Resultados!C4,Resultados!L4,Resultados!U4,Resultados!AD4,Resultados!AM4,Resultados!AV4,Resultados!BE4,Resultados!BN4,Resultados!BW4,Resultados!CF4,Resultados!CO4,Resultados!CX4,Resultados!DG4,Resultados!DP4,Resultados!DY4)))</f>
        <v>0.48007935851918326</v>
      </c>
      <c r="D4">
        <f>IF(COUNT(Resultados!D4,Resultados!M4,Resultados!V4,Resultados!AE4,Resultados!AN4,Resultados!AW4,Resultados!BF4,Resultados!BO4,Resultados!BX4,Resultados!CG4,Resultados!CP4,Resultados!CY4,Resultados!DH4,Resultados!DQ4,Resultados!DZ4)&lt;=1, "", _xlfn.STDEV.S(ABS(Resultados!D4),ABS(Resultados!M4),ABS(Resultados!V4),ABS(Resultados!AE4),ABS(Resultados!AN4),ABS(Resultados!AW4),ABS(Resultados!BF4),ABS(Resultados!BO4),ABS(Resultados!BX4),ABS(Resultados!CG4),ABS(Resultados!CP4),ABS(Resultados!CY4),ABS(Resultados!DH4),ABS(Resultados!DQ4),ABS(Resultados!DZ4))/SQRT(COUNT(Resultados!D4,Resultados!M4,Resultados!V4,Resultados!AE4,Resultados!AN4,Resultados!AW4,Resultados!BF4,Resultados!BO4,Resultados!BX4,Resultados!CG4,Resultados!CP4,Resultados!CY4,Resultados!DH4,Resultados!DQ4,Resultados!DZ4)))</f>
        <v>1.0788000388438646E-4</v>
      </c>
      <c r="E4">
        <f>IF(COUNT(Resultados!E4,Resultados!N4,Resultados!W4,Resultados!AF4,Resultados!AO4,Resultados!AX4,Resultados!BG4,Resultados!BP4,Resultados!BY4,Resultados!CH4,Resultados!CQ4,Resultados!CZ4,Resultados!DI4,Resultados!DR4,Resultados!EA4)&lt;=1, "", _xlfn.STDEV.S(ABS(Resultados!E4),ABS(Resultados!N4),ABS(Resultados!W4),ABS(Resultados!AF4),ABS(Resultados!AO4),ABS(Resultados!AX4),ABS(Resultados!BG4),ABS(Resultados!BP4),ABS(Resultados!BY4),ABS(Resultados!CH4),ABS(Resultados!CQ4),ABS(Resultados!CZ4),ABS(Resultados!DI4),ABS(Resultados!DR4),ABS(Resultados!EA4))/SQRT(COUNT(Resultados!E4,Resultados!N4,Resultados!W4,Resultados!AF4,Resultados!AO4,Resultados!AX4,Resultados!BG4,Resultados!BP4,Resultados!BY4,Resultados!CH4,Resultados!CQ4,Resultados!CZ4,Resultados!DI4,Resultados!DR4,Resultados!EA4)))</f>
        <v>9.8282250601314358E-3</v>
      </c>
      <c r="F4">
        <f>IF(COUNT(Resultados!F4,Resultados!O4,Resultados!X4,Resultados!AG4,Resultados!AP4,Resultados!AY4,Resultados!BH4,Resultados!BQ4,Resultados!BZ4,Resultados!CI4,Resultados!CR4,Resultados!DA4,Resultados!DJ4,Resultados!DS4,Resultados!EB4)&lt;=1, "", _xlfn.STDEV.S(ABS(Resultados!F4),ABS(Resultados!O4),ABS(Resultados!X4),ABS(Resultados!AG4),ABS(Resultados!AP4),ABS(Resultados!AY4),ABS(Resultados!BH4),ABS(Resultados!BQ4),ABS(Resultados!BZ4),ABS(Resultados!CI4),ABS(Resultados!CR4),ABS(Resultados!DA4),ABS(Resultados!DJ4),ABS(Resultados!DS4),ABS(Resultados!EB4))/SQRT(COUNT(Resultados!F4,Resultados!O4,Resultados!X4,Resultados!AG4,Resultados!AP4,Resultados!AY4,Resultados!BH4,Resultados!BQ4,Resultados!BZ4,Resultados!CI4,Resultados!CR4,Resultados!DA4,Resultados!DJ4,Resultados!DS4,Resultados!EB4)))</f>
        <v>5.9123677468673312</v>
      </c>
      <c r="G4">
        <f>IF(COUNT(Resultados!G4,Resultados!P4,Resultados!Y4,Resultados!AH4,Resultados!AQ4,Resultados!AZ4,Resultados!BI4,Resultados!BR4,Resultados!CA4,Resultados!CJ4,Resultados!CS4,Resultados!DB4,Resultados!DK4,Resultados!DT4,Resultados!EC4)&lt;=1, "", _xlfn.STDEV.S(ABS(Resultados!G4),ABS(Resultados!P4),ABS(Resultados!Y4),ABS(Resultados!AH4),ABS(Resultados!AQ4),ABS(Resultados!AZ4),ABS(Resultados!BI4),ABS(Resultados!BR4),ABS(Resultados!CA4),ABS(Resultados!CJ4),ABS(Resultados!CS4),ABS(Resultados!DB4),ABS(Resultados!DK4),ABS(Resultados!DT4),ABS(Resultados!EC4))/SQRT(COUNT(Resultados!G4,Resultados!P4,Resultados!Y4,Resultados!AH4,Resultados!AQ4,Resultados!AZ4,Resultados!BI4,Resultados!BR4,Resultados!CA4,Resultados!CJ4,Resultados!CS4,Resultados!DB4,Resultados!DK4,Resultados!DT4,Resultados!EC4)))</f>
        <v>4.4507937654163114E-17</v>
      </c>
      <c r="H4">
        <f>IF(COUNT(Resultados!H4,Resultados!Q4,Resultados!Z4,Resultados!AI4,Resultados!AR4,Resultados!BA4,Resultados!BJ4,Resultados!BS4,Resultados!CB4,Resultados!CK4,Resultados!CT4,Resultados!DC4,Resultados!DL4,Resultados!DU4,Resultados!ED4)&lt;=1, "", _xlfn.STDEV.S(ABS(Resultados!H4),ABS(Resultados!Q4),ABS(Resultados!Z4),ABS(Resultados!AI4),ABS(Resultados!AR4),ABS(Resultados!BA4),ABS(Resultados!BJ4),ABS(Resultados!BS4),ABS(Resultados!CB4),ABS(Resultados!CK4),ABS(Resultados!CT4),ABS(Resultados!DC4),ABS(Resultados!DL4),ABS(Resultados!DU4),ABS(Resultados!ED4))/SQRT(COUNT(Resultados!H4,Resultados!Q4,Resultados!Z4,Resultados!AI4,Resultados!AR4,Resultados!BA4,Resultados!BJ4,Resultados!BS4,Resultados!CB4,Resultados!CK4,Resultados!CT4,Resultados!DC4,Resultados!DL4,Resultados!DU4,Resultados!ED4)))</f>
        <v>1.5264857451541204E-4</v>
      </c>
      <c r="I4">
        <f>IF(COUNT(Resultados!I4,Resultados!R4,Resultados!AA4,Resultados!AJ4,Resultados!AS4,Resultados!BB4,Resultados!BK4,Resultados!BT4,Resultados!CC4,Resultados!CL4,Resultados!CU4,Resultados!DD4,Resultados!DM4,Resultados!DV4,Resultados!EE4)&lt;=1, "", _xlfn.STDEV.S(ABS(Resultados!I4),ABS(Resultados!R4),ABS(Resultados!AA4),ABS(Resultados!AJ4),ABS(Resultados!AS4),ABS(Resultados!BB4),ABS(Resultados!BK4),ABS(Resultados!BT4),ABS(Resultados!CC4),ABS(Resultados!CL4),ABS(Resultados!CU4),ABS(Resultados!DD4),ABS(Resultados!DM4),ABS(Resultados!DV4),ABS(Resultados!EE4))/SQRT(COUNT(Resultados!I4,Resultados!R4,Resultados!AA4,Resultados!AJ4,Resultados!AS4,Resultados!BB4,Resultados!BK4,Resultados!BT4,Resultados!CC4,Resultados!CL4,Resultados!CU4,Resultados!DD4,Resultados!DM4,Resultados!DV4,Resultados!EE4)))</f>
        <v>7.1723720368434783E-4</v>
      </c>
    </row>
    <row r="5" spans="1:9" x14ac:dyDescent="0.3">
      <c r="A5">
        <f>IF(COUNT(Resultados!A5,Resultados!J5,Resultados!S5,Resultados!AB5,Resultados!AK5,Resultados!AT5,Resultados!BC5,Resultados!BL5,Resultados!BU5,Resultados!CD5,Resultados!CM5,Resultados!CV5,Resultados!DE5,Resultados!DN5,Resultados!DW5)&lt;=1, "", _xlfn.STDEV.S(ABS(Resultados!A5),ABS(Resultados!J5),ABS(Resultados!S5),ABS(Resultados!AB5),ABS(Resultados!AK5),ABS(Resultados!AT5),ABS(Resultados!BC5),ABS(Resultados!BL5),ABS(Resultados!BU5),ABS(Resultados!CD5),ABS(Resultados!CM5),ABS(Resultados!CV5),ABS(Resultados!DE5),ABS(Resultados!DN5),ABS(Resultados!DW5))/SQRT(COUNT(Resultados!A5,Resultados!J5,Resultados!S5,Resultados!AB5,Resultados!AK5,Resultados!AT5,Resultados!BC5,Resultados!BL5,Resultados!BU5,Resultados!CD5,Resultados!CM5,Resultados!CV5,Resultados!DE5,Resultados!DN5,Resultados!DW5)))</f>
        <v>0</v>
      </c>
      <c r="B5" t="str">
        <f>IF(COUNT(Resultados!B5,Resultados!K5,Resultados!T5,Resultados!AC5,Resultados!AL5,Resultados!AU5,Resultados!BD5,Resultados!BM5,Resultados!BV5,Resultados!CE5,Resultados!CN5,Resultados!CW5,Resultados!DF5,Resultados!DO5,Resultados!DX5)&lt;=1, "", _xlfn.STDEV.S(ABS(Resultados!B5),ABS(Resultados!K5),ABS(Resultados!T5),ABS(Resultados!AC5),ABS(Resultados!AL5),ABS(Resultados!AU5),ABS(Resultados!BD5),ABS(Resultados!BM5),ABS(Resultados!BV5),ABS(Resultados!CE5),ABS(Resultados!CN5),ABS(Resultados!CW5),ABS(Resultados!DF5),ABS(Resultados!DO5),ABS(Resultados!DX5))/SQRT(COUNT(Resultados!B5,Resultados!K5,Resultados!T5,Resultados!AC5,Resultados!AL5,Resultados!AU5,Resultados!BD5,Resultados!BM5,Resultados!BV5,Resultados!CE5,Resultados!CN5,Resultados!CW5,Resultados!DF5,Resultados!DO5,Resultados!DX5)))</f>
        <v/>
      </c>
      <c r="C5">
        <f>IF(COUNT(Resultados!C5,Resultados!L5,Resultados!U5,Resultados!AD5,Resultados!AM5,Resultados!AV5,Resultados!BE5,Resultados!BN5,Resultados!BW5,Resultados!CF5,Resultados!CO5,Resultados!CX5,Resultados!DG5,Resultados!DP5,Resultados!DY5)&lt;=1, "", _xlfn.STDEV.S(ABS(Resultados!C5),ABS(Resultados!L5),ABS(Resultados!U5),ABS(Resultados!AD5),ABS(Resultados!AM5),ABS(Resultados!AV5),ABS(Resultados!BE5),ABS(Resultados!BN5),ABS(Resultados!BW5),ABS(Resultados!CF5),ABS(Resultados!CO5),ABS(Resultados!CX5),ABS(Resultados!DG5),ABS(Resultados!DP5),ABS(Resultados!DY5))/SQRT(COUNT(Resultados!C5,Resultados!L5,Resultados!U5,Resultados!AD5,Resultados!AM5,Resultados!AV5,Resultados!BE5,Resultados!BN5,Resultados!BW5,Resultados!CF5,Resultados!CO5,Resultados!CX5,Resultados!DG5,Resultados!DP5,Resultados!DY5)))</f>
        <v>0.48007935851918326</v>
      </c>
      <c r="D5">
        <f>IF(COUNT(Resultados!D5,Resultados!M5,Resultados!V5,Resultados!AE5,Resultados!AN5,Resultados!AW5,Resultados!BF5,Resultados!BO5,Resultados!BX5,Resultados!CG5,Resultados!CP5,Resultados!CY5,Resultados!DH5,Resultados!DQ5,Resultados!DZ5)&lt;=1, "", _xlfn.STDEV.S(ABS(Resultados!D5),ABS(Resultados!M5),ABS(Resultados!V5),ABS(Resultados!AE5),ABS(Resultados!AN5),ABS(Resultados!AW5),ABS(Resultados!BF5),ABS(Resultados!BO5),ABS(Resultados!BX5),ABS(Resultados!CG5),ABS(Resultados!CP5),ABS(Resultados!CY5),ABS(Resultados!DH5),ABS(Resultados!DQ5),ABS(Resultados!DZ5))/SQRT(COUNT(Resultados!D5,Resultados!M5,Resultados!V5,Resultados!AE5,Resultados!AN5,Resultados!AW5,Resultados!BF5,Resultados!BO5,Resultados!BX5,Resultados!CG5,Resultados!CP5,Resultados!CY5,Resultados!DH5,Resultados!DQ5,Resultados!DZ5)))</f>
        <v>8.5523597411975793E-5</v>
      </c>
      <c r="E5">
        <f>IF(COUNT(Resultados!E5,Resultados!N5,Resultados!W5,Resultados!AF5,Resultados!AO5,Resultados!AX5,Resultados!BG5,Resultados!BP5,Resultados!BY5,Resultados!CH5,Resultados!CQ5,Resultados!CZ5,Resultados!DI5,Resultados!DR5,Resultados!EA5)&lt;=1, "", _xlfn.STDEV.S(ABS(Resultados!E5),ABS(Resultados!N5),ABS(Resultados!W5),ABS(Resultados!AF5),ABS(Resultados!AO5),ABS(Resultados!AX5),ABS(Resultados!BG5),ABS(Resultados!BP5),ABS(Resultados!BY5),ABS(Resultados!CH5),ABS(Resultados!CQ5),ABS(Resultados!CZ5),ABS(Resultados!DI5),ABS(Resultados!DR5),ABS(Resultados!EA5))/SQRT(COUNT(Resultados!E5,Resultados!N5,Resultados!W5,Resultados!AF5,Resultados!AO5,Resultados!AX5,Resultados!BG5,Resultados!BP5,Resultados!BY5,Resultados!CH5,Resultados!CQ5,Resultados!CZ5,Resultados!DI5,Resultados!DR5,Resultados!EA5)))</f>
        <v>1.0048351525387501E-2</v>
      </c>
      <c r="F5">
        <f>IF(COUNT(Resultados!F5,Resultados!O5,Resultados!X5,Resultados!AG5,Resultados!AP5,Resultados!AY5,Resultados!BH5,Resultados!BQ5,Resultados!BZ5,Resultados!CI5,Resultados!CR5,Resultados!DA5,Resultados!DJ5,Resultados!DS5,Resultados!EB5)&lt;=1, "", _xlfn.STDEV.S(ABS(Resultados!F5),ABS(Resultados!O5),ABS(Resultados!X5),ABS(Resultados!AG5),ABS(Resultados!AP5),ABS(Resultados!AY5),ABS(Resultados!BH5),ABS(Resultados!BQ5),ABS(Resultados!BZ5),ABS(Resultados!CI5),ABS(Resultados!CR5),ABS(Resultados!DA5),ABS(Resultados!DJ5),ABS(Resultados!DS5),ABS(Resultados!EB5))/SQRT(COUNT(Resultados!F5,Resultados!O5,Resultados!X5,Resultados!AG5,Resultados!AP5,Resultados!AY5,Resultados!BH5,Resultados!BQ5,Resultados!BZ5,Resultados!CI5,Resultados!CR5,Resultados!DA5,Resultados!DJ5,Resultados!DS5,Resultados!EB5)))</f>
        <v>7.7804823182393381</v>
      </c>
      <c r="G5">
        <f>IF(COUNT(Resultados!G5,Resultados!P5,Resultados!Y5,Resultados!AH5,Resultados!AQ5,Resultados!AZ5,Resultados!BI5,Resultados!BR5,Resultados!CA5,Resultados!CJ5,Resultados!CS5,Resultados!DB5,Resultados!DK5,Resultados!DT5,Resultados!EC5)&lt;=1, "", _xlfn.STDEV.S(ABS(Resultados!G5),ABS(Resultados!P5),ABS(Resultados!Y5),ABS(Resultados!AH5),ABS(Resultados!AQ5),ABS(Resultados!AZ5),ABS(Resultados!BI5),ABS(Resultados!BR5),ABS(Resultados!CA5),ABS(Resultados!CJ5),ABS(Resultados!CS5),ABS(Resultados!DB5),ABS(Resultados!DK5),ABS(Resultados!DT5),ABS(Resultados!EC5))/SQRT(COUNT(Resultados!G5,Resultados!P5,Resultados!Y5,Resultados!AH5,Resultados!AQ5,Resultados!AZ5,Resultados!BI5,Resultados!BR5,Resultados!CA5,Resultados!CJ5,Resultados!CS5,Resultados!DB5,Resultados!DK5,Resultados!DT5,Resultados!EC5)))</f>
        <v>4.4507937654163114E-17</v>
      </c>
      <c r="H5">
        <f>IF(COUNT(Resultados!H5,Resultados!Q5,Resultados!Z5,Resultados!AI5,Resultados!AR5,Resultados!BA5,Resultados!BJ5,Resultados!BS5,Resultados!CB5,Resultados!CK5,Resultados!CT5,Resultados!DC5,Resultados!DL5,Resultados!DU5,Resultados!ED5)&lt;=1, "", _xlfn.STDEV.S(ABS(Resultados!H5),ABS(Resultados!Q5),ABS(Resultados!Z5),ABS(Resultados!AI5),ABS(Resultados!AR5),ABS(Resultados!BA5),ABS(Resultados!BJ5),ABS(Resultados!BS5),ABS(Resultados!CB5),ABS(Resultados!CK5),ABS(Resultados!CT5),ABS(Resultados!DC5),ABS(Resultados!DL5),ABS(Resultados!DU5),ABS(Resultados!ED5))/SQRT(COUNT(Resultados!H5,Resultados!Q5,Resultados!Z5,Resultados!AI5,Resultados!AR5,Resultados!BA5,Resultados!BJ5,Resultados!BS5,Resultados!CB5,Resultados!CK5,Resultados!CT5,Resultados!DC5,Resultados!DL5,Resultados!DU5,Resultados!ED5)))</f>
        <v>1.5620499351813312E-4</v>
      </c>
      <c r="I5">
        <f>IF(COUNT(Resultados!I5,Resultados!R5,Resultados!AA5,Resultados!AJ5,Resultados!AS5,Resultados!BB5,Resultados!BK5,Resultados!BT5,Resultados!CC5,Resultados!CL5,Resultados!CU5,Resultados!DD5,Resultados!DM5,Resultados!DV5,Resultados!EE5)&lt;=1, "", _xlfn.STDEV.S(ABS(Resultados!I5),ABS(Resultados!R5),ABS(Resultados!AA5),ABS(Resultados!AJ5),ABS(Resultados!AS5),ABS(Resultados!BB5),ABS(Resultados!BK5),ABS(Resultados!BT5),ABS(Resultados!CC5),ABS(Resultados!CL5),ABS(Resultados!CU5),ABS(Resultados!DD5),ABS(Resultados!DM5),ABS(Resultados!DV5),ABS(Resultados!EE5))/SQRT(COUNT(Resultados!I5,Resultados!R5,Resultados!AA5,Resultados!AJ5,Resultados!AS5,Resultados!BB5,Resultados!BK5,Resultados!BT5,Resultados!CC5,Resultados!CL5,Resultados!CU5,Resultados!DD5,Resultados!DM5,Resultados!DV5,Resultados!EE5)))</f>
        <v>8.6246969120907786E-4</v>
      </c>
    </row>
    <row r="6" spans="1:9" x14ac:dyDescent="0.3">
      <c r="A6">
        <f>IF(COUNT(Resultados!A6,Resultados!J6,Resultados!S6,Resultados!AB6,Resultados!AK6,Resultados!AT6,Resultados!BC6,Resultados!BL6,Resultados!BU6,Resultados!CD6,Resultados!CM6,Resultados!CV6,Resultados!DE6,Resultados!DN6,Resultados!DW6)&lt;=1, "", _xlfn.STDEV.S(ABS(Resultados!A6),ABS(Resultados!J6),ABS(Resultados!S6),ABS(Resultados!AB6),ABS(Resultados!AK6),ABS(Resultados!AT6),ABS(Resultados!BC6),ABS(Resultados!BL6),ABS(Resultados!BU6),ABS(Resultados!CD6),ABS(Resultados!CM6),ABS(Resultados!CV6),ABS(Resultados!DE6),ABS(Resultados!DN6),ABS(Resultados!DW6))/SQRT(COUNT(Resultados!A6,Resultados!J6,Resultados!S6,Resultados!AB6,Resultados!AK6,Resultados!AT6,Resultados!BC6,Resultados!BL6,Resultados!BU6,Resultados!CD6,Resultados!CM6,Resultados!CV6,Resultados!DE6,Resultados!DN6,Resultados!DW6)))</f>
        <v>0</v>
      </c>
      <c r="B6" t="str">
        <f>IF(COUNT(Resultados!B6,Resultados!K6,Resultados!T6,Resultados!AC6,Resultados!AL6,Resultados!AU6,Resultados!BD6,Resultados!BM6,Resultados!BV6,Resultados!CE6,Resultados!CN6,Resultados!CW6,Resultados!DF6,Resultados!DO6,Resultados!DX6)&lt;=1, "", _xlfn.STDEV.S(ABS(Resultados!B6),ABS(Resultados!K6),ABS(Resultados!T6),ABS(Resultados!AC6),ABS(Resultados!AL6),ABS(Resultados!AU6),ABS(Resultados!BD6),ABS(Resultados!BM6),ABS(Resultados!BV6),ABS(Resultados!CE6),ABS(Resultados!CN6),ABS(Resultados!CW6),ABS(Resultados!DF6),ABS(Resultados!DO6),ABS(Resultados!DX6))/SQRT(COUNT(Resultados!B6,Resultados!K6,Resultados!T6,Resultados!AC6,Resultados!AL6,Resultados!AU6,Resultados!BD6,Resultados!BM6,Resultados!BV6,Resultados!CE6,Resultados!CN6,Resultados!CW6,Resultados!DF6,Resultados!DO6,Resultados!DX6)))</f>
        <v/>
      </c>
      <c r="C6">
        <f>IF(COUNT(Resultados!C6,Resultados!L6,Resultados!U6,Resultados!AD6,Resultados!AM6,Resultados!AV6,Resultados!BE6,Resultados!BN6,Resultados!BW6,Resultados!CF6,Resultados!CO6,Resultados!CX6,Resultados!DG6,Resultados!DP6,Resultados!DY6)&lt;=1, "", _xlfn.STDEV.S(ABS(Resultados!C6),ABS(Resultados!L6),ABS(Resultados!U6),ABS(Resultados!AD6),ABS(Resultados!AM6),ABS(Resultados!AV6),ABS(Resultados!BE6),ABS(Resultados!BN6),ABS(Resultados!BW6),ABS(Resultados!CF6),ABS(Resultados!CO6),ABS(Resultados!CX6),ABS(Resultados!DG6),ABS(Resultados!DP6),ABS(Resultados!DY6))/SQRT(COUNT(Resultados!C6,Resultados!L6,Resultados!U6,Resultados!AD6,Resultados!AM6,Resultados!AV6,Resultados!BE6,Resultados!BN6,Resultados!BW6,Resultados!CF6,Resultados!CO6,Resultados!CX6,Resultados!DG6,Resultados!DP6,Resultados!DY6)))</f>
        <v>0.48007935851918326</v>
      </c>
      <c r="D6">
        <f>IF(COUNT(Resultados!D6,Resultados!M6,Resultados!V6,Resultados!AE6,Resultados!AN6,Resultados!AW6,Resultados!BF6,Resultados!BO6,Resultados!BX6,Resultados!CG6,Resultados!CP6,Resultados!CY6,Resultados!DH6,Resultados!DQ6,Resultados!DZ6)&lt;=1, "", _xlfn.STDEV.S(ABS(Resultados!D6),ABS(Resultados!M6),ABS(Resultados!V6),ABS(Resultados!AE6),ABS(Resultados!AN6),ABS(Resultados!AW6),ABS(Resultados!BF6),ABS(Resultados!BO6),ABS(Resultados!BX6),ABS(Resultados!CG6),ABS(Resultados!CP6),ABS(Resultados!CY6),ABS(Resultados!DH6),ABS(Resultados!DQ6),ABS(Resultados!DZ6))/SQRT(COUNT(Resultados!D6,Resultados!M6,Resultados!V6,Resultados!AE6,Resultados!AN6,Resultados!AW6,Resultados!BF6,Resultados!BO6,Resultados!BX6,Resultados!CG6,Resultados!CP6,Resultados!CY6,Resultados!DH6,Resultados!DQ6,Resultados!DZ6)))</f>
        <v>1.7605915311856237E-4</v>
      </c>
      <c r="E6">
        <f>IF(COUNT(Resultados!E6,Resultados!N6,Resultados!W6,Resultados!AF6,Resultados!AO6,Resultados!AX6,Resultados!BG6,Resultados!BP6,Resultados!BY6,Resultados!CH6,Resultados!CQ6,Resultados!CZ6,Resultados!DI6,Resultados!DR6,Resultados!EA6)&lt;=1, "", _xlfn.STDEV.S(ABS(Resultados!E6),ABS(Resultados!N6),ABS(Resultados!W6),ABS(Resultados!AF6),ABS(Resultados!AO6),ABS(Resultados!AX6),ABS(Resultados!BG6),ABS(Resultados!BP6),ABS(Resultados!BY6),ABS(Resultados!CH6),ABS(Resultados!CQ6),ABS(Resultados!CZ6),ABS(Resultados!DI6),ABS(Resultados!DR6),ABS(Resultados!EA6))/SQRT(COUNT(Resultados!E6,Resultados!N6,Resultados!W6,Resultados!AF6,Resultados!AO6,Resultados!AX6,Resultados!BG6,Resultados!BP6,Resultados!BY6,Resultados!CH6,Resultados!CQ6,Resultados!CZ6,Resultados!DI6,Resultados!DR6,Resultados!EA6)))</f>
        <v>2.9022455817923516E-2</v>
      </c>
      <c r="F6">
        <f>IF(COUNT(Resultados!F6,Resultados!O6,Resultados!X6,Resultados!AG6,Resultados!AP6,Resultados!AY6,Resultados!BH6,Resultados!BQ6,Resultados!BZ6,Resultados!CI6,Resultados!CR6,Resultados!DA6,Resultados!DJ6,Resultados!DS6,Resultados!EB6)&lt;=1, "", _xlfn.STDEV.S(ABS(Resultados!F6),ABS(Resultados!O6),ABS(Resultados!X6),ABS(Resultados!AG6),ABS(Resultados!AP6),ABS(Resultados!AY6),ABS(Resultados!BH6),ABS(Resultados!BQ6),ABS(Resultados!BZ6),ABS(Resultados!CI6),ABS(Resultados!CR6),ABS(Resultados!DA6),ABS(Resultados!DJ6),ABS(Resultados!DS6),ABS(Resultados!EB6))/SQRT(COUNT(Resultados!F6,Resultados!O6,Resultados!X6,Resultados!AG6,Resultados!AP6,Resultados!AY6,Resultados!BH6,Resultados!BQ6,Resultados!BZ6,Resultados!CI6,Resultados!CR6,Resultados!DA6,Resultados!DJ6,Resultados!DS6,Resultados!EB6)))</f>
        <v>9.5704711864951992</v>
      </c>
      <c r="G6">
        <f>IF(COUNT(Resultados!G6,Resultados!P6,Resultados!Y6,Resultados!AH6,Resultados!AQ6,Resultados!AZ6,Resultados!BI6,Resultados!BR6,Resultados!CA6,Resultados!CJ6,Resultados!CS6,Resultados!DB6,Resultados!DK6,Resultados!DT6,Resultados!EC6)&lt;=1, "", _xlfn.STDEV.S(ABS(Resultados!G6),ABS(Resultados!P6),ABS(Resultados!Y6),ABS(Resultados!AH6),ABS(Resultados!AQ6),ABS(Resultados!AZ6),ABS(Resultados!BI6),ABS(Resultados!BR6),ABS(Resultados!CA6),ABS(Resultados!CJ6),ABS(Resultados!CS6),ABS(Resultados!DB6),ABS(Resultados!DK6),ABS(Resultados!DT6),ABS(Resultados!EC6))/SQRT(COUNT(Resultados!G6,Resultados!P6,Resultados!Y6,Resultados!AH6,Resultados!AQ6,Resultados!AZ6,Resultados!BI6,Resultados!BR6,Resultados!CA6,Resultados!CJ6,Resultados!CS6,Resultados!DB6,Resultados!DK6,Resultados!DT6,Resultados!EC6)))</f>
        <v>4.4507937654163114E-17</v>
      </c>
      <c r="H6">
        <f>IF(COUNT(Resultados!H6,Resultados!Q6,Resultados!Z6,Resultados!AI6,Resultados!AR6,Resultados!BA6,Resultados!BJ6,Resultados!BS6,Resultados!CB6,Resultados!CK6,Resultados!CT6,Resultados!DC6,Resultados!DL6,Resultados!DU6,Resultados!ED6)&lt;=1, "", _xlfn.STDEV.S(ABS(Resultados!H6),ABS(Resultados!Q6),ABS(Resultados!Z6),ABS(Resultados!AI6),ABS(Resultados!AR6),ABS(Resultados!BA6),ABS(Resultados!BJ6),ABS(Resultados!BS6),ABS(Resultados!CB6),ABS(Resultados!CK6),ABS(Resultados!CT6),ABS(Resultados!DC6),ABS(Resultados!DL6),ABS(Resultados!DU6),ABS(Resultados!ED6))/SQRT(COUNT(Resultados!H6,Resultados!Q6,Resultados!Z6,Resultados!AI6,Resultados!AR6,Resultados!BA6,Resultados!BJ6,Resultados!BS6,Resultados!CB6,Resultados!CK6,Resultados!CT6,Resultados!DC6,Resultados!DL6,Resultados!DU6,Resultados!ED6)))</f>
        <v>4.511220578857913E-4</v>
      </c>
      <c r="I6">
        <f>IF(COUNT(Resultados!I6,Resultados!R6,Resultados!AA6,Resultados!AJ6,Resultados!AS6,Resultados!BB6,Resultados!BK6,Resultados!BT6,Resultados!CC6,Resultados!CL6,Resultados!CU6,Resultados!DD6,Resultados!DM6,Resultados!DV6,Resultados!EE6)&lt;=1, "", _xlfn.STDEV.S(ABS(Resultados!I6),ABS(Resultados!R6),ABS(Resultados!AA6),ABS(Resultados!AJ6),ABS(Resultados!AS6),ABS(Resultados!BB6),ABS(Resultados!BK6),ABS(Resultados!BT6),ABS(Resultados!CC6),ABS(Resultados!CL6),ABS(Resultados!CU6),ABS(Resultados!DD6),ABS(Resultados!DM6),ABS(Resultados!DV6),ABS(Resultados!EE6))/SQRT(COUNT(Resultados!I6,Resultados!R6,Resultados!AA6,Resultados!AJ6,Resultados!AS6,Resultados!BB6,Resultados!BK6,Resultados!BT6,Resultados!CC6,Resultados!CL6,Resultados!CU6,Resultados!DD6,Resultados!DM6,Resultados!DV6,Resultados!EE6)))</f>
        <v>7.3096339994846687E-4</v>
      </c>
    </row>
    <row r="7" spans="1:9" x14ac:dyDescent="0.3">
      <c r="A7">
        <f>IF(COUNT(Resultados!A7,Resultados!J7,Resultados!S7,Resultados!AB7,Resultados!AK7,Resultados!AT7,Resultados!BC7,Resultados!BL7,Resultados!BU7,Resultados!CD7,Resultados!CM7,Resultados!CV7,Resultados!DE7,Resultados!DN7,Resultados!DW7)&lt;=1, "", _xlfn.STDEV.S(ABS(Resultados!A7),ABS(Resultados!J7),ABS(Resultados!S7),ABS(Resultados!AB7),ABS(Resultados!AK7),ABS(Resultados!AT7),ABS(Resultados!BC7),ABS(Resultados!BL7),ABS(Resultados!BU7),ABS(Resultados!CD7),ABS(Resultados!CM7),ABS(Resultados!CV7),ABS(Resultados!DE7),ABS(Resultados!DN7),ABS(Resultados!DW7))/SQRT(COUNT(Resultados!A7,Resultados!J7,Resultados!S7,Resultados!AB7,Resultados!AK7,Resultados!AT7,Resultados!BC7,Resultados!BL7,Resultados!BU7,Resultados!CD7,Resultados!CM7,Resultados!CV7,Resultados!DE7,Resultados!DN7,Resultados!DW7)))</f>
        <v>0</v>
      </c>
      <c r="B7" t="str">
        <f>IF(COUNT(Resultados!B7,Resultados!K7,Resultados!T7,Resultados!AC7,Resultados!AL7,Resultados!AU7,Resultados!BD7,Resultados!BM7,Resultados!BV7,Resultados!CE7,Resultados!CN7,Resultados!CW7,Resultados!DF7,Resultados!DO7,Resultados!DX7)&lt;=1, "", _xlfn.STDEV.S(ABS(Resultados!B7),ABS(Resultados!K7),ABS(Resultados!T7),ABS(Resultados!AC7),ABS(Resultados!AL7),ABS(Resultados!AU7),ABS(Resultados!BD7),ABS(Resultados!BM7),ABS(Resultados!BV7),ABS(Resultados!CE7),ABS(Resultados!CN7),ABS(Resultados!CW7),ABS(Resultados!DF7),ABS(Resultados!DO7),ABS(Resultados!DX7))/SQRT(COUNT(Resultados!B7,Resultados!K7,Resultados!T7,Resultados!AC7,Resultados!AL7,Resultados!AU7,Resultados!BD7,Resultados!BM7,Resultados!BV7,Resultados!CE7,Resultados!CN7,Resultados!CW7,Resultados!DF7,Resultados!DO7,Resultados!DX7)))</f>
        <v/>
      </c>
      <c r="C7">
        <f>IF(COUNT(Resultados!C7,Resultados!L7,Resultados!U7,Resultados!AD7,Resultados!AM7,Resultados!AV7,Resultados!BE7,Resultados!BN7,Resultados!BW7,Resultados!CF7,Resultados!CO7,Resultados!CX7,Resultados!DG7,Resultados!DP7,Resultados!DY7)&lt;=1, "", _xlfn.STDEV.S(ABS(Resultados!C7),ABS(Resultados!L7),ABS(Resultados!U7),ABS(Resultados!AD7),ABS(Resultados!AM7),ABS(Resultados!AV7),ABS(Resultados!BE7),ABS(Resultados!BN7),ABS(Resultados!BW7),ABS(Resultados!CF7),ABS(Resultados!CO7),ABS(Resultados!CX7),ABS(Resultados!DG7),ABS(Resultados!DP7),ABS(Resultados!DY7))/SQRT(COUNT(Resultados!C7,Resultados!L7,Resultados!U7,Resultados!AD7,Resultados!AM7,Resultados!AV7,Resultados!BE7,Resultados!BN7,Resultados!BW7,Resultados!CF7,Resultados!CO7,Resultados!CX7,Resultados!DG7,Resultados!DP7,Resultados!DY7)))</f>
        <v>0.48007935851918326</v>
      </c>
      <c r="D7">
        <f>IF(COUNT(Resultados!D7,Resultados!M7,Resultados!V7,Resultados!AE7,Resultados!AN7,Resultados!AW7,Resultados!BF7,Resultados!BO7,Resultados!BX7,Resultados!CG7,Resultados!CP7,Resultados!CY7,Resultados!DH7,Resultados!DQ7,Resultados!DZ7)&lt;=1, "", _xlfn.STDEV.S(ABS(Resultados!D7),ABS(Resultados!M7),ABS(Resultados!V7),ABS(Resultados!AE7),ABS(Resultados!AN7),ABS(Resultados!AW7),ABS(Resultados!BF7),ABS(Resultados!BO7),ABS(Resultados!BX7),ABS(Resultados!CG7),ABS(Resultados!CP7),ABS(Resultados!CY7),ABS(Resultados!DH7),ABS(Resultados!DQ7),ABS(Resultados!DZ7))/SQRT(COUNT(Resultados!D7,Resultados!M7,Resultados!V7,Resultados!AE7,Resultados!AN7,Resultados!AW7,Resultados!BF7,Resultados!BO7,Resultados!BX7,Resultados!CG7,Resultados!CP7,Resultados!CY7,Resultados!DH7,Resultados!DQ7,Resultados!DZ7)))</f>
        <v>3.7197030091380245E-4</v>
      </c>
      <c r="E7">
        <f>IF(COUNT(Resultados!E7,Resultados!N7,Resultados!W7,Resultados!AF7,Resultados!AO7,Resultados!AX7,Resultados!BG7,Resultados!BP7,Resultados!BY7,Resultados!CH7,Resultados!CQ7,Resultados!CZ7,Resultados!DI7,Resultados!DR7,Resultados!EA7)&lt;=1, "", _xlfn.STDEV.S(ABS(Resultados!E7),ABS(Resultados!N7),ABS(Resultados!W7),ABS(Resultados!AF7),ABS(Resultados!AO7),ABS(Resultados!AX7),ABS(Resultados!BG7),ABS(Resultados!BP7),ABS(Resultados!BY7),ABS(Resultados!CH7),ABS(Resultados!CQ7),ABS(Resultados!CZ7),ABS(Resultados!DI7),ABS(Resultados!DR7),ABS(Resultados!EA7))/SQRT(COUNT(Resultados!E7,Resultados!N7,Resultados!W7,Resultados!AF7,Resultados!AO7,Resultados!AX7,Resultados!BG7,Resultados!BP7,Resultados!BY7,Resultados!CH7,Resultados!CQ7,Resultados!CZ7,Resultados!DI7,Resultados!DR7,Resultados!EA7)))</f>
        <v>4.5108089325708055E-2</v>
      </c>
      <c r="F7">
        <f>IF(COUNT(Resultados!F7,Resultados!O7,Resultados!X7,Resultados!AG7,Resultados!AP7,Resultados!AY7,Resultados!BH7,Resultados!BQ7,Resultados!BZ7,Resultados!CI7,Resultados!CR7,Resultados!DA7,Resultados!DJ7,Resultados!DS7,Resultados!EB7)&lt;=1, "", _xlfn.STDEV.S(ABS(Resultados!F7),ABS(Resultados!O7),ABS(Resultados!X7),ABS(Resultados!AG7),ABS(Resultados!AP7),ABS(Resultados!AY7),ABS(Resultados!BH7),ABS(Resultados!BQ7),ABS(Resultados!BZ7),ABS(Resultados!CI7),ABS(Resultados!CR7),ABS(Resultados!DA7),ABS(Resultados!DJ7),ABS(Resultados!DS7),ABS(Resultados!EB7))/SQRT(COUNT(Resultados!F7,Resultados!O7,Resultados!X7,Resultados!AG7,Resultados!AP7,Resultados!AY7,Resultados!BH7,Resultados!BQ7,Resultados!BZ7,Resultados!CI7,Resultados!CR7,Resultados!DA7,Resultados!DJ7,Resultados!DS7,Resultados!EB7)))</f>
        <v>11.093512927967863</v>
      </c>
      <c r="G7">
        <f>IF(COUNT(Resultados!G7,Resultados!P7,Resultados!Y7,Resultados!AH7,Resultados!AQ7,Resultados!AZ7,Resultados!BI7,Resultados!BR7,Resultados!CA7,Resultados!CJ7,Resultados!CS7,Resultados!DB7,Resultados!DK7,Resultados!DT7,Resultados!EC7)&lt;=1, "", _xlfn.STDEV.S(ABS(Resultados!G7),ABS(Resultados!P7),ABS(Resultados!Y7),ABS(Resultados!AH7),ABS(Resultados!AQ7),ABS(Resultados!AZ7),ABS(Resultados!BI7),ABS(Resultados!BR7),ABS(Resultados!CA7),ABS(Resultados!CJ7),ABS(Resultados!CS7),ABS(Resultados!DB7),ABS(Resultados!DK7),ABS(Resultados!DT7),ABS(Resultados!EC7))/SQRT(COUNT(Resultados!G7,Resultados!P7,Resultados!Y7,Resultados!AH7,Resultados!AQ7,Resultados!AZ7,Resultados!BI7,Resultados!BR7,Resultados!CA7,Resultados!CJ7,Resultados!CS7,Resultados!DB7,Resultados!DK7,Resultados!DT7,Resultados!EC7)))</f>
        <v>4.4507937654163114E-17</v>
      </c>
      <c r="H7">
        <f>IF(COUNT(Resultados!H7,Resultados!Q7,Resultados!Z7,Resultados!AI7,Resultados!AR7,Resultados!BA7,Resultados!BJ7,Resultados!BS7,Resultados!CB7,Resultados!CK7,Resultados!CT7,Resultados!DC7,Resultados!DL7,Resultados!DU7,Resultados!ED7)&lt;=1, "", _xlfn.STDEV.S(ABS(Resultados!H7),ABS(Resultados!Q7),ABS(Resultados!Z7),ABS(Resultados!AI7),ABS(Resultados!AR7),ABS(Resultados!BA7),ABS(Resultados!BJ7),ABS(Resultados!BS7),ABS(Resultados!CB7),ABS(Resultados!CK7),ABS(Resultados!CT7),ABS(Resultados!DC7),ABS(Resultados!DL7),ABS(Resultados!DU7),ABS(Resultados!ED7))/SQRT(COUNT(Resultados!H7,Resultados!Q7,Resultados!Z7,Resultados!AI7,Resultados!AR7,Resultados!BA7,Resultados!BJ7,Resultados!BS7,Resultados!CB7,Resultados!CK7,Resultados!CT7,Resultados!DC7,Resultados!DL7,Resultados!DU7,Resultados!ED7)))</f>
        <v>7.0050775235618273E-4</v>
      </c>
      <c r="I7">
        <f>IF(COUNT(Resultados!I7,Resultados!R7,Resultados!AA7,Resultados!AJ7,Resultados!AS7,Resultados!BB7,Resultados!BK7,Resultados!BT7,Resultados!CC7,Resultados!CL7,Resultados!CU7,Resultados!DD7,Resultados!DM7,Resultados!DV7,Resultados!EE7)&lt;=1, "", _xlfn.STDEV.S(ABS(Resultados!I7),ABS(Resultados!R7),ABS(Resultados!AA7),ABS(Resultados!AJ7),ABS(Resultados!AS7),ABS(Resultados!BB7),ABS(Resultados!BK7),ABS(Resultados!BT7),ABS(Resultados!CC7),ABS(Resultados!CL7),ABS(Resultados!CU7),ABS(Resultados!DD7),ABS(Resultados!DM7),ABS(Resultados!DV7),ABS(Resultados!EE7))/SQRT(COUNT(Resultados!I7,Resultados!R7,Resultados!AA7,Resultados!AJ7,Resultados!AS7,Resultados!BB7,Resultados!BK7,Resultados!BT7,Resultados!CC7,Resultados!CL7,Resultados!CU7,Resultados!DD7,Resultados!DM7,Resultados!DV7,Resultados!EE7)))</f>
        <v>7.2049947402098402E-4</v>
      </c>
    </row>
    <row r="8" spans="1:9" x14ac:dyDescent="0.3">
      <c r="A8">
        <f>IF(COUNT(Resultados!A8,Resultados!J8,Resultados!S8,Resultados!AB8,Resultados!AK8,Resultados!AT8,Resultados!BC8,Resultados!BL8,Resultados!BU8,Resultados!CD8,Resultados!CM8,Resultados!CV8,Resultados!DE8,Resultados!DN8,Resultados!DW8)&lt;=1, "", _xlfn.STDEV.S(ABS(Resultados!A8),ABS(Resultados!J8),ABS(Resultados!S8),ABS(Resultados!AB8),ABS(Resultados!AK8),ABS(Resultados!AT8),ABS(Resultados!BC8),ABS(Resultados!BL8),ABS(Resultados!BU8),ABS(Resultados!CD8),ABS(Resultados!CM8),ABS(Resultados!CV8),ABS(Resultados!DE8),ABS(Resultados!DN8),ABS(Resultados!DW8))/SQRT(COUNT(Resultados!A8,Resultados!J8,Resultados!S8,Resultados!AB8,Resultados!AK8,Resultados!AT8,Resultados!BC8,Resultados!BL8,Resultados!BU8,Resultados!CD8,Resultados!CM8,Resultados!CV8,Resultados!DE8,Resultados!DN8,Resultados!DW8)))</f>
        <v>0</v>
      </c>
      <c r="B8" t="str">
        <f>IF(COUNT(Resultados!B8,Resultados!K8,Resultados!T8,Resultados!AC8,Resultados!AL8,Resultados!AU8,Resultados!BD8,Resultados!BM8,Resultados!BV8,Resultados!CE8,Resultados!CN8,Resultados!CW8,Resultados!DF8,Resultados!DO8,Resultados!DX8)&lt;=1, "", _xlfn.STDEV.S(ABS(Resultados!B8),ABS(Resultados!K8),ABS(Resultados!T8),ABS(Resultados!AC8),ABS(Resultados!AL8),ABS(Resultados!AU8),ABS(Resultados!BD8),ABS(Resultados!BM8),ABS(Resultados!BV8),ABS(Resultados!CE8),ABS(Resultados!CN8),ABS(Resultados!CW8),ABS(Resultados!DF8),ABS(Resultados!DO8),ABS(Resultados!DX8))/SQRT(COUNT(Resultados!B8,Resultados!K8,Resultados!T8,Resultados!AC8,Resultados!AL8,Resultados!AU8,Resultados!BD8,Resultados!BM8,Resultados!BV8,Resultados!CE8,Resultados!CN8,Resultados!CW8,Resultados!DF8,Resultados!DO8,Resultados!DX8)))</f>
        <v/>
      </c>
      <c r="C8">
        <f>IF(COUNT(Resultados!C8,Resultados!L8,Resultados!U8,Resultados!AD8,Resultados!AM8,Resultados!AV8,Resultados!BE8,Resultados!BN8,Resultados!BW8,Resultados!CF8,Resultados!CO8,Resultados!CX8,Resultados!DG8,Resultados!DP8,Resultados!DY8)&lt;=1, "", _xlfn.STDEV.S(ABS(Resultados!C8),ABS(Resultados!L8),ABS(Resultados!U8),ABS(Resultados!AD8),ABS(Resultados!AM8),ABS(Resultados!AV8),ABS(Resultados!BE8),ABS(Resultados!BN8),ABS(Resultados!BW8),ABS(Resultados!CF8),ABS(Resultados!CO8),ABS(Resultados!CX8),ABS(Resultados!DG8),ABS(Resultados!DP8),ABS(Resultados!DY8))/SQRT(COUNT(Resultados!C8,Resultados!L8,Resultados!U8,Resultados!AD8,Resultados!AM8,Resultados!AV8,Resultados!BE8,Resultados!BN8,Resultados!BW8,Resultados!CF8,Resultados!CO8,Resultados!CX8,Resultados!DG8,Resultados!DP8,Resultados!DY8)))</f>
        <v>0.48007935851918326</v>
      </c>
      <c r="D8">
        <f>IF(COUNT(Resultados!D8,Resultados!M8,Resultados!V8,Resultados!AE8,Resultados!AN8,Resultados!AW8,Resultados!BF8,Resultados!BO8,Resultados!BX8,Resultados!CG8,Resultados!CP8,Resultados!CY8,Resultados!DH8,Resultados!DQ8,Resultados!DZ8)&lt;=1, "", _xlfn.STDEV.S(ABS(Resultados!D8),ABS(Resultados!M8),ABS(Resultados!V8),ABS(Resultados!AE8),ABS(Resultados!AN8),ABS(Resultados!AW8),ABS(Resultados!BF8),ABS(Resultados!BO8),ABS(Resultados!BX8),ABS(Resultados!CG8),ABS(Resultados!CP8),ABS(Resultados!CY8),ABS(Resultados!DH8),ABS(Resultados!DQ8),ABS(Resultados!DZ8))/SQRT(COUNT(Resultados!D8,Resultados!M8,Resultados!V8,Resultados!AE8,Resultados!AN8,Resultados!AW8,Resultados!BF8,Resultados!BO8,Resultados!BX8,Resultados!CG8,Resultados!CP8,Resultados!CY8,Resultados!DH8,Resultados!DQ8,Resultados!DZ8)))</f>
        <v>5.8055802384225045E-4</v>
      </c>
      <c r="E8">
        <f>IF(COUNT(Resultados!E8,Resultados!N8,Resultados!W8,Resultados!AF8,Resultados!AO8,Resultados!AX8,Resultados!BG8,Resultados!BP8,Resultados!BY8,Resultados!CH8,Resultados!CQ8,Resultados!CZ8,Resultados!DI8,Resultados!DR8,Resultados!EA8)&lt;=1, "", _xlfn.STDEV.S(ABS(Resultados!E8),ABS(Resultados!N8),ABS(Resultados!W8),ABS(Resultados!AF8),ABS(Resultados!AO8),ABS(Resultados!AX8),ABS(Resultados!BG8),ABS(Resultados!BP8),ABS(Resultados!BY8),ABS(Resultados!CH8),ABS(Resultados!CQ8),ABS(Resultados!CZ8),ABS(Resultados!DI8),ABS(Resultados!DR8),ABS(Resultados!EA8))/SQRT(COUNT(Resultados!E8,Resultados!N8,Resultados!W8,Resultados!AF8,Resultados!AO8,Resultados!AX8,Resultados!BG8,Resultados!BP8,Resultados!BY8,Resultados!CH8,Resultados!CQ8,Resultados!CZ8,Resultados!DI8,Resultados!DR8,Resultados!EA8)))</f>
        <v>5.6769316674835674E-2</v>
      </c>
      <c r="F8">
        <f>IF(COUNT(Resultados!F8,Resultados!O8,Resultados!X8,Resultados!AG8,Resultados!AP8,Resultados!AY8,Resultados!BH8,Resultados!BQ8,Resultados!BZ8,Resultados!CI8,Resultados!CR8,Resultados!DA8,Resultados!DJ8,Resultados!DS8,Resultados!EB8)&lt;=1, "", _xlfn.STDEV.S(ABS(Resultados!F8),ABS(Resultados!O8),ABS(Resultados!X8),ABS(Resultados!AG8),ABS(Resultados!AP8),ABS(Resultados!AY8),ABS(Resultados!BH8),ABS(Resultados!BQ8),ABS(Resultados!BZ8),ABS(Resultados!CI8),ABS(Resultados!CR8),ABS(Resultados!DA8),ABS(Resultados!DJ8),ABS(Resultados!DS8),ABS(Resultados!EB8))/SQRT(COUNT(Resultados!F8,Resultados!O8,Resultados!X8,Resultados!AG8,Resultados!AP8,Resultados!AY8,Resultados!BH8,Resultados!BQ8,Resultados!BZ8,Resultados!CI8,Resultados!CR8,Resultados!DA8,Resultados!DJ8,Resultados!DS8,Resultados!EB8)))</f>
        <v>5.3874081524419006</v>
      </c>
      <c r="G8">
        <f>IF(COUNT(Resultados!G8,Resultados!P8,Resultados!Y8,Resultados!AH8,Resultados!AQ8,Resultados!AZ8,Resultados!BI8,Resultados!BR8,Resultados!CA8,Resultados!CJ8,Resultados!CS8,Resultados!DB8,Resultados!DK8,Resultados!DT8,Resultados!EC8)&lt;=1, "", _xlfn.STDEV.S(ABS(Resultados!G8),ABS(Resultados!P8),ABS(Resultados!Y8),ABS(Resultados!AH8),ABS(Resultados!AQ8),ABS(Resultados!AZ8),ABS(Resultados!BI8),ABS(Resultados!BR8),ABS(Resultados!CA8),ABS(Resultados!CJ8),ABS(Resultados!CS8),ABS(Resultados!DB8),ABS(Resultados!DK8),ABS(Resultados!DT8),ABS(Resultados!EC8))/SQRT(COUNT(Resultados!G8,Resultados!P8,Resultados!Y8,Resultados!AH8,Resultados!AQ8,Resultados!AZ8,Resultados!BI8,Resultados!BR8,Resultados!CA8,Resultados!CJ8,Resultados!CS8,Resultados!DB8,Resultados!DK8,Resultados!DT8,Resultados!EC8)))</f>
        <v>4.4507937654163114E-17</v>
      </c>
      <c r="H8">
        <f>IF(COUNT(Resultados!H8,Resultados!Q8,Resultados!Z8,Resultados!AI8,Resultados!AR8,Resultados!BA8,Resultados!BJ8,Resultados!BS8,Resultados!CB8,Resultados!CK8,Resultados!CT8,Resultados!DC8,Resultados!DL8,Resultados!DU8,Resultados!ED8)&lt;=1, "", _xlfn.STDEV.S(ABS(Resultados!H8),ABS(Resultados!Q8),ABS(Resultados!Z8),ABS(Resultados!AI8),ABS(Resultados!AR8),ABS(Resultados!BA8),ABS(Resultados!BJ8),ABS(Resultados!BS8),ABS(Resultados!CB8),ABS(Resultados!CK8),ABS(Resultados!CT8),ABS(Resultados!DC8),ABS(Resultados!DL8),ABS(Resultados!DU8),ABS(Resultados!ED8))/SQRT(COUNT(Resultados!H8,Resultados!Q8,Resultados!Z8,Resultados!AI8,Resultados!AR8,Resultados!BA8,Resultados!BJ8,Resultados!BS8,Resultados!CB8,Resultados!CK8,Resultados!CT8,Resultados!DC8,Resultados!DL8,Resultados!DU8,Resultados!ED8)))</f>
        <v>8.834276679187972E-4</v>
      </c>
      <c r="I8">
        <f>IF(COUNT(Resultados!I8,Resultados!R8,Resultados!AA8,Resultados!AJ8,Resultados!AS8,Resultados!BB8,Resultados!BK8,Resultados!BT8,Resultados!CC8,Resultados!CL8,Resultados!CU8,Resultados!DD8,Resultados!DM8,Resultados!DV8,Resultados!EE8)&lt;=1, "", _xlfn.STDEV.S(ABS(Resultados!I8),ABS(Resultados!R8),ABS(Resultados!AA8),ABS(Resultados!AJ8),ABS(Resultados!AS8),ABS(Resultados!BB8),ABS(Resultados!BK8),ABS(Resultados!BT8),ABS(Resultados!CC8),ABS(Resultados!CL8),ABS(Resultados!CU8),ABS(Resultados!DD8),ABS(Resultados!DM8),ABS(Resultados!DV8),ABS(Resultados!EE8))/SQRT(COUNT(Resultados!I8,Resultados!R8,Resultados!AA8,Resultados!AJ8,Resultados!AS8,Resultados!BB8,Resultados!BK8,Resultados!BT8,Resultados!CC8,Resultados!CL8,Resultados!CU8,Resultados!DD8,Resultados!DM8,Resultados!DV8,Resultados!EE8)))</f>
        <v>8.0304468238303727E-4</v>
      </c>
    </row>
    <row r="9" spans="1:9" x14ac:dyDescent="0.3">
      <c r="A9">
        <f>IF(COUNT(Resultados!A9,Resultados!J9,Resultados!S9,Resultados!AB9,Resultados!AK9,Resultados!AT9,Resultados!BC9,Resultados!BL9,Resultados!BU9,Resultados!CD9,Resultados!CM9,Resultados!CV9,Resultados!DE9,Resultados!DN9,Resultados!DW9)&lt;=1, "", _xlfn.STDEV.S(ABS(Resultados!A9),ABS(Resultados!J9),ABS(Resultados!S9),ABS(Resultados!AB9),ABS(Resultados!AK9),ABS(Resultados!AT9),ABS(Resultados!BC9),ABS(Resultados!BL9),ABS(Resultados!BU9),ABS(Resultados!CD9),ABS(Resultados!CM9),ABS(Resultados!CV9),ABS(Resultados!DE9),ABS(Resultados!DN9),ABS(Resultados!DW9))/SQRT(COUNT(Resultados!A9,Resultados!J9,Resultados!S9,Resultados!AB9,Resultados!AK9,Resultados!AT9,Resultados!BC9,Resultados!BL9,Resultados!BU9,Resultados!CD9,Resultados!CM9,Resultados!CV9,Resultados!DE9,Resultados!DN9,Resultados!DW9)))</f>
        <v>0</v>
      </c>
      <c r="B9" t="str">
        <f>IF(COUNT(Resultados!B9,Resultados!K9,Resultados!T9,Resultados!AC9,Resultados!AL9,Resultados!AU9,Resultados!BD9,Resultados!BM9,Resultados!BV9,Resultados!CE9,Resultados!CN9,Resultados!CW9,Resultados!DF9,Resultados!DO9,Resultados!DX9)&lt;=1, "", _xlfn.STDEV.S(ABS(Resultados!B9),ABS(Resultados!K9),ABS(Resultados!T9),ABS(Resultados!AC9),ABS(Resultados!AL9),ABS(Resultados!AU9),ABS(Resultados!BD9),ABS(Resultados!BM9),ABS(Resultados!BV9),ABS(Resultados!CE9),ABS(Resultados!CN9),ABS(Resultados!CW9),ABS(Resultados!DF9),ABS(Resultados!DO9),ABS(Resultados!DX9))/SQRT(COUNT(Resultados!B9,Resultados!K9,Resultados!T9,Resultados!AC9,Resultados!AL9,Resultados!AU9,Resultados!BD9,Resultados!BM9,Resultados!BV9,Resultados!CE9,Resultados!CN9,Resultados!CW9,Resultados!DF9,Resultados!DO9,Resultados!DX9)))</f>
        <v/>
      </c>
      <c r="C9">
        <f>IF(COUNT(Resultados!C9,Resultados!L9,Resultados!U9,Resultados!AD9,Resultados!AM9,Resultados!AV9,Resultados!BE9,Resultados!BN9,Resultados!BW9,Resultados!CF9,Resultados!CO9,Resultados!CX9,Resultados!DG9,Resultados!DP9,Resultados!DY9)&lt;=1, "", _xlfn.STDEV.S(ABS(Resultados!C9),ABS(Resultados!L9),ABS(Resultados!U9),ABS(Resultados!AD9),ABS(Resultados!AM9),ABS(Resultados!AV9),ABS(Resultados!BE9),ABS(Resultados!BN9),ABS(Resultados!BW9),ABS(Resultados!CF9),ABS(Resultados!CO9),ABS(Resultados!CX9),ABS(Resultados!DG9),ABS(Resultados!DP9),ABS(Resultados!DY9))/SQRT(COUNT(Resultados!C9,Resultados!L9,Resultados!U9,Resultados!AD9,Resultados!AM9,Resultados!AV9,Resultados!BE9,Resultados!BN9,Resultados!BW9,Resultados!CF9,Resultados!CO9,Resultados!CX9,Resultados!DG9,Resultados!DP9,Resultados!DY9)))</f>
        <v>0.48007935851918326</v>
      </c>
      <c r="D9">
        <f>IF(COUNT(Resultados!D9,Resultados!M9,Resultados!V9,Resultados!AE9,Resultados!AN9,Resultados!AW9,Resultados!BF9,Resultados!BO9,Resultados!BX9,Resultados!CG9,Resultados!CP9,Resultados!CY9,Resultados!DH9,Resultados!DQ9,Resultados!DZ9)&lt;=1, "", _xlfn.STDEV.S(ABS(Resultados!D9),ABS(Resultados!M9),ABS(Resultados!V9),ABS(Resultados!AE9),ABS(Resultados!AN9),ABS(Resultados!AW9),ABS(Resultados!BF9),ABS(Resultados!BO9),ABS(Resultados!BX9),ABS(Resultados!CG9),ABS(Resultados!CP9),ABS(Resultados!CY9),ABS(Resultados!DH9),ABS(Resultados!DQ9),ABS(Resultados!DZ9))/SQRT(COUNT(Resultados!D9,Resultados!M9,Resultados!V9,Resultados!AE9,Resultados!AN9,Resultados!AW9,Resultados!BF9,Resultados!BO9,Resultados!BX9,Resultados!CG9,Resultados!CP9,Resultados!CY9,Resultados!DH9,Resultados!DQ9,Resultados!DZ9)))</f>
        <v>7.7128217305742937E-4</v>
      </c>
      <c r="E9">
        <f>IF(COUNT(Resultados!E9,Resultados!N9,Resultados!W9,Resultados!AF9,Resultados!AO9,Resultados!AX9,Resultados!BG9,Resultados!BP9,Resultados!BY9,Resultados!CH9,Resultados!CQ9,Resultados!CZ9,Resultados!DI9,Resultados!DR9,Resultados!EA9)&lt;=1, "", _xlfn.STDEV.S(ABS(Resultados!E9),ABS(Resultados!N9),ABS(Resultados!W9),ABS(Resultados!AF9),ABS(Resultados!AO9),ABS(Resultados!AX9),ABS(Resultados!BG9),ABS(Resultados!BP9),ABS(Resultados!BY9),ABS(Resultados!CH9),ABS(Resultados!CQ9),ABS(Resultados!CZ9),ABS(Resultados!DI9),ABS(Resultados!DR9),ABS(Resultados!EA9))/SQRT(COUNT(Resultados!E9,Resultados!N9,Resultados!W9,Resultados!AF9,Resultados!AO9,Resultados!AX9,Resultados!BG9,Resultados!BP9,Resultados!BY9,Resultados!CH9,Resultados!CQ9,Resultados!CZ9,Resultados!DI9,Resultados!DR9,Resultados!EA9)))</f>
        <v>6.2963243102230185E-2</v>
      </c>
      <c r="F9">
        <f>IF(COUNT(Resultados!F9,Resultados!O9,Resultados!X9,Resultados!AG9,Resultados!AP9,Resultados!AY9,Resultados!BH9,Resultados!BQ9,Resultados!BZ9,Resultados!CI9,Resultados!CR9,Resultados!DA9,Resultados!DJ9,Resultados!DS9,Resultados!EB9)&lt;=1, "", _xlfn.STDEV.S(ABS(Resultados!F9),ABS(Resultados!O9),ABS(Resultados!X9),ABS(Resultados!AG9),ABS(Resultados!AP9),ABS(Resultados!AY9),ABS(Resultados!BH9),ABS(Resultados!BQ9),ABS(Resultados!BZ9),ABS(Resultados!CI9),ABS(Resultados!CR9),ABS(Resultados!DA9),ABS(Resultados!DJ9),ABS(Resultados!DS9),ABS(Resultados!EB9))/SQRT(COUNT(Resultados!F9,Resultados!O9,Resultados!X9,Resultados!AG9,Resultados!AP9,Resultados!AY9,Resultados!BH9,Resultados!BQ9,Resultados!BZ9,Resultados!CI9,Resultados!CR9,Resultados!DA9,Resultados!DJ9,Resultados!DS9,Resultados!EB9)))</f>
        <v>5.9752117704016454</v>
      </c>
      <c r="G9">
        <f>IF(COUNT(Resultados!G9,Resultados!P9,Resultados!Y9,Resultados!AH9,Resultados!AQ9,Resultados!AZ9,Resultados!BI9,Resultados!BR9,Resultados!CA9,Resultados!CJ9,Resultados!CS9,Resultados!DB9,Resultados!DK9,Resultados!DT9,Resultados!EC9)&lt;=1, "", _xlfn.STDEV.S(ABS(Resultados!G9),ABS(Resultados!P9),ABS(Resultados!Y9),ABS(Resultados!AH9),ABS(Resultados!AQ9),ABS(Resultados!AZ9),ABS(Resultados!BI9),ABS(Resultados!BR9),ABS(Resultados!CA9),ABS(Resultados!CJ9),ABS(Resultados!CS9),ABS(Resultados!DB9),ABS(Resultados!DK9),ABS(Resultados!DT9),ABS(Resultados!EC9))/SQRT(COUNT(Resultados!G9,Resultados!P9,Resultados!Y9,Resultados!AH9,Resultados!AQ9,Resultados!AZ9,Resultados!BI9,Resultados!BR9,Resultados!CA9,Resultados!CJ9,Resultados!CS9,Resultados!DB9,Resultados!DK9,Resultados!DT9,Resultados!EC9)))</f>
        <v>4.4507937654163114E-17</v>
      </c>
      <c r="H9">
        <f>IF(COUNT(Resultados!H9,Resultados!Q9,Resultados!Z9,Resultados!AI9,Resultados!AR9,Resultados!BA9,Resultados!BJ9,Resultados!BS9,Resultados!CB9,Resultados!CK9,Resultados!CT9,Resultados!DC9,Resultados!DL9,Resultados!DU9,Resultados!ED9)&lt;=1, "", _xlfn.STDEV.S(ABS(Resultados!H9),ABS(Resultados!Q9),ABS(Resultados!Z9),ABS(Resultados!AI9),ABS(Resultados!AR9),ABS(Resultados!BA9),ABS(Resultados!BJ9),ABS(Resultados!BS9),ABS(Resultados!CB9),ABS(Resultados!CK9),ABS(Resultados!CT9),ABS(Resultados!DC9),ABS(Resultados!DL9),ABS(Resultados!DU9),ABS(Resultados!ED9))/SQRT(COUNT(Resultados!H9,Resultados!Q9,Resultados!Z9,Resultados!AI9,Resultados!AR9,Resultados!BA9,Resultados!BJ9,Resultados!BS9,Resultados!CB9,Resultados!CK9,Resultados!CT9,Resultados!DC9,Resultados!DL9,Resultados!DU9,Resultados!ED9)))</f>
        <v>9.7954638027564125E-4</v>
      </c>
      <c r="I9">
        <f>IF(COUNT(Resultados!I9,Resultados!R9,Resultados!AA9,Resultados!AJ9,Resultados!AS9,Resultados!BB9,Resultados!BK9,Resultados!BT9,Resultados!CC9,Resultados!CL9,Resultados!CU9,Resultados!DD9,Resultados!DM9,Resultados!DV9,Resultados!EE9)&lt;=1, "", _xlfn.STDEV.S(ABS(Resultados!I9),ABS(Resultados!R9),ABS(Resultados!AA9),ABS(Resultados!AJ9),ABS(Resultados!AS9),ABS(Resultados!BB9),ABS(Resultados!BK9),ABS(Resultados!BT9),ABS(Resultados!CC9),ABS(Resultados!CL9),ABS(Resultados!CU9),ABS(Resultados!DD9),ABS(Resultados!DM9),ABS(Resultados!DV9),ABS(Resultados!EE9))/SQRT(COUNT(Resultados!I9,Resultados!R9,Resultados!AA9,Resultados!AJ9,Resultados!AS9,Resultados!BB9,Resultados!BK9,Resultados!BT9,Resultados!CC9,Resultados!CL9,Resultados!CU9,Resultados!DD9,Resultados!DM9,Resultados!DV9,Resultados!EE9)))</f>
        <v>6.4310496810548719E-4</v>
      </c>
    </row>
    <row r="10" spans="1:9" x14ac:dyDescent="0.3">
      <c r="A10">
        <f>IF(COUNT(Resultados!A10,Resultados!J10,Resultados!S10,Resultados!AB10,Resultados!AK10,Resultados!AT10,Resultados!BC10,Resultados!BL10,Resultados!BU10,Resultados!CD10,Resultados!CM10,Resultados!CV10,Resultados!DE10,Resultados!DN10,Resultados!DW10)&lt;=1, "", _xlfn.STDEV.S(ABS(Resultados!A10),ABS(Resultados!J10),ABS(Resultados!S10),ABS(Resultados!AB10),ABS(Resultados!AK10),ABS(Resultados!AT10),ABS(Resultados!BC10),ABS(Resultados!BL10),ABS(Resultados!BU10),ABS(Resultados!CD10),ABS(Resultados!CM10),ABS(Resultados!CV10),ABS(Resultados!DE10),ABS(Resultados!DN10),ABS(Resultados!DW10))/SQRT(COUNT(Resultados!A10,Resultados!J10,Resultados!S10,Resultados!AB10,Resultados!AK10,Resultados!AT10,Resultados!BC10,Resultados!BL10,Resultados!BU10,Resultados!CD10,Resultados!CM10,Resultados!CV10,Resultados!DE10,Resultados!DN10,Resultados!DW10)))</f>
        <v>0</v>
      </c>
      <c r="B10" t="str">
        <f>IF(COUNT(Resultados!B10,Resultados!K10,Resultados!T10,Resultados!AC10,Resultados!AL10,Resultados!AU10,Resultados!BD10,Resultados!BM10,Resultados!BV10,Resultados!CE10,Resultados!CN10,Resultados!CW10,Resultados!DF10,Resultados!DO10,Resultados!DX10)&lt;=1, "", _xlfn.STDEV.S(ABS(Resultados!B10),ABS(Resultados!K10),ABS(Resultados!T10),ABS(Resultados!AC10),ABS(Resultados!AL10),ABS(Resultados!AU10),ABS(Resultados!BD10),ABS(Resultados!BM10),ABS(Resultados!BV10),ABS(Resultados!CE10),ABS(Resultados!CN10),ABS(Resultados!CW10),ABS(Resultados!DF10),ABS(Resultados!DO10),ABS(Resultados!DX10))/SQRT(COUNT(Resultados!B10,Resultados!K10,Resultados!T10,Resultados!AC10,Resultados!AL10,Resultados!AU10,Resultados!BD10,Resultados!BM10,Resultados!BV10,Resultados!CE10,Resultados!CN10,Resultados!CW10,Resultados!DF10,Resultados!DO10,Resultados!DX10)))</f>
        <v/>
      </c>
      <c r="C10">
        <f>IF(COUNT(Resultados!C10,Resultados!L10,Resultados!U10,Resultados!AD10,Resultados!AM10,Resultados!AV10,Resultados!BE10,Resultados!BN10,Resultados!BW10,Resultados!CF10,Resultados!CO10,Resultados!CX10,Resultados!DG10,Resultados!DP10,Resultados!DY10)&lt;=1, "", _xlfn.STDEV.S(ABS(Resultados!C10),ABS(Resultados!L10),ABS(Resultados!U10),ABS(Resultados!AD10),ABS(Resultados!AM10),ABS(Resultados!AV10),ABS(Resultados!BE10),ABS(Resultados!BN10),ABS(Resultados!BW10),ABS(Resultados!CF10),ABS(Resultados!CO10),ABS(Resultados!CX10),ABS(Resultados!DG10),ABS(Resultados!DP10),ABS(Resultados!DY10))/SQRT(COUNT(Resultados!C10,Resultados!L10,Resultados!U10,Resultados!AD10,Resultados!AM10,Resultados!AV10,Resultados!BE10,Resultados!BN10,Resultados!BW10,Resultados!CF10,Resultados!CO10,Resultados!CX10,Resultados!DG10,Resultados!DP10,Resultados!DY10)))</f>
        <v>0.48007935851918326</v>
      </c>
      <c r="D10">
        <f>IF(COUNT(Resultados!D10,Resultados!M10,Resultados!V10,Resultados!AE10,Resultados!AN10,Resultados!AW10,Resultados!BF10,Resultados!BO10,Resultados!BX10,Resultados!CG10,Resultados!CP10,Resultados!CY10,Resultados!DH10,Resultados!DQ10,Resultados!DZ10)&lt;=1, "", _xlfn.STDEV.S(ABS(Resultados!D10),ABS(Resultados!M10),ABS(Resultados!V10),ABS(Resultados!AE10),ABS(Resultados!AN10),ABS(Resultados!AW10),ABS(Resultados!BF10),ABS(Resultados!BO10),ABS(Resultados!BX10),ABS(Resultados!CG10),ABS(Resultados!CP10),ABS(Resultados!CY10),ABS(Resultados!DH10),ABS(Resultados!DQ10),ABS(Resultados!DZ10))/SQRT(COUNT(Resultados!D10,Resultados!M10,Resultados!V10,Resultados!AE10,Resultados!AN10,Resultados!AW10,Resultados!BF10,Resultados!BO10,Resultados!BX10,Resultados!CG10,Resultados!CP10,Resultados!CY10,Resultados!DH10,Resultados!DQ10,Resultados!DZ10)))</f>
        <v>9.2619035377646387E-4</v>
      </c>
      <c r="E10">
        <f>IF(COUNT(Resultados!E10,Resultados!N10,Resultados!W10,Resultados!AF10,Resultados!AO10,Resultados!AX10,Resultados!BG10,Resultados!BP10,Resultados!BY10,Resultados!CH10,Resultados!CQ10,Resultados!CZ10,Resultados!DI10,Resultados!DR10,Resultados!EA10)&lt;=1, "", _xlfn.STDEV.S(ABS(Resultados!E10),ABS(Resultados!N10),ABS(Resultados!W10),ABS(Resultados!AF10),ABS(Resultados!AO10),ABS(Resultados!AX10),ABS(Resultados!BG10),ABS(Resultados!BP10),ABS(Resultados!BY10),ABS(Resultados!CH10),ABS(Resultados!CQ10),ABS(Resultados!CZ10),ABS(Resultados!DI10),ABS(Resultados!DR10),ABS(Resultados!EA10))/SQRT(COUNT(Resultados!E10,Resultados!N10,Resultados!W10,Resultados!AF10,Resultados!AO10,Resultados!AX10,Resultados!BG10,Resultados!BP10,Resultados!BY10,Resultados!CH10,Resultados!CQ10,Resultados!CZ10,Resultados!DI10,Resultados!DR10,Resultados!EA10)))</f>
        <v>6.2946114687501151E-2</v>
      </c>
      <c r="F10">
        <f>IF(COUNT(Resultados!F10,Resultados!O10,Resultados!X10,Resultados!AG10,Resultados!AP10,Resultados!AY10,Resultados!BH10,Resultados!BQ10,Resultados!BZ10,Resultados!CI10,Resultados!CR10,Resultados!DA10,Resultados!DJ10,Resultados!DS10,Resultados!EB10)&lt;=1, "", _xlfn.STDEV.S(ABS(Resultados!F10),ABS(Resultados!O10),ABS(Resultados!X10),ABS(Resultados!AG10),ABS(Resultados!AP10),ABS(Resultados!AY10),ABS(Resultados!BH10),ABS(Resultados!BQ10),ABS(Resultados!BZ10),ABS(Resultados!CI10),ABS(Resultados!CR10),ABS(Resultados!DA10),ABS(Resultados!DJ10),ABS(Resultados!DS10),ABS(Resultados!EB10))/SQRT(COUNT(Resultados!F10,Resultados!O10,Resultados!X10,Resultados!AG10,Resultados!AP10,Resultados!AY10,Resultados!BH10,Resultados!BQ10,Resultados!BZ10,Resultados!CI10,Resultados!CR10,Resultados!DA10,Resultados!DJ10,Resultados!DS10,Resultados!EB10)))</f>
        <v>5.9735862838438578</v>
      </c>
      <c r="G10">
        <f>IF(COUNT(Resultados!G10,Resultados!P10,Resultados!Y10,Resultados!AH10,Resultados!AQ10,Resultados!AZ10,Resultados!BI10,Resultados!BR10,Resultados!CA10,Resultados!CJ10,Resultados!CS10,Resultados!DB10,Resultados!DK10,Resultados!DT10,Resultados!EC10)&lt;=1, "", _xlfn.STDEV.S(ABS(Resultados!G10),ABS(Resultados!P10),ABS(Resultados!Y10),ABS(Resultados!AH10),ABS(Resultados!AQ10),ABS(Resultados!AZ10),ABS(Resultados!BI10),ABS(Resultados!BR10),ABS(Resultados!CA10),ABS(Resultados!CJ10),ABS(Resultados!CS10),ABS(Resultados!DB10),ABS(Resultados!DK10),ABS(Resultados!DT10),ABS(Resultados!EC10))/SQRT(COUNT(Resultados!G10,Resultados!P10,Resultados!Y10,Resultados!AH10,Resultados!AQ10,Resultados!AZ10,Resultados!BI10,Resultados!BR10,Resultados!CA10,Resultados!CJ10,Resultados!CS10,Resultados!DB10,Resultados!DK10,Resultados!DT10,Resultados!EC10)))</f>
        <v>4.4507937654163114E-17</v>
      </c>
      <c r="H10">
        <f>IF(COUNT(Resultados!H10,Resultados!Q10,Resultados!Z10,Resultados!AI10,Resultados!AR10,Resultados!BA10,Resultados!BJ10,Resultados!BS10,Resultados!CB10,Resultados!CK10,Resultados!CT10,Resultados!DC10,Resultados!DL10,Resultados!DU10,Resultados!ED10)&lt;=1, "", _xlfn.STDEV.S(ABS(Resultados!H10),ABS(Resultados!Q10),ABS(Resultados!Z10),ABS(Resultados!AI10),ABS(Resultados!AR10),ABS(Resultados!BA10),ABS(Resultados!BJ10),ABS(Resultados!BS10),ABS(Resultados!CB10),ABS(Resultados!CK10),ABS(Resultados!CT10),ABS(Resultados!DC10),ABS(Resultados!DL10),ABS(Resultados!DU10),ABS(Resultados!ED10))/SQRT(COUNT(Resultados!H10,Resultados!Q10,Resultados!Z10,Resultados!AI10,Resultados!AR10,Resultados!BA10,Resultados!BJ10,Resultados!BS10,Resultados!CB10,Resultados!CK10,Resultados!CT10,Resultados!DC10,Resultados!DL10,Resultados!DU10,Resultados!ED10)))</f>
        <v>9.7999999999999953E-4</v>
      </c>
      <c r="I10">
        <f>IF(COUNT(Resultados!I10,Resultados!R10,Resultados!AA10,Resultados!AJ10,Resultados!AS10,Resultados!BB10,Resultados!BK10,Resultados!BT10,Resultados!CC10,Resultados!CL10,Resultados!CU10,Resultados!DD10,Resultados!DM10,Resultados!DV10,Resultados!EE10)&lt;=1, "", _xlfn.STDEV.S(ABS(Resultados!I10),ABS(Resultados!R10),ABS(Resultados!AA10),ABS(Resultados!AJ10),ABS(Resultados!AS10),ABS(Resultados!BB10),ABS(Resultados!BK10),ABS(Resultados!BT10),ABS(Resultados!CC10),ABS(Resultados!CL10),ABS(Resultados!CU10),ABS(Resultados!DD10),ABS(Resultados!DM10),ABS(Resultados!DV10),ABS(Resultados!EE10))/SQRT(COUNT(Resultados!I10,Resultados!R10,Resultados!AA10,Resultados!AJ10,Resultados!AS10,Resultados!BB10,Resultados!BK10,Resultados!BT10,Resultados!CC10,Resultados!CL10,Resultados!CU10,Resultados!DD10,Resultados!DM10,Resultados!DV10,Resultados!EE10)))</f>
        <v>6.4551247021790042E-4</v>
      </c>
    </row>
    <row r="11" spans="1:9" x14ac:dyDescent="0.3">
      <c r="A11">
        <f>IF(COUNT(Resultados!A11,Resultados!J11,Resultados!S11,Resultados!AB11,Resultados!AK11,Resultados!AT11,Resultados!BC11,Resultados!BL11,Resultados!BU11,Resultados!CD11,Resultados!CM11,Resultados!CV11,Resultados!DE11,Resultados!DN11,Resultados!DW11)&lt;=1, "", _xlfn.STDEV.S(ABS(Resultados!A11),ABS(Resultados!J11),ABS(Resultados!S11),ABS(Resultados!AB11),ABS(Resultados!AK11),ABS(Resultados!AT11),ABS(Resultados!BC11),ABS(Resultados!BL11),ABS(Resultados!BU11),ABS(Resultados!CD11),ABS(Resultados!CM11),ABS(Resultados!CV11),ABS(Resultados!DE11),ABS(Resultados!DN11),ABS(Resultados!DW11))/SQRT(COUNT(Resultados!A11,Resultados!J11,Resultados!S11,Resultados!AB11,Resultados!AK11,Resultados!AT11,Resultados!BC11,Resultados!BL11,Resultados!BU11,Resultados!CD11,Resultados!CM11,Resultados!CV11,Resultados!DE11,Resultados!DN11,Resultados!DW11)))</f>
        <v>0</v>
      </c>
      <c r="B11" t="str">
        <f>IF(COUNT(Resultados!B11,Resultados!K11,Resultados!T11,Resultados!AC11,Resultados!AL11,Resultados!AU11,Resultados!BD11,Resultados!BM11,Resultados!BV11,Resultados!CE11,Resultados!CN11,Resultados!CW11,Resultados!DF11,Resultados!DO11,Resultados!DX11)&lt;=1, "", _xlfn.STDEV.S(ABS(Resultados!B11),ABS(Resultados!K11),ABS(Resultados!T11),ABS(Resultados!AC11),ABS(Resultados!AL11),ABS(Resultados!AU11),ABS(Resultados!BD11),ABS(Resultados!BM11),ABS(Resultados!BV11),ABS(Resultados!CE11),ABS(Resultados!CN11),ABS(Resultados!CW11),ABS(Resultados!DF11),ABS(Resultados!DO11),ABS(Resultados!DX11))/SQRT(COUNT(Resultados!B11,Resultados!K11,Resultados!T11,Resultados!AC11,Resultados!AL11,Resultados!AU11,Resultados!BD11,Resultados!BM11,Resultados!BV11,Resultados!CE11,Resultados!CN11,Resultados!CW11,Resultados!DF11,Resultados!DO11,Resultados!DX11)))</f>
        <v/>
      </c>
      <c r="C11">
        <f>IF(COUNT(Resultados!C11,Resultados!L11,Resultados!U11,Resultados!AD11,Resultados!AM11,Resultados!AV11,Resultados!BE11,Resultados!BN11,Resultados!BW11,Resultados!CF11,Resultados!CO11,Resultados!CX11,Resultados!DG11,Resultados!DP11,Resultados!DY11)&lt;=1, "", _xlfn.STDEV.S(ABS(Resultados!C11),ABS(Resultados!L11),ABS(Resultados!U11),ABS(Resultados!AD11),ABS(Resultados!AM11),ABS(Resultados!AV11),ABS(Resultados!BE11),ABS(Resultados!BN11),ABS(Resultados!BW11),ABS(Resultados!CF11),ABS(Resultados!CO11),ABS(Resultados!CX11),ABS(Resultados!DG11),ABS(Resultados!DP11),ABS(Resultados!DY11))/SQRT(COUNT(Resultados!C11,Resultados!L11,Resultados!U11,Resultados!AD11,Resultados!AM11,Resultados!AV11,Resultados!BE11,Resultados!BN11,Resultados!BW11,Resultados!CF11,Resultados!CO11,Resultados!CX11,Resultados!DG11,Resultados!DP11,Resultados!DY11)))</f>
        <v>0.48007935851918326</v>
      </c>
      <c r="D11">
        <f>IF(COUNT(Resultados!D11,Resultados!M11,Resultados!V11,Resultados!AE11,Resultados!AN11,Resultados!AW11,Resultados!BF11,Resultados!BO11,Resultados!BX11,Resultados!CG11,Resultados!CP11,Resultados!CY11,Resultados!DH11,Resultados!DQ11,Resultados!DZ11)&lt;=1, "", _xlfn.STDEV.S(ABS(Resultados!D11),ABS(Resultados!M11),ABS(Resultados!V11),ABS(Resultados!AE11),ABS(Resultados!AN11),ABS(Resultados!AW11),ABS(Resultados!BF11),ABS(Resultados!BO11),ABS(Resultados!BX11),ABS(Resultados!CG11),ABS(Resultados!CP11),ABS(Resultados!CY11),ABS(Resultados!DH11),ABS(Resultados!DQ11),ABS(Resultados!DZ11))/SQRT(COUNT(Resultados!D11,Resultados!M11,Resultados!V11,Resultados!AE11,Resultados!AN11,Resultados!AW11,Resultados!BF11,Resultados!BO11,Resultados!BX11,Resultados!CG11,Resultados!CP11,Resultados!CY11,Resultados!DH11,Resultados!DQ11,Resultados!DZ11)))</f>
        <v>9.9689040329941779E-4</v>
      </c>
      <c r="E11">
        <f>IF(COUNT(Resultados!E11,Resultados!N11,Resultados!W11,Resultados!AF11,Resultados!AO11,Resultados!AX11,Resultados!BG11,Resultados!BP11,Resultados!BY11,Resultados!CH11,Resultados!CQ11,Resultados!CZ11,Resultados!DI11,Resultados!DR11,Resultados!EA11)&lt;=1, "", _xlfn.STDEV.S(ABS(Resultados!E11),ABS(Resultados!N11),ABS(Resultados!W11),ABS(Resultados!AF11),ABS(Resultados!AO11),ABS(Resultados!AX11),ABS(Resultados!BG11),ABS(Resultados!BP11),ABS(Resultados!BY11),ABS(Resultados!CH11),ABS(Resultados!CQ11),ABS(Resultados!CZ11),ABS(Resultados!DI11),ABS(Resultados!DR11),ABS(Resultados!EA11))/SQRT(COUNT(Resultados!E11,Resultados!N11,Resultados!W11,Resultados!AF11,Resultados!AO11,Resultados!AX11,Resultados!BG11,Resultados!BP11,Resultados!BY11,Resultados!CH11,Resultados!CQ11,Resultados!CZ11,Resultados!DI11,Resultados!DR11,Resultados!EA11)))</f>
        <v>5.6680467381960684E-2</v>
      </c>
      <c r="F11">
        <f>IF(COUNT(Resultados!F11,Resultados!O11,Resultados!X11,Resultados!AG11,Resultados!AP11,Resultados!AY11,Resultados!BH11,Resultados!BQ11,Resultados!BZ11,Resultados!CI11,Resultados!CR11,Resultados!DA11,Resultados!DJ11,Resultados!DS11,Resultados!EB11)&lt;=1, "", _xlfn.STDEV.S(ABS(Resultados!F11),ABS(Resultados!O11),ABS(Resultados!X11),ABS(Resultados!AG11),ABS(Resultados!AP11),ABS(Resultados!AY11),ABS(Resultados!BH11),ABS(Resultados!BQ11),ABS(Resultados!BZ11),ABS(Resultados!CI11),ABS(Resultados!CR11),ABS(Resultados!DA11),ABS(Resultados!DJ11),ABS(Resultados!DS11),ABS(Resultados!EB11))/SQRT(COUNT(Resultados!F11,Resultados!O11,Resultados!X11,Resultados!AG11,Resultados!AP11,Resultados!AY11,Resultados!BH11,Resultados!BQ11,Resultados!BZ11,Resultados!CI11,Resultados!CR11,Resultados!DA11,Resultados!DJ11,Resultados!DS11,Resultados!EB11)))</f>
        <v>5.3789763545480662</v>
      </c>
      <c r="G11">
        <f>IF(COUNT(Resultados!G11,Resultados!P11,Resultados!Y11,Resultados!AH11,Resultados!AQ11,Resultados!AZ11,Resultados!BI11,Resultados!BR11,Resultados!CA11,Resultados!CJ11,Resultados!CS11,Resultados!DB11,Resultados!DK11,Resultados!DT11,Resultados!EC11)&lt;=1, "", _xlfn.STDEV.S(ABS(Resultados!G11),ABS(Resultados!P11),ABS(Resultados!Y11),ABS(Resultados!AH11),ABS(Resultados!AQ11),ABS(Resultados!AZ11),ABS(Resultados!BI11),ABS(Resultados!BR11),ABS(Resultados!CA11),ABS(Resultados!CJ11),ABS(Resultados!CS11),ABS(Resultados!DB11),ABS(Resultados!DK11),ABS(Resultados!DT11),ABS(Resultados!EC11))/SQRT(COUNT(Resultados!G11,Resultados!P11,Resultados!Y11,Resultados!AH11,Resultados!AQ11,Resultados!AZ11,Resultados!BI11,Resultados!BR11,Resultados!CA11,Resultados!CJ11,Resultados!CS11,Resultados!DB11,Resultados!DK11,Resultados!DT11,Resultados!EC11)))</f>
        <v>4.4507937654163114E-17</v>
      </c>
      <c r="H11">
        <f>IF(COUNT(Resultados!H11,Resultados!Q11,Resultados!Z11,Resultados!AI11,Resultados!AR11,Resultados!BA11,Resultados!BJ11,Resultados!BS11,Resultados!CB11,Resultados!CK11,Resultados!CT11,Resultados!DC11,Resultados!DL11,Resultados!DU11,Resultados!ED11)&lt;=1, "", _xlfn.STDEV.S(ABS(Resultados!H11),ABS(Resultados!Q11),ABS(Resultados!Z11),ABS(Resultados!AI11),ABS(Resultados!AR11),ABS(Resultados!BA11),ABS(Resultados!BJ11),ABS(Resultados!BS11),ABS(Resultados!CB11),ABS(Resultados!CK11),ABS(Resultados!CT11),ABS(Resultados!DC11),ABS(Resultados!DL11),ABS(Resultados!DU11),ABS(Resultados!ED11))/SQRT(COUNT(Resultados!H11,Resultados!Q11,Resultados!Z11,Resultados!AI11,Resultados!AR11,Resultados!BA11,Resultados!BJ11,Resultados!BS11,Resultados!CB11,Resultados!CK11,Resultados!CT11,Resultados!DC11,Resultados!DL11,Resultados!DU11,Resultados!ED11)))</f>
        <v>8.799999999999996E-4</v>
      </c>
      <c r="I11">
        <f>IF(COUNT(Resultados!I11,Resultados!R11,Resultados!AA11,Resultados!AJ11,Resultados!AS11,Resultados!BB11,Resultados!BK11,Resultados!BT11,Resultados!CC11,Resultados!CL11,Resultados!CU11,Resultados!DD11,Resultados!DM11,Resultados!DV11,Resultados!EE11)&lt;=1, "", _xlfn.STDEV.S(ABS(Resultados!I11),ABS(Resultados!R11),ABS(Resultados!AA11),ABS(Resultados!AJ11),ABS(Resultados!AS11),ABS(Resultados!BB11),ABS(Resultados!BK11),ABS(Resultados!BT11),ABS(Resultados!CC11),ABS(Resultados!CL11),ABS(Resultados!CU11),ABS(Resultados!DD11),ABS(Resultados!DM11),ABS(Resultados!DV11),ABS(Resultados!EE11))/SQRT(COUNT(Resultados!I11,Resultados!R11,Resultados!AA11,Resultados!AJ11,Resultados!AS11,Resultados!BB11,Resultados!BK11,Resultados!BT11,Resultados!CC11,Resultados!CL11,Resultados!CU11,Resultados!DD11,Resultados!DM11,Resultados!DV11,Resultados!EE11)))</f>
        <v>8.2500936021725135E-4</v>
      </c>
    </row>
    <row r="12" spans="1:9" x14ac:dyDescent="0.3">
      <c r="A12">
        <f>IF(COUNT(Resultados!A12,Resultados!J12,Resultados!S12,Resultados!AB12,Resultados!AK12,Resultados!AT12,Resultados!BC12,Resultados!BL12,Resultados!BU12,Resultados!CD12,Resultados!CM12,Resultados!CV12,Resultados!DE12,Resultados!DN12,Resultados!DW12)&lt;=1, "", _xlfn.STDEV.S(ABS(Resultados!A12),ABS(Resultados!J12),ABS(Resultados!S12),ABS(Resultados!AB12),ABS(Resultados!AK12),ABS(Resultados!AT12),ABS(Resultados!BC12),ABS(Resultados!BL12),ABS(Resultados!BU12),ABS(Resultados!CD12),ABS(Resultados!CM12),ABS(Resultados!CV12),ABS(Resultados!DE12),ABS(Resultados!DN12),ABS(Resultados!DW12))/SQRT(COUNT(Resultados!A12,Resultados!J12,Resultados!S12,Resultados!AB12,Resultados!AK12,Resultados!AT12,Resultados!BC12,Resultados!BL12,Resultados!BU12,Resultados!CD12,Resultados!CM12,Resultados!CV12,Resultados!DE12,Resultados!DN12,Resultados!DW12)))</f>
        <v>0</v>
      </c>
      <c r="B12" t="str">
        <f>IF(COUNT(Resultados!B12,Resultados!K12,Resultados!T12,Resultados!AC12,Resultados!AL12,Resultados!AU12,Resultados!BD12,Resultados!BM12,Resultados!BV12,Resultados!CE12,Resultados!CN12,Resultados!CW12,Resultados!DF12,Resultados!DO12,Resultados!DX12)&lt;=1, "", _xlfn.STDEV.S(ABS(Resultados!B12),ABS(Resultados!K12),ABS(Resultados!T12),ABS(Resultados!AC12),ABS(Resultados!AL12),ABS(Resultados!AU12),ABS(Resultados!BD12),ABS(Resultados!BM12),ABS(Resultados!BV12),ABS(Resultados!CE12),ABS(Resultados!CN12),ABS(Resultados!CW12),ABS(Resultados!DF12),ABS(Resultados!DO12),ABS(Resultados!DX12))/SQRT(COUNT(Resultados!B12,Resultados!K12,Resultados!T12,Resultados!AC12,Resultados!AL12,Resultados!AU12,Resultados!BD12,Resultados!BM12,Resultados!BV12,Resultados!CE12,Resultados!CN12,Resultados!CW12,Resultados!DF12,Resultados!DO12,Resultados!DX12)))</f>
        <v/>
      </c>
      <c r="C12">
        <f>IF(COUNT(Resultados!C12,Resultados!L12,Resultados!U12,Resultados!AD12,Resultados!AM12,Resultados!AV12,Resultados!BE12,Resultados!BN12,Resultados!BW12,Resultados!CF12,Resultados!CO12,Resultados!CX12,Resultados!DG12,Resultados!DP12,Resultados!DY12)&lt;=1, "", _xlfn.STDEV.S(ABS(Resultados!C12),ABS(Resultados!L12),ABS(Resultados!U12),ABS(Resultados!AD12),ABS(Resultados!AM12),ABS(Resultados!AV12),ABS(Resultados!BE12),ABS(Resultados!BN12),ABS(Resultados!BW12),ABS(Resultados!CF12),ABS(Resultados!CO12),ABS(Resultados!CX12),ABS(Resultados!DG12),ABS(Resultados!DP12),ABS(Resultados!DY12))/SQRT(COUNT(Resultados!C12,Resultados!L12,Resultados!U12,Resultados!AD12,Resultados!AM12,Resultados!AV12,Resultados!BE12,Resultados!BN12,Resultados!BW12,Resultados!CF12,Resultados!CO12,Resultados!CX12,Resultados!DG12,Resultados!DP12,Resultados!DY12)))</f>
        <v>0.48007935851918326</v>
      </c>
      <c r="D12">
        <f>IF(COUNT(Resultados!D12,Resultados!M12,Resultados!V12,Resultados!AE12,Resultados!AN12,Resultados!AW12,Resultados!BF12,Resultados!BO12,Resultados!BX12,Resultados!CG12,Resultados!CP12,Resultados!CY12,Resultados!DH12,Resultados!DQ12,Resultados!DZ12)&lt;=1, "", _xlfn.STDEV.S(ABS(Resultados!D12),ABS(Resultados!M12),ABS(Resultados!V12),ABS(Resultados!AE12),ABS(Resultados!AN12),ABS(Resultados!AW12),ABS(Resultados!BF12),ABS(Resultados!BO12),ABS(Resultados!BX12),ABS(Resultados!CG12),ABS(Resultados!CP12),ABS(Resultados!CY12),ABS(Resultados!DH12),ABS(Resultados!DQ12),ABS(Resultados!DZ12))/SQRT(COUNT(Resultados!D12,Resultados!M12,Resultados!V12,Resultados!AE12,Resultados!AN12,Resultados!AW12,Resultados!BF12,Resultados!BO12,Resultados!BX12,Resultados!CG12,Resultados!CP12,Resultados!CY12,Resultados!DH12,Resultados!DQ12,Resultados!DZ12)))</f>
        <v>8.4326274878715208E-4</v>
      </c>
      <c r="E12">
        <f>IF(COUNT(Resultados!E12,Resultados!N12,Resultados!W12,Resultados!AF12,Resultados!AO12,Resultados!AX12,Resultados!BG12,Resultados!BP12,Resultados!BY12,Resultados!CH12,Resultados!CQ12,Resultados!CZ12,Resultados!DI12,Resultados!DR12,Resultados!EA12)&lt;=1, "", _xlfn.STDEV.S(ABS(Resultados!E12),ABS(Resultados!N12),ABS(Resultados!W12),ABS(Resultados!AF12),ABS(Resultados!AO12),ABS(Resultados!AX12),ABS(Resultados!BG12),ABS(Resultados!BP12),ABS(Resultados!BY12),ABS(Resultados!CH12),ABS(Resultados!CQ12),ABS(Resultados!CZ12),ABS(Resultados!DI12),ABS(Resultados!DR12),ABS(Resultados!EA12))/SQRT(COUNT(Resultados!E12,Resultados!N12,Resultados!W12,Resultados!AF12,Resultados!AO12,Resultados!AX12,Resultados!BG12,Resultados!BP12,Resultados!BY12,Resultados!CH12,Resultados!CQ12,Resultados!CZ12,Resultados!DI12,Resultados!DR12,Resultados!EA12)))</f>
        <v>4.4925850753608894E-2</v>
      </c>
      <c r="F12">
        <f>IF(COUNT(Resultados!F12,Resultados!O12,Resultados!X12,Resultados!AG12,Resultados!AP12,Resultados!AY12,Resultados!BH12,Resultados!BQ12,Resultados!BZ12,Resultados!CI12,Resultados!CR12,Resultados!DA12,Resultados!DJ12,Resultados!DS12,Resultados!EB12)&lt;=1, "", _xlfn.STDEV.S(ABS(Resultados!F12),ABS(Resultados!O12),ABS(Resultados!X12),ABS(Resultados!AG12),ABS(Resultados!AP12),ABS(Resultados!AY12),ABS(Resultados!BH12),ABS(Resultados!BQ12),ABS(Resultados!BZ12),ABS(Resultados!CI12),ABS(Resultados!CR12),ABS(Resultados!DA12),ABS(Resultados!DJ12),ABS(Resultados!DS12),ABS(Resultados!EB12))/SQRT(COUNT(Resultados!F12,Resultados!O12,Resultados!X12,Resultados!AG12,Resultados!AP12,Resultados!AY12,Resultados!BH12,Resultados!BQ12,Resultados!BZ12,Resultados!CI12,Resultados!CR12,Resultados!DA12,Resultados!DJ12,Resultados!DS12,Resultados!EB12)))</f>
        <v>4.263463236517488</v>
      </c>
      <c r="G12">
        <f>IF(COUNT(Resultados!G12,Resultados!P12,Resultados!Y12,Resultados!AH12,Resultados!AQ12,Resultados!AZ12,Resultados!BI12,Resultados!BR12,Resultados!CA12,Resultados!CJ12,Resultados!CS12,Resultados!DB12,Resultados!DK12,Resultados!DT12,Resultados!EC12)&lt;=1, "", _xlfn.STDEV.S(ABS(Resultados!G12),ABS(Resultados!P12),ABS(Resultados!Y12),ABS(Resultados!AH12),ABS(Resultados!AQ12),ABS(Resultados!AZ12),ABS(Resultados!BI12),ABS(Resultados!BR12),ABS(Resultados!CA12),ABS(Resultados!CJ12),ABS(Resultados!CS12),ABS(Resultados!DB12),ABS(Resultados!DK12),ABS(Resultados!DT12),ABS(Resultados!EC12))/SQRT(COUNT(Resultados!G12,Resultados!P12,Resultados!Y12,Resultados!AH12,Resultados!AQ12,Resultados!AZ12,Resultados!BI12,Resultados!BR12,Resultados!CA12,Resultados!CJ12,Resultados!CS12,Resultados!DB12,Resultados!DK12,Resultados!DT12,Resultados!EC12)))</f>
        <v>4.4507937654163114E-17</v>
      </c>
      <c r="H12">
        <f>IF(COUNT(Resultados!H12,Resultados!Q12,Resultados!Z12,Resultados!AI12,Resultados!AR12,Resultados!BA12,Resultados!BJ12,Resultados!BS12,Resultados!CB12,Resultados!CK12,Resultados!CT12,Resultados!DC12,Resultados!DL12,Resultados!DU12,Resultados!ED12)&lt;=1, "", _xlfn.STDEV.S(ABS(Resultados!H12),ABS(Resultados!Q12),ABS(Resultados!Z12),ABS(Resultados!AI12),ABS(Resultados!AR12),ABS(Resultados!BA12),ABS(Resultados!BJ12),ABS(Resultados!BS12),ABS(Resultados!CB12),ABS(Resultados!CK12),ABS(Resultados!CT12),ABS(Resultados!DC12),ABS(Resultados!DL12),ABS(Resultados!DU12),ABS(Resultados!ED12))/SQRT(COUNT(Resultados!H12,Resultados!Q12,Resultados!Z12,Resultados!AI12,Resultados!AR12,Resultados!BA12,Resultados!BJ12,Resultados!BS12,Resultados!CB12,Resultados!CK12,Resultados!CT12,Resultados!DC12,Resultados!DL12,Resultados!DU12,Resultados!ED12)))</f>
        <v>6.9999999999999999E-4</v>
      </c>
      <c r="I12">
        <f>IF(COUNT(Resultados!I12,Resultados!R12,Resultados!AA12,Resultados!AJ12,Resultados!AS12,Resultados!BB12,Resultados!BK12,Resultados!BT12,Resultados!CC12,Resultados!CL12,Resultados!CU12,Resultados!DD12,Resultados!DM12,Resultados!DV12,Resultados!EE12)&lt;=1, "", _xlfn.STDEV.S(ABS(Resultados!I12),ABS(Resultados!R12),ABS(Resultados!AA12),ABS(Resultados!AJ12),ABS(Resultados!AS12),ABS(Resultados!BB12),ABS(Resultados!BK12),ABS(Resultados!BT12),ABS(Resultados!CC12),ABS(Resultados!CL12),ABS(Resultados!CU12),ABS(Resultados!DD12),ABS(Resultados!DM12),ABS(Resultados!DV12),ABS(Resultados!EE12))/SQRT(COUNT(Resultados!I12,Resultados!R12,Resultados!AA12,Resultados!AJ12,Resultados!AS12,Resultados!BB12,Resultados!BK12,Resultados!BT12,Resultados!CC12,Resultados!CL12,Resultados!CU12,Resultados!DD12,Resultados!DM12,Resultados!DV12,Resultados!EE12)))</f>
        <v>9.4819822453827906E-4</v>
      </c>
    </row>
    <row r="13" spans="1:9" x14ac:dyDescent="0.3">
      <c r="A13">
        <f>IF(COUNT(Resultados!A13,Resultados!J13,Resultados!S13,Resultados!AB13,Resultados!AK13,Resultados!AT13,Resultados!BC13,Resultados!BL13,Resultados!BU13,Resultados!CD13,Resultados!CM13,Resultados!CV13,Resultados!DE13,Resultados!DN13,Resultados!DW13)&lt;=1, "", _xlfn.STDEV.S(ABS(Resultados!A13),ABS(Resultados!J13),ABS(Resultados!S13),ABS(Resultados!AB13),ABS(Resultados!AK13),ABS(Resultados!AT13),ABS(Resultados!BC13),ABS(Resultados!BL13),ABS(Resultados!BU13),ABS(Resultados!CD13),ABS(Resultados!CM13),ABS(Resultados!CV13),ABS(Resultados!DE13),ABS(Resultados!DN13),ABS(Resultados!DW13))/SQRT(COUNT(Resultados!A13,Resultados!J13,Resultados!S13,Resultados!AB13,Resultados!AK13,Resultados!AT13,Resultados!BC13,Resultados!BL13,Resultados!BU13,Resultados!CD13,Resultados!CM13,Resultados!CV13,Resultados!DE13,Resultados!DN13,Resultados!DW13)))</f>
        <v>0</v>
      </c>
      <c r="B13" t="str">
        <f>IF(COUNT(Resultados!B13,Resultados!K13,Resultados!T13,Resultados!AC13,Resultados!AL13,Resultados!AU13,Resultados!BD13,Resultados!BM13,Resultados!BV13,Resultados!CE13,Resultados!CN13,Resultados!CW13,Resultados!DF13,Resultados!DO13,Resultados!DX13)&lt;=1, "", _xlfn.STDEV.S(ABS(Resultados!B13),ABS(Resultados!K13),ABS(Resultados!T13),ABS(Resultados!AC13),ABS(Resultados!AL13),ABS(Resultados!AU13),ABS(Resultados!BD13),ABS(Resultados!BM13),ABS(Resultados!BV13),ABS(Resultados!CE13),ABS(Resultados!CN13),ABS(Resultados!CW13),ABS(Resultados!DF13),ABS(Resultados!DO13),ABS(Resultados!DX13))/SQRT(COUNT(Resultados!B13,Resultados!K13,Resultados!T13,Resultados!AC13,Resultados!AL13,Resultados!AU13,Resultados!BD13,Resultados!BM13,Resultados!BV13,Resultados!CE13,Resultados!CN13,Resultados!CW13,Resultados!DF13,Resultados!DO13,Resultados!DX13)))</f>
        <v/>
      </c>
      <c r="C13">
        <f>IF(COUNT(Resultados!C13,Resultados!L13,Resultados!U13,Resultados!AD13,Resultados!AM13,Resultados!AV13,Resultados!BE13,Resultados!BN13,Resultados!BW13,Resultados!CF13,Resultados!CO13,Resultados!CX13,Resultados!DG13,Resultados!DP13,Resultados!DY13)&lt;=1, "", _xlfn.STDEV.S(ABS(Resultados!C13),ABS(Resultados!L13),ABS(Resultados!U13),ABS(Resultados!AD13),ABS(Resultados!AM13),ABS(Resultados!AV13),ABS(Resultados!BE13),ABS(Resultados!BN13),ABS(Resultados!BW13),ABS(Resultados!CF13),ABS(Resultados!CO13),ABS(Resultados!CX13),ABS(Resultados!DG13),ABS(Resultados!DP13),ABS(Resultados!DY13))/SQRT(COUNT(Resultados!C13,Resultados!L13,Resultados!U13,Resultados!AD13,Resultados!AM13,Resultados!AV13,Resultados!BE13,Resultados!BN13,Resultados!BW13,Resultados!CF13,Resultados!CO13,Resultados!CX13,Resultados!DG13,Resultados!DP13,Resultados!DY13)))</f>
        <v>0.48007935851918326</v>
      </c>
      <c r="D13">
        <f>IF(COUNT(Resultados!D13,Resultados!M13,Resultados!V13,Resultados!AE13,Resultados!AN13,Resultados!AW13,Resultados!BF13,Resultados!BO13,Resultados!BX13,Resultados!CG13,Resultados!CP13,Resultados!CY13,Resultados!DH13,Resultados!DQ13,Resultados!DZ13)&lt;=1, "", _xlfn.STDEV.S(ABS(Resultados!D13),ABS(Resultados!M13),ABS(Resultados!V13),ABS(Resultados!AE13),ABS(Resultados!AN13),ABS(Resultados!AW13),ABS(Resultados!BF13),ABS(Resultados!BO13),ABS(Resultados!BX13),ABS(Resultados!CG13),ABS(Resultados!CP13),ABS(Resultados!CY13),ABS(Resultados!DH13),ABS(Resultados!DQ13),ABS(Resultados!DZ13))/SQRT(COUNT(Resultados!D13,Resultados!M13,Resultados!V13,Resultados!AE13,Resultados!AN13,Resultados!AW13,Resultados!BF13,Resultados!BO13,Resultados!BX13,Resultados!CG13,Resultados!CP13,Resultados!CY13,Resultados!DH13,Resultados!DQ13,Resultados!DZ13)))</f>
        <v>6.5677422372713518E-4</v>
      </c>
      <c r="E13">
        <f>IF(COUNT(Resultados!E13,Resultados!N13,Resultados!W13,Resultados!AF13,Resultados!AO13,Resultados!AX13,Resultados!BG13,Resultados!BP13,Resultados!BY13,Resultados!CH13,Resultados!CQ13,Resultados!CZ13,Resultados!DI13,Resultados!DR13,Resultados!EA13)&lt;=1, "", _xlfn.STDEV.S(ABS(Resultados!E13),ABS(Resultados!N13),ABS(Resultados!W13),ABS(Resultados!AF13),ABS(Resultados!AO13),ABS(Resultados!AX13),ABS(Resultados!BG13),ABS(Resultados!BP13),ABS(Resultados!BY13),ABS(Resultados!CH13),ABS(Resultados!CQ13),ABS(Resultados!CZ13),ABS(Resultados!DI13),ABS(Resultados!DR13),ABS(Resultados!EA13))/SQRT(COUNT(Resultados!E13,Resultados!N13,Resultados!W13,Resultados!AF13,Resultados!AO13,Resultados!AX13,Resultados!BG13,Resultados!BP13,Resultados!BY13,Resultados!CH13,Resultados!CQ13,Resultados!CZ13,Resultados!DI13,Resultados!DR13,Resultados!EA13)))</f>
        <v>2.8781845892371535E-2</v>
      </c>
      <c r="F13">
        <f>IF(COUNT(Resultados!F13,Resultados!O13,Resultados!X13,Resultados!AG13,Resultados!AP13,Resultados!AY13,Resultados!BH13,Resultados!BQ13,Resultados!BZ13,Resultados!CI13,Resultados!CR13,Resultados!DA13,Resultados!DJ13,Resultados!DS13,Resultados!EB13)&lt;=1, "", _xlfn.STDEV.S(ABS(Resultados!F13),ABS(Resultados!O13),ABS(Resultados!X13),ABS(Resultados!AG13),ABS(Resultados!AP13),ABS(Resultados!AY13),ABS(Resultados!BH13),ABS(Resultados!BQ13),ABS(Resultados!BZ13),ABS(Resultados!CI13),ABS(Resultados!CR13),ABS(Resultados!DA13),ABS(Resultados!DJ13),ABS(Resultados!DS13),ABS(Resultados!EB13))/SQRT(COUNT(Resultados!F13,Resultados!O13,Resultados!X13,Resultados!AG13,Resultados!AP13,Resultados!AY13,Resultados!BH13,Resultados!BQ13,Resultados!BZ13,Resultados!CI13,Resultados!CR13,Resultados!DA13,Resultados!DJ13,Resultados!DS13,Resultados!EB13)))</f>
        <v>4.2309025295766425</v>
      </c>
      <c r="G13">
        <f>IF(COUNT(Resultados!G13,Resultados!P13,Resultados!Y13,Resultados!AH13,Resultados!AQ13,Resultados!AZ13,Resultados!BI13,Resultados!BR13,Resultados!CA13,Resultados!CJ13,Resultados!CS13,Resultados!DB13,Resultados!DK13,Resultados!DT13,Resultados!EC13)&lt;=1, "", _xlfn.STDEV.S(ABS(Resultados!G13),ABS(Resultados!P13),ABS(Resultados!Y13),ABS(Resultados!AH13),ABS(Resultados!AQ13),ABS(Resultados!AZ13),ABS(Resultados!BI13),ABS(Resultados!BR13),ABS(Resultados!CA13),ABS(Resultados!CJ13),ABS(Resultados!CS13),ABS(Resultados!DB13),ABS(Resultados!DK13),ABS(Resultados!DT13),ABS(Resultados!EC13))/SQRT(COUNT(Resultados!G13,Resultados!P13,Resultados!Y13,Resultados!AH13,Resultados!AQ13,Resultados!AZ13,Resultados!BI13,Resultados!BR13,Resultados!CA13,Resultados!CJ13,Resultados!CS13,Resultados!DB13,Resultados!DK13,Resultados!DT13,Resultados!EC13)))</f>
        <v>4.4507937654163114E-17</v>
      </c>
      <c r="H13">
        <f>IF(COUNT(Resultados!H13,Resultados!Q13,Resultados!Z13,Resultados!AI13,Resultados!AR13,Resultados!BA13,Resultados!BJ13,Resultados!BS13,Resultados!CB13,Resultados!CK13,Resultados!CT13,Resultados!DC13,Resultados!DL13,Resultados!DU13,Resultados!ED13)&lt;=1, "", _xlfn.STDEV.S(ABS(Resultados!H13),ABS(Resultados!Q13),ABS(Resultados!Z13),ABS(Resultados!AI13),ABS(Resultados!AR13),ABS(Resultados!BA13),ABS(Resultados!BJ13),ABS(Resultados!BS13),ABS(Resultados!CB13),ABS(Resultados!CK13),ABS(Resultados!CT13),ABS(Resultados!DC13),ABS(Resultados!DL13),ABS(Resultados!DU13),ABS(Resultados!ED13))/SQRT(COUNT(Resultados!H13,Resultados!Q13,Resultados!Z13,Resultados!AI13,Resultados!AR13,Resultados!BA13,Resultados!BJ13,Resultados!BS13,Resultados!CB13,Resultados!CK13,Resultados!CT13,Resultados!DC13,Resultados!DL13,Resultados!DU13,Resultados!ED13)))</f>
        <v>4.4666666666666677E-4</v>
      </c>
      <c r="I13">
        <f>IF(COUNT(Resultados!I13,Resultados!R13,Resultados!AA13,Resultados!AJ13,Resultados!AS13,Resultados!BB13,Resultados!BK13,Resultados!BT13,Resultados!CC13,Resultados!CL13,Resultados!CU13,Resultados!DD13,Resultados!DM13,Resultados!DV13,Resultados!EE13)&lt;=1, "", _xlfn.STDEV.S(ABS(Resultados!I13),ABS(Resultados!R13),ABS(Resultados!AA13),ABS(Resultados!AJ13),ABS(Resultados!AS13),ABS(Resultados!BB13),ABS(Resultados!BK13),ABS(Resultados!BT13),ABS(Resultados!CC13),ABS(Resultados!CL13),ABS(Resultados!CU13),ABS(Resultados!DD13),ABS(Resultados!DM13),ABS(Resultados!DV13),ABS(Resultados!EE13))/SQRT(COUNT(Resultados!I13,Resultados!R13,Resultados!AA13,Resultados!AJ13,Resultados!AS13,Resultados!BB13,Resultados!BK13,Resultados!BT13,Resultados!CC13,Resultados!CL13,Resultados!CU13,Resultados!DD13,Resultados!DM13,Resultados!DV13,Resultados!EE13)))</f>
        <v>8.2502436712597637E-4</v>
      </c>
    </row>
    <row r="14" spans="1:9" x14ac:dyDescent="0.3">
      <c r="A14">
        <f>IF(COUNT(Resultados!A14,Resultados!J14,Resultados!S14,Resultados!AB14,Resultados!AK14,Resultados!AT14,Resultados!BC14,Resultados!BL14,Resultados!BU14,Resultados!CD14,Resultados!CM14,Resultados!CV14,Resultados!DE14,Resultados!DN14,Resultados!DW14)&lt;=1, "", _xlfn.STDEV.S(ABS(Resultados!A14),ABS(Resultados!J14),ABS(Resultados!S14),ABS(Resultados!AB14),ABS(Resultados!AK14),ABS(Resultados!AT14),ABS(Resultados!BC14),ABS(Resultados!BL14),ABS(Resultados!BU14),ABS(Resultados!CD14),ABS(Resultados!CM14),ABS(Resultados!CV14),ABS(Resultados!DE14),ABS(Resultados!DN14),ABS(Resultados!DW14))/SQRT(COUNT(Resultados!A14,Resultados!J14,Resultados!S14,Resultados!AB14,Resultados!AK14,Resultados!AT14,Resultados!BC14,Resultados!BL14,Resultados!BU14,Resultados!CD14,Resultados!CM14,Resultados!CV14,Resultados!DE14,Resultados!DN14,Resultados!DW14)))</f>
        <v>0</v>
      </c>
      <c r="B14" t="str">
        <f>IF(COUNT(Resultados!B14,Resultados!K14,Resultados!T14,Resultados!AC14,Resultados!AL14,Resultados!AU14,Resultados!BD14,Resultados!BM14,Resultados!BV14,Resultados!CE14,Resultados!CN14,Resultados!CW14,Resultados!DF14,Resultados!DO14,Resultados!DX14)&lt;=1, "", _xlfn.STDEV.S(ABS(Resultados!B14),ABS(Resultados!K14),ABS(Resultados!T14),ABS(Resultados!AC14),ABS(Resultados!AL14),ABS(Resultados!AU14),ABS(Resultados!BD14),ABS(Resultados!BM14),ABS(Resultados!BV14),ABS(Resultados!CE14),ABS(Resultados!CN14),ABS(Resultados!CW14),ABS(Resultados!DF14),ABS(Resultados!DO14),ABS(Resultados!DX14))/SQRT(COUNT(Resultados!B14,Resultados!K14,Resultados!T14,Resultados!AC14,Resultados!AL14,Resultados!AU14,Resultados!BD14,Resultados!BM14,Resultados!BV14,Resultados!CE14,Resultados!CN14,Resultados!CW14,Resultados!DF14,Resultados!DO14,Resultados!DX14)))</f>
        <v/>
      </c>
      <c r="C14">
        <f>IF(COUNT(Resultados!C14,Resultados!L14,Resultados!U14,Resultados!AD14,Resultados!AM14,Resultados!AV14,Resultados!BE14,Resultados!BN14,Resultados!BW14,Resultados!CF14,Resultados!CO14,Resultados!CX14,Resultados!DG14,Resultados!DP14,Resultados!DY14)&lt;=1, "", _xlfn.STDEV.S(ABS(Resultados!C14),ABS(Resultados!L14),ABS(Resultados!U14),ABS(Resultados!AD14),ABS(Resultados!AM14),ABS(Resultados!AV14),ABS(Resultados!BE14),ABS(Resultados!BN14),ABS(Resultados!BW14),ABS(Resultados!CF14),ABS(Resultados!CO14),ABS(Resultados!CX14),ABS(Resultados!DG14),ABS(Resultados!DP14),ABS(Resultados!DY14))/SQRT(COUNT(Resultados!C14,Resultados!L14,Resultados!U14,Resultados!AD14,Resultados!AM14,Resultados!AV14,Resultados!BE14,Resultados!BN14,Resultados!BW14,Resultados!CF14,Resultados!CO14,Resultados!CX14,Resultados!DG14,Resultados!DP14,Resultados!DY14)))</f>
        <v>0.48007935851918326</v>
      </c>
      <c r="D14">
        <f>IF(COUNT(Resultados!D14,Resultados!M14,Resultados!V14,Resultados!AE14,Resultados!AN14,Resultados!AW14,Resultados!BF14,Resultados!BO14,Resultados!BX14,Resultados!CG14,Resultados!CP14,Resultados!CY14,Resultados!DH14,Resultados!DQ14,Resultados!DZ14)&lt;=1, "", _xlfn.STDEV.S(ABS(Resultados!D14),ABS(Resultados!M14),ABS(Resultados!V14),ABS(Resultados!AE14),ABS(Resultados!AN14),ABS(Resultados!AW14),ABS(Resultados!BF14),ABS(Resultados!BO14),ABS(Resultados!BX14),ABS(Resultados!CG14),ABS(Resultados!CP14),ABS(Resultados!CY14),ABS(Resultados!DH14),ABS(Resultados!DQ14),ABS(Resultados!DZ14))/SQRT(COUNT(Resultados!D14,Resultados!M14,Resultados!V14,Resultados!AE14,Resultados!AN14,Resultados!AW14,Resultados!BF14,Resultados!BO14,Resultados!BX14,Resultados!CG14,Resultados!CP14,Resultados!CY14,Resultados!DH14,Resultados!DQ14,Resultados!DZ14)))</f>
        <v>4.4065607652428646E-4</v>
      </c>
      <c r="E14">
        <f>IF(COUNT(Resultados!E14,Resultados!N14,Resultados!W14,Resultados!AF14,Resultados!AO14,Resultados!AX14,Resultados!BG14,Resultados!BP14,Resultados!BY14,Resultados!CH14,Resultados!CQ14,Resultados!CZ14,Resultados!DI14,Resultados!DR14,Resultados!EA14)&lt;=1, "", _xlfn.STDEV.S(ABS(Resultados!E14),ABS(Resultados!N14),ABS(Resultados!W14),ABS(Resultados!AF14),ABS(Resultados!AO14),ABS(Resultados!AX14),ABS(Resultados!BG14),ABS(Resultados!BP14),ABS(Resultados!BY14),ABS(Resultados!CH14),ABS(Resultados!CQ14),ABS(Resultados!CZ14),ABS(Resultados!DI14),ABS(Resultados!DR14),ABS(Resultados!EA14))/SQRT(COUNT(Resultados!E14,Resultados!N14,Resultados!W14,Resultados!AF14,Resultados!AO14,Resultados!AX14,Resultados!BG14,Resultados!BP14,Resultados!BY14,Resultados!CH14,Resultados!CQ14,Resultados!CZ14,Resultados!DI14,Resultados!DR14,Resultados!EA14)))</f>
        <v>9.9150420884159766E-3</v>
      </c>
      <c r="F14">
        <f>IF(COUNT(Resultados!F14,Resultados!O14,Resultados!X14,Resultados!AG14,Resultados!AP14,Resultados!AY14,Resultados!BH14,Resultados!BQ14,Resultados!BZ14,Resultados!CI14,Resultados!CR14,Resultados!DA14,Resultados!DJ14,Resultados!DS14,Resultados!EB14)&lt;=1, "", _xlfn.STDEV.S(ABS(Resultados!F14),ABS(Resultados!O14),ABS(Resultados!X14),ABS(Resultados!AG14),ABS(Resultados!AP14),ABS(Resultados!AY14),ABS(Resultados!BH14),ABS(Resultados!BQ14),ABS(Resultados!BZ14),ABS(Resultados!CI14),ABS(Resultados!CR14),ABS(Resultados!DA14),ABS(Resultados!DJ14),ABS(Resultados!DS14),ABS(Resultados!EB14))/SQRT(COUNT(Resultados!F14,Resultados!O14,Resultados!X14,Resultados!AG14,Resultados!AP14,Resultados!AY14,Resultados!BH14,Resultados!BQ14,Resultados!BZ14,Resultados!CI14,Resultados!CR14,Resultados!DA14,Resultados!DJ14,Resultados!DS14,Resultados!EB14)))</f>
        <v>6.0109842684622521</v>
      </c>
      <c r="G14">
        <f>IF(COUNT(Resultados!G14,Resultados!P14,Resultados!Y14,Resultados!AH14,Resultados!AQ14,Resultados!AZ14,Resultados!BI14,Resultados!BR14,Resultados!CA14,Resultados!CJ14,Resultados!CS14,Resultados!DB14,Resultados!DK14,Resultados!DT14,Resultados!EC14)&lt;=1, "", _xlfn.STDEV.S(ABS(Resultados!G14),ABS(Resultados!P14),ABS(Resultados!Y14),ABS(Resultados!AH14),ABS(Resultados!AQ14),ABS(Resultados!AZ14),ABS(Resultados!BI14),ABS(Resultados!BR14),ABS(Resultados!CA14),ABS(Resultados!CJ14),ABS(Resultados!CS14),ABS(Resultados!DB14),ABS(Resultados!DK14),ABS(Resultados!DT14),ABS(Resultados!EC14))/SQRT(COUNT(Resultados!G14,Resultados!P14,Resultados!Y14,Resultados!AH14,Resultados!AQ14,Resultados!AZ14,Resultados!BI14,Resultados!BR14,Resultados!CA14,Resultados!CJ14,Resultados!CS14,Resultados!DB14,Resultados!DK14,Resultados!DT14,Resultados!EC14)))</f>
        <v>4.4507937654163114E-17</v>
      </c>
      <c r="H14">
        <f>IF(COUNT(Resultados!H14,Resultados!Q14,Resultados!Z14,Resultados!AI14,Resultados!AR14,Resultados!BA14,Resultados!BJ14,Resultados!BS14,Resultados!CB14,Resultados!CK14,Resultados!CT14,Resultados!DC14,Resultados!DL14,Resultados!DU14,Resultados!ED14)&lt;=1, "", _xlfn.STDEV.S(ABS(Resultados!H14),ABS(Resultados!Q14),ABS(Resultados!Z14),ABS(Resultados!AI14),ABS(Resultados!AR14),ABS(Resultados!BA14),ABS(Resultados!BJ14),ABS(Resultados!BS14),ABS(Resultados!CB14),ABS(Resultados!CK14),ABS(Resultados!CT14),ABS(Resultados!DC14),ABS(Resultados!DL14),ABS(Resultados!DU14),ABS(Resultados!ED14))/SQRT(COUNT(Resultados!H14,Resultados!Q14,Resultados!Z14,Resultados!AI14,Resultados!AR14,Resultados!BA14,Resultados!BJ14,Resultados!BS14,Resultados!CB14,Resultados!CK14,Resultados!CT14,Resultados!DC14,Resultados!DL14,Resultados!DU14,Resultados!ED14)))</f>
        <v>1.530017117862536E-4</v>
      </c>
      <c r="I14">
        <f>IF(COUNT(Resultados!I14,Resultados!R14,Resultados!AA14,Resultados!AJ14,Resultados!AS14,Resultados!BB14,Resultados!BK14,Resultados!BT14,Resultados!CC14,Resultados!CL14,Resultados!CU14,Resultados!DD14,Resultados!DM14,Resultados!DV14,Resultados!EE14)&lt;=1, "", _xlfn.STDEV.S(ABS(Resultados!I14),ABS(Resultados!R14),ABS(Resultados!AA14),ABS(Resultados!AJ14),ABS(Resultados!AS14),ABS(Resultados!BB14),ABS(Resultados!BK14),ABS(Resultados!BT14),ABS(Resultados!CC14),ABS(Resultados!CL14),ABS(Resultados!CU14),ABS(Resultados!DD14),ABS(Resultados!DM14),ABS(Resultados!DV14),ABS(Resultados!EE14))/SQRT(COUNT(Resultados!I14,Resultados!R14,Resultados!AA14,Resultados!AJ14,Resultados!AS14,Resultados!BB14,Resultados!BK14,Resultados!BT14,Resultados!CC14,Resultados!CL14,Resultados!CU14,Resultados!DD14,Resultados!DM14,Resultados!DV14,Resultados!EE14)))</f>
        <v>8.2322563398414981E-4</v>
      </c>
    </row>
    <row r="15" spans="1:9" x14ac:dyDescent="0.3">
      <c r="A15">
        <f>IF(COUNT(Resultados!A15,Resultados!J15,Resultados!S15,Resultados!AB15,Resultados!AK15,Resultados!AT15,Resultados!BC15,Resultados!BL15,Resultados!BU15,Resultados!CD15,Resultados!CM15,Resultados!CV15,Resultados!DE15,Resultados!DN15,Resultados!DW15)&lt;=1, "", _xlfn.STDEV.S(ABS(Resultados!A15),ABS(Resultados!J15),ABS(Resultados!S15),ABS(Resultados!AB15),ABS(Resultados!AK15),ABS(Resultados!AT15),ABS(Resultados!BC15),ABS(Resultados!BL15),ABS(Resultados!BU15),ABS(Resultados!CD15),ABS(Resultados!CM15),ABS(Resultados!CV15),ABS(Resultados!DE15),ABS(Resultados!DN15),ABS(Resultados!DW15))/SQRT(COUNT(Resultados!A15,Resultados!J15,Resultados!S15,Resultados!AB15,Resultados!AK15,Resultados!AT15,Resultados!BC15,Resultados!BL15,Resultados!BU15,Resultados!CD15,Resultados!CM15,Resultados!CV15,Resultados!DE15,Resultados!DN15,Resultados!DW15)))</f>
        <v>0</v>
      </c>
      <c r="B15" t="str">
        <f>IF(COUNT(Resultados!B15,Resultados!K15,Resultados!T15,Resultados!AC15,Resultados!AL15,Resultados!AU15,Resultados!BD15,Resultados!BM15,Resultados!BV15,Resultados!CE15,Resultados!CN15,Resultados!CW15,Resultados!DF15,Resultados!DO15,Resultados!DX15)&lt;=1, "", _xlfn.STDEV.S(ABS(Resultados!B15),ABS(Resultados!K15),ABS(Resultados!T15),ABS(Resultados!AC15),ABS(Resultados!AL15),ABS(Resultados!AU15),ABS(Resultados!BD15),ABS(Resultados!BM15),ABS(Resultados!BV15),ABS(Resultados!CE15),ABS(Resultados!CN15),ABS(Resultados!CW15),ABS(Resultados!DF15),ABS(Resultados!DO15),ABS(Resultados!DX15))/SQRT(COUNT(Resultados!B15,Resultados!K15,Resultados!T15,Resultados!AC15,Resultados!AL15,Resultados!AU15,Resultados!BD15,Resultados!BM15,Resultados!BV15,Resultados!CE15,Resultados!CN15,Resultados!CW15,Resultados!DF15,Resultados!DO15,Resultados!DX15)))</f>
        <v/>
      </c>
      <c r="C15">
        <f>IF(COUNT(Resultados!C15,Resultados!L15,Resultados!U15,Resultados!AD15,Resultados!AM15,Resultados!AV15,Resultados!BE15,Resultados!BN15,Resultados!BW15,Resultados!CF15,Resultados!CO15,Resultados!CX15,Resultados!DG15,Resultados!DP15,Resultados!DY15)&lt;=1, "", _xlfn.STDEV.S(ABS(Resultados!C15),ABS(Resultados!L15),ABS(Resultados!U15),ABS(Resultados!AD15),ABS(Resultados!AM15),ABS(Resultados!AV15),ABS(Resultados!BE15),ABS(Resultados!BN15),ABS(Resultados!BW15),ABS(Resultados!CF15),ABS(Resultados!CO15),ABS(Resultados!CX15),ABS(Resultados!DG15),ABS(Resultados!DP15),ABS(Resultados!DY15))/SQRT(COUNT(Resultados!C15,Resultados!L15,Resultados!U15,Resultados!AD15,Resultados!AM15,Resultados!AV15,Resultados!BE15,Resultados!BN15,Resultados!BW15,Resultados!CF15,Resultados!CO15,Resultados!CX15,Resultados!DG15,Resultados!DP15,Resultados!DY15)))</f>
        <v>0.48007935851918326</v>
      </c>
      <c r="D15">
        <f>IF(COUNT(Resultados!D15,Resultados!M15,Resultados!V15,Resultados!AE15,Resultados!AN15,Resultados!AW15,Resultados!BF15,Resultados!BO15,Resultados!BX15,Resultados!CG15,Resultados!CP15,Resultados!CY15,Resultados!DH15,Resultados!DQ15,Resultados!DZ15)&lt;=1, "", _xlfn.STDEV.S(ABS(Resultados!D15),ABS(Resultados!M15),ABS(Resultados!V15),ABS(Resultados!AE15),ABS(Resultados!AN15),ABS(Resultados!AW15),ABS(Resultados!BF15),ABS(Resultados!BO15),ABS(Resultados!BX15),ABS(Resultados!CG15),ABS(Resultados!CP15),ABS(Resultados!CY15),ABS(Resultados!DH15),ABS(Resultados!DQ15),ABS(Resultados!DZ15))/SQRT(COUNT(Resultados!D15,Resultados!M15,Resultados!V15,Resultados!AE15,Resultados!AN15,Resultados!AW15,Resultados!BF15,Resultados!BO15,Resultados!BX15,Resultados!CG15,Resultados!CP15,Resultados!CY15,Resultados!DH15,Resultados!DQ15,Resultados!DZ15)))</f>
        <v>2.2758915922518235E-4</v>
      </c>
      <c r="E15">
        <f>IF(COUNT(Resultados!E15,Resultados!N15,Resultados!W15,Resultados!AF15,Resultados!AO15,Resultados!AX15,Resultados!BG15,Resultados!BP15,Resultados!BY15,Resultados!CH15,Resultados!CQ15,Resultados!CZ15,Resultados!DI15,Resultados!DR15,Resultados!EA15)&lt;=1, "", _xlfn.STDEV.S(ABS(Resultados!E15),ABS(Resultados!N15),ABS(Resultados!W15),ABS(Resultados!AF15),ABS(Resultados!AO15),ABS(Resultados!AX15),ABS(Resultados!BG15),ABS(Resultados!BP15),ABS(Resultados!BY15),ABS(Resultados!CH15),ABS(Resultados!CQ15),ABS(Resultados!CZ15),ABS(Resultados!DI15),ABS(Resultados!DR15),ABS(Resultados!EA15))/SQRT(COUNT(Resultados!E15,Resultados!N15,Resultados!W15,Resultados!AF15,Resultados!AO15,Resultados!AX15,Resultados!BG15,Resultados!BP15,Resultados!BY15,Resultados!CH15,Resultados!CQ15,Resultados!CZ15,Resultados!DI15,Resultados!DR15,Resultados!EA15)))</f>
        <v>1.0123971641250441E-2</v>
      </c>
      <c r="F15">
        <f>IF(COUNT(Resultados!F15,Resultados!O15,Resultados!X15,Resultados!AG15,Resultados!AP15,Resultados!AY15,Resultados!BH15,Resultados!BQ15,Resultados!BZ15,Resultados!CI15,Resultados!CR15,Resultados!DA15,Resultados!DJ15,Resultados!DS15,Resultados!EB15)&lt;=1, "", _xlfn.STDEV.S(ABS(Resultados!F15),ABS(Resultados!O15),ABS(Resultados!X15),ABS(Resultados!AG15),ABS(Resultados!AP15),ABS(Resultados!AY15),ABS(Resultados!BH15),ABS(Resultados!BQ15),ABS(Resultados!BZ15),ABS(Resultados!CI15),ABS(Resultados!CR15),ABS(Resultados!DA15),ABS(Resultados!DJ15),ABS(Resultados!DS15),ABS(Resultados!EB15))/SQRT(COUNT(Resultados!F15,Resultados!O15,Resultados!X15,Resultados!AG15,Resultados!AP15,Resultados!AY15,Resultados!BH15,Resultados!BQ15,Resultados!BZ15,Resultados!CI15,Resultados!CR15,Resultados!DA15,Resultados!DJ15,Resultados!DS15,Resultados!EB15)))</f>
        <v>7.8940762113585148</v>
      </c>
      <c r="G15">
        <f>IF(COUNT(Resultados!G15,Resultados!P15,Resultados!Y15,Resultados!AH15,Resultados!AQ15,Resultados!AZ15,Resultados!BI15,Resultados!BR15,Resultados!CA15,Resultados!CJ15,Resultados!CS15,Resultados!DB15,Resultados!DK15,Resultados!DT15,Resultados!EC15)&lt;=1, "", _xlfn.STDEV.S(ABS(Resultados!G15),ABS(Resultados!P15),ABS(Resultados!Y15),ABS(Resultados!AH15),ABS(Resultados!AQ15),ABS(Resultados!AZ15),ABS(Resultados!BI15),ABS(Resultados!BR15),ABS(Resultados!CA15),ABS(Resultados!CJ15),ABS(Resultados!CS15),ABS(Resultados!DB15),ABS(Resultados!DK15),ABS(Resultados!DT15),ABS(Resultados!EC15))/SQRT(COUNT(Resultados!G15,Resultados!P15,Resultados!Y15,Resultados!AH15,Resultados!AQ15,Resultados!AZ15,Resultados!BI15,Resultados!BR15,Resultados!CA15,Resultados!CJ15,Resultados!CS15,Resultados!DB15,Resultados!DK15,Resultados!DT15,Resultados!EC15)))</f>
        <v>4.4507937654163114E-17</v>
      </c>
      <c r="H15">
        <f>IF(COUNT(Resultados!H15,Resultados!Q15,Resultados!Z15,Resultados!AI15,Resultados!AR15,Resultados!BA15,Resultados!BJ15,Resultados!BS15,Resultados!CB15,Resultados!CK15,Resultados!CT15,Resultados!DC15,Resultados!DL15,Resultados!DU15,Resultados!ED15)&lt;=1, "", _xlfn.STDEV.S(ABS(Resultados!H15),ABS(Resultados!Q15),ABS(Resultados!Z15),ABS(Resultados!AI15),ABS(Resultados!AR15),ABS(Resultados!BA15),ABS(Resultados!BJ15),ABS(Resultados!BS15),ABS(Resultados!CB15),ABS(Resultados!CK15),ABS(Resultados!CT15),ABS(Resultados!DC15),ABS(Resultados!DL15),ABS(Resultados!DU15),ABS(Resultados!ED15))/SQRT(COUNT(Resultados!H15,Resultados!Q15,Resultados!Z15,Resultados!AI15,Resultados!AR15,Resultados!BA15,Resultados!BJ15,Resultados!BS15,Resultados!CB15,Resultados!CK15,Resultados!CT15,Resultados!DC15,Resultados!DL15,Resultados!DU15,Resultados!ED15)))</f>
        <v>1.5719768163402126E-4</v>
      </c>
      <c r="I15">
        <f>IF(COUNT(Resultados!I15,Resultados!R15,Resultados!AA15,Resultados!AJ15,Resultados!AS15,Resultados!BB15,Resultados!BK15,Resultados!BT15,Resultados!CC15,Resultados!CL15,Resultados!CU15,Resultados!DD15,Resultados!DM15,Resultados!DV15,Resultados!EE15)&lt;=1, "", _xlfn.STDEV.S(ABS(Resultados!I15),ABS(Resultados!R15),ABS(Resultados!AA15),ABS(Resultados!AJ15),ABS(Resultados!AS15),ABS(Resultados!BB15),ABS(Resultados!BK15),ABS(Resultados!BT15),ABS(Resultados!CC15),ABS(Resultados!CL15),ABS(Resultados!CU15),ABS(Resultados!DD15),ABS(Resultados!DM15),ABS(Resultados!DV15),ABS(Resultados!EE15))/SQRT(COUNT(Resultados!I15,Resultados!R15,Resultados!AA15,Resultados!AJ15,Resultados!AS15,Resultados!BB15,Resultados!BK15,Resultados!BT15,Resultados!CC15,Resultados!CL15,Resultados!CU15,Resultados!DD15,Resultados!DM15,Resultados!DV15,Resultados!EE15)))</f>
        <v>9.2017952009788558E-4</v>
      </c>
    </row>
    <row r="16" spans="1:9" x14ac:dyDescent="0.3">
      <c r="A16">
        <f>IF(COUNT(Resultados!A16,Resultados!J16,Resultados!S16,Resultados!AB16,Resultados!AK16,Resultados!AT16,Resultados!BC16,Resultados!BL16,Resultados!BU16,Resultados!CD16,Resultados!CM16,Resultados!CV16,Resultados!DE16,Resultados!DN16,Resultados!DW16)&lt;=1, "", _xlfn.STDEV.S(ABS(Resultados!A16),ABS(Resultados!J16),ABS(Resultados!S16),ABS(Resultados!AB16),ABS(Resultados!AK16),ABS(Resultados!AT16),ABS(Resultados!BC16),ABS(Resultados!BL16),ABS(Resultados!BU16),ABS(Resultados!CD16),ABS(Resultados!CM16),ABS(Resultados!CV16),ABS(Resultados!DE16),ABS(Resultados!DN16),ABS(Resultados!DW16))/SQRT(COUNT(Resultados!A16,Resultados!J16,Resultados!S16,Resultados!AB16,Resultados!AK16,Resultados!AT16,Resultados!BC16,Resultados!BL16,Resultados!BU16,Resultados!CD16,Resultados!CM16,Resultados!CV16,Resultados!DE16,Resultados!DN16,Resultados!DW16)))</f>
        <v>0</v>
      </c>
      <c r="B16" t="str">
        <f>IF(COUNT(Resultados!B16,Resultados!K16,Resultados!T16,Resultados!AC16,Resultados!AL16,Resultados!AU16,Resultados!BD16,Resultados!BM16,Resultados!BV16,Resultados!CE16,Resultados!CN16,Resultados!CW16,Resultados!DF16,Resultados!DO16,Resultados!DX16)&lt;=1, "", _xlfn.STDEV.S(ABS(Resultados!B16),ABS(Resultados!K16),ABS(Resultados!T16),ABS(Resultados!AC16),ABS(Resultados!AL16),ABS(Resultados!AU16),ABS(Resultados!BD16),ABS(Resultados!BM16),ABS(Resultados!BV16),ABS(Resultados!CE16),ABS(Resultados!CN16),ABS(Resultados!CW16),ABS(Resultados!DF16),ABS(Resultados!DO16),ABS(Resultados!DX16))/SQRT(COUNT(Resultados!B16,Resultados!K16,Resultados!T16,Resultados!AC16,Resultados!AL16,Resultados!AU16,Resultados!BD16,Resultados!BM16,Resultados!BV16,Resultados!CE16,Resultados!CN16,Resultados!CW16,Resultados!DF16,Resultados!DO16,Resultados!DX16)))</f>
        <v/>
      </c>
      <c r="C16">
        <f>IF(COUNT(Resultados!C16,Resultados!L16,Resultados!U16,Resultados!AD16,Resultados!AM16,Resultados!AV16,Resultados!BE16,Resultados!BN16,Resultados!BW16,Resultados!CF16,Resultados!CO16,Resultados!CX16,Resultados!DG16,Resultados!DP16,Resultados!DY16)&lt;=1, "", _xlfn.STDEV.S(ABS(Resultados!C16),ABS(Resultados!L16),ABS(Resultados!U16),ABS(Resultados!AD16),ABS(Resultados!AM16),ABS(Resultados!AV16),ABS(Resultados!BE16),ABS(Resultados!BN16),ABS(Resultados!BW16),ABS(Resultados!CF16),ABS(Resultados!CO16),ABS(Resultados!CX16),ABS(Resultados!DG16),ABS(Resultados!DP16),ABS(Resultados!DY16))/SQRT(COUNT(Resultados!C16,Resultados!L16,Resultados!U16,Resultados!AD16,Resultados!AM16,Resultados!AV16,Resultados!BE16,Resultados!BN16,Resultados!BW16,Resultados!CF16,Resultados!CO16,Resultados!CX16,Resultados!DG16,Resultados!DP16,Resultados!DY16)))</f>
        <v>0.48007935851918326</v>
      </c>
      <c r="D16">
        <f>IF(COUNT(Resultados!D16,Resultados!M16,Resultados!V16,Resultados!AE16,Resultados!AN16,Resultados!AW16,Resultados!BF16,Resultados!BO16,Resultados!BX16,Resultados!CG16,Resultados!CP16,Resultados!CY16,Resultados!DH16,Resultados!DQ16,Resultados!DZ16)&lt;=1, "", _xlfn.STDEV.S(ABS(Resultados!D16),ABS(Resultados!M16),ABS(Resultados!V16),ABS(Resultados!AE16),ABS(Resultados!AN16),ABS(Resultados!AW16),ABS(Resultados!BF16),ABS(Resultados!BO16),ABS(Resultados!BX16),ABS(Resultados!CG16),ABS(Resultados!CP16),ABS(Resultados!CY16),ABS(Resultados!DH16),ABS(Resultados!DQ16),ABS(Resultados!DZ16))/SQRT(COUNT(Resultados!D16,Resultados!M16,Resultados!V16,Resultados!AE16,Resultados!AN16,Resultados!AW16,Resultados!BF16,Resultados!BO16,Resultados!BX16,Resultados!CG16,Resultados!CP16,Resultados!CY16,Resultados!DH16,Resultados!DQ16,Resultados!DZ16)))</f>
        <v>8.9158321816902529E-5</v>
      </c>
      <c r="E16">
        <f>IF(COUNT(Resultados!E16,Resultados!N16,Resultados!W16,Resultados!AF16,Resultados!AO16,Resultados!AX16,Resultados!BG16,Resultados!BP16,Resultados!BY16,Resultados!CH16,Resultados!CQ16,Resultados!CZ16,Resultados!DI16,Resultados!DR16,Resultados!EA16)&lt;=1, "", _xlfn.STDEV.S(ABS(Resultados!E16),ABS(Resultados!N16),ABS(Resultados!W16),ABS(Resultados!AF16),ABS(Resultados!AO16),ABS(Resultados!AX16),ABS(Resultados!BG16),ABS(Resultados!BP16),ABS(Resultados!BY16),ABS(Resultados!CH16),ABS(Resultados!CQ16),ABS(Resultados!CZ16),ABS(Resultados!DI16),ABS(Resultados!DR16),ABS(Resultados!EA16))/SQRT(COUNT(Resultados!E16,Resultados!N16,Resultados!W16,Resultados!AF16,Resultados!AO16,Resultados!AX16,Resultados!BG16,Resultados!BP16,Resultados!BY16,Resultados!CH16,Resultados!CQ16,Resultados!CZ16,Resultados!DI16,Resultados!DR16,Resultados!EA16)))</f>
        <v>2.9029522100730131E-2</v>
      </c>
      <c r="F16">
        <f>IF(COUNT(Resultados!F16,Resultados!O16,Resultados!X16,Resultados!AG16,Resultados!AP16,Resultados!AY16,Resultados!BH16,Resultados!BQ16,Resultados!BZ16,Resultados!CI16,Resultados!CR16,Resultados!DA16,Resultados!DJ16,Resultados!DS16,Resultados!EB16)&lt;=1, "", _xlfn.STDEV.S(ABS(Resultados!F16),ABS(Resultados!O16),ABS(Resultados!X16),ABS(Resultados!AG16),ABS(Resultados!AP16),ABS(Resultados!AY16),ABS(Resultados!BH16),ABS(Resultados!BQ16),ABS(Resultados!BZ16),ABS(Resultados!CI16),ABS(Resultados!CR16),ABS(Resultados!DA16),ABS(Resultados!DJ16),ABS(Resultados!DS16),ABS(Resultados!EB16))/SQRT(COUNT(Resultados!F16,Resultados!O16,Resultados!X16,Resultados!AG16,Resultados!AP16,Resultados!AY16,Resultados!BH16,Resultados!BQ16,Resultados!BZ16,Resultados!CI16,Resultados!CR16,Resultados!DA16,Resultados!DJ16,Resultados!DS16,Resultados!EB16)))</f>
        <v>9.6674588179028262</v>
      </c>
      <c r="G16">
        <f>IF(COUNT(Resultados!G16,Resultados!P16,Resultados!Y16,Resultados!AH16,Resultados!AQ16,Resultados!AZ16,Resultados!BI16,Resultados!BR16,Resultados!CA16,Resultados!CJ16,Resultados!CS16,Resultados!DB16,Resultados!DK16,Resultados!DT16,Resultados!EC16)&lt;=1, "", _xlfn.STDEV.S(ABS(Resultados!G16),ABS(Resultados!P16),ABS(Resultados!Y16),ABS(Resultados!AH16),ABS(Resultados!AQ16),ABS(Resultados!AZ16),ABS(Resultados!BI16),ABS(Resultados!BR16),ABS(Resultados!CA16),ABS(Resultados!CJ16),ABS(Resultados!CS16),ABS(Resultados!DB16),ABS(Resultados!DK16),ABS(Resultados!DT16),ABS(Resultados!EC16))/SQRT(COUNT(Resultados!G16,Resultados!P16,Resultados!Y16,Resultados!AH16,Resultados!AQ16,Resultados!AZ16,Resultados!BI16,Resultados!BR16,Resultados!CA16,Resultados!CJ16,Resultados!CS16,Resultados!DB16,Resultados!DK16,Resultados!DT16,Resultados!EC16)))</f>
        <v>4.4507937654163114E-17</v>
      </c>
      <c r="H16">
        <f>IF(COUNT(Resultados!H16,Resultados!Q16,Resultados!Z16,Resultados!AI16,Resultados!AR16,Resultados!BA16,Resultados!BJ16,Resultados!BS16,Resultados!CB16,Resultados!CK16,Resultados!CT16,Resultados!DC16,Resultados!DL16,Resultados!DU16,Resultados!ED16)&lt;=1, "", _xlfn.STDEV.S(ABS(Resultados!H16),ABS(Resultados!Q16),ABS(Resultados!Z16),ABS(Resultados!AI16),ABS(Resultados!AR16),ABS(Resultados!BA16),ABS(Resultados!BJ16),ABS(Resultados!BS16),ABS(Resultados!CB16),ABS(Resultados!CK16),ABS(Resultados!CT16),ABS(Resultados!DC16),ABS(Resultados!DL16),ABS(Resultados!DU16),ABS(Resultados!ED16))/SQRT(COUNT(Resultados!H16,Resultados!Q16,Resultados!Z16,Resultados!AI16,Resultados!AR16,Resultados!BA16,Resultados!BJ16,Resultados!BS16,Resultados!CB16,Resultados!CK16,Resultados!CT16,Resultados!DC16,Resultados!DL16,Resultados!DU16,Resultados!ED16)))</f>
        <v>4.5112205788579109E-4</v>
      </c>
      <c r="I16">
        <f>IF(COUNT(Resultados!I16,Resultados!R16,Resultados!AA16,Resultados!AJ16,Resultados!AS16,Resultados!BB16,Resultados!BK16,Resultados!BT16,Resultados!CC16,Resultados!CL16,Resultados!CU16,Resultados!DD16,Resultados!DM16,Resultados!DV16,Resultados!EE16)&lt;=1, "", _xlfn.STDEV.S(ABS(Resultados!I16),ABS(Resultados!R16),ABS(Resultados!AA16),ABS(Resultados!AJ16),ABS(Resultados!AS16),ABS(Resultados!BB16),ABS(Resultados!BK16),ABS(Resultados!BT16),ABS(Resultados!CC16),ABS(Resultados!CL16),ABS(Resultados!CU16),ABS(Resultados!DD16),ABS(Resultados!DM16),ABS(Resultados!DV16),ABS(Resultados!EE16))/SQRT(COUNT(Resultados!I16,Resultados!R16,Resultados!AA16,Resultados!AJ16,Resultados!AS16,Resultados!BB16,Resultados!BK16,Resultados!BT16,Resultados!CC16,Resultados!CL16,Resultados!CU16,Resultados!DD16,Resultados!DM16,Resultados!DV16,Resultados!EE16)))</f>
        <v>7.5846942787345098E-4</v>
      </c>
    </row>
    <row r="17" spans="1:9" x14ac:dyDescent="0.3">
      <c r="A17">
        <f>IF(COUNT(Resultados!A17,Resultados!J17,Resultados!S17,Resultados!AB17,Resultados!AK17,Resultados!AT17,Resultados!BC17,Resultados!BL17,Resultados!BU17,Resultados!CD17,Resultados!CM17,Resultados!CV17,Resultados!DE17,Resultados!DN17,Resultados!DW17)&lt;=1, "", _xlfn.STDEV.S(ABS(Resultados!A17),ABS(Resultados!J17),ABS(Resultados!S17),ABS(Resultados!AB17),ABS(Resultados!AK17),ABS(Resultados!AT17),ABS(Resultados!BC17),ABS(Resultados!BL17),ABS(Resultados!BU17),ABS(Resultados!CD17),ABS(Resultados!CM17),ABS(Resultados!CV17),ABS(Resultados!DE17),ABS(Resultados!DN17),ABS(Resultados!DW17))/SQRT(COUNT(Resultados!A17,Resultados!J17,Resultados!S17,Resultados!AB17,Resultados!AK17,Resultados!AT17,Resultados!BC17,Resultados!BL17,Resultados!BU17,Resultados!CD17,Resultados!CM17,Resultados!CV17,Resultados!DE17,Resultados!DN17,Resultados!DW17)))</f>
        <v>0</v>
      </c>
      <c r="B17" t="str">
        <f>IF(COUNT(Resultados!B17,Resultados!K17,Resultados!T17,Resultados!AC17,Resultados!AL17,Resultados!AU17,Resultados!BD17,Resultados!BM17,Resultados!BV17,Resultados!CE17,Resultados!CN17,Resultados!CW17,Resultados!DF17,Resultados!DO17,Resultados!DX17)&lt;=1, "", _xlfn.STDEV.S(ABS(Resultados!B17),ABS(Resultados!K17),ABS(Resultados!T17),ABS(Resultados!AC17),ABS(Resultados!AL17),ABS(Resultados!AU17),ABS(Resultados!BD17),ABS(Resultados!BM17),ABS(Resultados!BV17),ABS(Resultados!CE17),ABS(Resultados!CN17),ABS(Resultados!CW17),ABS(Resultados!DF17),ABS(Resultados!DO17),ABS(Resultados!DX17))/SQRT(COUNT(Resultados!B17,Resultados!K17,Resultados!T17,Resultados!AC17,Resultados!AL17,Resultados!AU17,Resultados!BD17,Resultados!BM17,Resultados!BV17,Resultados!CE17,Resultados!CN17,Resultados!CW17,Resultados!DF17,Resultados!DO17,Resultados!DX17)))</f>
        <v/>
      </c>
      <c r="C17">
        <f>IF(COUNT(Resultados!C17,Resultados!L17,Resultados!U17,Resultados!AD17,Resultados!AM17,Resultados!AV17,Resultados!BE17,Resultados!BN17,Resultados!BW17,Resultados!CF17,Resultados!CO17,Resultados!CX17,Resultados!DG17,Resultados!DP17,Resultados!DY17)&lt;=1, "", _xlfn.STDEV.S(ABS(Resultados!C17),ABS(Resultados!L17),ABS(Resultados!U17),ABS(Resultados!AD17),ABS(Resultados!AM17),ABS(Resultados!AV17),ABS(Resultados!BE17),ABS(Resultados!BN17),ABS(Resultados!BW17),ABS(Resultados!CF17),ABS(Resultados!CO17),ABS(Resultados!CX17),ABS(Resultados!DG17),ABS(Resultados!DP17),ABS(Resultados!DY17))/SQRT(COUNT(Resultados!C17,Resultados!L17,Resultados!U17,Resultados!AD17,Resultados!AM17,Resultados!AV17,Resultados!BE17,Resultados!BN17,Resultados!BW17,Resultados!CF17,Resultados!CO17,Resultados!CX17,Resultados!DG17,Resultados!DP17,Resultados!DY17)))</f>
        <v>0.48007935851918326</v>
      </c>
      <c r="D17">
        <f>IF(COUNT(Resultados!D17,Resultados!M17,Resultados!V17,Resultados!AE17,Resultados!AN17,Resultados!AW17,Resultados!BF17,Resultados!BO17,Resultados!BX17,Resultados!CG17,Resultados!CP17,Resultados!CY17,Resultados!DH17,Resultados!DQ17,Resultados!DZ17)&lt;=1, "", _xlfn.STDEV.S(ABS(Resultados!D17),ABS(Resultados!M17),ABS(Resultados!V17),ABS(Resultados!AE17),ABS(Resultados!AN17),ABS(Resultados!AW17),ABS(Resultados!BF17),ABS(Resultados!BO17),ABS(Resultados!BX17),ABS(Resultados!CG17),ABS(Resultados!CP17),ABS(Resultados!CY17),ABS(Resultados!DH17),ABS(Resultados!DQ17),ABS(Resultados!DZ17))/SQRT(COUNT(Resultados!D17,Resultados!M17,Resultados!V17,Resultados!AE17,Resultados!AN17,Resultados!AW17,Resultados!BF17,Resultados!BO17,Resultados!BX17,Resultados!CG17,Resultados!CP17,Resultados!CY17,Resultados!DH17,Resultados!DQ17,Resultados!DZ17)))</f>
        <v>1.9095416220520591E-4</v>
      </c>
      <c r="E17">
        <f>IF(COUNT(Resultados!E17,Resultados!N17,Resultados!W17,Resultados!AF17,Resultados!AO17,Resultados!AX17,Resultados!BG17,Resultados!BP17,Resultados!BY17,Resultados!CH17,Resultados!CQ17,Resultados!CZ17,Resultados!DI17,Resultados!DR17,Resultados!EA17)&lt;=1, "", _xlfn.STDEV.S(ABS(Resultados!E17),ABS(Resultados!N17),ABS(Resultados!W17),ABS(Resultados!AF17),ABS(Resultados!AO17),ABS(Resultados!AX17),ABS(Resultados!BG17),ABS(Resultados!BP17),ABS(Resultados!BY17),ABS(Resultados!CH17),ABS(Resultados!CQ17),ABS(Resultados!CZ17),ABS(Resultados!DI17),ABS(Resultados!DR17),ABS(Resultados!EA17))/SQRT(COUNT(Resultados!E17,Resultados!N17,Resultados!W17,Resultados!AF17,Resultados!AO17,Resultados!AX17,Resultados!BG17,Resultados!BP17,Resultados!BY17,Resultados!CH17,Resultados!CQ17,Resultados!CZ17,Resultados!DI17,Resultados!DR17,Resultados!EA17)))</f>
        <v>4.5243996272480491E-2</v>
      </c>
      <c r="F17">
        <f>IF(COUNT(Resultados!F17,Resultados!O17,Resultados!X17,Resultados!AG17,Resultados!AP17,Resultados!AY17,Resultados!BH17,Resultados!BQ17,Resultados!BZ17,Resultados!CI17,Resultados!CR17,Resultados!DA17,Resultados!DJ17,Resultados!DS17,Resultados!EB17)&lt;=1, "", _xlfn.STDEV.S(ABS(Resultados!F17),ABS(Resultados!O17),ABS(Resultados!X17),ABS(Resultados!AG17),ABS(Resultados!AP17),ABS(Resultados!AY17),ABS(Resultados!BH17),ABS(Resultados!BQ17),ABS(Resultados!BZ17),ABS(Resultados!CI17),ABS(Resultados!CR17),ABS(Resultados!DA17),ABS(Resultados!DJ17),ABS(Resultados!DS17),ABS(Resultados!EB17))/SQRT(COUNT(Resultados!F17,Resultados!O17,Resultados!X17,Resultados!AG17,Resultados!AP17,Resultados!AY17,Resultados!BH17,Resultados!BQ17,Resultados!BZ17,Resultados!CI17,Resultados!CR17,Resultados!DA17,Resultados!DJ17,Resultados!DS17,Resultados!EB17)))</f>
        <v>11.182400170473064</v>
      </c>
      <c r="G17">
        <f>IF(COUNT(Resultados!G17,Resultados!P17,Resultados!Y17,Resultados!AH17,Resultados!AQ17,Resultados!AZ17,Resultados!BI17,Resultados!BR17,Resultados!CA17,Resultados!CJ17,Resultados!CS17,Resultados!DB17,Resultados!DK17,Resultados!DT17,Resultados!EC17)&lt;=1, "", _xlfn.STDEV.S(ABS(Resultados!G17),ABS(Resultados!P17),ABS(Resultados!Y17),ABS(Resultados!AH17),ABS(Resultados!AQ17),ABS(Resultados!AZ17),ABS(Resultados!BI17),ABS(Resultados!BR17),ABS(Resultados!CA17),ABS(Resultados!CJ17),ABS(Resultados!CS17),ABS(Resultados!DB17),ABS(Resultados!DK17),ABS(Resultados!DT17),ABS(Resultados!EC17))/SQRT(COUNT(Resultados!G17,Resultados!P17,Resultados!Y17,Resultados!AH17,Resultados!AQ17,Resultados!AZ17,Resultados!BI17,Resultados!BR17,Resultados!CA17,Resultados!CJ17,Resultados!CS17,Resultados!DB17,Resultados!DK17,Resultados!DT17,Resultados!EC17)))</f>
        <v>4.4507937654163114E-17</v>
      </c>
      <c r="H17">
        <f>IF(COUNT(Resultados!H17,Resultados!Q17,Resultados!Z17,Resultados!AI17,Resultados!AR17,Resultados!BA17,Resultados!BJ17,Resultados!BS17,Resultados!CB17,Resultados!CK17,Resultados!CT17,Resultados!DC17,Resultados!DL17,Resultados!DU17,Resultados!ED17)&lt;=1, "", _xlfn.STDEV.S(ABS(Resultados!H17),ABS(Resultados!Q17),ABS(Resultados!Z17),ABS(Resultados!AI17),ABS(Resultados!AR17),ABS(Resultados!BA17),ABS(Resultados!BJ17),ABS(Resultados!BS17),ABS(Resultados!CB17),ABS(Resultados!CK17),ABS(Resultados!CT17),ABS(Resultados!DC17),ABS(Resultados!DL17),ABS(Resultados!DU17),ABS(Resultados!ED17))/SQRT(COUNT(Resultados!H17,Resultados!Q17,Resultados!Z17,Resultados!AI17,Resultados!AR17,Resultados!BA17,Resultados!BJ17,Resultados!BS17,Resultados!CB17,Resultados!CK17,Resultados!CT17,Resultados!DC17,Resultados!DL17,Resultados!DU17,Resultados!ED17)))</f>
        <v>7.030410135025314E-4</v>
      </c>
      <c r="I17">
        <f>IF(COUNT(Resultados!I17,Resultados!R17,Resultados!AA17,Resultados!AJ17,Resultados!AS17,Resultados!BB17,Resultados!BK17,Resultados!BT17,Resultados!CC17,Resultados!CL17,Resultados!CU17,Resultados!DD17,Resultados!DM17,Resultados!DV17,Resultados!EE17)&lt;=1, "", _xlfn.STDEV.S(ABS(Resultados!I17),ABS(Resultados!R17),ABS(Resultados!AA17),ABS(Resultados!AJ17),ABS(Resultados!AS17),ABS(Resultados!BB17),ABS(Resultados!BK17),ABS(Resultados!BT17),ABS(Resultados!CC17),ABS(Resultados!CL17),ABS(Resultados!CU17),ABS(Resultados!DD17),ABS(Resultados!DM17),ABS(Resultados!DV17),ABS(Resultados!EE17))/SQRT(COUNT(Resultados!I17,Resultados!R17,Resultados!AA17,Resultados!AJ17,Resultados!AS17,Resultados!BB17,Resultados!BK17,Resultados!BT17,Resultados!CC17,Resultados!CL17,Resultados!CU17,Resultados!DD17,Resultados!DM17,Resultados!DV17,Resultados!EE17)))</f>
        <v>1.0965065739285405E-3</v>
      </c>
    </row>
    <row r="18" spans="1:9" x14ac:dyDescent="0.3">
      <c r="A18">
        <f>IF(COUNT(Resultados!A18,Resultados!J18,Resultados!S18,Resultados!AB18,Resultados!AK18,Resultados!AT18,Resultados!BC18,Resultados!BL18,Resultados!BU18,Resultados!CD18,Resultados!CM18,Resultados!CV18,Resultados!DE18,Resultados!DN18,Resultados!DW18)&lt;=1, "", _xlfn.STDEV.S(ABS(Resultados!A18),ABS(Resultados!J18),ABS(Resultados!S18),ABS(Resultados!AB18),ABS(Resultados!AK18),ABS(Resultados!AT18),ABS(Resultados!BC18),ABS(Resultados!BL18),ABS(Resultados!BU18),ABS(Resultados!CD18),ABS(Resultados!CM18),ABS(Resultados!CV18),ABS(Resultados!DE18),ABS(Resultados!DN18),ABS(Resultados!DW18))/SQRT(COUNT(Resultados!A18,Resultados!J18,Resultados!S18,Resultados!AB18,Resultados!AK18,Resultados!AT18,Resultados!BC18,Resultados!BL18,Resultados!BU18,Resultados!CD18,Resultados!CM18,Resultados!CV18,Resultados!DE18,Resultados!DN18,Resultados!DW18)))</f>
        <v>0</v>
      </c>
      <c r="B18" t="str">
        <f>IF(COUNT(Resultados!B18,Resultados!K18,Resultados!T18,Resultados!AC18,Resultados!AL18,Resultados!AU18,Resultados!BD18,Resultados!BM18,Resultados!BV18,Resultados!CE18,Resultados!CN18,Resultados!CW18,Resultados!DF18,Resultados!DO18,Resultados!DX18)&lt;=1, "", _xlfn.STDEV.S(ABS(Resultados!B18),ABS(Resultados!K18),ABS(Resultados!T18),ABS(Resultados!AC18),ABS(Resultados!AL18),ABS(Resultados!AU18),ABS(Resultados!BD18),ABS(Resultados!BM18),ABS(Resultados!BV18),ABS(Resultados!CE18),ABS(Resultados!CN18),ABS(Resultados!CW18),ABS(Resultados!DF18),ABS(Resultados!DO18),ABS(Resultados!DX18))/SQRT(COUNT(Resultados!B18,Resultados!K18,Resultados!T18,Resultados!AC18,Resultados!AL18,Resultados!AU18,Resultados!BD18,Resultados!BM18,Resultados!BV18,Resultados!CE18,Resultados!CN18,Resultados!CW18,Resultados!DF18,Resultados!DO18,Resultados!DX18)))</f>
        <v/>
      </c>
      <c r="C18">
        <f>IF(COUNT(Resultados!C18,Resultados!L18,Resultados!U18,Resultados!AD18,Resultados!AM18,Resultados!AV18,Resultados!BE18,Resultados!BN18,Resultados!BW18,Resultados!CF18,Resultados!CO18,Resultados!CX18,Resultados!DG18,Resultados!DP18,Resultados!DY18)&lt;=1, "", _xlfn.STDEV.S(ABS(Resultados!C18),ABS(Resultados!L18),ABS(Resultados!U18),ABS(Resultados!AD18),ABS(Resultados!AM18),ABS(Resultados!AV18),ABS(Resultados!BE18),ABS(Resultados!BN18),ABS(Resultados!BW18),ABS(Resultados!CF18),ABS(Resultados!CO18),ABS(Resultados!CX18),ABS(Resultados!DG18),ABS(Resultados!DP18),ABS(Resultados!DY18))/SQRT(COUNT(Resultados!C18,Resultados!L18,Resultados!U18,Resultados!AD18,Resultados!AM18,Resultados!AV18,Resultados!BE18,Resultados!BN18,Resultados!BW18,Resultados!CF18,Resultados!CO18,Resultados!CX18,Resultados!DG18,Resultados!DP18,Resultados!DY18)))</f>
        <v>0.48007935851918326</v>
      </c>
      <c r="D18">
        <f>IF(COUNT(Resultados!D18,Resultados!M18,Resultados!V18,Resultados!AE18,Resultados!AN18,Resultados!AW18,Resultados!BF18,Resultados!BO18,Resultados!BX18,Resultados!CG18,Resultados!CP18,Resultados!CY18,Resultados!DH18,Resultados!DQ18,Resultados!DZ18)&lt;=1, "", _xlfn.STDEV.S(ABS(Resultados!D18),ABS(Resultados!M18),ABS(Resultados!V18),ABS(Resultados!AE18),ABS(Resultados!AN18),ABS(Resultados!AW18),ABS(Resultados!BF18),ABS(Resultados!BO18),ABS(Resultados!BX18),ABS(Resultados!CG18),ABS(Resultados!CP18),ABS(Resultados!CY18),ABS(Resultados!DH18),ABS(Resultados!DQ18),ABS(Resultados!DZ18))/SQRT(COUNT(Resultados!D18,Resultados!M18,Resultados!V18,Resultados!AE18,Resultados!AN18,Resultados!AW18,Resultados!BF18,Resultados!BO18,Resultados!BX18,Resultados!CG18,Resultados!CP18,Resultados!CY18,Resultados!DH18,Resultados!DQ18,Resultados!DZ18)))</f>
        <v>4.5750878211711497E-4</v>
      </c>
      <c r="E18">
        <f>IF(COUNT(Resultados!E18,Resultados!N18,Resultados!W18,Resultados!AF18,Resultados!AO18,Resultados!AX18,Resultados!BG18,Resultados!BP18,Resultados!BY18,Resultados!CH18,Resultados!CQ18,Resultados!CZ18,Resultados!DI18,Resultados!DR18,Resultados!EA18)&lt;=1, "", _xlfn.STDEV.S(ABS(Resultados!E18),ABS(Resultados!N18),ABS(Resultados!W18),ABS(Resultados!AF18),ABS(Resultados!AO18),ABS(Resultados!AX18),ABS(Resultados!BG18),ABS(Resultados!BP18),ABS(Resultados!BY18),ABS(Resultados!CH18),ABS(Resultados!CQ18),ABS(Resultados!CZ18),ABS(Resultados!DI18),ABS(Resultados!DR18),ABS(Resultados!EA18))/SQRT(COUNT(Resultados!E18,Resultados!N18,Resultados!W18,Resultados!AF18,Resultados!AO18,Resultados!AX18,Resultados!BG18,Resultados!BP18,Resultados!BY18,Resultados!CH18,Resultados!CQ18,Resultados!CZ18,Resultados!DI18,Resultados!DR18,Resultados!EA18)))</f>
        <v>5.6796583779165619E-2</v>
      </c>
      <c r="F18">
        <f>IF(COUNT(Resultados!F18,Resultados!O18,Resultados!X18,Resultados!AG18,Resultados!AP18,Resultados!AY18,Resultados!BH18,Resultados!BQ18,Resultados!BZ18,Resultados!CI18,Resultados!CR18,Resultados!DA18,Resultados!DJ18,Resultados!DS18,Resultados!EB18)&lt;=1, "", _xlfn.STDEV.S(ABS(Resultados!F18),ABS(Resultados!O18),ABS(Resultados!X18),ABS(Resultados!AG18),ABS(Resultados!AP18),ABS(Resultados!AY18),ABS(Resultados!BH18),ABS(Resultados!BQ18),ABS(Resultados!BZ18),ABS(Resultados!CI18),ABS(Resultados!CR18),ABS(Resultados!DA18),ABS(Resultados!DJ18),ABS(Resultados!DS18),ABS(Resultados!EB18))/SQRT(COUNT(Resultados!F18,Resultados!O18,Resultados!X18,Resultados!AG18,Resultados!AP18,Resultados!AY18,Resultados!BH18,Resultados!BQ18,Resultados!BZ18,Resultados!CI18,Resultados!CR18,Resultados!DA18,Resultados!DJ18,Resultados!DS18,Resultados!EB18)))</f>
        <v>5.2934416082182318</v>
      </c>
      <c r="G18">
        <f>IF(COUNT(Resultados!G18,Resultados!P18,Resultados!Y18,Resultados!AH18,Resultados!AQ18,Resultados!AZ18,Resultados!BI18,Resultados!BR18,Resultados!CA18,Resultados!CJ18,Resultados!CS18,Resultados!DB18,Resultados!DK18,Resultados!DT18,Resultados!EC18)&lt;=1, "", _xlfn.STDEV.S(ABS(Resultados!G18),ABS(Resultados!P18),ABS(Resultados!Y18),ABS(Resultados!AH18),ABS(Resultados!AQ18),ABS(Resultados!AZ18),ABS(Resultados!BI18),ABS(Resultados!BR18),ABS(Resultados!CA18),ABS(Resultados!CJ18),ABS(Resultados!CS18),ABS(Resultados!DB18),ABS(Resultados!DK18),ABS(Resultados!DT18),ABS(Resultados!EC18))/SQRT(COUNT(Resultados!G18,Resultados!P18,Resultados!Y18,Resultados!AH18,Resultados!AQ18,Resultados!AZ18,Resultados!BI18,Resultados!BR18,Resultados!CA18,Resultados!CJ18,Resultados!CS18,Resultados!DB18,Resultados!DK18,Resultados!DT18,Resultados!EC18)))</f>
        <v>4.4507937654163114E-17</v>
      </c>
      <c r="H18">
        <f>IF(COUNT(Resultados!H18,Resultados!Q18,Resultados!Z18,Resultados!AI18,Resultados!AR18,Resultados!BA18,Resultados!BJ18,Resultados!BS18,Resultados!CB18,Resultados!CK18,Resultados!CT18,Resultados!DC18,Resultados!DL18,Resultados!DU18,Resultados!ED18)&lt;=1, "", _xlfn.STDEV.S(ABS(Resultados!H18),ABS(Resultados!Q18),ABS(Resultados!Z18),ABS(Resultados!AI18),ABS(Resultados!AR18),ABS(Resultados!BA18),ABS(Resultados!BJ18),ABS(Resultados!BS18),ABS(Resultados!CB18),ABS(Resultados!CK18),ABS(Resultados!CT18),ABS(Resultados!DC18),ABS(Resultados!DL18),ABS(Resultados!DU18),ABS(Resultados!ED18))/SQRT(COUNT(Resultados!H18,Resultados!Q18,Resultados!Z18,Resultados!AI18,Resultados!AR18,Resultados!BA18,Resultados!BJ18,Resultados!BS18,Resultados!CB18,Resultados!CK18,Resultados!CT18,Resultados!DC18,Resultados!DL18,Resultados!DU18,Resultados!ED18)))</f>
        <v>8.8390188351566523E-4</v>
      </c>
      <c r="I18">
        <f>IF(COUNT(Resultados!I18,Resultados!R18,Resultados!AA18,Resultados!AJ18,Resultados!AS18,Resultados!BB18,Resultados!BK18,Resultados!BT18,Resultados!CC18,Resultados!CL18,Resultados!CU18,Resultados!DD18,Resultados!DM18,Resultados!DV18,Resultados!EE18)&lt;=1, "", _xlfn.STDEV.S(ABS(Resultados!I18),ABS(Resultados!R18),ABS(Resultados!AA18),ABS(Resultados!AJ18),ABS(Resultados!AS18),ABS(Resultados!BB18),ABS(Resultados!BK18),ABS(Resultados!BT18),ABS(Resultados!CC18),ABS(Resultados!CL18),ABS(Resultados!CU18),ABS(Resultados!DD18),ABS(Resultados!DM18),ABS(Resultados!DV18),ABS(Resultados!EE18))/SQRT(COUNT(Resultados!I18,Resultados!R18,Resultados!AA18,Resultados!AJ18,Resultados!AS18,Resultados!BB18,Resultados!BK18,Resultados!BT18,Resultados!CC18,Resultados!CL18,Resultados!CU18,Resultados!DD18,Resultados!DM18,Resultados!DV18,Resultados!EE18)))</f>
        <v>6.581912203456698E-4</v>
      </c>
    </row>
    <row r="19" spans="1:9" x14ac:dyDescent="0.3">
      <c r="A19">
        <f>IF(COUNT(Resultados!A19,Resultados!J19,Resultados!S19,Resultados!AB19,Resultados!AK19,Resultados!AT19,Resultados!BC19,Resultados!BL19,Resultados!BU19,Resultados!CD19,Resultados!CM19,Resultados!CV19,Resultados!DE19,Resultados!DN19,Resultados!DW19)&lt;=1, "", _xlfn.STDEV.S(ABS(Resultados!A19),ABS(Resultados!J19),ABS(Resultados!S19),ABS(Resultados!AB19),ABS(Resultados!AK19),ABS(Resultados!AT19),ABS(Resultados!BC19),ABS(Resultados!BL19),ABS(Resultados!BU19),ABS(Resultados!CD19),ABS(Resultados!CM19),ABS(Resultados!CV19),ABS(Resultados!DE19),ABS(Resultados!DN19),ABS(Resultados!DW19))/SQRT(COUNT(Resultados!A19,Resultados!J19,Resultados!S19,Resultados!AB19,Resultados!AK19,Resultados!AT19,Resultados!BC19,Resultados!BL19,Resultados!BU19,Resultados!CD19,Resultados!CM19,Resultados!CV19,Resultados!DE19,Resultados!DN19,Resultados!DW19)))</f>
        <v>0</v>
      </c>
      <c r="B19" t="str">
        <f>IF(COUNT(Resultados!B19,Resultados!K19,Resultados!T19,Resultados!AC19,Resultados!AL19,Resultados!AU19,Resultados!BD19,Resultados!BM19,Resultados!BV19,Resultados!CE19,Resultados!CN19,Resultados!CW19,Resultados!DF19,Resultados!DO19,Resultados!DX19)&lt;=1, "", _xlfn.STDEV.S(ABS(Resultados!B19),ABS(Resultados!K19),ABS(Resultados!T19),ABS(Resultados!AC19),ABS(Resultados!AL19),ABS(Resultados!AU19),ABS(Resultados!BD19),ABS(Resultados!BM19),ABS(Resultados!BV19),ABS(Resultados!CE19),ABS(Resultados!CN19),ABS(Resultados!CW19),ABS(Resultados!DF19),ABS(Resultados!DO19),ABS(Resultados!DX19))/SQRT(COUNT(Resultados!B19,Resultados!K19,Resultados!T19,Resultados!AC19,Resultados!AL19,Resultados!AU19,Resultados!BD19,Resultados!BM19,Resultados!BV19,Resultados!CE19,Resultados!CN19,Resultados!CW19,Resultados!DF19,Resultados!DO19,Resultados!DX19)))</f>
        <v/>
      </c>
      <c r="C19">
        <f>IF(COUNT(Resultados!C19,Resultados!L19,Resultados!U19,Resultados!AD19,Resultados!AM19,Resultados!AV19,Resultados!BE19,Resultados!BN19,Resultados!BW19,Resultados!CF19,Resultados!CO19,Resultados!CX19,Resultados!DG19,Resultados!DP19,Resultados!DY19)&lt;=1, "", _xlfn.STDEV.S(ABS(Resultados!C19),ABS(Resultados!L19),ABS(Resultados!U19),ABS(Resultados!AD19),ABS(Resultados!AM19),ABS(Resultados!AV19),ABS(Resultados!BE19),ABS(Resultados!BN19),ABS(Resultados!BW19),ABS(Resultados!CF19),ABS(Resultados!CO19),ABS(Resultados!CX19),ABS(Resultados!DG19),ABS(Resultados!DP19),ABS(Resultados!DY19))/SQRT(COUNT(Resultados!C19,Resultados!L19,Resultados!U19,Resultados!AD19,Resultados!AM19,Resultados!AV19,Resultados!BE19,Resultados!BN19,Resultados!BW19,Resultados!CF19,Resultados!CO19,Resultados!CX19,Resultados!DG19,Resultados!DP19,Resultados!DY19)))</f>
        <v>0.48007935851918326</v>
      </c>
      <c r="D19">
        <f>IF(COUNT(Resultados!D19,Resultados!M19,Resultados!V19,Resultados!AE19,Resultados!AN19,Resultados!AW19,Resultados!BF19,Resultados!BO19,Resultados!BX19,Resultados!CG19,Resultados!CP19,Resultados!CY19,Resultados!DH19,Resultados!DQ19,Resultados!DZ19)&lt;=1, "", _xlfn.STDEV.S(ABS(Resultados!D19),ABS(Resultados!M19),ABS(Resultados!V19),ABS(Resultados!AE19),ABS(Resultados!AN19),ABS(Resultados!AW19),ABS(Resultados!BF19),ABS(Resultados!BO19),ABS(Resultados!BX19),ABS(Resultados!CG19),ABS(Resultados!CP19),ABS(Resultados!CY19),ABS(Resultados!DH19),ABS(Resultados!DQ19),ABS(Resultados!DZ19))/SQRT(COUNT(Resultados!D19,Resultados!M19,Resultados!V19,Resultados!AE19,Resultados!AN19,Resultados!AW19,Resultados!BF19,Resultados!BO19,Resultados!BX19,Resultados!CG19,Resultados!CP19,Resultados!CY19,Resultados!DH19,Resultados!DQ19,Resultados!DZ19)))</f>
        <v>6.9846543812415534E-4</v>
      </c>
      <c r="E19">
        <f>IF(COUNT(Resultados!E19,Resultados!N19,Resultados!W19,Resultados!AF19,Resultados!AO19,Resultados!AX19,Resultados!BG19,Resultados!BP19,Resultados!BY19,Resultados!CH19,Resultados!CQ19,Resultados!CZ19,Resultados!DI19,Resultados!DR19,Resultados!EA19)&lt;=1, "", _xlfn.STDEV.S(ABS(Resultados!E19),ABS(Resultados!N19),ABS(Resultados!W19),ABS(Resultados!AF19),ABS(Resultados!AO19),ABS(Resultados!AX19),ABS(Resultados!BG19),ABS(Resultados!BP19),ABS(Resultados!BY19),ABS(Resultados!CH19),ABS(Resultados!CQ19),ABS(Resultados!CZ19),ABS(Resultados!DI19),ABS(Resultados!DR19),ABS(Resultados!EA19))/SQRT(COUNT(Resultados!E19,Resultados!N19,Resultados!W19,Resultados!AF19,Resultados!AO19,Resultados!AX19,Resultados!BG19,Resultados!BP19,Resultados!BY19,Resultados!CH19,Resultados!CQ19,Resultados!CZ19,Resultados!DI19,Resultados!DR19,Resultados!EA19)))</f>
        <v>6.2915657844710052E-2</v>
      </c>
      <c r="F19">
        <f>IF(COUNT(Resultados!F19,Resultados!O19,Resultados!X19,Resultados!AG19,Resultados!AP19,Resultados!AY19,Resultados!BH19,Resultados!BQ19,Resultados!BZ19,Resultados!CI19,Resultados!CR19,Resultados!DA19,Resultados!DJ19,Resultados!DS19,Resultados!EB19)&lt;=1, "", _xlfn.STDEV.S(ABS(Resultados!F19),ABS(Resultados!O19),ABS(Resultados!X19),ABS(Resultados!AG19),ABS(Resultados!AP19),ABS(Resultados!AY19),ABS(Resultados!BH19),ABS(Resultados!BQ19),ABS(Resultados!BZ19),ABS(Resultados!CI19),ABS(Resultados!CR19),ABS(Resultados!DA19),ABS(Resultados!DJ19),ABS(Resultados!DS19),ABS(Resultados!EB19))/SQRT(COUNT(Resultados!F19,Resultados!O19,Resultados!X19,Resultados!AG19,Resultados!AP19,Resultados!AY19,Resultados!BH19,Resultados!BQ19,Resultados!BZ19,Resultados!CI19,Resultados!CR19,Resultados!DA19,Resultados!DJ19,Resultados!DS19,Resultados!EB19)))</f>
        <v>5.8637393111269818</v>
      </c>
      <c r="G19">
        <f>IF(COUNT(Resultados!G19,Resultados!P19,Resultados!Y19,Resultados!AH19,Resultados!AQ19,Resultados!AZ19,Resultados!BI19,Resultados!BR19,Resultados!CA19,Resultados!CJ19,Resultados!CS19,Resultados!DB19,Resultados!DK19,Resultados!DT19,Resultados!EC19)&lt;=1, "", _xlfn.STDEV.S(ABS(Resultados!G19),ABS(Resultados!P19),ABS(Resultados!Y19),ABS(Resultados!AH19),ABS(Resultados!AQ19),ABS(Resultados!AZ19),ABS(Resultados!BI19),ABS(Resultados!BR19),ABS(Resultados!CA19),ABS(Resultados!CJ19),ABS(Resultados!CS19),ABS(Resultados!DB19),ABS(Resultados!DK19),ABS(Resultados!DT19),ABS(Resultados!EC19))/SQRT(COUNT(Resultados!G19,Resultados!P19,Resultados!Y19,Resultados!AH19,Resultados!AQ19,Resultados!AZ19,Resultados!BI19,Resultados!BR19,Resultados!CA19,Resultados!CJ19,Resultados!CS19,Resultados!DB19,Resultados!DK19,Resultados!DT19,Resultados!EC19)))</f>
        <v>4.4507937654163114E-17</v>
      </c>
      <c r="H19">
        <f>IF(COUNT(Resultados!H19,Resultados!Q19,Resultados!Z19,Resultados!AI19,Resultados!AR19,Resultados!BA19,Resultados!BJ19,Resultados!BS19,Resultados!CB19,Resultados!CK19,Resultados!CT19,Resultados!DC19,Resultados!DL19,Resultados!DU19,Resultados!ED19)&lt;=1, "", _xlfn.STDEV.S(ABS(Resultados!H19),ABS(Resultados!Q19),ABS(Resultados!Z19),ABS(Resultados!AI19),ABS(Resultados!AR19),ABS(Resultados!BA19),ABS(Resultados!BJ19),ABS(Resultados!BS19),ABS(Resultados!CB19),ABS(Resultados!CK19),ABS(Resultados!CT19),ABS(Resultados!DC19),ABS(Resultados!DL19),ABS(Resultados!DU19),ABS(Resultados!ED19))/SQRT(COUNT(Resultados!H19,Resultados!Q19,Resultados!Z19,Resultados!AI19,Resultados!AR19,Resultados!BA19,Resultados!BJ19,Resultados!BS19,Resultados!CB19,Resultados!CK19,Resultados!CT19,Resultados!DC19,Resultados!DL19,Resultados!DU19,Resultados!ED19)))</f>
        <v>9.7954638027564211E-4</v>
      </c>
      <c r="I19">
        <f>IF(COUNT(Resultados!I19,Resultados!R19,Resultados!AA19,Resultados!AJ19,Resultados!AS19,Resultados!BB19,Resultados!BK19,Resultados!BT19,Resultados!CC19,Resultados!CL19,Resultados!CU19,Resultados!DD19,Resultados!DM19,Resultados!DV19,Resultados!EE19)&lt;=1, "", _xlfn.STDEV.S(ABS(Resultados!I19),ABS(Resultados!R19),ABS(Resultados!AA19),ABS(Resultados!AJ19),ABS(Resultados!AS19),ABS(Resultados!BB19),ABS(Resultados!BK19),ABS(Resultados!BT19),ABS(Resultados!CC19),ABS(Resultados!CL19),ABS(Resultados!CU19),ABS(Resultados!DD19),ABS(Resultados!DM19),ABS(Resultados!DV19),ABS(Resultados!EE19))/SQRT(COUNT(Resultados!I19,Resultados!R19,Resultados!AA19,Resultados!AJ19,Resultados!AS19,Resultados!BB19,Resultados!BK19,Resultados!BT19,Resultados!CC19,Resultados!CL19,Resultados!CU19,Resultados!DD19,Resultados!DM19,Resultados!DV19,Resultados!EE19)))</f>
        <v>7.3415559961354556E-4</v>
      </c>
    </row>
    <row r="20" spans="1:9" x14ac:dyDescent="0.3">
      <c r="A20">
        <f>IF(COUNT(Resultados!A20,Resultados!J20,Resultados!S20,Resultados!AB20,Resultados!AK20,Resultados!AT20,Resultados!BC20,Resultados!BL20,Resultados!BU20,Resultados!CD20,Resultados!CM20,Resultados!CV20,Resultados!DE20,Resultados!DN20,Resultados!DW20)&lt;=1, "", _xlfn.STDEV.S(ABS(Resultados!A20),ABS(Resultados!J20),ABS(Resultados!S20),ABS(Resultados!AB20),ABS(Resultados!AK20),ABS(Resultados!AT20),ABS(Resultados!BC20),ABS(Resultados!BL20),ABS(Resultados!BU20),ABS(Resultados!CD20),ABS(Resultados!CM20),ABS(Resultados!CV20),ABS(Resultados!DE20),ABS(Resultados!DN20),ABS(Resultados!DW20))/SQRT(COUNT(Resultados!A20,Resultados!J20,Resultados!S20,Resultados!AB20,Resultados!AK20,Resultados!AT20,Resultados!BC20,Resultados!BL20,Resultados!BU20,Resultados!CD20,Resultados!CM20,Resultados!CV20,Resultados!DE20,Resultados!DN20,Resultados!DW20)))</f>
        <v>0</v>
      </c>
      <c r="B20" t="str">
        <f>IF(COUNT(Resultados!B20,Resultados!K20,Resultados!T20,Resultados!AC20,Resultados!AL20,Resultados!AU20,Resultados!BD20,Resultados!BM20,Resultados!BV20,Resultados!CE20,Resultados!CN20,Resultados!CW20,Resultados!DF20,Resultados!DO20,Resultados!DX20)&lt;=1, "", _xlfn.STDEV.S(ABS(Resultados!B20),ABS(Resultados!K20),ABS(Resultados!T20),ABS(Resultados!AC20),ABS(Resultados!AL20),ABS(Resultados!AU20),ABS(Resultados!BD20),ABS(Resultados!BM20),ABS(Resultados!BV20),ABS(Resultados!CE20),ABS(Resultados!CN20),ABS(Resultados!CW20),ABS(Resultados!DF20),ABS(Resultados!DO20),ABS(Resultados!DX20))/SQRT(COUNT(Resultados!B20,Resultados!K20,Resultados!T20,Resultados!AC20,Resultados!AL20,Resultados!AU20,Resultados!BD20,Resultados!BM20,Resultados!BV20,Resultados!CE20,Resultados!CN20,Resultados!CW20,Resultados!DF20,Resultados!DO20,Resultados!DX20)))</f>
        <v/>
      </c>
      <c r="C20">
        <f>IF(COUNT(Resultados!C20,Resultados!L20,Resultados!U20,Resultados!AD20,Resultados!AM20,Resultados!AV20,Resultados!BE20,Resultados!BN20,Resultados!BW20,Resultados!CF20,Resultados!CO20,Resultados!CX20,Resultados!DG20,Resultados!DP20,Resultados!DY20)&lt;=1, "", _xlfn.STDEV.S(ABS(Resultados!C20),ABS(Resultados!L20),ABS(Resultados!U20),ABS(Resultados!AD20),ABS(Resultados!AM20),ABS(Resultados!AV20),ABS(Resultados!BE20),ABS(Resultados!BN20),ABS(Resultados!BW20),ABS(Resultados!CF20),ABS(Resultados!CO20),ABS(Resultados!CX20),ABS(Resultados!DG20),ABS(Resultados!DP20),ABS(Resultados!DY20))/SQRT(COUNT(Resultados!C20,Resultados!L20,Resultados!U20,Resultados!AD20,Resultados!AM20,Resultados!AV20,Resultados!BE20,Resultados!BN20,Resultados!BW20,Resultados!CF20,Resultados!CO20,Resultados!CX20,Resultados!DG20,Resultados!DP20,Resultados!DY20)))</f>
        <v>0.48007935851918326</v>
      </c>
      <c r="D20">
        <f>IF(COUNT(Resultados!D20,Resultados!M20,Resultados!V20,Resultados!AE20,Resultados!AN20,Resultados!AW20,Resultados!BF20,Resultados!BO20,Resultados!BX20,Resultados!CG20,Resultados!CP20,Resultados!CY20,Resultados!DH20,Resultados!DQ20,Resultados!DZ20)&lt;=1, "", _xlfn.STDEV.S(ABS(Resultados!D20),ABS(Resultados!M20),ABS(Resultados!V20),ABS(Resultados!AE20),ABS(Resultados!AN20),ABS(Resultados!AW20),ABS(Resultados!BF20),ABS(Resultados!BO20),ABS(Resultados!BX20),ABS(Resultados!CG20),ABS(Resultados!CP20),ABS(Resultados!CY20),ABS(Resultados!DH20),ABS(Resultados!DQ20),ABS(Resultados!DZ20))/SQRT(COUNT(Resultados!D20,Resultados!M20,Resultados!V20,Resultados!AE20,Resultados!AN20,Resultados!AW20,Resultados!BF20,Resultados!BO20,Resultados!BX20,Resultados!CG20,Resultados!CP20,Resultados!CY20,Resultados!DH20,Resultados!DQ20,Resultados!DZ20)))</f>
        <v>8.9008649481607614E-4</v>
      </c>
      <c r="E20">
        <f>IF(COUNT(Resultados!E20,Resultados!N20,Resultados!W20,Resultados!AF20,Resultados!AO20,Resultados!AX20,Resultados!BG20,Resultados!BP20,Resultados!BY20,Resultados!CH20,Resultados!CQ20,Resultados!CZ20,Resultados!DI20,Resultados!DR20,Resultados!EA20)&lt;=1, "", _xlfn.STDEV.S(ABS(Resultados!E20),ABS(Resultados!N20),ABS(Resultados!W20),ABS(Resultados!AF20),ABS(Resultados!AO20),ABS(Resultados!AX20),ABS(Resultados!BG20),ABS(Resultados!BP20),ABS(Resultados!BY20),ABS(Resultados!CH20),ABS(Resultados!CQ20),ABS(Resultados!CZ20),ABS(Resultados!DI20),ABS(Resultados!DR20),ABS(Resultados!EA20))/SQRT(COUNT(Resultados!E20,Resultados!N20,Resultados!W20,Resultados!AF20,Resultados!AO20,Resultados!AX20,Resultados!BG20,Resultados!BP20,Resultados!BY20,Resultados!CH20,Resultados!CQ20,Resultados!CZ20,Resultados!DI20,Resultados!DR20,Resultados!EA20)))</f>
        <v>6.2976308385450902E-2</v>
      </c>
      <c r="F20">
        <f>IF(COUNT(Resultados!F20,Resultados!O20,Resultados!X20,Resultados!AG20,Resultados!AP20,Resultados!AY20,Resultados!BH20,Resultados!BQ20,Resultados!BZ20,Resultados!CI20,Resultados!CR20,Resultados!DA20,Resultados!DJ20,Resultados!DS20,Resultados!EB20)&lt;=1, "", _xlfn.STDEV.S(ABS(Resultados!F20),ABS(Resultados!O20),ABS(Resultados!X20),ABS(Resultados!AG20),ABS(Resultados!AP20),ABS(Resultados!AY20),ABS(Resultados!BH20),ABS(Resultados!BQ20),ABS(Resultados!BZ20),ABS(Resultados!CI20),ABS(Resultados!CR20),ABS(Resultados!DA20),ABS(Resultados!DJ20),ABS(Resultados!DS20),ABS(Resultados!EB20))/SQRT(COUNT(Resultados!F20,Resultados!O20,Resultados!X20,Resultados!AG20,Resultados!AP20,Resultados!AY20,Resultados!BH20,Resultados!BQ20,Resultados!BZ20,Resultados!CI20,Resultados!CR20,Resultados!DA20,Resultados!DJ20,Resultados!DS20,Resultados!EB20)))</f>
        <v>5.869391941524027</v>
      </c>
      <c r="G20">
        <f>IF(COUNT(Resultados!G20,Resultados!P20,Resultados!Y20,Resultados!AH20,Resultados!AQ20,Resultados!AZ20,Resultados!BI20,Resultados!BR20,Resultados!CA20,Resultados!CJ20,Resultados!CS20,Resultados!DB20,Resultados!DK20,Resultados!DT20,Resultados!EC20)&lt;=1, "", _xlfn.STDEV.S(ABS(Resultados!G20),ABS(Resultados!P20),ABS(Resultados!Y20),ABS(Resultados!AH20),ABS(Resultados!AQ20),ABS(Resultados!AZ20),ABS(Resultados!BI20),ABS(Resultados!BR20),ABS(Resultados!CA20),ABS(Resultados!CJ20),ABS(Resultados!CS20),ABS(Resultados!DB20),ABS(Resultados!DK20),ABS(Resultados!DT20),ABS(Resultados!EC20))/SQRT(COUNT(Resultados!G20,Resultados!P20,Resultados!Y20,Resultados!AH20,Resultados!AQ20,Resultados!AZ20,Resultados!BI20,Resultados!BR20,Resultados!CA20,Resultados!CJ20,Resultados!CS20,Resultados!DB20,Resultados!DK20,Resultados!DT20,Resultados!EC20)))</f>
        <v>4.4507937654163114E-17</v>
      </c>
      <c r="H20">
        <f>IF(COUNT(Resultados!H20,Resultados!Q20,Resultados!Z20,Resultados!AI20,Resultados!AR20,Resultados!BA20,Resultados!BJ20,Resultados!BS20,Resultados!CB20,Resultados!CK20,Resultados!CT20,Resultados!DC20,Resultados!DL20,Resultados!DU20,Resultados!ED20)&lt;=1, "", _xlfn.STDEV.S(ABS(Resultados!H20),ABS(Resultados!Q20),ABS(Resultados!Z20),ABS(Resultados!AI20),ABS(Resultados!AR20),ABS(Resultados!BA20),ABS(Resultados!BJ20),ABS(Resultados!BS20),ABS(Resultados!CB20),ABS(Resultados!CK20),ABS(Resultados!CT20),ABS(Resultados!DC20),ABS(Resultados!DL20),ABS(Resultados!DU20),ABS(Resultados!ED20))/SQRT(COUNT(Resultados!H20,Resultados!Q20,Resultados!Z20,Resultados!AI20,Resultados!AR20,Resultados!BA20,Resultados!BJ20,Resultados!BS20,Resultados!CB20,Resultados!CK20,Resultados!CT20,Resultados!DC20,Resultados!DL20,Resultados!DU20,Resultados!ED20)))</f>
        <v>9.8049873930453188E-4</v>
      </c>
      <c r="I20">
        <f>IF(COUNT(Resultados!I20,Resultados!R20,Resultados!AA20,Resultados!AJ20,Resultados!AS20,Resultados!BB20,Resultados!BK20,Resultados!BT20,Resultados!CC20,Resultados!CL20,Resultados!CU20,Resultados!DD20,Resultados!DM20,Resultados!DV20,Resultados!EE20)&lt;=1, "", _xlfn.STDEV.S(ABS(Resultados!I20),ABS(Resultados!R20),ABS(Resultados!AA20),ABS(Resultados!AJ20),ABS(Resultados!AS20),ABS(Resultados!BB20),ABS(Resultados!BK20),ABS(Resultados!BT20),ABS(Resultados!CC20),ABS(Resultados!CL20),ABS(Resultados!CU20),ABS(Resultados!DD20),ABS(Resultados!DM20),ABS(Resultados!DV20),ABS(Resultados!EE20))/SQRT(COUNT(Resultados!I20,Resultados!R20,Resultados!AA20,Resultados!AJ20,Resultados!AS20,Resultados!BB20,Resultados!BK20,Resultados!BT20,Resultados!CC20,Resultados!CL20,Resultados!CU20,Resultados!DD20,Resultados!DM20,Resultados!DV20,Resultados!EE20)))</f>
        <v>9.6132570500879198E-4</v>
      </c>
    </row>
    <row r="21" spans="1:9" x14ac:dyDescent="0.3">
      <c r="A21">
        <f>IF(COUNT(Resultados!A21,Resultados!J21,Resultados!S21,Resultados!AB21,Resultados!AK21,Resultados!AT21,Resultados!BC21,Resultados!BL21,Resultados!BU21,Resultados!CD21,Resultados!CM21,Resultados!CV21,Resultados!DE21,Resultados!DN21,Resultados!DW21)&lt;=1, "", _xlfn.STDEV.S(ABS(Resultados!A21),ABS(Resultados!J21),ABS(Resultados!S21),ABS(Resultados!AB21),ABS(Resultados!AK21),ABS(Resultados!AT21),ABS(Resultados!BC21),ABS(Resultados!BL21),ABS(Resultados!BU21),ABS(Resultados!CD21),ABS(Resultados!CM21),ABS(Resultados!CV21),ABS(Resultados!DE21),ABS(Resultados!DN21),ABS(Resultados!DW21))/SQRT(COUNT(Resultados!A21,Resultados!J21,Resultados!S21,Resultados!AB21,Resultados!AK21,Resultados!AT21,Resultados!BC21,Resultados!BL21,Resultados!BU21,Resultados!CD21,Resultados!CM21,Resultados!CV21,Resultados!DE21,Resultados!DN21,Resultados!DW21)))</f>
        <v>0</v>
      </c>
      <c r="B21" t="str">
        <f>IF(COUNT(Resultados!B21,Resultados!K21,Resultados!T21,Resultados!AC21,Resultados!AL21,Resultados!AU21,Resultados!BD21,Resultados!BM21,Resultados!BV21,Resultados!CE21,Resultados!CN21,Resultados!CW21,Resultados!DF21,Resultados!DO21,Resultados!DX21)&lt;=1, "", _xlfn.STDEV.S(ABS(Resultados!B21),ABS(Resultados!K21),ABS(Resultados!T21),ABS(Resultados!AC21),ABS(Resultados!AL21),ABS(Resultados!AU21),ABS(Resultados!BD21),ABS(Resultados!BM21),ABS(Resultados!BV21),ABS(Resultados!CE21),ABS(Resultados!CN21),ABS(Resultados!CW21),ABS(Resultados!DF21),ABS(Resultados!DO21),ABS(Resultados!DX21))/SQRT(COUNT(Resultados!B21,Resultados!K21,Resultados!T21,Resultados!AC21,Resultados!AL21,Resultados!AU21,Resultados!BD21,Resultados!BM21,Resultados!BV21,Resultados!CE21,Resultados!CN21,Resultados!CW21,Resultados!DF21,Resultados!DO21,Resultados!DX21)))</f>
        <v/>
      </c>
      <c r="C21">
        <f>IF(COUNT(Resultados!C21,Resultados!L21,Resultados!U21,Resultados!AD21,Resultados!AM21,Resultados!AV21,Resultados!BE21,Resultados!BN21,Resultados!BW21,Resultados!CF21,Resultados!CO21,Resultados!CX21,Resultados!DG21,Resultados!DP21,Resultados!DY21)&lt;=1, "", _xlfn.STDEV.S(ABS(Resultados!C21),ABS(Resultados!L21),ABS(Resultados!U21),ABS(Resultados!AD21),ABS(Resultados!AM21),ABS(Resultados!AV21),ABS(Resultados!BE21),ABS(Resultados!BN21),ABS(Resultados!BW21),ABS(Resultados!CF21),ABS(Resultados!CO21),ABS(Resultados!CX21),ABS(Resultados!DG21),ABS(Resultados!DP21),ABS(Resultados!DY21))/SQRT(COUNT(Resultados!C21,Resultados!L21,Resultados!U21,Resultados!AD21,Resultados!AM21,Resultados!AV21,Resultados!BE21,Resultados!BN21,Resultados!BW21,Resultados!CF21,Resultados!CO21,Resultados!CX21,Resultados!DG21,Resultados!DP21,Resultados!DY21)))</f>
        <v>0.48007935851918326</v>
      </c>
      <c r="D21">
        <f>IF(COUNT(Resultados!D21,Resultados!M21,Resultados!V21,Resultados!AE21,Resultados!AN21,Resultados!AW21,Resultados!BF21,Resultados!BO21,Resultados!BX21,Resultados!CG21,Resultados!CP21,Resultados!CY21,Resultados!DH21,Resultados!DQ21,Resultados!DZ21)&lt;=1, "", _xlfn.STDEV.S(ABS(Resultados!D21),ABS(Resultados!M21),ABS(Resultados!V21),ABS(Resultados!AE21),ABS(Resultados!AN21),ABS(Resultados!AW21),ABS(Resultados!BF21),ABS(Resultados!BO21),ABS(Resultados!BX21),ABS(Resultados!CG21),ABS(Resultados!CP21),ABS(Resultados!CY21),ABS(Resultados!DH21),ABS(Resultados!DQ21),ABS(Resultados!DZ21))/SQRT(COUNT(Resultados!D21,Resultados!M21,Resultados!V21,Resultados!AE21,Resultados!AN21,Resultados!AW21,Resultados!BF21,Resultados!BO21,Resultados!BX21,Resultados!CG21,Resultados!CP21,Resultados!CY21,Resultados!DH21,Resultados!DQ21,Resultados!DZ21)))</f>
        <v>1.0273158120937191E-3</v>
      </c>
      <c r="E21">
        <f>IF(COUNT(Resultados!E21,Resultados!N21,Resultados!W21,Resultados!AF21,Resultados!AO21,Resultados!AX21,Resultados!BG21,Resultados!BP21,Resultados!BY21,Resultados!CH21,Resultados!CQ21,Resultados!CZ21,Resultados!DI21,Resultados!DR21,Resultados!EA21)&lt;=1, "", _xlfn.STDEV.S(ABS(Resultados!E21),ABS(Resultados!N21),ABS(Resultados!W21),ABS(Resultados!AF21),ABS(Resultados!AO21),ABS(Resultados!AX21),ABS(Resultados!BG21),ABS(Resultados!BP21),ABS(Resultados!BY21),ABS(Resultados!CH21),ABS(Resultados!CQ21),ABS(Resultados!CZ21),ABS(Resultados!DI21),ABS(Resultados!DR21),ABS(Resultados!EA21))/SQRT(COUNT(Resultados!E21,Resultados!N21,Resultados!W21,Resultados!AF21,Resultados!AO21,Resultados!AX21,Resultados!BG21,Resultados!BP21,Resultados!BY21,Resultados!CH21,Resultados!CQ21,Resultados!CZ21,Resultados!DI21,Resultados!DR21,Resultados!EA21)))</f>
        <v>5.6730746115077578E-2</v>
      </c>
      <c r="F21">
        <f>IF(COUNT(Resultados!F21,Resultados!O21,Resultados!X21,Resultados!AG21,Resultados!AP21,Resultados!AY21,Resultados!BH21,Resultados!BQ21,Resultados!BZ21,Resultados!CI21,Resultados!CR21,Resultados!DA21,Resultados!DJ21,Resultados!DS21,Resultados!EB21)&lt;=1, "", _xlfn.STDEV.S(ABS(Resultados!F21),ABS(Resultados!O21),ABS(Resultados!X21),ABS(Resultados!AG21),ABS(Resultados!AP21),ABS(Resultados!AY21),ABS(Resultados!BH21),ABS(Resultados!BQ21),ABS(Resultados!BZ21),ABS(Resultados!CI21),ABS(Resultados!CR21),ABS(Resultados!DA21),ABS(Resultados!DJ21),ABS(Resultados!DS21),ABS(Resultados!EB21))/SQRT(COUNT(Resultados!F21,Resultados!O21,Resultados!X21,Resultados!AG21,Resultados!AP21,Resultados!AY21,Resultados!BH21,Resultados!BQ21,Resultados!BZ21,Resultados!CI21,Resultados!CR21,Resultados!DA21,Resultados!DJ21,Resultados!DS21,Resultados!EB21)))</f>
        <v>5.2873055379252287</v>
      </c>
      <c r="G21">
        <f>IF(COUNT(Resultados!G21,Resultados!P21,Resultados!Y21,Resultados!AH21,Resultados!AQ21,Resultados!AZ21,Resultados!BI21,Resultados!BR21,Resultados!CA21,Resultados!CJ21,Resultados!CS21,Resultados!DB21,Resultados!DK21,Resultados!DT21,Resultados!EC21)&lt;=1, "", _xlfn.STDEV.S(ABS(Resultados!G21),ABS(Resultados!P21),ABS(Resultados!Y21),ABS(Resultados!AH21),ABS(Resultados!AQ21),ABS(Resultados!AZ21),ABS(Resultados!BI21),ABS(Resultados!BR21),ABS(Resultados!CA21),ABS(Resultados!CJ21),ABS(Resultados!CS21),ABS(Resultados!DB21),ABS(Resultados!DK21),ABS(Resultados!DT21),ABS(Resultados!EC21))/SQRT(COUNT(Resultados!G21,Resultados!P21,Resultados!Y21,Resultados!AH21,Resultados!AQ21,Resultados!AZ21,Resultados!BI21,Resultados!BR21,Resultados!CA21,Resultados!CJ21,Resultados!CS21,Resultados!DB21,Resultados!DK21,Resultados!DT21,Resultados!EC21)))</f>
        <v>4.4507937654163114E-17</v>
      </c>
      <c r="H21">
        <f>IF(COUNT(Resultados!H21,Resultados!Q21,Resultados!Z21,Resultados!AI21,Resultados!AR21,Resultados!BA21,Resultados!BJ21,Resultados!BS21,Resultados!CB21,Resultados!CK21,Resultados!CT21,Resultados!DC21,Resultados!DL21,Resultados!DU21,Resultados!ED21)&lt;=1, "", _xlfn.STDEV.S(ABS(Resultados!H21),ABS(Resultados!Q21),ABS(Resultados!Z21),ABS(Resultados!AI21),ABS(Resultados!AR21),ABS(Resultados!BA21),ABS(Resultados!BJ21),ABS(Resultados!BS21),ABS(Resultados!CB21),ABS(Resultados!CK21),ABS(Resultados!CT21),ABS(Resultados!DC21),ABS(Resultados!DL21),ABS(Resultados!DU21),ABS(Resultados!ED21))/SQRT(COUNT(Resultados!H21,Resultados!Q21,Resultados!Z21,Resultados!AI21,Resultados!AR21,Resultados!BA21,Resultados!BJ21,Resultados!BS21,Resultados!CB21,Resultados!CK21,Resultados!CT21,Resultados!DC21,Resultados!DL21,Resultados!DU21,Resultados!ED21)))</f>
        <v>8.8000000000000014E-4</v>
      </c>
      <c r="I21">
        <f>IF(COUNT(Resultados!I21,Resultados!R21,Resultados!AA21,Resultados!AJ21,Resultados!AS21,Resultados!BB21,Resultados!BK21,Resultados!BT21,Resultados!CC21,Resultados!CL21,Resultados!CU21,Resultados!DD21,Resultados!DM21,Resultados!DV21,Resultados!EE21)&lt;=1, "", _xlfn.STDEV.S(ABS(Resultados!I21),ABS(Resultados!R21),ABS(Resultados!AA21),ABS(Resultados!AJ21),ABS(Resultados!AS21),ABS(Resultados!BB21),ABS(Resultados!BK21),ABS(Resultados!BT21),ABS(Resultados!CC21),ABS(Resultados!CL21),ABS(Resultados!CU21),ABS(Resultados!DD21),ABS(Resultados!DM21),ABS(Resultados!DV21),ABS(Resultados!EE21))/SQRT(COUNT(Resultados!I21,Resultados!R21,Resultados!AA21,Resultados!AJ21,Resultados!AS21,Resultados!BB21,Resultados!BK21,Resultados!BT21,Resultados!CC21,Resultados!CL21,Resultados!CU21,Resultados!DD21,Resultados!DM21,Resultados!DV21,Resultados!EE21)))</f>
        <v>8.2715212320282668E-4</v>
      </c>
    </row>
    <row r="22" spans="1:9" x14ac:dyDescent="0.3">
      <c r="A22">
        <f>IF(COUNT(Resultados!A22,Resultados!J22,Resultados!S22,Resultados!AB22,Resultados!AK22,Resultados!AT22,Resultados!BC22,Resultados!BL22,Resultados!BU22,Resultados!CD22,Resultados!CM22,Resultados!CV22,Resultados!DE22,Resultados!DN22,Resultados!DW22)&lt;=1, "", _xlfn.STDEV.S(ABS(Resultados!A22),ABS(Resultados!J22),ABS(Resultados!S22),ABS(Resultados!AB22),ABS(Resultados!AK22),ABS(Resultados!AT22),ABS(Resultados!BC22),ABS(Resultados!BL22),ABS(Resultados!BU22),ABS(Resultados!CD22),ABS(Resultados!CM22),ABS(Resultados!CV22),ABS(Resultados!DE22),ABS(Resultados!DN22),ABS(Resultados!DW22))/SQRT(COUNT(Resultados!A22,Resultados!J22,Resultados!S22,Resultados!AB22,Resultados!AK22,Resultados!AT22,Resultados!BC22,Resultados!BL22,Resultados!BU22,Resultados!CD22,Resultados!CM22,Resultados!CV22,Resultados!DE22,Resultados!DN22,Resultados!DW22)))</f>
        <v>0</v>
      </c>
      <c r="B22" t="str">
        <f>IF(COUNT(Resultados!B22,Resultados!K22,Resultados!T22,Resultados!AC22,Resultados!AL22,Resultados!AU22,Resultados!BD22,Resultados!BM22,Resultados!BV22,Resultados!CE22,Resultados!CN22,Resultados!CW22,Resultados!DF22,Resultados!DO22,Resultados!DX22)&lt;=1, "", _xlfn.STDEV.S(ABS(Resultados!B22),ABS(Resultados!K22),ABS(Resultados!T22),ABS(Resultados!AC22),ABS(Resultados!AL22),ABS(Resultados!AU22),ABS(Resultados!BD22),ABS(Resultados!BM22),ABS(Resultados!BV22),ABS(Resultados!CE22),ABS(Resultados!CN22),ABS(Resultados!CW22),ABS(Resultados!DF22),ABS(Resultados!DO22),ABS(Resultados!DX22))/SQRT(COUNT(Resultados!B22,Resultados!K22,Resultados!T22,Resultados!AC22,Resultados!AL22,Resultados!AU22,Resultados!BD22,Resultados!BM22,Resultados!BV22,Resultados!CE22,Resultados!CN22,Resultados!CW22,Resultados!DF22,Resultados!DO22,Resultados!DX22)))</f>
        <v/>
      </c>
      <c r="C22">
        <f>IF(COUNT(Resultados!C22,Resultados!L22,Resultados!U22,Resultados!AD22,Resultados!AM22,Resultados!AV22,Resultados!BE22,Resultados!BN22,Resultados!BW22,Resultados!CF22,Resultados!CO22,Resultados!CX22,Resultados!DG22,Resultados!DP22,Resultados!DY22)&lt;=1, "", _xlfn.STDEV.S(ABS(Resultados!C22),ABS(Resultados!L22),ABS(Resultados!U22),ABS(Resultados!AD22),ABS(Resultados!AM22),ABS(Resultados!AV22),ABS(Resultados!BE22),ABS(Resultados!BN22),ABS(Resultados!BW22),ABS(Resultados!CF22),ABS(Resultados!CO22),ABS(Resultados!CX22),ABS(Resultados!DG22),ABS(Resultados!DP22),ABS(Resultados!DY22))/SQRT(COUNT(Resultados!C22,Resultados!L22,Resultados!U22,Resultados!AD22,Resultados!AM22,Resultados!AV22,Resultados!BE22,Resultados!BN22,Resultados!BW22,Resultados!CF22,Resultados!CO22,Resultados!CX22,Resultados!DG22,Resultados!DP22,Resultados!DY22)))</f>
        <v>0.48007935851918326</v>
      </c>
      <c r="D22">
        <f>IF(COUNT(Resultados!D22,Resultados!M22,Resultados!V22,Resultados!AE22,Resultados!AN22,Resultados!AW22,Resultados!BF22,Resultados!BO22,Resultados!BX22,Resultados!CG22,Resultados!CP22,Resultados!CY22,Resultados!DH22,Resultados!DQ22,Resultados!DZ22)&lt;=1, "", _xlfn.STDEV.S(ABS(Resultados!D22),ABS(Resultados!M22),ABS(Resultados!V22),ABS(Resultados!AE22),ABS(Resultados!AN22),ABS(Resultados!AW22),ABS(Resultados!BF22),ABS(Resultados!BO22),ABS(Resultados!BX22),ABS(Resultados!CG22),ABS(Resultados!CP22),ABS(Resultados!CY22),ABS(Resultados!DH22),ABS(Resultados!DQ22),ABS(Resultados!DZ22))/SQRT(COUNT(Resultados!D22,Resultados!M22,Resultados!V22,Resultados!AE22,Resultados!AN22,Resultados!AW22,Resultados!BF22,Resultados!BO22,Resultados!BX22,Resultados!CG22,Resultados!CP22,Resultados!CY22,Resultados!DH22,Resultados!DQ22,Resultados!DZ22)))</f>
        <v>9.5765918317066779E-4</v>
      </c>
      <c r="E22">
        <f>IF(COUNT(Resultados!E22,Resultados!N22,Resultados!W22,Resultados!AF22,Resultados!AO22,Resultados!AX22,Resultados!BG22,Resultados!BP22,Resultados!BY22,Resultados!CH22,Resultados!CQ22,Resultados!CZ22,Resultados!DI22,Resultados!DR22,Resultados!EA22)&lt;=1, "", _xlfn.STDEV.S(ABS(Resultados!E22),ABS(Resultados!N22),ABS(Resultados!W22),ABS(Resultados!AF22),ABS(Resultados!AO22),ABS(Resultados!AX22),ABS(Resultados!BG22),ABS(Resultados!BP22),ABS(Resultados!BY22),ABS(Resultados!CH22),ABS(Resultados!CQ22),ABS(Resultados!CZ22),ABS(Resultados!DI22),ABS(Resultados!DR22),ABS(Resultados!EA22))/SQRT(COUNT(Resultados!E22,Resultados!N22,Resultados!W22,Resultados!AF22,Resultados!AO22,Resultados!AX22,Resultados!BG22,Resultados!BP22,Resultados!BY22,Resultados!CH22,Resultados!CQ22,Resultados!CZ22,Resultados!DI22,Resultados!DR22,Resultados!EA22)))</f>
        <v>4.4993286170368116E-2</v>
      </c>
      <c r="F22">
        <f>IF(COUNT(Resultados!F22,Resultados!O22,Resultados!X22,Resultados!AG22,Resultados!AP22,Resultados!AY22,Resultados!BH22,Resultados!BQ22,Resultados!BZ22,Resultados!CI22,Resultados!CR22,Resultados!DA22,Resultados!DJ22,Resultados!DS22,Resultados!EB22)&lt;=1, "", _xlfn.STDEV.S(ABS(Resultados!F22),ABS(Resultados!O22),ABS(Resultados!X22),ABS(Resultados!AG22),ABS(Resultados!AP22),ABS(Resultados!AY22),ABS(Resultados!BH22),ABS(Resultados!BQ22),ABS(Resultados!BZ22),ABS(Resultados!CI22),ABS(Resultados!CR22),ABS(Resultados!DA22),ABS(Resultados!DJ22),ABS(Resultados!DS22),ABS(Resultados!EB22))/SQRT(COUNT(Resultados!F22,Resultados!O22,Resultados!X22,Resultados!AG22,Resultados!AP22,Resultados!AY22,Resultados!BH22,Resultados!BQ22,Resultados!BZ22,Resultados!CI22,Resultados!CR22,Resultados!DA22,Resultados!DJ22,Resultados!DS22,Resultados!EB22)))</f>
        <v>4.1933742710783104</v>
      </c>
      <c r="G22">
        <f>IF(COUNT(Resultados!G22,Resultados!P22,Resultados!Y22,Resultados!AH22,Resultados!AQ22,Resultados!AZ22,Resultados!BI22,Resultados!BR22,Resultados!CA22,Resultados!CJ22,Resultados!CS22,Resultados!DB22,Resultados!DK22,Resultados!DT22,Resultados!EC22)&lt;=1, "", _xlfn.STDEV.S(ABS(Resultados!G22),ABS(Resultados!P22),ABS(Resultados!Y22),ABS(Resultados!AH22),ABS(Resultados!AQ22),ABS(Resultados!AZ22),ABS(Resultados!BI22),ABS(Resultados!BR22),ABS(Resultados!CA22),ABS(Resultados!CJ22),ABS(Resultados!CS22),ABS(Resultados!DB22),ABS(Resultados!DK22),ABS(Resultados!DT22),ABS(Resultados!EC22))/SQRT(COUNT(Resultados!G22,Resultados!P22,Resultados!Y22,Resultados!AH22,Resultados!AQ22,Resultados!AZ22,Resultados!BI22,Resultados!BR22,Resultados!CA22,Resultados!CJ22,Resultados!CS22,Resultados!DB22,Resultados!DK22,Resultados!DT22,Resultados!EC22)))</f>
        <v>4.4507937654163114E-17</v>
      </c>
      <c r="H22">
        <f>IF(COUNT(Resultados!H22,Resultados!Q22,Resultados!Z22,Resultados!AI22,Resultados!AR22,Resultados!BA22,Resultados!BJ22,Resultados!BS22,Resultados!CB22,Resultados!CK22,Resultados!CT22,Resultados!DC22,Resultados!DL22,Resultados!DU22,Resultados!ED22)&lt;=1, "", _xlfn.STDEV.S(ABS(Resultados!H22),ABS(Resultados!Q22),ABS(Resultados!Z22),ABS(Resultados!AI22),ABS(Resultados!AR22),ABS(Resultados!BA22),ABS(Resultados!BJ22),ABS(Resultados!BS22),ABS(Resultados!CB22),ABS(Resultados!CK22),ABS(Resultados!CT22),ABS(Resultados!DC22),ABS(Resultados!DL22),ABS(Resultados!DU22),ABS(Resultados!ED22))/SQRT(COUNT(Resultados!H22,Resultados!Q22,Resultados!Z22,Resultados!AI22,Resultados!AR22,Resultados!BA22,Resultados!BJ22,Resultados!BS22,Resultados!CB22,Resultados!CK22,Resultados!CT22,Resultados!DC22,Resultados!DL22,Resultados!DU22,Resultados!ED22)))</f>
        <v>6.9999999999999999E-4</v>
      </c>
      <c r="I22">
        <f>IF(COUNT(Resultados!I22,Resultados!R22,Resultados!AA22,Resultados!AJ22,Resultados!AS22,Resultados!BB22,Resultados!BK22,Resultados!BT22,Resultados!CC22,Resultados!CL22,Resultados!CU22,Resultados!DD22,Resultados!DM22,Resultados!DV22,Resultados!EE22)&lt;=1, "", _xlfn.STDEV.S(ABS(Resultados!I22),ABS(Resultados!R22),ABS(Resultados!AA22),ABS(Resultados!AJ22),ABS(Resultados!AS22),ABS(Resultados!BB22),ABS(Resultados!BK22),ABS(Resultados!BT22),ABS(Resultados!CC22),ABS(Resultados!CL22),ABS(Resultados!CU22),ABS(Resultados!DD22),ABS(Resultados!DM22),ABS(Resultados!DV22),ABS(Resultados!EE22))/SQRT(COUNT(Resultados!I22,Resultados!R22,Resultados!AA22,Resultados!AJ22,Resultados!AS22,Resultados!BB22,Resultados!BK22,Resultados!BT22,Resultados!CC22,Resultados!CL22,Resultados!CU22,Resultados!DD22,Resultados!DM22,Resultados!DV22,Resultados!EE22)))</f>
        <v>7.5103894177506265E-4</v>
      </c>
    </row>
    <row r="23" spans="1:9" x14ac:dyDescent="0.3">
      <c r="A23">
        <f>IF(COUNT(Resultados!A23,Resultados!J23,Resultados!S23,Resultados!AB23,Resultados!AK23,Resultados!AT23,Resultados!BC23,Resultados!BL23,Resultados!BU23,Resultados!CD23,Resultados!CM23,Resultados!CV23,Resultados!DE23,Resultados!DN23,Resultados!DW23)&lt;=1, "", _xlfn.STDEV.S(ABS(Resultados!A23),ABS(Resultados!J23),ABS(Resultados!S23),ABS(Resultados!AB23),ABS(Resultados!AK23),ABS(Resultados!AT23),ABS(Resultados!BC23),ABS(Resultados!BL23),ABS(Resultados!BU23),ABS(Resultados!CD23),ABS(Resultados!CM23),ABS(Resultados!CV23),ABS(Resultados!DE23),ABS(Resultados!DN23),ABS(Resultados!DW23))/SQRT(COUNT(Resultados!A23,Resultados!J23,Resultados!S23,Resultados!AB23,Resultados!AK23,Resultados!AT23,Resultados!BC23,Resultados!BL23,Resultados!BU23,Resultados!CD23,Resultados!CM23,Resultados!CV23,Resultados!DE23,Resultados!DN23,Resultados!DW23)))</f>
        <v>0</v>
      </c>
      <c r="B23" t="str">
        <f>IF(COUNT(Resultados!B23,Resultados!K23,Resultados!T23,Resultados!AC23,Resultados!AL23,Resultados!AU23,Resultados!BD23,Resultados!BM23,Resultados!BV23,Resultados!CE23,Resultados!CN23,Resultados!CW23,Resultados!DF23,Resultados!DO23,Resultados!DX23)&lt;=1, "", _xlfn.STDEV.S(ABS(Resultados!B23),ABS(Resultados!K23),ABS(Resultados!T23),ABS(Resultados!AC23),ABS(Resultados!AL23),ABS(Resultados!AU23),ABS(Resultados!BD23),ABS(Resultados!BM23),ABS(Resultados!BV23),ABS(Resultados!CE23),ABS(Resultados!CN23),ABS(Resultados!CW23),ABS(Resultados!DF23),ABS(Resultados!DO23),ABS(Resultados!DX23))/SQRT(COUNT(Resultados!B23,Resultados!K23,Resultados!T23,Resultados!AC23,Resultados!AL23,Resultados!AU23,Resultados!BD23,Resultados!BM23,Resultados!BV23,Resultados!CE23,Resultados!CN23,Resultados!CW23,Resultados!DF23,Resultados!DO23,Resultados!DX23)))</f>
        <v/>
      </c>
      <c r="C23">
        <f>IF(COUNT(Resultados!C23,Resultados!L23,Resultados!U23,Resultados!AD23,Resultados!AM23,Resultados!AV23,Resultados!BE23,Resultados!BN23,Resultados!BW23,Resultados!CF23,Resultados!CO23,Resultados!CX23,Resultados!DG23,Resultados!DP23,Resultados!DY23)&lt;=1, "", _xlfn.STDEV.S(ABS(Resultados!C23),ABS(Resultados!L23),ABS(Resultados!U23),ABS(Resultados!AD23),ABS(Resultados!AM23),ABS(Resultados!AV23),ABS(Resultados!BE23),ABS(Resultados!BN23),ABS(Resultados!BW23),ABS(Resultados!CF23),ABS(Resultados!CO23),ABS(Resultados!CX23),ABS(Resultados!DG23),ABS(Resultados!DP23),ABS(Resultados!DY23))/SQRT(COUNT(Resultados!C23,Resultados!L23,Resultados!U23,Resultados!AD23,Resultados!AM23,Resultados!AV23,Resultados!BE23,Resultados!BN23,Resultados!BW23,Resultados!CF23,Resultados!CO23,Resultados!CX23,Resultados!DG23,Resultados!DP23,Resultados!DY23)))</f>
        <v>0.48007935851918326</v>
      </c>
      <c r="D23">
        <f>IF(COUNT(Resultados!D23,Resultados!M23,Resultados!V23,Resultados!AE23,Resultados!AN23,Resultados!AW23,Resultados!BF23,Resultados!BO23,Resultados!BX23,Resultados!CG23,Resultados!CP23,Resultados!CY23,Resultados!DH23,Resultados!DQ23,Resultados!DZ23)&lt;=1, "", _xlfn.STDEV.S(ABS(Resultados!D23),ABS(Resultados!M23),ABS(Resultados!V23),ABS(Resultados!AE23),ABS(Resultados!AN23),ABS(Resultados!AW23),ABS(Resultados!BF23),ABS(Resultados!BO23),ABS(Resultados!BX23),ABS(Resultados!CG23),ABS(Resultados!CP23),ABS(Resultados!CY23),ABS(Resultados!DH23),ABS(Resultados!DQ23),ABS(Resultados!DZ23))/SQRT(COUNT(Resultados!D23,Resultados!M23,Resultados!V23,Resultados!AE23,Resultados!AN23,Resultados!AW23,Resultados!BF23,Resultados!BO23,Resultados!BX23,Resultados!CG23,Resultados!CP23,Resultados!CY23,Resultados!DH23,Resultados!DQ23,Resultados!DZ23)))</f>
        <v>7.6081827294331229E-4</v>
      </c>
      <c r="E23">
        <f>IF(COUNT(Resultados!E23,Resultados!N23,Resultados!W23,Resultados!AF23,Resultados!AO23,Resultados!AX23,Resultados!BG23,Resultados!BP23,Resultados!BY23,Resultados!CH23,Resultados!CQ23,Resultados!CZ23,Resultados!DI23,Resultados!DR23,Resultados!EA23)&lt;=1, "", _xlfn.STDEV.S(ABS(Resultados!E23),ABS(Resultados!N23),ABS(Resultados!W23),ABS(Resultados!AF23),ABS(Resultados!AO23),ABS(Resultados!AX23),ABS(Resultados!BG23),ABS(Resultados!BP23),ABS(Resultados!BY23),ABS(Resultados!CH23),ABS(Resultados!CQ23),ABS(Resultados!CZ23),ABS(Resultados!DI23),ABS(Resultados!DR23),ABS(Resultados!EA23))/SQRT(COUNT(Resultados!E23,Resultados!N23,Resultados!W23,Resultados!AF23,Resultados!AO23,Resultados!AX23,Resultados!BG23,Resultados!BP23,Resultados!BY23,Resultados!CH23,Resultados!CQ23,Resultados!CZ23,Resultados!DI23,Resultados!DR23,Resultados!EA23)))</f>
        <v>2.8721030811106569E-2</v>
      </c>
      <c r="F23">
        <f>IF(COUNT(Resultados!F23,Resultados!O23,Resultados!X23,Resultados!AG23,Resultados!AP23,Resultados!AY23,Resultados!BH23,Resultados!BQ23,Resultados!BZ23,Resultados!CI23,Resultados!CR23,Resultados!DA23,Resultados!DJ23,Resultados!DS23,Resultados!EB23)&lt;=1, "", _xlfn.STDEV.S(ABS(Resultados!F23),ABS(Resultados!O23),ABS(Resultados!X23),ABS(Resultados!AG23),ABS(Resultados!AP23),ABS(Resultados!AY23),ABS(Resultados!BH23),ABS(Resultados!BQ23),ABS(Resultados!BZ23),ABS(Resultados!CI23),ABS(Resultados!CR23),ABS(Resultados!DA23),ABS(Resultados!DJ23),ABS(Resultados!DS23),ABS(Resultados!EB23))/SQRT(COUNT(Resultados!F23,Resultados!O23,Resultados!X23,Resultados!AG23,Resultados!AP23,Resultados!AY23,Resultados!BH23,Resultados!BQ23,Resultados!BZ23,Resultados!CI23,Resultados!CR23,Resultados!DA23,Resultados!DJ23,Resultados!DS23,Resultados!EB23)))</f>
        <v>4.1401006315289441</v>
      </c>
      <c r="G23">
        <f>IF(COUNT(Resultados!G23,Resultados!P23,Resultados!Y23,Resultados!AH23,Resultados!AQ23,Resultados!AZ23,Resultados!BI23,Resultados!BR23,Resultados!CA23,Resultados!CJ23,Resultados!CS23,Resultados!DB23,Resultados!DK23,Resultados!DT23,Resultados!EC23)&lt;=1, "", _xlfn.STDEV.S(ABS(Resultados!G23),ABS(Resultados!P23),ABS(Resultados!Y23),ABS(Resultados!AH23),ABS(Resultados!AQ23),ABS(Resultados!AZ23),ABS(Resultados!BI23),ABS(Resultados!BR23),ABS(Resultados!CA23),ABS(Resultados!CJ23),ABS(Resultados!CS23),ABS(Resultados!DB23),ABS(Resultados!DK23),ABS(Resultados!DT23),ABS(Resultados!EC23))/SQRT(COUNT(Resultados!G23,Resultados!P23,Resultados!Y23,Resultados!AH23,Resultados!AQ23,Resultados!AZ23,Resultados!BI23,Resultados!BR23,Resultados!CA23,Resultados!CJ23,Resultados!CS23,Resultados!DB23,Resultados!DK23,Resultados!DT23,Resultados!EC23)))</f>
        <v>4.4507937654163114E-17</v>
      </c>
      <c r="H23">
        <f>IF(COUNT(Resultados!H23,Resultados!Q23,Resultados!Z23,Resultados!AI23,Resultados!AR23,Resultados!BA23,Resultados!BJ23,Resultados!BS23,Resultados!CB23,Resultados!CK23,Resultados!CT23,Resultados!DC23,Resultados!DL23,Resultados!DU23,Resultados!ED23)&lt;=1, "", _xlfn.STDEV.S(ABS(Resultados!H23),ABS(Resultados!Q23),ABS(Resultados!Z23),ABS(Resultados!AI23),ABS(Resultados!AR23),ABS(Resultados!BA23),ABS(Resultados!BJ23),ABS(Resultados!BS23),ABS(Resultados!CB23),ABS(Resultados!CK23),ABS(Resultados!CT23),ABS(Resultados!DC23),ABS(Resultados!DL23),ABS(Resultados!DU23),ABS(Resultados!ED23))/SQRT(COUNT(Resultados!H23,Resultados!Q23,Resultados!Z23,Resultados!AI23,Resultados!AR23,Resultados!BA23,Resultados!BJ23,Resultados!BS23,Resultados!CB23,Resultados!CK23,Resultados!CT23,Resultados!DC23,Resultados!DL23,Resultados!DU23,Resultados!ED23)))</f>
        <v>4.4624002367577774E-4</v>
      </c>
      <c r="I23">
        <f>IF(COUNT(Resultados!I23,Resultados!R23,Resultados!AA23,Resultados!AJ23,Resultados!AS23,Resultados!BB23,Resultados!BK23,Resultados!BT23,Resultados!CC23,Resultados!CL23,Resultados!CU23,Resultados!DD23,Resultados!DM23,Resultados!DV23,Resultados!EE23)&lt;=1, "", _xlfn.STDEV.S(ABS(Resultados!I23),ABS(Resultados!R23),ABS(Resultados!AA23),ABS(Resultados!AJ23),ABS(Resultados!AS23),ABS(Resultados!BB23),ABS(Resultados!BK23),ABS(Resultados!BT23),ABS(Resultados!CC23),ABS(Resultados!CL23),ABS(Resultados!CU23),ABS(Resultados!DD23),ABS(Resultados!DM23),ABS(Resultados!DV23),ABS(Resultados!EE23))/SQRT(COUNT(Resultados!I23,Resultados!R23,Resultados!AA23,Resultados!AJ23,Resultados!AS23,Resultados!BB23,Resultados!BK23,Resultados!BT23,Resultados!CC23,Resultados!CL23,Resultados!CU23,Resultados!DD23,Resultados!DM23,Resultados!DV23,Resultados!EE23)))</f>
        <v>1.0570314226993431E-3</v>
      </c>
    </row>
    <row r="24" spans="1:9" x14ac:dyDescent="0.3">
      <c r="A24">
        <f>IF(COUNT(Resultados!A24,Resultados!J24,Resultados!S24,Resultados!AB24,Resultados!AK24,Resultados!AT24,Resultados!BC24,Resultados!BL24,Resultados!BU24,Resultados!CD24,Resultados!CM24,Resultados!CV24,Resultados!DE24,Resultados!DN24,Resultados!DW24)&lt;=1, "", _xlfn.STDEV.S(ABS(Resultados!A24),ABS(Resultados!J24),ABS(Resultados!S24),ABS(Resultados!AB24),ABS(Resultados!AK24),ABS(Resultados!AT24),ABS(Resultados!BC24),ABS(Resultados!BL24),ABS(Resultados!BU24),ABS(Resultados!CD24),ABS(Resultados!CM24),ABS(Resultados!CV24),ABS(Resultados!DE24),ABS(Resultados!DN24),ABS(Resultados!DW24))/SQRT(COUNT(Resultados!A24,Resultados!J24,Resultados!S24,Resultados!AB24,Resultados!AK24,Resultados!AT24,Resultados!BC24,Resultados!BL24,Resultados!BU24,Resultados!CD24,Resultados!CM24,Resultados!CV24,Resultados!DE24,Resultados!DN24,Resultados!DW24)))</f>
        <v>0</v>
      </c>
      <c r="B24" t="str">
        <f>IF(COUNT(Resultados!B24,Resultados!K24,Resultados!T24,Resultados!AC24,Resultados!AL24,Resultados!AU24,Resultados!BD24,Resultados!BM24,Resultados!BV24,Resultados!CE24,Resultados!CN24,Resultados!CW24,Resultados!DF24,Resultados!DO24,Resultados!DX24)&lt;=1, "", _xlfn.STDEV.S(ABS(Resultados!B24),ABS(Resultados!K24),ABS(Resultados!T24),ABS(Resultados!AC24),ABS(Resultados!AL24),ABS(Resultados!AU24),ABS(Resultados!BD24),ABS(Resultados!BM24),ABS(Resultados!BV24),ABS(Resultados!CE24),ABS(Resultados!CN24),ABS(Resultados!CW24),ABS(Resultados!DF24),ABS(Resultados!DO24),ABS(Resultados!DX24))/SQRT(COUNT(Resultados!B24,Resultados!K24,Resultados!T24,Resultados!AC24,Resultados!AL24,Resultados!AU24,Resultados!BD24,Resultados!BM24,Resultados!BV24,Resultados!CE24,Resultados!CN24,Resultados!CW24,Resultados!DF24,Resultados!DO24,Resultados!DX24)))</f>
        <v/>
      </c>
      <c r="C24">
        <f>IF(COUNT(Resultados!C24,Resultados!L24,Resultados!U24,Resultados!AD24,Resultados!AM24,Resultados!AV24,Resultados!BE24,Resultados!BN24,Resultados!BW24,Resultados!CF24,Resultados!CO24,Resultados!CX24,Resultados!DG24,Resultados!DP24,Resultados!DY24)&lt;=1, "", _xlfn.STDEV.S(ABS(Resultados!C24),ABS(Resultados!L24),ABS(Resultados!U24),ABS(Resultados!AD24),ABS(Resultados!AM24),ABS(Resultados!AV24),ABS(Resultados!BE24),ABS(Resultados!BN24),ABS(Resultados!BW24),ABS(Resultados!CF24),ABS(Resultados!CO24),ABS(Resultados!CX24),ABS(Resultados!DG24),ABS(Resultados!DP24),ABS(Resultados!DY24))/SQRT(COUNT(Resultados!C24,Resultados!L24,Resultados!U24,Resultados!AD24,Resultados!AM24,Resultados!AV24,Resultados!BE24,Resultados!BN24,Resultados!BW24,Resultados!CF24,Resultados!CO24,Resultados!CX24,Resultados!DG24,Resultados!DP24,Resultados!DY24)))</f>
        <v>0.48007935851918326</v>
      </c>
      <c r="D24">
        <f>IF(COUNT(Resultados!D24,Resultados!M24,Resultados!V24,Resultados!AE24,Resultados!AN24,Resultados!AW24,Resultados!BF24,Resultados!BO24,Resultados!BX24,Resultados!CG24,Resultados!CP24,Resultados!CY24,Resultados!DH24,Resultados!DQ24,Resultados!DZ24)&lt;=1, "", _xlfn.STDEV.S(ABS(Resultados!D24),ABS(Resultados!M24),ABS(Resultados!V24),ABS(Resultados!AE24),ABS(Resultados!AN24),ABS(Resultados!AW24),ABS(Resultados!BF24),ABS(Resultados!BO24),ABS(Resultados!BX24),ABS(Resultados!CG24),ABS(Resultados!CP24),ABS(Resultados!CY24),ABS(Resultados!DH24),ABS(Resultados!DQ24),ABS(Resultados!DZ24))/SQRT(COUNT(Resultados!D24,Resultados!M24,Resultados!V24,Resultados!AE24,Resultados!AN24,Resultados!AW24,Resultados!BF24,Resultados!BO24,Resultados!BX24,Resultados!CG24,Resultados!CP24,Resultados!CY24,Resultados!DH24,Resultados!DQ24,Resultados!DZ24)))</f>
        <v>5.1416136062709412E-4</v>
      </c>
      <c r="E24">
        <f>IF(COUNT(Resultados!E24,Resultados!N24,Resultados!W24,Resultados!AF24,Resultados!AO24,Resultados!AX24,Resultados!BG24,Resultados!BP24,Resultados!BY24,Resultados!CH24,Resultados!CQ24,Resultados!CZ24,Resultados!DI24,Resultados!DR24,Resultados!EA24)&lt;=1, "", _xlfn.STDEV.S(ABS(Resultados!E24),ABS(Resultados!N24),ABS(Resultados!W24),ABS(Resultados!AF24),ABS(Resultados!AO24),ABS(Resultados!AX24),ABS(Resultados!BG24),ABS(Resultados!BP24),ABS(Resultados!BY24),ABS(Resultados!CH24),ABS(Resultados!CQ24),ABS(Resultados!CZ24),ABS(Resultados!DI24),ABS(Resultados!DR24),ABS(Resultados!EA24))/SQRT(COUNT(Resultados!E24,Resultados!N24,Resultados!W24,Resultados!AF24,Resultados!AO24,Resultados!AX24,Resultados!BG24,Resultados!BP24,Resultados!BY24,Resultados!CH24,Resultados!CQ24,Resultados!CZ24,Resultados!DI24,Resultados!DR24,Resultados!EA24)))</f>
        <v>9.8746892976437246E-3</v>
      </c>
      <c r="F24">
        <f>IF(COUNT(Resultados!F24,Resultados!O24,Resultados!X24,Resultados!AG24,Resultados!AP24,Resultados!AY24,Resultados!BH24,Resultados!BQ24,Resultados!BZ24,Resultados!CI24,Resultados!CR24,Resultados!DA24,Resultados!DJ24,Resultados!DS24,Resultados!EB24)&lt;=1, "", _xlfn.STDEV.S(ABS(Resultados!F24),ABS(Resultados!O24),ABS(Resultados!X24),ABS(Resultados!AG24),ABS(Resultados!AP24),ABS(Resultados!AY24),ABS(Resultados!BH24),ABS(Resultados!BQ24),ABS(Resultados!BZ24),ABS(Resultados!CI24),ABS(Resultados!CR24),ABS(Resultados!DA24),ABS(Resultados!DJ24),ABS(Resultados!DS24),ABS(Resultados!EB24))/SQRT(COUNT(Resultados!F24,Resultados!O24,Resultados!X24,Resultados!AG24,Resultados!AP24,Resultados!AY24,Resultados!BH24,Resultados!BQ24,Resultados!BZ24,Resultados!CI24,Resultados!CR24,Resultados!DA24,Resultados!DJ24,Resultados!DS24,Resultados!EB24)))</f>
        <v>5.9075391872209941</v>
      </c>
      <c r="G24">
        <f>IF(COUNT(Resultados!G24,Resultados!P24,Resultados!Y24,Resultados!AH24,Resultados!AQ24,Resultados!AZ24,Resultados!BI24,Resultados!BR24,Resultados!CA24,Resultados!CJ24,Resultados!CS24,Resultados!DB24,Resultados!DK24,Resultados!DT24,Resultados!EC24)&lt;=1, "", _xlfn.STDEV.S(ABS(Resultados!G24),ABS(Resultados!P24),ABS(Resultados!Y24),ABS(Resultados!AH24),ABS(Resultados!AQ24),ABS(Resultados!AZ24),ABS(Resultados!BI24),ABS(Resultados!BR24),ABS(Resultados!CA24),ABS(Resultados!CJ24),ABS(Resultados!CS24),ABS(Resultados!DB24),ABS(Resultados!DK24),ABS(Resultados!DT24),ABS(Resultados!EC24))/SQRT(COUNT(Resultados!G24,Resultados!P24,Resultados!Y24,Resultados!AH24,Resultados!AQ24,Resultados!AZ24,Resultados!BI24,Resultados!BR24,Resultados!CA24,Resultados!CJ24,Resultados!CS24,Resultados!DB24,Resultados!DK24,Resultados!DT24,Resultados!EC24)))</f>
        <v>4.4507937654163114E-17</v>
      </c>
      <c r="H24">
        <f>IF(COUNT(Resultados!H24,Resultados!Q24,Resultados!Z24,Resultados!AI24,Resultados!AR24,Resultados!BA24,Resultados!BJ24,Resultados!BS24,Resultados!CB24,Resultados!CK24,Resultados!CT24,Resultados!DC24,Resultados!DL24,Resultados!DU24,Resultados!ED24)&lt;=1, "", _xlfn.STDEV.S(ABS(Resultados!H24),ABS(Resultados!Q24),ABS(Resultados!Z24),ABS(Resultados!AI24),ABS(Resultados!AR24),ABS(Resultados!BA24),ABS(Resultados!BJ24),ABS(Resultados!BS24),ABS(Resultados!CB24),ABS(Resultados!CK24),ABS(Resultados!CT24),ABS(Resultados!DC24),ABS(Resultados!DL24),ABS(Resultados!DU24),ABS(Resultados!ED24))/SQRT(COUNT(Resultados!H24,Resultados!Q24,Resultados!Z24,Resultados!AI24,Resultados!AR24,Resultados!BA24,Resultados!BJ24,Resultados!BS24,Resultados!CB24,Resultados!CK24,Resultados!CT24,Resultados!DC24,Resultados!DL24,Resultados!DU24,Resultados!ED24)))</f>
        <v>1.5333333333333331E-4</v>
      </c>
      <c r="I24">
        <f>IF(COUNT(Resultados!I24,Resultados!R24,Resultados!AA24,Resultados!AJ24,Resultados!AS24,Resultados!BB24,Resultados!BK24,Resultados!BT24,Resultados!CC24,Resultados!CL24,Resultados!CU24,Resultados!DD24,Resultados!DM24,Resultados!DV24,Resultados!EE24)&lt;=1, "", _xlfn.STDEV.S(ABS(Resultados!I24),ABS(Resultados!R24),ABS(Resultados!AA24),ABS(Resultados!AJ24),ABS(Resultados!AS24),ABS(Resultados!BB24),ABS(Resultados!BK24),ABS(Resultados!BT24),ABS(Resultados!CC24),ABS(Resultados!CL24),ABS(Resultados!CU24),ABS(Resultados!DD24),ABS(Resultados!DM24),ABS(Resultados!DV24),ABS(Resultados!EE24))/SQRT(COUNT(Resultados!I24,Resultados!R24,Resultados!AA24,Resultados!AJ24,Resultados!AS24,Resultados!BB24,Resultados!BK24,Resultados!BT24,Resultados!CC24,Resultados!CL24,Resultados!CU24,Resultados!DD24,Resultados!DM24,Resultados!DV24,Resultados!EE24)))</f>
        <v>7.7188032627666017E-4</v>
      </c>
    </row>
    <row r="25" spans="1:9" x14ac:dyDescent="0.3">
      <c r="A25">
        <f>IF(COUNT(Resultados!A25,Resultados!J25,Resultados!S25,Resultados!AB25,Resultados!AK25,Resultados!AT25,Resultados!BC25,Resultados!BL25,Resultados!BU25,Resultados!CD25,Resultados!CM25,Resultados!CV25,Resultados!DE25,Resultados!DN25,Resultados!DW25)&lt;=1, "", _xlfn.STDEV.S(ABS(Resultados!A25),ABS(Resultados!J25),ABS(Resultados!S25),ABS(Resultados!AB25),ABS(Resultados!AK25),ABS(Resultados!AT25),ABS(Resultados!BC25),ABS(Resultados!BL25),ABS(Resultados!BU25),ABS(Resultados!CD25),ABS(Resultados!CM25),ABS(Resultados!CV25),ABS(Resultados!DE25),ABS(Resultados!DN25),ABS(Resultados!DW25))/SQRT(COUNT(Resultados!A25,Resultados!J25,Resultados!S25,Resultados!AB25,Resultados!AK25,Resultados!AT25,Resultados!BC25,Resultados!BL25,Resultados!BU25,Resultados!CD25,Resultados!CM25,Resultados!CV25,Resultados!DE25,Resultados!DN25,Resultados!DW25)))</f>
        <v>0</v>
      </c>
      <c r="B25" t="str">
        <f>IF(COUNT(Resultados!B25,Resultados!K25,Resultados!T25,Resultados!AC25,Resultados!AL25,Resultados!AU25,Resultados!BD25,Resultados!BM25,Resultados!BV25,Resultados!CE25,Resultados!CN25,Resultados!CW25,Resultados!DF25,Resultados!DO25,Resultados!DX25)&lt;=1, "", _xlfn.STDEV.S(ABS(Resultados!B25),ABS(Resultados!K25),ABS(Resultados!T25),ABS(Resultados!AC25),ABS(Resultados!AL25),ABS(Resultados!AU25),ABS(Resultados!BD25),ABS(Resultados!BM25),ABS(Resultados!BV25),ABS(Resultados!CE25),ABS(Resultados!CN25),ABS(Resultados!CW25),ABS(Resultados!DF25),ABS(Resultados!DO25),ABS(Resultados!DX25))/SQRT(COUNT(Resultados!B25,Resultados!K25,Resultados!T25,Resultados!AC25,Resultados!AL25,Resultados!AU25,Resultados!BD25,Resultados!BM25,Resultados!BV25,Resultados!CE25,Resultados!CN25,Resultados!CW25,Resultados!DF25,Resultados!DO25,Resultados!DX25)))</f>
        <v/>
      </c>
      <c r="C25">
        <f>IF(COUNT(Resultados!C25,Resultados!L25,Resultados!U25,Resultados!AD25,Resultados!AM25,Resultados!AV25,Resultados!BE25,Resultados!BN25,Resultados!BW25,Resultados!CF25,Resultados!CO25,Resultados!CX25,Resultados!DG25,Resultados!DP25,Resultados!DY25)&lt;=1, "", _xlfn.STDEV.S(ABS(Resultados!C25),ABS(Resultados!L25),ABS(Resultados!U25),ABS(Resultados!AD25),ABS(Resultados!AM25),ABS(Resultados!AV25),ABS(Resultados!BE25),ABS(Resultados!BN25),ABS(Resultados!BW25),ABS(Resultados!CF25),ABS(Resultados!CO25),ABS(Resultados!CX25),ABS(Resultados!DG25),ABS(Resultados!DP25),ABS(Resultados!DY25))/SQRT(COUNT(Resultados!C25,Resultados!L25,Resultados!U25,Resultados!AD25,Resultados!AM25,Resultados!AV25,Resultados!BE25,Resultados!BN25,Resultados!BW25,Resultados!CF25,Resultados!CO25,Resultados!CX25,Resultados!DG25,Resultados!DP25,Resultados!DY25)))</f>
        <v>0.48007935851918326</v>
      </c>
      <c r="D25">
        <f>IF(COUNT(Resultados!D25,Resultados!M25,Resultados!V25,Resultados!AE25,Resultados!AN25,Resultados!AW25,Resultados!BF25,Resultados!BO25,Resultados!BX25,Resultados!CG25,Resultados!CP25,Resultados!CY25,Resultados!DH25,Resultados!DQ25,Resultados!DZ25)&lt;=1, "", _xlfn.STDEV.S(ABS(Resultados!D25),ABS(Resultados!M25),ABS(Resultados!V25),ABS(Resultados!AE25),ABS(Resultados!AN25),ABS(Resultados!AW25),ABS(Resultados!BF25),ABS(Resultados!BO25),ABS(Resultados!BX25),ABS(Resultados!CG25),ABS(Resultados!CP25),ABS(Resultados!CY25),ABS(Resultados!DH25),ABS(Resultados!DQ25),ABS(Resultados!DZ25))/SQRT(COUNT(Resultados!D25,Resultados!M25,Resultados!V25,Resultados!AE25,Resultados!AN25,Resultados!AW25,Resultados!BF25,Resultados!BO25,Resultados!BX25,Resultados!CG25,Resultados!CP25,Resultados!CY25,Resultados!DH25,Resultados!DQ25,Resultados!DZ25)))</f>
        <v>2.5878838569655437E-4</v>
      </c>
      <c r="E25">
        <f>IF(COUNT(Resultados!E25,Resultados!N25,Resultados!W25,Resultados!AF25,Resultados!AO25,Resultados!AX25,Resultados!BG25,Resultados!BP25,Resultados!BY25,Resultados!CH25,Resultados!CQ25,Resultados!CZ25,Resultados!DI25,Resultados!DR25,Resultados!EA25)&lt;=1, "", _xlfn.STDEV.S(ABS(Resultados!E25),ABS(Resultados!N25),ABS(Resultados!W25),ABS(Resultados!AF25),ABS(Resultados!AO25),ABS(Resultados!AX25),ABS(Resultados!BG25),ABS(Resultados!BP25),ABS(Resultados!BY25),ABS(Resultados!CH25),ABS(Resultados!CQ25),ABS(Resultados!CZ25),ABS(Resultados!DI25),ABS(Resultados!DR25),ABS(Resultados!EA25))/SQRT(COUNT(Resultados!E25,Resultados!N25,Resultados!W25,Resultados!AF25,Resultados!AO25,Resultados!AX25,Resultados!BG25,Resultados!BP25,Resultados!BY25,Resultados!CH25,Resultados!CQ25,Resultados!CZ25,Resultados!DI25,Resultados!DR25,Resultados!EA25)))</f>
        <v>1.0086643466225665E-2</v>
      </c>
      <c r="F25">
        <f>IF(COUNT(Resultados!F25,Resultados!O25,Resultados!X25,Resultados!AG25,Resultados!AP25,Resultados!AY25,Resultados!BH25,Resultados!BQ25,Resultados!BZ25,Resultados!CI25,Resultados!CR25,Resultados!DA25,Resultados!DJ25,Resultados!DS25,Resultados!EB25)&lt;=1, "", _xlfn.STDEV.S(ABS(Resultados!F25),ABS(Resultados!O25),ABS(Resultados!X25),ABS(Resultados!AG25),ABS(Resultados!AP25),ABS(Resultados!AY25),ABS(Resultados!BH25),ABS(Resultados!BQ25),ABS(Resultados!BZ25),ABS(Resultados!CI25),ABS(Resultados!CR25),ABS(Resultados!DA25),ABS(Resultados!DJ25),ABS(Resultados!DS25),ABS(Resultados!EB25))/SQRT(COUNT(Resultados!F25,Resultados!O25,Resultados!X25,Resultados!AG25,Resultados!AP25,Resultados!AY25,Resultados!BH25,Resultados!BQ25,Resultados!BZ25,Resultados!CI25,Resultados!CR25,Resultados!DA25,Resultados!DJ25,Resultados!DS25,Resultados!EB25)))</f>
        <v>7.7839281271207295</v>
      </c>
      <c r="G25">
        <f>IF(COUNT(Resultados!G25,Resultados!P25,Resultados!Y25,Resultados!AH25,Resultados!AQ25,Resultados!AZ25,Resultados!BI25,Resultados!BR25,Resultados!CA25,Resultados!CJ25,Resultados!CS25,Resultados!DB25,Resultados!DK25,Resultados!DT25,Resultados!EC25)&lt;=1, "", _xlfn.STDEV.S(ABS(Resultados!G25),ABS(Resultados!P25),ABS(Resultados!Y25),ABS(Resultados!AH25),ABS(Resultados!AQ25),ABS(Resultados!AZ25),ABS(Resultados!BI25),ABS(Resultados!BR25),ABS(Resultados!CA25),ABS(Resultados!CJ25),ABS(Resultados!CS25),ABS(Resultados!DB25),ABS(Resultados!DK25),ABS(Resultados!DT25),ABS(Resultados!EC25))/SQRT(COUNT(Resultados!G25,Resultados!P25,Resultados!Y25,Resultados!AH25,Resultados!AQ25,Resultados!AZ25,Resultados!BI25,Resultados!BR25,Resultados!CA25,Resultados!CJ25,Resultados!CS25,Resultados!DB25,Resultados!DK25,Resultados!DT25,Resultados!EC25)))</f>
        <v>4.4507937654163114E-17</v>
      </c>
      <c r="H25">
        <f>IF(COUNT(Resultados!H25,Resultados!Q25,Resultados!Z25,Resultados!AI25,Resultados!AR25,Resultados!BA25,Resultados!BJ25,Resultados!BS25,Resultados!CB25,Resultados!CK25,Resultados!CT25,Resultados!DC25,Resultados!DL25,Resultados!DU25,Resultados!ED25)&lt;=1, "", _xlfn.STDEV.S(ABS(Resultados!H25),ABS(Resultados!Q25),ABS(Resultados!Z25),ABS(Resultados!AI25),ABS(Resultados!AR25),ABS(Resultados!BA25),ABS(Resultados!BJ25),ABS(Resultados!BS25),ABS(Resultados!CB25),ABS(Resultados!CK25),ABS(Resultados!CT25),ABS(Resultados!DC25),ABS(Resultados!DL25),ABS(Resultados!DU25),ABS(Resultados!ED25))/SQRT(COUNT(Resultados!H25,Resultados!Q25,Resultados!Z25,Resultados!AI25,Resultados!AR25,Resultados!BA25,Resultados!BJ25,Resultados!BS25,Resultados!CB25,Resultados!CK25,Resultados!CT25,Resultados!DC25,Resultados!DL25,Resultados!DU25,Resultados!ED25)))</f>
        <v>1.5455003812912588E-4</v>
      </c>
      <c r="I25">
        <f>IF(COUNT(Resultados!I25,Resultados!R25,Resultados!AA25,Resultados!AJ25,Resultados!AS25,Resultados!BB25,Resultados!BK25,Resultados!BT25,Resultados!CC25,Resultados!CL25,Resultados!CU25,Resultados!DD25,Resultados!DM25,Resultados!DV25,Resultados!EE25)&lt;=1, "", _xlfn.STDEV.S(ABS(Resultados!I25),ABS(Resultados!R25),ABS(Resultados!AA25),ABS(Resultados!AJ25),ABS(Resultados!AS25),ABS(Resultados!BB25),ABS(Resultados!BK25),ABS(Resultados!BT25),ABS(Resultados!CC25),ABS(Resultados!CL25),ABS(Resultados!CU25),ABS(Resultados!DD25),ABS(Resultados!DM25),ABS(Resultados!DV25),ABS(Resultados!EE25))/SQRT(COUNT(Resultados!I25,Resultados!R25,Resultados!AA25,Resultados!AJ25,Resultados!AS25,Resultados!BB25,Resultados!BK25,Resultados!BT25,Resultados!CC25,Resultados!CL25,Resultados!CU25,Resultados!DD25,Resultados!DM25,Resultados!DV25,Resultados!EE25)))</f>
        <v>6.2073305358326385E-4</v>
      </c>
    </row>
    <row r="26" spans="1:9" x14ac:dyDescent="0.3">
      <c r="A26">
        <f>IF(COUNT(Resultados!A26,Resultados!J26,Resultados!S26,Resultados!AB26,Resultados!AK26,Resultados!AT26,Resultados!BC26,Resultados!BL26,Resultados!BU26,Resultados!CD26,Resultados!CM26,Resultados!CV26,Resultados!DE26,Resultados!DN26,Resultados!DW26)&lt;=1, "", _xlfn.STDEV.S(ABS(Resultados!A26),ABS(Resultados!J26),ABS(Resultados!S26),ABS(Resultados!AB26),ABS(Resultados!AK26),ABS(Resultados!AT26),ABS(Resultados!BC26),ABS(Resultados!BL26),ABS(Resultados!BU26),ABS(Resultados!CD26),ABS(Resultados!CM26),ABS(Resultados!CV26),ABS(Resultados!DE26),ABS(Resultados!DN26),ABS(Resultados!DW26))/SQRT(COUNT(Resultados!A26,Resultados!J26,Resultados!S26,Resultados!AB26,Resultados!AK26,Resultados!AT26,Resultados!BC26,Resultados!BL26,Resultados!BU26,Resultados!CD26,Resultados!CM26,Resultados!CV26,Resultados!DE26,Resultados!DN26,Resultados!DW26)))</f>
        <v>0</v>
      </c>
      <c r="B26" t="str">
        <f>IF(COUNT(Resultados!B26,Resultados!K26,Resultados!T26,Resultados!AC26,Resultados!AL26,Resultados!AU26,Resultados!BD26,Resultados!BM26,Resultados!BV26,Resultados!CE26,Resultados!CN26,Resultados!CW26,Resultados!DF26,Resultados!DO26,Resultados!DX26)&lt;=1, "", _xlfn.STDEV.S(ABS(Resultados!B26),ABS(Resultados!K26),ABS(Resultados!T26),ABS(Resultados!AC26),ABS(Resultados!AL26),ABS(Resultados!AU26),ABS(Resultados!BD26),ABS(Resultados!BM26),ABS(Resultados!BV26),ABS(Resultados!CE26),ABS(Resultados!CN26),ABS(Resultados!CW26),ABS(Resultados!DF26),ABS(Resultados!DO26),ABS(Resultados!DX26))/SQRT(COUNT(Resultados!B26,Resultados!K26,Resultados!T26,Resultados!AC26,Resultados!AL26,Resultados!AU26,Resultados!BD26,Resultados!BM26,Resultados!BV26,Resultados!CE26,Resultados!CN26,Resultados!CW26,Resultados!DF26,Resultados!DO26,Resultados!DX26)))</f>
        <v/>
      </c>
      <c r="C26">
        <f>IF(COUNT(Resultados!C26,Resultados!L26,Resultados!U26,Resultados!AD26,Resultados!AM26,Resultados!AV26,Resultados!BE26,Resultados!BN26,Resultados!BW26,Resultados!CF26,Resultados!CO26,Resultados!CX26,Resultados!DG26,Resultados!DP26,Resultados!DY26)&lt;=1, "", _xlfn.STDEV.S(ABS(Resultados!C26),ABS(Resultados!L26),ABS(Resultados!U26),ABS(Resultados!AD26),ABS(Resultados!AM26),ABS(Resultados!AV26),ABS(Resultados!BE26),ABS(Resultados!BN26),ABS(Resultados!BW26),ABS(Resultados!CF26),ABS(Resultados!CO26),ABS(Resultados!CX26),ABS(Resultados!DG26),ABS(Resultados!DP26),ABS(Resultados!DY26))/SQRT(COUNT(Resultados!C26,Resultados!L26,Resultados!U26,Resultados!AD26,Resultados!AM26,Resultados!AV26,Resultados!BE26,Resultados!BN26,Resultados!BW26,Resultados!CF26,Resultados!CO26,Resultados!CX26,Resultados!DG26,Resultados!DP26,Resultados!DY26)))</f>
        <v>0.48007935851918326</v>
      </c>
      <c r="D26">
        <f>IF(COUNT(Resultados!D26,Resultados!M26,Resultados!V26,Resultados!AE26,Resultados!AN26,Resultados!AW26,Resultados!BF26,Resultados!BO26,Resultados!BX26,Resultados!CG26,Resultados!CP26,Resultados!CY26,Resultados!DH26,Resultados!DQ26,Resultados!DZ26)&lt;=1, "", _xlfn.STDEV.S(ABS(Resultados!D26),ABS(Resultados!M26),ABS(Resultados!V26),ABS(Resultados!AE26),ABS(Resultados!AN26),ABS(Resultados!AW26),ABS(Resultados!BF26),ABS(Resultados!BO26),ABS(Resultados!BX26),ABS(Resultados!CG26),ABS(Resultados!CP26),ABS(Resultados!CY26),ABS(Resultados!DH26),ABS(Resultados!DQ26),ABS(Resultados!DZ26))/SQRT(COUNT(Resultados!D26,Resultados!M26,Resultados!V26,Resultados!AE26,Resultados!AN26,Resultados!AW26,Resultados!BF26,Resultados!BO26,Resultados!BX26,Resultados!CG26,Resultados!CP26,Resultados!CY26,Resultados!DH26,Resultados!DQ26,Resultados!DZ26)))</f>
        <v>8.9336176216314394E-5</v>
      </c>
      <c r="E26">
        <f>IF(COUNT(Resultados!E26,Resultados!N26,Resultados!W26,Resultados!AF26,Resultados!AO26,Resultados!AX26,Resultados!BG26,Resultados!BP26,Resultados!BY26,Resultados!CH26,Resultados!CQ26,Resultados!CZ26,Resultados!DI26,Resultados!DR26,Resultados!EA26)&lt;=1, "", _xlfn.STDEV.S(ABS(Resultados!E26),ABS(Resultados!N26),ABS(Resultados!W26),ABS(Resultados!AF26),ABS(Resultados!AO26),ABS(Resultados!AX26),ABS(Resultados!BG26),ABS(Resultados!BP26),ABS(Resultados!BY26),ABS(Resultados!CH26),ABS(Resultados!CQ26),ABS(Resultados!CZ26),ABS(Resultados!DI26),ABS(Resultados!DR26),ABS(Resultados!EA26))/SQRT(COUNT(Resultados!E26,Resultados!N26,Resultados!W26,Resultados!AF26,Resultados!AO26,Resultados!AX26,Resultados!BG26,Resultados!BP26,Resultados!BY26,Resultados!CH26,Resultados!CQ26,Resultados!CZ26,Resultados!DI26,Resultados!DR26,Resultados!EA26)))</f>
        <v>2.9009649687862592E-2</v>
      </c>
      <c r="F26">
        <f>IF(COUNT(Resultados!F26,Resultados!O26,Resultados!X26,Resultados!AG26,Resultados!AP26,Resultados!AY26,Resultados!BH26,Resultados!BQ26,Resultados!BZ26,Resultados!CI26,Resultados!CR26,Resultados!DA26,Resultados!DJ26,Resultados!DS26,Resultados!EB26)&lt;=1, "", _xlfn.STDEV.S(ABS(Resultados!F26),ABS(Resultados!O26),ABS(Resultados!X26),ABS(Resultados!AG26),ABS(Resultados!AP26),ABS(Resultados!AY26),ABS(Resultados!BH26),ABS(Resultados!BQ26),ABS(Resultados!BZ26),ABS(Resultados!CI26),ABS(Resultados!CR26),ABS(Resultados!DA26),ABS(Resultados!DJ26),ABS(Resultados!DS26),ABS(Resultados!EB26))/SQRT(COUNT(Resultados!F26,Resultados!O26,Resultados!X26,Resultados!AG26,Resultados!AP26,Resultados!AY26,Resultados!BH26,Resultados!BQ26,Resultados!BZ26,Resultados!CI26,Resultados!CR26,Resultados!DA26,Resultados!DJ26,Resultados!DS26,Resultados!EB26)))</f>
        <v>9.5693325611547859</v>
      </c>
      <c r="G26">
        <f>IF(COUNT(Resultados!G26,Resultados!P26,Resultados!Y26,Resultados!AH26,Resultados!AQ26,Resultados!AZ26,Resultados!BI26,Resultados!BR26,Resultados!CA26,Resultados!CJ26,Resultados!CS26,Resultados!DB26,Resultados!DK26,Resultados!DT26,Resultados!EC26)&lt;=1, "", _xlfn.STDEV.S(ABS(Resultados!G26),ABS(Resultados!P26),ABS(Resultados!Y26),ABS(Resultados!AH26),ABS(Resultados!AQ26),ABS(Resultados!AZ26),ABS(Resultados!BI26),ABS(Resultados!BR26),ABS(Resultados!CA26),ABS(Resultados!CJ26),ABS(Resultados!CS26),ABS(Resultados!DB26),ABS(Resultados!DK26),ABS(Resultados!DT26),ABS(Resultados!EC26))/SQRT(COUNT(Resultados!G26,Resultados!P26,Resultados!Y26,Resultados!AH26,Resultados!AQ26,Resultados!AZ26,Resultados!BI26,Resultados!BR26,Resultados!CA26,Resultados!CJ26,Resultados!CS26,Resultados!DB26,Resultados!DK26,Resultados!DT26,Resultados!EC26)))</f>
        <v>4.4507937654163114E-17</v>
      </c>
      <c r="H26">
        <f>IF(COUNT(Resultados!H26,Resultados!Q26,Resultados!Z26,Resultados!AI26,Resultados!AR26,Resultados!BA26,Resultados!BJ26,Resultados!BS26,Resultados!CB26,Resultados!CK26,Resultados!CT26,Resultados!DC26,Resultados!DL26,Resultados!DU26,Resultados!ED26)&lt;=1, "", _xlfn.STDEV.S(ABS(Resultados!H26),ABS(Resultados!Q26),ABS(Resultados!Z26),ABS(Resultados!AI26),ABS(Resultados!AR26),ABS(Resultados!BA26),ABS(Resultados!BJ26),ABS(Resultados!BS26),ABS(Resultados!CB26),ABS(Resultados!CK26),ABS(Resultados!CT26),ABS(Resultados!DC26),ABS(Resultados!DL26),ABS(Resultados!DU26),ABS(Resultados!ED26))/SQRT(COUNT(Resultados!H26,Resultados!Q26,Resultados!Z26,Resultados!AI26,Resultados!AR26,Resultados!BA26,Resultados!BJ26,Resultados!BS26,Resultados!CB26,Resultados!CK26,Resultados!CT26,Resultados!DC26,Resultados!DL26,Resultados!DU26,Resultados!ED26)))</f>
        <v>4.506573681768263E-4</v>
      </c>
      <c r="I26">
        <f>IF(COUNT(Resultados!I26,Resultados!R26,Resultados!AA26,Resultados!AJ26,Resultados!AS26,Resultados!BB26,Resultados!BK26,Resultados!BT26,Resultados!CC26,Resultados!CL26,Resultados!CU26,Resultados!DD26,Resultados!DM26,Resultados!DV26,Resultados!EE26)&lt;=1, "", _xlfn.STDEV.S(ABS(Resultados!I26),ABS(Resultados!R26),ABS(Resultados!AA26),ABS(Resultados!AJ26),ABS(Resultados!AS26),ABS(Resultados!BB26),ABS(Resultados!BK26),ABS(Resultados!BT26),ABS(Resultados!CC26),ABS(Resultados!CL26),ABS(Resultados!CU26),ABS(Resultados!DD26),ABS(Resultados!DM26),ABS(Resultados!DV26),ABS(Resultados!EE26))/SQRT(COUNT(Resultados!I26,Resultados!R26,Resultados!AA26,Resultados!AJ26,Resultados!AS26,Resultados!BB26,Resultados!BK26,Resultados!BT26,Resultados!CC26,Resultados!CL26,Resultados!CU26,Resultados!DD26,Resultados!DM26,Resultados!DV26,Resultados!EE26)))</f>
        <v>8.2168912361794651E-4</v>
      </c>
    </row>
    <row r="27" spans="1:9" x14ac:dyDescent="0.3">
      <c r="A27">
        <f>IF(COUNT(Resultados!A27,Resultados!J27,Resultados!S27,Resultados!AB27,Resultados!AK27,Resultados!AT27,Resultados!BC27,Resultados!BL27,Resultados!BU27,Resultados!CD27,Resultados!CM27,Resultados!CV27,Resultados!DE27,Resultados!DN27,Resultados!DW27)&lt;=1, "", _xlfn.STDEV.S(ABS(Resultados!A27),ABS(Resultados!J27),ABS(Resultados!S27),ABS(Resultados!AB27),ABS(Resultados!AK27),ABS(Resultados!AT27),ABS(Resultados!BC27),ABS(Resultados!BL27),ABS(Resultados!BU27),ABS(Resultados!CD27),ABS(Resultados!CM27),ABS(Resultados!CV27),ABS(Resultados!DE27),ABS(Resultados!DN27),ABS(Resultados!DW27))/SQRT(COUNT(Resultados!A27,Resultados!J27,Resultados!S27,Resultados!AB27,Resultados!AK27,Resultados!AT27,Resultados!BC27,Resultados!BL27,Resultados!BU27,Resultados!CD27,Resultados!CM27,Resultados!CV27,Resultados!DE27,Resultados!DN27,Resultados!DW27)))</f>
        <v>0</v>
      </c>
      <c r="B27" t="str">
        <f>IF(COUNT(Resultados!B27,Resultados!K27,Resultados!T27,Resultados!AC27,Resultados!AL27,Resultados!AU27,Resultados!BD27,Resultados!BM27,Resultados!BV27,Resultados!CE27,Resultados!CN27,Resultados!CW27,Resultados!DF27,Resultados!DO27,Resultados!DX27)&lt;=1, "", _xlfn.STDEV.S(ABS(Resultados!B27),ABS(Resultados!K27),ABS(Resultados!T27),ABS(Resultados!AC27),ABS(Resultados!AL27),ABS(Resultados!AU27),ABS(Resultados!BD27),ABS(Resultados!BM27),ABS(Resultados!BV27),ABS(Resultados!CE27),ABS(Resultados!CN27),ABS(Resultados!CW27),ABS(Resultados!DF27),ABS(Resultados!DO27),ABS(Resultados!DX27))/SQRT(COUNT(Resultados!B27,Resultados!K27,Resultados!T27,Resultados!AC27,Resultados!AL27,Resultados!AU27,Resultados!BD27,Resultados!BM27,Resultados!BV27,Resultados!CE27,Resultados!CN27,Resultados!CW27,Resultados!DF27,Resultados!DO27,Resultados!DX27)))</f>
        <v/>
      </c>
      <c r="C27">
        <f>IF(COUNT(Resultados!C27,Resultados!L27,Resultados!U27,Resultados!AD27,Resultados!AM27,Resultados!AV27,Resultados!BE27,Resultados!BN27,Resultados!BW27,Resultados!CF27,Resultados!CO27,Resultados!CX27,Resultados!DG27,Resultados!DP27,Resultados!DY27)&lt;=1, "", _xlfn.STDEV.S(ABS(Resultados!C27),ABS(Resultados!L27),ABS(Resultados!U27),ABS(Resultados!AD27),ABS(Resultados!AM27),ABS(Resultados!AV27),ABS(Resultados!BE27),ABS(Resultados!BN27),ABS(Resultados!BW27),ABS(Resultados!CF27),ABS(Resultados!CO27),ABS(Resultados!CX27),ABS(Resultados!DG27),ABS(Resultados!DP27),ABS(Resultados!DY27))/SQRT(COUNT(Resultados!C27,Resultados!L27,Resultados!U27,Resultados!AD27,Resultados!AM27,Resultados!AV27,Resultados!BE27,Resultados!BN27,Resultados!BW27,Resultados!CF27,Resultados!CO27,Resultados!CX27,Resultados!DG27,Resultados!DP27,Resultados!DY27)))</f>
        <v>0.48007935851918326</v>
      </c>
      <c r="D27">
        <f>IF(COUNT(Resultados!D27,Resultados!M27,Resultados!V27,Resultados!AE27,Resultados!AN27,Resultados!AW27,Resultados!BF27,Resultados!BO27,Resultados!BX27,Resultados!CG27,Resultados!CP27,Resultados!CY27,Resultados!DH27,Resultados!DQ27,Resultados!DZ27)&lt;=1, "", _xlfn.STDEV.S(ABS(Resultados!D27),ABS(Resultados!M27),ABS(Resultados!V27),ABS(Resultados!AE27),ABS(Resultados!AN27),ABS(Resultados!AW27),ABS(Resultados!BF27),ABS(Resultados!BO27),ABS(Resultados!BX27),ABS(Resultados!CG27),ABS(Resultados!CP27),ABS(Resultados!CY27),ABS(Resultados!DH27),ABS(Resultados!DQ27),ABS(Resultados!DZ27))/SQRT(COUNT(Resultados!D27,Resultados!M27,Resultados!V27,Resultados!AE27,Resultados!AN27,Resultados!AW27,Resultados!BF27,Resultados!BO27,Resultados!BX27,Resultados!CG27,Resultados!CP27,Resultados!CY27,Resultados!DH27,Resultados!DQ27,Resultados!DZ27)))</f>
        <v>3.4209438964790317E-4</v>
      </c>
      <c r="E27">
        <f>IF(COUNT(Resultados!E27,Resultados!N27,Resultados!W27,Resultados!AF27,Resultados!AO27,Resultados!AX27,Resultados!BG27,Resultados!BP27,Resultados!BY27,Resultados!CH27,Resultados!CQ27,Resultados!CZ27,Resultados!DI27,Resultados!DR27,Resultados!EA27)&lt;=1, "", _xlfn.STDEV.S(ABS(Resultados!E27),ABS(Resultados!N27),ABS(Resultados!W27),ABS(Resultados!AF27),ABS(Resultados!AO27),ABS(Resultados!AX27),ABS(Resultados!BG27),ABS(Resultados!BP27),ABS(Resultados!BY27),ABS(Resultados!CH27),ABS(Resultados!CQ27),ABS(Resultados!CZ27),ABS(Resultados!DI27),ABS(Resultados!DR27),ABS(Resultados!EA27))/SQRT(COUNT(Resultados!E27,Resultados!N27,Resultados!W27,Resultados!AF27,Resultados!AO27,Resultados!AX27,Resultados!BG27,Resultados!BP27,Resultados!BY27,Resultados!CH27,Resultados!CQ27,Resultados!CZ27,Resultados!DI27,Resultados!DR27,Resultados!EA27)))</f>
        <v>4.5109689511291261E-2</v>
      </c>
      <c r="F27">
        <f>IF(COUNT(Resultados!F27,Resultados!O27,Resultados!X27,Resultados!AG27,Resultados!AP27,Resultados!AY27,Resultados!BH27,Resultados!BQ27,Resultados!BZ27,Resultados!CI27,Resultados!CR27,Resultados!DA27,Resultados!DJ27,Resultados!DS27,Resultados!EB27)&lt;=1, "", _xlfn.STDEV.S(ABS(Resultados!F27),ABS(Resultados!O27),ABS(Resultados!X27),ABS(Resultados!AG27),ABS(Resultados!AP27),ABS(Resultados!AY27),ABS(Resultados!BH27),ABS(Resultados!BQ27),ABS(Resultados!BZ27),ABS(Resultados!CI27),ABS(Resultados!CR27),ABS(Resultados!DA27),ABS(Resultados!DJ27),ABS(Resultados!DS27),ABS(Resultados!EB27))/SQRT(COUNT(Resultados!F27,Resultados!O27,Resultados!X27,Resultados!AG27,Resultados!AP27,Resultados!AY27,Resultados!BH27,Resultados!BQ27,Resultados!BZ27,Resultados!CI27,Resultados!CR27,Resultados!DA27,Resultados!DJ27,Resultados!DS27,Resultados!EB27)))</f>
        <v>11.093565460535412</v>
      </c>
      <c r="G27">
        <f>IF(COUNT(Resultados!G27,Resultados!P27,Resultados!Y27,Resultados!AH27,Resultados!AQ27,Resultados!AZ27,Resultados!BI27,Resultados!BR27,Resultados!CA27,Resultados!CJ27,Resultados!CS27,Resultados!DB27,Resultados!DK27,Resultados!DT27,Resultados!EC27)&lt;=1, "", _xlfn.STDEV.S(ABS(Resultados!G27),ABS(Resultados!P27),ABS(Resultados!Y27),ABS(Resultados!AH27),ABS(Resultados!AQ27),ABS(Resultados!AZ27),ABS(Resultados!BI27),ABS(Resultados!BR27),ABS(Resultados!CA27),ABS(Resultados!CJ27),ABS(Resultados!CS27),ABS(Resultados!DB27),ABS(Resultados!DK27),ABS(Resultados!DT27),ABS(Resultados!EC27))/SQRT(COUNT(Resultados!G27,Resultados!P27,Resultados!Y27,Resultados!AH27,Resultados!AQ27,Resultados!AZ27,Resultados!BI27,Resultados!BR27,Resultados!CA27,Resultados!CJ27,Resultados!CS27,Resultados!DB27,Resultados!DK27,Resultados!DT27,Resultados!EC27)))</f>
        <v>4.4507937654163114E-17</v>
      </c>
      <c r="H27">
        <f>IF(COUNT(Resultados!H27,Resultados!Q27,Resultados!Z27,Resultados!AI27,Resultados!AR27,Resultados!BA27,Resultados!BJ27,Resultados!BS27,Resultados!CB27,Resultados!CK27,Resultados!CT27,Resultados!DC27,Resultados!DL27,Resultados!DU27,Resultados!ED27)&lt;=1, "", _xlfn.STDEV.S(ABS(Resultados!H27),ABS(Resultados!Q27),ABS(Resultados!Z27),ABS(Resultados!AI27),ABS(Resultados!AR27),ABS(Resultados!BA27),ABS(Resultados!BJ27),ABS(Resultados!BS27),ABS(Resultados!CB27),ABS(Resultados!CK27),ABS(Resultados!CT27),ABS(Resultados!DC27),ABS(Resultados!DL27),ABS(Resultados!DU27),ABS(Resultados!ED27))/SQRT(COUNT(Resultados!H27,Resultados!Q27,Resultados!Z27,Resultados!AI27,Resultados!AR27,Resultados!BA27,Resultados!BJ27,Resultados!BS27,Resultados!CB27,Resultados!CK27,Resultados!CT27,Resultados!DC27,Resultados!DL27,Resultados!DU27,Resultados!ED27)))</f>
        <v>7.0101060834760088E-4</v>
      </c>
      <c r="I27">
        <f>IF(COUNT(Resultados!I27,Resultados!R27,Resultados!AA27,Resultados!AJ27,Resultados!AS27,Resultados!BB27,Resultados!BK27,Resultados!BT27,Resultados!CC27,Resultados!CL27,Resultados!CU27,Resultados!DD27,Resultados!DM27,Resultados!DV27,Resultados!EE27)&lt;=1, "", _xlfn.STDEV.S(ABS(Resultados!I27),ABS(Resultados!R27),ABS(Resultados!AA27),ABS(Resultados!AJ27),ABS(Resultados!AS27),ABS(Resultados!BB27),ABS(Resultados!BK27),ABS(Resultados!BT27),ABS(Resultados!CC27),ABS(Resultados!CL27),ABS(Resultados!CU27),ABS(Resultados!DD27),ABS(Resultados!DM27),ABS(Resultados!DV27),ABS(Resultados!EE27))/SQRT(COUNT(Resultados!I27,Resultados!R27,Resultados!AA27,Resultados!AJ27,Resultados!AS27,Resultados!BB27,Resultados!BK27,Resultados!BT27,Resultados!CC27,Resultados!CL27,Resultados!CU27,Resultados!DD27,Resultados!DM27,Resultados!DV27,Resultados!EE27)))</f>
        <v>7.6123938207929803E-4</v>
      </c>
    </row>
    <row r="28" spans="1:9" x14ac:dyDescent="0.3">
      <c r="A28">
        <f>IF(COUNT(Resultados!A28,Resultados!J28,Resultados!S28,Resultados!AB28,Resultados!AK28,Resultados!AT28,Resultados!BC28,Resultados!BL28,Resultados!BU28,Resultados!CD28,Resultados!CM28,Resultados!CV28,Resultados!DE28,Resultados!DN28,Resultados!DW28)&lt;=1, "", _xlfn.STDEV.S(ABS(Resultados!A28),ABS(Resultados!J28),ABS(Resultados!S28),ABS(Resultados!AB28),ABS(Resultados!AK28),ABS(Resultados!AT28),ABS(Resultados!BC28),ABS(Resultados!BL28),ABS(Resultados!BU28),ABS(Resultados!CD28),ABS(Resultados!CM28),ABS(Resultados!CV28),ABS(Resultados!DE28),ABS(Resultados!DN28),ABS(Resultados!DW28))/SQRT(COUNT(Resultados!A28,Resultados!J28,Resultados!S28,Resultados!AB28,Resultados!AK28,Resultados!AT28,Resultados!BC28,Resultados!BL28,Resultados!BU28,Resultados!CD28,Resultados!CM28,Resultados!CV28,Resultados!DE28,Resultados!DN28,Resultados!DW28)))</f>
        <v>0</v>
      </c>
      <c r="B28" t="str">
        <f>IF(COUNT(Resultados!B28,Resultados!K28,Resultados!T28,Resultados!AC28,Resultados!AL28,Resultados!AU28,Resultados!BD28,Resultados!BM28,Resultados!BV28,Resultados!CE28,Resultados!CN28,Resultados!CW28,Resultados!DF28,Resultados!DO28,Resultados!DX28)&lt;=1, "", _xlfn.STDEV.S(ABS(Resultados!B28),ABS(Resultados!K28),ABS(Resultados!T28),ABS(Resultados!AC28),ABS(Resultados!AL28),ABS(Resultados!AU28),ABS(Resultados!BD28),ABS(Resultados!BM28),ABS(Resultados!BV28),ABS(Resultados!CE28),ABS(Resultados!CN28),ABS(Resultados!CW28),ABS(Resultados!DF28),ABS(Resultados!DO28),ABS(Resultados!DX28))/SQRT(COUNT(Resultados!B28,Resultados!K28,Resultados!T28,Resultados!AC28,Resultados!AL28,Resultados!AU28,Resultados!BD28,Resultados!BM28,Resultados!BV28,Resultados!CE28,Resultados!CN28,Resultados!CW28,Resultados!DF28,Resultados!DO28,Resultados!DX28)))</f>
        <v/>
      </c>
      <c r="C28">
        <f>IF(COUNT(Resultados!C28,Resultados!L28,Resultados!U28,Resultados!AD28,Resultados!AM28,Resultados!AV28,Resultados!BE28,Resultados!BN28,Resultados!BW28,Resultados!CF28,Resultados!CO28,Resultados!CX28,Resultados!DG28,Resultados!DP28,Resultados!DY28)&lt;=1, "", _xlfn.STDEV.S(ABS(Resultados!C28),ABS(Resultados!L28),ABS(Resultados!U28),ABS(Resultados!AD28),ABS(Resultados!AM28),ABS(Resultados!AV28),ABS(Resultados!BE28),ABS(Resultados!BN28),ABS(Resultados!BW28),ABS(Resultados!CF28),ABS(Resultados!CO28),ABS(Resultados!CX28),ABS(Resultados!DG28),ABS(Resultados!DP28),ABS(Resultados!DY28))/SQRT(COUNT(Resultados!C28,Resultados!L28,Resultados!U28,Resultados!AD28,Resultados!AM28,Resultados!AV28,Resultados!BE28,Resultados!BN28,Resultados!BW28,Resultados!CF28,Resultados!CO28,Resultados!CX28,Resultados!DG28,Resultados!DP28,Resultados!DY28)))</f>
        <v>0.48007935851918326</v>
      </c>
      <c r="D28">
        <f>IF(COUNT(Resultados!D28,Resultados!M28,Resultados!V28,Resultados!AE28,Resultados!AN28,Resultados!AW28,Resultados!BF28,Resultados!BO28,Resultados!BX28,Resultados!CG28,Resultados!CP28,Resultados!CY28,Resultados!DH28,Resultados!DQ28,Resultados!DZ28)&lt;=1, "", _xlfn.STDEV.S(ABS(Resultados!D28),ABS(Resultados!M28),ABS(Resultados!V28),ABS(Resultados!AE28),ABS(Resultados!AN28),ABS(Resultados!AW28),ABS(Resultados!BF28),ABS(Resultados!BO28),ABS(Resultados!BX28),ABS(Resultados!CG28),ABS(Resultados!CP28),ABS(Resultados!CY28),ABS(Resultados!DH28),ABS(Resultados!DQ28),ABS(Resultados!DZ28))/SQRT(COUNT(Resultados!D28,Resultados!M28,Resultados!V28,Resultados!AE28,Resultados!AN28,Resultados!AW28,Resultados!BF28,Resultados!BO28,Resultados!BX28,Resultados!CG28,Resultados!CP28,Resultados!CY28,Resultados!DH28,Resultados!DQ28,Resultados!DZ28)))</f>
        <v>5.6987885095159023E-4</v>
      </c>
      <c r="E28">
        <f>IF(COUNT(Resultados!E28,Resultados!N28,Resultados!W28,Resultados!AF28,Resultados!AO28,Resultados!AX28,Resultados!BG28,Resultados!BP28,Resultados!BY28,Resultados!CH28,Resultados!CQ28,Resultados!CZ28,Resultados!DI28,Resultados!DR28,Resultados!EA28)&lt;=1, "", _xlfn.STDEV.S(ABS(Resultados!E28),ABS(Resultados!N28),ABS(Resultados!W28),ABS(Resultados!AF28),ABS(Resultados!AO28),ABS(Resultados!AX28),ABS(Resultados!BG28),ABS(Resultados!BP28),ABS(Resultados!BY28),ABS(Resultados!CH28),ABS(Resultados!CQ28),ABS(Resultados!CZ28),ABS(Resultados!DI28),ABS(Resultados!DR28),ABS(Resultados!EA28))/SQRT(COUNT(Resultados!E28,Resultados!N28,Resultados!W28,Resultados!AF28,Resultados!AO28,Resultados!AX28,Resultados!BG28,Resultados!BP28,Resultados!BY28,Resultados!CH28,Resultados!CQ28,Resultados!CZ28,Resultados!DI28,Resultados!DR28,Resultados!EA28)))</f>
        <v>5.6783404809454367E-2</v>
      </c>
      <c r="F28">
        <f>IF(COUNT(Resultados!F28,Resultados!O28,Resultados!X28,Resultados!AG28,Resultados!AP28,Resultados!AY28,Resultados!BH28,Resultados!BQ28,Resultados!BZ28,Resultados!CI28,Resultados!CR28,Resultados!DA28,Resultados!DJ28,Resultados!DS28,Resultados!EB28)&lt;=1, "", _xlfn.STDEV.S(ABS(Resultados!F28),ABS(Resultados!O28),ABS(Resultados!X28),ABS(Resultados!AG28),ABS(Resultados!AP28),ABS(Resultados!AY28),ABS(Resultados!BH28),ABS(Resultados!BQ28),ABS(Resultados!BZ28),ABS(Resultados!CI28),ABS(Resultados!CR28),ABS(Resultados!DA28),ABS(Resultados!DJ28),ABS(Resultados!DS28),ABS(Resultados!EB28))/SQRT(COUNT(Resultados!F28,Resultados!O28,Resultados!X28,Resultados!AG28,Resultados!AP28,Resultados!AY28,Resultados!BH28,Resultados!BQ28,Resultados!BZ28,Resultados!CI28,Resultados!CR28,Resultados!DA28,Resultados!DJ28,Resultados!DS28,Resultados!EB28)))</f>
        <v>5.3887451164172164</v>
      </c>
      <c r="G28">
        <f>IF(COUNT(Resultados!G28,Resultados!P28,Resultados!Y28,Resultados!AH28,Resultados!AQ28,Resultados!AZ28,Resultados!BI28,Resultados!BR28,Resultados!CA28,Resultados!CJ28,Resultados!CS28,Resultados!DB28,Resultados!DK28,Resultados!DT28,Resultados!EC28)&lt;=1, "", _xlfn.STDEV.S(ABS(Resultados!G28),ABS(Resultados!P28),ABS(Resultados!Y28),ABS(Resultados!AH28),ABS(Resultados!AQ28),ABS(Resultados!AZ28),ABS(Resultados!BI28),ABS(Resultados!BR28),ABS(Resultados!CA28),ABS(Resultados!CJ28),ABS(Resultados!CS28),ABS(Resultados!DB28),ABS(Resultados!DK28),ABS(Resultados!DT28),ABS(Resultados!EC28))/SQRT(COUNT(Resultados!G28,Resultados!P28,Resultados!Y28,Resultados!AH28,Resultados!AQ28,Resultados!AZ28,Resultados!BI28,Resultados!BR28,Resultados!CA28,Resultados!CJ28,Resultados!CS28,Resultados!DB28,Resultados!DK28,Resultados!DT28,Resultados!EC28)))</f>
        <v>4.4507937654163114E-17</v>
      </c>
      <c r="H28">
        <f>IF(COUNT(Resultados!H28,Resultados!Q28,Resultados!Z28,Resultados!AI28,Resultados!AR28,Resultados!BA28,Resultados!BJ28,Resultados!BS28,Resultados!CB28,Resultados!CK28,Resultados!CT28,Resultados!DC28,Resultados!DL28,Resultados!DU28,Resultados!ED28)&lt;=1, "", _xlfn.STDEV.S(ABS(Resultados!H28),ABS(Resultados!Q28),ABS(Resultados!Z28),ABS(Resultados!AI28),ABS(Resultados!AR28),ABS(Resultados!BA28),ABS(Resultados!BJ28),ABS(Resultados!BS28),ABS(Resultados!CB28),ABS(Resultados!CK28),ABS(Resultados!CT28),ABS(Resultados!DC28),ABS(Resultados!DL28),ABS(Resultados!DU28),ABS(Resultados!ED28))/SQRT(COUNT(Resultados!H28,Resultados!Q28,Resultados!Z28,Resultados!AI28,Resultados!AR28,Resultados!BA28,Resultados!BJ28,Resultados!BS28,Resultados!CB28,Resultados!CK28,Resultados!CT28,Resultados!DC28,Resultados!DL28,Resultados!DU28,Resultados!ED28)))</f>
        <v>8.8390188351566491E-4</v>
      </c>
      <c r="I28">
        <f>IF(COUNT(Resultados!I28,Resultados!R28,Resultados!AA28,Resultados!AJ28,Resultados!AS28,Resultados!BB28,Resultados!BK28,Resultados!BT28,Resultados!CC28,Resultados!CL28,Resultados!CU28,Resultados!DD28,Resultados!DM28,Resultados!DV28,Resultados!EE28)&lt;=1, "", _xlfn.STDEV.S(ABS(Resultados!I28),ABS(Resultados!R28),ABS(Resultados!AA28),ABS(Resultados!AJ28),ABS(Resultados!AS28),ABS(Resultados!BB28),ABS(Resultados!BK28),ABS(Resultados!BT28),ABS(Resultados!CC28),ABS(Resultados!CL28),ABS(Resultados!CU28),ABS(Resultados!DD28),ABS(Resultados!DM28),ABS(Resultados!DV28),ABS(Resultados!EE28))/SQRT(COUNT(Resultados!I28,Resultados!R28,Resultados!AA28,Resultados!AJ28,Resultados!AS28,Resultados!BB28,Resultados!BK28,Resultados!BT28,Resultados!CC28,Resultados!CL28,Resultados!CU28,Resultados!DD28,Resultados!DM28,Resultados!DV28,Resultados!EE28)))</f>
        <v>7.5699963305518527E-4</v>
      </c>
    </row>
    <row r="29" spans="1:9" x14ac:dyDescent="0.3">
      <c r="A29">
        <f>IF(COUNT(Resultados!A29,Resultados!J29,Resultados!S29,Resultados!AB29,Resultados!AK29,Resultados!AT29,Resultados!BC29,Resultados!BL29,Resultados!BU29,Resultados!CD29,Resultados!CM29,Resultados!CV29,Resultados!DE29,Resultados!DN29,Resultados!DW29)&lt;=1, "", _xlfn.STDEV.S(ABS(Resultados!A29),ABS(Resultados!J29),ABS(Resultados!S29),ABS(Resultados!AB29),ABS(Resultados!AK29),ABS(Resultados!AT29),ABS(Resultados!BC29),ABS(Resultados!BL29),ABS(Resultados!BU29),ABS(Resultados!CD29),ABS(Resultados!CM29),ABS(Resultados!CV29),ABS(Resultados!DE29),ABS(Resultados!DN29),ABS(Resultados!DW29))/SQRT(COUNT(Resultados!A29,Resultados!J29,Resultados!S29,Resultados!AB29,Resultados!AK29,Resultados!AT29,Resultados!BC29,Resultados!BL29,Resultados!BU29,Resultados!CD29,Resultados!CM29,Resultados!CV29,Resultados!DE29,Resultados!DN29,Resultados!DW29)))</f>
        <v>0</v>
      </c>
      <c r="B29" t="str">
        <f>IF(COUNT(Resultados!B29,Resultados!K29,Resultados!T29,Resultados!AC29,Resultados!AL29,Resultados!AU29,Resultados!BD29,Resultados!BM29,Resultados!BV29,Resultados!CE29,Resultados!CN29,Resultados!CW29,Resultados!DF29,Resultados!DO29,Resultados!DX29)&lt;=1, "", _xlfn.STDEV.S(ABS(Resultados!B29),ABS(Resultados!K29),ABS(Resultados!T29),ABS(Resultados!AC29),ABS(Resultados!AL29),ABS(Resultados!AU29),ABS(Resultados!BD29),ABS(Resultados!BM29),ABS(Resultados!BV29),ABS(Resultados!CE29),ABS(Resultados!CN29),ABS(Resultados!CW29),ABS(Resultados!DF29),ABS(Resultados!DO29),ABS(Resultados!DX29))/SQRT(COUNT(Resultados!B29,Resultados!K29,Resultados!T29,Resultados!AC29,Resultados!AL29,Resultados!AU29,Resultados!BD29,Resultados!BM29,Resultados!BV29,Resultados!CE29,Resultados!CN29,Resultados!CW29,Resultados!DF29,Resultados!DO29,Resultados!DX29)))</f>
        <v/>
      </c>
      <c r="C29">
        <f>IF(COUNT(Resultados!C29,Resultados!L29,Resultados!U29,Resultados!AD29,Resultados!AM29,Resultados!AV29,Resultados!BE29,Resultados!BN29,Resultados!BW29,Resultados!CF29,Resultados!CO29,Resultados!CX29,Resultados!DG29,Resultados!DP29,Resultados!DY29)&lt;=1, "", _xlfn.STDEV.S(ABS(Resultados!C29),ABS(Resultados!L29),ABS(Resultados!U29),ABS(Resultados!AD29),ABS(Resultados!AM29),ABS(Resultados!AV29),ABS(Resultados!BE29),ABS(Resultados!BN29),ABS(Resultados!BW29),ABS(Resultados!CF29),ABS(Resultados!CO29),ABS(Resultados!CX29),ABS(Resultados!DG29),ABS(Resultados!DP29),ABS(Resultados!DY29))/SQRT(COUNT(Resultados!C29,Resultados!L29,Resultados!U29,Resultados!AD29,Resultados!AM29,Resultados!AV29,Resultados!BE29,Resultados!BN29,Resultados!BW29,Resultados!CF29,Resultados!CO29,Resultados!CX29,Resultados!DG29,Resultados!DP29,Resultados!DY29)))</f>
        <v>0.48007935851918326</v>
      </c>
      <c r="D29">
        <f>IF(COUNT(Resultados!D29,Resultados!M29,Resultados!V29,Resultados!AE29,Resultados!AN29,Resultados!AW29,Resultados!BF29,Resultados!BO29,Resultados!BX29,Resultados!CG29,Resultados!CP29,Resultados!CY29,Resultados!DH29,Resultados!DQ29,Resultados!DZ29)&lt;=1, "", _xlfn.STDEV.S(ABS(Resultados!D29),ABS(Resultados!M29),ABS(Resultados!V29),ABS(Resultados!AE29),ABS(Resultados!AN29),ABS(Resultados!AW29),ABS(Resultados!BF29),ABS(Resultados!BO29),ABS(Resultados!BX29),ABS(Resultados!CG29),ABS(Resultados!CP29),ABS(Resultados!CY29),ABS(Resultados!DH29),ABS(Resultados!DQ29),ABS(Resultados!DZ29))/SQRT(COUNT(Resultados!D29,Resultados!M29,Resultados!V29,Resultados!AE29,Resultados!AN29,Resultados!AW29,Resultados!BF29,Resultados!BO29,Resultados!BX29,Resultados!CG29,Resultados!CP29,Resultados!CY29,Resultados!DH29,Resultados!DQ29,Resultados!DZ29)))</f>
        <v>7.5808028221667533E-4</v>
      </c>
      <c r="E29">
        <f>IF(COUNT(Resultados!E29,Resultados!N29,Resultados!W29,Resultados!AF29,Resultados!AO29,Resultados!AX29,Resultados!BG29,Resultados!BP29,Resultados!BY29,Resultados!CH29,Resultados!CQ29,Resultados!CZ29,Resultados!DI29,Resultados!DR29,Resultados!EA29)&lt;=1, "", _xlfn.STDEV.S(ABS(Resultados!E29),ABS(Resultados!N29),ABS(Resultados!W29),ABS(Resultados!AF29),ABS(Resultados!AO29),ABS(Resultados!AX29),ABS(Resultados!BG29),ABS(Resultados!BP29),ABS(Resultados!BY29),ABS(Resultados!CH29),ABS(Resultados!CQ29),ABS(Resultados!CZ29),ABS(Resultados!DI29),ABS(Resultados!DR29),ABS(Resultados!EA29))/SQRT(COUNT(Resultados!E29,Resultados!N29,Resultados!W29,Resultados!AF29,Resultados!AO29,Resultados!AX29,Resultados!BG29,Resultados!BP29,Resultados!BY29,Resultados!CH29,Resultados!CQ29,Resultados!CZ29,Resultados!DI29,Resultados!DR29,Resultados!EA29)))</f>
        <v>6.2904657674660955E-2</v>
      </c>
      <c r="F29">
        <f>IF(COUNT(Resultados!F29,Resultados!O29,Resultados!X29,Resultados!AG29,Resultados!AP29,Resultados!AY29,Resultados!BH29,Resultados!BQ29,Resultados!BZ29,Resultados!CI29,Resultados!CR29,Resultados!DA29,Resultados!DJ29,Resultados!DS29,Resultados!EB29)&lt;=1, "", _xlfn.STDEV.S(ABS(Resultados!F29),ABS(Resultados!O29),ABS(Resultados!X29),ABS(Resultados!AG29),ABS(Resultados!AP29),ABS(Resultados!AY29),ABS(Resultados!BH29),ABS(Resultados!BQ29),ABS(Resultados!BZ29),ABS(Resultados!CI29),ABS(Resultados!CR29),ABS(Resultados!DA29),ABS(Resultados!DJ29),ABS(Resultados!DS29),ABS(Resultados!EB29))/SQRT(COUNT(Resultados!F29,Resultados!O29,Resultados!X29,Resultados!AG29,Resultados!AP29,Resultados!AY29,Resultados!BH29,Resultados!BQ29,Resultados!BZ29,Resultados!CI29,Resultados!CR29,Resultados!DA29,Resultados!DJ29,Resultados!DS29,Resultados!EB29)))</f>
        <v>5.9696520133253275</v>
      </c>
      <c r="G29">
        <f>IF(COUNT(Resultados!G29,Resultados!P29,Resultados!Y29,Resultados!AH29,Resultados!AQ29,Resultados!AZ29,Resultados!BI29,Resultados!BR29,Resultados!CA29,Resultados!CJ29,Resultados!CS29,Resultados!DB29,Resultados!DK29,Resultados!DT29,Resultados!EC29)&lt;=1, "", _xlfn.STDEV.S(ABS(Resultados!G29),ABS(Resultados!P29),ABS(Resultados!Y29),ABS(Resultados!AH29),ABS(Resultados!AQ29),ABS(Resultados!AZ29),ABS(Resultados!BI29),ABS(Resultados!BR29),ABS(Resultados!CA29),ABS(Resultados!CJ29),ABS(Resultados!CS29),ABS(Resultados!DB29),ABS(Resultados!DK29),ABS(Resultados!DT29),ABS(Resultados!EC29))/SQRT(COUNT(Resultados!G29,Resultados!P29,Resultados!Y29,Resultados!AH29,Resultados!AQ29,Resultados!AZ29,Resultados!BI29,Resultados!BR29,Resultados!CA29,Resultados!CJ29,Resultados!CS29,Resultados!DB29,Resultados!DK29,Resultados!DT29,Resultados!EC29)))</f>
        <v>4.4507937654163114E-17</v>
      </c>
      <c r="H29">
        <f>IF(COUNT(Resultados!H29,Resultados!Q29,Resultados!Z29,Resultados!AI29,Resultados!AR29,Resultados!BA29,Resultados!BJ29,Resultados!BS29,Resultados!CB29,Resultados!CK29,Resultados!CT29,Resultados!DC29,Resultados!DL29,Resultados!DU29,Resultados!ED29)&lt;=1, "", _xlfn.STDEV.S(ABS(Resultados!H29),ABS(Resultados!Q29),ABS(Resultados!Z29),ABS(Resultados!AI29),ABS(Resultados!AR29),ABS(Resultados!BA29),ABS(Resultados!BJ29),ABS(Resultados!BS29),ABS(Resultados!CB29),ABS(Resultados!CK29),ABS(Resultados!CT29),ABS(Resultados!DC29),ABS(Resultados!DL29),ABS(Resultados!DU29),ABS(Resultados!ED29))/SQRT(COUNT(Resultados!H29,Resultados!Q29,Resultados!Z29,Resultados!AI29,Resultados!AR29,Resultados!BA29,Resultados!BJ29,Resultados!BS29,Resultados!CB29,Resultados!CK29,Resultados!CT29,Resultados!DC29,Resultados!DL29,Resultados!DU29,Resultados!ED29)))</f>
        <v>9.7954638027564125E-4</v>
      </c>
      <c r="I29">
        <f>IF(COUNT(Resultados!I29,Resultados!R29,Resultados!AA29,Resultados!AJ29,Resultados!AS29,Resultados!BB29,Resultados!BK29,Resultados!BT29,Resultados!CC29,Resultados!CL29,Resultados!CU29,Resultados!DD29,Resultados!DM29,Resultados!DV29,Resultados!EE29)&lt;=1, "", _xlfn.STDEV.S(ABS(Resultados!I29),ABS(Resultados!R29),ABS(Resultados!AA29),ABS(Resultados!AJ29),ABS(Resultados!AS29),ABS(Resultados!BB29),ABS(Resultados!BK29),ABS(Resultados!BT29),ABS(Resultados!CC29),ABS(Resultados!CL29),ABS(Resultados!CU29),ABS(Resultados!DD29),ABS(Resultados!DM29),ABS(Resultados!DV29),ABS(Resultados!EE29))/SQRT(COUNT(Resultados!I29,Resultados!R29,Resultados!AA29,Resultados!AJ29,Resultados!AS29,Resultados!BB29,Resultados!BK29,Resultados!BT29,Resultados!CC29,Resultados!CL29,Resultados!CU29,Resultados!DD29,Resultados!DM29,Resultados!DV29,Resultados!EE29)))</f>
        <v>6.8433733443330974E-4</v>
      </c>
    </row>
    <row r="30" spans="1:9" x14ac:dyDescent="0.3">
      <c r="A30">
        <f>IF(COUNT(Resultados!A30,Resultados!J30,Resultados!S30,Resultados!AB30,Resultados!AK30,Resultados!AT30,Resultados!BC30,Resultados!BL30,Resultados!BU30,Resultados!CD30,Resultados!CM30,Resultados!CV30,Resultados!DE30,Resultados!DN30,Resultados!DW30)&lt;=1, "", _xlfn.STDEV.S(ABS(Resultados!A30),ABS(Resultados!J30),ABS(Resultados!S30),ABS(Resultados!AB30),ABS(Resultados!AK30),ABS(Resultados!AT30),ABS(Resultados!BC30),ABS(Resultados!BL30),ABS(Resultados!BU30),ABS(Resultados!CD30),ABS(Resultados!CM30),ABS(Resultados!CV30),ABS(Resultados!DE30),ABS(Resultados!DN30),ABS(Resultados!DW30))/SQRT(COUNT(Resultados!A30,Resultados!J30,Resultados!S30,Resultados!AB30,Resultados!AK30,Resultados!AT30,Resultados!BC30,Resultados!BL30,Resultados!BU30,Resultados!CD30,Resultados!CM30,Resultados!CV30,Resultados!DE30,Resultados!DN30,Resultados!DW30)))</f>
        <v>0</v>
      </c>
      <c r="B30" t="str">
        <f>IF(COUNT(Resultados!B30,Resultados!K30,Resultados!T30,Resultados!AC30,Resultados!AL30,Resultados!AU30,Resultados!BD30,Resultados!BM30,Resultados!BV30,Resultados!CE30,Resultados!CN30,Resultados!CW30,Resultados!DF30,Resultados!DO30,Resultados!DX30)&lt;=1, "", _xlfn.STDEV.S(ABS(Resultados!B30),ABS(Resultados!K30),ABS(Resultados!T30),ABS(Resultados!AC30),ABS(Resultados!AL30),ABS(Resultados!AU30),ABS(Resultados!BD30),ABS(Resultados!BM30),ABS(Resultados!BV30),ABS(Resultados!CE30),ABS(Resultados!CN30),ABS(Resultados!CW30),ABS(Resultados!DF30),ABS(Resultados!DO30),ABS(Resultados!DX30))/SQRT(COUNT(Resultados!B30,Resultados!K30,Resultados!T30,Resultados!AC30,Resultados!AL30,Resultados!AU30,Resultados!BD30,Resultados!BM30,Resultados!BV30,Resultados!CE30,Resultados!CN30,Resultados!CW30,Resultados!DF30,Resultados!DO30,Resultados!DX30)))</f>
        <v/>
      </c>
      <c r="C30">
        <f>IF(COUNT(Resultados!C30,Resultados!L30,Resultados!U30,Resultados!AD30,Resultados!AM30,Resultados!AV30,Resultados!BE30,Resultados!BN30,Resultados!BW30,Resultados!CF30,Resultados!CO30,Resultados!CX30,Resultados!DG30,Resultados!DP30,Resultados!DY30)&lt;=1, "", _xlfn.STDEV.S(ABS(Resultados!C30),ABS(Resultados!L30),ABS(Resultados!U30),ABS(Resultados!AD30),ABS(Resultados!AM30),ABS(Resultados!AV30),ABS(Resultados!BE30),ABS(Resultados!BN30),ABS(Resultados!BW30),ABS(Resultados!CF30),ABS(Resultados!CO30),ABS(Resultados!CX30),ABS(Resultados!DG30),ABS(Resultados!DP30),ABS(Resultados!DY30))/SQRT(COUNT(Resultados!C30,Resultados!L30,Resultados!U30,Resultados!AD30,Resultados!AM30,Resultados!AV30,Resultados!BE30,Resultados!BN30,Resultados!BW30,Resultados!CF30,Resultados!CO30,Resultados!CX30,Resultados!DG30,Resultados!DP30,Resultados!DY30)))</f>
        <v>0.48007935851918326</v>
      </c>
      <c r="D30">
        <f>IF(COUNT(Resultados!D30,Resultados!M30,Resultados!V30,Resultados!AE30,Resultados!AN30,Resultados!AW30,Resultados!BF30,Resultados!BO30,Resultados!BX30,Resultados!CG30,Resultados!CP30,Resultados!CY30,Resultados!DH30,Resultados!DQ30,Resultados!DZ30)&lt;=1, "", _xlfn.STDEV.S(ABS(Resultados!D30),ABS(Resultados!M30),ABS(Resultados!V30),ABS(Resultados!AE30),ABS(Resultados!AN30),ABS(Resultados!AW30),ABS(Resultados!BF30),ABS(Resultados!BO30),ABS(Resultados!BX30),ABS(Resultados!CG30),ABS(Resultados!CP30),ABS(Resultados!CY30),ABS(Resultados!DH30),ABS(Resultados!DQ30),ABS(Resultados!DZ30))/SQRT(COUNT(Resultados!D30,Resultados!M30,Resultados!V30,Resultados!AE30,Resultados!AN30,Resultados!AW30,Resultados!BF30,Resultados!BO30,Resultados!BX30,Resultados!CG30,Resultados!CP30,Resultados!CY30,Resultados!DH30,Resultados!DQ30,Resultados!DZ30)))</f>
        <v>8.9940015283556339E-4</v>
      </c>
      <c r="E30">
        <f>IF(COUNT(Resultados!E30,Resultados!N30,Resultados!W30,Resultados!AF30,Resultados!AO30,Resultados!AX30,Resultados!BG30,Resultados!BP30,Resultados!BY30,Resultados!CH30,Resultados!CQ30,Resultados!CZ30,Resultados!DI30,Resultados!DR30,Resultados!EA30)&lt;=1, "", _xlfn.STDEV.S(ABS(Resultados!E30),ABS(Resultados!N30),ABS(Resultados!W30),ABS(Resultados!AF30),ABS(Resultados!AO30),ABS(Resultados!AX30),ABS(Resultados!BG30),ABS(Resultados!BP30),ABS(Resultados!BY30),ABS(Resultados!CH30),ABS(Resultados!CQ30),ABS(Resultados!CZ30),ABS(Resultados!DI30),ABS(Resultados!DR30),ABS(Resultados!EA30))/SQRT(COUNT(Resultados!E30,Resultados!N30,Resultados!W30,Resultados!AF30,Resultados!AO30,Resultados!AX30,Resultados!BG30,Resultados!BP30,Resultados!BY30,Resultados!CH30,Resultados!CQ30,Resultados!CZ30,Resultados!DI30,Resultados!DR30,Resultados!EA30)))</f>
        <v>6.2961815613589184E-2</v>
      </c>
      <c r="F30">
        <f>IF(COUNT(Resultados!F30,Resultados!O30,Resultados!X30,Resultados!AG30,Resultados!AP30,Resultados!AY30,Resultados!BH30,Resultados!BQ30,Resultados!BZ30,Resultados!CI30,Resultados!CR30,Resultados!DA30,Resultados!DJ30,Resultados!DS30,Resultados!EB30)&lt;=1, "", _xlfn.STDEV.S(ABS(Resultados!F30),ABS(Resultados!O30),ABS(Resultados!X30),ABS(Resultados!AG30),ABS(Resultados!AP30),ABS(Resultados!AY30),ABS(Resultados!BH30),ABS(Resultados!BQ30),ABS(Resultados!BZ30),ABS(Resultados!CI30),ABS(Resultados!CR30),ABS(Resultados!DA30),ABS(Resultados!DJ30),ABS(Resultados!DS30),ABS(Resultados!EB30))/SQRT(COUNT(Resultados!F30,Resultados!O30,Resultados!X30,Resultados!AG30,Resultados!AP30,Resultados!AY30,Resultados!BH30,Resultados!BQ30,Resultados!BZ30,Resultados!CI30,Resultados!CR30,Resultados!DA30,Resultados!DJ30,Resultados!DS30,Resultados!EB30)))</f>
        <v>5.9750763017296133</v>
      </c>
      <c r="G30">
        <f>IF(COUNT(Resultados!G30,Resultados!P30,Resultados!Y30,Resultados!AH30,Resultados!AQ30,Resultados!AZ30,Resultados!BI30,Resultados!BR30,Resultados!CA30,Resultados!CJ30,Resultados!CS30,Resultados!DB30,Resultados!DK30,Resultados!DT30,Resultados!EC30)&lt;=1, "", _xlfn.STDEV.S(ABS(Resultados!G30),ABS(Resultados!P30),ABS(Resultados!Y30),ABS(Resultados!AH30),ABS(Resultados!AQ30),ABS(Resultados!AZ30),ABS(Resultados!BI30),ABS(Resultados!BR30),ABS(Resultados!CA30),ABS(Resultados!CJ30),ABS(Resultados!CS30),ABS(Resultados!DB30),ABS(Resultados!DK30),ABS(Resultados!DT30),ABS(Resultados!EC30))/SQRT(COUNT(Resultados!G30,Resultados!P30,Resultados!Y30,Resultados!AH30,Resultados!AQ30,Resultados!AZ30,Resultados!BI30,Resultados!BR30,Resultados!CA30,Resultados!CJ30,Resultados!CS30,Resultados!DB30,Resultados!DK30,Resultados!DT30,Resultados!EC30)))</f>
        <v>4.4507937654163114E-17</v>
      </c>
      <c r="H30">
        <f>IF(COUNT(Resultados!H30,Resultados!Q30,Resultados!Z30,Resultados!AI30,Resultados!AR30,Resultados!BA30,Resultados!BJ30,Resultados!BS30,Resultados!CB30,Resultados!CK30,Resultados!CT30,Resultados!DC30,Resultados!DL30,Resultados!DU30,Resultados!ED30)&lt;=1, "", _xlfn.STDEV.S(ABS(Resultados!H30),ABS(Resultados!Q30),ABS(Resultados!Z30),ABS(Resultados!AI30),ABS(Resultados!AR30),ABS(Resultados!BA30),ABS(Resultados!BJ30),ABS(Resultados!BS30),ABS(Resultados!CB30),ABS(Resultados!CK30),ABS(Resultados!CT30),ABS(Resultados!DC30),ABS(Resultados!DL30),ABS(Resultados!DU30),ABS(Resultados!ED30))/SQRT(COUNT(Resultados!H30,Resultados!Q30,Resultados!Z30,Resultados!AI30,Resultados!AR30,Resultados!BA30,Resultados!BJ30,Resultados!BS30,Resultados!CB30,Resultados!CK30,Resultados!CT30,Resultados!DC30,Resultados!DL30,Resultados!DU30,Resultados!ED30)))</f>
        <v>9.7999999999999953E-4</v>
      </c>
      <c r="I30">
        <f>IF(COUNT(Resultados!I30,Resultados!R30,Resultados!AA30,Resultados!AJ30,Resultados!AS30,Resultados!BB30,Resultados!BK30,Resultados!BT30,Resultados!CC30,Resultados!CL30,Resultados!CU30,Resultados!DD30,Resultados!DM30,Resultados!DV30,Resultados!EE30)&lt;=1, "", _xlfn.STDEV.S(ABS(Resultados!I30),ABS(Resultados!R30),ABS(Resultados!AA30),ABS(Resultados!AJ30),ABS(Resultados!AS30),ABS(Resultados!BB30),ABS(Resultados!BK30),ABS(Resultados!BT30),ABS(Resultados!CC30),ABS(Resultados!CL30),ABS(Resultados!CU30),ABS(Resultados!DD30),ABS(Resultados!DM30),ABS(Resultados!DV30),ABS(Resultados!EE30))/SQRT(COUNT(Resultados!I30,Resultados!R30,Resultados!AA30,Resultados!AJ30,Resultados!AS30,Resultados!BB30,Resultados!BK30,Resultados!BT30,Resultados!CC30,Resultados!CL30,Resultados!CU30,Resultados!DD30,Resultados!DM30,Resultados!DV30,Resultados!EE30)))</f>
        <v>8.7297284453960705E-4</v>
      </c>
    </row>
    <row r="31" spans="1:9" x14ac:dyDescent="0.3">
      <c r="A31">
        <f>IF(COUNT(Resultados!A31,Resultados!J31,Resultados!S31,Resultados!AB31,Resultados!AK31,Resultados!AT31,Resultados!BC31,Resultados!BL31,Resultados!BU31,Resultados!CD31,Resultados!CM31,Resultados!CV31,Resultados!DE31,Resultados!DN31,Resultados!DW31)&lt;=1, "", _xlfn.STDEV.S(ABS(Resultados!A31),ABS(Resultados!J31),ABS(Resultados!S31),ABS(Resultados!AB31),ABS(Resultados!AK31),ABS(Resultados!AT31),ABS(Resultados!BC31),ABS(Resultados!BL31),ABS(Resultados!BU31),ABS(Resultados!CD31),ABS(Resultados!CM31),ABS(Resultados!CV31),ABS(Resultados!DE31),ABS(Resultados!DN31),ABS(Resultados!DW31))/SQRT(COUNT(Resultados!A31,Resultados!J31,Resultados!S31,Resultados!AB31,Resultados!AK31,Resultados!AT31,Resultados!BC31,Resultados!BL31,Resultados!BU31,Resultados!CD31,Resultados!CM31,Resultados!CV31,Resultados!DE31,Resultados!DN31,Resultados!DW31)))</f>
        <v>0</v>
      </c>
      <c r="B31" t="str">
        <f>IF(COUNT(Resultados!B31,Resultados!K31,Resultados!T31,Resultados!AC31,Resultados!AL31,Resultados!AU31,Resultados!BD31,Resultados!BM31,Resultados!BV31,Resultados!CE31,Resultados!CN31,Resultados!CW31,Resultados!DF31,Resultados!DO31,Resultados!DX31)&lt;=1, "", _xlfn.STDEV.S(ABS(Resultados!B31),ABS(Resultados!K31),ABS(Resultados!T31),ABS(Resultados!AC31),ABS(Resultados!AL31),ABS(Resultados!AU31),ABS(Resultados!BD31),ABS(Resultados!BM31),ABS(Resultados!BV31),ABS(Resultados!CE31),ABS(Resultados!CN31),ABS(Resultados!CW31),ABS(Resultados!DF31),ABS(Resultados!DO31),ABS(Resultados!DX31))/SQRT(COUNT(Resultados!B31,Resultados!K31,Resultados!T31,Resultados!AC31,Resultados!AL31,Resultados!AU31,Resultados!BD31,Resultados!BM31,Resultados!BV31,Resultados!CE31,Resultados!CN31,Resultados!CW31,Resultados!DF31,Resultados!DO31,Resultados!DX31)))</f>
        <v/>
      </c>
      <c r="C31">
        <f>IF(COUNT(Resultados!C31,Resultados!L31,Resultados!U31,Resultados!AD31,Resultados!AM31,Resultados!AV31,Resultados!BE31,Resultados!BN31,Resultados!BW31,Resultados!CF31,Resultados!CO31,Resultados!CX31,Resultados!DG31,Resultados!DP31,Resultados!DY31)&lt;=1, "", _xlfn.STDEV.S(ABS(Resultados!C31),ABS(Resultados!L31),ABS(Resultados!U31),ABS(Resultados!AD31),ABS(Resultados!AM31),ABS(Resultados!AV31),ABS(Resultados!BE31),ABS(Resultados!BN31),ABS(Resultados!BW31),ABS(Resultados!CF31),ABS(Resultados!CO31),ABS(Resultados!CX31),ABS(Resultados!DG31),ABS(Resultados!DP31),ABS(Resultados!DY31))/SQRT(COUNT(Resultados!C31,Resultados!L31,Resultados!U31,Resultados!AD31,Resultados!AM31,Resultados!AV31,Resultados!BE31,Resultados!BN31,Resultados!BW31,Resultados!CF31,Resultados!CO31,Resultados!CX31,Resultados!DG31,Resultados!DP31,Resultados!DY31)))</f>
        <v>0.48007935851918326</v>
      </c>
      <c r="D31">
        <f>IF(COUNT(Resultados!D31,Resultados!M31,Resultados!V31,Resultados!AE31,Resultados!AN31,Resultados!AW31,Resultados!BF31,Resultados!BO31,Resultados!BX31,Resultados!CG31,Resultados!CP31,Resultados!CY31,Resultados!DH31,Resultados!DQ31,Resultados!DZ31)&lt;=1, "", _xlfn.STDEV.S(ABS(Resultados!D31),ABS(Resultados!M31),ABS(Resultados!V31),ABS(Resultados!AE31),ABS(Resultados!AN31),ABS(Resultados!AW31),ABS(Resultados!BF31),ABS(Resultados!BO31),ABS(Resultados!BX31),ABS(Resultados!CG31),ABS(Resultados!CP31),ABS(Resultados!CY31),ABS(Resultados!DH31),ABS(Resultados!DQ31),ABS(Resultados!DZ31))/SQRT(COUNT(Resultados!D31,Resultados!M31,Resultados!V31,Resultados!AE31,Resultados!AN31,Resultados!AW31,Resultados!BF31,Resultados!BO31,Resultados!BX31,Resultados!CG31,Resultados!CP31,Resultados!CY31,Resultados!DH31,Resultados!DQ31,Resultados!DZ31)))</f>
        <v>9.2303846073714597E-4</v>
      </c>
      <c r="E31">
        <f>IF(COUNT(Resultados!E31,Resultados!N31,Resultados!W31,Resultados!AF31,Resultados!AO31,Resultados!AX31,Resultados!BG31,Resultados!BP31,Resultados!BY31,Resultados!CH31,Resultados!CQ31,Resultados!CZ31,Resultados!DI31,Resultados!DR31,Resultados!EA31)&lt;=1, "", _xlfn.STDEV.S(ABS(Resultados!E31),ABS(Resultados!N31),ABS(Resultados!W31),ABS(Resultados!AF31),ABS(Resultados!AO31),ABS(Resultados!AX31),ABS(Resultados!BG31),ABS(Resultados!BP31),ABS(Resultados!BY31),ABS(Resultados!CH31),ABS(Resultados!CQ31),ABS(Resultados!CZ31),ABS(Resultados!DI31),ABS(Resultados!DR31),ABS(Resultados!EA31))/SQRT(COUNT(Resultados!E31,Resultados!N31,Resultados!W31,Resultados!AF31,Resultados!AO31,Resultados!AX31,Resultados!BG31,Resultados!BP31,Resultados!BY31,Resultados!CH31,Resultados!CQ31,Resultados!CZ31,Resultados!DI31,Resultados!DR31,Resultados!EA31)))</f>
        <v>5.6790179680276436E-2</v>
      </c>
      <c r="F31">
        <f>IF(COUNT(Resultados!F31,Resultados!O31,Resultados!X31,Resultados!AG31,Resultados!AP31,Resultados!AY31,Resultados!BH31,Resultados!BQ31,Resultados!BZ31,Resultados!CI31,Resultados!CR31,Resultados!DA31,Resultados!DJ31,Resultados!DS31,Resultados!EB31)&lt;=1, "", _xlfn.STDEV.S(ABS(Resultados!F31),ABS(Resultados!O31),ABS(Resultados!X31),ABS(Resultados!AG31),ABS(Resultados!AP31),ABS(Resultados!AY31),ABS(Resultados!BH31),ABS(Resultados!BQ31),ABS(Resultados!BZ31),ABS(Resultados!CI31),ABS(Resultados!CR31),ABS(Resultados!DA31),ABS(Resultados!DJ31),ABS(Resultados!DS31),ABS(Resultados!EB31))/SQRT(COUNT(Resultados!F31,Resultados!O31,Resultados!X31,Resultados!AG31,Resultados!AP31,Resultados!AY31,Resultados!BH31,Resultados!BQ31,Resultados!BZ31,Resultados!CI31,Resultados!CR31,Resultados!DA31,Resultados!DJ31,Resultados!DS31,Resultados!EB31)))</f>
        <v>5.3893880516582318</v>
      </c>
      <c r="G31">
        <f>IF(COUNT(Resultados!G31,Resultados!P31,Resultados!Y31,Resultados!AH31,Resultados!AQ31,Resultados!AZ31,Resultados!BI31,Resultados!BR31,Resultados!CA31,Resultados!CJ31,Resultados!CS31,Resultados!DB31,Resultados!DK31,Resultados!DT31,Resultados!EC31)&lt;=1, "", _xlfn.STDEV.S(ABS(Resultados!G31),ABS(Resultados!P31),ABS(Resultados!Y31),ABS(Resultados!AH31),ABS(Resultados!AQ31),ABS(Resultados!AZ31),ABS(Resultados!BI31),ABS(Resultados!BR31),ABS(Resultados!CA31),ABS(Resultados!CJ31),ABS(Resultados!CS31),ABS(Resultados!DB31),ABS(Resultados!DK31),ABS(Resultados!DT31),ABS(Resultados!EC31))/SQRT(COUNT(Resultados!G31,Resultados!P31,Resultados!Y31,Resultados!AH31,Resultados!AQ31,Resultados!AZ31,Resultados!BI31,Resultados!BR31,Resultados!CA31,Resultados!CJ31,Resultados!CS31,Resultados!DB31,Resultados!DK31,Resultados!DT31,Resultados!EC31)))</f>
        <v>4.4507937654163114E-17</v>
      </c>
      <c r="H31">
        <f>IF(COUNT(Resultados!H31,Resultados!Q31,Resultados!Z31,Resultados!AI31,Resultados!AR31,Resultados!BA31,Resultados!BJ31,Resultados!BS31,Resultados!CB31,Resultados!CK31,Resultados!CT31,Resultados!DC31,Resultados!DL31,Resultados!DU31,Resultados!ED31)&lt;=1, "", _xlfn.STDEV.S(ABS(Resultados!H31),ABS(Resultados!Q31),ABS(Resultados!Z31),ABS(Resultados!AI31),ABS(Resultados!AR31),ABS(Resultados!BA31),ABS(Resultados!BJ31),ABS(Resultados!BS31),ABS(Resultados!CB31),ABS(Resultados!CK31),ABS(Resultados!CT31),ABS(Resultados!DC31),ABS(Resultados!DL31),ABS(Resultados!DU31),ABS(Resultados!ED31))/SQRT(COUNT(Resultados!H31,Resultados!Q31,Resultados!Z31,Resultados!AI31,Resultados!AR31,Resultados!BA31,Resultados!BJ31,Resultados!BS31,Resultados!CB31,Resultados!CK31,Resultados!CT31,Resultados!DC31,Resultados!DL31,Resultados!DU31,Resultados!ED31)))</f>
        <v>8.799999999999996E-4</v>
      </c>
      <c r="I31">
        <f>IF(COUNT(Resultados!I31,Resultados!R31,Resultados!AA31,Resultados!AJ31,Resultados!AS31,Resultados!BB31,Resultados!BK31,Resultados!BT31,Resultados!CC31,Resultados!CL31,Resultados!CU31,Resultados!DD31,Resultados!DM31,Resultados!DV31,Resultados!EE31)&lt;=1, "", _xlfn.STDEV.S(ABS(Resultados!I31),ABS(Resultados!R31),ABS(Resultados!AA31),ABS(Resultados!AJ31),ABS(Resultados!AS31),ABS(Resultados!BB31),ABS(Resultados!BK31),ABS(Resultados!BT31),ABS(Resultados!CC31),ABS(Resultados!CL31),ABS(Resultados!CU31),ABS(Resultados!DD31),ABS(Resultados!DM31),ABS(Resultados!DV31),ABS(Resultados!EE31))/SQRT(COUNT(Resultados!I31,Resultados!R31,Resultados!AA31,Resultados!AJ31,Resultados!AS31,Resultados!BB31,Resultados!BK31,Resultados!BT31,Resultados!CC31,Resultados!CL31,Resultados!CU31,Resultados!DD31,Resultados!DM31,Resultados!DV31,Resultados!EE31)))</f>
        <v>7.9035463207798072E-4</v>
      </c>
    </row>
    <row r="32" spans="1:9" x14ac:dyDescent="0.3">
      <c r="A32">
        <f>IF(COUNT(Resultados!A32,Resultados!J32,Resultados!S32,Resultados!AB32,Resultados!AK32,Resultados!AT32,Resultados!BC32,Resultados!BL32,Resultados!BU32,Resultados!CD32,Resultados!CM32,Resultados!CV32,Resultados!DE32,Resultados!DN32,Resultados!DW32)&lt;=1, "", _xlfn.STDEV.S(ABS(Resultados!A32),ABS(Resultados!J32),ABS(Resultados!S32),ABS(Resultados!AB32),ABS(Resultados!AK32),ABS(Resultados!AT32),ABS(Resultados!BC32),ABS(Resultados!BL32),ABS(Resultados!BU32),ABS(Resultados!CD32),ABS(Resultados!CM32),ABS(Resultados!CV32),ABS(Resultados!DE32),ABS(Resultados!DN32),ABS(Resultados!DW32))/SQRT(COUNT(Resultados!A32,Resultados!J32,Resultados!S32,Resultados!AB32,Resultados!AK32,Resultados!AT32,Resultados!BC32,Resultados!BL32,Resultados!BU32,Resultados!CD32,Resultados!CM32,Resultados!CV32,Resultados!DE32,Resultados!DN32,Resultados!DW32)))</f>
        <v>0</v>
      </c>
      <c r="B32" t="str">
        <f>IF(COUNT(Resultados!B32,Resultados!K32,Resultados!T32,Resultados!AC32,Resultados!AL32,Resultados!AU32,Resultados!BD32,Resultados!BM32,Resultados!BV32,Resultados!CE32,Resultados!CN32,Resultados!CW32,Resultados!DF32,Resultados!DO32,Resultados!DX32)&lt;=1, "", _xlfn.STDEV.S(ABS(Resultados!B32),ABS(Resultados!K32),ABS(Resultados!T32),ABS(Resultados!AC32),ABS(Resultados!AL32),ABS(Resultados!AU32),ABS(Resultados!BD32),ABS(Resultados!BM32),ABS(Resultados!BV32),ABS(Resultados!CE32),ABS(Resultados!CN32),ABS(Resultados!CW32),ABS(Resultados!DF32),ABS(Resultados!DO32),ABS(Resultados!DX32))/SQRT(COUNT(Resultados!B32,Resultados!K32,Resultados!T32,Resultados!AC32,Resultados!AL32,Resultados!AU32,Resultados!BD32,Resultados!BM32,Resultados!BV32,Resultados!CE32,Resultados!CN32,Resultados!CW32,Resultados!DF32,Resultados!DO32,Resultados!DX32)))</f>
        <v/>
      </c>
      <c r="C32">
        <f>IF(COUNT(Resultados!C32,Resultados!L32,Resultados!U32,Resultados!AD32,Resultados!AM32,Resultados!AV32,Resultados!BE32,Resultados!BN32,Resultados!BW32,Resultados!CF32,Resultados!CO32,Resultados!CX32,Resultados!DG32,Resultados!DP32,Resultados!DY32)&lt;=1, "", _xlfn.STDEV.S(ABS(Resultados!C32),ABS(Resultados!L32),ABS(Resultados!U32),ABS(Resultados!AD32),ABS(Resultados!AM32),ABS(Resultados!AV32),ABS(Resultados!BE32),ABS(Resultados!BN32),ABS(Resultados!BW32),ABS(Resultados!CF32),ABS(Resultados!CO32),ABS(Resultados!CX32),ABS(Resultados!DG32),ABS(Resultados!DP32),ABS(Resultados!DY32))/SQRT(COUNT(Resultados!C32,Resultados!L32,Resultados!U32,Resultados!AD32,Resultados!AM32,Resultados!AV32,Resultados!BE32,Resultados!BN32,Resultados!BW32,Resultados!CF32,Resultados!CO32,Resultados!CX32,Resultados!DG32,Resultados!DP32,Resultados!DY32)))</f>
        <v>0.48007935851918326</v>
      </c>
      <c r="D32">
        <f>IF(COUNT(Resultados!D32,Resultados!M32,Resultados!V32,Resultados!AE32,Resultados!AN32,Resultados!AW32,Resultados!BF32,Resultados!BO32,Resultados!BX32,Resultados!CG32,Resultados!CP32,Resultados!CY32,Resultados!DH32,Resultados!DQ32,Resultados!DZ32)&lt;=1, "", _xlfn.STDEV.S(ABS(Resultados!D32),ABS(Resultados!M32),ABS(Resultados!V32),ABS(Resultados!AE32),ABS(Resultados!AN32),ABS(Resultados!AW32),ABS(Resultados!BF32),ABS(Resultados!BO32),ABS(Resultados!BX32),ABS(Resultados!CG32),ABS(Resultados!CP32),ABS(Resultados!CY32),ABS(Resultados!DH32),ABS(Resultados!DQ32),ABS(Resultados!DZ32))/SQRT(COUNT(Resultados!D32,Resultados!M32,Resultados!V32,Resultados!AE32,Resultados!AN32,Resultados!AW32,Resultados!BF32,Resultados!BO32,Resultados!BX32,Resultados!CG32,Resultados!CP32,Resultados!CY32,Resultados!DH32,Resultados!DQ32,Resultados!DZ32)))</f>
        <v>7.8683613993709713E-4</v>
      </c>
      <c r="E32">
        <f>IF(COUNT(Resultados!E32,Resultados!N32,Resultados!W32,Resultados!AF32,Resultados!AO32,Resultados!AX32,Resultados!BG32,Resultados!BP32,Resultados!BY32,Resultados!CH32,Resultados!CQ32,Resultados!CZ32,Resultados!DI32,Resultados!DR32,Resultados!EA32)&lt;=1, "", _xlfn.STDEV.S(ABS(Resultados!E32),ABS(Resultados!N32),ABS(Resultados!W32),ABS(Resultados!AF32),ABS(Resultados!AO32),ABS(Resultados!AX32),ABS(Resultados!BG32),ABS(Resultados!BP32),ABS(Resultados!BY32),ABS(Resultados!CH32),ABS(Resultados!CQ32),ABS(Resultados!CZ32),ABS(Resultados!DI32),ABS(Resultados!DR32),ABS(Resultados!EA32))/SQRT(COUNT(Resultados!E32,Resultados!N32,Resultados!W32,Resultados!AF32,Resultados!AO32,Resultados!AX32,Resultados!BG32,Resultados!BP32,Resultados!BY32,Resultados!CH32,Resultados!CQ32,Resultados!CZ32,Resultados!DI32,Resultados!DR32,Resultados!EA32)))</f>
        <v>4.494901416753589E-2</v>
      </c>
      <c r="F32">
        <f>IF(COUNT(Resultados!F32,Resultados!O32,Resultados!X32,Resultados!AG32,Resultados!AP32,Resultados!AY32,Resultados!BH32,Resultados!BQ32,Resultados!BZ32,Resultados!CI32,Resultados!CR32,Resultados!DA32,Resultados!DJ32,Resultados!DS32,Resultados!EB32)&lt;=1, "", _xlfn.STDEV.S(ABS(Resultados!F32),ABS(Resultados!O32),ABS(Resultados!X32),ABS(Resultados!AG32),ABS(Resultados!AP32),ABS(Resultados!AY32),ABS(Resultados!BH32),ABS(Resultados!BQ32),ABS(Resultados!BZ32),ABS(Resultados!CI32),ABS(Resultados!CR32),ABS(Resultados!DA32),ABS(Resultados!DJ32),ABS(Resultados!DS32),ABS(Resultados!EB32))/SQRT(COUNT(Resultados!F32,Resultados!O32,Resultados!X32,Resultados!AG32,Resultados!AP32,Resultados!AY32,Resultados!BH32,Resultados!BQ32,Resultados!BZ32,Resultados!CI32,Resultados!CR32,Resultados!DA32,Resultados!DJ32,Resultados!DS32,Resultados!EB32)))</f>
        <v>4.2656614444991545</v>
      </c>
      <c r="G32">
        <f>IF(COUNT(Resultados!G32,Resultados!P32,Resultados!Y32,Resultados!AH32,Resultados!AQ32,Resultados!AZ32,Resultados!BI32,Resultados!BR32,Resultados!CA32,Resultados!CJ32,Resultados!CS32,Resultados!DB32,Resultados!DK32,Resultados!DT32,Resultados!EC32)&lt;=1, "", _xlfn.STDEV.S(ABS(Resultados!G32),ABS(Resultados!P32),ABS(Resultados!Y32),ABS(Resultados!AH32),ABS(Resultados!AQ32),ABS(Resultados!AZ32),ABS(Resultados!BI32),ABS(Resultados!BR32),ABS(Resultados!CA32),ABS(Resultados!CJ32),ABS(Resultados!CS32),ABS(Resultados!DB32),ABS(Resultados!DK32),ABS(Resultados!DT32),ABS(Resultados!EC32))/SQRT(COUNT(Resultados!G32,Resultados!P32,Resultados!Y32,Resultados!AH32,Resultados!AQ32,Resultados!AZ32,Resultados!BI32,Resultados!BR32,Resultados!CA32,Resultados!CJ32,Resultados!CS32,Resultados!DB32,Resultados!DK32,Resultados!DT32,Resultados!EC32)))</f>
        <v>4.4507937654163114E-17</v>
      </c>
      <c r="H32">
        <f>IF(COUNT(Resultados!H32,Resultados!Q32,Resultados!Z32,Resultados!AI32,Resultados!AR32,Resultados!BA32,Resultados!BJ32,Resultados!BS32,Resultados!CB32,Resultados!CK32,Resultados!CT32,Resultados!DC32,Resultados!DL32,Resultados!DU32,Resultados!ED32)&lt;=1, "", _xlfn.STDEV.S(ABS(Resultados!H32),ABS(Resultados!Q32),ABS(Resultados!Z32),ABS(Resultados!AI32),ABS(Resultados!AR32),ABS(Resultados!BA32),ABS(Resultados!BJ32),ABS(Resultados!BS32),ABS(Resultados!CB32),ABS(Resultados!CK32),ABS(Resultados!CT32),ABS(Resultados!DC32),ABS(Resultados!DL32),ABS(Resultados!DU32),ABS(Resultados!ED32))/SQRT(COUNT(Resultados!H32,Resultados!Q32,Resultados!Z32,Resultados!AI32,Resultados!AR32,Resultados!BA32,Resultados!BJ32,Resultados!BS32,Resultados!CB32,Resultados!CK32,Resultados!CT32,Resultados!DC32,Resultados!DL32,Resultados!DU32,Resultados!ED32)))</f>
        <v>6.9999999999999999E-4</v>
      </c>
      <c r="I32">
        <f>IF(COUNT(Resultados!I32,Resultados!R32,Resultados!AA32,Resultados!AJ32,Resultados!AS32,Resultados!BB32,Resultados!BK32,Resultados!BT32,Resultados!CC32,Resultados!CL32,Resultados!CU32,Resultados!DD32,Resultados!DM32,Resultados!DV32,Resultados!EE32)&lt;=1, "", _xlfn.STDEV.S(ABS(Resultados!I32),ABS(Resultados!R32),ABS(Resultados!AA32),ABS(Resultados!AJ32),ABS(Resultados!AS32),ABS(Resultados!BB32),ABS(Resultados!BK32),ABS(Resultados!BT32),ABS(Resultados!CC32),ABS(Resultados!CL32),ABS(Resultados!CU32),ABS(Resultados!DD32),ABS(Resultados!DM32),ABS(Resultados!DV32),ABS(Resultados!EE32))/SQRT(COUNT(Resultados!I32,Resultados!R32,Resultados!AA32,Resultados!AJ32,Resultados!AS32,Resultados!BB32,Resultados!BK32,Resultados!BT32,Resultados!CC32,Resultados!CL32,Resultados!CU32,Resultados!DD32,Resultados!DM32,Resultados!DV32,Resultados!EE32)))</f>
        <v>8.7108514700627679E-4</v>
      </c>
    </row>
    <row r="33" spans="1:9" x14ac:dyDescent="0.3">
      <c r="A33">
        <f>IF(COUNT(Resultados!A33,Resultados!J33,Resultados!S33,Resultados!AB33,Resultados!AK33,Resultados!AT33,Resultados!BC33,Resultados!BL33,Resultados!BU33,Resultados!CD33,Resultados!CM33,Resultados!CV33,Resultados!DE33,Resultados!DN33,Resultados!DW33)&lt;=1, "", _xlfn.STDEV.S(ABS(Resultados!A33),ABS(Resultados!J33),ABS(Resultados!S33),ABS(Resultados!AB33),ABS(Resultados!AK33),ABS(Resultados!AT33),ABS(Resultados!BC33),ABS(Resultados!BL33),ABS(Resultados!BU33),ABS(Resultados!CD33),ABS(Resultados!CM33),ABS(Resultados!CV33),ABS(Resultados!DE33),ABS(Resultados!DN33),ABS(Resultados!DW33))/SQRT(COUNT(Resultados!A33,Resultados!J33,Resultados!S33,Resultados!AB33,Resultados!AK33,Resultados!AT33,Resultados!BC33,Resultados!BL33,Resultados!BU33,Resultados!CD33,Resultados!CM33,Resultados!CV33,Resultados!DE33,Resultados!DN33,Resultados!DW33)))</f>
        <v>0</v>
      </c>
      <c r="B33" t="str">
        <f>IF(COUNT(Resultados!B33,Resultados!K33,Resultados!T33,Resultados!AC33,Resultados!AL33,Resultados!AU33,Resultados!BD33,Resultados!BM33,Resultados!BV33,Resultados!CE33,Resultados!CN33,Resultados!CW33,Resultados!DF33,Resultados!DO33,Resultados!DX33)&lt;=1, "", _xlfn.STDEV.S(ABS(Resultados!B33),ABS(Resultados!K33),ABS(Resultados!T33),ABS(Resultados!AC33),ABS(Resultados!AL33),ABS(Resultados!AU33),ABS(Resultados!BD33),ABS(Resultados!BM33),ABS(Resultados!BV33),ABS(Resultados!CE33),ABS(Resultados!CN33),ABS(Resultados!CW33),ABS(Resultados!DF33),ABS(Resultados!DO33),ABS(Resultados!DX33))/SQRT(COUNT(Resultados!B33,Resultados!K33,Resultados!T33,Resultados!AC33,Resultados!AL33,Resultados!AU33,Resultados!BD33,Resultados!BM33,Resultados!BV33,Resultados!CE33,Resultados!CN33,Resultados!CW33,Resultados!DF33,Resultados!DO33,Resultados!DX33)))</f>
        <v/>
      </c>
      <c r="C33">
        <f>IF(COUNT(Resultados!C33,Resultados!L33,Resultados!U33,Resultados!AD33,Resultados!AM33,Resultados!AV33,Resultados!BE33,Resultados!BN33,Resultados!BW33,Resultados!CF33,Resultados!CO33,Resultados!CX33,Resultados!DG33,Resultados!DP33,Resultados!DY33)&lt;=1, "", _xlfn.STDEV.S(ABS(Resultados!C33),ABS(Resultados!L33),ABS(Resultados!U33),ABS(Resultados!AD33),ABS(Resultados!AM33),ABS(Resultados!AV33),ABS(Resultados!BE33),ABS(Resultados!BN33),ABS(Resultados!BW33),ABS(Resultados!CF33),ABS(Resultados!CO33),ABS(Resultados!CX33),ABS(Resultados!DG33),ABS(Resultados!DP33),ABS(Resultados!DY33))/SQRT(COUNT(Resultados!C33,Resultados!L33,Resultados!U33,Resultados!AD33,Resultados!AM33,Resultados!AV33,Resultados!BE33,Resultados!BN33,Resultados!BW33,Resultados!CF33,Resultados!CO33,Resultados!CX33,Resultados!DG33,Resultados!DP33,Resultados!DY33)))</f>
        <v>0.48007935851918326</v>
      </c>
      <c r="D33">
        <f>IF(COUNT(Resultados!D33,Resultados!M33,Resultados!V33,Resultados!AE33,Resultados!AN33,Resultados!AW33,Resultados!BF33,Resultados!BO33,Resultados!BX33,Resultados!CG33,Resultados!CP33,Resultados!CY33,Resultados!DH33,Resultados!DQ33,Resultados!DZ33)&lt;=1, "", _xlfn.STDEV.S(ABS(Resultados!D33),ABS(Resultados!M33),ABS(Resultados!V33),ABS(Resultados!AE33),ABS(Resultados!AN33),ABS(Resultados!AW33),ABS(Resultados!BF33),ABS(Resultados!BO33),ABS(Resultados!BX33),ABS(Resultados!CG33),ABS(Resultados!CP33),ABS(Resultados!CY33),ABS(Resultados!DH33),ABS(Resultados!DQ33),ABS(Resultados!DZ33))/SQRT(COUNT(Resultados!D33,Resultados!M33,Resultados!V33,Resultados!AE33,Resultados!AN33,Resultados!AW33,Resultados!BF33,Resultados!BO33,Resultados!BX33,Resultados!CG33,Resultados!CP33,Resultados!CY33,Resultados!DH33,Resultados!DQ33,Resultados!DZ33)))</f>
        <v>6.1645684976245304E-4</v>
      </c>
      <c r="E33">
        <f>IF(COUNT(Resultados!E33,Resultados!N33,Resultados!W33,Resultados!AF33,Resultados!AO33,Resultados!AX33,Resultados!BG33,Resultados!BP33,Resultados!BY33,Resultados!CH33,Resultados!CQ33,Resultados!CZ33,Resultados!DI33,Resultados!DR33,Resultados!EA33)&lt;=1, "", _xlfn.STDEV.S(ABS(Resultados!E33),ABS(Resultados!N33),ABS(Resultados!W33),ABS(Resultados!AF33),ABS(Resultados!AO33),ABS(Resultados!AX33),ABS(Resultados!BG33),ABS(Resultados!BP33),ABS(Resultados!BY33),ABS(Resultados!CH33),ABS(Resultados!CQ33),ABS(Resultados!CZ33),ABS(Resultados!DI33),ABS(Resultados!DR33),ABS(Resultados!EA33))/SQRT(COUNT(Resultados!E33,Resultados!N33,Resultados!W33,Resultados!AF33,Resultados!AO33,Resultados!AX33,Resultados!BG33,Resultados!BP33,Resultados!BY33,Resultados!CH33,Resultados!CQ33,Resultados!CZ33,Resultados!DI33,Resultados!DR33,Resultados!EA33)))</f>
        <v>2.8695853266282781E-2</v>
      </c>
      <c r="F33">
        <f>IF(COUNT(Resultados!F33,Resultados!O33,Resultados!X33,Resultados!AG33,Resultados!AP33,Resultados!AY33,Resultados!BH33,Resultados!BQ33,Resultados!BZ33,Resultados!CI33,Resultados!CR33,Resultados!DA33,Resultados!DJ33,Resultados!DS33,Resultados!EB33)&lt;=1, "", _xlfn.STDEV.S(ABS(Resultados!F33),ABS(Resultados!O33),ABS(Resultados!X33),ABS(Resultados!AG33),ABS(Resultados!AP33),ABS(Resultados!AY33),ABS(Resultados!BH33),ABS(Resultados!BQ33),ABS(Resultados!BZ33),ABS(Resultados!CI33),ABS(Resultados!CR33),ABS(Resultados!DA33),ABS(Resultados!DJ33),ABS(Resultados!DS33),ABS(Resultados!EB33))/SQRT(COUNT(Resultados!F33,Resultados!O33,Resultados!X33,Resultados!AG33,Resultados!AP33,Resultados!AY33,Resultados!BH33,Resultados!BQ33,Resultados!BZ33,Resultados!CI33,Resultados!CR33,Resultados!DA33,Resultados!DJ33,Resultados!DS33,Resultados!EB33)))</f>
        <v>4.2391016771563335</v>
      </c>
      <c r="G33">
        <f>IF(COUNT(Resultados!G33,Resultados!P33,Resultados!Y33,Resultados!AH33,Resultados!AQ33,Resultados!AZ33,Resultados!BI33,Resultados!BR33,Resultados!CA33,Resultados!CJ33,Resultados!CS33,Resultados!DB33,Resultados!DK33,Resultados!DT33,Resultados!EC33)&lt;=1, "", _xlfn.STDEV.S(ABS(Resultados!G33),ABS(Resultados!P33),ABS(Resultados!Y33),ABS(Resultados!AH33),ABS(Resultados!AQ33),ABS(Resultados!AZ33),ABS(Resultados!BI33),ABS(Resultados!BR33),ABS(Resultados!CA33),ABS(Resultados!CJ33),ABS(Resultados!CS33),ABS(Resultados!DB33),ABS(Resultados!DK33),ABS(Resultados!DT33),ABS(Resultados!EC33))/SQRT(COUNT(Resultados!G33,Resultados!P33,Resultados!Y33,Resultados!AH33,Resultados!AQ33,Resultados!AZ33,Resultados!BI33,Resultados!BR33,Resultados!CA33,Resultados!CJ33,Resultados!CS33,Resultados!DB33,Resultados!DK33,Resultados!DT33,Resultados!EC33)))</f>
        <v>4.4507937654163114E-17</v>
      </c>
      <c r="H33">
        <f>IF(COUNT(Resultados!H33,Resultados!Q33,Resultados!Z33,Resultados!AI33,Resultados!AR33,Resultados!BA33,Resultados!BJ33,Resultados!BS33,Resultados!CB33,Resultados!CK33,Resultados!CT33,Resultados!DC33,Resultados!DL33,Resultados!DU33,Resultados!ED33)&lt;=1, "", _xlfn.STDEV.S(ABS(Resultados!H33),ABS(Resultados!Q33),ABS(Resultados!Z33),ABS(Resultados!AI33),ABS(Resultados!AR33),ABS(Resultados!BA33),ABS(Resultados!BJ33),ABS(Resultados!BS33),ABS(Resultados!CB33),ABS(Resultados!CK33),ABS(Resultados!CT33),ABS(Resultados!DC33),ABS(Resultados!DL33),ABS(Resultados!DU33),ABS(Resultados!ED33))/SQRT(COUNT(Resultados!H33,Resultados!Q33,Resultados!Z33,Resultados!AI33,Resultados!AR33,Resultados!BA33,Resultados!BJ33,Resultados!BS33,Resultados!CB33,Resultados!CK33,Resultados!CT33,Resultados!DC33,Resultados!DL33,Resultados!DU33,Resultados!ED33)))</f>
        <v>4.4666666666666677E-4</v>
      </c>
      <c r="I33">
        <f>IF(COUNT(Resultados!I33,Resultados!R33,Resultados!AA33,Resultados!AJ33,Resultados!AS33,Resultados!BB33,Resultados!BK33,Resultados!BT33,Resultados!CC33,Resultados!CL33,Resultados!CU33,Resultados!DD33,Resultados!DM33,Resultados!DV33,Resultados!EE33)&lt;=1, "", _xlfn.STDEV.S(ABS(Resultados!I33),ABS(Resultados!R33),ABS(Resultados!AA33),ABS(Resultados!AJ33),ABS(Resultados!AS33),ABS(Resultados!BB33),ABS(Resultados!BK33),ABS(Resultados!BT33),ABS(Resultados!CC33),ABS(Resultados!CL33),ABS(Resultados!CU33),ABS(Resultados!DD33),ABS(Resultados!DM33),ABS(Resultados!DV33),ABS(Resultados!EE33))/SQRT(COUNT(Resultados!I33,Resultados!R33,Resultados!AA33,Resultados!AJ33,Resultados!AS33,Resultados!BB33,Resultados!BK33,Resultados!BT33,Resultados!CC33,Resultados!CL33,Resultados!CU33,Resultados!DD33,Resultados!DM33,Resultados!DV33,Resultados!EE33)))</f>
        <v>8.0964452321275924E-4</v>
      </c>
    </row>
    <row r="34" spans="1:9" x14ac:dyDescent="0.3">
      <c r="A34">
        <f>IF(COUNT(Resultados!A34,Resultados!J34,Resultados!S34,Resultados!AB34,Resultados!AK34,Resultados!AT34,Resultados!BC34,Resultados!BL34,Resultados!BU34,Resultados!CD34,Resultados!CM34,Resultados!CV34,Resultados!DE34,Resultados!DN34,Resultados!DW34)&lt;=1, "", _xlfn.STDEV.S(ABS(Resultados!A34),ABS(Resultados!J34),ABS(Resultados!S34),ABS(Resultados!AB34),ABS(Resultados!AK34),ABS(Resultados!AT34),ABS(Resultados!BC34),ABS(Resultados!BL34),ABS(Resultados!BU34),ABS(Resultados!CD34),ABS(Resultados!CM34),ABS(Resultados!CV34),ABS(Resultados!DE34),ABS(Resultados!DN34),ABS(Resultados!DW34))/SQRT(COUNT(Resultados!A34,Resultados!J34,Resultados!S34,Resultados!AB34,Resultados!AK34,Resultados!AT34,Resultados!BC34,Resultados!BL34,Resultados!BU34,Resultados!CD34,Resultados!CM34,Resultados!CV34,Resultados!DE34,Resultados!DN34,Resultados!DW34)))</f>
        <v>0</v>
      </c>
      <c r="B34" t="str">
        <f>IF(COUNT(Resultados!B34,Resultados!K34,Resultados!T34,Resultados!AC34,Resultados!AL34,Resultados!AU34,Resultados!BD34,Resultados!BM34,Resultados!BV34,Resultados!CE34,Resultados!CN34,Resultados!CW34,Resultados!DF34,Resultados!DO34,Resultados!DX34)&lt;=1, "", _xlfn.STDEV.S(ABS(Resultados!B34),ABS(Resultados!K34),ABS(Resultados!T34),ABS(Resultados!AC34),ABS(Resultados!AL34),ABS(Resultados!AU34),ABS(Resultados!BD34),ABS(Resultados!BM34),ABS(Resultados!BV34),ABS(Resultados!CE34),ABS(Resultados!CN34),ABS(Resultados!CW34),ABS(Resultados!DF34),ABS(Resultados!DO34),ABS(Resultados!DX34))/SQRT(COUNT(Resultados!B34,Resultados!K34,Resultados!T34,Resultados!AC34,Resultados!AL34,Resultados!AU34,Resultados!BD34,Resultados!BM34,Resultados!BV34,Resultados!CE34,Resultados!CN34,Resultados!CW34,Resultados!DF34,Resultados!DO34,Resultados!DX34)))</f>
        <v/>
      </c>
      <c r="C34">
        <f>IF(COUNT(Resultados!C34,Resultados!L34,Resultados!U34,Resultados!AD34,Resultados!AM34,Resultados!AV34,Resultados!BE34,Resultados!BN34,Resultados!BW34,Resultados!CF34,Resultados!CO34,Resultados!CX34,Resultados!DG34,Resultados!DP34,Resultados!DY34)&lt;=1, "", _xlfn.STDEV.S(ABS(Resultados!C34),ABS(Resultados!L34),ABS(Resultados!U34),ABS(Resultados!AD34),ABS(Resultados!AM34),ABS(Resultados!AV34),ABS(Resultados!BE34),ABS(Resultados!BN34),ABS(Resultados!BW34),ABS(Resultados!CF34),ABS(Resultados!CO34),ABS(Resultados!CX34),ABS(Resultados!DG34),ABS(Resultados!DP34),ABS(Resultados!DY34))/SQRT(COUNT(Resultados!C34,Resultados!L34,Resultados!U34,Resultados!AD34,Resultados!AM34,Resultados!AV34,Resultados!BE34,Resultados!BN34,Resultados!BW34,Resultados!CF34,Resultados!CO34,Resultados!CX34,Resultados!DG34,Resultados!DP34,Resultados!DY34)))</f>
        <v>0.48007935851918326</v>
      </c>
      <c r="D34">
        <f>IF(COUNT(Resultados!D34,Resultados!M34,Resultados!V34,Resultados!AE34,Resultados!AN34,Resultados!AW34,Resultados!BF34,Resultados!BO34,Resultados!BX34,Resultados!CG34,Resultados!CP34,Resultados!CY34,Resultados!DH34,Resultados!DQ34,Resultados!DZ34)&lt;=1, "", _xlfn.STDEV.S(ABS(Resultados!D34),ABS(Resultados!M34),ABS(Resultados!V34),ABS(Resultados!AE34),ABS(Resultados!AN34),ABS(Resultados!AW34),ABS(Resultados!BF34),ABS(Resultados!BO34),ABS(Resultados!BX34),ABS(Resultados!CG34),ABS(Resultados!CP34),ABS(Resultados!CY34),ABS(Resultados!DH34),ABS(Resultados!DQ34),ABS(Resultados!DZ34))/SQRT(COUNT(Resultados!D34,Resultados!M34,Resultados!V34,Resultados!AE34,Resultados!AN34,Resultados!AW34,Resultados!BF34,Resultados!BO34,Resultados!BX34,Resultados!CG34,Resultados!CP34,Resultados!CY34,Resultados!DH34,Resultados!DQ34,Resultados!DZ34)))</f>
        <v>4.2525062638177892E-4</v>
      </c>
      <c r="E34">
        <f>IF(COUNT(Resultados!E34,Resultados!N34,Resultados!W34,Resultados!AF34,Resultados!AO34,Resultados!AX34,Resultados!BG34,Resultados!BP34,Resultados!BY34,Resultados!CH34,Resultados!CQ34,Resultados!CZ34,Resultados!DI34,Resultados!DR34,Resultados!EA34)&lt;=1, "", _xlfn.STDEV.S(ABS(Resultados!E34),ABS(Resultados!N34),ABS(Resultados!W34),ABS(Resultados!AF34),ABS(Resultados!AO34),ABS(Resultados!AX34),ABS(Resultados!BG34),ABS(Resultados!BP34),ABS(Resultados!BY34),ABS(Resultados!CH34),ABS(Resultados!CQ34),ABS(Resultados!CZ34),ABS(Resultados!DI34),ABS(Resultados!DR34),ABS(Resultados!EA34))/SQRT(COUNT(Resultados!E34,Resultados!N34,Resultados!W34,Resultados!AF34,Resultados!AO34,Resultados!AX34,Resultados!BG34,Resultados!BP34,Resultados!BY34,Resultados!CH34,Resultados!CQ34,Resultados!CZ34,Resultados!DI34,Resultados!DR34,Resultados!EA34)))</f>
        <v>9.9023243429123171E-3</v>
      </c>
      <c r="F34">
        <f>IF(COUNT(Resultados!F34,Resultados!O34,Resultados!X34,Resultados!AG34,Resultados!AP34,Resultados!AY34,Resultados!BH34,Resultados!BQ34,Resultados!BZ34,Resultados!CI34,Resultados!CR34,Resultados!DA34,Resultados!DJ34,Resultados!DS34,Resultados!EB34)&lt;=1, "", _xlfn.STDEV.S(ABS(Resultados!F34),ABS(Resultados!O34),ABS(Resultados!X34),ABS(Resultados!AG34),ABS(Resultados!AP34),ABS(Resultados!AY34),ABS(Resultados!BH34),ABS(Resultados!BQ34),ABS(Resultados!BZ34),ABS(Resultados!CI34),ABS(Resultados!CR34),ABS(Resultados!DA34),ABS(Resultados!DJ34),ABS(Resultados!DS34),ABS(Resultados!EB34))/SQRT(COUNT(Resultados!F34,Resultados!O34,Resultados!X34,Resultados!AG34,Resultados!AP34,Resultados!AY34,Resultados!BH34,Resultados!BQ34,Resultados!BZ34,Resultados!CI34,Resultados!CR34,Resultados!DA34,Resultados!DJ34,Resultados!DS34,Resultados!EB34)))</f>
        <v>6.0120830467082769</v>
      </c>
      <c r="G34">
        <f>IF(COUNT(Resultados!G34,Resultados!P34,Resultados!Y34,Resultados!AH34,Resultados!AQ34,Resultados!AZ34,Resultados!BI34,Resultados!BR34,Resultados!CA34,Resultados!CJ34,Resultados!CS34,Resultados!DB34,Resultados!DK34,Resultados!DT34,Resultados!EC34)&lt;=1, "", _xlfn.STDEV.S(ABS(Resultados!G34),ABS(Resultados!P34),ABS(Resultados!Y34),ABS(Resultados!AH34),ABS(Resultados!AQ34),ABS(Resultados!AZ34),ABS(Resultados!BI34),ABS(Resultados!BR34),ABS(Resultados!CA34),ABS(Resultados!CJ34),ABS(Resultados!CS34),ABS(Resultados!DB34),ABS(Resultados!DK34),ABS(Resultados!DT34),ABS(Resultados!EC34))/SQRT(COUNT(Resultados!G34,Resultados!P34,Resultados!Y34,Resultados!AH34,Resultados!AQ34,Resultados!AZ34,Resultados!BI34,Resultados!BR34,Resultados!CA34,Resultados!CJ34,Resultados!CS34,Resultados!DB34,Resultados!DK34,Resultados!DT34,Resultados!EC34)))</f>
        <v>4.4507937654163114E-17</v>
      </c>
      <c r="H34">
        <f>IF(COUNT(Resultados!H34,Resultados!Q34,Resultados!Z34,Resultados!AI34,Resultados!AR34,Resultados!BA34,Resultados!BJ34,Resultados!BS34,Resultados!CB34,Resultados!CK34,Resultados!CT34,Resultados!DC34,Resultados!DL34,Resultados!DU34,Resultados!ED34)&lt;=1, "", _xlfn.STDEV.S(ABS(Resultados!H34),ABS(Resultados!Q34),ABS(Resultados!Z34),ABS(Resultados!AI34),ABS(Resultados!AR34),ABS(Resultados!BA34),ABS(Resultados!BJ34),ABS(Resultados!BS34),ABS(Resultados!CB34),ABS(Resultados!CK34),ABS(Resultados!CT34),ABS(Resultados!DC34),ABS(Resultados!DL34),ABS(Resultados!DU34),ABS(Resultados!ED34))/SQRT(COUNT(Resultados!H34,Resultados!Q34,Resultados!Z34,Resultados!AI34,Resultados!AR34,Resultados!BA34,Resultados!BJ34,Resultados!BS34,Resultados!CB34,Resultados!CK34,Resultados!CT34,Resultados!DC34,Resultados!DL34,Resultados!DU34,Resultados!ED34)))</f>
        <v>1.530017117862536E-4</v>
      </c>
      <c r="I34">
        <f>IF(COUNT(Resultados!I34,Resultados!R34,Resultados!AA34,Resultados!AJ34,Resultados!AS34,Resultados!BB34,Resultados!BK34,Resultados!BT34,Resultados!CC34,Resultados!CL34,Resultados!CU34,Resultados!DD34,Resultados!DM34,Resultados!DV34,Resultados!EE34)&lt;=1, "", _xlfn.STDEV.S(ABS(Resultados!I34),ABS(Resultados!R34),ABS(Resultados!AA34),ABS(Resultados!AJ34),ABS(Resultados!AS34),ABS(Resultados!BB34),ABS(Resultados!BK34),ABS(Resultados!BT34),ABS(Resultados!CC34),ABS(Resultados!CL34),ABS(Resultados!CU34),ABS(Resultados!DD34),ABS(Resultados!DM34),ABS(Resultados!DV34),ABS(Resultados!EE34))/SQRT(COUNT(Resultados!I34,Resultados!R34,Resultados!AA34,Resultados!AJ34,Resultados!AS34,Resultados!BB34,Resultados!BK34,Resultados!BT34,Resultados!CC34,Resultados!CL34,Resultados!CU34,Resultados!DD34,Resultados!DM34,Resultados!DV34,Resultados!EE34)))</f>
        <v>6.7501449719966115E-4</v>
      </c>
    </row>
    <row r="35" spans="1:9" x14ac:dyDescent="0.3">
      <c r="A35">
        <f>IF(COUNT(Resultados!A35,Resultados!J35,Resultados!S35,Resultados!AB35,Resultados!AK35,Resultados!AT35,Resultados!BC35,Resultados!BL35,Resultados!BU35,Resultados!CD35,Resultados!CM35,Resultados!CV35,Resultados!DE35,Resultados!DN35,Resultados!DW35)&lt;=1, "", _xlfn.STDEV.S(ABS(Resultados!A35),ABS(Resultados!J35),ABS(Resultados!S35),ABS(Resultados!AB35),ABS(Resultados!AK35),ABS(Resultados!AT35),ABS(Resultados!BC35),ABS(Resultados!BL35),ABS(Resultados!BU35),ABS(Resultados!CD35),ABS(Resultados!CM35),ABS(Resultados!CV35),ABS(Resultados!DE35),ABS(Resultados!DN35),ABS(Resultados!DW35))/SQRT(COUNT(Resultados!A35,Resultados!J35,Resultados!S35,Resultados!AB35,Resultados!AK35,Resultados!AT35,Resultados!BC35,Resultados!BL35,Resultados!BU35,Resultados!CD35,Resultados!CM35,Resultados!CV35,Resultados!DE35,Resultados!DN35,Resultados!DW35)))</f>
        <v>0</v>
      </c>
      <c r="B35" t="str">
        <f>IF(COUNT(Resultados!B35,Resultados!K35,Resultados!T35,Resultados!AC35,Resultados!AL35,Resultados!AU35,Resultados!BD35,Resultados!BM35,Resultados!BV35,Resultados!CE35,Resultados!CN35,Resultados!CW35,Resultados!DF35,Resultados!DO35,Resultados!DX35)&lt;=1, "", _xlfn.STDEV.S(ABS(Resultados!B35),ABS(Resultados!K35),ABS(Resultados!T35),ABS(Resultados!AC35),ABS(Resultados!AL35),ABS(Resultados!AU35),ABS(Resultados!BD35),ABS(Resultados!BM35),ABS(Resultados!BV35),ABS(Resultados!CE35),ABS(Resultados!CN35),ABS(Resultados!CW35),ABS(Resultados!DF35),ABS(Resultados!DO35),ABS(Resultados!DX35))/SQRT(COUNT(Resultados!B35,Resultados!K35,Resultados!T35,Resultados!AC35,Resultados!AL35,Resultados!AU35,Resultados!BD35,Resultados!BM35,Resultados!BV35,Resultados!CE35,Resultados!CN35,Resultados!CW35,Resultados!DF35,Resultados!DO35,Resultados!DX35)))</f>
        <v/>
      </c>
      <c r="C35">
        <f>IF(COUNT(Resultados!C35,Resultados!L35,Resultados!U35,Resultados!AD35,Resultados!AM35,Resultados!AV35,Resultados!BE35,Resultados!BN35,Resultados!BW35,Resultados!CF35,Resultados!CO35,Resultados!CX35,Resultados!DG35,Resultados!DP35,Resultados!DY35)&lt;=1, "", _xlfn.STDEV.S(ABS(Resultados!C35),ABS(Resultados!L35),ABS(Resultados!U35),ABS(Resultados!AD35),ABS(Resultados!AM35),ABS(Resultados!AV35),ABS(Resultados!BE35),ABS(Resultados!BN35),ABS(Resultados!BW35),ABS(Resultados!CF35),ABS(Resultados!CO35),ABS(Resultados!CX35),ABS(Resultados!DG35),ABS(Resultados!DP35),ABS(Resultados!DY35))/SQRT(COUNT(Resultados!C35,Resultados!L35,Resultados!U35,Resultados!AD35,Resultados!AM35,Resultados!AV35,Resultados!BE35,Resultados!BN35,Resultados!BW35,Resultados!CF35,Resultados!CO35,Resultados!CX35,Resultados!DG35,Resultados!DP35,Resultados!DY35)))</f>
        <v>0.49633577983982413</v>
      </c>
      <c r="D35">
        <f>IF(COUNT(Resultados!D35,Resultados!M35,Resultados!V35,Resultados!AE35,Resultados!AN35,Resultados!AW35,Resultados!BF35,Resultados!BO35,Resultados!BX35,Resultados!CG35,Resultados!CP35,Resultados!CY35,Resultados!DH35,Resultados!DQ35,Resultados!DZ35)&lt;=1, "", _xlfn.STDEV.S(ABS(Resultados!D35),ABS(Resultados!M35),ABS(Resultados!V35),ABS(Resultados!AE35),ABS(Resultados!AN35),ABS(Resultados!AW35),ABS(Resultados!BF35),ABS(Resultados!BO35),ABS(Resultados!BX35),ABS(Resultados!CG35),ABS(Resultados!CP35),ABS(Resultados!CY35),ABS(Resultados!DH35),ABS(Resultados!DQ35),ABS(Resultados!DZ35))/SQRT(COUNT(Resultados!D35,Resultados!M35,Resultados!V35,Resultados!AE35,Resultados!AN35,Resultados!AW35,Resultados!BF35,Resultados!BO35,Resultados!BX35,Resultados!CG35,Resultados!CP35,Resultados!CY35,Resultados!DH35,Resultados!DQ35,Resultados!DZ35)))</f>
        <v>2.2987919532755556E-4</v>
      </c>
      <c r="E35">
        <f>IF(COUNT(Resultados!E35,Resultados!N35,Resultados!W35,Resultados!AF35,Resultados!AO35,Resultados!AX35,Resultados!BG35,Resultados!BP35,Resultados!BY35,Resultados!CH35,Resultados!CQ35,Resultados!CZ35,Resultados!DI35,Resultados!DR35,Resultados!EA35)&lt;=1, "", _xlfn.STDEV.S(ABS(Resultados!E35),ABS(Resultados!N35),ABS(Resultados!W35),ABS(Resultados!AF35),ABS(Resultados!AO35),ABS(Resultados!AX35),ABS(Resultados!BG35),ABS(Resultados!BP35),ABS(Resultados!BY35),ABS(Resultados!CH35),ABS(Resultados!CQ35),ABS(Resultados!CZ35),ABS(Resultados!DI35),ABS(Resultados!DR35),ABS(Resultados!EA35))/SQRT(COUNT(Resultados!E35,Resultados!N35,Resultados!W35,Resultados!AF35,Resultados!AO35,Resultados!AX35,Resultados!BG35,Resultados!BP35,Resultados!BY35,Resultados!CH35,Resultados!CQ35,Resultados!CZ35,Resultados!DI35,Resultados!DR35,Resultados!EA35)))</f>
        <v>1.0112330583866739E-2</v>
      </c>
      <c r="F35">
        <f>IF(COUNT(Resultados!F35,Resultados!O35,Resultados!X35,Resultados!AG35,Resultados!AP35,Resultados!AY35,Resultados!BH35,Resultados!BQ35,Resultados!BZ35,Resultados!CI35,Resultados!CR35,Resultados!DA35,Resultados!DJ35,Resultados!DS35,Resultados!EB35)&lt;=1, "", _xlfn.STDEV.S(ABS(Resultados!F35),ABS(Resultados!O35),ABS(Resultados!X35),ABS(Resultados!AG35),ABS(Resultados!AP35),ABS(Resultados!AY35),ABS(Resultados!BH35),ABS(Resultados!BQ35),ABS(Resultados!BZ35),ABS(Resultados!CI35),ABS(Resultados!CR35),ABS(Resultados!DA35),ABS(Resultados!DJ35),ABS(Resultados!DS35),ABS(Resultados!EB35))/SQRT(COUNT(Resultados!F35,Resultados!O35,Resultados!X35,Resultados!AG35,Resultados!AP35,Resultados!AY35,Resultados!BH35,Resultados!BQ35,Resultados!BZ35,Resultados!CI35,Resultados!CR35,Resultados!DA35,Resultados!DJ35,Resultados!DS35,Resultados!EB35)))</f>
        <v>7.8932194273001226</v>
      </c>
      <c r="G35">
        <f>IF(COUNT(Resultados!G35,Resultados!P35,Resultados!Y35,Resultados!AH35,Resultados!AQ35,Resultados!AZ35,Resultados!BI35,Resultados!BR35,Resultados!CA35,Resultados!CJ35,Resultados!CS35,Resultados!DB35,Resultados!DK35,Resultados!DT35,Resultados!EC35)&lt;=1, "", _xlfn.STDEV.S(ABS(Resultados!G35),ABS(Resultados!P35),ABS(Resultados!Y35),ABS(Resultados!AH35),ABS(Resultados!AQ35),ABS(Resultados!AZ35),ABS(Resultados!BI35),ABS(Resultados!BR35),ABS(Resultados!CA35),ABS(Resultados!CJ35),ABS(Resultados!CS35),ABS(Resultados!DB35),ABS(Resultados!DK35),ABS(Resultados!DT35),ABS(Resultados!EC35))/SQRT(COUNT(Resultados!G35,Resultados!P35,Resultados!Y35,Resultados!AH35,Resultados!AQ35,Resultados!AZ35,Resultados!BI35,Resultados!BR35,Resultados!CA35,Resultados!CJ35,Resultados!CS35,Resultados!DB35,Resultados!DK35,Resultados!DT35,Resultados!EC35)))</f>
        <v>4.4507937654163114E-17</v>
      </c>
      <c r="H35">
        <f>IF(COUNT(Resultados!H35,Resultados!Q35,Resultados!Z35,Resultados!AI35,Resultados!AR35,Resultados!BA35,Resultados!BJ35,Resultados!BS35,Resultados!CB35,Resultados!CK35,Resultados!CT35,Resultados!DC35,Resultados!DL35,Resultados!DU35,Resultados!ED35)&lt;=1, "", _xlfn.STDEV.S(ABS(Resultados!H35),ABS(Resultados!Q35),ABS(Resultados!Z35),ABS(Resultados!AI35),ABS(Resultados!AR35),ABS(Resultados!BA35),ABS(Resultados!BJ35),ABS(Resultados!BS35),ABS(Resultados!CB35),ABS(Resultados!CK35),ABS(Resultados!CT35),ABS(Resultados!DC35),ABS(Resultados!DL35),ABS(Resultados!DU35),ABS(Resultados!ED35))/SQRT(COUNT(Resultados!H35,Resultados!Q35,Resultados!Z35,Resultados!AI35,Resultados!AR35,Resultados!BA35,Resultados!BJ35,Resultados!BS35,Resultados!CB35,Resultados!CK35,Resultados!CT35,Resultados!DC35,Resultados!DL35,Resultados!DU35,Resultados!ED35)))</f>
        <v>1.5671225273963148E-4</v>
      </c>
      <c r="I35">
        <f>IF(COUNT(Resultados!I35,Resultados!R35,Resultados!AA35,Resultados!AJ35,Resultados!AS35,Resultados!BB35,Resultados!BK35,Resultados!BT35,Resultados!CC35,Resultados!CL35,Resultados!CU35,Resultados!DD35,Resultados!DM35,Resultados!DV35,Resultados!EE35)&lt;=1, "", _xlfn.STDEV.S(ABS(Resultados!I35),ABS(Resultados!R35),ABS(Resultados!AA35),ABS(Resultados!AJ35),ABS(Resultados!AS35),ABS(Resultados!BB35),ABS(Resultados!BK35),ABS(Resultados!BT35),ABS(Resultados!CC35),ABS(Resultados!CL35),ABS(Resultados!CU35),ABS(Resultados!DD35),ABS(Resultados!DM35),ABS(Resultados!DV35),ABS(Resultados!EE35))/SQRT(COUNT(Resultados!I35,Resultados!R35,Resultados!AA35,Resultados!AJ35,Resultados!AS35,Resultados!BB35,Resultados!BK35,Resultados!BT35,Resultados!CC35,Resultados!CL35,Resultados!CU35,Resultados!DD35,Resultados!DM35,Resultados!DV35,Resultados!EE35)))</f>
        <v>8.0810642863320635E-4</v>
      </c>
    </row>
    <row r="36" spans="1:9" x14ac:dyDescent="0.3">
      <c r="A36">
        <f>IF(COUNT(Resultados!A36,Resultados!J36,Resultados!S36,Resultados!AB36,Resultados!AK36,Resultados!AT36,Resultados!BC36,Resultados!BL36,Resultados!BU36,Resultados!CD36,Resultados!CM36,Resultados!CV36,Resultados!DE36,Resultados!DN36,Resultados!DW36)&lt;=1, "", _xlfn.STDEV.S(ABS(Resultados!A36),ABS(Resultados!J36),ABS(Resultados!S36),ABS(Resultados!AB36),ABS(Resultados!AK36),ABS(Resultados!AT36),ABS(Resultados!BC36),ABS(Resultados!BL36),ABS(Resultados!BU36),ABS(Resultados!CD36),ABS(Resultados!CM36),ABS(Resultados!CV36),ABS(Resultados!DE36),ABS(Resultados!DN36),ABS(Resultados!DW36))/SQRT(COUNT(Resultados!A36,Resultados!J36,Resultados!S36,Resultados!AB36,Resultados!AK36,Resultados!AT36,Resultados!BC36,Resultados!BL36,Resultados!BU36,Resultados!CD36,Resultados!CM36,Resultados!CV36,Resultados!DE36,Resultados!DN36,Resultados!DW36)))</f>
        <v>0</v>
      </c>
      <c r="B36" t="str">
        <f>IF(COUNT(Resultados!B36,Resultados!K36,Resultados!T36,Resultados!AC36,Resultados!AL36,Resultados!AU36,Resultados!BD36,Resultados!BM36,Resultados!BV36,Resultados!CE36,Resultados!CN36,Resultados!CW36,Resultados!DF36,Resultados!DO36,Resultados!DX36)&lt;=1, "", _xlfn.STDEV.S(ABS(Resultados!B36),ABS(Resultados!K36),ABS(Resultados!T36),ABS(Resultados!AC36),ABS(Resultados!AL36),ABS(Resultados!AU36),ABS(Resultados!BD36),ABS(Resultados!BM36),ABS(Resultados!BV36),ABS(Resultados!CE36),ABS(Resultados!CN36),ABS(Resultados!CW36),ABS(Resultados!DF36),ABS(Resultados!DO36),ABS(Resultados!DX36))/SQRT(COUNT(Resultados!B36,Resultados!K36,Resultados!T36,Resultados!AC36,Resultados!AL36,Resultados!AU36,Resultados!BD36,Resultados!BM36,Resultados!BV36,Resultados!CE36,Resultados!CN36,Resultados!CW36,Resultados!DF36,Resultados!DO36,Resultados!DX36)))</f>
        <v/>
      </c>
      <c r="C36">
        <f>IF(COUNT(Resultados!C36,Resultados!L36,Resultados!U36,Resultados!AD36,Resultados!AM36,Resultados!AV36,Resultados!BE36,Resultados!BN36,Resultados!BW36,Resultados!CF36,Resultados!CO36,Resultados!CX36,Resultados!DG36,Resultados!DP36,Resultados!DY36)&lt;=1, "", _xlfn.STDEV.S(ABS(Resultados!C36),ABS(Resultados!L36),ABS(Resultados!U36),ABS(Resultados!AD36),ABS(Resultados!AM36),ABS(Resultados!AV36),ABS(Resultados!BE36),ABS(Resultados!BN36),ABS(Resultados!BW36),ABS(Resultados!CF36),ABS(Resultados!CO36),ABS(Resultados!CX36),ABS(Resultados!DG36),ABS(Resultados!DP36),ABS(Resultados!DY36))/SQRT(COUNT(Resultados!C36,Resultados!L36,Resultados!U36,Resultados!AD36,Resultados!AM36,Resultados!AV36,Resultados!BE36,Resultados!BN36,Resultados!BW36,Resultados!CF36,Resultados!CO36,Resultados!CX36,Resultados!DG36,Resultados!DP36,Resultados!DY36)))</f>
        <v>0.49633577983982413</v>
      </c>
      <c r="D36">
        <f>IF(COUNT(Resultados!D36,Resultados!M36,Resultados!V36,Resultados!AE36,Resultados!AN36,Resultados!AW36,Resultados!BF36,Resultados!BO36,Resultados!BX36,Resultados!CG36,Resultados!CP36,Resultados!CY36,Resultados!DH36,Resultados!DQ36,Resultados!DZ36)&lt;=1, "", _xlfn.STDEV.S(ABS(Resultados!D36),ABS(Resultados!M36),ABS(Resultados!V36),ABS(Resultados!AE36),ABS(Resultados!AN36),ABS(Resultados!AW36),ABS(Resultados!BF36),ABS(Resultados!BO36),ABS(Resultados!BX36),ABS(Resultados!CG36),ABS(Resultados!CP36),ABS(Resultados!CY36),ABS(Resultados!DH36),ABS(Resultados!DQ36),ABS(Resultados!DZ36))/SQRT(COUNT(Resultados!D36,Resultados!M36,Resultados!V36,Resultados!AE36,Resultados!AN36,Resultados!AW36,Resultados!BF36,Resultados!BO36,Resultados!BX36,Resultados!CG36,Resultados!CP36,Resultados!CY36,Resultados!DH36,Resultados!DQ36,Resultados!DZ36)))</f>
        <v>8.6666666666666614E-5</v>
      </c>
      <c r="E36">
        <f>IF(COUNT(Resultados!E36,Resultados!N36,Resultados!W36,Resultados!AF36,Resultados!AO36,Resultados!AX36,Resultados!BG36,Resultados!BP36,Resultados!BY36,Resultados!CH36,Resultados!CQ36,Resultados!CZ36,Resultados!DI36,Resultados!DR36,Resultados!EA36)&lt;=1, "", _xlfn.STDEV.S(ABS(Resultados!E36),ABS(Resultados!N36),ABS(Resultados!W36),ABS(Resultados!AF36),ABS(Resultados!AO36),ABS(Resultados!AX36),ABS(Resultados!BG36),ABS(Resultados!BP36),ABS(Resultados!BY36),ABS(Resultados!CH36),ABS(Resultados!CQ36),ABS(Resultados!CZ36),ABS(Resultados!DI36),ABS(Resultados!DR36),ABS(Resultados!EA36))/SQRT(COUNT(Resultados!E36,Resultados!N36,Resultados!W36,Resultados!AF36,Resultados!AO36,Resultados!AX36,Resultados!BG36,Resultados!BP36,Resultados!BY36,Resultados!CH36,Resultados!CQ36,Resultados!CZ36,Resultados!DI36,Resultados!DR36,Resultados!EA36)))</f>
        <v>2.9058358526507202E-2</v>
      </c>
      <c r="F36">
        <f>IF(COUNT(Resultados!F36,Resultados!O36,Resultados!X36,Resultados!AG36,Resultados!AP36,Resultados!AY36,Resultados!BH36,Resultados!BQ36,Resultados!BZ36,Resultados!CI36,Resultados!CR36,Resultados!DA36,Resultados!DJ36,Resultados!DS36,Resultados!EB36)&lt;=1, "", _xlfn.STDEV.S(ABS(Resultados!F36),ABS(Resultados!O36),ABS(Resultados!X36),ABS(Resultados!AG36),ABS(Resultados!AP36),ABS(Resultados!AY36),ABS(Resultados!BH36),ABS(Resultados!BQ36),ABS(Resultados!BZ36),ABS(Resultados!CI36),ABS(Resultados!CR36),ABS(Resultados!DA36),ABS(Resultados!DJ36),ABS(Resultados!DS36),ABS(Resultados!EB36))/SQRT(COUNT(Resultados!F36,Resultados!O36,Resultados!X36,Resultados!AG36,Resultados!AP36,Resultados!AY36,Resultados!BH36,Resultados!BQ36,Resultados!BZ36,Resultados!CI36,Resultados!CR36,Resultados!DA36,Resultados!DJ36,Resultados!DS36,Resultados!EB36)))</f>
        <v>9.6702984927692341</v>
      </c>
      <c r="G36">
        <f>IF(COUNT(Resultados!G36,Resultados!P36,Resultados!Y36,Resultados!AH36,Resultados!AQ36,Resultados!AZ36,Resultados!BI36,Resultados!BR36,Resultados!CA36,Resultados!CJ36,Resultados!CS36,Resultados!DB36,Resultados!DK36,Resultados!DT36,Resultados!EC36)&lt;=1, "", _xlfn.STDEV.S(ABS(Resultados!G36),ABS(Resultados!P36),ABS(Resultados!Y36),ABS(Resultados!AH36),ABS(Resultados!AQ36),ABS(Resultados!AZ36),ABS(Resultados!BI36),ABS(Resultados!BR36),ABS(Resultados!CA36),ABS(Resultados!CJ36),ABS(Resultados!CS36),ABS(Resultados!DB36),ABS(Resultados!DK36),ABS(Resultados!DT36),ABS(Resultados!EC36))/SQRT(COUNT(Resultados!G36,Resultados!P36,Resultados!Y36,Resultados!AH36,Resultados!AQ36,Resultados!AZ36,Resultados!BI36,Resultados!BR36,Resultados!CA36,Resultados!CJ36,Resultados!CS36,Resultados!DB36,Resultados!DK36,Resultados!DT36,Resultados!EC36)))</f>
        <v>4.4507937654163114E-17</v>
      </c>
      <c r="H36">
        <f>IF(COUNT(Resultados!H36,Resultados!Q36,Resultados!Z36,Resultados!AI36,Resultados!AR36,Resultados!BA36,Resultados!BJ36,Resultados!BS36,Resultados!CB36,Resultados!CK36,Resultados!CT36,Resultados!DC36,Resultados!DL36,Resultados!DU36,Resultados!ED36)&lt;=1, "", _xlfn.STDEV.S(ABS(Resultados!H36),ABS(Resultados!Q36),ABS(Resultados!Z36),ABS(Resultados!AI36),ABS(Resultados!AR36),ABS(Resultados!BA36),ABS(Resultados!BJ36),ABS(Resultados!BS36),ABS(Resultados!CB36),ABS(Resultados!CK36),ABS(Resultados!CT36),ABS(Resultados!DC36),ABS(Resultados!DL36),ABS(Resultados!DU36),ABS(Resultados!ED36))/SQRT(COUNT(Resultados!H36,Resultados!Q36,Resultados!Z36,Resultados!AI36,Resultados!AR36,Resultados!BA36,Resultados!BJ36,Resultados!BS36,Resultados!CB36,Resultados!CK36,Resultados!CT36,Resultados!DC36,Resultados!DL36,Resultados!DU36,Resultados!ED36)))</f>
        <v>4.5247116894909329E-4</v>
      </c>
      <c r="I36">
        <f>IF(COUNT(Resultados!I36,Resultados!R36,Resultados!AA36,Resultados!AJ36,Resultados!AS36,Resultados!BB36,Resultados!BK36,Resultados!BT36,Resultados!CC36,Resultados!CL36,Resultados!CU36,Resultados!DD36,Resultados!DM36,Resultados!DV36,Resultados!EE36)&lt;=1, "", _xlfn.STDEV.S(ABS(Resultados!I36),ABS(Resultados!R36),ABS(Resultados!AA36),ABS(Resultados!AJ36),ABS(Resultados!AS36),ABS(Resultados!BB36),ABS(Resultados!BK36),ABS(Resultados!BT36),ABS(Resultados!CC36),ABS(Resultados!CL36),ABS(Resultados!CU36),ABS(Resultados!DD36),ABS(Resultados!DM36),ABS(Resultados!DV36),ABS(Resultados!EE36))/SQRT(COUNT(Resultados!I36,Resultados!R36,Resultados!AA36,Resultados!AJ36,Resultados!AS36,Resultados!BB36,Resultados!BK36,Resultados!BT36,Resultados!CC36,Resultados!CL36,Resultados!CU36,Resultados!DD36,Resultados!DM36,Resultados!DV36,Resultados!EE36)))</f>
        <v>8.0124633075038068E-4</v>
      </c>
    </row>
    <row r="37" spans="1:9" x14ac:dyDescent="0.3">
      <c r="A37">
        <f>IF(COUNT(Resultados!A37,Resultados!J37,Resultados!S37,Resultados!AB37,Resultados!AK37,Resultados!AT37,Resultados!BC37,Resultados!BL37,Resultados!BU37,Resultados!CD37,Resultados!CM37,Resultados!CV37,Resultados!DE37,Resultados!DN37,Resultados!DW37)&lt;=1, "", _xlfn.STDEV.S(ABS(Resultados!A37),ABS(Resultados!J37),ABS(Resultados!S37),ABS(Resultados!AB37),ABS(Resultados!AK37),ABS(Resultados!AT37),ABS(Resultados!BC37),ABS(Resultados!BL37),ABS(Resultados!BU37),ABS(Resultados!CD37),ABS(Resultados!CM37),ABS(Resultados!CV37),ABS(Resultados!DE37),ABS(Resultados!DN37),ABS(Resultados!DW37))/SQRT(COUNT(Resultados!A37,Resultados!J37,Resultados!S37,Resultados!AB37,Resultados!AK37,Resultados!AT37,Resultados!BC37,Resultados!BL37,Resultados!BU37,Resultados!CD37,Resultados!CM37,Resultados!CV37,Resultados!DE37,Resultados!DN37,Resultados!DW37)))</f>
        <v>0</v>
      </c>
      <c r="B37" t="str">
        <f>IF(COUNT(Resultados!B37,Resultados!K37,Resultados!T37,Resultados!AC37,Resultados!AL37,Resultados!AU37,Resultados!BD37,Resultados!BM37,Resultados!BV37,Resultados!CE37,Resultados!CN37,Resultados!CW37,Resultados!DF37,Resultados!DO37,Resultados!DX37)&lt;=1, "", _xlfn.STDEV.S(ABS(Resultados!B37),ABS(Resultados!K37),ABS(Resultados!T37),ABS(Resultados!AC37),ABS(Resultados!AL37),ABS(Resultados!AU37),ABS(Resultados!BD37),ABS(Resultados!BM37),ABS(Resultados!BV37),ABS(Resultados!CE37),ABS(Resultados!CN37),ABS(Resultados!CW37),ABS(Resultados!DF37),ABS(Resultados!DO37),ABS(Resultados!DX37))/SQRT(COUNT(Resultados!B37,Resultados!K37,Resultados!T37,Resultados!AC37,Resultados!AL37,Resultados!AU37,Resultados!BD37,Resultados!BM37,Resultados!BV37,Resultados!CE37,Resultados!CN37,Resultados!CW37,Resultados!DF37,Resultados!DO37,Resultados!DX37)))</f>
        <v/>
      </c>
      <c r="C37">
        <f>IF(COUNT(Resultados!C37,Resultados!L37,Resultados!U37,Resultados!AD37,Resultados!AM37,Resultados!AV37,Resultados!BE37,Resultados!BN37,Resultados!BW37,Resultados!CF37,Resultados!CO37,Resultados!CX37,Resultados!DG37,Resultados!DP37,Resultados!DY37)&lt;=1, "", _xlfn.STDEV.S(ABS(Resultados!C37),ABS(Resultados!L37),ABS(Resultados!U37),ABS(Resultados!AD37),ABS(Resultados!AM37),ABS(Resultados!AV37),ABS(Resultados!BE37),ABS(Resultados!BN37),ABS(Resultados!BW37),ABS(Resultados!CF37),ABS(Resultados!CO37),ABS(Resultados!CX37),ABS(Resultados!DG37),ABS(Resultados!DP37),ABS(Resultados!DY37))/SQRT(COUNT(Resultados!C37,Resultados!L37,Resultados!U37,Resultados!AD37,Resultados!AM37,Resultados!AV37,Resultados!BE37,Resultados!BN37,Resultados!BW37,Resultados!CF37,Resultados!CO37,Resultados!CX37,Resultados!DG37,Resultados!DP37,Resultados!DY37)))</f>
        <v>0.49633577983982413</v>
      </c>
      <c r="D37">
        <f>IF(COUNT(Resultados!D37,Resultados!M37,Resultados!V37,Resultados!AE37,Resultados!AN37,Resultados!AW37,Resultados!BF37,Resultados!BO37,Resultados!BX37,Resultados!CG37,Resultados!CP37,Resultados!CY37,Resultados!DH37,Resultados!DQ37,Resultados!DZ37)&lt;=1, "", _xlfn.STDEV.S(ABS(Resultados!D37),ABS(Resultados!M37),ABS(Resultados!V37),ABS(Resultados!AE37),ABS(Resultados!AN37),ABS(Resultados!AW37),ABS(Resultados!BF37),ABS(Resultados!BO37),ABS(Resultados!BX37),ABS(Resultados!CG37),ABS(Resultados!CP37),ABS(Resultados!CY37),ABS(Resultados!DH37),ABS(Resultados!DQ37),ABS(Resultados!DZ37))/SQRT(COUNT(Resultados!D37,Resultados!M37,Resultados!V37,Resultados!AE37,Resultados!AN37,Resultados!AW37,Resultados!BF37,Resultados!BO37,Resultados!BX37,Resultados!CG37,Resultados!CP37,Resultados!CY37,Resultados!DH37,Resultados!DQ37,Resultados!DZ37)))</f>
        <v>1.9612111580217989E-4</v>
      </c>
      <c r="E37">
        <f>IF(COUNT(Resultados!E37,Resultados!N37,Resultados!W37,Resultados!AF37,Resultados!AO37,Resultados!AX37,Resultados!BG37,Resultados!BP37,Resultados!BY37,Resultados!CH37,Resultados!CQ37,Resultados!CZ37,Resultados!DI37,Resultados!DR37,Resultados!EA37)&lt;=1, "", _xlfn.STDEV.S(ABS(Resultados!E37),ABS(Resultados!N37),ABS(Resultados!W37),ABS(Resultados!AF37),ABS(Resultados!AO37),ABS(Resultados!AX37),ABS(Resultados!BG37),ABS(Resultados!BP37),ABS(Resultados!BY37),ABS(Resultados!CH37),ABS(Resultados!CQ37),ABS(Resultados!CZ37),ABS(Resultados!DI37),ABS(Resultados!DR37),ABS(Resultados!EA37))/SQRT(COUNT(Resultados!E37,Resultados!N37,Resultados!W37,Resultados!AF37,Resultados!AO37,Resultados!AX37,Resultados!BG37,Resultados!BP37,Resultados!BY37,Resultados!CH37,Resultados!CQ37,Resultados!CZ37,Resultados!DI37,Resultados!DR37,Resultados!EA37)))</f>
        <v>4.516955886829143E-2</v>
      </c>
      <c r="F37">
        <f>IF(COUNT(Resultados!F37,Resultados!O37,Resultados!X37,Resultados!AG37,Resultados!AP37,Resultados!AY37,Resultados!BH37,Resultados!BQ37,Resultados!BZ37,Resultados!CI37,Resultados!CR37,Resultados!DA37,Resultados!DJ37,Resultados!DS37,Resultados!EB37)&lt;=1, "", _xlfn.STDEV.S(ABS(Resultados!F37),ABS(Resultados!O37),ABS(Resultados!X37),ABS(Resultados!AG37),ABS(Resultados!AP37),ABS(Resultados!AY37),ABS(Resultados!BH37),ABS(Resultados!BQ37),ABS(Resultados!BZ37),ABS(Resultados!CI37),ABS(Resultados!CR37),ABS(Resultados!DA37),ABS(Resultados!DJ37),ABS(Resultados!DS37),ABS(Resultados!EB37))/SQRT(COUNT(Resultados!F37,Resultados!O37,Resultados!X37,Resultados!AG37,Resultados!AP37,Resultados!AY37,Resultados!BH37,Resultados!BQ37,Resultados!BZ37,Resultados!CI37,Resultados!CR37,Resultados!DA37,Resultados!DJ37,Resultados!DS37,Resultados!EB37)))</f>
        <v>11.175564856813846</v>
      </c>
      <c r="G37">
        <f>IF(COUNT(Resultados!G37,Resultados!P37,Resultados!Y37,Resultados!AH37,Resultados!AQ37,Resultados!AZ37,Resultados!BI37,Resultados!BR37,Resultados!CA37,Resultados!CJ37,Resultados!CS37,Resultados!DB37,Resultados!DK37,Resultados!DT37,Resultados!EC37)&lt;=1, "", _xlfn.STDEV.S(ABS(Resultados!G37),ABS(Resultados!P37),ABS(Resultados!Y37),ABS(Resultados!AH37),ABS(Resultados!AQ37),ABS(Resultados!AZ37),ABS(Resultados!BI37),ABS(Resultados!BR37),ABS(Resultados!CA37),ABS(Resultados!CJ37),ABS(Resultados!CS37),ABS(Resultados!DB37),ABS(Resultados!DK37),ABS(Resultados!DT37),ABS(Resultados!EC37))/SQRT(COUNT(Resultados!G37,Resultados!P37,Resultados!Y37,Resultados!AH37,Resultados!AQ37,Resultados!AZ37,Resultados!BI37,Resultados!BR37,Resultados!CA37,Resultados!CJ37,Resultados!CS37,Resultados!DB37,Resultados!DK37,Resultados!DT37,Resultados!EC37)))</f>
        <v>4.4507937654163114E-17</v>
      </c>
      <c r="H37">
        <f>IF(COUNT(Resultados!H37,Resultados!Q37,Resultados!Z37,Resultados!AI37,Resultados!AR37,Resultados!BA37,Resultados!BJ37,Resultados!BS37,Resultados!CB37,Resultados!CK37,Resultados!CT37,Resultados!DC37,Resultados!DL37,Resultados!DU37,Resultados!ED37)&lt;=1, "", _xlfn.STDEV.S(ABS(Resultados!H37),ABS(Resultados!Q37),ABS(Resultados!Z37),ABS(Resultados!AI37),ABS(Resultados!AR37),ABS(Resultados!BA37),ABS(Resultados!BJ37),ABS(Resultados!BS37),ABS(Resultados!CB37),ABS(Resultados!CK37),ABS(Resultados!CT37),ABS(Resultados!DC37),ABS(Resultados!DL37),ABS(Resultados!DU37),ABS(Resultados!ED37))/SQRT(COUNT(Resultados!H37,Resultados!Q37,Resultados!Z37,Resultados!AI37,Resultados!AR37,Resultados!BA37,Resultados!BJ37,Resultados!BS37,Resultados!CB37,Resultados!CK37,Resultados!CT37,Resultados!DC37,Resultados!DL37,Resultados!DU37,Resultados!ED37)))</f>
        <v>7.0200167322190146E-4</v>
      </c>
      <c r="I37">
        <f>IF(COUNT(Resultados!I37,Resultados!R37,Resultados!AA37,Resultados!AJ37,Resultados!AS37,Resultados!BB37,Resultados!BK37,Resultados!BT37,Resultados!CC37,Resultados!CL37,Resultados!CU37,Resultados!DD37,Resultados!DM37,Resultados!DV37,Resultados!EE37)&lt;=1, "", _xlfn.STDEV.S(ABS(Resultados!I37),ABS(Resultados!R37),ABS(Resultados!AA37),ABS(Resultados!AJ37),ABS(Resultados!AS37),ABS(Resultados!BB37),ABS(Resultados!BK37),ABS(Resultados!BT37),ABS(Resultados!CC37),ABS(Resultados!CL37),ABS(Resultados!CU37),ABS(Resultados!DD37),ABS(Resultados!DM37),ABS(Resultados!DV37),ABS(Resultados!EE37))/SQRT(COUNT(Resultados!I37,Resultados!R37,Resultados!AA37,Resultados!AJ37,Resultados!AS37,Resultados!BB37,Resultados!BK37,Resultados!BT37,Resultados!CC37,Resultados!CL37,Resultados!CU37,Resultados!DD37,Resultados!DM37,Resultados!DV37,Resultados!EE37)))</f>
        <v>8.8970549791256596E-4</v>
      </c>
    </row>
    <row r="38" spans="1:9" x14ac:dyDescent="0.3">
      <c r="A38">
        <f>IF(COUNT(Resultados!A38,Resultados!J38,Resultados!S38,Resultados!AB38,Resultados!AK38,Resultados!AT38,Resultados!BC38,Resultados!BL38,Resultados!BU38,Resultados!CD38,Resultados!CM38,Resultados!CV38,Resultados!DE38,Resultados!DN38,Resultados!DW38)&lt;=1, "", _xlfn.STDEV.S(ABS(Resultados!A38),ABS(Resultados!J38),ABS(Resultados!S38),ABS(Resultados!AB38),ABS(Resultados!AK38),ABS(Resultados!AT38),ABS(Resultados!BC38),ABS(Resultados!BL38),ABS(Resultados!BU38),ABS(Resultados!CD38),ABS(Resultados!CM38),ABS(Resultados!CV38),ABS(Resultados!DE38),ABS(Resultados!DN38),ABS(Resultados!DW38))/SQRT(COUNT(Resultados!A38,Resultados!J38,Resultados!S38,Resultados!AB38,Resultados!AK38,Resultados!AT38,Resultados!BC38,Resultados!BL38,Resultados!BU38,Resultados!CD38,Resultados!CM38,Resultados!CV38,Resultados!DE38,Resultados!DN38,Resultados!DW38)))</f>
        <v>0</v>
      </c>
      <c r="B38" t="str">
        <f>IF(COUNT(Resultados!B38,Resultados!K38,Resultados!T38,Resultados!AC38,Resultados!AL38,Resultados!AU38,Resultados!BD38,Resultados!BM38,Resultados!BV38,Resultados!CE38,Resultados!CN38,Resultados!CW38,Resultados!DF38,Resultados!DO38,Resultados!DX38)&lt;=1, "", _xlfn.STDEV.S(ABS(Resultados!B38),ABS(Resultados!K38),ABS(Resultados!T38),ABS(Resultados!AC38),ABS(Resultados!AL38),ABS(Resultados!AU38),ABS(Resultados!BD38),ABS(Resultados!BM38),ABS(Resultados!BV38),ABS(Resultados!CE38),ABS(Resultados!CN38),ABS(Resultados!CW38),ABS(Resultados!DF38),ABS(Resultados!DO38),ABS(Resultados!DX38))/SQRT(COUNT(Resultados!B38,Resultados!K38,Resultados!T38,Resultados!AC38,Resultados!AL38,Resultados!AU38,Resultados!BD38,Resultados!BM38,Resultados!BV38,Resultados!CE38,Resultados!CN38,Resultados!CW38,Resultados!DF38,Resultados!DO38,Resultados!DX38)))</f>
        <v/>
      </c>
      <c r="C38">
        <f>IF(COUNT(Resultados!C38,Resultados!L38,Resultados!U38,Resultados!AD38,Resultados!AM38,Resultados!AV38,Resultados!BE38,Resultados!BN38,Resultados!BW38,Resultados!CF38,Resultados!CO38,Resultados!CX38,Resultados!DG38,Resultados!DP38,Resultados!DY38)&lt;=1, "", _xlfn.STDEV.S(ABS(Resultados!C38),ABS(Resultados!L38),ABS(Resultados!U38),ABS(Resultados!AD38),ABS(Resultados!AM38),ABS(Resultados!AV38),ABS(Resultados!BE38),ABS(Resultados!BN38),ABS(Resultados!BW38),ABS(Resultados!CF38),ABS(Resultados!CO38),ABS(Resultados!CX38),ABS(Resultados!DG38),ABS(Resultados!DP38),ABS(Resultados!DY38))/SQRT(COUNT(Resultados!C38,Resultados!L38,Resultados!U38,Resultados!AD38,Resultados!AM38,Resultados!AV38,Resultados!BE38,Resultados!BN38,Resultados!BW38,Resultados!CF38,Resultados!CO38,Resultados!CX38,Resultados!DG38,Resultados!DP38,Resultados!DY38)))</f>
        <v>0.49633577983982413</v>
      </c>
      <c r="D38">
        <f>IF(COUNT(Resultados!D38,Resultados!M38,Resultados!V38,Resultados!AE38,Resultados!AN38,Resultados!AW38,Resultados!BF38,Resultados!BO38,Resultados!BX38,Resultados!CG38,Resultados!CP38,Resultados!CY38,Resultados!DH38,Resultados!DQ38,Resultados!DZ38)&lt;=1, "", _xlfn.STDEV.S(ABS(Resultados!D38),ABS(Resultados!M38),ABS(Resultados!V38),ABS(Resultados!AE38),ABS(Resultados!AN38),ABS(Resultados!AW38),ABS(Resultados!BF38),ABS(Resultados!BO38),ABS(Resultados!BX38),ABS(Resultados!CG38),ABS(Resultados!CP38),ABS(Resultados!CY38),ABS(Resultados!DH38),ABS(Resultados!DQ38),ABS(Resultados!DZ38))/SQRT(COUNT(Resultados!D38,Resultados!M38,Resultados!V38,Resultados!AE38,Resultados!AN38,Resultados!AW38,Resultados!BF38,Resultados!BO38,Resultados!BX38,Resultados!CG38,Resultados!CP38,Resultados!CY38,Resultados!DH38,Resultados!DQ38,Resultados!DZ38)))</f>
        <v>4.260188534467265E-4</v>
      </c>
      <c r="E38">
        <f>IF(COUNT(Resultados!E38,Resultados!N38,Resultados!W38,Resultados!AF38,Resultados!AO38,Resultados!AX38,Resultados!BG38,Resultados!BP38,Resultados!BY38,Resultados!CH38,Resultados!CQ38,Resultados!CZ38,Resultados!DI38,Resultados!DR38,Resultados!EA38)&lt;=1, "", _xlfn.STDEV.S(ABS(Resultados!E38),ABS(Resultados!N38),ABS(Resultados!W38),ABS(Resultados!AF38),ABS(Resultados!AO38),ABS(Resultados!AX38),ABS(Resultados!BG38),ABS(Resultados!BP38),ABS(Resultados!BY38),ABS(Resultados!CH38),ABS(Resultados!CQ38),ABS(Resultados!CZ38),ABS(Resultados!DI38),ABS(Resultados!DR38),ABS(Resultados!EA38))/SQRT(COUNT(Resultados!E38,Resultados!N38,Resultados!W38,Resultados!AF38,Resultados!AO38,Resultados!AX38,Resultados!BG38,Resultados!BP38,Resultados!BY38,Resultados!CH38,Resultados!CQ38,Resultados!CZ38,Resultados!DI38,Resultados!DR38,Resultados!EA38)))</f>
        <v>5.6806677927994806E-2</v>
      </c>
      <c r="F38">
        <f>IF(COUNT(Resultados!F38,Resultados!O38,Resultados!X38,Resultados!AG38,Resultados!AP38,Resultados!AY38,Resultados!BH38,Resultados!BQ38,Resultados!BZ38,Resultados!CI38,Resultados!CR38,Resultados!DA38,Resultados!DJ38,Resultados!DS38,Resultados!EB38)&lt;=1, "", _xlfn.STDEV.S(ABS(Resultados!F38),ABS(Resultados!O38),ABS(Resultados!X38),ABS(Resultados!AG38),ABS(Resultados!AP38),ABS(Resultados!AY38),ABS(Resultados!BH38),ABS(Resultados!BQ38),ABS(Resultados!BZ38),ABS(Resultados!CI38),ABS(Resultados!CR38),ABS(Resultados!DA38),ABS(Resultados!DJ38),ABS(Resultados!DS38),ABS(Resultados!EB38))/SQRT(COUNT(Resultados!F38,Resultados!O38,Resultados!X38,Resultados!AG38,Resultados!AP38,Resultados!AY38,Resultados!BH38,Resultados!BQ38,Resultados!BZ38,Resultados!CI38,Resultados!CR38,Resultados!DA38,Resultados!DJ38,Resultados!DS38,Resultados!EB38)))</f>
        <v>5.2943823828891201</v>
      </c>
      <c r="G38">
        <f>IF(COUNT(Resultados!G38,Resultados!P38,Resultados!Y38,Resultados!AH38,Resultados!AQ38,Resultados!AZ38,Resultados!BI38,Resultados!BR38,Resultados!CA38,Resultados!CJ38,Resultados!CS38,Resultados!DB38,Resultados!DK38,Resultados!DT38,Resultados!EC38)&lt;=1, "", _xlfn.STDEV.S(ABS(Resultados!G38),ABS(Resultados!P38),ABS(Resultados!Y38),ABS(Resultados!AH38),ABS(Resultados!AQ38),ABS(Resultados!AZ38),ABS(Resultados!BI38),ABS(Resultados!BR38),ABS(Resultados!CA38),ABS(Resultados!CJ38),ABS(Resultados!CS38),ABS(Resultados!DB38),ABS(Resultados!DK38),ABS(Resultados!DT38),ABS(Resultados!EC38))/SQRT(COUNT(Resultados!G38,Resultados!P38,Resultados!Y38,Resultados!AH38,Resultados!AQ38,Resultados!AZ38,Resultados!BI38,Resultados!BR38,Resultados!CA38,Resultados!CJ38,Resultados!CS38,Resultados!DB38,Resultados!DK38,Resultados!DT38,Resultados!EC38)))</f>
        <v>4.4507937654163114E-17</v>
      </c>
      <c r="H38">
        <f>IF(COUNT(Resultados!H38,Resultados!Q38,Resultados!Z38,Resultados!AI38,Resultados!AR38,Resultados!BA38,Resultados!BJ38,Resultados!BS38,Resultados!CB38,Resultados!CK38,Resultados!CT38,Resultados!DC38,Resultados!DL38,Resultados!DU38,Resultados!ED38)&lt;=1, "", _xlfn.STDEV.S(ABS(Resultados!H38),ABS(Resultados!Q38),ABS(Resultados!Z38),ABS(Resultados!AI38),ABS(Resultados!AR38),ABS(Resultados!BA38),ABS(Resultados!BJ38),ABS(Resultados!BS38),ABS(Resultados!CB38),ABS(Resultados!CK38),ABS(Resultados!CT38),ABS(Resultados!DC38),ABS(Resultados!DL38),ABS(Resultados!DU38),ABS(Resultados!ED38))/SQRT(COUNT(Resultados!H38,Resultados!Q38,Resultados!Z38,Resultados!AI38,Resultados!AR38,Resultados!BA38,Resultados!BJ38,Resultados!BS38,Resultados!CB38,Resultados!CK38,Resultados!CT38,Resultados!DC38,Resultados!DL38,Resultados!DU38,Resultados!ED38)))</f>
        <v>8.8342766791879839E-4</v>
      </c>
      <c r="I38">
        <f>IF(COUNT(Resultados!I38,Resultados!R38,Resultados!AA38,Resultados!AJ38,Resultados!AS38,Resultados!BB38,Resultados!BK38,Resultados!BT38,Resultados!CC38,Resultados!CL38,Resultados!CU38,Resultados!DD38,Resultados!DM38,Resultados!DV38,Resultados!EE38)&lt;=1, "", _xlfn.STDEV.S(ABS(Resultados!I38),ABS(Resultados!R38),ABS(Resultados!AA38),ABS(Resultados!AJ38),ABS(Resultados!AS38),ABS(Resultados!BB38),ABS(Resultados!BK38),ABS(Resultados!BT38),ABS(Resultados!CC38),ABS(Resultados!CL38),ABS(Resultados!CU38),ABS(Resultados!DD38),ABS(Resultados!DM38),ABS(Resultados!DV38),ABS(Resultados!EE38))/SQRT(COUNT(Resultados!I38,Resultados!R38,Resultados!AA38,Resultados!AJ38,Resultados!AS38,Resultados!BB38,Resultados!BK38,Resultados!BT38,Resultados!CC38,Resultados!CL38,Resultados!CU38,Resultados!DD38,Resultados!DM38,Resultados!DV38,Resultados!EE38)))</f>
        <v>6.9921852069493328E-4</v>
      </c>
    </row>
    <row r="39" spans="1:9" x14ac:dyDescent="0.3">
      <c r="A39">
        <f>IF(COUNT(Resultados!A39,Resultados!J39,Resultados!S39,Resultados!AB39,Resultados!AK39,Resultados!AT39,Resultados!BC39,Resultados!BL39,Resultados!BU39,Resultados!CD39,Resultados!CM39,Resultados!CV39,Resultados!DE39,Resultados!DN39,Resultados!DW39)&lt;=1, "", _xlfn.STDEV.S(ABS(Resultados!A39),ABS(Resultados!J39),ABS(Resultados!S39),ABS(Resultados!AB39),ABS(Resultados!AK39),ABS(Resultados!AT39),ABS(Resultados!BC39),ABS(Resultados!BL39),ABS(Resultados!BU39),ABS(Resultados!CD39),ABS(Resultados!CM39),ABS(Resultados!CV39),ABS(Resultados!DE39),ABS(Resultados!DN39),ABS(Resultados!DW39))/SQRT(COUNT(Resultados!A39,Resultados!J39,Resultados!S39,Resultados!AB39,Resultados!AK39,Resultados!AT39,Resultados!BC39,Resultados!BL39,Resultados!BU39,Resultados!CD39,Resultados!CM39,Resultados!CV39,Resultados!DE39,Resultados!DN39,Resultados!DW39)))</f>
        <v>0</v>
      </c>
      <c r="B39" t="str">
        <f>IF(COUNT(Resultados!B39,Resultados!K39,Resultados!T39,Resultados!AC39,Resultados!AL39,Resultados!AU39,Resultados!BD39,Resultados!BM39,Resultados!BV39,Resultados!CE39,Resultados!CN39,Resultados!CW39,Resultados!DF39,Resultados!DO39,Resultados!DX39)&lt;=1, "", _xlfn.STDEV.S(ABS(Resultados!B39),ABS(Resultados!K39),ABS(Resultados!T39),ABS(Resultados!AC39),ABS(Resultados!AL39),ABS(Resultados!AU39),ABS(Resultados!BD39),ABS(Resultados!BM39),ABS(Resultados!BV39),ABS(Resultados!CE39),ABS(Resultados!CN39),ABS(Resultados!CW39),ABS(Resultados!DF39),ABS(Resultados!DO39),ABS(Resultados!DX39))/SQRT(COUNT(Resultados!B39,Resultados!K39,Resultados!T39,Resultados!AC39,Resultados!AL39,Resultados!AU39,Resultados!BD39,Resultados!BM39,Resultados!BV39,Resultados!CE39,Resultados!CN39,Resultados!CW39,Resultados!DF39,Resultados!DO39,Resultados!DX39)))</f>
        <v/>
      </c>
      <c r="C39">
        <f>IF(COUNT(Resultados!C39,Resultados!L39,Resultados!U39,Resultados!AD39,Resultados!AM39,Resultados!AV39,Resultados!BE39,Resultados!BN39,Resultados!BW39,Resultados!CF39,Resultados!CO39,Resultados!CX39,Resultados!DG39,Resultados!DP39,Resultados!DY39)&lt;=1, "", _xlfn.STDEV.S(ABS(Resultados!C39),ABS(Resultados!L39),ABS(Resultados!U39),ABS(Resultados!AD39),ABS(Resultados!AM39),ABS(Resultados!AV39),ABS(Resultados!BE39),ABS(Resultados!BN39),ABS(Resultados!BW39),ABS(Resultados!CF39),ABS(Resultados!CO39),ABS(Resultados!CX39),ABS(Resultados!DG39),ABS(Resultados!DP39),ABS(Resultados!DY39))/SQRT(COUNT(Resultados!C39,Resultados!L39,Resultados!U39,Resultados!AD39,Resultados!AM39,Resultados!AV39,Resultados!BE39,Resultados!BN39,Resultados!BW39,Resultados!CF39,Resultados!CO39,Resultados!CX39,Resultados!DG39,Resultados!DP39,Resultados!DY39)))</f>
        <v>0.49633577983982413</v>
      </c>
      <c r="D39">
        <f>IF(COUNT(Resultados!D39,Resultados!M39,Resultados!V39,Resultados!AE39,Resultados!AN39,Resultados!AW39,Resultados!BF39,Resultados!BO39,Resultados!BX39,Resultados!CG39,Resultados!CP39,Resultados!CY39,Resultados!DH39,Resultados!DQ39,Resultados!DZ39)&lt;=1, "", _xlfn.STDEV.S(ABS(Resultados!D39),ABS(Resultados!M39),ABS(Resultados!V39),ABS(Resultados!AE39),ABS(Resultados!AN39),ABS(Resultados!AW39),ABS(Resultados!BF39),ABS(Resultados!BO39),ABS(Resultados!BX39),ABS(Resultados!CG39),ABS(Resultados!CP39),ABS(Resultados!CY39),ABS(Resultados!DH39),ABS(Resultados!DQ39),ABS(Resultados!DZ39))/SQRT(COUNT(Resultados!D39,Resultados!M39,Resultados!V39,Resultados!AE39,Resultados!AN39,Resultados!AW39,Resultados!BF39,Resultados!BO39,Resultados!BX39,Resultados!CG39,Resultados!CP39,Resultados!CY39,Resultados!DH39,Resultados!DQ39,Resultados!DZ39)))</f>
        <v>6.6654760841646887E-4</v>
      </c>
      <c r="E39">
        <f>IF(COUNT(Resultados!E39,Resultados!N39,Resultados!W39,Resultados!AF39,Resultados!AO39,Resultados!AX39,Resultados!BG39,Resultados!BP39,Resultados!BY39,Resultados!CH39,Resultados!CQ39,Resultados!CZ39,Resultados!DI39,Resultados!DR39,Resultados!EA39)&lt;=1, "", _xlfn.STDEV.S(ABS(Resultados!E39),ABS(Resultados!N39),ABS(Resultados!W39),ABS(Resultados!AF39),ABS(Resultados!AO39),ABS(Resultados!AX39),ABS(Resultados!BG39),ABS(Resultados!BP39),ABS(Resultados!BY39),ABS(Resultados!CH39),ABS(Resultados!CQ39),ABS(Resultados!CZ39),ABS(Resultados!DI39),ABS(Resultados!DR39),ABS(Resultados!EA39))/SQRT(COUNT(Resultados!E39,Resultados!N39,Resultados!W39,Resultados!AF39,Resultados!AO39,Resultados!AX39,Resultados!BG39,Resultados!BP39,Resultados!BY39,Resultados!CH39,Resultados!CQ39,Resultados!CZ39,Resultados!DI39,Resultados!DR39,Resultados!EA39)))</f>
        <v>6.2971651259154091E-2</v>
      </c>
      <c r="F39">
        <f>IF(COUNT(Resultados!F39,Resultados!O39,Resultados!X39,Resultados!AG39,Resultados!AP39,Resultados!AY39,Resultados!BH39,Resultados!BQ39,Resultados!BZ39,Resultados!CI39,Resultados!CR39,Resultados!DA39,Resultados!DJ39,Resultados!DS39,Resultados!EB39)&lt;=1, "", _xlfn.STDEV.S(ABS(Resultados!F39),ABS(Resultados!O39),ABS(Resultados!X39),ABS(Resultados!AG39),ABS(Resultados!AP39),ABS(Resultados!AY39),ABS(Resultados!BH39),ABS(Resultados!BQ39),ABS(Resultados!BZ39),ABS(Resultados!CI39),ABS(Resultados!CR39),ABS(Resultados!DA39),ABS(Resultados!DJ39),ABS(Resultados!DS39),ABS(Resultados!EB39))/SQRT(COUNT(Resultados!F39,Resultados!O39,Resultados!X39,Resultados!AG39,Resultados!AP39,Resultados!AY39,Resultados!BH39,Resultados!BQ39,Resultados!BZ39,Resultados!CI39,Resultados!CR39,Resultados!DA39,Resultados!DJ39,Resultados!DS39,Resultados!EB39)))</f>
        <v>5.8689578973531589</v>
      </c>
      <c r="G39">
        <f>IF(COUNT(Resultados!G39,Resultados!P39,Resultados!Y39,Resultados!AH39,Resultados!AQ39,Resultados!AZ39,Resultados!BI39,Resultados!BR39,Resultados!CA39,Resultados!CJ39,Resultados!CS39,Resultados!DB39,Resultados!DK39,Resultados!DT39,Resultados!EC39)&lt;=1, "", _xlfn.STDEV.S(ABS(Resultados!G39),ABS(Resultados!P39),ABS(Resultados!Y39),ABS(Resultados!AH39),ABS(Resultados!AQ39),ABS(Resultados!AZ39),ABS(Resultados!BI39),ABS(Resultados!BR39),ABS(Resultados!CA39),ABS(Resultados!CJ39),ABS(Resultados!CS39),ABS(Resultados!DB39),ABS(Resultados!DK39),ABS(Resultados!DT39),ABS(Resultados!EC39))/SQRT(COUNT(Resultados!G39,Resultados!P39,Resultados!Y39,Resultados!AH39,Resultados!AQ39,Resultados!AZ39,Resultados!BI39,Resultados!BR39,Resultados!CA39,Resultados!CJ39,Resultados!CS39,Resultados!DB39,Resultados!DK39,Resultados!DT39,Resultados!EC39)))</f>
        <v>4.4507937654163114E-17</v>
      </c>
      <c r="H39">
        <f>IF(COUNT(Resultados!H39,Resultados!Q39,Resultados!Z39,Resultados!AI39,Resultados!AR39,Resultados!BA39,Resultados!BJ39,Resultados!BS39,Resultados!CB39,Resultados!CK39,Resultados!CT39,Resultados!DC39,Resultados!DL39,Resultados!DU39,Resultados!ED39)&lt;=1, "", _xlfn.STDEV.S(ABS(Resultados!H39),ABS(Resultados!Q39),ABS(Resultados!Z39),ABS(Resultados!AI39),ABS(Resultados!AR39),ABS(Resultados!BA39),ABS(Resultados!BJ39),ABS(Resultados!BS39),ABS(Resultados!CB39),ABS(Resultados!CK39),ABS(Resultados!CT39),ABS(Resultados!DC39),ABS(Resultados!DL39),ABS(Resultados!DU39),ABS(Resultados!ED39))/SQRT(COUNT(Resultados!H39,Resultados!Q39,Resultados!Z39,Resultados!AI39,Resultados!AR39,Resultados!BA39,Resultados!BJ39,Resultados!BS39,Resultados!CB39,Resultados!CK39,Resultados!CT39,Resultados!DC39,Resultados!DL39,Resultados!DU39,Resultados!ED39)))</f>
        <v>9.8004858966034927E-4</v>
      </c>
      <c r="I39">
        <f>IF(COUNT(Resultados!I39,Resultados!R39,Resultados!AA39,Resultados!AJ39,Resultados!AS39,Resultados!BB39,Resultados!BK39,Resultados!BT39,Resultados!CC39,Resultados!CL39,Resultados!CU39,Resultados!DD39,Resultados!DM39,Resultados!DV39,Resultados!EE39)&lt;=1, "", _xlfn.STDEV.S(ABS(Resultados!I39),ABS(Resultados!R39),ABS(Resultados!AA39),ABS(Resultados!AJ39),ABS(Resultados!AS39),ABS(Resultados!BB39),ABS(Resultados!BK39),ABS(Resultados!BT39),ABS(Resultados!CC39),ABS(Resultados!CL39),ABS(Resultados!CU39),ABS(Resultados!DD39),ABS(Resultados!DM39),ABS(Resultados!DV39),ABS(Resultados!EE39))/SQRT(COUNT(Resultados!I39,Resultados!R39,Resultados!AA39,Resultados!AJ39,Resultados!AS39,Resultados!BB39,Resultados!BK39,Resultados!BT39,Resultados!CC39,Resultados!CL39,Resultados!CU39,Resultados!DD39,Resultados!DM39,Resultados!DV39,Resultados!EE39)))</f>
        <v>7.8759299778454167E-4</v>
      </c>
    </row>
    <row r="40" spans="1:9" x14ac:dyDescent="0.3">
      <c r="A40">
        <f>IF(COUNT(Resultados!A40,Resultados!J40,Resultados!S40,Resultados!AB40,Resultados!AK40,Resultados!AT40,Resultados!BC40,Resultados!BL40,Resultados!BU40,Resultados!CD40,Resultados!CM40,Resultados!CV40,Resultados!DE40,Resultados!DN40,Resultados!DW40)&lt;=1, "", _xlfn.STDEV.S(ABS(Resultados!A40),ABS(Resultados!J40),ABS(Resultados!S40),ABS(Resultados!AB40),ABS(Resultados!AK40),ABS(Resultados!AT40),ABS(Resultados!BC40),ABS(Resultados!BL40),ABS(Resultados!BU40),ABS(Resultados!CD40),ABS(Resultados!CM40),ABS(Resultados!CV40),ABS(Resultados!DE40),ABS(Resultados!DN40),ABS(Resultados!DW40))/SQRT(COUNT(Resultados!A40,Resultados!J40,Resultados!S40,Resultados!AB40,Resultados!AK40,Resultados!AT40,Resultados!BC40,Resultados!BL40,Resultados!BU40,Resultados!CD40,Resultados!CM40,Resultados!CV40,Resultados!DE40,Resultados!DN40,Resultados!DW40)))</f>
        <v>0</v>
      </c>
      <c r="B40" t="str">
        <f>IF(COUNT(Resultados!B40,Resultados!K40,Resultados!T40,Resultados!AC40,Resultados!AL40,Resultados!AU40,Resultados!BD40,Resultados!BM40,Resultados!BV40,Resultados!CE40,Resultados!CN40,Resultados!CW40,Resultados!DF40,Resultados!DO40,Resultados!DX40)&lt;=1, "", _xlfn.STDEV.S(ABS(Resultados!B40),ABS(Resultados!K40),ABS(Resultados!T40),ABS(Resultados!AC40),ABS(Resultados!AL40),ABS(Resultados!AU40),ABS(Resultados!BD40),ABS(Resultados!BM40),ABS(Resultados!BV40),ABS(Resultados!CE40),ABS(Resultados!CN40),ABS(Resultados!CW40),ABS(Resultados!DF40),ABS(Resultados!DO40),ABS(Resultados!DX40))/SQRT(COUNT(Resultados!B40,Resultados!K40,Resultados!T40,Resultados!AC40,Resultados!AL40,Resultados!AU40,Resultados!BD40,Resultados!BM40,Resultados!BV40,Resultados!CE40,Resultados!CN40,Resultados!CW40,Resultados!DF40,Resultados!DO40,Resultados!DX40)))</f>
        <v/>
      </c>
      <c r="C40">
        <f>IF(COUNT(Resultados!C40,Resultados!L40,Resultados!U40,Resultados!AD40,Resultados!AM40,Resultados!AV40,Resultados!BE40,Resultados!BN40,Resultados!BW40,Resultados!CF40,Resultados!CO40,Resultados!CX40,Resultados!DG40,Resultados!DP40,Resultados!DY40)&lt;=1, "", _xlfn.STDEV.S(ABS(Resultados!C40),ABS(Resultados!L40),ABS(Resultados!U40),ABS(Resultados!AD40),ABS(Resultados!AM40),ABS(Resultados!AV40),ABS(Resultados!BE40),ABS(Resultados!BN40),ABS(Resultados!BW40),ABS(Resultados!CF40),ABS(Resultados!CO40),ABS(Resultados!CX40),ABS(Resultados!DG40),ABS(Resultados!DP40),ABS(Resultados!DY40))/SQRT(COUNT(Resultados!C40,Resultados!L40,Resultados!U40,Resultados!AD40,Resultados!AM40,Resultados!AV40,Resultados!BE40,Resultados!BN40,Resultados!BW40,Resultados!CF40,Resultados!CO40,Resultados!CX40,Resultados!DG40,Resultados!DP40,Resultados!DY40)))</f>
        <v>0.46802523334497581</v>
      </c>
      <c r="D40">
        <f>IF(COUNT(Resultados!D40,Resultados!M40,Resultados!V40,Resultados!AE40,Resultados!AN40,Resultados!AW40,Resultados!BF40,Resultados!BO40,Resultados!BX40,Resultados!CG40,Resultados!CP40,Resultados!CY40,Resultados!DH40,Resultados!DQ40,Resultados!DZ40)&lt;=1, "", _xlfn.STDEV.S(ABS(Resultados!D40),ABS(Resultados!M40),ABS(Resultados!V40),ABS(Resultados!AE40),ABS(Resultados!AN40),ABS(Resultados!AW40),ABS(Resultados!BF40),ABS(Resultados!BO40),ABS(Resultados!BX40),ABS(Resultados!CG40),ABS(Resultados!CP40),ABS(Resultados!CY40),ABS(Resultados!DH40),ABS(Resultados!DQ40),ABS(Resultados!DZ40))/SQRT(COUNT(Resultados!D40,Resultados!M40,Resultados!V40,Resultados!AE40,Resultados!AN40,Resultados!AW40,Resultados!BF40,Resultados!BO40,Resultados!BX40,Resultados!CG40,Resultados!CP40,Resultados!CY40,Resultados!DH40,Resultados!DQ40,Resultados!DZ40)))</f>
        <v>8.941716038562491E-4</v>
      </c>
      <c r="E40">
        <f>IF(COUNT(Resultados!E40,Resultados!N40,Resultados!W40,Resultados!AF40,Resultados!AO40,Resultados!AX40,Resultados!BG40,Resultados!BP40,Resultados!BY40,Resultados!CH40,Resultados!CQ40,Resultados!CZ40,Resultados!DI40,Resultados!DR40,Resultados!EA40)&lt;=1, "", _xlfn.STDEV.S(ABS(Resultados!E40),ABS(Resultados!N40),ABS(Resultados!W40),ABS(Resultados!AF40),ABS(Resultados!AO40),ABS(Resultados!AX40),ABS(Resultados!BG40),ABS(Resultados!BP40),ABS(Resultados!BY40),ABS(Resultados!CH40),ABS(Resultados!CQ40),ABS(Resultados!CZ40),ABS(Resultados!DI40),ABS(Resultados!DR40),ABS(Resultados!EA40))/SQRT(COUNT(Resultados!E40,Resultados!N40,Resultados!W40,Resultados!AF40,Resultados!AO40,Resultados!AX40,Resultados!BG40,Resultados!BP40,Resultados!BY40,Resultados!CH40,Resultados!CQ40,Resultados!CZ40,Resultados!DI40,Resultados!DR40,Resultados!EA40)))</f>
        <v>6.2946821312384868E-2</v>
      </c>
      <c r="F40">
        <f>IF(COUNT(Resultados!F40,Resultados!O40,Resultados!X40,Resultados!AG40,Resultados!AP40,Resultados!AY40,Resultados!BH40,Resultados!BQ40,Resultados!BZ40,Resultados!CI40,Resultados!CR40,Resultados!DA40,Resultados!DJ40,Resultados!DS40,Resultados!EB40)&lt;=1, "", _xlfn.STDEV.S(ABS(Resultados!F40),ABS(Resultados!O40),ABS(Resultados!X40),ABS(Resultados!AG40),ABS(Resultados!AP40),ABS(Resultados!AY40),ABS(Resultados!BH40),ABS(Resultados!BQ40),ABS(Resultados!BZ40),ABS(Resultados!CI40),ABS(Resultados!CR40),ABS(Resultados!DA40),ABS(Resultados!DJ40),ABS(Resultados!DS40),ABS(Resultados!EB40))/SQRT(COUNT(Resultados!F40,Resultados!O40,Resultados!X40,Resultados!AG40,Resultados!AP40,Resultados!AY40,Resultados!BH40,Resultados!BQ40,Resultados!BZ40,Resultados!CI40,Resultados!CR40,Resultados!DA40,Resultados!DJ40,Resultados!DS40,Resultados!EB40)))</f>
        <v>5.8666437463142724</v>
      </c>
      <c r="G40">
        <f>IF(COUNT(Resultados!G40,Resultados!P40,Resultados!Y40,Resultados!AH40,Resultados!AQ40,Resultados!AZ40,Resultados!BI40,Resultados!BR40,Resultados!CA40,Resultados!CJ40,Resultados!CS40,Resultados!DB40,Resultados!DK40,Resultados!DT40,Resultados!EC40)&lt;=1, "", _xlfn.STDEV.S(ABS(Resultados!G40),ABS(Resultados!P40),ABS(Resultados!Y40),ABS(Resultados!AH40),ABS(Resultados!AQ40),ABS(Resultados!AZ40),ABS(Resultados!BI40),ABS(Resultados!BR40),ABS(Resultados!CA40),ABS(Resultados!CJ40),ABS(Resultados!CS40),ABS(Resultados!DB40),ABS(Resultados!DK40),ABS(Resultados!DT40),ABS(Resultados!EC40))/SQRT(COUNT(Resultados!G40,Resultados!P40,Resultados!Y40,Resultados!AH40,Resultados!AQ40,Resultados!AZ40,Resultados!BI40,Resultados!BR40,Resultados!CA40,Resultados!CJ40,Resultados!CS40,Resultados!DB40,Resultados!DK40,Resultados!DT40,Resultados!EC40)))</f>
        <v>4.4507937654163114E-17</v>
      </c>
      <c r="H40">
        <f>IF(COUNT(Resultados!H40,Resultados!Q40,Resultados!Z40,Resultados!AI40,Resultados!AR40,Resultados!BA40,Resultados!BJ40,Resultados!BS40,Resultados!CB40,Resultados!CK40,Resultados!CT40,Resultados!DC40,Resultados!DL40,Resultados!DU40,Resultados!ED40)&lt;=1, "", _xlfn.STDEV.S(ABS(Resultados!H40),ABS(Resultados!Q40),ABS(Resultados!Z40),ABS(Resultados!AI40),ABS(Resultados!AR40),ABS(Resultados!BA40),ABS(Resultados!BJ40),ABS(Resultados!BS40),ABS(Resultados!CB40),ABS(Resultados!CK40),ABS(Resultados!CT40),ABS(Resultados!DC40),ABS(Resultados!DL40),ABS(Resultados!DU40),ABS(Resultados!ED40))/SQRT(COUNT(Resultados!H40,Resultados!Q40,Resultados!Z40,Resultados!AI40,Resultados!AR40,Resultados!BA40,Resultados!BJ40,Resultados!BS40,Resultados!CB40,Resultados!CK40,Resultados!CT40,Resultados!DC40,Resultados!DL40,Resultados!DU40,Resultados!ED40)))</f>
        <v>9.8099398894652004E-4</v>
      </c>
      <c r="I40">
        <f>IF(COUNT(Resultados!I40,Resultados!R40,Resultados!AA40,Resultados!AJ40,Resultados!AS40,Resultados!BB40,Resultados!BK40,Resultados!BT40,Resultados!CC40,Resultados!CL40,Resultados!CU40,Resultados!DD40,Resultados!DM40,Resultados!DV40,Resultados!EE40)&lt;=1, "", _xlfn.STDEV.S(ABS(Resultados!I40),ABS(Resultados!R40),ABS(Resultados!AA40),ABS(Resultados!AJ40),ABS(Resultados!AS40),ABS(Resultados!BB40),ABS(Resultados!BK40),ABS(Resultados!BT40),ABS(Resultados!CC40),ABS(Resultados!CL40),ABS(Resultados!CU40),ABS(Resultados!DD40),ABS(Resultados!DM40),ABS(Resultados!DV40),ABS(Resultados!EE40))/SQRT(COUNT(Resultados!I40,Resultados!R40,Resultados!AA40,Resultados!AJ40,Resultados!AS40,Resultados!BB40,Resultados!BK40,Resultados!BT40,Resultados!CC40,Resultados!CL40,Resultados!CU40,Resultados!DD40,Resultados!DM40,Resultados!DV40,Resultados!EE40)))</f>
        <v>8.2074847760662162E-4</v>
      </c>
    </row>
    <row r="41" spans="1:9" x14ac:dyDescent="0.3">
      <c r="A41">
        <f>IF(COUNT(Resultados!A41,Resultados!J41,Resultados!S41,Resultados!AB41,Resultados!AK41,Resultados!AT41,Resultados!BC41,Resultados!BL41,Resultados!BU41,Resultados!CD41,Resultados!CM41,Resultados!CV41,Resultados!DE41,Resultados!DN41,Resultados!DW41)&lt;=1, "", _xlfn.STDEV.S(ABS(Resultados!A41),ABS(Resultados!J41),ABS(Resultados!S41),ABS(Resultados!AB41),ABS(Resultados!AK41),ABS(Resultados!AT41),ABS(Resultados!BC41),ABS(Resultados!BL41),ABS(Resultados!BU41),ABS(Resultados!CD41),ABS(Resultados!CM41),ABS(Resultados!CV41),ABS(Resultados!DE41),ABS(Resultados!DN41),ABS(Resultados!DW41))/SQRT(COUNT(Resultados!A41,Resultados!J41,Resultados!S41,Resultados!AB41,Resultados!AK41,Resultados!AT41,Resultados!BC41,Resultados!BL41,Resultados!BU41,Resultados!CD41,Resultados!CM41,Resultados!CV41,Resultados!DE41,Resultados!DN41,Resultados!DW41)))</f>
        <v>0</v>
      </c>
      <c r="B41" t="str">
        <f>IF(COUNT(Resultados!B41,Resultados!K41,Resultados!T41,Resultados!AC41,Resultados!AL41,Resultados!AU41,Resultados!BD41,Resultados!BM41,Resultados!BV41,Resultados!CE41,Resultados!CN41,Resultados!CW41,Resultados!DF41,Resultados!DO41,Resultados!DX41)&lt;=1, "", _xlfn.STDEV.S(ABS(Resultados!B41),ABS(Resultados!K41),ABS(Resultados!T41),ABS(Resultados!AC41),ABS(Resultados!AL41),ABS(Resultados!AU41),ABS(Resultados!BD41),ABS(Resultados!BM41),ABS(Resultados!BV41),ABS(Resultados!CE41),ABS(Resultados!CN41),ABS(Resultados!CW41),ABS(Resultados!DF41),ABS(Resultados!DO41),ABS(Resultados!DX41))/SQRT(COUNT(Resultados!B41,Resultados!K41,Resultados!T41,Resultados!AC41,Resultados!AL41,Resultados!AU41,Resultados!BD41,Resultados!BM41,Resultados!BV41,Resultados!CE41,Resultados!CN41,Resultados!CW41,Resultados!DF41,Resultados!DO41,Resultados!DX41)))</f>
        <v/>
      </c>
      <c r="C41">
        <f>IF(COUNT(Resultados!C41,Resultados!L41,Resultados!U41,Resultados!AD41,Resultados!AM41,Resultados!AV41,Resultados!BE41,Resultados!BN41,Resultados!BW41,Resultados!CF41,Resultados!CO41,Resultados!CX41,Resultados!DG41,Resultados!DP41,Resultados!DY41)&lt;=1, "", _xlfn.STDEV.S(ABS(Resultados!C41),ABS(Resultados!L41),ABS(Resultados!U41),ABS(Resultados!AD41),ABS(Resultados!AM41),ABS(Resultados!AV41),ABS(Resultados!BE41),ABS(Resultados!BN41),ABS(Resultados!BW41),ABS(Resultados!CF41),ABS(Resultados!CO41),ABS(Resultados!CX41),ABS(Resultados!DG41),ABS(Resultados!DP41),ABS(Resultados!DY41))/SQRT(COUNT(Resultados!C41,Resultados!L41,Resultados!U41,Resultados!AD41,Resultados!AM41,Resultados!AV41,Resultados!BE41,Resultados!BN41,Resultados!BW41,Resultados!CF41,Resultados!CO41,Resultados!CX41,Resultados!DG41,Resultados!DP41,Resultados!DY41)))</f>
        <v>0.46802523334497581</v>
      </c>
      <c r="D41">
        <f>IF(COUNT(Resultados!D41,Resultados!M41,Resultados!V41,Resultados!AE41,Resultados!AN41,Resultados!AW41,Resultados!BF41,Resultados!BO41,Resultados!BX41,Resultados!CG41,Resultados!CP41,Resultados!CY41,Resultados!DH41,Resultados!DQ41,Resultados!DZ41)&lt;=1, "", _xlfn.STDEV.S(ABS(Resultados!D41),ABS(Resultados!M41),ABS(Resultados!V41),ABS(Resultados!AE41),ABS(Resultados!AN41),ABS(Resultados!AW41),ABS(Resultados!BF41),ABS(Resultados!BO41),ABS(Resultados!BX41),ABS(Resultados!CG41),ABS(Resultados!CP41),ABS(Resultados!CY41),ABS(Resultados!DH41),ABS(Resultados!DQ41),ABS(Resultados!DZ41))/SQRT(COUNT(Resultados!D41,Resultados!M41,Resultados!V41,Resultados!AE41,Resultados!AN41,Resultados!AW41,Resultados!BF41,Resultados!BO41,Resultados!BX41,Resultados!CG41,Resultados!CP41,Resultados!CY41,Resultados!DH41,Resultados!DQ41,Resultados!DZ41)))</f>
        <v>9.9665472201792876E-4</v>
      </c>
      <c r="E41">
        <f>IF(COUNT(Resultados!E41,Resultados!N41,Resultados!W41,Resultados!AF41,Resultados!AO41,Resultados!AX41,Resultados!BG41,Resultados!BP41,Resultados!BY41,Resultados!CH41,Resultados!CQ41,Resultados!CZ41,Resultados!DI41,Resultados!DR41,Resultados!EA41)&lt;=1, "", _xlfn.STDEV.S(ABS(Resultados!E41),ABS(Resultados!N41),ABS(Resultados!W41),ABS(Resultados!AF41),ABS(Resultados!AO41),ABS(Resultados!AX41),ABS(Resultados!BG41),ABS(Resultados!BP41),ABS(Resultados!BY41),ABS(Resultados!CH41),ABS(Resultados!CQ41),ABS(Resultados!CZ41),ABS(Resultados!DI41),ABS(Resultados!DR41),ABS(Resultados!EA41))/SQRT(COUNT(Resultados!E41,Resultados!N41,Resultados!W41,Resultados!AF41,Resultados!AO41,Resultados!AX41,Resultados!BG41,Resultados!BP41,Resultados!BY41,Resultados!CH41,Resultados!CQ41,Resultados!CZ41,Resultados!DI41,Resultados!DR41,Resultados!EA41)))</f>
        <v>5.676173716596828E-2</v>
      </c>
      <c r="F41">
        <f>IF(COUNT(Resultados!F41,Resultados!O41,Resultados!X41,Resultados!AG41,Resultados!AP41,Resultados!AY41,Resultados!BH41,Resultados!BQ41,Resultados!BZ41,Resultados!CI41,Resultados!CR41,Resultados!DA41,Resultados!DJ41,Resultados!DS41,Resultados!EB41)&lt;=1, "", _xlfn.STDEV.S(ABS(Resultados!F41),ABS(Resultados!O41),ABS(Resultados!X41),ABS(Resultados!AG41),ABS(Resultados!AP41),ABS(Resultados!AY41),ABS(Resultados!BH41),ABS(Resultados!BQ41),ABS(Resultados!BZ41),ABS(Resultados!CI41),ABS(Resultados!CR41),ABS(Resultados!DA41),ABS(Resultados!DJ41),ABS(Resultados!DS41),ABS(Resultados!EB41))/SQRT(COUNT(Resultados!F41,Resultados!O41,Resultados!X41,Resultados!AG41,Resultados!AP41,Resultados!AY41,Resultados!BH41,Resultados!BQ41,Resultados!BZ41,Resultados!CI41,Resultados!CR41,Resultados!DA41,Resultados!DJ41,Resultados!DS41,Resultados!EB41)))</f>
        <v>5.2901939038682428</v>
      </c>
      <c r="G41">
        <f>IF(COUNT(Resultados!G41,Resultados!P41,Resultados!Y41,Resultados!AH41,Resultados!AQ41,Resultados!AZ41,Resultados!BI41,Resultados!BR41,Resultados!CA41,Resultados!CJ41,Resultados!CS41,Resultados!DB41,Resultados!DK41,Resultados!DT41,Resultados!EC41)&lt;=1, "", _xlfn.STDEV.S(ABS(Resultados!G41),ABS(Resultados!P41),ABS(Resultados!Y41),ABS(Resultados!AH41),ABS(Resultados!AQ41),ABS(Resultados!AZ41),ABS(Resultados!BI41),ABS(Resultados!BR41),ABS(Resultados!CA41),ABS(Resultados!CJ41),ABS(Resultados!CS41),ABS(Resultados!DB41),ABS(Resultados!DK41),ABS(Resultados!DT41),ABS(Resultados!EC41))/SQRT(COUNT(Resultados!G41,Resultados!P41,Resultados!Y41,Resultados!AH41,Resultados!AQ41,Resultados!AZ41,Resultados!BI41,Resultados!BR41,Resultados!CA41,Resultados!CJ41,Resultados!CS41,Resultados!DB41,Resultados!DK41,Resultados!DT41,Resultados!EC41)))</f>
        <v>4.4507937654163114E-17</v>
      </c>
      <c r="H41">
        <f>IF(COUNT(Resultados!H41,Resultados!Q41,Resultados!Z41,Resultados!AI41,Resultados!AR41,Resultados!BA41,Resultados!BJ41,Resultados!BS41,Resultados!CB41,Resultados!CK41,Resultados!CT41,Resultados!DC41,Resultados!DL41,Resultados!DU41,Resultados!ED41)&lt;=1, "", _xlfn.STDEV.S(ABS(Resultados!H41),ABS(Resultados!Q41),ABS(Resultados!Z41),ABS(Resultados!AI41),ABS(Resultados!AR41),ABS(Resultados!BA41),ABS(Resultados!BJ41),ABS(Resultados!BS41),ABS(Resultados!CB41),ABS(Resultados!CK41),ABS(Resultados!CT41),ABS(Resultados!DC41),ABS(Resultados!DL41),ABS(Resultados!DU41),ABS(Resultados!ED41))/SQRT(COUNT(Resultados!H41,Resultados!Q41,Resultados!Z41,Resultados!AI41,Resultados!AR41,Resultados!BA41,Resultados!BJ41,Resultados!BS41,Resultados!CB41,Resultados!CK41,Resultados!CT41,Resultados!DC41,Resultados!DL41,Resultados!DU41,Resultados!ED41)))</f>
        <v>8.8000000000000014E-4</v>
      </c>
      <c r="I41">
        <f>IF(COUNT(Resultados!I41,Resultados!R41,Resultados!AA41,Resultados!AJ41,Resultados!AS41,Resultados!BB41,Resultados!BK41,Resultados!BT41,Resultados!CC41,Resultados!CL41,Resultados!CU41,Resultados!DD41,Resultados!DM41,Resultados!DV41,Resultados!EE41)&lt;=1, "", _xlfn.STDEV.S(ABS(Resultados!I41),ABS(Resultados!R41),ABS(Resultados!AA41),ABS(Resultados!AJ41),ABS(Resultados!AS41),ABS(Resultados!BB41),ABS(Resultados!BK41),ABS(Resultados!BT41),ABS(Resultados!CC41),ABS(Resultados!CL41),ABS(Resultados!CU41),ABS(Resultados!DD41),ABS(Resultados!DM41),ABS(Resultados!DV41),ABS(Resultados!EE41))/SQRT(COUNT(Resultados!I41,Resultados!R41,Resultados!AA41,Resultados!AJ41,Resultados!AS41,Resultados!BB41,Resultados!BK41,Resultados!BT41,Resultados!CC41,Resultados!CL41,Resultados!CU41,Resultados!DD41,Resultados!DM41,Resultados!DV41,Resultados!EE41)))</f>
        <v>8.3687847821626671E-4</v>
      </c>
    </row>
    <row r="42" spans="1:9" x14ac:dyDescent="0.3">
      <c r="A42">
        <f>IF(COUNT(Resultados!A42,Resultados!J42,Resultados!S42,Resultados!AB42,Resultados!AK42,Resultados!AT42,Resultados!BC42,Resultados!BL42,Resultados!BU42,Resultados!CD42,Resultados!CM42,Resultados!CV42,Resultados!DE42,Resultados!DN42,Resultados!DW42)&lt;=1, "", _xlfn.STDEV.S(ABS(Resultados!A42),ABS(Resultados!J42),ABS(Resultados!S42),ABS(Resultados!AB42),ABS(Resultados!AK42),ABS(Resultados!AT42),ABS(Resultados!BC42),ABS(Resultados!BL42),ABS(Resultados!BU42),ABS(Resultados!CD42),ABS(Resultados!CM42),ABS(Resultados!CV42),ABS(Resultados!DE42),ABS(Resultados!DN42),ABS(Resultados!DW42))/SQRT(COUNT(Resultados!A42,Resultados!J42,Resultados!S42,Resultados!AB42,Resultados!AK42,Resultados!AT42,Resultados!BC42,Resultados!BL42,Resultados!BU42,Resultados!CD42,Resultados!CM42,Resultados!CV42,Resultados!DE42,Resultados!DN42,Resultados!DW42)))</f>
        <v>0</v>
      </c>
      <c r="B42" t="str">
        <f>IF(COUNT(Resultados!B42,Resultados!K42,Resultados!T42,Resultados!AC42,Resultados!AL42,Resultados!AU42,Resultados!BD42,Resultados!BM42,Resultados!BV42,Resultados!CE42,Resultados!CN42,Resultados!CW42,Resultados!DF42,Resultados!DO42,Resultados!DX42)&lt;=1, "", _xlfn.STDEV.S(ABS(Resultados!B42),ABS(Resultados!K42),ABS(Resultados!T42),ABS(Resultados!AC42),ABS(Resultados!AL42),ABS(Resultados!AU42),ABS(Resultados!BD42),ABS(Resultados!BM42),ABS(Resultados!BV42),ABS(Resultados!CE42),ABS(Resultados!CN42),ABS(Resultados!CW42),ABS(Resultados!DF42),ABS(Resultados!DO42),ABS(Resultados!DX42))/SQRT(COUNT(Resultados!B42,Resultados!K42,Resultados!T42,Resultados!AC42,Resultados!AL42,Resultados!AU42,Resultados!BD42,Resultados!BM42,Resultados!BV42,Resultados!CE42,Resultados!CN42,Resultados!CW42,Resultados!DF42,Resultados!DO42,Resultados!DX42)))</f>
        <v/>
      </c>
      <c r="C42">
        <f>IF(COUNT(Resultados!C42,Resultados!L42,Resultados!U42,Resultados!AD42,Resultados!AM42,Resultados!AV42,Resultados!BE42,Resultados!BN42,Resultados!BW42,Resultados!CF42,Resultados!CO42,Resultados!CX42,Resultados!DG42,Resultados!DP42,Resultados!DY42)&lt;=1, "", _xlfn.STDEV.S(ABS(Resultados!C42),ABS(Resultados!L42),ABS(Resultados!U42),ABS(Resultados!AD42),ABS(Resultados!AM42),ABS(Resultados!AV42),ABS(Resultados!BE42),ABS(Resultados!BN42),ABS(Resultados!BW42),ABS(Resultados!CF42),ABS(Resultados!CO42),ABS(Resultados!CX42),ABS(Resultados!DG42),ABS(Resultados!DP42),ABS(Resultados!DY42))/SQRT(COUNT(Resultados!C42,Resultados!L42,Resultados!U42,Resultados!AD42,Resultados!AM42,Resultados!AV42,Resultados!BE42,Resultados!BN42,Resultados!BW42,Resultados!CF42,Resultados!CO42,Resultados!CX42,Resultados!DG42,Resultados!DP42,Resultados!DY42)))</f>
        <v>0.46802523334497581</v>
      </c>
      <c r="D42">
        <f>IF(COUNT(Resultados!D42,Resultados!M42,Resultados!V42,Resultados!AE42,Resultados!AN42,Resultados!AW42,Resultados!BF42,Resultados!BO42,Resultados!BX42,Resultados!CG42,Resultados!CP42,Resultados!CY42,Resultados!DH42,Resultados!DQ42,Resultados!DZ42)&lt;=1, "", _xlfn.STDEV.S(ABS(Resultados!D42),ABS(Resultados!M42),ABS(Resultados!V42),ABS(Resultados!AE42),ABS(Resultados!AN42),ABS(Resultados!AW42),ABS(Resultados!BF42),ABS(Resultados!BO42),ABS(Resultados!BX42),ABS(Resultados!CG42),ABS(Resultados!CP42),ABS(Resultados!CY42),ABS(Resultados!DH42),ABS(Resultados!DQ42),ABS(Resultados!DZ42))/SQRT(COUNT(Resultados!D42,Resultados!M42,Resultados!V42,Resultados!AE42,Resultados!AN42,Resultados!AW42,Resultados!BF42,Resultados!BO42,Resultados!BX42,Resultados!CG42,Resultados!CP42,Resultados!CY42,Resultados!DH42,Resultados!DQ42,Resultados!DZ42)))</f>
        <v>9.4061108134510421E-4</v>
      </c>
      <c r="E42">
        <f>IF(COUNT(Resultados!E42,Resultados!N42,Resultados!W42,Resultados!AF42,Resultados!AO42,Resultados!AX42,Resultados!BG42,Resultados!BP42,Resultados!BY42,Resultados!CH42,Resultados!CQ42,Resultados!CZ42,Resultados!DI42,Resultados!DR42,Resultados!EA42)&lt;=1, "", _xlfn.STDEV.S(ABS(Resultados!E42),ABS(Resultados!N42),ABS(Resultados!W42),ABS(Resultados!AF42),ABS(Resultados!AO42),ABS(Resultados!AX42),ABS(Resultados!BG42),ABS(Resultados!BP42),ABS(Resultados!BY42),ABS(Resultados!CH42),ABS(Resultados!CQ42),ABS(Resultados!CZ42),ABS(Resultados!DI42),ABS(Resultados!DR42),ABS(Resultados!EA42))/SQRT(COUNT(Resultados!E42,Resultados!N42,Resultados!W42,Resultados!AF42,Resultados!AO42,Resultados!AX42,Resultados!BG42,Resultados!BP42,Resultados!BY42,Resultados!CH42,Resultados!CQ42,Resultados!CZ42,Resultados!DI42,Resultados!DR42,Resultados!EA42)))</f>
        <v>4.4925863899560978E-2</v>
      </c>
      <c r="F42">
        <f>IF(COUNT(Resultados!F42,Resultados!O42,Resultados!X42,Resultados!AG42,Resultados!AP42,Resultados!AY42,Resultados!BH42,Resultados!BQ42,Resultados!BZ42,Resultados!CI42,Resultados!CR42,Resultados!DA42,Resultados!DJ42,Resultados!DS42,Resultados!EB42)&lt;=1, "", _xlfn.STDEV.S(ABS(Resultados!F42),ABS(Resultados!O42),ABS(Resultados!X42),ABS(Resultados!AG42),ABS(Resultados!AP42),ABS(Resultados!AY42),ABS(Resultados!BH42),ABS(Resultados!BQ42),ABS(Resultados!BZ42),ABS(Resultados!CI42),ABS(Resultados!CR42),ABS(Resultados!DA42),ABS(Resultados!DJ42),ABS(Resultados!DS42),ABS(Resultados!EB42))/SQRT(COUNT(Resultados!F42,Resultados!O42,Resultados!X42,Resultados!AG42,Resultados!AP42,Resultados!AY42,Resultados!BH42,Resultados!BQ42,Resultados!BZ42,Resultados!CI42,Resultados!CR42,Resultados!DA42,Resultados!DJ42,Resultados!DS42,Resultados!EB42)))</f>
        <v>4.1870905154390812</v>
      </c>
      <c r="G42">
        <f>IF(COUNT(Resultados!G42,Resultados!P42,Resultados!Y42,Resultados!AH42,Resultados!AQ42,Resultados!AZ42,Resultados!BI42,Resultados!BR42,Resultados!CA42,Resultados!CJ42,Resultados!CS42,Resultados!DB42,Resultados!DK42,Resultados!DT42,Resultados!EC42)&lt;=1, "", _xlfn.STDEV.S(ABS(Resultados!G42),ABS(Resultados!P42),ABS(Resultados!Y42),ABS(Resultados!AH42),ABS(Resultados!AQ42),ABS(Resultados!AZ42),ABS(Resultados!BI42),ABS(Resultados!BR42),ABS(Resultados!CA42),ABS(Resultados!CJ42),ABS(Resultados!CS42),ABS(Resultados!DB42),ABS(Resultados!DK42),ABS(Resultados!DT42),ABS(Resultados!EC42))/SQRT(COUNT(Resultados!G42,Resultados!P42,Resultados!Y42,Resultados!AH42,Resultados!AQ42,Resultados!AZ42,Resultados!BI42,Resultados!BR42,Resultados!CA42,Resultados!CJ42,Resultados!CS42,Resultados!DB42,Resultados!DK42,Resultados!DT42,Resultados!EC42)))</f>
        <v>4.4507937654163114E-17</v>
      </c>
      <c r="H42">
        <f>IF(COUNT(Resultados!H42,Resultados!Q42,Resultados!Z42,Resultados!AI42,Resultados!AR42,Resultados!BA42,Resultados!BJ42,Resultados!BS42,Resultados!CB42,Resultados!CK42,Resultados!CT42,Resultados!DC42,Resultados!DL42,Resultados!DU42,Resultados!ED42)&lt;=1, "", _xlfn.STDEV.S(ABS(Resultados!H42),ABS(Resultados!Q42),ABS(Resultados!Z42),ABS(Resultados!AI42),ABS(Resultados!AR42),ABS(Resultados!BA42),ABS(Resultados!BJ42),ABS(Resultados!BS42),ABS(Resultados!CB42),ABS(Resultados!CK42),ABS(Resultados!CT42),ABS(Resultados!DC42),ABS(Resultados!DL42),ABS(Resultados!DU42),ABS(Resultados!ED42))/SQRT(COUNT(Resultados!H42,Resultados!Q42,Resultados!Z42,Resultados!AI42,Resultados!AR42,Resultados!BA42,Resultados!BJ42,Resultados!BS42,Resultados!CB42,Resultados!CK42,Resultados!CT42,Resultados!DC42,Resultados!DL42,Resultados!DU42,Resultados!ED42)))</f>
        <v>6.9999999999999999E-4</v>
      </c>
      <c r="I42">
        <f>IF(COUNT(Resultados!I42,Resultados!R42,Resultados!AA42,Resultados!AJ42,Resultados!AS42,Resultados!BB42,Resultados!BK42,Resultados!BT42,Resultados!CC42,Resultados!CL42,Resultados!CU42,Resultados!DD42,Resultados!DM42,Resultados!DV42,Resultados!EE42)&lt;=1, "", _xlfn.STDEV.S(ABS(Resultados!I42),ABS(Resultados!R42),ABS(Resultados!AA42),ABS(Resultados!AJ42),ABS(Resultados!AS42),ABS(Resultados!BB42),ABS(Resultados!BK42),ABS(Resultados!BT42),ABS(Resultados!CC42),ABS(Resultados!CL42),ABS(Resultados!CU42),ABS(Resultados!DD42),ABS(Resultados!DM42),ABS(Resultados!DV42),ABS(Resultados!EE42))/SQRT(COUNT(Resultados!I42,Resultados!R42,Resultados!AA42,Resultados!AJ42,Resultados!AS42,Resultados!BB42,Resultados!BK42,Resultados!BT42,Resultados!CC42,Resultados!CL42,Resultados!CU42,Resultados!DD42,Resultados!DM42,Resultados!DV42,Resultados!EE42)))</f>
        <v>8.2043588879212898E-4</v>
      </c>
    </row>
    <row r="43" spans="1:9" x14ac:dyDescent="0.3">
      <c r="A43">
        <f>IF(COUNT(Resultados!A43,Resultados!J43,Resultados!S43,Resultados!AB43,Resultados!AK43,Resultados!AT43,Resultados!BC43,Resultados!BL43,Resultados!BU43,Resultados!CD43,Resultados!CM43,Resultados!CV43,Resultados!DE43,Resultados!DN43,Resultados!DW43)&lt;=1, "", _xlfn.STDEV.S(ABS(Resultados!A43),ABS(Resultados!J43),ABS(Resultados!S43),ABS(Resultados!AB43),ABS(Resultados!AK43),ABS(Resultados!AT43),ABS(Resultados!BC43),ABS(Resultados!BL43),ABS(Resultados!BU43),ABS(Resultados!CD43),ABS(Resultados!CM43),ABS(Resultados!CV43),ABS(Resultados!DE43),ABS(Resultados!DN43),ABS(Resultados!DW43))/SQRT(COUNT(Resultados!A43,Resultados!J43,Resultados!S43,Resultados!AB43,Resultados!AK43,Resultados!AT43,Resultados!BC43,Resultados!BL43,Resultados!BU43,Resultados!CD43,Resultados!CM43,Resultados!CV43,Resultados!DE43,Resultados!DN43,Resultados!DW43)))</f>
        <v>0</v>
      </c>
      <c r="B43" t="str">
        <f>IF(COUNT(Resultados!B43,Resultados!K43,Resultados!T43,Resultados!AC43,Resultados!AL43,Resultados!AU43,Resultados!BD43,Resultados!BM43,Resultados!BV43,Resultados!CE43,Resultados!CN43,Resultados!CW43,Resultados!DF43,Resultados!DO43,Resultados!DX43)&lt;=1, "", _xlfn.STDEV.S(ABS(Resultados!B43),ABS(Resultados!K43),ABS(Resultados!T43),ABS(Resultados!AC43),ABS(Resultados!AL43),ABS(Resultados!AU43),ABS(Resultados!BD43),ABS(Resultados!BM43),ABS(Resultados!BV43),ABS(Resultados!CE43),ABS(Resultados!CN43),ABS(Resultados!CW43),ABS(Resultados!DF43),ABS(Resultados!DO43),ABS(Resultados!DX43))/SQRT(COUNT(Resultados!B43,Resultados!K43,Resultados!T43,Resultados!AC43,Resultados!AL43,Resultados!AU43,Resultados!BD43,Resultados!BM43,Resultados!BV43,Resultados!CE43,Resultados!CN43,Resultados!CW43,Resultados!DF43,Resultados!DO43,Resultados!DX43)))</f>
        <v/>
      </c>
      <c r="C43">
        <f>IF(COUNT(Resultados!C43,Resultados!L43,Resultados!U43,Resultados!AD43,Resultados!AM43,Resultados!AV43,Resultados!BE43,Resultados!BN43,Resultados!BW43,Resultados!CF43,Resultados!CO43,Resultados!CX43,Resultados!DG43,Resultados!DP43,Resultados!DY43)&lt;=1, "", _xlfn.STDEV.S(ABS(Resultados!C43),ABS(Resultados!L43),ABS(Resultados!U43),ABS(Resultados!AD43),ABS(Resultados!AM43),ABS(Resultados!AV43),ABS(Resultados!BE43),ABS(Resultados!BN43),ABS(Resultados!BW43),ABS(Resultados!CF43),ABS(Resultados!CO43),ABS(Resultados!CX43),ABS(Resultados!DG43),ABS(Resultados!DP43),ABS(Resultados!DY43))/SQRT(COUNT(Resultados!C43,Resultados!L43,Resultados!U43,Resultados!AD43,Resultados!AM43,Resultados!AV43,Resultados!BE43,Resultados!BN43,Resultados!BW43,Resultados!CF43,Resultados!CO43,Resultados!CX43,Resultados!DG43,Resultados!DP43,Resultados!DY43)))</f>
        <v>0.46802523334497581</v>
      </c>
      <c r="D43">
        <f>IF(COUNT(Resultados!D43,Resultados!M43,Resultados!V43,Resultados!AE43,Resultados!AN43,Resultados!AW43,Resultados!BF43,Resultados!BO43,Resultados!BX43,Resultados!CG43,Resultados!CP43,Resultados!CY43,Resultados!DH43,Resultados!DQ43,Resultados!DZ43)&lt;=1, "", _xlfn.STDEV.S(ABS(Resultados!D43),ABS(Resultados!M43),ABS(Resultados!V43),ABS(Resultados!AE43),ABS(Resultados!AN43),ABS(Resultados!AW43),ABS(Resultados!BF43),ABS(Resultados!BO43),ABS(Resultados!BX43),ABS(Resultados!CG43),ABS(Resultados!CP43),ABS(Resultados!CY43),ABS(Resultados!DH43),ABS(Resultados!DQ43),ABS(Resultados!DZ43))/SQRT(COUNT(Resultados!D43,Resultados!M43,Resultados!V43,Resultados!AE43,Resultados!AN43,Resultados!AW43,Resultados!BF43,Resultados!BO43,Resultados!BX43,Resultados!CG43,Resultados!CP43,Resultados!CY43,Resultados!DH43,Resultados!DQ43,Resultados!DZ43)))</f>
        <v>7.9441303079195742E-4</v>
      </c>
      <c r="E43">
        <f>IF(COUNT(Resultados!E43,Resultados!N43,Resultados!W43,Resultados!AF43,Resultados!AO43,Resultados!AX43,Resultados!BG43,Resultados!BP43,Resultados!BY43,Resultados!CH43,Resultados!CQ43,Resultados!CZ43,Resultados!DI43,Resultados!DR43,Resultados!EA43)&lt;=1, "", _xlfn.STDEV.S(ABS(Resultados!E43),ABS(Resultados!N43),ABS(Resultados!W43),ABS(Resultados!AF43),ABS(Resultados!AO43),ABS(Resultados!AX43),ABS(Resultados!BG43),ABS(Resultados!BP43),ABS(Resultados!BY43),ABS(Resultados!CH43),ABS(Resultados!CQ43),ABS(Resultados!CZ43),ABS(Resultados!DI43),ABS(Resultados!DR43),ABS(Resultados!EA43))/SQRT(COUNT(Resultados!E43,Resultados!N43,Resultados!W43,Resultados!AF43,Resultados!AO43,Resultados!AX43,Resultados!BG43,Resultados!BP43,Resultados!BY43,Resultados!CH43,Resultados!CQ43,Resultados!CZ43,Resultados!DI43,Resultados!DR43,Resultados!EA43)))</f>
        <v>2.8733517115969248E-2</v>
      </c>
      <c r="F43">
        <f>IF(COUNT(Resultados!F43,Resultados!O43,Resultados!X43,Resultados!AG43,Resultados!AP43,Resultados!AY43,Resultados!BH43,Resultados!BQ43,Resultados!BZ43,Resultados!CI43,Resultados!CR43,Resultados!DA43,Resultados!DJ43,Resultados!DS43,Resultados!EB43)&lt;=1, "", _xlfn.STDEV.S(ABS(Resultados!F43),ABS(Resultados!O43),ABS(Resultados!X43),ABS(Resultados!AG43),ABS(Resultados!AP43),ABS(Resultados!AY43),ABS(Resultados!BH43),ABS(Resultados!BQ43),ABS(Resultados!BZ43),ABS(Resultados!CI43),ABS(Resultados!CR43),ABS(Resultados!DA43),ABS(Resultados!DJ43),ABS(Resultados!DS43),ABS(Resultados!EB43))/SQRT(COUNT(Resultados!F43,Resultados!O43,Resultados!X43,Resultados!AG43,Resultados!AP43,Resultados!AY43,Resultados!BH43,Resultados!BQ43,Resultados!BZ43,Resultados!CI43,Resultados!CR43,Resultados!DA43,Resultados!DJ43,Resultados!DS43,Resultados!EB43)))</f>
        <v>4.1388233270068593</v>
      </c>
      <c r="G43">
        <f>IF(COUNT(Resultados!G43,Resultados!P43,Resultados!Y43,Resultados!AH43,Resultados!AQ43,Resultados!AZ43,Resultados!BI43,Resultados!BR43,Resultados!CA43,Resultados!CJ43,Resultados!CS43,Resultados!DB43,Resultados!DK43,Resultados!DT43,Resultados!EC43)&lt;=1, "", _xlfn.STDEV.S(ABS(Resultados!G43),ABS(Resultados!P43),ABS(Resultados!Y43),ABS(Resultados!AH43),ABS(Resultados!AQ43),ABS(Resultados!AZ43),ABS(Resultados!BI43),ABS(Resultados!BR43),ABS(Resultados!CA43),ABS(Resultados!CJ43),ABS(Resultados!CS43),ABS(Resultados!DB43),ABS(Resultados!DK43),ABS(Resultados!DT43),ABS(Resultados!EC43))/SQRT(COUNT(Resultados!G43,Resultados!P43,Resultados!Y43,Resultados!AH43,Resultados!AQ43,Resultados!AZ43,Resultados!BI43,Resultados!BR43,Resultados!CA43,Resultados!CJ43,Resultados!CS43,Resultados!DB43,Resultados!DK43,Resultados!DT43,Resultados!EC43)))</f>
        <v>4.4507937654163114E-17</v>
      </c>
      <c r="H43">
        <f>IF(COUNT(Resultados!H43,Resultados!Q43,Resultados!Z43,Resultados!AI43,Resultados!AR43,Resultados!BA43,Resultados!BJ43,Resultados!BS43,Resultados!CB43,Resultados!CK43,Resultados!CT43,Resultados!DC43,Resultados!DL43,Resultados!DU43,Resultados!ED43)&lt;=1, "", _xlfn.STDEV.S(ABS(Resultados!H43),ABS(Resultados!Q43),ABS(Resultados!Z43),ABS(Resultados!AI43),ABS(Resultados!AR43),ABS(Resultados!BA43),ABS(Resultados!BJ43),ABS(Resultados!BS43),ABS(Resultados!CB43),ABS(Resultados!CK43),ABS(Resultados!CT43),ABS(Resultados!DC43),ABS(Resultados!DL43),ABS(Resultados!DU43),ABS(Resultados!ED43))/SQRT(COUNT(Resultados!H43,Resultados!Q43,Resultados!Z43,Resultados!AI43,Resultados!AR43,Resultados!BA43,Resultados!BJ43,Resultados!BS43,Resultados!CB43,Resultados!CK43,Resultados!CT43,Resultados!DC43,Resultados!DL43,Resultados!DU43,Resultados!ED43)))</f>
        <v>4.4624002367577763E-4</v>
      </c>
      <c r="I43">
        <f>IF(COUNT(Resultados!I43,Resultados!R43,Resultados!AA43,Resultados!AJ43,Resultados!AS43,Resultados!BB43,Resultados!BK43,Resultados!BT43,Resultados!CC43,Resultados!CL43,Resultados!CU43,Resultados!DD43,Resultados!DM43,Resultados!DV43,Resultados!EE43)&lt;=1, "", _xlfn.STDEV.S(ABS(Resultados!I43),ABS(Resultados!R43),ABS(Resultados!AA43),ABS(Resultados!AJ43),ABS(Resultados!AS43),ABS(Resultados!BB43),ABS(Resultados!BK43),ABS(Resultados!BT43),ABS(Resultados!CC43),ABS(Resultados!CL43),ABS(Resultados!CU43),ABS(Resultados!DD43),ABS(Resultados!DM43),ABS(Resultados!DV43),ABS(Resultados!EE43))/SQRT(COUNT(Resultados!I43,Resultados!R43,Resultados!AA43,Resultados!AJ43,Resultados!AS43,Resultados!BB43,Resultados!BK43,Resultados!BT43,Resultados!CC43,Resultados!CL43,Resultados!CU43,Resultados!DD43,Resultados!DM43,Resultados!DV43,Resultados!EE43)))</f>
        <v>9.5931893830977603E-4</v>
      </c>
    </row>
    <row r="44" spans="1:9" x14ac:dyDescent="0.3">
      <c r="A44">
        <f>IF(COUNT(Resultados!A44,Resultados!J44,Resultados!S44,Resultados!AB44,Resultados!AK44,Resultados!AT44,Resultados!BC44,Resultados!BL44,Resultados!BU44,Resultados!CD44,Resultados!CM44,Resultados!CV44,Resultados!DE44,Resultados!DN44,Resultados!DW44)&lt;=1, "", _xlfn.STDEV.S(ABS(Resultados!A44),ABS(Resultados!J44),ABS(Resultados!S44),ABS(Resultados!AB44),ABS(Resultados!AK44),ABS(Resultados!AT44),ABS(Resultados!BC44),ABS(Resultados!BL44),ABS(Resultados!BU44),ABS(Resultados!CD44),ABS(Resultados!CM44),ABS(Resultados!CV44),ABS(Resultados!DE44),ABS(Resultados!DN44),ABS(Resultados!DW44))/SQRT(COUNT(Resultados!A44,Resultados!J44,Resultados!S44,Resultados!AB44,Resultados!AK44,Resultados!AT44,Resultados!BC44,Resultados!BL44,Resultados!BU44,Resultados!CD44,Resultados!CM44,Resultados!CV44,Resultados!DE44,Resultados!DN44,Resultados!DW44)))</f>
        <v>0</v>
      </c>
      <c r="B44" t="str">
        <f>IF(COUNT(Resultados!B44,Resultados!K44,Resultados!T44,Resultados!AC44,Resultados!AL44,Resultados!AU44,Resultados!BD44,Resultados!BM44,Resultados!BV44,Resultados!CE44,Resultados!CN44,Resultados!CW44,Resultados!DF44,Resultados!DO44,Resultados!DX44)&lt;=1, "", _xlfn.STDEV.S(ABS(Resultados!B44),ABS(Resultados!K44),ABS(Resultados!T44),ABS(Resultados!AC44),ABS(Resultados!AL44),ABS(Resultados!AU44),ABS(Resultados!BD44),ABS(Resultados!BM44),ABS(Resultados!BV44),ABS(Resultados!CE44),ABS(Resultados!CN44),ABS(Resultados!CW44),ABS(Resultados!DF44),ABS(Resultados!DO44),ABS(Resultados!DX44))/SQRT(COUNT(Resultados!B44,Resultados!K44,Resultados!T44,Resultados!AC44,Resultados!AL44,Resultados!AU44,Resultados!BD44,Resultados!BM44,Resultados!BV44,Resultados!CE44,Resultados!CN44,Resultados!CW44,Resultados!DF44,Resultados!DO44,Resultados!DX44)))</f>
        <v/>
      </c>
      <c r="C44">
        <f>IF(COUNT(Resultados!C44,Resultados!L44,Resultados!U44,Resultados!AD44,Resultados!AM44,Resultados!AV44,Resultados!BE44,Resultados!BN44,Resultados!BW44,Resultados!CF44,Resultados!CO44,Resultados!CX44,Resultados!DG44,Resultados!DP44,Resultados!DY44)&lt;=1, "", _xlfn.STDEV.S(ABS(Resultados!C44),ABS(Resultados!L44),ABS(Resultados!U44),ABS(Resultados!AD44),ABS(Resultados!AM44),ABS(Resultados!AV44),ABS(Resultados!BE44),ABS(Resultados!BN44),ABS(Resultados!BW44),ABS(Resultados!CF44),ABS(Resultados!CO44),ABS(Resultados!CX44),ABS(Resultados!DG44),ABS(Resultados!DP44),ABS(Resultados!DY44))/SQRT(COUNT(Resultados!C44,Resultados!L44,Resultados!U44,Resultados!AD44,Resultados!AM44,Resultados!AV44,Resultados!BE44,Resultados!BN44,Resultados!BW44,Resultados!CF44,Resultados!CO44,Resultados!CX44,Resultados!DG44,Resultados!DP44,Resultados!DY44)))</f>
        <v>0.46802523334497581</v>
      </c>
      <c r="D44">
        <f>IF(COUNT(Resultados!D44,Resultados!M44,Resultados!V44,Resultados!AE44,Resultados!AN44,Resultados!AW44,Resultados!BF44,Resultados!BO44,Resultados!BX44,Resultados!CG44,Resultados!CP44,Resultados!CY44,Resultados!DH44,Resultados!DQ44,Resultados!DZ44)&lt;=1, "", _xlfn.STDEV.S(ABS(Resultados!D44),ABS(Resultados!M44),ABS(Resultados!V44),ABS(Resultados!AE44),ABS(Resultados!AN44),ABS(Resultados!AW44),ABS(Resultados!BF44),ABS(Resultados!BO44),ABS(Resultados!BX44),ABS(Resultados!CG44),ABS(Resultados!CP44),ABS(Resultados!CY44),ABS(Resultados!DH44),ABS(Resultados!DQ44),ABS(Resultados!DZ44))/SQRT(COUNT(Resultados!D44,Resultados!M44,Resultados!V44,Resultados!AE44,Resultados!AN44,Resultados!AW44,Resultados!BF44,Resultados!BO44,Resultados!BX44,Resultados!CG44,Resultados!CP44,Resultados!CY44,Resultados!DH44,Resultados!DQ44,Resultados!DZ44)))</f>
        <v>5.4001763639630117E-4</v>
      </c>
      <c r="E44">
        <f>IF(COUNT(Resultados!E44,Resultados!N44,Resultados!W44,Resultados!AF44,Resultados!AO44,Resultados!AX44,Resultados!BG44,Resultados!BP44,Resultados!BY44,Resultados!CH44,Resultados!CQ44,Resultados!CZ44,Resultados!DI44,Resultados!DR44,Resultados!EA44)&lt;=1, "", _xlfn.STDEV.S(ABS(Resultados!E44),ABS(Resultados!N44),ABS(Resultados!W44),ABS(Resultados!AF44),ABS(Resultados!AO44),ABS(Resultados!AX44),ABS(Resultados!BG44),ABS(Resultados!BP44),ABS(Resultados!BY44),ABS(Resultados!CH44),ABS(Resultados!CQ44),ABS(Resultados!CZ44),ABS(Resultados!DI44),ABS(Resultados!DR44),ABS(Resultados!EA44))/SQRT(COUNT(Resultados!E44,Resultados!N44,Resultados!W44,Resultados!AF44,Resultados!AO44,Resultados!AX44,Resultados!BG44,Resultados!BP44,Resultados!BY44,Resultados!CH44,Resultados!CQ44,Resultados!CZ44,Resultados!DI44,Resultados!DR44,Resultados!EA44)))</f>
        <v>9.7910728727773882E-3</v>
      </c>
      <c r="F44">
        <f>IF(COUNT(Resultados!F44,Resultados!O44,Resultados!X44,Resultados!AG44,Resultados!AP44,Resultados!AY44,Resultados!BH44,Resultados!BQ44,Resultados!BZ44,Resultados!CI44,Resultados!CR44,Resultados!DA44,Resultados!DJ44,Resultados!DS44,Resultados!EB44)&lt;=1, "", _xlfn.STDEV.S(ABS(Resultados!F44),ABS(Resultados!O44),ABS(Resultados!X44),ABS(Resultados!AG44),ABS(Resultados!AP44),ABS(Resultados!AY44),ABS(Resultados!BH44),ABS(Resultados!BQ44),ABS(Resultados!BZ44),ABS(Resultados!CI44),ABS(Resultados!CR44),ABS(Resultados!DA44),ABS(Resultados!DJ44),ABS(Resultados!DS44),ABS(Resultados!EB44))/SQRT(COUNT(Resultados!F44,Resultados!O44,Resultados!X44,Resultados!AG44,Resultados!AP44,Resultados!AY44,Resultados!BH44,Resultados!BQ44,Resultados!BZ44,Resultados!CI44,Resultados!CR44,Resultados!DA44,Resultados!DJ44,Resultados!DS44,Resultados!EB44)))</f>
        <v>5.9157111101371127</v>
      </c>
      <c r="G44">
        <f>IF(COUNT(Resultados!G44,Resultados!P44,Resultados!Y44,Resultados!AH44,Resultados!AQ44,Resultados!AZ44,Resultados!BI44,Resultados!BR44,Resultados!CA44,Resultados!CJ44,Resultados!CS44,Resultados!DB44,Resultados!DK44,Resultados!DT44,Resultados!EC44)&lt;=1, "", _xlfn.STDEV.S(ABS(Resultados!G44),ABS(Resultados!P44),ABS(Resultados!Y44),ABS(Resultados!AH44),ABS(Resultados!AQ44),ABS(Resultados!AZ44),ABS(Resultados!BI44),ABS(Resultados!BR44),ABS(Resultados!CA44),ABS(Resultados!CJ44),ABS(Resultados!CS44),ABS(Resultados!DB44),ABS(Resultados!DK44),ABS(Resultados!DT44),ABS(Resultados!EC44))/SQRT(COUNT(Resultados!G44,Resultados!P44,Resultados!Y44,Resultados!AH44,Resultados!AQ44,Resultados!AZ44,Resultados!BI44,Resultados!BR44,Resultados!CA44,Resultados!CJ44,Resultados!CS44,Resultados!DB44,Resultados!DK44,Resultados!DT44,Resultados!EC44)))</f>
        <v>4.4507937654163114E-17</v>
      </c>
      <c r="H44">
        <f>IF(COUNT(Resultados!H44,Resultados!Q44,Resultados!Z44,Resultados!AI44,Resultados!AR44,Resultados!BA44,Resultados!BJ44,Resultados!BS44,Resultados!CB44,Resultados!CK44,Resultados!CT44,Resultados!DC44,Resultados!DL44,Resultados!DU44,Resultados!ED44)&lt;=1, "", _xlfn.STDEV.S(ABS(Resultados!H44),ABS(Resultados!Q44),ABS(Resultados!Z44),ABS(Resultados!AI44),ABS(Resultados!AR44),ABS(Resultados!BA44),ABS(Resultados!BJ44),ABS(Resultados!BS44),ABS(Resultados!CB44),ABS(Resultados!CK44),ABS(Resultados!CT44),ABS(Resultados!DC44),ABS(Resultados!DL44),ABS(Resultados!DU44),ABS(Resultados!ED44))/SQRT(COUNT(Resultados!H44,Resultados!Q44,Resultados!Z44,Resultados!AI44,Resultados!AR44,Resultados!BA44,Resultados!BJ44,Resultados!BS44,Resultados!CB44,Resultados!CK44,Resultados!CT44,Resultados!DC44,Resultados!DL44,Resultados!DU44,Resultados!ED44)))</f>
        <v>1.5264857451541199E-4</v>
      </c>
      <c r="I44">
        <f>IF(COUNT(Resultados!I44,Resultados!R44,Resultados!AA44,Resultados!AJ44,Resultados!AS44,Resultados!BB44,Resultados!BK44,Resultados!BT44,Resultados!CC44,Resultados!CL44,Resultados!CU44,Resultados!DD44,Resultados!DM44,Resultados!DV44,Resultados!EE44)&lt;=1, "", _xlfn.STDEV.S(ABS(Resultados!I44),ABS(Resultados!R44),ABS(Resultados!AA44),ABS(Resultados!AJ44),ABS(Resultados!AS44),ABS(Resultados!BB44),ABS(Resultados!BK44),ABS(Resultados!BT44),ABS(Resultados!CC44),ABS(Resultados!CL44),ABS(Resultados!CU44),ABS(Resultados!DD44),ABS(Resultados!DM44),ABS(Resultados!DV44),ABS(Resultados!EE44))/SQRT(COUNT(Resultados!I44,Resultados!R44,Resultados!AA44,Resultados!AJ44,Resultados!AS44,Resultados!BB44,Resultados!BK44,Resultados!BT44,Resultados!CC44,Resultados!CL44,Resultados!CU44,Resultados!DD44,Resultados!DM44,Resultados!DV44,Resultados!EE44)))</f>
        <v>7.6491879432131961E-4</v>
      </c>
    </row>
    <row r="45" spans="1:9" x14ac:dyDescent="0.3">
      <c r="A45">
        <f>IF(COUNT(Resultados!A45,Resultados!J45,Resultados!S45,Resultados!AB45,Resultados!AK45,Resultados!AT45,Resultados!BC45,Resultados!BL45,Resultados!BU45,Resultados!CD45,Resultados!CM45,Resultados!CV45,Resultados!DE45,Resultados!DN45,Resultados!DW45)&lt;=1, "", _xlfn.STDEV.S(ABS(Resultados!A45),ABS(Resultados!J45),ABS(Resultados!S45),ABS(Resultados!AB45),ABS(Resultados!AK45),ABS(Resultados!AT45),ABS(Resultados!BC45),ABS(Resultados!BL45),ABS(Resultados!BU45),ABS(Resultados!CD45),ABS(Resultados!CM45),ABS(Resultados!CV45),ABS(Resultados!DE45),ABS(Resultados!DN45),ABS(Resultados!DW45))/SQRT(COUNT(Resultados!A45,Resultados!J45,Resultados!S45,Resultados!AB45,Resultados!AK45,Resultados!AT45,Resultados!BC45,Resultados!BL45,Resultados!BU45,Resultados!CD45,Resultados!CM45,Resultados!CV45,Resultados!DE45,Resultados!DN45,Resultados!DW45)))</f>
        <v>0</v>
      </c>
      <c r="B45" t="str">
        <f>IF(COUNT(Resultados!B45,Resultados!K45,Resultados!T45,Resultados!AC45,Resultados!AL45,Resultados!AU45,Resultados!BD45,Resultados!BM45,Resultados!BV45,Resultados!CE45,Resultados!CN45,Resultados!CW45,Resultados!DF45,Resultados!DO45,Resultados!DX45)&lt;=1, "", _xlfn.STDEV.S(ABS(Resultados!B45),ABS(Resultados!K45),ABS(Resultados!T45),ABS(Resultados!AC45),ABS(Resultados!AL45),ABS(Resultados!AU45),ABS(Resultados!BD45),ABS(Resultados!BM45),ABS(Resultados!BV45),ABS(Resultados!CE45),ABS(Resultados!CN45),ABS(Resultados!CW45),ABS(Resultados!DF45),ABS(Resultados!DO45),ABS(Resultados!DX45))/SQRT(COUNT(Resultados!B45,Resultados!K45,Resultados!T45,Resultados!AC45,Resultados!AL45,Resultados!AU45,Resultados!BD45,Resultados!BM45,Resultados!BV45,Resultados!CE45,Resultados!CN45,Resultados!CW45,Resultados!DF45,Resultados!DO45,Resultados!DX45)))</f>
        <v/>
      </c>
      <c r="C45">
        <f>IF(COUNT(Resultados!C45,Resultados!L45,Resultados!U45,Resultados!AD45,Resultados!AM45,Resultados!AV45,Resultados!BE45,Resultados!BN45,Resultados!BW45,Resultados!CF45,Resultados!CO45,Resultados!CX45,Resultados!DG45,Resultados!DP45,Resultados!DY45)&lt;=1, "", _xlfn.STDEV.S(ABS(Resultados!C45),ABS(Resultados!L45),ABS(Resultados!U45),ABS(Resultados!AD45),ABS(Resultados!AM45),ABS(Resultados!AV45),ABS(Resultados!BE45),ABS(Resultados!BN45),ABS(Resultados!BW45),ABS(Resultados!CF45),ABS(Resultados!CO45),ABS(Resultados!CX45),ABS(Resultados!DG45),ABS(Resultados!DP45),ABS(Resultados!DY45))/SQRT(COUNT(Resultados!C45,Resultados!L45,Resultados!U45,Resultados!AD45,Resultados!AM45,Resultados!AV45,Resultados!BE45,Resultados!BN45,Resultados!BW45,Resultados!CF45,Resultados!CO45,Resultados!CX45,Resultados!DG45,Resultados!DP45,Resultados!DY45)))</f>
        <v>0.46802523334497581</v>
      </c>
      <c r="D45">
        <f>IF(COUNT(Resultados!D45,Resultados!M45,Resultados!V45,Resultados!AE45,Resultados!AN45,Resultados!AW45,Resultados!BF45,Resultados!BO45,Resultados!BX45,Resultados!CG45,Resultados!CP45,Resultados!CY45,Resultados!DH45,Resultados!DQ45,Resultados!DZ45)&lt;=1, "", _xlfn.STDEV.S(ABS(Resultados!D45),ABS(Resultados!M45),ABS(Resultados!V45),ABS(Resultados!AE45),ABS(Resultados!AN45),ABS(Resultados!AW45),ABS(Resultados!BF45),ABS(Resultados!BO45),ABS(Resultados!BX45),ABS(Resultados!CG45),ABS(Resultados!CP45),ABS(Resultados!CY45),ABS(Resultados!DH45),ABS(Resultados!DQ45),ABS(Resultados!DZ45))/SQRT(COUNT(Resultados!D45,Resultados!M45,Resultados!V45,Resultados!AE45,Resultados!AN45,Resultados!AW45,Resultados!BF45,Resultados!BO45,Resultados!BX45,Resultados!CG45,Resultados!CP45,Resultados!CY45,Resultados!DH45,Resultados!DQ45,Resultados!DZ45)))</f>
        <v>2.483596981849907E-4</v>
      </c>
      <c r="E45">
        <f>IF(COUNT(Resultados!E45,Resultados!N45,Resultados!W45,Resultados!AF45,Resultados!AO45,Resultados!AX45,Resultados!BG45,Resultados!BP45,Resultados!BY45,Resultados!CH45,Resultados!CQ45,Resultados!CZ45,Resultados!DI45,Resultados!DR45,Resultados!EA45)&lt;=1, "", _xlfn.STDEV.S(ABS(Resultados!E45),ABS(Resultados!N45),ABS(Resultados!W45),ABS(Resultados!AF45),ABS(Resultados!AO45),ABS(Resultados!AX45),ABS(Resultados!BG45),ABS(Resultados!BP45),ABS(Resultados!BY45),ABS(Resultados!CH45),ABS(Resultados!CQ45),ABS(Resultados!CZ45),ABS(Resultados!DI45),ABS(Resultados!DR45),ABS(Resultados!EA45))/SQRT(COUNT(Resultados!E45,Resultados!N45,Resultados!W45,Resultados!AF45,Resultados!AO45,Resultados!AX45,Resultados!BG45,Resultados!BP45,Resultados!BY45,Resultados!CH45,Resultados!CQ45,Resultados!CZ45,Resultados!DI45,Resultados!DR45,Resultados!EA45)))</f>
        <v>1.0076750984660311E-2</v>
      </c>
      <c r="F45">
        <f>IF(COUNT(Resultados!F45,Resultados!O45,Resultados!X45,Resultados!AG45,Resultados!AP45,Resultados!AY45,Resultados!BH45,Resultados!BQ45,Resultados!BZ45,Resultados!CI45,Resultados!CR45,Resultados!DA45,Resultados!DJ45,Resultados!DS45,Resultados!EB45)&lt;=1, "", _xlfn.STDEV.S(ABS(Resultados!F45),ABS(Resultados!O45),ABS(Resultados!X45),ABS(Resultados!AG45),ABS(Resultados!AP45),ABS(Resultados!AY45),ABS(Resultados!BH45),ABS(Resultados!BQ45),ABS(Resultados!BZ45),ABS(Resultados!CI45),ABS(Resultados!CR45),ABS(Resultados!DA45),ABS(Resultados!DJ45),ABS(Resultados!DS45),ABS(Resultados!EB45))/SQRT(COUNT(Resultados!F45,Resultados!O45,Resultados!X45,Resultados!AG45,Resultados!AP45,Resultados!AY45,Resultados!BH45,Resultados!BQ45,Resultados!BZ45,Resultados!CI45,Resultados!CR45,Resultados!DA45,Resultados!DJ45,Resultados!DS45,Resultados!EB45)))</f>
        <v>7.7829639909128492</v>
      </c>
      <c r="G45">
        <f>IF(COUNT(Resultados!G45,Resultados!P45,Resultados!Y45,Resultados!AH45,Resultados!AQ45,Resultados!AZ45,Resultados!BI45,Resultados!BR45,Resultados!CA45,Resultados!CJ45,Resultados!CS45,Resultados!DB45,Resultados!DK45,Resultados!DT45,Resultados!EC45)&lt;=1, "", _xlfn.STDEV.S(ABS(Resultados!G45),ABS(Resultados!P45),ABS(Resultados!Y45),ABS(Resultados!AH45),ABS(Resultados!AQ45),ABS(Resultados!AZ45),ABS(Resultados!BI45),ABS(Resultados!BR45),ABS(Resultados!CA45),ABS(Resultados!CJ45),ABS(Resultados!CS45),ABS(Resultados!DB45),ABS(Resultados!DK45),ABS(Resultados!DT45),ABS(Resultados!EC45))/SQRT(COUNT(Resultados!G45,Resultados!P45,Resultados!Y45,Resultados!AH45,Resultados!AQ45,Resultados!AZ45,Resultados!BI45,Resultados!BR45,Resultados!CA45,Resultados!CJ45,Resultados!CS45,Resultados!DB45,Resultados!DK45,Resultados!DT45,Resultados!EC45)))</f>
        <v>4.4507937654163114E-17</v>
      </c>
      <c r="H45">
        <f>IF(COUNT(Resultados!H45,Resultados!Q45,Resultados!Z45,Resultados!AI45,Resultados!AR45,Resultados!BA45,Resultados!BJ45,Resultados!BS45,Resultados!CB45,Resultados!CK45,Resultados!CT45,Resultados!DC45,Resultados!DL45,Resultados!DU45,Resultados!ED45)&lt;=1, "", _xlfn.STDEV.S(ABS(Resultados!H45),ABS(Resultados!Q45),ABS(Resultados!Z45),ABS(Resultados!AI45),ABS(Resultados!AR45),ABS(Resultados!BA45),ABS(Resultados!BJ45),ABS(Resultados!BS45),ABS(Resultados!CB45),ABS(Resultados!CK45),ABS(Resultados!CT45),ABS(Resultados!DC45),ABS(Resultados!DL45),ABS(Resultados!DU45),ABS(Resultados!ED45))/SQRT(COUNT(Resultados!H45,Resultados!Q45,Resultados!Z45,Resultados!AI45,Resultados!AR45,Resultados!BA45,Resultados!BJ45,Resultados!BS45,Resultados!CB45,Resultados!CK45,Resultados!CT45,Resultados!DC45,Resultados!DL45,Resultados!DU45,Resultados!ED45)))</f>
        <v>1.5620499351813312E-4</v>
      </c>
      <c r="I45">
        <f>IF(COUNT(Resultados!I45,Resultados!R45,Resultados!AA45,Resultados!AJ45,Resultados!AS45,Resultados!BB45,Resultados!BK45,Resultados!BT45,Resultados!CC45,Resultados!CL45,Resultados!CU45,Resultados!DD45,Resultados!DM45,Resultados!DV45,Resultados!EE45)&lt;=1, "", _xlfn.STDEV.S(ABS(Resultados!I45),ABS(Resultados!R45),ABS(Resultados!AA45),ABS(Resultados!AJ45),ABS(Resultados!AS45),ABS(Resultados!BB45),ABS(Resultados!BK45),ABS(Resultados!BT45),ABS(Resultados!CC45),ABS(Resultados!CL45),ABS(Resultados!CU45),ABS(Resultados!DD45),ABS(Resultados!DM45),ABS(Resultados!DV45),ABS(Resultados!EE45))/SQRT(COUNT(Resultados!I45,Resultados!R45,Resultados!AA45,Resultados!AJ45,Resultados!AS45,Resultados!BB45,Resultados!BK45,Resultados!BT45,Resultados!CC45,Resultados!CL45,Resultados!CU45,Resultados!DD45,Resultados!DM45,Resultados!DV45,Resultados!EE45)))</f>
        <v>6.8292959036551112E-4</v>
      </c>
    </row>
    <row r="46" spans="1:9" x14ac:dyDescent="0.3">
      <c r="A46">
        <f>IF(COUNT(Resultados!A46,Resultados!J46,Resultados!S46,Resultados!AB46,Resultados!AK46,Resultados!AT46,Resultados!BC46,Resultados!BL46,Resultados!BU46,Resultados!CD46,Resultados!CM46,Resultados!CV46,Resultados!DE46,Resultados!DN46,Resultados!DW46)&lt;=1, "", _xlfn.STDEV.S(ABS(Resultados!A46),ABS(Resultados!J46),ABS(Resultados!S46),ABS(Resultados!AB46),ABS(Resultados!AK46),ABS(Resultados!AT46),ABS(Resultados!BC46),ABS(Resultados!BL46),ABS(Resultados!BU46),ABS(Resultados!CD46),ABS(Resultados!CM46),ABS(Resultados!CV46),ABS(Resultados!DE46),ABS(Resultados!DN46),ABS(Resultados!DW46))/SQRT(COUNT(Resultados!A46,Resultados!J46,Resultados!S46,Resultados!AB46,Resultados!AK46,Resultados!AT46,Resultados!BC46,Resultados!BL46,Resultados!BU46,Resultados!CD46,Resultados!CM46,Resultados!CV46,Resultados!DE46,Resultados!DN46,Resultados!DW46)))</f>
        <v>0</v>
      </c>
      <c r="B46" t="str">
        <f>IF(COUNT(Resultados!B46,Resultados!K46,Resultados!T46,Resultados!AC46,Resultados!AL46,Resultados!AU46,Resultados!BD46,Resultados!BM46,Resultados!BV46,Resultados!CE46,Resultados!CN46,Resultados!CW46,Resultados!DF46,Resultados!DO46,Resultados!DX46)&lt;=1, "", _xlfn.STDEV.S(ABS(Resultados!B46),ABS(Resultados!K46),ABS(Resultados!T46),ABS(Resultados!AC46),ABS(Resultados!AL46),ABS(Resultados!AU46),ABS(Resultados!BD46),ABS(Resultados!BM46),ABS(Resultados!BV46),ABS(Resultados!CE46),ABS(Resultados!CN46),ABS(Resultados!CW46),ABS(Resultados!DF46),ABS(Resultados!DO46),ABS(Resultados!DX46))/SQRT(COUNT(Resultados!B46,Resultados!K46,Resultados!T46,Resultados!AC46,Resultados!AL46,Resultados!AU46,Resultados!BD46,Resultados!BM46,Resultados!BV46,Resultados!CE46,Resultados!CN46,Resultados!CW46,Resultados!DF46,Resultados!DO46,Resultados!DX46)))</f>
        <v/>
      </c>
      <c r="C46">
        <f>IF(COUNT(Resultados!C46,Resultados!L46,Resultados!U46,Resultados!AD46,Resultados!AM46,Resultados!AV46,Resultados!BE46,Resultados!BN46,Resultados!BW46,Resultados!CF46,Resultados!CO46,Resultados!CX46,Resultados!DG46,Resultados!DP46,Resultados!DY46)&lt;=1, "", _xlfn.STDEV.S(ABS(Resultados!C46),ABS(Resultados!L46),ABS(Resultados!U46),ABS(Resultados!AD46),ABS(Resultados!AM46),ABS(Resultados!AV46),ABS(Resultados!BE46),ABS(Resultados!BN46),ABS(Resultados!BW46),ABS(Resultados!CF46),ABS(Resultados!CO46),ABS(Resultados!CX46),ABS(Resultados!DG46),ABS(Resultados!DP46),ABS(Resultados!DY46))/SQRT(COUNT(Resultados!C46,Resultados!L46,Resultados!U46,Resultados!AD46,Resultados!AM46,Resultados!AV46,Resultados!BE46,Resultados!BN46,Resultados!BW46,Resultados!CF46,Resultados!CO46,Resultados!CX46,Resultados!DG46,Resultados!DP46,Resultados!DY46)))</f>
        <v>0.46802523334497581</v>
      </c>
      <c r="D46">
        <f>IF(COUNT(Resultados!D46,Resultados!M46,Resultados!V46,Resultados!AE46,Resultados!AN46,Resultados!AW46,Resultados!BF46,Resultados!BO46,Resultados!BX46,Resultados!CG46,Resultados!CP46,Resultados!CY46,Resultados!DH46,Resultados!DQ46,Resultados!DZ46)&lt;=1, "", _xlfn.STDEV.S(ABS(Resultados!D46),ABS(Resultados!M46),ABS(Resultados!V46),ABS(Resultados!AE46),ABS(Resultados!AN46),ABS(Resultados!AW46),ABS(Resultados!BF46),ABS(Resultados!BO46),ABS(Resultados!BX46),ABS(Resultados!CG46),ABS(Resultados!CP46),ABS(Resultados!CY46),ABS(Resultados!DH46),ABS(Resultados!DQ46),ABS(Resultados!DZ46))/SQRT(COUNT(Resultados!D46,Resultados!M46,Resultados!V46,Resultados!AE46,Resultados!AN46,Resultados!AW46,Resultados!BF46,Resultados!BO46,Resultados!BX46,Resultados!CG46,Resultados!CP46,Resultados!CY46,Resultados!DH46,Resultados!DQ46,Resultados!DZ46)))</f>
        <v>1.1288426437221951E-4</v>
      </c>
      <c r="E46">
        <f>IF(COUNT(Resultados!E46,Resultados!N46,Resultados!W46,Resultados!AF46,Resultados!AO46,Resultados!AX46,Resultados!BG46,Resultados!BP46,Resultados!BY46,Resultados!CH46,Resultados!CQ46,Resultados!CZ46,Resultados!DI46,Resultados!DR46,Resultados!EA46)&lt;=1, "", _xlfn.STDEV.S(ABS(Resultados!E46),ABS(Resultados!N46),ABS(Resultados!W46),ABS(Resultados!AF46),ABS(Resultados!AO46),ABS(Resultados!AX46),ABS(Resultados!BG46),ABS(Resultados!BP46),ABS(Resultados!BY46),ABS(Resultados!CH46),ABS(Resultados!CQ46),ABS(Resultados!CZ46),ABS(Resultados!DI46),ABS(Resultados!DR46),ABS(Resultados!EA46))/SQRT(COUNT(Resultados!E46,Resultados!N46,Resultados!W46,Resultados!AF46,Resultados!AO46,Resultados!AX46,Resultados!BG46,Resultados!BP46,Resultados!BY46,Resultados!CH46,Resultados!CQ46,Resultados!CZ46,Resultados!DI46,Resultados!DR46,Resultados!EA46)))</f>
        <v>2.9048661889806371E-2</v>
      </c>
      <c r="F46">
        <f>IF(COUNT(Resultados!F46,Resultados!O46,Resultados!X46,Resultados!AG46,Resultados!AP46,Resultados!AY46,Resultados!BH46,Resultados!BQ46,Resultados!BZ46,Resultados!CI46,Resultados!CR46,Resultados!DA46,Resultados!DJ46,Resultados!DS46,Resultados!EB46)&lt;=1, "", _xlfn.STDEV.S(ABS(Resultados!F46),ABS(Resultados!O46),ABS(Resultados!X46),ABS(Resultados!AG46),ABS(Resultados!AP46),ABS(Resultados!AY46),ABS(Resultados!BH46),ABS(Resultados!BQ46),ABS(Resultados!BZ46),ABS(Resultados!CI46),ABS(Resultados!CR46),ABS(Resultados!DA46),ABS(Resultados!DJ46),ABS(Resultados!DS46),ABS(Resultados!EB46))/SQRT(COUNT(Resultados!F46,Resultados!O46,Resultados!X46,Resultados!AG46,Resultados!AP46,Resultados!AY46,Resultados!BH46,Resultados!BQ46,Resultados!BZ46,Resultados!CI46,Resultados!CR46,Resultados!DA46,Resultados!DJ46,Resultados!DS46,Resultados!EB46)))</f>
        <v>9.5729479323265245</v>
      </c>
      <c r="G46">
        <f>IF(COUNT(Resultados!G46,Resultados!P46,Resultados!Y46,Resultados!AH46,Resultados!AQ46,Resultados!AZ46,Resultados!BI46,Resultados!BR46,Resultados!CA46,Resultados!CJ46,Resultados!CS46,Resultados!DB46,Resultados!DK46,Resultados!DT46,Resultados!EC46)&lt;=1, "", _xlfn.STDEV.S(ABS(Resultados!G46),ABS(Resultados!P46),ABS(Resultados!Y46),ABS(Resultados!AH46),ABS(Resultados!AQ46),ABS(Resultados!AZ46),ABS(Resultados!BI46),ABS(Resultados!BR46),ABS(Resultados!CA46),ABS(Resultados!CJ46),ABS(Resultados!CS46),ABS(Resultados!DB46),ABS(Resultados!DK46),ABS(Resultados!DT46),ABS(Resultados!EC46))/SQRT(COUNT(Resultados!G46,Resultados!P46,Resultados!Y46,Resultados!AH46,Resultados!AQ46,Resultados!AZ46,Resultados!BI46,Resultados!BR46,Resultados!CA46,Resultados!CJ46,Resultados!CS46,Resultados!DB46,Resultados!DK46,Resultados!DT46,Resultados!EC46)))</f>
        <v>4.4507937654163114E-17</v>
      </c>
      <c r="H46">
        <f>IF(COUNT(Resultados!H46,Resultados!Q46,Resultados!Z46,Resultados!AI46,Resultados!AR46,Resultados!BA46,Resultados!BJ46,Resultados!BS46,Resultados!CB46,Resultados!CK46,Resultados!CT46,Resultados!DC46,Resultados!DL46,Resultados!DU46,Resultados!ED46)&lt;=1, "", _xlfn.STDEV.S(ABS(Resultados!H46),ABS(Resultados!Q46),ABS(Resultados!Z46),ABS(Resultados!AI46),ABS(Resultados!AR46),ABS(Resultados!BA46),ABS(Resultados!BJ46),ABS(Resultados!BS46),ABS(Resultados!CB46),ABS(Resultados!CK46),ABS(Resultados!CT46),ABS(Resultados!DC46),ABS(Resultados!DL46),ABS(Resultados!DU46),ABS(Resultados!ED46))/SQRT(COUNT(Resultados!H46,Resultados!Q46,Resultados!Z46,Resultados!AI46,Resultados!AR46,Resultados!BA46,Resultados!BJ46,Resultados!BS46,Resultados!CB46,Resultados!CK46,Resultados!CT46,Resultados!DC46,Resultados!DL46,Resultados!DU46,Resultados!ED46)))</f>
        <v>4.5257639888243939E-4</v>
      </c>
      <c r="I46">
        <f>IF(COUNT(Resultados!I46,Resultados!R46,Resultados!AA46,Resultados!AJ46,Resultados!AS46,Resultados!BB46,Resultados!BK46,Resultados!BT46,Resultados!CC46,Resultados!CL46,Resultados!CU46,Resultados!DD46,Resultados!DM46,Resultados!DV46,Resultados!EE46)&lt;=1, "", _xlfn.STDEV.S(ABS(Resultados!I46),ABS(Resultados!R46),ABS(Resultados!AA46),ABS(Resultados!AJ46),ABS(Resultados!AS46),ABS(Resultados!BB46),ABS(Resultados!BK46),ABS(Resultados!BT46),ABS(Resultados!CC46),ABS(Resultados!CL46),ABS(Resultados!CU46),ABS(Resultados!DD46),ABS(Resultados!DM46),ABS(Resultados!DV46),ABS(Resultados!EE46))/SQRT(COUNT(Resultados!I46,Resultados!R46,Resultados!AA46,Resultados!AJ46,Resultados!AS46,Resultados!BB46,Resultados!BK46,Resultados!BT46,Resultados!CC46,Resultados!CL46,Resultados!CU46,Resultados!DD46,Resultados!DM46,Resultados!DV46,Resultados!EE46)))</f>
        <v>7.2525822440339062E-4</v>
      </c>
    </row>
    <row r="47" spans="1:9" x14ac:dyDescent="0.3">
      <c r="A47">
        <f>IF(COUNT(Resultados!A47,Resultados!J47,Resultados!S47,Resultados!AB47,Resultados!AK47,Resultados!AT47,Resultados!BC47,Resultados!BL47,Resultados!BU47,Resultados!CD47,Resultados!CM47,Resultados!CV47,Resultados!DE47,Resultados!DN47,Resultados!DW47)&lt;=1, "", _xlfn.STDEV.S(ABS(Resultados!A47),ABS(Resultados!J47),ABS(Resultados!S47),ABS(Resultados!AB47),ABS(Resultados!AK47),ABS(Resultados!AT47),ABS(Resultados!BC47),ABS(Resultados!BL47),ABS(Resultados!BU47),ABS(Resultados!CD47),ABS(Resultados!CM47),ABS(Resultados!CV47),ABS(Resultados!DE47),ABS(Resultados!DN47),ABS(Resultados!DW47))/SQRT(COUNT(Resultados!A47,Resultados!J47,Resultados!S47,Resultados!AB47,Resultados!AK47,Resultados!AT47,Resultados!BC47,Resultados!BL47,Resultados!BU47,Resultados!CD47,Resultados!CM47,Resultados!CV47,Resultados!DE47,Resultados!DN47,Resultados!DW47)))</f>
        <v>0</v>
      </c>
      <c r="B47" t="str">
        <f>IF(COUNT(Resultados!B47,Resultados!K47,Resultados!T47,Resultados!AC47,Resultados!AL47,Resultados!AU47,Resultados!BD47,Resultados!BM47,Resultados!BV47,Resultados!CE47,Resultados!CN47,Resultados!CW47,Resultados!DF47,Resultados!DO47,Resultados!DX47)&lt;=1, "", _xlfn.STDEV.S(ABS(Resultados!B47),ABS(Resultados!K47),ABS(Resultados!T47),ABS(Resultados!AC47),ABS(Resultados!AL47),ABS(Resultados!AU47),ABS(Resultados!BD47),ABS(Resultados!BM47),ABS(Resultados!BV47),ABS(Resultados!CE47),ABS(Resultados!CN47),ABS(Resultados!CW47),ABS(Resultados!DF47),ABS(Resultados!DO47),ABS(Resultados!DX47))/SQRT(COUNT(Resultados!B47,Resultados!K47,Resultados!T47,Resultados!AC47,Resultados!AL47,Resultados!AU47,Resultados!BD47,Resultados!BM47,Resultados!BV47,Resultados!CE47,Resultados!CN47,Resultados!CW47,Resultados!DF47,Resultados!DO47,Resultados!DX47)))</f>
        <v/>
      </c>
      <c r="C47">
        <f>IF(COUNT(Resultados!C47,Resultados!L47,Resultados!U47,Resultados!AD47,Resultados!AM47,Resultados!AV47,Resultados!BE47,Resultados!BN47,Resultados!BW47,Resultados!CF47,Resultados!CO47,Resultados!CX47,Resultados!DG47,Resultados!DP47,Resultados!DY47)&lt;=1, "", _xlfn.STDEV.S(ABS(Resultados!C47),ABS(Resultados!L47),ABS(Resultados!U47),ABS(Resultados!AD47),ABS(Resultados!AM47),ABS(Resultados!AV47),ABS(Resultados!BE47),ABS(Resultados!BN47),ABS(Resultados!BW47),ABS(Resultados!CF47),ABS(Resultados!CO47),ABS(Resultados!CX47),ABS(Resultados!DG47),ABS(Resultados!DP47),ABS(Resultados!DY47))/SQRT(COUNT(Resultados!C47,Resultados!L47,Resultados!U47,Resultados!AD47,Resultados!AM47,Resultados!AV47,Resultados!BE47,Resultados!BN47,Resultados!BW47,Resultados!CF47,Resultados!CO47,Resultados!CX47,Resultados!DG47,Resultados!DP47,Resultados!DY47)))</f>
        <v>0.46802523334497581</v>
      </c>
      <c r="D47">
        <f>IF(COUNT(Resultados!D47,Resultados!M47,Resultados!V47,Resultados!AE47,Resultados!AN47,Resultados!AW47,Resultados!BF47,Resultados!BO47,Resultados!BX47,Resultados!CG47,Resultados!CP47,Resultados!CY47,Resultados!DH47,Resultados!DQ47,Resultados!DZ47)&lt;=1, "", _xlfn.STDEV.S(ABS(Resultados!D47),ABS(Resultados!M47),ABS(Resultados!V47),ABS(Resultados!AE47),ABS(Resultados!AN47),ABS(Resultados!AW47),ABS(Resultados!BF47),ABS(Resultados!BO47),ABS(Resultados!BX47),ABS(Resultados!CG47),ABS(Resultados!CP47),ABS(Resultados!CY47),ABS(Resultados!DH47),ABS(Resultados!DQ47),ABS(Resultados!DZ47))/SQRT(COUNT(Resultados!D47,Resultados!M47,Resultados!V47,Resultados!AE47,Resultados!AN47,Resultados!AW47,Resultados!BF47,Resultados!BO47,Resultados!BX47,Resultados!CG47,Resultados!CP47,Resultados!CY47,Resultados!DH47,Resultados!DQ47,Resultados!DZ47)))</f>
        <v>3.4794635601866368E-4</v>
      </c>
      <c r="E47">
        <f>IF(COUNT(Resultados!E47,Resultados!N47,Resultados!W47,Resultados!AF47,Resultados!AO47,Resultados!AX47,Resultados!BG47,Resultados!BP47,Resultados!BY47,Resultados!CH47,Resultados!CQ47,Resultados!CZ47,Resultados!DI47,Resultados!DR47,Resultados!EA47)&lt;=1, "", _xlfn.STDEV.S(ABS(Resultados!E47),ABS(Resultados!N47),ABS(Resultados!W47),ABS(Resultados!AF47),ABS(Resultados!AO47),ABS(Resultados!AX47),ABS(Resultados!BG47),ABS(Resultados!BP47),ABS(Resultados!BY47),ABS(Resultados!CH47),ABS(Resultados!CQ47),ABS(Resultados!CZ47),ABS(Resultados!DI47),ABS(Resultados!DR47),ABS(Resultados!EA47))/SQRT(COUNT(Resultados!E47,Resultados!N47,Resultados!W47,Resultados!AF47,Resultados!AO47,Resultados!AX47,Resultados!BG47,Resultados!BP47,Resultados!BY47,Resultados!CH47,Resultados!CQ47,Resultados!CZ47,Resultados!DI47,Resultados!DR47,Resultados!EA47)))</f>
        <v>4.51508991427318E-2</v>
      </c>
      <c r="F47">
        <f>IF(COUNT(Resultados!F47,Resultados!O47,Resultados!X47,Resultados!AG47,Resultados!AP47,Resultados!AY47,Resultados!BH47,Resultados!BQ47,Resultados!BZ47,Resultados!CI47,Resultados!CR47,Resultados!DA47,Resultados!DJ47,Resultados!DS47,Resultados!EB47)&lt;=1, "", _xlfn.STDEV.S(ABS(Resultados!F47),ABS(Resultados!O47),ABS(Resultados!X47),ABS(Resultados!AG47),ABS(Resultados!AP47),ABS(Resultados!AY47),ABS(Resultados!BH47),ABS(Resultados!BQ47),ABS(Resultados!BZ47),ABS(Resultados!CI47),ABS(Resultados!CR47),ABS(Resultados!DA47),ABS(Resultados!DJ47),ABS(Resultados!DS47),ABS(Resultados!EB47))/SQRT(COUNT(Resultados!F47,Resultados!O47,Resultados!X47,Resultados!AG47,Resultados!AP47,Resultados!AY47,Resultados!BH47,Resultados!BQ47,Resultados!BZ47,Resultados!CI47,Resultados!CR47,Resultados!DA47,Resultados!DJ47,Resultados!DS47,Resultados!EB47)))</f>
        <v>11.097515891465662</v>
      </c>
      <c r="G47">
        <f>IF(COUNT(Resultados!G47,Resultados!P47,Resultados!Y47,Resultados!AH47,Resultados!AQ47,Resultados!AZ47,Resultados!BI47,Resultados!BR47,Resultados!CA47,Resultados!CJ47,Resultados!CS47,Resultados!DB47,Resultados!DK47,Resultados!DT47,Resultados!EC47)&lt;=1, "", _xlfn.STDEV.S(ABS(Resultados!G47),ABS(Resultados!P47),ABS(Resultados!Y47),ABS(Resultados!AH47),ABS(Resultados!AQ47),ABS(Resultados!AZ47),ABS(Resultados!BI47),ABS(Resultados!BR47),ABS(Resultados!CA47),ABS(Resultados!CJ47),ABS(Resultados!CS47),ABS(Resultados!DB47),ABS(Resultados!DK47),ABS(Resultados!DT47),ABS(Resultados!EC47))/SQRT(COUNT(Resultados!G47,Resultados!P47,Resultados!Y47,Resultados!AH47,Resultados!AQ47,Resultados!AZ47,Resultados!BI47,Resultados!BR47,Resultados!CA47,Resultados!CJ47,Resultados!CS47,Resultados!DB47,Resultados!DK47,Resultados!DT47,Resultados!EC47)))</f>
        <v>4.4507937654163114E-17</v>
      </c>
      <c r="H47">
        <f>IF(COUNT(Resultados!H47,Resultados!Q47,Resultados!Z47,Resultados!AI47,Resultados!AR47,Resultados!BA47,Resultados!BJ47,Resultados!BS47,Resultados!CB47,Resultados!CK47,Resultados!CT47,Resultados!DC47,Resultados!DL47,Resultados!DU47,Resultados!ED47)&lt;=1, "", _xlfn.STDEV.S(ABS(Resultados!H47),ABS(Resultados!Q47),ABS(Resultados!Z47),ABS(Resultados!AI47),ABS(Resultados!AR47),ABS(Resultados!BA47),ABS(Resultados!BJ47),ABS(Resultados!BS47),ABS(Resultados!CB47),ABS(Resultados!CK47),ABS(Resultados!CT47),ABS(Resultados!DC47),ABS(Resultados!DL47),ABS(Resultados!DU47),ABS(Resultados!ED47))/SQRT(COUNT(Resultados!H47,Resultados!Q47,Resultados!Z47,Resultados!AI47,Resultados!AR47,Resultados!BA47,Resultados!BJ47,Resultados!BS47,Resultados!CB47,Resultados!CK47,Resultados!CT47,Resultados!DC47,Resultados!DL47,Resultados!DU47,Resultados!ED47)))</f>
        <v>7.0101060834760044E-4</v>
      </c>
      <c r="I47">
        <f>IF(COUNT(Resultados!I47,Resultados!R47,Resultados!AA47,Resultados!AJ47,Resultados!AS47,Resultados!BB47,Resultados!BK47,Resultados!BT47,Resultados!CC47,Resultados!CL47,Resultados!CU47,Resultados!DD47,Resultados!DM47,Resultados!DV47,Resultados!EE47)&lt;=1, "", _xlfn.STDEV.S(ABS(Resultados!I47),ABS(Resultados!R47),ABS(Resultados!AA47),ABS(Resultados!AJ47),ABS(Resultados!AS47),ABS(Resultados!BB47),ABS(Resultados!BK47),ABS(Resultados!BT47),ABS(Resultados!CC47),ABS(Resultados!CL47),ABS(Resultados!CU47),ABS(Resultados!DD47),ABS(Resultados!DM47),ABS(Resultados!DV47),ABS(Resultados!EE47))/SQRT(COUNT(Resultados!I47,Resultados!R47,Resultados!AA47,Resultados!AJ47,Resultados!AS47,Resultados!BB47,Resultados!BK47,Resultados!BT47,Resultados!CC47,Resultados!CL47,Resultados!CU47,Resultados!DD47,Resultados!DM47,Resultados!DV47,Resultados!EE47)))</f>
        <v>8.6668014641599423E-4</v>
      </c>
    </row>
    <row r="48" spans="1:9" x14ac:dyDescent="0.3">
      <c r="A48">
        <f>IF(COUNT(Resultados!A48,Resultados!J48,Resultados!S48,Resultados!AB48,Resultados!AK48,Resultados!AT48,Resultados!BC48,Resultados!BL48,Resultados!BU48,Resultados!CD48,Resultados!CM48,Resultados!CV48,Resultados!DE48,Resultados!DN48,Resultados!DW48)&lt;=1, "", _xlfn.STDEV.S(ABS(Resultados!A48),ABS(Resultados!J48),ABS(Resultados!S48),ABS(Resultados!AB48),ABS(Resultados!AK48),ABS(Resultados!AT48),ABS(Resultados!BC48),ABS(Resultados!BL48),ABS(Resultados!BU48),ABS(Resultados!CD48),ABS(Resultados!CM48),ABS(Resultados!CV48),ABS(Resultados!DE48),ABS(Resultados!DN48),ABS(Resultados!DW48))/SQRT(COUNT(Resultados!A48,Resultados!J48,Resultados!S48,Resultados!AB48,Resultados!AK48,Resultados!AT48,Resultados!BC48,Resultados!BL48,Resultados!BU48,Resultados!CD48,Resultados!CM48,Resultados!CV48,Resultados!DE48,Resultados!DN48,Resultados!DW48)))</f>
        <v>0</v>
      </c>
      <c r="B48" t="str">
        <f>IF(COUNT(Resultados!B48,Resultados!K48,Resultados!T48,Resultados!AC48,Resultados!AL48,Resultados!AU48,Resultados!BD48,Resultados!BM48,Resultados!BV48,Resultados!CE48,Resultados!CN48,Resultados!CW48,Resultados!DF48,Resultados!DO48,Resultados!DX48)&lt;=1, "", _xlfn.STDEV.S(ABS(Resultados!B48),ABS(Resultados!K48),ABS(Resultados!T48),ABS(Resultados!AC48),ABS(Resultados!AL48),ABS(Resultados!AU48),ABS(Resultados!BD48),ABS(Resultados!BM48),ABS(Resultados!BV48),ABS(Resultados!CE48),ABS(Resultados!CN48),ABS(Resultados!CW48),ABS(Resultados!DF48),ABS(Resultados!DO48),ABS(Resultados!DX48))/SQRT(COUNT(Resultados!B48,Resultados!K48,Resultados!T48,Resultados!AC48,Resultados!AL48,Resultados!AU48,Resultados!BD48,Resultados!BM48,Resultados!BV48,Resultados!CE48,Resultados!CN48,Resultados!CW48,Resultados!DF48,Resultados!DO48,Resultados!DX48)))</f>
        <v/>
      </c>
      <c r="C48">
        <f>IF(COUNT(Resultados!C48,Resultados!L48,Resultados!U48,Resultados!AD48,Resultados!AM48,Resultados!AV48,Resultados!BE48,Resultados!BN48,Resultados!BW48,Resultados!CF48,Resultados!CO48,Resultados!CX48,Resultados!DG48,Resultados!DP48,Resultados!DY48)&lt;=1, "", _xlfn.STDEV.S(ABS(Resultados!C48),ABS(Resultados!L48),ABS(Resultados!U48),ABS(Resultados!AD48),ABS(Resultados!AM48),ABS(Resultados!AV48),ABS(Resultados!BE48),ABS(Resultados!BN48),ABS(Resultados!BW48),ABS(Resultados!CF48),ABS(Resultados!CO48),ABS(Resultados!CX48),ABS(Resultados!DG48),ABS(Resultados!DP48),ABS(Resultados!DY48))/SQRT(COUNT(Resultados!C48,Resultados!L48,Resultados!U48,Resultados!AD48,Resultados!AM48,Resultados!AV48,Resultados!BE48,Resultados!BN48,Resultados!BW48,Resultados!CF48,Resultados!CO48,Resultados!CX48,Resultados!DG48,Resultados!DP48,Resultados!DY48)))</f>
        <v>0.46802523334497581</v>
      </c>
      <c r="D48">
        <f>IF(COUNT(Resultados!D48,Resultados!M48,Resultados!V48,Resultados!AE48,Resultados!AN48,Resultados!AW48,Resultados!BF48,Resultados!BO48,Resultados!BX48,Resultados!CG48,Resultados!CP48,Resultados!CY48,Resultados!DH48,Resultados!DQ48,Resultados!DZ48)&lt;=1, "", _xlfn.STDEV.S(ABS(Resultados!D48),ABS(Resultados!M48),ABS(Resultados!V48),ABS(Resultados!AE48),ABS(Resultados!AN48),ABS(Resultados!AW48),ABS(Resultados!BF48),ABS(Resultados!BO48),ABS(Resultados!BX48),ABS(Resultados!CG48),ABS(Resultados!CP48),ABS(Resultados!CY48),ABS(Resultados!DH48),ABS(Resultados!DQ48),ABS(Resultados!DZ48))/SQRT(COUNT(Resultados!D48,Resultados!M48,Resultados!V48,Resultados!AE48,Resultados!AN48,Resultados!AW48,Resultados!BF48,Resultados!BO48,Resultados!BX48,Resultados!CG48,Resultados!CP48,Resultados!CY48,Resultados!DH48,Resultados!DQ48,Resultados!DZ48)))</f>
        <v>5.7763612427157965E-4</v>
      </c>
      <c r="E48">
        <f>IF(COUNT(Resultados!E48,Resultados!N48,Resultados!W48,Resultados!AF48,Resultados!AO48,Resultados!AX48,Resultados!BG48,Resultados!BP48,Resultados!BY48,Resultados!CH48,Resultados!CQ48,Resultados!CZ48,Resultados!DI48,Resultados!DR48,Resultados!EA48)&lt;=1, "", _xlfn.STDEV.S(ABS(Resultados!E48),ABS(Resultados!N48),ABS(Resultados!W48),ABS(Resultados!AF48),ABS(Resultados!AO48),ABS(Resultados!AX48),ABS(Resultados!BG48),ABS(Resultados!BP48),ABS(Resultados!BY48),ABS(Resultados!CH48),ABS(Resultados!CQ48),ABS(Resultados!CZ48),ABS(Resultados!DI48),ABS(Resultados!DR48),ABS(Resultados!EA48))/SQRT(COUNT(Resultados!E48,Resultados!N48,Resultados!W48,Resultados!AF48,Resultados!AO48,Resultados!AX48,Resultados!BG48,Resultados!BP48,Resultados!BY48,Resultados!CH48,Resultados!CQ48,Resultados!CZ48,Resultados!DI48,Resultados!DR48,Resultados!EA48)))</f>
        <v>5.6873889269202227E-2</v>
      </c>
      <c r="F48">
        <f>IF(COUNT(Resultados!F48,Resultados!O48,Resultados!X48,Resultados!AG48,Resultados!AP48,Resultados!AY48,Resultados!BH48,Resultados!BQ48,Resultados!BZ48,Resultados!CI48,Resultados!CR48,Resultados!DA48,Resultados!DJ48,Resultados!DS48,Resultados!EB48)&lt;=1, "", _xlfn.STDEV.S(ABS(Resultados!F48),ABS(Resultados!O48),ABS(Resultados!X48),ABS(Resultados!AG48),ABS(Resultados!AP48),ABS(Resultados!AY48),ABS(Resultados!BH48),ABS(Resultados!BQ48),ABS(Resultados!BZ48),ABS(Resultados!CI48),ABS(Resultados!CR48),ABS(Resultados!DA48),ABS(Resultados!DJ48),ABS(Resultados!DS48),ABS(Resultados!EB48))/SQRT(COUNT(Resultados!F48,Resultados!O48,Resultados!X48,Resultados!AG48,Resultados!AP48,Resultados!AY48,Resultados!BH48,Resultados!BQ48,Resultados!BZ48,Resultados!CI48,Resultados!CR48,Resultados!DA48,Resultados!DJ48,Resultados!DS48,Resultados!EB48)))</f>
        <v>5.3973320916472911</v>
      </c>
      <c r="G48">
        <f>IF(COUNT(Resultados!G48,Resultados!P48,Resultados!Y48,Resultados!AH48,Resultados!AQ48,Resultados!AZ48,Resultados!BI48,Resultados!BR48,Resultados!CA48,Resultados!CJ48,Resultados!CS48,Resultados!DB48,Resultados!DK48,Resultados!DT48,Resultados!EC48)&lt;=1, "", _xlfn.STDEV.S(ABS(Resultados!G48),ABS(Resultados!P48),ABS(Resultados!Y48),ABS(Resultados!AH48),ABS(Resultados!AQ48),ABS(Resultados!AZ48),ABS(Resultados!BI48),ABS(Resultados!BR48),ABS(Resultados!CA48),ABS(Resultados!CJ48),ABS(Resultados!CS48),ABS(Resultados!DB48),ABS(Resultados!DK48),ABS(Resultados!DT48),ABS(Resultados!EC48))/SQRT(COUNT(Resultados!G48,Resultados!P48,Resultados!Y48,Resultados!AH48,Resultados!AQ48,Resultados!AZ48,Resultados!BI48,Resultados!BR48,Resultados!CA48,Resultados!CJ48,Resultados!CS48,Resultados!DB48,Resultados!DK48,Resultados!DT48,Resultados!EC48)))</f>
        <v>4.4507937654163114E-17</v>
      </c>
      <c r="H48">
        <f>IF(COUNT(Resultados!H48,Resultados!Q48,Resultados!Z48,Resultados!AI48,Resultados!AR48,Resultados!BA48,Resultados!BJ48,Resultados!BS48,Resultados!CB48,Resultados!CK48,Resultados!CT48,Resultados!DC48,Resultados!DL48,Resultados!DU48,Resultados!ED48)&lt;=1, "", _xlfn.STDEV.S(ABS(Resultados!H48),ABS(Resultados!Q48),ABS(Resultados!Z48),ABS(Resultados!AI48),ABS(Resultados!AR48),ABS(Resultados!BA48),ABS(Resultados!BJ48),ABS(Resultados!BS48),ABS(Resultados!CB48),ABS(Resultados!CK48),ABS(Resultados!CT48),ABS(Resultados!DC48),ABS(Resultados!DL48),ABS(Resultados!DU48),ABS(Resultados!ED48))/SQRT(COUNT(Resultados!H48,Resultados!Q48,Resultados!Z48,Resultados!AI48,Resultados!AR48,Resultados!BA48,Resultados!BJ48,Resultados!BS48,Resultados!CB48,Resultados!CK48,Resultados!CT48,Resultados!DC48,Resultados!DL48,Resultados!DU48,Resultados!ED48)))</f>
        <v>8.8530149110838553E-4</v>
      </c>
      <c r="I48">
        <f>IF(COUNT(Resultados!I48,Resultados!R48,Resultados!AA48,Resultados!AJ48,Resultados!AS48,Resultados!BB48,Resultados!BK48,Resultados!BT48,Resultados!CC48,Resultados!CL48,Resultados!CU48,Resultados!DD48,Resultados!DM48,Resultados!DV48,Resultados!EE48)&lt;=1, "", _xlfn.STDEV.S(ABS(Resultados!I48),ABS(Resultados!R48),ABS(Resultados!AA48),ABS(Resultados!AJ48),ABS(Resultados!AS48),ABS(Resultados!BB48),ABS(Resultados!BK48),ABS(Resultados!BT48),ABS(Resultados!CC48),ABS(Resultados!CL48),ABS(Resultados!CU48),ABS(Resultados!DD48),ABS(Resultados!DM48),ABS(Resultados!DV48),ABS(Resultados!EE48))/SQRT(COUNT(Resultados!I48,Resultados!R48,Resultados!AA48,Resultados!AJ48,Resultados!AS48,Resultados!BB48,Resultados!BK48,Resultados!BT48,Resultados!CC48,Resultados!CL48,Resultados!CU48,Resultados!DD48,Resultados!DM48,Resultados!DV48,Resultados!EE48)))</f>
        <v>7.3552715141983385E-4</v>
      </c>
    </row>
    <row r="49" spans="1:9" x14ac:dyDescent="0.3">
      <c r="A49">
        <f>IF(COUNT(Resultados!A49,Resultados!J49,Resultados!S49,Resultados!AB49,Resultados!AK49,Resultados!AT49,Resultados!BC49,Resultados!BL49,Resultados!BU49,Resultados!CD49,Resultados!CM49,Resultados!CV49,Resultados!DE49,Resultados!DN49,Resultados!DW49)&lt;=1, "", _xlfn.STDEV.S(ABS(Resultados!A49),ABS(Resultados!J49),ABS(Resultados!S49),ABS(Resultados!AB49),ABS(Resultados!AK49),ABS(Resultados!AT49),ABS(Resultados!BC49),ABS(Resultados!BL49),ABS(Resultados!BU49),ABS(Resultados!CD49),ABS(Resultados!CM49),ABS(Resultados!CV49),ABS(Resultados!DE49),ABS(Resultados!DN49),ABS(Resultados!DW49))/SQRT(COUNT(Resultados!A49,Resultados!J49,Resultados!S49,Resultados!AB49,Resultados!AK49,Resultados!AT49,Resultados!BC49,Resultados!BL49,Resultados!BU49,Resultados!CD49,Resultados!CM49,Resultados!CV49,Resultados!DE49,Resultados!DN49,Resultados!DW49)))</f>
        <v>0</v>
      </c>
      <c r="B49" t="str">
        <f>IF(COUNT(Resultados!B49,Resultados!K49,Resultados!T49,Resultados!AC49,Resultados!AL49,Resultados!AU49,Resultados!BD49,Resultados!BM49,Resultados!BV49,Resultados!CE49,Resultados!CN49,Resultados!CW49,Resultados!DF49,Resultados!DO49,Resultados!DX49)&lt;=1, "", _xlfn.STDEV.S(ABS(Resultados!B49),ABS(Resultados!K49),ABS(Resultados!T49),ABS(Resultados!AC49),ABS(Resultados!AL49),ABS(Resultados!AU49),ABS(Resultados!BD49),ABS(Resultados!BM49),ABS(Resultados!BV49),ABS(Resultados!CE49),ABS(Resultados!CN49),ABS(Resultados!CW49),ABS(Resultados!DF49),ABS(Resultados!DO49),ABS(Resultados!DX49))/SQRT(COUNT(Resultados!B49,Resultados!K49,Resultados!T49,Resultados!AC49,Resultados!AL49,Resultados!AU49,Resultados!BD49,Resultados!BM49,Resultados!BV49,Resultados!CE49,Resultados!CN49,Resultados!CW49,Resultados!DF49,Resultados!DO49,Resultados!DX49)))</f>
        <v/>
      </c>
      <c r="C49">
        <f>IF(COUNT(Resultados!C49,Resultados!L49,Resultados!U49,Resultados!AD49,Resultados!AM49,Resultados!AV49,Resultados!BE49,Resultados!BN49,Resultados!BW49,Resultados!CF49,Resultados!CO49,Resultados!CX49,Resultados!DG49,Resultados!DP49,Resultados!DY49)&lt;=1, "", _xlfn.STDEV.S(ABS(Resultados!C49),ABS(Resultados!L49),ABS(Resultados!U49),ABS(Resultados!AD49),ABS(Resultados!AM49),ABS(Resultados!AV49),ABS(Resultados!BE49),ABS(Resultados!BN49),ABS(Resultados!BW49),ABS(Resultados!CF49),ABS(Resultados!CO49),ABS(Resultados!CX49),ABS(Resultados!DG49),ABS(Resultados!DP49),ABS(Resultados!DY49))/SQRT(COUNT(Resultados!C49,Resultados!L49,Resultados!U49,Resultados!AD49,Resultados!AM49,Resultados!AV49,Resultados!BE49,Resultados!BN49,Resultados!BW49,Resultados!CF49,Resultados!CO49,Resultados!CX49,Resultados!DG49,Resultados!DP49,Resultados!DY49)))</f>
        <v>0.46802523334497581</v>
      </c>
      <c r="D49">
        <f>IF(COUNT(Resultados!D49,Resultados!M49,Resultados!V49,Resultados!AE49,Resultados!AN49,Resultados!AW49,Resultados!BF49,Resultados!BO49,Resultados!BX49,Resultados!CG49,Resultados!CP49,Resultados!CY49,Resultados!DH49,Resultados!DQ49,Resultados!DZ49)&lt;=1, "", _xlfn.STDEV.S(ABS(Resultados!D49),ABS(Resultados!M49),ABS(Resultados!V49),ABS(Resultados!AE49),ABS(Resultados!AN49),ABS(Resultados!AW49),ABS(Resultados!BF49),ABS(Resultados!BO49),ABS(Resultados!BX49),ABS(Resultados!CG49),ABS(Resultados!CP49),ABS(Resultados!CY49),ABS(Resultados!DH49),ABS(Resultados!DQ49),ABS(Resultados!DZ49))/SQRT(COUNT(Resultados!D49,Resultados!M49,Resultados!V49,Resultados!AE49,Resultados!AN49,Resultados!AW49,Resultados!BF49,Resultados!BO49,Resultados!BX49,Resultados!CG49,Resultados!CP49,Resultados!CY49,Resultados!DH49,Resultados!DQ49,Resultados!DZ49)))</f>
        <v>7.7197746492317122E-4</v>
      </c>
      <c r="E49">
        <f>IF(COUNT(Resultados!E49,Resultados!N49,Resultados!W49,Resultados!AF49,Resultados!AO49,Resultados!AX49,Resultados!BG49,Resultados!BP49,Resultados!BY49,Resultados!CH49,Resultados!CQ49,Resultados!CZ49,Resultados!DI49,Resultados!DR49,Resultados!EA49)&lt;=1, "", _xlfn.STDEV.S(ABS(Resultados!E49),ABS(Resultados!N49),ABS(Resultados!W49),ABS(Resultados!AF49),ABS(Resultados!AO49),ABS(Resultados!AX49),ABS(Resultados!BG49),ABS(Resultados!BP49),ABS(Resultados!BY49),ABS(Resultados!CH49),ABS(Resultados!CQ49),ABS(Resultados!CZ49),ABS(Resultados!DI49),ABS(Resultados!DR49),ABS(Resultados!EA49))/SQRT(COUNT(Resultados!E49,Resultados!N49,Resultados!W49,Resultados!AF49,Resultados!AO49,Resultados!AX49,Resultados!BG49,Resultados!BP49,Resultados!BY49,Resultados!CH49,Resultados!CQ49,Resultados!CZ49,Resultados!DI49,Resultados!DR49,Resultados!EA49)))</f>
        <v>6.295569349212489E-2</v>
      </c>
      <c r="F49">
        <f>IF(COUNT(Resultados!F49,Resultados!O49,Resultados!X49,Resultados!AG49,Resultados!AP49,Resultados!AY49,Resultados!BH49,Resultados!BQ49,Resultados!BZ49,Resultados!CI49,Resultados!CR49,Resultados!DA49,Resultados!DJ49,Resultados!DS49,Resultados!EB49)&lt;=1, "", _xlfn.STDEV.S(ABS(Resultados!F49),ABS(Resultados!O49),ABS(Resultados!X49),ABS(Resultados!AG49),ABS(Resultados!AP49),ABS(Resultados!AY49),ABS(Resultados!BH49),ABS(Resultados!BQ49),ABS(Resultados!BZ49),ABS(Resultados!CI49),ABS(Resultados!CR49),ABS(Resultados!DA49),ABS(Resultados!DJ49),ABS(Resultados!DS49),ABS(Resultados!EB49))/SQRT(COUNT(Resultados!F49,Resultados!O49,Resultados!X49,Resultados!AG49,Resultados!AP49,Resultados!AY49,Resultados!BH49,Resultados!BQ49,Resultados!BZ49,Resultados!CI49,Resultados!CR49,Resultados!DA49,Resultados!DJ49,Resultados!DS49,Resultados!EB49)))</f>
        <v>5.9744953124026541</v>
      </c>
      <c r="G49">
        <f>IF(COUNT(Resultados!G49,Resultados!P49,Resultados!Y49,Resultados!AH49,Resultados!AQ49,Resultados!AZ49,Resultados!BI49,Resultados!BR49,Resultados!CA49,Resultados!CJ49,Resultados!CS49,Resultados!DB49,Resultados!DK49,Resultados!DT49,Resultados!EC49)&lt;=1, "", _xlfn.STDEV.S(ABS(Resultados!G49),ABS(Resultados!P49),ABS(Resultados!Y49),ABS(Resultados!AH49),ABS(Resultados!AQ49),ABS(Resultados!AZ49),ABS(Resultados!BI49),ABS(Resultados!BR49),ABS(Resultados!CA49),ABS(Resultados!CJ49),ABS(Resultados!CS49),ABS(Resultados!DB49),ABS(Resultados!DK49),ABS(Resultados!DT49),ABS(Resultados!EC49))/SQRT(COUNT(Resultados!G49,Resultados!P49,Resultados!Y49,Resultados!AH49,Resultados!AQ49,Resultados!AZ49,Resultados!BI49,Resultados!BR49,Resultados!CA49,Resultados!CJ49,Resultados!CS49,Resultados!DB49,Resultados!DK49,Resultados!DT49,Resultados!EC49)))</f>
        <v>4.4507937654163114E-17</v>
      </c>
      <c r="H49">
        <f>IF(COUNT(Resultados!H49,Resultados!Q49,Resultados!Z49,Resultados!AI49,Resultados!AR49,Resultados!BA49,Resultados!BJ49,Resultados!BS49,Resultados!CB49,Resultados!CK49,Resultados!CT49,Resultados!DC49,Resultados!DL49,Resultados!DU49,Resultados!ED49)&lt;=1, "", _xlfn.STDEV.S(ABS(Resultados!H49),ABS(Resultados!Q49),ABS(Resultados!Z49),ABS(Resultados!AI49),ABS(Resultados!AR49),ABS(Resultados!BA49),ABS(Resultados!BJ49),ABS(Resultados!BS49),ABS(Resultados!CB49),ABS(Resultados!CK49),ABS(Resultados!CT49),ABS(Resultados!DC49),ABS(Resultados!DL49),ABS(Resultados!DU49),ABS(Resultados!ED49))/SQRT(COUNT(Resultados!H49,Resultados!Q49,Resultados!Z49,Resultados!AI49,Resultados!AR49,Resultados!BA49,Resultados!BJ49,Resultados!BS49,Resultados!CB49,Resultados!CK49,Resultados!CT49,Resultados!DC49,Resultados!DL49,Resultados!DU49,Resultados!ED49)))</f>
        <v>9.7954638027564125E-4</v>
      </c>
      <c r="I49">
        <f>IF(COUNT(Resultados!I49,Resultados!R49,Resultados!AA49,Resultados!AJ49,Resultados!AS49,Resultados!BB49,Resultados!BK49,Resultados!BT49,Resultados!CC49,Resultados!CL49,Resultados!CU49,Resultados!DD49,Resultados!DM49,Resultados!DV49,Resultados!EE49)&lt;=1, "", _xlfn.STDEV.S(ABS(Resultados!I49),ABS(Resultados!R49),ABS(Resultados!AA49),ABS(Resultados!AJ49),ABS(Resultados!AS49),ABS(Resultados!BB49),ABS(Resultados!BK49),ABS(Resultados!BT49),ABS(Resultados!CC49),ABS(Resultados!CL49),ABS(Resultados!CU49),ABS(Resultados!DD49),ABS(Resultados!DM49),ABS(Resultados!DV49),ABS(Resultados!EE49))/SQRT(COUNT(Resultados!I49,Resultados!R49,Resultados!AA49,Resultados!AJ49,Resultados!AS49,Resultados!BB49,Resultados!BK49,Resultados!BT49,Resultados!CC49,Resultados!CL49,Resultados!CU49,Resultados!DD49,Resultados!DM49,Resultados!DV49,Resultados!EE49)))</f>
        <v>6.7022445896644804E-4</v>
      </c>
    </row>
    <row r="50" spans="1:9" x14ac:dyDescent="0.3">
      <c r="A50">
        <f>IF(COUNT(Resultados!A50,Resultados!J50,Resultados!S50,Resultados!AB50,Resultados!AK50,Resultados!AT50,Resultados!BC50,Resultados!BL50,Resultados!BU50,Resultados!CD50,Resultados!CM50,Resultados!CV50,Resultados!DE50,Resultados!DN50,Resultados!DW50)&lt;=1, "", _xlfn.STDEV.S(ABS(Resultados!A50),ABS(Resultados!J50),ABS(Resultados!S50),ABS(Resultados!AB50),ABS(Resultados!AK50),ABS(Resultados!AT50),ABS(Resultados!BC50),ABS(Resultados!BL50),ABS(Resultados!BU50),ABS(Resultados!CD50),ABS(Resultados!CM50),ABS(Resultados!CV50),ABS(Resultados!DE50),ABS(Resultados!DN50),ABS(Resultados!DW50))/SQRT(COUNT(Resultados!A50,Resultados!J50,Resultados!S50,Resultados!AB50,Resultados!AK50,Resultados!AT50,Resultados!BC50,Resultados!BL50,Resultados!BU50,Resultados!CD50,Resultados!CM50,Resultados!CV50,Resultados!DE50,Resultados!DN50,Resultados!DW50)))</f>
        <v>0</v>
      </c>
      <c r="B50" t="str">
        <f>IF(COUNT(Resultados!B50,Resultados!K50,Resultados!T50,Resultados!AC50,Resultados!AL50,Resultados!AU50,Resultados!BD50,Resultados!BM50,Resultados!BV50,Resultados!CE50,Resultados!CN50,Resultados!CW50,Resultados!DF50,Resultados!DO50,Resultados!DX50)&lt;=1, "", _xlfn.STDEV.S(ABS(Resultados!B50),ABS(Resultados!K50),ABS(Resultados!T50),ABS(Resultados!AC50),ABS(Resultados!AL50),ABS(Resultados!AU50),ABS(Resultados!BD50),ABS(Resultados!BM50),ABS(Resultados!BV50),ABS(Resultados!CE50),ABS(Resultados!CN50),ABS(Resultados!CW50),ABS(Resultados!DF50),ABS(Resultados!DO50),ABS(Resultados!DX50))/SQRT(COUNT(Resultados!B50,Resultados!K50,Resultados!T50,Resultados!AC50,Resultados!AL50,Resultados!AU50,Resultados!BD50,Resultados!BM50,Resultados!BV50,Resultados!CE50,Resultados!CN50,Resultados!CW50,Resultados!DF50,Resultados!DO50,Resultados!DX50)))</f>
        <v/>
      </c>
      <c r="C50">
        <f>IF(COUNT(Resultados!C50,Resultados!L50,Resultados!U50,Resultados!AD50,Resultados!AM50,Resultados!AV50,Resultados!BE50,Resultados!BN50,Resultados!BW50,Resultados!CF50,Resultados!CO50,Resultados!CX50,Resultados!DG50,Resultados!DP50,Resultados!DY50)&lt;=1, "", _xlfn.STDEV.S(ABS(Resultados!C50),ABS(Resultados!L50),ABS(Resultados!U50),ABS(Resultados!AD50),ABS(Resultados!AM50),ABS(Resultados!AV50),ABS(Resultados!BE50),ABS(Resultados!BN50),ABS(Resultados!BW50),ABS(Resultados!CF50),ABS(Resultados!CO50),ABS(Resultados!CX50),ABS(Resultados!DG50),ABS(Resultados!DP50),ABS(Resultados!DY50))/SQRT(COUNT(Resultados!C50,Resultados!L50,Resultados!U50,Resultados!AD50,Resultados!AM50,Resultados!AV50,Resultados!BE50,Resultados!BN50,Resultados!BW50,Resultados!CF50,Resultados!CO50,Resultados!CX50,Resultados!DG50,Resultados!DP50,Resultados!DY50)))</f>
        <v>0.46802523334497581</v>
      </c>
      <c r="D50">
        <f>IF(COUNT(Resultados!D50,Resultados!M50,Resultados!V50,Resultados!AE50,Resultados!AN50,Resultados!AW50,Resultados!BF50,Resultados!BO50,Resultados!BX50,Resultados!CG50,Resultados!CP50,Resultados!CY50,Resultados!DH50,Resultados!DQ50,Resultados!DZ50)&lt;=1, "", _xlfn.STDEV.S(ABS(Resultados!D50),ABS(Resultados!M50),ABS(Resultados!V50),ABS(Resultados!AE50),ABS(Resultados!AN50),ABS(Resultados!AW50),ABS(Resultados!BF50),ABS(Resultados!BO50),ABS(Resultados!BX50),ABS(Resultados!CG50),ABS(Resultados!CP50),ABS(Resultados!CY50),ABS(Resultados!DH50),ABS(Resultados!DQ50),ABS(Resultados!DZ50))/SQRT(COUNT(Resultados!D50,Resultados!M50,Resultados!V50,Resultados!AE50,Resultados!AN50,Resultados!AW50,Resultados!BF50,Resultados!BO50,Resultados!BX50,Resultados!CG50,Resultados!CP50,Resultados!CY50,Resultados!DH50,Resultados!DQ50,Resultados!DZ50)))</f>
        <v>9.0356261367179037E-4</v>
      </c>
      <c r="E50">
        <f>IF(COUNT(Resultados!E50,Resultados!N50,Resultados!W50,Resultados!AF50,Resultados!AO50,Resultados!AX50,Resultados!BG50,Resultados!BP50,Resultados!BY50,Resultados!CH50,Resultados!CQ50,Resultados!CZ50,Resultados!DI50,Resultados!DR50,Resultados!EA50)&lt;=1, "", _xlfn.STDEV.S(ABS(Resultados!E50),ABS(Resultados!N50),ABS(Resultados!W50),ABS(Resultados!AF50),ABS(Resultados!AO50),ABS(Resultados!AX50),ABS(Resultados!BG50),ABS(Resultados!BP50),ABS(Resultados!BY50),ABS(Resultados!CH50),ABS(Resultados!CQ50),ABS(Resultados!CZ50),ABS(Resultados!DI50),ABS(Resultados!DR50),ABS(Resultados!EA50))/SQRT(COUNT(Resultados!E50,Resultados!N50,Resultados!W50,Resultados!AF50,Resultados!AO50,Resultados!AX50,Resultados!BG50,Resultados!BP50,Resultados!BY50,Resultados!CH50,Resultados!CQ50,Resultados!CZ50,Resultados!DI50,Resultados!DR50,Resultados!EA50)))</f>
        <v>6.2924708044488631E-2</v>
      </c>
      <c r="F50">
        <f>IF(COUNT(Resultados!F50,Resultados!O50,Resultados!X50,Resultados!AG50,Resultados!AP50,Resultados!AY50,Resultados!BH50,Resultados!BQ50,Resultados!BZ50,Resultados!CI50,Resultados!CR50,Resultados!DA50,Resultados!DJ50,Resultados!DS50,Resultados!EB50)&lt;=1, "", _xlfn.STDEV.S(ABS(Resultados!F50),ABS(Resultados!O50),ABS(Resultados!X50),ABS(Resultados!AG50),ABS(Resultados!AP50),ABS(Resultados!AY50),ABS(Resultados!BH50),ABS(Resultados!BQ50),ABS(Resultados!BZ50),ABS(Resultados!CI50),ABS(Resultados!CR50),ABS(Resultados!DA50),ABS(Resultados!DJ50),ABS(Resultados!DS50),ABS(Resultados!EB50))/SQRT(COUNT(Resultados!F50,Resultados!O50,Resultados!X50,Resultados!AG50,Resultados!AP50,Resultados!AY50,Resultados!BH50,Resultados!BQ50,Resultados!BZ50,Resultados!CI50,Resultados!CR50,Resultados!DA50,Resultados!DJ50,Resultados!DS50,Resultados!EB50)))</f>
        <v>5.971554793421971</v>
      </c>
      <c r="G50">
        <f>IF(COUNT(Resultados!G50,Resultados!P50,Resultados!Y50,Resultados!AH50,Resultados!AQ50,Resultados!AZ50,Resultados!BI50,Resultados!BR50,Resultados!CA50,Resultados!CJ50,Resultados!CS50,Resultados!DB50,Resultados!DK50,Resultados!DT50,Resultados!EC50)&lt;=1, "", _xlfn.STDEV.S(ABS(Resultados!G50),ABS(Resultados!P50),ABS(Resultados!Y50),ABS(Resultados!AH50),ABS(Resultados!AQ50),ABS(Resultados!AZ50),ABS(Resultados!BI50),ABS(Resultados!BR50),ABS(Resultados!CA50),ABS(Resultados!CJ50),ABS(Resultados!CS50),ABS(Resultados!DB50),ABS(Resultados!DK50),ABS(Resultados!DT50),ABS(Resultados!EC50))/SQRT(COUNT(Resultados!G50,Resultados!P50,Resultados!Y50,Resultados!AH50,Resultados!AQ50,Resultados!AZ50,Resultados!BI50,Resultados!BR50,Resultados!CA50,Resultados!CJ50,Resultados!CS50,Resultados!DB50,Resultados!DK50,Resultados!DT50,Resultados!EC50)))</f>
        <v>4.4507937654163114E-17</v>
      </c>
      <c r="H50">
        <f>IF(COUNT(Resultados!H50,Resultados!Q50,Resultados!Z50,Resultados!AI50,Resultados!AR50,Resultados!BA50,Resultados!BJ50,Resultados!BS50,Resultados!CB50,Resultados!CK50,Resultados!CT50,Resultados!DC50,Resultados!DL50,Resultados!DU50,Resultados!ED50)&lt;=1, "", _xlfn.STDEV.S(ABS(Resultados!H50),ABS(Resultados!Q50),ABS(Resultados!Z50),ABS(Resultados!AI50),ABS(Resultados!AR50),ABS(Resultados!BA50),ABS(Resultados!BJ50),ABS(Resultados!BS50),ABS(Resultados!CB50),ABS(Resultados!CK50),ABS(Resultados!CT50),ABS(Resultados!DC50),ABS(Resultados!DL50),ABS(Resultados!DU50),ABS(Resultados!ED50))/SQRT(COUNT(Resultados!H50,Resultados!Q50,Resultados!Z50,Resultados!AI50,Resultados!AR50,Resultados!BA50,Resultados!BJ50,Resultados!BS50,Resultados!CB50,Resultados!CK50,Resultados!CT50,Resultados!DC50,Resultados!DL50,Resultados!DU50,Resultados!ED50)))</f>
        <v>9.7999999999999953E-4</v>
      </c>
      <c r="I50">
        <f>IF(COUNT(Resultados!I50,Resultados!R50,Resultados!AA50,Resultados!AJ50,Resultados!AS50,Resultados!BB50,Resultados!BK50,Resultados!BT50,Resultados!CC50,Resultados!CL50,Resultados!CU50,Resultados!DD50,Resultados!DM50,Resultados!DV50,Resultados!EE50)&lt;=1, "", _xlfn.STDEV.S(ABS(Resultados!I50),ABS(Resultados!R50),ABS(Resultados!AA50),ABS(Resultados!AJ50),ABS(Resultados!AS50),ABS(Resultados!BB50),ABS(Resultados!BK50),ABS(Resultados!BT50),ABS(Resultados!CC50),ABS(Resultados!CL50),ABS(Resultados!CU50),ABS(Resultados!DD50),ABS(Resultados!DM50),ABS(Resultados!DV50),ABS(Resultados!EE50))/SQRT(COUNT(Resultados!I50,Resultados!R50,Resultados!AA50,Resultados!AJ50,Resultados!AS50,Resultados!BB50,Resultados!BK50,Resultados!BT50,Resultados!CC50,Resultados!CL50,Resultados!CU50,Resultados!DD50,Resultados!DM50,Resultados!DV50,Resultados!EE50)))</f>
        <v>7.6283710217027662E-4</v>
      </c>
    </row>
    <row r="51" spans="1:9" x14ac:dyDescent="0.3">
      <c r="A51">
        <f>IF(COUNT(Resultados!A51,Resultados!J51,Resultados!S51,Resultados!AB51,Resultados!AK51,Resultados!AT51,Resultados!BC51,Resultados!BL51,Resultados!BU51,Resultados!CD51,Resultados!CM51,Resultados!CV51,Resultados!DE51,Resultados!DN51,Resultados!DW51)&lt;=1, "", _xlfn.STDEV.S(ABS(Resultados!A51),ABS(Resultados!J51),ABS(Resultados!S51),ABS(Resultados!AB51),ABS(Resultados!AK51),ABS(Resultados!AT51),ABS(Resultados!BC51),ABS(Resultados!BL51),ABS(Resultados!BU51),ABS(Resultados!CD51),ABS(Resultados!CM51),ABS(Resultados!CV51),ABS(Resultados!DE51),ABS(Resultados!DN51),ABS(Resultados!DW51))/SQRT(COUNT(Resultados!A51,Resultados!J51,Resultados!S51,Resultados!AB51,Resultados!AK51,Resultados!AT51,Resultados!BC51,Resultados!BL51,Resultados!BU51,Resultados!CD51,Resultados!CM51,Resultados!CV51,Resultados!DE51,Resultados!DN51,Resultados!DW51)))</f>
        <v>0</v>
      </c>
      <c r="B51" t="str">
        <f>IF(COUNT(Resultados!B51,Resultados!K51,Resultados!T51,Resultados!AC51,Resultados!AL51,Resultados!AU51,Resultados!BD51,Resultados!BM51,Resultados!BV51,Resultados!CE51,Resultados!CN51,Resultados!CW51,Resultados!DF51,Resultados!DO51,Resultados!DX51)&lt;=1, "", _xlfn.STDEV.S(ABS(Resultados!B51),ABS(Resultados!K51),ABS(Resultados!T51),ABS(Resultados!AC51),ABS(Resultados!AL51),ABS(Resultados!AU51),ABS(Resultados!BD51),ABS(Resultados!BM51),ABS(Resultados!BV51),ABS(Resultados!CE51),ABS(Resultados!CN51),ABS(Resultados!CW51),ABS(Resultados!DF51),ABS(Resultados!DO51),ABS(Resultados!DX51))/SQRT(COUNT(Resultados!B51,Resultados!K51,Resultados!T51,Resultados!AC51,Resultados!AL51,Resultados!AU51,Resultados!BD51,Resultados!BM51,Resultados!BV51,Resultados!CE51,Resultados!CN51,Resultados!CW51,Resultados!DF51,Resultados!DO51,Resultados!DX51)))</f>
        <v/>
      </c>
      <c r="C51">
        <f>IF(COUNT(Resultados!C51,Resultados!L51,Resultados!U51,Resultados!AD51,Resultados!AM51,Resultados!AV51,Resultados!BE51,Resultados!BN51,Resultados!BW51,Resultados!CF51,Resultados!CO51,Resultados!CX51,Resultados!DG51,Resultados!DP51,Resultados!DY51)&lt;=1, "", _xlfn.STDEV.S(ABS(Resultados!C51),ABS(Resultados!L51),ABS(Resultados!U51),ABS(Resultados!AD51),ABS(Resultados!AM51),ABS(Resultados!AV51),ABS(Resultados!BE51),ABS(Resultados!BN51),ABS(Resultados!BW51),ABS(Resultados!CF51),ABS(Resultados!CO51),ABS(Resultados!CX51),ABS(Resultados!DG51),ABS(Resultados!DP51),ABS(Resultados!DY51))/SQRT(COUNT(Resultados!C51,Resultados!L51,Resultados!U51,Resultados!AD51,Resultados!AM51,Resultados!AV51,Resultados!BE51,Resultados!BN51,Resultados!BW51,Resultados!CF51,Resultados!CO51,Resultados!CX51,Resultados!DG51,Resultados!DP51,Resultados!DY51)))</f>
        <v>0.46802523334497581</v>
      </c>
      <c r="D51">
        <f>IF(COUNT(Resultados!D51,Resultados!M51,Resultados!V51,Resultados!AE51,Resultados!AN51,Resultados!AW51,Resultados!BF51,Resultados!BO51,Resultados!BX51,Resultados!CG51,Resultados!CP51,Resultados!CY51,Resultados!DH51,Resultados!DQ51,Resultados!DZ51)&lt;=1, "", _xlfn.STDEV.S(ABS(Resultados!D51),ABS(Resultados!M51),ABS(Resultados!V51),ABS(Resultados!AE51),ABS(Resultados!AN51),ABS(Resultados!AW51),ABS(Resultados!BF51),ABS(Resultados!BO51),ABS(Resultados!BX51),ABS(Resultados!CG51),ABS(Resultados!CP51),ABS(Resultados!CY51),ABS(Resultados!DH51),ABS(Resultados!DQ51),ABS(Resultados!DZ51))/SQRT(COUNT(Resultados!D51,Resultados!M51,Resultados!V51,Resultados!AE51,Resultados!AN51,Resultados!AW51,Resultados!BF51,Resultados!BO51,Resultados!BX51,Resultados!CG51,Resultados!CP51,Resultados!CY51,Resultados!DH51,Resultados!DQ51,Resultados!DZ51)))</f>
        <v>9.1046124713778051E-4</v>
      </c>
      <c r="E51">
        <f>IF(COUNT(Resultados!E51,Resultados!N51,Resultados!W51,Resultados!AF51,Resultados!AO51,Resultados!AX51,Resultados!BG51,Resultados!BP51,Resultados!BY51,Resultados!CH51,Resultados!CQ51,Resultados!CZ51,Resultados!DI51,Resultados!DR51,Resultados!EA51)&lt;=1, "", _xlfn.STDEV.S(ABS(Resultados!E51),ABS(Resultados!N51),ABS(Resultados!W51),ABS(Resultados!AF51),ABS(Resultados!AO51),ABS(Resultados!AX51),ABS(Resultados!BG51),ABS(Resultados!BP51),ABS(Resultados!BY51),ABS(Resultados!CH51),ABS(Resultados!CQ51),ABS(Resultados!CZ51),ABS(Resultados!DI51),ABS(Resultados!DR51),ABS(Resultados!EA51))/SQRT(COUNT(Resultados!E51,Resultados!N51,Resultados!W51,Resultados!AF51,Resultados!AO51,Resultados!AX51,Resultados!BG51,Resultados!BP51,Resultados!BY51,Resultados!CH51,Resultados!CQ51,Resultados!CZ51,Resultados!DI51,Resultados!DR51,Resultados!EA51)))</f>
        <v>5.6682452407378681E-2</v>
      </c>
      <c r="F51">
        <f>IF(COUNT(Resultados!F51,Resultados!O51,Resultados!X51,Resultados!AG51,Resultados!AP51,Resultados!AY51,Resultados!BH51,Resultados!BQ51,Resultados!BZ51,Resultados!CI51,Resultados!CR51,Resultados!DA51,Resultados!DJ51,Resultados!DS51,Resultados!EB51)&lt;=1, "", _xlfn.STDEV.S(ABS(Resultados!F51),ABS(Resultados!O51),ABS(Resultados!X51),ABS(Resultados!AG51),ABS(Resultados!AP51),ABS(Resultados!AY51),ABS(Resultados!BH51),ABS(Resultados!BQ51),ABS(Resultados!BZ51),ABS(Resultados!CI51),ABS(Resultados!CR51),ABS(Resultados!DA51),ABS(Resultados!DJ51),ABS(Resultados!DS51),ABS(Resultados!EB51))/SQRT(COUNT(Resultados!F51,Resultados!O51,Resultados!X51,Resultados!AG51,Resultados!AP51,Resultados!AY51,Resultados!BH51,Resultados!BQ51,Resultados!BZ51,Resultados!CI51,Resultados!CR51,Resultados!DA51,Resultados!DJ51,Resultados!DS51,Resultados!EB51)))</f>
        <v>5.3791647334602359</v>
      </c>
      <c r="G51">
        <f>IF(COUNT(Resultados!G51,Resultados!P51,Resultados!Y51,Resultados!AH51,Resultados!AQ51,Resultados!AZ51,Resultados!BI51,Resultados!BR51,Resultados!CA51,Resultados!CJ51,Resultados!CS51,Resultados!DB51,Resultados!DK51,Resultados!DT51,Resultados!EC51)&lt;=1, "", _xlfn.STDEV.S(ABS(Resultados!G51),ABS(Resultados!P51),ABS(Resultados!Y51),ABS(Resultados!AH51),ABS(Resultados!AQ51),ABS(Resultados!AZ51),ABS(Resultados!BI51),ABS(Resultados!BR51),ABS(Resultados!CA51),ABS(Resultados!CJ51),ABS(Resultados!CS51),ABS(Resultados!DB51),ABS(Resultados!DK51),ABS(Resultados!DT51),ABS(Resultados!EC51))/SQRT(COUNT(Resultados!G51,Resultados!P51,Resultados!Y51,Resultados!AH51,Resultados!AQ51,Resultados!AZ51,Resultados!BI51,Resultados!BR51,Resultados!CA51,Resultados!CJ51,Resultados!CS51,Resultados!DB51,Resultados!DK51,Resultados!DT51,Resultados!EC51)))</f>
        <v>4.4507937654163114E-17</v>
      </c>
      <c r="H51">
        <f>IF(COUNT(Resultados!H51,Resultados!Q51,Resultados!Z51,Resultados!AI51,Resultados!AR51,Resultados!BA51,Resultados!BJ51,Resultados!BS51,Resultados!CB51,Resultados!CK51,Resultados!CT51,Resultados!DC51,Resultados!DL51,Resultados!DU51,Resultados!ED51)&lt;=1, "", _xlfn.STDEV.S(ABS(Resultados!H51),ABS(Resultados!Q51),ABS(Resultados!Z51),ABS(Resultados!AI51),ABS(Resultados!AR51),ABS(Resultados!BA51),ABS(Resultados!BJ51),ABS(Resultados!BS51),ABS(Resultados!CB51),ABS(Resultados!CK51),ABS(Resultados!CT51),ABS(Resultados!DC51),ABS(Resultados!DL51),ABS(Resultados!DU51),ABS(Resultados!ED51))/SQRT(COUNT(Resultados!H51,Resultados!Q51,Resultados!Z51,Resultados!AI51,Resultados!AR51,Resultados!BA51,Resultados!BJ51,Resultados!BS51,Resultados!CB51,Resultados!CK51,Resultados!CT51,Resultados!DC51,Resultados!DL51,Resultados!DU51,Resultados!ED51)))</f>
        <v>8.799999999999996E-4</v>
      </c>
      <c r="I51">
        <f>IF(COUNT(Resultados!I51,Resultados!R51,Resultados!AA51,Resultados!AJ51,Resultados!AS51,Resultados!BB51,Resultados!BK51,Resultados!BT51,Resultados!CC51,Resultados!CL51,Resultados!CU51,Resultados!DD51,Resultados!DM51,Resultados!DV51,Resultados!EE51)&lt;=1, "", _xlfn.STDEV.S(ABS(Resultados!I51),ABS(Resultados!R51),ABS(Resultados!AA51),ABS(Resultados!AJ51),ABS(Resultados!AS51),ABS(Resultados!BB51),ABS(Resultados!BK51),ABS(Resultados!BT51),ABS(Resultados!CC51),ABS(Resultados!CL51),ABS(Resultados!CU51),ABS(Resultados!DD51),ABS(Resultados!DM51),ABS(Resultados!DV51),ABS(Resultados!EE51))/SQRT(COUNT(Resultados!I51,Resultados!R51,Resultados!AA51,Resultados!AJ51,Resultados!AS51,Resultados!BB51,Resultados!BK51,Resultados!BT51,Resultados!CC51,Resultados!CL51,Resultados!CU51,Resultados!DD51,Resultados!DM51,Resultados!DV51,Resultados!EE51)))</f>
        <v>7.4428902902784662E-4</v>
      </c>
    </row>
    <row r="52" spans="1:9" x14ac:dyDescent="0.3">
      <c r="A52">
        <f>IF(COUNT(Resultados!A52,Resultados!J52,Resultados!S52,Resultados!AB52,Resultados!AK52,Resultados!AT52,Resultados!BC52,Resultados!BL52,Resultados!BU52,Resultados!CD52,Resultados!CM52,Resultados!CV52,Resultados!DE52,Resultados!DN52,Resultados!DW52)&lt;=1, "", _xlfn.STDEV.S(ABS(Resultados!A52),ABS(Resultados!J52),ABS(Resultados!S52),ABS(Resultados!AB52),ABS(Resultados!AK52),ABS(Resultados!AT52),ABS(Resultados!BC52),ABS(Resultados!BL52),ABS(Resultados!BU52),ABS(Resultados!CD52),ABS(Resultados!CM52),ABS(Resultados!CV52),ABS(Resultados!DE52),ABS(Resultados!DN52),ABS(Resultados!DW52))/SQRT(COUNT(Resultados!A52,Resultados!J52,Resultados!S52,Resultados!AB52,Resultados!AK52,Resultados!AT52,Resultados!BC52,Resultados!BL52,Resultados!BU52,Resultados!CD52,Resultados!CM52,Resultados!CV52,Resultados!DE52,Resultados!DN52,Resultados!DW52)))</f>
        <v>0</v>
      </c>
      <c r="B52" t="str">
        <f>IF(COUNT(Resultados!B52,Resultados!K52,Resultados!T52,Resultados!AC52,Resultados!AL52,Resultados!AU52,Resultados!BD52,Resultados!BM52,Resultados!BV52,Resultados!CE52,Resultados!CN52,Resultados!CW52,Resultados!DF52,Resultados!DO52,Resultados!DX52)&lt;=1, "", _xlfn.STDEV.S(ABS(Resultados!B52),ABS(Resultados!K52),ABS(Resultados!T52),ABS(Resultados!AC52),ABS(Resultados!AL52),ABS(Resultados!AU52),ABS(Resultados!BD52),ABS(Resultados!BM52),ABS(Resultados!BV52),ABS(Resultados!CE52),ABS(Resultados!CN52),ABS(Resultados!CW52),ABS(Resultados!DF52),ABS(Resultados!DO52),ABS(Resultados!DX52))/SQRT(COUNT(Resultados!B52,Resultados!K52,Resultados!T52,Resultados!AC52,Resultados!AL52,Resultados!AU52,Resultados!BD52,Resultados!BM52,Resultados!BV52,Resultados!CE52,Resultados!CN52,Resultados!CW52,Resultados!DF52,Resultados!DO52,Resultados!DX52)))</f>
        <v/>
      </c>
      <c r="C52">
        <f>IF(COUNT(Resultados!C52,Resultados!L52,Resultados!U52,Resultados!AD52,Resultados!AM52,Resultados!AV52,Resultados!BE52,Resultados!BN52,Resultados!BW52,Resultados!CF52,Resultados!CO52,Resultados!CX52,Resultados!DG52,Resultados!DP52,Resultados!DY52)&lt;=1, "", _xlfn.STDEV.S(ABS(Resultados!C52),ABS(Resultados!L52),ABS(Resultados!U52),ABS(Resultados!AD52),ABS(Resultados!AM52),ABS(Resultados!AV52),ABS(Resultados!BE52),ABS(Resultados!BN52),ABS(Resultados!BW52),ABS(Resultados!CF52),ABS(Resultados!CO52),ABS(Resultados!CX52),ABS(Resultados!DG52),ABS(Resultados!DP52),ABS(Resultados!DY52))/SQRT(COUNT(Resultados!C52,Resultados!L52,Resultados!U52,Resultados!AD52,Resultados!AM52,Resultados!AV52,Resultados!BE52,Resultados!BN52,Resultados!BW52,Resultados!CF52,Resultados!CO52,Resultados!CX52,Resultados!DG52,Resultados!DP52,Resultados!DY52)))</f>
        <v>0.46802523334497581</v>
      </c>
      <c r="D52">
        <f>IF(COUNT(Resultados!D52,Resultados!M52,Resultados!V52,Resultados!AE52,Resultados!AN52,Resultados!AW52,Resultados!BF52,Resultados!BO52,Resultados!BX52,Resultados!CG52,Resultados!CP52,Resultados!CY52,Resultados!DH52,Resultados!DQ52,Resultados!DZ52)&lt;=1, "", _xlfn.STDEV.S(ABS(Resultados!D52),ABS(Resultados!M52),ABS(Resultados!V52),ABS(Resultados!AE52),ABS(Resultados!AN52),ABS(Resultados!AW52),ABS(Resultados!BF52),ABS(Resultados!BO52),ABS(Resultados!BX52),ABS(Resultados!CG52),ABS(Resultados!CP52),ABS(Resultados!CY52),ABS(Resultados!DH52),ABS(Resultados!DQ52),ABS(Resultados!DZ52))/SQRT(COUNT(Resultados!D52,Resultados!M52,Resultados!V52,Resultados!AE52,Resultados!AN52,Resultados!AW52,Resultados!BF52,Resultados!BO52,Resultados!BX52,Resultados!CG52,Resultados!CP52,Resultados!CY52,Resultados!DH52,Resultados!DQ52,Resultados!DZ52)))</f>
        <v>7.8506697722561147E-4</v>
      </c>
      <c r="E52">
        <f>IF(COUNT(Resultados!E52,Resultados!N52,Resultados!W52,Resultados!AF52,Resultados!AO52,Resultados!AX52,Resultados!BG52,Resultados!BP52,Resultados!BY52,Resultados!CH52,Resultados!CQ52,Resultados!CZ52,Resultados!DI52,Resultados!DR52,Resultados!EA52)&lt;=1, "", _xlfn.STDEV.S(ABS(Resultados!E52),ABS(Resultados!N52),ABS(Resultados!W52),ABS(Resultados!AF52),ABS(Resultados!AO52),ABS(Resultados!AX52),ABS(Resultados!BG52),ABS(Resultados!BP52),ABS(Resultados!BY52),ABS(Resultados!CH52),ABS(Resultados!CQ52),ABS(Resultados!CZ52),ABS(Resultados!DI52),ABS(Resultados!DR52),ABS(Resultados!EA52))/SQRT(COUNT(Resultados!E52,Resultados!N52,Resultados!W52,Resultados!AF52,Resultados!AO52,Resultados!AX52,Resultados!BG52,Resultados!BP52,Resultados!BY52,Resultados!CH52,Resultados!CQ52,Resultados!CZ52,Resultados!DI52,Resultados!DR52,Resultados!EA52)))</f>
        <v>4.489198180798934E-2</v>
      </c>
      <c r="F52">
        <f>IF(COUNT(Resultados!F52,Resultados!O52,Resultados!X52,Resultados!AG52,Resultados!AP52,Resultados!AY52,Resultados!BH52,Resultados!BQ52,Resultados!BZ52,Resultados!CI52,Resultados!CR52,Resultados!DA52,Resultados!DJ52,Resultados!DS52,Resultados!EB52)&lt;=1, "", _xlfn.STDEV.S(ABS(Resultados!F52),ABS(Resultados!O52),ABS(Resultados!X52),ABS(Resultados!AG52),ABS(Resultados!AP52),ABS(Resultados!AY52),ABS(Resultados!BH52),ABS(Resultados!BQ52),ABS(Resultados!BZ52),ABS(Resultados!CI52),ABS(Resultados!CR52),ABS(Resultados!DA52),ABS(Resultados!DJ52),ABS(Resultados!DS52),ABS(Resultados!EB52))/SQRT(COUNT(Resultados!F52,Resultados!O52,Resultados!X52,Resultados!AG52,Resultados!AP52,Resultados!AY52,Resultados!BH52,Resultados!BQ52,Resultados!BZ52,Resultados!CI52,Resultados!CR52,Resultados!DA52,Resultados!DJ52,Resultados!DS52,Resultados!EB52)))</f>
        <v>4.2602490735781897</v>
      </c>
      <c r="G52">
        <f>IF(COUNT(Resultados!G52,Resultados!P52,Resultados!Y52,Resultados!AH52,Resultados!AQ52,Resultados!AZ52,Resultados!BI52,Resultados!BR52,Resultados!CA52,Resultados!CJ52,Resultados!CS52,Resultados!DB52,Resultados!DK52,Resultados!DT52,Resultados!EC52)&lt;=1, "", _xlfn.STDEV.S(ABS(Resultados!G52),ABS(Resultados!P52),ABS(Resultados!Y52),ABS(Resultados!AH52),ABS(Resultados!AQ52),ABS(Resultados!AZ52),ABS(Resultados!BI52),ABS(Resultados!BR52),ABS(Resultados!CA52),ABS(Resultados!CJ52),ABS(Resultados!CS52),ABS(Resultados!DB52),ABS(Resultados!DK52),ABS(Resultados!DT52),ABS(Resultados!EC52))/SQRT(COUNT(Resultados!G52,Resultados!P52,Resultados!Y52,Resultados!AH52,Resultados!AQ52,Resultados!AZ52,Resultados!BI52,Resultados!BR52,Resultados!CA52,Resultados!CJ52,Resultados!CS52,Resultados!DB52,Resultados!DK52,Resultados!DT52,Resultados!EC52)))</f>
        <v>4.4507937654163114E-17</v>
      </c>
      <c r="H52">
        <f>IF(COUNT(Resultados!H52,Resultados!Q52,Resultados!Z52,Resultados!AI52,Resultados!AR52,Resultados!BA52,Resultados!BJ52,Resultados!BS52,Resultados!CB52,Resultados!CK52,Resultados!CT52,Resultados!DC52,Resultados!DL52,Resultados!DU52,Resultados!ED52)&lt;=1, "", _xlfn.STDEV.S(ABS(Resultados!H52),ABS(Resultados!Q52),ABS(Resultados!Z52),ABS(Resultados!AI52),ABS(Resultados!AR52),ABS(Resultados!BA52),ABS(Resultados!BJ52),ABS(Resultados!BS52),ABS(Resultados!CB52),ABS(Resultados!CK52),ABS(Resultados!CT52),ABS(Resultados!DC52),ABS(Resultados!DL52),ABS(Resultados!DU52),ABS(Resultados!ED52))/SQRT(COUNT(Resultados!H52,Resultados!Q52,Resultados!Z52,Resultados!AI52,Resultados!AR52,Resultados!BA52,Resultados!BJ52,Resultados!BS52,Resultados!CB52,Resultados!CK52,Resultados!CT52,Resultados!DC52,Resultados!DL52,Resultados!DU52,Resultados!ED52)))</f>
        <v>6.9999999999999999E-4</v>
      </c>
      <c r="I52">
        <f>IF(COUNT(Resultados!I52,Resultados!R52,Resultados!AA52,Resultados!AJ52,Resultados!AS52,Resultados!BB52,Resultados!BK52,Resultados!BT52,Resultados!CC52,Resultados!CL52,Resultados!CU52,Resultados!DD52,Resultados!DM52,Resultados!DV52,Resultados!EE52)&lt;=1, "", _xlfn.STDEV.S(ABS(Resultados!I52),ABS(Resultados!R52),ABS(Resultados!AA52),ABS(Resultados!AJ52),ABS(Resultados!AS52),ABS(Resultados!BB52),ABS(Resultados!BK52),ABS(Resultados!BT52),ABS(Resultados!CC52),ABS(Resultados!CL52),ABS(Resultados!CU52),ABS(Resultados!DD52),ABS(Resultados!DM52),ABS(Resultados!DV52),ABS(Resultados!EE52))/SQRT(COUNT(Resultados!I52,Resultados!R52,Resultados!AA52,Resultados!AJ52,Resultados!AS52,Resultados!BB52,Resultados!BK52,Resultados!BT52,Resultados!CC52,Resultados!CL52,Resultados!CU52,Resultados!DD52,Resultados!DM52,Resultados!DV52,Resultados!EE52)))</f>
        <v>7.2122646862471103E-4</v>
      </c>
    </row>
    <row r="53" spans="1:9" x14ac:dyDescent="0.3">
      <c r="A53">
        <f>IF(COUNT(Resultados!A53,Resultados!J53,Resultados!S53,Resultados!AB53,Resultados!AK53,Resultados!AT53,Resultados!BC53,Resultados!BL53,Resultados!BU53,Resultados!CD53,Resultados!CM53,Resultados!CV53,Resultados!DE53,Resultados!DN53,Resultados!DW53)&lt;=1, "", _xlfn.STDEV.S(ABS(Resultados!A53),ABS(Resultados!J53),ABS(Resultados!S53),ABS(Resultados!AB53),ABS(Resultados!AK53),ABS(Resultados!AT53),ABS(Resultados!BC53),ABS(Resultados!BL53),ABS(Resultados!BU53),ABS(Resultados!CD53),ABS(Resultados!CM53),ABS(Resultados!CV53),ABS(Resultados!DE53),ABS(Resultados!DN53),ABS(Resultados!DW53))/SQRT(COUNT(Resultados!A53,Resultados!J53,Resultados!S53,Resultados!AB53,Resultados!AK53,Resultados!AT53,Resultados!BC53,Resultados!BL53,Resultados!BU53,Resultados!CD53,Resultados!CM53,Resultados!CV53,Resultados!DE53,Resultados!DN53,Resultados!DW53)))</f>
        <v>0</v>
      </c>
      <c r="B53" t="str">
        <f>IF(COUNT(Resultados!B53,Resultados!K53,Resultados!T53,Resultados!AC53,Resultados!AL53,Resultados!AU53,Resultados!BD53,Resultados!BM53,Resultados!BV53,Resultados!CE53,Resultados!CN53,Resultados!CW53,Resultados!DF53,Resultados!DO53,Resultados!DX53)&lt;=1, "", _xlfn.STDEV.S(ABS(Resultados!B53),ABS(Resultados!K53),ABS(Resultados!T53),ABS(Resultados!AC53),ABS(Resultados!AL53),ABS(Resultados!AU53),ABS(Resultados!BD53),ABS(Resultados!BM53),ABS(Resultados!BV53),ABS(Resultados!CE53),ABS(Resultados!CN53),ABS(Resultados!CW53),ABS(Resultados!DF53),ABS(Resultados!DO53),ABS(Resultados!DX53))/SQRT(COUNT(Resultados!B53,Resultados!K53,Resultados!T53,Resultados!AC53,Resultados!AL53,Resultados!AU53,Resultados!BD53,Resultados!BM53,Resultados!BV53,Resultados!CE53,Resultados!CN53,Resultados!CW53,Resultados!DF53,Resultados!DO53,Resultados!DX53)))</f>
        <v/>
      </c>
      <c r="C53">
        <f>IF(COUNT(Resultados!C53,Resultados!L53,Resultados!U53,Resultados!AD53,Resultados!AM53,Resultados!AV53,Resultados!BE53,Resultados!BN53,Resultados!BW53,Resultados!CF53,Resultados!CO53,Resultados!CX53,Resultados!DG53,Resultados!DP53,Resultados!DY53)&lt;=1, "", _xlfn.STDEV.S(ABS(Resultados!C53),ABS(Resultados!L53),ABS(Resultados!U53),ABS(Resultados!AD53),ABS(Resultados!AM53),ABS(Resultados!AV53),ABS(Resultados!BE53),ABS(Resultados!BN53),ABS(Resultados!BW53),ABS(Resultados!CF53),ABS(Resultados!CO53),ABS(Resultados!CX53),ABS(Resultados!DG53),ABS(Resultados!DP53),ABS(Resultados!DY53))/SQRT(COUNT(Resultados!C53,Resultados!L53,Resultados!U53,Resultados!AD53,Resultados!AM53,Resultados!AV53,Resultados!BE53,Resultados!BN53,Resultados!BW53,Resultados!CF53,Resultados!CO53,Resultados!CX53,Resultados!DG53,Resultados!DP53,Resultados!DY53)))</f>
        <v>0.46802523334497581</v>
      </c>
      <c r="D53">
        <f>IF(COUNT(Resultados!D53,Resultados!M53,Resultados!V53,Resultados!AE53,Resultados!AN53,Resultados!AW53,Resultados!BF53,Resultados!BO53,Resultados!BX53,Resultados!CG53,Resultados!CP53,Resultados!CY53,Resultados!DH53,Resultados!DQ53,Resultados!DZ53)&lt;=1, "", _xlfn.STDEV.S(ABS(Resultados!D53),ABS(Resultados!M53),ABS(Resultados!V53),ABS(Resultados!AE53),ABS(Resultados!AN53),ABS(Resultados!AW53),ABS(Resultados!BF53),ABS(Resultados!BO53),ABS(Resultados!BX53),ABS(Resultados!CG53),ABS(Resultados!CP53),ABS(Resultados!CY53),ABS(Resultados!DH53),ABS(Resultados!DQ53),ABS(Resultados!DZ53))/SQRT(COUNT(Resultados!D53,Resultados!M53,Resultados!V53,Resultados!AE53,Resultados!AN53,Resultados!AW53,Resultados!BF53,Resultados!BO53,Resultados!BX53,Resultados!CG53,Resultados!CP53,Resultados!CY53,Resultados!DH53,Resultados!DQ53,Resultados!DZ53)))</f>
        <v>6.2122766319909603E-4</v>
      </c>
      <c r="E53">
        <f>IF(COUNT(Resultados!E53,Resultados!N53,Resultados!W53,Resultados!AF53,Resultados!AO53,Resultados!AX53,Resultados!BG53,Resultados!BP53,Resultados!BY53,Resultados!CH53,Resultados!CQ53,Resultados!CZ53,Resultados!DI53,Resultados!DR53,Resultados!EA53)&lt;=1, "", _xlfn.STDEV.S(ABS(Resultados!E53),ABS(Resultados!N53),ABS(Resultados!W53),ABS(Resultados!AF53),ABS(Resultados!AO53),ABS(Resultados!AX53),ABS(Resultados!BG53),ABS(Resultados!BP53),ABS(Resultados!BY53),ABS(Resultados!CH53),ABS(Resultados!CQ53),ABS(Resultados!CZ53),ABS(Resultados!DI53),ABS(Resultados!DR53),ABS(Resultados!EA53))/SQRT(COUNT(Resultados!E53,Resultados!N53,Resultados!W53,Resultados!AF53,Resultados!AO53,Resultados!AX53,Resultados!BG53,Resultados!BP53,Resultados!BY53,Resultados!CH53,Resultados!CQ53,Resultados!CZ53,Resultados!DI53,Resultados!DR53,Resultados!EA53)))</f>
        <v>2.8725398881572582E-2</v>
      </c>
      <c r="F53">
        <f>IF(COUNT(Resultados!F53,Resultados!O53,Resultados!X53,Resultados!AG53,Resultados!AP53,Resultados!AY53,Resultados!BH53,Resultados!BQ53,Resultados!BZ53,Resultados!CI53,Resultados!CR53,Resultados!DA53,Resultados!DJ53,Resultados!DS53,Resultados!EB53)&lt;=1, "", _xlfn.STDEV.S(ABS(Resultados!F53),ABS(Resultados!O53),ABS(Resultados!X53),ABS(Resultados!AG53),ABS(Resultados!AP53),ABS(Resultados!AY53),ABS(Resultados!BH53),ABS(Resultados!BQ53),ABS(Resultados!BZ53),ABS(Resultados!CI53),ABS(Resultados!CR53),ABS(Resultados!DA53),ABS(Resultados!DJ53),ABS(Resultados!DS53),ABS(Resultados!EB53))/SQRT(COUNT(Resultados!F53,Resultados!O53,Resultados!X53,Resultados!AG53,Resultados!AP53,Resultados!AY53,Resultados!BH53,Resultados!BQ53,Resultados!BZ53,Resultados!CI53,Resultados!CR53,Resultados!DA53,Resultados!DJ53,Resultados!DS53,Resultados!EB53)))</f>
        <v>4.2362637071863363</v>
      </c>
      <c r="G53">
        <f>IF(COUNT(Resultados!G53,Resultados!P53,Resultados!Y53,Resultados!AH53,Resultados!AQ53,Resultados!AZ53,Resultados!BI53,Resultados!BR53,Resultados!CA53,Resultados!CJ53,Resultados!CS53,Resultados!DB53,Resultados!DK53,Resultados!DT53,Resultados!EC53)&lt;=1, "", _xlfn.STDEV.S(ABS(Resultados!G53),ABS(Resultados!P53),ABS(Resultados!Y53),ABS(Resultados!AH53),ABS(Resultados!AQ53),ABS(Resultados!AZ53),ABS(Resultados!BI53),ABS(Resultados!BR53),ABS(Resultados!CA53),ABS(Resultados!CJ53),ABS(Resultados!CS53),ABS(Resultados!DB53),ABS(Resultados!DK53),ABS(Resultados!DT53),ABS(Resultados!EC53))/SQRT(COUNT(Resultados!G53,Resultados!P53,Resultados!Y53,Resultados!AH53,Resultados!AQ53,Resultados!AZ53,Resultados!BI53,Resultados!BR53,Resultados!CA53,Resultados!CJ53,Resultados!CS53,Resultados!DB53,Resultados!DK53,Resultados!DT53,Resultados!EC53)))</f>
        <v>4.4507937654163114E-17</v>
      </c>
      <c r="H53">
        <f>IF(COUNT(Resultados!H53,Resultados!Q53,Resultados!Z53,Resultados!AI53,Resultados!AR53,Resultados!BA53,Resultados!BJ53,Resultados!BS53,Resultados!CB53,Resultados!CK53,Resultados!CT53,Resultados!DC53,Resultados!DL53,Resultados!DU53,Resultados!ED53)&lt;=1, "", _xlfn.STDEV.S(ABS(Resultados!H53),ABS(Resultados!Q53),ABS(Resultados!Z53),ABS(Resultados!AI53),ABS(Resultados!AR53),ABS(Resultados!BA53),ABS(Resultados!BJ53),ABS(Resultados!BS53),ABS(Resultados!CB53),ABS(Resultados!CK53),ABS(Resultados!CT53),ABS(Resultados!DC53),ABS(Resultados!DL53),ABS(Resultados!DU53),ABS(Resultados!ED53))/SQRT(COUNT(Resultados!H53,Resultados!Q53,Resultados!Z53,Resultados!AI53,Resultados!AR53,Resultados!BA53,Resultados!BJ53,Resultados!BS53,Resultados!CB53,Resultados!CK53,Resultados!CT53,Resultados!DC53,Resultados!DL53,Resultados!DU53,Resultados!ED53)))</f>
        <v>4.4666666666666677E-4</v>
      </c>
      <c r="I53">
        <f>IF(COUNT(Resultados!I53,Resultados!R53,Resultados!AA53,Resultados!AJ53,Resultados!AS53,Resultados!BB53,Resultados!BK53,Resultados!BT53,Resultados!CC53,Resultados!CL53,Resultados!CU53,Resultados!DD53,Resultados!DM53,Resultados!DV53,Resultados!EE53)&lt;=1, "", _xlfn.STDEV.S(ABS(Resultados!I53),ABS(Resultados!R53),ABS(Resultados!AA53),ABS(Resultados!AJ53),ABS(Resultados!AS53),ABS(Resultados!BB53),ABS(Resultados!BK53),ABS(Resultados!BT53),ABS(Resultados!CC53),ABS(Resultados!CL53),ABS(Resultados!CU53),ABS(Resultados!DD53),ABS(Resultados!DM53),ABS(Resultados!DV53),ABS(Resultados!EE53))/SQRT(COUNT(Resultados!I53,Resultados!R53,Resultados!AA53,Resultados!AJ53,Resultados!AS53,Resultados!BB53,Resultados!BK53,Resultados!BT53,Resultados!CC53,Resultados!CL53,Resultados!CU53,Resultados!DD53,Resultados!DM53,Resultados!DV53,Resultados!EE53)))</f>
        <v>7.5416018676402561E-4</v>
      </c>
    </row>
    <row r="54" spans="1:9" x14ac:dyDescent="0.3">
      <c r="A54">
        <f>IF(COUNT(Resultados!A54,Resultados!J54,Resultados!S54,Resultados!AB54,Resultados!AK54,Resultados!AT54,Resultados!BC54,Resultados!BL54,Resultados!BU54,Resultados!CD54,Resultados!CM54,Resultados!CV54,Resultados!DE54,Resultados!DN54,Resultados!DW54)&lt;=1, "", _xlfn.STDEV.S(ABS(Resultados!A54),ABS(Resultados!J54),ABS(Resultados!S54),ABS(Resultados!AB54),ABS(Resultados!AK54),ABS(Resultados!AT54),ABS(Resultados!BC54),ABS(Resultados!BL54),ABS(Resultados!BU54),ABS(Resultados!CD54),ABS(Resultados!CM54),ABS(Resultados!CV54),ABS(Resultados!DE54),ABS(Resultados!DN54),ABS(Resultados!DW54))/SQRT(COUNT(Resultados!A54,Resultados!J54,Resultados!S54,Resultados!AB54,Resultados!AK54,Resultados!AT54,Resultados!BC54,Resultados!BL54,Resultados!BU54,Resultados!CD54,Resultados!CM54,Resultados!CV54,Resultados!DE54,Resultados!DN54,Resultados!DW54)))</f>
        <v>0</v>
      </c>
      <c r="B54" t="str">
        <f>IF(COUNT(Resultados!B54,Resultados!K54,Resultados!T54,Resultados!AC54,Resultados!AL54,Resultados!AU54,Resultados!BD54,Resultados!BM54,Resultados!BV54,Resultados!CE54,Resultados!CN54,Resultados!CW54,Resultados!DF54,Resultados!DO54,Resultados!DX54)&lt;=1, "", _xlfn.STDEV.S(ABS(Resultados!B54),ABS(Resultados!K54),ABS(Resultados!T54),ABS(Resultados!AC54),ABS(Resultados!AL54),ABS(Resultados!AU54),ABS(Resultados!BD54),ABS(Resultados!BM54),ABS(Resultados!BV54),ABS(Resultados!CE54),ABS(Resultados!CN54),ABS(Resultados!CW54),ABS(Resultados!DF54),ABS(Resultados!DO54),ABS(Resultados!DX54))/SQRT(COUNT(Resultados!B54,Resultados!K54,Resultados!T54,Resultados!AC54,Resultados!AL54,Resultados!AU54,Resultados!BD54,Resultados!BM54,Resultados!BV54,Resultados!CE54,Resultados!CN54,Resultados!CW54,Resultados!DF54,Resultados!DO54,Resultados!DX54)))</f>
        <v/>
      </c>
      <c r="C54">
        <f>IF(COUNT(Resultados!C54,Resultados!L54,Resultados!U54,Resultados!AD54,Resultados!AM54,Resultados!AV54,Resultados!BE54,Resultados!BN54,Resultados!BW54,Resultados!CF54,Resultados!CO54,Resultados!CX54,Resultados!DG54,Resultados!DP54,Resultados!DY54)&lt;=1, "", _xlfn.STDEV.S(ABS(Resultados!C54),ABS(Resultados!L54),ABS(Resultados!U54),ABS(Resultados!AD54),ABS(Resultados!AM54),ABS(Resultados!AV54),ABS(Resultados!BE54),ABS(Resultados!BN54),ABS(Resultados!BW54),ABS(Resultados!CF54),ABS(Resultados!CO54),ABS(Resultados!CX54),ABS(Resultados!DG54),ABS(Resultados!DP54),ABS(Resultados!DY54))/SQRT(COUNT(Resultados!C54,Resultados!L54,Resultados!U54,Resultados!AD54,Resultados!AM54,Resultados!AV54,Resultados!BE54,Resultados!BN54,Resultados!BW54,Resultados!CF54,Resultados!CO54,Resultados!CX54,Resultados!DG54,Resultados!DP54,Resultados!DY54)))</f>
        <v>0.46802523334497581</v>
      </c>
      <c r="D54">
        <f>IF(COUNT(Resultados!D54,Resultados!M54,Resultados!V54,Resultados!AE54,Resultados!AN54,Resultados!AW54,Resultados!BF54,Resultados!BO54,Resultados!BX54,Resultados!CG54,Resultados!CP54,Resultados!CY54,Resultados!DH54,Resultados!DQ54,Resultados!DZ54)&lt;=1, "", _xlfn.STDEV.S(ABS(Resultados!D54),ABS(Resultados!M54),ABS(Resultados!V54),ABS(Resultados!AE54),ABS(Resultados!AN54),ABS(Resultados!AW54),ABS(Resultados!BF54),ABS(Resultados!BO54),ABS(Resultados!BX54),ABS(Resultados!CG54),ABS(Resultados!CP54),ABS(Resultados!CY54),ABS(Resultados!DH54),ABS(Resultados!DQ54),ABS(Resultados!DZ54))/SQRT(COUNT(Resultados!D54,Resultados!M54,Resultados!V54,Resultados!AE54,Resultados!AN54,Resultados!AW54,Resultados!BF54,Resultados!BO54,Resultados!BX54,Resultados!CG54,Resultados!CP54,Resultados!CY54,Resultados!DH54,Resultados!DQ54,Resultados!DZ54)))</f>
        <v>4.1423097613203867E-4</v>
      </c>
      <c r="E54">
        <f>IF(COUNT(Resultados!E54,Resultados!N54,Resultados!W54,Resultados!AF54,Resultados!AO54,Resultados!AX54,Resultados!BG54,Resultados!BP54,Resultados!BY54,Resultados!CH54,Resultados!CQ54,Resultados!CZ54,Resultados!DI54,Resultados!DR54,Resultados!EA54)&lt;=1, "", _xlfn.STDEV.S(ABS(Resultados!E54),ABS(Resultados!N54),ABS(Resultados!W54),ABS(Resultados!AF54),ABS(Resultados!AO54),ABS(Resultados!AX54),ABS(Resultados!BG54),ABS(Resultados!BP54),ABS(Resultados!BY54),ABS(Resultados!CH54),ABS(Resultados!CQ54),ABS(Resultados!CZ54),ABS(Resultados!DI54),ABS(Resultados!DR54),ABS(Resultados!EA54))/SQRT(COUNT(Resultados!E54,Resultados!N54,Resultados!W54,Resultados!AF54,Resultados!AO54,Resultados!AX54,Resultados!BG54,Resultados!BP54,Resultados!BY54,Resultados!CH54,Resultados!CQ54,Resultados!CZ54,Resultados!DI54,Resultados!DR54,Resultados!EA54)))</f>
        <v>9.8974497886463765E-3</v>
      </c>
      <c r="F54">
        <f>IF(COUNT(Resultados!F54,Resultados!O54,Resultados!X54,Resultados!AG54,Resultados!AP54,Resultados!AY54,Resultados!BH54,Resultados!BQ54,Resultados!BZ54,Resultados!CI54,Resultados!CR54,Resultados!DA54,Resultados!DJ54,Resultados!DS54,Resultados!EB54)&lt;=1, "", _xlfn.STDEV.S(ABS(Resultados!F54),ABS(Resultados!O54),ABS(Resultados!X54),ABS(Resultados!AG54),ABS(Resultados!AP54),ABS(Resultados!AY54),ABS(Resultados!BH54),ABS(Resultados!BQ54),ABS(Resultados!BZ54),ABS(Resultados!CI54),ABS(Resultados!CR54),ABS(Resultados!DA54),ABS(Resultados!DJ54),ABS(Resultados!DS54),ABS(Resultados!EB54))/SQRT(COUNT(Resultados!F54,Resultados!O54,Resultados!X54,Resultados!AG54,Resultados!AP54,Resultados!AY54,Resultados!BH54,Resultados!BQ54,Resultados!BZ54,Resultados!CI54,Resultados!CR54,Resultados!DA54,Resultados!DJ54,Resultados!DS54,Resultados!EB54)))</f>
        <v>6.012775451871204</v>
      </c>
      <c r="G54">
        <f>IF(COUNT(Resultados!G54,Resultados!P54,Resultados!Y54,Resultados!AH54,Resultados!AQ54,Resultados!AZ54,Resultados!BI54,Resultados!BR54,Resultados!CA54,Resultados!CJ54,Resultados!CS54,Resultados!DB54,Resultados!DK54,Resultados!DT54,Resultados!EC54)&lt;=1, "", _xlfn.STDEV.S(ABS(Resultados!G54),ABS(Resultados!P54),ABS(Resultados!Y54),ABS(Resultados!AH54),ABS(Resultados!AQ54),ABS(Resultados!AZ54),ABS(Resultados!BI54),ABS(Resultados!BR54),ABS(Resultados!CA54),ABS(Resultados!CJ54),ABS(Resultados!CS54),ABS(Resultados!DB54),ABS(Resultados!DK54),ABS(Resultados!DT54),ABS(Resultados!EC54))/SQRT(COUNT(Resultados!G54,Resultados!P54,Resultados!Y54,Resultados!AH54,Resultados!AQ54,Resultados!AZ54,Resultados!BI54,Resultados!BR54,Resultados!CA54,Resultados!CJ54,Resultados!CS54,Resultados!DB54,Resultados!DK54,Resultados!DT54,Resultados!EC54)))</f>
        <v>4.4507937654163114E-17</v>
      </c>
      <c r="H54">
        <f>IF(COUNT(Resultados!H54,Resultados!Q54,Resultados!Z54,Resultados!AI54,Resultados!AR54,Resultados!BA54,Resultados!BJ54,Resultados!BS54,Resultados!CB54,Resultados!CK54,Resultados!CT54,Resultados!DC54,Resultados!DL54,Resultados!DU54,Resultados!ED54)&lt;=1, "", _xlfn.STDEV.S(ABS(Resultados!H54),ABS(Resultados!Q54),ABS(Resultados!Z54),ABS(Resultados!AI54),ABS(Resultados!AR54),ABS(Resultados!BA54),ABS(Resultados!BJ54),ABS(Resultados!BS54),ABS(Resultados!CB54),ABS(Resultados!CK54),ABS(Resultados!CT54),ABS(Resultados!DC54),ABS(Resultados!DL54),ABS(Resultados!DU54),ABS(Resultados!ED54))/SQRT(COUNT(Resultados!H54,Resultados!Q54,Resultados!Z54,Resultados!AI54,Resultados!AR54,Resultados!BA54,Resultados!BJ54,Resultados!BS54,Resultados!CB54,Resultados!CK54,Resultados!CT54,Resultados!DC54,Resultados!DL54,Resultados!DU54,Resultados!ED54)))</f>
        <v>1.530017117862536E-4</v>
      </c>
      <c r="I54">
        <f>IF(COUNT(Resultados!I54,Resultados!R54,Resultados!AA54,Resultados!AJ54,Resultados!AS54,Resultados!BB54,Resultados!BK54,Resultados!BT54,Resultados!CC54,Resultados!CL54,Resultados!CU54,Resultados!DD54,Resultados!DM54,Resultados!DV54,Resultados!EE54)&lt;=1, "", _xlfn.STDEV.S(ABS(Resultados!I54),ABS(Resultados!R54),ABS(Resultados!AA54),ABS(Resultados!AJ54),ABS(Resultados!AS54),ABS(Resultados!BB54),ABS(Resultados!BK54),ABS(Resultados!BT54),ABS(Resultados!CC54),ABS(Resultados!CL54),ABS(Resultados!CU54),ABS(Resultados!DD54),ABS(Resultados!DM54),ABS(Resultados!DV54),ABS(Resultados!EE54))/SQRT(COUNT(Resultados!I54,Resultados!R54,Resultados!AA54,Resultados!AJ54,Resultados!AS54,Resultados!BB54,Resultados!BK54,Resultados!BT54,Resultados!CC54,Resultados!CL54,Resultados!CU54,Resultados!DD54,Resultados!DM54,Resultados!DV54,Resultados!EE54)))</f>
        <v>7.6624779447634914E-4</v>
      </c>
    </row>
    <row r="55" spans="1:9" x14ac:dyDescent="0.3">
      <c r="A55">
        <f>IF(COUNT(Resultados!A55,Resultados!J55,Resultados!S55,Resultados!AB55,Resultados!AK55,Resultados!AT55,Resultados!BC55,Resultados!BL55,Resultados!BU55,Resultados!CD55,Resultados!CM55,Resultados!CV55,Resultados!DE55,Resultados!DN55,Resultados!DW55)&lt;=1, "", _xlfn.STDEV.S(ABS(Resultados!A55),ABS(Resultados!J55),ABS(Resultados!S55),ABS(Resultados!AB55),ABS(Resultados!AK55),ABS(Resultados!AT55),ABS(Resultados!BC55),ABS(Resultados!BL55),ABS(Resultados!BU55),ABS(Resultados!CD55),ABS(Resultados!CM55),ABS(Resultados!CV55),ABS(Resultados!DE55),ABS(Resultados!DN55),ABS(Resultados!DW55))/SQRT(COUNT(Resultados!A55,Resultados!J55,Resultados!S55,Resultados!AB55,Resultados!AK55,Resultados!AT55,Resultados!BC55,Resultados!BL55,Resultados!BU55,Resultados!CD55,Resultados!CM55,Resultados!CV55,Resultados!DE55,Resultados!DN55,Resultados!DW55)))</f>
        <v>0</v>
      </c>
      <c r="B55" t="str">
        <f>IF(COUNT(Resultados!B55,Resultados!K55,Resultados!T55,Resultados!AC55,Resultados!AL55,Resultados!AU55,Resultados!BD55,Resultados!BM55,Resultados!BV55,Resultados!CE55,Resultados!CN55,Resultados!CW55,Resultados!DF55,Resultados!DO55,Resultados!DX55)&lt;=1, "", _xlfn.STDEV.S(ABS(Resultados!B55),ABS(Resultados!K55),ABS(Resultados!T55),ABS(Resultados!AC55),ABS(Resultados!AL55),ABS(Resultados!AU55),ABS(Resultados!BD55),ABS(Resultados!BM55),ABS(Resultados!BV55),ABS(Resultados!CE55),ABS(Resultados!CN55),ABS(Resultados!CW55),ABS(Resultados!DF55),ABS(Resultados!DO55),ABS(Resultados!DX55))/SQRT(COUNT(Resultados!B55,Resultados!K55,Resultados!T55,Resultados!AC55,Resultados!AL55,Resultados!AU55,Resultados!BD55,Resultados!BM55,Resultados!BV55,Resultados!CE55,Resultados!CN55,Resultados!CW55,Resultados!DF55,Resultados!DO55,Resultados!DX55)))</f>
        <v/>
      </c>
      <c r="C55">
        <f>IF(COUNT(Resultados!C55,Resultados!L55,Resultados!U55,Resultados!AD55,Resultados!AM55,Resultados!AV55,Resultados!BE55,Resultados!BN55,Resultados!BW55,Resultados!CF55,Resultados!CO55,Resultados!CX55,Resultados!DG55,Resultados!DP55,Resultados!DY55)&lt;=1, "", _xlfn.STDEV.S(ABS(Resultados!C55),ABS(Resultados!L55),ABS(Resultados!U55),ABS(Resultados!AD55),ABS(Resultados!AM55),ABS(Resultados!AV55),ABS(Resultados!BE55),ABS(Resultados!BN55),ABS(Resultados!BW55),ABS(Resultados!CF55),ABS(Resultados!CO55),ABS(Resultados!CX55),ABS(Resultados!DG55),ABS(Resultados!DP55),ABS(Resultados!DY55))/SQRT(COUNT(Resultados!C55,Resultados!L55,Resultados!U55,Resultados!AD55,Resultados!AM55,Resultados!AV55,Resultados!BE55,Resultados!BN55,Resultados!BW55,Resultados!CF55,Resultados!CO55,Resultados!CX55,Resultados!DG55,Resultados!DP55,Resultados!DY55)))</f>
        <v>0.46802523334497581</v>
      </c>
      <c r="D55">
        <f>IF(COUNT(Resultados!D55,Resultados!M55,Resultados!V55,Resultados!AE55,Resultados!AN55,Resultados!AW55,Resultados!BF55,Resultados!BO55,Resultados!BX55,Resultados!CG55,Resultados!CP55,Resultados!CY55,Resultados!DH55,Resultados!DQ55,Resultados!DZ55)&lt;=1, "", _xlfn.STDEV.S(ABS(Resultados!D55),ABS(Resultados!M55),ABS(Resultados!V55),ABS(Resultados!AE55),ABS(Resultados!AN55),ABS(Resultados!AW55),ABS(Resultados!BF55),ABS(Resultados!BO55),ABS(Resultados!BX55),ABS(Resultados!CG55),ABS(Resultados!CP55),ABS(Resultados!CY55),ABS(Resultados!DH55),ABS(Resultados!DQ55),ABS(Resultados!DZ55))/SQRT(COUNT(Resultados!D55,Resultados!M55,Resultados!V55,Resultados!AE55,Resultados!AN55,Resultados!AW55,Resultados!BF55,Resultados!BO55,Resultados!BX55,Resultados!CG55,Resultados!CP55,Resultados!CY55,Resultados!DH55,Resultados!DQ55,Resultados!DZ55)))</f>
        <v>2.1093894399858485E-4</v>
      </c>
      <c r="E55">
        <f>IF(COUNT(Resultados!E55,Resultados!N55,Resultados!W55,Resultados!AF55,Resultados!AO55,Resultados!AX55,Resultados!BG55,Resultados!BP55,Resultados!BY55,Resultados!CH55,Resultados!CQ55,Resultados!CZ55,Resultados!DI55,Resultados!DR55,Resultados!EA55)&lt;=1, "", _xlfn.STDEV.S(ABS(Resultados!E55),ABS(Resultados!N55),ABS(Resultados!W55),ABS(Resultados!AF55),ABS(Resultados!AO55),ABS(Resultados!AX55),ABS(Resultados!BG55),ABS(Resultados!BP55),ABS(Resultados!BY55),ABS(Resultados!CH55),ABS(Resultados!CQ55),ABS(Resultados!CZ55),ABS(Resultados!DI55),ABS(Resultados!DR55),ABS(Resultados!EA55))/SQRT(COUNT(Resultados!E55,Resultados!N55,Resultados!W55,Resultados!AF55,Resultados!AO55,Resultados!AX55,Resultados!BG55,Resultados!BP55,Resultados!BY55,Resultados!CH55,Resultados!CQ55,Resultados!CZ55,Resultados!DI55,Resultados!DR55,Resultados!EA55)))</f>
        <v>1.0085173725839249E-2</v>
      </c>
      <c r="F55">
        <f>IF(COUNT(Resultados!F55,Resultados!O55,Resultados!X55,Resultados!AG55,Resultados!AP55,Resultados!AY55,Resultados!BH55,Resultados!BQ55,Resultados!BZ55,Resultados!CI55,Resultados!CR55,Resultados!DA55,Resultados!DJ55,Resultados!DS55,Resultados!EB55)&lt;=1, "", _xlfn.STDEV.S(ABS(Resultados!F55),ABS(Resultados!O55),ABS(Resultados!X55),ABS(Resultados!AG55),ABS(Resultados!AP55),ABS(Resultados!AY55),ABS(Resultados!BH55),ABS(Resultados!BQ55),ABS(Resultados!BZ55),ABS(Resultados!CI55),ABS(Resultados!CR55),ABS(Resultados!DA55),ABS(Resultados!DJ55),ABS(Resultados!DS55),ABS(Resultados!EB55))/SQRT(COUNT(Resultados!F55,Resultados!O55,Resultados!X55,Resultados!AG55,Resultados!AP55,Resultados!AY55,Resultados!BH55,Resultados!BQ55,Resultados!BZ55,Resultados!CI55,Resultados!CR55,Resultados!DA55,Resultados!DJ55,Resultados!DS55,Resultados!EB55)))</f>
        <v>7.8906471277099621</v>
      </c>
      <c r="G55">
        <f>IF(COUNT(Resultados!G55,Resultados!P55,Resultados!Y55,Resultados!AH55,Resultados!AQ55,Resultados!AZ55,Resultados!BI55,Resultados!BR55,Resultados!CA55,Resultados!CJ55,Resultados!CS55,Resultados!DB55,Resultados!DK55,Resultados!DT55,Resultados!EC55)&lt;=1, "", _xlfn.STDEV.S(ABS(Resultados!G55),ABS(Resultados!P55),ABS(Resultados!Y55),ABS(Resultados!AH55),ABS(Resultados!AQ55),ABS(Resultados!AZ55),ABS(Resultados!BI55),ABS(Resultados!BR55),ABS(Resultados!CA55),ABS(Resultados!CJ55),ABS(Resultados!CS55),ABS(Resultados!DB55),ABS(Resultados!DK55),ABS(Resultados!DT55),ABS(Resultados!EC55))/SQRT(COUNT(Resultados!G55,Resultados!P55,Resultados!Y55,Resultados!AH55,Resultados!AQ55,Resultados!AZ55,Resultados!BI55,Resultados!BR55,Resultados!CA55,Resultados!CJ55,Resultados!CS55,Resultados!DB55,Resultados!DK55,Resultados!DT55,Resultados!EC55)))</f>
        <v>4.4507937654163114E-17</v>
      </c>
      <c r="H55">
        <f>IF(COUNT(Resultados!H55,Resultados!Q55,Resultados!Z55,Resultados!AI55,Resultados!AR55,Resultados!BA55,Resultados!BJ55,Resultados!BS55,Resultados!CB55,Resultados!CK55,Resultados!CT55,Resultados!DC55,Resultados!DL55,Resultados!DU55,Resultados!ED55)&lt;=1, "", _xlfn.STDEV.S(ABS(Resultados!H55),ABS(Resultados!Q55),ABS(Resultados!Z55),ABS(Resultados!AI55),ABS(Resultados!AR55),ABS(Resultados!BA55),ABS(Resultados!BJ55),ABS(Resultados!BS55),ABS(Resultados!CB55),ABS(Resultados!CK55),ABS(Resultados!CT55),ABS(Resultados!DC55),ABS(Resultados!DL55),ABS(Resultados!DU55),ABS(Resultados!ED55))/SQRT(COUNT(Resultados!H55,Resultados!Q55,Resultados!Z55,Resultados!AI55,Resultados!AR55,Resultados!BA55,Resultados!BJ55,Resultados!BS55,Resultados!CB55,Resultados!CK55,Resultados!CT55,Resultados!DC55,Resultados!DL55,Resultados!DU55,Resultados!ED55)))</f>
        <v>1.5512411825210174E-4</v>
      </c>
      <c r="I55">
        <f>IF(COUNT(Resultados!I55,Resultados!R55,Resultados!AA55,Resultados!AJ55,Resultados!AS55,Resultados!BB55,Resultados!BK55,Resultados!BT55,Resultados!CC55,Resultados!CL55,Resultados!CU55,Resultados!DD55,Resultados!DM55,Resultados!DV55,Resultados!EE55)&lt;=1, "", _xlfn.STDEV.S(ABS(Resultados!I55),ABS(Resultados!R55),ABS(Resultados!AA55),ABS(Resultados!AJ55),ABS(Resultados!AS55),ABS(Resultados!BB55),ABS(Resultados!BK55),ABS(Resultados!BT55),ABS(Resultados!CC55),ABS(Resultados!CL55),ABS(Resultados!CU55),ABS(Resultados!DD55),ABS(Resultados!DM55),ABS(Resultados!DV55),ABS(Resultados!EE55))/SQRT(COUNT(Resultados!I55,Resultados!R55,Resultados!AA55,Resultados!AJ55,Resultados!AS55,Resultados!BB55,Resultados!BK55,Resultados!BT55,Resultados!CC55,Resultados!CL55,Resultados!CU55,Resultados!DD55,Resultados!DM55,Resultados!DV55,Resultados!EE55)))</f>
        <v>7.196420185912435E-4</v>
      </c>
    </row>
    <row r="56" spans="1:9" x14ac:dyDescent="0.3">
      <c r="A56">
        <f>IF(COUNT(Resultados!A56,Resultados!J56,Resultados!S56,Resultados!AB56,Resultados!AK56,Resultados!AT56,Resultados!BC56,Resultados!BL56,Resultados!BU56,Resultados!CD56,Resultados!CM56,Resultados!CV56,Resultados!DE56,Resultados!DN56,Resultados!DW56)&lt;=1, "", _xlfn.STDEV.S(ABS(Resultados!A56),ABS(Resultados!J56),ABS(Resultados!S56),ABS(Resultados!AB56),ABS(Resultados!AK56),ABS(Resultados!AT56),ABS(Resultados!BC56),ABS(Resultados!BL56),ABS(Resultados!BU56),ABS(Resultados!CD56),ABS(Resultados!CM56),ABS(Resultados!CV56),ABS(Resultados!DE56),ABS(Resultados!DN56),ABS(Resultados!DW56))/SQRT(COUNT(Resultados!A56,Resultados!J56,Resultados!S56,Resultados!AB56,Resultados!AK56,Resultados!AT56,Resultados!BC56,Resultados!BL56,Resultados!BU56,Resultados!CD56,Resultados!CM56,Resultados!CV56,Resultados!DE56,Resultados!DN56,Resultados!DW56)))</f>
        <v>0</v>
      </c>
      <c r="B56" t="str">
        <f>IF(COUNT(Resultados!B56,Resultados!K56,Resultados!T56,Resultados!AC56,Resultados!AL56,Resultados!AU56,Resultados!BD56,Resultados!BM56,Resultados!BV56,Resultados!CE56,Resultados!CN56,Resultados!CW56,Resultados!DF56,Resultados!DO56,Resultados!DX56)&lt;=1, "", _xlfn.STDEV.S(ABS(Resultados!B56),ABS(Resultados!K56),ABS(Resultados!T56),ABS(Resultados!AC56),ABS(Resultados!AL56),ABS(Resultados!AU56),ABS(Resultados!BD56),ABS(Resultados!BM56),ABS(Resultados!BV56),ABS(Resultados!CE56),ABS(Resultados!CN56),ABS(Resultados!CW56),ABS(Resultados!DF56),ABS(Resultados!DO56),ABS(Resultados!DX56))/SQRT(COUNT(Resultados!B56,Resultados!K56,Resultados!T56,Resultados!AC56,Resultados!AL56,Resultados!AU56,Resultados!BD56,Resultados!BM56,Resultados!BV56,Resultados!CE56,Resultados!CN56,Resultados!CW56,Resultados!DF56,Resultados!DO56,Resultados!DX56)))</f>
        <v/>
      </c>
      <c r="C56">
        <f>IF(COUNT(Resultados!C56,Resultados!L56,Resultados!U56,Resultados!AD56,Resultados!AM56,Resultados!AV56,Resultados!BE56,Resultados!BN56,Resultados!BW56,Resultados!CF56,Resultados!CO56,Resultados!CX56,Resultados!DG56,Resultados!DP56,Resultados!DY56)&lt;=1, "", _xlfn.STDEV.S(ABS(Resultados!C56),ABS(Resultados!L56),ABS(Resultados!U56),ABS(Resultados!AD56),ABS(Resultados!AM56),ABS(Resultados!AV56),ABS(Resultados!BE56),ABS(Resultados!BN56),ABS(Resultados!BW56),ABS(Resultados!CF56),ABS(Resultados!CO56),ABS(Resultados!CX56),ABS(Resultados!DG56),ABS(Resultados!DP56),ABS(Resultados!DY56))/SQRT(COUNT(Resultados!C56,Resultados!L56,Resultados!U56,Resultados!AD56,Resultados!AM56,Resultados!AV56,Resultados!BE56,Resultados!BN56,Resultados!BW56,Resultados!CF56,Resultados!CO56,Resultados!CX56,Resultados!DG56,Resultados!DP56,Resultados!DY56)))</f>
        <v>0.46802523334497581</v>
      </c>
      <c r="D56">
        <f>IF(COUNT(Resultados!D56,Resultados!M56,Resultados!V56,Resultados!AE56,Resultados!AN56,Resultados!AW56,Resultados!BF56,Resultados!BO56,Resultados!BX56,Resultados!CG56,Resultados!CP56,Resultados!CY56,Resultados!DH56,Resultados!DQ56,Resultados!DZ56)&lt;=1, "", _xlfn.STDEV.S(ABS(Resultados!D56),ABS(Resultados!M56),ABS(Resultados!V56),ABS(Resultados!AE56),ABS(Resultados!AN56),ABS(Resultados!AW56),ABS(Resultados!BF56),ABS(Resultados!BO56),ABS(Resultados!BX56),ABS(Resultados!CG56),ABS(Resultados!CP56),ABS(Resultados!CY56),ABS(Resultados!DH56),ABS(Resultados!DQ56),ABS(Resultados!DZ56))/SQRT(COUNT(Resultados!D56,Resultados!M56,Resultados!V56,Resultados!AE56,Resultados!AN56,Resultados!AW56,Resultados!BF56,Resultados!BO56,Resultados!BX56,Resultados!CG56,Resultados!CP56,Resultados!CY56,Resultados!DH56,Resultados!DQ56,Resultados!DZ56)))</f>
        <v>4.5565233195831164E-5</v>
      </c>
      <c r="E56">
        <f>IF(COUNT(Resultados!E56,Resultados!N56,Resultados!W56,Resultados!AF56,Resultados!AO56,Resultados!AX56,Resultados!BG56,Resultados!BP56,Resultados!BY56,Resultados!CH56,Resultados!CQ56,Resultados!CZ56,Resultados!DI56,Resultados!DR56,Resultados!EA56)&lt;=1, "", _xlfn.STDEV.S(ABS(Resultados!E56),ABS(Resultados!N56),ABS(Resultados!W56),ABS(Resultados!AF56),ABS(Resultados!AO56),ABS(Resultados!AX56),ABS(Resultados!BG56),ABS(Resultados!BP56),ABS(Resultados!BY56),ABS(Resultados!CH56),ABS(Resultados!CQ56),ABS(Resultados!CZ56),ABS(Resultados!DI56),ABS(Resultados!DR56),ABS(Resultados!EA56))/SQRT(COUNT(Resultados!E56,Resultados!N56,Resultados!W56,Resultados!AF56,Resultados!AO56,Resultados!AX56,Resultados!BG56,Resultados!BP56,Resultados!BY56,Resultados!CH56,Resultados!CQ56,Resultados!CZ56,Resultados!DI56,Resultados!DR56,Resultados!EA56)))</f>
        <v>2.9008820044136671E-2</v>
      </c>
      <c r="F56">
        <f>IF(COUNT(Resultados!F56,Resultados!O56,Resultados!X56,Resultados!AG56,Resultados!AP56,Resultados!AY56,Resultados!BH56,Resultados!BQ56,Resultados!BZ56,Resultados!CI56,Resultados!CR56,Resultados!DA56,Resultados!DJ56,Resultados!DS56,Resultados!EB56)&lt;=1, "", _xlfn.STDEV.S(ABS(Resultados!F56),ABS(Resultados!O56),ABS(Resultados!X56),ABS(Resultados!AG56),ABS(Resultados!AP56),ABS(Resultados!AY56),ABS(Resultados!BH56),ABS(Resultados!BQ56),ABS(Resultados!BZ56),ABS(Resultados!CI56),ABS(Resultados!CR56),ABS(Resultados!DA56),ABS(Resultados!DJ56),ABS(Resultados!DS56),ABS(Resultados!EB56))/SQRT(COUNT(Resultados!F56,Resultados!O56,Resultados!X56,Resultados!AG56,Resultados!AP56,Resultados!AY56,Resultados!BH56,Resultados!BQ56,Resultados!BZ56,Resultados!CI56,Resultados!CR56,Resultados!DA56,Resultados!DJ56,Resultados!DS56,Resultados!EB56)))</f>
        <v>9.6655367119129849</v>
      </c>
      <c r="G56">
        <f>IF(COUNT(Resultados!G56,Resultados!P56,Resultados!Y56,Resultados!AH56,Resultados!AQ56,Resultados!AZ56,Resultados!BI56,Resultados!BR56,Resultados!CA56,Resultados!CJ56,Resultados!CS56,Resultados!DB56,Resultados!DK56,Resultados!DT56,Resultados!EC56)&lt;=1, "", _xlfn.STDEV.S(ABS(Resultados!G56),ABS(Resultados!P56),ABS(Resultados!Y56),ABS(Resultados!AH56),ABS(Resultados!AQ56),ABS(Resultados!AZ56),ABS(Resultados!BI56),ABS(Resultados!BR56),ABS(Resultados!CA56),ABS(Resultados!CJ56),ABS(Resultados!CS56),ABS(Resultados!DB56),ABS(Resultados!DK56),ABS(Resultados!DT56),ABS(Resultados!EC56))/SQRT(COUNT(Resultados!G56,Resultados!P56,Resultados!Y56,Resultados!AH56,Resultados!AQ56,Resultados!AZ56,Resultados!BI56,Resultados!BR56,Resultados!CA56,Resultados!CJ56,Resultados!CS56,Resultados!DB56,Resultados!DK56,Resultados!DT56,Resultados!EC56)))</f>
        <v>4.4507937654163114E-17</v>
      </c>
      <c r="H56">
        <f>IF(COUNT(Resultados!H56,Resultados!Q56,Resultados!Z56,Resultados!AI56,Resultados!AR56,Resultados!BA56,Resultados!BJ56,Resultados!BS56,Resultados!CB56,Resultados!CK56,Resultados!CT56,Resultados!DC56,Resultados!DL56,Resultados!DU56,Resultados!ED56)&lt;=1, "", _xlfn.STDEV.S(ABS(Resultados!H56),ABS(Resultados!Q56),ABS(Resultados!Z56),ABS(Resultados!AI56),ABS(Resultados!AR56),ABS(Resultados!BA56),ABS(Resultados!BJ56),ABS(Resultados!BS56),ABS(Resultados!CB56),ABS(Resultados!CK56),ABS(Resultados!CT56),ABS(Resultados!DC56),ABS(Resultados!DL56),ABS(Resultados!DU56),ABS(Resultados!ED56))/SQRT(COUNT(Resultados!H56,Resultados!Q56,Resultados!Z56,Resultados!AI56,Resultados!AR56,Resultados!BA56,Resultados!BJ56,Resultados!BS56,Resultados!CB56,Resultados!CK56,Resultados!CT56,Resultados!DC56,Resultados!DL56,Resultados!DU56,Resultados!ED56)))</f>
        <v>4.5122760244287934E-4</v>
      </c>
      <c r="I56">
        <f>IF(COUNT(Resultados!I56,Resultados!R56,Resultados!AA56,Resultados!AJ56,Resultados!AS56,Resultados!BB56,Resultados!BK56,Resultados!BT56,Resultados!CC56,Resultados!CL56,Resultados!CU56,Resultados!DD56,Resultados!DM56,Resultados!DV56,Resultados!EE56)&lt;=1, "", _xlfn.STDEV.S(ABS(Resultados!I56),ABS(Resultados!R56),ABS(Resultados!AA56),ABS(Resultados!AJ56),ABS(Resultados!AS56),ABS(Resultados!BB56),ABS(Resultados!BK56),ABS(Resultados!BT56),ABS(Resultados!CC56),ABS(Resultados!CL56),ABS(Resultados!CU56),ABS(Resultados!DD56),ABS(Resultados!DM56),ABS(Resultados!DV56),ABS(Resultados!EE56))/SQRT(COUNT(Resultados!I56,Resultados!R56,Resultados!AA56,Resultados!AJ56,Resultados!AS56,Resultados!BB56,Resultados!BK56,Resultados!BT56,Resultados!CC56,Resultados!CL56,Resultados!CU56,Resultados!DD56,Resultados!DM56,Resultados!DV56,Resultados!EE56)))</f>
        <v>7.3746894473279798E-4</v>
      </c>
    </row>
    <row r="57" spans="1:9" x14ac:dyDescent="0.3">
      <c r="A57">
        <f>IF(COUNT(Resultados!A57,Resultados!J57,Resultados!S57,Resultados!AB57,Resultados!AK57,Resultados!AT57,Resultados!BC57,Resultados!BL57,Resultados!BU57,Resultados!CD57,Resultados!CM57,Resultados!CV57,Resultados!DE57,Resultados!DN57,Resultados!DW57)&lt;=1, "", _xlfn.STDEV.S(ABS(Resultados!A57),ABS(Resultados!J57),ABS(Resultados!S57),ABS(Resultados!AB57),ABS(Resultados!AK57),ABS(Resultados!AT57),ABS(Resultados!BC57),ABS(Resultados!BL57),ABS(Resultados!BU57),ABS(Resultados!CD57),ABS(Resultados!CM57),ABS(Resultados!CV57),ABS(Resultados!DE57),ABS(Resultados!DN57),ABS(Resultados!DW57))/SQRT(COUNT(Resultados!A57,Resultados!J57,Resultados!S57,Resultados!AB57,Resultados!AK57,Resultados!AT57,Resultados!BC57,Resultados!BL57,Resultados!BU57,Resultados!CD57,Resultados!CM57,Resultados!CV57,Resultados!DE57,Resultados!DN57,Resultados!DW57)))</f>
        <v>0</v>
      </c>
      <c r="B57" t="str">
        <f>IF(COUNT(Resultados!B57,Resultados!K57,Resultados!T57,Resultados!AC57,Resultados!AL57,Resultados!AU57,Resultados!BD57,Resultados!BM57,Resultados!BV57,Resultados!CE57,Resultados!CN57,Resultados!CW57,Resultados!DF57,Resultados!DO57,Resultados!DX57)&lt;=1, "", _xlfn.STDEV.S(ABS(Resultados!B57),ABS(Resultados!K57),ABS(Resultados!T57),ABS(Resultados!AC57),ABS(Resultados!AL57),ABS(Resultados!AU57),ABS(Resultados!BD57),ABS(Resultados!BM57),ABS(Resultados!BV57),ABS(Resultados!CE57),ABS(Resultados!CN57),ABS(Resultados!CW57),ABS(Resultados!DF57),ABS(Resultados!DO57),ABS(Resultados!DX57))/SQRT(COUNT(Resultados!B57,Resultados!K57,Resultados!T57,Resultados!AC57,Resultados!AL57,Resultados!AU57,Resultados!BD57,Resultados!BM57,Resultados!BV57,Resultados!CE57,Resultados!CN57,Resultados!CW57,Resultados!DF57,Resultados!DO57,Resultados!DX57)))</f>
        <v/>
      </c>
      <c r="C57">
        <f>IF(COUNT(Resultados!C57,Resultados!L57,Resultados!U57,Resultados!AD57,Resultados!AM57,Resultados!AV57,Resultados!BE57,Resultados!BN57,Resultados!BW57,Resultados!CF57,Resultados!CO57,Resultados!CX57,Resultados!DG57,Resultados!DP57,Resultados!DY57)&lt;=1, "", _xlfn.STDEV.S(ABS(Resultados!C57),ABS(Resultados!L57),ABS(Resultados!U57),ABS(Resultados!AD57),ABS(Resultados!AM57),ABS(Resultados!AV57),ABS(Resultados!BE57),ABS(Resultados!BN57),ABS(Resultados!BW57),ABS(Resultados!CF57),ABS(Resultados!CO57),ABS(Resultados!CX57),ABS(Resultados!DG57),ABS(Resultados!DP57),ABS(Resultados!DY57))/SQRT(COUNT(Resultados!C57,Resultados!L57,Resultados!U57,Resultados!AD57,Resultados!AM57,Resultados!AV57,Resultados!BE57,Resultados!BN57,Resultados!BW57,Resultados!CF57,Resultados!CO57,Resultados!CX57,Resultados!DG57,Resultados!DP57,Resultados!DY57)))</f>
        <v>0.46802523334497581</v>
      </c>
      <c r="D57">
        <f>IF(COUNT(Resultados!D57,Resultados!M57,Resultados!V57,Resultados!AE57,Resultados!AN57,Resultados!AW57,Resultados!BF57,Resultados!BO57,Resultados!BX57,Resultados!CG57,Resultados!CP57,Resultados!CY57,Resultados!DH57,Resultados!DQ57,Resultados!DZ57)&lt;=1, "", _xlfn.STDEV.S(ABS(Resultados!D57),ABS(Resultados!M57),ABS(Resultados!V57),ABS(Resultados!AE57),ABS(Resultados!AN57),ABS(Resultados!AW57),ABS(Resultados!BF57),ABS(Resultados!BO57),ABS(Resultados!BX57),ABS(Resultados!CG57),ABS(Resultados!CP57),ABS(Resultados!CY57),ABS(Resultados!DH57),ABS(Resultados!DQ57),ABS(Resultados!DZ57))/SQRT(COUNT(Resultados!D57,Resultados!M57,Resultados!V57,Resultados!AE57,Resultados!AN57,Resultados!AW57,Resultados!BF57,Resultados!BO57,Resultados!BX57,Resultados!CG57,Resultados!CP57,Resultados!CY57,Resultados!DH57,Resultados!DQ57,Resultados!DZ57)))</f>
        <v>1.739914247111502E-4</v>
      </c>
      <c r="E57">
        <f>IF(COUNT(Resultados!E57,Resultados!N57,Resultados!W57,Resultados!AF57,Resultados!AO57,Resultados!AX57,Resultados!BG57,Resultados!BP57,Resultados!BY57,Resultados!CH57,Resultados!CQ57,Resultados!CZ57,Resultados!DI57,Resultados!DR57,Resultados!EA57)&lt;=1, "", _xlfn.STDEV.S(ABS(Resultados!E57),ABS(Resultados!N57),ABS(Resultados!W57),ABS(Resultados!AF57),ABS(Resultados!AO57),ABS(Resultados!AX57),ABS(Resultados!BG57),ABS(Resultados!BP57),ABS(Resultados!BY57),ABS(Resultados!CH57),ABS(Resultados!CQ57),ABS(Resultados!CZ57),ABS(Resultados!DI57),ABS(Resultados!DR57),ABS(Resultados!EA57))/SQRT(COUNT(Resultados!E57,Resultados!N57,Resultados!W57,Resultados!AF57,Resultados!AO57,Resultados!AX57,Resultados!BG57,Resultados!BP57,Resultados!BY57,Resultados!CH57,Resultados!CQ57,Resultados!CZ57,Resultados!DI57,Resultados!DR57,Resultados!EA57)))</f>
        <v>4.5138070158561569E-2</v>
      </c>
      <c r="F57">
        <f>IF(COUNT(Resultados!F57,Resultados!O57,Resultados!X57,Resultados!AG57,Resultados!AP57,Resultados!AY57,Resultados!BH57,Resultados!BQ57,Resultados!BZ57,Resultados!CI57,Resultados!CR57,Resultados!DA57,Resultados!DJ57,Resultados!DS57,Resultados!EB57)&lt;=1, "", _xlfn.STDEV.S(ABS(Resultados!F57),ABS(Resultados!O57),ABS(Resultados!X57),ABS(Resultados!AG57),ABS(Resultados!AP57),ABS(Resultados!AY57),ABS(Resultados!BH57),ABS(Resultados!BQ57),ABS(Resultados!BZ57),ABS(Resultados!CI57),ABS(Resultados!CR57),ABS(Resultados!DA57),ABS(Resultados!DJ57),ABS(Resultados!DS57),ABS(Resultados!EB57))/SQRT(COUNT(Resultados!F57,Resultados!O57,Resultados!X57,Resultados!AG57,Resultados!AP57,Resultados!AY57,Resultados!BH57,Resultados!BQ57,Resultados!BZ57,Resultados!CI57,Resultados!CR57,Resultados!DA57,Resultados!DJ57,Resultados!DS57,Resultados!EB57)))</f>
        <v>11.172711017239303</v>
      </c>
      <c r="G57">
        <f>IF(COUNT(Resultados!G57,Resultados!P57,Resultados!Y57,Resultados!AH57,Resultados!AQ57,Resultados!AZ57,Resultados!BI57,Resultados!BR57,Resultados!CA57,Resultados!CJ57,Resultados!CS57,Resultados!DB57,Resultados!DK57,Resultados!DT57,Resultados!EC57)&lt;=1, "", _xlfn.STDEV.S(ABS(Resultados!G57),ABS(Resultados!P57),ABS(Resultados!Y57),ABS(Resultados!AH57),ABS(Resultados!AQ57),ABS(Resultados!AZ57),ABS(Resultados!BI57),ABS(Resultados!BR57),ABS(Resultados!CA57),ABS(Resultados!CJ57),ABS(Resultados!CS57),ABS(Resultados!DB57),ABS(Resultados!DK57),ABS(Resultados!DT57),ABS(Resultados!EC57))/SQRT(COUNT(Resultados!G57,Resultados!P57,Resultados!Y57,Resultados!AH57,Resultados!AQ57,Resultados!AZ57,Resultados!BI57,Resultados!BR57,Resultados!CA57,Resultados!CJ57,Resultados!CS57,Resultados!DB57,Resultados!DK57,Resultados!DT57,Resultados!EC57)))</f>
        <v>4.4507937654163114E-17</v>
      </c>
      <c r="H57">
        <f>IF(COUNT(Resultados!H57,Resultados!Q57,Resultados!Z57,Resultados!AI57,Resultados!AR57,Resultados!BA57,Resultados!BJ57,Resultados!BS57,Resultados!CB57,Resultados!CK57,Resultados!CT57,Resultados!DC57,Resultados!DL57,Resultados!DU57,Resultados!ED57)&lt;=1, "", _xlfn.STDEV.S(ABS(Resultados!H57),ABS(Resultados!Q57),ABS(Resultados!Z57),ABS(Resultados!AI57),ABS(Resultados!AR57),ABS(Resultados!BA57),ABS(Resultados!BJ57),ABS(Resultados!BS57),ABS(Resultados!CB57),ABS(Resultados!CK57),ABS(Resultados!CT57),ABS(Resultados!DC57),ABS(Resultados!DL57),ABS(Resultados!DU57),ABS(Resultados!ED57))/SQRT(COUNT(Resultados!H57,Resultados!Q57,Resultados!Z57,Resultados!AI57,Resultados!AR57,Resultados!BA57,Resultados!BJ57,Resultados!BS57,Resultados!CB57,Resultados!CK57,Resultados!CT57,Resultados!DC57,Resultados!DL57,Resultados!DU57,Resultados!ED57)))</f>
        <v>7.0150857850370294E-4</v>
      </c>
      <c r="I57">
        <f>IF(COUNT(Resultados!I57,Resultados!R57,Resultados!AA57,Resultados!AJ57,Resultados!AS57,Resultados!BB57,Resultados!BK57,Resultados!BT57,Resultados!CC57,Resultados!CL57,Resultados!CU57,Resultados!DD57,Resultados!DM57,Resultados!DV57,Resultados!EE57)&lt;=1, "", _xlfn.STDEV.S(ABS(Resultados!I57),ABS(Resultados!R57),ABS(Resultados!AA57),ABS(Resultados!AJ57),ABS(Resultados!AS57),ABS(Resultados!BB57),ABS(Resultados!BK57),ABS(Resultados!BT57),ABS(Resultados!CC57),ABS(Resultados!CL57),ABS(Resultados!CU57),ABS(Resultados!DD57),ABS(Resultados!DM57),ABS(Resultados!DV57),ABS(Resultados!EE57))/SQRT(COUNT(Resultados!I57,Resultados!R57,Resultados!AA57,Resultados!AJ57,Resultados!AS57,Resultados!BB57,Resultados!BK57,Resultados!BT57,Resultados!CC57,Resultados!CL57,Resultados!CU57,Resultados!DD57,Resultados!DM57,Resultados!DV57,Resultados!EE57)))</f>
        <v>6.1379304717752248E-4</v>
      </c>
    </row>
    <row r="58" spans="1:9" x14ac:dyDescent="0.3">
      <c r="A58">
        <f>IF(COUNT(Resultados!A58,Resultados!J58,Resultados!S58,Resultados!AB58,Resultados!AK58,Resultados!AT58,Resultados!BC58,Resultados!BL58,Resultados!BU58,Resultados!CD58,Resultados!CM58,Resultados!CV58,Resultados!DE58,Resultados!DN58,Resultados!DW58)&lt;=1, "", _xlfn.STDEV.S(ABS(Resultados!A58),ABS(Resultados!J58),ABS(Resultados!S58),ABS(Resultados!AB58),ABS(Resultados!AK58),ABS(Resultados!AT58),ABS(Resultados!BC58),ABS(Resultados!BL58),ABS(Resultados!BU58),ABS(Resultados!CD58),ABS(Resultados!CM58),ABS(Resultados!CV58),ABS(Resultados!DE58),ABS(Resultados!DN58),ABS(Resultados!DW58))/SQRT(COUNT(Resultados!A58,Resultados!J58,Resultados!S58,Resultados!AB58,Resultados!AK58,Resultados!AT58,Resultados!BC58,Resultados!BL58,Resultados!BU58,Resultados!CD58,Resultados!CM58,Resultados!CV58,Resultados!DE58,Resultados!DN58,Resultados!DW58)))</f>
        <v>0</v>
      </c>
      <c r="B58" t="str">
        <f>IF(COUNT(Resultados!B58,Resultados!K58,Resultados!T58,Resultados!AC58,Resultados!AL58,Resultados!AU58,Resultados!BD58,Resultados!BM58,Resultados!BV58,Resultados!CE58,Resultados!CN58,Resultados!CW58,Resultados!DF58,Resultados!DO58,Resultados!DX58)&lt;=1, "", _xlfn.STDEV.S(ABS(Resultados!B58),ABS(Resultados!K58),ABS(Resultados!T58),ABS(Resultados!AC58),ABS(Resultados!AL58),ABS(Resultados!AU58),ABS(Resultados!BD58),ABS(Resultados!BM58),ABS(Resultados!BV58),ABS(Resultados!CE58),ABS(Resultados!CN58),ABS(Resultados!CW58),ABS(Resultados!DF58),ABS(Resultados!DO58),ABS(Resultados!DX58))/SQRT(COUNT(Resultados!B58,Resultados!K58,Resultados!T58,Resultados!AC58,Resultados!AL58,Resultados!AU58,Resultados!BD58,Resultados!BM58,Resultados!BV58,Resultados!CE58,Resultados!CN58,Resultados!CW58,Resultados!DF58,Resultados!DO58,Resultados!DX58)))</f>
        <v/>
      </c>
      <c r="C58">
        <f>IF(COUNT(Resultados!C58,Resultados!L58,Resultados!U58,Resultados!AD58,Resultados!AM58,Resultados!AV58,Resultados!BE58,Resultados!BN58,Resultados!BW58,Resultados!CF58,Resultados!CO58,Resultados!CX58,Resultados!DG58,Resultados!DP58,Resultados!DY58)&lt;=1, "", _xlfn.STDEV.S(ABS(Resultados!C58),ABS(Resultados!L58),ABS(Resultados!U58),ABS(Resultados!AD58),ABS(Resultados!AM58),ABS(Resultados!AV58),ABS(Resultados!BE58),ABS(Resultados!BN58),ABS(Resultados!BW58),ABS(Resultados!CF58),ABS(Resultados!CO58),ABS(Resultados!CX58),ABS(Resultados!DG58),ABS(Resultados!DP58),ABS(Resultados!DY58))/SQRT(COUNT(Resultados!C58,Resultados!L58,Resultados!U58,Resultados!AD58,Resultados!AM58,Resultados!AV58,Resultados!BE58,Resultados!BN58,Resultados!BW58,Resultados!CF58,Resultados!CO58,Resultados!CX58,Resultados!DG58,Resultados!DP58,Resultados!DY58)))</f>
        <v>0.46802523334497581</v>
      </c>
      <c r="D58">
        <f>IF(COUNT(Resultados!D58,Resultados!M58,Resultados!V58,Resultados!AE58,Resultados!AN58,Resultados!AW58,Resultados!BF58,Resultados!BO58,Resultados!BX58,Resultados!CG58,Resultados!CP58,Resultados!CY58,Resultados!DH58,Resultados!DQ58,Resultados!DZ58)&lt;=1, "", _xlfn.STDEV.S(ABS(Resultados!D58),ABS(Resultados!M58),ABS(Resultados!V58),ABS(Resultados!AE58),ABS(Resultados!AN58),ABS(Resultados!AW58),ABS(Resultados!BF58),ABS(Resultados!BO58),ABS(Resultados!BX58),ABS(Resultados!CG58),ABS(Resultados!CP58),ABS(Resultados!CY58),ABS(Resultados!DH58),ABS(Resultados!DQ58),ABS(Resultados!DZ58))/SQRT(COUNT(Resultados!D58,Resultados!M58,Resultados!V58,Resultados!AE58,Resultados!AN58,Resultados!AW58,Resultados!BF58,Resultados!BO58,Resultados!BX58,Resultados!CG58,Resultados!CP58,Resultados!CY58,Resultados!DH58,Resultados!DQ58,Resultados!DZ58)))</f>
        <v>4.3192444959591029E-4</v>
      </c>
      <c r="E58">
        <f>IF(COUNT(Resultados!E58,Resultados!N58,Resultados!W58,Resultados!AF58,Resultados!AO58,Resultados!AX58,Resultados!BG58,Resultados!BP58,Resultados!BY58,Resultados!CH58,Resultados!CQ58,Resultados!CZ58,Resultados!DI58,Resultados!DR58,Resultados!EA58)&lt;=1, "", _xlfn.STDEV.S(ABS(Resultados!E58),ABS(Resultados!N58),ABS(Resultados!W58),ABS(Resultados!AF58),ABS(Resultados!AO58),ABS(Resultados!AX58),ABS(Resultados!BG58),ABS(Resultados!BP58),ABS(Resultados!BY58),ABS(Resultados!CH58),ABS(Resultados!CQ58),ABS(Resultados!CZ58),ABS(Resultados!DI58),ABS(Resultados!DR58),ABS(Resultados!EA58))/SQRT(COUNT(Resultados!E58,Resultados!N58,Resultados!W58,Resultados!AF58,Resultados!AO58,Resultados!AX58,Resultados!BG58,Resultados!BP58,Resultados!BY58,Resultados!CH58,Resultados!CQ58,Resultados!CZ58,Resultados!DI58,Resultados!DR58,Resultados!EA58)))</f>
        <v>5.6821657781803182E-2</v>
      </c>
      <c r="F58">
        <f>IF(COUNT(Resultados!F58,Resultados!O58,Resultados!X58,Resultados!AG58,Resultados!AP58,Resultados!AY58,Resultados!BH58,Resultados!BQ58,Resultados!BZ58,Resultados!CI58,Resultados!CR58,Resultados!DA58,Resultados!DJ58,Resultados!DS58,Resultados!EB58)&lt;=1, "", _xlfn.STDEV.S(ABS(Resultados!F58),ABS(Resultados!O58),ABS(Resultados!X58),ABS(Resultados!AG58),ABS(Resultados!AP58),ABS(Resultados!AY58),ABS(Resultados!BH58),ABS(Resultados!BQ58),ABS(Resultados!BZ58),ABS(Resultados!CI58),ABS(Resultados!CR58),ABS(Resultados!DA58),ABS(Resultados!DJ58),ABS(Resultados!DS58),ABS(Resultados!EB58))/SQRT(COUNT(Resultados!F58,Resultados!O58,Resultados!X58,Resultados!AG58,Resultados!AP58,Resultados!AY58,Resultados!BH58,Resultados!BQ58,Resultados!BZ58,Resultados!CI58,Resultados!CR58,Resultados!DA58,Resultados!DJ58,Resultados!DS58,Resultados!EB58)))</f>
        <v>5.295778505264062</v>
      </c>
      <c r="G58">
        <f>IF(COUNT(Resultados!G58,Resultados!P58,Resultados!Y58,Resultados!AH58,Resultados!AQ58,Resultados!AZ58,Resultados!BI58,Resultados!BR58,Resultados!CA58,Resultados!CJ58,Resultados!CS58,Resultados!DB58,Resultados!DK58,Resultados!DT58,Resultados!EC58)&lt;=1, "", _xlfn.STDEV.S(ABS(Resultados!G58),ABS(Resultados!P58),ABS(Resultados!Y58),ABS(Resultados!AH58),ABS(Resultados!AQ58),ABS(Resultados!AZ58),ABS(Resultados!BI58),ABS(Resultados!BR58),ABS(Resultados!CA58),ABS(Resultados!CJ58),ABS(Resultados!CS58),ABS(Resultados!DB58),ABS(Resultados!DK58),ABS(Resultados!DT58),ABS(Resultados!EC58))/SQRT(COUNT(Resultados!G58,Resultados!P58,Resultados!Y58,Resultados!AH58,Resultados!AQ58,Resultados!AZ58,Resultados!BI58,Resultados!BR58,Resultados!CA58,Resultados!CJ58,Resultados!CS58,Resultados!DB58,Resultados!DK58,Resultados!DT58,Resultados!EC58)))</f>
        <v>4.4507937654163114E-17</v>
      </c>
      <c r="H58">
        <f>IF(COUNT(Resultados!H58,Resultados!Q58,Resultados!Z58,Resultados!AI58,Resultados!AR58,Resultados!BA58,Resultados!BJ58,Resultados!BS58,Resultados!CB58,Resultados!CK58,Resultados!CT58,Resultados!DC58,Resultados!DL58,Resultados!DU58,Resultados!ED58)&lt;=1, "", _xlfn.STDEV.S(ABS(Resultados!H58),ABS(Resultados!Q58),ABS(Resultados!Z58),ABS(Resultados!AI58),ABS(Resultados!AR58),ABS(Resultados!BA58),ABS(Resultados!BJ58),ABS(Resultados!BS58),ABS(Resultados!CB58),ABS(Resultados!CK58),ABS(Resultados!CT58),ABS(Resultados!DC58),ABS(Resultados!DL58),ABS(Resultados!DU58),ABS(Resultados!ED58))/SQRT(COUNT(Resultados!H58,Resultados!Q58,Resultados!Z58,Resultados!AI58,Resultados!AR58,Resultados!BA58,Resultados!BJ58,Resultados!BS58,Resultados!CB58,Resultados!CK58,Resultados!CT58,Resultados!DC58,Resultados!DL58,Resultados!DU58,Resultados!ED58)))</f>
        <v>8.8390188351566523E-4</v>
      </c>
      <c r="I58">
        <f>IF(COUNT(Resultados!I58,Resultados!R58,Resultados!AA58,Resultados!AJ58,Resultados!AS58,Resultados!BB58,Resultados!BK58,Resultados!BT58,Resultados!CC58,Resultados!CL58,Resultados!CU58,Resultados!DD58,Resultados!DM58,Resultados!DV58,Resultados!EE58)&lt;=1, "", _xlfn.STDEV.S(ABS(Resultados!I58),ABS(Resultados!R58),ABS(Resultados!AA58),ABS(Resultados!AJ58),ABS(Resultados!AS58),ABS(Resultados!BB58),ABS(Resultados!BK58),ABS(Resultados!BT58),ABS(Resultados!CC58),ABS(Resultados!CL58),ABS(Resultados!CU58),ABS(Resultados!DD58),ABS(Resultados!DM58),ABS(Resultados!DV58),ABS(Resultados!EE58))/SQRT(COUNT(Resultados!I58,Resultados!R58,Resultados!AA58,Resultados!AJ58,Resultados!AS58,Resultados!BB58,Resultados!BK58,Resultados!BT58,Resultados!CC58,Resultados!CL58,Resultados!CU58,Resultados!DD58,Resultados!DM58,Resultados!DV58,Resultados!EE58)))</f>
        <v>8.0568720544510453E-4</v>
      </c>
    </row>
    <row r="59" spans="1:9" x14ac:dyDescent="0.3">
      <c r="A59">
        <f>IF(COUNT(Resultados!A59,Resultados!J59,Resultados!S59,Resultados!AB59,Resultados!AK59,Resultados!AT59,Resultados!BC59,Resultados!BL59,Resultados!BU59,Resultados!CD59,Resultados!CM59,Resultados!CV59,Resultados!DE59,Resultados!DN59,Resultados!DW59)&lt;=1, "", _xlfn.STDEV.S(ABS(Resultados!A59),ABS(Resultados!J59),ABS(Resultados!S59),ABS(Resultados!AB59),ABS(Resultados!AK59),ABS(Resultados!AT59),ABS(Resultados!BC59),ABS(Resultados!BL59),ABS(Resultados!BU59),ABS(Resultados!CD59),ABS(Resultados!CM59),ABS(Resultados!CV59),ABS(Resultados!DE59),ABS(Resultados!DN59),ABS(Resultados!DW59))/SQRT(COUNT(Resultados!A59,Resultados!J59,Resultados!S59,Resultados!AB59,Resultados!AK59,Resultados!AT59,Resultados!BC59,Resultados!BL59,Resultados!BU59,Resultados!CD59,Resultados!CM59,Resultados!CV59,Resultados!DE59,Resultados!DN59,Resultados!DW59)))</f>
        <v>0</v>
      </c>
      <c r="B59" t="str">
        <f>IF(COUNT(Resultados!B59,Resultados!K59,Resultados!T59,Resultados!AC59,Resultados!AL59,Resultados!AU59,Resultados!BD59,Resultados!BM59,Resultados!BV59,Resultados!CE59,Resultados!CN59,Resultados!CW59,Resultados!DF59,Resultados!DO59,Resultados!DX59)&lt;=1, "", _xlfn.STDEV.S(ABS(Resultados!B59),ABS(Resultados!K59),ABS(Resultados!T59),ABS(Resultados!AC59),ABS(Resultados!AL59),ABS(Resultados!AU59),ABS(Resultados!BD59),ABS(Resultados!BM59),ABS(Resultados!BV59),ABS(Resultados!CE59),ABS(Resultados!CN59),ABS(Resultados!CW59),ABS(Resultados!DF59),ABS(Resultados!DO59),ABS(Resultados!DX59))/SQRT(COUNT(Resultados!B59,Resultados!K59,Resultados!T59,Resultados!AC59,Resultados!AL59,Resultados!AU59,Resultados!BD59,Resultados!BM59,Resultados!BV59,Resultados!CE59,Resultados!CN59,Resultados!CW59,Resultados!DF59,Resultados!DO59,Resultados!DX59)))</f>
        <v/>
      </c>
      <c r="C59">
        <f>IF(COUNT(Resultados!C59,Resultados!L59,Resultados!U59,Resultados!AD59,Resultados!AM59,Resultados!AV59,Resultados!BE59,Resultados!BN59,Resultados!BW59,Resultados!CF59,Resultados!CO59,Resultados!CX59,Resultados!DG59,Resultados!DP59,Resultados!DY59)&lt;=1, "", _xlfn.STDEV.S(ABS(Resultados!C59),ABS(Resultados!L59),ABS(Resultados!U59),ABS(Resultados!AD59),ABS(Resultados!AM59),ABS(Resultados!AV59),ABS(Resultados!BE59),ABS(Resultados!BN59),ABS(Resultados!BW59),ABS(Resultados!CF59),ABS(Resultados!CO59),ABS(Resultados!CX59),ABS(Resultados!DG59),ABS(Resultados!DP59),ABS(Resultados!DY59))/SQRT(COUNT(Resultados!C59,Resultados!L59,Resultados!U59,Resultados!AD59,Resultados!AM59,Resultados!AV59,Resultados!BE59,Resultados!BN59,Resultados!BW59,Resultados!CF59,Resultados!CO59,Resultados!CX59,Resultados!DG59,Resultados!DP59,Resultados!DY59)))</f>
        <v>0.46802523334497581</v>
      </c>
      <c r="D59">
        <f>IF(COUNT(Resultados!D59,Resultados!M59,Resultados!V59,Resultados!AE59,Resultados!AN59,Resultados!AW59,Resultados!BF59,Resultados!BO59,Resultados!BX59,Resultados!CG59,Resultados!CP59,Resultados!CY59,Resultados!DH59,Resultados!DQ59,Resultados!DZ59)&lt;=1, "", _xlfn.STDEV.S(ABS(Resultados!D59),ABS(Resultados!M59),ABS(Resultados!V59),ABS(Resultados!AE59),ABS(Resultados!AN59),ABS(Resultados!AW59),ABS(Resultados!BF59),ABS(Resultados!BO59),ABS(Resultados!BX59),ABS(Resultados!CG59),ABS(Resultados!CP59),ABS(Resultados!CY59),ABS(Resultados!DH59),ABS(Resultados!DQ59),ABS(Resultados!DZ59))/SQRT(COUNT(Resultados!D59,Resultados!M59,Resultados!V59,Resultados!AE59,Resultados!AN59,Resultados!AW59,Resultados!BF59,Resultados!BO59,Resultados!BX59,Resultados!CG59,Resultados!CP59,Resultados!CY59,Resultados!DH59,Resultados!DQ59,Resultados!DZ59)))</f>
        <v>6.6759459231073744E-4</v>
      </c>
      <c r="E59">
        <f>IF(COUNT(Resultados!E59,Resultados!N59,Resultados!W59,Resultados!AF59,Resultados!AO59,Resultados!AX59,Resultados!BG59,Resultados!BP59,Resultados!BY59,Resultados!CH59,Resultados!CQ59,Resultados!CZ59,Resultados!DI59,Resultados!DR59,Resultados!EA59)&lt;=1, "", _xlfn.STDEV.S(ABS(Resultados!E59),ABS(Resultados!N59),ABS(Resultados!W59),ABS(Resultados!AF59),ABS(Resultados!AO59),ABS(Resultados!AX59),ABS(Resultados!BG59),ABS(Resultados!BP59),ABS(Resultados!BY59),ABS(Resultados!CH59),ABS(Resultados!CQ59),ABS(Resultados!CZ59),ABS(Resultados!DI59),ABS(Resultados!DR59),ABS(Resultados!EA59))/SQRT(COUNT(Resultados!E59,Resultados!N59,Resultados!W59,Resultados!AF59,Resultados!AO59,Resultados!AX59,Resultados!BG59,Resultados!BP59,Resultados!BY59,Resultados!CH59,Resultados!CQ59,Resultados!CZ59,Resultados!DI59,Resultados!DR59,Resultados!EA59)))</f>
        <v>6.2916558792431784E-2</v>
      </c>
      <c r="F59">
        <f>IF(COUNT(Resultados!F59,Resultados!O59,Resultados!X59,Resultados!AG59,Resultados!AP59,Resultados!AY59,Resultados!BH59,Resultados!BQ59,Resultados!BZ59,Resultados!CI59,Resultados!CR59,Resultados!DA59,Resultados!DJ59,Resultados!DS59,Resultados!EB59)&lt;=1, "", _xlfn.STDEV.S(ABS(Resultados!F59),ABS(Resultados!O59),ABS(Resultados!X59),ABS(Resultados!AG59),ABS(Resultados!AP59),ABS(Resultados!AY59),ABS(Resultados!BH59),ABS(Resultados!BQ59),ABS(Resultados!BZ59),ABS(Resultados!CI59),ABS(Resultados!CR59),ABS(Resultados!DA59),ABS(Resultados!DJ59),ABS(Resultados!DS59),ABS(Resultados!EB59))/SQRT(COUNT(Resultados!F59,Resultados!O59,Resultados!X59,Resultados!AG59,Resultados!AP59,Resultados!AY59,Resultados!BH59,Resultados!BQ59,Resultados!BZ59,Resultados!CI59,Resultados!CR59,Resultados!DA59,Resultados!DJ59,Resultados!DS59,Resultados!EB59)))</f>
        <v>5.8638232794546417</v>
      </c>
      <c r="G59">
        <f>IF(COUNT(Resultados!G59,Resultados!P59,Resultados!Y59,Resultados!AH59,Resultados!AQ59,Resultados!AZ59,Resultados!BI59,Resultados!BR59,Resultados!CA59,Resultados!CJ59,Resultados!CS59,Resultados!DB59,Resultados!DK59,Resultados!DT59,Resultados!EC59)&lt;=1, "", _xlfn.STDEV.S(ABS(Resultados!G59),ABS(Resultados!P59),ABS(Resultados!Y59),ABS(Resultados!AH59),ABS(Resultados!AQ59),ABS(Resultados!AZ59),ABS(Resultados!BI59),ABS(Resultados!BR59),ABS(Resultados!CA59),ABS(Resultados!CJ59),ABS(Resultados!CS59),ABS(Resultados!DB59),ABS(Resultados!DK59),ABS(Resultados!DT59),ABS(Resultados!EC59))/SQRT(COUNT(Resultados!G59,Resultados!P59,Resultados!Y59,Resultados!AH59,Resultados!AQ59,Resultados!AZ59,Resultados!BI59,Resultados!BR59,Resultados!CA59,Resultados!CJ59,Resultados!CS59,Resultados!DB59,Resultados!DK59,Resultados!DT59,Resultados!EC59)))</f>
        <v>4.4507937654163114E-17</v>
      </c>
      <c r="H59">
        <f>IF(COUNT(Resultados!H59,Resultados!Q59,Resultados!Z59,Resultados!AI59,Resultados!AR59,Resultados!BA59,Resultados!BJ59,Resultados!BS59,Resultados!CB59,Resultados!CK59,Resultados!CT59,Resultados!DC59,Resultados!DL59,Resultados!DU59,Resultados!ED59)&lt;=1, "", _xlfn.STDEV.S(ABS(Resultados!H59),ABS(Resultados!Q59),ABS(Resultados!Z59),ABS(Resultados!AI59),ABS(Resultados!AR59),ABS(Resultados!BA59),ABS(Resultados!BJ59),ABS(Resultados!BS59),ABS(Resultados!CB59),ABS(Resultados!CK59),ABS(Resultados!CT59),ABS(Resultados!DC59),ABS(Resultados!DL59),ABS(Resultados!DU59),ABS(Resultados!ED59))/SQRT(COUNT(Resultados!H59,Resultados!Q59,Resultados!Z59,Resultados!AI59,Resultados!AR59,Resultados!BA59,Resultados!BJ59,Resultados!BS59,Resultados!CB59,Resultados!CK59,Resultados!CT59,Resultados!DC59,Resultados!DL59,Resultados!DU59,Resultados!ED59)))</f>
        <v>9.7908930798772087E-4</v>
      </c>
      <c r="I59">
        <f>IF(COUNT(Resultados!I59,Resultados!R59,Resultados!AA59,Resultados!AJ59,Resultados!AS59,Resultados!BB59,Resultados!BK59,Resultados!BT59,Resultados!CC59,Resultados!CL59,Resultados!CU59,Resultados!DD59,Resultados!DM59,Resultados!DV59,Resultados!EE59)&lt;=1, "", _xlfn.STDEV.S(ABS(Resultados!I59),ABS(Resultados!R59),ABS(Resultados!AA59),ABS(Resultados!AJ59),ABS(Resultados!AS59),ABS(Resultados!BB59),ABS(Resultados!BK59),ABS(Resultados!BT59),ABS(Resultados!CC59),ABS(Resultados!CL59),ABS(Resultados!CU59),ABS(Resultados!DD59),ABS(Resultados!DM59),ABS(Resultados!DV59),ABS(Resultados!EE59))/SQRT(COUNT(Resultados!I59,Resultados!R59,Resultados!AA59,Resultados!AJ59,Resultados!AS59,Resultados!BB59,Resultados!BK59,Resultados!BT59,Resultados!CC59,Resultados!CL59,Resultados!CU59,Resultados!DD59,Resultados!DM59,Resultados!DV59,Resultados!EE59)))</f>
        <v>6.1026223871329629E-4</v>
      </c>
    </row>
    <row r="60" spans="1:9" x14ac:dyDescent="0.3">
      <c r="A60">
        <f>IF(COUNT(Resultados!A60,Resultados!J60,Resultados!S60,Resultados!AB60,Resultados!AK60,Resultados!AT60,Resultados!BC60,Resultados!BL60,Resultados!BU60,Resultados!CD60,Resultados!CM60,Resultados!CV60,Resultados!DE60,Resultados!DN60,Resultados!DW60)&lt;=1, "", _xlfn.STDEV.S(ABS(Resultados!A60),ABS(Resultados!J60),ABS(Resultados!S60),ABS(Resultados!AB60),ABS(Resultados!AK60),ABS(Resultados!AT60),ABS(Resultados!BC60),ABS(Resultados!BL60),ABS(Resultados!BU60),ABS(Resultados!CD60),ABS(Resultados!CM60),ABS(Resultados!CV60),ABS(Resultados!DE60),ABS(Resultados!DN60),ABS(Resultados!DW60))/SQRT(COUNT(Resultados!A60,Resultados!J60,Resultados!S60,Resultados!AB60,Resultados!AK60,Resultados!AT60,Resultados!BC60,Resultados!BL60,Resultados!BU60,Resultados!CD60,Resultados!CM60,Resultados!CV60,Resultados!DE60,Resultados!DN60,Resultados!DW60)))</f>
        <v>0</v>
      </c>
      <c r="B60" t="str">
        <f>IF(COUNT(Resultados!B60,Resultados!K60,Resultados!T60,Resultados!AC60,Resultados!AL60,Resultados!AU60,Resultados!BD60,Resultados!BM60,Resultados!BV60,Resultados!CE60,Resultados!CN60,Resultados!CW60,Resultados!DF60,Resultados!DO60,Resultados!DX60)&lt;=1, "", _xlfn.STDEV.S(ABS(Resultados!B60),ABS(Resultados!K60),ABS(Resultados!T60),ABS(Resultados!AC60),ABS(Resultados!AL60),ABS(Resultados!AU60),ABS(Resultados!BD60),ABS(Resultados!BM60),ABS(Resultados!BV60),ABS(Resultados!CE60),ABS(Resultados!CN60),ABS(Resultados!CW60),ABS(Resultados!DF60),ABS(Resultados!DO60),ABS(Resultados!DX60))/SQRT(COUNT(Resultados!B60,Resultados!K60,Resultados!T60,Resultados!AC60,Resultados!AL60,Resultados!AU60,Resultados!BD60,Resultados!BM60,Resultados!BV60,Resultados!CE60,Resultados!CN60,Resultados!CW60,Resultados!DF60,Resultados!DO60,Resultados!DX60)))</f>
        <v/>
      </c>
      <c r="C60">
        <f>IF(COUNT(Resultados!C60,Resultados!L60,Resultados!U60,Resultados!AD60,Resultados!AM60,Resultados!AV60,Resultados!BE60,Resultados!BN60,Resultados!BW60,Resultados!CF60,Resultados!CO60,Resultados!CX60,Resultados!DG60,Resultados!DP60,Resultados!DY60)&lt;=1, "", _xlfn.STDEV.S(ABS(Resultados!C60),ABS(Resultados!L60),ABS(Resultados!U60),ABS(Resultados!AD60),ABS(Resultados!AM60),ABS(Resultados!AV60),ABS(Resultados!BE60),ABS(Resultados!BN60),ABS(Resultados!BW60),ABS(Resultados!CF60),ABS(Resultados!CO60),ABS(Resultados!CX60),ABS(Resultados!DG60),ABS(Resultados!DP60),ABS(Resultados!DY60))/SQRT(COUNT(Resultados!C60,Resultados!L60,Resultados!U60,Resultados!AD60,Resultados!AM60,Resultados!AV60,Resultados!BE60,Resultados!BN60,Resultados!BW60,Resultados!CF60,Resultados!CO60,Resultados!CX60,Resultados!DG60,Resultados!DP60,Resultados!DY60)))</f>
        <v>0.46802523334497581</v>
      </c>
      <c r="D60">
        <f>IF(COUNT(Resultados!D60,Resultados!M60,Resultados!V60,Resultados!AE60,Resultados!AN60,Resultados!AW60,Resultados!BF60,Resultados!BO60,Resultados!BX60,Resultados!CG60,Resultados!CP60,Resultados!CY60,Resultados!DH60,Resultados!DQ60,Resultados!DZ60)&lt;=1, "", _xlfn.STDEV.S(ABS(Resultados!D60),ABS(Resultados!M60),ABS(Resultados!V60),ABS(Resultados!AE60),ABS(Resultados!AN60),ABS(Resultados!AW60),ABS(Resultados!BF60),ABS(Resultados!BO60),ABS(Resultados!BX60),ABS(Resultados!CG60),ABS(Resultados!CP60),ABS(Resultados!CY60),ABS(Resultados!DH60),ABS(Resultados!DQ60),ABS(Resultados!DZ60))/SQRT(COUNT(Resultados!D60,Resultados!M60,Resultados!V60,Resultados!AE60,Resultados!AN60,Resultados!AW60,Resultados!BF60,Resultados!BO60,Resultados!BX60,Resultados!CG60,Resultados!CP60,Resultados!CY60,Resultados!DH60,Resultados!DQ60,Resultados!DZ60)))</f>
        <v>8.877186741555258E-4</v>
      </c>
      <c r="E60">
        <f>IF(COUNT(Resultados!E60,Resultados!N60,Resultados!W60,Resultados!AF60,Resultados!AO60,Resultados!AX60,Resultados!BG60,Resultados!BP60,Resultados!BY60,Resultados!CH60,Resultados!CQ60,Resultados!CZ60,Resultados!DI60,Resultados!DR60,Resultados!EA60)&lt;=1, "", _xlfn.STDEV.S(ABS(Resultados!E60),ABS(Resultados!N60),ABS(Resultados!W60),ABS(Resultados!AF60),ABS(Resultados!AO60),ABS(Resultados!AX60),ABS(Resultados!BG60),ABS(Resultados!BP60),ABS(Resultados!BY60),ABS(Resultados!CH60),ABS(Resultados!CQ60),ABS(Resultados!CZ60),ABS(Resultados!DI60),ABS(Resultados!DR60),ABS(Resultados!EA60))/SQRT(COUNT(Resultados!E60,Resultados!N60,Resultados!W60,Resultados!AF60,Resultados!AO60,Resultados!AX60,Resultados!BG60,Resultados!BP60,Resultados!BY60,Resultados!CH60,Resultados!CQ60,Resultados!CZ60,Resultados!DI60,Resultados!DR60,Resultados!EA60)))</f>
        <v>6.2939782670552918E-2</v>
      </c>
      <c r="F60">
        <f>IF(COUNT(Resultados!F60,Resultados!O60,Resultados!X60,Resultados!AG60,Resultados!AP60,Resultados!AY60,Resultados!BH60,Resultados!BQ60,Resultados!BZ60,Resultados!CI60,Resultados!CR60,Resultados!DA60,Resultados!DJ60,Resultados!DS60,Resultados!EB60)&lt;=1, "", _xlfn.STDEV.S(ABS(Resultados!F60),ABS(Resultados!O60),ABS(Resultados!X60),ABS(Resultados!AG60),ABS(Resultados!AP60),ABS(Resultados!AY60),ABS(Resultados!BH60),ABS(Resultados!BQ60),ABS(Resultados!BZ60),ABS(Resultados!CI60),ABS(Resultados!CR60),ABS(Resultados!DA60),ABS(Resultados!DJ60),ABS(Resultados!DS60),ABS(Resultados!EB60))/SQRT(COUNT(Resultados!F60,Resultados!O60,Resultados!X60,Resultados!AG60,Resultados!AP60,Resultados!AY60,Resultados!BH60,Resultados!BQ60,Resultados!BZ60,Resultados!CI60,Resultados!CR60,Resultados!DA60,Resultados!DJ60,Resultados!DS60,Resultados!EB60)))</f>
        <v>5.865987744895536</v>
      </c>
      <c r="G60">
        <f>IF(COUNT(Resultados!G60,Resultados!P60,Resultados!Y60,Resultados!AH60,Resultados!AQ60,Resultados!AZ60,Resultados!BI60,Resultados!BR60,Resultados!CA60,Resultados!CJ60,Resultados!CS60,Resultados!DB60,Resultados!DK60,Resultados!DT60,Resultados!EC60)&lt;=1, "", _xlfn.STDEV.S(ABS(Resultados!G60),ABS(Resultados!P60),ABS(Resultados!Y60),ABS(Resultados!AH60),ABS(Resultados!AQ60),ABS(Resultados!AZ60),ABS(Resultados!BI60),ABS(Resultados!BR60),ABS(Resultados!CA60),ABS(Resultados!CJ60),ABS(Resultados!CS60),ABS(Resultados!DB60),ABS(Resultados!DK60),ABS(Resultados!DT60),ABS(Resultados!EC60))/SQRT(COUNT(Resultados!G60,Resultados!P60,Resultados!Y60,Resultados!AH60,Resultados!AQ60,Resultados!AZ60,Resultados!BI60,Resultados!BR60,Resultados!CA60,Resultados!CJ60,Resultados!CS60,Resultados!DB60,Resultados!DK60,Resultados!DT60,Resultados!EC60)))</f>
        <v>4.4507937654163114E-17</v>
      </c>
      <c r="H60">
        <f>IF(COUNT(Resultados!H60,Resultados!Q60,Resultados!Z60,Resultados!AI60,Resultados!AR60,Resultados!BA60,Resultados!BJ60,Resultados!BS60,Resultados!CB60,Resultados!CK60,Resultados!CT60,Resultados!DC60,Resultados!DL60,Resultados!DU60,Resultados!ED60)&lt;=1, "", _xlfn.STDEV.S(ABS(Resultados!H60),ABS(Resultados!Q60),ABS(Resultados!Z60),ABS(Resultados!AI60),ABS(Resultados!AR60),ABS(Resultados!BA60),ABS(Resultados!BJ60),ABS(Resultados!BS60),ABS(Resultados!CB60),ABS(Resultados!CK60),ABS(Resultados!CT60),ABS(Resultados!DC60),ABS(Resultados!DL60),ABS(Resultados!DU60),ABS(Resultados!ED60))/SQRT(COUNT(Resultados!H60,Resultados!Q60,Resultados!Z60,Resultados!AI60,Resultados!AR60,Resultados!BA60,Resultados!BJ60,Resultados!BS60,Resultados!CB60,Resultados!CK60,Resultados!CT60,Resultados!DC60,Resultados!DL60,Resultados!DU60,Resultados!ED60)))</f>
        <v>9.7999999999999932E-4</v>
      </c>
      <c r="I60">
        <f>IF(COUNT(Resultados!I60,Resultados!R60,Resultados!AA60,Resultados!AJ60,Resultados!AS60,Resultados!BB60,Resultados!BK60,Resultados!BT60,Resultados!CC60,Resultados!CL60,Resultados!CU60,Resultados!DD60,Resultados!DM60,Resultados!DV60,Resultados!EE60)&lt;=1, "", _xlfn.STDEV.S(ABS(Resultados!I60),ABS(Resultados!R60),ABS(Resultados!AA60),ABS(Resultados!AJ60),ABS(Resultados!AS60),ABS(Resultados!BB60),ABS(Resultados!BK60),ABS(Resultados!BT60),ABS(Resultados!CC60),ABS(Resultados!CL60),ABS(Resultados!CU60),ABS(Resultados!DD60),ABS(Resultados!DM60),ABS(Resultados!DV60),ABS(Resultados!EE60))/SQRT(COUNT(Resultados!I60,Resultados!R60,Resultados!AA60,Resultados!AJ60,Resultados!AS60,Resultados!BB60,Resultados!BK60,Resultados!BT60,Resultados!CC60,Resultados!CL60,Resultados!CU60,Resultados!DD60,Resultados!DM60,Resultados!DV60,Resultados!EE60)))</f>
        <v>8.0949712000680848E-4</v>
      </c>
    </row>
    <row r="61" spans="1:9" x14ac:dyDescent="0.3">
      <c r="A61">
        <f>IF(COUNT(Resultados!A61,Resultados!J61,Resultados!S61,Resultados!AB61,Resultados!AK61,Resultados!AT61,Resultados!BC61,Resultados!BL61,Resultados!BU61,Resultados!CD61,Resultados!CM61,Resultados!CV61,Resultados!DE61,Resultados!DN61,Resultados!DW61)&lt;=1, "", _xlfn.STDEV.S(ABS(Resultados!A61),ABS(Resultados!J61),ABS(Resultados!S61),ABS(Resultados!AB61),ABS(Resultados!AK61),ABS(Resultados!AT61),ABS(Resultados!BC61),ABS(Resultados!BL61),ABS(Resultados!BU61),ABS(Resultados!CD61),ABS(Resultados!CM61),ABS(Resultados!CV61),ABS(Resultados!DE61),ABS(Resultados!DN61),ABS(Resultados!DW61))/SQRT(COUNT(Resultados!A61,Resultados!J61,Resultados!S61,Resultados!AB61,Resultados!AK61,Resultados!AT61,Resultados!BC61,Resultados!BL61,Resultados!BU61,Resultados!CD61,Resultados!CM61,Resultados!CV61,Resultados!DE61,Resultados!DN61,Resultados!DW61)))</f>
        <v>0</v>
      </c>
      <c r="B61" t="str">
        <f>IF(COUNT(Resultados!B61,Resultados!K61,Resultados!T61,Resultados!AC61,Resultados!AL61,Resultados!AU61,Resultados!BD61,Resultados!BM61,Resultados!BV61,Resultados!CE61,Resultados!CN61,Resultados!CW61,Resultados!DF61,Resultados!DO61,Resultados!DX61)&lt;=1, "", _xlfn.STDEV.S(ABS(Resultados!B61),ABS(Resultados!K61),ABS(Resultados!T61),ABS(Resultados!AC61),ABS(Resultados!AL61),ABS(Resultados!AU61),ABS(Resultados!BD61),ABS(Resultados!BM61),ABS(Resultados!BV61),ABS(Resultados!CE61),ABS(Resultados!CN61),ABS(Resultados!CW61),ABS(Resultados!DF61),ABS(Resultados!DO61),ABS(Resultados!DX61))/SQRT(COUNT(Resultados!B61,Resultados!K61,Resultados!T61,Resultados!AC61,Resultados!AL61,Resultados!AU61,Resultados!BD61,Resultados!BM61,Resultados!BV61,Resultados!CE61,Resultados!CN61,Resultados!CW61,Resultados!DF61,Resultados!DO61,Resultados!DX61)))</f>
        <v/>
      </c>
      <c r="C61">
        <f>IF(COUNT(Resultados!C61,Resultados!L61,Resultados!U61,Resultados!AD61,Resultados!AM61,Resultados!AV61,Resultados!BE61,Resultados!BN61,Resultados!BW61,Resultados!CF61,Resultados!CO61,Resultados!CX61,Resultados!DG61,Resultados!DP61,Resultados!DY61)&lt;=1, "", _xlfn.STDEV.S(ABS(Resultados!C61),ABS(Resultados!L61),ABS(Resultados!U61),ABS(Resultados!AD61),ABS(Resultados!AM61),ABS(Resultados!AV61),ABS(Resultados!BE61),ABS(Resultados!BN61),ABS(Resultados!BW61),ABS(Resultados!CF61),ABS(Resultados!CO61),ABS(Resultados!CX61),ABS(Resultados!DG61),ABS(Resultados!DP61),ABS(Resultados!DY61))/SQRT(COUNT(Resultados!C61,Resultados!L61,Resultados!U61,Resultados!AD61,Resultados!AM61,Resultados!AV61,Resultados!BE61,Resultados!BN61,Resultados!BW61,Resultados!CF61,Resultados!CO61,Resultados!CX61,Resultados!DG61,Resultados!DP61,Resultados!DY61)))</f>
        <v>0.46802523334497581</v>
      </c>
      <c r="D61">
        <f>IF(COUNT(Resultados!D61,Resultados!M61,Resultados!V61,Resultados!AE61,Resultados!AN61,Resultados!AW61,Resultados!BF61,Resultados!BO61,Resultados!BX61,Resultados!CG61,Resultados!CP61,Resultados!CY61,Resultados!DH61,Resultados!DQ61,Resultados!DZ61)&lt;=1, "", _xlfn.STDEV.S(ABS(Resultados!D61),ABS(Resultados!M61),ABS(Resultados!V61),ABS(Resultados!AE61),ABS(Resultados!AN61),ABS(Resultados!AW61),ABS(Resultados!BF61),ABS(Resultados!BO61),ABS(Resultados!BX61),ABS(Resultados!CG61),ABS(Resultados!CP61),ABS(Resultados!CY61),ABS(Resultados!DH61),ABS(Resultados!DQ61),ABS(Resultados!DZ61))/SQRT(COUNT(Resultados!D61,Resultados!M61,Resultados!V61,Resultados!AE61,Resultados!AN61,Resultados!AW61,Resultados!BF61,Resultados!BO61,Resultados!BX61,Resultados!CG61,Resultados!CP61,Resultados!CY61,Resultados!DH61,Resultados!DQ61,Resultados!DZ61)))</f>
        <v>1.0203485243342641E-3</v>
      </c>
      <c r="E61">
        <f>IF(COUNT(Resultados!E61,Resultados!N61,Resultados!W61,Resultados!AF61,Resultados!AO61,Resultados!AX61,Resultados!BG61,Resultados!BP61,Resultados!BY61,Resultados!CH61,Resultados!CQ61,Resultados!CZ61,Resultados!DI61,Resultados!DR61,Resultados!EA61)&lt;=1, "", _xlfn.STDEV.S(ABS(Resultados!E61),ABS(Resultados!N61),ABS(Resultados!W61),ABS(Resultados!AF61),ABS(Resultados!AO61),ABS(Resultados!AX61),ABS(Resultados!BG61),ABS(Resultados!BP61),ABS(Resultados!BY61),ABS(Resultados!CH61),ABS(Resultados!CQ61),ABS(Resultados!CZ61),ABS(Resultados!DI61),ABS(Resultados!DR61),ABS(Resultados!EA61))/SQRT(COUNT(Resultados!E61,Resultados!N61,Resultados!W61,Resultados!AF61,Resultados!AO61,Resultados!AX61,Resultados!BG61,Resultados!BP61,Resultados!BY61,Resultados!CH61,Resultados!CQ61,Resultados!CZ61,Resultados!DI61,Resultados!DR61,Resultados!EA61)))</f>
        <v>5.672704362434728E-2</v>
      </c>
      <c r="F61">
        <f>IF(COUNT(Resultados!F61,Resultados!O61,Resultados!X61,Resultados!AG61,Resultados!AP61,Resultados!AY61,Resultados!BH61,Resultados!BQ61,Resultados!BZ61,Resultados!CI61,Resultados!CR61,Resultados!DA61,Resultados!DJ61,Resultados!DS61,Resultados!EB61)&lt;=1, "", _xlfn.STDEV.S(ABS(Resultados!F61),ABS(Resultados!O61),ABS(Resultados!X61),ABS(Resultados!AG61),ABS(Resultados!AP61),ABS(Resultados!AY61),ABS(Resultados!BH61),ABS(Resultados!BQ61),ABS(Resultados!BZ61),ABS(Resultados!CI61),ABS(Resultados!CR61),ABS(Resultados!DA61),ABS(Resultados!DJ61),ABS(Resultados!DS61),ABS(Resultados!EB61))/SQRT(COUNT(Resultados!F61,Resultados!O61,Resultados!X61,Resultados!AG61,Resultados!AP61,Resultados!AY61,Resultados!BH61,Resultados!BQ61,Resultados!BZ61,Resultados!CI61,Resultados!CR61,Resultados!DA61,Resultados!DJ61,Resultados!DS61,Resultados!EB61)))</f>
        <v>5.2869604657891696</v>
      </c>
      <c r="G61">
        <f>IF(COUNT(Resultados!G61,Resultados!P61,Resultados!Y61,Resultados!AH61,Resultados!AQ61,Resultados!AZ61,Resultados!BI61,Resultados!BR61,Resultados!CA61,Resultados!CJ61,Resultados!CS61,Resultados!DB61,Resultados!DK61,Resultados!DT61,Resultados!EC61)&lt;=1, "", _xlfn.STDEV.S(ABS(Resultados!G61),ABS(Resultados!P61),ABS(Resultados!Y61),ABS(Resultados!AH61),ABS(Resultados!AQ61),ABS(Resultados!AZ61),ABS(Resultados!BI61),ABS(Resultados!BR61),ABS(Resultados!CA61),ABS(Resultados!CJ61),ABS(Resultados!CS61),ABS(Resultados!DB61),ABS(Resultados!DK61),ABS(Resultados!DT61),ABS(Resultados!EC61))/SQRT(COUNT(Resultados!G61,Resultados!P61,Resultados!Y61,Resultados!AH61,Resultados!AQ61,Resultados!AZ61,Resultados!BI61,Resultados!BR61,Resultados!CA61,Resultados!CJ61,Resultados!CS61,Resultados!DB61,Resultados!DK61,Resultados!DT61,Resultados!EC61)))</f>
        <v>4.4507937654163114E-17</v>
      </c>
      <c r="H61">
        <f>IF(COUNT(Resultados!H61,Resultados!Q61,Resultados!Z61,Resultados!AI61,Resultados!AR61,Resultados!BA61,Resultados!BJ61,Resultados!BS61,Resultados!CB61,Resultados!CK61,Resultados!CT61,Resultados!DC61,Resultados!DL61,Resultados!DU61,Resultados!ED61)&lt;=1, "", _xlfn.STDEV.S(ABS(Resultados!H61),ABS(Resultados!Q61),ABS(Resultados!Z61),ABS(Resultados!AI61),ABS(Resultados!AR61),ABS(Resultados!BA61),ABS(Resultados!BJ61),ABS(Resultados!BS61),ABS(Resultados!CB61),ABS(Resultados!CK61),ABS(Resultados!CT61),ABS(Resultados!DC61),ABS(Resultados!DL61),ABS(Resultados!DU61),ABS(Resultados!ED61))/SQRT(COUNT(Resultados!H61,Resultados!Q61,Resultados!Z61,Resultados!AI61,Resultados!AR61,Resultados!BA61,Resultados!BJ61,Resultados!BS61,Resultados!CB61,Resultados!CK61,Resultados!CT61,Resultados!DC61,Resultados!DL61,Resultados!DU61,Resultados!ED61)))</f>
        <v>8.8000000000000014E-4</v>
      </c>
      <c r="I61">
        <f>IF(COUNT(Resultados!I61,Resultados!R61,Resultados!AA61,Resultados!AJ61,Resultados!AS61,Resultados!BB61,Resultados!BK61,Resultados!BT61,Resultados!CC61,Resultados!CL61,Resultados!CU61,Resultados!DD61,Resultados!DM61,Resultados!DV61,Resultados!EE61)&lt;=1, "", _xlfn.STDEV.S(ABS(Resultados!I61),ABS(Resultados!R61),ABS(Resultados!AA61),ABS(Resultados!AJ61),ABS(Resultados!AS61),ABS(Resultados!BB61),ABS(Resultados!BK61),ABS(Resultados!BT61),ABS(Resultados!CC61),ABS(Resultados!CL61),ABS(Resultados!CU61),ABS(Resultados!DD61),ABS(Resultados!DM61),ABS(Resultados!DV61),ABS(Resultados!EE61))/SQRT(COUNT(Resultados!I61,Resultados!R61,Resultados!AA61,Resultados!AJ61,Resultados!AS61,Resultados!BB61,Resultados!BK61,Resultados!BT61,Resultados!CC61,Resultados!CL61,Resultados!CU61,Resultados!DD61,Resultados!DM61,Resultados!DV61,Resultados!EE61)))</f>
        <v>7.4851883372828107E-4</v>
      </c>
    </row>
    <row r="62" spans="1:9" x14ac:dyDescent="0.3">
      <c r="A62">
        <f>IF(COUNT(Resultados!A62,Resultados!J62,Resultados!S62,Resultados!AB62,Resultados!AK62,Resultados!AT62,Resultados!BC62,Resultados!BL62,Resultados!BU62,Resultados!CD62,Resultados!CM62,Resultados!CV62,Resultados!DE62,Resultados!DN62,Resultados!DW62)&lt;=1, "", _xlfn.STDEV.S(ABS(Resultados!A62),ABS(Resultados!J62),ABS(Resultados!S62),ABS(Resultados!AB62),ABS(Resultados!AK62),ABS(Resultados!AT62),ABS(Resultados!BC62),ABS(Resultados!BL62),ABS(Resultados!BU62),ABS(Resultados!CD62),ABS(Resultados!CM62),ABS(Resultados!CV62),ABS(Resultados!DE62),ABS(Resultados!DN62),ABS(Resultados!DW62))/SQRT(COUNT(Resultados!A62,Resultados!J62,Resultados!S62,Resultados!AB62,Resultados!AK62,Resultados!AT62,Resultados!BC62,Resultados!BL62,Resultados!BU62,Resultados!CD62,Resultados!CM62,Resultados!CV62,Resultados!DE62,Resultados!DN62,Resultados!DW62)))</f>
        <v>0</v>
      </c>
      <c r="B62" t="str">
        <f>IF(COUNT(Resultados!B62,Resultados!K62,Resultados!T62,Resultados!AC62,Resultados!AL62,Resultados!AU62,Resultados!BD62,Resultados!BM62,Resultados!BV62,Resultados!CE62,Resultados!CN62,Resultados!CW62,Resultados!DF62,Resultados!DO62,Resultados!DX62)&lt;=1, "", _xlfn.STDEV.S(ABS(Resultados!B62),ABS(Resultados!K62),ABS(Resultados!T62),ABS(Resultados!AC62),ABS(Resultados!AL62),ABS(Resultados!AU62),ABS(Resultados!BD62),ABS(Resultados!BM62),ABS(Resultados!BV62),ABS(Resultados!CE62),ABS(Resultados!CN62),ABS(Resultados!CW62),ABS(Resultados!DF62),ABS(Resultados!DO62),ABS(Resultados!DX62))/SQRT(COUNT(Resultados!B62,Resultados!K62,Resultados!T62,Resultados!AC62,Resultados!AL62,Resultados!AU62,Resultados!BD62,Resultados!BM62,Resultados!BV62,Resultados!CE62,Resultados!CN62,Resultados!CW62,Resultados!DF62,Resultados!DO62,Resultados!DX62)))</f>
        <v/>
      </c>
      <c r="C62">
        <f>IF(COUNT(Resultados!C62,Resultados!L62,Resultados!U62,Resultados!AD62,Resultados!AM62,Resultados!AV62,Resultados!BE62,Resultados!BN62,Resultados!BW62,Resultados!CF62,Resultados!CO62,Resultados!CX62,Resultados!DG62,Resultados!DP62,Resultados!DY62)&lt;=1, "", _xlfn.STDEV.S(ABS(Resultados!C62),ABS(Resultados!L62),ABS(Resultados!U62),ABS(Resultados!AD62),ABS(Resultados!AM62),ABS(Resultados!AV62),ABS(Resultados!BE62),ABS(Resultados!BN62),ABS(Resultados!BW62),ABS(Resultados!CF62),ABS(Resultados!CO62),ABS(Resultados!CX62),ABS(Resultados!DG62),ABS(Resultados!DP62),ABS(Resultados!DY62))/SQRT(COUNT(Resultados!C62,Resultados!L62,Resultados!U62,Resultados!AD62,Resultados!AM62,Resultados!AV62,Resultados!BE62,Resultados!BN62,Resultados!BW62,Resultados!CF62,Resultados!CO62,Resultados!CX62,Resultados!DG62,Resultados!DP62,Resultados!DY62)))</f>
        <v>0.46802523334497581</v>
      </c>
      <c r="D62">
        <f>IF(COUNT(Resultados!D62,Resultados!M62,Resultados!V62,Resultados!AE62,Resultados!AN62,Resultados!AW62,Resultados!BF62,Resultados!BO62,Resultados!BX62,Resultados!CG62,Resultados!CP62,Resultados!CY62,Resultados!DH62,Resultados!DQ62,Resultados!DZ62)&lt;=1, "", _xlfn.STDEV.S(ABS(Resultados!D62),ABS(Resultados!M62),ABS(Resultados!V62),ABS(Resultados!AE62),ABS(Resultados!AN62),ABS(Resultados!AW62),ABS(Resultados!BF62),ABS(Resultados!BO62),ABS(Resultados!BX62),ABS(Resultados!CG62),ABS(Resultados!CP62),ABS(Resultados!CY62),ABS(Resultados!DH62),ABS(Resultados!DQ62),ABS(Resultados!DZ62))/SQRT(COUNT(Resultados!D62,Resultados!M62,Resultados!V62,Resultados!AE62,Resultados!AN62,Resultados!AW62,Resultados!BF62,Resultados!BO62,Resultados!BX62,Resultados!CG62,Resultados!CP62,Resultados!CY62,Resultados!DH62,Resultados!DQ62,Resultados!DZ62)))</f>
        <v>9.9359216825888725E-4</v>
      </c>
      <c r="E62">
        <f>IF(COUNT(Resultados!E62,Resultados!N62,Resultados!W62,Resultados!AF62,Resultados!AO62,Resultados!AX62,Resultados!BG62,Resultados!BP62,Resultados!BY62,Resultados!CH62,Resultados!CQ62,Resultados!CZ62,Resultados!DI62,Resultados!DR62,Resultados!EA62)&lt;=1, "", _xlfn.STDEV.S(ABS(Resultados!E62),ABS(Resultados!N62),ABS(Resultados!W62),ABS(Resultados!AF62),ABS(Resultados!AO62),ABS(Resultados!AX62),ABS(Resultados!BG62),ABS(Resultados!BP62),ABS(Resultados!BY62),ABS(Resultados!CH62),ABS(Resultados!CQ62),ABS(Resultados!CZ62),ABS(Resultados!DI62),ABS(Resultados!DR62),ABS(Resultados!EA62))/SQRT(COUNT(Resultados!E62,Resultados!N62,Resultados!W62,Resultados!AF62,Resultados!AO62,Resultados!AX62,Resultados!BG62,Resultados!BP62,Resultados!BY62,Resultados!CH62,Resultados!CQ62,Resultados!CZ62,Resultados!DI62,Resultados!DR62,Resultados!EA62)))</f>
        <v>4.4938648487159977E-2</v>
      </c>
      <c r="F62">
        <f>IF(COUNT(Resultados!F62,Resultados!O62,Resultados!X62,Resultados!AG62,Resultados!AP62,Resultados!AY62,Resultados!BH62,Resultados!BQ62,Resultados!BZ62,Resultados!CI62,Resultados!CR62,Resultados!DA62,Resultados!DJ62,Resultados!DS62,Resultados!EB62)&lt;=1, "", _xlfn.STDEV.S(ABS(Resultados!F62),ABS(Resultados!O62),ABS(Resultados!X62),ABS(Resultados!AG62),ABS(Resultados!AP62),ABS(Resultados!AY62),ABS(Resultados!BH62),ABS(Resultados!BQ62),ABS(Resultados!BZ62),ABS(Resultados!CI62),ABS(Resultados!CR62),ABS(Resultados!DA62),ABS(Resultados!DJ62),ABS(Resultados!DS62),ABS(Resultados!EB62))/SQRT(COUNT(Resultados!F62,Resultados!O62,Resultados!X62,Resultados!AG62,Resultados!AP62,Resultados!AY62,Resultados!BH62,Resultados!BQ62,Resultados!BZ62,Resultados!CI62,Resultados!CR62,Resultados!DA62,Resultados!DJ62,Resultados!DS62,Resultados!EB62)))</f>
        <v>4.1882820390033082</v>
      </c>
      <c r="G62">
        <f>IF(COUNT(Resultados!G62,Resultados!P62,Resultados!Y62,Resultados!AH62,Resultados!AQ62,Resultados!AZ62,Resultados!BI62,Resultados!BR62,Resultados!CA62,Resultados!CJ62,Resultados!CS62,Resultados!DB62,Resultados!DK62,Resultados!DT62,Resultados!EC62)&lt;=1, "", _xlfn.STDEV.S(ABS(Resultados!G62),ABS(Resultados!P62),ABS(Resultados!Y62),ABS(Resultados!AH62),ABS(Resultados!AQ62),ABS(Resultados!AZ62),ABS(Resultados!BI62),ABS(Resultados!BR62),ABS(Resultados!CA62),ABS(Resultados!CJ62),ABS(Resultados!CS62),ABS(Resultados!DB62),ABS(Resultados!DK62),ABS(Resultados!DT62),ABS(Resultados!EC62))/SQRT(COUNT(Resultados!G62,Resultados!P62,Resultados!Y62,Resultados!AH62,Resultados!AQ62,Resultados!AZ62,Resultados!BI62,Resultados!BR62,Resultados!CA62,Resultados!CJ62,Resultados!CS62,Resultados!DB62,Resultados!DK62,Resultados!DT62,Resultados!EC62)))</f>
        <v>4.4507937654163114E-17</v>
      </c>
      <c r="H62">
        <f>IF(COUNT(Resultados!H62,Resultados!Q62,Resultados!Z62,Resultados!AI62,Resultados!AR62,Resultados!BA62,Resultados!BJ62,Resultados!BS62,Resultados!CB62,Resultados!CK62,Resultados!CT62,Resultados!DC62,Resultados!DL62,Resultados!DU62,Resultados!ED62)&lt;=1, "", _xlfn.STDEV.S(ABS(Resultados!H62),ABS(Resultados!Q62),ABS(Resultados!Z62),ABS(Resultados!AI62),ABS(Resultados!AR62),ABS(Resultados!BA62),ABS(Resultados!BJ62),ABS(Resultados!BS62),ABS(Resultados!CB62),ABS(Resultados!CK62),ABS(Resultados!CT62),ABS(Resultados!DC62),ABS(Resultados!DL62),ABS(Resultados!DU62),ABS(Resultados!ED62))/SQRT(COUNT(Resultados!H62,Resultados!Q62,Resultados!Z62,Resultados!AI62,Resultados!AR62,Resultados!BA62,Resultados!BJ62,Resultados!BS62,Resultados!CB62,Resultados!CK62,Resultados!CT62,Resultados!DC62,Resultados!DL62,Resultados!DU62,Resultados!ED62)))</f>
        <v>6.9999999999999999E-4</v>
      </c>
      <c r="I62">
        <f>IF(COUNT(Resultados!I62,Resultados!R62,Resultados!AA62,Resultados!AJ62,Resultados!AS62,Resultados!BB62,Resultados!BK62,Resultados!BT62,Resultados!CC62,Resultados!CL62,Resultados!CU62,Resultados!DD62,Resultados!DM62,Resultados!DV62,Resultados!EE62)&lt;=1, "", _xlfn.STDEV.S(ABS(Resultados!I62),ABS(Resultados!R62),ABS(Resultados!AA62),ABS(Resultados!AJ62),ABS(Resultados!AS62),ABS(Resultados!BB62),ABS(Resultados!BK62),ABS(Resultados!BT62),ABS(Resultados!CC62),ABS(Resultados!CL62),ABS(Resultados!CU62),ABS(Resultados!DD62),ABS(Resultados!DM62),ABS(Resultados!DV62),ABS(Resultados!EE62))/SQRT(COUNT(Resultados!I62,Resultados!R62,Resultados!AA62,Resultados!AJ62,Resultados!AS62,Resultados!BB62,Resultados!BK62,Resultados!BT62,Resultados!CC62,Resultados!CL62,Resultados!CU62,Resultados!DD62,Resultados!DM62,Resultados!DV62,Resultados!EE62)))</f>
        <v>7.5313558297826423E-4</v>
      </c>
    </row>
    <row r="63" spans="1:9" x14ac:dyDescent="0.3">
      <c r="A63">
        <f>IF(COUNT(Resultados!A63,Resultados!J63,Resultados!S63,Resultados!AB63,Resultados!AK63,Resultados!AT63,Resultados!BC63,Resultados!BL63,Resultados!BU63,Resultados!CD63,Resultados!CM63,Resultados!CV63,Resultados!DE63,Resultados!DN63,Resultados!DW63)&lt;=1, "", _xlfn.STDEV.S(ABS(Resultados!A63),ABS(Resultados!J63),ABS(Resultados!S63),ABS(Resultados!AB63),ABS(Resultados!AK63),ABS(Resultados!AT63),ABS(Resultados!BC63),ABS(Resultados!BL63),ABS(Resultados!BU63),ABS(Resultados!CD63),ABS(Resultados!CM63),ABS(Resultados!CV63),ABS(Resultados!DE63),ABS(Resultados!DN63),ABS(Resultados!DW63))/SQRT(COUNT(Resultados!A63,Resultados!J63,Resultados!S63,Resultados!AB63,Resultados!AK63,Resultados!AT63,Resultados!BC63,Resultados!BL63,Resultados!BU63,Resultados!CD63,Resultados!CM63,Resultados!CV63,Resultados!DE63,Resultados!DN63,Resultados!DW63)))</f>
        <v>0</v>
      </c>
      <c r="B63" t="str">
        <f>IF(COUNT(Resultados!B63,Resultados!K63,Resultados!T63,Resultados!AC63,Resultados!AL63,Resultados!AU63,Resultados!BD63,Resultados!BM63,Resultados!BV63,Resultados!CE63,Resultados!CN63,Resultados!CW63,Resultados!DF63,Resultados!DO63,Resultados!DX63)&lt;=1, "", _xlfn.STDEV.S(ABS(Resultados!B63),ABS(Resultados!K63),ABS(Resultados!T63),ABS(Resultados!AC63),ABS(Resultados!AL63),ABS(Resultados!AU63),ABS(Resultados!BD63),ABS(Resultados!BM63),ABS(Resultados!BV63),ABS(Resultados!CE63),ABS(Resultados!CN63),ABS(Resultados!CW63),ABS(Resultados!DF63),ABS(Resultados!DO63),ABS(Resultados!DX63))/SQRT(COUNT(Resultados!B63,Resultados!K63,Resultados!T63,Resultados!AC63,Resultados!AL63,Resultados!AU63,Resultados!BD63,Resultados!BM63,Resultados!BV63,Resultados!CE63,Resultados!CN63,Resultados!CW63,Resultados!DF63,Resultados!DO63,Resultados!DX63)))</f>
        <v/>
      </c>
      <c r="C63">
        <f>IF(COUNT(Resultados!C63,Resultados!L63,Resultados!U63,Resultados!AD63,Resultados!AM63,Resultados!AV63,Resultados!BE63,Resultados!BN63,Resultados!BW63,Resultados!CF63,Resultados!CO63,Resultados!CX63,Resultados!DG63,Resultados!DP63,Resultados!DY63)&lt;=1, "", _xlfn.STDEV.S(ABS(Resultados!C63),ABS(Resultados!L63),ABS(Resultados!U63),ABS(Resultados!AD63),ABS(Resultados!AM63),ABS(Resultados!AV63),ABS(Resultados!BE63),ABS(Resultados!BN63),ABS(Resultados!BW63),ABS(Resultados!CF63),ABS(Resultados!CO63),ABS(Resultados!CX63),ABS(Resultados!DG63),ABS(Resultados!DP63),ABS(Resultados!DY63))/SQRT(COUNT(Resultados!C63,Resultados!L63,Resultados!U63,Resultados!AD63,Resultados!AM63,Resultados!AV63,Resultados!BE63,Resultados!BN63,Resultados!BW63,Resultados!CF63,Resultados!CO63,Resultados!CX63,Resultados!DG63,Resultados!DP63,Resultados!DY63)))</f>
        <v>0.46802523334497581</v>
      </c>
      <c r="D63">
        <f>IF(COUNT(Resultados!D63,Resultados!M63,Resultados!V63,Resultados!AE63,Resultados!AN63,Resultados!AW63,Resultados!BF63,Resultados!BO63,Resultados!BX63,Resultados!CG63,Resultados!CP63,Resultados!CY63,Resultados!DH63,Resultados!DQ63,Resultados!DZ63)&lt;=1, "", _xlfn.STDEV.S(ABS(Resultados!D63),ABS(Resultados!M63),ABS(Resultados!V63),ABS(Resultados!AE63),ABS(Resultados!AN63),ABS(Resultados!AW63),ABS(Resultados!BF63),ABS(Resultados!BO63),ABS(Resultados!BX63),ABS(Resultados!CG63),ABS(Resultados!CP63),ABS(Resultados!CY63),ABS(Resultados!DH63),ABS(Resultados!DQ63),ABS(Resultados!DZ63))/SQRT(COUNT(Resultados!D63,Resultados!M63,Resultados!V63,Resultados!AE63,Resultados!AN63,Resultados!AW63,Resultados!BF63,Resultados!BO63,Resultados!BX63,Resultados!CG63,Resultados!CP63,Resultados!CY63,Resultados!DH63,Resultados!DQ63,Resultados!DZ63)))</f>
        <v>8.1432414278578868E-4</v>
      </c>
      <c r="E63">
        <f>IF(COUNT(Resultados!E63,Resultados!N63,Resultados!W63,Resultados!AF63,Resultados!AO63,Resultados!AX63,Resultados!BG63,Resultados!BP63,Resultados!BY63,Resultados!CH63,Resultados!CQ63,Resultados!CZ63,Resultados!DI63,Resultados!DR63,Resultados!EA63)&lt;=1, "", _xlfn.STDEV.S(ABS(Resultados!E63),ABS(Resultados!N63),ABS(Resultados!W63),ABS(Resultados!AF63),ABS(Resultados!AO63),ABS(Resultados!AX63),ABS(Resultados!BG63),ABS(Resultados!BP63),ABS(Resultados!BY63),ABS(Resultados!CH63),ABS(Resultados!CQ63),ABS(Resultados!CZ63),ABS(Resultados!DI63),ABS(Resultados!DR63),ABS(Resultados!EA63))/SQRT(COUNT(Resultados!E63,Resultados!N63,Resultados!W63,Resultados!AF63,Resultados!AO63,Resultados!AX63,Resultados!BG63,Resultados!BP63,Resultados!BY63,Resultados!CH63,Resultados!CQ63,Resultados!CZ63,Resultados!DI63,Resultados!DR63,Resultados!EA63)))</f>
        <v>2.8815833221281225E-2</v>
      </c>
      <c r="F63">
        <f>IF(COUNT(Resultados!F63,Resultados!O63,Resultados!X63,Resultados!AG63,Resultados!AP63,Resultados!AY63,Resultados!BH63,Resultados!BQ63,Resultados!BZ63,Resultados!CI63,Resultados!CR63,Resultados!DA63,Resultados!DJ63,Resultados!DS63,Resultados!EB63)&lt;=1, "", _xlfn.STDEV.S(ABS(Resultados!F63),ABS(Resultados!O63),ABS(Resultados!X63),ABS(Resultados!AG63),ABS(Resultados!AP63),ABS(Resultados!AY63),ABS(Resultados!BH63),ABS(Resultados!BQ63),ABS(Resultados!BZ63),ABS(Resultados!CI63),ABS(Resultados!CR63),ABS(Resultados!DA63),ABS(Resultados!DJ63),ABS(Resultados!DS63),ABS(Resultados!EB63))/SQRT(COUNT(Resultados!F63,Resultados!O63,Resultados!X63,Resultados!AG63,Resultados!AP63,Resultados!AY63,Resultados!BH63,Resultados!BQ63,Resultados!BZ63,Resultados!CI63,Resultados!CR63,Resultados!DA63,Resultados!DJ63,Resultados!DS63,Resultados!EB63)))</f>
        <v>4.131321640799702</v>
      </c>
      <c r="G63">
        <f>IF(COUNT(Resultados!G63,Resultados!P63,Resultados!Y63,Resultados!AH63,Resultados!AQ63,Resultados!AZ63,Resultados!BI63,Resultados!BR63,Resultados!CA63,Resultados!CJ63,Resultados!CS63,Resultados!DB63,Resultados!DK63,Resultados!DT63,Resultados!EC63)&lt;=1, "", _xlfn.STDEV.S(ABS(Resultados!G63),ABS(Resultados!P63),ABS(Resultados!Y63),ABS(Resultados!AH63),ABS(Resultados!AQ63),ABS(Resultados!AZ63),ABS(Resultados!BI63),ABS(Resultados!BR63),ABS(Resultados!CA63),ABS(Resultados!CJ63),ABS(Resultados!CS63),ABS(Resultados!DB63),ABS(Resultados!DK63),ABS(Resultados!DT63),ABS(Resultados!EC63))/SQRT(COUNT(Resultados!G63,Resultados!P63,Resultados!Y63,Resultados!AH63,Resultados!AQ63,Resultados!AZ63,Resultados!BI63,Resultados!BR63,Resultados!CA63,Resultados!CJ63,Resultados!CS63,Resultados!DB63,Resultados!DK63,Resultados!DT63,Resultados!EC63)))</f>
        <v>4.4507937654163114E-17</v>
      </c>
      <c r="H63">
        <f>IF(COUNT(Resultados!H63,Resultados!Q63,Resultados!Z63,Resultados!AI63,Resultados!AR63,Resultados!BA63,Resultados!BJ63,Resultados!BS63,Resultados!CB63,Resultados!CK63,Resultados!CT63,Resultados!DC63,Resultados!DL63,Resultados!DU63,Resultados!ED63)&lt;=1, "", _xlfn.STDEV.S(ABS(Resultados!H63),ABS(Resultados!Q63),ABS(Resultados!Z63),ABS(Resultados!AI63),ABS(Resultados!AR63),ABS(Resultados!BA63),ABS(Resultados!BJ63),ABS(Resultados!BS63),ABS(Resultados!CB63),ABS(Resultados!CK63),ABS(Resultados!CT63),ABS(Resultados!DC63),ABS(Resultados!DL63),ABS(Resultados!DU63),ABS(Resultados!ED63))/SQRT(COUNT(Resultados!H63,Resultados!Q63,Resultados!Z63,Resultados!AI63,Resultados!AR63,Resultados!BA63,Resultados!BJ63,Resultados!BS63,Resultados!CB63,Resultados!CK63,Resultados!CT63,Resultados!DC63,Resultados!DL63,Resultados!DU63,Resultados!ED63)))</f>
        <v>4.4624002367577763E-4</v>
      </c>
      <c r="I63">
        <f>IF(COUNT(Resultados!I63,Resultados!R63,Resultados!AA63,Resultados!AJ63,Resultados!AS63,Resultados!BB63,Resultados!BK63,Resultados!BT63,Resultados!CC63,Resultados!CL63,Resultados!CU63,Resultados!DD63,Resultados!DM63,Resultados!DV63,Resultados!EE63)&lt;=1, "", _xlfn.STDEV.S(ABS(Resultados!I63),ABS(Resultados!R63),ABS(Resultados!AA63),ABS(Resultados!AJ63),ABS(Resultados!AS63),ABS(Resultados!BB63),ABS(Resultados!BK63),ABS(Resultados!BT63),ABS(Resultados!CC63),ABS(Resultados!CL63),ABS(Resultados!CU63),ABS(Resultados!DD63),ABS(Resultados!DM63),ABS(Resultados!DV63),ABS(Resultados!EE63))/SQRT(COUNT(Resultados!I63,Resultados!R63,Resultados!AA63,Resultados!AJ63,Resultados!AS63,Resultados!BB63,Resultados!BK63,Resultados!BT63,Resultados!CC63,Resultados!CL63,Resultados!CU63,Resultados!DD63,Resultados!DM63,Resultados!DV63,Resultados!EE63)))</f>
        <v>1.1589600428616466E-3</v>
      </c>
    </row>
    <row r="64" spans="1:9" x14ac:dyDescent="0.3">
      <c r="A64">
        <f>IF(COUNT(Resultados!A64,Resultados!J64,Resultados!S64,Resultados!AB64,Resultados!AK64,Resultados!AT64,Resultados!BC64,Resultados!BL64,Resultados!BU64,Resultados!CD64,Resultados!CM64,Resultados!CV64,Resultados!DE64,Resultados!DN64,Resultados!DW64)&lt;=1, "", _xlfn.STDEV.S(ABS(Resultados!A64),ABS(Resultados!J64),ABS(Resultados!S64),ABS(Resultados!AB64),ABS(Resultados!AK64),ABS(Resultados!AT64),ABS(Resultados!BC64),ABS(Resultados!BL64),ABS(Resultados!BU64),ABS(Resultados!CD64),ABS(Resultados!CM64),ABS(Resultados!CV64),ABS(Resultados!DE64),ABS(Resultados!DN64),ABS(Resultados!DW64))/SQRT(COUNT(Resultados!A64,Resultados!J64,Resultados!S64,Resultados!AB64,Resultados!AK64,Resultados!AT64,Resultados!BC64,Resultados!BL64,Resultados!BU64,Resultados!CD64,Resultados!CM64,Resultados!CV64,Resultados!DE64,Resultados!DN64,Resultados!DW64)))</f>
        <v>0</v>
      </c>
      <c r="B64" t="str">
        <f>IF(COUNT(Resultados!B64,Resultados!K64,Resultados!T64,Resultados!AC64,Resultados!AL64,Resultados!AU64,Resultados!BD64,Resultados!BM64,Resultados!BV64,Resultados!CE64,Resultados!CN64,Resultados!CW64,Resultados!DF64,Resultados!DO64,Resultados!DX64)&lt;=1, "", _xlfn.STDEV.S(ABS(Resultados!B64),ABS(Resultados!K64),ABS(Resultados!T64),ABS(Resultados!AC64),ABS(Resultados!AL64),ABS(Resultados!AU64),ABS(Resultados!BD64),ABS(Resultados!BM64),ABS(Resultados!BV64),ABS(Resultados!CE64),ABS(Resultados!CN64),ABS(Resultados!CW64),ABS(Resultados!DF64),ABS(Resultados!DO64),ABS(Resultados!DX64))/SQRT(COUNT(Resultados!B64,Resultados!K64,Resultados!T64,Resultados!AC64,Resultados!AL64,Resultados!AU64,Resultados!BD64,Resultados!BM64,Resultados!BV64,Resultados!CE64,Resultados!CN64,Resultados!CW64,Resultados!DF64,Resultados!DO64,Resultados!DX64)))</f>
        <v/>
      </c>
      <c r="C64">
        <f>IF(COUNT(Resultados!C64,Resultados!L64,Resultados!U64,Resultados!AD64,Resultados!AM64,Resultados!AV64,Resultados!BE64,Resultados!BN64,Resultados!BW64,Resultados!CF64,Resultados!CO64,Resultados!CX64,Resultados!DG64,Resultados!DP64,Resultados!DY64)&lt;=1, "", _xlfn.STDEV.S(ABS(Resultados!C64),ABS(Resultados!L64),ABS(Resultados!U64),ABS(Resultados!AD64),ABS(Resultados!AM64),ABS(Resultados!AV64),ABS(Resultados!BE64),ABS(Resultados!BN64),ABS(Resultados!BW64),ABS(Resultados!CF64),ABS(Resultados!CO64),ABS(Resultados!CX64),ABS(Resultados!DG64),ABS(Resultados!DP64),ABS(Resultados!DY64))/SQRT(COUNT(Resultados!C64,Resultados!L64,Resultados!U64,Resultados!AD64,Resultados!AM64,Resultados!AV64,Resultados!BE64,Resultados!BN64,Resultados!BW64,Resultados!CF64,Resultados!CO64,Resultados!CX64,Resultados!DG64,Resultados!DP64,Resultados!DY64)))</f>
        <v>0.46802523334497581</v>
      </c>
      <c r="D64">
        <f>IF(COUNT(Resultados!D64,Resultados!M64,Resultados!V64,Resultados!AE64,Resultados!AN64,Resultados!AW64,Resultados!BF64,Resultados!BO64,Resultados!BX64,Resultados!CG64,Resultados!CP64,Resultados!CY64,Resultados!DH64,Resultados!DQ64,Resultados!DZ64)&lt;=1, "", _xlfn.STDEV.S(ABS(Resultados!D64),ABS(Resultados!M64),ABS(Resultados!V64),ABS(Resultados!AE64),ABS(Resultados!AN64),ABS(Resultados!AW64),ABS(Resultados!BF64),ABS(Resultados!BO64),ABS(Resultados!BX64),ABS(Resultados!CG64),ABS(Resultados!CP64),ABS(Resultados!CY64),ABS(Resultados!DH64),ABS(Resultados!DQ64),ABS(Resultados!DZ64))/SQRT(COUNT(Resultados!D64,Resultados!M64,Resultados!V64,Resultados!AE64,Resultados!AN64,Resultados!AW64,Resultados!BF64,Resultados!BO64,Resultados!BX64,Resultados!CG64,Resultados!CP64,Resultados!CY64,Resultados!DH64,Resultados!DQ64,Resultados!DZ64)))</f>
        <v>5.4070500715446002E-4</v>
      </c>
      <c r="E64">
        <f>IF(COUNT(Resultados!E64,Resultados!N64,Resultados!W64,Resultados!AF64,Resultados!AO64,Resultados!AX64,Resultados!BG64,Resultados!BP64,Resultados!BY64,Resultados!CH64,Resultados!CQ64,Resultados!CZ64,Resultados!DI64,Resultados!DR64,Resultados!EA64)&lt;=1, "", _xlfn.STDEV.S(ABS(Resultados!E64),ABS(Resultados!N64),ABS(Resultados!W64),ABS(Resultados!AF64),ABS(Resultados!AO64),ABS(Resultados!AX64),ABS(Resultados!BG64),ABS(Resultados!BP64),ABS(Resultados!BY64),ABS(Resultados!CH64),ABS(Resultados!CQ64),ABS(Resultados!CZ64),ABS(Resultados!DI64),ABS(Resultados!DR64),ABS(Resultados!EA64))/SQRT(COUNT(Resultados!E64,Resultados!N64,Resultados!W64,Resultados!AF64,Resultados!AO64,Resultados!AX64,Resultados!BG64,Resultados!BP64,Resultados!BY64,Resultados!CH64,Resultados!CQ64,Resultados!CZ64,Resultados!DI64,Resultados!DR64,Resultados!EA64)))</f>
        <v>9.8473692705401909E-3</v>
      </c>
      <c r="F64">
        <f>IF(COUNT(Resultados!F64,Resultados!O64,Resultados!X64,Resultados!AG64,Resultados!AP64,Resultados!AY64,Resultados!BH64,Resultados!BQ64,Resultados!BZ64,Resultados!CI64,Resultados!CR64,Resultados!DA64,Resultados!DJ64,Resultados!DS64,Resultados!EB64)&lt;=1, "", _xlfn.STDEV.S(ABS(Resultados!F64),ABS(Resultados!O64),ABS(Resultados!X64),ABS(Resultados!AG64),ABS(Resultados!AP64),ABS(Resultados!AY64),ABS(Resultados!BH64),ABS(Resultados!BQ64),ABS(Resultados!BZ64),ABS(Resultados!CI64),ABS(Resultados!CR64),ABS(Resultados!DA64),ABS(Resultados!DJ64),ABS(Resultados!DS64),ABS(Resultados!EB64))/SQRT(COUNT(Resultados!F64,Resultados!O64,Resultados!X64,Resultados!AG64,Resultados!AP64,Resultados!AY64,Resultados!BH64,Resultados!BQ64,Resultados!BZ64,Resultados!CI64,Resultados!CR64,Resultados!DA64,Resultados!DJ64,Resultados!DS64,Resultados!EB64)))</f>
        <v>5.910716597190806</v>
      </c>
      <c r="G64">
        <f>IF(COUNT(Resultados!G64,Resultados!P64,Resultados!Y64,Resultados!AH64,Resultados!AQ64,Resultados!AZ64,Resultados!BI64,Resultados!BR64,Resultados!CA64,Resultados!CJ64,Resultados!CS64,Resultados!DB64,Resultados!DK64,Resultados!DT64,Resultados!EC64)&lt;=1, "", _xlfn.STDEV.S(ABS(Resultados!G64),ABS(Resultados!P64),ABS(Resultados!Y64),ABS(Resultados!AH64),ABS(Resultados!AQ64),ABS(Resultados!AZ64),ABS(Resultados!BI64),ABS(Resultados!BR64),ABS(Resultados!CA64),ABS(Resultados!CJ64),ABS(Resultados!CS64),ABS(Resultados!DB64),ABS(Resultados!DK64),ABS(Resultados!DT64),ABS(Resultados!EC64))/SQRT(COUNT(Resultados!G64,Resultados!P64,Resultados!Y64,Resultados!AH64,Resultados!AQ64,Resultados!AZ64,Resultados!BI64,Resultados!BR64,Resultados!CA64,Resultados!CJ64,Resultados!CS64,Resultados!DB64,Resultados!DK64,Resultados!DT64,Resultados!EC64)))</f>
        <v>4.4507937654163114E-17</v>
      </c>
      <c r="H64">
        <f>IF(COUNT(Resultados!H64,Resultados!Q64,Resultados!Z64,Resultados!AI64,Resultados!AR64,Resultados!BA64,Resultados!BJ64,Resultados!BS64,Resultados!CB64,Resultados!CK64,Resultados!CT64,Resultados!DC64,Resultados!DL64,Resultados!DU64,Resultados!ED64)&lt;=1, "", _xlfn.STDEV.S(ABS(Resultados!H64),ABS(Resultados!Q64),ABS(Resultados!Z64),ABS(Resultados!AI64),ABS(Resultados!AR64),ABS(Resultados!BA64),ABS(Resultados!BJ64),ABS(Resultados!BS64),ABS(Resultados!CB64),ABS(Resultados!CK64),ABS(Resultados!CT64),ABS(Resultados!DC64),ABS(Resultados!DL64),ABS(Resultados!DU64),ABS(Resultados!ED64))/SQRT(COUNT(Resultados!H64,Resultados!Q64,Resultados!Z64,Resultados!AI64,Resultados!AR64,Resultados!BA64,Resultados!BJ64,Resultados!BS64,Resultados!CB64,Resultados!CK64,Resultados!CT64,Resultados!DC64,Resultados!DL64,Resultados!DU64,Resultados!ED64)))</f>
        <v>1.5264857451541204E-4</v>
      </c>
      <c r="I64">
        <f>IF(COUNT(Resultados!I64,Resultados!R64,Resultados!AA64,Resultados!AJ64,Resultados!AS64,Resultados!BB64,Resultados!BK64,Resultados!BT64,Resultados!CC64,Resultados!CL64,Resultados!CU64,Resultados!DD64,Resultados!DM64,Resultados!DV64,Resultados!EE64)&lt;=1, "", _xlfn.STDEV.S(ABS(Resultados!I64),ABS(Resultados!R64),ABS(Resultados!AA64),ABS(Resultados!AJ64),ABS(Resultados!AS64),ABS(Resultados!BB64),ABS(Resultados!BK64),ABS(Resultados!BT64),ABS(Resultados!CC64),ABS(Resultados!CL64),ABS(Resultados!CU64),ABS(Resultados!DD64),ABS(Resultados!DM64),ABS(Resultados!DV64),ABS(Resultados!EE64))/SQRT(COUNT(Resultados!I64,Resultados!R64,Resultados!AA64,Resultados!AJ64,Resultados!AS64,Resultados!BB64,Resultados!BK64,Resultados!BT64,Resultados!CC64,Resultados!CL64,Resultados!CU64,Resultados!DD64,Resultados!DM64,Resultados!DV64,Resultados!EE64)))</f>
        <v>9.2240000963753825E-4</v>
      </c>
    </row>
    <row r="65" spans="1:9" x14ac:dyDescent="0.3">
      <c r="A65">
        <f>IF(COUNT(Resultados!A65,Resultados!J65,Resultados!S65,Resultados!AB65,Resultados!AK65,Resultados!AT65,Resultados!BC65,Resultados!BL65,Resultados!BU65,Resultados!CD65,Resultados!CM65,Resultados!CV65,Resultados!DE65,Resultados!DN65,Resultados!DW65)&lt;=1, "", _xlfn.STDEV.S(ABS(Resultados!A65),ABS(Resultados!J65),ABS(Resultados!S65),ABS(Resultados!AB65),ABS(Resultados!AK65),ABS(Resultados!AT65),ABS(Resultados!BC65),ABS(Resultados!BL65),ABS(Resultados!BU65),ABS(Resultados!CD65),ABS(Resultados!CM65),ABS(Resultados!CV65),ABS(Resultados!DE65),ABS(Resultados!DN65),ABS(Resultados!DW65))/SQRT(COUNT(Resultados!A65,Resultados!J65,Resultados!S65,Resultados!AB65,Resultados!AK65,Resultados!AT65,Resultados!BC65,Resultados!BL65,Resultados!BU65,Resultados!CD65,Resultados!CM65,Resultados!CV65,Resultados!DE65,Resultados!DN65,Resultados!DW65)))</f>
        <v>0</v>
      </c>
      <c r="B65" t="str">
        <f>IF(COUNT(Resultados!B65,Resultados!K65,Resultados!T65,Resultados!AC65,Resultados!AL65,Resultados!AU65,Resultados!BD65,Resultados!BM65,Resultados!BV65,Resultados!CE65,Resultados!CN65,Resultados!CW65,Resultados!DF65,Resultados!DO65,Resultados!DX65)&lt;=1, "", _xlfn.STDEV.S(ABS(Resultados!B65),ABS(Resultados!K65),ABS(Resultados!T65),ABS(Resultados!AC65),ABS(Resultados!AL65),ABS(Resultados!AU65),ABS(Resultados!BD65),ABS(Resultados!BM65),ABS(Resultados!BV65),ABS(Resultados!CE65),ABS(Resultados!CN65),ABS(Resultados!CW65),ABS(Resultados!DF65),ABS(Resultados!DO65),ABS(Resultados!DX65))/SQRT(COUNT(Resultados!B65,Resultados!K65,Resultados!T65,Resultados!AC65,Resultados!AL65,Resultados!AU65,Resultados!BD65,Resultados!BM65,Resultados!BV65,Resultados!CE65,Resultados!CN65,Resultados!CW65,Resultados!DF65,Resultados!DO65,Resultados!DX65)))</f>
        <v/>
      </c>
      <c r="C65">
        <f>IF(COUNT(Resultados!C65,Resultados!L65,Resultados!U65,Resultados!AD65,Resultados!AM65,Resultados!AV65,Resultados!BE65,Resultados!BN65,Resultados!BW65,Resultados!CF65,Resultados!CO65,Resultados!CX65,Resultados!DG65,Resultados!DP65,Resultados!DY65)&lt;=1, "", _xlfn.STDEV.S(ABS(Resultados!C65),ABS(Resultados!L65),ABS(Resultados!U65),ABS(Resultados!AD65),ABS(Resultados!AM65),ABS(Resultados!AV65),ABS(Resultados!BE65),ABS(Resultados!BN65),ABS(Resultados!BW65),ABS(Resultados!CF65),ABS(Resultados!CO65),ABS(Resultados!CX65),ABS(Resultados!DG65),ABS(Resultados!DP65),ABS(Resultados!DY65))/SQRT(COUNT(Resultados!C65,Resultados!L65,Resultados!U65,Resultados!AD65,Resultados!AM65,Resultados!AV65,Resultados!BE65,Resultados!BN65,Resultados!BW65,Resultados!CF65,Resultados!CO65,Resultados!CX65,Resultados!DG65,Resultados!DP65,Resultados!DY65)))</f>
        <v>0.46802523334497581</v>
      </c>
      <c r="D65">
        <f>IF(COUNT(Resultados!D65,Resultados!M65,Resultados!V65,Resultados!AE65,Resultados!AN65,Resultados!AW65,Resultados!BF65,Resultados!BO65,Resultados!BX65,Resultados!CG65,Resultados!CP65,Resultados!CY65,Resultados!DH65,Resultados!DQ65,Resultados!DZ65)&lt;=1, "", _xlfn.STDEV.S(ABS(Resultados!D65),ABS(Resultados!M65),ABS(Resultados!V65),ABS(Resultados!AE65),ABS(Resultados!AN65),ABS(Resultados!AW65),ABS(Resultados!BF65),ABS(Resultados!BO65),ABS(Resultados!BX65),ABS(Resultados!CG65),ABS(Resultados!CP65),ABS(Resultados!CY65),ABS(Resultados!DH65),ABS(Resultados!DQ65),ABS(Resultados!DZ65))/SQRT(COUNT(Resultados!D65,Resultados!M65,Resultados!V65,Resultados!AE65,Resultados!AN65,Resultados!AW65,Resultados!BF65,Resultados!BO65,Resultados!BX65,Resultados!CG65,Resultados!CP65,Resultados!CY65,Resultados!DH65,Resultados!DQ65,Resultados!DZ65)))</f>
        <v>2.5699113689861834E-4</v>
      </c>
      <c r="E65">
        <f>IF(COUNT(Resultados!E65,Resultados!N65,Resultados!W65,Resultados!AF65,Resultados!AO65,Resultados!AX65,Resultados!BG65,Resultados!BP65,Resultados!BY65,Resultados!CH65,Resultados!CQ65,Resultados!CZ65,Resultados!DI65,Resultados!DR65,Resultados!EA65)&lt;=1, "", _xlfn.STDEV.S(ABS(Resultados!E65),ABS(Resultados!N65),ABS(Resultados!W65),ABS(Resultados!AF65),ABS(Resultados!AO65),ABS(Resultados!AX65),ABS(Resultados!BG65),ABS(Resultados!BP65),ABS(Resultados!BY65),ABS(Resultados!CH65),ABS(Resultados!CQ65),ABS(Resultados!CZ65),ABS(Resultados!DI65),ABS(Resultados!DR65),ABS(Resultados!EA65))/SQRT(COUNT(Resultados!E65,Resultados!N65,Resultados!W65,Resultados!AF65,Resultados!AO65,Resultados!AX65,Resultados!BG65,Resultados!BP65,Resultados!BY65,Resultados!CH65,Resultados!CQ65,Resultados!CZ65,Resultados!DI65,Resultados!DR65,Resultados!EA65)))</f>
        <v>1.0066635436471504E-2</v>
      </c>
      <c r="F65">
        <f>IF(COUNT(Resultados!F65,Resultados!O65,Resultados!X65,Resultados!AG65,Resultados!AP65,Resultados!AY65,Resultados!BH65,Resultados!BQ65,Resultados!BZ65,Resultados!CI65,Resultados!CR65,Resultados!DA65,Resultados!DJ65,Resultados!DS65,Resultados!EB65)&lt;=1, "", _xlfn.STDEV.S(ABS(Resultados!F65),ABS(Resultados!O65),ABS(Resultados!X65),ABS(Resultados!AG65),ABS(Resultados!AP65),ABS(Resultados!AY65),ABS(Resultados!BH65),ABS(Resultados!BQ65),ABS(Resultados!BZ65),ABS(Resultados!CI65),ABS(Resultados!CR65),ABS(Resultados!DA65),ABS(Resultados!DJ65),ABS(Resultados!DS65),ABS(Resultados!EB65))/SQRT(COUNT(Resultados!F65,Resultados!O65,Resultados!X65,Resultados!AG65,Resultados!AP65,Resultados!AY65,Resultados!BH65,Resultados!BQ65,Resultados!BZ65,Resultados!CI65,Resultados!CR65,Resultados!DA65,Resultados!DJ65,Resultados!DS65,Resultados!EB65)))</f>
        <v>7.7821962864782179</v>
      </c>
      <c r="G65">
        <f>IF(COUNT(Resultados!G65,Resultados!P65,Resultados!Y65,Resultados!AH65,Resultados!AQ65,Resultados!AZ65,Resultados!BI65,Resultados!BR65,Resultados!CA65,Resultados!CJ65,Resultados!CS65,Resultados!DB65,Resultados!DK65,Resultados!DT65,Resultados!EC65)&lt;=1, "", _xlfn.STDEV.S(ABS(Resultados!G65),ABS(Resultados!P65),ABS(Resultados!Y65),ABS(Resultados!AH65),ABS(Resultados!AQ65),ABS(Resultados!AZ65),ABS(Resultados!BI65),ABS(Resultados!BR65),ABS(Resultados!CA65),ABS(Resultados!CJ65),ABS(Resultados!CS65),ABS(Resultados!DB65),ABS(Resultados!DK65),ABS(Resultados!DT65),ABS(Resultados!EC65))/SQRT(COUNT(Resultados!G65,Resultados!P65,Resultados!Y65,Resultados!AH65,Resultados!AQ65,Resultados!AZ65,Resultados!BI65,Resultados!BR65,Resultados!CA65,Resultados!CJ65,Resultados!CS65,Resultados!DB65,Resultados!DK65,Resultados!DT65,Resultados!EC65)))</f>
        <v>4.4507937654163114E-17</v>
      </c>
      <c r="H65">
        <f>IF(COUNT(Resultados!H65,Resultados!Q65,Resultados!Z65,Resultados!AI65,Resultados!AR65,Resultados!BA65,Resultados!BJ65,Resultados!BS65,Resultados!CB65,Resultados!CK65,Resultados!CT65,Resultados!DC65,Resultados!DL65,Resultados!DU65,Resultados!ED65)&lt;=1, "", _xlfn.STDEV.S(ABS(Resultados!H65),ABS(Resultados!Q65),ABS(Resultados!Z65),ABS(Resultados!AI65),ABS(Resultados!AR65),ABS(Resultados!BA65),ABS(Resultados!BJ65),ABS(Resultados!BS65),ABS(Resultados!CB65),ABS(Resultados!CK65),ABS(Resultados!CT65),ABS(Resultados!DC65),ABS(Resultados!DL65),ABS(Resultados!DU65),ABS(Resultados!ED65))/SQRT(COUNT(Resultados!H65,Resultados!Q65,Resultados!Z65,Resultados!AI65,Resultados!AR65,Resultados!BA65,Resultados!BJ65,Resultados!BS65,Resultados!CB65,Resultados!CK65,Resultados!CT65,Resultados!DC65,Resultados!DL65,Resultados!DU65,Resultados!ED65)))</f>
        <v>1.5620499351813312E-4</v>
      </c>
      <c r="I65">
        <f>IF(COUNT(Resultados!I65,Resultados!R65,Resultados!AA65,Resultados!AJ65,Resultados!AS65,Resultados!BB65,Resultados!BK65,Resultados!BT65,Resultados!CC65,Resultados!CL65,Resultados!CU65,Resultados!DD65,Resultados!DM65,Resultados!DV65,Resultados!EE65)&lt;=1, "", _xlfn.STDEV.S(ABS(Resultados!I65),ABS(Resultados!R65),ABS(Resultados!AA65),ABS(Resultados!AJ65),ABS(Resultados!AS65),ABS(Resultados!BB65),ABS(Resultados!BK65),ABS(Resultados!BT65),ABS(Resultados!CC65),ABS(Resultados!CL65),ABS(Resultados!CU65),ABS(Resultados!DD65),ABS(Resultados!DM65),ABS(Resultados!DV65),ABS(Resultados!EE65))/SQRT(COUNT(Resultados!I65,Resultados!R65,Resultados!AA65,Resultados!AJ65,Resultados!AS65,Resultados!BB65,Resultados!BK65,Resultados!BT65,Resultados!CC65,Resultados!CL65,Resultados!CU65,Resultados!DD65,Resultados!DM65,Resultados!DV65,Resultados!EE65)))</f>
        <v>7.6877792116099969E-4</v>
      </c>
    </row>
    <row r="66" spans="1:9" x14ac:dyDescent="0.3">
      <c r="A66">
        <f>IF(COUNT(Resultados!A66,Resultados!J66,Resultados!S66,Resultados!AB66,Resultados!AK66,Resultados!AT66,Resultados!BC66,Resultados!BL66,Resultados!BU66,Resultados!CD66,Resultados!CM66,Resultados!CV66,Resultados!DE66,Resultados!DN66,Resultados!DW66)&lt;=1, "", _xlfn.STDEV.S(ABS(Resultados!A66),ABS(Resultados!J66),ABS(Resultados!S66),ABS(Resultados!AB66),ABS(Resultados!AK66),ABS(Resultados!AT66),ABS(Resultados!BC66),ABS(Resultados!BL66),ABS(Resultados!BU66),ABS(Resultados!CD66),ABS(Resultados!CM66),ABS(Resultados!CV66),ABS(Resultados!DE66),ABS(Resultados!DN66),ABS(Resultados!DW66))/SQRT(COUNT(Resultados!A66,Resultados!J66,Resultados!S66,Resultados!AB66,Resultados!AK66,Resultados!AT66,Resultados!BC66,Resultados!BL66,Resultados!BU66,Resultados!CD66,Resultados!CM66,Resultados!CV66,Resultados!DE66,Resultados!DN66,Resultados!DW66)))</f>
        <v>0</v>
      </c>
      <c r="B66" t="str">
        <f>IF(COUNT(Resultados!B66,Resultados!K66,Resultados!T66,Resultados!AC66,Resultados!AL66,Resultados!AU66,Resultados!BD66,Resultados!BM66,Resultados!BV66,Resultados!CE66,Resultados!CN66,Resultados!CW66,Resultados!DF66,Resultados!DO66,Resultados!DX66)&lt;=1, "", _xlfn.STDEV.S(ABS(Resultados!B66),ABS(Resultados!K66),ABS(Resultados!T66),ABS(Resultados!AC66),ABS(Resultados!AL66),ABS(Resultados!AU66),ABS(Resultados!BD66),ABS(Resultados!BM66),ABS(Resultados!BV66),ABS(Resultados!CE66),ABS(Resultados!CN66),ABS(Resultados!CW66),ABS(Resultados!DF66),ABS(Resultados!DO66),ABS(Resultados!DX66))/SQRT(COUNT(Resultados!B66,Resultados!K66,Resultados!T66,Resultados!AC66,Resultados!AL66,Resultados!AU66,Resultados!BD66,Resultados!BM66,Resultados!BV66,Resultados!CE66,Resultados!CN66,Resultados!CW66,Resultados!DF66,Resultados!DO66,Resultados!DX66)))</f>
        <v/>
      </c>
      <c r="C66">
        <f>IF(COUNT(Resultados!C66,Resultados!L66,Resultados!U66,Resultados!AD66,Resultados!AM66,Resultados!AV66,Resultados!BE66,Resultados!BN66,Resultados!BW66,Resultados!CF66,Resultados!CO66,Resultados!CX66,Resultados!DG66,Resultados!DP66,Resultados!DY66)&lt;=1, "", _xlfn.STDEV.S(ABS(Resultados!C66),ABS(Resultados!L66),ABS(Resultados!U66),ABS(Resultados!AD66),ABS(Resultados!AM66),ABS(Resultados!AV66),ABS(Resultados!BE66),ABS(Resultados!BN66),ABS(Resultados!BW66),ABS(Resultados!CF66),ABS(Resultados!CO66),ABS(Resultados!CX66),ABS(Resultados!DG66),ABS(Resultados!DP66),ABS(Resultados!DY66))/SQRT(COUNT(Resultados!C66,Resultados!L66,Resultados!U66,Resultados!AD66,Resultados!AM66,Resultados!AV66,Resultados!BE66,Resultados!BN66,Resultados!BW66,Resultados!CF66,Resultados!CO66,Resultados!CX66,Resultados!DG66,Resultados!DP66,Resultados!DY66)))</f>
        <v>0.46802523334497581</v>
      </c>
      <c r="D66">
        <f>IF(COUNT(Resultados!D66,Resultados!M66,Resultados!V66,Resultados!AE66,Resultados!AN66,Resultados!AW66,Resultados!BF66,Resultados!BO66,Resultados!BX66,Resultados!CG66,Resultados!CP66,Resultados!CY66,Resultados!DH66,Resultados!DQ66,Resultados!DZ66)&lt;=1, "", _xlfn.STDEV.S(ABS(Resultados!D66),ABS(Resultados!M66),ABS(Resultados!V66),ABS(Resultados!AE66),ABS(Resultados!AN66),ABS(Resultados!AW66),ABS(Resultados!BF66),ABS(Resultados!BO66),ABS(Resultados!BX66),ABS(Resultados!CG66),ABS(Resultados!CP66),ABS(Resultados!CY66),ABS(Resultados!DH66),ABS(Resultados!DQ66),ABS(Resultados!DZ66))/SQRT(COUNT(Resultados!D66,Resultados!M66,Resultados!V66,Resultados!AE66,Resultados!AN66,Resultados!AW66,Resultados!BF66,Resultados!BO66,Resultados!BX66,Resultados!CG66,Resultados!CP66,Resultados!CY66,Resultados!DH66,Resultados!DQ66,Resultados!DZ66)))</f>
        <v>1.3938641048743389E-4</v>
      </c>
      <c r="E66">
        <f>IF(COUNT(Resultados!E66,Resultados!N66,Resultados!W66,Resultados!AF66,Resultados!AO66,Resultados!AX66,Resultados!BG66,Resultados!BP66,Resultados!BY66,Resultados!CH66,Resultados!CQ66,Resultados!CZ66,Resultados!DI66,Resultados!DR66,Resultados!EA66)&lt;=1, "", _xlfn.STDEV.S(ABS(Resultados!E66),ABS(Resultados!N66),ABS(Resultados!W66),ABS(Resultados!AF66),ABS(Resultados!AO66),ABS(Resultados!AX66),ABS(Resultados!BG66),ABS(Resultados!BP66),ABS(Resultados!BY66),ABS(Resultados!CH66),ABS(Resultados!CQ66),ABS(Resultados!CZ66),ABS(Resultados!DI66),ABS(Resultados!DR66),ABS(Resultados!EA66))/SQRT(COUNT(Resultados!E66,Resultados!N66,Resultados!W66,Resultados!AF66,Resultados!AO66,Resultados!AX66,Resultados!BG66,Resultados!BP66,Resultados!BY66,Resultados!CH66,Resultados!CQ66,Resultados!CZ66,Resultados!DI66,Resultados!DR66,Resultados!EA66)))</f>
        <v>2.9073944541484452E-2</v>
      </c>
      <c r="F66">
        <f>IF(COUNT(Resultados!F66,Resultados!O66,Resultados!X66,Resultados!AG66,Resultados!AP66,Resultados!AY66,Resultados!BH66,Resultados!BQ66,Resultados!BZ66,Resultados!CI66,Resultados!CR66,Resultados!DA66,Resultados!DJ66,Resultados!DS66,Resultados!EB66)&lt;=1, "", _xlfn.STDEV.S(ABS(Resultados!F66),ABS(Resultados!O66),ABS(Resultados!X66),ABS(Resultados!AG66),ABS(Resultados!AP66),ABS(Resultados!AY66),ABS(Resultados!BH66),ABS(Resultados!BQ66),ABS(Resultados!BZ66),ABS(Resultados!CI66),ABS(Resultados!CR66),ABS(Resultados!DA66),ABS(Resultados!DJ66),ABS(Resultados!DS66),ABS(Resultados!EB66))/SQRT(COUNT(Resultados!F66,Resultados!O66,Resultados!X66,Resultados!AG66,Resultados!AP66,Resultados!AY66,Resultados!BH66,Resultados!BQ66,Resultados!BZ66,Resultados!CI66,Resultados!CR66,Resultados!DA66,Resultados!DJ66,Resultados!DS66,Resultados!EB66)))</f>
        <v>9.5753274472251171</v>
      </c>
      <c r="G66">
        <f>IF(COUNT(Resultados!G66,Resultados!P66,Resultados!Y66,Resultados!AH66,Resultados!AQ66,Resultados!AZ66,Resultados!BI66,Resultados!BR66,Resultados!CA66,Resultados!CJ66,Resultados!CS66,Resultados!DB66,Resultados!DK66,Resultados!DT66,Resultados!EC66)&lt;=1, "", _xlfn.STDEV.S(ABS(Resultados!G66),ABS(Resultados!P66),ABS(Resultados!Y66),ABS(Resultados!AH66),ABS(Resultados!AQ66),ABS(Resultados!AZ66),ABS(Resultados!BI66),ABS(Resultados!BR66),ABS(Resultados!CA66),ABS(Resultados!CJ66),ABS(Resultados!CS66),ABS(Resultados!DB66),ABS(Resultados!DK66),ABS(Resultados!DT66),ABS(Resultados!EC66))/SQRT(COUNT(Resultados!G66,Resultados!P66,Resultados!Y66,Resultados!AH66,Resultados!AQ66,Resultados!AZ66,Resultados!BI66,Resultados!BR66,Resultados!CA66,Resultados!CJ66,Resultados!CS66,Resultados!DB66,Resultados!DK66,Resultados!DT66,Resultados!EC66)))</f>
        <v>4.4507937654163114E-17</v>
      </c>
      <c r="H66">
        <f>IF(COUNT(Resultados!H66,Resultados!Q66,Resultados!Z66,Resultados!AI66,Resultados!AR66,Resultados!BA66,Resultados!BJ66,Resultados!BS66,Resultados!CB66,Resultados!CK66,Resultados!CT66,Resultados!DC66,Resultados!DL66,Resultados!DU66,Resultados!ED66)&lt;=1, "", _xlfn.STDEV.S(ABS(Resultados!H66),ABS(Resultados!Q66),ABS(Resultados!Z66),ABS(Resultados!AI66),ABS(Resultados!AR66),ABS(Resultados!BA66),ABS(Resultados!BJ66),ABS(Resultados!BS66),ABS(Resultados!CB66),ABS(Resultados!CK66),ABS(Resultados!CT66),ABS(Resultados!DC66),ABS(Resultados!DL66),ABS(Resultados!DU66),ABS(Resultados!ED66))/SQRT(COUNT(Resultados!H66,Resultados!Q66,Resultados!Z66,Resultados!AI66,Resultados!AR66,Resultados!BA66,Resultados!BJ66,Resultados!BS66,Resultados!CB66,Resultados!CK66,Resultados!CT66,Resultados!DC66,Resultados!DL66,Resultados!DU66,Resultados!ED66)))</f>
        <v>4.5301108995150151E-4</v>
      </c>
      <c r="I66">
        <f>IF(COUNT(Resultados!I66,Resultados!R66,Resultados!AA66,Resultados!AJ66,Resultados!AS66,Resultados!BB66,Resultados!BK66,Resultados!BT66,Resultados!CC66,Resultados!CL66,Resultados!CU66,Resultados!DD66,Resultados!DM66,Resultados!DV66,Resultados!EE66)&lt;=1, "", _xlfn.STDEV.S(ABS(Resultados!I66),ABS(Resultados!R66),ABS(Resultados!AA66),ABS(Resultados!AJ66),ABS(Resultados!AS66),ABS(Resultados!BB66),ABS(Resultados!BK66),ABS(Resultados!BT66),ABS(Resultados!CC66),ABS(Resultados!CL66),ABS(Resultados!CU66),ABS(Resultados!DD66),ABS(Resultados!DM66),ABS(Resultados!DV66),ABS(Resultados!EE66))/SQRT(COUNT(Resultados!I66,Resultados!R66,Resultados!AA66,Resultados!AJ66,Resultados!AS66,Resultados!BB66,Resultados!BK66,Resultados!BT66,Resultados!CC66,Resultados!CL66,Resultados!CU66,Resultados!DD66,Resultados!DM66,Resultados!DV66,Resultados!EE66)))</f>
        <v>7.8515743037625935E-4</v>
      </c>
    </row>
    <row r="67" spans="1:9" x14ac:dyDescent="0.3">
      <c r="A67">
        <f>IF(COUNT(Resultados!A67,Resultados!J67,Resultados!S67,Resultados!AB67,Resultados!AK67,Resultados!AT67,Resultados!BC67,Resultados!BL67,Resultados!BU67,Resultados!CD67,Resultados!CM67,Resultados!CV67,Resultados!DE67,Resultados!DN67,Resultados!DW67)&lt;=1, "", _xlfn.STDEV.S(ABS(Resultados!A67),ABS(Resultados!J67),ABS(Resultados!S67),ABS(Resultados!AB67),ABS(Resultados!AK67),ABS(Resultados!AT67),ABS(Resultados!BC67),ABS(Resultados!BL67),ABS(Resultados!BU67),ABS(Resultados!CD67),ABS(Resultados!CM67),ABS(Resultados!CV67),ABS(Resultados!DE67),ABS(Resultados!DN67),ABS(Resultados!DW67))/SQRT(COUNT(Resultados!A67,Resultados!J67,Resultados!S67,Resultados!AB67,Resultados!AK67,Resultados!AT67,Resultados!BC67,Resultados!BL67,Resultados!BU67,Resultados!CD67,Resultados!CM67,Resultados!CV67,Resultados!DE67,Resultados!DN67,Resultados!DW67)))</f>
        <v>0</v>
      </c>
      <c r="B67" t="str">
        <f>IF(COUNT(Resultados!B67,Resultados!K67,Resultados!T67,Resultados!AC67,Resultados!AL67,Resultados!AU67,Resultados!BD67,Resultados!BM67,Resultados!BV67,Resultados!CE67,Resultados!CN67,Resultados!CW67,Resultados!DF67,Resultados!DO67,Resultados!DX67)&lt;=1, "", _xlfn.STDEV.S(ABS(Resultados!B67),ABS(Resultados!K67),ABS(Resultados!T67),ABS(Resultados!AC67),ABS(Resultados!AL67),ABS(Resultados!AU67),ABS(Resultados!BD67),ABS(Resultados!BM67),ABS(Resultados!BV67),ABS(Resultados!CE67),ABS(Resultados!CN67),ABS(Resultados!CW67),ABS(Resultados!DF67),ABS(Resultados!DO67),ABS(Resultados!DX67))/SQRT(COUNT(Resultados!B67,Resultados!K67,Resultados!T67,Resultados!AC67,Resultados!AL67,Resultados!AU67,Resultados!BD67,Resultados!BM67,Resultados!BV67,Resultados!CE67,Resultados!CN67,Resultados!CW67,Resultados!DF67,Resultados!DO67,Resultados!DX67)))</f>
        <v/>
      </c>
      <c r="C67">
        <f>IF(COUNT(Resultados!C67,Resultados!L67,Resultados!U67,Resultados!AD67,Resultados!AM67,Resultados!AV67,Resultados!BE67,Resultados!BN67,Resultados!BW67,Resultados!CF67,Resultados!CO67,Resultados!CX67,Resultados!DG67,Resultados!DP67,Resultados!DY67)&lt;=1, "", _xlfn.STDEV.S(ABS(Resultados!C67),ABS(Resultados!L67),ABS(Resultados!U67),ABS(Resultados!AD67),ABS(Resultados!AM67),ABS(Resultados!AV67),ABS(Resultados!BE67),ABS(Resultados!BN67),ABS(Resultados!BW67),ABS(Resultados!CF67),ABS(Resultados!CO67),ABS(Resultados!CX67),ABS(Resultados!DG67),ABS(Resultados!DP67),ABS(Resultados!DY67))/SQRT(COUNT(Resultados!C67,Resultados!L67,Resultados!U67,Resultados!AD67,Resultados!AM67,Resultados!AV67,Resultados!BE67,Resultados!BN67,Resultados!BW67,Resultados!CF67,Resultados!CO67,Resultados!CX67,Resultados!DG67,Resultados!DP67,Resultados!DY67)))</f>
        <v>0.46802523334497581</v>
      </c>
      <c r="D67">
        <f>IF(COUNT(Resultados!D67,Resultados!M67,Resultados!V67,Resultados!AE67,Resultados!AN67,Resultados!AW67,Resultados!BF67,Resultados!BO67,Resultados!BX67,Resultados!CG67,Resultados!CP67,Resultados!CY67,Resultados!DH67,Resultados!DQ67,Resultados!DZ67)&lt;=1, "", _xlfn.STDEV.S(ABS(Resultados!D67),ABS(Resultados!M67),ABS(Resultados!V67),ABS(Resultados!AE67),ABS(Resultados!AN67),ABS(Resultados!AW67),ABS(Resultados!BF67),ABS(Resultados!BO67),ABS(Resultados!BX67),ABS(Resultados!CG67),ABS(Resultados!CP67),ABS(Resultados!CY67),ABS(Resultados!DH67),ABS(Resultados!DQ67),ABS(Resultados!DZ67))/SQRT(COUNT(Resultados!D67,Resultados!M67,Resultados!V67,Resultados!AE67,Resultados!AN67,Resultados!AW67,Resultados!BF67,Resultados!BO67,Resultados!BX67,Resultados!CG67,Resultados!CP67,Resultados!CY67,Resultados!DH67,Resultados!DQ67,Resultados!DZ67)))</f>
        <v>3.5655316396038153E-4</v>
      </c>
      <c r="E67">
        <f>IF(COUNT(Resultados!E67,Resultados!N67,Resultados!W67,Resultados!AF67,Resultados!AO67,Resultados!AX67,Resultados!BG67,Resultados!BP67,Resultados!BY67,Resultados!CH67,Resultados!CQ67,Resultados!CZ67,Resultados!DI67,Resultados!DR67,Resultados!EA67)&lt;=1, "", _xlfn.STDEV.S(ABS(Resultados!E67),ABS(Resultados!N67),ABS(Resultados!W67),ABS(Resultados!AF67),ABS(Resultados!AO67),ABS(Resultados!AX67),ABS(Resultados!BG67),ABS(Resultados!BP67),ABS(Resultados!BY67),ABS(Resultados!CH67),ABS(Resultados!CQ67),ABS(Resultados!CZ67),ABS(Resultados!DI67),ABS(Resultados!DR67),ABS(Resultados!EA67))/SQRT(COUNT(Resultados!E67,Resultados!N67,Resultados!W67,Resultados!AF67,Resultados!AO67,Resultados!AX67,Resultados!BG67,Resultados!BP67,Resultados!BY67,Resultados!CH67,Resultados!CQ67,Resultados!CZ67,Resultados!DI67,Resultados!DR67,Resultados!EA67)))</f>
        <v>4.5118802318534566E-2</v>
      </c>
      <c r="F67">
        <f>IF(COUNT(Resultados!F67,Resultados!O67,Resultados!X67,Resultados!AG67,Resultados!AP67,Resultados!AY67,Resultados!BH67,Resultados!BQ67,Resultados!BZ67,Resultados!CI67,Resultados!CR67,Resultados!DA67,Resultados!DJ67,Resultados!DS67,Resultados!EB67)&lt;=1, "", _xlfn.STDEV.S(ABS(Resultados!F67),ABS(Resultados!O67),ABS(Resultados!X67),ABS(Resultados!AG67),ABS(Resultados!AP67),ABS(Resultados!AY67),ABS(Resultados!BH67),ABS(Resultados!BQ67),ABS(Resultados!BZ67),ABS(Resultados!CI67),ABS(Resultados!CR67),ABS(Resultados!DA67),ABS(Resultados!DJ67),ABS(Resultados!DS67),ABS(Resultados!EB67))/SQRT(COUNT(Resultados!F67,Resultados!O67,Resultados!X67,Resultados!AG67,Resultados!AP67,Resultados!AY67,Resultados!BH67,Resultados!BQ67,Resultados!BZ67,Resultados!CI67,Resultados!CR67,Resultados!DA67,Resultados!DJ67,Resultados!DS67,Resultados!EB67)))</f>
        <v>11.094376533532424</v>
      </c>
      <c r="G67">
        <f>IF(COUNT(Resultados!G67,Resultados!P67,Resultados!Y67,Resultados!AH67,Resultados!AQ67,Resultados!AZ67,Resultados!BI67,Resultados!BR67,Resultados!CA67,Resultados!CJ67,Resultados!CS67,Resultados!DB67,Resultados!DK67,Resultados!DT67,Resultados!EC67)&lt;=1, "", _xlfn.STDEV.S(ABS(Resultados!G67),ABS(Resultados!P67),ABS(Resultados!Y67),ABS(Resultados!AH67),ABS(Resultados!AQ67),ABS(Resultados!AZ67),ABS(Resultados!BI67),ABS(Resultados!BR67),ABS(Resultados!CA67),ABS(Resultados!CJ67),ABS(Resultados!CS67),ABS(Resultados!DB67),ABS(Resultados!DK67),ABS(Resultados!DT67),ABS(Resultados!EC67))/SQRT(COUNT(Resultados!G67,Resultados!P67,Resultados!Y67,Resultados!AH67,Resultados!AQ67,Resultados!AZ67,Resultados!BI67,Resultados!BR67,Resultados!CA67,Resultados!CJ67,Resultados!CS67,Resultados!DB67,Resultados!DK67,Resultados!DT67,Resultados!EC67)))</f>
        <v>4.4507937654163114E-17</v>
      </c>
      <c r="H67">
        <f>IF(COUNT(Resultados!H67,Resultados!Q67,Resultados!Z67,Resultados!AI67,Resultados!AR67,Resultados!BA67,Resultados!BJ67,Resultados!BS67,Resultados!CB67,Resultados!CK67,Resultados!CT67,Resultados!DC67,Resultados!DL67,Resultados!DU67,Resultados!ED67)&lt;=1, "", _xlfn.STDEV.S(ABS(Resultados!H67),ABS(Resultados!Q67),ABS(Resultados!Z67),ABS(Resultados!AI67),ABS(Resultados!AR67),ABS(Resultados!BA67),ABS(Resultados!BJ67),ABS(Resultados!BS67),ABS(Resultados!CB67),ABS(Resultados!CK67),ABS(Resultados!CT67),ABS(Resultados!DC67),ABS(Resultados!DL67),ABS(Resultados!DU67),ABS(Resultados!ED67))/SQRT(COUNT(Resultados!H67,Resultados!Q67,Resultados!Z67,Resultados!AI67,Resultados!AR67,Resultados!BA67,Resultados!BJ67,Resultados!BS67,Resultados!CB67,Resultados!CK67,Resultados!CT67,Resultados!DC67,Resultados!DL67,Resultados!DU67,Resultados!ED67)))</f>
        <v>7.0150857850370262E-4</v>
      </c>
      <c r="I67">
        <f>IF(COUNT(Resultados!I67,Resultados!R67,Resultados!AA67,Resultados!AJ67,Resultados!AS67,Resultados!BB67,Resultados!BK67,Resultados!BT67,Resultados!CC67,Resultados!CL67,Resultados!CU67,Resultados!DD67,Resultados!DM67,Resultados!DV67,Resultados!EE67)&lt;=1, "", _xlfn.STDEV.S(ABS(Resultados!I67),ABS(Resultados!R67),ABS(Resultados!AA67),ABS(Resultados!AJ67),ABS(Resultados!AS67),ABS(Resultados!BB67),ABS(Resultados!BK67),ABS(Resultados!BT67),ABS(Resultados!CC67),ABS(Resultados!CL67),ABS(Resultados!CU67),ABS(Resultados!DD67),ABS(Resultados!DM67),ABS(Resultados!DV67),ABS(Resultados!EE67))/SQRT(COUNT(Resultados!I67,Resultados!R67,Resultados!AA67,Resultados!AJ67,Resultados!AS67,Resultados!BB67,Resultados!BK67,Resultados!BT67,Resultados!CC67,Resultados!CL67,Resultados!CU67,Resultados!DD67,Resultados!DM67,Resultados!DV67,Resultados!EE67)))</f>
        <v>7.3327107960765106E-4</v>
      </c>
    </row>
    <row r="68" spans="1:9" x14ac:dyDescent="0.3">
      <c r="A68">
        <f>IF(COUNT(Resultados!A68,Resultados!J68,Resultados!S68,Resultados!AB68,Resultados!AK68,Resultados!AT68,Resultados!BC68,Resultados!BL68,Resultados!BU68,Resultados!CD68,Resultados!CM68,Resultados!CV68,Resultados!DE68,Resultados!DN68,Resultados!DW68)&lt;=1, "", _xlfn.STDEV.S(ABS(Resultados!A68),ABS(Resultados!J68),ABS(Resultados!S68),ABS(Resultados!AB68),ABS(Resultados!AK68),ABS(Resultados!AT68),ABS(Resultados!BC68),ABS(Resultados!BL68),ABS(Resultados!BU68),ABS(Resultados!CD68),ABS(Resultados!CM68),ABS(Resultados!CV68),ABS(Resultados!DE68),ABS(Resultados!DN68),ABS(Resultados!DW68))/SQRT(COUNT(Resultados!A68,Resultados!J68,Resultados!S68,Resultados!AB68,Resultados!AK68,Resultados!AT68,Resultados!BC68,Resultados!BL68,Resultados!BU68,Resultados!CD68,Resultados!CM68,Resultados!CV68,Resultados!DE68,Resultados!DN68,Resultados!DW68)))</f>
        <v>0</v>
      </c>
      <c r="B68" t="str">
        <f>IF(COUNT(Resultados!B68,Resultados!K68,Resultados!T68,Resultados!AC68,Resultados!AL68,Resultados!AU68,Resultados!BD68,Resultados!BM68,Resultados!BV68,Resultados!CE68,Resultados!CN68,Resultados!CW68,Resultados!DF68,Resultados!DO68,Resultados!DX68)&lt;=1, "", _xlfn.STDEV.S(ABS(Resultados!B68),ABS(Resultados!K68),ABS(Resultados!T68),ABS(Resultados!AC68),ABS(Resultados!AL68),ABS(Resultados!AU68),ABS(Resultados!BD68),ABS(Resultados!BM68),ABS(Resultados!BV68),ABS(Resultados!CE68),ABS(Resultados!CN68),ABS(Resultados!CW68),ABS(Resultados!DF68),ABS(Resultados!DO68),ABS(Resultados!DX68))/SQRT(COUNT(Resultados!B68,Resultados!K68,Resultados!T68,Resultados!AC68,Resultados!AL68,Resultados!AU68,Resultados!BD68,Resultados!BM68,Resultados!BV68,Resultados!CE68,Resultados!CN68,Resultados!CW68,Resultados!DF68,Resultados!DO68,Resultados!DX68)))</f>
        <v/>
      </c>
      <c r="C68">
        <f>IF(COUNT(Resultados!C68,Resultados!L68,Resultados!U68,Resultados!AD68,Resultados!AM68,Resultados!AV68,Resultados!BE68,Resultados!BN68,Resultados!BW68,Resultados!CF68,Resultados!CO68,Resultados!CX68,Resultados!DG68,Resultados!DP68,Resultados!DY68)&lt;=1, "", _xlfn.STDEV.S(ABS(Resultados!C68),ABS(Resultados!L68),ABS(Resultados!U68),ABS(Resultados!AD68),ABS(Resultados!AM68),ABS(Resultados!AV68),ABS(Resultados!BE68),ABS(Resultados!BN68),ABS(Resultados!BW68),ABS(Resultados!CF68),ABS(Resultados!CO68),ABS(Resultados!CX68),ABS(Resultados!DG68),ABS(Resultados!DP68),ABS(Resultados!DY68))/SQRT(COUNT(Resultados!C68,Resultados!L68,Resultados!U68,Resultados!AD68,Resultados!AM68,Resultados!AV68,Resultados!BE68,Resultados!BN68,Resultados!BW68,Resultados!CF68,Resultados!CO68,Resultados!CX68,Resultados!DG68,Resultados!DP68,Resultados!DY68)))</f>
        <v>0.46802523334497581</v>
      </c>
      <c r="D68">
        <f>IF(COUNT(Resultados!D68,Resultados!M68,Resultados!V68,Resultados!AE68,Resultados!AN68,Resultados!AW68,Resultados!BF68,Resultados!BO68,Resultados!BX68,Resultados!CG68,Resultados!CP68,Resultados!CY68,Resultados!DH68,Resultados!DQ68,Resultados!DZ68)&lt;=1, "", _xlfn.STDEV.S(ABS(Resultados!D68),ABS(Resultados!M68),ABS(Resultados!V68),ABS(Resultados!AE68),ABS(Resultados!AN68),ABS(Resultados!AW68),ABS(Resultados!BF68),ABS(Resultados!BO68),ABS(Resultados!BX68),ABS(Resultados!CG68),ABS(Resultados!CP68),ABS(Resultados!CY68),ABS(Resultados!DH68),ABS(Resultados!DQ68),ABS(Resultados!DZ68))/SQRT(COUNT(Resultados!D68,Resultados!M68,Resultados!V68,Resultados!AE68,Resultados!AN68,Resultados!AW68,Resultados!BF68,Resultados!BO68,Resultados!BX68,Resultados!CG68,Resultados!CP68,Resultados!CY68,Resultados!DH68,Resultados!DQ68,Resultados!DZ68)))</f>
        <v>5.6599399850988381E-4</v>
      </c>
      <c r="E68">
        <f>IF(COUNT(Resultados!E68,Resultados!N68,Resultados!W68,Resultados!AF68,Resultados!AO68,Resultados!AX68,Resultados!BG68,Resultados!BP68,Resultados!BY68,Resultados!CH68,Resultados!CQ68,Resultados!CZ68,Resultados!DI68,Resultados!DR68,Resultados!EA68)&lt;=1, "", _xlfn.STDEV.S(ABS(Resultados!E68),ABS(Resultados!N68),ABS(Resultados!W68),ABS(Resultados!AF68),ABS(Resultados!AO68),ABS(Resultados!AX68),ABS(Resultados!BG68),ABS(Resultados!BP68),ABS(Resultados!BY68),ABS(Resultados!CH68),ABS(Resultados!CQ68),ABS(Resultados!CZ68),ABS(Resultados!DI68),ABS(Resultados!DR68),ABS(Resultados!EA68))/SQRT(COUNT(Resultados!E68,Resultados!N68,Resultados!W68,Resultados!AF68,Resultados!AO68,Resultados!AX68,Resultados!BG68,Resultados!BP68,Resultados!BY68,Resultados!CH68,Resultados!CQ68,Resultados!CZ68,Resultados!DI68,Resultados!DR68,Resultados!EA68)))</f>
        <v>5.6810952050599384E-2</v>
      </c>
      <c r="F68">
        <f>IF(COUNT(Resultados!F68,Resultados!O68,Resultados!X68,Resultados!AG68,Resultados!AP68,Resultados!AY68,Resultados!BH68,Resultados!BQ68,Resultados!BZ68,Resultados!CI68,Resultados!CR68,Resultados!DA68,Resultados!DJ68,Resultados!DS68,Resultados!EB68)&lt;=1, "", _xlfn.STDEV.S(ABS(Resultados!F68),ABS(Resultados!O68),ABS(Resultados!X68),ABS(Resultados!AG68),ABS(Resultados!AP68),ABS(Resultados!AY68),ABS(Resultados!BH68),ABS(Resultados!BQ68),ABS(Resultados!BZ68),ABS(Resultados!CI68),ABS(Resultados!CR68),ABS(Resultados!DA68),ABS(Resultados!DJ68),ABS(Resultados!DS68),ABS(Resultados!EB68))/SQRT(COUNT(Resultados!F68,Resultados!O68,Resultados!X68,Resultados!AG68,Resultados!AP68,Resultados!AY68,Resultados!BH68,Resultados!BQ68,Resultados!BZ68,Resultados!CI68,Resultados!CR68,Resultados!DA68,Resultados!DJ68,Resultados!DS68,Resultados!EB68)))</f>
        <v>5.3913593496018839</v>
      </c>
      <c r="G68">
        <f>IF(COUNT(Resultados!G68,Resultados!P68,Resultados!Y68,Resultados!AH68,Resultados!AQ68,Resultados!AZ68,Resultados!BI68,Resultados!BR68,Resultados!CA68,Resultados!CJ68,Resultados!CS68,Resultados!DB68,Resultados!DK68,Resultados!DT68,Resultados!EC68)&lt;=1, "", _xlfn.STDEV.S(ABS(Resultados!G68),ABS(Resultados!P68),ABS(Resultados!Y68),ABS(Resultados!AH68),ABS(Resultados!AQ68),ABS(Resultados!AZ68),ABS(Resultados!BI68),ABS(Resultados!BR68),ABS(Resultados!CA68),ABS(Resultados!CJ68),ABS(Resultados!CS68),ABS(Resultados!DB68),ABS(Resultados!DK68),ABS(Resultados!DT68),ABS(Resultados!EC68))/SQRT(COUNT(Resultados!G68,Resultados!P68,Resultados!Y68,Resultados!AH68,Resultados!AQ68,Resultados!AZ68,Resultados!BI68,Resultados!BR68,Resultados!CA68,Resultados!CJ68,Resultados!CS68,Resultados!DB68,Resultados!DK68,Resultados!DT68,Resultados!EC68)))</f>
        <v>4.4507937654163114E-17</v>
      </c>
      <c r="H68">
        <f>IF(COUNT(Resultados!H68,Resultados!Q68,Resultados!Z68,Resultados!AI68,Resultados!AR68,Resultados!BA68,Resultados!BJ68,Resultados!BS68,Resultados!CB68,Resultados!CK68,Resultados!CT68,Resultados!DC68,Resultados!DL68,Resultados!DU68,Resultados!ED68)&lt;=1, "", _xlfn.STDEV.S(ABS(Resultados!H68),ABS(Resultados!Q68),ABS(Resultados!Z68),ABS(Resultados!AI68),ABS(Resultados!AR68),ABS(Resultados!BA68),ABS(Resultados!BJ68),ABS(Resultados!BS68),ABS(Resultados!CB68),ABS(Resultados!CK68),ABS(Resultados!CT68),ABS(Resultados!DC68),ABS(Resultados!DL68),ABS(Resultados!DU68),ABS(Resultados!ED68))/SQRT(COUNT(Resultados!H68,Resultados!Q68,Resultados!Z68,Resultados!AI68,Resultados!AR68,Resultados!BA68,Resultados!BJ68,Resultados!BS68,Resultados!CB68,Resultados!CK68,Resultados!CT68,Resultados!DC68,Resultados!DL68,Resultados!DU68,Resultados!ED68)))</f>
        <v>8.8437225516989479E-4</v>
      </c>
      <c r="I68">
        <f>IF(COUNT(Resultados!I68,Resultados!R68,Resultados!AA68,Resultados!AJ68,Resultados!AS68,Resultados!BB68,Resultados!BK68,Resultados!BT68,Resultados!CC68,Resultados!CL68,Resultados!CU68,Resultados!DD68,Resultados!DM68,Resultados!DV68,Resultados!EE68)&lt;=1, "", _xlfn.STDEV.S(ABS(Resultados!I68),ABS(Resultados!R68),ABS(Resultados!AA68),ABS(Resultados!AJ68),ABS(Resultados!AS68),ABS(Resultados!BB68),ABS(Resultados!BK68),ABS(Resultados!BT68),ABS(Resultados!CC68),ABS(Resultados!CL68),ABS(Resultados!CU68),ABS(Resultados!DD68),ABS(Resultados!DM68),ABS(Resultados!DV68),ABS(Resultados!EE68))/SQRT(COUNT(Resultados!I68,Resultados!R68,Resultados!AA68,Resultados!AJ68,Resultados!AS68,Resultados!BB68,Resultados!BK68,Resultados!BT68,Resultados!CC68,Resultados!CL68,Resultados!CU68,Resultados!DD68,Resultados!DM68,Resultados!DV68,Resultados!EE68)))</f>
        <v>7.7744861515596699E-4</v>
      </c>
    </row>
    <row r="69" spans="1:9" x14ac:dyDescent="0.3">
      <c r="A69">
        <f>IF(COUNT(Resultados!A69,Resultados!J69,Resultados!S69,Resultados!AB69,Resultados!AK69,Resultados!AT69,Resultados!BC69,Resultados!BL69,Resultados!BU69,Resultados!CD69,Resultados!CM69,Resultados!CV69,Resultados!DE69,Resultados!DN69,Resultados!DW69)&lt;=1, "", _xlfn.STDEV.S(ABS(Resultados!A69),ABS(Resultados!J69),ABS(Resultados!S69),ABS(Resultados!AB69),ABS(Resultados!AK69),ABS(Resultados!AT69),ABS(Resultados!BC69),ABS(Resultados!BL69),ABS(Resultados!BU69),ABS(Resultados!CD69),ABS(Resultados!CM69),ABS(Resultados!CV69),ABS(Resultados!DE69),ABS(Resultados!DN69),ABS(Resultados!DW69))/SQRT(COUNT(Resultados!A69,Resultados!J69,Resultados!S69,Resultados!AB69,Resultados!AK69,Resultados!AT69,Resultados!BC69,Resultados!BL69,Resultados!BU69,Resultados!CD69,Resultados!CM69,Resultados!CV69,Resultados!DE69,Resultados!DN69,Resultados!DW69)))</f>
        <v>0</v>
      </c>
      <c r="B69" t="str">
        <f>IF(COUNT(Resultados!B69,Resultados!K69,Resultados!T69,Resultados!AC69,Resultados!AL69,Resultados!AU69,Resultados!BD69,Resultados!BM69,Resultados!BV69,Resultados!CE69,Resultados!CN69,Resultados!CW69,Resultados!DF69,Resultados!DO69,Resultados!DX69)&lt;=1, "", _xlfn.STDEV.S(ABS(Resultados!B69),ABS(Resultados!K69),ABS(Resultados!T69),ABS(Resultados!AC69),ABS(Resultados!AL69),ABS(Resultados!AU69),ABS(Resultados!BD69),ABS(Resultados!BM69),ABS(Resultados!BV69),ABS(Resultados!CE69),ABS(Resultados!CN69),ABS(Resultados!CW69),ABS(Resultados!DF69),ABS(Resultados!DO69),ABS(Resultados!DX69))/SQRT(COUNT(Resultados!B69,Resultados!K69,Resultados!T69,Resultados!AC69,Resultados!AL69,Resultados!AU69,Resultados!BD69,Resultados!BM69,Resultados!BV69,Resultados!CE69,Resultados!CN69,Resultados!CW69,Resultados!DF69,Resultados!DO69,Resultados!DX69)))</f>
        <v/>
      </c>
      <c r="C69">
        <f>IF(COUNT(Resultados!C69,Resultados!L69,Resultados!U69,Resultados!AD69,Resultados!AM69,Resultados!AV69,Resultados!BE69,Resultados!BN69,Resultados!BW69,Resultados!CF69,Resultados!CO69,Resultados!CX69,Resultados!DG69,Resultados!DP69,Resultados!DY69)&lt;=1, "", _xlfn.STDEV.S(ABS(Resultados!C69),ABS(Resultados!L69),ABS(Resultados!U69),ABS(Resultados!AD69),ABS(Resultados!AM69),ABS(Resultados!AV69),ABS(Resultados!BE69),ABS(Resultados!BN69),ABS(Resultados!BW69),ABS(Resultados!CF69),ABS(Resultados!CO69),ABS(Resultados!CX69),ABS(Resultados!DG69),ABS(Resultados!DP69),ABS(Resultados!DY69))/SQRT(COUNT(Resultados!C69,Resultados!L69,Resultados!U69,Resultados!AD69,Resultados!AM69,Resultados!AV69,Resultados!BE69,Resultados!BN69,Resultados!BW69,Resultados!CF69,Resultados!CO69,Resultados!CX69,Resultados!DG69,Resultados!DP69,Resultados!DY69)))</f>
        <v>0.46802523334497581</v>
      </c>
      <c r="D69">
        <f>IF(COUNT(Resultados!D69,Resultados!M69,Resultados!V69,Resultados!AE69,Resultados!AN69,Resultados!AW69,Resultados!BF69,Resultados!BO69,Resultados!BX69,Resultados!CG69,Resultados!CP69,Resultados!CY69,Resultados!DH69,Resultados!DQ69,Resultados!DZ69)&lt;=1, "", _xlfn.STDEV.S(ABS(Resultados!D69),ABS(Resultados!M69),ABS(Resultados!V69),ABS(Resultados!AE69),ABS(Resultados!AN69),ABS(Resultados!AW69),ABS(Resultados!BF69),ABS(Resultados!BO69),ABS(Resultados!BX69),ABS(Resultados!CG69),ABS(Resultados!CP69),ABS(Resultados!CY69),ABS(Resultados!DH69),ABS(Resultados!DQ69),ABS(Resultados!DZ69))/SQRT(COUNT(Resultados!D69,Resultados!M69,Resultados!V69,Resultados!AE69,Resultados!AN69,Resultados!AW69,Resultados!BF69,Resultados!BO69,Resultados!BX69,Resultados!CG69,Resultados!CP69,Resultados!CY69,Resultados!DH69,Resultados!DQ69,Resultados!DZ69)))</f>
        <v>7.730705629100718E-4</v>
      </c>
      <c r="E69">
        <f>IF(COUNT(Resultados!E69,Resultados!N69,Resultados!W69,Resultados!AF69,Resultados!AO69,Resultados!AX69,Resultados!BG69,Resultados!BP69,Resultados!BY69,Resultados!CH69,Resultados!CQ69,Resultados!CZ69,Resultados!DI69,Resultados!DR69,Resultados!EA69)&lt;=1, "", _xlfn.STDEV.S(ABS(Resultados!E69),ABS(Resultados!N69),ABS(Resultados!W69),ABS(Resultados!AF69),ABS(Resultados!AO69),ABS(Resultados!AX69),ABS(Resultados!BG69),ABS(Resultados!BP69),ABS(Resultados!BY69),ABS(Resultados!CH69),ABS(Resultados!CQ69),ABS(Resultados!CZ69),ABS(Resultados!DI69),ABS(Resultados!DR69),ABS(Resultados!EA69))/SQRT(COUNT(Resultados!E69,Resultados!N69,Resultados!W69,Resultados!AF69,Resultados!AO69,Resultados!AX69,Resultados!BG69,Resultados!BP69,Resultados!BY69,Resultados!CH69,Resultados!CQ69,Resultados!CZ69,Resultados!DI69,Resultados!DR69,Resultados!EA69)))</f>
        <v>6.6112345612258858E-2</v>
      </c>
      <c r="F69">
        <f>IF(COUNT(Resultados!F69,Resultados!O69,Resultados!X69,Resultados!AG69,Resultados!AP69,Resultados!AY69,Resultados!BH69,Resultados!BQ69,Resultados!BZ69,Resultados!CI69,Resultados!CR69,Resultados!DA69,Resultados!DJ69,Resultados!DS69,Resultados!EB69)&lt;=1, "", _xlfn.STDEV.S(ABS(Resultados!F69),ABS(Resultados!O69),ABS(Resultados!X69),ABS(Resultados!AG69),ABS(Resultados!AP69),ABS(Resultados!AY69),ABS(Resultados!BH69),ABS(Resultados!BQ69),ABS(Resultados!BZ69),ABS(Resultados!CI69),ABS(Resultados!CR69),ABS(Resultados!DA69),ABS(Resultados!DJ69),ABS(Resultados!DS69),ABS(Resultados!EB69))/SQRT(COUNT(Resultados!F69,Resultados!O69,Resultados!X69,Resultados!AG69,Resultados!AP69,Resultados!AY69,Resultados!BH69,Resultados!BQ69,Resultados!BZ69,Resultados!CI69,Resultados!CR69,Resultados!DA69,Resultados!DJ69,Resultados!DS69,Resultados!EB69)))</f>
        <v>6.2740615986033639</v>
      </c>
      <c r="G69">
        <f>IF(COUNT(Resultados!G69,Resultados!P69,Resultados!Y69,Resultados!AH69,Resultados!AQ69,Resultados!AZ69,Resultados!BI69,Resultados!BR69,Resultados!CA69,Resultados!CJ69,Resultados!CS69,Resultados!DB69,Resultados!DK69,Resultados!DT69,Resultados!EC69)&lt;=1, "", _xlfn.STDEV.S(ABS(Resultados!G69),ABS(Resultados!P69),ABS(Resultados!Y69),ABS(Resultados!AH69),ABS(Resultados!AQ69),ABS(Resultados!AZ69),ABS(Resultados!BI69),ABS(Resultados!BR69),ABS(Resultados!CA69),ABS(Resultados!CJ69),ABS(Resultados!CS69),ABS(Resultados!DB69),ABS(Resultados!DK69),ABS(Resultados!DT69),ABS(Resultados!EC69))/SQRT(COUNT(Resultados!G69,Resultados!P69,Resultados!Y69,Resultados!AH69,Resultados!AQ69,Resultados!AZ69,Resultados!BI69,Resultados!BR69,Resultados!CA69,Resultados!CJ69,Resultados!CS69,Resultados!DB69,Resultados!DK69,Resultados!DT69,Resultados!EC69)))</f>
        <v>4.4507937654163114E-17</v>
      </c>
      <c r="H69">
        <f>IF(COUNT(Resultados!H69,Resultados!Q69,Resultados!Z69,Resultados!AI69,Resultados!AR69,Resultados!BA69,Resultados!BJ69,Resultados!BS69,Resultados!CB69,Resultados!CK69,Resultados!CT69,Resultados!DC69,Resultados!DL69,Resultados!DU69,Resultados!ED69)&lt;=1, "", _xlfn.STDEV.S(ABS(Resultados!H69),ABS(Resultados!Q69),ABS(Resultados!Z69),ABS(Resultados!AI69),ABS(Resultados!AR69),ABS(Resultados!BA69),ABS(Resultados!BJ69),ABS(Resultados!BS69),ABS(Resultados!CB69),ABS(Resultados!CK69),ABS(Resultados!CT69),ABS(Resultados!DC69),ABS(Resultados!DL69),ABS(Resultados!DU69),ABS(Resultados!ED69))/SQRT(COUNT(Resultados!H69,Resultados!Q69,Resultados!Z69,Resultados!AI69,Resultados!AR69,Resultados!BA69,Resultados!BJ69,Resultados!BS69,Resultados!CB69,Resultados!CK69,Resultados!CT69,Resultados!DC69,Resultados!DL69,Resultados!DU69,Resultados!ED69)))</f>
        <v>1.0292700449332165E-3</v>
      </c>
      <c r="I69">
        <f>IF(COUNT(Resultados!I69,Resultados!R69,Resultados!AA69,Resultados!AJ69,Resultados!AS69,Resultados!BB69,Resultados!BK69,Resultados!BT69,Resultados!CC69,Resultados!CL69,Resultados!CU69,Resultados!DD69,Resultados!DM69,Resultados!DV69,Resultados!EE69)&lt;=1, "", _xlfn.STDEV.S(ABS(Resultados!I69),ABS(Resultados!R69),ABS(Resultados!AA69),ABS(Resultados!AJ69),ABS(Resultados!AS69),ABS(Resultados!BB69),ABS(Resultados!BK69),ABS(Resultados!BT69),ABS(Resultados!CC69),ABS(Resultados!CL69),ABS(Resultados!CU69),ABS(Resultados!DD69),ABS(Resultados!DM69),ABS(Resultados!DV69),ABS(Resultados!EE69))/SQRT(COUNT(Resultados!I69,Resultados!R69,Resultados!AA69,Resultados!AJ69,Resultados!AS69,Resultados!BB69,Resultados!BK69,Resultados!BT69,Resultados!CC69,Resultados!CL69,Resultados!CU69,Resultados!DD69,Resultados!DM69,Resultados!DV69,Resultados!EE69)))</f>
        <v>2.6775302191172058E-2</v>
      </c>
    </row>
    <row r="70" spans="1:9" x14ac:dyDescent="0.3">
      <c r="A70">
        <f>IF(COUNT(Resultados!A70,Resultados!J70,Resultados!S70,Resultados!AB70,Resultados!AK70,Resultados!AT70,Resultados!BC70,Resultados!BL70,Resultados!BU70,Resultados!CD70,Resultados!CM70,Resultados!CV70,Resultados!DE70,Resultados!DN70,Resultados!DW70)&lt;=1, "", _xlfn.STDEV.S(ABS(Resultados!A70),ABS(Resultados!J70),ABS(Resultados!S70),ABS(Resultados!AB70),ABS(Resultados!AK70),ABS(Resultados!AT70),ABS(Resultados!BC70),ABS(Resultados!BL70),ABS(Resultados!BU70),ABS(Resultados!CD70),ABS(Resultados!CM70),ABS(Resultados!CV70),ABS(Resultados!DE70),ABS(Resultados!DN70),ABS(Resultados!DW70))/SQRT(COUNT(Resultados!A70,Resultados!J70,Resultados!S70,Resultados!AB70,Resultados!AK70,Resultados!AT70,Resultados!BC70,Resultados!BL70,Resultados!BU70,Resultados!CD70,Resultados!CM70,Resultados!CV70,Resultados!DE70,Resultados!DN70,Resultados!DW70)))</f>
        <v>0</v>
      </c>
      <c r="B70" t="str">
        <f>IF(COUNT(Resultados!B70,Resultados!K70,Resultados!T70,Resultados!AC70,Resultados!AL70,Resultados!AU70,Resultados!BD70,Resultados!BM70,Resultados!BV70,Resultados!CE70,Resultados!CN70,Resultados!CW70,Resultados!DF70,Resultados!DO70,Resultados!DX70)&lt;=1, "", _xlfn.STDEV.S(ABS(Resultados!B70),ABS(Resultados!K70),ABS(Resultados!T70),ABS(Resultados!AC70),ABS(Resultados!AL70),ABS(Resultados!AU70),ABS(Resultados!BD70),ABS(Resultados!BM70),ABS(Resultados!BV70),ABS(Resultados!CE70),ABS(Resultados!CN70),ABS(Resultados!CW70),ABS(Resultados!DF70),ABS(Resultados!DO70),ABS(Resultados!DX70))/SQRT(COUNT(Resultados!B70,Resultados!K70,Resultados!T70,Resultados!AC70,Resultados!AL70,Resultados!AU70,Resultados!BD70,Resultados!BM70,Resultados!BV70,Resultados!CE70,Resultados!CN70,Resultados!CW70,Resultados!DF70,Resultados!DO70,Resultados!DX70)))</f>
        <v/>
      </c>
      <c r="C70">
        <f>IF(COUNT(Resultados!C70,Resultados!L70,Resultados!U70,Resultados!AD70,Resultados!AM70,Resultados!AV70,Resultados!BE70,Resultados!BN70,Resultados!BW70,Resultados!CF70,Resultados!CO70,Resultados!CX70,Resultados!DG70,Resultados!DP70,Resultados!DY70)&lt;=1, "", _xlfn.STDEV.S(ABS(Resultados!C70),ABS(Resultados!L70),ABS(Resultados!U70),ABS(Resultados!AD70),ABS(Resultados!AM70),ABS(Resultados!AV70),ABS(Resultados!BE70),ABS(Resultados!BN70),ABS(Resultados!BW70),ABS(Resultados!CF70),ABS(Resultados!CO70),ABS(Resultados!CX70),ABS(Resultados!DG70),ABS(Resultados!DP70),ABS(Resultados!DY70))/SQRT(COUNT(Resultados!C70,Resultados!L70,Resultados!U70,Resultados!AD70,Resultados!AM70,Resultados!AV70,Resultados!BE70,Resultados!BN70,Resultados!BW70,Resultados!CF70,Resultados!CO70,Resultados!CX70,Resultados!DG70,Resultados!DP70,Resultados!DY70)))</f>
        <v>0.46802523334497581</v>
      </c>
      <c r="D70">
        <f>IF(COUNT(Resultados!D70,Resultados!M70,Resultados!V70,Resultados!AE70,Resultados!AN70,Resultados!AW70,Resultados!BF70,Resultados!BO70,Resultados!BX70,Resultados!CG70,Resultados!CP70,Resultados!CY70,Resultados!DH70,Resultados!DQ70,Resultados!DZ70)&lt;=1, "", _xlfn.STDEV.S(ABS(Resultados!D70),ABS(Resultados!M70),ABS(Resultados!V70),ABS(Resultados!AE70),ABS(Resultados!AN70),ABS(Resultados!AW70),ABS(Resultados!BF70),ABS(Resultados!BO70),ABS(Resultados!BX70),ABS(Resultados!CG70),ABS(Resultados!CP70),ABS(Resultados!CY70),ABS(Resultados!DH70),ABS(Resultados!DQ70),ABS(Resultados!DZ70))/SQRT(COUNT(Resultados!D70,Resultados!M70,Resultados!V70,Resultados!AE70,Resultados!AN70,Resultados!AW70,Resultados!BF70,Resultados!BO70,Resultados!BX70,Resultados!CG70,Resultados!CP70,Resultados!CY70,Resultados!DH70,Resultados!DQ70,Resultados!DZ70)))</f>
        <v>8.9891292372756804E-4</v>
      </c>
      <c r="E70">
        <f>IF(COUNT(Resultados!E70,Resultados!N70,Resultados!W70,Resultados!AF70,Resultados!AO70,Resultados!AX70,Resultados!BG70,Resultados!BP70,Resultados!BY70,Resultados!CH70,Resultados!CQ70,Resultados!CZ70,Resultados!DI70,Resultados!DR70,Resultados!EA70)&lt;=1, "", _xlfn.STDEV.S(ABS(Resultados!E70),ABS(Resultados!N70),ABS(Resultados!W70),ABS(Resultados!AF70),ABS(Resultados!AO70),ABS(Resultados!AX70),ABS(Resultados!BG70),ABS(Resultados!BP70),ABS(Resultados!BY70),ABS(Resultados!CH70),ABS(Resultados!CQ70),ABS(Resultados!CZ70),ABS(Resultados!DI70),ABS(Resultados!DR70),ABS(Resultados!EA70))/SQRT(COUNT(Resultados!E70,Resultados!N70,Resultados!W70,Resultados!AF70,Resultados!AO70,Resultados!AX70,Resultados!BG70,Resultados!BP70,Resultados!BY70,Resultados!CH70,Resultados!CQ70,Resultados!CZ70,Resultados!DI70,Resultados!DR70,Resultados!EA70)))</f>
        <v>6.4147368582250758E-2</v>
      </c>
      <c r="F70">
        <f>IF(COUNT(Resultados!F70,Resultados!O70,Resultados!X70,Resultados!AG70,Resultados!AP70,Resultados!AY70,Resultados!BH70,Resultados!BQ70,Resultados!BZ70,Resultados!CI70,Resultados!CR70,Resultados!DA70,Resultados!DJ70,Resultados!DS70,Resultados!EB70)&lt;=1, "", _xlfn.STDEV.S(ABS(Resultados!F70),ABS(Resultados!O70),ABS(Resultados!X70),ABS(Resultados!AG70),ABS(Resultados!AP70),ABS(Resultados!AY70),ABS(Resultados!BH70),ABS(Resultados!BQ70),ABS(Resultados!BZ70),ABS(Resultados!CI70),ABS(Resultados!CR70),ABS(Resultados!DA70),ABS(Resultados!DJ70),ABS(Resultados!DS70),ABS(Resultados!EB70))/SQRT(COUNT(Resultados!F70,Resultados!O70,Resultados!X70,Resultados!AG70,Resultados!AP70,Resultados!AY70,Resultados!BH70,Resultados!BQ70,Resultados!BZ70,Resultados!CI70,Resultados!CR70,Resultados!DA70,Resultados!DJ70,Resultados!DS70,Resultados!EB70)))</f>
        <v>6.0875852784555953</v>
      </c>
      <c r="G70">
        <f>IF(COUNT(Resultados!G70,Resultados!P70,Resultados!Y70,Resultados!AH70,Resultados!AQ70,Resultados!AZ70,Resultados!BI70,Resultados!BR70,Resultados!CA70,Resultados!CJ70,Resultados!CS70,Resultados!DB70,Resultados!DK70,Resultados!DT70,Resultados!EC70)&lt;=1, "", _xlfn.STDEV.S(ABS(Resultados!G70),ABS(Resultados!P70),ABS(Resultados!Y70),ABS(Resultados!AH70),ABS(Resultados!AQ70),ABS(Resultados!AZ70),ABS(Resultados!BI70),ABS(Resultados!BR70),ABS(Resultados!CA70),ABS(Resultados!CJ70),ABS(Resultados!CS70),ABS(Resultados!DB70),ABS(Resultados!DK70),ABS(Resultados!DT70),ABS(Resultados!EC70))/SQRT(COUNT(Resultados!G70,Resultados!P70,Resultados!Y70,Resultados!AH70,Resultados!AQ70,Resultados!AZ70,Resultados!BI70,Resultados!BR70,Resultados!CA70,Resultados!CJ70,Resultados!CS70,Resultados!DB70,Resultados!DK70,Resultados!DT70,Resultados!EC70)))</f>
        <v>4.4507937654163114E-17</v>
      </c>
      <c r="H70">
        <f>IF(COUNT(Resultados!H70,Resultados!Q70,Resultados!Z70,Resultados!AI70,Resultados!AR70,Resultados!BA70,Resultados!BJ70,Resultados!BS70,Resultados!CB70,Resultados!CK70,Resultados!CT70,Resultados!DC70,Resultados!DL70,Resultados!DU70,Resultados!ED70)&lt;=1, "", _xlfn.STDEV.S(ABS(Resultados!H70),ABS(Resultados!Q70),ABS(Resultados!Z70),ABS(Resultados!AI70),ABS(Resultados!AR70),ABS(Resultados!BA70),ABS(Resultados!BJ70),ABS(Resultados!BS70),ABS(Resultados!CB70),ABS(Resultados!CK70),ABS(Resultados!CT70),ABS(Resultados!DC70),ABS(Resultados!DL70),ABS(Resultados!DU70),ABS(Resultados!ED70))/SQRT(COUNT(Resultados!H70,Resultados!Q70,Resultados!Z70,Resultados!AI70,Resultados!AR70,Resultados!BA70,Resultados!BJ70,Resultados!BS70,Resultados!CB70,Resultados!CK70,Resultados!CT70,Resultados!DC70,Resultados!DL70,Resultados!DU70,Resultados!ED70)))</f>
        <v>9.9884695429041477E-4</v>
      </c>
      <c r="I70">
        <f>IF(COUNT(Resultados!I70,Resultados!R70,Resultados!AA70,Resultados!AJ70,Resultados!AS70,Resultados!BB70,Resultados!BK70,Resultados!BT70,Resultados!CC70,Resultados!CL70,Resultados!CU70,Resultados!DD70,Resultados!DM70,Resultados!DV70,Resultados!EE70)&lt;=1, "", _xlfn.STDEV.S(ABS(Resultados!I70),ABS(Resultados!R70),ABS(Resultados!AA70),ABS(Resultados!AJ70),ABS(Resultados!AS70),ABS(Resultados!BB70),ABS(Resultados!BK70),ABS(Resultados!BT70),ABS(Resultados!CC70),ABS(Resultados!CL70),ABS(Resultados!CU70),ABS(Resultados!DD70),ABS(Resultados!DM70),ABS(Resultados!DV70),ABS(Resultados!EE70))/SQRT(COUNT(Resultados!I70,Resultados!R70,Resultados!AA70,Resultados!AJ70,Resultados!AS70,Resultados!BB70,Resultados!BK70,Resultados!BT70,Resultados!CC70,Resultados!CL70,Resultados!CU70,Resultados!DD70,Resultados!DM70,Resultados!DV70,Resultados!EE70)))</f>
        <v>2.665602474322137E-2</v>
      </c>
    </row>
    <row r="71" spans="1:9" x14ac:dyDescent="0.3">
      <c r="A71">
        <f>IF(COUNT(Resultados!A71,Resultados!J71,Resultados!S71,Resultados!AB71,Resultados!AK71,Resultados!AT71,Resultados!BC71,Resultados!BL71,Resultados!BU71,Resultados!CD71,Resultados!CM71,Resultados!CV71,Resultados!DE71,Resultados!DN71,Resultados!DW71)&lt;=1, "", _xlfn.STDEV.S(ABS(Resultados!A71),ABS(Resultados!J71),ABS(Resultados!S71),ABS(Resultados!AB71),ABS(Resultados!AK71),ABS(Resultados!AT71),ABS(Resultados!BC71),ABS(Resultados!BL71),ABS(Resultados!BU71),ABS(Resultados!CD71),ABS(Resultados!CM71),ABS(Resultados!CV71),ABS(Resultados!DE71),ABS(Resultados!DN71),ABS(Resultados!DW71))/SQRT(COUNT(Resultados!A71,Resultados!J71,Resultados!S71,Resultados!AB71,Resultados!AK71,Resultados!AT71,Resultados!BC71,Resultados!BL71,Resultados!BU71,Resultados!CD71,Resultados!CM71,Resultados!CV71,Resultados!DE71,Resultados!DN71,Resultados!DW71)))</f>
        <v>0</v>
      </c>
      <c r="B71" t="str">
        <f>IF(COUNT(Resultados!B71,Resultados!K71,Resultados!T71,Resultados!AC71,Resultados!AL71,Resultados!AU71,Resultados!BD71,Resultados!BM71,Resultados!BV71,Resultados!CE71,Resultados!CN71,Resultados!CW71,Resultados!DF71,Resultados!DO71,Resultados!DX71)&lt;=1, "", _xlfn.STDEV.S(ABS(Resultados!B71),ABS(Resultados!K71),ABS(Resultados!T71),ABS(Resultados!AC71),ABS(Resultados!AL71),ABS(Resultados!AU71),ABS(Resultados!BD71),ABS(Resultados!BM71),ABS(Resultados!BV71),ABS(Resultados!CE71),ABS(Resultados!CN71),ABS(Resultados!CW71),ABS(Resultados!DF71),ABS(Resultados!DO71),ABS(Resultados!DX71))/SQRT(COUNT(Resultados!B71,Resultados!K71,Resultados!T71,Resultados!AC71,Resultados!AL71,Resultados!AU71,Resultados!BD71,Resultados!BM71,Resultados!BV71,Resultados!CE71,Resultados!CN71,Resultados!CW71,Resultados!DF71,Resultados!DO71,Resultados!DX71)))</f>
        <v/>
      </c>
      <c r="C71">
        <f>IF(COUNT(Resultados!C71,Resultados!L71,Resultados!U71,Resultados!AD71,Resultados!AM71,Resultados!AV71,Resultados!BE71,Resultados!BN71,Resultados!BW71,Resultados!CF71,Resultados!CO71,Resultados!CX71,Resultados!DG71,Resultados!DP71,Resultados!DY71)&lt;=1, "", _xlfn.STDEV.S(ABS(Resultados!C71),ABS(Resultados!L71),ABS(Resultados!U71),ABS(Resultados!AD71),ABS(Resultados!AM71),ABS(Resultados!AV71),ABS(Resultados!BE71),ABS(Resultados!BN71),ABS(Resultados!BW71),ABS(Resultados!CF71),ABS(Resultados!CO71),ABS(Resultados!CX71),ABS(Resultados!DG71),ABS(Resultados!DP71),ABS(Resultados!DY71))/SQRT(COUNT(Resultados!C71,Resultados!L71,Resultados!U71,Resultados!AD71,Resultados!AM71,Resultados!AV71,Resultados!BE71,Resultados!BN71,Resultados!BW71,Resultados!CF71,Resultados!CO71,Resultados!CX71,Resultados!DG71,Resultados!DP71,Resultados!DY71)))</f>
        <v>0.46802523334497581</v>
      </c>
      <c r="D71">
        <f>IF(COUNT(Resultados!D71,Resultados!M71,Resultados!V71,Resultados!AE71,Resultados!AN71,Resultados!AW71,Resultados!BF71,Resultados!BO71,Resultados!BX71,Resultados!CG71,Resultados!CP71,Resultados!CY71,Resultados!DH71,Resultados!DQ71,Resultados!DZ71)&lt;=1, "", _xlfn.STDEV.S(ABS(Resultados!D71),ABS(Resultados!M71),ABS(Resultados!V71),ABS(Resultados!AE71),ABS(Resultados!AN71),ABS(Resultados!AW71),ABS(Resultados!BF71),ABS(Resultados!BO71),ABS(Resultados!BX71),ABS(Resultados!CG71),ABS(Resultados!CP71),ABS(Resultados!CY71),ABS(Resultados!DH71),ABS(Resultados!DQ71),ABS(Resultados!DZ71))/SQRT(COUNT(Resultados!D71,Resultados!M71,Resultados!V71,Resultados!AE71,Resultados!AN71,Resultados!AW71,Resultados!BF71,Resultados!BO71,Resultados!BX71,Resultados!CG71,Resultados!CP71,Resultados!CY71,Resultados!DH71,Resultados!DQ71,Resultados!DZ71)))</f>
        <v>8.9119858653103831E-4</v>
      </c>
      <c r="E71">
        <f>IF(COUNT(Resultados!E71,Resultados!N71,Resultados!W71,Resultados!AF71,Resultados!AO71,Resultados!AX71,Resultados!BG71,Resultados!BP71,Resultados!BY71,Resultados!CH71,Resultados!CQ71,Resultados!CZ71,Resultados!DI71,Resultados!DR71,Resultados!EA71)&lt;=1, "", _xlfn.STDEV.S(ABS(Resultados!E71),ABS(Resultados!N71),ABS(Resultados!W71),ABS(Resultados!AF71),ABS(Resultados!AO71),ABS(Resultados!AX71),ABS(Resultados!BG71),ABS(Resultados!BP71),ABS(Resultados!BY71),ABS(Resultados!CH71),ABS(Resultados!CQ71),ABS(Resultados!CZ71),ABS(Resultados!DI71),ABS(Resultados!DR71),ABS(Resultados!EA71))/SQRT(COUNT(Resultados!E71,Resultados!N71,Resultados!W71,Resultados!AF71,Resultados!AO71,Resultados!AX71,Resultados!BG71,Resultados!BP71,Resultados!BY71,Resultados!CH71,Resultados!CQ71,Resultados!CZ71,Resultados!DI71,Resultados!DR71,Resultados!EA71)))</f>
        <v>5.6649464483988464E-2</v>
      </c>
      <c r="F71">
        <f>IF(COUNT(Resultados!F71,Resultados!O71,Resultados!X71,Resultados!AG71,Resultados!AP71,Resultados!AY71,Resultados!BH71,Resultados!BQ71,Resultados!BZ71,Resultados!CI71,Resultados!CR71,Resultados!DA71,Resultados!DJ71,Resultados!DS71,Resultados!EB71)&lt;=1, "", _xlfn.STDEV.S(ABS(Resultados!F71),ABS(Resultados!O71),ABS(Resultados!X71),ABS(Resultados!AG71),ABS(Resultados!AP71),ABS(Resultados!AY71),ABS(Resultados!BH71),ABS(Resultados!BQ71),ABS(Resultados!BZ71),ABS(Resultados!CI71),ABS(Resultados!CR71),ABS(Resultados!DA71),ABS(Resultados!DJ71),ABS(Resultados!DS71),ABS(Resultados!EB71))/SQRT(COUNT(Resultados!F71,Resultados!O71,Resultados!X71,Resultados!AG71,Resultados!AP71,Resultados!AY71,Resultados!BH71,Resultados!BQ71,Resultados!BZ71,Resultados!CI71,Resultados!CR71,Resultados!DA71,Resultados!DJ71,Resultados!DS71,Resultados!EB71)))</f>
        <v>8.4917776819211337</v>
      </c>
      <c r="G71">
        <f>IF(COUNT(Resultados!G71,Resultados!P71,Resultados!Y71,Resultados!AH71,Resultados!AQ71,Resultados!AZ71,Resultados!BI71,Resultados!BR71,Resultados!CA71,Resultados!CJ71,Resultados!CS71,Resultados!DB71,Resultados!DK71,Resultados!DT71,Resultados!EC71)&lt;=1, "", _xlfn.STDEV.S(ABS(Resultados!G71),ABS(Resultados!P71),ABS(Resultados!Y71),ABS(Resultados!AH71),ABS(Resultados!AQ71),ABS(Resultados!AZ71),ABS(Resultados!BI71),ABS(Resultados!BR71),ABS(Resultados!CA71),ABS(Resultados!CJ71),ABS(Resultados!CS71),ABS(Resultados!DB71),ABS(Resultados!DK71),ABS(Resultados!DT71),ABS(Resultados!EC71))/SQRT(COUNT(Resultados!G71,Resultados!P71,Resultados!Y71,Resultados!AH71,Resultados!AQ71,Resultados!AZ71,Resultados!BI71,Resultados!BR71,Resultados!CA71,Resultados!CJ71,Resultados!CS71,Resultados!DB71,Resultados!DK71,Resultados!DT71,Resultados!EC71)))</f>
        <v>4.4507937654163114E-17</v>
      </c>
      <c r="H71">
        <f>IF(COUNT(Resultados!H71,Resultados!Q71,Resultados!Z71,Resultados!AI71,Resultados!AR71,Resultados!BA71,Resultados!BJ71,Resultados!BS71,Resultados!CB71,Resultados!CK71,Resultados!CT71,Resultados!DC71,Resultados!DL71,Resultados!DU71,Resultados!ED71)&lt;=1, "", _xlfn.STDEV.S(ABS(Resultados!H71),ABS(Resultados!Q71),ABS(Resultados!Z71),ABS(Resultados!AI71),ABS(Resultados!AR71),ABS(Resultados!BA71),ABS(Resultados!BJ71),ABS(Resultados!BS71),ABS(Resultados!CB71),ABS(Resultados!CK71),ABS(Resultados!CT71),ABS(Resultados!DC71),ABS(Resultados!DL71),ABS(Resultados!DU71),ABS(Resultados!ED71))/SQRT(COUNT(Resultados!H71,Resultados!Q71,Resultados!Z71,Resultados!AI71,Resultados!AR71,Resultados!BA71,Resultados!BJ71,Resultados!BS71,Resultados!CB71,Resultados!CK71,Resultados!CT71,Resultados!DC71,Resultados!DL71,Resultados!DU71,Resultados!ED71)))</f>
        <v>8.799999999999996E-4</v>
      </c>
      <c r="I71">
        <f>IF(COUNT(Resultados!I71,Resultados!R71,Resultados!AA71,Resultados!AJ71,Resultados!AS71,Resultados!BB71,Resultados!BK71,Resultados!BT71,Resultados!CC71,Resultados!CL71,Resultados!CU71,Resultados!DD71,Resultados!DM71,Resultados!DV71,Resultados!EE71)&lt;=1, "", _xlfn.STDEV.S(ABS(Resultados!I71),ABS(Resultados!R71),ABS(Resultados!AA71),ABS(Resultados!AJ71),ABS(Resultados!AS71),ABS(Resultados!BB71),ABS(Resultados!BK71),ABS(Resultados!BT71),ABS(Resultados!CC71),ABS(Resultados!CL71),ABS(Resultados!CU71),ABS(Resultados!DD71),ABS(Resultados!DM71),ABS(Resultados!DV71),ABS(Resultados!EE71))/SQRT(COUNT(Resultados!I71,Resultados!R71,Resultados!AA71,Resultados!AJ71,Resultados!AS71,Resultados!BB71,Resultados!BK71,Resultados!BT71,Resultados!CC71,Resultados!CL71,Resultados!CU71,Resultados!DD71,Resultados!DM71,Resultados!DV71,Resultados!EE71)))</f>
        <v>2.6628936174352861E-2</v>
      </c>
    </row>
    <row r="72" spans="1:9" x14ac:dyDescent="0.3">
      <c r="A72">
        <f>IF(COUNT(Resultados!A72,Resultados!J72,Resultados!S72,Resultados!AB72,Resultados!AK72,Resultados!AT72,Resultados!BC72,Resultados!BL72,Resultados!BU72,Resultados!CD72,Resultados!CM72,Resultados!CV72,Resultados!DE72,Resultados!DN72,Resultados!DW72)&lt;=1, "", _xlfn.STDEV.S(ABS(Resultados!A72),ABS(Resultados!J72),ABS(Resultados!S72),ABS(Resultados!AB72),ABS(Resultados!AK72),ABS(Resultados!AT72),ABS(Resultados!BC72),ABS(Resultados!BL72),ABS(Resultados!BU72),ABS(Resultados!CD72),ABS(Resultados!CM72),ABS(Resultados!CV72),ABS(Resultados!DE72),ABS(Resultados!DN72),ABS(Resultados!DW72))/SQRT(COUNT(Resultados!A72,Resultados!J72,Resultados!S72,Resultados!AB72,Resultados!AK72,Resultados!AT72,Resultados!BC72,Resultados!BL72,Resultados!BU72,Resultados!CD72,Resultados!CM72,Resultados!CV72,Resultados!DE72,Resultados!DN72,Resultados!DW72)))</f>
        <v>0</v>
      </c>
      <c r="B72" t="str">
        <f>IF(COUNT(Resultados!B72,Resultados!K72,Resultados!T72,Resultados!AC72,Resultados!AL72,Resultados!AU72,Resultados!BD72,Resultados!BM72,Resultados!BV72,Resultados!CE72,Resultados!CN72,Resultados!CW72,Resultados!DF72,Resultados!DO72,Resultados!DX72)&lt;=1, "", _xlfn.STDEV.S(ABS(Resultados!B72),ABS(Resultados!K72),ABS(Resultados!T72),ABS(Resultados!AC72),ABS(Resultados!AL72),ABS(Resultados!AU72),ABS(Resultados!BD72),ABS(Resultados!BM72),ABS(Resultados!BV72),ABS(Resultados!CE72),ABS(Resultados!CN72),ABS(Resultados!CW72),ABS(Resultados!DF72),ABS(Resultados!DO72),ABS(Resultados!DX72))/SQRT(COUNT(Resultados!B72,Resultados!K72,Resultados!T72,Resultados!AC72,Resultados!AL72,Resultados!AU72,Resultados!BD72,Resultados!BM72,Resultados!BV72,Resultados!CE72,Resultados!CN72,Resultados!CW72,Resultados!DF72,Resultados!DO72,Resultados!DX72)))</f>
        <v/>
      </c>
      <c r="C72">
        <f>IF(COUNT(Resultados!C72,Resultados!L72,Resultados!U72,Resultados!AD72,Resultados!AM72,Resultados!AV72,Resultados!BE72,Resultados!BN72,Resultados!BW72,Resultados!CF72,Resultados!CO72,Resultados!CX72,Resultados!DG72,Resultados!DP72,Resultados!DY72)&lt;=1, "", _xlfn.STDEV.S(ABS(Resultados!C72),ABS(Resultados!L72),ABS(Resultados!U72),ABS(Resultados!AD72),ABS(Resultados!AM72),ABS(Resultados!AV72),ABS(Resultados!BE72),ABS(Resultados!BN72),ABS(Resultados!BW72),ABS(Resultados!CF72),ABS(Resultados!CO72),ABS(Resultados!CX72),ABS(Resultados!DG72),ABS(Resultados!DP72),ABS(Resultados!DY72))/SQRT(COUNT(Resultados!C72,Resultados!L72,Resultados!U72,Resultados!AD72,Resultados!AM72,Resultados!AV72,Resultados!BE72,Resultados!BN72,Resultados!BW72,Resultados!CF72,Resultados!CO72,Resultados!CX72,Resultados!DG72,Resultados!DP72,Resultados!DY72)))</f>
        <v>0.46802523334497581</v>
      </c>
      <c r="D72">
        <f>IF(COUNT(Resultados!D72,Resultados!M72,Resultados!V72,Resultados!AE72,Resultados!AN72,Resultados!AW72,Resultados!BF72,Resultados!BO72,Resultados!BX72,Resultados!CG72,Resultados!CP72,Resultados!CY72,Resultados!DH72,Resultados!DQ72,Resultados!DZ72)&lt;=1, "", _xlfn.STDEV.S(ABS(Resultados!D72),ABS(Resultados!M72),ABS(Resultados!V72),ABS(Resultados!AE72),ABS(Resultados!AN72),ABS(Resultados!AW72),ABS(Resultados!BF72),ABS(Resultados!BO72),ABS(Resultados!BX72),ABS(Resultados!CG72),ABS(Resultados!CP72),ABS(Resultados!CY72),ABS(Resultados!DH72),ABS(Resultados!DQ72),ABS(Resultados!DZ72))/SQRT(COUNT(Resultados!D72,Resultados!M72,Resultados!V72,Resultados!AE72,Resultados!AN72,Resultados!AW72,Resultados!BF72,Resultados!BO72,Resultados!BX72,Resultados!CG72,Resultados!CP72,Resultados!CY72,Resultados!DH72,Resultados!DQ72,Resultados!DZ72)))</f>
        <v>7.8083390506661972E-4</v>
      </c>
      <c r="E72">
        <f>IF(COUNT(Resultados!E72,Resultados!N72,Resultados!W72,Resultados!AF72,Resultados!AO72,Resultados!AX72,Resultados!BG72,Resultados!BP72,Resultados!BY72,Resultados!CH72,Resultados!CQ72,Resultados!CZ72,Resultados!DI72,Resultados!DR72,Resultados!EA72)&lt;=1, "", _xlfn.STDEV.S(ABS(Resultados!E72),ABS(Resultados!N72),ABS(Resultados!W72),ABS(Resultados!AF72),ABS(Resultados!AO72),ABS(Resultados!AX72),ABS(Resultados!BG72),ABS(Resultados!BP72),ABS(Resultados!BY72),ABS(Resultados!CH72),ABS(Resultados!CQ72),ABS(Resultados!CZ72),ABS(Resultados!DI72),ABS(Resultados!DR72),ABS(Resultados!EA72))/SQRT(COUNT(Resultados!E72,Resultados!N72,Resultados!W72,Resultados!AF72,Resultados!AO72,Resultados!AX72,Resultados!BG72,Resultados!BP72,Resultados!BY72,Resultados!CH72,Resultados!CQ72,Resultados!CZ72,Resultados!DI72,Resultados!DR72,Resultados!EA72)))</f>
        <v>4.5183603436570137E-2</v>
      </c>
      <c r="F72">
        <f>IF(COUNT(Resultados!F72,Resultados!O72,Resultados!X72,Resultados!AG72,Resultados!AP72,Resultados!AY72,Resultados!BH72,Resultados!BQ72,Resultados!BZ72,Resultados!CI72,Resultados!CR72,Resultados!DA72,Resultados!DJ72,Resultados!DS72,Resultados!EB72)&lt;=1, "", _xlfn.STDEV.S(ABS(Resultados!F72),ABS(Resultados!O72),ABS(Resultados!X72),ABS(Resultados!AG72),ABS(Resultados!AP72),ABS(Resultados!AY72),ABS(Resultados!BH72),ABS(Resultados!BQ72),ABS(Resultados!BZ72),ABS(Resultados!CI72),ABS(Resultados!CR72),ABS(Resultados!DA72),ABS(Resultados!DJ72),ABS(Resultados!DS72),ABS(Resultados!EB72))/SQRT(COUNT(Resultados!F72,Resultados!O72,Resultados!X72,Resultados!AG72,Resultados!AP72,Resultados!AY72,Resultados!BH72,Resultados!BQ72,Resultados!BZ72,Resultados!CI72,Resultados!CR72,Resultados!DA72,Resultados!DJ72,Resultados!DS72,Resultados!EB72)))</f>
        <v>8.6001145880929766</v>
      </c>
      <c r="G72">
        <f>IF(COUNT(Resultados!G72,Resultados!P72,Resultados!Y72,Resultados!AH72,Resultados!AQ72,Resultados!AZ72,Resultados!BI72,Resultados!BR72,Resultados!CA72,Resultados!CJ72,Resultados!CS72,Resultados!DB72,Resultados!DK72,Resultados!DT72,Resultados!EC72)&lt;=1, "", _xlfn.STDEV.S(ABS(Resultados!G72),ABS(Resultados!P72),ABS(Resultados!Y72),ABS(Resultados!AH72),ABS(Resultados!AQ72),ABS(Resultados!AZ72),ABS(Resultados!BI72),ABS(Resultados!BR72),ABS(Resultados!CA72),ABS(Resultados!CJ72),ABS(Resultados!CS72),ABS(Resultados!DB72),ABS(Resultados!DK72),ABS(Resultados!DT72),ABS(Resultados!EC72))/SQRT(COUNT(Resultados!G72,Resultados!P72,Resultados!Y72,Resultados!AH72,Resultados!AQ72,Resultados!AZ72,Resultados!BI72,Resultados!BR72,Resultados!CA72,Resultados!CJ72,Resultados!CS72,Resultados!DB72,Resultados!DK72,Resultados!DT72,Resultados!EC72)))</f>
        <v>4.4507937654163114E-17</v>
      </c>
      <c r="H72">
        <f>IF(COUNT(Resultados!H72,Resultados!Q72,Resultados!Z72,Resultados!AI72,Resultados!AR72,Resultados!BA72,Resultados!BJ72,Resultados!BS72,Resultados!CB72,Resultados!CK72,Resultados!CT72,Resultados!DC72,Resultados!DL72,Resultados!DU72,Resultados!ED72)&lt;=1, "", _xlfn.STDEV.S(ABS(Resultados!H72),ABS(Resultados!Q72),ABS(Resultados!Z72),ABS(Resultados!AI72),ABS(Resultados!AR72),ABS(Resultados!BA72),ABS(Resultados!BJ72),ABS(Resultados!BS72),ABS(Resultados!CB72),ABS(Resultados!CK72),ABS(Resultados!CT72),ABS(Resultados!DC72),ABS(Resultados!DL72),ABS(Resultados!DU72),ABS(Resultados!ED72))/SQRT(COUNT(Resultados!H72,Resultados!Q72,Resultados!Z72,Resultados!AI72,Resultados!AR72,Resultados!BA72,Resultados!BJ72,Resultados!BS72,Resultados!CB72,Resultados!CK72,Resultados!CT72,Resultados!DC72,Resultados!DL72,Resultados!DU72,Resultados!ED72)))</f>
        <v>7.0316743699096651E-4</v>
      </c>
      <c r="I72">
        <f>IF(COUNT(Resultados!I72,Resultados!R72,Resultados!AA72,Resultados!AJ72,Resultados!AS72,Resultados!BB72,Resultados!BK72,Resultados!BT72,Resultados!CC72,Resultados!CL72,Resultados!CU72,Resultados!DD72,Resultados!DM72,Resultados!DV72,Resultados!EE72)&lt;=1, "", _xlfn.STDEV.S(ABS(Resultados!I72),ABS(Resultados!R72),ABS(Resultados!AA72),ABS(Resultados!AJ72),ABS(Resultados!AS72),ABS(Resultados!BB72),ABS(Resultados!BK72),ABS(Resultados!BT72),ABS(Resultados!CC72),ABS(Resultados!CL72),ABS(Resultados!CU72),ABS(Resultados!DD72),ABS(Resultados!DM72),ABS(Resultados!DV72),ABS(Resultados!EE72))/SQRT(COUNT(Resultados!I72,Resultados!R72,Resultados!AA72,Resultados!AJ72,Resultados!AS72,Resultados!BB72,Resultados!BK72,Resultados!BT72,Resultados!CC72,Resultados!CL72,Resultados!CU72,Resultados!DD72,Resultados!DM72,Resultados!DV72,Resultados!EE72)))</f>
        <v>2.6597612633051066E-2</v>
      </c>
    </row>
    <row r="73" spans="1:9" x14ac:dyDescent="0.3">
      <c r="A73">
        <f>IF(COUNT(Resultados!A73,Resultados!J73,Resultados!S73,Resultados!AB73,Resultados!AK73,Resultados!AT73,Resultados!BC73,Resultados!BL73,Resultados!BU73,Resultados!CD73,Resultados!CM73,Resultados!CV73,Resultados!DE73,Resultados!DN73,Resultados!DW73)&lt;=1, "", _xlfn.STDEV.S(ABS(Resultados!A73),ABS(Resultados!J73),ABS(Resultados!S73),ABS(Resultados!AB73),ABS(Resultados!AK73),ABS(Resultados!AT73),ABS(Resultados!BC73),ABS(Resultados!BL73),ABS(Resultados!BU73),ABS(Resultados!CD73),ABS(Resultados!CM73),ABS(Resultados!CV73),ABS(Resultados!DE73),ABS(Resultados!DN73),ABS(Resultados!DW73))/SQRT(COUNT(Resultados!A73,Resultados!J73,Resultados!S73,Resultados!AB73,Resultados!AK73,Resultados!AT73,Resultados!BC73,Resultados!BL73,Resultados!BU73,Resultados!CD73,Resultados!CM73,Resultados!CV73,Resultados!DE73,Resultados!DN73,Resultados!DW73)))</f>
        <v>0</v>
      </c>
      <c r="B73" t="str">
        <f>IF(COUNT(Resultados!B73,Resultados!K73,Resultados!T73,Resultados!AC73,Resultados!AL73,Resultados!AU73,Resultados!BD73,Resultados!BM73,Resultados!BV73,Resultados!CE73,Resultados!CN73,Resultados!CW73,Resultados!DF73,Resultados!DO73,Resultados!DX73)&lt;=1, "", _xlfn.STDEV.S(ABS(Resultados!B73),ABS(Resultados!K73),ABS(Resultados!T73),ABS(Resultados!AC73),ABS(Resultados!AL73),ABS(Resultados!AU73),ABS(Resultados!BD73),ABS(Resultados!BM73),ABS(Resultados!BV73),ABS(Resultados!CE73),ABS(Resultados!CN73),ABS(Resultados!CW73),ABS(Resultados!DF73),ABS(Resultados!DO73),ABS(Resultados!DX73))/SQRT(COUNT(Resultados!B73,Resultados!K73,Resultados!T73,Resultados!AC73,Resultados!AL73,Resultados!AU73,Resultados!BD73,Resultados!BM73,Resultados!BV73,Resultados!CE73,Resultados!CN73,Resultados!CW73,Resultados!DF73,Resultados!DO73,Resultados!DX73)))</f>
        <v/>
      </c>
      <c r="C73">
        <f>IF(COUNT(Resultados!C73,Resultados!L73,Resultados!U73,Resultados!AD73,Resultados!AM73,Resultados!AV73,Resultados!BE73,Resultados!BN73,Resultados!BW73,Resultados!CF73,Resultados!CO73,Resultados!CX73,Resultados!DG73,Resultados!DP73,Resultados!DY73)&lt;=1, "", _xlfn.STDEV.S(ABS(Resultados!C73),ABS(Resultados!L73),ABS(Resultados!U73),ABS(Resultados!AD73),ABS(Resultados!AM73),ABS(Resultados!AV73),ABS(Resultados!BE73),ABS(Resultados!BN73),ABS(Resultados!BW73),ABS(Resultados!CF73),ABS(Resultados!CO73),ABS(Resultados!CX73),ABS(Resultados!DG73),ABS(Resultados!DP73),ABS(Resultados!DY73))/SQRT(COUNT(Resultados!C73,Resultados!L73,Resultados!U73,Resultados!AD73,Resultados!AM73,Resultados!AV73,Resultados!BE73,Resultados!BN73,Resultados!BW73,Resultados!CF73,Resultados!CO73,Resultados!CX73,Resultados!DG73,Resultados!DP73,Resultados!DY73)))</f>
        <v>0.46802523334497581</v>
      </c>
      <c r="D73">
        <f>IF(COUNT(Resultados!D73,Resultados!M73,Resultados!V73,Resultados!AE73,Resultados!AN73,Resultados!AW73,Resultados!BF73,Resultados!BO73,Resultados!BX73,Resultados!CG73,Resultados!CP73,Resultados!CY73,Resultados!DH73,Resultados!DQ73,Resultados!DZ73)&lt;=1, "", _xlfn.STDEV.S(ABS(Resultados!D73),ABS(Resultados!M73),ABS(Resultados!V73),ABS(Resultados!AE73),ABS(Resultados!AN73),ABS(Resultados!AW73),ABS(Resultados!BF73),ABS(Resultados!BO73),ABS(Resultados!BX73),ABS(Resultados!CG73),ABS(Resultados!CP73),ABS(Resultados!CY73),ABS(Resultados!DH73),ABS(Resultados!DQ73),ABS(Resultados!DZ73))/SQRT(COUNT(Resultados!D73,Resultados!M73,Resultados!V73,Resultados!AE73,Resultados!AN73,Resultados!AW73,Resultados!BF73,Resultados!BO73,Resultados!BX73,Resultados!CG73,Resultados!CP73,Resultados!CY73,Resultados!DH73,Resultados!DQ73,Resultados!DZ73)))</f>
        <v>6.2234579271839337E-4</v>
      </c>
      <c r="E73">
        <f>IF(COUNT(Resultados!E73,Resultados!N73,Resultados!W73,Resultados!AF73,Resultados!AO73,Resultados!AX73,Resultados!BG73,Resultados!BP73,Resultados!BY73,Resultados!CH73,Resultados!CQ73,Resultados!CZ73,Resultados!DI73,Resultados!DR73,Resultados!EA73)&lt;=1, "", _xlfn.STDEV.S(ABS(Resultados!E73),ABS(Resultados!N73),ABS(Resultados!W73),ABS(Resultados!AF73),ABS(Resultados!AO73),ABS(Resultados!AX73),ABS(Resultados!BG73),ABS(Resultados!BP73),ABS(Resultados!BY73),ABS(Resultados!CH73),ABS(Resultados!CQ73),ABS(Resultados!CZ73),ABS(Resultados!DI73),ABS(Resultados!DR73),ABS(Resultados!EA73))/SQRT(COUNT(Resultados!E73,Resultados!N73,Resultados!W73,Resultados!AF73,Resultados!AO73,Resultados!AX73,Resultados!BG73,Resultados!BP73,Resultados!BY73,Resultados!CH73,Resultados!CQ73,Resultados!CZ73,Resultados!DI73,Resultados!DR73,Resultados!EA73)))</f>
        <v>3.2165546573776974E-2</v>
      </c>
      <c r="F73">
        <f>IF(COUNT(Resultados!F73,Resultados!O73,Resultados!X73,Resultados!AG73,Resultados!AP73,Resultados!AY73,Resultados!BH73,Resultados!BQ73,Resultados!BZ73,Resultados!CI73,Resultados!CR73,Resultados!DA73,Resultados!DJ73,Resultados!DS73,Resultados!EB73)&lt;=1, "", _xlfn.STDEV.S(ABS(Resultados!F73),ABS(Resultados!O73),ABS(Resultados!X73),ABS(Resultados!AG73),ABS(Resultados!AP73),ABS(Resultados!AY73),ABS(Resultados!BH73),ABS(Resultados!BQ73),ABS(Resultados!BZ73),ABS(Resultados!CI73),ABS(Resultados!CR73),ABS(Resultados!DA73),ABS(Resultados!DJ73),ABS(Resultados!DS73),ABS(Resultados!EB73))/SQRT(COUNT(Resultados!F73,Resultados!O73,Resultados!X73,Resultados!AG73,Resultados!AP73,Resultados!AY73,Resultados!BH73,Resultados!BQ73,Resultados!BZ73,Resultados!CI73,Resultados!CR73,Resultados!DA73,Resultados!DJ73,Resultados!DS73,Resultados!EB73)))</f>
        <v>4.6024244643332368</v>
      </c>
      <c r="G73">
        <f>IF(COUNT(Resultados!G73,Resultados!P73,Resultados!Y73,Resultados!AH73,Resultados!AQ73,Resultados!AZ73,Resultados!BI73,Resultados!BR73,Resultados!CA73,Resultados!CJ73,Resultados!CS73,Resultados!DB73,Resultados!DK73,Resultados!DT73,Resultados!EC73)&lt;=1, "", _xlfn.STDEV.S(ABS(Resultados!G73),ABS(Resultados!P73),ABS(Resultados!Y73),ABS(Resultados!AH73),ABS(Resultados!AQ73),ABS(Resultados!AZ73),ABS(Resultados!BI73),ABS(Resultados!BR73),ABS(Resultados!CA73),ABS(Resultados!CJ73),ABS(Resultados!CS73),ABS(Resultados!DB73),ABS(Resultados!DK73),ABS(Resultados!DT73),ABS(Resultados!EC73))/SQRT(COUNT(Resultados!G73,Resultados!P73,Resultados!Y73,Resultados!AH73,Resultados!AQ73,Resultados!AZ73,Resultados!BI73,Resultados!BR73,Resultados!CA73,Resultados!CJ73,Resultados!CS73,Resultados!DB73,Resultados!DK73,Resultados!DT73,Resultados!EC73)))</f>
        <v>4.4507937654163114E-17</v>
      </c>
      <c r="H73">
        <f>IF(COUNT(Resultados!H73,Resultados!Q73,Resultados!Z73,Resultados!AI73,Resultados!AR73,Resultados!BA73,Resultados!BJ73,Resultados!BS73,Resultados!CB73,Resultados!CK73,Resultados!CT73,Resultados!DC73,Resultados!DL73,Resultados!DU73,Resultados!ED73)&lt;=1, "", _xlfn.STDEV.S(ABS(Resultados!H73),ABS(Resultados!Q73),ABS(Resultados!Z73),ABS(Resultados!AI73),ABS(Resultados!AR73),ABS(Resultados!BA73),ABS(Resultados!BJ73),ABS(Resultados!BS73),ABS(Resultados!CB73),ABS(Resultados!CK73),ABS(Resultados!CT73),ABS(Resultados!DC73),ABS(Resultados!DL73),ABS(Resultados!DU73),ABS(Resultados!ED73))/SQRT(COUNT(Resultados!H73,Resultados!Q73,Resultados!Z73,Resultados!AI73,Resultados!AR73,Resultados!BA73,Resultados!BJ73,Resultados!BS73,Resultados!CB73,Resultados!CK73,Resultados!CT73,Resultados!DC73,Resultados!DL73,Resultados!DU73,Resultados!ED73)))</f>
        <v>5.0052036414179491E-4</v>
      </c>
      <c r="I73">
        <f>IF(COUNT(Resultados!I73,Resultados!R73,Resultados!AA73,Resultados!AJ73,Resultados!AS73,Resultados!BB73,Resultados!BK73,Resultados!BT73,Resultados!CC73,Resultados!CL73,Resultados!CU73,Resultados!DD73,Resultados!DM73,Resultados!DV73,Resultados!EE73)&lt;=1, "", _xlfn.STDEV.S(ABS(Resultados!I73),ABS(Resultados!R73),ABS(Resultados!AA73),ABS(Resultados!AJ73),ABS(Resultados!AS73),ABS(Resultados!BB73),ABS(Resultados!BK73),ABS(Resultados!BT73),ABS(Resultados!CC73),ABS(Resultados!CL73),ABS(Resultados!CU73),ABS(Resultados!DD73),ABS(Resultados!DM73),ABS(Resultados!DV73),ABS(Resultados!EE73))/SQRT(COUNT(Resultados!I73,Resultados!R73,Resultados!AA73,Resultados!AJ73,Resultados!AS73,Resultados!BB73,Resultados!BK73,Resultados!BT73,Resultados!CC73,Resultados!CL73,Resultados!CU73,Resultados!DD73,Resultados!DM73,Resultados!DV73,Resultados!EE73)))</f>
        <v>2.6629265694506989E-2</v>
      </c>
    </row>
    <row r="74" spans="1:9" x14ac:dyDescent="0.3">
      <c r="A74">
        <f>IF(COUNT(Resultados!A74,Resultados!J74,Resultados!S74,Resultados!AB74,Resultados!AK74,Resultados!AT74,Resultados!BC74,Resultados!BL74,Resultados!BU74,Resultados!CD74,Resultados!CM74,Resultados!CV74,Resultados!DE74,Resultados!DN74,Resultados!DW74)&lt;=1, "", _xlfn.STDEV.S(ABS(Resultados!A74),ABS(Resultados!J74),ABS(Resultados!S74),ABS(Resultados!AB74),ABS(Resultados!AK74),ABS(Resultados!AT74),ABS(Resultados!BC74),ABS(Resultados!BL74),ABS(Resultados!BU74),ABS(Resultados!CD74),ABS(Resultados!CM74),ABS(Resultados!CV74),ABS(Resultados!DE74),ABS(Resultados!DN74),ABS(Resultados!DW74))/SQRT(COUNT(Resultados!A74,Resultados!J74,Resultados!S74,Resultados!AB74,Resultados!AK74,Resultados!AT74,Resultados!BC74,Resultados!BL74,Resultados!BU74,Resultados!CD74,Resultados!CM74,Resultados!CV74,Resultados!DE74,Resultados!DN74,Resultados!DW74)))</f>
        <v>0</v>
      </c>
      <c r="B74" t="str">
        <f>IF(COUNT(Resultados!B74,Resultados!K74,Resultados!T74,Resultados!AC74,Resultados!AL74,Resultados!AU74,Resultados!BD74,Resultados!BM74,Resultados!BV74,Resultados!CE74,Resultados!CN74,Resultados!CW74,Resultados!DF74,Resultados!DO74,Resultados!DX74)&lt;=1, "", _xlfn.STDEV.S(ABS(Resultados!B74),ABS(Resultados!K74),ABS(Resultados!T74),ABS(Resultados!AC74),ABS(Resultados!AL74),ABS(Resultados!AU74),ABS(Resultados!BD74),ABS(Resultados!BM74),ABS(Resultados!BV74),ABS(Resultados!CE74),ABS(Resultados!CN74),ABS(Resultados!CW74),ABS(Resultados!DF74),ABS(Resultados!DO74),ABS(Resultados!DX74))/SQRT(COUNT(Resultados!B74,Resultados!K74,Resultados!T74,Resultados!AC74,Resultados!AL74,Resultados!AU74,Resultados!BD74,Resultados!BM74,Resultados!BV74,Resultados!CE74,Resultados!CN74,Resultados!CW74,Resultados!DF74,Resultados!DO74,Resultados!DX74)))</f>
        <v/>
      </c>
      <c r="C74">
        <f>IF(COUNT(Resultados!C74,Resultados!L74,Resultados!U74,Resultados!AD74,Resultados!AM74,Resultados!AV74,Resultados!BE74,Resultados!BN74,Resultados!BW74,Resultados!CF74,Resultados!CO74,Resultados!CX74,Resultados!DG74,Resultados!DP74,Resultados!DY74)&lt;=1, "", _xlfn.STDEV.S(ABS(Resultados!C74),ABS(Resultados!L74),ABS(Resultados!U74),ABS(Resultados!AD74),ABS(Resultados!AM74),ABS(Resultados!AV74),ABS(Resultados!BE74),ABS(Resultados!BN74),ABS(Resultados!BW74),ABS(Resultados!CF74),ABS(Resultados!CO74),ABS(Resultados!CX74),ABS(Resultados!DG74),ABS(Resultados!DP74),ABS(Resultados!DY74))/SQRT(COUNT(Resultados!C74,Resultados!L74,Resultados!U74,Resultados!AD74,Resultados!AM74,Resultados!AV74,Resultados!BE74,Resultados!BN74,Resultados!BW74,Resultados!CF74,Resultados!CO74,Resultados!CX74,Resultados!DG74,Resultados!DP74,Resultados!DY74)))</f>
        <v>0.46802523334497581</v>
      </c>
      <c r="D74">
        <f>IF(COUNT(Resultados!D74,Resultados!M74,Resultados!V74,Resultados!AE74,Resultados!AN74,Resultados!AW74,Resultados!BF74,Resultados!BO74,Resultados!BX74,Resultados!CG74,Resultados!CP74,Resultados!CY74,Resultados!DH74,Resultados!DQ74,Resultados!DZ74)&lt;=1, "", _xlfn.STDEV.S(ABS(Resultados!D74),ABS(Resultados!M74),ABS(Resultados!V74),ABS(Resultados!AE74),ABS(Resultados!AN74),ABS(Resultados!AW74),ABS(Resultados!BF74),ABS(Resultados!BO74),ABS(Resultados!BX74),ABS(Resultados!CG74),ABS(Resultados!CP74),ABS(Resultados!CY74),ABS(Resultados!DH74),ABS(Resultados!DQ74),ABS(Resultados!DZ74))/SQRT(COUNT(Resultados!D74,Resultados!M74,Resultados!V74,Resultados!AE74,Resultados!AN74,Resultados!AW74,Resultados!BF74,Resultados!BO74,Resultados!BX74,Resultados!CG74,Resultados!CP74,Resultados!CY74,Resultados!DH74,Resultados!DQ74,Resultados!DZ74)))</f>
        <v>4.0126783202229521E-4</v>
      </c>
      <c r="E74">
        <f>IF(COUNT(Resultados!E74,Resultados!N74,Resultados!W74,Resultados!AF74,Resultados!AO74,Resultados!AX74,Resultados!BG74,Resultados!BP74,Resultados!BY74,Resultados!CH74,Resultados!CQ74,Resultados!CZ74,Resultados!DI74,Resultados!DR74,Resultados!EA74)&lt;=1, "", _xlfn.STDEV.S(ABS(Resultados!E74),ABS(Resultados!N74),ABS(Resultados!W74),ABS(Resultados!AF74),ABS(Resultados!AO74),ABS(Resultados!AX74),ABS(Resultados!BG74),ABS(Resultados!BP74),ABS(Resultados!BY74),ABS(Resultados!CH74),ABS(Resultados!CQ74),ABS(Resultados!CZ74),ABS(Resultados!DI74),ABS(Resultados!DR74),ABS(Resultados!EA74))/SQRT(COUNT(Resultados!E74,Resultados!N74,Resultados!W74,Resultados!AF74,Resultados!AO74,Resultados!AX74,Resultados!BG74,Resultados!BP74,Resultados!BY74,Resultados!CH74,Resultados!CQ74,Resultados!CZ74,Resultados!DI74,Resultados!DR74,Resultados!EA74)))</f>
        <v>2.4107092623354177E-2</v>
      </c>
      <c r="F74">
        <f>IF(COUNT(Resultados!F74,Resultados!O74,Resultados!X74,Resultados!AG74,Resultados!AP74,Resultados!AY74,Resultados!BH74,Resultados!BQ74,Resultados!BZ74,Resultados!CI74,Resultados!CR74,Resultados!DA74,Resultados!DJ74,Resultados!DS74,Resultados!EB74)&lt;=1, "", _xlfn.STDEV.S(ABS(Resultados!F74),ABS(Resultados!O74),ABS(Resultados!X74),ABS(Resultados!AG74),ABS(Resultados!AP74),ABS(Resultados!AY74),ABS(Resultados!BH74),ABS(Resultados!BQ74),ABS(Resultados!BZ74),ABS(Resultados!CI74),ABS(Resultados!CR74),ABS(Resultados!DA74),ABS(Resultados!DJ74),ABS(Resultados!DS74),ABS(Resultados!EB74))/SQRT(COUNT(Resultados!F74,Resultados!O74,Resultados!X74,Resultados!AG74,Resultados!AP74,Resultados!AY74,Resultados!BH74,Resultados!BQ74,Resultados!BZ74,Resultados!CI74,Resultados!CR74,Resultados!DA74,Resultados!DJ74,Resultados!DS74,Resultados!EB74)))</f>
        <v>6.5227981338455336</v>
      </c>
      <c r="G74">
        <f>IF(COUNT(Resultados!G74,Resultados!P74,Resultados!Y74,Resultados!AH74,Resultados!AQ74,Resultados!AZ74,Resultados!BI74,Resultados!BR74,Resultados!CA74,Resultados!CJ74,Resultados!CS74,Resultados!DB74,Resultados!DK74,Resultados!DT74,Resultados!EC74)&lt;=1, "", _xlfn.STDEV.S(ABS(Resultados!G74),ABS(Resultados!P74),ABS(Resultados!Y74),ABS(Resultados!AH74),ABS(Resultados!AQ74),ABS(Resultados!AZ74),ABS(Resultados!BI74),ABS(Resultados!BR74),ABS(Resultados!CA74),ABS(Resultados!CJ74),ABS(Resultados!CS74),ABS(Resultados!DB74),ABS(Resultados!DK74),ABS(Resultados!DT74),ABS(Resultados!EC74))/SQRT(COUNT(Resultados!G74,Resultados!P74,Resultados!Y74,Resultados!AH74,Resultados!AQ74,Resultados!AZ74,Resultados!BI74,Resultados!BR74,Resultados!CA74,Resultados!CJ74,Resultados!CS74,Resultados!DB74,Resultados!DK74,Resultados!DT74,Resultados!EC74)))</f>
        <v>4.4507937654163114E-17</v>
      </c>
      <c r="H74">
        <f>IF(COUNT(Resultados!H74,Resultados!Q74,Resultados!Z74,Resultados!AI74,Resultados!AR74,Resultados!BA74,Resultados!BJ74,Resultados!BS74,Resultados!CB74,Resultados!CK74,Resultados!CT74,Resultados!DC74,Resultados!DL74,Resultados!DU74,Resultados!ED74)&lt;=1, "", _xlfn.STDEV.S(ABS(Resultados!H74),ABS(Resultados!Q74),ABS(Resultados!Z74),ABS(Resultados!AI74),ABS(Resultados!AR74),ABS(Resultados!BA74),ABS(Resultados!BJ74),ABS(Resultados!BS74),ABS(Resultados!CB74),ABS(Resultados!CK74),ABS(Resultados!CT74),ABS(Resultados!DC74),ABS(Resultados!DL74),ABS(Resultados!DU74),ABS(Resultados!ED74))/SQRT(COUNT(Resultados!H74,Resultados!Q74,Resultados!Z74,Resultados!AI74,Resultados!AR74,Resultados!BA74,Resultados!BJ74,Resultados!BS74,Resultados!CB74,Resultados!CK74,Resultados!CT74,Resultados!DC74,Resultados!DL74,Resultados!DU74,Resultados!ED74)))</f>
        <v>3.7440322885597257E-4</v>
      </c>
      <c r="I74">
        <f>IF(COUNT(Resultados!I74,Resultados!R74,Resultados!AA74,Resultados!AJ74,Resultados!AS74,Resultados!BB74,Resultados!BK74,Resultados!BT74,Resultados!CC74,Resultados!CL74,Resultados!CU74,Resultados!DD74,Resultados!DM74,Resultados!DV74,Resultados!EE74)&lt;=1, "", _xlfn.STDEV.S(ABS(Resultados!I74),ABS(Resultados!R74),ABS(Resultados!AA74),ABS(Resultados!AJ74),ABS(Resultados!AS74),ABS(Resultados!BB74),ABS(Resultados!BK74),ABS(Resultados!BT74),ABS(Resultados!CC74),ABS(Resultados!CL74),ABS(Resultados!CU74),ABS(Resultados!DD74),ABS(Resultados!DM74),ABS(Resultados!DV74),ABS(Resultados!EE74))/SQRT(COUNT(Resultados!I74,Resultados!R74,Resultados!AA74,Resultados!AJ74,Resultados!AS74,Resultados!BB74,Resultados!BK74,Resultados!BT74,Resultados!CC74,Resultados!CL74,Resultados!CU74,Resultados!DD74,Resultados!DM74,Resultados!DV74,Resultados!EE74)))</f>
        <v>2.6670207259003088E-2</v>
      </c>
    </row>
    <row r="75" spans="1:9" x14ac:dyDescent="0.3">
      <c r="A75">
        <f>IF(COUNT(Resultados!A75,Resultados!J75,Resultados!S75,Resultados!AB75,Resultados!AK75,Resultados!AT75,Resultados!BC75,Resultados!BL75,Resultados!BU75,Resultados!CD75,Resultados!CM75,Resultados!CV75,Resultados!DE75,Resultados!DN75,Resultados!DW75)&lt;=1, "", _xlfn.STDEV.S(ABS(Resultados!A75),ABS(Resultados!J75),ABS(Resultados!S75),ABS(Resultados!AB75),ABS(Resultados!AK75),ABS(Resultados!AT75),ABS(Resultados!BC75),ABS(Resultados!BL75),ABS(Resultados!BU75),ABS(Resultados!CD75),ABS(Resultados!CM75),ABS(Resultados!CV75),ABS(Resultados!DE75),ABS(Resultados!DN75),ABS(Resultados!DW75))/SQRT(COUNT(Resultados!A75,Resultados!J75,Resultados!S75,Resultados!AB75,Resultados!AK75,Resultados!AT75,Resultados!BC75,Resultados!BL75,Resultados!BU75,Resultados!CD75,Resultados!CM75,Resultados!CV75,Resultados!DE75,Resultados!DN75,Resultados!DW75)))</f>
        <v>0</v>
      </c>
      <c r="B75" t="str">
        <f>IF(COUNT(Resultados!B75,Resultados!K75,Resultados!T75,Resultados!AC75,Resultados!AL75,Resultados!AU75,Resultados!BD75,Resultados!BM75,Resultados!BV75,Resultados!CE75,Resultados!CN75,Resultados!CW75,Resultados!DF75,Resultados!DO75,Resultados!DX75)&lt;=1, "", _xlfn.STDEV.S(ABS(Resultados!B75),ABS(Resultados!K75),ABS(Resultados!T75),ABS(Resultados!AC75),ABS(Resultados!AL75),ABS(Resultados!AU75),ABS(Resultados!BD75),ABS(Resultados!BM75),ABS(Resultados!BV75),ABS(Resultados!CE75),ABS(Resultados!CN75),ABS(Resultados!CW75),ABS(Resultados!DF75),ABS(Resultados!DO75),ABS(Resultados!DX75))/SQRT(COUNT(Resultados!B75,Resultados!K75,Resultados!T75,Resultados!AC75,Resultados!AL75,Resultados!AU75,Resultados!BD75,Resultados!BM75,Resultados!BV75,Resultados!CE75,Resultados!CN75,Resultados!CW75,Resultados!DF75,Resultados!DO75,Resultados!DX75)))</f>
        <v/>
      </c>
      <c r="C75">
        <f>IF(COUNT(Resultados!C75,Resultados!L75,Resultados!U75,Resultados!AD75,Resultados!AM75,Resultados!AV75,Resultados!BE75,Resultados!BN75,Resultados!BW75,Resultados!CF75,Resultados!CO75,Resultados!CX75,Resultados!DG75,Resultados!DP75,Resultados!DY75)&lt;=1, "", _xlfn.STDEV.S(ABS(Resultados!C75),ABS(Resultados!L75),ABS(Resultados!U75),ABS(Resultados!AD75),ABS(Resultados!AM75),ABS(Resultados!AV75),ABS(Resultados!BE75),ABS(Resultados!BN75),ABS(Resultados!BW75),ABS(Resultados!CF75),ABS(Resultados!CO75),ABS(Resultados!CX75),ABS(Resultados!DG75),ABS(Resultados!DP75),ABS(Resultados!DY75))/SQRT(COUNT(Resultados!C75,Resultados!L75,Resultados!U75,Resultados!AD75,Resultados!AM75,Resultados!AV75,Resultados!BE75,Resultados!BN75,Resultados!BW75,Resultados!CF75,Resultados!CO75,Resultados!CX75,Resultados!DG75,Resultados!DP75,Resultados!DY75)))</f>
        <v>0.46802523334497581</v>
      </c>
      <c r="D75">
        <f>IF(COUNT(Resultados!D75,Resultados!M75,Resultados!V75,Resultados!AE75,Resultados!AN75,Resultados!AW75,Resultados!BF75,Resultados!BO75,Resultados!BX75,Resultados!CG75,Resultados!CP75,Resultados!CY75,Resultados!DH75,Resultados!DQ75,Resultados!DZ75)&lt;=1, "", _xlfn.STDEV.S(ABS(Resultados!D75),ABS(Resultados!M75),ABS(Resultados!V75),ABS(Resultados!AE75),ABS(Resultados!AN75),ABS(Resultados!AW75),ABS(Resultados!BF75),ABS(Resultados!BO75),ABS(Resultados!BX75),ABS(Resultados!CG75),ABS(Resultados!CP75),ABS(Resultados!CY75),ABS(Resultados!DH75),ABS(Resultados!DQ75),ABS(Resultados!DZ75))/SQRT(COUNT(Resultados!D75,Resultados!M75,Resultados!V75,Resultados!AE75,Resultados!AN75,Resultados!AW75,Resultados!BF75,Resultados!BO75,Resultados!BX75,Resultados!CG75,Resultados!CP75,Resultados!CY75,Resultados!DH75,Resultados!DQ75,Resultados!DZ75)))</f>
        <v>2.4626737308790838E-4</v>
      </c>
      <c r="E75">
        <f>IF(COUNT(Resultados!E75,Resultados!N75,Resultados!W75,Resultados!AF75,Resultados!AO75,Resultados!AX75,Resultados!BG75,Resultados!BP75,Resultados!BY75,Resultados!CH75,Resultados!CQ75,Resultados!CZ75,Resultados!DI75,Resultados!DR75,Resultados!EA75)&lt;=1, "", _xlfn.STDEV.S(ABS(Resultados!E75),ABS(Resultados!N75),ABS(Resultados!W75),ABS(Resultados!AF75),ABS(Resultados!AO75),ABS(Resultados!AX75),ABS(Resultados!BG75),ABS(Resultados!BP75),ABS(Resultados!BY75),ABS(Resultados!CH75),ABS(Resultados!CQ75),ABS(Resultados!CZ75),ABS(Resultados!DI75),ABS(Resultados!DR75),ABS(Resultados!EA75))/SQRT(COUNT(Resultados!E75,Resultados!N75,Resultados!W75,Resultados!AF75,Resultados!AO75,Resultados!AX75,Resultados!BG75,Resultados!BP75,Resultados!BY75,Resultados!CH75,Resultados!CQ75,Resultados!CZ75,Resultados!DI75,Resultados!DR75,Resultados!EA75)))</f>
        <v>3.8730929688247213E-2</v>
      </c>
      <c r="F75">
        <f>IF(COUNT(Resultados!F75,Resultados!O75,Resultados!X75,Resultados!AG75,Resultados!AP75,Resultados!AY75,Resultados!BH75,Resultados!BQ75,Resultados!BZ75,Resultados!CI75,Resultados!CR75,Resultados!DA75,Resultados!DJ75,Resultados!DS75,Resultados!EB75)&lt;=1, "", _xlfn.STDEV.S(ABS(Resultados!F75),ABS(Resultados!O75),ABS(Resultados!X75),ABS(Resultados!AG75),ABS(Resultados!AP75),ABS(Resultados!AY75),ABS(Resultados!BH75),ABS(Resultados!BQ75),ABS(Resultados!BZ75),ABS(Resultados!CI75),ABS(Resultados!CR75),ABS(Resultados!DA75),ABS(Resultados!DJ75),ABS(Resultados!DS75),ABS(Resultados!EB75))/SQRT(COUNT(Resultados!F75,Resultados!O75,Resultados!X75,Resultados!AG75,Resultados!AP75,Resultados!AY75,Resultados!BH75,Resultados!BQ75,Resultados!BZ75,Resultados!CI75,Resultados!CR75,Resultados!DA75,Resultados!DJ75,Resultados!DS75,Resultados!EB75)))</f>
        <v>8.9100684436243807</v>
      </c>
      <c r="G75">
        <f>IF(COUNT(Resultados!G75,Resultados!P75,Resultados!Y75,Resultados!AH75,Resultados!AQ75,Resultados!AZ75,Resultados!BI75,Resultados!BR75,Resultados!CA75,Resultados!CJ75,Resultados!CS75,Resultados!DB75,Resultados!DK75,Resultados!DT75,Resultados!EC75)&lt;=1, "", _xlfn.STDEV.S(ABS(Resultados!G75),ABS(Resultados!P75),ABS(Resultados!Y75),ABS(Resultados!AH75),ABS(Resultados!AQ75),ABS(Resultados!AZ75),ABS(Resultados!BI75),ABS(Resultados!BR75),ABS(Resultados!CA75),ABS(Resultados!CJ75),ABS(Resultados!CS75),ABS(Resultados!DB75),ABS(Resultados!DK75),ABS(Resultados!DT75),ABS(Resultados!EC75))/SQRT(COUNT(Resultados!G75,Resultados!P75,Resultados!Y75,Resultados!AH75,Resultados!AQ75,Resultados!AZ75,Resultados!BI75,Resultados!BR75,Resultados!CA75,Resultados!CJ75,Resultados!CS75,Resultados!DB75,Resultados!DK75,Resultados!DT75,Resultados!EC75)))</f>
        <v>4.4507937654163114E-17</v>
      </c>
      <c r="H75">
        <f>IF(COUNT(Resultados!H75,Resultados!Q75,Resultados!Z75,Resultados!AI75,Resultados!AR75,Resultados!BA75,Resultados!BJ75,Resultados!BS75,Resultados!CB75,Resultados!CK75,Resultados!CT75,Resultados!DC75,Resultados!DL75,Resultados!DU75,Resultados!ED75)&lt;=1, "", _xlfn.STDEV.S(ABS(Resultados!H75),ABS(Resultados!Q75),ABS(Resultados!Z75),ABS(Resultados!AI75),ABS(Resultados!AR75),ABS(Resultados!BA75),ABS(Resultados!BJ75),ABS(Resultados!BS75),ABS(Resultados!CB75),ABS(Resultados!CK75),ABS(Resultados!CT75),ABS(Resultados!DC75),ABS(Resultados!DL75),ABS(Resultados!DU75),ABS(Resultados!ED75))/SQRT(COUNT(Resultados!H75,Resultados!Q75,Resultados!Z75,Resultados!AI75,Resultados!AR75,Resultados!BA75,Resultados!BJ75,Resultados!BS75,Resultados!CB75,Resultados!CK75,Resultados!CT75,Resultados!DC75,Resultados!DL75,Resultados!DU75,Resultados!ED75)))</f>
        <v>6.0146382281790658E-4</v>
      </c>
      <c r="I75">
        <f>IF(COUNT(Resultados!I75,Resultados!R75,Resultados!AA75,Resultados!AJ75,Resultados!AS75,Resultados!BB75,Resultados!BK75,Resultados!BT75,Resultados!CC75,Resultados!CL75,Resultados!CU75,Resultados!DD75,Resultados!DM75,Resultados!DV75,Resultados!EE75)&lt;=1, "", _xlfn.STDEV.S(ABS(Resultados!I75),ABS(Resultados!R75),ABS(Resultados!AA75),ABS(Resultados!AJ75),ABS(Resultados!AS75),ABS(Resultados!BB75),ABS(Resultados!BK75),ABS(Resultados!BT75),ABS(Resultados!CC75),ABS(Resultados!CL75),ABS(Resultados!CU75),ABS(Resultados!DD75),ABS(Resultados!DM75),ABS(Resultados!DV75),ABS(Resultados!EE75))/SQRT(COUNT(Resultados!I75,Resultados!R75,Resultados!AA75,Resultados!AJ75,Resultados!AS75,Resultados!BB75,Resultados!BK75,Resultados!BT75,Resultados!CC75,Resultados!CL75,Resultados!CU75,Resultados!DD75,Resultados!DM75,Resultados!DV75,Resultados!EE75)))</f>
        <v>3.6509841497311298E-2</v>
      </c>
    </row>
    <row r="76" spans="1:9" x14ac:dyDescent="0.3">
      <c r="A76">
        <f>IF(COUNT(Resultados!A76,Resultados!J76,Resultados!S76,Resultados!AB76,Resultados!AK76,Resultados!AT76,Resultados!BC76,Resultados!BL76,Resultados!BU76,Resultados!CD76,Resultados!CM76,Resultados!CV76,Resultados!DE76,Resultados!DN76,Resultados!DW76)&lt;=1, "", _xlfn.STDEV.S(ABS(Resultados!A76),ABS(Resultados!J76),ABS(Resultados!S76),ABS(Resultados!AB76),ABS(Resultados!AK76),ABS(Resultados!AT76),ABS(Resultados!BC76),ABS(Resultados!BL76),ABS(Resultados!BU76),ABS(Resultados!CD76),ABS(Resultados!CM76),ABS(Resultados!CV76),ABS(Resultados!DE76),ABS(Resultados!DN76),ABS(Resultados!DW76))/SQRT(COUNT(Resultados!A76,Resultados!J76,Resultados!S76,Resultados!AB76,Resultados!AK76,Resultados!AT76,Resultados!BC76,Resultados!BL76,Resultados!BU76,Resultados!CD76,Resultados!CM76,Resultados!CV76,Resultados!DE76,Resultados!DN76,Resultados!DW76)))</f>
        <v>0</v>
      </c>
      <c r="B76" t="str">
        <f>IF(COUNT(Resultados!B76,Resultados!K76,Resultados!T76,Resultados!AC76,Resultados!AL76,Resultados!AU76,Resultados!BD76,Resultados!BM76,Resultados!BV76,Resultados!CE76,Resultados!CN76,Resultados!CW76,Resultados!DF76,Resultados!DO76,Resultados!DX76)&lt;=1, "", _xlfn.STDEV.S(ABS(Resultados!B76),ABS(Resultados!K76),ABS(Resultados!T76),ABS(Resultados!AC76),ABS(Resultados!AL76),ABS(Resultados!AU76),ABS(Resultados!BD76),ABS(Resultados!BM76),ABS(Resultados!BV76),ABS(Resultados!CE76),ABS(Resultados!CN76),ABS(Resultados!CW76),ABS(Resultados!DF76),ABS(Resultados!DO76),ABS(Resultados!DX76))/SQRT(COUNT(Resultados!B76,Resultados!K76,Resultados!T76,Resultados!AC76,Resultados!AL76,Resultados!AU76,Resultados!BD76,Resultados!BM76,Resultados!BV76,Resultados!CE76,Resultados!CN76,Resultados!CW76,Resultados!DF76,Resultados!DO76,Resultados!DX76)))</f>
        <v/>
      </c>
      <c r="C76">
        <f>IF(COUNT(Resultados!C76,Resultados!L76,Resultados!U76,Resultados!AD76,Resultados!AM76,Resultados!AV76,Resultados!BE76,Resultados!BN76,Resultados!BW76,Resultados!CF76,Resultados!CO76,Resultados!CX76,Resultados!DG76,Resultados!DP76,Resultados!DY76)&lt;=1, "", _xlfn.STDEV.S(ABS(Resultados!C76),ABS(Resultados!L76),ABS(Resultados!U76),ABS(Resultados!AD76),ABS(Resultados!AM76),ABS(Resultados!AV76),ABS(Resultados!BE76),ABS(Resultados!BN76),ABS(Resultados!BW76),ABS(Resultados!CF76),ABS(Resultados!CO76),ABS(Resultados!CX76),ABS(Resultados!DG76),ABS(Resultados!DP76),ABS(Resultados!DY76))/SQRT(COUNT(Resultados!C76,Resultados!L76,Resultados!U76,Resultados!AD76,Resultados!AM76,Resultados!AV76,Resultados!BE76,Resultados!BN76,Resultados!BW76,Resultados!CF76,Resultados!CO76,Resultados!CX76,Resultados!DG76,Resultados!DP76,Resultados!DY76)))</f>
        <v>0.46802523334497581</v>
      </c>
      <c r="D76">
        <f>IF(COUNT(Resultados!D76,Resultados!M76,Resultados!V76,Resultados!AE76,Resultados!AN76,Resultados!AW76,Resultados!BF76,Resultados!BO76,Resultados!BX76,Resultados!CG76,Resultados!CP76,Resultados!CY76,Resultados!DH76,Resultados!DQ76,Resultados!DZ76)&lt;=1, "", _xlfn.STDEV.S(ABS(Resultados!D76),ABS(Resultados!M76),ABS(Resultados!V76),ABS(Resultados!AE76),ABS(Resultados!AN76),ABS(Resultados!AW76),ABS(Resultados!BF76),ABS(Resultados!BO76),ABS(Resultados!BX76),ABS(Resultados!CG76),ABS(Resultados!CP76),ABS(Resultados!CY76),ABS(Resultados!DH76),ABS(Resultados!DQ76),ABS(Resultados!DZ76))/SQRT(COUNT(Resultados!D76,Resultados!M76,Resultados!V76,Resultados!AE76,Resultados!AN76,Resultados!AW76,Resultados!BF76,Resultados!BO76,Resultados!BX76,Resultados!CG76,Resultados!CP76,Resultados!CY76,Resultados!DH76,Resultados!DQ76,Resultados!DZ76)))</f>
        <v>2.1474237056129774E-4</v>
      </c>
      <c r="E76">
        <f>IF(COUNT(Resultados!E76,Resultados!N76,Resultados!W76,Resultados!AF76,Resultados!AO76,Resultados!AX76,Resultados!BG76,Resultados!BP76,Resultados!BY76,Resultados!CH76,Resultados!CQ76,Resultados!CZ76,Resultados!DI76,Resultados!DR76,Resultados!EA76)&lt;=1, "", _xlfn.STDEV.S(ABS(Resultados!E76),ABS(Resultados!N76),ABS(Resultados!W76),ABS(Resultados!AF76),ABS(Resultados!AO76),ABS(Resultados!AX76),ABS(Resultados!BG76),ABS(Resultados!BP76),ABS(Resultados!BY76),ABS(Resultados!CH76),ABS(Resultados!CQ76),ABS(Resultados!CZ76),ABS(Resultados!DI76),ABS(Resultados!DR76),ABS(Resultados!EA76))/SQRT(COUNT(Resultados!E76,Resultados!N76,Resultados!W76,Resultados!AF76,Resultados!AO76,Resultados!AX76,Resultados!BG76,Resultados!BP76,Resultados!BY76,Resultados!CH76,Resultados!CQ76,Resultados!CZ76,Resultados!DI76,Resultados!DR76,Resultados!EA76)))</f>
        <v>5.0250681478725356E-2</v>
      </c>
      <c r="F76">
        <f>IF(COUNT(Resultados!F76,Resultados!O76,Resultados!X76,Resultados!AG76,Resultados!AP76,Resultados!AY76,Resultados!BH76,Resultados!BQ76,Resultados!BZ76,Resultados!CI76,Resultados!CR76,Resultados!DA76,Resultados!DJ76,Resultados!DS76,Resultados!EB76)&lt;=1, "", _xlfn.STDEV.S(ABS(Resultados!F76),ABS(Resultados!O76),ABS(Resultados!X76),ABS(Resultados!AG76),ABS(Resultados!AP76),ABS(Resultados!AY76),ABS(Resultados!BH76),ABS(Resultados!BQ76),ABS(Resultados!BZ76),ABS(Resultados!CI76),ABS(Resultados!CR76),ABS(Resultados!DA76),ABS(Resultados!DJ76),ABS(Resultados!DS76),ABS(Resultados!EB76))/SQRT(COUNT(Resultados!F76,Resultados!O76,Resultados!X76,Resultados!AG76,Resultados!AP76,Resultados!AY76,Resultados!BH76,Resultados!BQ76,Resultados!BZ76,Resultados!CI76,Resultados!CR76,Resultados!DA76,Resultados!DJ76,Resultados!DS76,Resultados!EB76)))</f>
        <v>10.639853369884133</v>
      </c>
      <c r="G76">
        <f>IF(COUNT(Resultados!G76,Resultados!P76,Resultados!Y76,Resultados!AH76,Resultados!AQ76,Resultados!AZ76,Resultados!BI76,Resultados!BR76,Resultados!CA76,Resultados!CJ76,Resultados!CS76,Resultados!DB76,Resultados!DK76,Resultados!DT76,Resultados!EC76)&lt;=1, "", _xlfn.STDEV.S(ABS(Resultados!G76),ABS(Resultados!P76),ABS(Resultados!Y76),ABS(Resultados!AH76),ABS(Resultados!AQ76),ABS(Resultados!AZ76),ABS(Resultados!BI76),ABS(Resultados!BR76),ABS(Resultados!CA76),ABS(Resultados!CJ76),ABS(Resultados!CS76),ABS(Resultados!DB76),ABS(Resultados!DK76),ABS(Resultados!DT76),ABS(Resultados!EC76))/SQRT(COUNT(Resultados!G76,Resultados!P76,Resultados!Y76,Resultados!AH76,Resultados!AQ76,Resultados!AZ76,Resultados!BI76,Resultados!BR76,Resultados!CA76,Resultados!CJ76,Resultados!CS76,Resultados!DB76,Resultados!DK76,Resultados!DT76,Resultados!EC76)))</f>
        <v>4.4507937654163114E-17</v>
      </c>
      <c r="H76">
        <f>IF(COUNT(Resultados!H76,Resultados!Q76,Resultados!Z76,Resultados!AI76,Resultados!AR76,Resultados!BA76,Resultados!BJ76,Resultados!BS76,Resultados!CB76,Resultados!CK76,Resultados!CT76,Resultados!DC76,Resultados!DL76,Resultados!DU76,Resultados!ED76)&lt;=1, "", _xlfn.STDEV.S(ABS(Resultados!H76),ABS(Resultados!Q76),ABS(Resultados!Z76),ABS(Resultados!AI76),ABS(Resultados!AR76),ABS(Resultados!BA76),ABS(Resultados!BJ76),ABS(Resultados!BS76),ABS(Resultados!CB76),ABS(Resultados!CK76),ABS(Resultados!CT76),ABS(Resultados!DC76),ABS(Resultados!DL76),ABS(Resultados!DU76),ABS(Resultados!ED76))/SQRT(COUNT(Resultados!H76,Resultados!Q76,Resultados!Z76,Resultados!AI76,Resultados!AR76,Resultados!BA76,Resultados!BJ76,Resultados!BS76,Resultados!CB76,Resultados!CK76,Resultados!CT76,Resultados!DC76,Resultados!DL76,Resultados!DU76,Resultados!ED76)))</f>
        <v>7.8262074984965636E-4</v>
      </c>
      <c r="I76">
        <f>IF(COUNT(Resultados!I76,Resultados!R76,Resultados!AA76,Resultados!AJ76,Resultados!AS76,Resultados!BB76,Resultados!BK76,Resultados!BT76,Resultados!CC76,Resultados!CL76,Resultados!CU76,Resultados!DD76,Resultados!DM76,Resultados!DV76,Resultados!EE76)&lt;=1, "", _xlfn.STDEV.S(ABS(Resultados!I76),ABS(Resultados!R76),ABS(Resultados!AA76),ABS(Resultados!AJ76),ABS(Resultados!AS76),ABS(Resultados!BB76),ABS(Resultados!BK76),ABS(Resultados!BT76),ABS(Resultados!CC76),ABS(Resultados!CL76),ABS(Resultados!CU76),ABS(Resultados!DD76),ABS(Resultados!DM76),ABS(Resultados!DV76),ABS(Resultados!EE76))/SQRT(COUNT(Resultados!I76,Resultados!R76,Resultados!AA76,Resultados!AJ76,Resultados!AS76,Resultados!BB76,Resultados!BK76,Resultados!BT76,Resultados!CC76,Resultados!CL76,Resultados!CU76,Resultados!DD76,Resultados!DM76,Resultados!DV76,Resultados!EE76)))</f>
        <v>3.6475318970069281E-2</v>
      </c>
    </row>
    <row r="77" spans="1:9" x14ac:dyDescent="0.3">
      <c r="A77">
        <f>IF(COUNT(Resultados!A77,Resultados!J77,Resultados!S77,Resultados!AB77,Resultados!AK77,Resultados!AT77,Resultados!BC77,Resultados!BL77,Resultados!BU77,Resultados!CD77,Resultados!CM77,Resultados!CV77,Resultados!DE77,Resultados!DN77,Resultados!DW77)&lt;=1, "", _xlfn.STDEV.S(ABS(Resultados!A77),ABS(Resultados!J77),ABS(Resultados!S77),ABS(Resultados!AB77),ABS(Resultados!AK77),ABS(Resultados!AT77),ABS(Resultados!BC77),ABS(Resultados!BL77),ABS(Resultados!BU77),ABS(Resultados!CD77),ABS(Resultados!CM77),ABS(Resultados!CV77),ABS(Resultados!DE77),ABS(Resultados!DN77),ABS(Resultados!DW77))/SQRT(COUNT(Resultados!A77,Resultados!J77,Resultados!S77,Resultados!AB77,Resultados!AK77,Resultados!AT77,Resultados!BC77,Resultados!BL77,Resultados!BU77,Resultados!CD77,Resultados!CM77,Resultados!CV77,Resultados!DE77,Resultados!DN77,Resultados!DW77)))</f>
        <v>0</v>
      </c>
      <c r="B77" t="str">
        <f>IF(COUNT(Resultados!B77,Resultados!K77,Resultados!T77,Resultados!AC77,Resultados!AL77,Resultados!AU77,Resultados!BD77,Resultados!BM77,Resultados!BV77,Resultados!CE77,Resultados!CN77,Resultados!CW77,Resultados!DF77,Resultados!DO77,Resultados!DX77)&lt;=1, "", _xlfn.STDEV.S(ABS(Resultados!B77),ABS(Resultados!K77),ABS(Resultados!T77),ABS(Resultados!AC77),ABS(Resultados!AL77),ABS(Resultados!AU77),ABS(Resultados!BD77),ABS(Resultados!BM77),ABS(Resultados!BV77),ABS(Resultados!CE77),ABS(Resultados!CN77),ABS(Resultados!CW77),ABS(Resultados!DF77),ABS(Resultados!DO77),ABS(Resultados!DX77))/SQRT(COUNT(Resultados!B77,Resultados!K77,Resultados!T77,Resultados!AC77,Resultados!AL77,Resultados!AU77,Resultados!BD77,Resultados!BM77,Resultados!BV77,Resultados!CE77,Resultados!CN77,Resultados!CW77,Resultados!DF77,Resultados!DO77,Resultados!DX77)))</f>
        <v/>
      </c>
      <c r="C77">
        <f>IF(COUNT(Resultados!C77,Resultados!L77,Resultados!U77,Resultados!AD77,Resultados!AM77,Resultados!AV77,Resultados!BE77,Resultados!BN77,Resultados!BW77,Resultados!CF77,Resultados!CO77,Resultados!CX77,Resultados!DG77,Resultados!DP77,Resultados!DY77)&lt;=1, "", _xlfn.STDEV.S(ABS(Resultados!C77),ABS(Resultados!L77),ABS(Resultados!U77),ABS(Resultados!AD77),ABS(Resultados!AM77),ABS(Resultados!AV77),ABS(Resultados!BE77),ABS(Resultados!BN77),ABS(Resultados!BW77),ABS(Resultados!CF77),ABS(Resultados!CO77),ABS(Resultados!CX77),ABS(Resultados!DG77),ABS(Resultados!DP77),ABS(Resultados!DY77))/SQRT(COUNT(Resultados!C77,Resultados!L77,Resultados!U77,Resultados!AD77,Resultados!AM77,Resultados!AV77,Resultados!BE77,Resultados!BN77,Resultados!BW77,Resultados!CF77,Resultados!CO77,Resultados!CX77,Resultados!DG77,Resultados!DP77,Resultados!DY77)))</f>
        <v>0.46802523334497581</v>
      </c>
      <c r="D77">
        <f>IF(COUNT(Resultados!D77,Resultados!M77,Resultados!V77,Resultados!AE77,Resultados!AN77,Resultados!AW77,Resultados!BF77,Resultados!BO77,Resultados!BX77,Resultados!CG77,Resultados!CP77,Resultados!CY77,Resultados!DH77,Resultados!DQ77,Resultados!DZ77)&lt;=1, "", _xlfn.STDEV.S(ABS(Resultados!D77),ABS(Resultados!M77),ABS(Resultados!V77),ABS(Resultados!AE77),ABS(Resultados!AN77),ABS(Resultados!AW77),ABS(Resultados!BF77),ABS(Resultados!BO77),ABS(Resultados!BX77),ABS(Resultados!CG77),ABS(Resultados!CP77),ABS(Resultados!CY77),ABS(Resultados!DH77),ABS(Resultados!DQ77),ABS(Resultados!DZ77))/SQRT(COUNT(Resultados!D77,Resultados!M77,Resultados!V77,Resultados!AE77,Resultados!AN77,Resultados!AW77,Resultados!BF77,Resultados!BO77,Resultados!BX77,Resultados!CG77,Resultados!CP77,Resultados!CY77,Resultados!DH77,Resultados!DQ77,Resultados!DZ77)))</f>
        <v>4.6738040656882953E-4</v>
      </c>
      <c r="E77">
        <f>IF(COUNT(Resultados!E77,Resultados!N77,Resultados!W77,Resultados!AF77,Resultados!AO77,Resultados!AX77,Resultados!BG77,Resultados!BP77,Resultados!BY77,Resultados!CH77,Resultados!CQ77,Resultados!CZ77,Resultados!DI77,Resultados!DR77,Resultados!EA77)&lt;=1, "", _xlfn.STDEV.S(ABS(Resultados!E77),ABS(Resultados!N77),ABS(Resultados!W77),ABS(Resultados!AF77),ABS(Resultados!AO77),ABS(Resultados!AX77),ABS(Resultados!BG77),ABS(Resultados!BP77),ABS(Resultados!BY77),ABS(Resultados!CH77),ABS(Resultados!CQ77),ABS(Resultados!CZ77),ABS(Resultados!DI77),ABS(Resultados!DR77),ABS(Resultados!EA77))/SQRT(COUNT(Resultados!E77,Resultados!N77,Resultados!W77,Resultados!AF77,Resultados!AO77,Resultados!AX77,Resultados!BG77,Resultados!BP77,Resultados!BY77,Resultados!CH77,Resultados!CQ77,Resultados!CZ77,Resultados!DI77,Resultados!DR77,Resultados!EA77)))</f>
        <v>6.079226054285617E-2</v>
      </c>
      <c r="F77">
        <f>IF(COUNT(Resultados!F77,Resultados!O77,Resultados!X77,Resultados!AG77,Resultados!AP77,Resultados!AY77,Resultados!BH77,Resultados!BQ77,Resultados!BZ77,Resultados!CI77,Resultados!CR77,Resultados!DA77,Resultados!DJ77,Resultados!DS77,Resultados!EB77)&lt;=1, "", _xlfn.STDEV.S(ABS(Resultados!F77),ABS(Resultados!O77),ABS(Resultados!X77),ABS(Resultados!AG77),ABS(Resultados!AP77),ABS(Resultados!AY77),ABS(Resultados!BH77),ABS(Resultados!BQ77),ABS(Resultados!BZ77),ABS(Resultados!CI77),ABS(Resultados!CR77),ABS(Resultados!DA77),ABS(Resultados!DJ77),ABS(Resultados!DS77),ABS(Resultados!EB77))/SQRT(COUNT(Resultados!F77,Resultados!O77,Resultados!X77,Resultados!AG77,Resultados!AP77,Resultados!AY77,Resultados!BH77,Resultados!BQ77,Resultados!BZ77,Resultados!CI77,Resultados!CR77,Resultados!DA77,Resultados!DJ77,Resultados!DS77,Resultados!EB77)))</f>
        <v>12.006671231246417</v>
      </c>
      <c r="G77">
        <f>IF(COUNT(Resultados!G77,Resultados!P77,Resultados!Y77,Resultados!AH77,Resultados!AQ77,Resultados!AZ77,Resultados!BI77,Resultados!BR77,Resultados!CA77,Resultados!CJ77,Resultados!CS77,Resultados!DB77,Resultados!DK77,Resultados!DT77,Resultados!EC77)&lt;=1, "", _xlfn.STDEV.S(ABS(Resultados!G77),ABS(Resultados!P77),ABS(Resultados!Y77),ABS(Resultados!AH77),ABS(Resultados!AQ77),ABS(Resultados!AZ77),ABS(Resultados!BI77),ABS(Resultados!BR77),ABS(Resultados!CA77),ABS(Resultados!CJ77),ABS(Resultados!CS77),ABS(Resultados!DB77),ABS(Resultados!DK77),ABS(Resultados!DT77),ABS(Resultados!EC77))/SQRT(COUNT(Resultados!G77,Resultados!P77,Resultados!Y77,Resultados!AH77,Resultados!AQ77,Resultados!AZ77,Resultados!BI77,Resultados!BR77,Resultados!CA77,Resultados!CJ77,Resultados!CS77,Resultados!DB77,Resultados!DK77,Resultados!DT77,Resultados!EC77)))</f>
        <v>4.4507937654163114E-17</v>
      </c>
      <c r="H77">
        <f>IF(COUNT(Resultados!H77,Resultados!Q77,Resultados!Z77,Resultados!AI77,Resultados!AR77,Resultados!BA77,Resultados!BJ77,Resultados!BS77,Resultados!CB77,Resultados!CK77,Resultados!CT77,Resultados!DC77,Resultados!DL77,Resultados!DU77,Resultados!ED77)&lt;=1, "", _xlfn.STDEV.S(ABS(Resultados!H77),ABS(Resultados!Q77),ABS(Resultados!Z77),ABS(Resultados!AI77),ABS(Resultados!AR77),ABS(Resultados!BA77),ABS(Resultados!BJ77),ABS(Resultados!BS77),ABS(Resultados!CB77),ABS(Resultados!CK77),ABS(Resultados!CT77),ABS(Resultados!DC77),ABS(Resultados!DL77),ABS(Resultados!DU77),ABS(Resultados!ED77))/SQRT(COUNT(Resultados!H77,Resultados!Q77,Resultados!Z77,Resultados!AI77,Resultados!AR77,Resultados!BA77,Resultados!BJ77,Resultados!BS77,Resultados!CB77,Resultados!CK77,Resultados!CT77,Resultados!DC77,Resultados!DL77,Resultados!DU77,Resultados!ED77)))</f>
        <v>9.4328705927224522E-4</v>
      </c>
      <c r="I77">
        <f>IF(COUNT(Resultados!I77,Resultados!R77,Resultados!AA77,Resultados!AJ77,Resultados!AS77,Resultados!BB77,Resultados!BK77,Resultados!BT77,Resultados!CC77,Resultados!CL77,Resultados!CU77,Resultados!DD77,Resultados!DM77,Resultados!DV77,Resultados!EE77)&lt;=1, "", _xlfn.STDEV.S(ABS(Resultados!I77),ABS(Resultados!R77),ABS(Resultados!AA77),ABS(Resultados!AJ77),ABS(Resultados!AS77),ABS(Resultados!BB77),ABS(Resultados!BK77),ABS(Resultados!BT77),ABS(Resultados!CC77),ABS(Resultados!CL77),ABS(Resultados!CU77),ABS(Resultados!DD77),ABS(Resultados!DM77),ABS(Resultados!DV77),ABS(Resultados!EE77))/SQRT(COUNT(Resultados!I77,Resultados!R77,Resultados!AA77,Resultados!AJ77,Resultados!AS77,Resultados!BB77,Resultados!BK77,Resultados!BT77,Resultados!CC77,Resultados!CL77,Resultados!CU77,Resultados!DD77,Resultados!DM77,Resultados!DV77,Resultados!EE77)))</f>
        <v>3.6538316778636372E-2</v>
      </c>
    </row>
    <row r="78" spans="1:9" x14ac:dyDescent="0.3">
      <c r="A78">
        <f>IF(COUNT(Resultados!A78,Resultados!J78,Resultados!S78,Resultados!AB78,Resultados!AK78,Resultados!AT78,Resultados!BC78,Resultados!BL78,Resultados!BU78,Resultados!CD78,Resultados!CM78,Resultados!CV78,Resultados!DE78,Resultados!DN78,Resultados!DW78)&lt;=1, "", _xlfn.STDEV.S(ABS(Resultados!A78),ABS(Resultados!J78),ABS(Resultados!S78),ABS(Resultados!AB78),ABS(Resultados!AK78),ABS(Resultados!AT78),ABS(Resultados!BC78),ABS(Resultados!BL78),ABS(Resultados!BU78),ABS(Resultados!CD78),ABS(Resultados!CM78),ABS(Resultados!CV78),ABS(Resultados!DE78),ABS(Resultados!DN78),ABS(Resultados!DW78))/SQRT(COUNT(Resultados!A78,Resultados!J78,Resultados!S78,Resultados!AB78,Resultados!AK78,Resultados!AT78,Resultados!BC78,Resultados!BL78,Resultados!BU78,Resultados!CD78,Resultados!CM78,Resultados!CV78,Resultados!DE78,Resultados!DN78,Resultados!DW78)))</f>
        <v>0</v>
      </c>
      <c r="B78" t="str">
        <f>IF(COUNT(Resultados!B78,Resultados!K78,Resultados!T78,Resultados!AC78,Resultados!AL78,Resultados!AU78,Resultados!BD78,Resultados!BM78,Resultados!BV78,Resultados!CE78,Resultados!CN78,Resultados!CW78,Resultados!DF78,Resultados!DO78,Resultados!DX78)&lt;=1, "", _xlfn.STDEV.S(ABS(Resultados!B78),ABS(Resultados!K78),ABS(Resultados!T78),ABS(Resultados!AC78),ABS(Resultados!AL78),ABS(Resultados!AU78),ABS(Resultados!BD78),ABS(Resultados!BM78),ABS(Resultados!BV78),ABS(Resultados!CE78),ABS(Resultados!CN78),ABS(Resultados!CW78),ABS(Resultados!DF78),ABS(Resultados!DO78),ABS(Resultados!DX78))/SQRT(COUNT(Resultados!B78,Resultados!K78,Resultados!T78,Resultados!AC78,Resultados!AL78,Resultados!AU78,Resultados!BD78,Resultados!BM78,Resultados!BV78,Resultados!CE78,Resultados!CN78,Resultados!CW78,Resultados!DF78,Resultados!DO78,Resultados!DX78)))</f>
        <v/>
      </c>
      <c r="C78">
        <f>IF(COUNT(Resultados!C78,Resultados!L78,Resultados!U78,Resultados!AD78,Resultados!AM78,Resultados!AV78,Resultados!BE78,Resultados!BN78,Resultados!BW78,Resultados!CF78,Resultados!CO78,Resultados!CX78,Resultados!DG78,Resultados!DP78,Resultados!DY78)&lt;=1, "", _xlfn.STDEV.S(ABS(Resultados!C78),ABS(Resultados!L78),ABS(Resultados!U78),ABS(Resultados!AD78),ABS(Resultados!AM78),ABS(Resultados!AV78),ABS(Resultados!BE78),ABS(Resultados!BN78),ABS(Resultados!BW78),ABS(Resultados!CF78),ABS(Resultados!CO78),ABS(Resultados!CX78),ABS(Resultados!DG78),ABS(Resultados!DP78),ABS(Resultados!DY78))/SQRT(COUNT(Resultados!C78,Resultados!L78,Resultados!U78,Resultados!AD78,Resultados!AM78,Resultados!AV78,Resultados!BE78,Resultados!BN78,Resultados!BW78,Resultados!CF78,Resultados!CO78,Resultados!CX78,Resultados!DG78,Resultados!DP78,Resultados!DY78)))</f>
        <v>0.46802523334497581</v>
      </c>
      <c r="D78">
        <f>IF(COUNT(Resultados!D78,Resultados!M78,Resultados!V78,Resultados!AE78,Resultados!AN78,Resultados!AW78,Resultados!BF78,Resultados!BO78,Resultados!BX78,Resultados!CG78,Resultados!CP78,Resultados!CY78,Resultados!DH78,Resultados!DQ78,Resultados!DZ78)&lt;=1, "", _xlfn.STDEV.S(ABS(Resultados!D78),ABS(Resultados!M78),ABS(Resultados!V78),ABS(Resultados!AE78),ABS(Resultados!AN78),ABS(Resultados!AW78),ABS(Resultados!BF78),ABS(Resultados!BO78),ABS(Resultados!BX78),ABS(Resultados!CG78),ABS(Resultados!CP78),ABS(Resultados!CY78),ABS(Resultados!DH78),ABS(Resultados!DQ78),ABS(Resultados!DZ78))/SQRT(COUNT(Resultados!D78,Resultados!M78,Resultados!V78,Resultados!AE78,Resultados!AN78,Resultados!AW78,Resultados!BF78,Resultados!BO78,Resultados!BX78,Resultados!CG78,Resultados!CP78,Resultados!CY78,Resultados!DH78,Resultados!DQ78,Resultados!DZ78)))</f>
        <v>7.7231871042736638E-4</v>
      </c>
      <c r="E78">
        <f>IF(COUNT(Resultados!E78,Resultados!N78,Resultados!W78,Resultados!AF78,Resultados!AO78,Resultados!AX78,Resultados!BG78,Resultados!BP78,Resultados!BY78,Resultados!CH78,Resultados!CQ78,Resultados!CZ78,Resultados!DI78,Resultados!DR78,Resultados!EA78)&lt;=1, "", _xlfn.STDEV.S(ABS(Resultados!E78),ABS(Resultados!N78),ABS(Resultados!W78),ABS(Resultados!AF78),ABS(Resultados!AO78),ABS(Resultados!AX78),ABS(Resultados!BG78),ABS(Resultados!BP78),ABS(Resultados!BY78),ABS(Resultados!CH78),ABS(Resultados!CQ78),ABS(Resultados!CZ78),ABS(Resultados!DI78),ABS(Resultados!DR78),ABS(Resultados!EA78))/SQRT(COUNT(Resultados!E78,Resultados!N78,Resultados!W78,Resultados!AF78,Resultados!AO78,Resultados!AX78,Resultados!BG78,Resultados!BP78,Resultados!BY78,Resultados!CH78,Resultados!CQ78,Resultados!CZ78,Resultados!DI78,Resultados!DR78,Resultados!EA78)))</f>
        <v>6.7410812745506907E-2</v>
      </c>
      <c r="F78">
        <f>IF(COUNT(Resultados!F78,Resultados!O78,Resultados!X78,Resultados!AG78,Resultados!AP78,Resultados!AY78,Resultados!BH78,Resultados!BQ78,Resultados!BZ78,Resultados!CI78,Resultados!CR78,Resultados!DA78,Resultados!DJ78,Resultados!DS78,Resultados!EB78)&lt;=1, "", _xlfn.STDEV.S(ABS(Resultados!F78),ABS(Resultados!O78),ABS(Resultados!X78),ABS(Resultados!AG78),ABS(Resultados!AP78),ABS(Resultados!AY78),ABS(Resultados!BH78),ABS(Resultados!BQ78),ABS(Resultados!BZ78),ABS(Resultados!CI78),ABS(Resultados!CR78),ABS(Resultados!DA78),ABS(Resultados!DJ78),ABS(Resultados!DS78),ABS(Resultados!EB78))/SQRT(COUNT(Resultados!F78,Resultados!O78,Resultados!X78,Resultados!AG78,Resultados!AP78,Resultados!AY78,Resultados!BH78,Resultados!BQ78,Resultados!BZ78,Resultados!CI78,Resultados!CR78,Resultados!DA78,Resultados!DJ78,Resultados!DS78,Resultados!EB78)))</f>
        <v>6.2826877478812442</v>
      </c>
      <c r="G78">
        <f>IF(COUNT(Resultados!G78,Resultados!P78,Resultados!Y78,Resultados!AH78,Resultados!AQ78,Resultados!AZ78,Resultados!BI78,Resultados!BR78,Resultados!CA78,Resultados!CJ78,Resultados!CS78,Resultados!DB78,Resultados!DK78,Resultados!DT78,Resultados!EC78)&lt;=1, "", _xlfn.STDEV.S(ABS(Resultados!G78),ABS(Resultados!P78),ABS(Resultados!Y78),ABS(Resultados!AH78),ABS(Resultados!AQ78),ABS(Resultados!AZ78),ABS(Resultados!BI78),ABS(Resultados!BR78),ABS(Resultados!CA78),ABS(Resultados!CJ78),ABS(Resultados!CS78),ABS(Resultados!DB78),ABS(Resultados!DK78),ABS(Resultados!DT78),ABS(Resultados!EC78))/SQRT(COUNT(Resultados!G78,Resultados!P78,Resultados!Y78,Resultados!AH78,Resultados!AQ78,Resultados!AZ78,Resultados!BI78,Resultados!BR78,Resultados!CA78,Resultados!CJ78,Resultados!CS78,Resultados!DB78,Resultados!DK78,Resultados!DT78,Resultados!EC78)))</f>
        <v>4.4507937654163114E-17</v>
      </c>
      <c r="H78">
        <f>IF(COUNT(Resultados!H78,Resultados!Q78,Resultados!Z78,Resultados!AI78,Resultados!AR78,Resultados!BA78,Resultados!BJ78,Resultados!BS78,Resultados!CB78,Resultados!CK78,Resultados!CT78,Resultados!DC78,Resultados!DL78,Resultados!DU78,Resultados!ED78)&lt;=1, "", _xlfn.STDEV.S(ABS(Resultados!H78),ABS(Resultados!Q78),ABS(Resultados!Z78),ABS(Resultados!AI78),ABS(Resultados!AR78),ABS(Resultados!BA78),ABS(Resultados!BJ78),ABS(Resultados!BS78),ABS(Resultados!CB78),ABS(Resultados!CK78),ABS(Resultados!CT78),ABS(Resultados!DC78),ABS(Resultados!DL78),ABS(Resultados!DU78),ABS(Resultados!ED78))/SQRT(COUNT(Resultados!H78,Resultados!Q78,Resultados!Z78,Resultados!AI78,Resultados!AR78,Resultados!BA78,Resultados!BJ78,Resultados!BS78,Resultados!CB78,Resultados!CK78,Resultados!CT78,Resultados!DC78,Resultados!DL78,Resultados!DU78,Resultados!ED78)))</f>
        <v>1.0471033362688697E-3</v>
      </c>
      <c r="I78">
        <f>IF(COUNT(Resultados!I78,Resultados!R78,Resultados!AA78,Resultados!AJ78,Resultados!AS78,Resultados!BB78,Resultados!BK78,Resultados!BT78,Resultados!CC78,Resultados!CL78,Resultados!CU78,Resultados!DD78,Resultados!DM78,Resultados!DV78,Resultados!EE78)&lt;=1, "", _xlfn.STDEV.S(ABS(Resultados!I78),ABS(Resultados!R78),ABS(Resultados!AA78),ABS(Resultados!AJ78),ABS(Resultados!AS78),ABS(Resultados!BB78),ABS(Resultados!BK78),ABS(Resultados!BT78),ABS(Resultados!CC78),ABS(Resultados!CL78),ABS(Resultados!CU78),ABS(Resultados!DD78),ABS(Resultados!DM78),ABS(Resultados!DV78),ABS(Resultados!EE78))/SQRT(COUNT(Resultados!I78,Resultados!R78,Resultados!AA78,Resultados!AJ78,Resultados!AS78,Resultados!BB78,Resultados!BK78,Resultados!BT78,Resultados!CC78,Resultados!CL78,Resultados!CU78,Resultados!DD78,Resultados!DM78,Resultados!DV78,Resultados!EE78)))</f>
        <v>3.6508743625915295E-2</v>
      </c>
    </row>
    <row r="79" spans="1:9" x14ac:dyDescent="0.3">
      <c r="A79">
        <f>IF(COUNT(Resultados!A79,Resultados!J79,Resultados!S79,Resultados!AB79,Resultados!AK79,Resultados!AT79,Resultados!BC79,Resultados!BL79,Resultados!BU79,Resultados!CD79,Resultados!CM79,Resultados!CV79,Resultados!DE79,Resultados!DN79,Resultados!DW79)&lt;=1, "", _xlfn.STDEV.S(ABS(Resultados!A79),ABS(Resultados!J79),ABS(Resultados!S79),ABS(Resultados!AB79),ABS(Resultados!AK79),ABS(Resultados!AT79),ABS(Resultados!BC79),ABS(Resultados!BL79),ABS(Resultados!BU79),ABS(Resultados!CD79),ABS(Resultados!CM79),ABS(Resultados!CV79),ABS(Resultados!DE79),ABS(Resultados!DN79),ABS(Resultados!DW79))/SQRT(COUNT(Resultados!A79,Resultados!J79,Resultados!S79,Resultados!AB79,Resultados!AK79,Resultados!AT79,Resultados!BC79,Resultados!BL79,Resultados!BU79,Resultados!CD79,Resultados!CM79,Resultados!CV79,Resultados!DE79,Resultados!DN79,Resultados!DW79)))</f>
        <v>0</v>
      </c>
      <c r="B79" t="str">
        <f>IF(COUNT(Resultados!B79,Resultados!K79,Resultados!T79,Resultados!AC79,Resultados!AL79,Resultados!AU79,Resultados!BD79,Resultados!BM79,Resultados!BV79,Resultados!CE79,Resultados!CN79,Resultados!CW79,Resultados!DF79,Resultados!DO79,Resultados!DX79)&lt;=1, "", _xlfn.STDEV.S(ABS(Resultados!B79),ABS(Resultados!K79),ABS(Resultados!T79),ABS(Resultados!AC79),ABS(Resultados!AL79),ABS(Resultados!AU79),ABS(Resultados!BD79),ABS(Resultados!BM79),ABS(Resultados!BV79),ABS(Resultados!CE79),ABS(Resultados!CN79),ABS(Resultados!CW79),ABS(Resultados!DF79),ABS(Resultados!DO79),ABS(Resultados!DX79))/SQRT(COUNT(Resultados!B79,Resultados!K79,Resultados!T79,Resultados!AC79,Resultados!AL79,Resultados!AU79,Resultados!BD79,Resultados!BM79,Resultados!BV79,Resultados!CE79,Resultados!CN79,Resultados!CW79,Resultados!DF79,Resultados!DO79,Resultados!DX79)))</f>
        <v/>
      </c>
      <c r="C79">
        <f>IF(COUNT(Resultados!C79,Resultados!L79,Resultados!U79,Resultados!AD79,Resultados!AM79,Resultados!AV79,Resultados!BE79,Resultados!BN79,Resultados!BW79,Resultados!CF79,Resultados!CO79,Resultados!CX79,Resultados!DG79,Resultados!DP79,Resultados!DY79)&lt;=1, "", _xlfn.STDEV.S(ABS(Resultados!C79),ABS(Resultados!L79),ABS(Resultados!U79),ABS(Resultados!AD79),ABS(Resultados!AM79),ABS(Resultados!AV79),ABS(Resultados!BE79),ABS(Resultados!BN79),ABS(Resultados!BW79),ABS(Resultados!CF79),ABS(Resultados!CO79),ABS(Resultados!CX79),ABS(Resultados!DG79),ABS(Resultados!DP79),ABS(Resultados!DY79))/SQRT(COUNT(Resultados!C79,Resultados!L79,Resultados!U79,Resultados!AD79,Resultados!AM79,Resultados!AV79,Resultados!BE79,Resultados!BN79,Resultados!BW79,Resultados!CF79,Resultados!CO79,Resultados!CX79,Resultados!DG79,Resultados!DP79,Resultados!DY79)))</f>
        <v>0.46802523334497581</v>
      </c>
      <c r="D79">
        <f>IF(COUNT(Resultados!D79,Resultados!M79,Resultados!V79,Resultados!AE79,Resultados!AN79,Resultados!AW79,Resultados!BF79,Resultados!BO79,Resultados!BX79,Resultados!CG79,Resultados!CP79,Resultados!CY79,Resultados!DH79,Resultados!DQ79,Resultados!DZ79)&lt;=1, "", _xlfn.STDEV.S(ABS(Resultados!D79),ABS(Resultados!M79),ABS(Resultados!V79),ABS(Resultados!AE79),ABS(Resultados!AN79),ABS(Resultados!AW79),ABS(Resultados!BF79),ABS(Resultados!BO79),ABS(Resultados!BX79),ABS(Resultados!CG79),ABS(Resultados!CP79),ABS(Resultados!CY79),ABS(Resultados!DH79),ABS(Resultados!DQ79),ABS(Resultados!DZ79))/SQRT(COUNT(Resultados!D79,Resultados!M79,Resultados!V79,Resultados!AE79,Resultados!AN79,Resultados!AW79,Resultados!BF79,Resultados!BO79,Resultados!BX79,Resultados!CG79,Resultados!CP79,Resultados!CY79,Resultados!DH79,Resultados!DQ79,Resultados!DZ79)))</f>
        <v>9.6411156569720308E-4</v>
      </c>
      <c r="E79">
        <f>IF(COUNT(Resultados!E79,Resultados!N79,Resultados!W79,Resultados!AF79,Resultados!AO79,Resultados!AX79,Resultados!BG79,Resultados!BP79,Resultados!BY79,Resultados!CH79,Resultados!CQ79,Resultados!CZ79,Resultados!DI79,Resultados!DR79,Resultados!EA79)&lt;=1, "", _xlfn.STDEV.S(ABS(Resultados!E79),ABS(Resultados!N79),ABS(Resultados!W79),ABS(Resultados!AF79),ABS(Resultados!AO79),ABS(Resultados!AX79),ABS(Resultados!BG79),ABS(Resultados!BP79),ABS(Resultados!BY79),ABS(Resultados!CH79),ABS(Resultados!CQ79),ABS(Resultados!CZ79),ABS(Resultados!DI79),ABS(Resultados!DR79),ABS(Resultados!EA79))/SQRT(COUNT(Resultados!E79,Resultados!N79,Resultados!W79,Resultados!AF79,Resultados!AO79,Resultados!AX79,Resultados!BG79,Resultados!BP79,Resultados!BY79,Resultados!CH79,Resultados!CQ79,Resultados!CZ79,Resultados!DI79,Resultados!DR79,Resultados!EA79)))</f>
        <v>6.8970551789380677E-2</v>
      </c>
      <c r="F79">
        <f>IF(COUNT(Resultados!F79,Resultados!O79,Resultados!X79,Resultados!AG79,Resultados!AP79,Resultados!AY79,Resultados!BH79,Resultados!BQ79,Resultados!BZ79,Resultados!CI79,Resultados!CR79,Resultados!DA79,Resultados!DJ79,Resultados!DS79,Resultados!EB79)&lt;=1, "", _xlfn.STDEV.S(ABS(Resultados!F79),ABS(Resultados!O79),ABS(Resultados!X79),ABS(Resultados!AG79),ABS(Resultados!AP79),ABS(Resultados!AY79),ABS(Resultados!BH79),ABS(Resultados!BQ79),ABS(Resultados!BZ79),ABS(Resultados!CI79),ABS(Resultados!CR79),ABS(Resultados!DA79),ABS(Resultados!DJ79),ABS(Resultados!DS79),ABS(Resultados!EB79))/SQRT(COUNT(Resultados!F79,Resultados!O79,Resultados!X79,Resultados!AG79,Resultados!AP79,Resultados!AY79,Resultados!BH79,Resultados!BQ79,Resultados!BZ79,Resultados!CI79,Resultados!CR79,Resultados!DA79,Resultados!DJ79,Resultados!DS79,Resultados!EB79)))</f>
        <v>6.4280554267702783</v>
      </c>
      <c r="G79">
        <f>IF(COUNT(Resultados!G79,Resultados!P79,Resultados!Y79,Resultados!AH79,Resultados!AQ79,Resultados!AZ79,Resultados!BI79,Resultados!BR79,Resultados!CA79,Resultados!CJ79,Resultados!CS79,Resultados!DB79,Resultados!DK79,Resultados!DT79,Resultados!EC79)&lt;=1, "", _xlfn.STDEV.S(ABS(Resultados!G79),ABS(Resultados!P79),ABS(Resultados!Y79),ABS(Resultados!AH79),ABS(Resultados!AQ79),ABS(Resultados!AZ79),ABS(Resultados!BI79),ABS(Resultados!BR79),ABS(Resultados!CA79),ABS(Resultados!CJ79),ABS(Resultados!CS79),ABS(Resultados!DB79),ABS(Resultados!DK79),ABS(Resultados!DT79),ABS(Resultados!EC79))/SQRT(COUNT(Resultados!G79,Resultados!P79,Resultados!Y79,Resultados!AH79,Resultados!AQ79,Resultados!AZ79,Resultados!BI79,Resultados!BR79,Resultados!CA79,Resultados!CJ79,Resultados!CS79,Resultados!DB79,Resultados!DK79,Resultados!DT79,Resultados!EC79)))</f>
        <v>4.4507937654163114E-17</v>
      </c>
      <c r="H79">
        <f>IF(COUNT(Resultados!H79,Resultados!Q79,Resultados!Z79,Resultados!AI79,Resultados!AR79,Resultados!BA79,Resultados!BJ79,Resultados!BS79,Resultados!CB79,Resultados!CK79,Resultados!CT79,Resultados!DC79,Resultados!DL79,Resultados!DU79,Resultados!ED79)&lt;=1, "", _xlfn.STDEV.S(ABS(Resultados!H79),ABS(Resultados!Q79),ABS(Resultados!Z79),ABS(Resultados!AI79),ABS(Resultados!AR79),ABS(Resultados!BA79),ABS(Resultados!BJ79),ABS(Resultados!BS79),ABS(Resultados!CB79),ABS(Resultados!CK79),ABS(Resultados!CT79),ABS(Resultados!DC79),ABS(Resultados!DL79),ABS(Resultados!DU79),ABS(Resultados!ED79))/SQRT(COUNT(Resultados!H79,Resultados!Q79,Resultados!Z79,Resultados!AI79,Resultados!AR79,Resultados!BA79,Resultados!BJ79,Resultados!BS79,Resultados!CB79,Resultados!CK79,Resultados!CT79,Resultados!DC79,Resultados!DL79,Resultados!DU79,Resultados!ED79)))</f>
        <v>1.072433814141594E-3</v>
      </c>
      <c r="I79">
        <f>IF(COUNT(Resultados!I79,Resultados!R79,Resultados!AA79,Resultados!AJ79,Resultados!AS79,Resultados!BB79,Resultados!BK79,Resultados!BT79,Resultados!CC79,Resultados!CL79,Resultados!CU79,Resultados!DD79,Resultados!DM79,Resultados!DV79,Resultados!EE79)&lt;=1, "", _xlfn.STDEV.S(ABS(Resultados!I79),ABS(Resultados!R79),ABS(Resultados!AA79),ABS(Resultados!AJ79),ABS(Resultados!AS79),ABS(Resultados!BB79),ABS(Resultados!BK79),ABS(Resultados!BT79),ABS(Resultados!CC79),ABS(Resultados!CL79),ABS(Resultados!CU79),ABS(Resultados!DD79),ABS(Resultados!DM79),ABS(Resultados!DV79),ABS(Resultados!EE79))/SQRT(COUNT(Resultados!I79,Resultados!R79,Resultados!AA79,Resultados!AJ79,Resultados!AS79,Resultados!BB79,Resultados!BK79,Resultados!BT79,Resultados!CC79,Resultados!CL79,Resultados!CU79,Resultados!DD79,Resultados!DM79,Resultados!DV79,Resultados!EE79)))</f>
        <v>3.6503329254558278E-2</v>
      </c>
    </row>
    <row r="80" spans="1:9" x14ac:dyDescent="0.3">
      <c r="A80">
        <f>IF(COUNT(Resultados!A80,Resultados!J80,Resultados!S80,Resultados!AB80,Resultados!AK80,Resultados!AT80,Resultados!BC80,Resultados!BL80,Resultados!BU80,Resultados!CD80,Resultados!CM80,Resultados!CV80,Resultados!DE80,Resultados!DN80,Resultados!DW80)&lt;=1, "", _xlfn.STDEV.S(ABS(Resultados!A80),ABS(Resultados!J80),ABS(Resultados!S80),ABS(Resultados!AB80),ABS(Resultados!AK80),ABS(Resultados!AT80),ABS(Resultados!BC80),ABS(Resultados!BL80),ABS(Resultados!BU80),ABS(Resultados!CD80),ABS(Resultados!CM80),ABS(Resultados!CV80),ABS(Resultados!DE80),ABS(Resultados!DN80),ABS(Resultados!DW80))/SQRT(COUNT(Resultados!A80,Resultados!J80,Resultados!S80,Resultados!AB80,Resultados!AK80,Resultados!AT80,Resultados!BC80,Resultados!BL80,Resultados!BU80,Resultados!CD80,Resultados!CM80,Resultados!CV80,Resultados!DE80,Resultados!DN80,Resultados!DW80)))</f>
        <v>0</v>
      </c>
      <c r="B80" t="str">
        <f>IF(COUNT(Resultados!B80,Resultados!K80,Resultados!T80,Resultados!AC80,Resultados!AL80,Resultados!AU80,Resultados!BD80,Resultados!BM80,Resultados!BV80,Resultados!CE80,Resultados!CN80,Resultados!CW80,Resultados!DF80,Resultados!DO80,Resultados!DX80)&lt;=1, "", _xlfn.STDEV.S(ABS(Resultados!B80),ABS(Resultados!K80),ABS(Resultados!T80),ABS(Resultados!AC80),ABS(Resultados!AL80),ABS(Resultados!AU80),ABS(Resultados!BD80),ABS(Resultados!BM80),ABS(Resultados!BV80),ABS(Resultados!CE80),ABS(Resultados!CN80),ABS(Resultados!CW80),ABS(Resultados!DF80),ABS(Resultados!DO80),ABS(Resultados!DX80))/SQRT(COUNT(Resultados!B80,Resultados!K80,Resultados!T80,Resultados!AC80,Resultados!AL80,Resultados!AU80,Resultados!BD80,Resultados!BM80,Resultados!BV80,Resultados!CE80,Resultados!CN80,Resultados!CW80,Resultados!DF80,Resultados!DO80,Resultados!DX80)))</f>
        <v/>
      </c>
      <c r="C80">
        <f>IF(COUNT(Resultados!C80,Resultados!L80,Resultados!U80,Resultados!AD80,Resultados!AM80,Resultados!AV80,Resultados!BE80,Resultados!BN80,Resultados!BW80,Resultados!CF80,Resultados!CO80,Resultados!CX80,Resultados!DG80,Resultados!DP80,Resultados!DY80)&lt;=1, "", _xlfn.STDEV.S(ABS(Resultados!C80),ABS(Resultados!L80),ABS(Resultados!U80),ABS(Resultados!AD80),ABS(Resultados!AM80),ABS(Resultados!AV80),ABS(Resultados!BE80),ABS(Resultados!BN80),ABS(Resultados!BW80),ABS(Resultados!CF80),ABS(Resultados!CO80),ABS(Resultados!CX80),ABS(Resultados!DG80),ABS(Resultados!DP80),ABS(Resultados!DY80))/SQRT(COUNT(Resultados!C80,Resultados!L80,Resultados!U80,Resultados!AD80,Resultados!AM80,Resultados!AV80,Resultados!BE80,Resultados!BN80,Resultados!BW80,Resultados!CF80,Resultados!CO80,Resultados!CX80,Resultados!DG80,Resultados!DP80,Resultados!DY80)))</f>
        <v>0.46802523334497581</v>
      </c>
      <c r="D80">
        <f>IF(COUNT(Resultados!D80,Resultados!M80,Resultados!V80,Resultados!AE80,Resultados!AN80,Resultados!AW80,Resultados!BF80,Resultados!BO80,Resultados!BX80,Resultados!CG80,Resultados!CP80,Resultados!CY80,Resultados!DH80,Resultados!DQ80,Resultados!DZ80)&lt;=1, "", _xlfn.STDEV.S(ABS(Resultados!D80),ABS(Resultados!M80),ABS(Resultados!V80),ABS(Resultados!AE80),ABS(Resultados!AN80),ABS(Resultados!AW80),ABS(Resultados!BF80),ABS(Resultados!BO80),ABS(Resultados!BX80),ABS(Resultados!CG80),ABS(Resultados!CP80),ABS(Resultados!CY80),ABS(Resultados!DH80),ABS(Resultados!DQ80),ABS(Resultados!DZ80))/SQRT(COUNT(Resultados!D80,Resultados!M80,Resultados!V80,Resultados!AE80,Resultados!AN80,Resultados!AW80,Resultados!BF80,Resultados!BO80,Resultados!BX80,Resultados!CG80,Resultados!CP80,Resultados!CY80,Resultados!DH80,Resultados!DQ80,Resultados!DZ80)))</f>
        <v>1.0618402713707751E-3</v>
      </c>
      <c r="E80">
        <f>IF(COUNT(Resultados!E80,Resultados!N80,Resultados!W80,Resultados!AF80,Resultados!AO80,Resultados!AX80,Resultados!BG80,Resultados!BP80,Resultados!BY80,Resultados!CH80,Resultados!CQ80,Resultados!CZ80,Resultados!DI80,Resultados!DR80,Resultados!EA80)&lt;=1, "", _xlfn.STDEV.S(ABS(Resultados!E80),ABS(Resultados!N80),ABS(Resultados!W80),ABS(Resultados!AF80),ABS(Resultados!AO80),ABS(Resultados!AX80),ABS(Resultados!BG80),ABS(Resultados!BP80),ABS(Resultados!BY80),ABS(Resultados!CH80),ABS(Resultados!CQ80),ABS(Resultados!CZ80),ABS(Resultados!DI80),ABS(Resultados!DR80),ABS(Resultados!EA80))/SQRT(COUNT(Resultados!E80,Resultados!N80,Resultados!W80,Resultados!AF80,Resultados!AO80,Resultados!AX80,Resultados!BG80,Resultados!BP80,Resultados!BY80,Resultados!CH80,Resultados!CQ80,Resultados!CZ80,Resultados!DI80,Resultados!DR80,Resultados!EA80)))</f>
        <v>6.5650935516299441E-2</v>
      </c>
      <c r="F80">
        <f>IF(COUNT(Resultados!F80,Resultados!O80,Resultados!X80,Resultados!AG80,Resultados!AP80,Resultados!AY80,Resultados!BH80,Resultados!BQ80,Resultados!BZ80,Resultados!CI80,Resultados!CR80,Resultados!DA80,Resultados!DJ80,Resultados!DS80,Resultados!EB80)&lt;=1, "", _xlfn.STDEV.S(ABS(Resultados!F80),ABS(Resultados!O80),ABS(Resultados!X80),ABS(Resultados!AG80),ABS(Resultados!AP80),ABS(Resultados!AY80),ABS(Resultados!BH80),ABS(Resultados!BQ80),ABS(Resultados!BZ80),ABS(Resultados!CI80),ABS(Resultados!CR80),ABS(Resultados!DA80),ABS(Resultados!DJ80),ABS(Resultados!DS80),ABS(Resultados!EB80))/SQRT(COUNT(Resultados!F80,Resultados!O80,Resultados!X80,Resultados!AG80,Resultados!AP80,Resultados!AY80,Resultados!BH80,Resultados!BQ80,Resultados!BZ80,Resultados!CI80,Resultados!CR80,Resultados!DA80,Resultados!DJ80,Resultados!DS80,Resultados!EB80)))</f>
        <v>6.118667190119103</v>
      </c>
      <c r="G80">
        <f>IF(COUNT(Resultados!G80,Resultados!P80,Resultados!Y80,Resultados!AH80,Resultados!AQ80,Resultados!AZ80,Resultados!BI80,Resultados!BR80,Resultados!CA80,Resultados!CJ80,Resultados!CS80,Resultados!DB80,Resultados!DK80,Resultados!DT80,Resultados!EC80)&lt;=1, "", _xlfn.STDEV.S(ABS(Resultados!G80),ABS(Resultados!P80),ABS(Resultados!Y80),ABS(Resultados!AH80),ABS(Resultados!AQ80),ABS(Resultados!AZ80),ABS(Resultados!BI80),ABS(Resultados!BR80),ABS(Resultados!CA80),ABS(Resultados!CJ80),ABS(Resultados!CS80),ABS(Resultados!DB80),ABS(Resultados!DK80),ABS(Resultados!DT80),ABS(Resultados!EC80))/SQRT(COUNT(Resultados!G80,Resultados!P80,Resultados!Y80,Resultados!AH80,Resultados!AQ80,Resultados!AZ80,Resultados!BI80,Resultados!BR80,Resultados!CA80,Resultados!CJ80,Resultados!CS80,Resultados!DB80,Resultados!DK80,Resultados!DT80,Resultados!EC80)))</f>
        <v>4.4507937654163114E-17</v>
      </c>
      <c r="H80">
        <f>IF(COUNT(Resultados!H80,Resultados!Q80,Resultados!Z80,Resultados!AI80,Resultados!AR80,Resultados!BA80,Resultados!BJ80,Resultados!BS80,Resultados!CB80,Resultados!CK80,Resultados!CT80,Resultados!DC80,Resultados!DL80,Resultados!DU80,Resultados!ED80)&lt;=1, "", _xlfn.STDEV.S(ABS(Resultados!H80),ABS(Resultados!Q80),ABS(Resultados!Z80),ABS(Resultados!AI80),ABS(Resultados!AR80),ABS(Resultados!BA80),ABS(Resultados!BJ80),ABS(Resultados!BS80),ABS(Resultados!CB80),ABS(Resultados!CK80),ABS(Resultados!CT80),ABS(Resultados!DC80),ABS(Resultados!DL80),ABS(Resultados!DU80),ABS(Resultados!ED80))/SQRT(COUNT(Resultados!H80,Resultados!Q80,Resultados!Z80,Resultados!AI80,Resultados!AR80,Resultados!BA80,Resultados!BJ80,Resultados!BS80,Resultados!CB80,Resultados!CK80,Resultados!CT80,Resultados!DC80,Resultados!DL80,Resultados!DU80,Resultados!ED80)))</f>
        <v>1.0170389638397602E-3</v>
      </c>
      <c r="I80">
        <f>IF(COUNT(Resultados!I80,Resultados!R80,Resultados!AA80,Resultados!AJ80,Resultados!AS80,Resultados!BB80,Resultados!BK80,Resultados!BT80,Resultados!CC80,Resultados!CL80,Resultados!CU80,Resultados!DD80,Resultados!DM80,Resultados!DV80,Resultados!EE80)&lt;=1, "", _xlfn.STDEV.S(ABS(Resultados!I80),ABS(Resultados!R80),ABS(Resultados!AA80),ABS(Resultados!AJ80),ABS(Resultados!AS80),ABS(Resultados!BB80),ABS(Resultados!BK80),ABS(Resultados!BT80),ABS(Resultados!CC80),ABS(Resultados!CL80),ABS(Resultados!CU80),ABS(Resultados!DD80),ABS(Resultados!DM80),ABS(Resultados!DV80),ABS(Resultados!EE80))/SQRT(COUNT(Resultados!I80,Resultados!R80,Resultados!AA80,Resultados!AJ80,Resultados!AS80,Resultados!BB80,Resultados!BK80,Resultados!BT80,Resultados!CC80,Resultados!CL80,Resultados!CU80,Resultados!DD80,Resultados!DM80,Resultados!DV80,Resultados!EE80)))</f>
        <v>3.6959620973971083E-2</v>
      </c>
    </row>
    <row r="81" spans="1:9" x14ac:dyDescent="0.3">
      <c r="A81">
        <f>IF(COUNT(Resultados!A81,Resultados!J81,Resultados!S81,Resultados!AB81,Resultados!AK81,Resultados!AT81,Resultados!BC81,Resultados!BL81,Resultados!BU81,Resultados!CD81,Resultados!CM81,Resultados!CV81,Resultados!DE81,Resultados!DN81,Resultados!DW81)&lt;=1, "", _xlfn.STDEV.S(ABS(Resultados!A81),ABS(Resultados!J81),ABS(Resultados!S81),ABS(Resultados!AB81),ABS(Resultados!AK81),ABS(Resultados!AT81),ABS(Resultados!BC81),ABS(Resultados!BL81),ABS(Resultados!BU81),ABS(Resultados!CD81),ABS(Resultados!CM81),ABS(Resultados!CV81),ABS(Resultados!DE81),ABS(Resultados!DN81),ABS(Resultados!DW81))/SQRT(COUNT(Resultados!A81,Resultados!J81,Resultados!S81,Resultados!AB81,Resultados!AK81,Resultados!AT81,Resultados!BC81,Resultados!BL81,Resultados!BU81,Resultados!CD81,Resultados!CM81,Resultados!CV81,Resultados!DE81,Resultados!DN81,Resultados!DW81)))</f>
        <v>0</v>
      </c>
      <c r="B81" t="str">
        <f>IF(COUNT(Resultados!B81,Resultados!K81,Resultados!T81,Resultados!AC81,Resultados!AL81,Resultados!AU81,Resultados!BD81,Resultados!BM81,Resultados!BV81,Resultados!CE81,Resultados!CN81,Resultados!CW81,Resultados!DF81,Resultados!DO81,Resultados!DX81)&lt;=1, "", _xlfn.STDEV.S(ABS(Resultados!B81),ABS(Resultados!K81),ABS(Resultados!T81),ABS(Resultados!AC81),ABS(Resultados!AL81),ABS(Resultados!AU81),ABS(Resultados!BD81),ABS(Resultados!BM81),ABS(Resultados!BV81),ABS(Resultados!CE81),ABS(Resultados!CN81),ABS(Resultados!CW81),ABS(Resultados!DF81),ABS(Resultados!DO81),ABS(Resultados!DX81))/SQRT(COUNT(Resultados!B81,Resultados!K81,Resultados!T81,Resultados!AC81,Resultados!AL81,Resultados!AU81,Resultados!BD81,Resultados!BM81,Resultados!BV81,Resultados!CE81,Resultados!CN81,Resultados!CW81,Resultados!DF81,Resultados!DO81,Resultados!DX81)))</f>
        <v/>
      </c>
      <c r="C81">
        <f>IF(COUNT(Resultados!C81,Resultados!L81,Resultados!U81,Resultados!AD81,Resultados!AM81,Resultados!AV81,Resultados!BE81,Resultados!BN81,Resultados!BW81,Resultados!CF81,Resultados!CO81,Resultados!CX81,Resultados!DG81,Resultados!DP81,Resultados!DY81)&lt;=1, "", _xlfn.STDEV.S(ABS(Resultados!C81),ABS(Resultados!L81),ABS(Resultados!U81),ABS(Resultados!AD81),ABS(Resultados!AM81),ABS(Resultados!AV81),ABS(Resultados!BE81),ABS(Resultados!BN81),ABS(Resultados!BW81),ABS(Resultados!CF81),ABS(Resultados!CO81),ABS(Resultados!CX81),ABS(Resultados!DG81),ABS(Resultados!DP81),ABS(Resultados!DY81))/SQRT(COUNT(Resultados!C81,Resultados!L81,Resultados!U81,Resultados!AD81,Resultados!AM81,Resultados!AV81,Resultados!BE81,Resultados!BN81,Resultados!BW81,Resultados!CF81,Resultados!CO81,Resultados!CX81,Resultados!DG81,Resultados!DP81,Resultados!DY81)))</f>
        <v>0.46802523334497581</v>
      </c>
      <c r="D81">
        <f>IF(COUNT(Resultados!D81,Resultados!M81,Resultados!V81,Resultados!AE81,Resultados!AN81,Resultados!AW81,Resultados!BF81,Resultados!BO81,Resultados!BX81,Resultados!CG81,Resultados!CP81,Resultados!CY81,Resultados!DH81,Resultados!DQ81,Resultados!DZ81)&lt;=1, "", _xlfn.STDEV.S(ABS(Resultados!D81),ABS(Resultados!M81),ABS(Resultados!V81),ABS(Resultados!AE81),ABS(Resultados!AN81),ABS(Resultados!AW81),ABS(Resultados!BF81),ABS(Resultados!BO81),ABS(Resultados!BX81),ABS(Resultados!CG81),ABS(Resultados!CP81),ABS(Resultados!CY81),ABS(Resultados!DH81),ABS(Resultados!DQ81),ABS(Resultados!DZ81))/SQRT(COUNT(Resultados!D81,Resultados!M81,Resultados!V81,Resultados!AE81,Resultados!AN81,Resultados!AW81,Resultados!BF81,Resultados!BO81,Resultados!BX81,Resultados!CG81,Resultados!CP81,Resultados!CY81,Resultados!DH81,Resultados!DQ81,Resultados!DZ81)))</f>
        <v>1.0488905703510867E-3</v>
      </c>
      <c r="E81">
        <f>IF(COUNT(Resultados!E81,Resultados!N81,Resultados!W81,Resultados!AF81,Resultados!AO81,Resultados!AX81,Resultados!BG81,Resultados!BP81,Resultados!BY81,Resultados!CH81,Resultados!CQ81,Resultados!CZ81,Resultados!DI81,Resultados!DR81,Resultados!EA81)&lt;=1, "", _xlfn.STDEV.S(ABS(Resultados!E81),ABS(Resultados!N81),ABS(Resultados!W81),ABS(Resultados!AF81),ABS(Resultados!AO81),ABS(Resultados!AX81),ABS(Resultados!BG81),ABS(Resultados!BP81),ABS(Resultados!BY81),ABS(Resultados!CH81),ABS(Resultados!CQ81),ABS(Resultados!CZ81),ABS(Resultados!DI81),ABS(Resultados!DR81),ABS(Resultados!EA81))/SQRT(COUNT(Resultados!E81,Resultados!N81,Resultados!W81,Resultados!AF81,Resultados!AO81,Resultados!AX81,Resultados!BG81,Resultados!BP81,Resultados!BY81,Resultados!CH81,Resultados!CQ81,Resultados!CZ81,Resultados!DI81,Resultados!DR81,Resultados!EA81)))</f>
        <v>5.6767121446949703E-2</v>
      </c>
      <c r="F81">
        <f>IF(COUNT(Resultados!F81,Resultados!O81,Resultados!X81,Resultados!AG81,Resultados!AP81,Resultados!AY81,Resultados!BH81,Resultados!BQ81,Resultados!BZ81,Resultados!CI81,Resultados!CR81,Resultados!DA81,Resultados!DJ81,Resultados!DS81,Resultados!EB81)&lt;=1, "", _xlfn.STDEV.S(ABS(Resultados!F81),ABS(Resultados!O81),ABS(Resultados!X81),ABS(Resultados!AG81),ABS(Resultados!AP81),ABS(Resultados!AY81),ABS(Resultados!BH81),ABS(Resultados!BQ81),ABS(Resultados!BZ81),ABS(Resultados!CI81),ABS(Resultados!CR81),ABS(Resultados!DA81),ABS(Resultados!DJ81),ABS(Resultados!DS81),ABS(Resultados!EB81))/SQRT(COUNT(Resultados!F81,Resultados!O81,Resultados!X81,Resultados!AG81,Resultados!AP81,Resultados!AY81,Resultados!BH81,Resultados!BQ81,Resultados!BZ81,Resultados!CI81,Resultados!CR81,Resultados!DA81,Resultados!DJ81,Resultados!DS81,Resultados!EB81)))</f>
        <v>10.204524030342712</v>
      </c>
      <c r="G81">
        <f>IF(COUNT(Resultados!G81,Resultados!P81,Resultados!Y81,Resultados!AH81,Resultados!AQ81,Resultados!AZ81,Resultados!BI81,Resultados!BR81,Resultados!CA81,Resultados!CJ81,Resultados!CS81,Resultados!DB81,Resultados!DK81,Resultados!DT81,Resultados!EC81)&lt;=1, "", _xlfn.STDEV.S(ABS(Resultados!G81),ABS(Resultados!P81),ABS(Resultados!Y81),ABS(Resultados!AH81),ABS(Resultados!AQ81),ABS(Resultados!AZ81),ABS(Resultados!BI81),ABS(Resultados!BR81),ABS(Resultados!CA81),ABS(Resultados!CJ81),ABS(Resultados!CS81),ABS(Resultados!DB81),ABS(Resultados!DK81),ABS(Resultados!DT81),ABS(Resultados!EC81))/SQRT(COUNT(Resultados!G81,Resultados!P81,Resultados!Y81,Resultados!AH81,Resultados!AQ81,Resultados!AZ81,Resultados!BI81,Resultados!BR81,Resultados!CA81,Resultados!CJ81,Resultados!CS81,Resultados!DB81,Resultados!DK81,Resultados!DT81,Resultados!EC81)))</f>
        <v>4.4507937654163114E-17</v>
      </c>
      <c r="H81">
        <f>IF(COUNT(Resultados!H81,Resultados!Q81,Resultados!Z81,Resultados!AI81,Resultados!AR81,Resultados!BA81,Resultados!BJ81,Resultados!BS81,Resultados!CB81,Resultados!CK81,Resultados!CT81,Resultados!DC81,Resultados!DL81,Resultados!DU81,Resultados!ED81)&lt;=1, "", _xlfn.STDEV.S(ABS(Resultados!H81),ABS(Resultados!Q81),ABS(Resultados!Z81),ABS(Resultados!AI81),ABS(Resultados!AR81),ABS(Resultados!BA81),ABS(Resultados!BJ81),ABS(Resultados!BS81),ABS(Resultados!CB81),ABS(Resultados!CK81),ABS(Resultados!CT81),ABS(Resultados!DC81),ABS(Resultados!DL81),ABS(Resultados!DU81),ABS(Resultados!ED81))/SQRT(COUNT(Resultados!H81,Resultados!Q81,Resultados!Z81,Resultados!AI81,Resultados!AR81,Resultados!BA81,Resultados!BJ81,Resultados!BS81,Resultados!CB81,Resultados!CK81,Resultados!CT81,Resultados!DC81,Resultados!DL81,Resultados!DU81,Resultados!ED81)))</f>
        <v>8.8000000000000014E-4</v>
      </c>
      <c r="I81">
        <f>IF(COUNT(Resultados!I81,Resultados!R81,Resultados!AA81,Resultados!AJ81,Resultados!AS81,Resultados!BB81,Resultados!BK81,Resultados!BT81,Resultados!CC81,Resultados!CL81,Resultados!CU81,Resultados!DD81,Resultados!DM81,Resultados!DV81,Resultados!EE81)&lt;=1, "", _xlfn.STDEV.S(ABS(Resultados!I81),ABS(Resultados!R81),ABS(Resultados!AA81),ABS(Resultados!AJ81),ABS(Resultados!AS81),ABS(Resultados!BB81),ABS(Resultados!BK81),ABS(Resultados!BT81),ABS(Resultados!CC81),ABS(Resultados!CL81),ABS(Resultados!CU81),ABS(Resultados!DD81),ABS(Resultados!DM81),ABS(Resultados!DV81),ABS(Resultados!EE81))/SQRT(COUNT(Resultados!I81,Resultados!R81,Resultados!AA81,Resultados!AJ81,Resultados!AS81,Resultados!BB81,Resultados!BK81,Resultados!BT81,Resultados!CC81,Resultados!CL81,Resultados!CU81,Resultados!DD81,Resultados!DM81,Resultados!DV81,Resultados!EE81)))</f>
        <v>3.6478133769445829E-2</v>
      </c>
    </row>
    <row r="82" spans="1:9" x14ac:dyDescent="0.3">
      <c r="A82">
        <f>IF(COUNT(Resultados!A82,Resultados!J82,Resultados!S82,Resultados!AB82,Resultados!AK82,Resultados!AT82,Resultados!BC82,Resultados!BL82,Resultados!BU82,Resultados!CD82,Resultados!CM82,Resultados!CV82,Resultados!DE82,Resultados!DN82,Resultados!DW82)&lt;=1, "", _xlfn.STDEV.S(ABS(Resultados!A82),ABS(Resultados!J82),ABS(Resultados!S82),ABS(Resultados!AB82),ABS(Resultados!AK82),ABS(Resultados!AT82),ABS(Resultados!BC82),ABS(Resultados!BL82),ABS(Resultados!BU82),ABS(Resultados!CD82),ABS(Resultados!CM82),ABS(Resultados!CV82),ABS(Resultados!DE82),ABS(Resultados!DN82),ABS(Resultados!DW82))/SQRT(COUNT(Resultados!A82,Resultados!J82,Resultados!S82,Resultados!AB82,Resultados!AK82,Resultados!AT82,Resultados!BC82,Resultados!BL82,Resultados!BU82,Resultados!CD82,Resultados!CM82,Resultados!CV82,Resultados!DE82,Resultados!DN82,Resultados!DW82)))</f>
        <v>0</v>
      </c>
      <c r="B82" t="str">
        <f>IF(COUNT(Resultados!B82,Resultados!K82,Resultados!T82,Resultados!AC82,Resultados!AL82,Resultados!AU82,Resultados!BD82,Resultados!BM82,Resultados!BV82,Resultados!CE82,Resultados!CN82,Resultados!CW82,Resultados!DF82,Resultados!DO82,Resultados!DX82)&lt;=1, "", _xlfn.STDEV.S(ABS(Resultados!B82),ABS(Resultados!K82),ABS(Resultados!T82),ABS(Resultados!AC82),ABS(Resultados!AL82),ABS(Resultados!AU82),ABS(Resultados!BD82),ABS(Resultados!BM82),ABS(Resultados!BV82),ABS(Resultados!CE82),ABS(Resultados!CN82),ABS(Resultados!CW82),ABS(Resultados!DF82),ABS(Resultados!DO82),ABS(Resultados!DX82))/SQRT(COUNT(Resultados!B82,Resultados!K82,Resultados!T82,Resultados!AC82,Resultados!AL82,Resultados!AU82,Resultados!BD82,Resultados!BM82,Resultados!BV82,Resultados!CE82,Resultados!CN82,Resultados!CW82,Resultados!DF82,Resultados!DO82,Resultados!DX82)))</f>
        <v/>
      </c>
      <c r="C82">
        <f>IF(COUNT(Resultados!C82,Resultados!L82,Resultados!U82,Resultados!AD82,Resultados!AM82,Resultados!AV82,Resultados!BE82,Resultados!BN82,Resultados!BW82,Resultados!CF82,Resultados!CO82,Resultados!CX82,Resultados!DG82,Resultados!DP82,Resultados!DY82)&lt;=1, "", _xlfn.STDEV.S(ABS(Resultados!C82),ABS(Resultados!L82),ABS(Resultados!U82),ABS(Resultados!AD82),ABS(Resultados!AM82),ABS(Resultados!AV82),ABS(Resultados!BE82),ABS(Resultados!BN82),ABS(Resultados!BW82),ABS(Resultados!CF82),ABS(Resultados!CO82),ABS(Resultados!CX82),ABS(Resultados!DG82),ABS(Resultados!DP82),ABS(Resultados!DY82))/SQRT(COUNT(Resultados!C82,Resultados!L82,Resultados!U82,Resultados!AD82,Resultados!AM82,Resultados!AV82,Resultados!BE82,Resultados!BN82,Resultados!BW82,Resultados!CF82,Resultados!CO82,Resultados!CX82,Resultados!DG82,Resultados!DP82,Resultados!DY82)))</f>
        <v>0.46802523334497581</v>
      </c>
      <c r="D82">
        <f>IF(COUNT(Resultados!D82,Resultados!M82,Resultados!V82,Resultados!AE82,Resultados!AN82,Resultados!AW82,Resultados!BF82,Resultados!BO82,Resultados!BX82,Resultados!CG82,Resultados!CP82,Resultados!CY82,Resultados!DH82,Resultados!DQ82,Resultados!DZ82)&lt;=1, "", _xlfn.STDEV.S(ABS(Resultados!D82),ABS(Resultados!M82),ABS(Resultados!V82),ABS(Resultados!AE82),ABS(Resultados!AN82),ABS(Resultados!AW82),ABS(Resultados!BF82),ABS(Resultados!BO82),ABS(Resultados!BX82),ABS(Resultados!CG82),ABS(Resultados!CP82),ABS(Resultados!CY82),ABS(Resultados!DH82),ABS(Resultados!DQ82),ABS(Resultados!DZ82))/SQRT(COUNT(Resultados!D82,Resultados!M82,Resultados!V82,Resultados!AE82,Resultados!AN82,Resultados!AW82,Resultados!BF82,Resultados!BO82,Resultados!BX82,Resultados!CG82,Resultados!CP82,Resultados!CY82,Resultados!DH82,Resultados!DQ82,Resultados!DZ82)))</f>
        <v>1.0076280492891637E-3</v>
      </c>
      <c r="E82">
        <f>IF(COUNT(Resultados!E82,Resultados!N82,Resultados!W82,Resultados!AF82,Resultados!AO82,Resultados!AX82,Resultados!BG82,Resultados!BP82,Resultados!BY82,Resultados!CH82,Resultados!CQ82,Resultados!CZ82,Resultados!DI82,Resultados!DR82,Resultados!EA82)&lt;=1, "", _xlfn.STDEV.S(ABS(Resultados!E82),ABS(Resultados!N82),ABS(Resultados!W82),ABS(Resultados!AF82),ABS(Resultados!AO82),ABS(Resultados!AX82),ABS(Resultados!BG82),ABS(Resultados!BP82),ABS(Resultados!BY82),ABS(Resultados!CH82),ABS(Resultados!CQ82),ABS(Resultados!CZ82),ABS(Resultados!DI82),ABS(Resultados!DR82),ABS(Resultados!EA82))/SQRT(COUNT(Resultados!E82,Resultados!N82,Resultados!W82,Resultados!AF82,Resultados!AO82,Resultados!AX82,Resultados!BG82,Resultados!BP82,Resultados!BY82,Resultados!CH82,Resultados!CQ82,Resultados!CZ82,Resultados!DI82,Resultados!DR82,Resultados!EA82)))</f>
        <v>4.5269474837112397E-2</v>
      </c>
      <c r="F82">
        <f>IF(COUNT(Resultados!F82,Resultados!O82,Resultados!X82,Resultados!AG82,Resultados!AP82,Resultados!AY82,Resultados!BH82,Resultados!BQ82,Resultados!BZ82,Resultados!CI82,Resultados!CR82,Resultados!DA82,Resultados!DJ82,Resultados!DS82,Resultados!EB82)&lt;=1, "", _xlfn.STDEV.S(ABS(Resultados!F82),ABS(Resultados!O82),ABS(Resultados!X82),ABS(Resultados!AG82),ABS(Resultados!AP82),ABS(Resultados!AY82),ABS(Resultados!BH82),ABS(Resultados!BQ82),ABS(Resultados!BZ82),ABS(Resultados!CI82),ABS(Resultados!CR82),ABS(Resultados!DA82),ABS(Resultados!DJ82),ABS(Resultados!DS82),ABS(Resultados!EB82))/SQRT(COUNT(Resultados!F82,Resultados!O82,Resultados!X82,Resultados!AG82,Resultados!AP82,Resultados!AY82,Resultados!BH82,Resultados!BQ82,Resultados!BZ82,Resultados!CI82,Resultados!CR82,Resultados!DA82,Resultados!DJ82,Resultados!DS82,Resultados!EB82)))</f>
        <v>10.80716929988307</v>
      </c>
      <c r="G82">
        <f>IF(COUNT(Resultados!G82,Resultados!P82,Resultados!Y82,Resultados!AH82,Resultados!AQ82,Resultados!AZ82,Resultados!BI82,Resultados!BR82,Resultados!CA82,Resultados!CJ82,Resultados!CS82,Resultados!DB82,Resultados!DK82,Resultados!DT82,Resultados!EC82)&lt;=1, "", _xlfn.STDEV.S(ABS(Resultados!G82),ABS(Resultados!P82),ABS(Resultados!Y82),ABS(Resultados!AH82),ABS(Resultados!AQ82),ABS(Resultados!AZ82),ABS(Resultados!BI82),ABS(Resultados!BR82),ABS(Resultados!CA82),ABS(Resultados!CJ82),ABS(Resultados!CS82),ABS(Resultados!DB82),ABS(Resultados!DK82),ABS(Resultados!DT82),ABS(Resultados!EC82))/SQRT(COUNT(Resultados!G82,Resultados!P82,Resultados!Y82,Resultados!AH82,Resultados!AQ82,Resultados!AZ82,Resultados!BI82,Resultados!BR82,Resultados!CA82,Resultados!CJ82,Resultados!CS82,Resultados!DB82,Resultados!DK82,Resultados!DT82,Resultados!EC82)))</f>
        <v>4.4507937654163114E-17</v>
      </c>
      <c r="H82">
        <f>IF(COUNT(Resultados!H82,Resultados!Q82,Resultados!Z82,Resultados!AI82,Resultados!AR82,Resultados!BA82,Resultados!BJ82,Resultados!BS82,Resultados!CB82,Resultados!CK82,Resultados!CT82,Resultados!DC82,Resultados!DL82,Resultados!DU82,Resultados!ED82)&lt;=1, "", _xlfn.STDEV.S(ABS(Resultados!H82),ABS(Resultados!Q82),ABS(Resultados!Z82),ABS(Resultados!AI82),ABS(Resultados!AR82),ABS(Resultados!BA82),ABS(Resultados!BJ82),ABS(Resultados!BS82),ABS(Resultados!CB82),ABS(Resultados!CK82),ABS(Resultados!CT82),ABS(Resultados!DC82),ABS(Resultados!DL82),ABS(Resultados!DU82),ABS(Resultados!ED82))/SQRT(COUNT(Resultados!H82,Resultados!Q82,Resultados!Z82,Resultados!AI82,Resultados!AR82,Resultados!BA82,Resultados!BJ82,Resultados!BS82,Resultados!CB82,Resultados!CK82,Resultados!CT82,Resultados!DC82,Resultados!DL82,Resultados!DU82,Resultados!ED82)))</f>
        <v>7.0452055069331119E-4</v>
      </c>
      <c r="I82">
        <f>IF(COUNT(Resultados!I82,Resultados!R82,Resultados!AA82,Resultados!AJ82,Resultados!AS82,Resultados!BB82,Resultados!BK82,Resultados!BT82,Resultados!CC82,Resultados!CL82,Resultados!CU82,Resultados!DD82,Resultados!DM82,Resultados!DV82,Resultados!EE82)&lt;=1, "", _xlfn.STDEV.S(ABS(Resultados!I82),ABS(Resultados!R82),ABS(Resultados!AA82),ABS(Resultados!AJ82),ABS(Resultados!AS82),ABS(Resultados!BB82),ABS(Resultados!BK82),ABS(Resultados!BT82),ABS(Resultados!CC82),ABS(Resultados!CL82),ABS(Resultados!CU82),ABS(Resultados!DD82),ABS(Resultados!DM82),ABS(Resultados!DV82),ABS(Resultados!EE82))/SQRT(COUNT(Resultados!I82,Resultados!R82,Resultados!AA82,Resultados!AJ82,Resultados!AS82,Resultados!BB82,Resultados!BK82,Resultados!BT82,Resultados!CC82,Resultados!CL82,Resultados!CU82,Resultados!DD82,Resultados!DM82,Resultados!DV82,Resultados!EE82)))</f>
        <v>3.6443505731039584E-2</v>
      </c>
    </row>
    <row r="83" spans="1:9" x14ac:dyDescent="0.3">
      <c r="A83">
        <f>IF(COUNT(Resultados!A83,Resultados!J83,Resultados!S83,Resultados!AB83,Resultados!AK83,Resultados!AT83,Resultados!BC83,Resultados!BL83,Resultados!BU83,Resultados!CD83,Resultados!CM83,Resultados!CV83,Resultados!DE83,Resultados!DN83,Resultados!DW83)&lt;=1, "", _xlfn.STDEV.S(ABS(Resultados!A83),ABS(Resultados!J83),ABS(Resultados!S83),ABS(Resultados!AB83),ABS(Resultados!AK83),ABS(Resultados!AT83),ABS(Resultados!BC83),ABS(Resultados!BL83),ABS(Resultados!BU83),ABS(Resultados!CD83),ABS(Resultados!CM83),ABS(Resultados!CV83),ABS(Resultados!DE83),ABS(Resultados!DN83),ABS(Resultados!DW83))/SQRT(COUNT(Resultados!A83,Resultados!J83,Resultados!S83,Resultados!AB83,Resultados!AK83,Resultados!AT83,Resultados!BC83,Resultados!BL83,Resultados!BU83,Resultados!CD83,Resultados!CM83,Resultados!CV83,Resultados!DE83,Resultados!DN83,Resultados!DW83)))</f>
        <v>0</v>
      </c>
      <c r="B83" t="str">
        <f>IF(COUNT(Resultados!B83,Resultados!K83,Resultados!T83,Resultados!AC83,Resultados!AL83,Resultados!AU83,Resultados!BD83,Resultados!BM83,Resultados!BV83,Resultados!CE83,Resultados!CN83,Resultados!CW83,Resultados!DF83,Resultados!DO83,Resultados!DX83)&lt;=1, "", _xlfn.STDEV.S(ABS(Resultados!B83),ABS(Resultados!K83),ABS(Resultados!T83),ABS(Resultados!AC83),ABS(Resultados!AL83),ABS(Resultados!AU83),ABS(Resultados!BD83),ABS(Resultados!BM83),ABS(Resultados!BV83),ABS(Resultados!CE83),ABS(Resultados!CN83),ABS(Resultados!CW83),ABS(Resultados!DF83),ABS(Resultados!DO83),ABS(Resultados!DX83))/SQRT(COUNT(Resultados!B83,Resultados!K83,Resultados!T83,Resultados!AC83,Resultados!AL83,Resultados!AU83,Resultados!BD83,Resultados!BM83,Resultados!BV83,Resultados!CE83,Resultados!CN83,Resultados!CW83,Resultados!DF83,Resultados!DO83,Resultados!DX83)))</f>
        <v/>
      </c>
      <c r="C83">
        <f>IF(COUNT(Resultados!C83,Resultados!L83,Resultados!U83,Resultados!AD83,Resultados!AM83,Resultados!AV83,Resultados!BE83,Resultados!BN83,Resultados!BW83,Resultados!CF83,Resultados!CO83,Resultados!CX83,Resultados!DG83,Resultados!DP83,Resultados!DY83)&lt;=1, "", _xlfn.STDEV.S(ABS(Resultados!C83),ABS(Resultados!L83),ABS(Resultados!U83),ABS(Resultados!AD83),ABS(Resultados!AM83),ABS(Resultados!AV83),ABS(Resultados!BE83),ABS(Resultados!BN83),ABS(Resultados!BW83),ABS(Resultados!CF83),ABS(Resultados!CO83),ABS(Resultados!CX83),ABS(Resultados!DG83),ABS(Resultados!DP83),ABS(Resultados!DY83))/SQRT(COUNT(Resultados!C83,Resultados!L83,Resultados!U83,Resultados!AD83,Resultados!AM83,Resultados!AV83,Resultados!BE83,Resultados!BN83,Resultados!BW83,Resultados!CF83,Resultados!CO83,Resultados!CX83,Resultados!DG83,Resultados!DP83,Resultados!DY83)))</f>
        <v>0.46802523334497581</v>
      </c>
      <c r="D83">
        <f>IF(COUNT(Resultados!D83,Resultados!M83,Resultados!V83,Resultados!AE83,Resultados!AN83,Resultados!AW83,Resultados!BF83,Resultados!BO83,Resultados!BX83,Resultados!CG83,Resultados!CP83,Resultados!CY83,Resultados!DH83,Resultados!DQ83,Resultados!DZ83)&lt;=1, "", _xlfn.STDEV.S(ABS(Resultados!D83),ABS(Resultados!M83),ABS(Resultados!V83),ABS(Resultados!AE83),ABS(Resultados!AN83),ABS(Resultados!AW83),ABS(Resultados!BF83),ABS(Resultados!BO83),ABS(Resultados!BX83),ABS(Resultados!CG83),ABS(Resultados!CP83),ABS(Resultados!CY83),ABS(Resultados!DH83),ABS(Resultados!DQ83),ABS(Resultados!DZ83))/SQRT(COUNT(Resultados!D83,Resultados!M83,Resultados!V83,Resultados!AE83,Resultados!AN83,Resultados!AW83,Resultados!BF83,Resultados!BO83,Resultados!BX83,Resultados!CG83,Resultados!CP83,Resultados!CY83,Resultados!DH83,Resultados!DQ83,Resultados!DZ83)))</f>
        <v>7.435991410294139E-4</v>
      </c>
      <c r="E83">
        <f>IF(COUNT(Resultados!E83,Resultados!N83,Resultados!W83,Resultados!AF83,Resultados!AO83,Resultados!AX83,Resultados!BG83,Resultados!BP83,Resultados!BY83,Resultados!CH83,Resultados!CQ83,Resultados!CZ83,Resultados!DI83,Resultados!DR83,Resultados!EA83)&lt;=1, "", _xlfn.STDEV.S(ABS(Resultados!E83),ABS(Resultados!N83),ABS(Resultados!W83),ABS(Resultados!AF83),ABS(Resultados!AO83),ABS(Resultados!AX83),ABS(Resultados!BG83),ABS(Resultados!BP83),ABS(Resultados!BY83),ABS(Resultados!CH83),ABS(Resultados!CQ83),ABS(Resultados!CZ83),ABS(Resultados!DI83),ABS(Resultados!DR83),ABS(Resultados!EA83))/SQRT(COUNT(Resultados!E83,Resultados!N83,Resultados!W83,Resultados!AF83,Resultados!AO83,Resultados!AX83,Resultados!BG83,Resultados!BP83,Resultados!BY83,Resultados!CH83,Resultados!CQ83,Resultados!CZ83,Resultados!DI83,Resultados!DR83,Resultados!EA83)))</f>
        <v>3.4615270866578139E-2</v>
      </c>
      <c r="F83">
        <f>IF(COUNT(Resultados!F83,Resultados!O83,Resultados!X83,Resultados!AG83,Resultados!AP83,Resultados!AY83,Resultados!BH83,Resultados!BQ83,Resultados!BZ83,Resultados!CI83,Resultados!CR83,Resultados!DA83,Resultados!DJ83,Resultados!DS83,Resultados!EB83)&lt;=1, "", _xlfn.STDEV.S(ABS(Resultados!F83),ABS(Resultados!O83),ABS(Resultados!X83),ABS(Resultados!AG83),ABS(Resultados!AP83),ABS(Resultados!AY83),ABS(Resultados!BH83),ABS(Resultados!BQ83),ABS(Resultados!BZ83),ABS(Resultados!CI83),ABS(Resultados!CR83),ABS(Resultados!DA83),ABS(Resultados!DJ83),ABS(Resultados!DS83),ABS(Resultados!EB83))/SQRT(COUNT(Resultados!F83,Resultados!O83,Resultados!X83,Resultados!AG83,Resultados!AP83,Resultados!AY83,Resultados!BH83,Resultados!BQ83,Resultados!BZ83,Resultados!CI83,Resultados!CR83,Resultados!DA83,Resultados!DJ83,Resultados!DS83,Resultados!EB83)))</f>
        <v>4.847984688017303</v>
      </c>
      <c r="G83">
        <f>IF(COUNT(Resultados!G83,Resultados!P83,Resultados!Y83,Resultados!AH83,Resultados!AQ83,Resultados!AZ83,Resultados!BI83,Resultados!BR83,Resultados!CA83,Resultados!CJ83,Resultados!CS83,Resultados!DB83,Resultados!DK83,Resultados!DT83,Resultados!EC83)&lt;=1, "", _xlfn.STDEV.S(ABS(Resultados!G83),ABS(Resultados!P83),ABS(Resultados!Y83),ABS(Resultados!AH83),ABS(Resultados!AQ83),ABS(Resultados!AZ83),ABS(Resultados!BI83),ABS(Resultados!BR83),ABS(Resultados!CA83),ABS(Resultados!CJ83),ABS(Resultados!CS83),ABS(Resultados!DB83),ABS(Resultados!DK83),ABS(Resultados!DT83),ABS(Resultados!EC83))/SQRT(COUNT(Resultados!G83,Resultados!P83,Resultados!Y83,Resultados!AH83,Resultados!AQ83,Resultados!AZ83,Resultados!BI83,Resultados!BR83,Resultados!CA83,Resultados!CJ83,Resultados!CS83,Resultados!DB83,Resultados!DK83,Resultados!DT83,Resultados!EC83)))</f>
        <v>4.4507937654163114E-17</v>
      </c>
      <c r="H83">
        <f>IF(COUNT(Resultados!H83,Resultados!Q83,Resultados!Z83,Resultados!AI83,Resultados!AR83,Resultados!BA83,Resultados!BJ83,Resultados!BS83,Resultados!CB83,Resultados!CK83,Resultados!CT83,Resultados!DC83,Resultados!DL83,Resultados!DU83,Resultados!ED83)&lt;=1, "", _xlfn.STDEV.S(ABS(Resultados!H83),ABS(Resultados!Q83),ABS(Resultados!Z83),ABS(Resultados!AI83),ABS(Resultados!AR83),ABS(Resultados!BA83),ABS(Resultados!BJ83),ABS(Resultados!BS83),ABS(Resultados!CB83),ABS(Resultados!CK83),ABS(Resultados!CT83),ABS(Resultados!DC83),ABS(Resultados!DL83),ABS(Resultados!DU83),ABS(Resultados!ED83))/SQRT(COUNT(Resultados!H83,Resultados!Q83,Resultados!Z83,Resultados!AI83,Resultados!AR83,Resultados!BA83,Resultados!BJ83,Resultados!BS83,Resultados!CB83,Resultados!CK83,Resultados!CT83,Resultados!DC83,Resultados!DL83,Resultados!DU83,Resultados!ED83)))</f>
        <v>5.3770234286620855E-4</v>
      </c>
      <c r="I83">
        <f>IF(COUNT(Resultados!I83,Resultados!R83,Resultados!AA83,Resultados!AJ83,Resultados!AS83,Resultados!BB83,Resultados!BK83,Resultados!BT83,Resultados!CC83,Resultados!CL83,Resultados!CU83,Resultados!DD83,Resultados!DM83,Resultados!DV83,Resultados!EE83)&lt;=1, "", _xlfn.STDEV.S(ABS(Resultados!I83),ABS(Resultados!R83),ABS(Resultados!AA83),ABS(Resultados!AJ83),ABS(Resultados!AS83),ABS(Resultados!BB83),ABS(Resultados!BK83),ABS(Resultados!BT83),ABS(Resultados!CC83),ABS(Resultados!CL83),ABS(Resultados!CU83),ABS(Resultados!DD83),ABS(Resultados!DM83),ABS(Resultados!DV83),ABS(Resultados!EE83))/SQRT(COUNT(Resultados!I83,Resultados!R83,Resultados!AA83,Resultados!AJ83,Resultados!AS83,Resultados!BB83,Resultados!BK83,Resultados!BT83,Resultados!CC83,Resultados!CL83,Resultados!CU83,Resultados!DD83,Resultados!DM83,Resultados!DV83,Resultados!EE83)))</f>
        <v>3.6462563086776541E-2</v>
      </c>
    </row>
    <row r="84" spans="1:9" x14ac:dyDescent="0.3">
      <c r="A84">
        <f>IF(COUNT(Resultados!A84,Resultados!J84,Resultados!S84,Resultados!AB84,Resultados!AK84,Resultados!AT84,Resultados!BC84,Resultados!BL84,Resultados!BU84,Resultados!CD84,Resultados!CM84,Resultados!CV84,Resultados!DE84,Resultados!DN84,Resultados!DW84)&lt;=1, "", _xlfn.STDEV.S(ABS(Resultados!A84),ABS(Resultados!J84),ABS(Resultados!S84),ABS(Resultados!AB84),ABS(Resultados!AK84),ABS(Resultados!AT84),ABS(Resultados!BC84),ABS(Resultados!BL84),ABS(Resultados!BU84),ABS(Resultados!CD84),ABS(Resultados!CM84),ABS(Resultados!CV84),ABS(Resultados!DE84),ABS(Resultados!DN84),ABS(Resultados!DW84))/SQRT(COUNT(Resultados!A84,Resultados!J84,Resultados!S84,Resultados!AB84,Resultados!AK84,Resultados!AT84,Resultados!BC84,Resultados!BL84,Resultados!BU84,Resultados!CD84,Resultados!CM84,Resultados!CV84,Resultados!DE84,Resultados!DN84,Resultados!DW84)))</f>
        <v>0</v>
      </c>
      <c r="B84" t="str">
        <f>IF(COUNT(Resultados!B84,Resultados!K84,Resultados!T84,Resultados!AC84,Resultados!AL84,Resultados!AU84,Resultados!BD84,Resultados!BM84,Resultados!BV84,Resultados!CE84,Resultados!CN84,Resultados!CW84,Resultados!DF84,Resultados!DO84,Resultados!DX84)&lt;=1, "", _xlfn.STDEV.S(ABS(Resultados!B84),ABS(Resultados!K84),ABS(Resultados!T84),ABS(Resultados!AC84),ABS(Resultados!AL84),ABS(Resultados!AU84),ABS(Resultados!BD84),ABS(Resultados!BM84),ABS(Resultados!BV84),ABS(Resultados!CE84),ABS(Resultados!CN84),ABS(Resultados!CW84),ABS(Resultados!DF84),ABS(Resultados!DO84),ABS(Resultados!DX84))/SQRT(COUNT(Resultados!B84,Resultados!K84,Resultados!T84,Resultados!AC84,Resultados!AL84,Resultados!AU84,Resultados!BD84,Resultados!BM84,Resultados!BV84,Resultados!CE84,Resultados!CN84,Resultados!CW84,Resultados!DF84,Resultados!DO84,Resultados!DX84)))</f>
        <v/>
      </c>
      <c r="C84">
        <f>IF(COUNT(Resultados!C84,Resultados!L84,Resultados!U84,Resultados!AD84,Resultados!AM84,Resultados!AV84,Resultados!BE84,Resultados!BN84,Resultados!BW84,Resultados!CF84,Resultados!CO84,Resultados!CX84,Resultados!DG84,Resultados!DP84,Resultados!DY84)&lt;=1, "", _xlfn.STDEV.S(ABS(Resultados!C84),ABS(Resultados!L84),ABS(Resultados!U84),ABS(Resultados!AD84),ABS(Resultados!AM84),ABS(Resultados!AV84),ABS(Resultados!BE84),ABS(Resultados!BN84),ABS(Resultados!BW84),ABS(Resultados!CF84),ABS(Resultados!CO84),ABS(Resultados!CX84),ABS(Resultados!DG84),ABS(Resultados!DP84),ABS(Resultados!DY84))/SQRT(COUNT(Resultados!C84,Resultados!L84,Resultados!U84,Resultados!AD84,Resultados!AM84,Resultados!AV84,Resultados!BE84,Resultados!BN84,Resultados!BW84,Resultados!CF84,Resultados!CO84,Resultados!CX84,Resultados!DG84,Resultados!DP84,Resultados!DY84)))</f>
        <v>0.46802523334497581</v>
      </c>
      <c r="D84">
        <f>IF(COUNT(Resultados!D84,Resultados!M84,Resultados!V84,Resultados!AE84,Resultados!AN84,Resultados!AW84,Resultados!BF84,Resultados!BO84,Resultados!BX84,Resultados!CG84,Resultados!CP84,Resultados!CY84,Resultados!DH84,Resultados!DQ84,Resultados!DZ84)&lt;=1, "", _xlfn.STDEV.S(ABS(Resultados!D84),ABS(Resultados!M84),ABS(Resultados!V84),ABS(Resultados!AE84),ABS(Resultados!AN84),ABS(Resultados!AW84),ABS(Resultados!BF84),ABS(Resultados!BO84),ABS(Resultados!BX84),ABS(Resultados!CG84),ABS(Resultados!CP84),ABS(Resultados!CY84),ABS(Resultados!DH84),ABS(Resultados!DQ84),ABS(Resultados!DZ84))/SQRT(COUNT(Resultados!D84,Resultados!M84,Resultados!V84,Resultados!AE84,Resultados!AN84,Resultados!AW84,Resultados!BF84,Resultados!BO84,Resultados!BX84,Resultados!CG84,Resultados!CP84,Resultados!CY84,Resultados!DH84,Resultados!DQ84,Resultados!DZ84)))</f>
        <v>5.8061270319474689E-4</v>
      </c>
      <c r="E84">
        <f>IF(COUNT(Resultados!E84,Resultados!N84,Resultados!W84,Resultados!AF84,Resultados!AO84,Resultados!AX84,Resultados!BG84,Resultados!BP84,Resultados!BY84,Resultados!CH84,Resultados!CQ84,Resultados!CZ84,Resultados!DI84,Resultados!DR84,Resultados!EA84)&lt;=1, "", _xlfn.STDEV.S(ABS(Resultados!E84),ABS(Resultados!N84),ABS(Resultados!W84),ABS(Resultados!AF84),ABS(Resultados!AO84),ABS(Resultados!AX84),ABS(Resultados!BG84),ABS(Resultados!BP84),ABS(Resultados!BY84),ABS(Resultados!CH84),ABS(Resultados!CQ84),ABS(Resultados!CZ84),ABS(Resultados!DI84),ABS(Resultados!DR84),ABS(Resultados!EA84))/SQRT(COUNT(Resultados!E84,Resultados!N84,Resultados!W84,Resultados!AF84,Resultados!AO84,Resultados!AX84,Resultados!BG84,Resultados!BP84,Resultados!BY84,Resultados!CH84,Resultados!CQ84,Resultados!CZ84,Resultados!DI84,Resultados!DR84,Resultados!EA84)))</f>
        <v>3.1381591317101436E-2</v>
      </c>
      <c r="F84">
        <f>IF(COUNT(Resultados!F84,Resultados!O84,Resultados!X84,Resultados!AG84,Resultados!AP84,Resultados!AY84,Resultados!BH84,Resultados!BQ84,Resultados!BZ84,Resultados!CI84,Resultados!CR84,Resultados!DA84,Resultados!DJ84,Resultados!DS84,Resultados!EB84)&lt;=1, "", _xlfn.STDEV.S(ABS(Resultados!F84),ABS(Resultados!O84),ABS(Resultados!X84),ABS(Resultados!AG84),ABS(Resultados!AP84),ABS(Resultados!AY84),ABS(Resultados!BH84),ABS(Resultados!BQ84),ABS(Resultados!BZ84),ABS(Resultados!CI84),ABS(Resultados!CR84),ABS(Resultados!DA84),ABS(Resultados!DJ84),ABS(Resultados!DS84),ABS(Resultados!EB84))/SQRT(COUNT(Resultados!F84,Resultados!O84,Resultados!X84,Resultados!AG84,Resultados!AP84,Resultados!AY84,Resultados!BH84,Resultados!BQ84,Resultados!BZ84,Resultados!CI84,Resultados!CR84,Resultados!DA84,Resultados!DJ84,Resultados!DS84,Resultados!EB84)))</f>
        <v>6.8705375945140919</v>
      </c>
      <c r="G84">
        <f>IF(COUNT(Resultados!G84,Resultados!P84,Resultados!Y84,Resultados!AH84,Resultados!AQ84,Resultados!AZ84,Resultados!BI84,Resultados!BR84,Resultados!CA84,Resultados!CJ84,Resultados!CS84,Resultados!DB84,Resultados!DK84,Resultados!DT84,Resultados!EC84)&lt;=1, "", _xlfn.STDEV.S(ABS(Resultados!G84),ABS(Resultados!P84),ABS(Resultados!Y84),ABS(Resultados!AH84),ABS(Resultados!AQ84),ABS(Resultados!AZ84),ABS(Resultados!BI84),ABS(Resultados!BR84),ABS(Resultados!CA84),ABS(Resultados!CJ84),ABS(Resultados!CS84),ABS(Resultados!DB84),ABS(Resultados!DK84),ABS(Resultados!DT84),ABS(Resultados!EC84))/SQRT(COUNT(Resultados!G84,Resultados!P84,Resultados!Y84,Resultados!AH84,Resultados!AQ84,Resultados!AZ84,Resultados!BI84,Resultados!BR84,Resultados!CA84,Resultados!CJ84,Resultados!CS84,Resultados!DB84,Resultados!DK84,Resultados!DT84,Resultados!EC84)))</f>
        <v>4.4507937654163114E-17</v>
      </c>
      <c r="H84">
        <f>IF(COUNT(Resultados!H84,Resultados!Q84,Resultados!Z84,Resultados!AI84,Resultados!AR84,Resultados!BA84,Resultados!BJ84,Resultados!BS84,Resultados!CB84,Resultados!CK84,Resultados!CT84,Resultados!DC84,Resultados!DL84,Resultados!DU84,Resultados!ED84)&lt;=1, "", _xlfn.STDEV.S(ABS(Resultados!H84),ABS(Resultados!Q84),ABS(Resultados!Z84),ABS(Resultados!AI84),ABS(Resultados!AR84),ABS(Resultados!BA84),ABS(Resultados!BJ84),ABS(Resultados!BS84),ABS(Resultados!CB84),ABS(Resultados!CK84),ABS(Resultados!CT84),ABS(Resultados!DC84),ABS(Resultados!DL84),ABS(Resultados!DU84),ABS(Resultados!ED84))/SQRT(COUNT(Resultados!H84,Resultados!Q84,Resultados!Z84,Resultados!AI84,Resultados!AR84,Resultados!BA84,Resultados!BJ84,Resultados!BS84,Resultados!CB84,Resultados!CK84,Resultados!CT84,Resultados!DC84,Resultados!DL84,Resultados!DU84,Resultados!ED84)))</f>
        <v>4.8898988855712643E-4</v>
      </c>
      <c r="I84">
        <f>IF(COUNT(Resultados!I84,Resultados!R84,Resultados!AA84,Resultados!AJ84,Resultados!AS84,Resultados!BB84,Resultados!BK84,Resultados!BT84,Resultados!CC84,Resultados!CL84,Resultados!CU84,Resultados!DD84,Resultados!DM84,Resultados!DV84,Resultados!EE84)&lt;=1, "", _xlfn.STDEV.S(ABS(Resultados!I84),ABS(Resultados!R84),ABS(Resultados!AA84),ABS(Resultados!AJ84),ABS(Resultados!AS84),ABS(Resultados!BB84),ABS(Resultados!BK84),ABS(Resultados!BT84),ABS(Resultados!CC84),ABS(Resultados!CL84),ABS(Resultados!CU84),ABS(Resultados!DD84),ABS(Resultados!DM84),ABS(Resultados!DV84),ABS(Resultados!EE84))/SQRT(COUNT(Resultados!I84,Resultados!R84,Resultados!AA84,Resultados!AJ84,Resultados!AS84,Resultados!BB84,Resultados!BK84,Resultados!BT84,Resultados!CC84,Resultados!CL84,Resultados!CU84,Resultados!DD84,Resultados!DM84,Resultados!DV84,Resultados!EE84)))</f>
        <v>3.6409911547827779E-2</v>
      </c>
    </row>
    <row r="85" spans="1:9" x14ac:dyDescent="0.3">
      <c r="A85">
        <f>IF(COUNT(Resultados!A85,Resultados!J85,Resultados!S85,Resultados!AB85,Resultados!AK85,Resultados!AT85,Resultados!BC85,Resultados!BL85,Resultados!BU85,Resultados!CD85,Resultados!CM85,Resultados!CV85,Resultados!DE85,Resultados!DN85,Resultados!DW85)&lt;=1, "", _xlfn.STDEV.S(ABS(Resultados!A85),ABS(Resultados!J85),ABS(Resultados!S85),ABS(Resultados!AB85),ABS(Resultados!AK85),ABS(Resultados!AT85),ABS(Resultados!BC85),ABS(Resultados!BL85),ABS(Resultados!BU85),ABS(Resultados!CD85),ABS(Resultados!CM85),ABS(Resultados!CV85),ABS(Resultados!DE85),ABS(Resultados!DN85),ABS(Resultados!DW85))/SQRT(COUNT(Resultados!A85,Resultados!J85,Resultados!S85,Resultados!AB85,Resultados!AK85,Resultados!AT85,Resultados!BC85,Resultados!BL85,Resultados!BU85,Resultados!CD85,Resultados!CM85,Resultados!CV85,Resultados!DE85,Resultados!DN85,Resultados!DW85)))</f>
        <v>0</v>
      </c>
      <c r="B85" t="str">
        <f>IF(COUNT(Resultados!B85,Resultados!K85,Resultados!T85,Resultados!AC85,Resultados!AL85,Resultados!AU85,Resultados!BD85,Resultados!BM85,Resultados!BV85,Resultados!CE85,Resultados!CN85,Resultados!CW85,Resultados!DF85,Resultados!DO85,Resultados!DX85)&lt;=1, "", _xlfn.STDEV.S(ABS(Resultados!B85),ABS(Resultados!K85),ABS(Resultados!T85),ABS(Resultados!AC85),ABS(Resultados!AL85),ABS(Resultados!AU85),ABS(Resultados!BD85),ABS(Resultados!BM85),ABS(Resultados!BV85),ABS(Resultados!CE85),ABS(Resultados!CN85),ABS(Resultados!CW85),ABS(Resultados!DF85),ABS(Resultados!DO85),ABS(Resultados!DX85))/SQRT(COUNT(Resultados!B85,Resultados!K85,Resultados!T85,Resultados!AC85,Resultados!AL85,Resultados!AU85,Resultados!BD85,Resultados!BM85,Resultados!BV85,Resultados!CE85,Resultados!CN85,Resultados!CW85,Resultados!DF85,Resultados!DO85,Resultados!DX85)))</f>
        <v/>
      </c>
      <c r="C85">
        <f>IF(COUNT(Resultados!C85,Resultados!L85,Resultados!U85,Resultados!AD85,Resultados!AM85,Resultados!AV85,Resultados!BE85,Resultados!BN85,Resultados!BW85,Resultados!CF85,Resultados!CO85,Resultados!CX85,Resultados!DG85,Resultados!DP85,Resultados!DY85)&lt;=1, "", _xlfn.STDEV.S(ABS(Resultados!C85),ABS(Resultados!L85),ABS(Resultados!U85),ABS(Resultados!AD85),ABS(Resultados!AM85),ABS(Resultados!AV85),ABS(Resultados!BE85),ABS(Resultados!BN85),ABS(Resultados!BW85),ABS(Resultados!CF85),ABS(Resultados!CO85),ABS(Resultados!CX85),ABS(Resultados!DG85),ABS(Resultados!DP85),ABS(Resultados!DY85))/SQRT(COUNT(Resultados!C85,Resultados!L85,Resultados!U85,Resultados!AD85,Resultados!AM85,Resultados!AV85,Resultados!BE85,Resultados!BN85,Resultados!BW85,Resultados!CF85,Resultados!CO85,Resultados!CX85,Resultados!DG85,Resultados!DP85,Resultados!DY85)))</f>
        <v>0.46802523334497581</v>
      </c>
      <c r="D85">
        <f>IF(COUNT(Resultados!D85,Resultados!M85,Resultados!V85,Resultados!AE85,Resultados!AN85,Resultados!AW85,Resultados!BF85,Resultados!BO85,Resultados!BX85,Resultados!CG85,Resultados!CP85,Resultados!CY85,Resultados!DH85,Resultados!DQ85,Resultados!DZ85)&lt;=1, "", _xlfn.STDEV.S(ABS(Resultados!D85),ABS(Resultados!M85),ABS(Resultados!V85),ABS(Resultados!AE85),ABS(Resultados!AN85),ABS(Resultados!AW85),ABS(Resultados!BF85),ABS(Resultados!BO85),ABS(Resultados!BX85),ABS(Resultados!CG85),ABS(Resultados!CP85),ABS(Resultados!CY85),ABS(Resultados!DH85),ABS(Resultados!DQ85),ABS(Resultados!DZ85))/SQRT(COUNT(Resultados!D85,Resultados!M85,Resultados!V85,Resultados!AE85,Resultados!AN85,Resultados!AW85,Resultados!BF85,Resultados!BO85,Resultados!BX85,Resultados!CG85,Resultados!CP85,Resultados!CY85,Resultados!DH85,Resultados!DQ85,Resultados!DZ85)))</f>
        <v>4.4365008376579489E-4</v>
      </c>
      <c r="E85">
        <f>IF(COUNT(Resultados!E85,Resultados!N85,Resultados!W85,Resultados!AF85,Resultados!AO85,Resultados!AX85,Resultados!BG85,Resultados!BP85,Resultados!BY85,Resultados!CH85,Resultados!CQ85,Resultados!CZ85,Resultados!DI85,Resultados!DR85,Resultados!EA85)&lt;=1, "", _xlfn.STDEV.S(ABS(Resultados!E85),ABS(Resultados!N85),ABS(Resultados!W85),ABS(Resultados!AF85),ABS(Resultados!AO85),ABS(Resultados!AX85),ABS(Resultados!BG85),ABS(Resultados!BP85),ABS(Resultados!BY85),ABS(Resultados!CH85),ABS(Resultados!CQ85),ABS(Resultados!CZ85),ABS(Resultados!DI85),ABS(Resultados!DR85),ABS(Resultados!EA85))/SQRT(COUNT(Resultados!E85,Resultados!N85,Resultados!W85,Resultados!AF85,Resultados!AO85,Resultados!AX85,Resultados!BG85,Resultados!BP85,Resultados!BY85,Resultados!CH85,Resultados!CQ85,Resultados!CZ85,Resultados!DI85,Resultados!DR85,Resultados!EA85)))</f>
        <v>3.8532775944116138E-2</v>
      </c>
      <c r="F85">
        <f>IF(COUNT(Resultados!F85,Resultados!O85,Resultados!X85,Resultados!AG85,Resultados!AP85,Resultados!AY85,Resultados!BH85,Resultados!BQ85,Resultados!BZ85,Resultados!CI85,Resultados!CR85,Resultados!DA85,Resultados!DJ85,Resultados!DS85,Resultados!EB85)&lt;=1, "", _xlfn.STDEV.S(ABS(Resultados!F85),ABS(Resultados!O85),ABS(Resultados!X85),ABS(Resultados!AG85),ABS(Resultados!AP85),ABS(Resultados!AY85),ABS(Resultados!BH85),ABS(Resultados!BQ85),ABS(Resultados!BZ85),ABS(Resultados!CI85),ABS(Resultados!CR85),ABS(Resultados!DA85),ABS(Resultados!DJ85),ABS(Resultados!DS85),ABS(Resultados!EB85))/SQRT(COUNT(Resultados!F85,Resultados!O85,Resultados!X85,Resultados!AG85,Resultados!AP85,Resultados!AY85,Resultados!BH85,Resultados!BQ85,Resultados!BZ85,Resultados!CI85,Resultados!CR85,Resultados!DA85,Resultados!DJ85,Resultados!DS85,Resultados!EB85)))</f>
        <v>8.8301313651310238</v>
      </c>
      <c r="G85">
        <f>IF(COUNT(Resultados!G85,Resultados!P85,Resultados!Y85,Resultados!AH85,Resultados!AQ85,Resultados!AZ85,Resultados!BI85,Resultados!BR85,Resultados!CA85,Resultados!CJ85,Resultados!CS85,Resultados!DB85,Resultados!DK85,Resultados!DT85,Resultados!EC85)&lt;=1, "", _xlfn.STDEV.S(ABS(Resultados!G85),ABS(Resultados!P85),ABS(Resultados!Y85),ABS(Resultados!AH85),ABS(Resultados!AQ85),ABS(Resultados!AZ85),ABS(Resultados!BI85),ABS(Resultados!BR85),ABS(Resultados!CA85),ABS(Resultados!CJ85),ABS(Resultados!CS85),ABS(Resultados!DB85),ABS(Resultados!DK85),ABS(Resultados!DT85),ABS(Resultados!EC85))/SQRT(COUNT(Resultados!G85,Resultados!P85,Resultados!Y85,Resultados!AH85,Resultados!AQ85,Resultados!AZ85,Resultados!BI85,Resultados!BR85,Resultados!CA85,Resultados!CJ85,Resultados!CS85,Resultados!DB85,Resultados!DK85,Resultados!DT85,Resultados!EC85)))</f>
        <v>4.4507937654163114E-17</v>
      </c>
      <c r="H85">
        <f>IF(COUNT(Resultados!H85,Resultados!Q85,Resultados!Z85,Resultados!AI85,Resultados!AR85,Resultados!BA85,Resultados!BJ85,Resultados!BS85,Resultados!CB85,Resultados!CK85,Resultados!CT85,Resultados!DC85,Resultados!DL85,Resultados!DU85,Resultados!ED85)&lt;=1, "", _xlfn.STDEV.S(ABS(Resultados!H85),ABS(Resultados!Q85),ABS(Resultados!Z85),ABS(Resultados!AI85),ABS(Resultados!AR85),ABS(Resultados!BA85),ABS(Resultados!BJ85),ABS(Resultados!BS85),ABS(Resultados!CB85),ABS(Resultados!CK85),ABS(Resultados!CT85),ABS(Resultados!DC85),ABS(Resultados!DL85),ABS(Resultados!DU85),ABS(Resultados!ED85))/SQRT(COUNT(Resultados!H85,Resultados!Q85,Resultados!Z85,Resultados!AI85,Resultados!AR85,Resultados!BA85,Resultados!BJ85,Resultados!BS85,Resultados!CB85,Resultados!CK85,Resultados!CT85,Resultados!DC85,Resultados!DL85,Resultados!DU85,Resultados!ED85)))</f>
        <v>6.0094106094538038E-4</v>
      </c>
      <c r="I85">
        <f>IF(COUNT(Resultados!I85,Resultados!R85,Resultados!AA85,Resultados!AJ85,Resultados!AS85,Resultados!BB85,Resultados!BK85,Resultados!BT85,Resultados!CC85,Resultados!CL85,Resultados!CU85,Resultados!DD85,Resultados!DM85,Resultados!DV85,Resultados!EE85)&lt;=1, "", _xlfn.STDEV.S(ABS(Resultados!I85),ABS(Resultados!R85),ABS(Resultados!AA85),ABS(Resultados!AJ85),ABS(Resultados!AS85),ABS(Resultados!BB85),ABS(Resultados!BK85),ABS(Resultados!BT85),ABS(Resultados!CC85),ABS(Resultados!CL85),ABS(Resultados!CU85),ABS(Resultados!DD85),ABS(Resultados!DM85),ABS(Resultados!DV85),ABS(Resultados!EE85))/SQRT(COUNT(Resultados!I85,Resultados!R85,Resultados!AA85,Resultados!AJ85,Resultados!AS85,Resultados!BB85,Resultados!BK85,Resultados!BT85,Resultados!CC85,Resultados!CL85,Resultados!CU85,Resultados!DD85,Resultados!DM85,Resultados!DV85,Resultados!EE85)))</f>
        <v>3.6323526997303006E-2</v>
      </c>
    </row>
    <row r="86" spans="1:9" x14ac:dyDescent="0.3">
      <c r="A86">
        <f>IF(COUNT(Resultados!A86,Resultados!J86,Resultados!S86,Resultados!AB86,Resultados!AK86,Resultados!AT86,Resultados!BC86,Resultados!BL86,Resultados!BU86,Resultados!CD86,Resultados!CM86,Resultados!CV86,Resultados!DE86,Resultados!DN86,Resultados!DW86)&lt;=1, "", _xlfn.STDEV.S(ABS(Resultados!A86),ABS(Resultados!J86),ABS(Resultados!S86),ABS(Resultados!AB86),ABS(Resultados!AK86),ABS(Resultados!AT86),ABS(Resultados!BC86),ABS(Resultados!BL86),ABS(Resultados!BU86),ABS(Resultados!CD86),ABS(Resultados!CM86),ABS(Resultados!CV86),ABS(Resultados!DE86),ABS(Resultados!DN86),ABS(Resultados!DW86))/SQRT(COUNT(Resultados!A86,Resultados!J86,Resultados!S86,Resultados!AB86,Resultados!AK86,Resultados!AT86,Resultados!BC86,Resultados!BL86,Resultados!BU86,Resultados!CD86,Resultados!CM86,Resultados!CV86,Resultados!DE86,Resultados!DN86,Resultados!DW86)))</f>
        <v>0</v>
      </c>
      <c r="B86" t="str">
        <f>IF(COUNT(Resultados!B86,Resultados!K86,Resultados!T86,Resultados!AC86,Resultados!AL86,Resultados!AU86,Resultados!BD86,Resultados!BM86,Resultados!BV86,Resultados!CE86,Resultados!CN86,Resultados!CW86,Resultados!DF86,Resultados!DO86,Resultados!DX86)&lt;=1, "", _xlfn.STDEV.S(ABS(Resultados!B86),ABS(Resultados!K86),ABS(Resultados!T86),ABS(Resultados!AC86),ABS(Resultados!AL86),ABS(Resultados!AU86),ABS(Resultados!BD86),ABS(Resultados!BM86),ABS(Resultados!BV86),ABS(Resultados!CE86),ABS(Resultados!CN86),ABS(Resultados!CW86),ABS(Resultados!DF86),ABS(Resultados!DO86),ABS(Resultados!DX86))/SQRT(COUNT(Resultados!B86,Resultados!K86,Resultados!T86,Resultados!AC86,Resultados!AL86,Resultados!AU86,Resultados!BD86,Resultados!BM86,Resultados!BV86,Resultados!CE86,Resultados!CN86,Resultados!CW86,Resultados!DF86,Resultados!DO86,Resultados!DX86)))</f>
        <v/>
      </c>
      <c r="C86">
        <f>IF(COUNT(Resultados!C86,Resultados!L86,Resultados!U86,Resultados!AD86,Resultados!AM86,Resultados!AV86,Resultados!BE86,Resultados!BN86,Resultados!BW86,Resultados!CF86,Resultados!CO86,Resultados!CX86,Resultados!DG86,Resultados!DP86,Resultados!DY86)&lt;=1, "", _xlfn.STDEV.S(ABS(Resultados!C86),ABS(Resultados!L86),ABS(Resultados!U86),ABS(Resultados!AD86),ABS(Resultados!AM86),ABS(Resultados!AV86),ABS(Resultados!BE86),ABS(Resultados!BN86),ABS(Resultados!BW86),ABS(Resultados!CF86),ABS(Resultados!CO86),ABS(Resultados!CX86),ABS(Resultados!DG86),ABS(Resultados!DP86),ABS(Resultados!DY86))/SQRT(COUNT(Resultados!C86,Resultados!L86,Resultados!U86,Resultados!AD86,Resultados!AM86,Resultados!AV86,Resultados!BE86,Resultados!BN86,Resultados!BW86,Resultados!CF86,Resultados!CO86,Resultados!CX86,Resultados!DG86,Resultados!DP86,Resultados!DY86)))</f>
        <v>0.46802523334497581</v>
      </c>
      <c r="D86">
        <f>IF(COUNT(Resultados!D86,Resultados!M86,Resultados!V86,Resultados!AE86,Resultados!AN86,Resultados!AW86,Resultados!BF86,Resultados!BO86,Resultados!BX86,Resultados!CG86,Resultados!CP86,Resultados!CY86,Resultados!DH86,Resultados!DQ86,Resultados!DZ86)&lt;=1, "", _xlfn.STDEV.S(ABS(Resultados!D86),ABS(Resultados!M86),ABS(Resultados!V86),ABS(Resultados!AE86),ABS(Resultados!AN86),ABS(Resultados!AW86),ABS(Resultados!BF86),ABS(Resultados!BO86),ABS(Resultados!BX86),ABS(Resultados!CG86),ABS(Resultados!CP86),ABS(Resultados!CY86),ABS(Resultados!DH86),ABS(Resultados!DQ86),ABS(Resultados!DZ86))/SQRT(COUNT(Resultados!D86,Resultados!M86,Resultados!V86,Resultados!AE86,Resultados!AN86,Resultados!AW86,Resultados!BF86,Resultados!BO86,Resultados!BX86,Resultados!CG86,Resultados!CP86,Resultados!CY86,Resultados!DH86,Resultados!DQ86,Resultados!DZ86)))</f>
        <v>5.2345009313209596E-4</v>
      </c>
      <c r="E86">
        <f>IF(COUNT(Resultados!E86,Resultados!N86,Resultados!W86,Resultados!AF86,Resultados!AO86,Resultados!AX86,Resultados!BG86,Resultados!BP86,Resultados!BY86,Resultados!CH86,Resultados!CQ86,Resultados!CZ86,Resultados!DI86,Resultados!DR86,Resultados!EA86)&lt;=1, "", _xlfn.STDEV.S(ABS(Resultados!E86),ABS(Resultados!N86),ABS(Resultados!W86),ABS(Resultados!AF86),ABS(Resultados!AO86),ABS(Resultados!AX86),ABS(Resultados!BG86),ABS(Resultados!BP86),ABS(Resultados!BY86),ABS(Resultados!CH86),ABS(Resultados!CQ86),ABS(Resultados!CZ86),ABS(Resultados!DI86),ABS(Resultados!DR86),ABS(Resultados!EA86))/SQRT(COUNT(Resultados!E86,Resultados!N86,Resultados!W86,Resultados!AF86,Resultados!AO86,Resultados!AX86,Resultados!BG86,Resultados!BP86,Resultados!BY86,Resultados!CH86,Resultados!CQ86,Resultados!CZ86,Resultados!DI86,Resultados!DR86,Resultados!EA86)))</f>
        <v>5.0184254847343943E-2</v>
      </c>
      <c r="F86">
        <f>IF(COUNT(Resultados!F86,Resultados!O86,Resultados!X86,Resultados!AG86,Resultados!AP86,Resultados!AY86,Resultados!BH86,Resultados!BQ86,Resultados!BZ86,Resultados!CI86,Resultados!CR86,Resultados!DA86,Resultados!DJ86,Resultados!DS86,Resultados!EB86)&lt;=1, "", _xlfn.STDEV.S(ABS(Resultados!F86),ABS(Resultados!O86),ABS(Resultados!X86),ABS(Resultados!AG86),ABS(Resultados!AP86),ABS(Resultados!AY86),ABS(Resultados!BH86),ABS(Resultados!BQ86),ABS(Resultados!BZ86),ABS(Resultados!CI86),ABS(Resultados!CR86),ABS(Resultados!DA86),ABS(Resultados!DJ86),ABS(Resultados!DS86),ABS(Resultados!EB86))/SQRT(COUNT(Resultados!F86,Resultados!O86,Resultados!X86,Resultados!AG86,Resultados!AP86,Resultados!AY86,Resultados!BH86,Resultados!BQ86,Resultados!BZ86,Resultados!CI86,Resultados!CR86,Resultados!DA86,Resultados!DJ86,Resultados!DS86,Resultados!EB86)))</f>
        <v>10.577706240956593</v>
      </c>
      <c r="G86">
        <f>IF(COUNT(Resultados!G86,Resultados!P86,Resultados!Y86,Resultados!AH86,Resultados!AQ86,Resultados!AZ86,Resultados!BI86,Resultados!BR86,Resultados!CA86,Resultados!CJ86,Resultados!CS86,Resultados!DB86,Resultados!DK86,Resultados!DT86,Resultados!EC86)&lt;=1, "", _xlfn.STDEV.S(ABS(Resultados!G86),ABS(Resultados!P86),ABS(Resultados!Y86),ABS(Resultados!AH86),ABS(Resultados!AQ86),ABS(Resultados!AZ86),ABS(Resultados!BI86),ABS(Resultados!BR86),ABS(Resultados!CA86),ABS(Resultados!CJ86),ABS(Resultados!CS86),ABS(Resultados!DB86),ABS(Resultados!DK86),ABS(Resultados!DT86),ABS(Resultados!EC86))/SQRT(COUNT(Resultados!G86,Resultados!P86,Resultados!Y86,Resultados!AH86,Resultados!AQ86,Resultados!AZ86,Resultados!BI86,Resultados!BR86,Resultados!CA86,Resultados!CJ86,Resultados!CS86,Resultados!DB86,Resultados!DK86,Resultados!DT86,Resultados!EC86)))</f>
        <v>4.4507937654163114E-17</v>
      </c>
      <c r="H86">
        <f>IF(COUNT(Resultados!H86,Resultados!Q86,Resultados!Z86,Resultados!AI86,Resultados!AR86,Resultados!BA86,Resultados!BJ86,Resultados!BS86,Resultados!CB86,Resultados!CK86,Resultados!CT86,Resultados!DC86,Resultados!DL86,Resultados!DU86,Resultados!ED86)&lt;=1, "", _xlfn.STDEV.S(ABS(Resultados!H86),ABS(Resultados!Q86),ABS(Resultados!Z86),ABS(Resultados!AI86),ABS(Resultados!AR86),ABS(Resultados!BA86),ABS(Resultados!BJ86),ABS(Resultados!BS86),ABS(Resultados!CB86),ABS(Resultados!CK86),ABS(Resultados!CT86),ABS(Resultados!DC86),ABS(Resultados!DL86),ABS(Resultados!DU86),ABS(Resultados!ED86))/SQRT(COUNT(Resultados!H86,Resultados!Q86,Resultados!Z86,Resultados!AI86,Resultados!AR86,Resultados!BA86,Resultados!BJ86,Resultados!BS86,Resultados!CB86,Resultados!CK86,Resultados!CT86,Resultados!DC86,Resultados!DL86,Resultados!DU86,Resultados!ED86)))</f>
        <v>7.8160193660301773E-4</v>
      </c>
      <c r="I86">
        <f>IF(COUNT(Resultados!I86,Resultados!R86,Resultados!AA86,Resultados!AJ86,Resultados!AS86,Resultados!BB86,Resultados!BK86,Resultados!BT86,Resultados!CC86,Resultados!CL86,Resultados!CU86,Resultados!DD86,Resultados!DM86,Resultados!DV86,Resultados!EE86)&lt;=1, "", _xlfn.STDEV.S(ABS(Resultados!I86),ABS(Resultados!R86),ABS(Resultados!AA86),ABS(Resultados!AJ86),ABS(Resultados!AS86),ABS(Resultados!BB86),ABS(Resultados!BK86),ABS(Resultados!BT86),ABS(Resultados!CC86),ABS(Resultados!CL86),ABS(Resultados!CU86),ABS(Resultados!DD86),ABS(Resultados!DM86),ABS(Resultados!DV86),ABS(Resultados!EE86))/SQRT(COUNT(Resultados!I86,Resultados!R86,Resultados!AA86,Resultados!AJ86,Resultados!AS86,Resultados!BB86,Resultados!BK86,Resultados!BT86,Resultados!CC86,Resultados!CL86,Resultados!CU86,Resultados!DD86,Resultados!DM86,Resultados!DV86,Resultados!EE86)))</f>
        <v>3.633650742186386E-2</v>
      </c>
    </row>
    <row r="87" spans="1:9" x14ac:dyDescent="0.3">
      <c r="A87">
        <f>IF(COUNT(Resultados!A87,Resultados!J87,Resultados!S87,Resultados!AB87,Resultados!AK87,Resultados!AT87,Resultados!BC87,Resultados!BL87,Resultados!BU87,Resultados!CD87,Resultados!CM87,Resultados!CV87,Resultados!DE87,Resultados!DN87,Resultados!DW87)&lt;=1, "", _xlfn.STDEV.S(ABS(Resultados!A87),ABS(Resultados!J87),ABS(Resultados!S87),ABS(Resultados!AB87),ABS(Resultados!AK87),ABS(Resultados!AT87),ABS(Resultados!BC87),ABS(Resultados!BL87),ABS(Resultados!BU87),ABS(Resultados!CD87),ABS(Resultados!CM87),ABS(Resultados!CV87),ABS(Resultados!DE87),ABS(Resultados!DN87),ABS(Resultados!DW87))/SQRT(COUNT(Resultados!A87,Resultados!J87,Resultados!S87,Resultados!AB87,Resultados!AK87,Resultados!AT87,Resultados!BC87,Resultados!BL87,Resultados!BU87,Resultados!CD87,Resultados!CM87,Resultados!CV87,Resultados!DE87,Resultados!DN87,Resultados!DW87)))</f>
        <v>0</v>
      </c>
      <c r="B87" t="str">
        <f>IF(COUNT(Resultados!B87,Resultados!K87,Resultados!T87,Resultados!AC87,Resultados!AL87,Resultados!AU87,Resultados!BD87,Resultados!BM87,Resultados!BV87,Resultados!CE87,Resultados!CN87,Resultados!CW87,Resultados!DF87,Resultados!DO87,Resultados!DX87)&lt;=1, "", _xlfn.STDEV.S(ABS(Resultados!B87),ABS(Resultados!K87),ABS(Resultados!T87),ABS(Resultados!AC87),ABS(Resultados!AL87),ABS(Resultados!AU87),ABS(Resultados!BD87),ABS(Resultados!BM87),ABS(Resultados!BV87),ABS(Resultados!CE87),ABS(Resultados!CN87),ABS(Resultados!CW87),ABS(Resultados!DF87),ABS(Resultados!DO87),ABS(Resultados!DX87))/SQRT(COUNT(Resultados!B87,Resultados!K87,Resultados!T87,Resultados!AC87,Resultados!AL87,Resultados!AU87,Resultados!BD87,Resultados!BM87,Resultados!BV87,Resultados!CE87,Resultados!CN87,Resultados!CW87,Resultados!DF87,Resultados!DO87,Resultados!DX87)))</f>
        <v/>
      </c>
      <c r="C87">
        <f>IF(COUNT(Resultados!C87,Resultados!L87,Resultados!U87,Resultados!AD87,Resultados!AM87,Resultados!AV87,Resultados!BE87,Resultados!BN87,Resultados!BW87,Resultados!CF87,Resultados!CO87,Resultados!CX87,Resultados!DG87,Resultados!DP87,Resultados!DY87)&lt;=1, "", _xlfn.STDEV.S(ABS(Resultados!C87),ABS(Resultados!L87),ABS(Resultados!U87),ABS(Resultados!AD87),ABS(Resultados!AM87),ABS(Resultados!AV87),ABS(Resultados!BE87),ABS(Resultados!BN87),ABS(Resultados!BW87),ABS(Resultados!CF87),ABS(Resultados!CO87),ABS(Resultados!CX87),ABS(Resultados!DG87),ABS(Resultados!DP87),ABS(Resultados!DY87))/SQRT(COUNT(Resultados!C87,Resultados!L87,Resultados!U87,Resultados!AD87,Resultados!AM87,Resultados!AV87,Resultados!BE87,Resultados!BN87,Resultados!BW87,Resultados!CF87,Resultados!CO87,Resultados!CX87,Resultados!DG87,Resultados!DP87,Resultados!DY87)))</f>
        <v>0.46802523334497581</v>
      </c>
      <c r="D87">
        <f>IF(COUNT(Resultados!D87,Resultados!M87,Resultados!V87,Resultados!AE87,Resultados!AN87,Resultados!AW87,Resultados!BF87,Resultados!BO87,Resultados!BX87,Resultados!CG87,Resultados!CP87,Resultados!CY87,Resultados!DH87,Resultados!DQ87,Resultados!DZ87)&lt;=1, "", _xlfn.STDEV.S(ABS(Resultados!D87),ABS(Resultados!M87),ABS(Resultados!V87),ABS(Resultados!AE87),ABS(Resultados!AN87),ABS(Resultados!AW87),ABS(Resultados!BF87),ABS(Resultados!BO87),ABS(Resultados!BX87),ABS(Resultados!CG87),ABS(Resultados!CP87),ABS(Resultados!CY87),ABS(Resultados!DH87),ABS(Resultados!DQ87),ABS(Resultados!DZ87))/SQRT(COUNT(Resultados!D87,Resultados!M87,Resultados!V87,Resultados!AE87,Resultados!AN87,Resultados!AW87,Resultados!BF87,Resultados!BO87,Resultados!BX87,Resultados!CG87,Resultados!CP87,Resultados!CY87,Resultados!DH87,Resultados!DQ87,Resultados!DZ87)))</f>
        <v>6.8839818672920968E-4</v>
      </c>
      <c r="E87">
        <f>IF(COUNT(Resultados!E87,Resultados!N87,Resultados!W87,Resultados!AF87,Resultados!AO87,Resultados!AX87,Resultados!BG87,Resultados!BP87,Resultados!BY87,Resultados!CH87,Resultados!CQ87,Resultados!CZ87,Resultados!DI87,Resultados!DR87,Resultados!EA87)&lt;=1, "", _xlfn.STDEV.S(ABS(Resultados!E87),ABS(Resultados!N87),ABS(Resultados!W87),ABS(Resultados!AF87),ABS(Resultados!AO87),ABS(Resultados!AX87),ABS(Resultados!BG87),ABS(Resultados!BP87),ABS(Resultados!BY87),ABS(Resultados!CH87),ABS(Resultados!CQ87),ABS(Resultados!CZ87),ABS(Resultados!DI87),ABS(Resultados!DR87),ABS(Resultados!EA87))/SQRT(COUNT(Resultados!E87,Resultados!N87,Resultados!W87,Resultados!AF87,Resultados!AO87,Resultados!AX87,Resultados!BG87,Resultados!BP87,Resultados!BY87,Resultados!CH87,Resultados!CQ87,Resultados!CZ87,Resultados!DI87,Resultados!DR87,Resultados!EA87)))</f>
        <v>6.0760194341638533E-2</v>
      </c>
      <c r="F87">
        <f>IF(COUNT(Resultados!F87,Resultados!O87,Resultados!X87,Resultados!AG87,Resultados!AP87,Resultados!AY87,Resultados!BH87,Resultados!BQ87,Resultados!BZ87,Resultados!CI87,Resultados!CR87,Resultados!DA87,Resultados!DJ87,Resultados!DS87,Resultados!EB87)&lt;=1, "", _xlfn.STDEV.S(ABS(Resultados!F87),ABS(Resultados!O87),ABS(Resultados!X87),ABS(Resultados!AG87),ABS(Resultados!AP87),ABS(Resultados!AY87),ABS(Resultados!BH87),ABS(Resultados!BQ87),ABS(Resultados!BZ87),ABS(Resultados!CI87),ABS(Resultados!CR87),ABS(Resultados!DA87),ABS(Resultados!DJ87),ABS(Resultados!DS87),ABS(Resultados!EB87))/SQRT(COUNT(Resultados!F87,Resultados!O87,Resultados!X87,Resultados!AG87,Resultados!AP87,Resultados!AY87,Resultados!BH87,Resultados!BQ87,Resultados!BZ87,Resultados!CI87,Resultados!CR87,Resultados!DA87,Resultados!DJ87,Resultados!DS87,Resultados!EB87)))</f>
        <v>11.954874060542016</v>
      </c>
      <c r="G87">
        <f>IF(COUNT(Resultados!G87,Resultados!P87,Resultados!Y87,Resultados!AH87,Resultados!AQ87,Resultados!AZ87,Resultados!BI87,Resultados!BR87,Resultados!CA87,Resultados!CJ87,Resultados!CS87,Resultados!DB87,Resultados!DK87,Resultados!DT87,Resultados!EC87)&lt;=1, "", _xlfn.STDEV.S(ABS(Resultados!G87),ABS(Resultados!P87),ABS(Resultados!Y87),ABS(Resultados!AH87),ABS(Resultados!AQ87),ABS(Resultados!AZ87),ABS(Resultados!BI87),ABS(Resultados!BR87),ABS(Resultados!CA87),ABS(Resultados!CJ87),ABS(Resultados!CS87),ABS(Resultados!DB87),ABS(Resultados!DK87),ABS(Resultados!DT87),ABS(Resultados!EC87))/SQRT(COUNT(Resultados!G87,Resultados!P87,Resultados!Y87,Resultados!AH87,Resultados!AQ87,Resultados!AZ87,Resultados!BI87,Resultados!BR87,Resultados!CA87,Resultados!CJ87,Resultados!CS87,Resultados!DB87,Resultados!DK87,Resultados!DT87,Resultados!EC87)))</f>
        <v>4.4507937654163114E-17</v>
      </c>
      <c r="H87">
        <f>IF(COUNT(Resultados!H87,Resultados!Q87,Resultados!Z87,Resultados!AI87,Resultados!AR87,Resultados!BA87,Resultados!BJ87,Resultados!BS87,Resultados!CB87,Resultados!CK87,Resultados!CT87,Resultados!DC87,Resultados!DL87,Resultados!DU87,Resultados!ED87)&lt;=1, "", _xlfn.STDEV.S(ABS(Resultados!H87),ABS(Resultados!Q87),ABS(Resultados!Z87),ABS(Resultados!AI87),ABS(Resultados!AR87),ABS(Resultados!BA87),ABS(Resultados!BJ87),ABS(Resultados!BS87),ABS(Resultados!CB87),ABS(Resultados!CK87),ABS(Resultados!CT87),ABS(Resultados!DC87),ABS(Resultados!DL87),ABS(Resultados!DU87),ABS(Resultados!ED87))/SQRT(COUNT(Resultados!H87,Resultados!Q87,Resultados!Z87,Resultados!AI87,Resultados!AR87,Resultados!BA87,Resultados!BJ87,Resultados!BS87,Resultados!CB87,Resultados!CK87,Resultados!CT87,Resultados!DC87,Resultados!DL87,Resultados!DU87,Resultados!ED87)))</f>
        <v>9.4328705927224522E-4</v>
      </c>
      <c r="I87">
        <f>IF(COUNT(Resultados!I87,Resultados!R87,Resultados!AA87,Resultados!AJ87,Resultados!AS87,Resultados!BB87,Resultados!BK87,Resultados!BT87,Resultados!CC87,Resultados!CL87,Resultados!CU87,Resultados!DD87,Resultados!DM87,Resultados!DV87,Resultados!EE87)&lt;=1, "", _xlfn.STDEV.S(ABS(Resultados!I87),ABS(Resultados!R87),ABS(Resultados!AA87),ABS(Resultados!AJ87),ABS(Resultados!AS87),ABS(Resultados!BB87),ABS(Resultados!BK87),ABS(Resultados!BT87),ABS(Resultados!CC87),ABS(Resultados!CL87),ABS(Resultados!CU87),ABS(Resultados!DD87),ABS(Resultados!DM87),ABS(Resultados!DV87),ABS(Resultados!EE87))/SQRT(COUNT(Resultados!I87,Resultados!R87,Resultados!AA87,Resultados!AJ87,Resultados!AS87,Resultados!BB87,Resultados!BK87,Resultados!BT87,Resultados!CC87,Resultados!CL87,Resultados!CU87,Resultados!DD87,Resultados!DM87,Resultados!DV87,Resultados!EE87)))</f>
        <v>3.6492839352398582E-2</v>
      </c>
    </row>
    <row r="88" spans="1:9" x14ac:dyDescent="0.3">
      <c r="A88">
        <f>IF(COUNT(Resultados!A88,Resultados!J88,Resultados!S88,Resultados!AB88,Resultados!AK88,Resultados!AT88,Resultados!BC88,Resultados!BL88,Resultados!BU88,Resultados!CD88,Resultados!CM88,Resultados!CV88,Resultados!DE88,Resultados!DN88,Resultados!DW88)&lt;=1, "", _xlfn.STDEV.S(ABS(Resultados!A88),ABS(Resultados!J88),ABS(Resultados!S88),ABS(Resultados!AB88),ABS(Resultados!AK88),ABS(Resultados!AT88),ABS(Resultados!BC88),ABS(Resultados!BL88),ABS(Resultados!BU88),ABS(Resultados!CD88),ABS(Resultados!CM88),ABS(Resultados!CV88),ABS(Resultados!DE88),ABS(Resultados!DN88),ABS(Resultados!DW88))/SQRT(COUNT(Resultados!A88,Resultados!J88,Resultados!S88,Resultados!AB88,Resultados!AK88,Resultados!AT88,Resultados!BC88,Resultados!BL88,Resultados!BU88,Resultados!CD88,Resultados!CM88,Resultados!CV88,Resultados!DE88,Resultados!DN88,Resultados!DW88)))</f>
        <v>0</v>
      </c>
      <c r="B88" t="str">
        <f>IF(COUNT(Resultados!B88,Resultados!K88,Resultados!T88,Resultados!AC88,Resultados!AL88,Resultados!AU88,Resultados!BD88,Resultados!BM88,Resultados!BV88,Resultados!CE88,Resultados!CN88,Resultados!CW88,Resultados!DF88,Resultados!DO88,Resultados!DX88)&lt;=1, "", _xlfn.STDEV.S(ABS(Resultados!B88),ABS(Resultados!K88),ABS(Resultados!T88),ABS(Resultados!AC88),ABS(Resultados!AL88),ABS(Resultados!AU88),ABS(Resultados!BD88),ABS(Resultados!BM88),ABS(Resultados!BV88),ABS(Resultados!CE88),ABS(Resultados!CN88),ABS(Resultados!CW88),ABS(Resultados!DF88),ABS(Resultados!DO88),ABS(Resultados!DX88))/SQRT(COUNT(Resultados!B88,Resultados!K88,Resultados!T88,Resultados!AC88,Resultados!AL88,Resultados!AU88,Resultados!BD88,Resultados!BM88,Resultados!BV88,Resultados!CE88,Resultados!CN88,Resultados!CW88,Resultados!DF88,Resultados!DO88,Resultados!DX88)))</f>
        <v/>
      </c>
      <c r="C88">
        <f>IF(COUNT(Resultados!C88,Resultados!L88,Resultados!U88,Resultados!AD88,Resultados!AM88,Resultados!AV88,Resultados!BE88,Resultados!BN88,Resultados!BW88,Resultados!CF88,Resultados!CO88,Resultados!CX88,Resultados!DG88,Resultados!DP88,Resultados!DY88)&lt;=1, "", _xlfn.STDEV.S(ABS(Resultados!C88),ABS(Resultados!L88),ABS(Resultados!U88),ABS(Resultados!AD88),ABS(Resultados!AM88),ABS(Resultados!AV88),ABS(Resultados!BE88),ABS(Resultados!BN88),ABS(Resultados!BW88),ABS(Resultados!CF88),ABS(Resultados!CO88),ABS(Resultados!CX88),ABS(Resultados!DG88),ABS(Resultados!DP88),ABS(Resultados!DY88))/SQRT(COUNT(Resultados!C88,Resultados!L88,Resultados!U88,Resultados!AD88,Resultados!AM88,Resultados!AV88,Resultados!BE88,Resultados!BN88,Resultados!BW88,Resultados!CF88,Resultados!CO88,Resultados!CX88,Resultados!DG88,Resultados!DP88,Resultados!DY88)))</f>
        <v>0.46802523334497581</v>
      </c>
      <c r="D88">
        <f>IF(COUNT(Resultados!D88,Resultados!M88,Resultados!V88,Resultados!AE88,Resultados!AN88,Resultados!AW88,Resultados!BF88,Resultados!BO88,Resultados!BX88,Resultados!CG88,Resultados!CP88,Resultados!CY88,Resultados!DH88,Resultados!DQ88,Resultados!DZ88)&lt;=1, "", _xlfn.STDEV.S(ABS(Resultados!D88),ABS(Resultados!M88),ABS(Resultados!V88),ABS(Resultados!AE88),ABS(Resultados!AN88),ABS(Resultados!AW88),ABS(Resultados!BF88),ABS(Resultados!BO88),ABS(Resultados!BX88),ABS(Resultados!CG88),ABS(Resultados!CP88),ABS(Resultados!CY88),ABS(Resultados!DH88),ABS(Resultados!DQ88),ABS(Resultados!DZ88))/SQRT(COUNT(Resultados!D88,Resultados!M88,Resultados!V88,Resultados!AE88,Resultados!AN88,Resultados!AW88,Resultados!BF88,Resultados!BO88,Resultados!BX88,Resultados!CG88,Resultados!CP88,Resultados!CY88,Resultados!DH88,Resultados!DQ88,Resultados!DZ88)))</f>
        <v>7.8794488567230508E-4</v>
      </c>
      <c r="E88">
        <f>IF(COUNT(Resultados!E88,Resultados!N88,Resultados!W88,Resultados!AF88,Resultados!AO88,Resultados!AX88,Resultados!BG88,Resultados!BP88,Resultados!BY88,Resultados!CH88,Resultados!CQ88,Resultados!CZ88,Resultados!DI88,Resultados!DR88,Resultados!EA88)&lt;=1, "", _xlfn.STDEV.S(ABS(Resultados!E88),ABS(Resultados!N88),ABS(Resultados!W88),ABS(Resultados!AF88),ABS(Resultados!AO88),ABS(Resultados!AX88),ABS(Resultados!BG88),ABS(Resultados!BP88),ABS(Resultados!BY88),ABS(Resultados!CH88),ABS(Resultados!CQ88),ABS(Resultados!CZ88),ABS(Resultados!DI88),ABS(Resultados!DR88),ABS(Resultados!EA88))/SQRT(COUNT(Resultados!E88,Resultados!N88,Resultados!W88,Resultados!AF88,Resultados!AO88,Resultados!AX88,Resultados!BG88,Resultados!BP88,Resultados!BY88,Resultados!CH88,Resultados!CQ88,Resultados!CZ88,Resultados!DI88,Resultados!DR88,Resultados!EA88)))</f>
        <v>6.7346980863905045E-2</v>
      </c>
      <c r="F88">
        <f>IF(COUNT(Resultados!F88,Resultados!O88,Resultados!X88,Resultados!AG88,Resultados!AP88,Resultados!AY88,Resultados!BH88,Resultados!BQ88,Resultados!BZ88,Resultados!CI88,Resultados!CR88,Resultados!DA88,Resultados!DJ88,Resultados!DS88,Resultados!EB88)&lt;=1, "", _xlfn.STDEV.S(ABS(Resultados!F88),ABS(Resultados!O88),ABS(Resultados!X88),ABS(Resultados!AG88),ABS(Resultados!AP88),ABS(Resultados!AY88),ABS(Resultados!BH88),ABS(Resultados!BQ88),ABS(Resultados!BZ88),ABS(Resultados!CI88),ABS(Resultados!CR88),ABS(Resultados!DA88),ABS(Resultados!DJ88),ABS(Resultados!DS88),ABS(Resultados!EB88))/SQRT(COUNT(Resultados!F88,Resultados!O88,Resultados!X88,Resultados!AG88,Resultados!AP88,Resultados!AY88,Resultados!BH88,Resultados!BQ88,Resultados!BZ88,Resultados!CI88,Resultados!CR88,Resultados!DA88,Resultados!DJ88,Resultados!DS88,Resultados!EB88)))</f>
        <v>6.3912284839845928</v>
      </c>
      <c r="G88">
        <f>IF(COUNT(Resultados!G88,Resultados!P88,Resultados!Y88,Resultados!AH88,Resultados!AQ88,Resultados!AZ88,Resultados!BI88,Resultados!BR88,Resultados!CA88,Resultados!CJ88,Resultados!CS88,Resultados!DB88,Resultados!DK88,Resultados!DT88,Resultados!EC88)&lt;=1, "", _xlfn.STDEV.S(ABS(Resultados!G88),ABS(Resultados!P88),ABS(Resultados!Y88),ABS(Resultados!AH88),ABS(Resultados!AQ88),ABS(Resultados!AZ88),ABS(Resultados!BI88),ABS(Resultados!BR88),ABS(Resultados!CA88),ABS(Resultados!CJ88),ABS(Resultados!CS88),ABS(Resultados!DB88),ABS(Resultados!DK88),ABS(Resultados!DT88),ABS(Resultados!EC88))/SQRT(COUNT(Resultados!G88,Resultados!P88,Resultados!Y88,Resultados!AH88,Resultados!AQ88,Resultados!AZ88,Resultados!BI88,Resultados!BR88,Resultados!CA88,Resultados!CJ88,Resultados!CS88,Resultados!DB88,Resultados!DK88,Resultados!DT88,Resultados!EC88)))</f>
        <v>4.4507937654163114E-17</v>
      </c>
      <c r="H88">
        <f>IF(COUNT(Resultados!H88,Resultados!Q88,Resultados!Z88,Resultados!AI88,Resultados!AR88,Resultados!BA88,Resultados!BJ88,Resultados!BS88,Resultados!CB88,Resultados!CK88,Resultados!CT88,Resultados!DC88,Resultados!DL88,Resultados!DU88,Resultados!ED88)&lt;=1, "", _xlfn.STDEV.S(ABS(Resultados!H88),ABS(Resultados!Q88),ABS(Resultados!Z88),ABS(Resultados!AI88),ABS(Resultados!AR88),ABS(Resultados!BA88),ABS(Resultados!BJ88),ABS(Resultados!BS88),ABS(Resultados!CB88),ABS(Resultados!CK88),ABS(Resultados!CT88),ABS(Resultados!DC88),ABS(Resultados!DL88),ABS(Resultados!DU88),ABS(Resultados!ED88))/SQRT(COUNT(Resultados!H88,Resultados!Q88,Resultados!Z88,Resultados!AI88,Resultados!AR88,Resultados!BA88,Resultados!BJ88,Resultados!BS88,Resultados!CB88,Resultados!CK88,Resultados!CT88,Resultados!DC88,Resultados!DL88,Resultados!DU88,Resultados!ED88)))</f>
        <v>1.0471821599848203E-3</v>
      </c>
      <c r="I88">
        <f>IF(COUNT(Resultados!I88,Resultados!R88,Resultados!AA88,Resultados!AJ88,Resultados!AS88,Resultados!BB88,Resultados!BK88,Resultados!BT88,Resultados!CC88,Resultados!CL88,Resultados!CU88,Resultados!DD88,Resultados!DM88,Resultados!DV88,Resultados!EE88)&lt;=1, "", _xlfn.STDEV.S(ABS(Resultados!I88),ABS(Resultados!R88),ABS(Resultados!AA88),ABS(Resultados!AJ88),ABS(Resultados!AS88),ABS(Resultados!BB88),ABS(Resultados!BK88),ABS(Resultados!BT88),ABS(Resultados!CC88),ABS(Resultados!CL88),ABS(Resultados!CU88),ABS(Resultados!DD88),ABS(Resultados!DM88),ABS(Resultados!DV88),ABS(Resultados!EE88))/SQRT(COUNT(Resultados!I88,Resultados!R88,Resultados!AA88,Resultados!AJ88,Resultados!AS88,Resultados!BB88,Resultados!BK88,Resultados!BT88,Resultados!CC88,Resultados!CL88,Resultados!CU88,Resultados!DD88,Resultados!DM88,Resultados!DV88,Resultados!EE88)))</f>
        <v>3.6408187595648692E-2</v>
      </c>
    </row>
    <row r="89" spans="1:9" x14ac:dyDescent="0.3">
      <c r="A89">
        <f>IF(COUNT(Resultados!A89,Resultados!J89,Resultados!S89,Resultados!AB89,Resultados!AK89,Resultados!AT89,Resultados!BC89,Resultados!BL89,Resultados!BU89,Resultados!CD89,Resultados!CM89,Resultados!CV89,Resultados!DE89,Resultados!DN89,Resultados!DW89)&lt;=1, "", _xlfn.STDEV.S(ABS(Resultados!A89),ABS(Resultados!J89),ABS(Resultados!S89),ABS(Resultados!AB89),ABS(Resultados!AK89),ABS(Resultados!AT89),ABS(Resultados!BC89),ABS(Resultados!BL89),ABS(Resultados!BU89),ABS(Resultados!CD89),ABS(Resultados!CM89),ABS(Resultados!CV89),ABS(Resultados!DE89),ABS(Resultados!DN89),ABS(Resultados!DW89))/SQRT(COUNT(Resultados!A89,Resultados!J89,Resultados!S89,Resultados!AB89,Resultados!AK89,Resultados!AT89,Resultados!BC89,Resultados!BL89,Resultados!BU89,Resultados!CD89,Resultados!CM89,Resultados!CV89,Resultados!DE89,Resultados!DN89,Resultados!DW89)))</f>
        <v>0</v>
      </c>
      <c r="B89" t="str">
        <f>IF(COUNT(Resultados!B89,Resultados!K89,Resultados!T89,Resultados!AC89,Resultados!AL89,Resultados!AU89,Resultados!BD89,Resultados!BM89,Resultados!BV89,Resultados!CE89,Resultados!CN89,Resultados!CW89,Resultados!DF89,Resultados!DO89,Resultados!DX89)&lt;=1, "", _xlfn.STDEV.S(ABS(Resultados!B89),ABS(Resultados!K89),ABS(Resultados!T89),ABS(Resultados!AC89),ABS(Resultados!AL89),ABS(Resultados!AU89),ABS(Resultados!BD89),ABS(Resultados!BM89),ABS(Resultados!BV89),ABS(Resultados!CE89),ABS(Resultados!CN89),ABS(Resultados!CW89),ABS(Resultados!DF89),ABS(Resultados!DO89),ABS(Resultados!DX89))/SQRT(COUNT(Resultados!B89,Resultados!K89,Resultados!T89,Resultados!AC89,Resultados!AL89,Resultados!AU89,Resultados!BD89,Resultados!BM89,Resultados!BV89,Resultados!CE89,Resultados!CN89,Resultados!CW89,Resultados!DF89,Resultados!DO89,Resultados!DX89)))</f>
        <v/>
      </c>
      <c r="C89">
        <f>IF(COUNT(Resultados!C89,Resultados!L89,Resultados!U89,Resultados!AD89,Resultados!AM89,Resultados!AV89,Resultados!BE89,Resultados!BN89,Resultados!BW89,Resultados!CF89,Resultados!CO89,Resultados!CX89,Resultados!DG89,Resultados!DP89,Resultados!DY89)&lt;=1, "", _xlfn.STDEV.S(ABS(Resultados!C89),ABS(Resultados!L89),ABS(Resultados!U89),ABS(Resultados!AD89),ABS(Resultados!AM89),ABS(Resultados!AV89),ABS(Resultados!BE89),ABS(Resultados!BN89),ABS(Resultados!BW89),ABS(Resultados!CF89),ABS(Resultados!CO89),ABS(Resultados!CX89),ABS(Resultados!DG89),ABS(Resultados!DP89),ABS(Resultados!DY89))/SQRT(COUNT(Resultados!C89,Resultados!L89,Resultados!U89,Resultados!AD89,Resultados!AM89,Resultados!AV89,Resultados!BE89,Resultados!BN89,Resultados!BW89,Resultados!CF89,Resultados!CO89,Resultados!CX89,Resultados!DG89,Resultados!DP89,Resultados!DY89)))</f>
        <v>0.46802523334497581</v>
      </c>
      <c r="D89">
        <f>IF(COUNT(Resultados!D89,Resultados!M89,Resultados!V89,Resultados!AE89,Resultados!AN89,Resultados!AW89,Resultados!BF89,Resultados!BO89,Resultados!BX89,Resultados!CG89,Resultados!CP89,Resultados!CY89,Resultados!DH89,Resultados!DQ89,Resultados!DZ89)&lt;=1, "", _xlfn.STDEV.S(ABS(Resultados!D89),ABS(Resultados!M89),ABS(Resultados!V89),ABS(Resultados!AE89),ABS(Resultados!AN89),ABS(Resultados!AW89),ABS(Resultados!BF89),ABS(Resultados!BO89),ABS(Resultados!BX89),ABS(Resultados!CG89),ABS(Resultados!CP89),ABS(Resultados!CY89),ABS(Resultados!DH89),ABS(Resultados!DQ89),ABS(Resultados!DZ89))/SQRT(COUNT(Resultados!D89,Resultados!M89,Resultados!V89,Resultados!AE89,Resultados!AN89,Resultados!AW89,Resultados!BF89,Resultados!BO89,Resultados!BX89,Resultados!CG89,Resultados!CP89,Resultados!CY89,Resultados!DH89,Resultados!DQ89,Resultados!DZ89)))</f>
        <v>8.9885994812829832E-4</v>
      </c>
      <c r="E89">
        <f>IF(COUNT(Resultados!E89,Resultados!N89,Resultados!W89,Resultados!AF89,Resultados!AO89,Resultados!AX89,Resultados!BG89,Resultados!BP89,Resultados!BY89,Resultados!CH89,Resultados!CQ89,Resultados!CZ89,Resultados!DI89,Resultados!DR89,Resultados!EA89)&lt;=1, "", _xlfn.STDEV.S(ABS(Resultados!E89),ABS(Resultados!N89),ABS(Resultados!W89),ABS(Resultados!AF89),ABS(Resultados!AO89),ABS(Resultados!AX89),ABS(Resultados!BG89),ABS(Resultados!BP89),ABS(Resultados!BY89),ABS(Resultados!CH89),ABS(Resultados!CQ89),ABS(Resultados!CZ89),ABS(Resultados!DI89),ABS(Resultados!DR89),ABS(Resultados!EA89))/SQRT(COUNT(Resultados!E89,Resultados!N89,Resultados!W89,Resultados!AF89,Resultados!AO89,Resultados!AX89,Resultados!BG89,Resultados!BP89,Resultados!BY89,Resultados!CH89,Resultados!CQ89,Resultados!CZ89,Resultados!DI89,Resultados!DR89,Resultados!EA89)))</f>
        <v>6.8884326909377736E-2</v>
      </c>
      <c r="F89">
        <f>IF(COUNT(Resultados!F89,Resultados!O89,Resultados!X89,Resultados!AG89,Resultados!AP89,Resultados!AY89,Resultados!BH89,Resultados!BQ89,Resultados!BZ89,Resultados!CI89,Resultados!CR89,Resultados!DA89,Resultados!DJ89,Resultados!DS89,Resultados!EB89)&lt;=1, "", _xlfn.STDEV.S(ABS(Resultados!F89),ABS(Resultados!O89),ABS(Resultados!X89),ABS(Resultados!AG89),ABS(Resultados!AP89),ABS(Resultados!AY89),ABS(Resultados!BH89),ABS(Resultados!BQ89),ABS(Resultados!BZ89),ABS(Resultados!CI89),ABS(Resultados!CR89),ABS(Resultados!DA89),ABS(Resultados!DJ89),ABS(Resultados!DS89),ABS(Resultados!EB89))/SQRT(COUNT(Resultados!F89,Resultados!O89,Resultados!X89,Resultados!AG89,Resultados!AP89,Resultados!AY89,Resultados!BH89,Resultados!BQ89,Resultados!BZ89,Resultados!CI89,Resultados!CR89,Resultados!DA89,Resultados!DJ89,Resultados!DS89,Resultados!EB89)))</f>
        <v>6.5371226236999496</v>
      </c>
      <c r="G89">
        <f>IF(COUNT(Resultados!G89,Resultados!P89,Resultados!Y89,Resultados!AH89,Resultados!AQ89,Resultados!AZ89,Resultados!BI89,Resultados!BR89,Resultados!CA89,Resultados!CJ89,Resultados!CS89,Resultados!DB89,Resultados!DK89,Resultados!DT89,Resultados!EC89)&lt;=1, "", _xlfn.STDEV.S(ABS(Resultados!G89),ABS(Resultados!P89),ABS(Resultados!Y89),ABS(Resultados!AH89),ABS(Resultados!AQ89),ABS(Resultados!AZ89),ABS(Resultados!BI89),ABS(Resultados!BR89),ABS(Resultados!CA89),ABS(Resultados!CJ89),ABS(Resultados!CS89),ABS(Resultados!DB89),ABS(Resultados!DK89),ABS(Resultados!DT89),ABS(Resultados!EC89))/SQRT(COUNT(Resultados!G89,Resultados!P89,Resultados!Y89,Resultados!AH89,Resultados!AQ89,Resultados!AZ89,Resultados!BI89,Resultados!BR89,Resultados!CA89,Resultados!CJ89,Resultados!CS89,Resultados!DB89,Resultados!DK89,Resultados!DT89,Resultados!EC89)))</f>
        <v>4.4507937654163114E-17</v>
      </c>
      <c r="H89">
        <f>IF(COUNT(Resultados!H89,Resultados!Q89,Resultados!Z89,Resultados!AI89,Resultados!AR89,Resultados!BA89,Resultados!BJ89,Resultados!BS89,Resultados!CB89,Resultados!CK89,Resultados!CT89,Resultados!DC89,Resultados!DL89,Resultados!DU89,Resultados!ED89)&lt;=1, "", _xlfn.STDEV.S(ABS(Resultados!H89),ABS(Resultados!Q89),ABS(Resultados!Z89),ABS(Resultados!AI89),ABS(Resultados!AR89),ABS(Resultados!BA89),ABS(Resultados!BJ89),ABS(Resultados!BS89),ABS(Resultados!CB89),ABS(Resultados!CK89),ABS(Resultados!CT89),ABS(Resultados!DC89),ABS(Resultados!DL89),ABS(Resultados!DU89),ABS(Resultados!ED89))/SQRT(COUNT(Resultados!H89,Resultados!Q89,Resultados!Z89,Resultados!AI89,Resultados!AR89,Resultados!BA89,Resultados!BJ89,Resultados!BS89,Resultados!CB89,Resultados!CK89,Resultados!CT89,Resultados!DC89,Resultados!DL89,Resultados!DU89,Resultados!ED89)))</f>
        <v>1.0724782160069879E-3</v>
      </c>
      <c r="I89">
        <f>IF(COUNT(Resultados!I89,Resultados!R89,Resultados!AA89,Resultados!AJ89,Resultados!AS89,Resultados!BB89,Resultados!BK89,Resultados!BT89,Resultados!CC89,Resultados!CL89,Resultados!CU89,Resultados!DD89,Resultados!DM89,Resultados!DV89,Resultados!EE89)&lt;=1, "", _xlfn.STDEV.S(ABS(Resultados!I89),ABS(Resultados!R89),ABS(Resultados!AA89),ABS(Resultados!AJ89),ABS(Resultados!AS89),ABS(Resultados!BB89),ABS(Resultados!BK89),ABS(Resultados!BT89),ABS(Resultados!CC89),ABS(Resultados!CL89),ABS(Resultados!CU89),ABS(Resultados!DD89),ABS(Resultados!DM89),ABS(Resultados!DV89),ABS(Resultados!EE89))/SQRT(COUNT(Resultados!I89,Resultados!R89,Resultados!AA89,Resultados!AJ89,Resultados!AS89,Resultados!BB89,Resultados!BK89,Resultados!BT89,Resultados!CC89,Resultados!CL89,Resultados!CU89,Resultados!DD89,Resultados!DM89,Resultados!DV89,Resultados!EE89)))</f>
        <v>3.6537876371160904E-2</v>
      </c>
    </row>
    <row r="90" spans="1:9" x14ac:dyDescent="0.3">
      <c r="A90">
        <f>IF(COUNT(Resultados!A90,Resultados!J90,Resultados!S90,Resultados!AB90,Resultados!AK90,Resultados!AT90,Resultados!BC90,Resultados!BL90,Resultados!BU90,Resultados!CD90,Resultados!CM90,Resultados!CV90,Resultados!DE90,Resultados!DN90,Resultados!DW90)&lt;=1, "", _xlfn.STDEV.S(ABS(Resultados!A90),ABS(Resultados!J90),ABS(Resultados!S90),ABS(Resultados!AB90),ABS(Resultados!AK90),ABS(Resultados!AT90),ABS(Resultados!BC90),ABS(Resultados!BL90),ABS(Resultados!BU90),ABS(Resultados!CD90),ABS(Resultados!CM90),ABS(Resultados!CV90),ABS(Resultados!DE90),ABS(Resultados!DN90),ABS(Resultados!DW90))/SQRT(COUNT(Resultados!A90,Resultados!J90,Resultados!S90,Resultados!AB90,Resultados!AK90,Resultados!AT90,Resultados!BC90,Resultados!BL90,Resultados!BU90,Resultados!CD90,Resultados!CM90,Resultados!CV90,Resultados!DE90,Resultados!DN90,Resultados!DW90)))</f>
        <v>0</v>
      </c>
      <c r="B90" t="str">
        <f>IF(COUNT(Resultados!B90,Resultados!K90,Resultados!T90,Resultados!AC90,Resultados!AL90,Resultados!AU90,Resultados!BD90,Resultados!BM90,Resultados!BV90,Resultados!CE90,Resultados!CN90,Resultados!CW90,Resultados!DF90,Resultados!DO90,Resultados!DX90)&lt;=1, "", _xlfn.STDEV.S(ABS(Resultados!B90),ABS(Resultados!K90),ABS(Resultados!T90),ABS(Resultados!AC90),ABS(Resultados!AL90),ABS(Resultados!AU90),ABS(Resultados!BD90),ABS(Resultados!BM90),ABS(Resultados!BV90),ABS(Resultados!CE90),ABS(Resultados!CN90),ABS(Resultados!CW90),ABS(Resultados!DF90),ABS(Resultados!DO90),ABS(Resultados!DX90))/SQRT(COUNT(Resultados!B90,Resultados!K90,Resultados!T90,Resultados!AC90,Resultados!AL90,Resultados!AU90,Resultados!BD90,Resultados!BM90,Resultados!BV90,Resultados!CE90,Resultados!CN90,Resultados!CW90,Resultados!DF90,Resultados!DO90,Resultados!DX90)))</f>
        <v/>
      </c>
      <c r="C90">
        <f>IF(COUNT(Resultados!C90,Resultados!L90,Resultados!U90,Resultados!AD90,Resultados!AM90,Resultados!AV90,Resultados!BE90,Resultados!BN90,Resultados!BW90,Resultados!CF90,Resultados!CO90,Resultados!CX90,Resultados!DG90,Resultados!DP90,Resultados!DY90)&lt;=1, "", _xlfn.STDEV.S(ABS(Resultados!C90),ABS(Resultados!L90),ABS(Resultados!U90),ABS(Resultados!AD90),ABS(Resultados!AM90),ABS(Resultados!AV90),ABS(Resultados!BE90),ABS(Resultados!BN90),ABS(Resultados!BW90),ABS(Resultados!CF90),ABS(Resultados!CO90),ABS(Resultados!CX90),ABS(Resultados!DG90),ABS(Resultados!DP90),ABS(Resultados!DY90))/SQRT(COUNT(Resultados!C90,Resultados!L90,Resultados!U90,Resultados!AD90,Resultados!AM90,Resultados!AV90,Resultados!BE90,Resultados!BN90,Resultados!BW90,Resultados!CF90,Resultados!CO90,Resultados!CX90,Resultados!DG90,Resultados!DP90,Resultados!DY90)))</f>
        <v>0.46802523334497581</v>
      </c>
      <c r="D90">
        <f>IF(COUNT(Resultados!D90,Resultados!M90,Resultados!V90,Resultados!AE90,Resultados!AN90,Resultados!AW90,Resultados!BF90,Resultados!BO90,Resultados!BX90,Resultados!CG90,Resultados!CP90,Resultados!CY90,Resultados!DH90,Resultados!DQ90,Resultados!DZ90)&lt;=1, "", _xlfn.STDEV.S(ABS(Resultados!D90),ABS(Resultados!M90),ABS(Resultados!V90),ABS(Resultados!AE90),ABS(Resultados!AN90),ABS(Resultados!AW90),ABS(Resultados!BF90),ABS(Resultados!BO90),ABS(Resultados!BX90),ABS(Resultados!CG90),ABS(Resultados!CP90),ABS(Resultados!CY90),ABS(Resultados!DH90),ABS(Resultados!DQ90),ABS(Resultados!DZ90))/SQRT(COUNT(Resultados!D90,Resultados!M90,Resultados!V90,Resultados!AE90,Resultados!AN90,Resultados!AW90,Resultados!BF90,Resultados!BO90,Resultados!BX90,Resultados!CG90,Resultados!CP90,Resultados!CY90,Resultados!DH90,Resultados!DQ90,Resultados!DZ90)))</f>
        <v>1.0119853189223063E-3</v>
      </c>
      <c r="E90">
        <f>IF(COUNT(Resultados!E90,Resultados!N90,Resultados!W90,Resultados!AF90,Resultados!AO90,Resultados!AX90,Resultados!BG90,Resultados!BP90,Resultados!BY90,Resultados!CH90,Resultados!CQ90,Resultados!CZ90,Resultados!DI90,Resultados!DR90,Resultados!EA90)&lt;=1, "", _xlfn.STDEV.S(ABS(Resultados!E90),ABS(Resultados!N90),ABS(Resultados!W90),ABS(Resultados!AF90),ABS(Resultados!AO90),ABS(Resultados!AX90),ABS(Resultados!BG90),ABS(Resultados!BP90),ABS(Resultados!BY90),ABS(Resultados!CH90),ABS(Resultados!CQ90),ABS(Resultados!CZ90),ABS(Resultados!DI90),ABS(Resultados!DR90),ABS(Resultados!EA90))/SQRT(COUNT(Resultados!E90,Resultados!N90,Resultados!W90,Resultados!AF90,Resultados!AO90,Resultados!AX90,Resultados!BG90,Resultados!BP90,Resultados!BY90,Resultados!CH90,Resultados!CQ90,Resultados!CZ90,Resultados!DI90,Resultados!DR90,Resultados!EA90)))</f>
        <v>6.5077413129139436E-2</v>
      </c>
      <c r="F90">
        <f>IF(COUNT(Resultados!F90,Resultados!O90,Resultados!X90,Resultados!AG90,Resultados!AP90,Resultados!AY90,Resultados!BH90,Resultados!BQ90,Resultados!BZ90,Resultados!CI90,Resultados!CR90,Resultados!DA90,Resultados!DJ90,Resultados!DS90,Resultados!EB90)&lt;=1, "", _xlfn.STDEV.S(ABS(Resultados!F90),ABS(Resultados!O90),ABS(Resultados!X90),ABS(Resultados!AG90),ABS(Resultados!AP90),ABS(Resultados!AY90),ABS(Resultados!BH90),ABS(Resultados!BQ90),ABS(Resultados!BZ90),ABS(Resultados!CI90),ABS(Resultados!CR90),ABS(Resultados!DA90),ABS(Resultados!DJ90),ABS(Resultados!DS90),ABS(Resultados!EB90))/SQRT(COUNT(Resultados!F90,Resultados!O90,Resultados!X90,Resultados!AG90,Resultados!AP90,Resultados!AY90,Resultados!BH90,Resultados!BQ90,Resultados!BZ90,Resultados!CI90,Resultados!CR90,Resultados!DA90,Resultados!DJ90,Resultados!DS90,Resultados!EB90)))</f>
        <v>6.1758465059553256</v>
      </c>
      <c r="G90">
        <f>IF(COUNT(Resultados!G90,Resultados!P90,Resultados!Y90,Resultados!AH90,Resultados!AQ90,Resultados!AZ90,Resultados!BI90,Resultados!BR90,Resultados!CA90,Resultados!CJ90,Resultados!CS90,Resultados!DB90,Resultados!DK90,Resultados!DT90,Resultados!EC90)&lt;=1, "", _xlfn.STDEV.S(ABS(Resultados!G90),ABS(Resultados!P90),ABS(Resultados!Y90),ABS(Resultados!AH90),ABS(Resultados!AQ90),ABS(Resultados!AZ90),ABS(Resultados!BI90),ABS(Resultados!BR90),ABS(Resultados!CA90),ABS(Resultados!CJ90),ABS(Resultados!CS90),ABS(Resultados!DB90),ABS(Resultados!DK90),ABS(Resultados!DT90),ABS(Resultados!EC90))/SQRT(COUNT(Resultados!G90,Resultados!P90,Resultados!Y90,Resultados!AH90,Resultados!AQ90,Resultados!AZ90,Resultados!BI90,Resultados!BR90,Resultados!CA90,Resultados!CJ90,Resultados!CS90,Resultados!DB90,Resultados!DK90,Resultados!DT90,Resultados!EC90)))</f>
        <v>4.4507937654163114E-17</v>
      </c>
      <c r="H90">
        <f>IF(COUNT(Resultados!H90,Resultados!Q90,Resultados!Z90,Resultados!AI90,Resultados!AR90,Resultados!BA90,Resultados!BJ90,Resultados!BS90,Resultados!CB90,Resultados!CK90,Resultados!CT90,Resultados!DC90,Resultados!DL90,Resultados!DU90,Resultados!ED90)&lt;=1, "", _xlfn.STDEV.S(ABS(Resultados!H90),ABS(Resultados!Q90),ABS(Resultados!Z90),ABS(Resultados!AI90),ABS(Resultados!AR90),ABS(Resultados!BA90),ABS(Resultados!BJ90),ABS(Resultados!BS90),ABS(Resultados!CB90),ABS(Resultados!CK90),ABS(Resultados!CT90),ABS(Resultados!DC90),ABS(Resultados!DL90),ABS(Resultados!DU90),ABS(Resultados!ED90))/SQRT(COUNT(Resultados!H90,Resultados!Q90,Resultados!Z90,Resultados!AI90,Resultados!AR90,Resultados!BA90,Resultados!BJ90,Resultados!BS90,Resultados!CB90,Resultados!CK90,Resultados!CT90,Resultados!DC90,Resultados!DL90,Resultados!DU90,Resultados!ED90)))</f>
        <v>1.0086986744677598E-3</v>
      </c>
      <c r="I90">
        <f>IF(COUNT(Resultados!I90,Resultados!R90,Resultados!AA90,Resultados!AJ90,Resultados!AS90,Resultados!BB90,Resultados!BK90,Resultados!BT90,Resultados!CC90,Resultados!CL90,Resultados!CU90,Resultados!DD90,Resultados!DM90,Resultados!DV90,Resultados!EE90)&lt;=1, "", _xlfn.STDEV.S(ABS(Resultados!I90),ABS(Resultados!R90),ABS(Resultados!AA90),ABS(Resultados!AJ90),ABS(Resultados!AS90),ABS(Resultados!BB90),ABS(Resultados!BK90),ABS(Resultados!BT90),ABS(Resultados!CC90),ABS(Resultados!CL90),ABS(Resultados!CU90),ABS(Resultados!DD90),ABS(Resultados!DM90),ABS(Resultados!DV90),ABS(Resultados!EE90))/SQRT(COUNT(Resultados!I90,Resultados!R90,Resultados!AA90,Resultados!AJ90,Resultados!AS90,Resultados!BB90,Resultados!BK90,Resultados!BT90,Resultados!CC90,Resultados!CL90,Resultados!CU90,Resultados!DD90,Resultados!DM90,Resultados!DV90,Resultados!EE90)))</f>
        <v>3.6453255124972411E-2</v>
      </c>
    </row>
    <row r="91" spans="1:9" x14ac:dyDescent="0.3">
      <c r="A91">
        <f>IF(COUNT(Resultados!A91,Resultados!J91,Resultados!S91,Resultados!AB91,Resultados!AK91,Resultados!AT91,Resultados!BC91,Resultados!BL91,Resultados!BU91,Resultados!CD91,Resultados!CM91,Resultados!CV91,Resultados!DE91,Resultados!DN91,Resultados!DW91)&lt;=1, "", _xlfn.STDEV.S(ABS(Resultados!A91),ABS(Resultados!J91),ABS(Resultados!S91),ABS(Resultados!AB91),ABS(Resultados!AK91),ABS(Resultados!AT91),ABS(Resultados!BC91),ABS(Resultados!BL91),ABS(Resultados!BU91),ABS(Resultados!CD91),ABS(Resultados!CM91),ABS(Resultados!CV91),ABS(Resultados!DE91),ABS(Resultados!DN91),ABS(Resultados!DW91))/SQRT(COUNT(Resultados!A91,Resultados!J91,Resultados!S91,Resultados!AB91,Resultados!AK91,Resultados!AT91,Resultados!BC91,Resultados!BL91,Resultados!BU91,Resultados!CD91,Resultados!CM91,Resultados!CV91,Resultados!DE91,Resultados!DN91,Resultados!DW91)))</f>
        <v>0</v>
      </c>
      <c r="B91" t="str">
        <f>IF(COUNT(Resultados!B91,Resultados!K91,Resultados!T91,Resultados!AC91,Resultados!AL91,Resultados!AU91,Resultados!BD91,Resultados!BM91,Resultados!BV91,Resultados!CE91,Resultados!CN91,Resultados!CW91,Resultados!DF91,Resultados!DO91,Resultados!DX91)&lt;=1, "", _xlfn.STDEV.S(ABS(Resultados!B91),ABS(Resultados!K91),ABS(Resultados!T91),ABS(Resultados!AC91),ABS(Resultados!AL91),ABS(Resultados!AU91),ABS(Resultados!BD91),ABS(Resultados!BM91),ABS(Resultados!BV91),ABS(Resultados!CE91),ABS(Resultados!CN91),ABS(Resultados!CW91),ABS(Resultados!DF91),ABS(Resultados!DO91),ABS(Resultados!DX91))/SQRT(COUNT(Resultados!B91,Resultados!K91,Resultados!T91,Resultados!AC91,Resultados!AL91,Resultados!AU91,Resultados!BD91,Resultados!BM91,Resultados!BV91,Resultados!CE91,Resultados!CN91,Resultados!CW91,Resultados!DF91,Resultados!DO91,Resultados!DX91)))</f>
        <v/>
      </c>
      <c r="C91">
        <f>IF(COUNT(Resultados!C91,Resultados!L91,Resultados!U91,Resultados!AD91,Resultados!AM91,Resultados!AV91,Resultados!BE91,Resultados!BN91,Resultados!BW91,Resultados!CF91,Resultados!CO91,Resultados!CX91,Resultados!DG91,Resultados!DP91,Resultados!DY91)&lt;=1, "", _xlfn.STDEV.S(ABS(Resultados!C91),ABS(Resultados!L91),ABS(Resultados!U91),ABS(Resultados!AD91),ABS(Resultados!AM91),ABS(Resultados!AV91),ABS(Resultados!BE91),ABS(Resultados!BN91),ABS(Resultados!BW91),ABS(Resultados!CF91),ABS(Resultados!CO91),ABS(Resultados!CX91),ABS(Resultados!DG91),ABS(Resultados!DP91),ABS(Resultados!DY91))/SQRT(COUNT(Resultados!C91,Resultados!L91,Resultados!U91,Resultados!AD91,Resultados!AM91,Resultados!AV91,Resultados!BE91,Resultados!BN91,Resultados!BW91,Resultados!CF91,Resultados!CO91,Resultados!CX91,Resultados!DG91,Resultados!DP91,Resultados!DY91)))</f>
        <v>0.46802523334497581</v>
      </c>
      <c r="D91">
        <f>IF(COUNT(Resultados!D91,Resultados!M91,Resultados!V91,Resultados!AE91,Resultados!AN91,Resultados!AW91,Resultados!BF91,Resultados!BO91,Resultados!BX91,Resultados!CG91,Resultados!CP91,Resultados!CY91,Resultados!DH91,Resultados!DQ91,Resultados!DZ91)&lt;=1, "", _xlfn.STDEV.S(ABS(Resultados!D91),ABS(Resultados!M91),ABS(Resultados!V91),ABS(Resultados!AE91),ABS(Resultados!AN91),ABS(Resultados!AW91),ABS(Resultados!BF91),ABS(Resultados!BO91),ABS(Resultados!BX91),ABS(Resultados!CG91),ABS(Resultados!CP91),ABS(Resultados!CY91),ABS(Resultados!DH91),ABS(Resultados!DQ91),ABS(Resultados!DZ91))/SQRT(COUNT(Resultados!D91,Resultados!M91,Resultados!V91,Resultados!AE91,Resultados!AN91,Resultados!AW91,Resultados!BF91,Resultados!BO91,Resultados!BX91,Resultados!CG91,Resultados!CP91,Resultados!CY91,Resultados!DH91,Resultados!DQ91,Resultados!DZ91)))</f>
        <v>9.7660571888491944E-4</v>
      </c>
      <c r="E91">
        <f>IF(COUNT(Resultados!E91,Resultados!N91,Resultados!W91,Resultados!AF91,Resultados!AO91,Resultados!AX91,Resultados!BG91,Resultados!BP91,Resultados!BY91,Resultados!CH91,Resultados!CQ91,Resultados!CZ91,Resultados!DI91,Resultados!DR91,Resultados!EA91)&lt;=1, "", _xlfn.STDEV.S(ABS(Resultados!E91),ABS(Resultados!N91),ABS(Resultados!W91),ABS(Resultados!AF91),ABS(Resultados!AO91),ABS(Resultados!AX91),ABS(Resultados!BG91),ABS(Resultados!BP91),ABS(Resultados!BY91),ABS(Resultados!CH91),ABS(Resultados!CQ91),ABS(Resultados!CZ91),ABS(Resultados!DI91),ABS(Resultados!DR91),ABS(Resultados!EA91))/SQRT(COUNT(Resultados!E91,Resultados!N91,Resultados!W91,Resultados!AF91,Resultados!AO91,Resultados!AX91,Resultados!BG91,Resultados!BP91,Resultados!BY91,Resultados!CH91,Resultados!CQ91,Resultados!CZ91,Resultados!DI91,Resultados!DR91,Resultados!EA91)))</f>
        <v>5.6673565096427347E-2</v>
      </c>
      <c r="F91">
        <f>IF(COUNT(Resultados!F91,Resultados!O91,Resultados!X91,Resultados!AG91,Resultados!AP91,Resultados!AY91,Resultados!BH91,Resultados!BQ91,Resultados!BZ91,Resultados!CI91,Resultados!CR91,Resultados!DA91,Resultados!DJ91,Resultados!DS91,Resultados!EB91)&lt;=1, "", _xlfn.STDEV.S(ABS(Resultados!F91),ABS(Resultados!O91),ABS(Resultados!X91),ABS(Resultados!AG91),ABS(Resultados!AP91),ABS(Resultados!AY91),ABS(Resultados!BH91),ABS(Resultados!BQ91),ABS(Resultados!BZ91),ABS(Resultados!CI91),ABS(Resultados!CR91),ABS(Resultados!DA91),ABS(Resultados!DJ91),ABS(Resultados!DS91),ABS(Resultados!EB91))/SQRT(COUNT(Resultados!F91,Resultados!O91,Resultados!X91,Resultados!AG91,Resultados!AP91,Resultados!AY91,Resultados!BH91,Resultados!BQ91,Resultados!BZ91,Resultados!CI91,Resultados!CR91,Resultados!DA91,Resultados!DJ91,Resultados!DS91,Resultados!EB91)))</f>
        <v>10.411352684449849</v>
      </c>
      <c r="G91">
        <f>IF(COUNT(Resultados!G91,Resultados!P91,Resultados!Y91,Resultados!AH91,Resultados!AQ91,Resultados!AZ91,Resultados!BI91,Resultados!BR91,Resultados!CA91,Resultados!CJ91,Resultados!CS91,Resultados!DB91,Resultados!DK91,Resultados!DT91,Resultados!EC91)&lt;=1, "", _xlfn.STDEV.S(ABS(Resultados!G91),ABS(Resultados!P91),ABS(Resultados!Y91),ABS(Resultados!AH91),ABS(Resultados!AQ91),ABS(Resultados!AZ91),ABS(Resultados!BI91),ABS(Resultados!BR91),ABS(Resultados!CA91),ABS(Resultados!CJ91),ABS(Resultados!CS91),ABS(Resultados!DB91),ABS(Resultados!DK91),ABS(Resultados!DT91),ABS(Resultados!EC91))/SQRT(COUNT(Resultados!G91,Resultados!P91,Resultados!Y91,Resultados!AH91,Resultados!AQ91,Resultados!AZ91,Resultados!BI91,Resultados!BR91,Resultados!CA91,Resultados!CJ91,Resultados!CS91,Resultados!DB91,Resultados!DK91,Resultados!DT91,Resultados!EC91)))</f>
        <v>4.4507937654163114E-17</v>
      </c>
      <c r="H91">
        <f>IF(COUNT(Resultados!H91,Resultados!Q91,Resultados!Z91,Resultados!AI91,Resultados!AR91,Resultados!BA91,Resultados!BJ91,Resultados!BS91,Resultados!CB91,Resultados!CK91,Resultados!CT91,Resultados!DC91,Resultados!DL91,Resultados!DU91,Resultados!ED91)&lt;=1, "", _xlfn.STDEV.S(ABS(Resultados!H91),ABS(Resultados!Q91),ABS(Resultados!Z91),ABS(Resultados!AI91),ABS(Resultados!AR91),ABS(Resultados!BA91),ABS(Resultados!BJ91),ABS(Resultados!BS91),ABS(Resultados!CB91),ABS(Resultados!CK91),ABS(Resultados!CT91),ABS(Resultados!DC91),ABS(Resultados!DL91),ABS(Resultados!DU91),ABS(Resultados!ED91))/SQRT(COUNT(Resultados!H91,Resultados!Q91,Resultados!Z91,Resultados!AI91,Resultados!AR91,Resultados!BA91,Resultados!BJ91,Resultados!BS91,Resultados!CB91,Resultados!CK91,Resultados!CT91,Resultados!DC91,Resultados!DL91,Resultados!DU91,Resultados!ED91)))</f>
        <v>8.799999999999996E-4</v>
      </c>
      <c r="I91">
        <f>IF(COUNT(Resultados!I91,Resultados!R91,Resultados!AA91,Resultados!AJ91,Resultados!AS91,Resultados!BB91,Resultados!BK91,Resultados!BT91,Resultados!CC91,Resultados!CL91,Resultados!CU91,Resultados!DD91,Resultados!DM91,Resultados!DV91,Resultados!EE91)&lt;=1, "", _xlfn.STDEV.S(ABS(Resultados!I91),ABS(Resultados!R91),ABS(Resultados!AA91),ABS(Resultados!AJ91),ABS(Resultados!AS91),ABS(Resultados!BB91),ABS(Resultados!BK91),ABS(Resultados!BT91),ABS(Resultados!CC91),ABS(Resultados!CL91),ABS(Resultados!CU91),ABS(Resultados!DD91),ABS(Resultados!DM91),ABS(Resultados!DV91),ABS(Resultados!EE91))/SQRT(COUNT(Resultados!I91,Resultados!R91,Resultados!AA91,Resultados!AJ91,Resultados!AS91,Resultados!BB91,Resultados!BK91,Resultados!BT91,Resultados!CC91,Resultados!CL91,Resultados!CU91,Resultados!DD91,Resultados!DM91,Resultados!DV91,Resultados!EE91)))</f>
        <v>3.633962750811702E-2</v>
      </c>
    </row>
    <row r="92" spans="1:9" x14ac:dyDescent="0.3">
      <c r="A92">
        <f>IF(COUNT(Resultados!A92,Resultados!J92,Resultados!S92,Resultados!AB92,Resultados!AK92,Resultados!AT92,Resultados!BC92,Resultados!BL92,Resultados!BU92,Resultados!CD92,Resultados!CM92,Resultados!CV92,Resultados!DE92,Resultados!DN92,Resultados!DW92)&lt;=1, "", _xlfn.STDEV.S(ABS(Resultados!A92),ABS(Resultados!J92),ABS(Resultados!S92),ABS(Resultados!AB92),ABS(Resultados!AK92),ABS(Resultados!AT92),ABS(Resultados!BC92),ABS(Resultados!BL92),ABS(Resultados!BU92),ABS(Resultados!CD92),ABS(Resultados!CM92),ABS(Resultados!CV92),ABS(Resultados!DE92),ABS(Resultados!DN92),ABS(Resultados!DW92))/SQRT(COUNT(Resultados!A92,Resultados!J92,Resultados!S92,Resultados!AB92,Resultados!AK92,Resultados!AT92,Resultados!BC92,Resultados!BL92,Resultados!BU92,Resultados!CD92,Resultados!CM92,Resultados!CV92,Resultados!DE92,Resultados!DN92,Resultados!DW92)))</f>
        <v>0</v>
      </c>
      <c r="B92" t="str">
        <f>IF(COUNT(Resultados!B92,Resultados!K92,Resultados!T92,Resultados!AC92,Resultados!AL92,Resultados!AU92,Resultados!BD92,Resultados!BM92,Resultados!BV92,Resultados!CE92,Resultados!CN92,Resultados!CW92,Resultados!DF92,Resultados!DO92,Resultados!DX92)&lt;=1, "", _xlfn.STDEV.S(ABS(Resultados!B92),ABS(Resultados!K92),ABS(Resultados!T92),ABS(Resultados!AC92),ABS(Resultados!AL92),ABS(Resultados!AU92),ABS(Resultados!BD92),ABS(Resultados!BM92),ABS(Resultados!BV92),ABS(Resultados!CE92),ABS(Resultados!CN92),ABS(Resultados!CW92),ABS(Resultados!DF92),ABS(Resultados!DO92),ABS(Resultados!DX92))/SQRT(COUNT(Resultados!B92,Resultados!K92,Resultados!T92,Resultados!AC92,Resultados!AL92,Resultados!AU92,Resultados!BD92,Resultados!BM92,Resultados!BV92,Resultados!CE92,Resultados!CN92,Resultados!CW92,Resultados!DF92,Resultados!DO92,Resultados!DX92)))</f>
        <v/>
      </c>
      <c r="C92">
        <f>IF(COUNT(Resultados!C92,Resultados!L92,Resultados!U92,Resultados!AD92,Resultados!AM92,Resultados!AV92,Resultados!BE92,Resultados!BN92,Resultados!BW92,Resultados!CF92,Resultados!CO92,Resultados!CX92,Resultados!DG92,Resultados!DP92,Resultados!DY92)&lt;=1, "", _xlfn.STDEV.S(ABS(Resultados!C92),ABS(Resultados!L92),ABS(Resultados!U92),ABS(Resultados!AD92),ABS(Resultados!AM92),ABS(Resultados!AV92),ABS(Resultados!BE92),ABS(Resultados!BN92),ABS(Resultados!BW92),ABS(Resultados!CF92),ABS(Resultados!CO92),ABS(Resultados!CX92),ABS(Resultados!DG92),ABS(Resultados!DP92),ABS(Resultados!DY92))/SQRT(COUNT(Resultados!C92,Resultados!L92,Resultados!U92,Resultados!AD92,Resultados!AM92,Resultados!AV92,Resultados!BE92,Resultados!BN92,Resultados!BW92,Resultados!CF92,Resultados!CO92,Resultados!CX92,Resultados!DG92,Resultados!DP92,Resultados!DY92)))</f>
        <v>0.46802523334497581</v>
      </c>
      <c r="D92">
        <f>IF(COUNT(Resultados!D92,Resultados!M92,Resultados!V92,Resultados!AE92,Resultados!AN92,Resultados!AW92,Resultados!BF92,Resultados!BO92,Resultados!BX92,Resultados!CG92,Resultados!CP92,Resultados!CY92,Resultados!DH92,Resultados!DQ92,Resultados!DZ92)&lt;=1, "", _xlfn.STDEV.S(ABS(Resultados!D92),ABS(Resultados!M92),ABS(Resultados!V92),ABS(Resultados!AE92),ABS(Resultados!AN92),ABS(Resultados!AW92),ABS(Resultados!BF92),ABS(Resultados!BO92),ABS(Resultados!BX92),ABS(Resultados!CG92),ABS(Resultados!CP92),ABS(Resultados!CY92),ABS(Resultados!DH92),ABS(Resultados!DQ92),ABS(Resultados!DZ92))/SQRT(COUNT(Resultados!D92,Resultados!M92,Resultados!V92,Resultados!AE92,Resultados!AN92,Resultados!AW92,Resultados!BF92,Resultados!BO92,Resultados!BX92,Resultados!CG92,Resultados!CP92,Resultados!CY92,Resultados!DH92,Resultados!DQ92,Resultados!DZ92)))</f>
        <v>7.9958322476983814E-4</v>
      </c>
      <c r="E92">
        <f>IF(COUNT(Resultados!E92,Resultados!N92,Resultados!W92,Resultados!AF92,Resultados!AO92,Resultados!AX92,Resultados!BG92,Resultados!BP92,Resultados!BY92,Resultados!CH92,Resultados!CQ92,Resultados!CZ92,Resultados!DI92,Resultados!DR92,Resultados!EA92)&lt;=1, "", _xlfn.STDEV.S(ABS(Resultados!E92),ABS(Resultados!N92),ABS(Resultados!W92),ABS(Resultados!AF92),ABS(Resultados!AO92),ABS(Resultados!AX92),ABS(Resultados!BG92),ABS(Resultados!BP92),ABS(Resultados!BY92),ABS(Resultados!CH92),ABS(Resultados!CQ92),ABS(Resultados!CZ92),ABS(Resultados!DI92),ABS(Resultados!DR92),ABS(Resultados!EA92))/SQRT(COUNT(Resultados!E92,Resultados!N92,Resultados!W92,Resultados!AF92,Resultados!AO92,Resultados!AX92,Resultados!BG92,Resultados!BP92,Resultados!BY92,Resultados!CH92,Resultados!CQ92,Resultados!CZ92,Resultados!DI92,Resultados!DR92,Resultados!EA92)))</f>
        <v>4.4936118451716689E-2</v>
      </c>
      <c r="F92">
        <f>IF(COUNT(Resultados!F92,Resultados!O92,Resultados!X92,Resultados!AG92,Resultados!AP92,Resultados!AY92,Resultados!BH92,Resultados!BQ92,Resultados!BZ92,Resultados!CI92,Resultados!CR92,Resultados!DA92,Resultados!DJ92,Resultados!DS92,Resultados!EB92)&lt;=1, "", _xlfn.STDEV.S(ABS(Resultados!F92),ABS(Resultados!O92),ABS(Resultados!X92),ABS(Resultados!AG92),ABS(Resultados!AP92),ABS(Resultados!AY92),ABS(Resultados!BH92),ABS(Resultados!BQ92),ABS(Resultados!BZ92),ABS(Resultados!CI92),ABS(Resultados!CR92),ABS(Resultados!DA92),ABS(Resultados!DJ92),ABS(Resultados!DS92),ABS(Resultados!EB92))/SQRT(COUNT(Resultados!F92,Resultados!O92,Resultados!X92,Resultados!AG92,Resultados!AP92,Resultados!AY92,Resultados!BH92,Resultados!BQ92,Resultados!BZ92,Resultados!CI92,Resultados!CR92,Resultados!DA92,Resultados!DJ92,Resultados!DS92,Resultados!EB92)))</f>
        <v>10.996464243350134</v>
      </c>
      <c r="G92">
        <f>IF(COUNT(Resultados!G92,Resultados!P92,Resultados!Y92,Resultados!AH92,Resultados!AQ92,Resultados!AZ92,Resultados!BI92,Resultados!BR92,Resultados!CA92,Resultados!CJ92,Resultados!CS92,Resultados!DB92,Resultados!DK92,Resultados!DT92,Resultados!EC92)&lt;=1, "", _xlfn.STDEV.S(ABS(Resultados!G92),ABS(Resultados!P92),ABS(Resultados!Y92),ABS(Resultados!AH92),ABS(Resultados!AQ92),ABS(Resultados!AZ92),ABS(Resultados!BI92),ABS(Resultados!BR92),ABS(Resultados!CA92),ABS(Resultados!CJ92),ABS(Resultados!CS92),ABS(Resultados!DB92),ABS(Resultados!DK92),ABS(Resultados!DT92),ABS(Resultados!EC92))/SQRT(COUNT(Resultados!G92,Resultados!P92,Resultados!Y92,Resultados!AH92,Resultados!AQ92,Resultados!AZ92,Resultados!BI92,Resultados!BR92,Resultados!CA92,Resultados!CJ92,Resultados!CS92,Resultados!DB92,Resultados!DK92,Resultados!DT92,Resultados!EC92)))</f>
        <v>4.4507937654163114E-17</v>
      </c>
      <c r="H92">
        <f>IF(COUNT(Resultados!H92,Resultados!Q92,Resultados!Z92,Resultados!AI92,Resultados!AR92,Resultados!BA92,Resultados!BJ92,Resultados!BS92,Resultados!CB92,Resultados!CK92,Resultados!CT92,Resultados!DC92,Resultados!DL92,Resultados!DU92,Resultados!ED92)&lt;=1, "", _xlfn.STDEV.S(ABS(Resultados!H92),ABS(Resultados!Q92),ABS(Resultados!Z92),ABS(Resultados!AI92),ABS(Resultados!AR92),ABS(Resultados!BA92),ABS(Resultados!BJ92),ABS(Resultados!BS92),ABS(Resultados!CB92),ABS(Resultados!CK92),ABS(Resultados!CT92),ABS(Resultados!DC92),ABS(Resultados!DL92),ABS(Resultados!DU92),ABS(Resultados!ED92))/SQRT(COUNT(Resultados!H92,Resultados!Q92,Resultados!Z92,Resultados!AI92,Resultados!AR92,Resultados!BA92,Resultados!BJ92,Resultados!BS92,Resultados!CB92,Resultados!CK92,Resultados!CT92,Resultados!DC92,Resultados!DL92,Resultados!DU92,Resultados!ED92)))</f>
        <v>6.9881986688216495E-4</v>
      </c>
      <c r="I92">
        <f>IF(COUNT(Resultados!I92,Resultados!R92,Resultados!AA92,Resultados!AJ92,Resultados!AS92,Resultados!BB92,Resultados!BK92,Resultados!BT92,Resultados!CC92,Resultados!CL92,Resultados!CU92,Resultados!DD92,Resultados!DM92,Resultados!DV92,Resultados!EE92)&lt;=1, "", _xlfn.STDEV.S(ABS(Resultados!I92),ABS(Resultados!R92),ABS(Resultados!AA92),ABS(Resultados!AJ92),ABS(Resultados!AS92),ABS(Resultados!BB92),ABS(Resultados!BK92),ABS(Resultados!BT92),ABS(Resultados!CC92),ABS(Resultados!CL92),ABS(Resultados!CU92),ABS(Resultados!DD92),ABS(Resultados!DM92),ABS(Resultados!DV92),ABS(Resultados!EE92))/SQRT(COUNT(Resultados!I92,Resultados!R92,Resultados!AA92,Resultados!AJ92,Resultados!AS92,Resultados!BB92,Resultados!BK92,Resultados!BT92,Resultados!CC92,Resultados!CL92,Resultados!CU92,Resultados!DD92,Resultados!DM92,Resultados!DV92,Resultados!EE92)))</f>
        <v>3.6430742538478028E-2</v>
      </c>
    </row>
    <row r="93" spans="1:9" x14ac:dyDescent="0.3">
      <c r="A93">
        <f>IF(COUNT(Resultados!A93,Resultados!J93,Resultados!S93,Resultados!AB93,Resultados!AK93,Resultados!AT93,Resultados!BC93,Resultados!BL93,Resultados!BU93,Resultados!CD93,Resultados!CM93,Resultados!CV93,Resultados!DE93,Resultados!DN93,Resultados!DW93)&lt;=1, "", _xlfn.STDEV.S(ABS(Resultados!A93),ABS(Resultados!J93),ABS(Resultados!S93),ABS(Resultados!AB93),ABS(Resultados!AK93),ABS(Resultados!AT93),ABS(Resultados!BC93),ABS(Resultados!BL93),ABS(Resultados!BU93),ABS(Resultados!CD93),ABS(Resultados!CM93),ABS(Resultados!CV93),ABS(Resultados!DE93),ABS(Resultados!DN93),ABS(Resultados!DW93))/SQRT(COUNT(Resultados!A93,Resultados!J93,Resultados!S93,Resultados!AB93,Resultados!AK93,Resultados!AT93,Resultados!BC93,Resultados!BL93,Resultados!BU93,Resultados!CD93,Resultados!CM93,Resultados!CV93,Resultados!DE93,Resultados!DN93,Resultados!DW93)))</f>
        <v>0</v>
      </c>
      <c r="B93" t="str">
        <f>IF(COUNT(Resultados!B93,Resultados!K93,Resultados!T93,Resultados!AC93,Resultados!AL93,Resultados!AU93,Resultados!BD93,Resultados!BM93,Resultados!BV93,Resultados!CE93,Resultados!CN93,Resultados!CW93,Resultados!DF93,Resultados!DO93,Resultados!DX93)&lt;=1, "", _xlfn.STDEV.S(ABS(Resultados!B93),ABS(Resultados!K93),ABS(Resultados!T93),ABS(Resultados!AC93),ABS(Resultados!AL93),ABS(Resultados!AU93),ABS(Resultados!BD93),ABS(Resultados!BM93),ABS(Resultados!BV93),ABS(Resultados!CE93),ABS(Resultados!CN93),ABS(Resultados!CW93),ABS(Resultados!DF93),ABS(Resultados!DO93),ABS(Resultados!DX93))/SQRT(COUNT(Resultados!B93,Resultados!K93,Resultados!T93,Resultados!AC93,Resultados!AL93,Resultados!AU93,Resultados!BD93,Resultados!BM93,Resultados!BV93,Resultados!CE93,Resultados!CN93,Resultados!CW93,Resultados!DF93,Resultados!DO93,Resultados!DX93)))</f>
        <v/>
      </c>
      <c r="C93">
        <f>IF(COUNT(Resultados!C93,Resultados!L93,Resultados!U93,Resultados!AD93,Resultados!AM93,Resultados!AV93,Resultados!BE93,Resultados!BN93,Resultados!BW93,Resultados!CF93,Resultados!CO93,Resultados!CX93,Resultados!DG93,Resultados!DP93,Resultados!DY93)&lt;=1, "", _xlfn.STDEV.S(ABS(Resultados!C93),ABS(Resultados!L93),ABS(Resultados!U93),ABS(Resultados!AD93),ABS(Resultados!AM93),ABS(Resultados!AV93),ABS(Resultados!BE93),ABS(Resultados!BN93),ABS(Resultados!BW93),ABS(Resultados!CF93),ABS(Resultados!CO93),ABS(Resultados!CX93),ABS(Resultados!DG93),ABS(Resultados!DP93),ABS(Resultados!DY93))/SQRT(COUNT(Resultados!C93,Resultados!L93,Resultados!U93,Resultados!AD93,Resultados!AM93,Resultados!AV93,Resultados!BE93,Resultados!BN93,Resultados!BW93,Resultados!CF93,Resultados!CO93,Resultados!CX93,Resultados!DG93,Resultados!DP93,Resultados!DY93)))</f>
        <v>0.49248317995611035</v>
      </c>
      <c r="D93">
        <f>IF(COUNT(Resultados!D93,Resultados!M93,Resultados!V93,Resultados!AE93,Resultados!AN93,Resultados!AW93,Resultados!BF93,Resultados!BO93,Resultados!BX93,Resultados!CG93,Resultados!CP93,Resultados!CY93,Resultados!DH93,Resultados!DQ93,Resultados!DZ93)&lt;=1, "", _xlfn.STDEV.S(ABS(Resultados!D93),ABS(Resultados!M93),ABS(Resultados!V93),ABS(Resultados!AE93),ABS(Resultados!AN93),ABS(Resultados!AW93),ABS(Resultados!BF93),ABS(Resultados!BO93),ABS(Resultados!BX93),ABS(Resultados!CG93),ABS(Resultados!CP93),ABS(Resultados!CY93),ABS(Resultados!DH93),ABS(Resultados!DQ93),ABS(Resultados!DZ93))/SQRT(COUNT(Resultados!D93,Resultados!M93,Resultados!V93,Resultados!AE93,Resultados!AN93,Resultados!AW93,Resultados!BF93,Resultados!BO93,Resultados!BX93,Resultados!CG93,Resultados!CP93,Resultados!CY93,Resultados!DH93,Resultados!DQ93,Resultados!DZ93)))</f>
        <v>6.1247870063387412E-4</v>
      </c>
      <c r="E93">
        <f>IF(COUNT(Resultados!E93,Resultados!N93,Resultados!W93,Resultados!AF93,Resultados!AO93,Resultados!AX93,Resultados!BG93,Resultados!BP93,Resultados!BY93,Resultados!CH93,Resultados!CQ93,Resultados!CZ93,Resultados!DI93,Resultados!DR93,Resultados!EA93)&lt;=1, "", _xlfn.STDEV.S(ABS(Resultados!E93),ABS(Resultados!N93),ABS(Resultados!W93),ABS(Resultados!AF93),ABS(Resultados!AO93),ABS(Resultados!AX93),ABS(Resultados!BG93),ABS(Resultados!BP93),ABS(Resultados!BY93),ABS(Resultados!CH93),ABS(Resultados!CQ93),ABS(Resultados!CZ93),ABS(Resultados!DI93),ABS(Resultados!DR93),ABS(Resultados!EA93))/SQRT(COUNT(Resultados!E93,Resultados!N93,Resultados!W93,Resultados!AF93,Resultados!AO93,Resultados!AX93,Resultados!BG93,Resultados!BP93,Resultados!BY93,Resultados!CH93,Resultados!CQ93,Resultados!CZ93,Resultados!DI93,Resultados!DR93,Resultados!EA93)))</f>
        <v>3.4658576756141285E-2</v>
      </c>
      <c r="F93">
        <f>IF(COUNT(Resultados!F93,Resultados!O93,Resultados!X93,Resultados!AG93,Resultados!AP93,Resultados!AY93,Resultados!BH93,Resultados!BQ93,Resultados!BZ93,Resultados!CI93,Resultados!CR93,Resultados!DA93,Resultados!DJ93,Resultados!DS93,Resultados!EB93)&lt;=1, "", _xlfn.STDEV.S(ABS(Resultados!F93),ABS(Resultados!O93),ABS(Resultados!X93),ABS(Resultados!AG93),ABS(Resultados!AP93),ABS(Resultados!AY93),ABS(Resultados!BH93),ABS(Resultados!BQ93),ABS(Resultados!BZ93),ABS(Resultados!CI93),ABS(Resultados!CR93),ABS(Resultados!DA93),ABS(Resultados!DJ93),ABS(Resultados!DS93),ABS(Resultados!EB93))/SQRT(COUNT(Resultados!F93,Resultados!O93,Resultados!X93,Resultados!AG93,Resultados!AP93,Resultados!AY93,Resultados!BH93,Resultados!BQ93,Resultados!BZ93,Resultados!CI93,Resultados!CR93,Resultados!DA93,Resultados!DJ93,Resultados!DS93,Resultados!EB93)))</f>
        <v>4.9111471790016905</v>
      </c>
      <c r="G93">
        <f>IF(COUNT(Resultados!G93,Resultados!P93,Resultados!Y93,Resultados!AH93,Resultados!AQ93,Resultados!AZ93,Resultados!BI93,Resultados!BR93,Resultados!CA93,Resultados!CJ93,Resultados!CS93,Resultados!DB93,Resultados!DK93,Resultados!DT93,Resultados!EC93)&lt;=1, "", _xlfn.STDEV.S(ABS(Resultados!G93),ABS(Resultados!P93),ABS(Resultados!Y93),ABS(Resultados!AH93),ABS(Resultados!AQ93),ABS(Resultados!AZ93),ABS(Resultados!BI93),ABS(Resultados!BR93),ABS(Resultados!CA93),ABS(Resultados!CJ93),ABS(Resultados!CS93),ABS(Resultados!DB93),ABS(Resultados!DK93),ABS(Resultados!DT93),ABS(Resultados!EC93))/SQRT(COUNT(Resultados!G93,Resultados!P93,Resultados!Y93,Resultados!AH93,Resultados!AQ93,Resultados!AZ93,Resultados!BI93,Resultados!BR93,Resultados!CA93,Resultados!CJ93,Resultados!CS93,Resultados!DB93,Resultados!DK93,Resultados!DT93,Resultados!EC93)))</f>
        <v>4.4507937654163114E-17</v>
      </c>
      <c r="H93">
        <f>IF(COUNT(Resultados!H93,Resultados!Q93,Resultados!Z93,Resultados!AI93,Resultados!AR93,Resultados!BA93,Resultados!BJ93,Resultados!BS93,Resultados!CB93,Resultados!CK93,Resultados!CT93,Resultados!DC93,Resultados!DL93,Resultados!DU93,Resultados!ED93)&lt;=1, "", _xlfn.STDEV.S(ABS(Resultados!H93),ABS(Resultados!Q93),ABS(Resultados!Z93),ABS(Resultados!AI93),ABS(Resultados!AR93),ABS(Resultados!BA93),ABS(Resultados!BJ93),ABS(Resultados!BS93),ABS(Resultados!CB93),ABS(Resultados!CK93),ABS(Resultados!CT93),ABS(Resultados!DC93),ABS(Resultados!DL93),ABS(Resultados!DU93),ABS(Resultados!ED93))/SQRT(COUNT(Resultados!H93,Resultados!Q93,Resultados!Z93,Resultados!AI93,Resultados!AR93,Resultados!BA93,Resultados!BJ93,Resultados!BS93,Resultados!CB93,Resultados!CK93,Resultados!CT93,Resultados!DC93,Resultados!DL93,Resultados!DU93,Resultados!ED93)))</f>
        <v>5.3770234286620833E-4</v>
      </c>
      <c r="I93">
        <f>IF(COUNT(Resultados!I93,Resultados!R93,Resultados!AA93,Resultados!AJ93,Resultados!AS93,Resultados!BB93,Resultados!BK93,Resultados!BT93,Resultados!CC93,Resultados!CL93,Resultados!CU93,Resultados!DD93,Resultados!DM93,Resultados!DV93,Resultados!EE93)&lt;=1, "", _xlfn.STDEV.S(ABS(Resultados!I93),ABS(Resultados!R93),ABS(Resultados!AA93),ABS(Resultados!AJ93),ABS(Resultados!AS93),ABS(Resultados!BB93),ABS(Resultados!BK93),ABS(Resultados!BT93),ABS(Resultados!CC93),ABS(Resultados!CL93),ABS(Resultados!CU93),ABS(Resultados!DD93),ABS(Resultados!DM93),ABS(Resultados!DV93),ABS(Resultados!EE93))/SQRT(COUNT(Resultados!I93,Resultados!R93,Resultados!AA93,Resultados!AJ93,Resultados!AS93,Resultados!BB93,Resultados!BK93,Resultados!BT93,Resultados!CC93,Resultados!CL93,Resultados!CU93,Resultados!DD93,Resultados!DM93,Resultados!DV93,Resultados!EE93)))</f>
        <v>3.6462591142503761E-2</v>
      </c>
    </row>
    <row r="94" spans="1:9" x14ac:dyDescent="0.3">
      <c r="A94">
        <f>IF(COUNT(Resultados!A94,Resultados!J94,Resultados!S94,Resultados!AB94,Resultados!AK94,Resultados!AT94,Resultados!BC94,Resultados!BL94,Resultados!BU94,Resultados!CD94,Resultados!CM94,Resultados!CV94,Resultados!DE94,Resultados!DN94,Resultados!DW94)&lt;=1, "", _xlfn.STDEV.S(ABS(Resultados!A94),ABS(Resultados!J94),ABS(Resultados!S94),ABS(Resultados!AB94),ABS(Resultados!AK94),ABS(Resultados!AT94),ABS(Resultados!BC94),ABS(Resultados!BL94),ABS(Resultados!BU94),ABS(Resultados!CD94),ABS(Resultados!CM94),ABS(Resultados!CV94),ABS(Resultados!DE94),ABS(Resultados!DN94),ABS(Resultados!DW94))/SQRT(COUNT(Resultados!A94,Resultados!J94,Resultados!S94,Resultados!AB94,Resultados!AK94,Resultados!AT94,Resultados!BC94,Resultados!BL94,Resultados!BU94,Resultados!CD94,Resultados!CM94,Resultados!CV94,Resultados!DE94,Resultados!DN94,Resultados!DW94)))</f>
        <v>0</v>
      </c>
      <c r="B94" t="str">
        <f>IF(COUNT(Resultados!B94,Resultados!K94,Resultados!T94,Resultados!AC94,Resultados!AL94,Resultados!AU94,Resultados!BD94,Resultados!BM94,Resultados!BV94,Resultados!CE94,Resultados!CN94,Resultados!CW94,Resultados!DF94,Resultados!DO94,Resultados!DX94)&lt;=1, "", _xlfn.STDEV.S(ABS(Resultados!B94),ABS(Resultados!K94),ABS(Resultados!T94),ABS(Resultados!AC94),ABS(Resultados!AL94),ABS(Resultados!AU94),ABS(Resultados!BD94),ABS(Resultados!BM94),ABS(Resultados!BV94),ABS(Resultados!CE94),ABS(Resultados!CN94),ABS(Resultados!CW94),ABS(Resultados!DF94),ABS(Resultados!DO94),ABS(Resultados!DX94))/SQRT(COUNT(Resultados!B94,Resultados!K94,Resultados!T94,Resultados!AC94,Resultados!AL94,Resultados!AU94,Resultados!BD94,Resultados!BM94,Resultados!BV94,Resultados!CE94,Resultados!CN94,Resultados!CW94,Resultados!DF94,Resultados!DO94,Resultados!DX94)))</f>
        <v/>
      </c>
      <c r="C94">
        <f>IF(COUNT(Resultados!C94,Resultados!L94,Resultados!U94,Resultados!AD94,Resultados!AM94,Resultados!AV94,Resultados!BE94,Resultados!BN94,Resultados!BW94,Resultados!CF94,Resultados!CO94,Resultados!CX94,Resultados!DG94,Resultados!DP94,Resultados!DY94)&lt;=1, "", _xlfn.STDEV.S(ABS(Resultados!C94),ABS(Resultados!L94),ABS(Resultados!U94),ABS(Resultados!AD94),ABS(Resultados!AM94),ABS(Resultados!AV94),ABS(Resultados!BE94),ABS(Resultados!BN94),ABS(Resultados!BW94),ABS(Resultados!CF94),ABS(Resultados!CO94),ABS(Resultados!CX94),ABS(Resultados!DG94),ABS(Resultados!DP94),ABS(Resultados!DY94))/SQRT(COUNT(Resultados!C94,Resultados!L94,Resultados!U94,Resultados!AD94,Resultados!AM94,Resultados!AV94,Resultados!BE94,Resultados!BN94,Resultados!BW94,Resultados!CF94,Resultados!CO94,Resultados!CX94,Resultados!DG94,Resultados!DP94,Resultados!DY94)))</f>
        <v>0.49248317995611035</v>
      </c>
      <c r="D94">
        <f>IF(COUNT(Resultados!D94,Resultados!M94,Resultados!V94,Resultados!AE94,Resultados!AN94,Resultados!AW94,Resultados!BF94,Resultados!BO94,Resultados!BX94,Resultados!CG94,Resultados!CP94,Resultados!CY94,Resultados!DH94,Resultados!DQ94,Resultados!DZ94)&lt;=1, "", _xlfn.STDEV.S(ABS(Resultados!D94),ABS(Resultados!M94),ABS(Resultados!V94),ABS(Resultados!AE94),ABS(Resultados!AN94),ABS(Resultados!AW94),ABS(Resultados!BF94),ABS(Resultados!BO94),ABS(Resultados!BX94),ABS(Resultados!CG94),ABS(Resultados!CP94),ABS(Resultados!CY94),ABS(Resultados!DH94),ABS(Resultados!DQ94),ABS(Resultados!DZ94))/SQRT(COUNT(Resultados!D94,Resultados!M94,Resultados!V94,Resultados!AE94,Resultados!AN94,Resultados!AW94,Resultados!BF94,Resultados!BO94,Resultados!BX94,Resultados!CG94,Resultados!CP94,Resultados!CY94,Resultados!DH94,Resultados!DQ94,Resultados!DZ94)))</f>
        <v>4.1939487776088006E-4</v>
      </c>
      <c r="E94">
        <f>IF(COUNT(Resultados!E94,Resultados!N94,Resultados!W94,Resultados!AF94,Resultados!AO94,Resultados!AX94,Resultados!BG94,Resultados!BP94,Resultados!BY94,Resultados!CH94,Resultados!CQ94,Resultados!CZ94,Resultados!DI94,Resultados!DR94,Resultados!EA94)&lt;=1, "", _xlfn.STDEV.S(ABS(Resultados!E94),ABS(Resultados!N94),ABS(Resultados!W94),ABS(Resultados!AF94),ABS(Resultados!AO94),ABS(Resultados!AX94),ABS(Resultados!BG94),ABS(Resultados!BP94),ABS(Resultados!BY94),ABS(Resultados!CH94),ABS(Resultados!CQ94),ABS(Resultados!CZ94),ABS(Resultados!DI94),ABS(Resultados!DR94),ABS(Resultados!EA94))/SQRT(COUNT(Resultados!E94,Resultados!N94,Resultados!W94,Resultados!AF94,Resultados!AO94,Resultados!AX94,Resultados!BG94,Resultados!BP94,Resultados!BY94,Resultados!CH94,Resultados!CQ94,Resultados!CZ94,Resultados!DI94,Resultados!DR94,Resultados!EA94)))</f>
        <v>3.1490272769305092E-2</v>
      </c>
      <c r="F94">
        <f>IF(COUNT(Resultados!F94,Resultados!O94,Resultados!X94,Resultados!AG94,Resultados!AP94,Resultados!AY94,Resultados!BH94,Resultados!BQ94,Resultados!BZ94,Resultados!CI94,Resultados!CR94,Resultados!DA94,Resultados!DJ94,Resultados!DS94,Resultados!EB94)&lt;=1, "", _xlfn.STDEV.S(ABS(Resultados!F94),ABS(Resultados!O94),ABS(Resultados!X94),ABS(Resultados!AG94),ABS(Resultados!AP94),ABS(Resultados!AY94),ABS(Resultados!BH94),ABS(Resultados!BQ94),ABS(Resultados!BZ94),ABS(Resultados!CI94),ABS(Resultados!CR94),ABS(Resultados!DA94),ABS(Resultados!DJ94),ABS(Resultados!DS94),ABS(Resultados!EB94))/SQRT(COUNT(Resultados!F94,Resultados!O94,Resultados!X94,Resultados!AG94,Resultados!AP94,Resultados!AY94,Resultados!BH94,Resultados!BQ94,Resultados!BZ94,Resultados!CI94,Resultados!CR94,Resultados!DA94,Resultados!DJ94,Resultados!DS94,Resultados!EB94)))</f>
        <v>6.9339030986702115</v>
      </c>
      <c r="G94">
        <f>IF(COUNT(Resultados!G94,Resultados!P94,Resultados!Y94,Resultados!AH94,Resultados!AQ94,Resultados!AZ94,Resultados!BI94,Resultados!BR94,Resultados!CA94,Resultados!CJ94,Resultados!CS94,Resultados!DB94,Resultados!DK94,Resultados!DT94,Resultados!EC94)&lt;=1, "", _xlfn.STDEV.S(ABS(Resultados!G94),ABS(Resultados!P94),ABS(Resultados!Y94),ABS(Resultados!AH94),ABS(Resultados!AQ94),ABS(Resultados!AZ94),ABS(Resultados!BI94),ABS(Resultados!BR94),ABS(Resultados!CA94),ABS(Resultados!CJ94),ABS(Resultados!CS94),ABS(Resultados!DB94),ABS(Resultados!DK94),ABS(Resultados!DT94),ABS(Resultados!EC94))/SQRT(COUNT(Resultados!G94,Resultados!P94,Resultados!Y94,Resultados!AH94,Resultados!AQ94,Resultados!AZ94,Resultados!BI94,Resultados!BR94,Resultados!CA94,Resultados!CJ94,Resultados!CS94,Resultados!DB94,Resultados!DK94,Resultados!DT94,Resultados!EC94)))</f>
        <v>4.4507937654163114E-17</v>
      </c>
      <c r="H94">
        <f>IF(COUNT(Resultados!H94,Resultados!Q94,Resultados!Z94,Resultados!AI94,Resultados!AR94,Resultados!BA94,Resultados!BJ94,Resultados!BS94,Resultados!CB94,Resultados!CK94,Resultados!CT94,Resultados!DC94,Resultados!DL94,Resultados!DU94,Resultados!ED94)&lt;=1, "", _xlfn.STDEV.S(ABS(Resultados!H94),ABS(Resultados!Q94),ABS(Resultados!Z94),ABS(Resultados!AI94),ABS(Resultados!AR94),ABS(Resultados!BA94),ABS(Resultados!BJ94),ABS(Resultados!BS94),ABS(Resultados!CB94),ABS(Resultados!CK94),ABS(Resultados!CT94),ABS(Resultados!DC94),ABS(Resultados!DL94),ABS(Resultados!DU94),ABS(Resultados!ED94))/SQRT(COUNT(Resultados!H94,Resultados!Q94,Resultados!Z94,Resultados!AI94,Resultados!AR94,Resultados!BA94,Resultados!BJ94,Resultados!BS94,Resultados!CB94,Resultados!CK94,Resultados!CT94,Resultados!DC94,Resultados!DL94,Resultados!DU94,Resultados!ED94)))</f>
        <v>4.8898988855712654E-4</v>
      </c>
      <c r="I94">
        <f>IF(COUNT(Resultados!I94,Resultados!R94,Resultados!AA94,Resultados!AJ94,Resultados!AS94,Resultados!BB94,Resultados!BK94,Resultados!BT94,Resultados!CC94,Resultados!CL94,Resultados!CU94,Resultados!DD94,Resultados!DM94,Resultados!DV94,Resultados!EE94)&lt;=1, "", _xlfn.STDEV.S(ABS(Resultados!I94),ABS(Resultados!R94),ABS(Resultados!AA94),ABS(Resultados!AJ94),ABS(Resultados!AS94),ABS(Resultados!BB94),ABS(Resultados!BK94),ABS(Resultados!BT94),ABS(Resultados!CC94),ABS(Resultados!CL94),ABS(Resultados!CU94),ABS(Resultados!DD94),ABS(Resultados!DM94),ABS(Resultados!DV94),ABS(Resultados!EE94))/SQRT(COUNT(Resultados!I94,Resultados!R94,Resultados!AA94,Resultados!AJ94,Resultados!AS94,Resultados!BB94,Resultados!BK94,Resultados!BT94,Resultados!CC94,Resultados!CL94,Resultados!CU94,Resultados!DD94,Resultados!DM94,Resultados!DV94,Resultados!EE94)))</f>
        <v>3.6508803281069743E-2</v>
      </c>
    </row>
    <row r="95" spans="1:9" x14ac:dyDescent="0.3">
      <c r="A95">
        <f>IF(COUNT(Resultados!A95,Resultados!J95,Resultados!S95,Resultados!AB95,Resultados!AK95,Resultados!AT95,Resultados!BC95,Resultados!BL95,Resultados!BU95,Resultados!CD95,Resultados!CM95,Resultados!CV95,Resultados!DE95,Resultados!DN95,Resultados!DW95)&lt;=1, "", _xlfn.STDEV.S(ABS(Resultados!A95),ABS(Resultados!J95),ABS(Resultados!S95),ABS(Resultados!AB95),ABS(Resultados!AK95),ABS(Resultados!AT95),ABS(Resultados!BC95),ABS(Resultados!BL95),ABS(Resultados!BU95),ABS(Resultados!CD95),ABS(Resultados!CM95),ABS(Resultados!CV95),ABS(Resultados!DE95),ABS(Resultados!DN95),ABS(Resultados!DW95))/SQRT(COUNT(Resultados!A95,Resultados!J95,Resultados!S95,Resultados!AB95,Resultados!AK95,Resultados!AT95,Resultados!BC95,Resultados!BL95,Resultados!BU95,Resultados!CD95,Resultados!CM95,Resultados!CV95,Resultados!DE95,Resultados!DN95,Resultados!DW95)))</f>
        <v>0</v>
      </c>
      <c r="B95" t="str">
        <f>IF(COUNT(Resultados!B95,Resultados!K95,Resultados!T95,Resultados!AC95,Resultados!AL95,Resultados!AU95,Resultados!BD95,Resultados!BM95,Resultados!BV95,Resultados!CE95,Resultados!CN95,Resultados!CW95,Resultados!DF95,Resultados!DO95,Resultados!DX95)&lt;=1, "", _xlfn.STDEV.S(ABS(Resultados!B95),ABS(Resultados!K95),ABS(Resultados!T95),ABS(Resultados!AC95),ABS(Resultados!AL95),ABS(Resultados!AU95),ABS(Resultados!BD95),ABS(Resultados!BM95),ABS(Resultados!BV95),ABS(Resultados!CE95),ABS(Resultados!CN95),ABS(Resultados!CW95),ABS(Resultados!DF95),ABS(Resultados!DO95),ABS(Resultados!DX95))/SQRT(COUNT(Resultados!B95,Resultados!K95,Resultados!T95,Resultados!AC95,Resultados!AL95,Resultados!AU95,Resultados!BD95,Resultados!BM95,Resultados!BV95,Resultados!CE95,Resultados!CN95,Resultados!CW95,Resultados!DF95,Resultados!DO95,Resultados!DX95)))</f>
        <v/>
      </c>
      <c r="C95">
        <f>IF(COUNT(Resultados!C95,Resultados!L95,Resultados!U95,Resultados!AD95,Resultados!AM95,Resultados!AV95,Resultados!BE95,Resultados!BN95,Resultados!BW95,Resultados!CF95,Resultados!CO95,Resultados!CX95,Resultados!DG95,Resultados!DP95,Resultados!DY95)&lt;=1, "", _xlfn.STDEV.S(ABS(Resultados!C95),ABS(Resultados!L95),ABS(Resultados!U95),ABS(Resultados!AD95),ABS(Resultados!AM95),ABS(Resultados!AV95),ABS(Resultados!BE95),ABS(Resultados!BN95),ABS(Resultados!BW95),ABS(Resultados!CF95),ABS(Resultados!CO95),ABS(Resultados!CX95),ABS(Resultados!DG95),ABS(Resultados!DP95),ABS(Resultados!DY95))/SQRT(COUNT(Resultados!C95,Resultados!L95,Resultados!U95,Resultados!AD95,Resultados!AM95,Resultados!AV95,Resultados!BE95,Resultados!BN95,Resultados!BW95,Resultados!CF95,Resultados!CO95,Resultados!CX95,Resultados!DG95,Resultados!DP95,Resultados!DY95)))</f>
        <v>0.49248317995611035</v>
      </c>
      <c r="D95">
        <f>IF(COUNT(Resultados!D95,Resultados!M95,Resultados!V95,Resultados!AE95,Resultados!AN95,Resultados!AW95,Resultados!BF95,Resultados!BO95,Resultados!BX95,Resultados!CG95,Resultados!CP95,Resultados!CY95,Resultados!DH95,Resultados!DQ95,Resultados!DZ95)&lt;=1, "", _xlfn.STDEV.S(ABS(Resultados!D95),ABS(Resultados!M95),ABS(Resultados!V95),ABS(Resultados!AE95),ABS(Resultados!AN95),ABS(Resultados!AW95),ABS(Resultados!BF95),ABS(Resultados!BO95),ABS(Resultados!BX95),ABS(Resultados!CG95),ABS(Resultados!CP95),ABS(Resultados!CY95),ABS(Resultados!DH95),ABS(Resultados!DQ95),ABS(Resultados!DZ95))/SQRT(COUNT(Resultados!D95,Resultados!M95,Resultados!V95,Resultados!AE95,Resultados!AN95,Resultados!AW95,Resultados!BF95,Resultados!BO95,Resultados!BX95,Resultados!CG95,Resultados!CP95,Resultados!CY95,Resultados!DH95,Resultados!DQ95,Resultados!DZ95)))</f>
        <v>2.5531804007414277E-4</v>
      </c>
      <c r="E95">
        <f>IF(COUNT(Resultados!E95,Resultados!N95,Resultados!W95,Resultados!AF95,Resultados!AO95,Resultados!AX95,Resultados!BG95,Resultados!BP95,Resultados!BY95,Resultados!CH95,Resultados!CQ95,Resultados!CZ95,Resultados!DI95,Resultados!DR95,Resultados!EA95)&lt;=1, "", _xlfn.STDEV.S(ABS(Resultados!E95),ABS(Resultados!N95),ABS(Resultados!W95),ABS(Resultados!AF95),ABS(Resultados!AO95),ABS(Resultados!AX95),ABS(Resultados!BG95),ABS(Resultados!BP95),ABS(Resultados!BY95),ABS(Resultados!CH95),ABS(Resultados!CQ95),ABS(Resultados!CZ95),ABS(Resultados!DI95),ABS(Resultados!DR95),ABS(Resultados!EA95))/SQRT(COUNT(Resultados!E95,Resultados!N95,Resultados!W95,Resultados!AF95,Resultados!AO95,Resultados!AX95,Resultados!BG95,Resultados!BP95,Resultados!BY95,Resultados!CH95,Resultados!CQ95,Resultados!CZ95,Resultados!DI95,Resultados!DR95,Resultados!EA95)))</f>
        <v>3.8612575425278392E-2</v>
      </c>
      <c r="F95">
        <f>IF(COUNT(Resultados!F95,Resultados!O95,Resultados!X95,Resultados!AG95,Resultados!AP95,Resultados!AY95,Resultados!BH95,Resultados!BQ95,Resultados!BZ95,Resultados!CI95,Resultados!CR95,Resultados!DA95,Resultados!DJ95,Resultados!DS95,Resultados!EB95)&lt;=1, "", _xlfn.STDEV.S(ABS(Resultados!F95),ABS(Resultados!O95),ABS(Resultados!X95),ABS(Resultados!AG95),ABS(Resultados!AP95),ABS(Resultados!AY95),ABS(Resultados!BH95),ABS(Resultados!BQ95),ABS(Resultados!BZ95),ABS(Resultados!CI95),ABS(Resultados!CR95),ABS(Resultados!DA95),ABS(Resultados!DJ95),ABS(Resultados!DS95),ABS(Resultados!EB95))/SQRT(COUNT(Resultados!F95,Resultados!O95,Resultados!X95,Resultados!AG95,Resultados!AP95,Resultados!AY95,Resultados!BH95,Resultados!BQ95,Resultados!BZ95,Resultados!CI95,Resultados!CR95,Resultados!DA95,Resultados!DJ95,Resultados!DS95,Resultados!EB95)))</f>
        <v>8.8991548357713999</v>
      </c>
      <c r="G95">
        <f>IF(COUNT(Resultados!G95,Resultados!P95,Resultados!Y95,Resultados!AH95,Resultados!AQ95,Resultados!AZ95,Resultados!BI95,Resultados!BR95,Resultados!CA95,Resultados!CJ95,Resultados!CS95,Resultados!DB95,Resultados!DK95,Resultados!DT95,Resultados!EC95)&lt;=1, "", _xlfn.STDEV.S(ABS(Resultados!G95),ABS(Resultados!P95),ABS(Resultados!Y95),ABS(Resultados!AH95),ABS(Resultados!AQ95),ABS(Resultados!AZ95),ABS(Resultados!BI95),ABS(Resultados!BR95),ABS(Resultados!CA95),ABS(Resultados!CJ95),ABS(Resultados!CS95),ABS(Resultados!DB95),ABS(Resultados!DK95),ABS(Resultados!DT95),ABS(Resultados!EC95))/SQRT(COUNT(Resultados!G95,Resultados!P95,Resultados!Y95,Resultados!AH95,Resultados!AQ95,Resultados!AZ95,Resultados!BI95,Resultados!BR95,Resultados!CA95,Resultados!CJ95,Resultados!CS95,Resultados!DB95,Resultados!DK95,Resultados!DT95,Resultados!EC95)))</f>
        <v>4.4507937654163114E-17</v>
      </c>
      <c r="H95">
        <f>IF(COUNT(Resultados!H95,Resultados!Q95,Resultados!Z95,Resultados!AI95,Resultados!AR95,Resultados!BA95,Resultados!BJ95,Resultados!BS95,Resultados!CB95,Resultados!CK95,Resultados!CT95,Resultados!DC95,Resultados!DL95,Resultados!DU95,Resultados!ED95)&lt;=1, "", _xlfn.STDEV.S(ABS(Resultados!H95),ABS(Resultados!Q95),ABS(Resultados!Z95),ABS(Resultados!AI95),ABS(Resultados!AR95),ABS(Resultados!BA95),ABS(Resultados!BJ95),ABS(Resultados!BS95),ABS(Resultados!CB95),ABS(Resultados!CK95),ABS(Resultados!CT95),ABS(Resultados!DC95),ABS(Resultados!DL95),ABS(Resultados!DU95),ABS(Resultados!ED95))/SQRT(COUNT(Resultados!H95,Resultados!Q95,Resultados!Z95,Resultados!AI95,Resultados!AR95,Resultados!BA95,Resultados!BJ95,Resultados!BS95,Resultados!CB95,Resultados!CK95,Resultados!CT95,Resultados!DC95,Resultados!DL95,Resultados!DU95,Resultados!ED95)))</f>
        <v>6.0249217870178659E-4</v>
      </c>
      <c r="I95">
        <f>IF(COUNT(Resultados!I95,Resultados!R95,Resultados!AA95,Resultados!AJ95,Resultados!AS95,Resultados!BB95,Resultados!BK95,Resultados!BT95,Resultados!CC95,Resultados!CL95,Resultados!CU95,Resultados!DD95,Resultados!DM95,Resultados!DV95,Resultados!EE95)&lt;=1, "", _xlfn.STDEV.S(ABS(Resultados!I95),ABS(Resultados!R95),ABS(Resultados!AA95),ABS(Resultados!AJ95),ABS(Resultados!AS95),ABS(Resultados!BB95),ABS(Resultados!BK95),ABS(Resultados!BT95),ABS(Resultados!CC95),ABS(Resultados!CL95),ABS(Resultados!CU95),ABS(Resultados!DD95),ABS(Resultados!DM95),ABS(Resultados!DV95),ABS(Resultados!EE95))/SQRT(COUNT(Resultados!I95,Resultados!R95,Resultados!AA95,Resultados!AJ95,Resultados!AS95,Resultados!BB95,Resultados!BK95,Resultados!BT95,Resultados!CC95,Resultados!CL95,Resultados!CU95,Resultados!DD95,Resultados!DM95,Resultados!DV95,Resultados!EE95)))</f>
        <v>3.6432057349678498E-2</v>
      </c>
    </row>
    <row r="96" spans="1:9" x14ac:dyDescent="0.3">
      <c r="A96">
        <f>IF(COUNT(Resultados!A96,Resultados!J96,Resultados!S96,Resultados!AB96,Resultados!AK96,Resultados!AT96,Resultados!BC96,Resultados!BL96,Resultados!BU96,Resultados!CD96,Resultados!CM96,Resultados!CV96,Resultados!DE96,Resultados!DN96,Resultados!DW96)&lt;=1, "", _xlfn.STDEV.S(ABS(Resultados!A96),ABS(Resultados!J96),ABS(Resultados!S96),ABS(Resultados!AB96),ABS(Resultados!AK96),ABS(Resultados!AT96),ABS(Resultados!BC96),ABS(Resultados!BL96),ABS(Resultados!BU96),ABS(Resultados!CD96),ABS(Resultados!CM96),ABS(Resultados!CV96),ABS(Resultados!DE96),ABS(Resultados!DN96),ABS(Resultados!DW96))/SQRT(COUNT(Resultados!A96,Resultados!J96,Resultados!S96,Resultados!AB96,Resultados!AK96,Resultados!AT96,Resultados!BC96,Resultados!BL96,Resultados!BU96,Resultados!CD96,Resultados!CM96,Resultados!CV96,Resultados!DE96,Resultados!DN96,Resultados!DW96)))</f>
        <v>0</v>
      </c>
      <c r="B96" t="str">
        <f>IF(COUNT(Resultados!B96,Resultados!K96,Resultados!T96,Resultados!AC96,Resultados!AL96,Resultados!AU96,Resultados!BD96,Resultados!BM96,Resultados!BV96,Resultados!CE96,Resultados!CN96,Resultados!CW96,Resultados!DF96,Resultados!DO96,Resultados!DX96)&lt;=1, "", _xlfn.STDEV.S(ABS(Resultados!B96),ABS(Resultados!K96),ABS(Resultados!T96),ABS(Resultados!AC96),ABS(Resultados!AL96),ABS(Resultados!AU96),ABS(Resultados!BD96),ABS(Resultados!BM96),ABS(Resultados!BV96),ABS(Resultados!CE96),ABS(Resultados!CN96),ABS(Resultados!CW96),ABS(Resultados!DF96),ABS(Resultados!DO96),ABS(Resultados!DX96))/SQRT(COUNT(Resultados!B96,Resultados!K96,Resultados!T96,Resultados!AC96,Resultados!AL96,Resultados!AU96,Resultados!BD96,Resultados!BM96,Resultados!BV96,Resultados!CE96,Resultados!CN96,Resultados!CW96,Resultados!DF96,Resultados!DO96,Resultados!DX96)))</f>
        <v/>
      </c>
      <c r="C96">
        <f>IF(COUNT(Resultados!C96,Resultados!L96,Resultados!U96,Resultados!AD96,Resultados!AM96,Resultados!AV96,Resultados!BE96,Resultados!BN96,Resultados!BW96,Resultados!CF96,Resultados!CO96,Resultados!CX96,Resultados!DG96,Resultados!DP96,Resultados!DY96)&lt;=1, "", _xlfn.STDEV.S(ABS(Resultados!C96),ABS(Resultados!L96),ABS(Resultados!U96),ABS(Resultados!AD96),ABS(Resultados!AM96),ABS(Resultados!AV96),ABS(Resultados!BE96),ABS(Resultados!BN96),ABS(Resultados!BW96),ABS(Resultados!CF96),ABS(Resultados!CO96),ABS(Resultados!CX96),ABS(Resultados!DG96),ABS(Resultados!DP96),ABS(Resultados!DY96))/SQRT(COUNT(Resultados!C96,Resultados!L96,Resultados!U96,Resultados!AD96,Resultados!AM96,Resultados!AV96,Resultados!BE96,Resultados!BN96,Resultados!BW96,Resultados!CF96,Resultados!CO96,Resultados!CX96,Resultados!DG96,Resultados!DP96,Resultados!DY96)))</f>
        <v>0.49248317995611035</v>
      </c>
      <c r="D96">
        <f>IF(COUNT(Resultados!D96,Resultados!M96,Resultados!V96,Resultados!AE96,Resultados!AN96,Resultados!AW96,Resultados!BF96,Resultados!BO96,Resultados!BX96,Resultados!CG96,Resultados!CP96,Resultados!CY96,Resultados!DH96,Resultados!DQ96,Resultados!DZ96)&lt;=1, "", _xlfn.STDEV.S(ABS(Resultados!D96),ABS(Resultados!M96),ABS(Resultados!V96),ABS(Resultados!AE96),ABS(Resultados!AN96),ABS(Resultados!AW96),ABS(Resultados!BF96),ABS(Resultados!BO96),ABS(Resultados!BX96),ABS(Resultados!CG96),ABS(Resultados!CP96),ABS(Resultados!CY96),ABS(Resultados!DH96),ABS(Resultados!DQ96),ABS(Resultados!DZ96))/SQRT(COUNT(Resultados!D96,Resultados!M96,Resultados!V96,Resultados!AE96,Resultados!AN96,Resultados!AW96,Resultados!BF96,Resultados!BO96,Resultados!BX96,Resultados!CG96,Resultados!CP96,Resultados!CY96,Resultados!DH96,Resultados!DQ96,Resultados!DZ96)))</f>
        <v>3.1872762915583831E-4</v>
      </c>
      <c r="E96">
        <f>IF(COUNT(Resultados!E96,Resultados!N96,Resultados!W96,Resultados!AF96,Resultados!AO96,Resultados!AX96,Resultados!BG96,Resultados!BP96,Resultados!BY96,Resultados!CH96,Resultados!CQ96,Resultados!CZ96,Resultados!DI96,Resultados!DR96,Resultados!EA96)&lt;=1, "", _xlfn.STDEV.S(ABS(Resultados!E96),ABS(Resultados!N96),ABS(Resultados!W96),ABS(Resultados!AF96),ABS(Resultados!AO96),ABS(Resultados!AX96),ABS(Resultados!BG96),ABS(Resultados!BP96),ABS(Resultados!BY96),ABS(Resultados!CH96),ABS(Resultados!CQ96),ABS(Resultados!CZ96),ABS(Resultados!DI96),ABS(Resultados!DR96),ABS(Resultados!EA96))/SQRT(COUNT(Resultados!E96,Resultados!N96,Resultados!W96,Resultados!AF96,Resultados!AO96,Resultados!AX96,Resultados!BG96,Resultados!BP96,Resultados!BY96,Resultados!CH96,Resultados!CQ96,Resultados!CZ96,Resultados!DI96,Resultados!DR96,Resultados!EA96)))</f>
        <v>5.0292342425104559E-2</v>
      </c>
      <c r="F96">
        <f>IF(COUNT(Resultados!F96,Resultados!O96,Resultados!X96,Resultados!AG96,Resultados!AP96,Resultados!AY96,Resultados!BH96,Resultados!BQ96,Resultados!BZ96,Resultados!CI96,Resultados!CR96,Resultados!DA96,Resultados!DJ96,Resultados!DS96,Resultados!EB96)&lt;=1, "", _xlfn.STDEV.S(ABS(Resultados!F96),ABS(Resultados!O96),ABS(Resultados!X96),ABS(Resultados!AG96),ABS(Resultados!AP96),ABS(Resultados!AY96),ABS(Resultados!BH96),ABS(Resultados!BQ96),ABS(Resultados!BZ96),ABS(Resultados!CI96),ABS(Resultados!CR96),ABS(Resultados!DA96),ABS(Resultados!DJ96),ABS(Resultados!DS96),ABS(Resultados!EB96))/SQRT(COUNT(Resultados!F96,Resultados!O96,Resultados!X96,Resultados!AG96,Resultados!AP96,Resultados!AY96,Resultados!BH96,Resultados!BQ96,Resultados!BZ96,Resultados!CI96,Resultados!CR96,Resultados!DA96,Resultados!DJ96,Resultados!DS96,Resultados!EB96)))</f>
        <v>10.644487743526334</v>
      </c>
      <c r="G96">
        <f>IF(COUNT(Resultados!G96,Resultados!P96,Resultados!Y96,Resultados!AH96,Resultados!AQ96,Resultados!AZ96,Resultados!BI96,Resultados!BR96,Resultados!CA96,Resultados!CJ96,Resultados!CS96,Resultados!DB96,Resultados!DK96,Resultados!DT96,Resultados!EC96)&lt;=1, "", _xlfn.STDEV.S(ABS(Resultados!G96),ABS(Resultados!P96),ABS(Resultados!Y96),ABS(Resultados!AH96),ABS(Resultados!AQ96),ABS(Resultados!AZ96),ABS(Resultados!BI96),ABS(Resultados!BR96),ABS(Resultados!CA96),ABS(Resultados!CJ96),ABS(Resultados!CS96),ABS(Resultados!DB96),ABS(Resultados!DK96),ABS(Resultados!DT96),ABS(Resultados!EC96))/SQRT(COUNT(Resultados!G96,Resultados!P96,Resultados!Y96,Resultados!AH96,Resultados!AQ96,Resultados!AZ96,Resultados!BI96,Resultados!BR96,Resultados!CA96,Resultados!CJ96,Resultados!CS96,Resultados!DB96,Resultados!DK96,Resultados!DT96,Resultados!EC96)))</f>
        <v>4.4507937654163114E-17</v>
      </c>
      <c r="H96">
        <f>IF(COUNT(Resultados!H96,Resultados!Q96,Resultados!Z96,Resultados!AI96,Resultados!AR96,Resultados!BA96,Resultados!BJ96,Resultados!BS96,Resultados!CB96,Resultados!CK96,Resultados!CT96,Resultados!DC96,Resultados!DL96,Resultados!DU96,Resultados!ED96)&lt;=1, "", _xlfn.STDEV.S(ABS(Resultados!H96),ABS(Resultados!Q96),ABS(Resultados!Z96),ABS(Resultados!AI96),ABS(Resultados!AR96),ABS(Resultados!BA96),ABS(Resultados!BJ96),ABS(Resultados!BS96),ABS(Resultados!CB96),ABS(Resultados!CK96),ABS(Resultados!CT96),ABS(Resultados!DC96),ABS(Resultados!DL96),ABS(Resultados!DU96),ABS(Resultados!ED96))/SQRT(COUNT(Resultados!H96,Resultados!Q96,Resultados!Z96,Resultados!AI96,Resultados!AR96,Resultados!BA96,Resultados!BJ96,Resultados!BS96,Resultados!CB96,Resultados!CK96,Resultados!CT96,Resultados!DC96,Resultados!DL96,Resultados!DU96,Resultados!ED96)))</f>
        <v>7.8227182382417833E-4</v>
      </c>
      <c r="I96">
        <f>IF(COUNT(Resultados!I96,Resultados!R96,Resultados!AA96,Resultados!AJ96,Resultados!AS96,Resultados!BB96,Resultados!BK96,Resultados!BT96,Resultados!CC96,Resultados!CL96,Resultados!CU96,Resultados!DD96,Resultados!DM96,Resultados!DV96,Resultados!EE96)&lt;=1, "", _xlfn.STDEV.S(ABS(Resultados!I96),ABS(Resultados!R96),ABS(Resultados!AA96),ABS(Resultados!AJ96),ABS(Resultados!AS96),ABS(Resultados!BB96),ABS(Resultados!BK96),ABS(Resultados!BT96),ABS(Resultados!CC96),ABS(Resultados!CL96),ABS(Resultados!CU96),ABS(Resultados!DD96),ABS(Resultados!DM96),ABS(Resultados!DV96),ABS(Resultados!EE96))/SQRT(COUNT(Resultados!I96,Resultados!R96,Resultados!AA96,Resultados!AJ96,Resultados!AS96,Resultados!BB96,Resultados!BK96,Resultados!BT96,Resultados!CC96,Resultados!CL96,Resultados!CU96,Resultados!DD96,Resultados!DM96,Resultados!DV96,Resultados!EE96)))</f>
        <v>3.6479344637839965E-2</v>
      </c>
    </row>
    <row r="97" spans="1:9" x14ac:dyDescent="0.3">
      <c r="A97">
        <f>IF(COUNT(Resultados!A97,Resultados!J97,Resultados!S97,Resultados!AB97,Resultados!AK97,Resultados!AT97,Resultados!BC97,Resultados!BL97,Resultados!BU97,Resultados!CD97,Resultados!CM97,Resultados!CV97,Resultados!DE97,Resultados!DN97,Resultados!DW97)&lt;=1, "", _xlfn.STDEV.S(ABS(Resultados!A97),ABS(Resultados!J97),ABS(Resultados!S97),ABS(Resultados!AB97),ABS(Resultados!AK97),ABS(Resultados!AT97),ABS(Resultados!BC97),ABS(Resultados!BL97),ABS(Resultados!BU97),ABS(Resultados!CD97),ABS(Resultados!CM97),ABS(Resultados!CV97),ABS(Resultados!DE97),ABS(Resultados!DN97),ABS(Resultados!DW97))/SQRT(COUNT(Resultados!A97,Resultados!J97,Resultados!S97,Resultados!AB97,Resultados!AK97,Resultados!AT97,Resultados!BC97,Resultados!BL97,Resultados!BU97,Resultados!CD97,Resultados!CM97,Resultados!CV97,Resultados!DE97,Resultados!DN97,Resultados!DW97)))</f>
        <v>0</v>
      </c>
      <c r="B97" t="str">
        <f>IF(COUNT(Resultados!B97,Resultados!K97,Resultados!T97,Resultados!AC97,Resultados!AL97,Resultados!AU97,Resultados!BD97,Resultados!BM97,Resultados!BV97,Resultados!CE97,Resultados!CN97,Resultados!CW97,Resultados!DF97,Resultados!DO97,Resultados!DX97)&lt;=1, "", _xlfn.STDEV.S(ABS(Resultados!B97),ABS(Resultados!K97),ABS(Resultados!T97),ABS(Resultados!AC97),ABS(Resultados!AL97),ABS(Resultados!AU97),ABS(Resultados!BD97),ABS(Resultados!BM97),ABS(Resultados!BV97),ABS(Resultados!CE97),ABS(Resultados!CN97),ABS(Resultados!CW97),ABS(Resultados!DF97),ABS(Resultados!DO97),ABS(Resultados!DX97))/SQRT(COUNT(Resultados!B97,Resultados!K97,Resultados!T97,Resultados!AC97,Resultados!AL97,Resultados!AU97,Resultados!BD97,Resultados!BM97,Resultados!BV97,Resultados!CE97,Resultados!CN97,Resultados!CW97,Resultados!DF97,Resultados!DO97,Resultados!DX97)))</f>
        <v/>
      </c>
      <c r="C97">
        <f>IF(COUNT(Resultados!C97,Resultados!L97,Resultados!U97,Resultados!AD97,Resultados!AM97,Resultados!AV97,Resultados!BE97,Resultados!BN97,Resultados!BW97,Resultados!CF97,Resultados!CO97,Resultados!CX97,Resultados!DG97,Resultados!DP97,Resultados!DY97)&lt;=1, "", _xlfn.STDEV.S(ABS(Resultados!C97),ABS(Resultados!L97),ABS(Resultados!U97),ABS(Resultados!AD97),ABS(Resultados!AM97),ABS(Resultados!AV97),ABS(Resultados!BE97),ABS(Resultados!BN97),ABS(Resultados!BW97),ABS(Resultados!CF97),ABS(Resultados!CO97),ABS(Resultados!CX97),ABS(Resultados!DG97),ABS(Resultados!DP97),ABS(Resultados!DY97))/SQRT(COUNT(Resultados!C97,Resultados!L97,Resultados!U97,Resultados!AD97,Resultados!AM97,Resultados!AV97,Resultados!BE97,Resultados!BN97,Resultados!BW97,Resultados!CF97,Resultados!CO97,Resultados!CX97,Resultados!DG97,Resultados!DP97,Resultados!DY97)))</f>
        <v>0.49633577983982402</v>
      </c>
      <c r="D97">
        <f>IF(COUNT(Resultados!D97,Resultados!M97,Resultados!V97,Resultados!AE97,Resultados!AN97,Resultados!AW97,Resultados!BF97,Resultados!BO97,Resultados!BX97,Resultados!CG97,Resultados!CP97,Resultados!CY97,Resultados!DH97,Resultados!DQ97,Resultados!DZ97)&lt;=1, "", _xlfn.STDEV.S(ABS(Resultados!D97),ABS(Resultados!M97),ABS(Resultados!V97),ABS(Resultados!AE97),ABS(Resultados!AN97),ABS(Resultados!AW97),ABS(Resultados!BF97),ABS(Resultados!BO97),ABS(Resultados!BX97),ABS(Resultados!CG97),ABS(Resultados!CP97),ABS(Resultados!CY97),ABS(Resultados!DH97),ABS(Resultados!DQ97),ABS(Resultados!DZ97))/SQRT(COUNT(Resultados!D97,Resultados!M97,Resultados!V97,Resultados!AE97,Resultados!AN97,Resultados!AW97,Resultados!BF97,Resultados!BO97,Resultados!BX97,Resultados!CG97,Resultados!CP97,Resultados!CY97,Resultados!DH97,Resultados!DQ97,Resultados!DZ97)))</f>
        <v>5.8030096187168794E-4</v>
      </c>
      <c r="E97">
        <f>IF(COUNT(Resultados!E97,Resultados!N97,Resultados!W97,Resultados!AF97,Resultados!AO97,Resultados!AX97,Resultados!BG97,Resultados!BP97,Resultados!BY97,Resultados!CH97,Resultados!CQ97,Resultados!CZ97,Resultados!DI97,Resultados!DR97,Resultados!EA97)&lt;=1, "", _xlfn.STDEV.S(ABS(Resultados!E97),ABS(Resultados!N97),ABS(Resultados!W97),ABS(Resultados!AF97),ABS(Resultados!AO97),ABS(Resultados!AX97),ABS(Resultados!BG97),ABS(Resultados!BP97),ABS(Resultados!BY97),ABS(Resultados!CH97),ABS(Resultados!CQ97),ABS(Resultados!CZ97),ABS(Resultados!DI97),ABS(Resultados!DR97),ABS(Resultados!EA97))/SQRT(COUNT(Resultados!E97,Resultados!N97,Resultados!W97,Resultados!AF97,Resultados!AO97,Resultados!AX97,Resultados!BG97,Resultados!BP97,Resultados!BY97,Resultados!CH97,Resultados!CQ97,Resultados!CZ97,Resultados!DI97,Resultados!DR97,Resultados!EA97)))</f>
        <v>6.0725925432661539E-2</v>
      </c>
      <c r="F97">
        <f>IF(COUNT(Resultados!F97,Resultados!O97,Resultados!X97,Resultados!AG97,Resultados!AP97,Resultados!AY97,Resultados!BH97,Resultados!BQ97,Resultados!BZ97,Resultados!CI97,Resultados!CR97,Resultados!DA97,Resultados!DJ97,Resultados!DS97,Resultados!EB97)&lt;=1, "", _xlfn.STDEV.S(ABS(Resultados!F97),ABS(Resultados!O97),ABS(Resultados!X97),ABS(Resultados!AG97),ABS(Resultados!AP97),ABS(Resultados!AY97),ABS(Resultados!BH97),ABS(Resultados!BQ97),ABS(Resultados!BZ97),ABS(Resultados!CI97),ABS(Resultados!CR97),ABS(Resultados!DA97),ABS(Resultados!DJ97),ABS(Resultados!DS97),ABS(Resultados!EB97))/SQRT(COUNT(Resultados!F97,Resultados!O97,Resultados!X97,Resultados!AG97,Resultados!AP97,Resultados!AY97,Resultados!BH97,Resultados!BQ97,Resultados!BZ97,Resultados!CI97,Resultados!CR97,Resultados!DA97,Resultados!DJ97,Resultados!DS97,Resultados!EB97)))</f>
        <v>12.001681601992139</v>
      </c>
      <c r="G97">
        <f>IF(COUNT(Resultados!G97,Resultados!P97,Resultados!Y97,Resultados!AH97,Resultados!AQ97,Resultados!AZ97,Resultados!BI97,Resultados!BR97,Resultados!CA97,Resultados!CJ97,Resultados!CS97,Resultados!DB97,Resultados!DK97,Resultados!DT97,Resultados!EC97)&lt;=1, "", _xlfn.STDEV.S(ABS(Resultados!G97),ABS(Resultados!P97),ABS(Resultados!Y97),ABS(Resultados!AH97),ABS(Resultados!AQ97),ABS(Resultados!AZ97),ABS(Resultados!BI97),ABS(Resultados!BR97),ABS(Resultados!CA97),ABS(Resultados!CJ97),ABS(Resultados!CS97),ABS(Resultados!DB97),ABS(Resultados!DK97),ABS(Resultados!DT97),ABS(Resultados!EC97))/SQRT(COUNT(Resultados!G97,Resultados!P97,Resultados!Y97,Resultados!AH97,Resultados!AQ97,Resultados!AZ97,Resultados!BI97,Resultados!BR97,Resultados!CA97,Resultados!CJ97,Resultados!CS97,Resultados!DB97,Resultados!DK97,Resultados!DT97,Resultados!EC97)))</f>
        <v>4.4507937654163114E-17</v>
      </c>
      <c r="H97">
        <f>IF(COUNT(Resultados!H97,Resultados!Q97,Resultados!Z97,Resultados!AI97,Resultados!AR97,Resultados!BA97,Resultados!BJ97,Resultados!BS97,Resultados!CB97,Resultados!CK97,Resultados!CT97,Resultados!DC97,Resultados!DL97,Resultados!DU97,Resultados!ED97)&lt;=1, "", _xlfn.STDEV.S(ABS(Resultados!H97),ABS(Resultados!Q97),ABS(Resultados!Z97),ABS(Resultados!AI97),ABS(Resultados!AR97),ABS(Resultados!BA97),ABS(Resultados!BJ97),ABS(Resultados!BS97),ABS(Resultados!CB97),ABS(Resultados!CK97),ABS(Resultados!CT97),ABS(Resultados!DC97),ABS(Resultados!DL97),ABS(Resultados!DU97),ABS(Resultados!ED97))/SQRT(COUNT(Resultados!H97,Resultados!Q97,Resultados!Z97,Resultados!AI97,Resultados!AR97,Resultados!BA97,Resultados!BJ97,Resultados!BS97,Resultados!CB97,Resultados!CK97,Resultados!CT97,Resultados!DC97,Resultados!DL97,Resultados!DU97,Resultados!ED97)))</f>
        <v>9.4328705927224684E-4</v>
      </c>
      <c r="I97">
        <f>IF(COUNT(Resultados!I97,Resultados!R97,Resultados!AA97,Resultados!AJ97,Resultados!AS97,Resultados!BB97,Resultados!BK97,Resultados!BT97,Resultados!CC97,Resultados!CL97,Resultados!CU97,Resultados!DD97,Resultados!DM97,Resultados!DV97,Resultados!EE97)&lt;=1, "", _xlfn.STDEV.S(ABS(Resultados!I97),ABS(Resultados!R97),ABS(Resultados!AA97),ABS(Resultados!AJ97),ABS(Resultados!AS97),ABS(Resultados!BB97),ABS(Resultados!BK97),ABS(Resultados!BT97),ABS(Resultados!CC97),ABS(Resultados!CL97),ABS(Resultados!CU97),ABS(Resultados!DD97),ABS(Resultados!DM97),ABS(Resultados!DV97),ABS(Resultados!EE97))/SQRT(COUNT(Resultados!I97,Resultados!R97,Resultados!AA97,Resultados!AJ97,Resultados!AS97,Resultados!BB97,Resultados!BK97,Resultados!BT97,Resultados!CC97,Resultados!CL97,Resultados!CU97,Resultados!DD97,Resultados!DM97,Resultados!DV97,Resultados!EE97)))</f>
        <v>3.6444478971334598E-2</v>
      </c>
    </row>
    <row r="98" spans="1:9" x14ac:dyDescent="0.3">
      <c r="A98">
        <f>IF(COUNT(Resultados!A98,Resultados!J98,Resultados!S98,Resultados!AB98,Resultados!AK98,Resultados!AT98,Resultados!BC98,Resultados!BL98,Resultados!BU98,Resultados!CD98,Resultados!CM98,Resultados!CV98,Resultados!DE98,Resultados!DN98,Resultados!DW98)&lt;=1, "", _xlfn.STDEV.S(ABS(Resultados!A98),ABS(Resultados!J98),ABS(Resultados!S98),ABS(Resultados!AB98),ABS(Resultados!AK98),ABS(Resultados!AT98),ABS(Resultados!BC98),ABS(Resultados!BL98),ABS(Resultados!BU98),ABS(Resultados!CD98),ABS(Resultados!CM98),ABS(Resultados!CV98),ABS(Resultados!DE98),ABS(Resultados!DN98),ABS(Resultados!DW98))/SQRT(COUNT(Resultados!A98,Resultados!J98,Resultados!S98,Resultados!AB98,Resultados!AK98,Resultados!AT98,Resultados!BC98,Resultados!BL98,Resultados!BU98,Resultados!CD98,Resultados!CM98,Resultados!CV98,Resultados!DE98,Resultados!DN98,Resultados!DW98)))</f>
        <v>0</v>
      </c>
      <c r="B98" t="str">
        <f>IF(COUNT(Resultados!B98,Resultados!K98,Resultados!T98,Resultados!AC98,Resultados!AL98,Resultados!AU98,Resultados!BD98,Resultados!BM98,Resultados!BV98,Resultados!CE98,Resultados!CN98,Resultados!CW98,Resultados!DF98,Resultados!DO98,Resultados!DX98)&lt;=1, "", _xlfn.STDEV.S(ABS(Resultados!B98),ABS(Resultados!K98),ABS(Resultados!T98),ABS(Resultados!AC98),ABS(Resultados!AL98),ABS(Resultados!AU98),ABS(Resultados!BD98),ABS(Resultados!BM98),ABS(Resultados!BV98),ABS(Resultados!CE98),ABS(Resultados!CN98),ABS(Resultados!CW98),ABS(Resultados!DF98),ABS(Resultados!DO98),ABS(Resultados!DX98))/SQRT(COUNT(Resultados!B98,Resultados!K98,Resultados!T98,Resultados!AC98,Resultados!AL98,Resultados!AU98,Resultados!BD98,Resultados!BM98,Resultados!BV98,Resultados!CE98,Resultados!CN98,Resultados!CW98,Resultados!DF98,Resultados!DO98,Resultados!DX98)))</f>
        <v/>
      </c>
      <c r="C98">
        <f>IF(COUNT(Resultados!C98,Resultados!L98,Resultados!U98,Resultados!AD98,Resultados!AM98,Resultados!AV98,Resultados!BE98,Resultados!BN98,Resultados!BW98,Resultados!CF98,Resultados!CO98,Resultados!CX98,Resultados!DG98,Resultados!DP98,Resultados!DY98)&lt;=1, "", _xlfn.STDEV.S(ABS(Resultados!C98),ABS(Resultados!L98),ABS(Resultados!U98),ABS(Resultados!AD98),ABS(Resultados!AM98),ABS(Resultados!AV98),ABS(Resultados!BE98),ABS(Resultados!BN98),ABS(Resultados!BW98),ABS(Resultados!CF98),ABS(Resultados!CO98),ABS(Resultados!CX98),ABS(Resultados!DG98),ABS(Resultados!DP98),ABS(Resultados!DY98))/SQRT(COUNT(Resultados!C98,Resultados!L98,Resultados!U98,Resultados!AD98,Resultados!AM98,Resultados!AV98,Resultados!BE98,Resultados!BN98,Resultados!BW98,Resultados!CF98,Resultados!CO98,Resultados!CX98,Resultados!DG98,Resultados!DP98,Resultados!DY98)))</f>
        <v>0.48007935851918326</v>
      </c>
      <c r="D98">
        <f>IF(COUNT(Resultados!D98,Resultados!M98,Resultados!V98,Resultados!AE98,Resultados!AN98,Resultados!AW98,Resultados!BF98,Resultados!BO98,Resultados!BX98,Resultados!CG98,Resultados!CP98,Resultados!CY98,Resultados!DH98,Resultados!DQ98,Resultados!DZ98)&lt;=1, "", _xlfn.STDEV.S(ABS(Resultados!D98),ABS(Resultados!M98),ABS(Resultados!V98),ABS(Resultados!AE98),ABS(Resultados!AN98),ABS(Resultados!AW98),ABS(Resultados!BF98),ABS(Resultados!BO98),ABS(Resultados!BX98),ABS(Resultados!CG98),ABS(Resultados!CP98),ABS(Resultados!CY98),ABS(Resultados!DH98),ABS(Resultados!DQ98),ABS(Resultados!DZ98))/SQRT(COUNT(Resultados!D98,Resultados!M98,Resultados!V98,Resultados!AE98,Resultados!AN98,Resultados!AW98,Resultados!BF98,Resultados!BO98,Resultados!BX98,Resultados!CG98,Resultados!CP98,Resultados!CY98,Resultados!DH98,Resultados!DQ98,Resultados!DZ98)))</f>
        <v>8.1957402795695467E-4</v>
      </c>
      <c r="E98">
        <f>IF(COUNT(Resultados!E98,Resultados!N98,Resultados!W98,Resultados!AF98,Resultados!AO98,Resultados!AX98,Resultados!BG98,Resultados!BP98,Resultados!BY98,Resultados!CH98,Resultados!CQ98,Resultados!CZ98,Resultados!DI98,Resultados!DR98,Resultados!EA98)&lt;=1, "", _xlfn.STDEV.S(ABS(Resultados!E98),ABS(Resultados!N98),ABS(Resultados!W98),ABS(Resultados!AF98),ABS(Resultados!AO98),ABS(Resultados!AX98),ABS(Resultados!BG98),ABS(Resultados!BP98),ABS(Resultados!BY98),ABS(Resultados!CH98),ABS(Resultados!CQ98),ABS(Resultados!CZ98),ABS(Resultados!DI98),ABS(Resultados!DR98),ABS(Resultados!EA98))/SQRT(COUNT(Resultados!E98,Resultados!N98,Resultados!W98,Resultados!AF98,Resultados!AO98,Resultados!AX98,Resultados!BG98,Resultados!BP98,Resultados!BY98,Resultados!CH98,Resultados!CQ98,Resultados!CZ98,Resultados!DI98,Resultados!DR98,Resultados!EA98)))</f>
        <v>6.7430241895887602E-2</v>
      </c>
      <c r="F98">
        <f>IF(COUNT(Resultados!F98,Resultados!O98,Resultados!X98,Resultados!AG98,Resultados!AP98,Resultados!AY98,Resultados!BH98,Resultados!BQ98,Resultados!BZ98,Resultados!CI98,Resultados!CR98,Resultados!DA98,Resultados!DJ98,Resultados!DS98,Resultados!EB98)&lt;=1, "", _xlfn.STDEV.S(ABS(Resultados!F98),ABS(Resultados!O98),ABS(Resultados!X98),ABS(Resultados!AG98),ABS(Resultados!AP98),ABS(Resultados!AY98),ABS(Resultados!BH98),ABS(Resultados!BQ98),ABS(Resultados!BZ98),ABS(Resultados!CI98),ABS(Resultados!CR98),ABS(Resultados!DA98),ABS(Resultados!DJ98),ABS(Resultados!DS98),ABS(Resultados!EB98))/SQRT(COUNT(Resultados!F98,Resultados!O98,Resultados!X98,Resultados!AG98,Resultados!AP98,Resultados!AY98,Resultados!BH98,Resultados!BQ98,Resultados!BZ98,Resultados!CI98,Resultados!CR98,Resultados!DA98,Resultados!DJ98,Resultados!DS98,Resultados!EB98)))</f>
        <v>6.284498544696727</v>
      </c>
      <c r="G98">
        <f>IF(COUNT(Resultados!G98,Resultados!P98,Resultados!Y98,Resultados!AH98,Resultados!AQ98,Resultados!AZ98,Resultados!BI98,Resultados!BR98,Resultados!CA98,Resultados!CJ98,Resultados!CS98,Resultados!DB98,Resultados!DK98,Resultados!DT98,Resultados!EC98)&lt;=1, "", _xlfn.STDEV.S(ABS(Resultados!G98),ABS(Resultados!P98),ABS(Resultados!Y98),ABS(Resultados!AH98),ABS(Resultados!AQ98),ABS(Resultados!AZ98),ABS(Resultados!BI98),ABS(Resultados!BR98),ABS(Resultados!CA98),ABS(Resultados!CJ98),ABS(Resultados!CS98),ABS(Resultados!DB98),ABS(Resultados!DK98),ABS(Resultados!DT98),ABS(Resultados!EC98))/SQRT(COUNT(Resultados!G98,Resultados!P98,Resultados!Y98,Resultados!AH98,Resultados!AQ98,Resultados!AZ98,Resultados!BI98,Resultados!BR98,Resultados!CA98,Resultados!CJ98,Resultados!CS98,Resultados!DB98,Resultados!DK98,Resultados!DT98,Resultados!EC98)))</f>
        <v>4.4507937654163114E-17</v>
      </c>
      <c r="H98">
        <f>IF(COUNT(Resultados!H98,Resultados!Q98,Resultados!Z98,Resultados!AI98,Resultados!AR98,Resultados!BA98,Resultados!BJ98,Resultados!BS98,Resultados!CB98,Resultados!CK98,Resultados!CT98,Resultados!DC98,Resultados!DL98,Resultados!DU98,Resultados!ED98)&lt;=1, "", _xlfn.STDEV.S(ABS(Resultados!H98),ABS(Resultados!Q98),ABS(Resultados!Z98),ABS(Resultados!AI98),ABS(Resultados!AR98),ABS(Resultados!BA98),ABS(Resultados!BJ98),ABS(Resultados!BS98),ABS(Resultados!CB98),ABS(Resultados!CK98),ABS(Resultados!CT98),ABS(Resultados!DC98),ABS(Resultados!DL98),ABS(Resultados!DU98),ABS(Resultados!ED98))/SQRT(COUNT(Resultados!H98,Resultados!Q98,Resultados!Z98,Resultados!AI98,Resultados!AR98,Resultados!BA98,Resultados!BJ98,Resultados!BS98,Resultados!CB98,Resultados!CK98,Resultados!CT98,Resultados!DC98,Resultados!DL98,Resultados!DU98,Resultados!ED98)))</f>
        <v>1.0496651015427861E-3</v>
      </c>
      <c r="I98">
        <f>IF(COUNT(Resultados!I98,Resultados!R98,Resultados!AA98,Resultados!AJ98,Resultados!AS98,Resultados!BB98,Resultados!BK98,Resultados!BT98,Resultados!CC98,Resultados!CL98,Resultados!CU98,Resultados!DD98,Resultados!DM98,Resultados!DV98,Resultados!EE98)&lt;=1, "", _xlfn.STDEV.S(ABS(Resultados!I98),ABS(Resultados!R98),ABS(Resultados!AA98),ABS(Resultados!AJ98),ABS(Resultados!AS98),ABS(Resultados!BB98),ABS(Resultados!BK98),ABS(Resultados!BT98),ABS(Resultados!CC98),ABS(Resultados!CL98),ABS(Resultados!CU98),ABS(Resultados!DD98),ABS(Resultados!DM98),ABS(Resultados!DV98),ABS(Resultados!EE98))/SQRT(COUNT(Resultados!I98,Resultados!R98,Resultados!AA98,Resultados!AJ98,Resultados!AS98,Resultados!BB98,Resultados!BK98,Resultados!BT98,Resultados!CC98,Resultados!CL98,Resultados!CU98,Resultados!DD98,Resultados!DM98,Resultados!DV98,Resultados!EE98)))</f>
        <v>3.6587022128808155E-2</v>
      </c>
    </row>
    <row r="99" spans="1:9" x14ac:dyDescent="0.3">
      <c r="A99">
        <f>IF(COUNT(Resultados!A99,Resultados!J99,Resultados!S99,Resultados!AB99,Resultados!AK99,Resultados!AT99,Resultados!BC99,Resultados!BL99,Resultados!BU99,Resultados!CD99,Resultados!CM99,Resultados!CV99,Resultados!DE99,Resultados!DN99,Resultados!DW99)&lt;=1, "", _xlfn.STDEV.S(ABS(Resultados!A99),ABS(Resultados!J99),ABS(Resultados!S99),ABS(Resultados!AB99),ABS(Resultados!AK99),ABS(Resultados!AT99),ABS(Resultados!BC99),ABS(Resultados!BL99),ABS(Resultados!BU99),ABS(Resultados!CD99),ABS(Resultados!CM99),ABS(Resultados!CV99),ABS(Resultados!DE99),ABS(Resultados!DN99),ABS(Resultados!DW99))/SQRT(COUNT(Resultados!A99,Resultados!J99,Resultados!S99,Resultados!AB99,Resultados!AK99,Resultados!AT99,Resultados!BC99,Resultados!BL99,Resultados!BU99,Resultados!CD99,Resultados!CM99,Resultados!CV99,Resultados!DE99,Resultados!DN99,Resultados!DW99)))</f>
        <v>0</v>
      </c>
      <c r="B99" t="str">
        <f>IF(COUNT(Resultados!B99,Resultados!K99,Resultados!T99,Resultados!AC99,Resultados!AL99,Resultados!AU99,Resultados!BD99,Resultados!BM99,Resultados!BV99,Resultados!CE99,Resultados!CN99,Resultados!CW99,Resultados!DF99,Resultados!DO99,Resultados!DX99)&lt;=1, "", _xlfn.STDEV.S(ABS(Resultados!B99),ABS(Resultados!K99),ABS(Resultados!T99),ABS(Resultados!AC99),ABS(Resultados!AL99),ABS(Resultados!AU99),ABS(Resultados!BD99),ABS(Resultados!BM99),ABS(Resultados!BV99),ABS(Resultados!CE99),ABS(Resultados!CN99),ABS(Resultados!CW99),ABS(Resultados!DF99),ABS(Resultados!DO99),ABS(Resultados!DX99))/SQRT(COUNT(Resultados!B99,Resultados!K99,Resultados!T99,Resultados!AC99,Resultados!AL99,Resultados!AU99,Resultados!BD99,Resultados!BM99,Resultados!BV99,Resultados!CE99,Resultados!CN99,Resultados!CW99,Resultados!DF99,Resultados!DO99,Resultados!DX99)))</f>
        <v/>
      </c>
      <c r="C99">
        <f>IF(COUNT(Resultados!C99,Resultados!L99,Resultados!U99,Resultados!AD99,Resultados!AM99,Resultados!AV99,Resultados!BE99,Resultados!BN99,Resultados!BW99,Resultados!CF99,Resultados!CO99,Resultados!CX99,Resultados!DG99,Resultados!DP99,Resultados!DY99)&lt;=1, "", _xlfn.STDEV.S(ABS(Resultados!C99),ABS(Resultados!L99),ABS(Resultados!U99),ABS(Resultados!AD99),ABS(Resultados!AM99),ABS(Resultados!AV99),ABS(Resultados!BE99),ABS(Resultados!BN99),ABS(Resultados!BW99),ABS(Resultados!CF99),ABS(Resultados!CO99),ABS(Resultados!CX99),ABS(Resultados!DG99),ABS(Resultados!DP99),ABS(Resultados!DY99))/SQRT(COUNT(Resultados!C99,Resultados!L99,Resultados!U99,Resultados!AD99,Resultados!AM99,Resultados!AV99,Resultados!BE99,Resultados!BN99,Resultados!BW99,Resultados!CF99,Resultados!CO99,Resultados!CX99,Resultados!DG99,Resultados!DP99,Resultados!DY99)))</f>
        <v>0.48007935851918326</v>
      </c>
      <c r="D99">
        <f>IF(COUNT(Resultados!D99,Resultados!M99,Resultados!V99,Resultados!AE99,Resultados!AN99,Resultados!AW99,Resultados!BF99,Resultados!BO99,Resultados!BX99,Resultados!CG99,Resultados!CP99,Resultados!CY99,Resultados!DH99,Resultados!DQ99,Resultados!DZ99)&lt;=1, "", _xlfn.STDEV.S(ABS(Resultados!D99),ABS(Resultados!M99),ABS(Resultados!V99),ABS(Resultados!AE99),ABS(Resultados!AN99),ABS(Resultados!AW99),ABS(Resultados!BF99),ABS(Resultados!BO99),ABS(Resultados!BX99),ABS(Resultados!CG99),ABS(Resultados!CP99),ABS(Resultados!CY99),ABS(Resultados!DH99),ABS(Resultados!DQ99),ABS(Resultados!DZ99))/SQRT(COUNT(Resultados!D99,Resultados!M99,Resultados!V99,Resultados!AE99,Resultados!AN99,Resultados!AW99,Resultados!BF99,Resultados!BO99,Resultados!BX99,Resultados!CG99,Resultados!CP99,Resultados!CY99,Resultados!DH99,Resultados!DQ99,Resultados!DZ99)))</f>
        <v>9.666568143997103E-4</v>
      </c>
      <c r="E99">
        <f>IF(COUNT(Resultados!E99,Resultados!N99,Resultados!W99,Resultados!AF99,Resultados!AO99,Resultados!AX99,Resultados!BG99,Resultados!BP99,Resultados!BY99,Resultados!CH99,Resultados!CQ99,Resultados!CZ99,Resultados!DI99,Resultados!DR99,Resultados!EA99)&lt;=1, "", _xlfn.STDEV.S(ABS(Resultados!E99),ABS(Resultados!N99),ABS(Resultados!W99),ABS(Resultados!AF99),ABS(Resultados!AO99),ABS(Resultados!AX99),ABS(Resultados!BG99),ABS(Resultados!BP99),ABS(Resultados!BY99),ABS(Resultados!CH99),ABS(Resultados!CQ99),ABS(Resultados!CZ99),ABS(Resultados!DI99),ABS(Resultados!DR99),ABS(Resultados!EA99))/SQRT(COUNT(Resultados!E99,Resultados!N99,Resultados!W99,Resultados!AF99,Resultados!AO99,Resultados!AX99,Resultados!BG99,Resultados!BP99,Resultados!BY99,Resultados!CH99,Resultados!CQ99,Resultados!CZ99,Resultados!DI99,Resultados!DR99,Resultados!EA99)))</f>
        <v>6.8947316314834098E-2</v>
      </c>
      <c r="F99">
        <f>IF(COUNT(Resultados!F99,Resultados!O99,Resultados!X99,Resultados!AG99,Resultados!AP99,Resultados!AY99,Resultados!BH99,Resultados!BQ99,Resultados!BZ99,Resultados!CI99,Resultados!CR99,Resultados!DA99,Resultados!DJ99,Resultados!DS99,Resultados!EB99)&lt;=1, "", _xlfn.STDEV.S(ABS(Resultados!F99),ABS(Resultados!O99),ABS(Resultados!X99),ABS(Resultados!AG99),ABS(Resultados!AP99),ABS(Resultados!AY99),ABS(Resultados!BH99),ABS(Resultados!BQ99),ABS(Resultados!BZ99),ABS(Resultados!CI99),ABS(Resultados!CR99),ABS(Resultados!DA99),ABS(Resultados!DJ99),ABS(Resultados!DS99),ABS(Resultados!EB99))/SQRT(COUNT(Resultados!F99,Resultados!O99,Resultados!X99,Resultados!AG99,Resultados!AP99,Resultados!AY99,Resultados!BH99,Resultados!BQ99,Resultados!BZ99,Resultados!CI99,Resultados!CR99,Resultados!DA99,Resultados!DJ99,Resultados!DS99,Resultados!EB99)))</f>
        <v>6.4258898805425373</v>
      </c>
      <c r="G99">
        <f>IF(COUNT(Resultados!G99,Resultados!P99,Resultados!Y99,Resultados!AH99,Resultados!AQ99,Resultados!AZ99,Resultados!BI99,Resultados!BR99,Resultados!CA99,Resultados!CJ99,Resultados!CS99,Resultados!DB99,Resultados!DK99,Resultados!DT99,Resultados!EC99)&lt;=1, "", _xlfn.STDEV.S(ABS(Resultados!G99),ABS(Resultados!P99),ABS(Resultados!Y99),ABS(Resultados!AH99),ABS(Resultados!AQ99),ABS(Resultados!AZ99),ABS(Resultados!BI99),ABS(Resultados!BR99),ABS(Resultados!CA99),ABS(Resultados!CJ99),ABS(Resultados!CS99),ABS(Resultados!DB99),ABS(Resultados!DK99),ABS(Resultados!DT99),ABS(Resultados!EC99))/SQRT(COUNT(Resultados!G99,Resultados!P99,Resultados!Y99,Resultados!AH99,Resultados!AQ99,Resultados!AZ99,Resultados!BI99,Resultados!BR99,Resultados!CA99,Resultados!CJ99,Resultados!CS99,Resultados!DB99,Resultados!DK99,Resultados!DT99,Resultados!EC99)))</f>
        <v>4.4507937654163114E-17</v>
      </c>
      <c r="H99">
        <f>IF(COUNT(Resultados!H99,Resultados!Q99,Resultados!Z99,Resultados!AI99,Resultados!AR99,Resultados!BA99,Resultados!BJ99,Resultados!BS99,Resultados!CB99,Resultados!CK99,Resultados!CT99,Resultados!DC99,Resultados!DL99,Resultados!DU99,Resultados!ED99)&lt;=1, "", _xlfn.STDEV.S(ABS(Resultados!H99),ABS(Resultados!Q99),ABS(Resultados!Z99),ABS(Resultados!AI99),ABS(Resultados!AR99),ABS(Resultados!BA99),ABS(Resultados!BJ99),ABS(Resultados!BS99),ABS(Resultados!CB99),ABS(Resultados!CK99),ABS(Resultados!CT99),ABS(Resultados!DC99),ABS(Resultados!DL99),ABS(Resultados!DU99),ABS(Resultados!ED99))/SQRT(COUNT(Resultados!H99,Resultados!Q99,Resultados!Z99,Resultados!AI99,Resultados!AR99,Resultados!BA99,Resultados!BJ99,Resultados!BS99,Resultados!CB99,Resultados!CK99,Resultados!CT99,Resultados!DC99,Resultados!DL99,Resultados!DU99,Resultados!ED99)))</f>
        <v>1.0726676433154281E-3</v>
      </c>
      <c r="I99">
        <f>IF(COUNT(Resultados!I99,Resultados!R99,Resultados!AA99,Resultados!AJ99,Resultados!AS99,Resultados!BB99,Resultados!BK99,Resultados!BT99,Resultados!CC99,Resultados!CL99,Resultados!CU99,Resultados!DD99,Resultados!DM99,Resultados!DV99,Resultados!EE99)&lt;=1, "", _xlfn.STDEV.S(ABS(Resultados!I99),ABS(Resultados!R99),ABS(Resultados!AA99),ABS(Resultados!AJ99),ABS(Resultados!AS99),ABS(Resultados!BB99),ABS(Resultados!BK99),ABS(Resultados!BT99),ABS(Resultados!CC99),ABS(Resultados!CL99),ABS(Resultados!CU99),ABS(Resultados!DD99),ABS(Resultados!DM99),ABS(Resultados!DV99),ABS(Resultados!EE99))/SQRT(COUNT(Resultados!I99,Resultados!R99,Resultados!AA99,Resultados!AJ99,Resultados!AS99,Resultados!BB99,Resultados!BK99,Resultados!BT99,Resultados!CC99,Resultados!CL99,Resultados!CU99,Resultados!DD99,Resultados!DM99,Resultados!DV99,Resultados!EE99)))</f>
        <v>3.6455101393183684E-2</v>
      </c>
    </row>
    <row r="100" spans="1:9" x14ac:dyDescent="0.3">
      <c r="A100">
        <f>IF(COUNT(Resultados!A100,Resultados!J100,Resultados!S100,Resultados!AB100,Resultados!AK100,Resultados!AT100,Resultados!BC100,Resultados!BL100,Resultados!BU100,Resultados!CD100,Resultados!CM100,Resultados!CV100,Resultados!DE100,Resultados!DN100,Resultados!DW100)&lt;=1, "", _xlfn.STDEV.S(ABS(Resultados!A100),ABS(Resultados!J100),ABS(Resultados!S100),ABS(Resultados!AB100),ABS(Resultados!AK100),ABS(Resultados!AT100),ABS(Resultados!BC100),ABS(Resultados!BL100),ABS(Resultados!BU100),ABS(Resultados!CD100),ABS(Resultados!CM100),ABS(Resultados!CV100),ABS(Resultados!DE100),ABS(Resultados!DN100),ABS(Resultados!DW100))/SQRT(COUNT(Resultados!A100,Resultados!J100,Resultados!S100,Resultados!AB100,Resultados!AK100,Resultados!AT100,Resultados!BC100,Resultados!BL100,Resultados!BU100,Resultados!CD100,Resultados!CM100,Resultados!CV100,Resultados!DE100,Resultados!DN100,Resultados!DW100)))</f>
        <v>0</v>
      </c>
      <c r="B100" t="str">
        <f>IF(COUNT(Resultados!B100,Resultados!K100,Resultados!T100,Resultados!AC100,Resultados!AL100,Resultados!AU100,Resultados!BD100,Resultados!BM100,Resultados!BV100,Resultados!CE100,Resultados!CN100,Resultados!CW100,Resultados!DF100,Resultados!DO100,Resultados!DX100)&lt;=1, "", _xlfn.STDEV.S(ABS(Resultados!B100),ABS(Resultados!K100),ABS(Resultados!T100),ABS(Resultados!AC100),ABS(Resultados!AL100),ABS(Resultados!AU100),ABS(Resultados!BD100),ABS(Resultados!BM100),ABS(Resultados!BV100),ABS(Resultados!CE100),ABS(Resultados!CN100),ABS(Resultados!CW100),ABS(Resultados!DF100),ABS(Resultados!DO100),ABS(Resultados!DX100))/SQRT(COUNT(Resultados!B100,Resultados!K100,Resultados!T100,Resultados!AC100,Resultados!AL100,Resultados!AU100,Resultados!BD100,Resultados!BM100,Resultados!BV100,Resultados!CE100,Resultados!CN100,Resultados!CW100,Resultados!DF100,Resultados!DO100,Resultados!DX100)))</f>
        <v/>
      </c>
      <c r="C100">
        <f>IF(COUNT(Resultados!C100,Resultados!L100,Resultados!U100,Resultados!AD100,Resultados!AM100,Resultados!AV100,Resultados!BE100,Resultados!BN100,Resultados!BW100,Resultados!CF100,Resultados!CO100,Resultados!CX100,Resultados!DG100,Resultados!DP100,Resultados!DY100)&lt;=1, "", _xlfn.STDEV.S(ABS(Resultados!C100),ABS(Resultados!L100),ABS(Resultados!U100),ABS(Resultados!AD100),ABS(Resultados!AM100),ABS(Resultados!AV100),ABS(Resultados!BE100),ABS(Resultados!BN100),ABS(Resultados!BW100),ABS(Resultados!CF100),ABS(Resultados!CO100),ABS(Resultados!CX100),ABS(Resultados!DG100),ABS(Resultados!DP100),ABS(Resultados!DY100))/SQRT(COUNT(Resultados!C100,Resultados!L100,Resultados!U100,Resultados!AD100,Resultados!AM100,Resultados!AV100,Resultados!BE100,Resultados!BN100,Resultados!BW100,Resultados!CF100,Resultados!CO100,Resultados!CX100,Resultados!DG100,Resultados!DP100,Resultados!DY100)))</f>
        <v>0.48007935851918326</v>
      </c>
      <c r="D100">
        <f>IF(COUNT(Resultados!D100,Resultados!M100,Resultados!V100,Resultados!AE100,Resultados!AN100,Resultados!AW100,Resultados!BF100,Resultados!BO100,Resultados!BX100,Resultados!CG100,Resultados!CP100,Resultados!CY100,Resultados!DH100,Resultados!DQ100,Resultados!DZ100)&lt;=1, "", _xlfn.STDEV.S(ABS(Resultados!D100),ABS(Resultados!M100),ABS(Resultados!V100),ABS(Resultados!AE100),ABS(Resultados!AN100),ABS(Resultados!AW100),ABS(Resultados!BF100),ABS(Resultados!BO100),ABS(Resultados!BX100),ABS(Resultados!CG100),ABS(Resultados!CP100),ABS(Resultados!CY100),ABS(Resultados!DH100),ABS(Resultados!DQ100),ABS(Resultados!DZ100))/SQRT(COUNT(Resultados!D100,Resultados!M100,Resultados!V100,Resultados!AE100,Resultados!AN100,Resultados!AW100,Resultados!BF100,Resultados!BO100,Resultados!BX100,Resultados!CG100,Resultados!CP100,Resultados!CY100,Resultados!DH100,Resultados!DQ100,Resultados!DZ100)))</f>
        <v>1.0218874538098451E-3</v>
      </c>
      <c r="E100">
        <f>IF(COUNT(Resultados!E100,Resultados!N100,Resultados!W100,Resultados!AF100,Resultados!AO100,Resultados!AX100,Resultados!BG100,Resultados!BP100,Resultados!BY100,Resultados!CH100,Resultados!CQ100,Resultados!CZ100,Resultados!DI100,Resultados!DR100,Resultados!EA100)&lt;=1, "", _xlfn.STDEV.S(ABS(Resultados!E100),ABS(Resultados!N100),ABS(Resultados!W100),ABS(Resultados!AF100),ABS(Resultados!AO100),ABS(Resultados!AX100),ABS(Resultados!BG100),ABS(Resultados!BP100),ABS(Resultados!BY100),ABS(Resultados!CH100),ABS(Resultados!CQ100),ABS(Resultados!CZ100),ABS(Resultados!DI100),ABS(Resultados!DR100),ABS(Resultados!EA100))/SQRT(COUNT(Resultados!E100,Resultados!N100,Resultados!W100,Resultados!AF100,Resultados!AO100,Resultados!AX100,Resultados!BG100,Resultados!BP100,Resultados!BY100,Resultados!CH100,Resultados!CQ100,Resultados!CZ100,Resultados!DI100,Resultados!DR100,Resultados!EA100)))</f>
        <v>6.5160615355396162E-2</v>
      </c>
      <c r="F100">
        <f>IF(COUNT(Resultados!F100,Resultados!O100,Resultados!X100,Resultados!AG100,Resultados!AP100,Resultados!AY100,Resultados!BH100,Resultados!BQ100,Resultados!BZ100,Resultados!CI100,Resultados!CR100,Resultados!DA100,Resultados!DJ100,Resultados!DS100,Resultados!EB100)&lt;=1, "", _xlfn.STDEV.S(ABS(Resultados!F100),ABS(Resultados!O100),ABS(Resultados!X100),ABS(Resultados!AG100),ABS(Resultados!AP100),ABS(Resultados!AY100),ABS(Resultados!BH100),ABS(Resultados!BQ100),ABS(Resultados!BZ100),ABS(Resultados!CI100),ABS(Resultados!CR100),ABS(Resultados!DA100),ABS(Resultados!DJ100),ABS(Resultados!DS100),ABS(Resultados!EB100))/SQRT(COUNT(Resultados!F100,Resultados!O100,Resultados!X100,Resultados!AG100,Resultados!AP100,Resultados!AY100,Resultados!BH100,Resultados!BQ100,Resultados!BZ100,Resultados!CI100,Resultados!CR100,Resultados!DA100,Resultados!DJ100,Resultados!DS100,Resultados!EB100)))</f>
        <v>6.0729693511229215</v>
      </c>
      <c r="G100">
        <f>IF(COUNT(Resultados!G100,Resultados!P100,Resultados!Y100,Resultados!AH100,Resultados!AQ100,Resultados!AZ100,Resultados!BI100,Resultados!BR100,Resultados!CA100,Resultados!CJ100,Resultados!CS100,Resultados!DB100,Resultados!DK100,Resultados!DT100,Resultados!EC100)&lt;=1, "", _xlfn.STDEV.S(ABS(Resultados!G100),ABS(Resultados!P100),ABS(Resultados!Y100),ABS(Resultados!AH100),ABS(Resultados!AQ100),ABS(Resultados!AZ100),ABS(Resultados!BI100),ABS(Resultados!BR100),ABS(Resultados!CA100),ABS(Resultados!CJ100),ABS(Resultados!CS100),ABS(Resultados!DB100),ABS(Resultados!DK100),ABS(Resultados!DT100),ABS(Resultados!EC100))/SQRT(COUNT(Resultados!G100,Resultados!P100,Resultados!Y100,Resultados!AH100,Resultados!AQ100,Resultados!AZ100,Resultados!BI100,Resultados!BR100,Resultados!CA100,Resultados!CJ100,Resultados!CS100,Resultados!DB100,Resultados!DK100,Resultados!DT100,Resultados!EC100)))</f>
        <v>4.4507937654163114E-17</v>
      </c>
      <c r="H100">
        <f>IF(COUNT(Resultados!H100,Resultados!Q100,Resultados!Z100,Resultados!AI100,Resultados!AR100,Resultados!BA100,Resultados!BJ100,Resultados!BS100,Resultados!CB100,Resultados!CK100,Resultados!CT100,Resultados!DC100,Resultados!DL100,Resultados!DU100,Resultados!ED100)&lt;=1, "", _xlfn.STDEV.S(ABS(Resultados!H100),ABS(Resultados!Q100),ABS(Resultados!Z100),ABS(Resultados!AI100),ABS(Resultados!AR100),ABS(Resultados!BA100),ABS(Resultados!BJ100),ABS(Resultados!BS100),ABS(Resultados!CB100),ABS(Resultados!CK100),ABS(Resultados!CT100),ABS(Resultados!DC100),ABS(Resultados!DL100),ABS(Resultados!DU100),ABS(Resultados!ED100))/SQRT(COUNT(Resultados!H100,Resultados!Q100,Resultados!Z100,Resultados!AI100,Resultados!AR100,Resultados!BA100,Resultados!BJ100,Resultados!BS100,Resultados!CB100,Resultados!CK100,Resultados!CT100,Resultados!DC100,Resultados!DL100,Resultados!DU100,Resultados!ED100)))</f>
        <v>1.0156146000688522E-3</v>
      </c>
      <c r="I100">
        <f>IF(COUNT(Resultados!I100,Resultados!R100,Resultados!AA100,Resultados!AJ100,Resultados!AS100,Resultados!BB100,Resultados!BK100,Resultados!BT100,Resultados!CC100,Resultados!CL100,Resultados!CU100,Resultados!DD100,Resultados!DM100,Resultados!DV100,Resultados!EE100)&lt;=1, "", _xlfn.STDEV.S(ABS(Resultados!I100),ABS(Resultados!R100),ABS(Resultados!AA100),ABS(Resultados!AJ100),ABS(Resultados!AS100),ABS(Resultados!BB100),ABS(Resultados!BK100),ABS(Resultados!BT100),ABS(Resultados!CC100),ABS(Resultados!CL100),ABS(Resultados!CU100),ABS(Resultados!DD100),ABS(Resultados!DM100),ABS(Resultados!DV100),ABS(Resultados!EE100))/SQRT(COUNT(Resultados!I100,Resultados!R100,Resultados!AA100,Resultados!AJ100,Resultados!AS100,Resultados!BB100,Resultados!BK100,Resultados!BT100,Resultados!CC100,Resultados!CL100,Resultados!CU100,Resultados!DD100,Resultados!DM100,Resultados!DV100,Resultados!EE100)))</f>
        <v>3.6554391875625716E-2</v>
      </c>
    </row>
    <row r="101" spans="1:9" x14ac:dyDescent="0.3">
      <c r="A101">
        <f>IF(COUNT(Resultados!A101,Resultados!J101,Resultados!S101,Resultados!AB101,Resultados!AK101,Resultados!AT101,Resultados!BC101,Resultados!BL101,Resultados!BU101,Resultados!CD101,Resultados!CM101,Resultados!CV101,Resultados!DE101,Resultados!DN101,Resultados!DW101)&lt;=1, "", _xlfn.STDEV.S(ABS(Resultados!A101),ABS(Resultados!J101),ABS(Resultados!S101),ABS(Resultados!AB101),ABS(Resultados!AK101),ABS(Resultados!AT101),ABS(Resultados!BC101),ABS(Resultados!BL101),ABS(Resultados!BU101),ABS(Resultados!CD101),ABS(Resultados!CM101),ABS(Resultados!CV101),ABS(Resultados!DE101),ABS(Resultados!DN101),ABS(Resultados!DW101))/SQRT(COUNT(Resultados!A101,Resultados!J101,Resultados!S101,Resultados!AB101,Resultados!AK101,Resultados!AT101,Resultados!BC101,Resultados!BL101,Resultados!BU101,Resultados!CD101,Resultados!CM101,Resultados!CV101,Resultados!DE101,Resultados!DN101,Resultados!DW101)))</f>
        <v>0</v>
      </c>
      <c r="B101" t="str">
        <f>IF(COUNT(Resultados!B101,Resultados!K101,Resultados!T101,Resultados!AC101,Resultados!AL101,Resultados!AU101,Resultados!BD101,Resultados!BM101,Resultados!BV101,Resultados!CE101,Resultados!CN101,Resultados!CW101,Resultados!DF101,Resultados!DO101,Resultados!DX101)&lt;=1, "", _xlfn.STDEV.S(ABS(Resultados!B101),ABS(Resultados!K101),ABS(Resultados!T101),ABS(Resultados!AC101),ABS(Resultados!AL101),ABS(Resultados!AU101),ABS(Resultados!BD101),ABS(Resultados!BM101),ABS(Resultados!BV101),ABS(Resultados!CE101),ABS(Resultados!CN101),ABS(Resultados!CW101),ABS(Resultados!DF101),ABS(Resultados!DO101),ABS(Resultados!DX101))/SQRT(COUNT(Resultados!B101,Resultados!K101,Resultados!T101,Resultados!AC101,Resultados!AL101,Resultados!AU101,Resultados!BD101,Resultados!BM101,Resultados!BV101,Resultados!CE101,Resultados!CN101,Resultados!CW101,Resultados!DF101,Resultados!DO101,Resultados!DX101)))</f>
        <v/>
      </c>
      <c r="C101">
        <f>IF(COUNT(Resultados!C101,Resultados!L101,Resultados!U101,Resultados!AD101,Resultados!AM101,Resultados!AV101,Resultados!BE101,Resultados!BN101,Resultados!BW101,Resultados!CF101,Resultados!CO101,Resultados!CX101,Resultados!DG101,Resultados!DP101,Resultados!DY101)&lt;=1, "", _xlfn.STDEV.S(ABS(Resultados!C101),ABS(Resultados!L101),ABS(Resultados!U101),ABS(Resultados!AD101),ABS(Resultados!AM101),ABS(Resultados!AV101),ABS(Resultados!BE101),ABS(Resultados!BN101),ABS(Resultados!BW101),ABS(Resultados!CF101),ABS(Resultados!CO101),ABS(Resultados!CX101),ABS(Resultados!DG101),ABS(Resultados!DP101),ABS(Resultados!DY101))/SQRT(COUNT(Resultados!C101,Resultados!L101,Resultados!U101,Resultados!AD101,Resultados!AM101,Resultados!AV101,Resultados!BE101,Resultados!BN101,Resultados!BW101,Resultados!CF101,Resultados!CO101,Resultados!CX101,Resultados!DG101,Resultados!DP101,Resultados!DY101)))</f>
        <v>0.48007935851918326</v>
      </c>
      <c r="D101">
        <f>IF(COUNT(Resultados!D101,Resultados!M101,Resultados!V101,Resultados!AE101,Resultados!AN101,Resultados!AW101,Resultados!BF101,Resultados!BO101,Resultados!BX101,Resultados!CG101,Resultados!CP101,Resultados!CY101,Resultados!DH101,Resultados!DQ101,Resultados!DZ101)&lt;=1, "", _xlfn.STDEV.S(ABS(Resultados!D101),ABS(Resultados!M101),ABS(Resultados!V101),ABS(Resultados!AE101),ABS(Resultados!AN101),ABS(Resultados!AW101),ABS(Resultados!BF101),ABS(Resultados!BO101),ABS(Resultados!BX101),ABS(Resultados!CG101),ABS(Resultados!CP101),ABS(Resultados!CY101),ABS(Resultados!DH101),ABS(Resultados!DQ101),ABS(Resultados!DZ101))/SQRT(COUNT(Resultados!D101,Resultados!M101,Resultados!V101,Resultados!AE101,Resultados!AN101,Resultados!AW101,Resultados!BF101,Resultados!BO101,Resultados!BX101,Resultados!CG101,Resultados!CP101,Resultados!CY101,Resultados!DH101,Resultados!DQ101,Resultados!DZ101)))</f>
        <v>1.0433219229560142E-3</v>
      </c>
      <c r="E101">
        <f>IF(COUNT(Resultados!E101,Resultados!N101,Resultados!W101,Resultados!AF101,Resultados!AO101,Resultados!AX101,Resultados!BG101,Resultados!BP101,Resultados!BY101,Resultados!CH101,Resultados!CQ101,Resultados!CZ101,Resultados!DI101,Resultados!DR101,Resultados!EA101)&lt;=1, "", _xlfn.STDEV.S(ABS(Resultados!E101),ABS(Resultados!N101),ABS(Resultados!W101),ABS(Resultados!AF101),ABS(Resultados!AO101),ABS(Resultados!AX101),ABS(Resultados!BG101),ABS(Resultados!BP101),ABS(Resultados!BY101),ABS(Resultados!CH101),ABS(Resultados!CQ101),ABS(Resultados!CZ101),ABS(Resultados!DI101),ABS(Resultados!DR101),ABS(Resultados!EA101))/SQRT(COUNT(Resultados!E101,Resultados!N101,Resultados!W101,Resultados!AF101,Resultados!AO101,Resultados!AX101,Resultados!BG101,Resultados!BP101,Resultados!BY101,Resultados!CH101,Resultados!CQ101,Resultados!CZ101,Resultados!DI101,Resultados!DR101,Resultados!EA101)))</f>
        <v>5.6757239881833038E-2</v>
      </c>
      <c r="F101">
        <f>IF(COUNT(Resultados!F101,Resultados!O101,Resultados!X101,Resultados!AG101,Resultados!AP101,Resultados!AY101,Resultados!BH101,Resultados!BQ101,Resultados!BZ101,Resultados!CI101,Resultados!CR101,Resultados!DA101,Resultados!DJ101,Resultados!DS101,Resultados!EB101)&lt;=1, "", _xlfn.STDEV.S(ABS(Resultados!F101),ABS(Resultados!O101),ABS(Resultados!X101),ABS(Resultados!AG101),ABS(Resultados!AP101),ABS(Resultados!AY101),ABS(Resultados!BH101),ABS(Resultados!BQ101),ABS(Resultados!BZ101),ABS(Resultados!CI101),ABS(Resultados!CR101),ABS(Resultados!DA101),ABS(Resultados!DJ101),ABS(Resultados!DS101),ABS(Resultados!EB101))/SQRT(COUNT(Resultados!F101,Resultados!O101,Resultados!X101,Resultados!AG101,Resultados!AP101,Resultados!AY101,Resultados!BH101,Resultados!BQ101,Resultados!BZ101,Resultados!CI101,Resultados!CR101,Resultados!DA101,Resultados!DJ101,Resultados!DS101,Resultados!EB101)))</f>
        <v>10.208615202566568</v>
      </c>
      <c r="G101">
        <f>IF(COUNT(Resultados!G101,Resultados!P101,Resultados!Y101,Resultados!AH101,Resultados!AQ101,Resultados!AZ101,Resultados!BI101,Resultados!BR101,Resultados!CA101,Resultados!CJ101,Resultados!CS101,Resultados!DB101,Resultados!DK101,Resultados!DT101,Resultados!EC101)&lt;=1, "", _xlfn.STDEV.S(ABS(Resultados!G101),ABS(Resultados!P101),ABS(Resultados!Y101),ABS(Resultados!AH101),ABS(Resultados!AQ101),ABS(Resultados!AZ101),ABS(Resultados!BI101),ABS(Resultados!BR101),ABS(Resultados!CA101),ABS(Resultados!CJ101),ABS(Resultados!CS101),ABS(Resultados!DB101),ABS(Resultados!DK101),ABS(Resultados!DT101),ABS(Resultados!EC101))/SQRT(COUNT(Resultados!G101,Resultados!P101,Resultados!Y101,Resultados!AH101,Resultados!AQ101,Resultados!AZ101,Resultados!BI101,Resultados!BR101,Resultados!CA101,Resultados!CJ101,Resultados!CS101,Resultados!DB101,Resultados!DK101,Resultados!DT101,Resultados!EC101)))</f>
        <v>4.4507937654163114E-17</v>
      </c>
      <c r="H101">
        <f>IF(COUNT(Resultados!H101,Resultados!Q101,Resultados!Z101,Resultados!AI101,Resultados!AR101,Resultados!BA101,Resultados!BJ101,Resultados!BS101,Resultados!CB101,Resultados!CK101,Resultados!CT101,Resultados!DC101,Resultados!DL101,Resultados!DU101,Resultados!ED101)&lt;=1, "", _xlfn.STDEV.S(ABS(Resultados!H101),ABS(Resultados!Q101),ABS(Resultados!Z101),ABS(Resultados!AI101),ABS(Resultados!AR101),ABS(Resultados!BA101),ABS(Resultados!BJ101),ABS(Resultados!BS101),ABS(Resultados!CB101),ABS(Resultados!CK101),ABS(Resultados!CT101),ABS(Resultados!DC101),ABS(Resultados!DL101),ABS(Resultados!DU101),ABS(Resultados!ED101))/SQRT(COUNT(Resultados!H101,Resultados!Q101,Resultados!Z101,Resultados!AI101,Resultados!AR101,Resultados!BA101,Resultados!BJ101,Resultados!BS101,Resultados!CB101,Resultados!CK101,Resultados!CT101,Resultados!DC101,Resultados!DL101,Resultados!DU101,Resultados!ED101)))</f>
        <v>8.8000000000000014E-4</v>
      </c>
      <c r="I101">
        <f>IF(COUNT(Resultados!I101,Resultados!R101,Resultados!AA101,Resultados!AJ101,Resultados!AS101,Resultados!BB101,Resultados!BK101,Resultados!BT101,Resultados!CC101,Resultados!CL101,Resultados!CU101,Resultados!DD101,Resultados!DM101,Resultados!DV101,Resultados!EE101)&lt;=1, "", _xlfn.STDEV.S(ABS(Resultados!I101),ABS(Resultados!R101),ABS(Resultados!AA101),ABS(Resultados!AJ101),ABS(Resultados!AS101),ABS(Resultados!BB101),ABS(Resultados!BK101),ABS(Resultados!BT101),ABS(Resultados!CC101),ABS(Resultados!CL101),ABS(Resultados!CU101),ABS(Resultados!DD101),ABS(Resultados!DM101),ABS(Resultados!DV101),ABS(Resultados!EE101))/SQRT(COUNT(Resultados!I101,Resultados!R101,Resultados!AA101,Resultados!AJ101,Resultados!AS101,Resultados!BB101,Resultados!BK101,Resultados!BT101,Resultados!CC101,Resultados!CL101,Resultados!CU101,Resultados!DD101,Resultados!DM101,Resultados!DV101,Resultados!EE101)))</f>
        <v>3.6591170673238693E-2</v>
      </c>
    </row>
    <row r="102" spans="1:9" x14ac:dyDescent="0.3">
      <c r="A102">
        <f>IF(COUNT(Resultados!A102,Resultados!J102,Resultados!S102,Resultados!AB102,Resultados!AK102,Resultados!AT102,Resultados!BC102,Resultados!BL102,Resultados!BU102,Resultados!CD102,Resultados!CM102,Resultados!CV102,Resultados!DE102,Resultados!DN102,Resultados!DW102)&lt;=1, "", _xlfn.STDEV.S(ABS(Resultados!A102),ABS(Resultados!J102),ABS(Resultados!S102),ABS(Resultados!AB102),ABS(Resultados!AK102),ABS(Resultados!AT102),ABS(Resultados!BC102),ABS(Resultados!BL102),ABS(Resultados!BU102),ABS(Resultados!CD102),ABS(Resultados!CM102),ABS(Resultados!CV102),ABS(Resultados!DE102),ABS(Resultados!DN102),ABS(Resultados!DW102))/SQRT(COUNT(Resultados!A102,Resultados!J102,Resultados!S102,Resultados!AB102,Resultados!AK102,Resultados!AT102,Resultados!BC102,Resultados!BL102,Resultados!BU102,Resultados!CD102,Resultados!CM102,Resultados!CV102,Resultados!DE102,Resultados!DN102,Resultados!DW102)))</f>
        <v>0</v>
      </c>
      <c r="B102" t="str">
        <f>IF(COUNT(Resultados!B102,Resultados!K102,Resultados!T102,Resultados!AC102,Resultados!AL102,Resultados!AU102,Resultados!BD102,Resultados!BM102,Resultados!BV102,Resultados!CE102,Resultados!CN102,Resultados!CW102,Resultados!DF102,Resultados!DO102,Resultados!DX102)&lt;=1, "", _xlfn.STDEV.S(ABS(Resultados!B102),ABS(Resultados!K102),ABS(Resultados!T102),ABS(Resultados!AC102),ABS(Resultados!AL102),ABS(Resultados!AU102),ABS(Resultados!BD102),ABS(Resultados!BM102),ABS(Resultados!BV102),ABS(Resultados!CE102),ABS(Resultados!CN102),ABS(Resultados!CW102),ABS(Resultados!DF102),ABS(Resultados!DO102),ABS(Resultados!DX102))/SQRT(COUNT(Resultados!B102,Resultados!K102,Resultados!T102,Resultados!AC102,Resultados!AL102,Resultados!AU102,Resultados!BD102,Resultados!BM102,Resultados!BV102,Resultados!CE102,Resultados!CN102,Resultados!CW102,Resultados!DF102,Resultados!DO102,Resultados!DX102)))</f>
        <v/>
      </c>
      <c r="C102">
        <f>IF(COUNT(Resultados!C102,Resultados!L102,Resultados!U102,Resultados!AD102,Resultados!AM102,Resultados!AV102,Resultados!BE102,Resultados!BN102,Resultados!BW102,Resultados!CF102,Resultados!CO102,Resultados!CX102,Resultados!DG102,Resultados!DP102,Resultados!DY102)&lt;=1, "", _xlfn.STDEV.S(ABS(Resultados!C102),ABS(Resultados!L102),ABS(Resultados!U102),ABS(Resultados!AD102),ABS(Resultados!AM102),ABS(Resultados!AV102),ABS(Resultados!BE102),ABS(Resultados!BN102),ABS(Resultados!BW102),ABS(Resultados!CF102),ABS(Resultados!CO102),ABS(Resultados!CX102),ABS(Resultados!DG102),ABS(Resultados!DP102),ABS(Resultados!DY102))/SQRT(COUNT(Resultados!C102,Resultados!L102,Resultados!U102,Resultados!AD102,Resultados!AM102,Resultados!AV102,Resultados!BE102,Resultados!BN102,Resultados!BW102,Resultados!CF102,Resultados!CO102,Resultados!CX102,Resultados!DG102,Resultados!DP102,Resultados!DY102)))</f>
        <v>0.48007935851918326</v>
      </c>
      <c r="D102">
        <f>IF(COUNT(Resultados!D102,Resultados!M102,Resultados!V102,Resultados!AE102,Resultados!AN102,Resultados!AW102,Resultados!BF102,Resultados!BO102,Resultados!BX102,Resultados!CG102,Resultados!CP102,Resultados!CY102,Resultados!DH102,Resultados!DQ102,Resultados!DZ102)&lt;=1, "", _xlfn.STDEV.S(ABS(Resultados!D102),ABS(Resultados!M102),ABS(Resultados!V102),ABS(Resultados!AE102),ABS(Resultados!AN102),ABS(Resultados!AW102),ABS(Resultados!BF102),ABS(Resultados!BO102),ABS(Resultados!BX102),ABS(Resultados!CG102),ABS(Resultados!CP102),ABS(Resultados!CY102),ABS(Resultados!DH102),ABS(Resultados!DQ102),ABS(Resultados!DZ102))/SQRT(COUNT(Resultados!D102,Resultados!M102,Resultados!V102,Resultados!AE102,Resultados!AN102,Resultados!AW102,Resultados!BF102,Resultados!BO102,Resultados!BX102,Resultados!CG102,Resultados!CP102,Resultados!CY102,Resultados!DH102,Resultados!DQ102,Resultados!DZ102)))</f>
        <v>9.9334931275098627E-4</v>
      </c>
      <c r="E102">
        <f>IF(COUNT(Resultados!E102,Resultados!N102,Resultados!W102,Resultados!AF102,Resultados!AO102,Resultados!AX102,Resultados!BG102,Resultados!BP102,Resultados!BY102,Resultados!CH102,Resultados!CQ102,Resultados!CZ102,Resultados!DI102,Resultados!DR102,Resultados!EA102)&lt;=1, "", _xlfn.STDEV.S(ABS(Resultados!E102),ABS(Resultados!N102),ABS(Resultados!W102),ABS(Resultados!AF102),ABS(Resultados!AO102),ABS(Resultados!AX102),ABS(Resultados!BG102),ABS(Resultados!BP102),ABS(Resultados!BY102),ABS(Resultados!CH102),ABS(Resultados!CQ102),ABS(Resultados!CZ102),ABS(Resultados!DI102),ABS(Resultados!DR102),ABS(Resultados!EA102))/SQRT(COUNT(Resultados!E102,Resultados!N102,Resultados!W102,Resultados!AF102,Resultados!AO102,Resultados!AX102,Resultados!BG102,Resultados!BP102,Resultados!BY102,Resultados!CH102,Resultados!CQ102,Resultados!CZ102,Resultados!DI102,Resultados!DR102,Resultados!EA102)))</f>
        <v>4.5262516656862678E-2</v>
      </c>
      <c r="F102">
        <f>IF(COUNT(Resultados!F102,Resultados!O102,Resultados!X102,Resultados!AG102,Resultados!AP102,Resultados!AY102,Resultados!BH102,Resultados!BQ102,Resultados!BZ102,Resultados!CI102,Resultados!CR102,Resultados!DA102,Resultados!DJ102,Resultados!DS102,Resultados!EB102)&lt;=1, "", _xlfn.STDEV.S(ABS(Resultados!F102),ABS(Resultados!O102),ABS(Resultados!X102),ABS(Resultados!AG102),ABS(Resultados!AP102),ABS(Resultados!AY102),ABS(Resultados!BH102),ABS(Resultados!BQ102),ABS(Resultados!BZ102),ABS(Resultados!CI102),ABS(Resultados!CR102),ABS(Resultados!DA102),ABS(Resultados!DJ102),ABS(Resultados!DS102),ABS(Resultados!EB102))/SQRT(COUNT(Resultados!F102,Resultados!O102,Resultados!X102,Resultados!AG102,Resultados!AP102,Resultados!AY102,Resultados!BH102,Resultados!BQ102,Resultados!BZ102,Resultados!CI102,Resultados!CR102,Resultados!DA102,Resultados!DJ102,Resultados!DS102,Resultados!EB102)))</f>
        <v>10.81233309047944</v>
      </c>
      <c r="G102">
        <f>IF(COUNT(Resultados!G102,Resultados!P102,Resultados!Y102,Resultados!AH102,Resultados!AQ102,Resultados!AZ102,Resultados!BI102,Resultados!BR102,Resultados!CA102,Resultados!CJ102,Resultados!CS102,Resultados!DB102,Resultados!DK102,Resultados!DT102,Resultados!EC102)&lt;=1, "", _xlfn.STDEV.S(ABS(Resultados!G102),ABS(Resultados!P102),ABS(Resultados!Y102),ABS(Resultados!AH102),ABS(Resultados!AQ102),ABS(Resultados!AZ102),ABS(Resultados!BI102),ABS(Resultados!BR102),ABS(Resultados!CA102),ABS(Resultados!CJ102),ABS(Resultados!CS102),ABS(Resultados!DB102),ABS(Resultados!DK102),ABS(Resultados!DT102),ABS(Resultados!EC102))/SQRT(COUNT(Resultados!G102,Resultados!P102,Resultados!Y102,Resultados!AH102,Resultados!AQ102,Resultados!AZ102,Resultados!BI102,Resultados!BR102,Resultados!CA102,Resultados!CJ102,Resultados!CS102,Resultados!DB102,Resultados!DK102,Resultados!DT102,Resultados!EC102)))</f>
        <v>4.4507937654163114E-17</v>
      </c>
      <c r="H102">
        <f>IF(COUNT(Resultados!H102,Resultados!Q102,Resultados!Z102,Resultados!AI102,Resultados!AR102,Resultados!BA102,Resultados!BJ102,Resultados!BS102,Resultados!CB102,Resultados!CK102,Resultados!CT102,Resultados!DC102,Resultados!DL102,Resultados!DU102,Resultados!ED102)&lt;=1, "", _xlfn.STDEV.S(ABS(Resultados!H102),ABS(Resultados!Q102),ABS(Resultados!Z102),ABS(Resultados!AI102),ABS(Resultados!AR102),ABS(Resultados!BA102),ABS(Resultados!BJ102),ABS(Resultados!BS102),ABS(Resultados!CB102),ABS(Resultados!CK102),ABS(Resultados!CT102),ABS(Resultados!DC102),ABS(Resultados!DL102),ABS(Resultados!DU102),ABS(Resultados!ED102))/SQRT(COUNT(Resultados!H102,Resultados!Q102,Resultados!Z102,Resultados!AI102,Resultados!AR102,Resultados!BA102,Resultados!BJ102,Resultados!BS102,Resultados!CB102,Resultados!CK102,Resultados!CT102,Resultados!DC102,Resultados!DL102,Resultados!DU102,Resultados!ED102)))</f>
        <v>7.0525015262513609E-4</v>
      </c>
      <c r="I102">
        <f>IF(COUNT(Resultados!I102,Resultados!R102,Resultados!AA102,Resultados!AJ102,Resultados!AS102,Resultados!BB102,Resultados!BK102,Resultados!BT102,Resultados!CC102,Resultados!CL102,Resultados!CU102,Resultados!DD102,Resultados!DM102,Resultados!DV102,Resultados!EE102)&lt;=1, "", _xlfn.STDEV.S(ABS(Resultados!I102),ABS(Resultados!R102),ABS(Resultados!AA102),ABS(Resultados!AJ102),ABS(Resultados!AS102),ABS(Resultados!BB102),ABS(Resultados!BK102),ABS(Resultados!BT102),ABS(Resultados!CC102),ABS(Resultados!CL102),ABS(Resultados!CU102),ABS(Resultados!DD102),ABS(Resultados!DM102),ABS(Resultados!DV102),ABS(Resultados!EE102))/SQRT(COUNT(Resultados!I102,Resultados!R102,Resultados!AA102,Resultados!AJ102,Resultados!AS102,Resultados!BB102,Resultados!BK102,Resultados!BT102,Resultados!CC102,Resultados!CL102,Resultados!CU102,Resultados!DD102,Resultados!DM102,Resultados!DV102,Resultados!EE102)))</f>
        <v>3.653382411210291E-2</v>
      </c>
    </row>
    <row r="103" spans="1:9" x14ac:dyDescent="0.3">
      <c r="A103">
        <f>IF(COUNT(Resultados!A103,Resultados!J103,Resultados!S103,Resultados!AB103,Resultados!AK103,Resultados!AT103,Resultados!BC103,Resultados!BL103,Resultados!BU103,Resultados!CD103,Resultados!CM103,Resultados!CV103,Resultados!DE103,Resultados!DN103,Resultados!DW103)&lt;=1, "", _xlfn.STDEV.S(ABS(Resultados!A103),ABS(Resultados!J103),ABS(Resultados!S103),ABS(Resultados!AB103),ABS(Resultados!AK103),ABS(Resultados!AT103),ABS(Resultados!BC103),ABS(Resultados!BL103),ABS(Resultados!BU103),ABS(Resultados!CD103),ABS(Resultados!CM103),ABS(Resultados!CV103),ABS(Resultados!DE103),ABS(Resultados!DN103),ABS(Resultados!DW103))/SQRT(COUNT(Resultados!A103,Resultados!J103,Resultados!S103,Resultados!AB103,Resultados!AK103,Resultados!AT103,Resultados!BC103,Resultados!BL103,Resultados!BU103,Resultados!CD103,Resultados!CM103,Resultados!CV103,Resultados!DE103,Resultados!DN103,Resultados!DW103)))</f>
        <v>0</v>
      </c>
      <c r="B103" t="str">
        <f>IF(COUNT(Resultados!B103,Resultados!K103,Resultados!T103,Resultados!AC103,Resultados!AL103,Resultados!AU103,Resultados!BD103,Resultados!BM103,Resultados!BV103,Resultados!CE103,Resultados!CN103,Resultados!CW103,Resultados!DF103,Resultados!DO103,Resultados!DX103)&lt;=1, "", _xlfn.STDEV.S(ABS(Resultados!B103),ABS(Resultados!K103),ABS(Resultados!T103),ABS(Resultados!AC103),ABS(Resultados!AL103),ABS(Resultados!AU103),ABS(Resultados!BD103),ABS(Resultados!BM103),ABS(Resultados!BV103),ABS(Resultados!CE103),ABS(Resultados!CN103),ABS(Resultados!CW103),ABS(Resultados!DF103),ABS(Resultados!DO103),ABS(Resultados!DX103))/SQRT(COUNT(Resultados!B103,Resultados!K103,Resultados!T103,Resultados!AC103,Resultados!AL103,Resultados!AU103,Resultados!BD103,Resultados!BM103,Resultados!BV103,Resultados!CE103,Resultados!CN103,Resultados!CW103,Resultados!DF103,Resultados!DO103,Resultados!DX103)))</f>
        <v/>
      </c>
      <c r="C103">
        <f>IF(COUNT(Resultados!C103,Resultados!L103,Resultados!U103,Resultados!AD103,Resultados!AM103,Resultados!AV103,Resultados!BE103,Resultados!BN103,Resultados!BW103,Resultados!CF103,Resultados!CO103,Resultados!CX103,Resultados!DG103,Resultados!DP103,Resultados!DY103)&lt;=1, "", _xlfn.STDEV.S(ABS(Resultados!C103),ABS(Resultados!L103),ABS(Resultados!U103),ABS(Resultados!AD103),ABS(Resultados!AM103),ABS(Resultados!AV103),ABS(Resultados!BE103),ABS(Resultados!BN103),ABS(Resultados!BW103),ABS(Resultados!CF103),ABS(Resultados!CO103),ABS(Resultados!CX103),ABS(Resultados!DG103),ABS(Resultados!DP103),ABS(Resultados!DY103))/SQRT(COUNT(Resultados!C103,Resultados!L103,Resultados!U103,Resultados!AD103,Resultados!AM103,Resultados!AV103,Resultados!BE103,Resultados!BN103,Resultados!BW103,Resultados!CF103,Resultados!CO103,Resultados!CX103,Resultados!DG103,Resultados!DP103,Resultados!DY103)))</f>
        <v>0.48007935851918326</v>
      </c>
      <c r="D103">
        <f>IF(COUNT(Resultados!D103,Resultados!M103,Resultados!V103,Resultados!AE103,Resultados!AN103,Resultados!AW103,Resultados!BF103,Resultados!BO103,Resultados!BX103,Resultados!CG103,Resultados!CP103,Resultados!CY103,Resultados!DH103,Resultados!DQ103,Resultados!DZ103)&lt;=1, "", _xlfn.STDEV.S(ABS(Resultados!D103),ABS(Resultados!M103),ABS(Resultados!V103),ABS(Resultados!AE103),ABS(Resultados!AN103),ABS(Resultados!AW103),ABS(Resultados!BF103),ABS(Resultados!BO103),ABS(Resultados!BX103),ABS(Resultados!CG103),ABS(Resultados!CP103),ABS(Resultados!CY103),ABS(Resultados!DH103),ABS(Resultados!DQ103),ABS(Resultados!DZ103))/SQRT(COUNT(Resultados!D103,Resultados!M103,Resultados!V103,Resultados!AE103,Resultados!AN103,Resultados!AW103,Resultados!BF103,Resultados!BO103,Resultados!BX103,Resultados!CG103,Resultados!CP103,Resultados!CY103,Resultados!DH103,Resultados!DQ103,Resultados!DZ103)))</f>
        <v>8.1767382016943409E-4</v>
      </c>
      <c r="E103">
        <f>IF(COUNT(Resultados!E103,Resultados!N103,Resultados!W103,Resultados!AF103,Resultados!AO103,Resultados!AX103,Resultados!BG103,Resultados!BP103,Resultados!BY103,Resultados!CH103,Resultados!CQ103,Resultados!CZ103,Resultados!DI103,Resultados!DR103,Resultados!EA103)&lt;=1, "", _xlfn.STDEV.S(ABS(Resultados!E103),ABS(Resultados!N103),ABS(Resultados!W103),ABS(Resultados!AF103),ABS(Resultados!AO103),ABS(Resultados!AX103),ABS(Resultados!BG103),ABS(Resultados!BP103),ABS(Resultados!BY103),ABS(Resultados!CH103),ABS(Resultados!CQ103),ABS(Resultados!CZ103),ABS(Resultados!DI103),ABS(Resultados!DR103),ABS(Resultados!EA103))/SQRT(COUNT(Resultados!E103,Resultados!N103,Resultados!W103,Resultados!AF103,Resultados!AO103,Resultados!AX103,Resultados!BG103,Resultados!BP103,Resultados!BY103,Resultados!CH103,Resultados!CQ103,Resultados!CZ103,Resultados!DI103,Resultados!DR103,Resultados!EA103)))</f>
        <v>3.4687443900045786E-2</v>
      </c>
      <c r="F103">
        <f>IF(COUNT(Resultados!F103,Resultados!O103,Resultados!X103,Resultados!AG103,Resultados!AP103,Resultados!AY103,Resultados!BH103,Resultados!BQ103,Resultados!BZ103,Resultados!CI103,Resultados!CR103,Resultados!DA103,Resultados!DJ103,Resultados!DS103,Resultados!EB103)&lt;=1, "", _xlfn.STDEV.S(ABS(Resultados!F103),ABS(Resultados!O103),ABS(Resultados!X103),ABS(Resultados!AG103),ABS(Resultados!AP103),ABS(Resultados!AY103),ABS(Resultados!BH103),ABS(Resultados!BQ103),ABS(Resultados!BZ103),ABS(Resultados!CI103),ABS(Resultados!CR103),ABS(Resultados!DA103),ABS(Resultados!DJ103),ABS(Resultados!DS103),ABS(Resultados!EB103))/SQRT(COUNT(Resultados!F103,Resultados!O103,Resultados!X103,Resultados!AG103,Resultados!AP103,Resultados!AY103,Resultados!BH103,Resultados!BQ103,Resultados!BZ103,Resultados!CI103,Resultados!CR103,Resultados!DA103,Resultados!DJ103,Resultados!DS103,Resultados!EB103)))</f>
        <v>4.8423958531174085</v>
      </c>
      <c r="G103">
        <f>IF(COUNT(Resultados!G103,Resultados!P103,Resultados!Y103,Resultados!AH103,Resultados!AQ103,Resultados!AZ103,Resultados!BI103,Resultados!BR103,Resultados!CA103,Resultados!CJ103,Resultados!CS103,Resultados!DB103,Resultados!DK103,Resultados!DT103,Resultados!EC103)&lt;=1, "", _xlfn.STDEV.S(ABS(Resultados!G103),ABS(Resultados!P103),ABS(Resultados!Y103),ABS(Resultados!AH103),ABS(Resultados!AQ103),ABS(Resultados!AZ103),ABS(Resultados!BI103),ABS(Resultados!BR103),ABS(Resultados!CA103),ABS(Resultados!CJ103),ABS(Resultados!CS103),ABS(Resultados!DB103),ABS(Resultados!DK103),ABS(Resultados!DT103),ABS(Resultados!EC103))/SQRT(COUNT(Resultados!G103,Resultados!P103,Resultados!Y103,Resultados!AH103,Resultados!AQ103,Resultados!AZ103,Resultados!BI103,Resultados!BR103,Resultados!CA103,Resultados!CJ103,Resultados!CS103,Resultados!DB103,Resultados!DK103,Resultados!DT103,Resultados!EC103)))</f>
        <v>4.4507937654163114E-17</v>
      </c>
      <c r="H103">
        <f>IF(COUNT(Resultados!H103,Resultados!Q103,Resultados!Z103,Resultados!AI103,Resultados!AR103,Resultados!BA103,Resultados!BJ103,Resultados!BS103,Resultados!CB103,Resultados!CK103,Resultados!CT103,Resultados!DC103,Resultados!DL103,Resultados!DU103,Resultados!ED103)&lt;=1, "", _xlfn.STDEV.S(ABS(Resultados!H103),ABS(Resultados!Q103),ABS(Resultados!Z103),ABS(Resultados!AI103),ABS(Resultados!AR103),ABS(Resultados!BA103),ABS(Resultados!BJ103),ABS(Resultados!BS103),ABS(Resultados!CB103),ABS(Resultados!CK103),ABS(Resultados!CT103),ABS(Resultados!DC103),ABS(Resultados!DL103),ABS(Resultados!DU103),ABS(Resultados!ED103))/SQRT(COUNT(Resultados!H103,Resultados!Q103,Resultados!Z103,Resultados!AI103,Resultados!AR103,Resultados!BA103,Resultados!BJ103,Resultados!BS103,Resultados!CB103,Resultados!CK103,Resultados!CT103,Resultados!DC103,Resultados!DL103,Resultados!DU103,Resultados!ED103)))</f>
        <v>5.4025273333229524E-4</v>
      </c>
      <c r="I103">
        <f>IF(COUNT(Resultados!I103,Resultados!R103,Resultados!AA103,Resultados!AJ103,Resultados!AS103,Resultados!BB103,Resultados!BK103,Resultados!BT103,Resultados!CC103,Resultados!CL103,Resultados!CU103,Resultados!DD103,Resultados!DM103,Resultados!DV103,Resultados!EE103)&lt;=1, "", _xlfn.STDEV.S(ABS(Resultados!I103),ABS(Resultados!R103),ABS(Resultados!AA103),ABS(Resultados!AJ103),ABS(Resultados!AS103),ABS(Resultados!BB103),ABS(Resultados!BK103),ABS(Resultados!BT103),ABS(Resultados!CC103),ABS(Resultados!CL103),ABS(Resultados!CU103),ABS(Resultados!DD103),ABS(Resultados!DM103),ABS(Resultados!DV103),ABS(Resultados!EE103))/SQRT(COUNT(Resultados!I103,Resultados!R103,Resultados!AA103,Resultados!AJ103,Resultados!AS103,Resultados!BB103,Resultados!BK103,Resultados!BT103,Resultados!CC103,Resultados!CL103,Resultados!CU103,Resultados!DD103,Resultados!DM103,Resultados!DV103,Resultados!EE103)))</f>
        <v>3.6488210487380213E-2</v>
      </c>
    </row>
    <row r="104" spans="1:9" x14ac:dyDescent="0.3">
      <c r="A104">
        <f>IF(COUNT(Resultados!A104,Resultados!J104,Resultados!S104,Resultados!AB104,Resultados!AK104,Resultados!AT104,Resultados!BC104,Resultados!BL104,Resultados!BU104,Resultados!CD104,Resultados!CM104,Resultados!CV104,Resultados!DE104,Resultados!DN104,Resultados!DW104)&lt;=1, "", _xlfn.STDEV.S(ABS(Resultados!A104),ABS(Resultados!J104),ABS(Resultados!S104),ABS(Resultados!AB104),ABS(Resultados!AK104),ABS(Resultados!AT104),ABS(Resultados!BC104),ABS(Resultados!BL104),ABS(Resultados!BU104),ABS(Resultados!CD104),ABS(Resultados!CM104),ABS(Resultados!CV104),ABS(Resultados!DE104),ABS(Resultados!DN104),ABS(Resultados!DW104))/SQRT(COUNT(Resultados!A104,Resultados!J104,Resultados!S104,Resultados!AB104,Resultados!AK104,Resultados!AT104,Resultados!BC104,Resultados!BL104,Resultados!BU104,Resultados!CD104,Resultados!CM104,Resultados!CV104,Resultados!DE104,Resultados!DN104,Resultados!DW104)))</f>
        <v>0</v>
      </c>
      <c r="B104" t="str">
        <f>IF(COUNT(Resultados!B104,Resultados!K104,Resultados!T104,Resultados!AC104,Resultados!AL104,Resultados!AU104,Resultados!BD104,Resultados!BM104,Resultados!BV104,Resultados!CE104,Resultados!CN104,Resultados!CW104,Resultados!DF104,Resultados!DO104,Resultados!DX104)&lt;=1, "", _xlfn.STDEV.S(ABS(Resultados!B104),ABS(Resultados!K104),ABS(Resultados!T104),ABS(Resultados!AC104),ABS(Resultados!AL104),ABS(Resultados!AU104),ABS(Resultados!BD104),ABS(Resultados!BM104),ABS(Resultados!BV104),ABS(Resultados!CE104),ABS(Resultados!CN104),ABS(Resultados!CW104),ABS(Resultados!DF104),ABS(Resultados!DO104),ABS(Resultados!DX104))/SQRT(COUNT(Resultados!B104,Resultados!K104,Resultados!T104,Resultados!AC104,Resultados!AL104,Resultados!AU104,Resultados!BD104,Resultados!BM104,Resultados!BV104,Resultados!CE104,Resultados!CN104,Resultados!CW104,Resultados!DF104,Resultados!DO104,Resultados!DX104)))</f>
        <v/>
      </c>
      <c r="C104">
        <f>IF(COUNT(Resultados!C104,Resultados!L104,Resultados!U104,Resultados!AD104,Resultados!AM104,Resultados!AV104,Resultados!BE104,Resultados!BN104,Resultados!BW104,Resultados!CF104,Resultados!CO104,Resultados!CX104,Resultados!DG104,Resultados!DP104,Resultados!DY104)&lt;=1, "", _xlfn.STDEV.S(ABS(Resultados!C104),ABS(Resultados!L104),ABS(Resultados!U104),ABS(Resultados!AD104),ABS(Resultados!AM104),ABS(Resultados!AV104),ABS(Resultados!BE104),ABS(Resultados!BN104),ABS(Resultados!BW104),ABS(Resultados!CF104),ABS(Resultados!CO104),ABS(Resultados!CX104),ABS(Resultados!DG104),ABS(Resultados!DP104),ABS(Resultados!DY104))/SQRT(COUNT(Resultados!C104,Resultados!L104,Resultados!U104,Resultados!AD104,Resultados!AM104,Resultados!AV104,Resultados!BE104,Resultados!BN104,Resultados!BW104,Resultados!CF104,Resultados!CO104,Resultados!CX104,Resultados!DG104,Resultados!DP104,Resultados!DY104)))</f>
        <v>0.48007935851918326</v>
      </c>
      <c r="D104">
        <f>IF(COUNT(Resultados!D104,Resultados!M104,Resultados!V104,Resultados!AE104,Resultados!AN104,Resultados!AW104,Resultados!BF104,Resultados!BO104,Resultados!BX104,Resultados!CG104,Resultados!CP104,Resultados!CY104,Resultados!DH104,Resultados!DQ104,Resultados!DZ104)&lt;=1, "", _xlfn.STDEV.S(ABS(Resultados!D104),ABS(Resultados!M104),ABS(Resultados!V104),ABS(Resultados!AE104),ABS(Resultados!AN104),ABS(Resultados!AW104),ABS(Resultados!BF104),ABS(Resultados!BO104),ABS(Resultados!BX104),ABS(Resultados!CG104),ABS(Resultados!CP104),ABS(Resultados!CY104),ABS(Resultados!DH104),ABS(Resultados!DQ104),ABS(Resultados!DZ104))/SQRT(COUNT(Resultados!D104,Resultados!M104,Resultados!V104,Resultados!AE104,Resultados!AN104,Resultados!AW104,Resultados!BF104,Resultados!BO104,Resultados!BX104,Resultados!CG104,Resultados!CP104,Resultados!CY104,Resultados!DH104,Resultados!DQ104,Resultados!DZ104)))</f>
        <v>5.631092820155458E-4</v>
      </c>
      <c r="E104">
        <f>IF(COUNT(Resultados!E104,Resultados!N104,Resultados!W104,Resultados!AF104,Resultados!AO104,Resultados!AX104,Resultados!BG104,Resultados!BP104,Resultados!BY104,Resultados!CH104,Resultados!CQ104,Resultados!CZ104,Resultados!DI104,Resultados!DR104,Resultados!EA104)&lt;=1, "", _xlfn.STDEV.S(ABS(Resultados!E104),ABS(Resultados!N104),ABS(Resultados!W104),ABS(Resultados!AF104),ABS(Resultados!AO104),ABS(Resultados!AX104),ABS(Resultados!BG104),ABS(Resultados!BP104),ABS(Resultados!BY104),ABS(Resultados!CH104),ABS(Resultados!CQ104),ABS(Resultados!CZ104),ABS(Resultados!DI104),ABS(Resultados!DR104),ABS(Resultados!EA104))/SQRT(COUNT(Resultados!E104,Resultados!N104,Resultados!W104,Resultados!AF104,Resultados!AO104,Resultados!AX104,Resultados!BG104,Resultados!BP104,Resultados!BY104,Resultados!CH104,Resultados!CQ104,Resultados!CZ104,Resultados!DI104,Resultados!DR104,Resultados!EA104)))</f>
        <v>3.1384612111143684E-2</v>
      </c>
      <c r="F104">
        <f>IF(COUNT(Resultados!F104,Resultados!O104,Resultados!X104,Resultados!AG104,Resultados!AP104,Resultados!AY104,Resultados!BH104,Resultados!BQ104,Resultados!BZ104,Resultados!CI104,Resultados!CR104,Resultados!DA104,Resultados!DJ104,Resultados!DS104,Resultados!EB104)&lt;=1, "", _xlfn.STDEV.S(ABS(Resultados!F104),ABS(Resultados!O104),ABS(Resultados!X104),ABS(Resultados!AG104),ABS(Resultados!AP104),ABS(Resultados!AY104),ABS(Resultados!BH104),ABS(Resultados!BQ104),ABS(Resultados!BZ104),ABS(Resultados!CI104),ABS(Resultados!CR104),ABS(Resultados!DA104),ABS(Resultados!DJ104),ABS(Resultados!DS104),ABS(Resultados!EB104))/SQRT(COUNT(Resultados!F104,Resultados!O104,Resultados!X104,Resultados!AG104,Resultados!AP104,Resultados!AY104,Resultados!BH104,Resultados!BQ104,Resultados!BZ104,Resultados!CI104,Resultados!CR104,Resultados!DA104,Resultados!DJ104,Resultados!DS104,Resultados!EB104)))</f>
        <v>6.8674030509271562</v>
      </c>
      <c r="G104">
        <f>IF(COUNT(Resultados!G104,Resultados!P104,Resultados!Y104,Resultados!AH104,Resultados!AQ104,Resultados!AZ104,Resultados!BI104,Resultados!BR104,Resultados!CA104,Resultados!CJ104,Resultados!CS104,Resultados!DB104,Resultados!DK104,Resultados!DT104,Resultados!EC104)&lt;=1, "", _xlfn.STDEV.S(ABS(Resultados!G104),ABS(Resultados!P104),ABS(Resultados!Y104),ABS(Resultados!AH104),ABS(Resultados!AQ104),ABS(Resultados!AZ104),ABS(Resultados!BI104),ABS(Resultados!BR104),ABS(Resultados!CA104),ABS(Resultados!CJ104),ABS(Resultados!CS104),ABS(Resultados!DB104),ABS(Resultados!DK104),ABS(Resultados!DT104),ABS(Resultados!EC104))/SQRT(COUNT(Resultados!G104,Resultados!P104,Resultados!Y104,Resultados!AH104,Resultados!AQ104,Resultados!AZ104,Resultados!BI104,Resultados!BR104,Resultados!CA104,Resultados!CJ104,Resultados!CS104,Resultados!DB104,Resultados!DK104,Resultados!DT104,Resultados!EC104)))</f>
        <v>4.4507937654163114E-17</v>
      </c>
      <c r="H104">
        <f>IF(COUNT(Resultados!H104,Resultados!Q104,Resultados!Z104,Resultados!AI104,Resultados!AR104,Resultados!BA104,Resultados!BJ104,Resultados!BS104,Resultados!CB104,Resultados!CK104,Resultados!CT104,Resultados!DC104,Resultados!DL104,Resultados!DU104,Resultados!ED104)&lt;=1, "", _xlfn.STDEV.S(ABS(Resultados!H104),ABS(Resultados!Q104),ABS(Resultados!Z104),ABS(Resultados!AI104),ABS(Resultados!AR104),ABS(Resultados!BA104),ABS(Resultados!BJ104),ABS(Resultados!BS104),ABS(Resultados!CB104),ABS(Resultados!CK104),ABS(Resultados!CT104),ABS(Resultados!DC104),ABS(Resultados!DL104),ABS(Resultados!DU104),ABS(Resultados!ED104))/SQRT(COUNT(Resultados!H104,Resultados!Q104,Resultados!Z104,Resultados!AI104,Resultados!AR104,Resultados!BA104,Resultados!BJ104,Resultados!BS104,Resultados!CB104,Resultados!CK104,Resultados!CT104,Resultados!DC104,Resultados!DL104,Resultados!DU104,Resultados!ED104)))</f>
        <v>4.8898988855712643E-4</v>
      </c>
      <c r="I104">
        <f>IF(COUNT(Resultados!I104,Resultados!R104,Resultados!AA104,Resultados!AJ104,Resultados!AS104,Resultados!BB104,Resultados!BK104,Resultados!BT104,Resultados!CC104,Resultados!CL104,Resultados!CU104,Resultados!DD104,Resultados!DM104,Resultados!DV104,Resultados!EE104)&lt;=1, "", _xlfn.STDEV.S(ABS(Resultados!I104),ABS(Resultados!R104),ABS(Resultados!AA104),ABS(Resultados!AJ104),ABS(Resultados!AS104),ABS(Resultados!BB104),ABS(Resultados!BK104),ABS(Resultados!BT104),ABS(Resultados!CC104),ABS(Resultados!CL104),ABS(Resultados!CU104),ABS(Resultados!DD104),ABS(Resultados!DM104),ABS(Resultados!DV104),ABS(Resultados!EE104))/SQRT(COUNT(Resultados!I104,Resultados!R104,Resultados!AA104,Resultados!AJ104,Resultados!AS104,Resultados!BB104,Resultados!BK104,Resultados!BT104,Resultados!CC104,Resultados!CL104,Resultados!CU104,Resultados!DD104,Resultados!DM104,Resultados!DV104,Resultados!EE104)))</f>
        <v>3.6401945306469917E-2</v>
      </c>
    </row>
    <row r="105" spans="1:9" x14ac:dyDescent="0.3">
      <c r="A105">
        <f>IF(COUNT(Resultados!A105,Resultados!J105,Resultados!S105,Resultados!AB105,Resultados!AK105,Resultados!AT105,Resultados!BC105,Resultados!BL105,Resultados!BU105,Resultados!CD105,Resultados!CM105,Resultados!CV105,Resultados!DE105,Resultados!DN105,Resultados!DW105)&lt;=1, "", _xlfn.STDEV.S(ABS(Resultados!A105),ABS(Resultados!J105),ABS(Resultados!S105),ABS(Resultados!AB105),ABS(Resultados!AK105),ABS(Resultados!AT105),ABS(Resultados!BC105),ABS(Resultados!BL105),ABS(Resultados!BU105),ABS(Resultados!CD105),ABS(Resultados!CM105),ABS(Resultados!CV105),ABS(Resultados!DE105),ABS(Resultados!DN105),ABS(Resultados!DW105))/SQRT(COUNT(Resultados!A105,Resultados!J105,Resultados!S105,Resultados!AB105,Resultados!AK105,Resultados!AT105,Resultados!BC105,Resultados!BL105,Resultados!BU105,Resultados!CD105,Resultados!CM105,Resultados!CV105,Resultados!DE105,Resultados!DN105,Resultados!DW105)))</f>
        <v>0</v>
      </c>
      <c r="B105" t="str">
        <f>IF(COUNT(Resultados!B105,Resultados!K105,Resultados!T105,Resultados!AC105,Resultados!AL105,Resultados!AU105,Resultados!BD105,Resultados!BM105,Resultados!BV105,Resultados!CE105,Resultados!CN105,Resultados!CW105,Resultados!DF105,Resultados!DO105,Resultados!DX105)&lt;=1, "", _xlfn.STDEV.S(ABS(Resultados!B105),ABS(Resultados!K105),ABS(Resultados!T105),ABS(Resultados!AC105),ABS(Resultados!AL105),ABS(Resultados!AU105),ABS(Resultados!BD105),ABS(Resultados!BM105),ABS(Resultados!BV105),ABS(Resultados!CE105),ABS(Resultados!CN105),ABS(Resultados!CW105),ABS(Resultados!DF105),ABS(Resultados!DO105),ABS(Resultados!DX105))/SQRT(COUNT(Resultados!B105,Resultados!K105,Resultados!T105,Resultados!AC105,Resultados!AL105,Resultados!AU105,Resultados!BD105,Resultados!BM105,Resultados!BV105,Resultados!CE105,Resultados!CN105,Resultados!CW105,Resultados!DF105,Resultados!DO105,Resultados!DX105)))</f>
        <v/>
      </c>
      <c r="C105">
        <f>IF(COUNT(Resultados!C105,Resultados!L105,Resultados!U105,Resultados!AD105,Resultados!AM105,Resultados!AV105,Resultados!BE105,Resultados!BN105,Resultados!BW105,Resultados!CF105,Resultados!CO105,Resultados!CX105,Resultados!DG105,Resultados!DP105,Resultados!DY105)&lt;=1, "", _xlfn.STDEV.S(ABS(Resultados!C105),ABS(Resultados!L105),ABS(Resultados!U105),ABS(Resultados!AD105),ABS(Resultados!AM105),ABS(Resultados!AV105),ABS(Resultados!BE105),ABS(Resultados!BN105),ABS(Resultados!BW105),ABS(Resultados!CF105),ABS(Resultados!CO105),ABS(Resultados!CX105),ABS(Resultados!DG105),ABS(Resultados!DP105),ABS(Resultados!DY105))/SQRT(COUNT(Resultados!C105,Resultados!L105,Resultados!U105,Resultados!AD105,Resultados!AM105,Resultados!AV105,Resultados!BE105,Resultados!BN105,Resultados!BW105,Resultados!CF105,Resultados!CO105,Resultados!CX105,Resultados!DG105,Resultados!DP105,Resultados!DY105)))</f>
        <v>0.48007935851918326</v>
      </c>
      <c r="D105">
        <f>IF(COUNT(Resultados!D105,Resultados!M105,Resultados!V105,Resultados!AE105,Resultados!AN105,Resultados!AW105,Resultados!BF105,Resultados!BO105,Resultados!BX105,Resultados!CG105,Resultados!CP105,Resultados!CY105,Resultados!DH105,Resultados!DQ105,Resultados!DZ105)&lt;=1, "", _xlfn.STDEV.S(ABS(Resultados!D105),ABS(Resultados!M105),ABS(Resultados!V105),ABS(Resultados!AE105),ABS(Resultados!AN105),ABS(Resultados!AW105),ABS(Resultados!BF105),ABS(Resultados!BO105),ABS(Resultados!BX105),ABS(Resultados!CG105),ABS(Resultados!CP105),ABS(Resultados!CY105),ABS(Resultados!DH105),ABS(Resultados!DQ105),ABS(Resultados!DZ105))/SQRT(COUNT(Resultados!D105,Resultados!M105,Resultados!V105,Resultados!AE105,Resultados!AN105,Resultados!AW105,Resultados!BF105,Resultados!BO105,Resultados!BX105,Resultados!CG105,Resultados!CP105,Resultados!CY105,Resultados!DH105,Resultados!DQ105,Resultados!DZ105)))</f>
        <v>4.5290596101598123E-4</v>
      </c>
      <c r="E105">
        <f>IF(COUNT(Resultados!E105,Resultados!N105,Resultados!W105,Resultados!AF105,Resultados!AO105,Resultados!AX105,Resultados!BG105,Resultados!BP105,Resultados!BY105,Resultados!CH105,Resultados!CQ105,Resultados!CZ105,Resultados!DI105,Resultados!DR105,Resultados!EA105)&lt;=1, "", _xlfn.STDEV.S(ABS(Resultados!E105),ABS(Resultados!N105),ABS(Resultados!W105),ABS(Resultados!AF105),ABS(Resultados!AO105),ABS(Resultados!AX105),ABS(Resultados!BG105),ABS(Resultados!BP105),ABS(Resultados!BY105),ABS(Resultados!CH105),ABS(Resultados!CQ105),ABS(Resultados!CZ105),ABS(Resultados!DI105),ABS(Resultados!DR105),ABS(Resultados!EA105))/SQRT(COUNT(Resultados!E105,Resultados!N105,Resultados!W105,Resultados!AF105,Resultados!AO105,Resultados!AX105,Resultados!BG105,Resultados!BP105,Resultados!BY105,Resultados!CH105,Resultados!CQ105,Resultados!CZ105,Resultados!DI105,Resultados!DR105,Resultados!EA105)))</f>
        <v>3.877956466406695E-2</v>
      </c>
      <c r="F105">
        <f>IF(COUNT(Resultados!F105,Resultados!O105,Resultados!X105,Resultados!AG105,Resultados!AP105,Resultados!AY105,Resultados!BH105,Resultados!BQ105,Resultados!BZ105,Resultados!CI105,Resultados!CR105,Resultados!DA105,Resultados!DJ105,Resultados!DS105,Resultados!EB105)&lt;=1, "", _xlfn.STDEV.S(ABS(Resultados!F105),ABS(Resultados!O105),ABS(Resultados!X105),ABS(Resultados!AG105),ABS(Resultados!AP105),ABS(Resultados!AY105),ABS(Resultados!BH105),ABS(Resultados!BQ105),ABS(Resultados!BZ105),ABS(Resultados!CI105),ABS(Resultados!CR105),ABS(Resultados!DA105),ABS(Resultados!DJ105),ABS(Resultados!DS105),ABS(Resultados!EB105))/SQRT(COUNT(Resultados!F105,Resultados!O105,Resultados!X105,Resultados!AG105,Resultados!AP105,Resultados!AY105,Resultados!BH105,Resultados!BQ105,Resultados!BZ105,Resultados!CI105,Resultados!CR105,Resultados!DA105,Resultados!DJ105,Resultados!DS105,Resultados!EB105)))</f>
        <v>8.8389856042303503</v>
      </c>
      <c r="G105">
        <f>IF(COUNT(Resultados!G105,Resultados!P105,Resultados!Y105,Resultados!AH105,Resultados!AQ105,Resultados!AZ105,Resultados!BI105,Resultados!BR105,Resultados!CA105,Resultados!CJ105,Resultados!CS105,Resultados!DB105,Resultados!DK105,Resultados!DT105,Resultados!EC105)&lt;=1, "", _xlfn.STDEV.S(ABS(Resultados!G105),ABS(Resultados!P105),ABS(Resultados!Y105),ABS(Resultados!AH105),ABS(Resultados!AQ105),ABS(Resultados!AZ105),ABS(Resultados!BI105),ABS(Resultados!BR105),ABS(Resultados!CA105),ABS(Resultados!CJ105),ABS(Resultados!CS105),ABS(Resultados!DB105),ABS(Resultados!DK105),ABS(Resultados!DT105),ABS(Resultados!EC105))/SQRT(COUNT(Resultados!G105,Resultados!P105,Resultados!Y105,Resultados!AH105,Resultados!AQ105,Resultados!AZ105,Resultados!BI105,Resultados!BR105,Resultados!CA105,Resultados!CJ105,Resultados!CS105,Resultados!DB105,Resultados!DK105,Resultados!DT105,Resultados!EC105)))</f>
        <v>4.4507937654163114E-17</v>
      </c>
      <c r="H105">
        <f>IF(COUNT(Resultados!H105,Resultados!Q105,Resultados!Z105,Resultados!AI105,Resultados!AR105,Resultados!BA105,Resultados!BJ105,Resultados!BS105,Resultados!CB105,Resultados!CK105,Resultados!CT105,Resultados!DC105,Resultados!DL105,Resultados!DU105,Resultados!ED105)&lt;=1, "", _xlfn.STDEV.S(ABS(Resultados!H105),ABS(Resultados!Q105),ABS(Resultados!Z105),ABS(Resultados!AI105),ABS(Resultados!AR105),ABS(Resultados!BA105),ABS(Resultados!BJ105),ABS(Resultados!BS105),ABS(Resultados!CB105),ABS(Resultados!CK105),ABS(Resultados!CT105),ABS(Resultados!DC105),ABS(Resultados!DL105),ABS(Resultados!DU105),ABS(Resultados!ED105))/SQRT(COUNT(Resultados!H105,Resultados!Q105,Resultados!Z105,Resultados!AI105,Resultados!AR105,Resultados!BA105,Resultados!BJ105,Resultados!BS105,Resultados!CB105,Resultados!CK105,Resultados!CT105,Resultados!DC105,Resultados!DL105,Resultados!DU105,Resultados!ED105)))</f>
        <v>6.019808571549037E-4</v>
      </c>
      <c r="I105">
        <f>IF(COUNT(Resultados!I105,Resultados!R105,Resultados!AA105,Resultados!AJ105,Resultados!AS105,Resultados!BB105,Resultados!BK105,Resultados!BT105,Resultados!CC105,Resultados!CL105,Resultados!CU105,Resultados!DD105,Resultados!DM105,Resultados!DV105,Resultados!EE105)&lt;=1, "", _xlfn.STDEV.S(ABS(Resultados!I105),ABS(Resultados!R105),ABS(Resultados!AA105),ABS(Resultados!AJ105),ABS(Resultados!AS105),ABS(Resultados!BB105),ABS(Resultados!BK105),ABS(Resultados!BT105),ABS(Resultados!CC105),ABS(Resultados!CL105),ABS(Resultados!CU105),ABS(Resultados!DD105),ABS(Resultados!DM105),ABS(Resultados!DV105),ABS(Resultados!EE105))/SQRT(COUNT(Resultados!I105,Resultados!R105,Resultados!AA105,Resultados!AJ105,Resultados!AS105,Resultados!BB105,Resultados!BK105,Resultados!BT105,Resultados!CC105,Resultados!CL105,Resultados!CU105,Resultados!DD105,Resultados!DM105,Resultados!DV105,Resultados!EE105)))</f>
        <v>3.6586819873344618E-2</v>
      </c>
    </row>
    <row r="106" spans="1:9" x14ac:dyDescent="0.3">
      <c r="A106">
        <f>IF(COUNT(Resultados!A106,Resultados!J106,Resultados!S106,Resultados!AB106,Resultados!AK106,Resultados!AT106,Resultados!BC106,Resultados!BL106,Resultados!BU106,Resultados!CD106,Resultados!CM106,Resultados!CV106,Resultados!DE106,Resultados!DN106,Resultados!DW106)&lt;=1, "", _xlfn.STDEV.S(ABS(Resultados!A106),ABS(Resultados!J106),ABS(Resultados!S106),ABS(Resultados!AB106),ABS(Resultados!AK106),ABS(Resultados!AT106),ABS(Resultados!BC106),ABS(Resultados!BL106),ABS(Resultados!BU106),ABS(Resultados!CD106),ABS(Resultados!CM106),ABS(Resultados!CV106),ABS(Resultados!DE106),ABS(Resultados!DN106),ABS(Resultados!DW106))/SQRT(COUNT(Resultados!A106,Resultados!J106,Resultados!S106,Resultados!AB106,Resultados!AK106,Resultados!AT106,Resultados!BC106,Resultados!BL106,Resultados!BU106,Resultados!CD106,Resultados!CM106,Resultados!CV106,Resultados!DE106,Resultados!DN106,Resultados!DW106)))</f>
        <v>0</v>
      </c>
      <c r="B106" t="str">
        <f>IF(COUNT(Resultados!B106,Resultados!K106,Resultados!T106,Resultados!AC106,Resultados!AL106,Resultados!AU106,Resultados!BD106,Resultados!BM106,Resultados!BV106,Resultados!CE106,Resultados!CN106,Resultados!CW106,Resultados!DF106,Resultados!DO106,Resultados!DX106)&lt;=1, "", _xlfn.STDEV.S(ABS(Resultados!B106),ABS(Resultados!K106),ABS(Resultados!T106),ABS(Resultados!AC106),ABS(Resultados!AL106),ABS(Resultados!AU106),ABS(Resultados!BD106),ABS(Resultados!BM106),ABS(Resultados!BV106),ABS(Resultados!CE106),ABS(Resultados!CN106),ABS(Resultados!CW106),ABS(Resultados!DF106),ABS(Resultados!DO106),ABS(Resultados!DX106))/SQRT(COUNT(Resultados!B106,Resultados!K106,Resultados!T106,Resultados!AC106,Resultados!AL106,Resultados!AU106,Resultados!BD106,Resultados!BM106,Resultados!BV106,Resultados!CE106,Resultados!CN106,Resultados!CW106,Resultados!DF106,Resultados!DO106,Resultados!DX106)))</f>
        <v/>
      </c>
      <c r="C106">
        <f>IF(COUNT(Resultados!C106,Resultados!L106,Resultados!U106,Resultados!AD106,Resultados!AM106,Resultados!AV106,Resultados!BE106,Resultados!BN106,Resultados!BW106,Resultados!CF106,Resultados!CO106,Resultados!CX106,Resultados!DG106,Resultados!DP106,Resultados!DY106)&lt;=1, "", _xlfn.STDEV.S(ABS(Resultados!C106),ABS(Resultados!L106),ABS(Resultados!U106),ABS(Resultados!AD106),ABS(Resultados!AM106),ABS(Resultados!AV106),ABS(Resultados!BE106),ABS(Resultados!BN106),ABS(Resultados!BW106),ABS(Resultados!CF106),ABS(Resultados!CO106),ABS(Resultados!CX106),ABS(Resultados!DG106),ABS(Resultados!DP106),ABS(Resultados!DY106))/SQRT(COUNT(Resultados!C106,Resultados!L106,Resultados!U106,Resultados!AD106,Resultados!AM106,Resultados!AV106,Resultados!BE106,Resultados!BN106,Resultados!BW106,Resultados!CF106,Resultados!CO106,Resultados!CX106,Resultados!DG106,Resultados!DP106,Resultados!DY106)))</f>
        <v>0.48007935851918326</v>
      </c>
      <c r="D106">
        <f>IF(COUNT(Resultados!D106,Resultados!M106,Resultados!V106,Resultados!AE106,Resultados!AN106,Resultados!AW106,Resultados!BF106,Resultados!BO106,Resultados!BX106,Resultados!CG106,Resultados!CP106,Resultados!CY106,Resultados!DH106,Resultados!DQ106,Resultados!DZ106)&lt;=1, "", _xlfn.STDEV.S(ABS(Resultados!D106),ABS(Resultados!M106),ABS(Resultados!V106),ABS(Resultados!AE106),ABS(Resultados!AN106),ABS(Resultados!AW106),ABS(Resultados!BF106),ABS(Resultados!BO106),ABS(Resultados!BX106),ABS(Resultados!CG106),ABS(Resultados!CP106),ABS(Resultados!CY106),ABS(Resultados!DH106),ABS(Resultados!DQ106),ABS(Resultados!DZ106))/SQRT(COUNT(Resultados!D106,Resultados!M106,Resultados!V106,Resultados!AE106,Resultados!AN106,Resultados!AW106,Resultados!BF106,Resultados!BO106,Resultados!BX106,Resultados!CG106,Resultados!CP106,Resultados!CY106,Resultados!DH106,Resultados!DQ106,Resultados!DZ106)))</f>
        <v>5.6878037159444116E-4</v>
      </c>
      <c r="E106">
        <f>IF(COUNT(Resultados!E106,Resultados!N106,Resultados!W106,Resultados!AF106,Resultados!AO106,Resultados!AX106,Resultados!BG106,Resultados!BP106,Resultados!BY106,Resultados!CH106,Resultados!CQ106,Resultados!CZ106,Resultados!DI106,Resultados!DR106,Resultados!EA106)&lt;=1, "", _xlfn.STDEV.S(ABS(Resultados!E106),ABS(Resultados!N106),ABS(Resultados!W106),ABS(Resultados!AF106),ABS(Resultados!AO106),ABS(Resultados!AX106),ABS(Resultados!BG106),ABS(Resultados!BP106),ABS(Resultados!BY106),ABS(Resultados!CH106),ABS(Resultados!CQ106),ABS(Resultados!CZ106),ABS(Resultados!DI106),ABS(Resultados!DR106),ABS(Resultados!EA106))/SQRT(COUNT(Resultados!E106,Resultados!N106,Resultados!W106,Resultados!AF106,Resultados!AO106,Resultados!AX106,Resultados!BG106,Resultados!BP106,Resultados!BY106,Resultados!CH106,Resultados!CQ106,Resultados!CZ106,Resultados!DI106,Resultados!DR106,Resultados!EA106)))</f>
        <v>5.0315643886722175E-2</v>
      </c>
      <c r="F106">
        <f>IF(COUNT(Resultados!F106,Resultados!O106,Resultados!X106,Resultados!AG106,Resultados!AP106,Resultados!AY106,Resultados!BH106,Resultados!BQ106,Resultados!BZ106,Resultados!CI106,Resultados!CR106,Resultados!DA106,Resultados!DJ106,Resultados!DS106,Resultados!EB106)&lt;=1, "", _xlfn.STDEV.S(ABS(Resultados!F106),ABS(Resultados!O106),ABS(Resultados!X106),ABS(Resultados!AG106),ABS(Resultados!AP106),ABS(Resultados!AY106),ABS(Resultados!BH106),ABS(Resultados!BQ106),ABS(Resultados!BZ106),ABS(Resultados!CI106),ABS(Resultados!CR106),ABS(Resultados!DA106),ABS(Resultados!DJ106),ABS(Resultados!DS106),ABS(Resultados!EB106))/SQRT(COUNT(Resultados!F106,Resultados!O106,Resultados!X106,Resultados!AG106,Resultados!AP106,Resultados!AY106,Resultados!BH106,Resultados!BQ106,Resultados!BZ106,Resultados!CI106,Resultados!CR106,Resultados!DA106,Resultados!DJ106,Resultados!DS106,Resultados!EB106)))</f>
        <v>10.583627429016632</v>
      </c>
      <c r="G106">
        <f>IF(COUNT(Resultados!G106,Resultados!P106,Resultados!Y106,Resultados!AH106,Resultados!AQ106,Resultados!AZ106,Resultados!BI106,Resultados!BR106,Resultados!CA106,Resultados!CJ106,Resultados!CS106,Resultados!DB106,Resultados!DK106,Resultados!DT106,Resultados!EC106)&lt;=1, "", _xlfn.STDEV.S(ABS(Resultados!G106),ABS(Resultados!P106),ABS(Resultados!Y106),ABS(Resultados!AH106),ABS(Resultados!AQ106),ABS(Resultados!AZ106),ABS(Resultados!BI106),ABS(Resultados!BR106),ABS(Resultados!CA106),ABS(Resultados!CJ106),ABS(Resultados!CS106),ABS(Resultados!DB106),ABS(Resultados!DK106),ABS(Resultados!DT106),ABS(Resultados!EC106))/SQRT(COUNT(Resultados!G106,Resultados!P106,Resultados!Y106,Resultados!AH106,Resultados!AQ106,Resultados!AZ106,Resultados!BI106,Resultados!BR106,Resultados!CA106,Resultados!CJ106,Resultados!CS106,Resultados!DB106,Resultados!DK106,Resultados!DT106,Resultados!EC106)))</f>
        <v>4.4507937654163114E-17</v>
      </c>
      <c r="H106">
        <f>IF(COUNT(Resultados!H106,Resultados!Q106,Resultados!Z106,Resultados!AI106,Resultados!AR106,Resultados!BA106,Resultados!BJ106,Resultados!BS106,Resultados!CB106,Resultados!CK106,Resultados!CT106,Resultados!DC106,Resultados!DL106,Resultados!DU106,Resultados!ED106)&lt;=1, "", _xlfn.STDEV.S(ABS(Resultados!H106),ABS(Resultados!Q106),ABS(Resultados!Z106),ABS(Resultados!AI106),ABS(Resultados!AR106),ABS(Resultados!BA106),ABS(Resultados!BJ106),ABS(Resultados!BS106),ABS(Resultados!CB106),ABS(Resultados!CK106),ABS(Resultados!CT106),ABS(Resultados!DC106),ABS(Resultados!DL106),ABS(Resultados!DU106),ABS(Resultados!ED106))/SQRT(COUNT(Resultados!H106,Resultados!Q106,Resultados!Z106,Resultados!AI106,Resultados!AR106,Resultados!BA106,Resultados!BJ106,Resultados!BS106,Resultados!CB106,Resultados!CK106,Resultados!CT106,Resultados!DC106,Resultados!DL106,Resultados!DU106,Resultados!ED106)))</f>
        <v>7.8187808086256855E-4</v>
      </c>
      <c r="I106">
        <f>IF(COUNT(Resultados!I106,Resultados!R106,Resultados!AA106,Resultados!AJ106,Resultados!AS106,Resultados!BB106,Resultados!BK106,Resultados!BT106,Resultados!CC106,Resultados!CL106,Resultados!CU106,Resultados!DD106,Resultados!DM106,Resultados!DV106,Resultados!EE106)&lt;=1, "", _xlfn.STDEV.S(ABS(Resultados!I106),ABS(Resultados!R106),ABS(Resultados!AA106),ABS(Resultados!AJ106),ABS(Resultados!AS106),ABS(Resultados!BB106),ABS(Resultados!BK106),ABS(Resultados!BT106),ABS(Resultados!CC106),ABS(Resultados!CL106),ABS(Resultados!CU106),ABS(Resultados!DD106),ABS(Resultados!DM106),ABS(Resultados!DV106),ABS(Resultados!EE106))/SQRT(COUNT(Resultados!I106,Resultados!R106,Resultados!AA106,Resultados!AJ106,Resultados!AS106,Resultados!BB106,Resultados!BK106,Resultados!BT106,Resultados!CC106,Resultados!CL106,Resultados!CU106,Resultados!DD106,Resultados!DM106,Resultados!DV106,Resultados!EE106)))</f>
        <v>3.648985515637565E-2</v>
      </c>
    </row>
    <row r="107" spans="1:9" x14ac:dyDescent="0.3">
      <c r="A107">
        <f>IF(COUNT(Resultados!A107,Resultados!J107,Resultados!S107,Resultados!AB107,Resultados!AK107,Resultados!AT107,Resultados!BC107,Resultados!BL107,Resultados!BU107,Resultados!CD107,Resultados!CM107,Resultados!CV107,Resultados!DE107,Resultados!DN107,Resultados!DW107)&lt;=1, "", _xlfn.STDEV.S(ABS(Resultados!A107),ABS(Resultados!J107),ABS(Resultados!S107),ABS(Resultados!AB107),ABS(Resultados!AK107),ABS(Resultados!AT107),ABS(Resultados!BC107),ABS(Resultados!BL107),ABS(Resultados!BU107),ABS(Resultados!CD107),ABS(Resultados!CM107),ABS(Resultados!CV107),ABS(Resultados!DE107),ABS(Resultados!DN107),ABS(Resultados!DW107))/SQRT(COUNT(Resultados!A107,Resultados!J107,Resultados!S107,Resultados!AB107,Resultados!AK107,Resultados!AT107,Resultados!BC107,Resultados!BL107,Resultados!BU107,Resultados!CD107,Resultados!CM107,Resultados!CV107,Resultados!DE107,Resultados!DN107,Resultados!DW107)))</f>
        <v>0</v>
      </c>
      <c r="B107" t="str">
        <f>IF(COUNT(Resultados!B107,Resultados!K107,Resultados!T107,Resultados!AC107,Resultados!AL107,Resultados!AU107,Resultados!BD107,Resultados!BM107,Resultados!BV107,Resultados!CE107,Resultados!CN107,Resultados!CW107,Resultados!DF107,Resultados!DO107,Resultados!DX107)&lt;=1, "", _xlfn.STDEV.S(ABS(Resultados!B107),ABS(Resultados!K107),ABS(Resultados!T107),ABS(Resultados!AC107),ABS(Resultados!AL107),ABS(Resultados!AU107),ABS(Resultados!BD107),ABS(Resultados!BM107),ABS(Resultados!BV107),ABS(Resultados!CE107),ABS(Resultados!CN107),ABS(Resultados!CW107),ABS(Resultados!DF107),ABS(Resultados!DO107),ABS(Resultados!DX107))/SQRT(COUNT(Resultados!B107,Resultados!K107,Resultados!T107,Resultados!AC107,Resultados!AL107,Resultados!AU107,Resultados!BD107,Resultados!BM107,Resultados!BV107,Resultados!CE107,Resultados!CN107,Resultados!CW107,Resultados!DF107,Resultados!DO107,Resultados!DX107)))</f>
        <v/>
      </c>
      <c r="C107">
        <f>IF(COUNT(Resultados!C107,Resultados!L107,Resultados!U107,Resultados!AD107,Resultados!AM107,Resultados!AV107,Resultados!BE107,Resultados!BN107,Resultados!BW107,Resultados!CF107,Resultados!CO107,Resultados!CX107,Resultados!DG107,Resultados!DP107,Resultados!DY107)&lt;=1, "", _xlfn.STDEV.S(ABS(Resultados!C107),ABS(Resultados!L107),ABS(Resultados!U107),ABS(Resultados!AD107),ABS(Resultados!AM107),ABS(Resultados!AV107),ABS(Resultados!BE107),ABS(Resultados!BN107),ABS(Resultados!BW107),ABS(Resultados!CF107),ABS(Resultados!CO107),ABS(Resultados!CX107),ABS(Resultados!DG107),ABS(Resultados!DP107),ABS(Resultados!DY107))/SQRT(COUNT(Resultados!C107,Resultados!L107,Resultados!U107,Resultados!AD107,Resultados!AM107,Resultados!AV107,Resultados!BE107,Resultados!BN107,Resultados!BW107,Resultados!CF107,Resultados!CO107,Resultados!CX107,Resultados!DG107,Resultados!DP107,Resultados!DY107)))</f>
        <v>0.48007935851918326</v>
      </c>
      <c r="D107">
        <f>IF(COUNT(Resultados!D107,Resultados!M107,Resultados!V107,Resultados!AE107,Resultados!AN107,Resultados!AW107,Resultados!BF107,Resultados!BO107,Resultados!BX107,Resultados!CG107,Resultados!CP107,Resultados!CY107,Resultados!DH107,Resultados!DQ107,Resultados!DZ107)&lt;=1, "", _xlfn.STDEV.S(ABS(Resultados!D107),ABS(Resultados!M107),ABS(Resultados!V107),ABS(Resultados!AE107),ABS(Resultados!AN107),ABS(Resultados!AW107),ABS(Resultados!BF107),ABS(Resultados!BO107),ABS(Resultados!BX107),ABS(Resultados!CG107),ABS(Resultados!CP107),ABS(Resultados!CY107),ABS(Resultados!DH107),ABS(Resultados!DQ107),ABS(Resultados!DZ107))/SQRT(COUNT(Resultados!D107,Resultados!M107,Resultados!V107,Resultados!AE107,Resultados!AN107,Resultados!AW107,Resultados!BF107,Resultados!BO107,Resultados!BX107,Resultados!CG107,Resultados!CP107,Resultados!CY107,Resultados!DH107,Resultados!DQ107,Resultados!DZ107)))</f>
        <v>6.9218769818872746E-4</v>
      </c>
      <c r="E107">
        <f>IF(COUNT(Resultados!E107,Resultados!N107,Resultados!W107,Resultados!AF107,Resultados!AO107,Resultados!AX107,Resultados!BG107,Resultados!BP107,Resultados!BY107,Resultados!CH107,Resultados!CQ107,Resultados!CZ107,Resultados!DI107,Resultados!DR107,Resultados!EA107)&lt;=1, "", _xlfn.STDEV.S(ABS(Resultados!E107),ABS(Resultados!N107),ABS(Resultados!W107),ABS(Resultados!AF107),ABS(Resultados!AO107),ABS(Resultados!AX107),ABS(Resultados!BG107),ABS(Resultados!BP107),ABS(Resultados!BY107),ABS(Resultados!CH107),ABS(Resultados!CQ107),ABS(Resultados!CZ107),ABS(Resultados!DI107),ABS(Resultados!DR107),ABS(Resultados!EA107))/SQRT(COUNT(Resultados!E107,Resultados!N107,Resultados!W107,Resultados!AF107,Resultados!AO107,Resultados!AX107,Resultados!BG107,Resultados!BP107,Resultados!BY107,Resultados!CH107,Resultados!CQ107,Resultados!CZ107,Resultados!DI107,Resultados!DR107,Resultados!EA107)))</f>
        <v>6.0722941575240753E-2</v>
      </c>
      <c r="F107">
        <f>IF(COUNT(Resultados!F107,Resultados!O107,Resultados!X107,Resultados!AG107,Resultados!AP107,Resultados!AY107,Resultados!BH107,Resultados!BQ107,Resultados!BZ107,Resultados!CI107,Resultados!CR107,Resultados!DA107,Resultados!DJ107,Resultados!DS107,Resultados!EB107)&lt;=1, "", _xlfn.STDEV.S(ABS(Resultados!F107),ABS(Resultados!O107),ABS(Resultados!X107),ABS(Resultados!AG107),ABS(Resultados!AP107),ABS(Resultados!AY107),ABS(Resultados!BH107),ABS(Resultados!BQ107),ABS(Resultados!BZ107),ABS(Resultados!CI107),ABS(Resultados!CR107),ABS(Resultados!DA107),ABS(Resultados!DJ107),ABS(Resultados!DS107),ABS(Resultados!EB107))/SQRT(COUNT(Resultados!F107,Resultados!O107,Resultados!X107,Resultados!AG107,Resultados!AP107,Resultados!AY107,Resultados!BH107,Resultados!BQ107,Resultados!BZ107,Resultados!CI107,Resultados!CR107,Resultados!DA107,Resultados!DJ107,Resultados!DS107,Resultados!EB107)))</f>
        <v>11.953792472451823</v>
      </c>
      <c r="G107">
        <f>IF(COUNT(Resultados!G107,Resultados!P107,Resultados!Y107,Resultados!AH107,Resultados!AQ107,Resultados!AZ107,Resultados!BI107,Resultados!BR107,Resultados!CA107,Resultados!CJ107,Resultados!CS107,Resultados!DB107,Resultados!DK107,Resultados!DT107,Resultados!EC107)&lt;=1, "", _xlfn.STDEV.S(ABS(Resultados!G107),ABS(Resultados!P107),ABS(Resultados!Y107),ABS(Resultados!AH107),ABS(Resultados!AQ107),ABS(Resultados!AZ107),ABS(Resultados!BI107),ABS(Resultados!BR107),ABS(Resultados!CA107),ABS(Resultados!CJ107),ABS(Resultados!CS107),ABS(Resultados!DB107),ABS(Resultados!DK107),ABS(Resultados!DT107),ABS(Resultados!EC107))/SQRT(COUNT(Resultados!G107,Resultados!P107,Resultados!Y107,Resultados!AH107,Resultados!AQ107,Resultados!AZ107,Resultados!BI107,Resultados!BR107,Resultados!CA107,Resultados!CJ107,Resultados!CS107,Resultados!DB107,Resultados!DK107,Resultados!DT107,Resultados!EC107)))</f>
        <v>4.4507937654163114E-17</v>
      </c>
      <c r="H107">
        <f>IF(COUNT(Resultados!H107,Resultados!Q107,Resultados!Z107,Resultados!AI107,Resultados!AR107,Resultados!BA107,Resultados!BJ107,Resultados!BS107,Resultados!CB107,Resultados!CK107,Resultados!CT107,Resultados!DC107,Resultados!DL107,Resultados!DU107,Resultados!ED107)&lt;=1, "", _xlfn.STDEV.S(ABS(Resultados!H107),ABS(Resultados!Q107),ABS(Resultados!Z107),ABS(Resultados!AI107),ABS(Resultados!AR107),ABS(Resultados!BA107),ABS(Resultados!BJ107),ABS(Resultados!BS107),ABS(Resultados!CB107),ABS(Resultados!CK107),ABS(Resultados!CT107),ABS(Resultados!DC107),ABS(Resultados!DL107),ABS(Resultados!DU107),ABS(Resultados!ED107))/SQRT(COUNT(Resultados!H107,Resultados!Q107,Resultados!Z107,Resultados!AI107,Resultados!AR107,Resultados!BA107,Resultados!BJ107,Resultados!BS107,Resultados!CB107,Resultados!CK107,Resultados!CT107,Resultados!DC107,Resultados!DL107,Resultados!DU107,Resultados!ED107)))</f>
        <v>9.4328705927224587E-4</v>
      </c>
      <c r="I107">
        <f>IF(COUNT(Resultados!I107,Resultados!R107,Resultados!AA107,Resultados!AJ107,Resultados!AS107,Resultados!BB107,Resultados!BK107,Resultados!BT107,Resultados!CC107,Resultados!CL107,Resultados!CU107,Resultados!DD107,Resultados!DM107,Resultados!DV107,Resultados!EE107)&lt;=1, "", _xlfn.STDEV.S(ABS(Resultados!I107),ABS(Resultados!R107),ABS(Resultados!AA107),ABS(Resultados!AJ107),ABS(Resultados!AS107),ABS(Resultados!BB107),ABS(Resultados!BK107),ABS(Resultados!BT107),ABS(Resultados!CC107),ABS(Resultados!CL107),ABS(Resultados!CU107),ABS(Resultados!DD107),ABS(Resultados!DM107),ABS(Resultados!DV107),ABS(Resultados!EE107))/SQRT(COUNT(Resultados!I107,Resultados!R107,Resultados!AA107,Resultados!AJ107,Resultados!AS107,Resultados!BB107,Resultados!BK107,Resultados!BT107,Resultados!CC107,Resultados!CL107,Resultados!CU107,Resultados!DD107,Resultados!DM107,Resultados!DV107,Resultados!EE107)))</f>
        <v>3.6401133915707463E-2</v>
      </c>
    </row>
    <row r="108" spans="1:9" x14ac:dyDescent="0.3">
      <c r="A108">
        <f>IF(COUNT(Resultados!A108,Resultados!J108,Resultados!S108,Resultados!AB108,Resultados!AK108,Resultados!AT108,Resultados!BC108,Resultados!BL108,Resultados!BU108,Resultados!CD108,Resultados!CM108,Resultados!CV108,Resultados!DE108,Resultados!DN108,Resultados!DW108)&lt;=1, "", _xlfn.STDEV.S(ABS(Resultados!A108),ABS(Resultados!J108),ABS(Resultados!S108),ABS(Resultados!AB108),ABS(Resultados!AK108),ABS(Resultados!AT108),ABS(Resultados!BC108),ABS(Resultados!BL108),ABS(Resultados!BU108),ABS(Resultados!CD108),ABS(Resultados!CM108),ABS(Resultados!CV108),ABS(Resultados!DE108),ABS(Resultados!DN108),ABS(Resultados!DW108))/SQRT(COUNT(Resultados!A108,Resultados!J108,Resultados!S108,Resultados!AB108,Resultados!AK108,Resultados!AT108,Resultados!BC108,Resultados!BL108,Resultados!BU108,Resultados!CD108,Resultados!CM108,Resultados!CV108,Resultados!DE108,Resultados!DN108,Resultados!DW108)))</f>
        <v>0</v>
      </c>
      <c r="B108" t="str">
        <f>IF(COUNT(Resultados!B108,Resultados!K108,Resultados!T108,Resultados!AC108,Resultados!AL108,Resultados!AU108,Resultados!BD108,Resultados!BM108,Resultados!BV108,Resultados!CE108,Resultados!CN108,Resultados!CW108,Resultados!DF108,Resultados!DO108,Resultados!DX108)&lt;=1, "", _xlfn.STDEV.S(ABS(Resultados!B108),ABS(Resultados!K108),ABS(Resultados!T108),ABS(Resultados!AC108),ABS(Resultados!AL108),ABS(Resultados!AU108),ABS(Resultados!BD108),ABS(Resultados!BM108),ABS(Resultados!BV108),ABS(Resultados!CE108),ABS(Resultados!CN108),ABS(Resultados!CW108),ABS(Resultados!DF108),ABS(Resultados!DO108),ABS(Resultados!DX108))/SQRT(COUNT(Resultados!B108,Resultados!K108,Resultados!T108,Resultados!AC108,Resultados!AL108,Resultados!AU108,Resultados!BD108,Resultados!BM108,Resultados!BV108,Resultados!CE108,Resultados!CN108,Resultados!CW108,Resultados!DF108,Resultados!DO108,Resultados!DX108)))</f>
        <v/>
      </c>
      <c r="C108">
        <f>IF(COUNT(Resultados!C108,Resultados!L108,Resultados!U108,Resultados!AD108,Resultados!AM108,Resultados!AV108,Resultados!BE108,Resultados!BN108,Resultados!BW108,Resultados!CF108,Resultados!CO108,Resultados!CX108,Resultados!DG108,Resultados!DP108,Resultados!DY108)&lt;=1, "", _xlfn.STDEV.S(ABS(Resultados!C108),ABS(Resultados!L108),ABS(Resultados!U108),ABS(Resultados!AD108),ABS(Resultados!AM108),ABS(Resultados!AV108),ABS(Resultados!BE108),ABS(Resultados!BN108),ABS(Resultados!BW108),ABS(Resultados!CF108),ABS(Resultados!CO108),ABS(Resultados!CX108),ABS(Resultados!DG108),ABS(Resultados!DP108),ABS(Resultados!DY108))/SQRT(COUNT(Resultados!C108,Resultados!L108,Resultados!U108,Resultados!AD108,Resultados!AM108,Resultados!AV108,Resultados!BE108,Resultados!BN108,Resultados!BW108,Resultados!CF108,Resultados!CO108,Resultados!CX108,Resultados!DG108,Resultados!DP108,Resultados!DY108)))</f>
        <v>0.48007935851918326</v>
      </c>
      <c r="D108">
        <f>IF(COUNT(Resultados!D108,Resultados!M108,Resultados!V108,Resultados!AE108,Resultados!AN108,Resultados!AW108,Resultados!BF108,Resultados!BO108,Resultados!BX108,Resultados!CG108,Resultados!CP108,Resultados!CY108,Resultados!DH108,Resultados!DQ108,Resultados!DZ108)&lt;=1, "", _xlfn.STDEV.S(ABS(Resultados!D108),ABS(Resultados!M108),ABS(Resultados!V108),ABS(Resultados!AE108),ABS(Resultados!AN108),ABS(Resultados!AW108),ABS(Resultados!BF108),ABS(Resultados!BO108),ABS(Resultados!BX108),ABS(Resultados!CG108),ABS(Resultados!CP108),ABS(Resultados!CY108),ABS(Resultados!DH108),ABS(Resultados!DQ108),ABS(Resultados!DZ108))/SQRT(COUNT(Resultados!D108,Resultados!M108,Resultados!V108,Resultados!AE108,Resultados!AN108,Resultados!AW108,Resultados!BF108,Resultados!BO108,Resultados!BX108,Resultados!CG108,Resultados!CP108,Resultados!CY108,Resultados!DH108,Resultados!DQ108,Resultados!DZ108)))</f>
        <v>7.8099244961088313E-4</v>
      </c>
      <c r="E108">
        <f>IF(COUNT(Resultados!E108,Resultados!N108,Resultados!W108,Resultados!AF108,Resultados!AO108,Resultados!AX108,Resultados!BG108,Resultados!BP108,Resultados!BY108,Resultados!CH108,Resultados!CQ108,Resultados!CZ108,Resultados!DI108,Resultados!DR108,Resultados!EA108)&lt;=1, "", _xlfn.STDEV.S(ABS(Resultados!E108),ABS(Resultados!N108),ABS(Resultados!W108),ABS(Resultados!AF108),ABS(Resultados!AO108),ABS(Resultados!AX108),ABS(Resultados!BG108),ABS(Resultados!BP108),ABS(Resultados!BY108),ABS(Resultados!CH108),ABS(Resultados!CQ108),ABS(Resultados!CZ108),ABS(Resultados!DI108),ABS(Resultados!DR108),ABS(Resultados!EA108))/SQRT(COUNT(Resultados!E108,Resultados!N108,Resultados!W108,Resultados!AF108,Resultados!AO108,Resultados!AX108,Resultados!BG108,Resultados!BP108,Resultados!BY108,Resultados!CH108,Resultados!CQ108,Resultados!CZ108,Resultados!DI108,Resultados!DR108,Resultados!EA108)))</f>
        <v>6.9387169833164744E-2</v>
      </c>
      <c r="F108">
        <f>IF(COUNT(Resultados!F108,Resultados!O108,Resultados!X108,Resultados!AG108,Resultados!AP108,Resultados!AY108,Resultados!BH108,Resultados!BQ108,Resultados!BZ108,Resultados!CI108,Resultados!CR108,Resultados!DA108,Resultados!DJ108,Resultados!DS108,Resultados!EB108)&lt;=1, "", _xlfn.STDEV.S(ABS(Resultados!F108),ABS(Resultados!O108),ABS(Resultados!X108),ABS(Resultados!AG108),ABS(Resultados!AP108),ABS(Resultados!AY108),ABS(Resultados!BH108),ABS(Resultados!BQ108),ABS(Resultados!BZ108),ABS(Resultados!CI108),ABS(Resultados!CR108),ABS(Resultados!DA108),ABS(Resultados!DJ108),ABS(Resultados!DS108),ABS(Resultados!EB108))/SQRT(COUNT(Resultados!F108,Resultados!O108,Resultados!X108,Resultados!AG108,Resultados!AP108,Resultados!AY108,Resultados!BH108,Resultados!BQ108,Resultados!BZ108,Resultados!CI108,Resultados!CR108,Resultados!DA108,Resultados!DJ108,Resultados!DS108,Resultados!EB108)))</f>
        <v>6.5848424171673452</v>
      </c>
      <c r="G108">
        <f>IF(COUNT(Resultados!G108,Resultados!P108,Resultados!Y108,Resultados!AH108,Resultados!AQ108,Resultados!AZ108,Resultados!BI108,Resultados!BR108,Resultados!CA108,Resultados!CJ108,Resultados!CS108,Resultados!DB108,Resultados!DK108,Resultados!DT108,Resultados!EC108)&lt;=1, "", _xlfn.STDEV.S(ABS(Resultados!G108),ABS(Resultados!P108),ABS(Resultados!Y108),ABS(Resultados!AH108),ABS(Resultados!AQ108),ABS(Resultados!AZ108),ABS(Resultados!BI108),ABS(Resultados!BR108),ABS(Resultados!CA108),ABS(Resultados!CJ108),ABS(Resultados!CS108),ABS(Resultados!DB108),ABS(Resultados!DK108),ABS(Resultados!DT108),ABS(Resultados!EC108))/SQRT(COUNT(Resultados!G108,Resultados!P108,Resultados!Y108,Resultados!AH108,Resultados!AQ108,Resultados!AZ108,Resultados!BI108,Resultados!BR108,Resultados!CA108,Resultados!CJ108,Resultados!CS108,Resultados!DB108,Resultados!DK108,Resultados!DT108,Resultados!EC108)))</f>
        <v>4.4507937654163114E-17</v>
      </c>
      <c r="H108">
        <f>IF(COUNT(Resultados!H108,Resultados!Q108,Resultados!Z108,Resultados!AI108,Resultados!AR108,Resultados!BA108,Resultados!BJ108,Resultados!BS108,Resultados!CB108,Resultados!CK108,Resultados!CT108,Resultados!DC108,Resultados!DL108,Resultados!DU108,Resultados!ED108)&lt;=1, "", _xlfn.STDEV.S(ABS(Resultados!H108),ABS(Resultados!Q108),ABS(Resultados!Z108),ABS(Resultados!AI108),ABS(Resultados!AR108),ABS(Resultados!BA108),ABS(Resultados!BJ108),ABS(Resultados!BS108),ABS(Resultados!CB108),ABS(Resultados!CK108),ABS(Resultados!CT108),ABS(Resultados!DC108),ABS(Resultados!DL108),ABS(Resultados!DU108),ABS(Resultados!ED108))/SQRT(COUNT(Resultados!H108,Resultados!Q108,Resultados!Z108,Resultados!AI108,Resultados!AR108,Resultados!BA108,Resultados!BJ108,Resultados!BS108,Resultados!CB108,Resultados!CK108,Resultados!CT108,Resultados!DC108,Resultados!DL108,Resultados!DU108,Resultados!ED108)))</f>
        <v>1.0778815201257389E-3</v>
      </c>
      <c r="I108">
        <f>IF(COUNT(Resultados!I108,Resultados!R108,Resultados!AA108,Resultados!AJ108,Resultados!AS108,Resultados!BB108,Resultados!BK108,Resultados!BT108,Resultados!CC108,Resultados!CL108,Resultados!CU108,Resultados!DD108,Resultados!DM108,Resultados!DV108,Resultados!EE108)&lt;=1, "", _xlfn.STDEV.S(ABS(Resultados!I108),ABS(Resultados!R108),ABS(Resultados!AA108),ABS(Resultados!AJ108),ABS(Resultados!AS108),ABS(Resultados!BB108),ABS(Resultados!BK108),ABS(Resultados!BT108),ABS(Resultados!CC108),ABS(Resultados!CL108),ABS(Resultados!CU108),ABS(Resultados!DD108),ABS(Resultados!DM108),ABS(Resultados!DV108),ABS(Resultados!EE108))/SQRT(COUNT(Resultados!I108,Resultados!R108,Resultados!AA108,Resultados!AJ108,Resultados!AS108,Resultados!BB108,Resultados!BK108,Resultados!BT108,Resultados!CC108,Resultados!CL108,Resultados!CU108,Resultados!DD108,Resultados!DM108,Resultados!DV108,Resultados!EE108)))</f>
        <v>3.871691519670948E-2</v>
      </c>
    </row>
    <row r="109" spans="1:9" x14ac:dyDescent="0.3">
      <c r="A109">
        <f>IF(COUNT(Resultados!A109,Resultados!J109,Resultados!S109,Resultados!AB109,Resultados!AK109,Resultados!AT109,Resultados!BC109,Resultados!BL109,Resultados!BU109,Resultados!CD109,Resultados!CM109,Resultados!CV109,Resultados!DE109,Resultados!DN109,Resultados!DW109)&lt;=1, "", _xlfn.STDEV.S(ABS(Resultados!A109),ABS(Resultados!J109),ABS(Resultados!S109),ABS(Resultados!AB109),ABS(Resultados!AK109),ABS(Resultados!AT109),ABS(Resultados!BC109),ABS(Resultados!BL109),ABS(Resultados!BU109),ABS(Resultados!CD109),ABS(Resultados!CM109),ABS(Resultados!CV109),ABS(Resultados!DE109),ABS(Resultados!DN109),ABS(Resultados!DW109))/SQRT(COUNT(Resultados!A109,Resultados!J109,Resultados!S109,Resultados!AB109,Resultados!AK109,Resultados!AT109,Resultados!BC109,Resultados!BL109,Resultados!BU109,Resultados!CD109,Resultados!CM109,Resultados!CV109,Resultados!DE109,Resultados!DN109,Resultados!DW109)))</f>
        <v>0</v>
      </c>
      <c r="B109" t="str">
        <f>IF(COUNT(Resultados!B109,Resultados!K109,Resultados!T109,Resultados!AC109,Resultados!AL109,Resultados!AU109,Resultados!BD109,Resultados!BM109,Resultados!BV109,Resultados!CE109,Resultados!CN109,Resultados!CW109,Resultados!DF109,Resultados!DO109,Resultados!DX109)&lt;=1, "", _xlfn.STDEV.S(ABS(Resultados!B109),ABS(Resultados!K109),ABS(Resultados!T109),ABS(Resultados!AC109),ABS(Resultados!AL109),ABS(Resultados!AU109),ABS(Resultados!BD109),ABS(Resultados!BM109),ABS(Resultados!BV109),ABS(Resultados!CE109),ABS(Resultados!CN109),ABS(Resultados!CW109),ABS(Resultados!DF109),ABS(Resultados!DO109),ABS(Resultados!DX109))/SQRT(COUNT(Resultados!B109,Resultados!K109,Resultados!T109,Resultados!AC109,Resultados!AL109,Resultados!AU109,Resultados!BD109,Resultados!BM109,Resultados!BV109,Resultados!CE109,Resultados!CN109,Resultados!CW109,Resultados!DF109,Resultados!DO109,Resultados!DX109)))</f>
        <v/>
      </c>
      <c r="C109">
        <f>IF(COUNT(Resultados!C109,Resultados!L109,Resultados!U109,Resultados!AD109,Resultados!AM109,Resultados!AV109,Resultados!BE109,Resultados!BN109,Resultados!BW109,Resultados!CF109,Resultados!CO109,Resultados!CX109,Resultados!DG109,Resultados!DP109,Resultados!DY109)&lt;=1, "", _xlfn.STDEV.S(ABS(Resultados!C109),ABS(Resultados!L109),ABS(Resultados!U109),ABS(Resultados!AD109),ABS(Resultados!AM109),ABS(Resultados!AV109),ABS(Resultados!BE109),ABS(Resultados!BN109),ABS(Resultados!BW109),ABS(Resultados!CF109),ABS(Resultados!CO109),ABS(Resultados!CX109),ABS(Resultados!DG109),ABS(Resultados!DP109),ABS(Resultados!DY109))/SQRT(COUNT(Resultados!C109,Resultados!L109,Resultados!U109,Resultados!AD109,Resultados!AM109,Resultados!AV109,Resultados!BE109,Resultados!BN109,Resultados!BW109,Resultados!CF109,Resultados!CO109,Resultados!CX109,Resultados!DG109,Resultados!DP109,Resultados!DY109)))</f>
        <v>0.48007935851918326</v>
      </c>
      <c r="D109">
        <f>IF(COUNT(Resultados!D109,Resultados!M109,Resultados!V109,Resultados!AE109,Resultados!AN109,Resultados!AW109,Resultados!BF109,Resultados!BO109,Resultados!BX109,Resultados!CG109,Resultados!CP109,Resultados!CY109,Resultados!DH109,Resultados!DQ109,Resultados!DZ109)&lt;=1, "", _xlfn.STDEV.S(ABS(Resultados!D109),ABS(Resultados!M109),ABS(Resultados!V109),ABS(Resultados!AE109),ABS(Resultados!AN109),ABS(Resultados!AW109),ABS(Resultados!BF109),ABS(Resultados!BO109),ABS(Resultados!BX109),ABS(Resultados!CG109),ABS(Resultados!CP109),ABS(Resultados!CY109),ABS(Resultados!DH109),ABS(Resultados!DQ109),ABS(Resultados!DZ109))/SQRT(COUNT(Resultados!D109,Resultados!M109,Resultados!V109,Resultados!AE109,Resultados!AN109,Resultados!AW109,Resultados!BF109,Resultados!BO109,Resultados!BX109,Resultados!CG109,Resultados!CP109,Resultados!CY109,Resultados!DH109,Resultados!DQ109,Resultados!DZ109)))</f>
        <v>9.1442756836054547E-4</v>
      </c>
      <c r="E109">
        <f>IF(COUNT(Resultados!E109,Resultados!N109,Resultados!W109,Resultados!AF109,Resultados!AO109,Resultados!AX109,Resultados!BG109,Resultados!BP109,Resultados!BY109,Resultados!CH109,Resultados!CQ109,Resultados!CZ109,Resultados!DI109,Resultados!DR109,Resultados!EA109)&lt;=1, "", _xlfn.STDEV.S(ABS(Resultados!E109),ABS(Resultados!N109),ABS(Resultados!W109),ABS(Resultados!AF109),ABS(Resultados!AO109),ABS(Resultados!AX109),ABS(Resultados!BG109),ABS(Resultados!BP109),ABS(Resultados!BY109),ABS(Resultados!CH109),ABS(Resultados!CQ109),ABS(Resultados!CZ109),ABS(Resultados!DI109),ABS(Resultados!DR109),ABS(Resultados!EA109))/SQRT(COUNT(Resultados!E109,Resultados!N109,Resultados!W109,Resultados!AF109,Resultados!AO109,Resultados!AX109,Resultados!BG109,Resultados!BP109,Resultados!BY109,Resultados!CH109,Resultados!CQ109,Resultados!CZ109,Resultados!DI109,Resultados!DR109,Resultados!EA109)))</f>
        <v>6.9147475616763612E-2</v>
      </c>
      <c r="F109">
        <f>IF(COUNT(Resultados!F109,Resultados!O109,Resultados!X109,Resultados!AG109,Resultados!AP109,Resultados!AY109,Resultados!BH109,Resultados!BQ109,Resultados!BZ109,Resultados!CI109,Resultados!CR109,Resultados!DA109,Resultados!DJ109,Resultados!DS109,Resultados!EB109)&lt;=1, "", _xlfn.STDEV.S(ABS(Resultados!F109),ABS(Resultados!O109),ABS(Resultados!X109),ABS(Resultados!AG109),ABS(Resultados!AP109),ABS(Resultados!AY109),ABS(Resultados!BH109),ABS(Resultados!BQ109),ABS(Resultados!BZ109),ABS(Resultados!CI109),ABS(Resultados!CR109),ABS(Resultados!DA109),ABS(Resultados!DJ109),ABS(Resultados!DS109),ABS(Resultados!EB109))/SQRT(COUNT(Resultados!F109,Resultados!O109,Resultados!X109,Resultados!AG109,Resultados!AP109,Resultados!AY109,Resultados!BH109,Resultados!BQ109,Resultados!BZ109,Resultados!CI109,Resultados!CR109,Resultados!DA109,Resultados!DJ109,Resultados!DS109,Resultados!EB109)))</f>
        <v>6.5620954360308676</v>
      </c>
      <c r="G109">
        <f>IF(COUNT(Resultados!G109,Resultados!P109,Resultados!Y109,Resultados!AH109,Resultados!AQ109,Resultados!AZ109,Resultados!BI109,Resultados!BR109,Resultados!CA109,Resultados!CJ109,Resultados!CS109,Resultados!DB109,Resultados!DK109,Resultados!DT109,Resultados!EC109)&lt;=1, "", _xlfn.STDEV.S(ABS(Resultados!G109),ABS(Resultados!P109),ABS(Resultados!Y109),ABS(Resultados!AH109),ABS(Resultados!AQ109),ABS(Resultados!AZ109),ABS(Resultados!BI109),ABS(Resultados!BR109),ABS(Resultados!CA109),ABS(Resultados!CJ109),ABS(Resultados!CS109),ABS(Resultados!DB109),ABS(Resultados!DK109),ABS(Resultados!DT109),ABS(Resultados!EC109))/SQRT(COUNT(Resultados!G109,Resultados!P109,Resultados!Y109,Resultados!AH109,Resultados!AQ109,Resultados!AZ109,Resultados!BI109,Resultados!BR109,Resultados!CA109,Resultados!CJ109,Resultados!CS109,Resultados!DB109,Resultados!DK109,Resultados!DT109,Resultados!EC109)))</f>
        <v>4.4507937654163114E-17</v>
      </c>
      <c r="H109">
        <f>IF(COUNT(Resultados!H109,Resultados!Q109,Resultados!Z109,Resultados!AI109,Resultados!AR109,Resultados!BA109,Resultados!BJ109,Resultados!BS109,Resultados!CB109,Resultados!CK109,Resultados!CT109,Resultados!DC109,Resultados!DL109,Resultados!DU109,Resultados!ED109)&lt;=1, "", _xlfn.STDEV.S(ABS(Resultados!H109),ABS(Resultados!Q109),ABS(Resultados!Z109),ABS(Resultados!AI109),ABS(Resultados!AR109),ABS(Resultados!BA109),ABS(Resultados!BJ109),ABS(Resultados!BS109),ABS(Resultados!CB109),ABS(Resultados!CK109),ABS(Resultados!CT109),ABS(Resultados!DC109),ABS(Resultados!DL109),ABS(Resultados!DU109),ABS(Resultados!ED109))/SQRT(COUNT(Resultados!H109,Resultados!Q109,Resultados!Z109,Resultados!AI109,Resultados!AR109,Resultados!BA109,Resultados!BJ109,Resultados!BS109,Resultados!CB109,Resultados!CK109,Resultados!CT109,Resultados!DC109,Resultados!DL109,Resultados!DU109,Resultados!ED109)))</f>
        <v>1.0754607724207715E-3</v>
      </c>
      <c r="I109">
        <f>IF(COUNT(Resultados!I109,Resultados!R109,Resultados!AA109,Resultados!AJ109,Resultados!AS109,Resultados!BB109,Resultados!BK109,Resultados!BT109,Resultados!CC109,Resultados!CL109,Resultados!CU109,Resultados!DD109,Resultados!DM109,Resultados!DV109,Resultados!EE109)&lt;=1, "", _xlfn.STDEV.S(ABS(Resultados!I109),ABS(Resultados!R109),ABS(Resultados!AA109),ABS(Resultados!AJ109),ABS(Resultados!AS109),ABS(Resultados!BB109),ABS(Resultados!BK109),ABS(Resultados!BT109),ABS(Resultados!CC109),ABS(Resultados!CL109),ABS(Resultados!CU109),ABS(Resultados!DD109),ABS(Resultados!DM109),ABS(Resultados!DV109),ABS(Resultados!EE109))/SQRT(COUNT(Resultados!I109,Resultados!R109,Resultados!AA109,Resultados!AJ109,Resultados!AS109,Resultados!BB109,Resultados!BK109,Resultados!BT109,Resultados!CC109,Resultados!CL109,Resultados!CU109,Resultados!DD109,Resultados!DM109,Resultados!DV109,Resultados!EE109)))</f>
        <v>3.6341917860478766E-2</v>
      </c>
    </row>
    <row r="110" spans="1:9" x14ac:dyDescent="0.3">
      <c r="A110">
        <f>IF(COUNT(Resultados!A110,Resultados!J110,Resultados!S110,Resultados!AB110,Resultados!AK110,Resultados!AT110,Resultados!BC110,Resultados!BL110,Resultados!BU110,Resultados!CD110,Resultados!CM110,Resultados!CV110,Resultados!DE110,Resultados!DN110,Resultados!DW110)&lt;=1, "", _xlfn.STDEV.S(ABS(Resultados!A110),ABS(Resultados!J110),ABS(Resultados!S110),ABS(Resultados!AB110),ABS(Resultados!AK110),ABS(Resultados!AT110),ABS(Resultados!BC110),ABS(Resultados!BL110),ABS(Resultados!BU110),ABS(Resultados!CD110),ABS(Resultados!CM110),ABS(Resultados!CV110),ABS(Resultados!DE110),ABS(Resultados!DN110),ABS(Resultados!DW110))/SQRT(COUNT(Resultados!A110,Resultados!J110,Resultados!S110,Resultados!AB110,Resultados!AK110,Resultados!AT110,Resultados!BC110,Resultados!BL110,Resultados!BU110,Resultados!CD110,Resultados!CM110,Resultados!CV110,Resultados!DE110,Resultados!DN110,Resultados!DW110)))</f>
        <v>0</v>
      </c>
      <c r="B110" t="str">
        <f>IF(COUNT(Resultados!B110,Resultados!K110,Resultados!T110,Resultados!AC110,Resultados!AL110,Resultados!AU110,Resultados!BD110,Resultados!BM110,Resultados!BV110,Resultados!CE110,Resultados!CN110,Resultados!CW110,Resultados!DF110,Resultados!DO110,Resultados!DX110)&lt;=1, "", _xlfn.STDEV.S(ABS(Resultados!B110),ABS(Resultados!K110),ABS(Resultados!T110),ABS(Resultados!AC110),ABS(Resultados!AL110),ABS(Resultados!AU110),ABS(Resultados!BD110),ABS(Resultados!BM110),ABS(Resultados!BV110),ABS(Resultados!CE110),ABS(Resultados!CN110),ABS(Resultados!CW110),ABS(Resultados!DF110),ABS(Resultados!DO110),ABS(Resultados!DX110))/SQRT(COUNT(Resultados!B110,Resultados!K110,Resultados!T110,Resultados!AC110,Resultados!AL110,Resultados!AU110,Resultados!BD110,Resultados!BM110,Resultados!BV110,Resultados!CE110,Resultados!CN110,Resultados!CW110,Resultados!DF110,Resultados!DO110,Resultados!DX110)))</f>
        <v/>
      </c>
      <c r="C110">
        <f>IF(COUNT(Resultados!C110,Resultados!L110,Resultados!U110,Resultados!AD110,Resultados!AM110,Resultados!AV110,Resultados!BE110,Resultados!BN110,Resultados!BW110,Resultados!CF110,Resultados!CO110,Resultados!CX110,Resultados!DG110,Resultados!DP110,Resultados!DY110)&lt;=1, "", _xlfn.STDEV.S(ABS(Resultados!C110),ABS(Resultados!L110),ABS(Resultados!U110),ABS(Resultados!AD110),ABS(Resultados!AM110),ABS(Resultados!AV110),ABS(Resultados!BE110),ABS(Resultados!BN110),ABS(Resultados!BW110),ABS(Resultados!CF110),ABS(Resultados!CO110),ABS(Resultados!CX110),ABS(Resultados!DG110),ABS(Resultados!DP110),ABS(Resultados!DY110))/SQRT(COUNT(Resultados!C110,Resultados!L110,Resultados!U110,Resultados!AD110,Resultados!AM110,Resultados!AV110,Resultados!BE110,Resultados!BN110,Resultados!BW110,Resultados!CF110,Resultados!CO110,Resultados!CX110,Resultados!DG110,Resultados!DP110,Resultados!DY110)))</f>
        <v>0.48007935851918326</v>
      </c>
      <c r="D110">
        <f>IF(COUNT(Resultados!D110,Resultados!M110,Resultados!V110,Resultados!AE110,Resultados!AN110,Resultados!AW110,Resultados!BF110,Resultados!BO110,Resultados!BX110,Resultados!CG110,Resultados!CP110,Resultados!CY110,Resultados!DH110,Resultados!DQ110,Resultados!DZ110)&lt;=1, "", _xlfn.STDEV.S(ABS(Resultados!D110),ABS(Resultados!M110),ABS(Resultados!V110),ABS(Resultados!AE110),ABS(Resultados!AN110),ABS(Resultados!AW110),ABS(Resultados!BF110),ABS(Resultados!BO110),ABS(Resultados!BX110),ABS(Resultados!CG110),ABS(Resultados!CP110),ABS(Resultados!CY110),ABS(Resultados!DH110),ABS(Resultados!DQ110),ABS(Resultados!DZ110))/SQRT(COUNT(Resultados!D110,Resultados!M110,Resultados!V110,Resultados!AE110,Resultados!AN110,Resultados!AW110,Resultados!BF110,Resultados!BO110,Resultados!BX110,Resultados!CG110,Resultados!CP110,Resultados!CY110,Resultados!DH110,Resultados!DQ110,Resultados!DZ110)))</f>
        <v>9.8445053565065057E-4</v>
      </c>
      <c r="E110">
        <f>IF(COUNT(Resultados!E110,Resultados!N110,Resultados!W110,Resultados!AF110,Resultados!AO110,Resultados!AX110,Resultados!BG110,Resultados!BP110,Resultados!BY110,Resultados!CH110,Resultados!CQ110,Resultados!CZ110,Resultados!DI110,Resultados!DR110,Resultados!EA110)&lt;=1, "", _xlfn.STDEV.S(ABS(Resultados!E110),ABS(Resultados!N110),ABS(Resultados!W110),ABS(Resultados!AF110),ABS(Resultados!AO110),ABS(Resultados!AX110),ABS(Resultados!BG110),ABS(Resultados!BP110),ABS(Resultados!BY110),ABS(Resultados!CH110),ABS(Resultados!CQ110),ABS(Resultados!CZ110),ABS(Resultados!DI110),ABS(Resultados!DR110),ABS(Resultados!EA110))/SQRT(COUNT(Resultados!E110,Resultados!N110,Resultados!W110,Resultados!AF110,Resultados!AO110,Resultados!AX110,Resultados!BG110,Resultados!BP110,Resultados!BY110,Resultados!CH110,Resultados!CQ110,Resultados!CZ110,Resultados!DI110,Resultados!DR110,Resultados!EA110)))</f>
        <v>6.5220307680360703E-2</v>
      </c>
      <c r="F110">
        <f>IF(COUNT(Resultados!F110,Resultados!O110,Resultados!X110,Resultados!AG110,Resultados!AP110,Resultados!AY110,Resultados!BH110,Resultados!BQ110,Resultados!BZ110,Resultados!CI110,Resultados!CR110,Resultados!DA110,Resultados!DJ110,Resultados!DS110,Resultados!EB110)&lt;=1, "", _xlfn.STDEV.S(ABS(Resultados!F110),ABS(Resultados!O110),ABS(Resultados!X110),ABS(Resultados!AG110),ABS(Resultados!AP110),ABS(Resultados!AY110),ABS(Resultados!BH110),ABS(Resultados!BQ110),ABS(Resultados!BZ110),ABS(Resultados!CI110),ABS(Resultados!CR110),ABS(Resultados!DA110),ABS(Resultados!DJ110),ABS(Resultados!DS110),ABS(Resultados!EB110))/SQRT(COUNT(Resultados!F110,Resultados!O110,Resultados!X110,Resultados!AG110,Resultados!AP110,Resultados!AY110,Resultados!BH110,Resultados!BQ110,Resultados!BZ110,Resultados!CI110,Resultados!CR110,Resultados!DA110,Resultados!DJ110,Resultados!DS110,Resultados!EB110)))</f>
        <v>6.1894071988662338</v>
      </c>
      <c r="G110">
        <f>IF(COUNT(Resultados!G110,Resultados!P110,Resultados!Y110,Resultados!AH110,Resultados!AQ110,Resultados!AZ110,Resultados!BI110,Resultados!BR110,Resultados!CA110,Resultados!CJ110,Resultados!CS110,Resultados!DB110,Resultados!DK110,Resultados!DT110,Resultados!EC110)&lt;=1, "", _xlfn.STDEV.S(ABS(Resultados!G110),ABS(Resultados!P110),ABS(Resultados!Y110),ABS(Resultados!AH110),ABS(Resultados!AQ110),ABS(Resultados!AZ110),ABS(Resultados!BI110),ABS(Resultados!BR110),ABS(Resultados!CA110),ABS(Resultados!CJ110),ABS(Resultados!CS110),ABS(Resultados!DB110),ABS(Resultados!DK110),ABS(Resultados!DT110),ABS(Resultados!EC110))/SQRT(COUNT(Resultados!G110,Resultados!P110,Resultados!Y110,Resultados!AH110,Resultados!AQ110,Resultados!AZ110,Resultados!BI110,Resultados!BR110,Resultados!CA110,Resultados!CJ110,Resultados!CS110,Resultados!DB110,Resultados!DK110,Resultados!DT110,Resultados!EC110)))</f>
        <v>4.4507937654163114E-17</v>
      </c>
      <c r="H110">
        <f>IF(COUNT(Resultados!H110,Resultados!Q110,Resultados!Z110,Resultados!AI110,Resultados!AR110,Resultados!BA110,Resultados!BJ110,Resultados!BS110,Resultados!CB110,Resultados!CK110,Resultados!CT110,Resultados!DC110,Resultados!DL110,Resultados!DU110,Resultados!ED110)&lt;=1, "", _xlfn.STDEV.S(ABS(Resultados!H110),ABS(Resultados!Q110),ABS(Resultados!Z110),ABS(Resultados!AI110),ABS(Resultados!AR110),ABS(Resultados!BA110),ABS(Resultados!BJ110),ABS(Resultados!BS110),ABS(Resultados!CB110),ABS(Resultados!CK110),ABS(Resultados!CT110),ABS(Resultados!DC110),ABS(Resultados!DL110),ABS(Resultados!DU110),ABS(Resultados!ED110))/SQRT(COUNT(Resultados!H110,Resultados!Q110,Resultados!Z110,Resultados!AI110,Resultados!AR110,Resultados!BA110,Resultados!BJ110,Resultados!BS110,Resultados!CB110,Resultados!CK110,Resultados!CT110,Resultados!DC110,Resultados!DL110,Resultados!DU110,Resultados!ED110)))</f>
        <v>1.0152581968884595E-3</v>
      </c>
      <c r="I110">
        <f>IF(COUNT(Resultados!I110,Resultados!R110,Resultados!AA110,Resultados!AJ110,Resultados!AS110,Resultados!BB110,Resultados!BK110,Resultados!BT110,Resultados!CC110,Resultados!CL110,Resultados!CU110,Resultados!DD110,Resultados!DM110,Resultados!DV110,Resultados!EE110)&lt;=1, "", _xlfn.STDEV.S(ABS(Resultados!I110),ABS(Resultados!R110),ABS(Resultados!AA110),ABS(Resultados!AJ110),ABS(Resultados!AS110),ABS(Resultados!BB110),ABS(Resultados!BK110),ABS(Resultados!BT110),ABS(Resultados!CC110),ABS(Resultados!CL110),ABS(Resultados!CU110),ABS(Resultados!DD110),ABS(Resultados!DM110),ABS(Resultados!DV110),ABS(Resultados!EE110))/SQRT(COUNT(Resultados!I110,Resultados!R110,Resultados!AA110,Resultados!AJ110,Resultados!AS110,Resultados!BB110,Resultados!BK110,Resultados!BT110,Resultados!CC110,Resultados!CL110,Resultados!CU110,Resultados!DD110,Resultados!DM110,Resultados!DV110,Resultados!EE110)))</f>
        <v>3.6468122986505105E-2</v>
      </c>
    </row>
    <row r="111" spans="1:9" x14ac:dyDescent="0.3">
      <c r="A111">
        <f>IF(COUNT(Resultados!A111,Resultados!J111,Resultados!S111,Resultados!AB111,Resultados!AK111,Resultados!AT111,Resultados!BC111,Resultados!BL111,Resultados!BU111,Resultados!CD111,Resultados!CM111,Resultados!CV111,Resultados!DE111,Resultados!DN111,Resultados!DW111)&lt;=1, "", _xlfn.STDEV.S(ABS(Resultados!A111),ABS(Resultados!J111),ABS(Resultados!S111),ABS(Resultados!AB111),ABS(Resultados!AK111),ABS(Resultados!AT111),ABS(Resultados!BC111),ABS(Resultados!BL111),ABS(Resultados!BU111),ABS(Resultados!CD111),ABS(Resultados!CM111),ABS(Resultados!CV111),ABS(Resultados!DE111),ABS(Resultados!DN111),ABS(Resultados!DW111))/SQRT(COUNT(Resultados!A111,Resultados!J111,Resultados!S111,Resultados!AB111,Resultados!AK111,Resultados!AT111,Resultados!BC111,Resultados!BL111,Resultados!BU111,Resultados!CD111,Resultados!CM111,Resultados!CV111,Resultados!DE111,Resultados!DN111,Resultados!DW111)))</f>
        <v>0</v>
      </c>
      <c r="B111" t="str">
        <f>IF(COUNT(Resultados!B111,Resultados!K111,Resultados!T111,Resultados!AC111,Resultados!AL111,Resultados!AU111,Resultados!BD111,Resultados!BM111,Resultados!BV111,Resultados!CE111,Resultados!CN111,Resultados!CW111,Resultados!DF111,Resultados!DO111,Resultados!DX111)&lt;=1, "", _xlfn.STDEV.S(ABS(Resultados!B111),ABS(Resultados!K111),ABS(Resultados!T111),ABS(Resultados!AC111),ABS(Resultados!AL111),ABS(Resultados!AU111),ABS(Resultados!BD111),ABS(Resultados!BM111),ABS(Resultados!BV111),ABS(Resultados!CE111),ABS(Resultados!CN111),ABS(Resultados!CW111),ABS(Resultados!DF111),ABS(Resultados!DO111),ABS(Resultados!DX111))/SQRT(COUNT(Resultados!B111,Resultados!K111,Resultados!T111,Resultados!AC111,Resultados!AL111,Resultados!AU111,Resultados!BD111,Resultados!BM111,Resultados!BV111,Resultados!CE111,Resultados!CN111,Resultados!CW111,Resultados!DF111,Resultados!DO111,Resultados!DX111)))</f>
        <v/>
      </c>
      <c r="C111">
        <f>IF(COUNT(Resultados!C111,Resultados!L111,Resultados!U111,Resultados!AD111,Resultados!AM111,Resultados!AV111,Resultados!BE111,Resultados!BN111,Resultados!BW111,Resultados!CF111,Resultados!CO111,Resultados!CX111,Resultados!DG111,Resultados!DP111,Resultados!DY111)&lt;=1, "", _xlfn.STDEV.S(ABS(Resultados!C111),ABS(Resultados!L111),ABS(Resultados!U111),ABS(Resultados!AD111),ABS(Resultados!AM111),ABS(Resultados!AV111),ABS(Resultados!BE111),ABS(Resultados!BN111),ABS(Resultados!BW111),ABS(Resultados!CF111),ABS(Resultados!CO111),ABS(Resultados!CX111),ABS(Resultados!DG111),ABS(Resultados!DP111),ABS(Resultados!DY111))/SQRT(COUNT(Resultados!C111,Resultados!L111,Resultados!U111,Resultados!AD111,Resultados!AM111,Resultados!AV111,Resultados!BE111,Resultados!BN111,Resultados!BW111,Resultados!CF111,Resultados!CO111,Resultados!CX111,Resultados!DG111,Resultados!DP111,Resultados!DY111)))</f>
        <v>0.48007935851918326</v>
      </c>
      <c r="D111">
        <f>IF(COUNT(Resultados!D111,Resultados!M111,Resultados!V111,Resultados!AE111,Resultados!AN111,Resultados!AW111,Resultados!BF111,Resultados!BO111,Resultados!BX111,Resultados!CG111,Resultados!CP111,Resultados!CY111,Resultados!DH111,Resultados!DQ111,Resultados!DZ111)&lt;=1, "", _xlfn.STDEV.S(ABS(Resultados!D111),ABS(Resultados!M111),ABS(Resultados!V111),ABS(Resultados!AE111),ABS(Resultados!AN111),ABS(Resultados!AW111),ABS(Resultados!BF111),ABS(Resultados!BO111),ABS(Resultados!BX111),ABS(Resultados!CG111),ABS(Resultados!CP111),ABS(Resultados!CY111),ABS(Resultados!DH111),ABS(Resultados!DQ111),ABS(Resultados!DZ111))/SQRT(COUNT(Resultados!D111,Resultados!M111,Resultados!V111,Resultados!AE111,Resultados!AN111,Resultados!AW111,Resultados!BF111,Resultados!BO111,Resultados!BX111,Resultados!CG111,Resultados!CP111,Resultados!CY111,Resultados!DH111,Resultados!DQ111,Resultados!DZ111)))</f>
        <v>9.5540899577424381E-4</v>
      </c>
      <c r="E111">
        <f>IF(COUNT(Resultados!E111,Resultados!N111,Resultados!W111,Resultados!AF111,Resultados!AO111,Resultados!AX111,Resultados!BG111,Resultados!BP111,Resultados!BY111,Resultados!CH111,Resultados!CQ111,Resultados!CZ111,Resultados!DI111,Resultados!DR111,Resultados!EA111)&lt;=1, "", _xlfn.STDEV.S(ABS(Resultados!E111),ABS(Resultados!N111),ABS(Resultados!W111),ABS(Resultados!AF111),ABS(Resultados!AO111),ABS(Resultados!AX111),ABS(Resultados!BG111),ABS(Resultados!BP111),ABS(Resultados!BY111),ABS(Resultados!CH111),ABS(Resultados!CQ111),ABS(Resultados!CZ111),ABS(Resultados!DI111),ABS(Resultados!DR111),ABS(Resultados!EA111))/SQRT(COUNT(Resultados!E111,Resultados!N111,Resultados!W111,Resultados!AF111,Resultados!AO111,Resultados!AX111,Resultados!BG111,Resultados!BP111,Resultados!BY111,Resultados!CH111,Resultados!CQ111,Resultados!CZ111,Resultados!DI111,Resultados!DR111,Resultados!EA111)))</f>
        <v>5.6590523473811369E-2</v>
      </c>
      <c r="F111">
        <f>IF(COUNT(Resultados!F111,Resultados!O111,Resultados!X111,Resultados!AG111,Resultados!AP111,Resultados!AY111,Resultados!BH111,Resultados!BQ111,Resultados!BZ111,Resultados!CI111,Resultados!CR111,Resultados!DA111,Resultados!DJ111,Resultados!DS111,Resultados!EB111)&lt;=1, "", _xlfn.STDEV.S(ABS(Resultados!F111),ABS(Resultados!O111),ABS(Resultados!X111),ABS(Resultados!AG111),ABS(Resultados!AP111),ABS(Resultados!AY111),ABS(Resultados!BH111),ABS(Resultados!BQ111),ABS(Resultados!BZ111),ABS(Resultados!CI111),ABS(Resultados!CR111),ABS(Resultados!DA111),ABS(Resultados!DJ111),ABS(Resultados!DS111),ABS(Resultados!EB111))/SQRT(COUNT(Resultados!F111,Resultados!O111,Resultados!X111,Resultados!AG111,Resultados!AP111,Resultados!AY111,Resultados!BH111,Resultados!BQ111,Resultados!BZ111,Resultados!CI111,Resultados!CR111,Resultados!DA111,Resultados!DJ111,Resultados!DS111,Resultados!EB111)))</f>
        <v>10.408664791767269</v>
      </c>
      <c r="G111">
        <f>IF(COUNT(Resultados!G111,Resultados!P111,Resultados!Y111,Resultados!AH111,Resultados!AQ111,Resultados!AZ111,Resultados!BI111,Resultados!BR111,Resultados!CA111,Resultados!CJ111,Resultados!CS111,Resultados!DB111,Resultados!DK111,Resultados!DT111,Resultados!EC111)&lt;=1, "", _xlfn.STDEV.S(ABS(Resultados!G111),ABS(Resultados!P111),ABS(Resultados!Y111),ABS(Resultados!AH111),ABS(Resultados!AQ111),ABS(Resultados!AZ111),ABS(Resultados!BI111),ABS(Resultados!BR111),ABS(Resultados!CA111),ABS(Resultados!CJ111),ABS(Resultados!CS111),ABS(Resultados!DB111),ABS(Resultados!DK111),ABS(Resultados!DT111),ABS(Resultados!EC111))/SQRT(COUNT(Resultados!G111,Resultados!P111,Resultados!Y111,Resultados!AH111,Resultados!AQ111,Resultados!AZ111,Resultados!BI111,Resultados!BR111,Resultados!CA111,Resultados!CJ111,Resultados!CS111,Resultados!DB111,Resultados!DK111,Resultados!DT111,Resultados!EC111)))</f>
        <v>4.4507937654163114E-17</v>
      </c>
      <c r="H111">
        <f>IF(COUNT(Resultados!H111,Resultados!Q111,Resultados!Z111,Resultados!AI111,Resultados!AR111,Resultados!BA111,Resultados!BJ111,Resultados!BS111,Resultados!CB111,Resultados!CK111,Resultados!CT111,Resultados!DC111,Resultados!DL111,Resultados!DU111,Resultados!ED111)&lt;=1, "", _xlfn.STDEV.S(ABS(Resultados!H111),ABS(Resultados!Q111),ABS(Resultados!Z111),ABS(Resultados!AI111),ABS(Resultados!AR111),ABS(Resultados!BA111),ABS(Resultados!BJ111),ABS(Resultados!BS111),ABS(Resultados!CB111),ABS(Resultados!CK111),ABS(Resultados!CT111),ABS(Resultados!DC111),ABS(Resultados!DL111),ABS(Resultados!DU111),ABS(Resultados!ED111))/SQRT(COUNT(Resultados!H111,Resultados!Q111,Resultados!Z111,Resultados!AI111,Resultados!AR111,Resultados!BA111,Resultados!BJ111,Resultados!BS111,Resultados!CB111,Resultados!CK111,Resultados!CT111,Resultados!DC111,Resultados!DL111,Resultados!DU111,Resultados!ED111)))</f>
        <v>8.799999999999996E-4</v>
      </c>
      <c r="I111">
        <f>IF(COUNT(Resultados!I111,Resultados!R111,Resultados!AA111,Resultados!AJ111,Resultados!AS111,Resultados!BB111,Resultados!BK111,Resultados!BT111,Resultados!CC111,Resultados!CL111,Resultados!CU111,Resultados!DD111,Resultados!DM111,Resultados!DV111,Resultados!EE111)&lt;=1, "", _xlfn.STDEV.S(ABS(Resultados!I111),ABS(Resultados!R111),ABS(Resultados!AA111),ABS(Resultados!AJ111),ABS(Resultados!AS111),ABS(Resultados!BB111),ABS(Resultados!BK111),ABS(Resultados!BT111),ABS(Resultados!CC111),ABS(Resultados!CL111),ABS(Resultados!CU111),ABS(Resultados!DD111),ABS(Resultados!DM111),ABS(Resultados!DV111),ABS(Resultados!EE111))/SQRT(COUNT(Resultados!I111,Resultados!R111,Resultados!AA111,Resultados!AJ111,Resultados!AS111,Resultados!BB111,Resultados!BK111,Resultados!BT111,Resultados!CC111,Resultados!CL111,Resultados!CU111,Resultados!DD111,Resultados!DM111,Resultados!DV111,Resultados!EE111)))</f>
        <v>3.6413545719596471E-2</v>
      </c>
    </row>
    <row r="112" spans="1:9" x14ac:dyDescent="0.3">
      <c r="A112">
        <f>IF(COUNT(Resultados!A112,Resultados!J112,Resultados!S112,Resultados!AB112,Resultados!AK112,Resultados!AT112,Resultados!BC112,Resultados!BL112,Resultados!BU112,Resultados!CD112,Resultados!CM112,Resultados!CV112,Resultados!DE112,Resultados!DN112,Resultados!DW112)&lt;=1, "", _xlfn.STDEV.S(ABS(Resultados!A112),ABS(Resultados!J112),ABS(Resultados!S112),ABS(Resultados!AB112),ABS(Resultados!AK112),ABS(Resultados!AT112),ABS(Resultados!BC112),ABS(Resultados!BL112),ABS(Resultados!BU112),ABS(Resultados!CD112),ABS(Resultados!CM112),ABS(Resultados!CV112),ABS(Resultados!DE112),ABS(Resultados!DN112),ABS(Resultados!DW112))/SQRT(COUNT(Resultados!A112,Resultados!J112,Resultados!S112,Resultados!AB112,Resultados!AK112,Resultados!AT112,Resultados!BC112,Resultados!BL112,Resultados!BU112,Resultados!CD112,Resultados!CM112,Resultados!CV112,Resultados!DE112,Resultados!DN112,Resultados!DW112)))</f>
        <v>0</v>
      </c>
      <c r="B112" t="str">
        <f>IF(COUNT(Resultados!B112,Resultados!K112,Resultados!T112,Resultados!AC112,Resultados!AL112,Resultados!AU112,Resultados!BD112,Resultados!BM112,Resultados!BV112,Resultados!CE112,Resultados!CN112,Resultados!CW112,Resultados!DF112,Resultados!DO112,Resultados!DX112)&lt;=1, "", _xlfn.STDEV.S(ABS(Resultados!B112),ABS(Resultados!K112),ABS(Resultados!T112),ABS(Resultados!AC112),ABS(Resultados!AL112),ABS(Resultados!AU112),ABS(Resultados!BD112),ABS(Resultados!BM112),ABS(Resultados!BV112),ABS(Resultados!CE112),ABS(Resultados!CN112),ABS(Resultados!CW112),ABS(Resultados!DF112),ABS(Resultados!DO112),ABS(Resultados!DX112))/SQRT(COUNT(Resultados!B112,Resultados!K112,Resultados!T112,Resultados!AC112,Resultados!AL112,Resultados!AU112,Resultados!BD112,Resultados!BM112,Resultados!BV112,Resultados!CE112,Resultados!CN112,Resultados!CW112,Resultados!DF112,Resultados!DO112,Resultados!DX112)))</f>
        <v/>
      </c>
      <c r="C112">
        <f>IF(COUNT(Resultados!C112,Resultados!L112,Resultados!U112,Resultados!AD112,Resultados!AM112,Resultados!AV112,Resultados!BE112,Resultados!BN112,Resultados!BW112,Resultados!CF112,Resultados!CO112,Resultados!CX112,Resultados!DG112,Resultados!DP112,Resultados!DY112)&lt;=1, "", _xlfn.STDEV.S(ABS(Resultados!C112),ABS(Resultados!L112),ABS(Resultados!U112),ABS(Resultados!AD112),ABS(Resultados!AM112),ABS(Resultados!AV112),ABS(Resultados!BE112),ABS(Resultados!BN112),ABS(Resultados!BW112),ABS(Resultados!CF112),ABS(Resultados!CO112),ABS(Resultados!CX112),ABS(Resultados!DG112),ABS(Resultados!DP112),ABS(Resultados!DY112))/SQRT(COUNT(Resultados!C112,Resultados!L112,Resultados!U112,Resultados!AD112,Resultados!AM112,Resultados!AV112,Resultados!BE112,Resultados!BN112,Resultados!BW112,Resultados!CF112,Resultados!CO112,Resultados!CX112,Resultados!DG112,Resultados!DP112,Resultados!DY112)))</f>
        <v>0.48007935851918326</v>
      </c>
      <c r="D112">
        <f>IF(COUNT(Resultados!D112,Resultados!M112,Resultados!V112,Resultados!AE112,Resultados!AN112,Resultados!AW112,Resultados!BF112,Resultados!BO112,Resultados!BX112,Resultados!CG112,Resultados!CP112,Resultados!CY112,Resultados!DH112,Resultados!DQ112,Resultados!DZ112)&lt;=1, "", _xlfn.STDEV.S(ABS(Resultados!D112),ABS(Resultados!M112),ABS(Resultados!V112),ABS(Resultados!AE112),ABS(Resultados!AN112),ABS(Resultados!AW112),ABS(Resultados!BF112),ABS(Resultados!BO112),ABS(Resultados!BX112),ABS(Resultados!CG112),ABS(Resultados!CP112),ABS(Resultados!CY112),ABS(Resultados!DH112),ABS(Resultados!DQ112),ABS(Resultados!DZ112))/SQRT(COUNT(Resultados!D112,Resultados!M112,Resultados!V112,Resultados!AE112,Resultados!AN112,Resultados!AW112,Resultados!BF112,Resultados!BO112,Resultados!BX112,Resultados!CG112,Resultados!CP112,Resultados!CY112,Resultados!DH112,Resultados!DQ112,Resultados!DZ112)))</f>
        <v>7.7339490723671203E-4</v>
      </c>
      <c r="E112">
        <f>IF(COUNT(Resultados!E112,Resultados!N112,Resultados!W112,Resultados!AF112,Resultados!AO112,Resultados!AX112,Resultados!BG112,Resultados!BP112,Resultados!BY112,Resultados!CH112,Resultados!CQ112,Resultados!CZ112,Resultados!DI112,Resultados!DR112,Resultados!EA112)&lt;=1, "", _xlfn.STDEV.S(ABS(Resultados!E112),ABS(Resultados!N112),ABS(Resultados!W112),ABS(Resultados!AF112),ABS(Resultados!AO112),ABS(Resultados!AX112),ABS(Resultados!BG112),ABS(Resultados!BP112),ABS(Resultados!BY112),ABS(Resultados!CH112),ABS(Resultados!CQ112),ABS(Resultados!CZ112),ABS(Resultados!DI112),ABS(Resultados!DR112),ABS(Resultados!EA112))/SQRT(COUNT(Resultados!E112,Resultados!N112,Resultados!W112,Resultados!AF112,Resultados!AO112,Resultados!AX112,Resultados!BG112,Resultados!BP112,Resultados!BY112,Resultados!CH112,Resultados!CQ112,Resultados!CZ112,Resultados!DI112,Resultados!DR112,Resultados!EA112)))</f>
        <v>4.519182537547986E-2</v>
      </c>
      <c r="F112">
        <f>IF(COUNT(Resultados!F112,Resultados!O112,Resultados!X112,Resultados!AG112,Resultados!AP112,Resultados!AY112,Resultados!BH112,Resultados!BQ112,Resultados!BZ112,Resultados!CI112,Resultados!CR112,Resultados!DA112,Resultados!DJ112,Resultados!DS112,Resultados!EB112)&lt;=1, "", _xlfn.STDEV.S(ABS(Resultados!F112),ABS(Resultados!O112),ABS(Resultados!X112),ABS(Resultados!AG112),ABS(Resultados!AP112),ABS(Resultados!AY112),ABS(Resultados!BH112),ABS(Resultados!BQ112),ABS(Resultados!BZ112),ABS(Resultados!CI112),ABS(Resultados!CR112),ABS(Resultados!DA112),ABS(Resultados!DJ112),ABS(Resultados!DS112),ABS(Resultados!EB112))/SQRT(COUNT(Resultados!F112,Resultados!O112,Resultados!X112,Resultados!AG112,Resultados!AP112,Resultados!AY112,Resultados!BH112,Resultados!BQ112,Resultados!BZ112,Resultados!CI112,Resultados!CR112,Resultados!DA112,Resultados!DJ112,Resultados!DS112,Resultados!EB112)))</f>
        <v>11.001935580849988</v>
      </c>
      <c r="G112">
        <f>IF(COUNT(Resultados!G112,Resultados!P112,Resultados!Y112,Resultados!AH112,Resultados!AQ112,Resultados!AZ112,Resultados!BI112,Resultados!BR112,Resultados!CA112,Resultados!CJ112,Resultados!CS112,Resultados!DB112,Resultados!DK112,Resultados!DT112,Resultados!EC112)&lt;=1, "", _xlfn.STDEV.S(ABS(Resultados!G112),ABS(Resultados!P112),ABS(Resultados!Y112),ABS(Resultados!AH112),ABS(Resultados!AQ112),ABS(Resultados!AZ112),ABS(Resultados!BI112),ABS(Resultados!BR112),ABS(Resultados!CA112),ABS(Resultados!CJ112),ABS(Resultados!CS112),ABS(Resultados!DB112),ABS(Resultados!DK112),ABS(Resultados!DT112),ABS(Resultados!EC112))/SQRT(COUNT(Resultados!G112,Resultados!P112,Resultados!Y112,Resultados!AH112,Resultados!AQ112,Resultados!AZ112,Resultados!BI112,Resultados!BR112,Resultados!CA112,Resultados!CJ112,Resultados!CS112,Resultados!DB112,Resultados!DK112,Resultados!DT112,Resultados!EC112)))</f>
        <v>4.4507937654163114E-17</v>
      </c>
      <c r="H112">
        <f>IF(COUNT(Resultados!H112,Resultados!Q112,Resultados!Z112,Resultados!AI112,Resultados!AR112,Resultados!BA112,Resultados!BJ112,Resultados!BS112,Resultados!CB112,Resultados!CK112,Resultados!CT112,Resultados!DC112,Resultados!DL112,Resultados!DU112,Resultados!ED112)&lt;=1, "", _xlfn.STDEV.S(ABS(Resultados!H112),ABS(Resultados!Q112),ABS(Resultados!Z112),ABS(Resultados!AI112),ABS(Resultados!AR112),ABS(Resultados!BA112),ABS(Resultados!BJ112),ABS(Resultados!BS112),ABS(Resultados!CB112),ABS(Resultados!CK112),ABS(Resultados!CT112),ABS(Resultados!DC112),ABS(Resultados!DL112),ABS(Resultados!DU112),ABS(Resultados!ED112))/SQRT(COUNT(Resultados!H112,Resultados!Q112,Resultados!Z112,Resultados!AI112,Resultados!AR112,Resultados!BA112,Resultados!BJ112,Resultados!BS112,Resultados!CB112,Resultados!CK112,Resultados!CT112,Resultados!DC112,Resultados!DL112,Resultados!DU112,Resultados!ED112)))</f>
        <v>7.0525015262513598E-4</v>
      </c>
      <c r="I112">
        <f>IF(COUNT(Resultados!I112,Resultados!R112,Resultados!AA112,Resultados!AJ112,Resultados!AS112,Resultados!BB112,Resultados!BK112,Resultados!BT112,Resultados!CC112,Resultados!CL112,Resultados!CU112,Resultados!DD112,Resultados!DM112,Resultados!DV112,Resultados!EE112)&lt;=1, "", _xlfn.STDEV.S(ABS(Resultados!I112),ABS(Resultados!R112),ABS(Resultados!AA112),ABS(Resultados!AJ112),ABS(Resultados!AS112),ABS(Resultados!BB112),ABS(Resultados!BK112),ABS(Resultados!BT112),ABS(Resultados!CC112),ABS(Resultados!CL112),ABS(Resultados!CU112),ABS(Resultados!DD112),ABS(Resultados!DM112),ABS(Resultados!DV112),ABS(Resultados!EE112))/SQRT(COUNT(Resultados!I112,Resultados!R112,Resultados!AA112,Resultados!AJ112,Resultados!AS112,Resultados!BB112,Resultados!BK112,Resultados!BT112,Resultados!CC112,Resultados!CL112,Resultados!CU112,Resultados!DD112,Resultados!DM112,Resultados!DV112,Resultados!EE112)))</f>
        <v>3.6473129658847386E-2</v>
      </c>
    </row>
    <row r="113" spans="1:9" x14ac:dyDescent="0.3">
      <c r="A113">
        <f>IF(COUNT(Resultados!A113,Resultados!J113,Resultados!S113,Resultados!AB113,Resultados!AK113,Resultados!AT113,Resultados!BC113,Resultados!BL113,Resultados!BU113,Resultados!CD113,Resultados!CM113,Resultados!CV113,Resultados!DE113,Resultados!DN113,Resultados!DW113)&lt;=1, "", _xlfn.STDEV.S(ABS(Resultados!A113),ABS(Resultados!J113),ABS(Resultados!S113),ABS(Resultados!AB113),ABS(Resultados!AK113),ABS(Resultados!AT113),ABS(Resultados!BC113),ABS(Resultados!BL113),ABS(Resultados!BU113),ABS(Resultados!CD113),ABS(Resultados!CM113),ABS(Resultados!CV113),ABS(Resultados!DE113),ABS(Resultados!DN113),ABS(Resultados!DW113))/SQRT(COUNT(Resultados!A113,Resultados!J113,Resultados!S113,Resultados!AB113,Resultados!AK113,Resultados!AT113,Resultados!BC113,Resultados!BL113,Resultados!BU113,Resultados!CD113,Resultados!CM113,Resultados!CV113,Resultados!DE113,Resultados!DN113,Resultados!DW113)))</f>
        <v>0</v>
      </c>
      <c r="B113" t="str">
        <f>IF(COUNT(Resultados!B113,Resultados!K113,Resultados!T113,Resultados!AC113,Resultados!AL113,Resultados!AU113,Resultados!BD113,Resultados!BM113,Resultados!BV113,Resultados!CE113,Resultados!CN113,Resultados!CW113,Resultados!DF113,Resultados!DO113,Resultados!DX113)&lt;=1, "", _xlfn.STDEV.S(ABS(Resultados!B113),ABS(Resultados!K113),ABS(Resultados!T113),ABS(Resultados!AC113),ABS(Resultados!AL113),ABS(Resultados!AU113),ABS(Resultados!BD113),ABS(Resultados!BM113),ABS(Resultados!BV113),ABS(Resultados!CE113),ABS(Resultados!CN113),ABS(Resultados!CW113),ABS(Resultados!DF113),ABS(Resultados!DO113),ABS(Resultados!DX113))/SQRT(COUNT(Resultados!B113,Resultados!K113,Resultados!T113,Resultados!AC113,Resultados!AL113,Resultados!AU113,Resultados!BD113,Resultados!BM113,Resultados!BV113,Resultados!CE113,Resultados!CN113,Resultados!CW113,Resultados!DF113,Resultados!DO113,Resultados!DX113)))</f>
        <v/>
      </c>
      <c r="C113">
        <f>IF(COUNT(Resultados!C113,Resultados!L113,Resultados!U113,Resultados!AD113,Resultados!AM113,Resultados!AV113,Resultados!BE113,Resultados!BN113,Resultados!BW113,Resultados!CF113,Resultados!CO113,Resultados!CX113,Resultados!DG113,Resultados!DP113,Resultados!DY113)&lt;=1, "", _xlfn.STDEV.S(ABS(Resultados!C113),ABS(Resultados!L113),ABS(Resultados!U113),ABS(Resultados!AD113),ABS(Resultados!AM113),ABS(Resultados!AV113),ABS(Resultados!BE113),ABS(Resultados!BN113),ABS(Resultados!BW113),ABS(Resultados!CF113),ABS(Resultados!CO113),ABS(Resultados!CX113),ABS(Resultados!DG113),ABS(Resultados!DP113),ABS(Resultados!DY113))/SQRT(COUNT(Resultados!C113,Resultados!L113,Resultados!U113,Resultados!AD113,Resultados!AM113,Resultados!AV113,Resultados!BE113,Resultados!BN113,Resultados!BW113,Resultados!CF113,Resultados!CO113,Resultados!CX113,Resultados!DG113,Resultados!DP113,Resultados!DY113)))</f>
        <v>0.48007935851918326</v>
      </c>
      <c r="D113">
        <f>IF(COUNT(Resultados!D113,Resultados!M113,Resultados!V113,Resultados!AE113,Resultados!AN113,Resultados!AW113,Resultados!BF113,Resultados!BO113,Resultados!BX113,Resultados!CG113,Resultados!CP113,Resultados!CY113,Resultados!DH113,Resultados!DQ113,Resultados!DZ113)&lt;=1, "", _xlfn.STDEV.S(ABS(Resultados!D113),ABS(Resultados!M113),ABS(Resultados!V113),ABS(Resultados!AE113),ABS(Resultados!AN113),ABS(Resultados!AW113),ABS(Resultados!BF113),ABS(Resultados!BO113),ABS(Resultados!BX113),ABS(Resultados!CG113),ABS(Resultados!CP113),ABS(Resultados!CY113),ABS(Resultados!DH113),ABS(Resultados!DQ113),ABS(Resultados!DZ113))/SQRT(COUNT(Resultados!D113,Resultados!M113,Resultados!V113,Resultados!AE113,Resultados!AN113,Resultados!AW113,Resultados!BF113,Resultados!BO113,Resultados!BX113,Resultados!CG113,Resultados!CP113,Resultados!CY113,Resultados!DH113,Resultados!DQ113,Resultados!DZ113)))</f>
        <v>6.1024585209569417E-4</v>
      </c>
      <c r="E113">
        <f>IF(COUNT(Resultados!E113,Resultados!N113,Resultados!W113,Resultados!AF113,Resultados!AO113,Resultados!AX113,Resultados!BG113,Resultados!BP113,Resultados!BY113,Resultados!CH113,Resultados!CQ113,Resultados!CZ113,Resultados!DI113,Resultados!DR113,Resultados!EA113)&lt;=1, "", _xlfn.STDEV.S(ABS(Resultados!E113),ABS(Resultados!N113),ABS(Resultados!W113),ABS(Resultados!AF113),ABS(Resultados!AO113),ABS(Resultados!AX113),ABS(Resultados!BG113),ABS(Resultados!BP113),ABS(Resultados!BY113),ABS(Resultados!CH113),ABS(Resultados!CQ113),ABS(Resultados!CZ113),ABS(Resultados!DI113),ABS(Resultados!DR113),ABS(Resultados!EA113))/SQRT(COUNT(Resultados!E113,Resultados!N113,Resultados!W113,Resultados!AF113,Resultados!AO113,Resultados!AX113,Resultados!BG113,Resultados!BP113,Resultados!BY113,Resultados!CH113,Resultados!CQ113,Resultados!CZ113,Resultados!DI113,Resultados!DR113,Resultados!EA113)))</f>
        <v>3.4735177103258623E-2</v>
      </c>
      <c r="F113">
        <f>IF(COUNT(Resultados!F113,Resultados!O113,Resultados!X113,Resultados!AG113,Resultados!AP113,Resultados!AY113,Resultados!BH113,Resultados!BQ113,Resultados!BZ113,Resultados!CI113,Resultados!CR113,Resultados!DA113,Resultados!DJ113,Resultados!DS113,Resultados!EB113)&lt;=1, "", _xlfn.STDEV.S(ABS(Resultados!F113),ABS(Resultados!O113),ABS(Resultados!X113),ABS(Resultados!AG113),ABS(Resultados!AP113),ABS(Resultados!AY113),ABS(Resultados!BH113),ABS(Resultados!BQ113),ABS(Resultados!BZ113),ABS(Resultados!CI113),ABS(Resultados!CR113),ABS(Resultados!DA113),ABS(Resultados!DJ113),ABS(Resultados!DS113),ABS(Resultados!EB113))/SQRT(COUNT(Resultados!F113,Resultados!O113,Resultados!X113,Resultados!AG113,Resultados!AP113,Resultados!AY113,Resultados!BH113,Resultados!BQ113,Resultados!BZ113,Resultados!CI113,Resultados!CR113,Resultados!DA113,Resultados!DJ113,Resultados!DS113,Resultados!EB113)))</f>
        <v>4.9092848890212997</v>
      </c>
      <c r="G113">
        <f>IF(COUNT(Resultados!G113,Resultados!P113,Resultados!Y113,Resultados!AH113,Resultados!AQ113,Resultados!AZ113,Resultados!BI113,Resultados!BR113,Resultados!CA113,Resultados!CJ113,Resultados!CS113,Resultados!DB113,Resultados!DK113,Resultados!DT113,Resultados!EC113)&lt;=1, "", _xlfn.STDEV.S(ABS(Resultados!G113),ABS(Resultados!P113),ABS(Resultados!Y113),ABS(Resultados!AH113),ABS(Resultados!AQ113),ABS(Resultados!AZ113),ABS(Resultados!BI113),ABS(Resultados!BR113),ABS(Resultados!CA113),ABS(Resultados!CJ113),ABS(Resultados!CS113),ABS(Resultados!DB113),ABS(Resultados!DK113),ABS(Resultados!DT113),ABS(Resultados!EC113))/SQRT(COUNT(Resultados!G113,Resultados!P113,Resultados!Y113,Resultados!AH113,Resultados!AQ113,Resultados!AZ113,Resultados!BI113,Resultados!BR113,Resultados!CA113,Resultados!CJ113,Resultados!CS113,Resultados!DB113,Resultados!DK113,Resultados!DT113,Resultados!EC113)))</f>
        <v>4.4507937654163114E-17</v>
      </c>
      <c r="H113">
        <f>IF(COUNT(Resultados!H113,Resultados!Q113,Resultados!Z113,Resultados!AI113,Resultados!AR113,Resultados!BA113,Resultados!BJ113,Resultados!BS113,Resultados!CB113,Resultados!CK113,Resultados!CT113,Resultados!DC113,Resultados!DL113,Resultados!DU113,Resultados!ED113)&lt;=1, "", _xlfn.STDEV.S(ABS(Resultados!H113),ABS(Resultados!Q113),ABS(Resultados!Z113),ABS(Resultados!AI113),ABS(Resultados!AR113),ABS(Resultados!BA113),ABS(Resultados!BJ113),ABS(Resultados!BS113),ABS(Resultados!CB113),ABS(Resultados!CK113),ABS(Resultados!CT113),ABS(Resultados!DC113),ABS(Resultados!DL113),ABS(Resultados!DU113),ABS(Resultados!ED113))/SQRT(COUNT(Resultados!H113,Resultados!Q113,Resultados!Z113,Resultados!AI113,Resultados!AR113,Resultados!BA113,Resultados!BJ113,Resultados!BS113,Resultados!CB113,Resultados!CK113,Resultados!CT113,Resultados!DC113,Resultados!DL113,Resultados!DU113,Resultados!ED113)))</f>
        <v>5.3770234286620833E-4</v>
      </c>
      <c r="I113">
        <f>IF(COUNT(Resultados!I113,Resultados!R113,Resultados!AA113,Resultados!AJ113,Resultados!AS113,Resultados!BB113,Resultados!BK113,Resultados!BT113,Resultados!CC113,Resultados!CL113,Resultados!CU113,Resultados!DD113,Resultados!DM113,Resultados!DV113,Resultados!EE113)&lt;=1, "", _xlfn.STDEV.S(ABS(Resultados!I113),ABS(Resultados!R113),ABS(Resultados!AA113),ABS(Resultados!AJ113),ABS(Resultados!AS113),ABS(Resultados!BB113),ABS(Resultados!BK113),ABS(Resultados!BT113),ABS(Resultados!CC113),ABS(Resultados!CL113),ABS(Resultados!CU113),ABS(Resultados!DD113),ABS(Resultados!DM113),ABS(Resultados!DV113),ABS(Resultados!EE113))/SQRT(COUNT(Resultados!I113,Resultados!R113,Resultados!AA113,Resultados!AJ113,Resultados!AS113,Resultados!BB113,Resultados!BK113,Resultados!BT113,Resultados!CC113,Resultados!CL113,Resultados!CU113,Resultados!DD113,Resultados!DM113,Resultados!DV113,Resultados!EE113)))</f>
        <v>3.654427815547668E-2</v>
      </c>
    </row>
    <row r="114" spans="1:9" x14ac:dyDescent="0.3">
      <c r="A114">
        <f>IF(COUNT(Resultados!A114,Resultados!J114,Resultados!S114,Resultados!AB114,Resultados!AK114,Resultados!AT114,Resultados!BC114,Resultados!BL114,Resultados!BU114,Resultados!CD114,Resultados!CM114,Resultados!CV114,Resultados!DE114,Resultados!DN114,Resultados!DW114)&lt;=1, "", _xlfn.STDEV.S(ABS(Resultados!A114),ABS(Resultados!J114),ABS(Resultados!S114),ABS(Resultados!AB114),ABS(Resultados!AK114),ABS(Resultados!AT114),ABS(Resultados!BC114),ABS(Resultados!BL114),ABS(Resultados!BU114),ABS(Resultados!CD114),ABS(Resultados!CM114),ABS(Resultados!CV114),ABS(Resultados!DE114),ABS(Resultados!DN114),ABS(Resultados!DW114))/SQRT(COUNT(Resultados!A114,Resultados!J114,Resultados!S114,Resultados!AB114,Resultados!AK114,Resultados!AT114,Resultados!BC114,Resultados!BL114,Resultados!BU114,Resultados!CD114,Resultados!CM114,Resultados!CV114,Resultados!DE114,Resultados!DN114,Resultados!DW114)))</f>
        <v>0</v>
      </c>
      <c r="B114" t="str">
        <f>IF(COUNT(Resultados!B114,Resultados!K114,Resultados!T114,Resultados!AC114,Resultados!AL114,Resultados!AU114,Resultados!BD114,Resultados!BM114,Resultados!BV114,Resultados!CE114,Resultados!CN114,Resultados!CW114,Resultados!DF114,Resultados!DO114,Resultados!DX114)&lt;=1, "", _xlfn.STDEV.S(ABS(Resultados!B114),ABS(Resultados!K114),ABS(Resultados!T114),ABS(Resultados!AC114),ABS(Resultados!AL114),ABS(Resultados!AU114),ABS(Resultados!BD114),ABS(Resultados!BM114),ABS(Resultados!BV114),ABS(Resultados!CE114),ABS(Resultados!CN114),ABS(Resultados!CW114),ABS(Resultados!DF114),ABS(Resultados!DO114),ABS(Resultados!DX114))/SQRT(COUNT(Resultados!B114,Resultados!K114,Resultados!T114,Resultados!AC114,Resultados!AL114,Resultados!AU114,Resultados!BD114,Resultados!BM114,Resultados!BV114,Resultados!CE114,Resultados!CN114,Resultados!CW114,Resultados!DF114,Resultados!DO114,Resultados!DX114)))</f>
        <v/>
      </c>
      <c r="C114">
        <f>IF(COUNT(Resultados!C114,Resultados!L114,Resultados!U114,Resultados!AD114,Resultados!AM114,Resultados!AV114,Resultados!BE114,Resultados!BN114,Resultados!BW114,Resultados!CF114,Resultados!CO114,Resultados!CX114,Resultados!DG114,Resultados!DP114,Resultados!DY114)&lt;=1, "", _xlfn.STDEV.S(ABS(Resultados!C114),ABS(Resultados!L114),ABS(Resultados!U114),ABS(Resultados!AD114),ABS(Resultados!AM114),ABS(Resultados!AV114),ABS(Resultados!BE114),ABS(Resultados!BN114),ABS(Resultados!BW114),ABS(Resultados!CF114),ABS(Resultados!CO114),ABS(Resultados!CX114),ABS(Resultados!DG114),ABS(Resultados!DP114),ABS(Resultados!DY114))/SQRT(COUNT(Resultados!C114,Resultados!L114,Resultados!U114,Resultados!AD114,Resultados!AM114,Resultados!AV114,Resultados!BE114,Resultados!BN114,Resultados!BW114,Resultados!CF114,Resultados!CO114,Resultados!CX114,Resultados!DG114,Resultados!DP114,Resultados!DY114)))</f>
        <v>0.48007935851918326</v>
      </c>
      <c r="D114">
        <f>IF(COUNT(Resultados!D114,Resultados!M114,Resultados!V114,Resultados!AE114,Resultados!AN114,Resultados!AW114,Resultados!BF114,Resultados!BO114,Resultados!BX114,Resultados!CG114,Resultados!CP114,Resultados!CY114,Resultados!DH114,Resultados!DQ114,Resultados!DZ114)&lt;=1, "", _xlfn.STDEV.S(ABS(Resultados!D114),ABS(Resultados!M114),ABS(Resultados!V114),ABS(Resultados!AE114),ABS(Resultados!AN114),ABS(Resultados!AW114),ABS(Resultados!BF114),ABS(Resultados!BO114),ABS(Resultados!BX114),ABS(Resultados!CG114),ABS(Resultados!CP114),ABS(Resultados!CY114),ABS(Resultados!DH114),ABS(Resultados!DQ114),ABS(Resultados!DZ114))/SQRT(COUNT(Resultados!D114,Resultados!M114,Resultados!V114,Resultados!AE114,Resultados!AN114,Resultados!AW114,Resultados!BF114,Resultados!BO114,Resultados!BX114,Resultados!CG114,Resultados!CP114,Resultados!CY114,Resultados!DH114,Resultados!DQ114,Resultados!DZ114)))</f>
        <v>4.0938978980917441E-4</v>
      </c>
      <c r="E114">
        <f>IF(COUNT(Resultados!E114,Resultados!N114,Resultados!W114,Resultados!AF114,Resultados!AO114,Resultados!AX114,Resultados!BG114,Resultados!BP114,Resultados!BY114,Resultados!CH114,Resultados!CQ114,Resultados!CZ114,Resultados!DI114,Resultados!DR114,Resultados!EA114)&lt;=1, "", _xlfn.STDEV.S(ABS(Resultados!E114),ABS(Resultados!N114),ABS(Resultados!W114),ABS(Resultados!AF114),ABS(Resultados!AO114),ABS(Resultados!AX114),ABS(Resultados!BG114),ABS(Resultados!BP114),ABS(Resultados!BY114),ABS(Resultados!CH114),ABS(Resultados!CQ114),ABS(Resultados!CZ114),ABS(Resultados!DI114),ABS(Resultados!DR114),ABS(Resultados!EA114))/SQRT(COUNT(Resultados!E114,Resultados!N114,Resultados!W114,Resultados!AF114,Resultados!AO114,Resultados!AX114,Resultados!BG114,Resultados!BP114,Resultados!BY114,Resultados!CH114,Resultados!CQ114,Resultados!CZ114,Resultados!DI114,Resultados!DR114,Resultados!EA114)))</f>
        <v>3.1396607315541225E-2</v>
      </c>
      <c r="F114">
        <f>IF(COUNT(Resultados!F114,Resultados!O114,Resultados!X114,Resultados!AG114,Resultados!AP114,Resultados!AY114,Resultados!BH114,Resultados!BQ114,Resultados!BZ114,Resultados!CI114,Resultados!CR114,Resultados!DA114,Resultados!DJ114,Resultados!DS114,Resultados!EB114)&lt;=1, "", _xlfn.STDEV.S(ABS(Resultados!F114),ABS(Resultados!O114),ABS(Resultados!X114),ABS(Resultados!AG114),ABS(Resultados!AP114),ABS(Resultados!AY114),ABS(Resultados!BH114),ABS(Resultados!BQ114),ABS(Resultados!BZ114),ABS(Resultados!CI114),ABS(Resultados!CR114),ABS(Resultados!DA114),ABS(Resultados!DJ114),ABS(Resultados!DS114),ABS(Resultados!EB114))/SQRT(COUNT(Resultados!F114,Resultados!O114,Resultados!X114,Resultados!AG114,Resultados!AP114,Resultados!AY114,Resultados!BH114,Resultados!BQ114,Resultados!BZ114,Resultados!CI114,Resultados!CR114,Resultados!DA114,Resultados!DJ114,Resultados!DS114,Resultados!EB114)))</f>
        <v>6.933349547396598</v>
      </c>
      <c r="G114">
        <f>IF(COUNT(Resultados!G114,Resultados!P114,Resultados!Y114,Resultados!AH114,Resultados!AQ114,Resultados!AZ114,Resultados!BI114,Resultados!BR114,Resultados!CA114,Resultados!CJ114,Resultados!CS114,Resultados!DB114,Resultados!DK114,Resultados!DT114,Resultados!EC114)&lt;=1, "", _xlfn.STDEV.S(ABS(Resultados!G114),ABS(Resultados!P114),ABS(Resultados!Y114),ABS(Resultados!AH114),ABS(Resultados!AQ114),ABS(Resultados!AZ114),ABS(Resultados!BI114),ABS(Resultados!BR114),ABS(Resultados!CA114),ABS(Resultados!CJ114),ABS(Resultados!CS114),ABS(Resultados!DB114),ABS(Resultados!DK114),ABS(Resultados!DT114),ABS(Resultados!EC114))/SQRT(COUNT(Resultados!G114,Resultados!P114,Resultados!Y114,Resultados!AH114,Resultados!AQ114,Resultados!AZ114,Resultados!BI114,Resultados!BR114,Resultados!CA114,Resultados!CJ114,Resultados!CS114,Resultados!DB114,Resultados!DK114,Resultados!DT114,Resultados!EC114)))</f>
        <v>4.4507937654163114E-17</v>
      </c>
      <c r="H114">
        <f>IF(COUNT(Resultados!H114,Resultados!Q114,Resultados!Z114,Resultados!AI114,Resultados!AR114,Resultados!BA114,Resultados!BJ114,Resultados!BS114,Resultados!CB114,Resultados!CK114,Resultados!CT114,Resultados!DC114,Resultados!DL114,Resultados!DU114,Resultados!ED114)&lt;=1, "", _xlfn.STDEV.S(ABS(Resultados!H114),ABS(Resultados!Q114),ABS(Resultados!Z114),ABS(Resultados!AI114),ABS(Resultados!AR114),ABS(Resultados!BA114),ABS(Resultados!BJ114),ABS(Resultados!BS114),ABS(Resultados!CB114),ABS(Resultados!CK114),ABS(Resultados!CT114),ABS(Resultados!DC114),ABS(Resultados!DL114),ABS(Resultados!DU114),ABS(Resultados!ED114))/SQRT(COUNT(Resultados!H114,Resultados!Q114,Resultados!Z114,Resultados!AI114,Resultados!AR114,Resultados!BA114,Resultados!BJ114,Resultados!BS114,Resultados!CB114,Resultados!CK114,Resultados!CT114,Resultados!DC114,Resultados!DL114,Resultados!DU114,Resultados!ED114)))</f>
        <v>4.8898988855712654E-4</v>
      </c>
      <c r="I114">
        <f>IF(COUNT(Resultados!I114,Resultados!R114,Resultados!AA114,Resultados!AJ114,Resultados!AS114,Resultados!BB114,Resultados!BK114,Resultados!BT114,Resultados!CC114,Resultados!CL114,Resultados!CU114,Resultados!DD114,Resultados!DM114,Resultados!DV114,Resultados!EE114)&lt;=1, "", _xlfn.STDEV.S(ABS(Resultados!I114),ABS(Resultados!R114),ABS(Resultados!AA114),ABS(Resultados!AJ114),ABS(Resultados!AS114),ABS(Resultados!BB114),ABS(Resultados!BK114),ABS(Resultados!BT114),ABS(Resultados!CC114),ABS(Resultados!CL114),ABS(Resultados!CU114),ABS(Resultados!DD114),ABS(Resultados!DM114),ABS(Resultados!DV114),ABS(Resultados!EE114))/SQRT(COUNT(Resultados!I114,Resultados!R114,Resultados!AA114,Resultados!AJ114,Resultados!AS114,Resultados!BB114,Resultados!BK114,Resultados!BT114,Resultados!CC114,Resultados!CL114,Resultados!CU114,Resultados!DD114,Resultados!DM114,Resultados!DV114,Resultados!EE114)))</f>
        <v>3.6409871927512528E-2</v>
      </c>
    </row>
    <row r="115" spans="1:9" x14ac:dyDescent="0.3">
      <c r="A115">
        <f>IF(COUNT(Resultados!A115,Resultados!J115,Resultados!S115,Resultados!AB115,Resultados!AK115,Resultados!AT115,Resultados!BC115,Resultados!BL115,Resultados!BU115,Resultados!CD115,Resultados!CM115,Resultados!CV115,Resultados!DE115,Resultados!DN115,Resultados!DW115)&lt;=1, "", _xlfn.STDEV.S(ABS(Resultados!A115),ABS(Resultados!J115),ABS(Resultados!S115),ABS(Resultados!AB115),ABS(Resultados!AK115),ABS(Resultados!AT115),ABS(Resultados!BC115),ABS(Resultados!BL115),ABS(Resultados!BU115),ABS(Resultados!CD115),ABS(Resultados!CM115),ABS(Resultados!CV115),ABS(Resultados!DE115),ABS(Resultados!DN115),ABS(Resultados!DW115))/SQRT(COUNT(Resultados!A115,Resultados!J115,Resultados!S115,Resultados!AB115,Resultados!AK115,Resultados!AT115,Resultados!BC115,Resultados!BL115,Resultados!BU115,Resultados!CD115,Resultados!CM115,Resultados!CV115,Resultados!DE115,Resultados!DN115,Resultados!DW115)))</f>
        <v>0</v>
      </c>
      <c r="B115" t="str">
        <f>IF(COUNT(Resultados!B115,Resultados!K115,Resultados!T115,Resultados!AC115,Resultados!AL115,Resultados!AU115,Resultados!BD115,Resultados!BM115,Resultados!BV115,Resultados!CE115,Resultados!CN115,Resultados!CW115,Resultados!DF115,Resultados!DO115,Resultados!DX115)&lt;=1, "", _xlfn.STDEV.S(ABS(Resultados!B115),ABS(Resultados!K115),ABS(Resultados!T115),ABS(Resultados!AC115),ABS(Resultados!AL115),ABS(Resultados!AU115),ABS(Resultados!BD115),ABS(Resultados!BM115),ABS(Resultados!BV115),ABS(Resultados!CE115),ABS(Resultados!CN115),ABS(Resultados!CW115),ABS(Resultados!DF115),ABS(Resultados!DO115),ABS(Resultados!DX115))/SQRT(COUNT(Resultados!B115,Resultados!K115,Resultados!T115,Resultados!AC115,Resultados!AL115,Resultados!AU115,Resultados!BD115,Resultados!BM115,Resultados!BV115,Resultados!CE115,Resultados!CN115,Resultados!CW115,Resultados!DF115,Resultados!DO115,Resultados!DX115)))</f>
        <v/>
      </c>
      <c r="C115">
        <f>IF(COUNT(Resultados!C115,Resultados!L115,Resultados!U115,Resultados!AD115,Resultados!AM115,Resultados!AV115,Resultados!BE115,Resultados!BN115,Resultados!BW115,Resultados!CF115,Resultados!CO115,Resultados!CX115,Resultados!DG115,Resultados!DP115,Resultados!DY115)&lt;=1, "", _xlfn.STDEV.S(ABS(Resultados!C115),ABS(Resultados!L115),ABS(Resultados!U115),ABS(Resultados!AD115),ABS(Resultados!AM115),ABS(Resultados!AV115),ABS(Resultados!BE115),ABS(Resultados!BN115),ABS(Resultados!BW115),ABS(Resultados!CF115),ABS(Resultados!CO115),ABS(Resultados!CX115),ABS(Resultados!DG115),ABS(Resultados!DP115),ABS(Resultados!DY115))/SQRT(COUNT(Resultados!C115,Resultados!L115,Resultados!U115,Resultados!AD115,Resultados!AM115,Resultados!AV115,Resultados!BE115,Resultados!BN115,Resultados!BW115,Resultados!CF115,Resultados!CO115,Resultados!CX115,Resultados!DG115,Resultados!DP115,Resultados!DY115)))</f>
        <v>0.48007935851918326</v>
      </c>
      <c r="D115">
        <f>IF(COUNT(Resultados!D115,Resultados!M115,Resultados!V115,Resultados!AE115,Resultados!AN115,Resultados!AW115,Resultados!BF115,Resultados!BO115,Resultados!BX115,Resultados!CG115,Resultados!CP115,Resultados!CY115,Resultados!DH115,Resultados!DQ115,Resultados!DZ115)&lt;=1, "", _xlfn.STDEV.S(ABS(Resultados!D115),ABS(Resultados!M115),ABS(Resultados!V115),ABS(Resultados!AE115),ABS(Resultados!AN115),ABS(Resultados!AW115),ABS(Resultados!BF115),ABS(Resultados!BO115),ABS(Resultados!BX115),ABS(Resultados!CG115),ABS(Resultados!CP115),ABS(Resultados!CY115),ABS(Resultados!DH115),ABS(Resultados!DQ115),ABS(Resultados!DZ115))/SQRT(COUNT(Resultados!D115,Resultados!M115,Resultados!V115,Resultados!AE115,Resultados!AN115,Resultados!AW115,Resultados!BF115,Resultados!BO115,Resultados!BX115,Resultados!CG115,Resultados!CP115,Resultados!CY115,Resultados!DH115,Resultados!DQ115,Resultados!DZ115)))</f>
        <v>2.5725041842099652E-4</v>
      </c>
      <c r="E115">
        <f>IF(COUNT(Resultados!E115,Resultados!N115,Resultados!W115,Resultados!AF115,Resultados!AO115,Resultados!AX115,Resultados!BG115,Resultados!BP115,Resultados!BY115,Resultados!CH115,Resultados!CQ115,Resultados!CZ115,Resultados!DI115,Resultados!DR115,Resultados!EA115)&lt;=1, "", _xlfn.STDEV.S(ABS(Resultados!E115),ABS(Resultados!N115),ABS(Resultados!W115),ABS(Resultados!AF115),ABS(Resultados!AO115),ABS(Resultados!AX115),ABS(Resultados!BG115),ABS(Resultados!BP115),ABS(Resultados!BY115),ABS(Resultados!CH115),ABS(Resultados!CQ115),ABS(Resultados!CZ115),ABS(Resultados!DI115),ABS(Resultados!DR115),ABS(Resultados!EA115))/SQRT(COUNT(Resultados!E115,Resultados!N115,Resultados!W115,Resultados!AF115,Resultados!AO115,Resultados!AX115,Resultados!BG115,Resultados!BP115,Resultados!BY115,Resultados!CH115,Resultados!CQ115,Resultados!CZ115,Resultados!DI115,Resultados!DR115,Resultados!EA115)))</f>
        <v>3.8556698821138997E-2</v>
      </c>
      <c r="F115">
        <f>IF(COUNT(Resultados!F115,Resultados!O115,Resultados!X115,Resultados!AG115,Resultados!AP115,Resultados!AY115,Resultados!BH115,Resultados!BQ115,Resultados!BZ115,Resultados!CI115,Resultados!CR115,Resultados!DA115,Resultados!DJ115,Resultados!DS115,Resultados!EB115)&lt;=1, "", _xlfn.STDEV.S(ABS(Resultados!F115),ABS(Resultados!O115),ABS(Resultados!X115),ABS(Resultados!AG115),ABS(Resultados!AP115),ABS(Resultados!AY115),ABS(Resultados!BH115),ABS(Resultados!BQ115),ABS(Resultados!BZ115),ABS(Resultados!CI115),ABS(Resultados!CR115),ABS(Resultados!DA115),ABS(Resultados!DJ115),ABS(Resultados!DS115),ABS(Resultados!EB115))/SQRT(COUNT(Resultados!F115,Resultados!O115,Resultados!X115,Resultados!AG115,Resultados!AP115,Resultados!AY115,Resultados!BH115,Resultados!BQ115,Resultados!BZ115,Resultados!CI115,Resultados!CR115,Resultados!DA115,Resultados!DJ115,Resultados!DS115,Resultados!EB115)))</f>
        <v>8.9035933955729725</v>
      </c>
      <c r="G115">
        <f>IF(COUNT(Resultados!G115,Resultados!P115,Resultados!Y115,Resultados!AH115,Resultados!AQ115,Resultados!AZ115,Resultados!BI115,Resultados!BR115,Resultados!CA115,Resultados!CJ115,Resultados!CS115,Resultados!DB115,Resultados!DK115,Resultados!DT115,Resultados!EC115)&lt;=1, "", _xlfn.STDEV.S(ABS(Resultados!G115),ABS(Resultados!P115),ABS(Resultados!Y115),ABS(Resultados!AH115),ABS(Resultados!AQ115),ABS(Resultados!AZ115),ABS(Resultados!BI115),ABS(Resultados!BR115),ABS(Resultados!CA115),ABS(Resultados!CJ115),ABS(Resultados!CS115),ABS(Resultados!DB115),ABS(Resultados!DK115),ABS(Resultados!DT115),ABS(Resultados!EC115))/SQRT(COUNT(Resultados!G115,Resultados!P115,Resultados!Y115,Resultados!AH115,Resultados!AQ115,Resultados!AZ115,Resultados!BI115,Resultados!BR115,Resultados!CA115,Resultados!CJ115,Resultados!CS115,Resultados!DB115,Resultados!DK115,Resultados!DT115,Resultados!EC115)))</f>
        <v>4.4507937654163114E-17</v>
      </c>
      <c r="H115">
        <f>IF(COUNT(Resultados!H115,Resultados!Q115,Resultados!Z115,Resultados!AI115,Resultados!AR115,Resultados!BA115,Resultados!BJ115,Resultados!BS115,Resultados!CB115,Resultados!CK115,Resultados!CT115,Resultados!DC115,Resultados!DL115,Resultados!DU115,Resultados!ED115)&lt;=1, "", _xlfn.STDEV.S(ABS(Resultados!H115),ABS(Resultados!Q115),ABS(Resultados!Z115),ABS(Resultados!AI115),ABS(Resultados!AR115),ABS(Resultados!BA115),ABS(Resultados!BJ115),ABS(Resultados!BS115),ABS(Resultados!CB115),ABS(Resultados!CK115),ABS(Resultados!CT115),ABS(Resultados!DC115),ABS(Resultados!DL115),ABS(Resultados!DU115),ABS(Resultados!ED115))/SQRT(COUNT(Resultados!H115,Resultados!Q115,Resultados!Z115,Resultados!AI115,Resultados!AR115,Resultados!BA115,Resultados!BJ115,Resultados!BS115,Resultados!CB115,Resultados!CK115,Resultados!CT115,Resultados!DC115,Resultados!DL115,Resultados!DU115,Resultados!ED115)))</f>
        <v>5.9547500047481099E-4</v>
      </c>
      <c r="I115">
        <f>IF(COUNT(Resultados!I115,Resultados!R115,Resultados!AA115,Resultados!AJ115,Resultados!AS115,Resultados!BB115,Resultados!BK115,Resultados!BT115,Resultados!CC115,Resultados!CL115,Resultados!CU115,Resultados!DD115,Resultados!DM115,Resultados!DV115,Resultados!EE115)&lt;=1, "", _xlfn.STDEV.S(ABS(Resultados!I115),ABS(Resultados!R115),ABS(Resultados!AA115),ABS(Resultados!AJ115),ABS(Resultados!AS115),ABS(Resultados!BB115),ABS(Resultados!BK115),ABS(Resultados!BT115),ABS(Resultados!CC115),ABS(Resultados!CL115),ABS(Resultados!CU115),ABS(Resultados!DD115),ABS(Resultados!DM115),ABS(Resultados!DV115),ABS(Resultados!EE115))/SQRT(COUNT(Resultados!I115,Resultados!R115,Resultados!AA115,Resultados!AJ115,Resultados!AS115,Resultados!BB115,Resultados!BK115,Resultados!BT115,Resultados!CC115,Resultados!CL115,Resultados!CU115,Resultados!DD115,Resultados!DM115,Resultados!DV115,Resultados!EE115)))</f>
        <v>3.6331351342183779E-2</v>
      </c>
    </row>
    <row r="116" spans="1:9" x14ac:dyDescent="0.3">
      <c r="A116">
        <f>IF(COUNT(Resultados!A116,Resultados!J116,Resultados!S116,Resultados!AK116,Resultados!AT116,Resultados!BC116,Resultados!BL116,Resultados!BU116,Resultados!CD116,Resultados!CM116,Resultados!CV116,Resultados!DE116,Resultados!DW116)&lt;=1, "", _xlfn.STDEV.S(ABS(Resultados!A116),ABS(Resultados!J116),ABS(Resultados!S116),ABS(Resultados!AK116),ABS(Resultados!AT116),ABS(Resultados!BC116),ABS(Resultados!BL116),ABS(Resultados!BU116),ABS(Resultados!CD116),ABS(Resultados!CM116),ABS(Resultados!CV116),ABS(Resultados!DE116),ABS(Resultados!DW116))/SQRT(COUNT(Resultados!A116,Resultados!J116,Resultados!S116,Resultados!AK116,Resultados!AT116,Resultados!BC116,Resultados!BL116,Resultados!BU116,Resultados!CD116,Resultados!CM116,Resultados!CV116,Resultados!DE116,Resultados!DW116)))</f>
        <v>0</v>
      </c>
      <c r="B116" t="str">
        <f>IF(COUNT(Resultados!B116,Resultados!K116,Resultados!T116,Resultados!AL116,Resultados!AU116,Resultados!BD116,Resultados!BM116,Resultados!BV116,Resultados!CE116,Resultados!CN116,Resultados!CW116,Resultados!DF116,Resultados!DX116)&lt;=1, "", _xlfn.STDEV.S(ABS(Resultados!B116),ABS(Resultados!K116),ABS(Resultados!T116),ABS(Resultados!AL116),ABS(Resultados!AU116),ABS(Resultados!BD116),ABS(Resultados!BM116),ABS(Resultados!BV116),ABS(Resultados!CE116),ABS(Resultados!CN116),ABS(Resultados!CW116),ABS(Resultados!DF116),ABS(Resultados!DX116))/SQRT(COUNT(Resultados!B116,Resultados!K116,Resultados!T116,Resultados!AL116,Resultados!AU116,Resultados!BD116,Resultados!BM116,Resultados!BV116,Resultados!CE116,Resultados!CN116,Resultados!CW116,Resultados!DF116,Resultados!DX116)))</f>
        <v/>
      </c>
      <c r="C116">
        <f>IF(COUNT(Resultados!C116,Resultados!L116,Resultados!U116,Resultados!AM116,Resultados!AV116,Resultados!BE116,Resultados!BN116,Resultados!BW116,Resultados!CF116,Resultados!CO116,Resultados!CX116,Resultados!DG116,Resultados!DY116)&lt;=1, "", _xlfn.STDEV.S(ABS(Resultados!C116),ABS(Resultados!L116),ABS(Resultados!U116),ABS(Resultados!AM116),ABS(Resultados!AV116),ABS(Resultados!BE116),ABS(Resultados!BN116),ABS(Resultados!BW116),ABS(Resultados!CF116),ABS(Resultados!CO116),ABS(Resultados!CX116),ABS(Resultados!DG116),ABS(Resultados!DY116))/SQRT(COUNT(Resultados!C116,Resultados!L116,Resultados!U116,Resultados!AM116,Resultados!AV116,Resultados!BE116,Resultados!BN116,Resultados!BW116,Resultados!CF116,Resultados!CO116,Resultados!CX116,Resultados!DG116,Resultados!DY116)))</f>
        <v>0.49950665996867066</v>
      </c>
      <c r="D116">
        <f>IF(COUNT(Resultados!D116,Resultados!M116,Resultados!V116,Resultados!AN116,Resultados!AW116,Resultados!BF116,Resultados!BO116,Resultados!BX116,Resultados!CG116,Resultados!CP116,Resultados!CY116,Resultados!DH116,Resultados!DZ116)&lt;=1, "", _xlfn.STDEV.S(ABS(Resultados!D116),ABS(Resultados!M116),ABS(Resultados!V116),ABS(Resultados!AN116),ABS(Resultados!AW116),ABS(Resultados!BF116),ABS(Resultados!BO116),ABS(Resultados!BX116),ABS(Resultados!CG116),ABS(Resultados!CP116),ABS(Resultados!CY116),ABS(Resultados!DH116),ABS(Resultados!DZ116))/SQRT(COUNT(Resultados!D116,Resultados!M116,Resultados!V116,Resultados!AN116,Resultados!AW116,Resultados!BF116,Resultados!BO116,Resultados!BX116,Resultados!CG116,Resultados!CP116,Resultados!CY116,Resultados!DH116,Resultados!DZ116)))</f>
        <v>8.7986461214222881E-5</v>
      </c>
      <c r="E116">
        <f>IF(COUNT(Resultados!E116,Resultados!N116,Resultados!W116,Resultados!AO116,Resultados!AX116,Resultados!BG116,Resultados!BP116,Resultados!BY116,Resultados!CH116,Resultados!CQ116,Resultados!CZ116,Resultados!DI116,Resultados!EA116)&lt;=1, "", _xlfn.STDEV.S(ABS(Resultados!E116),ABS(Resultados!N116),ABS(Resultados!W116),ABS(Resultados!AO116),ABS(Resultados!AX116),ABS(Resultados!BG116),ABS(Resultados!BP116),ABS(Resultados!BY116),ABS(Resultados!CH116),ABS(Resultados!CQ116),ABS(Resultados!CZ116),ABS(Resultados!DI116),ABS(Resultados!EA116))/SQRT(COUNT(Resultados!E116,Resultados!N116,Resultados!W116,Resultados!AO116,Resultados!AX116,Resultados!BG116,Resultados!BP116,Resultados!BY116,Resultados!CH116,Resultados!CQ116,Resultados!CZ116,Resultados!DI116,Resultados!EA116)))</f>
        <v>3.3530293015269906E-2</v>
      </c>
      <c r="F116">
        <f>IF(COUNT(Resultados!F116,Resultados!O116,Resultados!X116,Resultados!AP116,Resultados!AY116,Resultados!BH116,Resultados!BQ116,Resultados!BZ116,Resultados!CI116,Resultados!CR116,Resultados!DA116,Resultados!DJ116,Resultados!EB116)&lt;=1, "", _xlfn.STDEV.S(ABS(Resultados!F116),ABS(Resultados!O116),ABS(Resultados!X116),ABS(Resultados!AP116),ABS(Resultados!AY116),ABS(Resultados!BH116),ABS(Resultados!BQ116),ABS(Resultados!BZ116),ABS(Resultados!CI116),ABS(Resultados!CR116),ABS(Resultados!DA116),ABS(Resultados!DJ116),ABS(Resultados!EB116))/SQRT(COUNT(Resultados!F116,Resultados!O116,Resultados!X116,Resultados!AP116,Resultados!AY116,Resultados!BH116,Resultados!BQ116,Resultados!BZ116,Resultados!CI116,Resultados!CR116,Resultados!DA116,Resultados!DJ116,Resultados!EB116)))</f>
        <v>11.157954325637746</v>
      </c>
      <c r="G116">
        <f>IF(COUNT(Resultados!G116,Resultados!P116,Resultados!Y116,Resultados!AQ116,Resultados!AZ116,Resultados!BI116,Resultados!BR116,Resultados!CA116,Resultados!CJ116,Resultados!CS116,Resultados!DB116,Resultados!DK116,Resultados!EC116)&lt;=1, "", _xlfn.STDEV.S(ABS(Resultados!G116),ABS(Resultados!P116),ABS(Resultados!Y116),ABS(Resultados!AQ116),ABS(Resultados!AZ116),ABS(Resultados!BI116),ABS(Resultados!BR116),ABS(Resultados!CA116),ABS(Resultados!CJ116),ABS(Resultados!CS116),ABS(Resultados!DB116),ABS(Resultados!DK116),ABS(Resultados!EC116))/SQRT(COUNT(Resultados!G116,Resultados!P116,Resultados!Y116,Resultados!AQ116,Resultados!AZ116,Resultados!BI116,Resultados!BR116,Resultados!CA116,Resultados!CJ116,Resultados!CS116,Resultados!DB116,Resultados!DK116,Resultados!EC116)))</f>
        <v>3.204937810639273E-17</v>
      </c>
      <c r="H116">
        <f>IF(COUNT(Resultados!H116,Resultados!Q116,Resultados!Z116,Resultados!AR116,Resultados!BA116,Resultados!BJ116,Resultados!BS116,Resultados!CB116,Resultados!CK116,Resultados!CT116,Resultados!DC116,Resultados!DL116,Resultados!ED116)&lt;=1, "", _xlfn.STDEV.S(ABS(Resultados!H116),ABS(Resultados!Q116),ABS(Resultados!Z116),ABS(Resultados!AR116),ABS(Resultados!BA116),ABS(Resultados!BJ116),ABS(Resultados!BS116),ABS(Resultados!CB116),ABS(Resultados!CK116),ABS(Resultados!CT116),ABS(Resultados!DC116),ABS(Resultados!DL116),ABS(Resultados!ED116))/SQRT(COUNT(Resultados!H116,Resultados!Q116,Resultados!Z116,Resultados!AR116,Resultados!BA116,Resultados!BJ116,Resultados!BS116,Resultados!CB116,Resultados!CK116,Resultados!CT116,Resultados!DC116,Resultados!DL116,Resultados!ED116)))</f>
        <v>5.231994577442015E-4</v>
      </c>
      <c r="I116">
        <f>IF(COUNT(Resultados!I116,Resultados!R116,Resultados!AA116,Resultados!AS116,Resultados!BB116,Resultados!BK116,Resultados!BT116,Resultados!CC116,Resultados!CL116,Resultados!CU116,Resultados!DD116,Resultados!DM116,Resultados!EE116)&lt;=1, "", _xlfn.STDEV.S(ABS(Resultados!I116),ABS(Resultados!R116),ABS(Resultados!AA116),ABS(Resultados!AS116),ABS(Resultados!BB116),ABS(Resultados!BK116),ABS(Resultados!BT116),ABS(Resultados!CC116),ABS(Resultados!CL116),ABS(Resultados!CU116),ABS(Resultados!DD116),ABS(Resultados!DM116),ABS(Resultados!EE116))/SQRT(COUNT(Resultados!I116,Resultados!R116,Resultados!AA116,Resultados!AS116,Resultados!BB116,Resultados!BK116,Resultados!BT116,Resultados!CC116,Resultados!CL116,Resultados!CU116,Resultados!DD116,Resultados!DM116,Resultados!EE116)))</f>
        <v>7.9641132960061147E-4</v>
      </c>
    </row>
    <row r="117" spans="1:9" x14ac:dyDescent="0.3">
      <c r="A117">
        <f>IF(COUNT(Resultados!A117,Resultados!S117,Resultados!AK117,Resultados!AT117,Resultados!BC117,Resultados!BL117,Resultados!CD117,Resultados!CM117,Resultados!CV117,Resultados!DE117)&lt;=1, "", _xlfn.STDEV.S(ABS(Resultados!A117),ABS(Resultados!S117),ABS(Resultados!AK117),ABS(Resultados!AT117),ABS(Resultados!BC117),ABS(Resultados!BL117),ABS(Resultados!CD117),ABS(Resultados!CM117),ABS(Resultados!CV117),ABS(Resultados!DE117))/SQRT(COUNT(Resultados!A117,Resultados!S117,Resultados!AK117,Resultados!AT117,Resultados!BC117,Resultados!BL117,Resultados!CD117,Resultados!CM117,Resultados!CV117,Resultados!DE117)))</f>
        <v>0</v>
      </c>
      <c r="B117" t="str">
        <f>IF(COUNT(Resultados!B117,Resultados!T117,Resultados!AL117,Resultados!AU117,Resultados!BD117,Resultados!BM117,Resultados!CE117,Resultados!CN117,Resultados!CW117,Resultados!DF117)&lt;=1, "", _xlfn.STDEV.S(ABS(Resultados!B117),ABS(Resultados!T117),ABS(Resultados!AL117),ABS(Resultados!AU117),ABS(Resultados!BD117),ABS(Resultados!BM117),ABS(Resultados!CE117),ABS(Resultados!CN117),ABS(Resultados!CW117),ABS(Resultados!DF117))/SQRT(COUNT(Resultados!B117,Resultados!T117,Resultados!AL117,Resultados!AU117,Resultados!BD117,Resultados!BM117,Resultados!CE117,Resultados!CN117,Resultados!CW117,Resultados!DF117)))</f>
        <v/>
      </c>
      <c r="C117">
        <f>IF(COUNT(Resultados!C117,Resultados!U117,Resultados!AM117,Resultados!AV117,Resultados!BE117,Resultados!BN117,Resultados!CF117,Resultados!CO117,Resultados!CX117,Resultados!DG117)&lt;=1, "", _xlfn.STDEV.S(ABS(Resultados!C117),ABS(Resultados!U117),ABS(Resultados!AM117),ABS(Resultados!AV117),ABS(Resultados!BE117),ABS(Resultados!BN117),ABS(Resultados!CF117),ABS(Resultados!CO117),ABS(Resultados!CX117),ABS(Resultados!DG117))/SQRT(COUNT(Resultados!C117,Resultados!U117,Resultados!AM117,Resultados!AV117,Resultados!BE117,Resultados!BN117,Resultados!CF117,Resultados!CO117,Resultados!CX117,Resultados!DG117)))</f>
        <v>0.52599112793531677</v>
      </c>
      <c r="D117">
        <f>IF(COUNT(Resultados!D117,Resultados!V117,Resultados!AN117,Resultados!AW117,Resultados!BF117,Resultados!BO117,Resultados!CG117,Resultados!CP117,Resultados!CY117,Resultados!DH117)&lt;=1, "", _xlfn.STDEV.S(ABS(Resultados!D117),ABS(Resultados!V117),ABS(Resultados!AN117),ABS(Resultados!AW117),ABS(Resultados!BF117),ABS(Resultados!BO117),ABS(Resultados!CG117),ABS(Resultados!CP117),ABS(Resultados!CY117),ABS(Resultados!DH117))/SQRT(COUNT(Resultados!D117,Resultados!V117,Resultados!AN117,Resultados!AW117,Resultados!BF117,Resultados!BO117,Resultados!CG117,Resultados!CP117,Resultados!CY117,Resultados!DH117)))</f>
        <v>2.3676054476106363E-4</v>
      </c>
      <c r="E117">
        <f>IF(COUNT(Resultados!E117,Resultados!W117,Resultados!AO117,Resultados!AX117,Resultados!BG117,Resultados!BP117,Resultados!CH117,Resultados!CQ117,Resultados!CZ117,Resultados!DI117)&lt;=1, "", _xlfn.STDEV.S(ABS(Resultados!E117),ABS(Resultados!W117),ABS(Resultados!AO117),ABS(Resultados!AX117),ABS(Resultados!BG117),ABS(Resultados!BP117),ABS(Resultados!CH117),ABS(Resultados!CQ117),ABS(Resultados!CZ117),ABS(Resultados!DI117))/SQRT(COUNT(Resultados!E117,Resultados!W117,Resultados!AO117,Resultados!AX117,Resultados!BG117,Resultados!BP117,Resultados!CH117,Resultados!CQ117,Resultados!CZ117,Resultados!DI117)))</f>
        <v>6.7653260528655279E-2</v>
      </c>
      <c r="F117">
        <f>IF(COUNT(Resultados!F117,Resultados!X117,Resultados!AP117,Resultados!AY117,Resultados!BH117,Resultados!BQ117,Resultados!CI117,Resultados!CR117,Resultados!DA117,Resultados!DJ117)&lt;=1, "", _xlfn.STDEV.S(ABS(Resultados!F117),ABS(Resultados!X117),ABS(Resultados!AP117),ABS(Resultados!AY117),ABS(Resultados!BH117),ABS(Resultados!BQ117),ABS(Resultados!CI117),ABS(Resultados!CR117),ABS(Resultados!DA117),ABS(Resultados!DJ117))/SQRT(COUNT(Resultados!F117,Resultados!X117,Resultados!AP117,Resultados!AY117,Resultados!BH117,Resultados!BQ117,Resultados!CI117,Resultados!CR117,Resultados!DA117,Resultados!DJ117)))</f>
        <v>16.754139328587847</v>
      </c>
      <c r="G117">
        <f>IF(COUNT(Resultados!G117,Resultados!Y117,Resultados!AQ117,Resultados!AZ117,Resultados!BI117,Resultados!BR117,Resultados!CJ117,Resultados!CS117,Resultados!DB117,Resultados!DK117)&lt;=1, "", _xlfn.STDEV.S(ABS(Resultados!G117),ABS(Resultados!Y117),ABS(Resultados!AQ117),ABS(Resultados!AZ117),ABS(Resultados!BI117),ABS(Resultados!BR117),ABS(Resultados!CJ117),ABS(Resultados!CS117),ABS(Resultados!DB117),ABS(Resultados!DK117))/SQRT(COUNT(Resultados!G117,Resultados!Y117,Resultados!AQ117,Resultados!AZ117,Resultados!BI117,Resultados!BR117,Resultados!CJ117,Resultados!CS117,Resultados!DB117,Resultados!DK117)))</f>
        <v>1.8503717077085941E-17</v>
      </c>
      <c r="H117">
        <f>IF(COUNT(Resultados!H117,Resultados!Z117,Resultados!AR117,Resultados!BA117,Resultados!BJ117,Resultados!BS117,Resultados!CK117,Resultados!CT117,Resultados!DC117,Resultados!DL117)&lt;=1, "", _xlfn.STDEV.S(ABS(Resultados!H117),ABS(Resultados!Z117),ABS(Resultados!AR117),ABS(Resultados!BA117),ABS(Resultados!BJ117),ABS(Resultados!BS117),ABS(Resultados!CK117),ABS(Resultados!CT117),ABS(Resultados!DC117),ABS(Resultados!DL117))/SQRT(COUNT(Resultados!H117,Resultados!Z117,Resultados!AR117,Resultados!BA117,Resultados!BJ117,Resultados!BS117,Resultados!CK117,Resultados!CT117,Resultados!DC117,Resultados!DL117)))</f>
        <v>1.0511580915035252E-3</v>
      </c>
      <c r="I117">
        <f>IF(COUNT(Resultados!I117,Resultados!AA117,Resultados!AS117,Resultados!BB117,Resultados!BK117,Resultados!BT117,Resultados!CL117,Resultados!CU117,Resultados!DD117,Resultados!DM117)&lt;=1, "", _xlfn.STDEV.S(ABS(Resultados!I117),ABS(Resultados!AA117),ABS(Resultados!AS117),ABS(Resultados!BB117),ABS(Resultados!BK117),ABS(Resultados!BT117),ABS(Resultados!CL117),ABS(Resultados!CU117),ABS(Resultados!DD117),ABS(Resultados!DM117))/SQRT(COUNT(Resultados!I117,Resultados!AA117,Resultados!AS117,Resultados!BB117,Resultados!BK117,Resultados!BT117,Resultados!CL117,Resultados!CU117,Resultados!DD117,Resultados!DM117)))</f>
        <v>7.1636001191382136E-4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2025-03-11T04:31:40Z</dcterms:modified>
</cp:coreProperties>
</file>