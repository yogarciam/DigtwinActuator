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3_sine\Processing\"/>
    </mc:Choice>
  </mc:AlternateContent>
  <xr:revisionPtr revIDLastSave="0" documentId="13_ncr:1_{F9AF1BE4-A59D-436D-9EC5-61FF61AB4F5F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6" i="16" l="1"/>
  <c r="J116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J115" i="16"/>
  <c r="J115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J114" i="16"/>
  <c r="J114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J113" i="16"/>
  <c r="J113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J112" i="16"/>
  <c r="J112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J111" i="16"/>
  <c r="J111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J110" i="16"/>
  <c r="J110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J109" i="16"/>
  <c r="J109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J108" i="16"/>
  <c r="J108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J107" i="16"/>
  <c r="J107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J106" i="16"/>
  <c r="J106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J105" i="16"/>
  <c r="J105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J104" i="16"/>
  <c r="J104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J103" i="16"/>
  <c r="J103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J102" i="16"/>
  <c r="J102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J101" i="16"/>
  <c r="J101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J100" i="16"/>
  <c r="J100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J99" i="16"/>
  <c r="J99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J98" i="16"/>
  <c r="J98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J97" i="16"/>
  <c r="J97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J96" i="16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<sst xmlns="http://schemas.openxmlformats.org/spreadsheetml/2006/main" count="4836" uniqueCount="1850">
  <si>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</si>
  <si>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</si>
  <si>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</si>
  <si>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</si>
  <si>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</si>
  <si>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</si>
  <si>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</si>
  <si>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</si>
  <si>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</si>
  <si>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</si>
  <si>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</si>
  <si>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</si>
  <si>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</si>
  <si>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</si>
  <si>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</si>
  <si>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</si>
  <si>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</si>
  <si>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</si>
  <si>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</si>
  <si>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</si>
  <si>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</si>
  <si>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</si>
  <si>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</si>
  <si>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</si>
  <si>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</si>
  <si>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</si>
  <si>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</si>
  <si>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</si>
  <si>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</si>
  <si>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</si>
  <si>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</si>
  <si>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</si>
  <si>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</si>
  <si>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</si>
  <si>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</si>
  <si>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</si>
  <si>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</si>
  <si>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</si>
  <si>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</si>
  <si>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</si>
  <si>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</si>
  <si>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</si>
  <si>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</si>
  <si>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</si>
  <si>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</si>
  <si>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</si>
  <si>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</si>
  <si>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</si>
  <si>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</si>
  <si>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</si>
  <si>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</si>
  <si>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</si>
  <si>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</si>
  <si>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</si>
  <si>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</si>
  <si>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</si>
  <si>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</si>
  <si>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</si>
  <si>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</si>
  <si>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</si>
  <si>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</si>
  <si>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</si>
  <si>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</si>
  <si>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</si>
  <si>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</si>
  <si>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</si>
  <si>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</si>
  <si>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</si>
  <si>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</si>
  <si>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</si>
  <si>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</si>
  <si>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</si>
  <si>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</si>
  <si>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</si>
  <si>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</si>
  <si>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</si>
  <si>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</si>
  <si>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</si>
  <si>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</si>
  <si>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</si>
  <si>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</si>
  <si>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</si>
  <si>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</si>
  <si>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</si>
  <si>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</si>
  <si>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</si>
  <si>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</si>
  <si>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</si>
  <si>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</si>
  <si>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</si>
  <si>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</si>
  <si>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</si>
  <si>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</si>
  <si>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</si>
  <si>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</si>
  <si>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</si>
  <si>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</si>
  <si>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</si>
  <si>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</si>
  <si>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</si>
  <si>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Date_Seg11</t>
  </si>
  <si>
    <t>Date_Seg12</t>
  </si>
  <si>
    <t>Time_Seg11</t>
  </si>
  <si>
    <t>Time_Seg12</t>
  </si>
  <si>
    <t>Test_ID_Seg11</t>
  </si>
  <si>
    <t>Test_ID_Seg12</t>
  </si>
  <si>
    <t>Experimental_Seg11</t>
  </si>
  <si>
    <t>Experimental_Seg12</t>
  </si>
  <si>
    <t>Pressure_Seg11</t>
  </si>
  <si>
    <t>Pressure_Seg12</t>
  </si>
  <si>
    <t>dac_bits_Seg11</t>
  </si>
  <si>
    <t>dac_bits_Seg12</t>
  </si>
  <si>
    <t>mass_Seg11</t>
  </si>
  <si>
    <t>mass_Seg12</t>
  </si>
  <si>
    <t>slide_Seg11</t>
  </si>
  <si>
    <t>slide_Seg12</t>
  </si>
  <si>
    <t>time_Seg11</t>
  </si>
  <si>
    <t>time_Seg12</t>
  </si>
  <si>
    <t>21:43:47:628</t>
  </si>
  <si>
    <t>21:43:49:923</t>
  </si>
  <si>
    <t>21:43:50:119</t>
  </si>
  <si>
    <t>21:43:50:320</t>
  </si>
  <si>
    <t>21:43:50:520</t>
  </si>
  <si>
    <t>21:43:50:721</t>
  </si>
  <si>
    <t>21:43:50:921</t>
  </si>
  <si>
    <t>21:43:51:117</t>
  </si>
  <si>
    <t>21:43:51:320</t>
  </si>
  <si>
    <t>21:43:51:515</t>
  </si>
  <si>
    <t>21:43:51:746</t>
  </si>
  <si>
    <t>21:43:51:927</t>
  </si>
  <si>
    <t>21:43:52:121</t>
  </si>
  <si>
    <t>21:43:52:323</t>
  </si>
  <si>
    <t>21:43:52:521</t>
  </si>
  <si>
    <t>21:43:52:723</t>
  </si>
  <si>
    <t>21:43:52:945</t>
  </si>
  <si>
    <t>21:43:53:129</t>
  </si>
  <si>
    <t>21:43:53:316</t>
  </si>
  <si>
    <t>21:43:53:521</t>
  </si>
  <si>
    <t>21:43:54:054</t>
  </si>
  <si>
    <t>21:43:54:124</t>
  </si>
  <si>
    <t>21:43:54:183</t>
  </si>
  <si>
    <t>21:43:54:386</t>
  </si>
  <si>
    <t>21:43:54:565</t>
  </si>
  <si>
    <t>21:43:54:744</t>
  </si>
  <si>
    <t>21:43:54:951</t>
  </si>
  <si>
    <t>21:43:55:133</t>
  </si>
  <si>
    <t>21:43:55:317</t>
  </si>
  <si>
    <t>21:43:55:521</t>
  </si>
  <si>
    <t>21:43:55:717</t>
  </si>
  <si>
    <t>21:43:55:942</t>
  </si>
  <si>
    <t>21:43:56:135</t>
  </si>
  <si>
    <t>21:43:56:318</t>
  </si>
  <si>
    <t>21:43:56:520</t>
  </si>
  <si>
    <t>21:43:56:725</t>
  </si>
  <si>
    <t>21:43:56:968</t>
  </si>
  <si>
    <t>21:43:57:145</t>
  </si>
  <si>
    <t>21:43:57:316</t>
  </si>
  <si>
    <t>21:43:57:519</t>
  </si>
  <si>
    <t>21:43:57:721</t>
  </si>
  <si>
    <t>21:43:57:917</t>
  </si>
  <si>
    <t>21:43:58:118</t>
  </si>
  <si>
    <t>21:43:58:347</t>
  </si>
  <si>
    <t>21:43:58:525</t>
  </si>
  <si>
    <t>21:43:58:721</t>
  </si>
  <si>
    <t>21:43:58:918</t>
  </si>
  <si>
    <t>21:43:59:116</t>
  </si>
  <si>
    <t>21:43:59:341</t>
  </si>
  <si>
    <t>21:43:59:528</t>
  </si>
  <si>
    <t>21:43:59:744</t>
  </si>
  <si>
    <t>21:43:59:977</t>
  </si>
  <si>
    <t>21:44:00:121</t>
  </si>
  <si>
    <t>21:44:00:319</t>
  </si>
  <si>
    <t>21:44:00:522</t>
  </si>
  <si>
    <t>21:44:00:751</t>
  </si>
  <si>
    <t>21:44:00:933</t>
  </si>
  <si>
    <t>21:44:01:122</t>
  </si>
  <si>
    <t>21:44:01:320</t>
  </si>
  <si>
    <t>21:44:01:527</t>
  </si>
  <si>
    <t>21:44:01:718</t>
  </si>
  <si>
    <t>21:44:01:947</t>
  </si>
  <si>
    <t>21:44:02:126</t>
  </si>
  <si>
    <t>21:44:02:318</t>
  </si>
  <si>
    <t>21:44:02:545</t>
  </si>
  <si>
    <t>21:44:02:718</t>
  </si>
  <si>
    <t>21:44:02:920</t>
  </si>
  <si>
    <t>21:44:03:146</t>
  </si>
  <si>
    <t>21:44:03:325</t>
  </si>
  <si>
    <t>21:44:03:522</t>
  </si>
  <si>
    <t>21:44:03:720</t>
  </si>
  <si>
    <t>21:44:03:918</t>
  </si>
  <si>
    <t>21:44:04:119</t>
  </si>
  <si>
    <t>21:44:04:318</t>
  </si>
  <si>
    <t>21:44:04:519</t>
  </si>
  <si>
    <t>21:44:04:719</t>
  </si>
  <si>
    <t>21:44:04:918</t>
  </si>
  <si>
    <t>21:44:05:122</t>
  </si>
  <si>
    <t>21:44:05:321</t>
  </si>
  <si>
    <t>21:44:05:522</t>
  </si>
  <si>
    <t>21:44:05:728</t>
  </si>
  <si>
    <t>21:44:05:919</t>
  </si>
  <si>
    <t>21:44:06:121</t>
  </si>
  <si>
    <t>21:44:06:320</t>
  </si>
  <si>
    <t>21:44:06:518</t>
  </si>
  <si>
    <t>21:44:06:718</t>
  </si>
  <si>
    <t>21:44:06:919</t>
  </si>
  <si>
    <t>21:44:07:115</t>
  </si>
  <si>
    <t>21:44:07:345</t>
  </si>
  <si>
    <t>21:44:07:525</t>
  </si>
  <si>
    <t>21:44:07:720</t>
  </si>
  <si>
    <t>21:44:07:945</t>
  </si>
  <si>
    <t>21:44:08:125</t>
  </si>
  <si>
    <t>21:44:08:316</t>
  </si>
  <si>
    <t>21:44:08:522</t>
  </si>
  <si>
    <t>21:44:08:721</t>
  </si>
  <si>
    <t>21:44:08:919</t>
  </si>
  <si>
    <t>21:44:09:145</t>
  </si>
  <si>
    <t>21:44:09:322</t>
  </si>
  <si>
    <t>21:44:09:516</t>
  </si>
  <si>
    <t>21:44:09:721</t>
  </si>
  <si>
    <t>21:44:09:922</t>
  </si>
  <si>
    <t>21:44:10:119</t>
  </si>
  <si>
    <t>21:44:10:319</t>
  </si>
  <si>
    <t>21:44:10:516</t>
  </si>
  <si>
    <t>21:44:10:727</t>
  </si>
  <si>
    <t>21:44:10:918</t>
  </si>
  <si>
    <t>21:44:11:122</t>
  </si>
  <si>
    <t>21:44:11:319</t>
  </si>
  <si>
    <t>21:44:11:548</t>
  </si>
  <si>
    <t>21:44:11:718</t>
  </si>
  <si>
    <t>21:44:11:915</t>
  </si>
  <si>
    <t>21:44:12:116</t>
  </si>
  <si>
    <t>21:44:12:320</t>
  </si>
  <si>
    <t>21:44:12:520</t>
  </si>
  <si>
    <t>21:44:12:718</t>
  </si>
  <si>
    <t>21:44:12:923</t>
  </si>
  <si>
    <t>21:44:13:120</t>
  </si>
  <si>
    <t>21:44:13:345</t>
  </si>
  <si>
    <t>21:44:13:522</t>
  </si>
  <si>
    <t>21:44:13:718</t>
  </si>
  <si>
    <t>21:44:13:923</t>
  </si>
  <si>
    <t>21:44:14:128</t>
  </si>
  <si>
    <t>21:44:14:322</t>
  </si>
  <si>
    <t>21:44:14:518</t>
  </si>
  <si>
    <t>21:44:14:718</t>
  </si>
  <si>
    <t>21:44:14:919</t>
  </si>
  <si>
    <t>21:44:15:120</t>
  </si>
  <si>
    <t>21:44:15:337</t>
  </si>
  <si>
    <t>21:44:15:521</t>
  </si>
  <si>
    <t>21:44:15:719</t>
  </si>
  <si>
    <t>21:44:15:918</t>
  </si>
  <si>
    <t>21:44:16:117</t>
  </si>
  <si>
    <t>21:44:16:355</t>
  </si>
  <si>
    <t>21:44:16:527</t>
  </si>
  <si>
    <t>21:44:16:717</t>
  </si>
  <si>
    <t>21:44:16:918</t>
  </si>
  <si>
    <t>21:44:17:207</t>
  </si>
  <si>
    <t>21:44:17:317</t>
  </si>
  <si>
    <t>21:44:17:518</t>
  </si>
  <si>
    <t>21:44:17:715</t>
  </si>
  <si>
    <t>21:44:17:922</t>
  </si>
  <si>
    <t>21:44:18:128</t>
  </si>
  <si>
    <t>21:44:18:318</t>
  </si>
  <si>
    <t>21:44:18:522</t>
  </si>
  <si>
    <t>21:44:18:742</t>
  </si>
  <si>
    <t>21:44:18:925</t>
  </si>
  <si>
    <t>21:44:19:117</t>
  </si>
  <si>
    <t>21:44:19:348</t>
  </si>
  <si>
    <t>21:44:19:518</t>
  </si>
  <si>
    <t>21:44:19:718</t>
  </si>
  <si>
    <t>21:44:19:942</t>
  </si>
  <si>
    <t>21:44:20:126</t>
  </si>
  <si>
    <t>21:44:20:321</t>
  </si>
  <si>
    <t>21:44:20:525</t>
  </si>
  <si>
    <t>21:44:20:719</t>
  </si>
  <si>
    <t>21:44:20:917</t>
  </si>
  <si>
    <t>21:44:21:145</t>
  </si>
  <si>
    <t>21:44:21:322</t>
  </si>
  <si>
    <t>21:44:21:524</t>
  </si>
  <si>
    <t>21:44:21:745</t>
  </si>
  <si>
    <t>21:44:21:922</t>
  </si>
  <si>
    <t>21:44:22:122</t>
  </si>
  <si>
    <t>21:44:22:345</t>
  </si>
  <si>
    <t>21:44:22:525</t>
  </si>
  <si>
    <t>21:44:22:723</t>
  </si>
  <si>
    <t>21:44:22:920</t>
  </si>
  <si>
    <t>21:44:23:128</t>
  </si>
  <si>
    <t>21:44:23:319</t>
  </si>
  <si>
    <t>21:44:23:523</t>
  </si>
  <si>
    <t>21:44:23:727</t>
  </si>
  <si>
    <t>21:44:23:921</t>
  </si>
  <si>
    <t>21:44:24:145</t>
  </si>
  <si>
    <t>21:44:24:320</t>
  </si>
  <si>
    <t>21:44:24:524</t>
  </si>
  <si>
    <t>21:44:24:721</t>
  </si>
  <si>
    <t>21:44:24:926</t>
  </si>
  <si>
    <t>21:44:25:120</t>
  </si>
  <si>
    <t>21:44:25:320</t>
  </si>
  <si>
    <t>21:44:25:521</t>
  </si>
  <si>
    <t>21:44:25:720</t>
  </si>
  <si>
    <t>21:44:25:948</t>
  </si>
  <si>
    <t>21:44:26:126</t>
  </si>
  <si>
    <t>21:44:26:321</t>
  </si>
  <si>
    <t>21:44:26:545</t>
  </si>
  <si>
    <t>21:44:26:730</t>
  </si>
  <si>
    <t>21:44:26:922</t>
  </si>
  <si>
    <t>21:44:27:120</t>
  </si>
  <si>
    <t>21:44:27:321</t>
  </si>
  <si>
    <t>21:44:27:520</t>
  </si>
  <si>
    <t>21:44:27:753</t>
  </si>
  <si>
    <t>21:44:27:924</t>
  </si>
  <si>
    <t>21:44:28:120</t>
  </si>
  <si>
    <t>21:44:28:342</t>
  </si>
  <si>
    <t>21:44:28:525</t>
  </si>
  <si>
    <t>21:44:28:720</t>
  </si>
  <si>
    <t>21:44:28:923</t>
  </si>
  <si>
    <t>21:44:29:122</t>
  </si>
  <si>
    <t>21:44:29:318</t>
  </si>
  <si>
    <t>21:44:29:545</t>
  </si>
  <si>
    <t>21:44:29:721</t>
  </si>
  <si>
    <t>21:44:29:920</t>
  </si>
  <si>
    <t>21:44:30:117</t>
  </si>
  <si>
    <t>21:44:30:319</t>
  </si>
  <si>
    <t>21:44:30:518</t>
  </si>
  <si>
    <t>21:44:30:720</t>
  </si>
  <si>
    <t>21:44:30:921</t>
  </si>
  <si>
    <t>21:44:31:119</t>
  </si>
  <si>
    <t>21:44:31:345</t>
  </si>
  <si>
    <t>21:44:31:527</t>
  </si>
  <si>
    <t>21:44:31:721</t>
  </si>
  <si>
    <t>21:44:31:920</t>
  </si>
  <si>
    <t>21:44:32:122</t>
  </si>
  <si>
    <t>21:44:32:321</t>
  </si>
  <si>
    <t>21:44:32:519</t>
  </si>
  <si>
    <t>21:44:32:721</t>
  </si>
  <si>
    <t>21:44:32:916</t>
  </si>
  <si>
    <t>21:44:33:119</t>
  </si>
  <si>
    <t>21:44:33:321</t>
  </si>
  <si>
    <t>21:44:33:519</t>
  </si>
  <si>
    <t>21:44:33:751</t>
  </si>
  <si>
    <t>21:44:33:920</t>
  </si>
  <si>
    <t>21:44:34:117</t>
  </si>
  <si>
    <t>21:44:34:320</t>
  </si>
  <si>
    <t>21:44:34:537</t>
  </si>
  <si>
    <t>21:44:34:718</t>
  </si>
  <si>
    <t>21:44:34:918</t>
  </si>
  <si>
    <t>21:44:35:120</t>
  </si>
  <si>
    <t>21:44:35:322</t>
  </si>
  <si>
    <t>21:44:35:545</t>
  </si>
  <si>
    <t>21:44:35:727</t>
  </si>
  <si>
    <t>21:44:35:931</t>
  </si>
  <si>
    <t>21:44:36:119</t>
  </si>
  <si>
    <t>21:44:36:318</t>
  </si>
  <si>
    <t>21:44:36:522</t>
  </si>
  <si>
    <t>21:44:36:717</t>
  </si>
  <si>
    <t>21:44:36:919</t>
  </si>
  <si>
    <t>21:44:37:121</t>
  </si>
  <si>
    <t>21:44:37:321</t>
  </si>
  <si>
    <t>21:44:37:517</t>
  </si>
  <si>
    <t>21:44:37:724</t>
  </si>
  <si>
    <t>21:44:37:921</t>
  </si>
  <si>
    <t>21:44:38:117</t>
  </si>
  <si>
    <t>21:44:38:318</t>
  </si>
  <si>
    <t>21:44:38:548</t>
  </si>
  <si>
    <t>21:44:38:725</t>
  </si>
  <si>
    <t>21:44:38:921</t>
  </si>
  <si>
    <t>21:44:39:119</t>
  </si>
  <si>
    <t>21:44:39:324</t>
  </si>
  <si>
    <t>21:44:39:522</t>
  </si>
  <si>
    <t>21:44:39:745</t>
  </si>
  <si>
    <t>21:44:39:933</t>
  </si>
  <si>
    <t>21:44:40:120</t>
  </si>
  <si>
    <t>21:44:40:323</t>
  </si>
  <si>
    <t>21:44:40:520</t>
  </si>
  <si>
    <t>21:44:40:720</t>
  </si>
  <si>
    <t>21:44:40:956</t>
  </si>
  <si>
    <t>21:44:41:125</t>
  </si>
  <si>
    <t>21:44:41:321</t>
  </si>
  <si>
    <t>21:44:41:519</t>
  </si>
  <si>
    <t>21:44:41:721</t>
  </si>
  <si>
    <t>21:44:41:922</t>
  </si>
  <si>
    <t>21:44:42:120</t>
  </si>
  <si>
    <t>21:44:42:325</t>
  </si>
  <si>
    <t>21:44:42:521</t>
  </si>
  <si>
    <t>21:44:42:719</t>
  </si>
  <si>
    <t>21:44:42:921</t>
  </si>
  <si>
    <t>21:44:43:120</t>
  </si>
  <si>
    <t>21:44:43:320</t>
  </si>
  <si>
    <t>21:44:43:525</t>
  </si>
  <si>
    <t>21:44:43:723</t>
  </si>
  <si>
    <t>21:44:43:921</t>
  </si>
  <si>
    <t>21:44:44:126</t>
  </si>
  <si>
    <t>21:44:44:325</t>
  </si>
  <si>
    <t>21:44:44:520</t>
  </si>
  <si>
    <t>21:44:44:718</t>
  </si>
  <si>
    <t>21:44:44:920</t>
  </si>
  <si>
    <t>21:44:45:123</t>
  </si>
  <si>
    <t>21:44:45:322</t>
  </si>
  <si>
    <t>21:44:45:521</t>
  </si>
  <si>
    <t>21:44:45:722</t>
  </si>
  <si>
    <t>21:44:45:919</t>
  </si>
  <si>
    <t>21:44:46:119</t>
  </si>
  <si>
    <t>21:44:47:047</t>
  </si>
  <si>
    <t>21:44:47:099</t>
  </si>
  <si>
    <t>21:44:47:176</t>
  </si>
  <si>
    <t>21:44:47:234</t>
  </si>
  <si>
    <t>21:44:47:285</t>
  </si>
  <si>
    <t>21:44:47:348</t>
  </si>
  <si>
    <t>21:44:47:521</t>
  </si>
  <si>
    <t>21:44:47:721</t>
  </si>
  <si>
    <t>21:44:47:928</t>
  </si>
  <si>
    <t>21:44:48:145</t>
  </si>
  <si>
    <t>21:44:48:324</t>
  </si>
  <si>
    <t>21:44:48:522</t>
  </si>
  <si>
    <t>21:44:48:727</t>
  </si>
  <si>
    <t>21:44:48:922</t>
  </si>
  <si>
    <t>21:44:49:121</t>
  </si>
  <si>
    <t>21:44:49:322</t>
  </si>
  <si>
    <t>21:44:49:523</t>
  </si>
  <si>
    <t>21:44:49:730</t>
  </si>
  <si>
    <t>21:44:49:924</t>
  </si>
  <si>
    <t>21:44:50:125</t>
  </si>
  <si>
    <t>21:44:50:321</t>
  </si>
  <si>
    <t>21:44:50:529</t>
  </si>
  <si>
    <t>21:44:50:718</t>
  </si>
  <si>
    <t>21:44:50:923</t>
  </si>
  <si>
    <t>21:44:51:156</t>
  </si>
  <si>
    <t>21:44:51:318</t>
  </si>
  <si>
    <t>21:44:51:520</t>
  </si>
  <si>
    <t>21:44:51:723</t>
  </si>
  <si>
    <t>21:44:51:920</t>
  </si>
  <si>
    <t>21:44:52:121</t>
  </si>
  <si>
    <t>21:44:52:346</t>
  </si>
  <si>
    <t>21:44:52:526</t>
  </si>
  <si>
    <t>21:44:52:723</t>
  </si>
  <si>
    <t>21:44:52:920</t>
  </si>
  <si>
    <t>21:44:53:124</t>
  </si>
  <si>
    <t>21:44:53:317</t>
  </si>
  <si>
    <t>21:44:53:544</t>
  </si>
  <si>
    <t>21:44:53:736</t>
  </si>
  <si>
    <t>21:44:53:920</t>
  </si>
  <si>
    <t>21:44:54:119</t>
  </si>
  <si>
    <t>21:44:54:386</t>
  </si>
  <si>
    <t>21:44:54:857</t>
  </si>
  <si>
    <t>21:44:55:156</t>
  </si>
  <si>
    <t>21:44:55:320</t>
  </si>
  <si>
    <t>21:44:55:522</t>
  </si>
  <si>
    <t>21:44:55:723</t>
  </si>
  <si>
    <t>21:44:55:917</t>
  </si>
  <si>
    <t>21:44:56:118</t>
  </si>
  <si>
    <t>21:44:56:322</t>
  </si>
  <si>
    <t>21:44:56:544</t>
  </si>
  <si>
    <t>21:44:56:723</t>
  </si>
  <si>
    <t>21:44:56:928</t>
  </si>
  <si>
    <t>21:44:57:126</t>
  </si>
  <si>
    <t>21:44:57:320</t>
  </si>
  <si>
    <t>21:44:57:526</t>
  </si>
  <si>
    <t>21:44:57:747</t>
  </si>
  <si>
    <t>21:44:57:925</t>
  </si>
  <si>
    <t>21:44:58:122</t>
  </si>
  <si>
    <t>21:44:58:321</t>
  </si>
  <si>
    <t>21:44:58:522</t>
  </si>
  <si>
    <t>21:44:58:721</t>
  </si>
  <si>
    <t>21:44:58:922</t>
  </si>
  <si>
    <t>21:44:59:122</t>
  </si>
  <si>
    <t>21:44:59:317</t>
  </si>
  <si>
    <t>21:44:59:571</t>
  </si>
  <si>
    <t>21:44:59:722</t>
  </si>
  <si>
    <t>21:44:59:922</t>
  </si>
  <si>
    <t>21:45:00:146</t>
  </si>
  <si>
    <t>21:45:00:605</t>
  </si>
  <si>
    <t>21:45:00:675</t>
  </si>
  <si>
    <t>21:45:00:742</t>
  </si>
  <si>
    <t>21:45:00:926</t>
  </si>
  <si>
    <t>21:45:01:120</t>
  </si>
  <si>
    <t>21:45:01:323</t>
  </si>
  <si>
    <t>21:45:01:522</t>
  </si>
  <si>
    <t>21:45:01:717</t>
  </si>
  <si>
    <t>21:45:01:946</t>
  </si>
  <si>
    <t>21:45:02:122</t>
  </si>
  <si>
    <t>21:45:02:322</t>
  </si>
  <si>
    <t>21:45:02:523</t>
  </si>
  <si>
    <t>21:45:02:727</t>
  </si>
  <si>
    <t>21:45:02:921</t>
  </si>
  <si>
    <t>21:45:03:117</t>
  </si>
  <si>
    <t>21:45:03:321</t>
  </si>
  <si>
    <t>21:45:03:522</t>
  </si>
  <si>
    <t>21:45:03:721</t>
  </si>
  <si>
    <t>21:45:03:918</t>
  </si>
  <si>
    <t>21:45:04:123</t>
  </si>
  <si>
    <t>21:45:04:320</t>
  </si>
  <si>
    <t>21:45:04:520</t>
  </si>
  <si>
    <t>21:45:04:722</t>
  </si>
  <si>
    <t>21:45:04:945</t>
  </si>
  <si>
    <t>21:45:05:130</t>
  </si>
  <si>
    <t>21:45:05:322</t>
  </si>
  <si>
    <t>21:45:05:527</t>
  </si>
  <si>
    <t>21:45:05:721</t>
  </si>
  <si>
    <t>21:45:05:921</t>
  </si>
  <si>
    <t>21:45:06:148</t>
  </si>
  <si>
    <t>21:45:06:324</t>
  </si>
  <si>
    <t>21:45:06:523</t>
  </si>
  <si>
    <t>21:45:06:724</t>
  </si>
  <si>
    <t>21:45:06:921</t>
  </si>
  <si>
    <t>21:45:07:123</t>
  </si>
  <si>
    <t>21:45:07:318</t>
  </si>
  <si>
    <t>21:45:07:523</t>
  </si>
  <si>
    <t>21:45:07:722</t>
  </si>
  <si>
    <t>21:45:07:918</t>
  </si>
  <si>
    <t>21:45:08:121</t>
  </si>
  <si>
    <t>21:45:08:317</t>
  </si>
  <si>
    <t>21:45:08:543</t>
  </si>
  <si>
    <t>21:45:08:726</t>
  </si>
  <si>
    <t>21:45:08:921</t>
  </si>
  <si>
    <t>21:45:09:143</t>
  </si>
  <si>
    <t>21:45:09:327</t>
  </si>
  <si>
    <t>21:45:09:525</t>
  </si>
  <si>
    <t>21:45:09:721</t>
  </si>
  <si>
    <t>21:45:09:922</t>
  </si>
  <si>
    <t>21:45:10:121</t>
  </si>
  <si>
    <t>21:45:10:353</t>
  </si>
  <si>
    <t>21:45:10:523</t>
  </si>
  <si>
    <t>21:45:10:731</t>
  </si>
  <si>
    <t>21:45:10:946</t>
  </si>
  <si>
    <t>21:45:11:126</t>
  </si>
  <si>
    <t>21:45:11:321</t>
  </si>
  <si>
    <t>21:45:11:519</t>
  </si>
  <si>
    <t>21:45:11:719</t>
  </si>
  <si>
    <t>21:45:11:922</t>
  </si>
  <si>
    <t>21:45:12:146</t>
  </si>
  <si>
    <t>21:45:12:348</t>
  </si>
  <si>
    <t>21:45:12:518</t>
  </si>
  <si>
    <t>21:45:12:722</t>
  </si>
  <si>
    <t>21:45:12:937</t>
  </si>
  <si>
    <t>21:45:13:133</t>
  </si>
  <si>
    <t>21:45:13:319</t>
  </si>
  <si>
    <t>21:45:13:526</t>
  </si>
  <si>
    <t>21:45:13:724</t>
  </si>
  <si>
    <t>21:45:13:936</t>
  </si>
  <si>
    <t>21:45:14:123</t>
  </si>
  <si>
    <t>21:45:14:321</t>
  </si>
  <si>
    <t>21:45:14:518</t>
  </si>
  <si>
    <t>21:45:14:724</t>
  </si>
  <si>
    <t>21:45:14:920</t>
  </si>
  <si>
    <t>21:45:15:149</t>
  </si>
  <si>
    <t>21:45:15:326</t>
  </si>
  <si>
    <t>21:45:15:524</t>
  </si>
  <si>
    <t>21:45:15:723</t>
  </si>
  <si>
    <t>21:45:15:919</t>
  </si>
  <si>
    <t>21:45:16:121</t>
  </si>
  <si>
    <t>21:45:16:323</t>
  </si>
  <si>
    <t>21:45:16:518</t>
  </si>
  <si>
    <t>21:45:16:719</t>
  </si>
  <si>
    <t>21:45:16:922</t>
  </si>
  <si>
    <t>21:45:17:118</t>
  </si>
  <si>
    <t>21:45:17:325</t>
  </si>
  <si>
    <t>21:45:17:546</t>
  </si>
  <si>
    <t>21:45:17:725</t>
  </si>
  <si>
    <t>21:45:17:923</t>
  </si>
  <si>
    <t>21:45:18:146</t>
  </si>
  <si>
    <t>21:45:18:323</t>
  </si>
  <si>
    <t>21:45:18:520</t>
  </si>
  <si>
    <t>21:45:18:720</t>
  </si>
  <si>
    <t>21:45:18:921</t>
  </si>
  <si>
    <t>21:45:19:118</t>
  </si>
  <si>
    <t>21:45:19:349</t>
  </si>
  <si>
    <t>21:45:19:527</t>
  </si>
  <si>
    <t>21:45:19:722</t>
  </si>
  <si>
    <t>21:45:19:922</t>
  </si>
  <si>
    <t>21:45:20:122</t>
  </si>
  <si>
    <t>21:45:20:322</t>
  </si>
  <si>
    <t>21:45:20:522</t>
  </si>
  <si>
    <t>21:45:20:722</t>
  </si>
  <si>
    <t>21:45:20:922</t>
  </si>
  <si>
    <t>21:45:21:146</t>
  </si>
  <si>
    <t>21:45:21:327</t>
  </si>
  <si>
    <t>21:45:21:523</t>
  </si>
  <si>
    <t>21:45:21:720</t>
  </si>
  <si>
    <t>21:45:21:922</t>
  </si>
  <si>
    <t>21:45:22:123</t>
  </si>
  <si>
    <t>21:45:22:342</t>
  </si>
  <si>
    <t>21:45:22:526</t>
  </si>
  <si>
    <t>21:45:22:721</t>
  </si>
  <si>
    <t>21:45:22:924</t>
  </si>
  <si>
    <t>21:45:23:123</t>
  </si>
  <si>
    <t>21:45:23:321</t>
  </si>
  <si>
    <t>21:45:23:546</t>
  </si>
  <si>
    <t>21:45:23:726</t>
  </si>
  <si>
    <t>21:45:23:923</t>
  </si>
  <si>
    <t>21:45:24:122</t>
  </si>
  <si>
    <t>21:45:24:323</t>
  </si>
  <si>
    <t>21:45:24:519</t>
  </si>
  <si>
    <t>21:45:24:722</t>
  </si>
  <si>
    <t>21:45:24:934</t>
  </si>
  <si>
    <t>21:45:25:119</t>
  </si>
  <si>
    <t>21:45:25:322</t>
  </si>
  <si>
    <t>21:45:25:523</t>
  </si>
  <si>
    <t>21:45:25:722</t>
  </si>
  <si>
    <t>21:45:38:036</t>
  </si>
  <si>
    <t>21:45:38:129</t>
  </si>
  <si>
    <t>21:45:38:319</t>
  </si>
  <si>
    <t>21:45:38:546</t>
  </si>
  <si>
    <t>21:45:38:723</t>
  </si>
  <si>
    <t>21:45:38:922</t>
  </si>
  <si>
    <t>21:45:39:121</t>
  </si>
  <si>
    <t>21:45:39:321</t>
  </si>
  <si>
    <t>21:45:39:529</t>
  </si>
  <si>
    <t>21:45:39:720</t>
  </si>
  <si>
    <t>21:45:39:922</t>
  </si>
  <si>
    <t>21:45:40:123</t>
  </si>
  <si>
    <t>21:45:40:323</t>
  </si>
  <si>
    <t>21:45:40:523</t>
  </si>
  <si>
    <t>21:45:40:721</t>
  </si>
  <si>
    <t>21:45:40:946</t>
  </si>
  <si>
    <t>21:45:41:120</t>
  </si>
  <si>
    <t>21:45:41:319</t>
  </si>
  <si>
    <t>21:45:41:519</t>
  </si>
  <si>
    <t>21:45:41:725</t>
  </si>
  <si>
    <t>21:45:41:922</t>
  </si>
  <si>
    <t>21:45:42:146</t>
  </si>
  <si>
    <t>21:45:42:326</t>
  </si>
  <si>
    <t>21:45:42:522</t>
  </si>
  <si>
    <t>21:45:42:725</t>
  </si>
  <si>
    <t>21:45:42:921</t>
  </si>
  <si>
    <t>21:45:43:125</t>
  </si>
  <si>
    <t>21:45:43:346</t>
  </si>
  <si>
    <t>21:45:43:530</t>
  </si>
  <si>
    <t>21:45:43:726</t>
  </si>
  <si>
    <t>21:45:43:921</t>
  </si>
  <si>
    <t>21:45:44:124</t>
  </si>
  <si>
    <t>21:45:44:318</t>
  </si>
  <si>
    <t>21:45:44:547</t>
  </si>
  <si>
    <t>21:45:44:728</t>
  </si>
  <si>
    <t>21:45:44:919</t>
  </si>
  <si>
    <t>21:45:45:117</t>
  </si>
  <si>
    <t>21:45:45:323</t>
  </si>
  <si>
    <t>21:45:45:521</t>
  </si>
  <si>
    <t>21:45:45:746</t>
  </si>
  <si>
    <t>21:45:45:922</t>
  </si>
  <si>
    <t>21:45:46:122</t>
  </si>
  <si>
    <t>21:45:46:321</t>
  </si>
  <si>
    <t>21:45:46:526</t>
  </si>
  <si>
    <t>21:45:46:721</t>
  </si>
  <si>
    <t>21:45:46:923</t>
  </si>
  <si>
    <t>21:45:47:117</t>
  </si>
  <si>
    <t>21:45:47:323</t>
  </si>
  <si>
    <t>21:45:47:543</t>
  </si>
  <si>
    <t>21:45:47:728</t>
  </si>
  <si>
    <t>21:45:47:922</t>
  </si>
  <si>
    <t>21:45:48:122</t>
  </si>
  <si>
    <t>21:45:48:318</t>
  </si>
  <si>
    <t>21:45:48:519</t>
  </si>
  <si>
    <t>21:45:48:757</t>
  </si>
  <si>
    <t>21:45:48:922</t>
  </si>
  <si>
    <t>21:45:49:121</t>
  </si>
  <si>
    <t>21:45:49:323</t>
  </si>
  <si>
    <t>21:45:49:523</t>
  </si>
  <si>
    <t>21:45:49:723</t>
  </si>
  <si>
    <t>21:45:49:946</t>
  </si>
  <si>
    <t>21:45:50:125</t>
  </si>
  <si>
    <t>21:45:50:323</t>
  </si>
  <si>
    <t>21:45:50:521</t>
  </si>
  <si>
    <t>21:45:50:718</t>
  </si>
  <si>
    <t>21:45:50:921</t>
  </si>
  <si>
    <t>21:45:51:123</t>
  </si>
  <si>
    <t>21:45:51:338</t>
  </si>
  <si>
    <t>21:45:51:521</t>
  </si>
  <si>
    <t>21:45:51:722</t>
  </si>
  <si>
    <t>21:45:51:928</t>
  </si>
  <si>
    <t>21:45:52:124</t>
  </si>
  <si>
    <t>21:45:52:347</t>
  </si>
  <si>
    <t>21:45:52:526</t>
  </si>
  <si>
    <t>21:45:52:724</t>
  </si>
  <si>
    <t>21:45:52:922</t>
  </si>
  <si>
    <t>21:45:53:119</t>
  </si>
  <si>
    <t>21:45:53:323</t>
  </si>
  <si>
    <t>21:45:53:524</t>
  </si>
  <si>
    <t>21:45:53:724</t>
  </si>
  <si>
    <t>21:45:53:920</t>
  </si>
  <si>
    <t>21:45:54:121</t>
  </si>
  <si>
    <t>21:45:54:387</t>
  </si>
  <si>
    <t>21:45:54:571</t>
  </si>
  <si>
    <t>21:45:55:053</t>
  </si>
  <si>
    <t>21:45:55:616</t>
  </si>
  <si>
    <t>21:45:55:672</t>
  </si>
  <si>
    <t>21:45:55:753</t>
  </si>
  <si>
    <t>21:45:55:797</t>
  </si>
  <si>
    <t>21:45:55:845</t>
  </si>
  <si>
    <t>21:45:55:946</t>
  </si>
  <si>
    <t>21:45:56:127</t>
  </si>
  <si>
    <t>21:45:56:323</t>
  </si>
  <si>
    <t>21:45:56:546</t>
  </si>
  <si>
    <t>21:45:56:726</t>
  </si>
  <si>
    <t>21:45:56:921</t>
  </si>
  <si>
    <t>21:45:57:118</t>
  </si>
  <si>
    <t>21:45:57:319</t>
  </si>
  <si>
    <t>21:45:57:522</t>
  </si>
  <si>
    <t>21:45:57:750</t>
  </si>
  <si>
    <t>21:45:57:926</t>
  </si>
  <si>
    <t>21:45:58:123</t>
  </si>
  <si>
    <t>21:45:58:321</t>
  </si>
  <si>
    <t>21:45:58:522</t>
  </si>
  <si>
    <t>21:45:58:726</t>
  </si>
  <si>
    <t>21:45:58:924</t>
  </si>
  <si>
    <t>21:45:59:124</t>
  </si>
  <si>
    <t>21:45:59:325</t>
  </si>
  <si>
    <t>21:45:59:520</t>
  </si>
  <si>
    <t>21:45:59:723</t>
  </si>
  <si>
    <t>21:45:59:921</t>
  </si>
  <si>
    <t>21:46:00:120</t>
  </si>
  <si>
    <t>21:46:00:321</t>
  </si>
  <si>
    <t>21:46:00:524</t>
  </si>
  <si>
    <t>21:46:00:727</t>
  </si>
  <si>
    <t>21:46:00:927</t>
  </si>
  <si>
    <t>21:46:01:123</t>
  </si>
  <si>
    <t>21:46:01:347</t>
  </si>
  <si>
    <t>21:46:01:526</t>
  </si>
  <si>
    <t>21:46:01:723</t>
  </si>
  <si>
    <t>21:46:01:927</t>
  </si>
  <si>
    <t>21:46:02:127</t>
  </si>
  <si>
    <t>21:46:02:327</t>
  </si>
  <si>
    <t>21:46:02:527</t>
  </si>
  <si>
    <t>21:46:02:724</t>
  </si>
  <si>
    <t>21:46:02:921</t>
  </si>
  <si>
    <t>21:46:03:151</t>
  </si>
  <si>
    <t>21:46:03:326</t>
  </si>
  <si>
    <t>21:46:03:521</t>
  </si>
  <si>
    <t>21:46:03:746</t>
  </si>
  <si>
    <t>21:46:03:924</t>
  </si>
  <si>
    <t>21:46:04:122</t>
  </si>
  <si>
    <t>21:46:04:323</t>
  </si>
  <si>
    <t>21:46:04:522</t>
  </si>
  <si>
    <t>21:46:04:727</t>
  </si>
  <si>
    <t>21:46:04:946</t>
  </si>
  <si>
    <t>21:46:05:130</t>
  </si>
  <si>
    <t>21:46:05:322</t>
  </si>
  <si>
    <t>21:46:05:524</t>
  </si>
  <si>
    <t>21:46:05:720</t>
  </si>
  <si>
    <t>21:46:05:919</t>
  </si>
  <si>
    <t>21:46:06:146</t>
  </si>
  <si>
    <t>21:46:06:327</t>
  </si>
  <si>
    <t>21:46:06:522</t>
  </si>
  <si>
    <t>21:46:06:722</t>
  </si>
  <si>
    <t>21:46:06:921</t>
  </si>
  <si>
    <t>21:46:07:120</t>
  </si>
  <si>
    <t>21:46:07:346</t>
  </si>
  <si>
    <t>21:46:07:529</t>
  </si>
  <si>
    <t>21:46:07:722</t>
  </si>
  <si>
    <t>21:46:07:919</t>
  </si>
  <si>
    <t>21:46:08:126</t>
  </si>
  <si>
    <t>21:46:08:322</t>
  </si>
  <si>
    <t>21:46:08:524</t>
  </si>
  <si>
    <t>21:46:08:721</t>
  </si>
  <si>
    <t>21:46:08:922</t>
  </si>
  <si>
    <t>21:46:09:146</t>
  </si>
  <si>
    <t>21:46:09:326</t>
  </si>
  <si>
    <t>21:46:09:522</t>
  </si>
  <si>
    <t>21:46:09:723</t>
  </si>
  <si>
    <t>21:46:09:923</t>
  </si>
  <si>
    <t>21:46:10:120</t>
  </si>
  <si>
    <t>21:46:10:324</t>
  </si>
  <si>
    <t>21:46:10:537</t>
  </si>
  <si>
    <t>21:46:10:720</t>
  </si>
  <si>
    <t>21:46:10:918</t>
  </si>
  <si>
    <t>21:46:11:128</t>
  </si>
  <si>
    <t>21:46:11:323</t>
  </si>
  <si>
    <t>21:46:11:520</t>
  </si>
  <si>
    <t>21:46:11:730</t>
  </si>
  <si>
    <t>21:46:11:922</t>
  </si>
  <si>
    <t>21:46:12:147</t>
  </si>
  <si>
    <t>21:46:12:328</t>
  </si>
  <si>
    <t>21:46:12:524</t>
  </si>
  <si>
    <t>21:46:12:719</t>
  </si>
  <si>
    <t>21:46:12:922</t>
  </si>
  <si>
    <t>21:46:13:120</t>
  </si>
  <si>
    <t>21:46:13:320</t>
  </si>
  <si>
    <t>21:46:13:521</t>
  </si>
  <si>
    <t>21:46:13:722</t>
  </si>
  <si>
    <t>21:46:13:924</t>
  </si>
  <si>
    <t>21:46:14:118</t>
  </si>
  <si>
    <t>21:46:14:320</t>
  </si>
  <si>
    <t>21:46:14:524</t>
  </si>
  <si>
    <t>21:46:14:721</t>
  </si>
  <si>
    <t>21:46:14:918</t>
  </si>
  <si>
    <t>21:46:15:123</t>
  </si>
  <si>
    <t>21:46:15:318</t>
  </si>
  <si>
    <t>21:46:15:524</t>
  </si>
  <si>
    <t>21:46:15:723</t>
  </si>
  <si>
    <t>21:46:15:936</t>
  </si>
  <si>
    <t>21:46:16:121</t>
  </si>
  <si>
    <t>21:46:16:323</t>
  </si>
  <si>
    <t>21:46:16:518</t>
  </si>
  <si>
    <t>21:46:16:722</t>
  </si>
  <si>
    <t>21:46:16:950</t>
  </si>
  <si>
    <t>21:46:17:126</t>
  </si>
  <si>
    <t>21:46:17:322</t>
  </si>
  <si>
    <t>21:46:17:522</t>
  </si>
  <si>
    <t>21:46:17:725</t>
  </si>
  <si>
    <t>21:46:17:922</t>
  </si>
  <si>
    <t>21:46:18:125</t>
  </si>
  <si>
    <t>21:46:18:330</t>
  </si>
  <si>
    <t>21:46:18:523</t>
  </si>
  <si>
    <t>21:46:18:723</t>
  </si>
  <si>
    <t>21:46:18:923</t>
  </si>
  <si>
    <t>21:46:19:123</t>
  </si>
  <si>
    <t>21:46:19:346</t>
  </si>
  <si>
    <t>21:46:19:523</t>
  </si>
  <si>
    <t>21:46:19:723</t>
  </si>
  <si>
    <t>21:46:19:946</t>
  </si>
  <si>
    <t>21:46:20:126</t>
  </si>
  <si>
    <t>21:46:20:321</t>
  </si>
  <si>
    <t>21:46:20:521</t>
  </si>
  <si>
    <t>21:46:20:721</t>
  </si>
  <si>
    <t>21:46:20:926</t>
  </si>
  <si>
    <t>21:46:21:124</t>
  </si>
  <si>
    <t>21:46:21:319</t>
  </si>
  <si>
    <t>21:46:21:522</t>
  </si>
  <si>
    <t>21:46:21:747</t>
  </si>
  <si>
    <t>21:46:21:931</t>
  </si>
  <si>
    <t>21:46:22:124</t>
  </si>
  <si>
    <t>21:46:22:321</t>
  </si>
  <si>
    <t>21:46:22:527</t>
  </si>
  <si>
    <t>21:46:22:725</t>
  </si>
  <si>
    <t>21:46:22:919</t>
  </si>
  <si>
    <t>21:46:23:129</t>
  </si>
  <si>
    <t>21:46:23:321</t>
  </si>
  <si>
    <t>21:46:23:522</t>
  </si>
  <si>
    <t>21:46:23:724</t>
  </si>
  <si>
    <t>21:46:23:920</t>
  </si>
  <si>
    <t>21:46:24:147</t>
  </si>
  <si>
    <t>21:46:24:326</t>
  </si>
  <si>
    <t>21:46:24:523</t>
  </si>
  <si>
    <t>21:46:24:721</t>
  </si>
  <si>
    <t>21:46:24:924</t>
  </si>
  <si>
    <t>21:46:25:123</t>
  </si>
  <si>
    <t>21:46:25:347</t>
  </si>
  <si>
    <t>21:46:25:530</t>
  </si>
  <si>
    <t>21:46:25:721</t>
  </si>
  <si>
    <t>21:46:25:921</t>
  </si>
  <si>
    <t>21:46:26:129</t>
  </si>
  <si>
    <t>21:46:26:323</t>
  </si>
  <si>
    <t>21:46:26:525</t>
  </si>
  <si>
    <t>21:46:26:721</t>
  </si>
  <si>
    <t>21:46:26:923</t>
  </si>
  <si>
    <t>21:46:27:154</t>
  </si>
  <si>
    <t>21:46:27:325</t>
  </si>
  <si>
    <t>21:46:27:519</t>
  </si>
  <si>
    <t>21:46:27:723</t>
  </si>
  <si>
    <t>21:46:27:918</t>
  </si>
  <si>
    <t>21:46:28:121</t>
  </si>
  <si>
    <t>21:46:28:347</t>
  </si>
  <si>
    <t>21:46:28:526</t>
  </si>
  <si>
    <t>21:46:28:720</t>
  </si>
  <si>
    <t>21:46:28:922</t>
  </si>
  <si>
    <t>21:46:29:136</t>
  </si>
  <si>
    <t>21:46:29:319</t>
  </si>
  <si>
    <t>21:46:30:217</t>
  </si>
  <si>
    <t>21:46:30:271</t>
  </si>
  <si>
    <t>21:46:30:322</t>
  </si>
  <si>
    <t>21:46:30:379</t>
  </si>
  <si>
    <t>21:46:30:451</t>
  </si>
  <si>
    <t>21:46:30:518</t>
  </si>
  <si>
    <t>21:46:30:747</t>
  </si>
  <si>
    <t>21:46:30:922</t>
  </si>
  <si>
    <t>21:46:31:121</t>
  </si>
  <si>
    <t>21:46:31:346</t>
  </si>
  <si>
    <t>21:46:31:526</t>
  </si>
  <si>
    <t>21:46:31:723</t>
  </si>
  <si>
    <t>21:46:31:922</t>
  </si>
  <si>
    <t>21:46:32:124</t>
  </si>
  <si>
    <t>21:46:32:324</t>
  </si>
  <si>
    <t>21:46:32:524</t>
  </si>
  <si>
    <t>21:46:32:723</t>
  </si>
  <si>
    <t>21:46:32:921</t>
  </si>
  <si>
    <t>21:46:33:120</t>
  </si>
  <si>
    <t>21:46:33:318</t>
  </si>
  <si>
    <t>21:46:33:522</t>
  </si>
  <si>
    <t>21:46:33:723</t>
  </si>
  <si>
    <t>21:46:33:922</t>
  </si>
  <si>
    <t>21:46:34:124</t>
  </si>
  <si>
    <t>21:46:34:324</t>
  </si>
  <si>
    <t>21:46:34:527</t>
  </si>
  <si>
    <t>21:46:34:722</t>
  </si>
  <si>
    <t>21:46:34:922</t>
  </si>
  <si>
    <t>21:46:35:124</t>
  </si>
  <si>
    <t>21:46:35:322</t>
  </si>
  <si>
    <t>21:46:35:520</t>
  </si>
  <si>
    <t>21:46:35:724</t>
  </si>
  <si>
    <t>21:46:35:924</t>
  </si>
  <si>
    <t>21:46:36:147</t>
  </si>
  <si>
    <t>21:46:36:323</t>
  </si>
  <si>
    <t>21:46:36:524</t>
  </si>
  <si>
    <t>21:46:36:746</t>
  </si>
  <si>
    <t>21:46:36:926</t>
  </si>
  <si>
    <t>21:46:37:124</t>
  </si>
  <si>
    <t>21:46:37:319</t>
  </si>
  <si>
    <t>21:46:37:524</t>
  </si>
  <si>
    <t>21:46:37:721</t>
  </si>
  <si>
    <t>21:46:37:920</t>
  </si>
  <si>
    <t>21:46:38:122</t>
  </si>
  <si>
    <t>21:46:38:321</t>
  </si>
  <si>
    <t>21:46:38:524</t>
  </si>
  <si>
    <t>21:46:38:724</t>
  </si>
  <si>
    <t>21:46:38:922</t>
  </si>
  <si>
    <t>21:46:39:124</t>
  </si>
  <si>
    <t>21:46:39:324</t>
  </si>
  <si>
    <t>21:46:39:522</t>
  </si>
  <si>
    <t>21:46:39:748</t>
  </si>
  <si>
    <t>21:46:40:049</t>
  </si>
  <si>
    <t>21:46:40:129</t>
  </si>
  <si>
    <t>21:46:40:323</t>
  </si>
  <si>
    <t>21:46:40:523</t>
  </si>
  <si>
    <t>21:46:41:248</t>
  </si>
  <si>
    <t>21:46:41:298</t>
  </si>
  <si>
    <t>21:46:41:346</t>
  </si>
  <si>
    <t>21:46:41:416</t>
  </si>
  <si>
    <t>21:46:41:550</t>
  </si>
  <si>
    <t>21:46:41:726</t>
  </si>
  <si>
    <t>21:46:41:919</t>
  </si>
  <si>
    <t>21:46:42:148</t>
  </si>
  <si>
    <t>21:46:42:326</t>
  </si>
  <si>
    <t>21:46:42:520</t>
  </si>
  <si>
    <t>21:46:42:747</t>
  </si>
  <si>
    <t>21:46:42:926</t>
  </si>
  <si>
    <t>21:46:43:127</t>
  </si>
  <si>
    <t>21:46:43:322</t>
  </si>
  <si>
    <t>21:46:43:522</t>
  </si>
  <si>
    <t>21:46:43:722</t>
  </si>
  <si>
    <t>21:46:43:923</t>
  </si>
  <si>
    <t>21:46:44:121</t>
  </si>
  <si>
    <t>21:46:44:322</t>
  </si>
  <si>
    <t>21:46:44:547</t>
  </si>
  <si>
    <t>21:46:44:726</t>
  </si>
  <si>
    <t>21:46:44:923</t>
  </si>
  <si>
    <t>21:46:45:122</t>
  </si>
  <si>
    <t>21:46:45:320</t>
  </si>
  <si>
    <t>21:46:45:523</t>
  </si>
  <si>
    <t>21:46:45:746</t>
  </si>
  <si>
    <t>21:46:45:926</t>
  </si>
  <si>
    <t>21:46:46:124</t>
  </si>
  <si>
    <t>21:46:46:319</t>
  </si>
  <si>
    <t>21:46:46:521</t>
  </si>
  <si>
    <t>21:46:46:723</t>
  </si>
  <si>
    <t>21:46:46:946</t>
  </si>
  <si>
    <t>21:46:47:121</t>
  </si>
  <si>
    <t>21:46:47:323</t>
  </si>
  <si>
    <t>21:46:47:523</t>
  </si>
  <si>
    <t>21:46:47:723</t>
  </si>
  <si>
    <t>21:46:47:923</t>
  </si>
  <si>
    <t>21:46:48:146</t>
  </si>
  <si>
    <t>21:46:48:327</t>
  </si>
  <si>
    <t>21:46:48:522</t>
  </si>
  <si>
    <t>21:46:48:721</t>
  </si>
  <si>
    <t>21:46:48:937</t>
  </si>
  <si>
    <t>21:46:49:122</t>
  </si>
  <si>
    <t>21:46:49:319</t>
  </si>
  <si>
    <t>21:46:49:518</t>
  </si>
  <si>
    <t>21:46:49:722</t>
  </si>
  <si>
    <t>21:46:49:947</t>
  </si>
  <si>
    <t>21:46:50:128</t>
  </si>
  <si>
    <t>21:46:50:325</t>
  </si>
  <si>
    <t>21:46:50:547</t>
  </si>
  <si>
    <t>21:46:50:726</t>
  </si>
  <si>
    <t>21:46:50:923</t>
  </si>
  <si>
    <t>21:46:51:123</t>
  </si>
  <si>
    <t>21:46:51:324</t>
  </si>
  <si>
    <t>21:46:51:521</t>
  </si>
  <si>
    <t>21:46:51:719</t>
  </si>
  <si>
    <t>21:46:51:920</t>
  </si>
  <si>
    <t>21:46:52:124</t>
  </si>
  <si>
    <t>21:46:52:323</t>
  </si>
  <si>
    <t>21:46:52:523</t>
  </si>
  <si>
    <t>21:46:52:722</t>
  </si>
  <si>
    <t>21:46:52:924</t>
  </si>
  <si>
    <t>21:46:53:127</t>
  </si>
  <si>
    <t>21:46:53:324</t>
  </si>
  <si>
    <t>21:46:53:525</t>
  </si>
  <si>
    <t>21:46:53:722</t>
  </si>
  <si>
    <t>21:46:53:924</t>
  </si>
  <si>
    <t>21:46:54:125</t>
  </si>
  <si>
    <t>21:46:54:391</t>
  </si>
  <si>
    <t>21:46:54:855</t>
  </si>
  <si>
    <t>21:46:55:155</t>
  </si>
  <si>
    <t>21:46:55:350</t>
  </si>
  <si>
    <t>21:46:55:524</t>
  </si>
  <si>
    <t>21:46:55:733</t>
  </si>
  <si>
    <t>21:46:55:927</t>
  </si>
  <si>
    <t>21:46:56:125</t>
  </si>
  <si>
    <t>21:46:56:324</t>
  </si>
  <si>
    <t>21:46:56:546</t>
  </si>
  <si>
    <t>21:46:56:722</t>
  </si>
  <si>
    <t>21:46:56:922</t>
  </si>
  <si>
    <t>21:46:57:122</t>
  </si>
  <si>
    <t>21:46:57:322</t>
  </si>
  <si>
    <t>21:46:57:519</t>
  </si>
  <si>
    <t>21:46:57:720</t>
  </si>
  <si>
    <t>21:46:57:922</t>
  </si>
  <si>
    <t>21:46:58:127</t>
  </si>
  <si>
    <t>21:46:58:347</t>
  </si>
  <si>
    <t>21:46:58:522</t>
  </si>
  <si>
    <t>21:46:58:722</t>
  </si>
  <si>
    <t>21:46:58:923</t>
  </si>
  <si>
    <t>21:46:59:120</t>
  </si>
  <si>
    <t>21:46:59:323</t>
  </si>
  <si>
    <t>21:46:59:550</t>
  </si>
  <si>
    <t>21:46:59:724</t>
  </si>
  <si>
    <t>21:46:59:922</t>
  </si>
  <si>
    <t>21:47:00:125</t>
  </si>
  <si>
    <t>21:47:00:324</t>
  </si>
  <si>
    <t>21:47:00:523</t>
  </si>
  <si>
    <t>21:47:00:747</t>
  </si>
  <si>
    <t>21:47:00:927</t>
  </si>
  <si>
    <t>21:47:01:124</t>
  </si>
  <si>
    <t>21:47:01:326</t>
  </si>
  <si>
    <t>21:47:01:536</t>
  </si>
  <si>
    <t>21:47:01:722</t>
  </si>
  <si>
    <t>21:47:01:947</t>
  </si>
  <si>
    <t>21:47:02:127</t>
  </si>
  <si>
    <t>21:47:02:323</t>
  </si>
  <si>
    <t>21:47:02:525</t>
  </si>
  <si>
    <t>21:47:02:723</t>
  </si>
  <si>
    <t>21:47:02:921</t>
  </si>
  <si>
    <t>21:47:03:122</t>
  </si>
  <si>
    <t>21:47:03:322</t>
  </si>
  <si>
    <t>21:47:03:523</t>
  </si>
  <si>
    <t>21:47:03:744</t>
  </si>
  <si>
    <t>21:47:03:927</t>
  </si>
  <si>
    <t>21:47:04:122</t>
  </si>
  <si>
    <t>21:47:04:325</t>
  </si>
  <si>
    <t>21:47:04:522</t>
  </si>
  <si>
    <t>21:47:04:722</t>
  </si>
  <si>
    <t>21:47:04:948</t>
  </si>
  <si>
    <t>21:47:05:127</t>
  </si>
  <si>
    <t>21:47:05:333</t>
  </si>
  <si>
    <t>21:47:05:523</t>
  </si>
  <si>
    <t>21:47:05:727</t>
  </si>
  <si>
    <t>21:47:05:925</t>
  </si>
  <si>
    <t>21:47:06:122</t>
  </si>
  <si>
    <t>21:47:06:320</t>
  </si>
  <si>
    <t>21:47:06:520</t>
  </si>
  <si>
    <t>21:47:06:747</t>
  </si>
  <si>
    <t>21:47:06:927</t>
  </si>
  <si>
    <t>21:47:07:127</t>
  </si>
  <si>
    <t>21:47:07:325</t>
  </si>
  <si>
    <t>21:47:07:519</t>
  </si>
  <si>
    <t>21:47:07:722</t>
  </si>
  <si>
    <t>21:47:07:926</t>
  </si>
  <si>
    <t>21:47:08:141</t>
  </si>
  <si>
    <t>21:47:08:321</t>
  </si>
  <si>
    <t>21:47:08:524</t>
  </si>
  <si>
    <t>21:47:08:724</t>
  </si>
  <si>
    <t>21:47:08:923</t>
  </si>
  <si>
    <t>21:47:09:148</t>
  </si>
  <si>
    <t>21:47:09:328</t>
  </si>
  <si>
    <t>21:47:09:519</t>
  </si>
  <si>
    <t>21:47:09:731</t>
  </si>
  <si>
    <t>21:47:09:921</t>
  </si>
  <si>
    <t>21:47:10:119</t>
  </si>
  <si>
    <t>21:47:10:347</t>
  </si>
  <si>
    <t>21:47:10:527</t>
  </si>
  <si>
    <t>21:47:10:722</t>
  </si>
  <si>
    <t>21:47:10:939</t>
  </si>
  <si>
    <t>21:47:11:122</t>
  </si>
  <si>
    <t>21:47:11:325</t>
  </si>
  <si>
    <t>21:47:11:547</t>
  </si>
  <si>
    <t>21:47:11:720</t>
  </si>
  <si>
    <t>21:47:11:923</t>
  </si>
  <si>
    <t>21:47:12:123</t>
  </si>
  <si>
    <t>21:47:12:321</t>
  </si>
  <si>
    <t>21:47:12:521</t>
  </si>
  <si>
    <t>21:47:12:725</t>
  </si>
  <si>
    <t>21:47:12:927</t>
  </si>
  <si>
    <t>21:47:13:124</t>
  </si>
  <si>
    <t>21:47:13:327</t>
  </si>
  <si>
    <t>21:47:13:528</t>
  </si>
  <si>
    <t>21:47:13:722</t>
  </si>
  <si>
    <t>21:47:13:950</t>
  </si>
  <si>
    <t>21:47:14:127</t>
  </si>
  <si>
    <t>21:47:14:323</t>
  </si>
  <si>
    <t>21:47:14:548</t>
  </si>
  <si>
    <t>21:47:14:723</t>
  </si>
  <si>
    <t>21:47:14:922</t>
  </si>
  <si>
    <t>21:47:15:147</t>
  </si>
  <si>
    <t>21:47:15:324</t>
  </si>
  <si>
    <t>21:47:15:527</t>
  </si>
  <si>
    <t>21:47:15:719</t>
  </si>
  <si>
    <t>21:47:15:922</t>
  </si>
  <si>
    <t>21:47:16:121</t>
  </si>
  <si>
    <t>21:47:16:347</t>
  </si>
  <si>
    <t>21:47:16:531</t>
  </si>
  <si>
    <t>21:47:16:724</t>
  </si>
  <si>
    <t>21:47:16:925</t>
  </si>
  <si>
    <t>21:47:17:126</t>
  </si>
  <si>
    <t>21:47:17:322</t>
  </si>
  <si>
    <t>21:47:17:526</t>
  </si>
  <si>
    <t>21:47:17:731</t>
  </si>
  <si>
    <t>21:47:17:927</t>
  </si>
  <si>
    <t>21:47:18:149</t>
  </si>
  <si>
    <t>21:47:18:327</t>
  </si>
  <si>
    <t>21:47:18:522</t>
  </si>
  <si>
    <t>21:47:18:724</t>
  </si>
  <si>
    <t>21:47:18:928</t>
  </si>
  <si>
    <t>21:47:19:122</t>
  </si>
  <si>
    <t>21:47:19:325</t>
  </si>
  <si>
    <t>21:47:19:526</t>
  </si>
  <si>
    <t>21:47:19:722</t>
  </si>
  <si>
    <t>21:47:19:931</t>
  </si>
  <si>
    <t>21:47:20:124</t>
  </si>
  <si>
    <t>21:47:20:322</t>
  </si>
  <si>
    <t>21:47:20:547</t>
  </si>
  <si>
    <t>21:47:20:724</t>
  </si>
  <si>
    <t>21:47:20:920</t>
  </si>
  <si>
    <t>21:47:21:124</t>
  </si>
  <si>
    <t>21:47:21:326</t>
  </si>
  <si>
    <t>21:47:21:522</t>
  </si>
  <si>
    <t>21:47:21:727</t>
  </si>
  <si>
    <t>21:47:21:930</t>
  </si>
  <si>
    <t>21:47:22:123</t>
  </si>
  <si>
    <t>21:47:22:347</t>
  </si>
  <si>
    <t>21:47:22:527</t>
  </si>
  <si>
    <t>21:47:22:722</t>
  </si>
  <si>
    <t>21:47:22:923</t>
  </si>
  <si>
    <t>21:47:23:123</t>
  </si>
  <si>
    <t>21:47:23:324</t>
  </si>
  <si>
    <t>21:47:23:525</t>
  </si>
  <si>
    <t>21:47:23:724</t>
  </si>
  <si>
    <t>21:47:23:923</t>
  </si>
  <si>
    <t>21:47:24:125</t>
  </si>
  <si>
    <t>21:47:24:320</t>
  </si>
  <si>
    <t>21:47:24:524</t>
  </si>
  <si>
    <t>21:47:24:757</t>
  </si>
  <si>
    <t>21:47:24:922</t>
  </si>
  <si>
    <t>21:47:25:125</t>
  </si>
  <si>
    <t>21:47:25:347</t>
  </si>
  <si>
    <t>21:47:25:524</t>
  </si>
  <si>
    <t>21:47:25:731</t>
  </si>
  <si>
    <t>21:47:25:923</t>
  </si>
  <si>
    <t>21:47:26:123</t>
  </si>
  <si>
    <t>21:47:26:333</t>
  </si>
  <si>
    <t>21:47:26:547</t>
  </si>
  <si>
    <t>21:47:26:727</t>
  </si>
  <si>
    <t>21:47:26:923</t>
  </si>
  <si>
    <t>21:47:27:123</t>
  </si>
  <si>
    <t>21:47:27:337</t>
  </si>
  <si>
    <t>21:47:27:525</t>
  </si>
  <si>
    <t>21:47:27:747</t>
  </si>
  <si>
    <t>21:47:27:923</t>
  </si>
  <si>
    <t>21:47:28:122</t>
  </si>
  <si>
    <t>21:47:28:344</t>
  </si>
  <si>
    <t>21:47:28:529</t>
  </si>
  <si>
    <t>21:47:28:724</t>
  </si>
  <si>
    <t>21:47:28:944</t>
  </si>
  <si>
    <t>21:47:29:127</t>
  </si>
  <si>
    <t>21:47:29:320</t>
  </si>
  <si>
    <t>21:47:29:524</t>
  </si>
  <si>
    <t>21:47:29:719</t>
  </si>
  <si>
    <t>21:47:29:925</t>
  </si>
  <si>
    <t>21:47:30:131</t>
  </si>
  <si>
    <t>21:47:30:326</t>
  </si>
  <si>
    <t>21:47:30:527</t>
  </si>
  <si>
    <t>21:47:30:744</t>
  </si>
  <si>
    <t>21:47:30:927</t>
  </si>
  <si>
    <t>21:47:31:123</t>
  </si>
  <si>
    <t>21:47:31:323</t>
  </si>
  <si>
    <t>21:47:31:528</t>
  </si>
  <si>
    <t>21:47:31:725</t>
  </si>
  <si>
    <t>21:47:31:922</t>
  </si>
  <si>
    <t>21:47:32:120</t>
  </si>
  <si>
    <t>21:47:32:319</t>
  </si>
  <si>
    <t>21:47:32:522</t>
  </si>
  <si>
    <t>21:47:32:722</t>
  </si>
  <si>
    <t>21:47:32:922</t>
  </si>
  <si>
    <t>21:47:33:123</t>
  </si>
  <si>
    <t>21:47:33:322</t>
  </si>
  <si>
    <t>21:47:33:520</t>
  </si>
  <si>
    <t>21:47:33:748</t>
  </si>
  <si>
    <t>21:47:33:920</t>
  </si>
  <si>
    <t>21:47:34:120</t>
  </si>
  <si>
    <t>21:47:34:350</t>
  </si>
  <si>
    <t>21:47:34:527</t>
  </si>
  <si>
    <t>21:47:34:723</t>
  </si>
  <si>
    <t>21:47:34:927</t>
  </si>
  <si>
    <t>21:47:35:134</t>
  </si>
  <si>
    <t>21:47:35:326</t>
  </si>
  <si>
    <t>21:47:35:523</t>
  </si>
  <si>
    <t>21:47:35:726</t>
  </si>
  <si>
    <t>21:47:35:925</t>
  </si>
  <si>
    <t>21:47:36:125</t>
  </si>
  <si>
    <t>21:47:36:327</t>
  </si>
  <si>
    <t>21:47:36:523</t>
  </si>
  <si>
    <t>21:47:36:721</t>
  </si>
  <si>
    <t>21:47:36:932</t>
  </si>
  <si>
    <t>21:47:37:122</t>
  </si>
  <si>
    <t>21:47:37:347</t>
  </si>
  <si>
    <t>21:47:37:524</t>
  </si>
  <si>
    <t>21:47:37:723</t>
  </si>
  <si>
    <t>21:47:37:922</t>
  </si>
  <si>
    <t>21:47:38:120</t>
  </si>
  <si>
    <t>21:47:38:324</t>
  </si>
  <si>
    <t>21:47:38:547</t>
  </si>
  <si>
    <t>21:47:38:733</t>
  </si>
  <si>
    <t>21:47:38:921</t>
  </si>
  <si>
    <t>21:47:39:129</t>
  </si>
  <si>
    <t>21:47:39:328</t>
  </si>
  <si>
    <t>21:47:39:523</t>
  </si>
  <si>
    <t>21:47:39:760</t>
  </si>
  <si>
    <t>21:47:40:244</t>
  </si>
  <si>
    <t>21:47:40:302</t>
  </si>
  <si>
    <t>21:47:40:380</t>
  </si>
  <si>
    <t>21:47:40:527</t>
  </si>
  <si>
    <t>21:47:40:723</t>
  </si>
  <si>
    <t>21:47:40:927</t>
  </si>
  <si>
    <t>21:47:41:126</t>
  </si>
  <si>
    <t>21:47:41:323</t>
  </si>
  <si>
    <t>21:47:41:547</t>
  </si>
  <si>
    <t>21:47:41:727</t>
  </si>
  <si>
    <t>21:47:41:924</t>
  </si>
  <si>
    <t>21:47:42:120</t>
  </si>
  <si>
    <t>21:47:42:322</t>
  </si>
  <si>
    <t>21:47:42:523</t>
  </si>
  <si>
    <t>21:47:42:742</t>
  </si>
  <si>
    <t>21:47:42:923</t>
  </si>
  <si>
    <t>21:47:43:125</t>
  </si>
  <si>
    <t>21:47:43:325</t>
  </si>
  <si>
    <t>21:47:43:527</t>
  </si>
  <si>
    <t>21:47:43:727</t>
  </si>
  <si>
    <t>21:47:43:924</t>
  </si>
  <si>
    <t>21:47:44:123</t>
  </si>
  <si>
    <t>21:47:44:326</t>
  </si>
  <si>
    <t>21:47:44:522</t>
  </si>
  <si>
    <t>21:47:44:726</t>
  </si>
  <si>
    <t>21:47:44:922</t>
  </si>
  <si>
    <t>21:47:45:123</t>
  </si>
  <si>
    <t>21:47:45:323</t>
  </si>
  <si>
    <t>21:47:45:520</t>
  </si>
  <si>
    <t>21:47:45:747</t>
  </si>
  <si>
    <t>21:47:45:927</t>
  </si>
  <si>
    <t>21:47:46:120</t>
  </si>
  <si>
    <t>21:47:46:326</t>
  </si>
  <si>
    <t>21:47:46:539</t>
  </si>
  <si>
    <t>21:47:46:733</t>
  </si>
  <si>
    <t>21:47:46:925</t>
  </si>
  <si>
    <t>21:47:47:128</t>
  </si>
  <si>
    <t>21:47:47:323</t>
  </si>
  <si>
    <t>21:47:47:547</t>
  </si>
  <si>
    <t>21:47:47:728</t>
  </si>
  <si>
    <t>21:47:47:924</t>
  </si>
  <si>
    <t>21:47:48:124</t>
  </si>
  <si>
    <t>21:47:48:324</t>
  </si>
  <si>
    <t>21:47:48:524</t>
  </si>
  <si>
    <t>21:47:48:747</t>
  </si>
  <si>
    <t>21:47:48:927</t>
  </si>
  <si>
    <t>21:47:49:123</t>
  </si>
  <si>
    <t>21:47:49:325</t>
  </si>
  <si>
    <t>21:47:49:521</t>
  </si>
  <si>
    <t>21:47:49:725</t>
  </si>
  <si>
    <t>21:47:49:919</t>
  </si>
  <si>
    <t>21:47:50:119</t>
  </si>
  <si>
    <t>21:47:50:320</t>
  </si>
  <si>
    <t>21:47:50:547</t>
  </si>
  <si>
    <t>21:47:50:727</t>
  </si>
  <si>
    <t>21:47:50:923</t>
  </si>
  <si>
    <t>21:47:51:123</t>
  </si>
  <si>
    <t>21:47:51:322</t>
  </si>
  <si>
    <t>21:47:51:524</t>
  </si>
  <si>
    <t>21:47:51:744</t>
  </si>
  <si>
    <t>21:47:51:928</t>
  </si>
  <si>
    <t>21:47:52:122</t>
  </si>
  <si>
    <t>21:47:52:325</t>
  </si>
  <si>
    <t>21:47:52:524</t>
  </si>
  <si>
    <t>21:47:52:723</t>
  </si>
  <si>
    <t>21:47:52:944</t>
  </si>
  <si>
    <t>21:47:53:124</t>
  </si>
  <si>
    <t>21:47:53:324</t>
  </si>
  <si>
    <t>21:47:53:547</t>
  </si>
  <si>
    <t>21:47:53:727</t>
  </si>
  <si>
    <t>21:47:53:921</t>
  </si>
  <si>
    <t>21:47:54:122</t>
  </si>
  <si>
    <t>21:47:54:388</t>
  </si>
  <si>
    <t>21:47:54:572</t>
  </si>
  <si>
    <t>21:47:54:858</t>
  </si>
  <si>
    <t>21:47:55:321</t>
  </si>
  <si>
    <t>21:47:55:527</t>
  </si>
  <si>
    <t>21:47:55:723</t>
  </si>
  <si>
    <t>21:47:55:925</t>
  </si>
  <si>
    <t>21:47:56:128</t>
  </si>
  <si>
    <t>21:47:56:323</t>
  </si>
  <si>
    <t>21:47:56:547</t>
  </si>
  <si>
    <t>21:47:56:724</t>
  </si>
  <si>
    <t>21:47:56:929</t>
  </si>
  <si>
    <t>21:47:57:119</t>
  </si>
  <si>
    <t>21:47:57:324</t>
  </si>
  <si>
    <t>21:47:57:525</t>
  </si>
  <si>
    <t>21:47:57:748</t>
  </si>
  <si>
    <t>21:47:57:924</t>
  </si>
  <si>
    <t>21:47:58:125</t>
  </si>
  <si>
    <t>21:47:58:327</t>
  </si>
  <si>
    <t>21:47:58:523</t>
  </si>
  <si>
    <t>21:47:58:722</t>
  </si>
  <si>
    <t>21:47:58:924</t>
  </si>
  <si>
    <t>21:47:59:127</t>
  </si>
  <si>
    <t>21:47:59:321</t>
  </si>
  <si>
    <t>21:47:59:523</t>
  </si>
  <si>
    <t>21:47:59:720</t>
  </si>
  <si>
    <t>21:47:59:921</t>
  </si>
  <si>
    <t>21:48:00:148</t>
  </si>
  <si>
    <t>21:48:00:328</t>
  </si>
  <si>
    <t>21:48:00:526</t>
  </si>
  <si>
    <t>21:48:00:729</t>
  </si>
  <si>
    <t>21:48:00:923</t>
  </si>
  <si>
    <t>21:48:01:125</t>
  </si>
  <si>
    <t>21:48:01:347</t>
  </si>
  <si>
    <t>21:48:01:527</t>
  </si>
  <si>
    <t>21:48:01:724</t>
  </si>
  <si>
    <t>21:48:01:947</t>
  </si>
  <si>
    <t>21:48:02:128</t>
  </si>
  <si>
    <t>21:48:02:322</t>
  </si>
  <si>
    <t>21:48:03:351</t>
  </si>
  <si>
    <t>21:48:03:403</t>
  </si>
  <si>
    <t>21:48:03:460</t>
  </si>
  <si>
    <t>21:48:03:536</t>
  </si>
  <si>
    <t>21:48:03:597</t>
  </si>
  <si>
    <t>21:48:03:677</t>
  </si>
  <si>
    <t>21:48:03:735</t>
  </si>
  <si>
    <t>21:48:03:923</t>
  </si>
  <si>
    <t>21:48:04:126</t>
  </si>
  <si>
    <t>21:48:04:347</t>
  </si>
  <si>
    <t>21:48:04:529</t>
  </si>
  <si>
    <t>21:48:04:724</t>
  </si>
  <si>
    <t>21:48:04:920</t>
  </si>
  <si>
    <t>21:48:05:121</t>
  </si>
  <si>
    <t>21:48:05:322</t>
  </si>
  <si>
    <t>21:48:05:548</t>
  </si>
  <si>
    <t>21:48:05:738</t>
  </si>
  <si>
    <t>21:48:05:923</t>
  </si>
  <si>
    <t>21:48:06:123</t>
  </si>
  <si>
    <t>21:48:06:322</t>
  </si>
  <si>
    <t>21:48:06:523</t>
  </si>
  <si>
    <t>21:48:06:741</t>
  </si>
  <si>
    <t>21:48:06:923</t>
  </si>
  <si>
    <t>21:48:07:126</t>
  </si>
  <si>
    <t>21:48:07:348</t>
  </si>
  <si>
    <t>21:48:07:526</t>
  </si>
  <si>
    <t>21:48:07:727</t>
  </si>
  <si>
    <t>21:48:07:920</t>
  </si>
  <si>
    <t>21:48:08:124</t>
  </si>
  <si>
    <t>21:48:08:325</t>
  </si>
  <si>
    <t>21:48:08:544</t>
  </si>
  <si>
    <t>21:48:08:724</t>
  </si>
  <si>
    <t>21:48:08:932</t>
  </si>
  <si>
    <t>21:48:09:127</t>
  </si>
  <si>
    <t>21:48:09:323</t>
  </si>
  <si>
    <t>21:48:09:520</t>
  </si>
  <si>
    <t>21:48:09:723</t>
  </si>
  <si>
    <t>21:48:09:923</t>
  </si>
  <si>
    <t>21:48:10:122</t>
  </si>
  <si>
    <t>21:48:10:321</t>
  </si>
  <si>
    <t>21:48:10:519</t>
  </si>
  <si>
    <t>21:48:10:726</t>
  </si>
  <si>
    <t>21:48:10:947</t>
  </si>
  <si>
    <t>21:48:11:127</t>
  </si>
  <si>
    <t>21:48:11:325</t>
  </si>
  <si>
    <t>21:48:11:527</t>
  </si>
  <si>
    <t>21:48:11:723</t>
  </si>
  <si>
    <t>21:48:11:924</t>
  </si>
  <si>
    <t>21:48:12:151</t>
  </si>
  <si>
    <t>21:48:12:327</t>
  </si>
  <si>
    <t>21:48:12:524</t>
  </si>
  <si>
    <t>21:48:12:723</t>
  </si>
  <si>
    <t>21:48:12:922</t>
  </si>
  <si>
    <t>21:48:13:126</t>
  </si>
  <si>
    <t>21:48:13:349</t>
  </si>
  <si>
    <t>21:48:13:520</t>
  </si>
  <si>
    <t>21:48:13:723</t>
  </si>
  <si>
    <t>21:48:13:926</t>
  </si>
  <si>
    <t>21:48:14:121</t>
  </si>
  <si>
    <t>21:48:14:326</t>
  </si>
  <si>
    <t>21:48:14:523</t>
  </si>
  <si>
    <t>21:48:14:724</t>
  </si>
  <si>
    <t>21:48:14:926</t>
  </si>
  <si>
    <t>21:48:15:147</t>
  </si>
  <si>
    <t>21:48:15:327</t>
  </si>
  <si>
    <t>21:48:15:522</t>
  </si>
  <si>
    <t>21:48:15:725</t>
  </si>
  <si>
    <t>21:48:15:920</t>
  </si>
  <si>
    <t>21:48:16:125</t>
  </si>
  <si>
    <t>21:48:16:324</t>
  </si>
  <si>
    <t>21:48:16:522</t>
  </si>
  <si>
    <t>21:48:16:726</t>
  </si>
  <si>
    <t>21:48:16:947</t>
  </si>
  <si>
    <t>21:48:17:122</t>
  </si>
  <si>
    <t>21:48:17:323</t>
  </si>
  <si>
    <t>21:48:17:523</t>
  </si>
  <si>
    <t>21:48:17:725</t>
  </si>
  <si>
    <t>21:48:17:924</t>
  </si>
  <si>
    <t>21:48:18:149</t>
  </si>
  <si>
    <t>21:48:18:327</t>
  </si>
  <si>
    <t>21:48:18:525</t>
  </si>
  <si>
    <t>21:48:18:729</t>
  </si>
  <si>
    <t>21:48:18:923</t>
  </si>
  <si>
    <t>21:48:19:126</t>
  </si>
  <si>
    <t>21:48:19:347</t>
  </si>
  <si>
    <t>21:48:19:527</t>
  </si>
  <si>
    <t>21:48:19:729</t>
  </si>
  <si>
    <t>21:48:19:922</t>
  </si>
  <si>
    <t>21:48:20:127</t>
  </si>
  <si>
    <t>21:48:20:324</t>
  </si>
  <si>
    <t>21:48:20:548</t>
  </si>
  <si>
    <t>21:48:20:729</t>
  </si>
  <si>
    <t>21:48:20:927</t>
  </si>
  <si>
    <t>21:48:21:145</t>
  </si>
  <si>
    <t>21:48:21:330</t>
  </si>
  <si>
    <t>21:48:21:522</t>
  </si>
  <si>
    <t>21:48:21:724</t>
  </si>
  <si>
    <t>21:48:21:925</t>
  </si>
  <si>
    <t>21:48:22:125</t>
  </si>
  <si>
    <t>21:48:22:326</t>
  </si>
  <si>
    <t>21:48:22:527</t>
  </si>
  <si>
    <t>21:48:22:727</t>
  </si>
  <si>
    <t>21:48:22:927</t>
  </si>
  <si>
    <t>21:48:23:122</t>
  </si>
  <si>
    <t>21:48:23:323</t>
  </si>
  <si>
    <t>21:48:23:548</t>
  </si>
  <si>
    <t>21:48:23:725</t>
  </si>
  <si>
    <t>21:48:23:927</t>
  </si>
  <si>
    <t>21:48:24:126</t>
  </si>
  <si>
    <t>21:48:24:325</t>
  </si>
  <si>
    <t>21:48:24:523</t>
  </si>
  <si>
    <t>21:48:24:726</t>
  </si>
  <si>
    <t>21:48:24:939</t>
  </si>
  <si>
    <t>21:48:25:123</t>
  </si>
  <si>
    <t>21:48:25:327</t>
  </si>
  <si>
    <t>21:48:25:530</t>
  </si>
  <si>
    <t>21:48:25:822</t>
  </si>
  <si>
    <t>21:48:25:949</t>
  </si>
  <si>
    <t>21:48:26:127</t>
  </si>
  <si>
    <t>21:48:26:327</t>
  </si>
  <si>
    <t>21:48:26:548</t>
  </si>
  <si>
    <t>21:48:26:728</t>
  </si>
  <si>
    <t>21:48:26:925</t>
  </si>
  <si>
    <t>21:48:27:123</t>
  </si>
  <si>
    <t>21:48:27:328</t>
  </si>
  <si>
    <t>21:48:27:526</t>
  </si>
  <si>
    <t>21:48:27:749</t>
  </si>
  <si>
    <t>21:48:27:928</t>
  </si>
  <si>
    <t>21:48:28:126</t>
  </si>
  <si>
    <t>21:48:28:327</t>
  </si>
  <si>
    <t>21:48:28:523</t>
  </si>
  <si>
    <t>21:48:28:724</t>
  </si>
  <si>
    <t>21:48:28:922</t>
  </si>
  <si>
    <t>21:48:29:126</t>
  </si>
  <si>
    <t>21:48:29:328</t>
  </si>
  <si>
    <t>21:48:29:552</t>
  </si>
  <si>
    <t>21:48:29:728</t>
  </si>
  <si>
    <t>21:48:29:924</t>
  </si>
  <si>
    <t>21:48:30:129</t>
  </si>
  <si>
    <t>21:48:30:327</t>
  </si>
  <si>
    <t>21:48:30:529</t>
  </si>
  <si>
    <t>21:48:30:723</t>
  </si>
  <si>
    <t>21:48:30:928</t>
  </si>
  <si>
    <t>21:48:31:127</t>
  </si>
  <si>
    <t>21:48:31:352</t>
  </si>
  <si>
    <t>21:48:31:525</t>
  </si>
  <si>
    <t>21:48:31:735</t>
  </si>
  <si>
    <t>21:48:31:925</t>
  </si>
  <si>
    <t>21:48:32:127</t>
  </si>
  <si>
    <t>21:48:32:321</t>
  </si>
  <si>
    <t>21:48:32:547</t>
  </si>
  <si>
    <t>21:48:32:723</t>
  </si>
  <si>
    <t>21:48:32:927</t>
  </si>
  <si>
    <t>21:48:33:124</t>
  </si>
  <si>
    <t>21:48:33:325</t>
  </si>
  <si>
    <t>21:48:33:529</t>
  </si>
  <si>
    <t>21:48:33:725</t>
  </si>
  <si>
    <t>21:48:33:928</t>
  </si>
  <si>
    <t>21:48:34:123</t>
  </si>
  <si>
    <t>21:48:34:327</t>
  </si>
  <si>
    <t>21:48:34:527</t>
  </si>
  <si>
    <t>21:48:34:730</t>
  </si>
  <si>
    <t>21:48:34:925</t>
  </si>
  <si>
    <t>21:48:35:127</t>
  </si>
  <si>
    <t>21:48:35:322</t>
  </si>
  <si>
    <t>21:48:35:548</t>
  </si>
  <si>
    <t>21:48:35:727</t>
  </si>
  <si>
    <t>21:48:35:926</t>
  </si>
  <si>
    <t>21:48:36:126</t>
  </si>
  <si>
    <t>21:48:36:327</t>
  </si>
  <si>
    <t>21:48:36:527</t>
  </si>
  <si>
    <t>21:48:36:727</t>
  </si>
  <si>
    <t>21:48:36:932</t>
  </si>
  <si>
    <t>21:48:37:127</t>
  </si>
  <si>
    <t>21:48:37:326</t>
  </si>
  <si>
    <t>21:48:37:527</t>
  </si>
  <si>
    <t>21:48:37:724</t>
  </si>
  <si>
    <t>21:48:37:947</t>
  </si>
  <si>
    <t>21:48:38:150</t>
  </si>
  <si>
    <t>21:48:38:372</t>
  </si>
  <si>
    <t>21:48:38:523</t>
  </si>
  <si>
    <t>21:48:38:730</t>
  </si>
  <si>
    <t>21:48:38:929</t>
  </si>
  <si>
    <t>21:48:39:129</t>
  </si>
  <si>
    <t>21:48:39:327</t>
  </si>
  <si>
    <t>21:48:39:528</t>
  </si>
  <si>
    <t>21:48:39:728</t>
  </si>
  <si>
    <t>21:48:39:928</t>
  </si>
  <si>
    <t>21:48:40:128</t>
  </si>
  <si>
    <t>21:48:40:326</t>
  </si>
  <si>
    <t>21:48:40:524</t>
  </si>
  <si>
    <t>21:48:40:726</t>
  </si>
  <si>
    <t>21:48:40:927</t>
  </si>
  <si>
    <t>21:48:41:131</t>
  </si>
  <si>
    <t>21:48:41:329</t>
  </si>
  <si>
    <t>21:48:41:559</t>
  </si>
  <si>
    <t>21:48:41:728</t>
  </si>
  <si>
    <t>21:48:41:927</t>
  </si>
  <si>
    <t>21:48:42:148</t>
  </si>
  <si>
    <t>21:48:42:328</t>
  </si>
  <si>
    <t>21:48:42:529</t>
  </si>
  <si>
    <t>21:48:42:726</t>
  </si>
  <si>
    <t>21:48:42:929</t>
  </si>
  <si>
    <t>21:48:43:131</t>
  </si>
  <si>
    <t>21:48:43:326</t>
  </si>
  <si>
    <t>21:48:43:526</t>
  </si>
  <si>
    <t>21:48:43:727</t>
  </si>
  <si>
    <t>21:48:43:952</t>
  </si>
  <si>
    <t>21:48:44:147</t>
  </si>
  <si>
    <t>21:48:44:325</t>
  </si>
  <si>
    <t>21:48:44:525</t>
  </si>
  <si>
    <t>21:48:44:728</t>
  </si>
  <si>
    <t>21:48:44:937</t>
  </si>
  <si>
    <t>21:48:45:123</t>
  </si>
  <si>
    <t>21:48:45:329</t>
  </si>
  <si>
    <t>21:48:45:529</t>
  </si>
  <si>
    <t>21:48:45:726</t>
  </si>
  <si>
    <t>21:48:45:928</t>
  </si>
  <si>
    <t>21:48:46:129</t>
  </si>
  <si>
    <t>21:48:46:326</t>
  </si>
  <si>
    <t>21:48:46:575</t>
  </si>
  <si>
    <t>21:48:46:728</t>
  </si>
  <si>
    <t>21:48:46:944</t>
  </si>
  <si>
    <t>21:48:47:132</t>
  </si>
  <si>
    <t>21:48:47:332</t>
  </si>
  <si>
    <t>21:48:47:531</t>
  </si>
  <si>
    <t>21:48:47:727</t>
  </si>
  <si>
    <t>21:48:47:924</t>
  </si>
  <si>
    <t>21:48:48:129</t>
  </si>
  <si>
    <t>21:48:48:329</t>
  </si>
  <si>
    <t>21:48:48:530</t>
  </si>
  <si>
    <t>21:48:48:748</t>
  </si>
  <si>
    <t>21:48:48:924</t>
  </si>
  <si>
    <t>21:48:49:126</t>
  </si>
  <si>
    <t>21:48:49:348</t>
  </si>
  <si>
    <t>21:48:49:529</t>
  </si>
  <si>
    <t>21:48:49:728</t>
  </si>
  <si>
    <t>21:48:49:927</t>
  </si>
  <si>
    <t>21:48:50:129</t>
  </si>
  <si>
    <t>21:48:50:325</t>
  </si>
  <si>
    <t>21:48:50:548</t>
  </si>
  <si>
    <t>21:48:50:728</t>
  </si>
  <si>
    <t>21:48:50:928</t>
  </si>
  <si>
    <t>21:48:51:132</t>
  </si>
  <si>
    <t>21:48:51:326</t>
  </si>
  <si>
    <t>21:48:51:529</t>
  </si>
  <si>
    <t>21:48:51:749</t>
  </si>
  <si>
    <t>21:48:51:931</t>
  </si>
  <si>
    <t>21:48:52:129</t>
  </si>
  <si>
    <t>21:48:52:328</t>
  </si>
  <si>
    <t>21:48:52:530</t>
  </si>
  <si>
    <t>21:48:52:729</t>
  </si>
  <si>
    <t>21:48:52:948</t>
  </si>
  <si>
    <t>21:48:53:129</t>
  </si>
  <si>
    <t>21:48:53:328</t>
  </si>
  <si>
    <t>21:48:53:548</t>
  </si>
  <si>
    <t>21:48:53:731</t>
  </si>
  <si>
    <t>21:48:53:930</t>
  </si>
  <si>
    <t>21:48:54:125</t>
  </si>
  <si>
    <t>21:48:54:389</t>
  </si>
  <si>
    <t>21:48:54:570</t>
  </si>
  <si>
    <t>21:48:55:056</t>
  </si>
  <si>
    <t>21:48:55:325</t>
  </si>
  <si>
    <t>21:48:55:530</t>
  </si>
  <si>
    <t>21:48:55:726</t>
  </si>
  <si>
    <t>21:48:55:948</t>
  </si>
  <si>
    <t>21:48:56:130</t>
  </si>
  <si>
    <t>21:48:56:328</t>
  </si>
  <si>
    <t>21:48:56:527</t>
  </si>
  <si>
    <t>21:48:56:730</t>
  </si>
  <si>
    <t>21:48:56:928</t>
  </si>
  <si>
    <t>21:48:57:138</t>
  </si>
  <si>
    <t>21:48:57:328</t>
  </si>
  <si>
    <t>21:48:57:531</t>
  </si>
  <si>
    <t>21:48:57:748</t>
  </si>
  <si>
    <t>21:48:57:929</t>
  </si>
  <si>
    <t>21:48:58:132</t>
  </si>
  <si>
    <t>21:48:58:326</t>
  </si>
  <si>
    <t>21:48:58:530</t>
  </si>
  <si>
    <t>21:48:58:731</t>
  </si>
  <si>
    <t>21:48:58:946</t>
  </si>
  <si>
    <t>21:48:59:131</t>
  </si>
  <si>
    <t>21:48:59:328</t>
  </si>
  <si>
    <t>21:48:59:530</t>
  </si>
  <si>
    <t>21:48:59:731</t>
  </si>
  <si>
    <t>21:48:59:934</t>
  </si>
  <si>
    <t>21:49:00:129</t>
  </si>
  <si>
    <t>21:49:00:389</t>
  </si>
  <si>
    <t>21:49:00:530</t>
  </si>
  <si>
    <t>21:49:00:761</t>
  </si>
  <si>
    <t>21:49:00:928</t>
  </si>
  <si>
    <t>21:49:01:131</t>
  </si>
  <si>
    <t>21:49:01:349</t>
  </si>
  <si>
    <t>21:49:01:532</t>
  </si>
  <si>
    <t>21:49:01:726</t>
  </si>
  <si>
    <t>21:49:01:928</t>
  </si>
  <si>
    <t>21:49:02:130</t>
  </si>
  <si>
    <t>21:49:02:328</t>
  </si>
  <si>
    <t>21:49:02:533</t>
  </si>
  <si>
    <t>21:49:02:727</t>
  </si>
  <si>
    <t>21:49:02:926</t>
  </si>
  <si>
    <t>21:49:03:131</t>
  </si>
  <si>
    <t>21:49:03:340</t>
  </si>
  <si>
    <t>21:49:03:525</t>
  </si>
  <si>
    <t>21:49:03:732</t>
  </si>
  <si>
    <t>21:49:03:929</t>
  </si>
  <si>
    <t>21:49:04:138</t>
  </si>
  <si>
    <t>21:49:04:330</t>
  </si>
  <si>
    <t>21:49:04:526</t>
  </si>
  <si>
    <t>21:49:04:731</t>
  </si>
  <si>
    <t>21:49:04:946</t>
  </si>
  <si>
    <t>21:49:05:129</t>
  </si>
  <si>
    <t>21:49:05:329</t>
  </si>
  <si>
    <t>21:49:05:529</t>
  </si>
  <si>
    <t>21:49:05:731</t>
  </si>
  <si>
    <t>21:49:05:928</t>
  </si>
  <si>
    <t>21:49:06:129</t>
  </si>
  <si>
    <t>21:49:06:329</t>
  </si>
  <si>
    <t>21:49:06:529</t>
  </si>
  <si>
    <t>21:49:06:732</t>
  </si>
  <si>
    <t>21:49:06:925</t>
  </si>
  <si>
    <t>21:49:07:129</t>
  </si>
  <si>
    <t>21:49:07:347</t>
  </si>
  <si>
    <t>21:49:07:528</t>
  </si>
  <si>
    <t>21:49:07:731</t>
  </si>
  <si>
    <t>21:49:07:925</t>
  </si>
  <si>
    <t>21:49:08:129</t>
  </si>
  <si>
    <t>21:49:08:332</t>
  </si>
  <si>
    <t>21:49:08:530</t>
  </si>
  <si>
    <t>21:49:08:731</t>
  </si>
  <si>
    <t>21:49:08:933</t>
  </si>
  <si>
    <t>21:49:09:137</t>
  </si>
  <si>
    <t>21:49:09:327</t>
  </si>
  <si>
    <t>21:49:09:531</t>
  </si>
  <si>
    <t>21:49:09:751</t>
  </si>
  <si>
    <t>21:49:09:935</t>
  </si>
  <si>
    <t>21:49:10:130</t>
  </si>
  <si>
    <t>21:49:10:330</t>
  </si>
  <si>
    <t>21:49:10:531</t>
  </si>
  <si>
    <t>21:49:10:730</t>
  </si>
  <si>
    <t>21:49:10:948</t>
  </si>
  <si>
    <t>21:49:11:131</t>
  </si>
  <si>
    <t>21:49:11:330</t>
  </si>
  <si>
    <t>21:49:11:529</t>
  </si>
  <si>
    <t>21:49:11:732</t>
  </si>
  <si>
    <t>21:49:11:933</t>
  </si>
  <si>
    <t>21:49:12:145</t>
  </si>
  <si>
    <t>21:49:12:328</t>
  </si>
  <si>
    <t>21:49:12:532</t>
  </si>
  <si>
    <t>21:49:12:731</t>
  </si>
  <si>
    <t>21:49:12:932</t>
  </si>
  <si>
    <t>21:49:13:127</t>
  </si>
  <si>
    <t>21:49:13:329</t>
  </si>
  <si>
    <t>21:49:13:541</t>
  </si>
  <si>
    <t>21:49:13:730</t>
  </si>
  <si>
    <t>21:49:13:949</t>
  </si>
  <si>
    <t>21:49:14:130</t>
  </si>
  <si>
    <t>21:49:14:330</t>
  </si>
  <si>
    <t>21:49:14:530</t>
  </si>
  <si>
    <t>21:49:14:730</t>
  </si>
  <si>
    <t>21:49:14:929</t>
  </si>
  <si>
    <t>21:49:15:131</t>
  </si>
  <si>
    <t>21:49:15:332</t>
  </si>
  <si>
    <t>21:49:15:529</t>
  </si>
  <si>
    <t>21:49:15:728</t>
  </si>
  <si>
    <t>21:49:15:929</t>
  </si>
  <si>
    <t>21:49:16:129</t>
  </si>
  <si>
    <t>21:49:16:326</t>
  </si>
  <si>
    <t>21:49:16:530</t>
  </si>
  <si>
    <t>21:49:16:731</t>
  </si>
  <si>
    <t>21:49:16:934</t>
  </si>
  <si>
    <t>21:49:17:131</t>
  </si>
  <si>
    <t>21:49:17:332</t>
  </si>
  <si>
    <t>21:49:17:549</t>
  </si>
  <si>
    <t>21:49:17:731</t>
  </si>
  <si>
    <t>21:49:17:929</t>
  </si>
  <si>
    <t>21:49:18:131</t>
  </si>
  <si>
    <t>21:49:18:328</t>
  </si>
  <si>
    <t>21:49:18:528</t>
  </si>
  <si>
    <t>21:49:18:735</t>
  </si>
  <si>
    <t>21:49:18:931</t>
  </si>
  <si>
    <t>21:49:19:128</t>
  </si>
  <si>
    <t>21:49:19:349</t>
  </si>
  <si>
    <t>21:49:19:533</t>
  </si>
  <si>
    <t>21:49:19:733</t>
  </si>
  <si>
    <t>21:49:19:934</t>
  </si>
  <si>
    <t>21:49:20:129</t>
  </si>
  <si>
    <t>21:49:20:330</t>
  </si>
  <si>
    <t>21:49:20:546</t>
  </si>
  <si>
    <t>21:49:20:730</t>
  </si>
  <si>
    <t>21:49:20:934</t>
  </si>
  <si>
    <t>21:49:21:134</t>
  </si>
  <si>
    <t>21:49:21:332</t>
  </si>
  <si>
    <t>21:49:21:530</t>
  </si>
  <si>
    <t>21:49:21:732</t>
  </si>
  <si>
    <t>21:49:21:933</t>
  </si>
  <si>
    <t>21:49:22:128</t>
  </si>
  <si>
    <t>21:49:22:331</t>
  </si>
  <si>
    <t>21:49:22:540</t>
  </si>
  <si>
    <t>21:49:22:732</t>
  </si>
  <si>
    <t>21:49:22:932</t>
  </si>
  <si>
    <t>21:49:23:132</t>
  </si>
  <si>
    <t>21:49:23:328</t>
  </si>
  <si>
    <t>21:49:23:548</t>
  </si>
  <si>
    <t>21:49:23:732</t>
  </si>
  <si>
    <t>21:49:23:932</t>
  </si>
  <si>
    <t>21:49:24:150</t>
  </si>
  <si>
    <t>21:49:24:330</t>
  </si>
  <si>
    <t>21:49:24:532</t>
  </si>
  <si>
    <t>21:49:24:729</t>
  </si>
  <si>
    <t>21:49:24:931</t>
  </si>
  <si>
    <t>21:49:25:132</t>
  </si>
  <si>
    <t>21:49:25:330</t>
  </si>
  <si>
    <t>21:49:25:527</t>
  </si>
  <si>
    <t>21:49:25:731</t>
  </si>
  <si>
    <t>21:49:25:930</t>
  </si>
  <si>
    <t>21:49:26:127</t>
  </si>
  <si>
    <t>21:49:26:330</t>
  </si>
  <si>
    <t>21:49:26:532</t>
  </si>
  <si>
    <t>21:49:26:732</t>
  </si>
  <si>
    <t>21:49:26:930</t>
  </si>
  <si>
    <t>21:49:27:144</t>
  </si>
  <si>
    <t>21:49:27:328</t>
  </si>
  <si>
    <t>21:49:27:568</t>
  </si>
  <si>
    <t>21:49:27:732</t>
  </si>
  <si>
    <t>21:49:27:933</t>
  </si>
  <si>
    <t>21:49:28:129</t>
  </si>
  <si>
    <t>21:49:28:348</t>
  </si>
  <si>
    <t>21:49:28:534</t>
  </si>
  <si>
    <t>21:49:28:727</t>
  </si>
  <si>
    <t>21:49:28:953</t>
  </si>
  <si>
    <t>21:49:29:128</t>
  </si>
  <si>
    <t>21:49:29:328</t>
  </si>
  <si>
    <t>21:49:29:548</t>
  </si>
  <si>
    <t>21:49:29:734</t>
  </si>
  <si>
    <t>21:49:29:932</t>
  </si>
  <si>
    <t>21:49:30:133</t>
  </si>
  <si>
    <t>21:49:30:334</t>
  </si>
  <si>
    <t>21:49:30:531</t>
  </si>
  <si>
    <t>21:49:30:733</t>
  </si>
  <si>
    <t>21:49:30:932</t>
  </si>
  <si>
    <t>21:49:31:131</t>
  </si>
  <si>
    <t>21:49:31:334</t>
  </si>
  <si>
    <t>21:49:31:537</t>
  </si>
  <si>
    <t>21:49:31:730</t>
  </si>
  <si>
    <t>21:49:31:931</t>
  </si>
  <si>
    <t>21:49:32:133</t>
  </si>
  <si>
    <t>21:49:32:331</t>
  </si>
  <si>
    <t>21:49:32:531</t>
  </si>
  <si>
    <t>21:49:32:731</t>
  </si>
  <si>
    <t>21:49:32:932</t>
  </si>
  <si>
    <t>21:49:33:131</t>
  </si>
  <si>
    <t>21:49:33:333</t>
  </si>
  <si>
    <t>21:49:33:531</t>
  </si>
  <si>
    <t>21:49:33:734</t>
  </si>
  <si>
    <t>21:49:33:936</t>
  </si>
  <si>
    <t>21:49:34:137</t>
  </si>
  <si>
    <t>21:49:34:354</t>
  </si>
  <si>
    <t>21:49:34:532</t>
  </si>
  <si>
    <t>21:49:34:733</t>
  </si>
  <si>
    <t>21:49:34:932</t>
  </si>
  <si>
    <t>21:49:35:128</t>
  </si>
  <si>
    <t>21:49:35:334</t>
  </si>
  <si>
    <t>21:49:35:548</t>
  </si>
  <si>
    <t>21:49:35:728</t>
  </si>
  <si>
    <t>21:49:35:933</t>
  </si>
  <si>
    <t>21:49:36:148</t>
  </si>
  <si>
    <t>21:49:36:331</t>
  </si>
  <si>
    <t>21:49:36:543</t>
  </si>
  <si>
    <t>21:49:36:736</t>
  </si>
  <si>
    <t>21:49:36:934</t>
  </si>
  <si>
    <t>21:49:37:134</t>
  </si>
  <si>
    <t>21:49:37:346</t>
  </si>
  <si>
    <t>21:49:37:531</t>
  </si>
  <si>
    <t>21:49:37:728</t>
  </si>
  <si>
    <t>21:49:37:929</t>
  </si>
  <si>
    <t>21:49:38:131</t>
  </si>
  <si>
    <t>21:49:38:336</t>
  </si>
  <si>
    <t>21:49:38:533</t>
  </si>
  <si>
    <t>21:49:38:732</t>
  </si>
  <si>
    <t>21:49:38:933</t>
  </si>
  <si>
    <t>21:49:39:156</t>
  </si>
  <si>
    <t>21:49:39:856</t>
  </si>
  <si>
    <t>21:49:39:906</t>
  </si>
  <si>
    <t>21:49:39:978</t>
  </si>
  <si>
    <t>21:49:40:041</t>
  </si>
  <si>
    <t>21:49:40:129</t>
  </si>
  <si>
    <t>21:49:40:348</t>
  </si>
  <si>
    <t>21:49:40:532</t>
  </si>
  <si>
    <t>21:49:40:729</t>
  </si>
  <si>
    <t>21:49:40:933</t>
  </si>
  <si>
    <t>21:49:41:133</t>
  </si>
  <si>
    <t>21:49:41:368</t>
  </si>
  <si>
    <t>21:49:41:548</t>
  </si>
  <si>
    <t>21:49:41:731</t>
  </si>
  <si>
    <t>21:49:41:931</t>
  </si>
  <si>
    <t>21:49:42:132</t>
  </si>
  <si>
    <t>21:49:42:334</t>
  </si>
  <si>
    <t>21:49:42:536</t>
  </si>
  <si>
    <t>21:49:42:754</t>
  </si>
  <si>
    <t>21:49:42:929</t>
  </si>
  <si>
    <t>21:49:43:133</t>
  </si>
  <si>
    <t>21:49:43:349</t>
  </si>
  <si>
    <t>21:49:43:532</t>
  </si>
  <si>
    <t>21:49:43:734</t>
  </si>
  <si>
    <t>21:49:43:932</t>
  </si>
  <si>
    <t>21:49:44:129</t>
  </si>
  <si>
    <t>21:49:44:332</t>
  </si>
  <si>
    <t>21:49:44:549</t>
  </si>
  <si>
    <t>21:49:44:732</t>
  </si>
  <si>
    <t>21:49:44:935</t>
  </si>
  <si>
    <t>21:49:45:149</t>
  </si>
  <si>
    <t>21:49:45:336</t>
  </si>
  <si>
    <t>21:49:45:534</t>
  </si>
  <si>
    <t>21:49:45:736</t>
  </si>
  <si>
    <t>21:49:45:935</t>
  </si>
  <si>
    <t>21:49:46:136</t>
  </si>
  <si>
    <t>21:49:46:348</t>
  </si>
  <si>
    <t>21:49:46:530</t>
  </si>
  <si>
    <t>21:49:46:730</t>
  </si>
  <si>
    <t>21:49:46:937</t>
  </si>
  <si>
    <t>21:49:47:136</t>
  </si>
  <si>
    <t>21:49:47:331</t>
  </si>
  <si>
    <t>21:49:47:552</t>
  </si>
  <si>
    <t>21:49:47:734</t>
  </si>
  <si>
    <t>21:49:47:934</t>
  </si>
  <si>
    <t>21:49:48:148</t>
  </si>
  <si>
    <t>21:49:48:338</t>
  </si>
  <si>
    <t>21:49:48:536</t>
  </si>
  <si>
    <t>21:49:48:748</t>
  </si>
  <si>
    <t>21:49:48:934</t>
  </si>
  <si>
    <t>21:49:49:135</t>
  </si>
  <si>
    <t>21:49:49:331</t>
  </si>
  <si>
    <t>21:49:49:536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</si>
</sst>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164.79949999999999</c:v>
                </c:pt>
                <c:pt idx="1">
                  <c:v>164.99879999999999</c:v>
                </c:pt>
                <c:pt idx="2">
                  <c:v>165.1994</c:v>
                </c:pt>
                <c:pt idx="3">
                  <c:v>165.40119999999999</c:v>
                </c:pt>
                <c:pt idx="4">
                  <c:v>165.59950000000001</c:v>
                </c:pt>
                <c:pt idx="5">
                  <c:v>165.80009999999999</c:v>
                </c:pt>
                <c:pt idx="6">
                  <c:v>166.00020000000001</c:v>
                </c:pt>
                <c:pt idx="7">
                  <c:v>166.20079999999999</c:v>
                </c:pt>
                <c:pt idx="8">
                  <c:v>166.3997</c:v>
                </c:pt>
                <c:pt idx="9">
                  <c:v>166.59979999999999</c:v>
                </c:pt>
                <c:pt idx="10">
                  <c:v>166.80160000000001</c:v>
                </c:pt>
                <c:pt idx="11">
                  <c:v>166.99979999999999</c:v>
                </c:pt>
                <c:pt idx="12">
                  <c:v>167.19880000000001</c:v>
                </c:pt>
                <c:pt idx="13">
                  <c:v>167.40090000000001</c:v>
                </c:pt>
                <c:pt idx="14">
                  <c:v>167.5993</c:v>
                </c:pt>
                <c:pt idx="15">
                  <c:v>167.80099999999999</c:v>
                </c:pt>
                <c:pt idx="16">
                  <c:v>168.001</c:v>
                </c:pt>
                <c:pt idx="17">
                  <c:v>168.1995</c:v>
                </c:pt>
                <c:pt idx="18">
                  <c:v>168.3997</c:v>
                </c:pt>
                <c:pt idx="19">
                  <c:v>168.59899999999999</c:v>
                </c:pt>
                <c:pt idx="20">
                  <c:v>168.8015</c:v>
                </c:pt>
                <c:pt idx="21">
                  <c:v>168.99870000000001</c:v>
                </c:pt>
                <c:pt idx="22">
                  <c:v>169.19900000000001</c:v>
                </c:pt>
                <c:pt idx="23">
                  <c:v>169.4</c:v>
                </c:pt>
                <c:pt idx="24">
                  <c:v>169.6003</c:v>
                </c:pt>
                <c:pt idx="25">
                  <c:v>169.7998</c:v>
                </c:pt>
                <c:pt idx="26">
                  <c:v>170.00129999999999</c:v>
                </c:pt>
                <c:pt idx="27">
                  <c:v>170.1996</c:v>
                </c:pt>
                <c:pt idx="28">
                  <c:v>170.40100000000001</c:v>
                </c:pt>
                <c:pt idx="29">
                  <c:v>170.60050000000001</c:v>
                </c:pt>
                <c:pt idx="30">
                  <c:v>170.80009999999999</c:v>
                </c:pt>
                <c:pt idx="31">
                  <c:v>171.00110000000001</c:v>
                </c:pt>
                <c:pt idx="32">
                  <c:v>171.19890000000001</c:v>
                </c:pt>
                <c:pt idx="33">
                  <c:v>171.3989</c:v>
                </c:pt>
                <c:pt idx="34">
                  <c:v>171.60339999999999</c:v>
                </c:pt>
                <c:pt idx="35">
                  <c:v>171.79849999999999</c:v>
                </c:pt>
                <c:pt idx="36">
                  <c:v>171.99969999999999</c:v>
                </c:pt>
                <c:pt idx="37">
                  <c:v>172.1986</c:v>
                </c:pt>
                <c:pt idx="38">
                  <c:v>172.39850000000001</c:v>
                </c:pt>
                <c:pt idx="39">
                  <c:v>172.59960000000001</c:v>
                </c:pt>
                <c:pt idx="40">
                  <c:v>172.80019999999999</c:v>
                </c:pt>
                <c:pt idx="41">
                  <c:v>172.99879999999999</c:v>
                </c:pt>
                <c:pt idx="42">
                  <c:v>173.2</c:v>
                </c:pt>
                <c:pt idx="43">
                  <c:v>173.4008</c:v>
                </c:pt>
                <c:pt idx="44">
                  <c:v>173.59870000000001</c:v>
                </c:pt>
                <c:pt idx="45">
                  <c:v>173.79929999999999</c:v>
                </c:pt>
                <c:pt idx="46">
                  <c:v>173.99950000000001</c:v>
                </c:pt>
                <c:pt idx="47">
                  <c:v>174.19990000000001</c:v>
                </c:pt>
                <c:pt idx="48">
                  <c:v>174.39850000000001</c:v>
                </c:pt>
                <c:pt idx="49">
                  <c:v>174.59899999999999</c:v>
                </c:pt>
                <c:pt idx="50">
                  <c:v>174.80019999999999</c:v>
                </c:pt>
                <c:pt idx="51">
                  <c:v>174.9992</c:v>
                </c:pt>
                <c:pt idx="52">
                  <c:v>175.2003</c:v>
                </c:pt>
                <c:pt idx="53">
                  <c:v>175.39920000000001</c:v>
                </c:pt>
                <c:pt idx="54">
                  <c:v>175.59989999999999</c:v>
                </c:pt>
                <c:pt idx="55">
                  <c:v>175.7997</c:v>
                </c:pt>
                <c:pt idx="56">
                  <c:v>175.99930000000001</c:v>
                </c:pt>
                <c:pt idx="57">
                  <c:v>176.2003</c:v>
                </c:pt>
                <c:pt idx="58">
                  <c:v>176.4008</c:v>
                </c:pt>
                <c:pt idx="59">
                  <c:v>176.5993</c:v>
                </c:pt>
                <c:pt idx="60">
                  <c:v>176.80119999999999</c:v>
                </c:pt>
                <c:pt idx="61">
                  <c:v>177.00020000000001</c:v>
                </c:pt>
                <c:pt idx="62">
                  <c:v>177.20079999999999</c:v>
                </c:pt>
                <c:pt idx="63">
                  <c:v>177.39920000000001</c:v>
                </c:pt>
                <c:pt idx="64">
                  <c:v>177.60040000000001</c:v>
                </c:pt>
                <c:pt idx="65">
                  <c:v>177.79929999999999</c:v>
                </c:pt>
                <c:pt idx="66">
                  <c:v>177.99950000000001</c:v>
                </c:pt>
                <c:pt idx="67">
                  <c:v>178.1996</c:v>
                </c:pt>
                <c:pt idx="68">
                  <c:v>178.4006</c:v>
                </c:pt>
                <c:pt idx="69">
                  <c:v>178.60169999999999</c:v>
                </c:pt>
                <c:pt idx="70">
                  <c:v>178.7996</c:v>
                </c:pt>
                <c:pt idx="71">
                  <c:v>178.99860000000001</c:v>
                </c:pt>
                <c:pt idx="72">
                  <c:v>179.1995</c:v>
                </c:pt>
                <c:pt idx="73">
                  <c:v>179.3989</c:v>
                </c:pt>
                <c:pt idx="74">
                  <c:v>179.59950000000001</c:v>
                </c:pt>
                <c:pt idx="75">
                  <c:v>179.79849999999999</c:v>
                </c:pt>
                <c:pt idx="76">
                  <c:v>179.9992</c:v>
                </c:pt>
                <c:pt idx="77">
                  <c:v>180.19909999999999</c:v>
                </c:pt>
                <c:pt idx="78">
                  <c:v>180.40170000000001</c:v>
                </c:pt>
                <c:pt idx="79">
                  <c:v>180.60169999999999</c:v>
                </c:pt>
                <c:pt idx="80">
                  <c:v>180.79990000000001</c:v>
                </c:pt>
                <c:pt idx="81">
                  <c:v>180.99930000000001</c:v>
                </c:pt>
                <c:pt idx="82">
                  <c:v>181.19990000000001</c:v>
                </c:pt>
                <c:pt idx="83">
                  <c:v>181.4</c:v>
                </c:pt>
                <c:pt idx="84">
                  <c:v>181.6009</c:v>
                </c:pt>
                <c:pt idx="85">
                  <c:v>181.80029999999999</c:v>
                </c:pt>
                <c:pt idx="86">
                  <c:v>181.99979999999999</c:v>
                </c:pt>
                <c:pt idx="87">
                  <c:v>182.19839999999999</c:v>
                </c:pt>
                <c:pt idx="88">
                  <c:v>182.40110000000001</c:v>
                </c:pt>
                <c:pt idx="89">
                  <c:v>182.59989999999999</c:v>
                </c:pt>
                <c:pt idx="90">
                  <c:v>182.80019999999999</c:v>
                </c:pt>
                <c:pt idx="91">
                  <c:v>182.99979999999999</c:v>
                </c:pt>
                <c:pt idx="92">
                  <c:v>183.2012</c:v>
                </c:pt>
                <c:pt idx="93">
                  <c:v>183.4015</c:v>
                </c:pt>
                <c:pt idx="94">
                  <c:v>183.60079999999999</c:v>
                </c:pt>
                <c:pt idx="95">
                  <c:v>183.8005</c:v>
                </c:pt>
                <c:pt idx="96">
                  <c:v>183.9984</c:v>
                </c:pt>
                <c:pt idx="97">
                  <c:v>184.20099999999999</c:v>
                </c:pt>
                <c:pt idx="98">
                  <c:v>184.3989</c:v>
                </c:pt>
                <c:pt idx="99">
                  <c:v>184.60079999999999</c:v>
                </c:pt>
                <c:pt idx="100">
                  <c:v>184.7988</c:v>
                </c:pt>
                <c:pt idx="101">
                  <c:v>184.999</c:v>
                </c:pt>
                <c:pt idx="102">
                  <c:v>185.60069999999999</c:v>
                </c:pt>
                <c:pt idx="103">
                  <c:v>185.80099999999999</c:v>
                </c:pt>
                <c:pt idx="104">
                  <c:v>186.00049999999999</c:v>
                </c:pt>
                <c:pt idx="105">
                  <c:v>186.19929999999999</c:v>
                </c:pt>
                <c:pt idx="106">
                  <c:v>186.39930000000001</c:v>
                </c:pt>
                <c:pt idx="107">
                  <c:v>186.6003</c:v>
                </c:pt>
                <c:pt idx="108">
                  <c:v>186.79839999999999</c:v>
                </c:pt>
                <c:pt idx="109">
                  <c:v>186.99850000000001</c:v>
                </c:pt>
                <c:pt idx="110">
                  <c:v>187.1986</c:v>
                </c:pt>
                <c:pt idx="111">
                  <c:v>187.39920000000001</c:v>
                </c:pt>
                <c:pt idx="112">
                  <c:v>187.6003</c:v>
                </c:pt>
                <c:pt idx="113">
                  <c:v>187.7987</c:v>
                </c:pt>
                <c:pt idx="114">
                  <c:v>187.99959999999999</c:v>
                </c:pt>
                <c:pt idx="115">
                  <c:v>188.1995</c:v>
                </c:pt>
                <c:pt idx="116">
                  <c:v>188.39930000000001</c:v>
                </c:pt>
                <c:pt idx="117">
                  <c:v>188.5986</c:v>
                </c:pt>
                <c:pt idx="118">
                  <c:v>188.8005</c:v>
                </c:pt>
                <c:pt idx="119">
                  <c:v>188.9991</c:v>
                </c:pt>
                <c:pt idx="120">
                  <c:v>189.19900000000001</c:v>
                </c:pt>
                <c:pt idx="121">
                  <c:v>189.40020000000001</c:v>
                </c:pt>
                <c:pt idx="122">
                  <c:v>189.59950000000001</c:v>
                </c:pt>
                <c:pt idx="123">
                  <c:v>189.80289999999999</c:v>
                </c:pt>
                <c:pt idx="124">
                  <c:v>189.9983</c:v>
                </c:pt>
                <c:pt idx="125">
                  <c:v>190.2</c:v>
                </c:pt>
                <c:pt idx="126">
                  <c:v>190.39920000000001</c:v>
                </c:pt>
                <c:pt idx="127">
                  <c:v>190.59950000000001</c:v>
                </c:pt>
                <c:pt idx="128">
                  <c:v>190.79900000000001</c:v>
                </c:pt>
                <c:pt idx="129">
                  <c:v>191.00030000000001</c:v>
                </c:pt>
                <c:pt idx="130">
                  <c:v>191.2004</c:v>
                </c:pt>
                <c:pt idx="131">
                  <c:v>191.40020000000001</c:v>
                </c:pt>
                <c:pt idx="132">
                  <c:v>191.60140000000001</c:v>
                </c:pt>
                <c:pt idx="133">
                  <c:v>191.8005</c:v>
                </c:pt>
                <c:pt idx="134">
                  <c:v>191.999</c:v>
                </c:pt>
                <c:pt idx="135">
                  <c:v>192.1996</c:v>
                </c:pt>
                <c:pt idx="136">
                  <c:v>192.40029999999999</c:v>
                </c:pt>
                <c:pt idx="137">
                  <c:v>192.6</c:v>
                </c:pt>
                <c:pt idx="138">
                  <c:v>192.8015</c:v>
                </c:pt>
                <c:pt idx="139">
                  <c:v>192.9984</c:v>
                </c:pt>
                <c:pt idx="140">
                  <c:v>193.1985</c:v>
                </c:pt>
                <c:pt idx="141">
                  <c:v>193.39879999999999</c:v>
                </c:pt>
                <c:pt idx="142">
                  <c:v>193.59829999999999</c:v>
                </c:pt>
                <c:pt idx="143">
                  <c:v>193.79849999999999</c:v>
                </c:pt>
                <c:pt idx="144">
                  <c:v>193.9982</c:v>
                </c:pt>
                <c:pt idx="145">
                  <c:v>194.19890000000001</c:v>
                </c:pt>
                <c:pt idx="146">
                  <c:v>194.39869999999999</c:v>
                </c:pt>
                <c:pt idx="147">
                  <c:v>194.60040000000001</c:v>
                </c:pt>
                <c:pt idx="148">
                  <c:v>194.7989</c:v>
                </c:pt>
                <c:pt idx="149">
                  <c:v>194.99959999999999</c:v>
                </c:pt>
                <c:pt idx="150">
                  <c:v>195.19890000000001</c:v>
                </c:pt>
                <c:pt idx="151">
                  <c:v>195.40119999999999</c:v>
                </c:pt>
                <c:pt idx="152">
                  <c:v>195.60929999999999</c:v>
                </c:pt>
                <c:pt idx="153">
                  <c:v>195.80009999999999</c:v>
                </c:pt>
                <c:pt idx="154">
                  <c:v>196.0009</c:v>
                </c:pt>
                <c:pt idx="155">
                  <c:v>196.20140000000001</c:v>
                </c:pt>
                <c:pt idx="156">
                  <c:v>196.40119999999999</c:v>
                </c:pt>
                <c:pt idx="157">
                  <c:v>196.59970000000001</c:v>
                </c:pt>
                <c:pt idx="158">
                  <c:v>196.79949999999999</c:v>
                </c:pt>
                <c:pt idx="159">
                  <c:v>197.00020000000001</c:v>
                </c:pt>
                <c:pt idx="160">
                  <c:v>197.2011</c:v>
                </c:pt>
                <c:pt idx="161">
                  <c:v>197.4006</c:v>
                </c:pt>
                <c:pt idx="162">
                  <c:v>197.6011</c:v>
                </c:pt>
                <c:pt idx="163">
                  <c:v>197.79859999999999</c:v>
                </c:pt>
                <c:pt idx="164">
                  <c:v>198.0008</c:v>
                </c:pt>
                <c:pt idx="165">
                  <c:v>198.20099999999999</c:v>
                </c:pt>
                <c:pt idx="166">
                  <c:v>198.39949999999999</c:v>
                </c:pt>
                <c:pt idx="167">
                  <c:v>198.5985</c:v>
                </c:pt>
                <c:pt idx="168">
                  <c:v>198.79949999999999</c:v>
                </c:pt>
                <c:pt idx="169">
                  <c:v>198.99930000000001</c:v>
                </c:pt>
                <c:pt idx="170">
                  <c:v>199.1985</c:v>
                </c:pt>
                <c:pt idx="171">
                  <c:v>199.39959999999999</c:v>
                </c:pt>
                <c:pt idx="172">
                  <c:v>199.5985</c:v>
                </c:pt>
                <c:pt idx="173">
                  <c:v>199.79849999999999</c:v>
                </c:pt>
                <c:pt idx="174">
                  <c:v>199.9982</c:v>
                </c:pt>
                <c:pt idx="175">
                  <c:v>200.19990000000001</c:v>
                </c:pt>
                <c:pt idx="176">
                  <c:v>200.39920000000001</c:v>
                </c:pt>
                <c:pt idx="177">
                  <c:v>200.60130000000001</c:v>
                </c:pt>
                <c:pt idx="178">
                  <c:v>200.7988</c:v>
                </c:pt>
                <c:pt idx="179">
                  <c:v>200.9982</c:v>
                </c:pt>
                <c:pt idx="180">
                  <c:v>201.19820000000001</c:v>
                </c:pt>
                <c:pt idx="181">
                  <c:v>201.39920000000001</c:v>
                </c:pt>
                <c:pt idx="182">
                  <c:v>201.59960000000001</c:v>
                </c:pt>
                <c:pt idx="183">
                  <c:v>201.8004</c:v>
                </c:pt>
                <c:pt idx="184">
                  <c:v>201.99969999999999</c:v>
                </c:pt>
                <c:pt idx="185">
                  <c:v>202.19929999999999</c:v>
                </c:pt>
                <c:pt idx="186">
                  <c:v>202.39940000000001</c:v>
                </c:pt>
                <c:pt idx="187">
                  <c:v>202.59989999999999</c:v>
                </c:pt>
                <c:pt idx="188">
                  <c:v>202.80090000000001</c:v>
                </c:pt>
                <c:pt idx="189">
                  <c:v>203.001</c:v>
                </c:pt>
                <c:pt idx="190">
                  <c:v>203.19970000000001</c:v>
                </c:pt>
                <c:pt idx="191">
                  <c:v>203.40020000000001</c:v>
                </c:pt>
                <c:pt idx="192">
                  <c:v>203.60050000000001</c:v>
                </c:pt>
                <c:pt idx="193">
                  <c:v>203.80090000000001</c:v>
                </c:pt>
                <c:pt idx="194">
                  <c:v>203.99860000000001</c:v>
                </c:pt>
                <c:pt idx="195">
                  <c:v>204.19880000000001</c:v>
                </c:pt>
                <c:pt idx="196">
                  <c:v>204.4</c:v>
                </c:pt>
                <c:pt idx="197">
                  <c:v>204.59870000000001</c:v>
                </c:pt>
                <c:pt idx="198">
                  <c:v>204.79839999999999</c:v>
                </c:pt>
                <c:pt idx="199">
                  <c:v>204.999</c:v>
                </c:pt>
                <c:pt idx="200">
                  <c:v>205.20060000000001</c:v>
                </c:pt>
                <c:pt idx="201">
                  <c:v>205.40039999999999</c:v>
                </c:pt>
                <c:pt idx="202">
                  <c:v>205.59899999999999</c:v>
                </c:pt>
                <c:pt idx="203">
                  <c:v>205.8014</c:v>
                </c:pt>
                <c:pt idx="204">
                  <c:v>205.9984</c:v>
                </c:pt>
                <c:pt idx="205">
                  <c:v>206.1987</c:v>
                </c:pt>
                <c:pt idx="206">
                  <c:v>206.40010000000001</c:v>
                </c:pt>
                <c:pt idx="207">
                  <c:v>206.59960000000001</c:v>
                </c:pt>
                <c:pt idx="208">
                  <c:v>206.8006</c:v>
                </c:pt>
                <c:pt idx="209">
                  <c:v>206.99969999999999</c:v>
                </c:pt>
                <c:pt idx="210">
                  <c:v>207.20089999999999</c:v>
                </c:pt>
                <c:pt idx="211">
                  <c:v>207.399</c:v>
                </c:pt>
                <c:pt idx="212">
                  <c:v>207.59809999999999</c:v>
                </c:pt>
                <c:pt idx="213">
                  <c:v>207.80109999999999</c:v>
                </c:pt>
                <c:pt idx="214">
                  <c:v>208.00059999999999</c:v>
                </c:pt>
                <c:pt idx="215">
                  <c:v>208.1987</c:v>
                </c:pt>
                <c:pt idx="216">
                  <c:v>208.40029999999999</c:v>
                </c:pt>
                <c:pt idx="217">
                  <c:v>208.6002</c:v>
                </c:pt>
                <c:pt idx="218">
                  <c:v>208.80019999999999</c:v>
                </c:pt>
                <c:pt idx="219">
                  <c:v>209.00030000000001</c:v>
                </c:pt>
                <c:pt idx="220">
                  <c:v>209.19839999999999</c:v>
                </c:pt>
                <c:pt idx="221">
                  <c:v>209.3982</c:v>
                </c:pt>
                <c:pt idx="222">
                  <c:v>209.60079999999999</c:v>
                </c:pt>
                <c:pt idx="223">
                  <c:v>209.80240000000001</c:v>
                </c:pt>
                <c:pt idx="224">
                  <c:v>209.9982</c:v>
                </c:pt>
                <c:pt idx="225">
                  <c:v>210.20150000000001</c:v>
                </c:pt>
                <c:pt idx="226">
                  <c:v>210.4006</c:v>
                </c:pt>
                <c:pt idx="227">
                  <c:v>210.6001</c:v>
                </c:pt>
                <c:pt idx="228">
                  <c:v>210.79910000000001</c:v>
                </c:pt>
                <c:pt idx="229">
                  <c:v>211.00020000000001</c:v>
                </c:pt>
                <c:pt idx="230">
                  <c:v>211.19919999999999</c:v>
                </c:pt>
                <c:pt idx="231">
                  <c:v>211.3997</c:v>
                </c:pt>
                <c:pt idx="232">
                  <c:v>211.6011</c:v>
                </c:pt>
                <c:pt idx="233">
                  <c:v>211.79820000000001</c:v>
                </c:pt>
                <c:pt idx="234">
                  <c:v>212.00319999999999</c:v>
                </c:pt>
                <c:pt idx="235">
                  <c:v>212.20070000000001</c:v>
                </c:pt>
                <c:pt idx="236">
                  <c:v>212.399</c:v>
                </c:pt>
                <c:pt idx="237">
                  <c:v>212.60040000000001</c:v>
                </c:pt>
                <c:pt idx="238">
                  <c:v>212.79839999999999</c:v>
                </c:pt>
                <c:pt idx="239">
                  <c:v>212.99969999999999</c:v>
                </c:pt>
                <c:pt idx="240">
                  <c:v>213.1979</c:v>
                </c:pt>
                <c:pt idx="241">
                  <c:v>213.39930000000001</c:v>
                </c:pt>
                <c:pt idx="242">
                  <c:v>213.5994</c:v>
                </c:pt>
                <c:pt idx="243">
                  <c:v>213.8006</c:v>
                </c:pt>
                <c:pt idx="244">
                  <c:v>213.9983</c:v>
                </c:pt>
                <c:pt idx="245">
                  <c:v>214.19890000000001</c:v>
                </c:pt>
                <c:pt idx="246">
                  <c:v>214.40020000000001</c:v>
                </c:pt>
                <c:pt idx="247">
                  <c:v>214.5992</c:v>
                </c:pt>
                <c:pt idx="248">
                  <c:v>214.79820000000001</c:v>
                </c:pt>
                <c:pt idx="249">
                  <c:v>215</c:v>
                </c:pt>
                <c:pt idx="250">
                  <c:v>215.1996</c:v>
                </c:pt>
                <c:pt idx="251">
                  <c:v>215.40049999999999</c:v>
                </c:pt>
                <c:pt idx="252">
                  <c:v>215.59880000000001</c:v>
                </c:pt>
                <c:pt idx="253">
                  <c:v>215.8005</c:v>
                </c:pt>
                <c:pt idx="254">
                  <c:v>216.00659999999999</c:v>
                </c:pt>
                <c:pt idx="255">
                  <c:v>216.1987</c:v>
                </c:pt>
                <c:pt idx="256">
                  <c:v>216.39879999999999</c:v>
                </c:pt>
                <c:pt idx="257">
                  <c:v>216.5984</c:v>
                </c:pt>
                <c:pt idx="258">
                  <c:v>216.79900000000001</c:v>
                </c:pt>
                <c:pt idx="259">
                  <c:v>217.00030000000001</c:v>
                </c:pt>
                <c:pt idx="260">
                  <c:v>217.1994</c:v>
                </c:pt>
                <c:pt idx="261">
                  <c:v>217.39920000000001</c:v>
                </c:pt>
                <c:pt idx="262">
                  <c:v>217.6003</c:v>
                </c:pt>
                <c:pt idx="263">
                  <c:v>217.79839999999999</c:v>
                </c:pt>
                <c:pt idx="264">
                  <c:v>218.00030000000001</c:v>
                </c:pt>
                <c:pt idx="265">
                  <c:v>218.1996</c:v>
                </c:pt>
                <c:pt idx="266">
                  <c:v>218.3982</c:v>
                </c:pt>
                <c:pt idx="267">
                  <c:v>218.5993</c:v>
                </c:pt>
                <c:pt idx="268">
                  <c:v>218.7997</c:v>
                </c:pt>
                <c:pt idx="269">
                  <c:v>218.99979999999999</c:v>
                </c:pt>
                <c:pt idx="270">
                  <c:v>219.1978</c:v>
                </c:pt>
                <c:pt idx="271">
                  <c:v>219.39940000000001</c:v>
                </c:pt>
                <c:pt idx="272">
                  <c:v>219.59909999999999</c:v>
                </c:pt>
                <c:pt idx="273">
                  <c:v>219.7997</c:v>
                </c:pt>
                <c:pt idx="274">
                  <c:v>219.99799999999999</c:v>
                </c:pt>
                <c:pt idx="275">
                  <c:v>220.1987</c:v>
                </c:pt>
                <c:pt idx="276">
                  <c:v>220.40029999999999</c:v>
                </c:pt>
                <c:pt idx="277">
                  <c:v>220.59970000000001</c:v>
                </c:pt>
                <c:pt idx="278">
                  <c:v>220.80080000000001</c:v>
                </c:pt>
                <c:pt idx="279">
                  <c:v>221.00040000000001</c:v>
                </c:pt>
                <c:pt idx="280">
                  <c:v>221.19929999999999</c:v>
                </c:pt>
                <c:pt idx="281">
                  <c:v>221.39959999999999</c:v>
                </c:pt>
                <c:pt idx="282">
                  <c:v>221.5992</c:v>
                </c:pt>
                <c:pt idx="283">
                  <c:v>221.80009999999999</c:v>
                </c:pt>
                <c:pt idx="284">
                  <c:v>222.0009</c:v>
                </c:pt>
                <c:pt idx="285">
                  <c:v>222.1979</c:v>
                </c:pt>
                <c:pt idx="286">
                  <c:v>222.39859999999999</c:v>
                </c:pt>
                <c:pt idx="287">
                  <c:v>222.5984</c:v>
                </c:pt>
                <c:pt idx="288">
                  <c:v>222.7978</c:v>
                </c:pt>
                <c:pt idx="289">
                  <c:v>222.9983</c:v>
                </c:pt>
                <c:pt idx="290">
                  <c:v>223.2003</c:v>
                </c:pt>
                <c:pt idx="291">
                  <c:v>223.39920000000001</c:v>
                </c:pt>
                <c:pt idx="292">
                  <c:v>223.59790000000001</c:v>
                </c:pt>
                <c:pt idx="293">
                  <c:v>223.7987</c:v>
                </c:pt>
                <c:pt idx="294">
                  <c:v>224</c:v>
                </c:pt>
                <c:pt idx="295">
                  <c:v>224.19890000000001</c:v>
                </c:pt>
                <c:pt idx="296">
                  <c:v>224.39959999999999</c:v>
                </c:pt>
                <c:pt idx="297">
                  <c:v>224.59809999999999</c:v>
                </c:pt>
                <c:pt idx="298">
                  <c:v>224.7978</c:v>
                </c:pt>
                <c:pt idx="299">
                  <c:v>224.99870000000001</c:v>
                </c:pt>
                <c:pt idx="300">
                  <c:v>225.20009999999999</c:v>
                </c:pt>
                <c:pt idx="301">
                  <c:v>225.39940000000001</c:v>
                </c:pt>
                <c:pt idx="302">
                  <c:v>225.5986</c:v>
                </c:pt>
                <c:pt idx="303">
                  <c:v>225.798</c:v>
                </c:pt>
                <c:pt idx="304">
                  <c:v>226.00040000000001</c:v>
                </c:pt>
                <c:pt idx="305">
                  <c:v>226.19990000000001</c:v>
                </c:pt>
                <c:pt idx="306">
                  <c:v>226.3998</c:v>
                </c:pt>
                <c:pt idx="307">
                  <c:v>226.59870000000001</c:v>
                </c:pt>
                <c:pt idx="308">
                  <c:v>226.79859999999999</c:v>
                </c:pt>
                <c:pt idx="309">
                  <c:v>226.99979999999999</c:v>
                </c:pt>
                <c:pt idx="310">
                  <c:v>227.20699999999999</c:v>
                </c:pt>
                <c:pt idx="311">
                  <c:v>227.398</c:v>
                </c:pt>
                <c:pt idx="312">
                  <c:v>227.59780000000001</c:v>
                </c:pt>
                <c:pt idx="313">
                  <c:v>227.80009999999999</c:v>
                </c:pt>
                <c:pt idx="314">
                  <c:v>227.9991</c:v>
                </c:pt>
                <c:pt idx="315">
                  <c:v>228.2002</c:v>
                </c:pt>
                <c:pt idx="316">
                  <c:v>228.39930000000001</c:v>
                </c:pt>
                <c:pt idx="317">
                  <c:v>228.59950000000001</c:v>
                </c:pt>
                <c:pt idx="318">
                  <c:v>228.80029999999999</c:v>
                </c:pt>
                <c:pt idx="319">
                  <c:v>229.0026</c:v>
                </c:pt>
                <c:pt idx="320">
                  <c:v>229.1996</c:v>
                </c:pt>
                <c:pt idx="321">
                  <c:v>229.3998</c:v>
                </c:pt>
                <c:pt idx="322">
                  <c:v>229.6001</c:v>
                </c:pt>
                <c:pt idx="323">
                  <c:v>229.798</c:v>
                </c:pt>
                <c:pt idx="324">
                  <c:v>230</c:v>
                </c:pt>
                <c:pt idx="325">
                  <c:v>230.19919999999999</c:v>
                </c:pt>
                <c:pt idx="326">
                  <c:v>230.399</c:v>
                </c:pt>
                <c:pt idx="327">
                  <c:v>230.59950000000001</c:v>
                </c:pt>
                <c:pt idx="328">
                  <c:v>230.7989</c:v>
                </c:pt>
                <c:pt idx="329">
                  <c:v>230.99860000000001</c:v>
                </c:pt>
                <c:pt idx="330">
                  <c:v>231.1996</c:v>
                </c:pt>
                <c:pt idx="331">
                  <c:v>231.40010000000001</c:v>
                </c:pt>
                <c:pt idx="332">
                  <c:v>231.5992</c:v>
                </c:pt>
                <c:pt idx="333">
                  <c:v>231.80019999999999</c:v>
                </c:pt>
                <c:pt idx="334">
                  <c:v>231.99959999999999</c:v>
                </c:pt>
                <c:pt idx="335">
                  <c:v>232.19929999999999</c:v>
                </c:pt>
                <c:pt idx="336">
                  <c:v>232.39830000000001</c:v>
                </c:pt>
                <c:pt idx="337">
                  <c:v>232.60040000000001</c:v>
                </c:pt>
                <c:pt idx="338">
                  <c:v>232.7987</c:v>
                </c:pt>
                <c:pt idx="339">
                  <c:v>232.9991</c:v>
                </c:pt>
                <c:pt idx="340">
                  <c:v>233.19839999999999</c:v>
                </c:pt>
                <c:pt idx="341">
                  <c:v>233.39769999999999</c:v>
                </c:pt>
                <c:pt idx="342">
                  <c:v>233.59790000000001</c:v>
                </c:pt>
                <c:pt idx="343">
                  <c:v>233.79830000000001</c:v>
                </c:pt>
                <c:pt idx="344">
                  <c:v>234.0027</c:v>
                </c:pt>
                <c:pt idx="345">
                  <c:v>234.20009999999999</c:v>
                </c:pt>
                <c:pt idx="346">
                  <c:v>234.399</c:v>
                </c:pt>
                <c:pt idx="347">
                  <c:v>234.60040000000001</c:v>
                </c:pt>
                <c:pt idx="348">
                  <c:v>234.80029999999999</c:v>
                </c:pt>
                <c:pt idx="349">
                  <c:v>235.00149999999999</c:v>
                </c:pt>
                <c:pt idx="350">
                  <c:v>235.19829999999999</c:v>
                </c:pt>
                <c:pt idx="351">
                  <c:v>235.39830000000001</c:v>
                </c:pt>
                <c:pt idx="352">
                  <c:v>235.59909999999999</c:v>
                </c:pt>
                <c:pt idx="353">
                  <c:v>235.79830000000001</c:v>
                </c:pt>
                <c:pt idx="354">
                  <c:v>235.9999</c:v>
                </c:pt>
                <c:pt idx="355">
                  <c:v>236.2013</c:v>
                </c:pt>
                <c:pt idx="356">
                  <c:v>236.39830000000001</c:v>
                </c:pt>
                <c:pt idx="357">
                  <c:v>236.6003</c:v>
                </c:pt>
                <c:pt idx="358">
                  <c:v>236.79839999999999</c:v>
                </c:pt>
                <c:pt idx="359">
                  <c:v>237.00059999999999</c:v>
                </c:pt>
                <c:pt idx="360">
                  <c:v>237.2002</c:v>
                </c:pt>
                <c:pt idx="361">
                  <c:v>237.3991</c:v>
                </c:pt>
                <c:pt idx="362">
                  <c:v>237.59889999999999</c:v>
                </c:pt>
                <c:pt idx="363">
                  <c:v>237.79990000000001</c:v>
                </c:pt>
                <c:pt idx="364">
                  <c:v>237.99770000000001</c:v>
                </c:pt>
                <c:pt idx="365">
                  <c:v>238.19890000000001</c:v>
                </c:pt>
                <c:pt idx="366">
                  <c:v>238.39830000000001</c:v>
                </c:pt>
                <c:pt idx="367">
                  <c:v>238.5992</c:v>
                </c:pt>
                <c:pt idx="368">
                  <c:v>238.7988</c:v>
                </c:pt>
                <c:pt idx="369">
                  <c:v>238.99950000000001</c:v>
                </c:pt>
                <c:pt idx="370">
                  <c:v>239.2002</c:v>
                </c:pt>
                <c:pt idx="371">
                  <c:v>239.39850000000001</c:v>
                </c:pt>
                <c:pt idx="372">
                  <c:v>239.59970000000001</c:v>
                </c:pt>
                <c:pt idx="373">
                  <c:v>239.79900000000001</c:v>
                </c:pt>
                <c:pt idx="374">
                  <c:v>239.9975</c:v>
                </c:pt>
                <c:pt idx="375">
                  <c:v>240.19800000000001</c:v>
                </c:pt>
                <c:pt idx="376">
                  <c:v>240.398</c:v>
                </c:pt>
                <c:pt idx="377">
                  <c:v>240.5984</c:v>
                </c:pt>
                <c:pt idx="378">
                  <c:v>240.7979</c:v>
                </c:pt>
                <c:pt idx="379">
                  <c:v>240.99809999999999</c:v>
                </c:pt>
                <c:pt idx="380">
                  <c:v>241.19749999999999</c:v>
                </c:pt>
                <c:pt idx="381">
                  <c:v>241.39779999999999</c:v>
                </c:pt>
                <c:pt idx="382">
                  <c:v>241.5977</c:v>
                </c:pt>
                <c:pt idx="383">
                  <c:v>241.7988</c:v>
                </c:pt>
                <c:pt idx="384">
                  <c:v>241.99799999999999</c:v>
                </c:pt>
                <c:pt idx="385">
                  <c:v>242.2002</c:v>
                </c:pt>
                <c:pt idx="386">
                  <c:v>242.39760000000001</c:v>
                </c:pt>
                <c:pt idx="387">
                  <c:v>242.60069999999999</c:v>
                </c:pt>
                <c:pt idx="388">
                  <c:v>242.7997</c:v>
                </c:pt>
                <c:pt idx="389">
                  <c:v>242.99870000000001</c:v>
                </c:pt>
                <c:pt idx="390">
                  <c:v>243.20050000000001</c:v>
                </c:pt>
                <c:pt idx="391">
                  <c:v>243.39859999999999</c:v>
                </c:pt>
                <c:pt idx="392">
                  <c:v>243.59880000000001</c:v>
                </c:pt>
                <c:pt idx="393">
                  <c:v>243.80019999999999</c:v>
                </c:pt>
                <c:pt idx="394">
                  <c:v>243.99850000000001</c:v>
                </c:pt>
                <c:pt idx="395">
                  <c:v>244.1987</c:v>
                </c:pt>
                <c:pt idx="396">
                  <c:v>244.4</c:v>
                </c:pt>
                <c:pt idx="397">
                  <c:v>244.59790000000001</c:v>
                </c:pt>
                <c:pt idx="398">
                  <c:v>244.7979</c:v>
                </c:pt>
                <c:pt idx="399">
                  <c:v>244.99799999999999</c:v>
                </c:pt>
                <c:pt idx="400">
                  <c:v>245.5975</c:v>
                </c:pt>
                <c:pt idx="401">
                  <c:v>245.7989</c:v>
                </c:pt>
                <c:pt idx="402">
                  <c:v>245.99770000000001</c:v>
                </c:pt>
                <c:pt idx="403">
                  <c:v>246.1977</c:v>
                </c:pt>
                <c:pt idx="404">
                  <c:v>246.4006</c:v>
                </c:pt>
                <c:pt idx="405">
                  <c:v>246.59870000000001</c:v>
                </c:pt>
                <c:pt idx="406">
                  <c:v>246.79750000000001</c:v>
                </c:pt>
                <c:pt idx="407">
                  <c:v>246.99760000000001</c:v>
                </c:pt>
                <c:pt idx="408">
                  <c:v>247.1996</c:v>
                </c:pt>
                <c:pt idx="409">
                  <c:v>247.39750000000001</c:v>
                </c:pt>
                <c:pt idx="410">
                  <c:v>247.59889999999999</c:v>
                </c:pt>
                <c:pt idx="411">
                  <c:v>247.79990000000001</c:v>
                </c:pt>
                <c:pt idx="412">
                  <c:v>247.99770000000001</c:v>
                </c:pt>
                <c:pt idx="413">
                  <c:v>248.19900000000001</c:v>
                </c:pt>
                <c:pt idx="414">
                  <c:v>248.40020000000001</c:v>
                </c:pt>
                <c:pt idx="415">
                  <c:v>248.59909999999999</c:v>
                </c:pt>
                <c:pt idx="416">
                  <c:v>248.80080000000001</c:v>
                </c:pt>
                <c:pt idx="417">
                  <c:v>248.999</c:v>
                </c:pt>
                <c:pt idx="418">
                  <c:v>249.19929999999999</c:v>
                </c:pt>
                <c:pt idx="419">
                  <c:v>249.39920000000001</c:v>
                </c:pt>
                <c:pt idx="420">
                  <c:v>249.59960000000001</c:v>
                </c:pt>
                <c:pt idx="421">
                  <c:v>249.79830000000001</c:v>
                </c:pt>
                <c:pt idx="422">
                  <c:v>249.9975</c:v>
                </c:pt>
                <c:pt idx="423">
                  <c:v>250.1987</c:v>
                </c:pt>
                <c:pt idx="424">
                  <c:v>250.40100000000001</c:v>
                </c:pt>
                <c:pt idx="425">
                  <c:v>250.5992</c:v>
                </c:pt>
                <c:pt idx="426">
                  <c:v>250.7997</c:v>
                </c:pt>
                <c:pt idx="427">
                  <c:v>250.999</c:v>
                </c:pt>
                <c:pt idx="428">
                  <c:v>251.1986</c:v>
                </c:pt>
                <c:pt idx="429">
                  <c:v>251.39959999999999</c:v>
                </c:pt>
                <c:pt idx="430">
                  <c:v>251.5975</c:v>
                </c:pt>
                <c:pt idx="431">
                  <c:v>251.79920000000001</c:v>
                </c:pt>
                <c:pt idx="432">
                  <c:v>251.99780000000001</c:v>
                </c:pt>
                <c:pt idx="433">
                  <c:v>252.19919999999999</c:v>
                </c:pt>
                <c:pt idx="434">
                  <c:v>252.3991</c:v>
                </c:pt>
                <c:pt idx="435">
                  <c:v>252.5993</c:v>
                </c:pt>
                <c:pt idx="436">
                  <c:v>252.80009999999999</c:v>
                </c:pt>
                <c:pt idx="437">
                  <c:v>253.00040000000001</c:v>
                </c:pt>
                <c:pt idx="438">
                  <c:v>253.19739999999999</c:v>
                </c:pt>
                <c:pt idx="439">
                  <c:v>253.39949999999999</c:v>
                </c:pt>
                <c:pt idx="440">
                  <c:v>253.59819999999999</c:v>
                </c:pt>
                <c:pt idx="441">
                  <c:v>253.7979</c:v>
                </c:pt>
                <c:pt idx="442">
                  <c:v>253.9991</c:v>
                </c:pt>
                <c:pt idx="443">
                  <c:v>254.1986</c:v>
                </c:pt>
                <c:pt idx="444">
                  <c:v>254.40039999999999</c:v>
                </c:pt>
                <c:pt idx="445">
                  <c:v>254.59780000000001</c:v>
                </c:pt>
                <c:pt idx="446">
                  <c:v>254.79949999999999</c:v>
                </c:pt>
                <c:pt idx="447">
                  <c:v>254.99799999999999</c:v>
                </c:pt>
                <c:pt idx="448">
                  <c:v>255.19800000000001</c:v>
                </c:pt>
                <c:pt idx="449">
                  <c:v>255.3989</c:v>
                </c:pt>
                <c:pt idx="450">
                  <c:v>255.59739999999999</c:v>
                </c:pt>
                <c:pt idx="451">
                  <c:v>255.79769999999999</c:v>
                </c:pt>
                <c:pt idx="452">
                  <c:v>255.9999</c:v>
                </c:pt>
                <c:pt idx="453">
                  <c:v>256.1977</c:v>
                </c:pt>
                <c:pt idx="454">
                  <c:v>256.39789999999999</c:v>
                </c:pt>
                <c:pt idx="455">
                  <c:v>256.59730000000002</c:v>
                </c:pt>
                <c:pt idx="456">
                  <c:v>256.79820000000001</c:v>
                </c:pt>
                <c:pt idx="457">
                  <c:v>256.99880000000002</c:v>
                </c:pt>
                <c:pt idx="458">
                  <c:v>257.19760000000002</c:v>
                </c:pt>
                <c:pt idx="459">
                  <c:v>257.40010000000001</c:v>
                </c:pt>
                <c:pt idx="460">
                  <c:v>257.59820000000002</c:v>
                </c:pt>
                <c:pt idx="461">
                  <c:v>257.7998</c:v>
                </c:pt>
                <c:pt idx="462">
                  <c:v>258.00080000000003</c:v>
                </c:pt>
                <c:pt idx="463">
                  <c:v>258.1977</c:v>
                </c:pt>
                <c:pt idx="464">
                  <c:v>258.39909999999998</c:v>
                </c:pt>
                <c:pt idx="465">
                  <c:v>258.59739999999999</c:v>
                </c:pt>
                <c:pt idx="466">
                  <c:v>258.79969999999997</c:v>
                </c:pt>
                <c:pt idx="467">
                  <c:v>258.99849999999998</c:v>
                </c:pt>
                <c:pt idx="468">
                  <c:v>259.20100000000002</c:v>
                </c:pt>
                <c:pt idx="469">
                  <c:v>259.39830000000001</c:v>
                </c:pt>
                <c:pt idx="470">
                  <c:v>259.60070000000002</c:v>
                </c:pt>
                <c:pt idx="471">
                  <c:v>259.79790000000003</c:v>
                </c:pt>
                <c:pt idx="472">
                  <c:v>259.99799999999999</c:v>
                </c:pt>
                <c:pt idx="473">
                  <c:v>260.19779999999997</c:v>
                </c:pt>
                <c:pt idx="474">
                  <c:v>260.39949999999999</c:v>
                </c:pt>
                <c:pt idx="475">
                  <c:v>260.59899999999999</c:v>
                </c:pt>
                <c:pt idx="476">
                  <c:v>260.79750000000001</c:v>
                </c:pt>
                <c:pt idx="477">
                  <c:v>260.9991</c:v>
                </c:pt>
                <c:pt idx="478">
                  <c:v>261.19929999999999</c:v>
                </c:pt>
                <c:pt idx="479">
                  <c:v>261.39949999999999</c:v>
                </c:pt>
                <c:pt idx="480">
                  <c:v>261.59960000000001</c:v>
                </c:pt>
                <c:pt idx="481">
                  <c:v>261.7998</c:v>
                </c:pt>
                <c:pt idx="482">
                  <c:v>261.99919999999997</c:v>
                </c:pt>
                <c:pt idx="483">
                  <c:v>262.19830000000002</c:v>
                </c:pt>
                <c:pt idx="484">
                  <c:v>262.39879999999999</c:v>
                </c:pt>
                <c:pt idx="485">
                  <c:v>262.59789999999998</c:v>
                </c:pt>
                <c:pt idx="486">
                  <c:v>262.80020000000002</c:v>
                </c:pt>
                <c:pt idx="487">
                  <c:v>262.99799999999999</c:v>
                </c:pt>
                <c:pt idx="488">
                  <c:v>263.1979</c:v>
                </c:pt>
                <c:pt idx="489">
                  <c:v>263.39999999999998</c:v>
                </c:pt>
                <c:pt idx="490">
                  <c:v>263.59769999999997</c:v>
                </c:pt>
                <c:pt idx="491">
                  <c:v>263.7978</c:v>
                </c:pt>
                <c:pt idx="492">
                  <c:v>263.99799999999999</c:v>
                </c:pt>
                <c:pt idx="493">
                  <c:v>264.20049999999998</c:v>
                </c:pt>
                <c:pt idx="494">
                  <c:v>264.39789999999999</c:v>
                </c:pt>
                <c:pt idx="495">
                  <c:v>264.6001</c:v>
                </c:pt>
                <c:pt idx="496">
                  <c:v>264.798</c:v>
                </c:pt>
                <c:pt idx="497">
                  <c:v>264.99849999999998</c:v>
                </c:pt>
                <c:pt idx="498">
                  <c:v>265.20010000000002</c:v>
                </c:pt>
                <c:pt idx="499">
                  <c:v>265.39870000000002</c:v>
                </c:pt>
                <c:pt idx="500">
                  <c:v>265.601</c:v>
                </c:pt>
                <c:pt idx="501">
                  <c:v>265.79899999999998</c:v>
                </c:pt>
                <c:pt idx="502">
                  <c:v>265.99950000000001</c:v>
                </c:pt>
                <c:pt idx="503">
                  <c:v>266.19810000000001</c:v>
                </c:pt>
                <c:pt idx="504">
                  <c:v>266.39909999999998</c:v>
                </c:pt>
                <c:pt idx="505">
                  <c:v>266.59930000000003</c:v>
                </c:pt>
                <c:pt idx="506">
                  <c:v>266.79910000000001</c:v>
                </c:pt>
                <c:pt idx="507">
                  <c:v>267.00049999999999</c:v>
                </c:pt>
                <c:pt idx="508">
                  <c:v>267.19830000000002</c:v>
                </c:pt>
                <c:pt idx="509">
                  <c:v>267.39929999999998</c:v>
                </c:pt>
                <c:pt idx="510">
                  <c:v>267.59809999999999</c:v>
                </c:pt>
                <c:pt idx="511">
                  <c:v>267.79849999999999</c:v>
                </c:pt>
                <c:pt idx="512">
                  <c:v>267.99990000000003</c:v>
                </c:pt>
                <c:pt idx="513">
                  <c:v>268.19810000000001</c:v>
                </c:pt>
                <c:pt idx="514">
                  <c:v>268.40050000000002</c:v>
                </c:pt>
                <c:pt idx="515">
                  <c:v>268.59910000000002</c:v>
                </c:pt>
                <c:pt idx="516">
                  <c:v>268.7996</c:v>
                </c:pt>
                <c:pt idx="517">
                  <c:v>269.00029999999998</c:v>
                </c:pt>
                <c:pt idx="518">
                  <c:v>269.20060000000001</c:v>
                </c:pt>
                <c:pt idx="519">
                  <c:v>269.40030000000002</c:v>
                </c:pt>
                <c:pt idx="520">
                  <c:v>269.59840000000003</c:v>
                </c:pt>
                <c:pt idx="521">
                  <c:v>269.79820000000001</c:v>
                </c:pt>
                <c:pt idx="522">
                  <c:v>269.99930000000001</c:v>
                </c:pt>
                <c:pt idx="523">
                  <c:v>270.19920000000002</c:v>
                </c:pt>
                <c:pt idx="524">
                  <c:v>270.40109999999999</c:v>
                </c:pt>
                <c:pt idx="525">
                  <c:v>270.59840000000003</c:v>
                </c:pt>
                <c:pt idx="526">
                  <c:v>270.7987</c:v>
                </c:pt>
                <c:pt idx="527">
                  <c:v>271.00319999999999</c:v>
                </c:pt>
                <c:pt idx="528">
                  <c:v>271.20049999999998</c:v>
                </c:pt>
                <c:pt idx="529">
                  <c:v>271.39830000000001</c:v>
                </c:pt>
                <c:pt idx="530">
                  <c:v>271.59980000000002</c:v>
                </c:pt>
                <c:pt idx="531">
                  <c:v>271.79930000000002</c:v>
                </c:pt>
                <c:pt idx="532">
                  <c:v>271.99829999999997</c:v>
                </c:pt>
                <c:pt idx="533">
                  <c:v>272.19900000000001</c:v>
                </c:pt>
                <c:pt idx="534">
                  <c:v>272.39980000000003</c:v>
                </c:pt>
                <c:pt idx="535">
                  <c:v>272.60050000000001</c:v>
                </c:pt>
                <c:pt idx="536">
                  <c:v>272.79969999999997</c:v>
                </c:pt>
                <c:pt idx="537">
                  <c:v>273.00049999999999</c:v>
                </c:pt>
                <c:pt idx="538">
                  <c:v>273.2004</c:v>
                </c:pt>
                <c:pt idx="539">
                  <c:v>273.39940000000001</c:v>
                </c:pt>
                <c:pt idx="540">
                  <c:v>273.60059999999999</c:v>
                </c:pt>
                <c:pt idx="541">
                  <c:v>273.79840000000002</c:v>
                </c:pt>
                <c:pt idx="542">
                  <c:v>273.99889999999999</c:v>
                </c:pt>
                <c:pt idx="543">
                  <c:v>274.20100000000002</c:v>
                </c:pt>
                <c:pt idx="544">
                  <c:v>274.39999999999998</c:v>
                </c:pt>
                <c:pt idx="545">
                  <c:v>274.59930000000003</c:v>
                </c:pt>
                <c:pt idx="546">
                  <c:v>274.8</c:v>
                </c:pt>
                <c:pt idx="547">
                  <c:v>275.00009999999997</c:v>
                </c:pt>
                <c:pt idx="548">
                  <c:v>275.19979999999998</c:v>
                </c:pt>
                <c:pt idx="549">
                  <c:v>275.3999</c:v>
                </c:pt>
                <c:pt idx="550">
                  <c:v>275.60070000000002</c:v>
                </c:pt>
                <c:pt idx="551">
                  <c:v>275.80009999999999</c:v>
                </c:pt>
                <c:pt idx="552">
                  <c:v>276.09249999999997</c:v>
                </c:pt>
                <c:pt idx="553">
                  <c:v>276.20030000000003</c:v>
                </c:pt>
                <c:pt idx="554">
                  <c:v>276.39940000000001</c:v>
                </c:pt>
                <c:pt idx="555">
                  <c:v>276.59989999999999</c:v>
                </c:pt>
                <c:pt idx="556">
                  <c:v>276.7987</c:v>
                </c:pt>
                <c:pt idx="557">
                  <c:v>277.00040000000001</c:v>
                </c:pt>
                <c:pt idx="558">
                  <c:v>277.19889999999998</c:v>
                </c:pt>
                <c:pt idx="559">
                  <c:v>277.40010000000001</c:v>
                </c:pt>
                <c:pt idx="560">
                  <c:v>277.601</c:v>
                </c:pt>
                <c:pt idx="561">
                  <c:v>277.79930000000002</c:v>
                </c:pt>
                <c:pt idx="562">
                  <c:v>278.0009</c:v>
                </c:pt>
                <c:pt idx="563">
                  <c:v>278.2038</c:v>
                </c:pt>
                <c:pt idx="564">
                  <c:v>278.39890000000003</c:v>
                </c:pt>
                <c:pt idx="565">
                  <c:v>278.60059999999999</c:v>
                </c:pt>
                <c:pt idx="566">
                  <c:v>278.79939999999999</c:v>
                </c:pt>
                <c:pt idx="567">
                  <c:v>279.00020000000001</c:v>
                </c:pt>
                <c:pt idx="568">
                  <c:v>279.19869999999997</c:v>
                </c:pt>
                <c:pt idx="569">
                  <c:v>279.39940000000001</c:v>
                </c:pt>
                <c:pt idx="570">
                  <c:v>279.60109999999997</c:v>
                </c:pt>
                <c:pt idx="571">
                  <c:v>279.79930000000002</c:v>
                </c:pt>
                <c:pt idx="572">
                  <c:v>280</c:v>
                </c:pt>
                <c:pt idx="573">
                  <c:v>280.20030000000003</c:v>
                </c:pt>
                <c:pt idx="574">
                  <c:v>280.40120000000002</c:v>
                </c:pt>
                <c:pt idx="575">
                  <c:v>280.60050000000001</c:v>
                </c:pt>
                <c:pt idx="576">
                  <c:v>280.79930000000002</c:v>
                </c:pt>
                <c:pt idx="577">
                  <c:v>280.99950000000001</c:v>
                </c:pt>
                <c:pt idx="578">
                  <c:v>281.20139999999998</c:v>
                </c:pt>
                <c:pt idx="579">
                  <c:v>281.4008</c:v>
                </c:pt>
                <c:pt idx="580">
                  <c:v>281.59949999999998</c:v>
                </c:pt>
                <c:pt idx="581">
                  <c:v>281.79899999999998</c:v>
                </c:pt>
                <c:pt idx="582">
                  <c:v>282.00130000000001</c:v>
                </c:pt>
                <c:pt idx="583">
                  <c:v>282.2011</c:v>
                </c:pt>
                <c:pt idx="584">
                  <c:v>282.39940000000001</c:v>
                </c:pt>
                <c:pt idx="585">
                  <c:v>282.59879999999998</c:v>
                </c:pt>
                <c:pt idx="586">
                  <c:v>282.80059999999997</c:v>
                </c:pt>
                <c:pt idx="587">
                  <c:v>282.99930000000001</c:v>
                </c:pt>
                <c:pt idx="588">
                  <c:v>283.20080000000002</c:v>
                </c:pt>
                <c:pt idx="589">
                  <c:v>283.40120000000002</c:v>
                </c:pt>
                <c:pt idx="590">
                  <c:v>283.59960000000001</c:v>
                </c:pt>
                <c:pt idx="591">
                  <c:v>283.80110000000002</c:v>
                </c:pt>
                <c:pt idx="592">
                  <c:v>284.00200000000001</c:v>
                </c:pt>
                <c:pt idx="593">
                  <c:v>284.202</c:v>
                </c:pt>
                <c:pt idx="594">
                  <c:v>284.3997</c:v>
                </c:pt>
                <c:pt idx="595">
                  <c:v>284.60000000000002</c:v>
                </c:pt>
                <c:pt idx="596">
                  <c:v>284.80059999999997</c:v>
                </c:pt>
                <c:pt idx="597">
                  <c:v>285.00080000000003</c:v>
                </c:pt>
                <c:pt idx="598">
                  <c:v>285.19920000000002</c:v>
                </c:pt>
                <c:pt idx="599">
                  <c:v>285.40120000000002</c:v>
                </c:pt>
                <c:pt idx="600">
                  <c:v>285.59980000000002</c:v>
                </c:pt>
                <c:pt idx="601">
                  <c:v>285.80169999999998</c:v>
                </c:pt>
                <c:pt idx="602">
                  <c:v>286.00049999999999</c:v>
                </c:pt>
                <c:pt idx="603">
                  <c:v>286.2</c:v>
                </c:pt>
                <c:pt idx="604">
                  <c:v>286.39980000000003</c:v>
                </c:pt>
                <c:pt idx="605">
                  <c:v>286.60129999999998</c:v>
                </c:pt>
                <c:pt idx="606">
                  <c:v>286.80059999999997</c:v>
                </c:pt>
                <c:pt idx="607">
                  <c:v>286.99990000000003</c:v>
                </c:pt>
                <c:pt idx="608">
                  <c:v>287.2</c:v>
                </c:pt>
                <c:pt idx="609">
                  <c:v>287.40109999999999</c:v>
                </c:pt>
                <c:pt idx="610">
                  <c:v>287.59930000000003</c:v>
                </c:pt>
                <c:pt idx="611">
                  <c:v>287.8</c:v>
                </c:pt>
                <c:pt idx="612">
                  <c:v>288.00130000000001</c:v>
                </c:pt>
                <c:pt idx="613">
                  <c:v>288.20080000000002</c:v>
                </c:pt>
                <c:pt idx="614">
                  <c:v>288.39940000000001</c:v>
                </c:pt>
                <c:pt idx="615">
                  <c:v>288.59989999999999</c:v>
                </c:pt>
                <c:pt idx="616">
                  <c:v>288.80029999999999</c:v>
                </c:pt>
                <c:pt idx="617">
                  <c:v>288.99979999999999</c:v>
                </c:pt>
                <c:pt idx="618">
                  <c:v>289.20010000000002</c:v>
                </c:pt>
                <c:pt idx="619">
                  <c:v>289.4008</c:v>
                </c:pt>
                <c:pt idx="620">
                  <c:v>289.59989999999999</c:v>
                </c:pt>
                <c:pt idx="621">
                  <c:v>289.80040000000002</c:v>
                </c:pt>
                <c:pt idx="622">
                  <c:v>290.00170000000003</c:v>
                </c:pt>
                <c:pt idx="623">
                  <c:v>290.20049999999998</c:v>
                </c:pt>
                <c:pt idx="624">
                  <c:v>290.4015</c:v>
                </c:pt>
                <c:pt idx="625">
                  <c:v>290.59989999999999</c:v>
                </c:pt>
                <c:pt idx="626">
                  <c:v>290.80119999999999</c:v>
                </c:pt>
                <c:pt idx="627">
                  <c:v>291.00130000000001</c:v>
                </c:pt>
                <c:pt idx="628">
                  <c:v>291.2</c:v>
                </c:pt>
                <c:pt idx="629">
                  <c:v>291.40190000000001</c:v>
                </c:pt>
                <c:pt idx="630">
                  <c:v>291.6026</c:v>
                </c:pt>
                <c:pt idx="631">
                  <c:v>291.8021</c:v>
                </c:pt>
                <c:pt idx="632">
                  <c:v>292.00290000000001</c:v>
                </c:pt>
                <c:pt idx="633">
                  <c:v>292.20069999999998</c:v>
                </c:pt>
                <c:pt idx="634">
                  <c:v>292.4008</c:v>
                </c:pt>
                <c:pt idx="635">
                  <c:v>292.60120000000001</c:v>
                </c:pt>
                <c:pt idx="636">
                  <c:v>292.80169999999998</c:v>
                </c:pt>
                <c:pt idx="637">
                  <c:v>292.99979999999999</c:v>
                </c:pt>
                <c:pt idx="638">
                  <c:v>293.19990000000001</c:v>
                </c:pt>
                <c:pt idx="639">
                  <c:v>293.40010000000001</c:v>
                </c:pt>
                <c:pt idx="640">
                  <c:v>293.60199999999998</c:v>
                </c:pt>
                <c:pt idx="641">
                  <c:v>293.79969999999997</c:v>
                </c:pt>
                <c:pt idx="642">
                  <c:v>294.00069999999999</c:v>
                </c:pt>
                <c:pt idx="643">
                  <c:v>294.19990000000001</c:v>
                </c:pt>
                <c:pt idx="644">
                  <c:v>294.40089999999998</c:v>
                </c:pt>
                <c:pt idx="645">
                  <c:v>294.6019</c:v>
                </c:pt>
                <c:pt idx="646">
                  <c:v>294.80189999999999</c:v>
                </c:pt>
                <c:pt idx="647">
                  <c:v>295.00069999999999</c:v>
                </c:pt>
                <c:pt idx="648">
                  <c:v>295.20119999999997</c:v>
                </c:pt>
                <c:pt idx="649">
                  <c:v>295.40010000000001</c:v>
                </c:pt>
                <c:pt idx="650">
                  <c:v>295.60230000000001</c:v>
                </c:pt>
                <c:pt idx="651">
                  <c:v>295.80200000000002</c:v>
                </c:pt>
                <c:pt idx="652">
                  <c:v>296.00220000000002</c:v>
                </c:pt>
                <c:pt idx="653">
                  <c:v>296.20190000000002</c:v>
                </c:pt>
                <c:pt idx="654">
                  <c:v>296.40219999999999</c:v>
                </c:pt>
                <c:pt idx="655">
                  <c:v>296.6003</c:v>
                </c:pt>
                <c:pt idx="656">
                  <c:v>296.80040000000002</c:v>
                </c:pt>
                <c:pt idx="657">
                  <c:v>297.00110000000001</c:v>
                </c:pt>
                <c:pt idx="658">
                  <c:v>297.20139999999998</c:v>
                </c:pt>
                <c:pt idx="659">
                  <c:v>297.3999</c:v>
                </c:pt>
                <c:pt idx="660">
                  <c:v>297.60070000000002</c:v>
                </c:pt>
                <c:pt idx="661">
                  <c:v>297.8032</c:v>
                </c:pt>
                <c:pt idx="662">
                  <c:v>298.00020000000001</c:v>
                </c:pt>
                <c:pt idx="663">
                  <c:v>298.2002</c:v>
                </c:pt>
                <c:pt idx="664">
                  <c:v>298.40269999999998</c:v>
                </c:pt>
                <c:pt idx="665">
                  <c:v>298.60270000000003</c:v>
                </c:pt>
                <c:pt idx="666">
                  <c:v>298.80009999999999</c:v>
                </c:pt>
                <c:pt idx="667">
                  <c:v>299.0018</c:v>
                </c:pt>
                <c:pt idx="668">
                  <c:v>299.20060000000001</c:v>
                </c:pt>
                <c:pt idx="669">
                  <c:v>299.40109999999999</c:v>
                </c:pt>
                <c:pt idx="670">
                  <c:v>299.601</c:v>
                </c:pt>
                <c:pt idx="671">
                  <c:v>299.8023</c:v>
                </c:pt>
                <c:pt idx="672">
                  <c:v>300.0009</c:v>
                </c:pt>
                <c:pt idx="673">
                  <c:v>300.20069999999998</c:v>
                </c:pt>
                <c:pt idx="674">
                  <c:v>300.40199999999999</c:v>
                </c:pt>
                <c:pt idx="675">
                  <c:v>300.6019</c:v>
                </c:pt>
                <c:pt idx="676">
                  <c:v>300.80180000000001</c:v>
                </c:pt>
                <c:pt idx="677">
                  <c:v>301.00139999999999</c:v>
                </c:pt>
                <c:pt idx="678">
                  <c:v>301.2013</c:v>
                </c:pt>
                <c:pt idx="679">
                  <c:v>301.40219999999999</c:v>
                </c:pt>
                <c:pt idx="680">
                  <c:v>301.601</c:v>
                </c:pt>
                <c:pt idx="681">
                  <c:v>301.80059999999997</c:v>
                </c:pt>
                <c:pt idx="682">
                  <c:v>302.00189999999998</c:v>
                </c:pt>
                <c:pt idx="683">
                  <c:v>302.20310000000001</c:v>
                </c:pt>
                <c:pt idx="684">
                  <c:v>302.4015</c:v>
                </c:pt>
                <c:pt idx="685">
                  <c:v>302.60079999999999</c:v>
                </c:pt>
                <c:pt idx="686">
                  <c:v>302.80169999999998</c:v>
                </c:pt>
                <c:pt idx="687">
                  <c:v>303.0027</c:v>
                </c:pt>
                <c:pt idx="688">
                  <c:v>303.20100000000002</c:v>
                </c:pt>
                <c:pt idx="689">
                  <c:v>303.40230000000003</c:v>
                </c:pt>
                <c:pt idx="690">
                  <c:v>303.60090000000002</c:v>
                </c:pt>
                <c:pt idx="691">
                  <c:v>303.80239999999998</c:v>
                </c:pt>
                <c:pt idx="692">
                  <c:v>304.00380000000001</c:v>
                </c:pt>
                <c:pt idx="693">
                  <c:v>304.20170000000002</c:v>
                </c:pt>
                <c:pt idx="694">
                  <c:v>304.40170000000001</c:v>
                </c:pt>
                <c:pt idx="695">
                  <c:v>304.60120000000001</c:v>
                </c:pt>
                <c:pt idx="696">
                  <c:v>304.80020000000002</c:v>
                </c:pt>
                <c:pt idx="697">
                  <c:v>305.00119999999998</c:v>
                </c:pt>
                <c:pt idx="698">
                  <c:v>305.60090000000002</c:v>
                </c:pt>
                <c:pt idx="699">
                  <c:v>305.8014</c:v>
                </c:pt>
                <c:pt idx="700">
                  <c:v>306.00259999999997</c:v>
                </c:pt>
                <c:pt idx="701">
                  <c:v>306.20069999999998</c:v>
                </c:pt>
                <c:pt idx="702">
                  <c:v>306.40260000000001</c:v>
                </c:pt>
                <c:pt idx="703">
                  <c:v>306.60129999999998</c:v>
                </c:pt>
                <c:pt idx="704">
                  <c:v>306.80309999999997</c:v>
                </c:pt>
                <c:pt idx="705">
                  <c:v>307.00209999999998</c:v>
                </c:pt>
                <c:pt idx="706">
                  <c:v>307.20119999999997</c:v>
                </c:pt>
                <c:pt idx="707">
                  <c:v>307.41050000000001</c:v>
                </c:pt>
                <c:pt idx="708">
                  <c:v>307.60169999999999</c:v>
                </c:pt>
                <c:pt idx="709">
                  <c:v>307.8014</c:v>
                </c:pt>
                <c:pt idx="710">
                  <c:v>308.00110000000001</c:v>
                </c:pt>
                <c:pt idx="711">
                  <c:v>308.20209999999997</c:v>
                </c:pt>
                <c:pt idx="712">
                  <c:v>308.40249999999997</c:v>
                </c:pt>
                <c:pt idx="713">
                  <c:v>308.60169999999999</c:v>
                </c:pt>
                <c:pt idx="714">
                  <c:v>308.80239999999998</c:v>
                </c:pt>
                <c:pt idx="715">
                  <c:v>309.00380000000001</c:v>
                </c:pt>
                <c:pt idx="716">
                  <c:v>309.20179999999999</c:v>
                </c:pt>
                <c:pt idx="717">
                  <c:v>309.40219999999999</c:v>
                </c:pt>
                <c:pt idx="718">
                  <c:v>309.60079999999999</c:v>
                </c:pt>
                <c:pt idx="719">
                  <c:v>309.8005</c:v>
                </c:pt>
                <c:pt idx="720">
                  <c:v>310.00150000000002</c:v>
                </c:pt>
                <c:pt idx="721">
                  <c:v>310.20370000000003</c:v>
                </c:pt>
                <c:pt idx="722">
                  <c:v>310.40260000000001</c:v>
                </c:pt>
                <c:pt idx="723">
                  <c:v>310.6112</c:v>
                </c:pt>
                <c:pt idx="724">
                  <c:v>310.80220000000003</c:v>
                </c:pt>
                <c:pt idx="725">
                  <c:v>311.00229999999999</c:v>
                </c:pt>
                <c:pt idx="726">
                  <c:v>311.20080000000002</c:v>
                </c:pt>
                <c:pt idx="727">
                  <c:v>311.40309999999999</c:v>
                </c:pt>
                <c:pt idx="728">
                  <c:v>311.60390000000001</c:v>
                </c:pt>
                <c:pt idx="729">
                  <c:v>311.80329999999998</c:v>
                </c:pt>
                <c:pt idx="730">
                  <c:v>312.00209999999998</c:v>
                </c:pt>
                <c:pt idx="731">
                  <c:v>312.20100000000002</c:v>
                </c:pt>
                <c:pt idx="732">
                  <c:v>312.40300000000002</c:v>
                </c:pt>
                <c:pt idx="733">
                  <c:v>312.60109999999997</c:v>
                </c:pt>
                <c:pt idx="734">
                  <c:v>312.80130000000003</c:v>
                </c:pt>
                <c:pt idx="735">
                  <c:v>313.00369999999998</c:v>
                </c:pt>
                <c:pt idx="736">
                  <c:v>313.20179999999999</c:v>
                </c:pt>
                <c:pt idx="737">
                  <c:v>313.40390000000002</c:v>
                </c:pt>
                <c:pt idx="738">
                  <c:v>313.60300000000001</c:v>
                </c:pt>
                <c:pt idx="739">
                  <c:v>313.80079999999998</c:v>
                </c:pt>
                <c:pt idx="740">
                  <c:v>314.005</c:v>
                </c:pt>
                <c:pt idx="741">
                  <c:v>314.20100000000002</c:v>
                </c:pt>
                <c:pt idx="742">
                  <c:v>314.40269999999998</c:v>
                </c:pt>
                <c:pt idx="743">
                  <c:v>314.60289999999998</c:v>
                </c:pt>
                <c:pt idx="744">
                  <c:v>314.80200000000002</c:v>
                </c:pt>
                <c:pt idx="745">
                  <c:v>315.00150000000002</c:v>
                </c:pt>
                <c:pt idx="746">
                  <c:v>315.20389999999998</c:v>
                </c:pt>
                <c:pt idx="747">
                  <c:v>315.40249999999997</c:v>
                </c:pt>
                <c:pt idx="748">
                  <c:v>315.60149999999999</c:v>
                </c:pt>
                <c:pt idx="749">
                  <c:v>315.80160000000001</c:v>
                </c:pt>
                <c:pt idx="750">
                  <c:v>316.00380000000001</c:v>
                </c:pt>
                <c:pt idx="751">
                  <c:v>316.20100000000002</c:v>
                </c:pt>
                <c:pt idx="752">
                  <c:v>316.40159999999997</c:v>
                </c:pt>
                <c:pt idx="753">
                  <c:v>316.601</c:v>
                </c:pt>
                <c:pt idx="754">
                  <c:v>316.80099999999999</c:v>
                </c:pt>
                <c:pt idx="755">
                  <c:v>317.00229999999999</c:v>
                </c:pt>
                <c:pt idx="756">
                  <c:v>317.2013</c:v>
                </c:pt>
                <c:pt idx="757">
                  <c:v>317.40190000000001</c:v>
                </c:pt>
                <c:pt idx="758">
                  <c:v>317.6019</c:v>
                </c:pt>
                <c:pt idx="759">
                  <c:v>317.80399999999997</c:v>
                </c:pt>
                <c:pt idx="760">
                  <c:v>318.00290000000001</c:v>
                </c:pt>
                <c:pt idx="761">
                  <c:v>318.20119999999997</c:v>
                </c:pt>
                <c:pt idx="762">
                  <c:v>318.40370000000001</c:v>
                </c:pt>
                <c:pt idx="763">
                  <c:v>318.60109999999997</c:v>
                </c:pt>
                <c:pt idx="764">
                  <c:v>318.80250000000001</c:v>
                </c:pt>
                <c:pt idx="765">
                  <c:v>319.00139999999999</c:v>
                </c:pt>
                <c:pt idx="766">
                  <c:v>319.2029</c:v>
                </c:pt>
                <c:pt idx="767">
                  <c:v>319.40359999999998</c:v>
                </c:pt>
                <c:pt idx="768">
                  <c:v>319.6035</c:v>
                </c:pt>
                <c:pt idx="769">
                  <c:v>319.80410000000001</c:v>
                </c:pt>
                <c:pt idx="770">
                  <c:v>320.00259999999997</c:v>
                </c:pt>
                <c:pt idx="771">
                  <c:v>320.20850000000002</c:v>
                </c:pt>
                <c:pt idx="772">
                  <c:v>320.40230000000003</c:v>
                </c:pt>
                <c:pt idx="773">
                  <c:v>320.60320000000002</c:v>
                </c:pt>
                <c:pt idx="774">
                  <c:v>320.80369999999999</c:v>
                </c:pt>
                <c:pt idx="775">
                  <c:v>321.00240000000002</c:v>
                </c:pt>
                <c:pt idx="776">
                  <c:v>321.20179999999999</c:v>
                </c:pt>
                <c:pt idx="777">
                  <c:v>321.40339999999998</c:v>
                </c:pt>
                <c:pt idx="778">
                  <c:v>321.60160000000002</c:v>
                </c:pt>
                <c:pt idx="779">
                  <c:v>321.80259999999998</c:v>
                </c:pt>
                <c:pt idx="780">
                  <c:v>322.0043</c:v>
                </c:pt>
                <c:pt idx="781">
                  <c:v>322.20179999999999</c:v>
                </c:pt>
                <c:pt idx="782">
                  <c:v>322.40249999999997</c:v>
                </c:pt>
                <c:pt idx="783">
                  <c:v>322.60129999999998</c:v>
                </c:pt>
                <c:pt idx="784">
                  <c:v>322.80180000000001</c:v>
                </c:pt>
                <c:pt idx="785">
                  <c:v>323.00360000000001</c:v>
                </c:pt>
                <c:pt idx="786">
                  <c:v>323.2045</c:v>
                </c:pt>
                <c:pt idx="787">
                  <c:v>323.40179999999998</c:v>
                </c:pt>
                <c:pt idx="788">
                  <c:v>323.60210000000001</c:v>
                </c:pt>
                <c:pt idx="789">
                  <c:v>323.81330000000003</c:v>
                </c:pt>
                <c:pt idx="790">
                  <c:v>324.0027</c:v>
                </c:pt>
                <c:pt idx="791">
                  <c:v>324.20229999999998</c:v>
                </c:pt>
                <c:pt idx="792">
                  <c:v>324.40280000000001</c:v>
                </c:pt>
                <c:pt idx="793">
                  <c:v>324.60210000000001</c:v>
                </c:pt>
                <c:pt idx="794">
                  <c:v>324.80270000000002</c:v>
                </c:pt>
                <c:pt idx="795">
                  <c:v>325.00229999999999</c:v>
                </c:pt>
                <c:pt idx="796">
                  <c:v>325.2047</c:v>
                </c:pt>
                <c:pt idx="797">
                  <c:v>325.40280000000001</c:v>
                </c:pt>
                <c:pt idx="798">
                  <c:v>325.60329999999999</c:v>
                </c:pt>
                <c:pt idx="799">
                  <c:v>325.80380000000002</c:v>
                </c:pt>
                <c:pt idx="800">
                  <c:v>326.00389999999999</c:v>
                </c:pt>
                <c:pt idx="801">
                  <c:v>326.20159999999998</c:v>
                </c:pt>
                <c:pt idx="802">
                  <c:v>326.40190000000001</c:v>
                </c:pt>
                <c:pt idx="803">
                  <c:v>326.60169999999999</c:v>
                </c:pt>
                <c:pt idx="804">
                  <c:v>326.80220000000003</c:v>
                </c:pt>
                <c:pt idx="805">
                  <c:v>327.00170000000003</c:v>
                </c:pt>
                <c:pt idx="806">
                  <c:v>327.20429999999999</c:v>
                </c:pt>
                <c:pt idx="807">
                  <c:v>327.40320000000003</c:v>
                </c:pt>
                <c:pt idx="808">
                  <c:v>327.6046</c:v>
                </c:pt>
                <c:pt idx="809">
                  <c:v>327.80279999999999</c:v>
                </c:pt>
                <c:pt idx="810">
                  <c:v>328.00689999999997</c:v>
                </c:pt>
                <c:pt idx="811">
                  <c:v>328.20179999999999</c:v>
                </c:pt>
                <c:pt idx="812">
                  <c:v>328.40370000000001</c:v>
                </c:pt>
                <c:pt idx="813">
                  <c:v>328.60379999999998</c:v>
                </c:pt>
                <c:pt idx="814">
                  <c:v>328.80410000000001</c:v>
                </c:pt>
                <c:pt idx="815">
                  <c:v>329.00749999999999</c:v>
                </c:pt>
                <c:pt idx="816">
                  <c:v>329.20319999999998</c:v>
                </c:pt>
                <c:pt idx="817">
                  <c:v>329.40269999999998</c:v>
                </c:pt>
                <c:pt idx="818">
                  <c:v>329.60300000000001</c:v>
                </c:pt>
                <c:pt idx="819">
                  <c:v>329.80540000000002</c:v>
                </c:pt>
                <c:pt idx="820">
                  <c:v>330.00400000000002</c:v>
                </c:pt>
                <c:pt idx="821">
                  <c:v>330.20580000000001</c:v>
                </c:pt>
                <c:pt idx="822">
                  <c:v>330.40320000000003</c:v>
                </c:pt>
                <c:pt idx="823">
                  <c:v>330.60379999999998</c:v>
                </c:pt>
                <c:pt idx="824">
                  <c:v>330.80329999999998</c:v>
                </c:pt>
                <c:pt idx="825">
                  <c:v>331.00549999999998</c:v>
                </c:pt>
                <c:pt idx="826">
                  <c:v>331.20549999999997</c:v>
                </c:pt>
                <c:pt idx="827">
                  <c:v>331.40570000000002</c:v>
                </c:pt>
                <c:pt idx="828">
                  <c:v>331.60430000000002</c:v>
                </c:pt>
                <c:pt idx="829">
                  <c:v>331.80279999999999</c:v>
                </c:pt>
                <c:pt idx="830">
                  <c:v>332.0052</c:v>
                </c:pt>
                <c:pt idx="831">
                  <c:v>332.20429999999999</c:v>
                </c:pt>
                <c:pt idx="832">
                  <c:v>332.40410000000003</c:v>
                </c:pt>
                <c:pt idx="833">
                  <c:v>332.60270000000003</c:v>
                </c:pt>
                <c:pt idx="834">
                  <c:v>332.80200000000002</c:v>
                </c:pt>
                <c:pt idx="835">
                  <c:v>333.00529999999998</c:v>
                </c:pt>
                <c:pt idx="836">
                  <c:v>333.20440000000002</c:v>
                </c:pt>
                <c:pt idx="837">
                  <c:v>333.40379999999999</c:v>
                </c:pt>
                <c:pt idx="838">
                  <c:v>333.60399999999998</c:v>
                </c:pt>
                <c:pt idx="839">
                  <c:v>333.8023</c:v>
                </c:pt>
                <c:pt idx="840">
                  <c:v>334.00420000000003</c:v>
                </c:pt>
                <c:pt idx="841">
                  <c:v>334.20310000000001</c:v>
                </c:pt>
                <c:pt idx="842">
                  <c:v>334.4024</c:v>
                </c:pt>
                <c:pt idx="843">
                  <c:v>334.60219999999998</c:v>
                </c:pt>
                <c:pt idx="844">
                  <c:v>334.80380000000002</c:v>
                </c:pt>
                <c:pt idx="845">
                  <c:v>335.00490000000002</c:v>
                </c:pt>
                <c:pt idx="846">
                  <c:v>335.20299999999997</c:v>
                </c:pt>
                <c:pt idx="847">
                  <c:v>335.4042</c:v>
                </c:pt>
                <c:pt idx="848">
                  <c:v>335.60230000000001</c:v>
                </c:pt>
                <c:pt idx="849">
                  <c:v>335.80290000000002</c:v>
                </c:pt>
                <c:pt idx="850">
                  <c:v>336.00290000000001</c:v>
                </c:pt>
                <c:pt idx="851">
                  <c:v>336.20330000000001</c:v>
                </c:pt>
                <c:pt idx="852">
                  <c:v>336.40260000000001</c:v>
                </c:pt>
                <c:pt idx="853">
                  <c:v>336.60239999999999</c:v>
                </c:pt>
                <c:pt idx="854">
                  <c:v>336.80369999999999</c:v>
                </c:pt>
                <c:pt idx="855">
                  <c:v>337.00259999999997</c:v>
                </c:pt>
                <c:pt idx="856">
                  <c:v>337.20229999999998</c:v>
                </c:pt>
                <c:pt idx="857">
                  <c:v>337.4042</c:v>
                </c:pt>
                <c:pt idx="858">
                  <c:v>337.60399999999998</c:v>
                </c:pt>
                <c:pt idx="859">
                  <c:v>337.8109</c:v>
                </c:pt>
                <c:pt idx="860">
                  <c:v>338.00560000000002</c:v>
                </c:pt>
                <c:pt idx="861">
                  <c:v>338.20519999999999</c:v>
                </c:pt>
                <c:pt idx="862">
                  <c:v>338.40379999999999</c:v>
                </c:pt>
                <c:pt idx="863">
                  <c:v>338.6053</c:v>
                </c:pt>
                <c:pt idx="864">
                  <c:v>338.8048</c:v>
                </c:pt>
                <c:pt idx="865">
                  <c:v>339.00229999999999</c:v>
                </c:pt>
                <c:pt idx="866">
                  <c:v>339.20249999999999</c:v>
                </c:pt>
                <c:pt idx="867">
                  <c:v>339.40280000000001</c:v>
                </c:pt>
                <c:pt idx="868">
                  <c:v>339.60390000000001</c:v>
                </c:pt>
                <c:pt idx="869">
                  <c:v>339.80399999999997</c:v>
                </c:pt>
                <c:pt idx="870">
                  <c:v>340.00240000000002</c:v>
                </c:pt>
                <c:pt idx="871">
                  <c:v>340.20479999999998</c:v>
                </c:pt>
                <c:pt idx="872">
                  <c:v>340.40539999999999</c:v>
                </c:pt>
                <c:pt idx="873">
                  <c:v>340.60419999999999</c:v>
                </c:pt>
                <c:pt idx="874">
                  <c:v>340.80290000000002</c:v>
                </c:pt>
                <c:pt idx="875">
                  <c:v>341.00420000000003</c:v>
                </c:pt>
                <c:pt idx="876">
                  <c:v>341.20359999999999</c:v>
                </c:pt>
                <c:pt idx="877">
                  <c:v>341.40260000000001</c:v>
                </c:pt>
                <c:pt idx="878">
                  <c:v>341.60340000000002</c:v>
                </c:pt>
                <c:pt idx="879">
                  <c:v>341.80590000000001</c:v>
                </c:pt>
                <c:pt idx="880">
                  <c:v>342.00549999999998</c:v>
                </c:pt>
                <c:pt idx="881">
                  <c:v>342.20299999999997</c:v>
                </c:pt>
                <c:pt idx="882">
                  <c:v>342.40469999999999</c:v>
                </c:pt>
                <c:pt idx="883">
                  <c:v>342.60590000000002</c:v>
                </c:pt>
                <c:pt idx="884">
                  <c:v>342.80250000000001</c:v>
                </c:pt>
                <c:pt idx="885">
                  <c:v>343.0061</c:v>
                </c:pt>
                <c:pt idx="886">
                  <c:v>343.20319999999998</c:v>
                </c:pt>
                <c:pt idx="887">
                  <c:v>343.40600000000001</c:v>
                </c:pt>
                <c:pt idx="888">
                  <c:v>343.60539999999997</c:v>
                </c:pt>
                <c:pt idx="889">
                  <c:v>343.80380000000002</c:v>
                </c:pt>
                <c:pt idx="890">
                  <c:v>344.00580000000002</c:v>
                </c:pt>
                <c:pt idx="891">
                  <c:v>344.20420000000001</c:v>
                </c:pt>
                <c:pt idx="892">
                  <c:v>344.40379999999999</c:v>
                </c:pt>
                <c:pt idx="893">
                  <c:v>344.60399999999998</c:v>
                </c:pt>
                <c:pt idx="894">
                  <c:v>344.80419999999998</c:v>
                </c:pt>
                <c:pt idx="895">
                  <c:v>345.00529999999998</c:v>
                </c:pt>
                <c:pt idx="896">
                  <c:v>345.20420000000001</c:v>
                </c:pt>
                <c:pt idx="897">
                  <c:v>345.40350000000001</c:v>
                </c:pt>
                <c:pt idx="898">
                  <c:v>345.60579999999999</c:v>
                </c:pt>
                <c:pt idx="899">
                  <c:v>345.80329999999998</c:v>
                </c:pt>
                <c:pt idx="900">
                  <c:v>346.00380000000001</c:v>
                </c:pt>
                <c:pt idx="901">
                  <c:v>346.2045</c:v>
                </c:pt>
                <c:pt idx="902">
                  <c:v>346.40589999999997</c:v>
                </c:pt>
                <c:pt idx="903">
                  <c:v>346.60309999999998</c:v>
                </c:pt>
                <c:pt idx="904">
                  <c:v>346.80579999999998</c:v>
                </c:pt>
                <c:pt idx="905">
                  <c:v>347.0034</c:v>
                </c:pt>
                <c:pt idx="906">
                  <c:v>347.20609999999999</c:v>
                </c:pt>
                <c:pt idx="907">
                  <c:v>347.40609999999998</c:v>
                </c:pt>
                <c:pt idx="908">
                  <c:v>347.60559999999998</c:v>
                </c:pt>
                <c:pt idx="909">
                  <c:v>347.80360000000002</c:v>
                </c:pt>
                <c:pt idx="910">
                  <c:v>348.00360000000001</c:v>
                </c:pt>
                <c:pt idx="911">
                  <c:v>348.20319999999998</c:v>
                </c:pt>
                <c:pt idx="912">
                  <c:v>348.40300000000002</c:v>
                </c:pt>
                <c:pt idx="913">
                  <c:v>348.60570000000001</c:v>
                </c:pt>
                <c:pt idx="914">
                  <c:v>348.80560000000003</c:v>
                </c:pt>
                <c:pt idx="915">
                  <c:v>349.00349999999997</c:v>
                </c:pt>
                <c:pt idx="916">
                  <c:v>349.20490000000001</c:v>
                </c:pt>
                <c:pt idx="917">
                  <c:v>349.40550000000002</c:v>
                </c:pt>
                <c:pt idx="918">
                  <c:v>349.60410000000002</c:v>
                </c:pt>
                <c:pt idx="919">
                  <c:v>349.80290000000002</c:v>
                </c:pt>
                <c:pt idx="920">
                  <c:v>350.00569999999999</c:v>
                </c:pt>
                <c:pt idx="921">
                  <c:v>350.20359999999999</c:v>
                </c:pt>
                <c:pt idx="922">
                  <c:v>350.40379999999999</c:v>
                </c:pt>
                <c:pt idx="923">
                  <c:v>350.6035</c:v>
                </c:pt>
                <c:pt idx="924">
                  <c:v>350.80470000000003</c:v>
                </c:pt>
                <c:pt idx="925">
                  <c:v>351.00360000000001</c:v>
                </c:pt>
                <c:pt idx="926">
                  <c:v>351.20389999999998</c:v>
                </c:pt>
                <c:pt idx="927">
                  <c:v>351.4051</c:v>
                </c:pt>
                <c:pt idx="928">
                  <c:v>351.6062</c:v>
                </c:pt>
                <c:pt idx="929">
                  <c:v>351.8057</c:v>
                </c:pt>
                <c:pt idx="930">
                  <c:v>352.0034</c:v>
                </c:pt>
                <c:pt idx="931">
                  <c:v>352.20549999999997</c:v>
                </c:pt>
                <c:pt idx="932">
                  <c:v>352.40390000000002</c:v>
                </c:pt>
                <c:pt idx="933">
                  <c:v>352.60489999999999</c:v>
                </c:pt>
                <c:pt idx="934">
                  <c:v>352.80430000000001</c:v>
                </c:pt>
                <c:pt idx="935">
                  <c:v>353.00599999999997</c:v>
                </c:pt>
                <c:pt idx="936">
                  <c:v>353.20429999999999</c:v>
                </c:pt>
                <c:pt idx="937">
                  <c:v>353.40480000000002</c:v>
                </c:pt>
                <c:pt idx="938">
                  <c:v>353.60610000000003</c:v>
                </c:pt>
                <c:pt idx="939">
                  <c:v>353.80360000000002</c:v>
                </c:pt>
                <c:pt idx="940">
                  <c:v>354.00560000000002</c:v>
                </c:pt>
                <c:pt idx="941">
                  <c:v>354.20350000000002</c:v>
                </c:pt>
                <c:pt idx="942">
                  <c:v>354.40410000000003</c:v>
                </c:pt>
                <c:pt idx="943">
                  <c:v>354.60390000000001</c:v>
                </c:pt>
                <c:pt idx="944">
                  <c:v>354.80360000000002</c:v>
                </c:pt>
                <c:pt idx="945">
                  <c:v>355.00380000000001</c:v>
                </c:pt>
                <c:pt idx="946">
                  <c:v>355.20620000000002</c:v>
                </c:pt>
                <c:pt idx="947">
                  <c:v>355.40570000000002</c:v>
                </c:pt>
                <c:pt idx="948">
                  <c:v>355.6053</c:v>
                </c:pt>
                <c:pt idx="949">
                  <c:v>355.8057</c:v>
                </c:pt>
                <c:pt idx="950">
                  <c:v>356.00760000000002</c:v>
                </c:pt>
                <c:pt idx="951">
                  <c:v>356.20699999999999</c:v>
                </c:pt>
                <c:pt idx="952">
                  <c:v>356.40660000000003</c:v>
                </c:pt>
                <c:pt idx="953">
                  <c:v>356.60570000000001</c:v>
                </c:pt>
                <c:pt idx="954">
                  <c:v>356.80410000000001</c:v>
                </c:pt>
                <c:pt idx="955">
                  <c:v>357.00459999999998</c:v>
                </c:pt>
                <c:pt idx="956">
                  <c:v>357.20659999999998</c:v>
                </c:pt>
                <c:pt idx="957">
                  <c:v>357.40660000000003</c:v>
                </c:pt>
                <c:pt idx="958">
                  <c:v>357.60539999999997</c:v>
                </c:pt>
                <c:pt idx="959">
                  <c:v>357.80470000000003</c:v>
                </c:pt>
                <c:pt idx="960">
                  <c:v>358.00599999999997</c:v>
                </c:pt>
                <c:pt idx="961">
                  <c:v>358.2047</c:v>
                </c:pt>
                <c:pt idx="962">
                  <c:v>358.40710000000001</c:v>
                </c:pt>
                <c:pt idx="963">
                  <c:v>358.60750000000002</c:v>
                </c:pt>
                <c:pt idx="964">
                  <c:v>358.80630000000002</c:v>
                </c:pt>
                <c:pt idx="965">
                  <c:v>359.00540000000001</c:v>
                </c:pt>
                <c:pt idx="966">
                  <c:v>359.2056</c:v>
                </c:pt>
                <c:pt idx="967">
                  <c:v>359.40690000000001</c:v>
                </c:pt>
                <c:pt idx="968">
                  <c:v>359.60570000000001</c:v>
                </c:pt>
                <c:pt idx="969">
                  <c:v>359.8073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Experimental_Seg8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General</c:formatCode>
                <c:ptCount val="11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5.1000000000000004E-3</c:v>
                </c:pt>
                <c:pt idx="1">
                  <c:v>4.1999999999999997E-3</c:v>
                </c:pt>
                <c:pt idx="2">
                  <c:v>3.8999999999999998E-3</c:v>
                </c:pt>
                <c:pt idx="3">
                  <c:v>3.8999999999999998E-3</c:v>
                </c:pt>
                <c:pt idx="4">
                  <c:v>3.8E-3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3.8E-3</c:v>
                </c:pt>
                <c:pt idx="8">
                  <c:v>3.3999999999999998E-3</c:v>
                </c:pt>
                <c:pt idx="9">
                  <c:v>3.3999999999999998E-3</c:v>
                </c:pt>
                <c:pt idx="10">
                  <c:v>3.3999999999999998E-3</c:v>
                </c:pt>
                <c:pt idx="11">
                  <c:v>3.3999999999999998E-3</c:v>
                </c:pt>
                <c:pt idx="12">
                  <c:v>3.3999999999999998E-3</c:v>
                </c:pt>
                <c:pt idx="13">
                  <c:v>3.3999999999999998E-3</c:v>
                </c:pt>
                <c:pt idx="14">
                  <c:v>3.3999999999999998E-3</c:v>
                </c:pt>
                <c:pt idx="15">
                  <c:v>3.3999999999999998E-3</c:v>
                </c:pt>
                <c:pt idx="16">
                  <c:v>3.3999999999999998E-3</c:v>
                </c:pt>
                <c:pt idx="17">
                  <c:v>3.3999999999999998E-3</c:v>
                </c:pt>
                <c:pt idx="18">
                  <c:v>3.3999999999999998E-3</c:v>
                </c:pt>
                <c:pt idx="19">
                  <c:v>3.3999999999999998E-3</c:v>
                </c:pt>
                <c:pt idx="20">
                  <c:v>3.3999999999999998E-3</c:v>
                </c:pt>
                <c:pt idx="21">
                  <c:v>3.3999999999999998E-3</c:v>
                </c:pt>
                <c:pt idx="22">
                  <c:v>3.3999999999999998E-3</c:v>
                </c:pt>
                <c:pt idx="23">
                  <c:v>3.3999999999999998E-3</c:v>
                </c:pt>
                <c:pt idx="24">
                  <c:v>3.3999999999999998E-3</c:v>
                </c:pt>
                <c:pt idx="25">
                  <c:v>3.3999999999999998E-3</c:v>
                </c:pt>
                <c:pt idx="26">
                  <c:v>3.3999999999999998E-3</c:v>
                </c:pt>
                <c:pt idx="27">
                  <c:v>3.3999999999999998E-3</c:v>
                </c:pt>
                <c:pt idx="28">
                  <c:v>3.3999999999999998E-3</c:v>
                </c:pt>
                <c:pt idx="29">
                  <c:v>3.3999999999999998E-3</c:v>
                </c:pt>
                <c:pt idx="30">
                  <c:v>3.3999999999999998E-3</c:v>
                </c:pt>
                <c:pt idx="31">
                  <c:v>3.3999999999999998E-3</c:v>
                </c:pt>
                <c:pt idx="32">
                  <c:v>3.3999999999999998E-3</c:v>
                </c:pt>
                <c:pt idx="33">
                  <c:v>3.3999999999999998E-3</c:v>
                </c:pt>
                <c:pt idx="34">
                  <c:v>3.3999999999999998E-3</c:v>
                </c:pt>
                <c:pt idx="35">
                  <c:v>3.3999999999999998E-3</c:v>
                </c:pt>
                <c:pt idx="36">
                  <c:v>3.3999999999999998E-3</c:v>
                </c:pt>
                <c:pt idx="37">
                  <c:v>3.3999999999999998E-3</c:v>
                </c:pt>
                <c:pt idx="38">
                  <c:v>3.3999999999999998E-3</c:v>
                </c:pt>
                <c:pt idx="39">
                  <c:v>3.3E-3</c:v>
                </c:pt>
                <c:pt idx="40">
                  <c:v>3.3E-3</c:v>
                </c:pt>
                <c:pt idx="41">
                  <c:v>3.3E-3</c:v>
                </c:pt>
                <c:pt idx="42">
                  <c:v>3.3999999999999998E-3</c:v>
                </c:pt>
                <c:pt idx="43">
                  <c:v>3.3999999999999998E-3</c:v>
                </c:pt>
                <c:pt idx="44">
                  <c:v>3.3999999999999998E-3</c:v>
                </c:pt>
                <c:pt idx="45">
                  <c:v>3.3999999999999998E-3</c:v>
                </c:pt>
                <c:pt idx="46">
                  <c:v>3.3999999999999998E-3</c:v>
                </c:pt>
                <c:pt idx="47">
                  <c:v>3.3999999999999998E-3</c:v>
                </c:pt>
                <c:pt idx="48">
                  <c:v>3.3999999999999998E-3</c:v>
                </c:pt>
                <c:pt idx="49">
                  <c:v>3.5000000000000001E-3</c:v>
                </c:pt>
                <c:pt idx="50">
                  <c:v>3.7000000000000002E-3</c:v>
                </c:pt>
                <c:pt idx="51">
                  <c:v>5.0000000000000001E-3</c:v>
                </c:pt>
                <c:pt idx="52">
                  <c:v>7.1999999999999998E-3</c:v>
                </c:pt>
                <c:pt idx="53">
                  <c:v>9.2999999999999992E-3</c:v>
                </c:pt>
                <c:pt idx="54">
                  <c:v>1.09E-2</c:v>
                </c:pt>
                <c:pt idx="55">
                  <c:v>1.23E-2</c:v>
                </c:pt>
                <c:pt idx="56">
                  <c:v>1.38E-2</c:v>
                </c:pt>
                <c:pt idx="57">
                  <c:v>1.49E-2</c:v>
                </c:pt>
                <c:pt idx="58">
                  <c:v>1.5800000000000002E-2</c:v>
                </c:pt>
                <c:pt idx="59">
                  <c:v>1.6400000000000001E-2</c:v>
                </c:pt>
                <c:pt idx="60">
                  <c:v>1.66E-2</c:v>
                </c:pt>
                <c:pt idx="61">
                  <c:v>1.66E-2</c:v>
                </c:pt>
                <c:pt idx="62">
                  <c:v>1.66E-2</c:v>
                </c:pt>
                <c:pt idx="63">
                  <c:v>1.66E-2</c:v>
                </c:pt>
                <c:pt idx="64">
                  <c:v>1.66E-2</c:v>
                </c:pt>
                <c:pt idx="65">
                  <c:v>1.66E-2</c:v>
                </c:pt>
                <c:pt idx="66">
                  <c:v>1.66E-2</c:v>
                </c:pt>
                <c:pt idx="67">
                  <c:v>1.6500000000000001E-2</c:v>
                </c:pt>
                <c:pt idx="68">
                  <c:v>1.6500000000000001E-2</c:v>
                </c:pt>
                <c:pt idx="69">
                  <c:v>1.6500000000000001E-2</c:v>
                </c:pt>
                <c:pt idx="70">
                  <c:v>1.5800000000000002E-2</c:v>
                </c:pt>
                <c:pt idx="71">
                  <c:v>1.47E-2</c:v>
                </c:pt>
                <c:pt idx="72">
                  <c:v>1.34E-2</c:v>
                </c:pt>
                <c:pt idx="73">
                  <c:v>1.2E-2</c:v>
                </c:pt>
                <c:pt idx="74">
                  <c:v>1.0200000000000001E-2</c:v>
                </c:pt>
                <c:pt idx="75">
                  <c:v>9.1999999999999998E-3</c:v>
                </c:pt>
                <c:pt idx="76">
                  <c:v>7.7999999999999996E-3</c:v>
                </c:pt>
                <c:pt idx="77">
                  <c:v>6.0000000000000001E-3</c:v>
                </c:pt>
                <c:pt idx="78">
                  <c:v>5.3E-3</c:v>
                </c:pt>
                <c:pt idx="79">
                  <c:v>4.4000000000000003E-3</c:v>
                </c:pt>
                <c:pt idx="80">
                  <c:v>3.8E-3</c:v>
                </c:pt>
                <c:pt idx="81">
                  <c:v>3.8E-3</c:v>
                </c:pt>
                <c:pt idx="82">
                  <c:v>3.8E-3</c:v>
                </c:pt>
                <c:pt idx="83">
                  <c:v>3.8E-3</c:v>
                </c:pt>
                <c:pt idx="84">
                  <c:v>3.8E-3</c:v>
                </c:pt>
                <c:pt idx="85">
                  <c:v>3.8E-3</c:v>
                </c:pt>
                <c:pt idx="86">
                  <c:v>3.8E-3</c:v>
                </c:pt>
                <c:pt idx="87">
                  <c:v>3.8E-3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4.0000000000000001E-3</c:v>
                </c:pt>
                <c:pt idx="91">
                  <c:v>5.3E-3</c:v>
                </c:pt>
                <c:pt idx="92">
                  <c:v>7.4000000000000003E-3</c:v>
                </c:pt>
                <c:pt idx="93">
                  <c:v>9.4000000000000004E-3</c:v>
                </c:pt>
                <c:pt idx="94">
                  <c:v>1.0999999999999999E-2</c:v>
                </c:pt>
                <c:pt idx="95">
                  <c:v>1.24E-2</c:v>
                </c:pt>
                <c:pt idx="96">
                  <c:v>1.37E-2</c:v>
                </c:pt>
                <c:pt idx="97">
                  <c:v>1.49E-2</c:v>
                </c:pt>
                <c:pt idx="98">
                  <c:v>1.6E-2</c:v>
                </c:pt>
                <c:pt idx="99">
                  <c:v>1.6400000000000001E-2</c:v>
                </c:pt>
                <c:pt idx="100">
                  <c:v>1.6299999999999999E-2</c:v>
                </c:pt>
                <c:pt idx="101">
                  <c:v>1.6299999999999999E-2</c:v>
                </c:pt>
                <c:pt idx="102">
                  <c:v>1.6400000000000001E-2</c:v>
                </c:pt>
                <c:pt idx="103">
                  <c:v>1.6299999999999999E-2</c:v>
                </c:pt>
                <c:pt idx="104">
                  <c:v>1.6299999999999999E-2</c:v>
                </c:pt>
                <c:pt idx="105">
                  <c:v>1.6299999999999999E-2</c:v>
                </c:pt>
                <c:pt idx="106">
                  <c:v>1.6299999999999999E-2</c:v>
                </c:pt>
                <c:pt idx="107">
                  <c:v>1.6299999999999999E-2</c:v>
                </c:pt>
                <c:pt idx="108">
                  <c:v>1.6199999999999999E-2</c:v>
                </c:pt>
                <c:pt idx="109">
                  <c:v>1.6199999999999999E-2</c:v>
                </c:pt>
                <c:pt idx="110">
                  <c:v>1.6E-2</c:v>
                </c:pt>
                <c:pt idx="111">
                  <c:v>1.4800000000000001E-2</c:v>
                </c:pt>
                <c:pt idx="112">
                  <c:v>1.3899999999999999E-2</c:v>
                </c:pt>
                <c:pt idx="113">
                  <c:v>1.2200000000000001E-2</c:v>
                </c:pt>
                <c:pt idx="114">
                  <c:v>1.06E-2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0.19886583333333721</c:v>
                </c:pt>
                <c:pt idx="2">
                  <c:v>0.39930749999999904</c:v>
                </c:pt>
                <c:pt idx="3">
                  <c:v>0.59926833333332852</c:v>
                </c:pt>
                <c:pt idx="4">
                  <c:v>0.79881916666666752</c:v>
                </c:pt>
                <c:pt idx="5">
                  <c:v>0.99931250000000027</c:v>
                </c:pt>
                <c:pt idx="6">
                  <c:v>1.1997133333333294</c:v>
                </c:pt>
                <c:pt idx="7">
                  <c:v>1.3991833333333361</c:v>
                </c:pt>
                <c:pt idx="8">
                  <c:v>1.5991816666666658</c:v>
                </c:pt>
                <c:pt idx="9">
                  <c:v>1.7996716666666657</c:v>
                </c:pt>
                <c:pt idx="10">
                  <c:v>2.0004066666666636</c:v>
                </c:pt>
                <c:pt idx="11">
                  <c:v>2.1990900000000004</c:v>
                </c:pt>
                <c:pt idx="12">
                  <c:v>2.3997291666666674</c:v>
                </c:pt>
                <c:pt idx="13">
                  <c:v>2.5995666666666621</c:v>
                </c:pt>
                <c:pt idx="14">
                  <c:v>2.7989925000000029</c:v>
                </c:pt>
                <c:pt idx="15">
                  <c:v>2.9997258333333314</c:v>
                </c:pt>
                <c:pt idx="16">
                  <c:v>3.1994641666666617</c:v>
                </c:pt>
                <c:pt idx="17">
                  <c:v>3.3988125</c:v>
                </c:pt>
                <c:pt idx="18">
                  <c:v>3.5998141666666705</c:v>
                </c:pt>
                <c:pt idx="19">
                  <c:v>3.7991699999999988</c:v>
                </c:pt>
                <c:pt idx="20">
                  <c:v>3.9991941666666686</c:v>
                </c:pt>
                <c:pt idx="21">
                  <c:v>4.1992383333333327</c:v>
                </c:pt>
                <c:pt idx="22">
                  <c:v>4.3991416666666661</c:v>
                </c:pt>
                <c:pt idx="23">
                  <c:v>4.5992324999999994</c:v>
                </c:pt>
                <c:pt idx="24">
                  <c:v>4.7996591666666637</c:v>
                </c:pt>
                <c:pt idx="25">
                  <c:v>4.9996374999999977</c:v>
                </c:pt>
                <c:pt idx="26">
                  <c:v>5.1992216666666673</c:v>
                </c:pt>
                <c:pt idx="27">
                  <c:v>5.3997233333333332</c:v>
                </c:pt>
                <c:pt idx="28">
                  <c:v>5.5989950000000013</c:v>
                </c:pt>
                <c:pt idx="29">
                  <c:v>5.7995549999999971</c:v>
                </c:pt>
                <c:pt idx="30">
                  <c:v>5.9992458333333358</c:v>
                </c:pt>
                <c:pt idx="31">
                  <c:v>6.1993624999999959</c:v>
                </c:pt>
                <c:pt idx="32">
                  <c:v>6.4010008333333337</c:v>
                </c:pt>
                <c:pt idx="33">
                  <c:v>6.5995541666666702</c:v>
                </c:pt>
                <c:pt idx="34">
                  <c:v>6.7993783333333377</c:v>
                </c:pt>
                <c:pt idx="35">
                  <c:v>6.9998033333333298</c:v>
                </c:pt>
                <c:pt idx="36">
                  <c:v>7.2326933333333345</c:v>
                </c:pt>
                <c:pt idx="37">
                  <c:v>7.4331691666666657</c:v>
                </c:pt>
                <c:pt idx="38">
                  <c:v>7.6324983333333334</c:v>
                </c:pt>
                <c:pt idx="39">
                  <c:v>7.8324666666666642</c:v>
                </c:pt>
                <c:pt idx="40">
                  <c:v>8.0332358333333342</c:v>
                </c:pt>
                <c:pt idx="41">
                  <c:v>8.2325608333333342</c:v>
                </c:pt>
                <c:pt idx="42">
                  <c:v>8.4330408333333349</c:v>
                </c:pt>
                <c:pt idx="43">
                  <c:v>8.6325349999999972</c:v>
                </c:pt>
                <c:pt idx="44">
                  <c:v>8.8328633333333304</c:v>
                </c:pt>
                <c:pt idx="45">
                  <c:v>9.0333024999999978</c:v>
                </c:pt>
                <c:pt idx="46">
                  <c:v>9.2326774999999959</c:v>
                </c:pt>
                <c:pt idx="47">
                  <c:v>9.4328650000000049</c:v>
                </c:pt>
                <c:pt idx="48">
                  <c:v>9.6324216666666711</c:v>
                </c:pt>
                <c:pt idx="49">
                  <c:v>9.832509166666668</c:v>
                </c:pt>
                <c:pt idx="50">
                  <c:v>10.032681666666667</c:v>
                </c:pt>
                <c:pt idx="51">
                  <c:v>10.232740833333336</c:v>
                </c:pt>
                <c:pt idx="52">
                  <c:v>10.432595833333336</c:v>
                </c:pt>
                <c:pt idx="53">
                  <c:v>10.632604166666663</c:v>
                </c:pt>
                <c:pt idx="54">
                  <c:v>10.832586666666662</c:v>
                </c:pt>
                <c:pt idx="55">
                  <c:v>11.032689999999997</c:v>
                </c:pt>
                <c:pt idx="56">
                  <c:v>11.299603333333335</c:v>
                </c:pt>
                <c:pt idx="57">
                  <c:v>11.50061</c:v>
                </c:pt>
                <c:pt idx="58">
                  <c:v>11.699413333333325</c:v>
                </c:pt>
                <c:pt idx="59">
                  <c:v>11.899664166666666</c:v>
                </c:pt>
                <c:pt idx="60">
                  <c:v>12.099645833333335</c:v>
                </c:pt>
                <c:pt idx="61">
                  <c:v>12.280265000000004</c:v>
                </c:pt>
                <c:pt idx="62">
                  <c:v>12.480692999999993</c:v>
                </c:pt>
                <c:pt idx="63">
                  <c:v>12.680578000000001</c:v>
                </c:pt>
                <c:pt idx="64">
                  <c:v>12.880264999999998</c:v>
                </c:pt>
                <c:pt idx="65">
                  <c:v>13.080937999999994</c:v>
                </c:pt>
                <c:pt idx="66">
                  <c:v>13.245314444444443</c:v>
                </c:pt>
                <c:pt idx="67">
                  <c:v>13.444878888888891</c:v>
                </c:pt>
                <c:pt idx="68">
                  <c:v>13.645275555555564</c:v>
                </c:pt>
                <c:pt idx="69">
                  <c:v>13.845273333333326</c:v>
                </c:pt>
                <c:pt idx="70">
                  <c:v>14.054650000000001</c:v>
                </c:pt>
                <c:pt idx="71">
                  <c:v>14.244737777777781</c:v>
                </c:pt>
                <c:pt idx="72">
                  <c:v>14.445154444444446</c:v>
                </c:pt>
                <c:pt idx="73">
                  <c:v>14.645553333333339</c:v>
                </c:pt>
                <c:pt idx="74">
                  <c:v>14.844717777777781</c:v>
                </c:pt>
                <c:pt idx="75">
                  <c:v>15.044904444444452</c:v>
                </c:pt>
                <c:pt idx="76">
                  <c:v>15.244995555555555</c:v>
                </c:pt>
                <c:pt idx="77">
                  <c:v>15.444360000000001</c:v>
                </c:pt>
                <c:pt idx="78">
                  <c:v>15.644603333333338</c:v>
                </c:pt>
                <c:pt idx="79">
                  <c:v>15.84440222222223</c:v>
                </c:pt>
                <c:pt idx="80">
                  <c:v>16.045365555555559</c:v>
                </c:pt>
                <c:pt idx="81">
                  <c:v>16.246231111111104</c:v>
                </c:pt>
                <c:pt idx="82">
                  <c:v>16.445066666666676</c:v>
                </c:pt>
                <c:pt idx="83">
                  <c:v>16.645500000000002</c:v>
                </c:pt>
                <c:pt idx="84">
                  <c:v>16.844711111111117</c:v>
                </c:pt>
                <c:pt idx="85">
                  <c:v>17.044740000000004</c:v>
                </c:pt>
                <c:pt idx="86">
                  <c:v>17.244991111111108</c:v>
                </c:pt>
                <c:pt idx="87">
                  <c:v>17.445033333333338</c:v>
                </c:pt>
                <c:pt idx="88">
                  <c:v>17.644919999999995</c:v>
                </c:pt>
                <c:pt idx="89">
                  <c:v>17.84476333333334</c:v>
                </c:pt>
                <c:pt idx="90">
                  <c:v>18.045311111111115</c:v>
                </c:pt>
                <c:pt idx="91">
                  <c:v>18.244851111111114</c:v>
                </c:pt>
                <c:pt idx="92">
                  <c:v>18.444308888888894</c:v>
                </c:pt>
                <c:pt idx="93">
                  <c:v>18.645136666666662</c:v>
                </c:pt>
                <c:pt idx="94">
                  <c:v>18.844822222222223</c:v>
                </c:pt>
                <c:pt idx="95">
                  <c:v>19.044720000000002</c:v>
                </c:pt>
                <c:pt idx="96">
                  <c:v>19.244914444444444</c:v>
                </c:pt>
                <c:pt idx="97">
                  <c:v>19.444421111111112</c:v>
                </c:pt>
                <c:pt idx="98">
                  <c:v>19.689428888888887</c:v>
                </c:pt>
                <c:pt idx="99">
                  <c:v>19.889060000000001</c:v>
                </c:pt>
                <c:pt idx="100">
                  <c:v>20.089671111111116</c:v>
                </c:pt>
                <c:pt idx="101">
                  <c:v>20.289292222222215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1.2666666666666664E-3</c:v>
                </c:pt>
                <c:pt idx="2">
                  <c:v>1.2333333333333335E-3</c:v>
                </c:pt>
                <c:pt idx="3">
                  <c:v>1.4166666666666668E-3</c:v>
                </c:pt>
                <c:pt idx="4">
                  <c:v>1.8250000000000002E-3</c:v>
                </c:pt>
                <c:pt idx="5">
                  <c:v>2.4749999999999993E-3</c:v>
                </c:pt>
                <c:pt idx="6">
                  <c:v>2.8999999999999998E-3</c:v>
                </c:pt>
                <c:pt idx="7">
                  <c:v>3.7749999999999993E-3</c:v>
                </c:pt>
                <c:pt idx="8">
                  <c:v>4.816666666666667E-3</c:v>
                </c:pt>
                <c:pt idx="9">
                  <c:v>5.9583333333333337E-3</c:v>
                </c:pt>
                <c:pt idx="10">
                  <c:v>7.1916666666666665E-3</c:v>
                </c:pt>
                <c:pt idx="11">
                  <c:v>8.4750000000000016E-3</c:v>
                </c:pt>
                <c:pt idx="12">
                  <c:v>9.8083333333333338E-3</c:v>
                </c:pt>
                <c:pt idx="13">
                  <c:v>1.1133333333333334E-2</c:v>
                </c:pt>
                <c:pt idx="14">
                  <c:v>1.2408333333333332E-2</c:v>
                </c:pt>
                <c:pt idx="15">
                  <c:v>1.3599999999999999E-2</c:v>
                </c:pt>
                <c:pt idx="16">
                  <c:v>1.4716666666666664E-2</c:v>
                </c:pt>
                <c:pt idx="17">
                  <c:v>1.5716666666666667E-2</c:v>
                </c:pt>
                <c:pt idx="18">
                  <c:v>1.6558333333333331E-2</c:v>
                </c:pt>
                <c:pt idx="19">
                  <c:v>1.7225000000000001E-2</c:v>
                </c:pt>
                <c:pt idx="20">
                  <c:v>1.7691666666666665E-2</c:v>
                </c:pt>
                <c:pt idx="21">
                  <c:v>1.7991666666666666E-2</c:v>
                </c:pt>
                <c:pt idx="22">
                  <c:v>1.8058333333333332E-2</c:v>
                </c:pt>
                <c:pt idx="23">
                  <c:v>1.7925E-2</c:v>
                </c:pt>
                <c:pt idx="24">
                  <c:v>1.7591666666666662E-2</c:v>
                </c:pt>
                <c:pt idx="25">
                  <c:v>1.7033333333333334E-2</c:v>
                </c:pt>
                <c:pt idx="26">
                  <c:v>1.635E-2</c:v>
                </c:pt>
                <c:pt idx="27">
                  <c:v>1.5466666666666668E-2</c:v>
                </c:pt>
                <c:pt idx="28">
                  <c:v>1.4433333333333333E-2</c:v>
                </c:pt>
                <c:pt idx="29">
                  <c:v>1.3291666666666667E-2</c:v>
                </c:pt>
                <c:pt idx="30">
                  <c:v>1.2066666666666668E-2</c:v>
                </c:pt>
                <c:pt idx="31">
                  <c:v>1.0791666666666666E-2</c:v>
                </c:pt>
                <c:pt idx="32">
                  <c:v>9.4333333333333335E-3</c:v>
                </c:pt>
                <c:pt idx="33">
                  <c:v>8.1166666666666661E-3</c:v>
                </c:pt>
                <c:pt idx="34">
                  <c:v>6.8499999999999985E-3</c:v>
                </c:pt>
                <c:pt idx="35">
                  <c:v>5.8999999999999999E-3</c:v>
                </c:pt>
                <c:pt idx="36">
                  <c:v>4.5666666666666677E-3</c:v>
                </c:pt>
                <c:pt idx="37">
                  <c:v>3.5333333333333328E-3</c:v>
                </c:pt>
                <c:pt idx="38">
                  <c:v>2.7000000000000006E-3</c:v>
                </c:pt>
                <c:pt idx="39">
                  <c:v>2.0249999999999995E-3</c:v>
                </c:pt>
                <c:pt idx="40">
                  <c:v>1.6000000000000001E-3</c:v>
                </c:pt>
                <c:pt idx="41">
                  <c:v>1.3499999999999996E-3</c:v>
                </c:pt>
                <c:pt idx="42">
                  <c:v>1.3666666666666669E-3</c:v>
                </c:pt>
                <c:pt idx="43">
                  <c:v>1.5833333333333333E-3</c:v>
                </c:pt>
                <c:pt idx="44">
                  <c:v>2.016666666666667E-3</c:v>
                </c:pt>
                <c:pt idx="45">
                  <c:v>2.6916666666666664E-3</c:v>
                </c:pt>
                <c:pt idx="46">
                  <c:v>3.4916666666666659E-3</c:v>
                </c:pt>
                <c:pt idx="47">
                  <c:v>4.5250000000000004E-3</c:v>
                </c:pt>
                <c:pt idx="48">
                  <c:v>5.7000000000000002E-3</c:v>
                </c:pt>
                <c:pt idx="49">
                  <c:v>6.9833333333333344E-3</c:v>
                </c:pt>
                <c:pt idx="50">
                  <c:v>8.3249999999999991E-3</c:v>
                </c:pt>
                <c:pt idx="51">
                  <c:v>9.7666666666666683E-3</c:v>
                </c:pt>
                <c:pt idx="52">
                  <c:v>1.1183333333333335E-2</c:v>
                </c:pt>
                <c:pt idx="53">
                  <c:v>1.2616666666666667E-2</c:v>
                </c:pt>
                <c:pt idx="54">
                  <c:v>1.3991666666666666E-2</c:v>
                </c:pt>
                <c:pt idx="55">
                  <c:v>1.525E-2</c:v>
                </c:pt>
                <c:pt idx="56">
                  <c:v>1.6674999999999999E-2</c:v>
                </c:pt>
                <c:pt idx="57">
                  <c:v>1.7641666666666667E-2</c:v>
                </c:pt>
                <c:pt idx="58">
                  <c:v>1.8391666666666664E-2</c:v>
                </c:pt>
                <c:pt idx="59">
                  <c:v>1.8975000000000002E-2</c:v>
                </c:pt>
                <c:pt idx="60">
                  <c:v>1.9316666666666663E-2</c:v>
                </c:pt>
                <c:pt idx="61">
                  <c:v>1.9300000000000001E-2</c:v>
                </c:pt>
                <c:pt idx="62">
                  <c:v>1.9319999999999997E-2</c:v>
                </c:pt>
                <c:pt idx="63">
                  <c:v>1.9140000000000001E-2</c:v>
                </c:pt>
                <c:pt idx="64">
                  <c:v>1.8749999999999996E-2</c:v>
                </c:pt>
                <c:pt idx="65">
                  <c:v>1.813E-2</c:v>
                </c:pt>
                <c:pt idx="66">
                  <c:v>1.7755555555555556E-2</c:v>
                </c:pt>
                <c:pt idx="67">
                  <c:v>1.6877777777777776E-2</c:v>
                </c:pt>
                <c:pt idx="68">
                  <c:v>1.5833333333333331E-2</c:v>
                </c:pt>
                <c:pt idx="69">
                  <c:v>1.4644444444444444E-2</c:v>
                </c:pt>
                <c:pt idx="70">
                  <c:v>1.3299999999999999E-2</c:v>
                </c:pt>
                <c:pt idx="71">
                  <c:v>1.2055555555555555E-2</c:v>
                </c:pt>
                <c:pt idx="72">
                  <c:v>1.0666666666666666E-2</c:v>
                </c:pt>
                <c:pt idx="73">
                  <c:v>9.2555555555555551E-3</c:v>
                </c:pt>
                <c:pt idx="74">
                  <c:v>7.9111111111111118E-3</c:v>
                </c:pt>
                <c:pt idx="75">
                  <c:v>6.6333333333333322E-3</c:v>
                </c:pt>
                <c:pt idx="76">
                  <c:v>5.4333333333333343E-3</c:v>
                </c:pt>
                <c:pt idx="77">
                  <c:v>4.3444444444444433E-3</c:v>
                </c:pt>
                <c:pt idx="78">
                  <c:v>3.4444444444444444E-3</c:v>
                </c:pt>
                <c:pt idx="79">
                  <c:v>2.6777777777777772E-3</c:v>
                </c:pt>
                <c:pt idx="80">
                  <c:v>2.1333333333333334E-3</c:v>
                </c:pt>
                <c:pt idx="81">
                  <c:v>1.7666666666666664E-3</c:v>
                </c:pt>
                <c:pt idx="82">
                  <c:v>1.6444444444444447E-3</c:v>
                </c:pt>
                <c:pt idx="83">
                  <c:v>1.7333333333333335E-3</c:v>
                </c:pt>
                <c:pt idx="84">
                  <c:v>2.0222222222222221E-3</c:v>
                </c:pt>
                <c:pt idx="85">
                  <c:v>2.5555555555555557E-3</c:v>
                </c:pt>
                <c:pt idx="86">
                  <c:v>3.2333333333333333E-3</c:v>
                </c:pt>
                <c:pt idx="87">
                  <c:v>4.1222222222222224E-3</c:v>
                </c:pt>
                <c:pt idx="88">
                  <c:v>5.1666666666666666E-3</c:v>
                </c:pt>
                <c:pt idx="89">
                  <c:v>6.3666666666666663E-3</c:v>
                </c:pt>
                <c:pt idx="90">
                  <c:v>7.6222222222222229E-3</c:v>
                </c:pt>
                <c:pt idx="91">
                  <c:v>8.9555555555555569E-3</c:v>
                </c:pt>
                <c:pt idx="92">
                  <c:v>1.0333333333333333E-2</c:v>
                </c:pt>
                <c:pt idx="93">
                  <c:v>1.1722222222222221E-2</c:v>
                </c:pt>
                <c:pt idx="94">
                  <c:v>1.3088888888888891E-2</c:v>
                </c:pt>
                <c:pt idx="95">
                  <c:v>1.4377777777777776E-2</c:v>
                </c:pt>
                <c:pt idx="96">
                  <c:v>1.5566666666666666E-2</c:v>
                </c:pt>
                <c:pt idx="97">
                  <c:v>1.6644444444444444E-2</c:v>
                </c:pt>
                <c:pt idx="98">
                  <c:v>1.7733333333333334E-2</c:v>
                </c:pt>
                <c:pt idx="99">
                  <c:v>1.8444444444444444E-2</c:v>
                </c:pt>
                <c:pt idx="100">
                  <c:v>1.8922222222222219E-2</c:v>
                </c:pt>
                <c:pt idx="101">
                  <c:v>1.9211111111111109E-2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0.19886583333333721</c:v>
                </c:pt>
                <c:pt idx="2">
                  <c:v>0.39930749999999904</c:v>
                </c:pt>
                <c:pt idx="3">
                  <c:v>0.59926833333332852</c:v>
                </c:pt>
                <c:pt idx="4">
                  <c:v>0.79881916666666752</c:v>
                </c:pt>
                <c:pt idx="5">
                  <c:v>0.99931250000000027</c:v>
                </c:pt>
                <c:pt idx="6">
                  <c:v>1.1997133333333294</c:v>
                </c:pt>
                <c:pt idx="7">
                  <c:v>1.3991833333333361</c:v>
                </c:pt>
                <c:pt idx="8">
                  <c:v>1.5991816666666658</c:v>
                </c:pt>
                <c:pt idx="9">
                  <c:v>1.7996716666666657</c:v>
                </c:pt>
                <c:pt idx="10">
                  <c:v>2.0004066666666636</c:v>
                </c:pt>
                <c:pt idx="11">
                  <c:v>2.1990900000000004</c:v>
                </c:pt>
                <c:pt idx="12">
                  <c:v>2.3997291666666674</c:v>
                </c:pt>
                <c:pt idx="13">
                  <c:v>2.5995666666666621</c:v>
                </c:pt>
                <c:pt idx="14">
                  <c:v>2.7989925000000029</c:v>
                </c:pt>
                <c:pt idx="15">
                  <c:v>2.9997258333333314</c:v>
                </c:pt>
                <c:pt idx="16">
                  <c:v>3.1994641666666617</c:v>
                </c:pt>
                <c:pt idx="17">
                  <c:v>3.3988125</c:v>
                </c:pt>
                <c:pt idx="18">
                  <c:v>3.5998141666666705</c:v>
                </c:pt>
                <c:pt idx="19">
                  <c:v>3.7991699999999988</c:v>
                </c:pt>
                <c:pt idx="20">
                  <c:v>3.9991941666666686</c:v>
                </c:pt>
                <c:pt idx="21">
                  <c:v>4.1992383333333327</c:v>
                </c:pt>
                <c:pt idx="22">
                  <c:v>4.3991416666666661</c:v>
                </c:pt>
                <c:pt idx="23">
                  <c:v>4.5992324999999994</c:v>
                </c:pt>
                <c:pt idx="24">
                  <c:v>4.7996591666666637</c:v>
                </c:pt>
                <c:pt idx="25">
                  <c:v>4.9996374999999977</c:v>
                </c:pt>
                <c:pt idx="26">
                  <c:v>5.1992216666666673</c:v>
                </c:pt>
                <c:pt idx="27">
                  <c:v>5.3997233333333332</c:v>
                </c:pt>
                <c:pt idx="28">
                  <c:v>5.5989950000000013</c:v>
                </c:pt>
                <c:pt idx="29">
                  <c:v>5.7995549999999971</c:v>
                </c:pt>
                <c:pt idx="30">
                  <c:v>5.9992458333333358</c:v>
                </c:pt>
                <c:pt idx="31">
                  <c:v>6.1993624999999959</c:v>
                </c:pt>
                <c:pt idx="32">
                  <c:v>6.4010008333333337</c:v>
                </c:pt>
                <c:pt idx="33">
                  <c:v>6.5995541666666702</c:v>
                </c:pt>
                <c:pt idx="34">
                  <c:v>6.7993783333333377</c:v>
                </c:pt>
                <c:pt idx="35">
                  <c:v>6.9998033333333298</c:v>
                </c:pt>
                <c:pt idx="36">
                  <c:v>7.2326933333333345</c:v>
                </c:pt>
                <c:pt idx="37">
                  <c:v>7.4331691666666657</c:v>
                </c:pt>
                <c:pt idx="38">
                  <c:v>7.6324983333333334</c:v>
                </c:pt>
                <c:pt idx="39">
                  <c:v>7.8324666666666642</c:v>
                </c:pt>
                <c:pt idx="40">
                  <c:v>8.0332358333333342</c:v>
                </c:pt>
                <c:pt idx="41">
                  <c:v>8.2325608333333342</c:v>
                </c:pt>
                <c:pt idx="42">
                  <c:v>8.4330408333333349</c:v>
                </c:pt>
                <c:pt idx="43">
                  <c:v>8.6325349999999972</c:v>
                </c:pt>
                <c:pt idx="44">
                  <c:v>8.8328633333333304</c:v>
                </c:pt>
                <c:pt idx="45">
                  <c:v>9.0333024999999978</c:v>
                </c:pt>
                <c:pt idx="46">
                  <c:v>9.2326774999999959</c:v>
                </c:pt>
                <c:pt idx="47">
                  <c:v>9.4328650000000049</c:v>
                </c:pt>
                <c:pt idx="48">
                  <c:v>9.6324216666666711</c:v>
                </c:pt>
                <c:pt idx="49">
                  <c:v>9.832509166666668</c:v>
                </c:pt>
                <c:pt idx="50">
                  <c:v>10.032681666666667</c:v>
                </c:pt>
                <c:pt idx="51">
                  <c:v>10.232740833333336</c:v>
                </c:pt>
                <c:pt idx="52">
                  <c:v>10.432595833333336</c:v>
                </c:pt>
                <c:pt idx="53">
                  <c:v>10.632604166666663</c:v>
                </c:pt>
                <c:pt idx="54">
                  <c:v>10.832586666666662</c:v>
                </c:pt>
                <c:pt idx="55">
                  <c:v>11.032689999999997</c:v>
                </c:pt>
                <c:pt idx="56">
                  <c:v>11.299603333333335</c:v>
                </c:pt>
                <c:pt idx="57">
                  <c:v>11.50061</c:v>
                </c:pt>
                <c:pt idx="58">
                  <c:v>11.699413333333325</c:v>
                </c:pt>
                <c:pt idx="59">
                  <c:v>11.899664166666666</c:v>
                </c:pt>
                <c:pt idx="60">
                  <c:v>12.099645833333335</c:v>
                </c:pt>
                <c:pt idx="61">
                  <c:v>12.280265000000004</c:v>
                </c:pt>
                <c:pt idx="62">
                  <c:v>12.480692999999993</c:v>
                </c:pt>
                <c:pt idx="63">
                  <c:v>12.680578000000001</c:v>
                </c:pt>
                <c:pt idx="64">
                  <c:v>12.880264999999998</c:v>
                </c:pt>
                <c:pt idx="65">
                  <c:v>13.080937999999994</c:v>
                </c:pt>
                <c:pt idx="66">
                  <c:v>13.245314444444443</c:v>
                </c:pt>
                <c:pt idx="67">
                  <c:v>13.444878888888891</c:v>
                </c:pt>
                <c:pt idx="68">
                  <c:v>13.645275555555564</c:v>
                </c:pt>
                <c:pt idx="69">
                  <c:v>13.845273333333326</c:v>
                </c:pt>
                <c:pt idx="70">
                  <c:v>14.054650000000001</c:v>
                </c:pt>
                <c:pt idx="71">
                  <c:v>14.244737777777781</c:v>
                </c:pt>
                <c:pt idx="72">
                  <c:v>14.445154444444446</c:v>
                </c:pt>
                <c:pt idx="73">
                  <c:v>14.645553333333339</c:v>
                </c:pt>
                <c:pt idx="74">
                  <c:v>14.844717777777781</c:v>
                </c:pt>
                <c:pt idx="75">
                  <c:v>15.044904444444452</c:v>
                </c:pt>
                <c:pt idx="76">
                  <c:v>15.244995555555555</c:v>
                </c:pt>
                <c:pt idx="77">
                  <c:v>15.444360000000001</c:v>
                </c:pt>
                <c:pt idx="78">
                  <c:v>15.644603333333338</c:v>
                </c:pt>
                <c:pt idx="79">
                  <c:v>15.84440222222223</c:v>
                </c:pt>
                <c:pt idx="80">
                  <c:v>16.045365555555559</c:v>
                </c:pt>
                <c:pt idx="81">
                  <c:v>16.246231111111104</c:v>
                </c:pt>
                <c:pt idx="82">
                  <c:v>16.445066666666676</c:v>
                </c:pt>
                <c:pt idx="83">
                  <c:v>16.645500000000002</c:v>
                </c:pt>
                <c:pt idx="84">
                  <c:v>16.844711111111117</c:v>
                </c:pt>
                <c:pt idx="85">
                  <c:v>17.044740000000004</c:v>
                </c:pt>
                <c:pt idx="86">
                  <c:v>17.244991111111108</c:v>
                </c:pt>
                <c:pt idx="87">
                  <c:v>17.445033333333338</c:v>
                </c:pt>
                <c:pt idx="88">
                  <c:v>17.644919999999995</c:v>
                </c:pt>
                <c:pt idx="89">
                  <c:v>17.84476333333334</c:v>
                </c:pt>
                <c:pt idx="90">
                  <c:v>18.045311111111115</c:v>
                </c:pt>
                <c:pt idx="91">
                  <c:v>18.244851111111114</c:v>
                </c:pt>
                <c:pt idx="92">
                  <c:v>18.444308888888894</c:v>
                </c:pt>
                <c:pt idx="93">
                  <c:v>18.645136666666662</c:v>
                </c:pt>
                <c:pt idx="94">
                  <c:v>18.844822222222223</c:v>
                </c:pt>
                <c:pt idx="95">
                  <c:v>19.044720000000002</c:v>
                </c:pt>
                <c:pt idx="96">
                  <c:v>19.244914444444444</c:v>
                </c:pt>
                <c:pt idx="97">
                  <c:v>19.444421111111112</c:v>
                </c:pt>
                <c:pt idx="98">
                  <c:v>19.689428888888887</c:v>
                </c:pt>
                <c:pt idx="99">
                  <c:v>19.889060000000001</c:v>
                </c:pt>
                <c:pt idx="100">
                  <c:v>20.089671111111116</c:v>
                </c:pt>
                <c:pt idx="101">
                  <c:v>20.289292222222215</c:v>
                </c:pt>
                <c:pt idx="102">
                  <c:v>20.489734444444448</c:v>
                </c:pt>
                <c:pt idx="103">
                  <c:v>20.689286666666664</c:v>
                </c:pt>
                <c:pt idx="104">
                  <c:v>20.890013333333329</c:v>
                </c:pt>
                <c:pt idx="105">
                  <c:v>21.089549999999999</c:v>
                </c:pt>
                <c:pt idx="106">
                  <c:v>21.289132222222221</c:v>
                </c:pt>
                <c:pt idx="107">
                  <c:v>21.489487777777779</c:v>
                </c:pt>
                <c:pt idx="108">
                  <c:v>21.689213333333338</c:v>
                </c:pt>
                <c:pt idx="109">
                  <c:v>21.889254444444457</c:v>
                </c:pt>
                <c:pt idx="110">
                  <c:v>22.089331111111107</c:v>
                </c:pt>
                <c:pt idx="111">
                  <c:v>22.289216666666665</c:v>
                </c:pt>
                <c:pt idx="112">
                  <c:v>22.489108888888893</c:v>
                </c:pt>
                <c:pt idx="113">
                  <c:v>22.600258571428583</c:v>
                </c:pt>
                <c:pt idx="114">
                  <c:v>22.801811428571423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1.2666666666666664E-3</c:v>
                </c:pt>
                <c:pt idx="2">
                  <c:v>1.2333333333333335E-3</c:v>
                </c:pt>
                <c:pt idx="3">
                  <c:v>1.4166666666666668E-3</c:v>
                </c:pt>
                <c:pt idx="4">
                  <c:v>1.8250000000000002E-3</c:v>
                </c:pt>
                <c:pt idx="5">
                  <c:v>2.4749999999999993E-3</c:v>
                </c:pt>
                <c:pt idx="6">
                  <c:v>2.8999999999999998E-3</c:v>
                </c:pt>
                <c:pt idx="7">
                  <c:v>3.7749999999999993E-3</c:v>
                </c:pt>
                <c:pt idx="8">
                  <c:v>4.816666666666667E-3</c:v>
                </c:pt>
                <c:pt idx="9">
                  <c:v>5.9583333333333337E-3</c:v>
                </c:pt>
                <c:pt idx="10">
                  <c:v>7.1916666666666665E-3</c:v>
                </c:pt>
                <c:pt idx="11">
                  <c:v>8.4750000000000016E-3</c:v>
                </c:pt>
                <c:pt idx="12">
                  <c:v>9.8083333333333338E-3</c:v>
                </c:pt>
                <c:pt idx="13">
                  <c:v>1.1133333333333334E-2</c:v>
                </c:pt>
                <c:pt idx="14">
                  <c:v>1.2408333333333332E-2</c:v>
                </c:pt>
                <c:pt idx="15">
                  <c:v>1.3599999999999999E-2</c:v>
                </c:pt>
                <c:pt idx="16">
                  <c:v>1.4716666666666664E-2</c:v>
                </c:pt>
                <c:pt idx="17">
                  <c:v>1.5716666666666667E-2</c:v>
                </c:pt>
                <c:pt idx="18">
                  <c:v>1.6558333333333331E-2</c:v>
                </c:pt>
                <c:pt idx="19">
                  <c:v>1.7225000000000001E-2</c:v>
                </c:pt>
                <c:pt idx="20">
                  <c:v>1.7691666666666665E-2</c:v>
                </c:pt>
                <c:pt idx="21">
                  <c:v>1.7991666666666666E-2</c:v>
                </c:pt>
                <c:pt idx="22">
                  <c:v>1.8058333333333332E-2</c:v>
                </c:pt>
                <c:pt idx="23">
                  <c:v>1.7925E-2</c:v>
                </c:pt>
                <c:pt idx="24">
                  <c:v>1.7591666666666662E-2</c:v>
                </c:pt>
                <c:pt idx="25">
                  <c:v>1.7033333333333334E-2</c:v>
                </c:pt>
                <c:pt idx="26">
                  <c:v>1.635E-2</c:v>
                </c:pt>
                <c:pt idx="27">
                  <c:v>1.5466666666666668E-2</c:v>
                </c:pt>
                <c:pt idx="28">
                  <c:v>1.4433333333333333E-2</c:v>
                </c:pt>
                <c:pt idx="29">
                  <c:v>1.3291666666666667E-2</c:v>
                </c:pt>
                <c:pt idx="30">
                  <c:v>1.2066666666666668E-2</c:v>
                </c:pt>
                <c:pt idx="31">
                  <c:v>1.0791666666666666E-2</c:v>
                </c:pt>
                <c:pt idx="32">
                  <c:v>9.4333333333333335E-3</c:v>
                </c:pt>
                <c:pt idx="33">
                  <c:v>8.1166666666666661E-3</c:v>
                </c:pt>
                <c:pt idx="34">
                  <c:v>6.8499999999999985E-3</c:v>
                </c:pt>
                <c:pt idx="35">
                  <c:v>5.8999999999999999E-3</c:v>
                </c:pt>
                <c:pt idx="36">
                  <c:v>4.5666666666666677E-3</c:v>
                </c:pt>
                <c:pt idx="37">
                  <c:v>3.5333333333333328E-3</c:v>
                </c:pt>
                <c:pt idx="38">
                  <c:v>2.7000000000000006E-3</c:v>
                </c:pt>
                <c:pt idx="39">
                  <c:v>2.0249999999999995E-3</c:v>
                </c:pt>
                <c:pt idx="40">
                  <c:v>1.6000000000000001E-3</c:v>
                </c:pt>
                <c:pt idx="41">
                  <c:v>1.3499999999999996E-3</c:v>
                </c:pt>
                <c:pt idx="42">
                  <c:v>1.3666666666666669E-3</c:v>
                </c:pt>
                <c:pt idx="43">
                  <c:v>1.5833333333333333E-3</c:v>
                </c:pt>
                <c:pt idx="44">
                  <c:v>2.016666666666667E-3</c:v>
                </c:pt>
                <c:pt idx="45">
                  <c:v>2.6916666666666664E-3</c:v>
                </c:pt>
                <c:pt idx="46">
                  <c:v>3.4916666666666659E-3</c:v>
                </c:pt>
                <c:pt idx="47">
                  <c:v>4.5250000000000004E-3</c:v>
                </c:pt>
                <c:pt idx="48">
                  <c:v>5.7000000000000002E-3</c:v>
                </c:pt>
                <c:pt idx="49">
                  <c:v>6.9833333333333344E-3</c:v>
                </c:pt>
                <c:pt idx="50">
                  <c:v>8.3249999999999991E-3</c:v>
                </c:pt>
                <c:pt idx="51">
                  <c:v>9.7666666666666683E-3</c:v>
                </c:pt>
                <c:pt idx="52">
                  <c:v>1.1183333333333335E-2</c:v>
                </c:pt>
                <c:pt idx="53">
                  <c:v>1.2616666666666667E-2</c:v>
                </c:pt>
                <c:pt idx="54">
                  <c:v>1.3991666666666666E-2</c:v>
                </c:pt>
                <c:pt idx="55">
                  <c:v>1.525E-2</c:v>
                </c:pt>
                <c:pt idx="56">
                  <c:v>1.6674999999999999E-2</c:v>
                </c:pt>
                <c:pt idx="57">
                  <c:v>1.7641666666666667E-2</c:v>
                </c:pt>
                <c:pt idx="58">
                  <c:v>1.8391666666666664E-2</c:v>
                </c:pt>
                <c:pt idx="59">
                  <c:v>1.8975000000000002E-2</c:v>
                </c:pt>
                <c:pt idx="60">
                  <c:v>1.9316666666666663E-2</c:v>
                </c:pt>
                <c:pt idx="61">
                  <c:v>1.9300000000000001E-2</c:v>
                </c:pt>
                <c:pt idx="62">
                  <c:v>1.9319999999999997E-2</c:v>
                </c:pt>
                <c:pt idx="63">
                  <c:v>1.9140000000000001E-2</c:v>
                </c:pt>
                <c:pt idx="64">
                  <c:v>1.8749999999999996E-2</c:v>
                </c:pt>
                <c:pt idx="65">
                  <c:v>1.813E-2</c:v>
                </c:pt>
                <c:pt idx="66">
                  <c:v>1.7755555555555556E-2</c:v>
                </c:pt>
                <c:pt idx="67">
                  <c:v>1.6877777777777776E-2</c:v>
                </c:pt>
                <c:pt idx="68">
                  <c:v>1.5833333333333331E-2</c:v>
                </c:pt>
                <c:pt idx="69">
                  <c:v>1.4644444444444444E-2</c:v>
                </c:pt>
                <c:pt idx="70">
                  <c:v>1.3299999999999999E-2</c:v>
                </c:pt>
                <c:pt idx="71">
                  <c:v>1.2055555555555555E-2</c:v>
                </c:pt>
                <c:pt idx="72">
                  <c:v>1.0666666666666666E-2</c:v>
                </c:pt>
                <c:pt idx="73">
                  <c:v>9.2555555555555551E-3</c:v>
                </c:pt>
                <c:pt idx="74">
                  <c:v>7.9111111111111118E-3</c:v>
                </c:pt>
                <c:pt idx="75">
                  <c:v>6.6333333333333322E-3</c:v>
                </c:pt>
                <c:pt idx="76">
                  <c:v>5.4333333333333343E-3</c:v>
                </c:pt>
                <c:pt idx="77">
                  <c:v>4.3444444444444433E-3</c:v>
                </c:pt>
                <c:pt idx="78">
                  <c:v>3.4444444444444444E-3</c:v>
                </c:pt>
                <c:pt idx="79">
                  <c:v>2.6777777777777772E-3</c:v>
                </c:pt>
                <c:pt idx="80">
                  <c:v>2.1333333333333334E-3</c:v>
                </c:pt>
                <c:pt idx="81">
                  <c:v>1.7666666666666664E-3</c:v>
                </c:pt>
                <c:pt idx="82">
                  <c:v>1.6444444444444447E-3</c:v>
                </c:pt>
                <c:pt idx="83">
                  <c:v>1.7333333333333335E-3</c:v>
                </c:pt>
                <c:pt idx="84">
                  <c:v>2.0222222222222221E-3</c:v>
                </c:pt>
                <c:pt idx="85">
                  <c:v>2.5555555555555557E-3</c:v>
                </c:pt>
                <c:pt idx="86">
                  <c:v>3.2333333333333333E-3</c:v>
                </c:pt>
                <c:pt idx="87">
                  <c:v>4.1222222222222224E-3</c:v>
                </c:pt>
                <c:pt idx="88">
                  <c:v>5.1666666666666666E-3</c:v>
                </c:pt>
                <c:pt idx="89">
                  <c:v>6.3666666666666663E-3</c:v>
                </c:pt>
                <c:pt idx="90">
                  <c:v>7.6222222222222229E-3</c:v>
                </c:pt>
                <c:pt idx="91">
                  <c:v>8.9555555555555569E-3</c:v>
                </c:pt>
                <c:pt idx="92">
                  <c:v>1.0333333333333333E-2</c:v>
                </c:pt>
                <c:pt idx="93">
                  <c:v>1.1722222222222221E-2</c:v>
                </c:pt>
                <c:pt idx="94">
                  <c:v>1.3088888888888891E-2</c:v>
                </c:pt>
                <c:pt idx="95">
                  <c:v>1.4377777777777776E-2</c:v>
                </c:pt>
                <c:pt idx="96">
                  <c:v>1.5566666666666666E-2</c:v>
                </c:pt>
                <c:pt idx="97">
                  <c:v>1.6644444444444444E-2</c:v>
                </c:pt>
                <c:pt idx="98">
                  <c:v>1.7733333333333334E-2</c:v>
                </c:pt>
                <c:pt idx="99">
                  <c:v>1.8444444444444444E-2</c:v>
                </c:pt>
                <c:pt idx="100">
                  <c:v>1.8922222222222219E-2</c:v>
                </c:pt>
                <c:pt idx="101">
                  <c:v>1.9211111111111109E-2</c:v>
                </c:pt>
                <c:pt idx="102">
                  <c:v>1.9288888888888887E-2</c:v>
                </c:pt>
                <c:pt idx="103">
                  <c:v>1.9166666666666669E-2</c:v>
                </c:pt>
                <c:pt idx="104">
                  <c:v>1.8799999999999997E-2</c:v>
                </c:pt>
                <c:pt idx="105">
                  <c:v>1.8222222222222223E-2</c:v>
                </c:pt>
                <c:pt idx="106">
                  <c:v>1.7500000000000002E-2</c:v>
                </c:pt>
                <c:pt idx="107">
                  <c:v>1.6577777777777778E-2</c:v>
                </c:pt>
                <c:pt idx="108">
                  <c:v>1.5499999999999998E-2</c:v>
                </c:pt>
                <c:pt idx="109">
                  <c:v>1.43E-2</c:v>
                </c:pt>
                <c:pt idx="110">
                  <c:v>1.3022222222222221E-2</c:v>
                </c:pt>
                <c:pt idx="111">
                  <c:v>1.1666666666666665E-2</c:v>
                </c:pt>
                <c:pt idx="112">
                  <c:v>1.0288888888888889E-2</c:v>
                </c:pt>
                <c:pt idx="113">
                  <c:v>1.0228571428571429E-2</c:v>
                </c:pt>
                <c:pt idx="114">
                  <c:v>8.8571428571428568E-3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0.19886583333333721</c:v>
                </c:pt>
                <c:pt idx="2">
                  <c:v>0.39930749999999904</c:v>
                </c:pt>
                <c:pt idx="3">
                  <c:v>0.59926833333332852</c:v>
                </c:pt>
                <c:pt idx="4">
                  <c:v>0.79881916666666752</c:v>
                </c:pt>
                <c:pt idx="5">
                  <c:v>0.99931250000000027</c:v>
                </c:pt>
                <c:pt idx="6">
                  <c:v>1.1997133333333294</c:v>
                </c:pt>
                <c:pt idx="7">
                  <c:v>1.3991833333333361</c:v>
                </c:pt>
                <c:pt idx="8">
                  <c:v>1.5991816666666658</c:v>
                </c:pt>
                <c:pt idx="9">
                  <c:v>1.7996716666666657</c:v>
                </c:pt>
                <c:pt idx="10">
                  <c:v>2.0004066666666636</c:v>
                </c:pt>
                <c:pt idx="11">
                  <c:v>2.1990900000000004</c:v>
                </c:pt>
                <c:pt idx="12">
                  <c:v>2.3997291666666674</c:v>
                </c:pt>
                <c:pt idx="13">
                  <c:v>2.5995666666666621</c:v>
                </c:pt>
                <c:pt idx="14">
                  <c:v>2.7989925000000029</c:v>
                </c:pt>
                <c:pt idx="15">
                  <c:v>2.9997258333333314</c:v>
                </c:pt>
                <c:pt idx="16">
                  <c:v>3.1994641666666617</c:v>
                </c:pt>
                <c:pt idx="17">
                  <c:v>3.3988125</c:v>
                </c:pt>
                <c:pt idx="18">
                  <c:v>3.5998141666666705</c:v>
                </c:pt>
                <c:pt idx="19">
                  <c:v>3.7991699999999988</c:v>
                </c:pt>
                <c:pt idx="20">
                  <c:v>3.9991941666666686</c:v>
                </c:pt>
                <c:pt idx="21">
                  <c:v>4.1992383333333327</c:v>
                </c:pt>
                <c:pt idx="22">
                  <c:v>4.3991416666666661</c:v>
                </c:pt>
                <c:pt idx="23">
                  <c:v>4.5992324999999994</c:v>
                </c:pt>
                <c:pt idx="24">
                  <c:v>4.7996591666666637</c:v>
                </c:pt>
                <c:pt idx="25">
                  <c:v>4.9996374999999977</c:v>
                </c:pt>
                <c:pt idx="26">
                  <c:v>5.1992216666666673</c:v>
                </c:pt>
                <c:pt idx="27">
                  <c:v>5.3997233333333332</c:v>
                </c:pt>
                <c:pt idx="28">
                  <c:v>5.5989950000000013</c:v>
                </c:pt>
                <c:pt idx="29">
                  <c:v>5.7995549999999971</c:v>
                </c:pt>
                <c:pt idx="30">
                  <c:v>5.9992458333333358</c:v>
                </c:pt>
                <c:pt idx="31">
                  <c:v>6.1993624999999959</c:v>
                </c:pt>
                <c:pt idx="32">
                  <c:v>6.4010008333333337</c:v>
                </c:pt>
                <c:pt idx="33">
                  <c:v>6.5995541666666702</c:v>
                </c:pt>
                <c:pt idx="34">
                  <c:v>6.7993783333333377</c:v>
                </c:pt>
                <c:pt idx="35">
                  <c:v>6.9998033333333298</c:v>
                </c:pt>
                <c:pt idx="36">
                  <c:v>7.2326933333333345</c:v>
                </c:pt>
                <c:pt idx="37">
                  <c:v>7.4331691666666657</c:v>
                </c:pt>
                <c:pt idx="38">
                  <c:v>7.6324983333333334</c:v>
                </c:pt>
                <c:pt idx="39">
                  <c:v>7.8324666666666642</c:v>
                </c:pt>
                <c:pt idx="40">
                  <c:v>8.0332358333333342</c:v>
                </c:pt>
                <c:pt idx="41">
                  <c:v>8.2325608333333342</c:v>
                </c:pt>
                <c:pt idx="42">
                  <c:v>8.4330408333333349</c:v>
                </c:pt>
                <c:pt idx="43">
                  <c:v>8.6325349999999972</c:v>
                </c:pt>
                <c:pt idx="44">
                  <c:v>8.8328633333333304</c:v>
                </c:pt>
                <c:pt idx="45">
                  <c:v>9.0333024999999978</c:v>
                </c:pt>
                <c:pt idx="46">
                  <c:v>9.2326774999999959</c:v>
                </c:pt>
                <c:pt idx="47">
                  <c:v>9.4328650000000049</c:v>
                </c:pt>
                <c:pt idx="48">
                  <c:v>9.6324216666666711</c:v>
                </c:pt>
                <c:pt idx="49">
                  <c:v>9.832509166666668</c:v>
                </c:pt>
                <c:pt idx="50">
                  <c:v>10.032681666666667</c:v>
                </c:pt>
                <c:pt idx="51">
                  <c:v>10.232740833333336</c:v>
                </c:pt>
                <c:pt idx="52">
                  <c:v>10.432595833333336</c:v>
                </c:pt>
                <c:pt idx="53">
                  <c:v>10.632604166666663</c:v>
                </c:pt>
                <c:pt idx="54">
                  <c:v>10.832586666666662</c:v>
                </c:pt>
                <c:pt idx="55">
                  <c:v>11.032689999999997</c:v>
                </c:pt>
                <c:pt idx="56">
                  <c:v>11.299603333333335</c:v>
                </c:pt>
                <c:pt idx="57">
                  <c:v>11.50061</c:v>
                </c:pt>
                <c:pt idx="58">
                  <c:v>11.699413333333325</c:v>
                </c:pt>
                <c:pt idx="59">
                  <c:v>11.899664166666666</c:v>
                </c:pt>
                <c:pt idx="60">
                  <c:v>12.099645833333335</c:v>
                </c:pt>
                <c:pt idx="61">
                  <c:v>12.280265000000004</c:v>
                </c:pt>
                <c:pt idx="62">
                  <c:v>12.480692999999993</c:v>
                </c:pt>
                <c:pt idx="63">
                  <c:v>12.680578000000001</c:v>
                </c:pt>
                <c:pt idx="64">
                  <c:v>12.880264999999998</c:v>
                </c:pt>
                <c:pt idx="65">
                  <c:v>13.080937999999994</c:v>
                </c:pt>
                <c:pt idx="66">
                  <c:v>13.245314444444443</c:v>
                </c:pt>
                <c:pt idx="67">
                  <c:v>13.444878888888891</c:v>
                </c:pt>
                <c:pt idx="68">
                  <c:v>13.645275555555564</c:v>
                </c:pt>
                <c:pt idx="69">
                  <c:v>13.845273333333326</c:v>
                </c:pt>
                <c:pt idx="70">
                  <c:v>14.054650000000001</c:v>
                </c:pt>
                <c:pt idx="71">
                  <c:v>14.244737777777781</c:v>
                </c:pt>
                <c:pt idx="72">
                  <c:v>14.445154444444446</c:v>
                </c:pt>
                <c:pt idx="73">
                  <c:v>14.645553333333339</c:v>
                </c:pt>
                <c:pt idx="74">
                  <c:v>14.844717777777781</c:v>
                </c:pt>
                <c:pt idx="75">
                  <c:v>15.044904444444452</c:v>
                </c:pt>
                <c:pt idx="76">
                  <c:v>15.244995555555555</c:v>
                </c:pt>
                <c:pt idx="77">
                  <c:v>15.444360000000001</c:v>
                </c:pt>
                <c:pt idx="78">
                  <c:v>15.644603333333338</c:v>
                </c:pt>
                <c:pt idx="79">
                  <c:v>15.84440222222223</c:v>
                </c:pt>
                <c:pt idx="80">
                  <c:v>16.045365555555559</c:v>
                </c:pt>
                <c:pt idx="81">
                  <c:v>16.246231111111104</c:v>
                </c:pt>
                <c:pt idx="82">
                  <c:v>16.445066666666676</c:v>
                </c:pt>
                <c:pt idx="83">
                  <c:v>16.645500000000002</c:v>
                </c:pt>
                <c:pt idx="84">
                  <c:v>16.844711111111117</c:v>
                </c:pt>
                <c:pt idx="85">
                  <c:v>17.044740000000004</c:v>
                </c:pt>
                <c:pt idx="86">
                  <c:v>17.244991111111108</c:v>
                </c:pt>
                <c:pt idx="87">
                  <c:v>17.445033333333338</c:v>
                </c:pt>
                <c:pt idx="88">
                  <c:v>17.644919999999995</c:v>
                </c:pt>
                <c:pt idx="89">
                  <c:v>17.84476333333334</c:v>
                </c:pt>
                <c:pt idx="90">
                  <c:v>18.045311111111115</c:v>
                </c:pt>
                <c:pt idx="91">
                  <c:v>18.244851111111114</c:v>
                </c:pt>
                <c:pt idx="92">
                  <c:v>18.444308888888894</c:v>
                </c:pt>
                <c:pt idx="93">
                  <c:v>18.645136666666662</c:v>
                </c:pt>
                <c:pt idx="94">
                  <c:v>18.844822222222223</c:v>
                </c:pt>
                <c:pt idx="95">
                  <c:v>19.044720000000002</c:v>
                </c:pt>
                <c:pt idx="96">
                  <c:v>19.244914444444444</c:v>
                </c:pt>
                <c:pt idx="97">
                  <c:v>19.444421111111112</c:v>
                </c:pt>
                <c:pt idx="98">
                  <c:v>19.689428888888887</c:v>
                </c:pt>
                <c:pt idx="99">
                  <c:v>19.889060000000001</c:v>
                </c:pt>
                <c:pt idx="100">
                  <c:v>20.089671111111116</c:v>
                </c:pt>
                <c:pt idx="101">
                  <c:v>20.289292222222215</c:v>
                </c:pt>
                <c:pt idx="102">
                  <c:v>20.489734444444448</c:v>
                </c:pt>
                <c:pt idx="103">
                  <c:v>20.689286666666664</c:v>
                </c:pt>
                <c:pt idx="104">
                  <c:v>20.890013333333329</c:v>
                </c:pt>
                <c:pt idx="105">
                  <c:v>21.089549999999999</c:v>
                </c:pt>
                <c:pt idx="106">
                  <c:v>21.289132222222221</c:v>
                </c:pt>
                <c:pt idx="107">
                  <c:v>21.489487777777779</c:v>
                </c:pt>
                <c:pt idx="108">
                  <c:v>21.689213333333338</c:v>
                </c:pt>
                <c:pt idx="109">
                  <c:v>21.889254444444457</c:v>
                </c:pt>
                <c:pt idx="110">
                  <c:v>22.089331111111107</c:v>
                </c:pt>
                <c:pt idx="111">
                  <c:v>22.289216666666665</c:v>
                </c:pt>
                <c:pt idx="112">
                  <c:v>22.489108888888893</c:v>
                </c:pt>
                <c:pt idx="113">
                  <c:v>22.600258571428583</c:v>
                </c:pt>
                <c:pt idx="114">
                  <c:v>22.801811428571423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3.7250000000000004E-3</c:v>
                </c:pt>
                <c:pt idx="1">
                  <c:v>3.3999999999999998E-3</c:v>
                </c:pt>
                <c:pt idx="2">
                  <c:v>3.5166666666666666E-3</c:v>
                </c:pt>
                <c:pt idx="3">
                  <c:v>3.5333333333333341E-3</c:v>
                </c:pt>
                <c:pt idx="4">
                  <c:v>3.4916666666666672E-3</c:v>
                </c:pt>
                <c:pt idx="5">
                  <c:v>3.5083333333333334E-3</c:v>
                </c:pt>
                <c:pt idx="6">
                  <c:v>3.4833333333333335E-3</c:v>
                </c:pt>
                <c:pt idx="7">
                  <c:v>3.4833333333333335E-3</c:v>
                </c:pt>
                <c:pt idx="8">
                  <c:v>3.6083333333333336E-3</c:v>
                </c:pt>
                <c:pt idx="9">
                  <c:v>3.8083333333333324E-3</c:v>
                </c:pt>
                <c:pt idx="10">
                  <c:v>4.1833333333333332E-3</c:v>
                </c:pt>
                <c:pt idx="11">
                  <c:v>4.9249999999999997E-3</c:v>
                </c:pt>
                <c:pt idx="12">
                  <c:v>6.0583333333333331E-3</c:v>
                </c:pt>
                <c:pt idx="13">
                  <c:v>7.2249999999999997E-3</c:v>
                </c:pt>
                <c:pt idx="14">
                  <c:v>8.4583333333333333E-3</c:v>
                </c:pt>
                <c:pt idx="15">
                  <c:v>9.5166666666666663E-3</c:v>
                </c:pt>
                <c:pt idx="16">
                  <c:v>1.0683333333333331E-2</c:v>
                </c:pt>
                <c:pt idx="17">
                  <c:v>1.1666666666666667E-2</c:v>
                </c:pt>
                <c:pt idx="18">
                  <c:v>1.2541666666666666E-2</c:v>
                </c:pt>
                <c:pt idx="19">
                  <c:v>1.3074999999999998E-2</c:v>
                </c:pt>
                <c:pt idx="20">
                  <c:v>1.3600000000000001E-2</c:v>
                </c:pt>
                <c:pt idx="21">
                  <c:v>1.4066666666666667E-2</c:v>
                </c:pt>
                <c:pt idx="22">
                  <c:v>1.4458333333333332E-2</c:v>
                </c:pt>
                <c:pt idx="23">
                  <c:v>1.471666666666667E-2</c:v>
                </c:pt>
                <c:pt idx="24">
                  <c:v>1.4958333333333337E-2</c:v>
                </c:pt>
                <c:pt idx="25">
                  <c:v>1.514166666666667E-2</c:v>
                </c:pt>
                <c:pt idx="26">
                  <c:v>1.5283333333333335E-2</c:v>
                </c:pt>
                <c:pt idx="27">
                  <c:v>1.5416666666666671E-2</c:v>
                </c:pt>
                <c:pt idx="28">
                  <c:v>1.5433333333333335E-2</c:v>
                </c:pt>
                <c:pt idx="29">
                  <c:v>1.5358333333333333E-2</c:v>
                </c:pt>
                <c:pt idx="30">
                  <c:v>1.5075E-2</c:v>
                </c:pt>
                <c:pt idx="31">
                  <c:v>1.4483333333333334E-2</c:v>
                </c:pt>
                <c:pt idx="32">
                  <c:v>1.3658333333333333E-2</c:v>
                </c:pt>
                <c:pt idx="33">
                  <c:v>1.2558333333333333E-2</c:v>
                </c:pt>
                <c:pt idx="34">
                  <c:v>1.1383333333333334E-2</c:v>
                </c:pt>
                <c:pt idx="35">
                  <c:v>1.0116666666666668E-2</c:v>
                </c:pt>
                <c:pt idx="36">
                  <c:v>8.8083333333333329E-3</c:v>
                </c:pt>
                <c:pt idx="37">
                  <c:v>7.9249999999999998E-3</c:v>
                </c:pt>
                <c:pt idx="38">
                  <c:v>7.0333333333333324E-3</c:v>
                </c:pt>
                <c:pt idx="39">
                  <c:v>6.2416666666666662E-3</c:v>
                </c:pt>
                <c:pt idx="40">
                  <c:v>5.7000000000000002E-3</c:v>
                </c:pt>
                <c:pt idx="41">
                  <c:v>5.1250000000000002E-3</c:v>
                </c:pt>
                <c:pt idx="42">
                  <c:v>4.6583333333333338E-3</c:v>
                </c:pt>
                <c:pt idx="43">
                  <c:v>4.3416666666666673E-3</c:v>
                </c:pt>
                <c:pt idx="44">
                  <c:v>4.1083333333333328E-3</c:v>
                </c:pt>
                <c:pt idx="45">
                  <c:v>3.8666666666666671E-3</c:v>
                </c:pt>
                <c:pt idx="46">
                  <c:v>3.7499999999999999E-3</c:v>
                </c:pt>
                <c:pt idx="47">
                  <c:v>3.666666666666667E-3</c:v>
                </c:pt>
                <c:pt idx="48">
                  <c:v>3.7916666666666667E-3</c:v>
                </c:pt>
                <c:pt idx="49">
                  <c:v>4.0749999999999996E-3</c:v>
                </c:pt>
                <c:pt idx="50">
                  <c:v>4.5999999999999999E-3</c:v>
                </c:pt>
                <c:pt idx="51">
                  <c:v>5.4416666666666667E-3</c:v>
                </c:pt>
                <c:pt idx="52">
                  <c:v>6.633333333333334E-3</c:v>
                </c:pt>
                <c:pt idx="53">
                  <c:v>8.0499999999999999E-3</c:v>
                </c:pt>
                <c:pt idx="54">
                  <c:v>9.2333333333333312E-3</c:v>
                </c:pt>
                <c:pt idx="55">
                  <c:v>1.0391666666666667E-2</c:v>
                </c:pt>
                <c:pt idx="56">
                  <c:v>1.1725000000000001E-2</c:v>
                </c:pt>
                <c:pt idx="57">
                  <c:v>1.285E-2</c:v>
                </c:pt>
                <c:pt idx="58">
                  <c:v>1.3816666666666666E-2</c:v>
                </c:pt>
                <c:pt idx="59">
                  <c:v>1.4399999999999998E-2</c:v>
                </c:pt>
                <c:pt idx="60">
                  <c:v>1.4924999999999999E-2</c:v>
                </c:pt>
                <c:pt idx="61">
                  <c:v>1.5110000000000002E-2</c:v>
                </c:pt>
                <c:pt idx="62">
                  <c:v>1.5480000000000002E-2</c:v>
                </c:pt>
                <c:pt idx="63">
                  <c:v>1.593E-2</c:v>
                </c:pt>
                <c:pt idx="64">
                  <c:v>1.617E-2</c:v>
                </c:pt>
                <c:pt idx="65">
                  <c:v>1.6360000000000003E-2</c:v>
                </c:pt>
                <c:pt idx="66">
                  <c:v>1.6577777777777778E-2</c:v>
                </c:pt>
                <c:pt idx="67">
                  <c:v>1.6788888888888891E-2</c:v>
                </c:pt>
                <c:pt idx="68">
                  <c:v>1.6844444444444443E-2</c:v>
                </c:pt>
                <c:pt idx="69">
                  <c:v>1.6644444444444444E-2</c:v>
                </c:pt>
                <c:pt idx="70">
                  <c:v>1.6299999999999999E-2</c:v>
                </c:pt>
                <c:pt idx="71">
                  <c:v>1.5655555555555555E-2</c:v>
                </c:pt>
                <c:pt idx="72">
                  <c:v>1.4644444444444444E-2</c:v>
                </c:pt>
                <c:pt idx="73">
                  <c:v>1.3511111111111111E-2</c:v>
                </c:pt>
                <c:pt idx="74">
                  <c:v>1.2344444444444444E-2</c:v>
                </c:pt>
                <c:pt idx="75">
                  <c:v>1.1166666666666667E-2</c:v>
                </c:pt>
                <c:pt idx="76">
                  <c:v>9.9777777777777764E-3</c:v>
                </c:pt>
                <c:pt idx="77">
                  <c:v>9.0000000000000011E-3</c:v>
                </c:pt>
                <c:pt idx="78">
                  <c:v>8.1888888888888896E-3</c:v>
                </c:pt>
                <c:pt idx="79">
                  <c:v>7.3555555555555553E-3</c:v>
                </c:pt>
                <c:pt idx="80">
                  <c:v>6.4222222222222215E-3</c:v>
                </c:pt>
                <c:pt idx="81">
                  <c:v>5.9222222222222211E-3</c:v>
                </c:pt>
                <c:pt idx="82">
                  <c:v>5.2999999999999992E-3</c:v>
                </c:pt>
                <c:pt idx="83">
                  <c:v>5.1333333333333335E-3</c:v>
                </c:pt>
                <c:pt idx="84">
                  <c:v>4.8777777777777778E-3</c:v>
                </c:pt>
                <c:pt idx="85">
                  <c:v>4.4111111111111113E-3</c:v>
                </c:pt>
                <c:pt idx="86">
                  <c:v>4.0333333333333332E-3</c:v>
                </c:pt>
                <c:pt idx="87">
                  <c:v>3.9111111111111117E-3</c:v>
                </c:pt>
                <c:pt idx="88">
                  <c:v>3.8555555555555556E-3</c:v>
                </c:pt>
                <c:pt idx="89">
                  <c:v>3.9333333333333338E-3</c:v>
                </c:pt>
                <c:pt idx="90">
                  <c:v>4.2333333333333337E-3</c:v>
                </c:pt>
                <c:pt idx="91">
                  <c:v>4.9777777777777771E-3</c:v>
                </c:pt>
                <c:pt idx="92">
                  <c:v>6.1666666666666675E-3</c:v>
                </c:pt>
                <c:pt idx="93">
                  <c:v>7.4222222222222224E-3</c:v>
                </c:pt>
                <c:pt idx="94">
                  <c:v>8.4555555555555564E-3</c:v>
                </c:pt>
                <c:pt idx="95">
                  <c:v>9.633333333333334E-3</c:v>
                </c:pt>
                <c:pt idx="96">
                  <c:v>1.0855555555555556E-2</c:v>
                </c:pt>
                <c:pt idx="97">
                  <c:v>1.1988888888888889E-2</c:v>
                </c:pt>
                <c:pt idx="98">
                  <c:v>1.2888888888888889E-2</c:v>
                </c:pt>
                <c:pt idx="99">
                  <c:v>1.3644444444444445E-2</c:v>
                </c:pt>
                <c:pt idx="100">
                  <c:v>1.4344444444444444E-2</c:v>
                </c:pt>
                <c:pt idx="101">
                  <c:v>1.4833333333333334E-2</c:v>
                </c:pt>
                <c:pt idx="102">
                  <c:v>1.5233333333333333E-2</c:v>
                </c:pt>
                <c:pt idx="103">
                  <c:v>1.5644444444444443E-2</c:v>
                </c:pt>
                <c:pt idx="104">
                  <c:v>1.5988888888888886E-2</c:v>
                </c:pt>
                <c:pt idx="105">
                  <c:v>1.6144444444444444E-2</c:v>
                </c:pt>
                <c:pt idx="106">
                  <c:v>1.6333333333333332E-2</c:v>
                </c:pt>
                <c:pt idx="107">
                  <c:v>1.6477777777777775E-2</c:v>
                </c:pt>
                <c:pt idx="108">
                  <c:v>1.6455555555555557E-2</c:v>
                </c:pt>
                <c:pt idx="109">
                  <c:v>1.627777777777778E-2</c:v>
                </c:pt>
                <c:pt idx="110">
                  <c:v>1.6044444444444441E-2</c:v>
                </c:pt>
                <c:pt idx="111">
                  <c:v>1.5288888888888887E-2</c:v>
                </c:pt>
                <c:pt idx="112">
                  <c:v>1.44E-2</c:v>
                </c:pt>
                <c:pt idx="113">
                  <c:v>1.4200000000000001E-2</c:v>
                </c:pt>
                <c:pt idx="114">
                  <c:v>1.3057142857142856E-2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243254</xdr:colOff>
      <xdr:row>0</xdr:row>
      <xdr:rowOff>84993</xdr:rowOff>
    </xdr:from>
    <xdr:to>
      <xdr:col>12</xdr:col>
      <xdr:colOff>867508</xdr:colOff>
      <xdr:row>17</xdr:row>
      <xdr:rowOff>169985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1733"/>
  <sheetViews>
    <sheetView workbookViewId="0">
      <selection activeCell="K10" sqref="K10"/>
    </sheetView>
  </sheetViews>
  <sheetFormatPr baseColWidth="10" defaultRowHeight="14.4" x14ac:dyDescent="0.3"/>
  <cols>
    <col min="1" max="10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7</v>
      </c>
    </row>
    <row r="2" spans="1:10" x14ac:dyDescent="0.3">
      <c r="A2" t="s">
        <v>9</v>
      </c>
      <c r="B2" t="s">
        <v>118</v>
      </c>
      <c r="C2">
        <v>0</v>
      </c>
      <c r="D2">
        <v>1.7500000000000002E-2</v>
      </c>
      <c r="E2">
        <v>5.9957334838115024</v>
      </c>
      <c r="F2">
        <v>606.80236069123202</v>
      </c>
      <c r="G2">
        <v>0.42399999999999999</v>
      </c>
      <c r="H2">
        <v>0</v>
      </c>
      <c r="I2">
        <v>0</v>
      </c>
      <c r="J2">
        <v>0</v>
      </c>
    </row>
    <row r="3" spans="1:10" x14ac:dyDescent="0.3">
      <c r="A3" t="s">
        <v>9</v>
      </c>
      <c r="B3" t="s">
        <v>119</v>
      </c>
      <c r="C3">
        <v>0</v>
      </c>
      <c r="D3">
        <v>1.2999999999999999E-3</v>
      </c>
      <c r="E3">
        <v>5.9957334838115024</v>
      </c>
      <c r="F3">
        <v>606.80236069123202</v>
      </c>
      <c r="G3">
        <v>0.42399999999999999</v>
      </c>
      <c r="H3">
        <v>0</v>
      </c>
      <c r="I3">
        <v>0.20399</v>
      </c>
      <c r="J3">
        <v>0</v>
      </c>
    </row>
    <row r="4" spans="1:10" x14ac:dyDescent="0.3">
      <c r="A4" t="s">
        <v>9</v>
      </c>
      <c r="B4" t="s">
        <v>120</v>
      </c>
      <c r="C4">
        <v>0</v>
      </c>
      <c r="D4">
        <v>1.4E-3</v>
      </c>
      <c r="E4">
        <v>5.9957334838115024</v>
      </c>
      <c r="F4">
        <v>606.80236069123202</v>
      </c>
      <c r="G4">
        <v>0.42399999999999999</v>
      </c>
      <c r="H4">
        <v>0</v>
      </c>
      <c r="I4">
        <v>0.40072099999999999</v>
      </c>
      <c r="J4">
        <v>0</v>
      </c>
    </row>
    <row r="5" spans="1:10" x14ac:dyDescent="0.3">
      <c r="A5" t="s">
        <v>9</v>
      </c>
      <c r="B5" t="s">
        <v>121</v>
      </c>
      <c r="C5">
        <v>0</v>
      </c>
      <c r="D5">
        <v>1.2999999999999999E-3</v>
      </c>
      <c r="E5">
        <v>5.9957334838115024</v>
      </c>
      <c r="F5">
        <v>606.80236069123202</v>
      </c>
      <c r="G5">
        <v>0.42399999999999999</v>
      </c>
      <c r="H5">
        <v>0</v>
      </c>
      <c r="I5">
        <v>0.60299409999999998</v>
      </c>
      <c r="J5">
        <v>0</v>
      </c>
    </row>
    <row r="6" spans="1:10" x14ac:dyDescent="0.3">
      <c r="A6" t="s">
        <v>9</v>
      </c>
      <c r="B6" t="s">
        <v>122</v>
      </c>
      <c r="C6">
        <v>0</v>
      </c>
      <c r="D6">
        <v>1.2999999999999999E-3</v>
      </c>
      <c r="E6">
        <v>5.9957334838115024</v>
      </c>
      <c r="F6">
        <v>606.80236069123202</v>
      </c>
      <c r="G6">
        <v>0.42399999999999999</v>
      </c>
      <c r="H6">
        <v>0</v>
      </c>
      <c r="I6">
        <v>0.80211160000000004</v>
      </c>
      <c r="J6">
        <v>0</v>
      </c>
    </row>
    <row r="7" spans="1:10" x14ac:dyDescent="0.3">
      <c r="A7" t="s">
        <v>9</v>
      </c>
      <c r="B7" t="s">
        <v>123</v>
      </c>
      <c r="C7">
        <v>0</v>
      </c>
      <c r="D7">
        <v>1.2999999999999999E-3</v>
      </c>
      <c r="E7">
        <v>5.9957334838115024</v>
      </c>
      <c r="F7">
        <v>606.80236069123202</v>
      </c>
      <c r="G7">
        <v>0.42399999999999999</v>
      </c>
      <c r="H7">
        <v>0</v>
      </c>
      <c r="I7">
        <v>1.0067459999999999</v>
      </c>
      <c r="J7">
        <v>0</v>
      </c>
    </row>
    <row r="8" spans="1:10" x14ac:dyDescent="0.3">
      <c r="A8" t="s">
        <v>9</v>
      </c>
      <c r="B8" t="s">
        <v>124</v>
      </c>
      <c r="C8">
        <v>0</v>
      </c>
      <c r="D8">
        <v>1.2999999999999999E-3</v>
      </c>
      <c r="E8">
        <v>5.9957334838115024</v>
      </c>
      <c r="F8">
        <v>606.80236069123202</v>
      </c>
      <c r="G8">
        <v>0.42399999999999999</v>
      </c>
      <c r="H8">
        <v>0</v>
      </c>
      <c r="I8">
        <v>1.2029609999999999</v>
      </c>
      <c r="J8">
        <v>0</v>
      </c>
    </row>
    <row r="9" spans="1:10" x14ac:dyDescent="0.3">
      <c r="A9" t="s">
        <v>9</v>
      </c>
      <c r="B9" t="s">
        <v>125</v>
      </c>
      <c r="C9">
        <v>0</v>
      </c>
      <c r="D9">
        <v>1.2999999999999999E-3</v>
      </c>
      <c r="E9">
        <v>5.9957334838115024</v>
      </c>
      <c r="F9">
        <v>606.80236069123202</v>
      </c>
      <c r="G9">
        <v>0.42399999999999999</v>
      </c>
      <c r="H9">
        <v>0</v>
      </c>
      <c r="I9">
        <v>1.401907</v>
      </c>
      <c r="J9">
        <v>0</v>
      </c>
    </row>
    <row r="10" spans="1:10" x14ac:dyDescent="0.3">
      <c r="A10" t="s">
        <v>9</v>
      </c>
      <c r="B10" t="s">
        <v>126</v>
      </c>
      <c r="C10">
        <v>0</v>
      </c>
      <c r="D10">
        <v>1.2999999999999999E-3</v>
      </c>
      <c r="E10">
        <v>5.9957334838115024</v>
      </c>
      <c r="F10">
        <v>606.80236069123202</v>
      </c>
      <c r="G10">
        <v>0.42399999999999999</v>
      </c>
      <c r="H10">
        <v>0</v>
      </c>
      <c r="I10">
        <v>1.6016889999999999</v>
      </c>
      <c r="J10">
        <v>0</v>
      </c>
    </row>
    <row r="11" spans="1:10" x14ac:dyDescent="0.3">
      <c r="A11" t="s">
        <v>9</v>
      </c>
      <c r="B11" t="s">
        <v>127</v>
      </c>
      <c r="C11">
        <v>0</v>
      </c>
      <c r="D11">
        <v>1.2999999999999999E-3</v>
      </c>
      <c r="E11">
        <v>5.9957334838115024</v>
      </c>
      <c r="F11">
        <v>606.80236069123202</v>
      </c>
      <c r="G11">
        <v>0.42399999999999999</v>
      </c>
      <c r="H11">
        <v>0</v>
      </c>
      <c r="I11">
        <v>1.800786</v>
      </c>
      <c r="J11">
        <v>0</v>
      </c>
    </row>
    <row r="12" spans="1:10" x14ac:dyDescent="0.3">
      <c r="A12" t="s">
        <v>9</v>
      </c>
      <c r="B12" t="s">
        <v>128</v>
      </c>
      <c r="C12">
        <v>0</v>
      </c>
      <c r="D12">
        <v>1.2999999999999999E-3</v>
      </c>
      <c r="E12">
        <v>5.9957334838115024</v>
      </c>
      <c r="F12">
        <v>606.80236069123202</v>
      </c>
      <c r="G12">
        <v>0.42399999999999999</v>
      </c>
      <c r="H12">
        <v>0</v>
      </c>
      <c r="I12">
        <v>2.0025569999999999</v>
      </c>
      <c r="J12">
        <v>0</v>
      </c>
    </row>
    <row r="13" spans="1:10" x14ac:dyDescent="0.3">
      <c r="A13" t="s">
        <v>9</v>
      </c>
      <c r="B13" t="s">
        <v>129</v>
      </c>
      <c r="C13">
        <v>0</v>
      </c>
      <c r="D13">
        <v>1.2999999999999999E-3</v>
      </c>
      <c r="E13">
        <v>5.9957334838115024</v>
      </c>
      <c r="F13">
        <v>606.80236069123202</v>
      </c>
      <c r="G13">
        <v>0.42399999999999999</v>
      </c>
      <c r="H13">
        <v>0</v>
      </c>
      <c r="I13">
        <v>2.2028889999999999</v>
      </c>
      <c r="J13">
        <v>0</v>
      </c>
    </row>
    <row r="14" spans="1:10" x14ac:dyDescent="0.3">
      <c r="A14" t="s">
        <v>9</v>
      </c>
      <c r="B14" t="s">
        <v>130</v>
      </c>
      <c r="C14">
        <v>0</v>
      </c>
      <c r="D14">
        <v>1.2999999999999999E-3</v>
      </c>
      <c r="E14">
        <v>5.9957334838115024</v>
      </c>
      <c r="F14">
        <v>606.80236069123202</v>
      </c>
      <c r="G14">
        <v>0.42399999999999999</v>
      </c>
      <c r="H14">
        <v>0</v>
      </c>
      <c r="I14">
        <v>2.4019080000000002</v>
      </c>
      <c r="J14">
        <v>0</v>
      </c>
    </row>
    <row r="15" spans="1:10" x14ac:dyDescent="0.3">
      <c r="A15" t="s">
        <v>9</v>
      </c>
      <c r="B15" t="s">
        <v>131</v>
      </c>
      <c r="C15">
        <v>0</v>
      </c>
      <c r="D15">
        <v>1.2999999999999999E-3</v>
      </c>
      <c r="E15">
        <v>5.9957334838115024</v>
      </c>
      <c r="F15">
        <v>606.80236069123202</v>
      </c>
      <c r="G15">
        <v>0.42399999999999999</v>
      </c>
      <c r="H15">
        <v>0</v>
      </c>
      <c r="I15">
        <v>2.6022859999999999</v>
      </c>
      <c r="J15">
        <v>0</v>
      </c>
    </row>
    <row r="16" spans="1:10" x14ac:dyDescent="0.3">
      <c r="A16" t="s">
        <v>9</v>
      </c>
      <c r="B16" t="s">
        <v>132</v>
      </c>
      <c r="C16">
        <v>0</v>
      </c>
      <c r="D16">
        <v>1.2999999999999999E-3</v>
      </c>
      <c r="E16">
        <v>5.9957334838115024</v>
      </c>
      <c r="F16">
        <v>606.80236069123202</v>
      </c>
      <c r="G16">
        <v>0.42399999999999999</v>
      </c>
      <c r="H16">
        <v>0</v>
      </c>
      <c r="I16">
        <v>2.8018459999999998</v>
      </c>
      <c r="J16">
        <v>0</v>
      </c>
    </row>
    <row r="17" spans="1:10" x14ac:dyDescent="0.3">
      <c r="A17" t="s">
        <v>9</v>
      </c>
      <c r="B17" t="s">
        <v>133</v>
      </c>
      <c r="C17">
        <v>0</v>
      </c>
      <c r="D17">
        <v>1.2999999999999999E-3</v>
      </c>
      <c r="E17">
        <v>5.9957334838115024</v>
      </c>
      <c r="F17">
        <v>606.80236069123202</v>
      </c>
      <c r="G17">
        <v>0.42399999999999999</v>
      </c>
      <c r="H17">
        <v>0</v>
      </c>
      <c r="I17">
        <v>3.0038399999999998</v>
      </c>
      <c r="J17">
        <v>0</v>
      </c>
    </row>
    <row r="18" spans="1:10" x14ac:dyDescent="0.3">
      <c r="A18" t="s">
        <v>9</v>
      </c>
      <c r="B18" t="s">
        <v>134</v>
      </c>
      <c r="C18">
        <v>0</v>
      </c>
      <c r="D18">
        <v>1.2999999999999999E-3</v>
      </c>
      <c r="E18">
        <v>5.9957334838115024</v>
      </c>
      <c r="F18">
        <v>606.80236069123202</v>
      </c>
      <c r="G18">
        <v>0.42399999999999999</v>
      </c>
      <c r="H18">
        <v>0</v>
      </c>
      <c r="I18">
        <v>3.2018960000000001</v>
      </c>
      <c r="J18">
        <v>0</v>
      </c>
    </row>
    <row r="19" spans="1:10" x14ac:dyDescent="0.3">
      <c r="A19" t="s">
        <v>9</v>
      </c>
      <c r="B19" t="s">
        <v>135</v>
      </c>
      <c r="C19">
        <v>0</v>
      </c>
      <c r="D19">
        <v>1.2999999999999999E-3</v>
      </c>
      <c r="E19">
        <v>5.9957334838115024</v>
      </c>
      <c r="F19">
        <v>606.80236069123202</v>
      </c>
      <c r="G19">
        <v>0.42399999999999999</v>
      </c>
      <c r="H19">
        <v>0</v>
      </c>
      <c r="I19">
        <v>3.4037190000000002</v>
      </c>
      <c r="J19">
        <v>0</v>
      </c>
    </row>
    <row r="20" spans="1:10" x14ac:dyDescent="0.3">
      <c r="A20" t="s">
        <v>9</v>
      </c>
      <c r="B20" t="s">
        <v>136</v>
      </c>
      <c r="C20">
        <v>0</v>
      </c>
      <c r="D20">
        <v>1.2999999999999999E-3</v>
      </c>
      <c r="E20">
        <v>5.9957334838115024</v>
      </c>
      <c r="F20">
        <v>606.80236069123202</v>
      </c>
      <c r="G20">
        <v>0.42399999999999999</v>
      </c>
      <c r="H20">
        <v>0</v>
      </c>
      <c r="I20">
        <v>3.6011609999999998</v>
      </c>
      <c r="J20">
        <v>0</v>
      </c>
    </row>
    <row r="21" spans="1:10" x14ac:dyDescent="0.3">
      <c r="A21" t="s">
        <v>9</v>
      </c>
      <c r="B21" t="s">
        <v>137</v>
      </c>
      <c r="C21">
        <v>0</v>
      </c>
      <c r="D21">
        <v>1.2999999999999999E-3</v>
      </c>
      <c r="E21">
        <v>5.9957334838115024</v>
      </c>
      <c r="F21">
        <v>606.80236069123202</v>
      </c>
      <c r="G21">
        <v>0.42399999999999999</v>
      </c>
      <c r="H21">
        <v>0</v>
      </c>
      <c r="I21">
        <v>3.801987</v>
      </c>
      <c r="J21">
        <v>0</v>
      </c>
    </row>
    <row r="22" spans="1:10" x14ac:dyDescent="0.3">
      <c r="A22" t="s">
        <v>9</v>
      </c>
      <c r="B22" t="s">
        <v>138</v>
      </c>
      <c r="C22">
        <v>0</v>
      </c>
      <c r="D22">
        <v>1.2999999999999999E-3</v>
      </c>
      <c r="E22">
        <v>5.9957334838115024</v>
      </c>
      <c r="F22">
        <v>606.80236069123202</v>
      </c>
      <c r="G22">
        <v>0.42399999999999999</v>
      </c>
      <c r="H22">
        <v>0</v>
      </c>
      <c r="I22">
        <v>4.0241889999999998</v>
      </c>
      <c r="J22">
        <v>0</v>
      </c>
    </row>
    <row r="23" spans="1:10" x14ac:dyDescent="0.3">
      <c r="A23" t="s">
        <v>9</v>
      </c>
      <c r="B23" t="s">
        <v>139</v>
      </c>
      <c r="C23">
        <v>0</v>
      </c>
      <c r="D23">
        <v>1.2999999999999999E-3</v>
      </c>
      <c r="E23">
        <v>5.9957334838115024</v>
      </c>
      <c r="F23">
        <v>606.80236069123202</v>
      </c>
      <c r="G23">
        <v>0.42399999999999999</v>
      </c>
      <c r="H23">
        <v>0</v>
      </c>
      <c r="I23">
        <v>4.3557050000000004</v>
      </c>
      <c r="J23">
        <v>0</v>
      </c>
    </row>
    <row r="24" spans="1:10" x14ac:dyDescent="0.3">
      <c r="A24" t="s">
        <v>9</v>
      </c>
      <c r="B24" t="s">
        <v>140</v>
      </c>
      <c r="C24">
        <v>0</v>
      </c>
      <c r="D24">
        <v>1.2999999999999999E-3</v>
      </c>
      <c r="E24">
        <v>5.9957334838115024</v>
      </c>
      <c r="F24">
        <v>606.80236069123202</v>
      </c>
      <c r="G24">
        <v>0.42399999999999999</v>
      </c>
      <c r="H24">
        <v>0</v>
      </c>
      <c r="I24">
        <v>4.400836</v>
      </c>
      <c r="J24">
        <v>0</v>
      </c>
    </row>
    <row r="25" spans="1:10" x14ac:dyDescent="0.3">
      <c r="A25" t="s">
        <v>9</v>
      </c>
      <c r="B25" t="s">
        <v>141</v>
      </c>
      <c r="C25">
        <v>0</v>
      </c>
      <c r="D25">
        <v>1.2999999999999999E-3</v>
      </c>
      <c r="E25">
        <v>5.9957334838115024</v>
      </c>
      <c r="F25">
        <v>606.80236069123202</v>
      </c>
      <c r="G25">
        <v>0.42399999999999999</v>
      </c>
      <c r="H25">
        <v>0</v>
      </c>
      <c r="I25">
        <v>4.6004329999999998</v>
      </c>
      <c r="J25">
        <v>0</v>
      </c>
    </row>
    <row r="26" spans="1:10" x14ac:dyDescent="0.3">
      <c r="A26" t="s">
        <v>9</v>
      </c>
      <c r="B26" t="s">
        <v>142</v>
      </c>
      <c r="C26">
        <v>0</v>
      </c>
      <c r="D26">
        <v>1.2999999999999999E-3</v>
      </c>
      <c r="E26">
        <v>5.9957334838115024</v>
      </c>
      <c r="F26">
        <v>606.80236069123202</v>
      </c>
      <c r="G26">
        <v>0.42399999999999999</v>
      </c>
      <c r="H26">
        <v>0</v>
      </c>
      <c r="I26">
        <v>4.8024089999999999</v>
      </c>
      <c r="J26">
        <v>0</v>
      </c>
    </row>
    <row r="27" spans="1:10" x14ac:dyDescent="0.3">
      <c r="A27" t="s">
        <v>9</v>
      </c>
      <c r="B27" t="s">
        <v>143</v>
      </c>
      <c r="C27">
        <v>0</v>
      </c>
      <c r="D27">
        <v>1.2999999999999999E-3</v>
      </c>
      <c r="E27">
        <v>5.9957334838115024</v>
      </c>
      <c r="F27">
        <v>606.80236069123202</v>
      </c>
      <c r="G27">
        <v>0.42399999999999999</v>
      </c>
      <c r="H27">
        <v>0</v>
      </c>
      <c r="I27">
        <v>5.0022409999999997</v>
      </c>
      <c r="J27">
        <v>0</v>
      </c>
    </row>
    <row r="28" spans="1:10" x14ac:dyDescent="0.3">
      <c r="A28" t="s">
        <v>9</v>
      </c>
      <c r="B28" t="s">
        <v>144</v>
      </c>
      <c r="C28">
        <v>0</v>
      </c>
      <c r="D28">
        <v>1.2999999999999999E-3</v>
      </c>
      <c r="E28">
        <v>5.9957334838115024</v>
      </c>
      <c r="F28">
        <v>606.80236069123202</v>
      </c>
      <c r="G28">
        <v>0.42399999999999999</v>
      </c>
      <c r="H28">
        <v>0</v>
      </c>
      <c r="I28">
        <v>5.2005749999999997</v>
      </c>
      <c r="J28">
        <v>0</v>
      </c>
    </row>
    <row r="29" spans="1:10" x14ac:dyDescent="0.3">
      <c r="A29" t="s">
        <v>9</v>
      </c>
      <c r="B29" t="s">
        <v>145</v>
      </c>
      <c r="C29">
        <v>0</v>
      </c>
      <c r="D29">
        <v>1.2999999999999999E-3</v>
      </c>
      <c r="E29">
        <v>5.9957334838115024</v>
      </c>
      <c r="F29">
        <v>606.80236069123202</v>
      </c>
      <c r="G29">
        <v>0.42399999999999999</v>
      </c>
      <c r="H29">
        <v>0</v>
      </c>
      <c r="I29">
        <v>5.4009640000000001</v>
      </c>
      <c r="J29">
        <v>0</v>
      </c>
    </row>
    <row r="30" spans="1:10" x14ac:dyDescent="0.3">
      <c r="A30" t="s">
        <v>9</v>
      </c>
      <c r="B30" t="s">
        <v>146</v>
      </c>
      <c r="C30">
        <v>0</v>
      </c>
      <c r="D30">
        <v>1.2999999999999999E-3</v>
      </c>
      <c r="E30">
        <v>5.9957334838115024</v>
      </c>
      <c r="F30">
        <v>606.80236069123202</v>
      </c>
      <c r="G30">
        <v>0.42399999999999999</v>
      </c>
      <c r="H30">
        <v>0</v>
      </c>
      <c r="I30">
        <v>5.6019059999999996</v>
      </c>
      <c r="J30">
        <v>0</v>
      </c>
    </row>
    <row r="31" spans="1:10" x14ac:dyDescent="0.3">
      <c r="A31" t="s">
        <v>9</v>
      </c>
      <c r="B31" t="s">
        <v>147</v>
      </c>
      <c r="C31">
        <v>0</v>
      </c>
      <c r="D31">
        <v>1.2999999999999999E-3</v>
      </c>
      <c r="E31">
        <v>5.9957334838115024</v>
      </c>
      <c r="F31">
        <v>606.80236069123202</v>
      </c>
      <c r="G31">
        <v>0.42399999999999999</v>
      </c>
      <c r="H31">
        <v>0</v>
      </c>
      <c r="I31">
        <v>5.801304</v>
      </c>
      <c r="J31">
        <v>0</v>
      </c>
    </row>
    <row r="32" spans="1:10" x14ac:dyDescent="0.3">
      <c r="A32" t="s">
        <v>9</v>
      </c>
      <c r="B32" t="s">
        <v>148</v>
      </c>
      <c r="C32">
        <v>0</v>
      </c>
      <c r="D32">
        <v>1.2999999999999999E-3</v>
      </c>
      <c r="E32">
        <v>5.9957334838115024</v>
      </c>
      <c r="F32">
        <v>606.80236069123202</v>
      </c>
      <c r="G32">
        <v>0.42399999999999999</v>
      </c>
      <c r="H32">
        <v>0</v>
      </c>
      <c r="I32">
        <v>6.0025719999999998</v>
      </c>
      <c r="J32">
        <v>0</v>
      </c>
    </row>
    <row r="33" spans="1:10" x14ac:dyDescent="0.3">
      <c r="A33" t="s">
        <v>9</v>
      </c>
      <c r="B33" t="s">
        <v>149</v>
      </c>
      <c r="C33">
        <v>0</v>
      </c>
      <c r="D33">
        <v>1.2999999999999999E-3</v>
      </c>
      <c r="E33">
        <v>5.9957334838115024</v>
      </c>
      <c r="F33">
        <v>606.80236069123202</v>
      </c>
      <c r="G33">
        <v>0.42399999999999999</v>
      </c>
      <c r="H33">
        <v>0</v>
      </c>
      <c r="I33">
        <v>6.2030890000000003</v>
      </c>
      <c r="J33">
        <v>0</v>
      </c>
    </row>
    <row r="34" spans="1:10" x14ac:dyDescent="0.3">
      <c r="A34" t="s">
        <v>9</v>
      </c>
      <c r="B34" t="s">
        <v>150</v>
      </c>
      <c r="C34">
        <v>0</v>
      </c>
      <c r="D34">
        <v>1.2999999999999999E-3</v>
      </c>
      <c r="E34">
        <v>5.9957334838115024</v>
      </c>
      <c r="F34">
        <v>606.80236069123202</v>
      </c>
      <c r="G34">
        <v>0.42399999999999999</v>
      </c>
      <c r="H34">
        <v>0</v>
      </c>
      <c r="I34">
        <v>6.4075959999999998</v>
      </c>
      <c r="J34">
        <v>0</v>
      </c>
    </row>
    <row r="35" spans="1:10" x14ac:dyDescent="0.3">
      <c r="A35" t="s">
        <v>9</v>
      </c>
      <c r="B35" t="s">
        <v>151</v>
      </c>
      <c r="C35">
        <v>0</v>
      </c>
      <c r="D35">
        <v>1.2999999999999999E-3</v>
      </c>
      <c r="E35">
        <v>5.9957334838115024</v>
      </c>
      <c r="F35">
        <v>606.80236069123202</v>
      </c>
      <c r="G35">
        <v>0.42399999999999999</v>
      </c>
      <c r="H35">
        <v>0</v>
      </c>
      <c r="I35">
        <v>6.6031890000000004</v>
      </c>
      <c r="J35">
        <v>0</v>
      </c>
    </row>
    <row r="36" spans="1:10" x14ac:dyDescent="0.3">
      <c r="A36" t="s">
        <v>9</v>
      </c>
      <c r="B36" t="s">
        <v>152</v>
      </c>
      <c r="C36">
        <v>0</v>
      </c>
      <c r="D36">
        <v>1.2999999999999999E-3</v>
      </c>
      <c r="E36">
        <v>5.9957334838115024</v>
      </c>
      <c r="F36">
        <v>606.80236069123202</v>
      </c>
      <c r="G36">
        <v>0.42399999999999999</v>
      </c>
      <c r="H36">
        <v>0</v>
      </c>
      <c r="I36">
        <v>6.8009719999999998</v>
      </c>
      <c r="J36">
        <v>0</v>
      </c>
    </row>
    <row r="37" spans="1:10" x14ac:dyDescent="0.3">
      <c r="A37" t="s">
        <v>9</v>
      </c>
      <c r="B37" t="s">
        <v>153</v>
      </c>
      <c r="C37">
        <v>0</v>
      </c>
      <c r="D37">
        <v>1.2999999999999999E-3</v>
      </c>
      <c r="E37">
        <v>5.9957334838115024</v>
      </c>
      <c r="F37">
        <v>606.80236069123202</v>
      </c>
      <c r="G37">
        <v>0.42399999999999999</v>
      </c>
      <c r="H37">
        <v>0</v>
      </c>
      <c r="I37">
        <v>7.002192</v>
      </c>
      <c r="J37">
        <v>0</v>
      </c>
    </row>
    <row r="38" spans="1:10" x14ac:dyDescent="0.3">
      <c r="A38" t="s">
        <v>9</v>
      </c>
      <c r="B38" t="s">
        <v>154</v>
      </c>
      <c r="C38">
        <v>0</v>
      </c>
      <c r="D38">
        <v>1.2999999999999999E-3</v>
      </c>
      <c r="E38">
        <v>5.9957334838115024</v>
      </c>
      <c r="F38">
        <v>606.80236069123202</v>
      </c>
      <c r="G38">
        <v>0.42399999999999999</v>
      </c>
      <c r="H38">
        <v>0</v>
      </c>
      <c r="I38">
        <v>7.2482769999999999</v>
      </c>
      <c r="J38">
        <v>0</v>
      </c>
    </row>
    <row r="39" spans="1:10" x14ac:dyDescent="0.3">
      <c r="A39" t="s">
        <v>9</v>
      </c>
      <c r="B39" t="s">
        <v>155</v>
      </c>
      <c r="C39">
        <v>0</v>
      </c>
      <c r="D39">
        <v>1.2999999999999999E-3</v>
      </c>
      <c r="E39">
        <v>5.9957334838115024</v>
      </c>
      <c r="F39">
        <v>606.80236069123202</v>
      </c>
      <c r="G39">
        <v>0.42399999999999999</v>
      </c>
      <c r="H39">
        <v>0</v>
      </c>
      <c r="I39">
        <v>7.4013330000000002</v>
      </c>
      <c r="J39">
        <v>0</v>
      </c>
    </row>
    <row r="40" spans="1:10" x14ac:dyDescent="0.3">
      <c r="A40" t="s">
        <v>9</v>
      </c>
      <c r="B40" t="s">
        <v>156</v>
      </c>
      <c r="C40">
        <v>0</v>
      </c>
      <c r="D40">
        <v>1.2999999999999999E-3</v>
      </c>
      <c r="E40">
        <v>5.9957334838115024</v>
      </c>
      <c r="F40">
        <v>606.80236069123202</v>
      </c>
      <c r="G40">
        <v>0.42399999999999999</v>
      </c>
      <c r="H40">
        <v>0</v>
      </c>
      <c r="I40">
        <v>7.6008570000000004</v>
      </c>
      <c r="J40">
        <v>0</v>
      </c>
    </row>
    <row r="41" spans="1:10" x14ac:dyDescent="0.3">
      <c r="A41" t="s">
        <v>9</v>
      </c>
      <c r="B41" t="s">
        <v>157</v>
      </c>
      <c r="C41">
        <v>0</v>
      </c>
      <c r="D41">
        <v>1.2999999999999999E-3</v>
      </c>
      <c r="E41">
        <v>5.9957334838115024</v>
      </c>
      <c r="F41">
        <v>606.80236069123202</v>
      </c>
      <c r="G41">
        <v>0.42399999999999999</v>
      </c>
      <c r="H41">
        <v>0</v>
      </c>
      <c r="I41">
        <v>7.8016519999999998</v>
      </c>
      <c r="J41">
        <v>0</v>
      </c>
    </row>
    <row r="42" spans="1:10" x14ac:dyDescent="0.3">
      <c r="A42" t="s">
        <v>9</v>
      </c>
      <c r="B42" t="s">
        <v>158</v>
      </c>
      <c r="C42">
        <v>0</v>
      </c>
      <c r="D42">
        <v>1.2999999999999999E-3</v>
      </c>
      <c r="E42">
        <v>5.9957334838115024</v>
      </c>
      <c r="F42">
        <v>606.80236069123202</v>
      </c>
      <c r="G42">
        <v>0.42399999999999999</v>
      </c>
      <c r="H42">
        <v>0</v>
      </c>
      <c r="I42">
        <v>8.0025639999999996</v>
      </c>
      <c r="J42">
        <v>0</v>
      </c>
    </row>
    <row r="43" spans="1:10" x14ac:dyDescent="0.3">
      <c r="A43" t="s">
        <v>9</v>
      </c>
      <c r="B43" t="s">
        <v>159</v>
      </c>
      <c r="C43">
        <v>0</v>
      </c>
      <c r="D43">
        <v>1.2999999999999999E-3</v>
      </c>
      <c r="E43">
        <v>5.9957334838115024</v>
      </c>
      <c r="F43">
        <v>606.80236069123202</v>
      </c>
      <c r="G43">
        <v>0.42399999999999999</v>
      </c>
      <c r="H43">
        <v>0</v>
      </c>
      <c r="I43">
        <v>8.2020409999999995</v>
      </c>
      <c r="J43">
        <v>0</v>
      </c>
    </row>
    <row r="44" spans="1:10" x14ac:dyDescent="0.3">
      <c r="A44" t="s">
        <v>9</v>
      </c>
      <c r="B44" t="s">
        <v>160</v>
      </c>
      <c r="C44">
        <v>0</v>
      </c>
      <c r="D44">
        <v>1.2999999999999999E-3</v>
      </c>
      <c r="E44">
        <v>5.9957334838115024</v>
      </c>
      <c r="F44">
        <v>606.80236069123202</v>
      </c>
      <c r="G44">
        <v>0.42399999999999999</v>
      </c>
      <c r="H44">
        <v>0</v>
      </c>
      <c r="I44">
        <v>8.4029819999999997</v>
      </c>
      <c r="J44">
        <v>0</v>
      </c>
    </row>
    <row r="45" spans="1:10" x14ac:dyDescent="0.3">
      <c r="A45" t="s">
        <v>9</v>
      </c>
      <c r="B45" t="s">
        <v>161</v>
      </c>
      <c r="C45">
        <v>0</v>
      </c>
      <c r="D45">
        <v>1.2999999999999999E-3</v>
      </c>
      <c r="E45">
        <v>6.9800092691681552</v>
      </c>
      <c r="F45">
        <v>802.40287964405798</v>
      </c>
      <c r="G45">
        <v>0.42399999999999999</v>
      </c>
      <c r="H45">
        <v>1.5299999999999999E-2</v>
      </c>
      <c r="I45">
        <v>8.6035789999999999</v>
      </c>
      <c r="J45">
        <v>1.5299999999999999E-2</v>
      </c>
    </row>
    <row r="46" spans="1:10" x14ac:dyDescent="0.3">
      <c r="A46" t="s">
        <v>9</v>
      </c>
      <c r="B46" t="s">
        <v>162</v>
      </c>
      <c r="C46">
        <v>0</v>
      </c>
      <c r="D46">
        <v>5.7999999999999996E-3</v>
      </c>
      <c r="E46">
        <v>7.0690944367009996</v>
      </c>
      <c r="F46">
        <v>810.85706204292501</v>
      </c>
      <c r="G46">
        <v>0.42399999999999999</v>
      </c>
      <c r="H46">
        <v>1.67E-2</v>
      </c>
      <c r="I46">
        <v>8.8008380000000006</v>
      </c>
      <c r="J46">
        <v>1.67E-2</v>
      </c>
    </row>
    <row r="47" spans="1:10" x14ac:dyDescent="0.3">
      <c r="A47" t="s">
        <v>9</v>
      </c>
      <c r="B47" t="s">
        <v>163</v>
      </c>
      <c r="C47">
        <v>0</v>
      </c>
      <c r="D47">
        <v>1.1299999999999999E-2</v>
      </c>
      <c r="E47">
        <v>7.1505198562962979</v>
      </c>
      <c r="F47">
        <v>818.58433436251869</v>
      </c>
      <c r="G47">
        <v>0.42399999999999999</v>
      </c>
      <c r="H47">
        <v>1.7899999999999999E-2</v>
      </c>
      <c r="I47">
        <v>9.0030669999999997</v>
      </c>
      <c r="J47">
        <v>1.7899999999999999E-2</v>
      </c>
    </row>
    <row r="48" spans="1:10" x14ac:dyDescent="0.3">
      <c r="A48" t="s">
        <v>9</v>
      </c>
      <c r="B48" t="s">
        <v>164</v>
      </c>
      <c r="C48">
        <v>0</v>
      </c>
      <c r="D48">
        <v>1.4200000000000001E-2</v>
      </c>
      <c r="E48">
        <v>7.2185213557725723</v>
      </c>
      <c r="F48">
        <v>825.03767666281715</v>
      </c>
      <c r="G48">
        <v>0.42399999999999999</v>
      </c>
      <c r="H48">
        <v>1.9E-2</v>
      </c>
      <c r="I48">
        <v>9.2009039999999995</v>
      </c>
      <c r="J48">
        <v>1.9E-2</v>
      </c>
    </row>
    <row r="49" spans="1:10" x14ac:dyDescent="0.3">
      <c r="A49" t="s">
        <v>9</v>
      </c>
      <c r="B49" t="s">
        <v>165</v>
      </c>
      <c r="C49">
        <v>0</v>
      </c>
      <c r="D49">
        <v>1.5599999999999999E-2</v>
      </c>
      <c r="E49">
        <v>7.2740749032249852</v>
      </c>
      <c r="F49">
        <v>830.30970831605111</v>
      </c>
      <c r="G49">
        <v>0.42399999999999999</v>
      </c>
      <c r="H49">
        <v>1.9900000000000001E-2</v>
      </c>
      <c r="I49">
        <v>9.4017789999999994</v>
      </c>
      <c r="J49">
        <v>1.9900000000000001E-2</v>
      </c>
    </row>
    <row r="50" spans="1:10" x14ac:dyDescent="0.3">
      <c r="A50" t="s">
        <v>9</v>
      </c>
      <c r="B50" t="s">
        <v>166</v>
      </c>
      <c r="C50">
        <v>0</v>
      </c>
      <c r="D50">
        <v>1.67E-2</v>
      </c>
      <c r="E50">
        <v>7.3178661496917279</v>
      </c>
      <c r="F50">
        <v>834.46549760574499</v>
      </c>
      <c r="G50">
        <v>0.42399999999999999</v>
      </c>
      <c r="H50">
        <v>2.0500000000000001E-2</v>
      </c>
      <c r="I50">
        <v>9.6228160000000003</v>
      </c>
      <c r="J50">
        <v>2.0500000000000001E-2</v>
      </c>
    </row>
    <row r="51" spans="1:10" x14ac:dyDescent="0.3">
      <c r="A51" t="s">
        <v>9</v>
      </c>
      <c r="B51" t="s">
        <v>167</v>
      </c>
      <c r="C51">
        <v>0</v>
      </c>
      <c r="D51">
        <v>1.7100000000000001E-2</v>
      </c>
      <c r="E51">
        <v>7.339688990925481</v>
      </c>
      <c r="F51">
        <v>836.53648523882816</v>
      </c>
      <c r="G51">
        <v>0.42399999999999999</v>
      </c>
      <c r="H51">
        <v>2.0899999999999998E-2</v>
      </c>
      <c r="I51">
        <v>9.8086950000000002</v>
      </c>
      <c r="J51">
        <v>2.0899999999999998E-2</v>
      </c>
    </row>
    <row r="52" spans="1:10" x14ac:dyDescent="0.3">
      <c r="A52" t="s">
        <v>9</v>
      </c>
      <c r="B52" t="s">
        <v>168</v>
      </c>
      <c r="C52">
        <v>0</v>
      </c>
      <c r="D52">
        <v>1.7399999999999999E-2</v>
      </c>
      <c r="E52">
        <v>7.3471654660840473</v>
      </c>
      <c r="F52">
        <v>837.24600273137617</v>
      </c>
      <c r="G52">
        <v>0.42399999999999999</v>
      </c>
      <c r="H52">
        <v>2.1000000000000001E-2</v>
      </c>
      <c r="I52">
        <v>10.02566</v>
      </c>
      <c r="J52">
        <v>2.1000000000000001E-2</v>
      </c>
    </row>
    <row r="53" spans="1:10" x14ac:dyDescent="0.3">
      <c r="A53" t="s">
        <v>9</v>
      </c>
      <c r="B53" t="s">
        <v>169</v>
      </c>
      <c r="C53">
        <v>0</v>
      </c>
      <c r="D53">
        <v>1.77E-2</v>
      </c>
      <c r="E53">
        <v>7.3343996249922139</v>
      </c>
      <c r="F53">
        <v>731.56604504927441</v>
      </c>
      <c r="G53">
        <v>0.42399999999999999</v>
      </c>
      <c r="H53">
        <v>2.0799999999999999E-2</v>
      </c>
      <c r="I53">
        <v>10.24921</v>
      </c>
      <c r="J53">
        <v>2.0799999999999999E-2</v>
      </c>
    </row>
    <row r="54" spans="1:10" x14ac:dyDescent="0.3">
      <c r="A54" t="s">
        <v>9</v>
      </c>
      <c r="B54" t="s">
        <v>170</v>
      </c>
      <c r="C54">
        <v>1</v>
      </c>
      <c r="D54">
        <v>1.77E-2</v>
      </c>
      <c r="E54">
        <v>7.3136220873518667</v>
      </c>
      <c r="F54">
        <v>729.62957854119395</v>
      </c>
      <c r="G54">
        <v>0.42399999999999999</v>
      </c>
      <c r="H54">
        <v>2.0500000000000001E-2</v>
      </c>
      <c r="I54">
        <v>10.40367</v>
      </c>
      <c r="J54">
        <v>2.0500000000000001E-2</v>
      </c>
    </row>
    <row r="55" spans="1:10" x14ac:dyDescent="0.3">
      <c r="A55" t="s">
        <v>9</v>
      </c>
      <c r="B55" t="s">
        <v>171</v>
      </c>
      <c r="C55">
        <v>1</v>
      </c>
      <c r="D55">
        <v>1.77E-2</v>
      </c>
      <c r="E55">
        <v>7.2727409044576081</v>
      </c>
      <c r="F55">
        <v>725.81945229544908</v>
      </c>
      <c r="G55">
        <v>0.42399999999999999</v>
      </c>
      <c r="H55">
        <v>1.9800000000000002E-2</v>
      </c>
      <c r="I55">
        <v>10.60375</v>
      </c>
      <c r="J55">
        <v>1.9800000000000002E-2</v>
      </c>
    </row>
    <row r="56" spans="1:10" x14ac:dyDescent="0.3">
      <c r="A56" t="s">
        <v>9</v>
      </c>
      <c r="B56" t="s">
        <v>172</v>
      </c>
      <c r="C56">
        <v>1</v>
      </c>
      <c r="D56">
        <v>1.77E-2</v>
      </c>
      <c r="E56">
        <v>7.2174501020511697</v>
      </c>
      <c r="F56">
        <v>720.66634951116907</v>
      </c>
      <c r="G56">
        <v>0.42399999999999999</v>
      </c>
      <c r="H56">
        <v>1.9E-2</v>
      </c>
      <c r="I56">
        <v>10.802530000000001</v>
      </c>
      <c r="J56">
        <v>1.9E-2</v>
      </c>
    </row>
    <row r="57" spans="1:10" x14ac:dyDescent="0.3">
      <c r="A57" t="s">
        <v>9</v>
      </c>
      <c r="B57" t="s">
        <v>173</v>
      </c>
      <c r="C57">
        <v>1</v>
      </c>
      <c r="D57">
        <v>1.7600000000000001E-2</v>
      </c>
      <c r="E57">
        <v>7.1486996980997137</v>
      </c>
      <c r="F57">
        <v>714.25881186289337</v>
      </c>
      <c r="G57">
        <v>0.42399999999999999</v>
      </c>
      <c r="H57">
        <v>1.7899999999999999E-2</v>
      </c>
      <c r="I57">
        <v>11.00178</v>
      </c>
      <c r="J57">
        <v>1.7899999999999999E-2</v>
      </c>
    </row>
    <row r="58" spans="1:10" x14ac:dyDescent="0.3">
      <c r="A58" t="s">
        <v>9</v>
      </c>
      <c r="B58" t="s">
        <v>174</v>
      </c>
      <c r="C58">
        <v>1</v>
      </c>
      <c r="D58">
        <v>1.7600000000000001E-2</v>
      </c>
      <c r="E58">
        <v>7.0684104075458114</v>
      </c>
      <c r="F58">
        <v>706.77584998326961</v>
      </c>
      <c r="G58">
        <v>0.42399999999999999</v>
      </c>
      <c r="H58">
        <v>1.67E-2</v>
      </c>
      <c r="I58">
        <v>11.200749999999999</v>
      </c>
      <c r="J58">
        <v>1.67E-2</v>
      </c>
    </row>
    <row r="59" spans="1:10" x14ac:dyDescent="0.3">
      <c r="A59" t="s">
        <v>9</v>
      </c>
      <c r="B59" t="s">
        <v>175</v>
      </c>
      <c r="C59">
        <v>1</v>
      </c>
      <c r="D59">
        <v>1.7600000000000001E-2</v>
      </c>
      <c r="E59">
        <v>6.9768911991009404</v>
      </c>
      <c r="F59">
        <v>698.24625975620768</v>
      </c>
      <c r="G59">
        <v>0.42399999999999999</v>
      </c>
      <c r="H59">
        <v>1.52E-2</v>
      </c>
      <c r="I59">
        <v>11.40301</v>
      </c>
      <c r="J59">
        <v>1.52E-2</v>
      </c>
    </row>
    <row r="60" spans="1:10" x14ac:dyDescent="0.3">
      <c r="A60" t="s">
        <v>9</v>
      </c>
      <c r="B60" t="s">
        <v>176</v>
      </c>
      <c r="C60">
        <v>1</v>
      </c>
      <c r="D60">
        <v>1.72E-2</v>
      </c>
      <c r="E60">
        <v>6.8794245456956116</v>
      </c>
      <c r="F60">
        <v>689.16236765883104</v>
      </c>
      <c r="G60">
        <v>0.42399999999999999</v>
      </c>
      <c r="H60">
        <v>1.37E-2</v>
      </c>
      <c r="I60">
        <v>11.60183</v>
      </c>
      <c r="J60">
        <v>1.37E-2</v>
      </c>
    </row>
    <row r="61" spans="1:10" x14ac:dyDescent="0.3">
      <c r="A61" t="s">
        <v>9</v>
      </c>
      <c r="B61" t="s">
        <v>177</v>
      </c>
      <c r="C61">
        <v>1</v>
      </c>
      <c r="D61">
        <v>1.7100000000000001E-2</v>
      </c>
      <c r="E61">
        <v>6.7766770412427659</v>
      </c>
      <c r="F61">
        <v>679.5863002438258</v>
      </c>
      <c r="G61">
        <v>0.42399999999999999</v>
      </c>
      <c r="H61">
        <v>1.21E-2</v>
      </c>
      <c r="I61">
        <v>11.80106</v>
      </c>
      <c r="J61">
        <v>1.21E-2</v>
      </c>
    </row>
    <row r="62" spans="1:10" x14ac:dyDescent="0.3">
      <c r="A62" t="s">
        <v>9</v>
      </c>
      <c r="B62" t="s">
        <v>178</v>
      </c>
      <c r="C62">
        <v>1</v>
      </c>
      <c r="D62">
        <v>1.61E-2</v>
      </c>
      <c r="E62">
        <v>6.6703204416445034</v>
      </c>
      <c r="F62">
        <v>669.67386516126771</v>
      </c>
      <c r="G62">
        <v>0.42399999999999999</v>
      </c>
      <c r="H62">
        <v>1.0500000000000001E-2</v>
      </c>
      <c r="I62">
        <v>12.00226</v>
      </c>
      <c r="J62">
        <v>1.0500000000000001E-2</v>
      </c>
    </row>
    <row r="63" spans="1:10" x14ac:dyDescent="0.3">
      <c r="A63" t="s">
        <v>9</v>
      </c>
      <c r="B63" t="s">
        <v>179</v>
      </c>
      <c r="C63">
        <v>1</v>
      </c>
      <c r="D63">
        <v>1.4200000000000001E-2</v>
      </c>
      <c r="E63">
        <v>6.5656822270845812</v>
      </c>
      <c r="F63">
        <v>659.92158356428297</v>
      </c>
      <c r="G63">
        <v>0.42399999999999999</v>
      </c>
      <c r="H63">
        <v>8.8999999999999999E-3</v>
      </c>
      <c r="I63">
        <v>12.200229999999999</v>
      </c>
      <c r="J63">
        <v>8.8999999999999999E-3</v>
      </c>
    </row>
    <row r="64" spans="1:10" x14ac:dyDescent="0.3">
      <c r="A64" t="s">
        <v>9</v>
      </c>
      <c r="B64" t="s">
        <v>180</v>
      </c>
      <c r="C64">
        <v>1</v>
      </c>
      <c r="D64">
        <v>1.24E-2</v>
      </c>
      <c r="E64">
        <v>6.4623309766850419</v>
      </c>
      <c r="F64">
        <v>650.28924702704592</v>
      </c>
      <c r="G64">
        <v>0.42399999999999999</v>
      </c>
      <c r="H64">
        <v>7.1999999999999998E-3</v>
      </c>
      <c r="I64">
        <v>12.40071</v>
      </c>
      <c r="J64">
        <v>7.1999999999999998E-3</v>
      </c>
    </row>
    <row r="65" spans="1:10" x14ac:dyDescent="0.3">
      <c r="A65" t="s">
        <v>9</v>
      </c>
      <c r="B65" t="s">
        <v>181</v>
      </c>
      <c r="C65">
        <v>1</v>
      </c>
      <c r="D65">
        <v>1.03E-2</v>
      </c>
      <c r="E65">
        <v>6.3646969044070536</v>
      </c>
      <c r="F65">
        <v>641.18975149073754</v>
      </c>
      <c r="G65">
        <v>0.42399999999999999</v>
      </c>
      <c r="H65">
        <v>5.7000000000000002E-3</v>
      </c>
      <c r="I65">
        <v>12.60004</v>
      </c>
      <c r="J65">
        <v>5.7000000000000002E-3</v>
      </c>
    </row>
    <row r="66" spans="1:10" x14ac:dyDescent="0.3">
      <c r="A66" t="s">
        <v>9</v>
      </c>
      <c r="B66" t="s">
        <v>182</v>
      </c>
      <c r="C66">
        <v>1</v>
      </c>
      <c r="D66">
        <v>7.9000000000000008E-3</v>
      </c>
      <c r="E66">
        <v>6.2738305444166969</v>
      </c>
      <c r="F66">
        <v>632.72100673963621</v>
      </c>
      <c r="G66">
        <v>0.42399999999999999</v>
      </c>
      <c r="H66">
        <v>4.3E-3</v>
      </c>
      <c r="I66">
        <v>12.8011</v>
      </c>
      <c r="J66">
        <v>4.3E-3</v>
      </c>
    </row>
    <row r="67" spans="1:10" x14ac:dyDescent="0.3">
      <c r="A67" t="s">
        <v>9</v>
      </c>
      <c r="B67" t="s">
        <v>183</v>
      </c>
      <c r="C67">
        <v>1</v>
      </c>
      <c r="D67">
        <v>6.0000000000000001E-3</v>
      </c>
      <c r="E67">
        <v>6.1932519910297721</v>
      </c>
      <c r="F67">
        <v>625.21108556397473</v>
      </c>
      <c r="G67">
        <v>0.42399999999999999</v>
      </c>
      <c r="H67">
        <v>3.0999999999999999E-3</v>
      </c>
      <c r="I67">
        <v>13.001099999999999</v>
      </c>
      <c r="J67">
        <v>3.0999999999999999E-3</v>
      </c>
    </row>
    <row r="68" spans="1:10" x14ac:dyDescent="0.3">
      <c r="A68" t="s">
        <v>9</v>
      </c>
      <c r="B68" t="s">
        <v>184</v>
      </c>
      <c r="C68">
        <v>1</v>
      </c>
      <c r="D68">
        <v>4.5999999999999999E-3</v>
      </c>
      <c r="E68">
        <v>6.1241851577050452</v>
      </c>
      <c r="F68">
        <v>618.77405669811026</v>
      </c>
      <c r="G68">
        <v>0.42399999999999999</v>
      </c>
      <c r="H68">
        <v>2E-3</v>
      </c>
      <c r="I68">
        <v>13.20196</v>
      </c>
      <c r="J68">
        <v>2E-3</v>
      </c>
    </row>
    <row r="69" spans="1:10" x14ac:dyDescent="0.3">
      <c r="A69" t="s">
        <v>9</v>
      </c>
      <c r="B69" t="s">
        <v>185</v>
      </c>
      <c r="C69">
        <v>1</v>
      </c>
      <c r="D69">
        <v>3.0000000000000001E-3</v>
      </c>
      <c r="E69">
        <v>6.0692821475238707</v>
      </c>
      <c r="F69">
        <v>613.6570961492248</v>
      </c>
      <c r="G69">
        <v>0.42399999999999999</v>
      </c>
      <c r="H69">
        <v>1.1000000000000001E-3</v>
      </c>
      <c r="I69">
        <v>13.400449999999999</v>
      </c>
      <c r="J69">
        <v>1.1000000000000001E-3</v>
      </c>
    </row>
    <row r="70" spans="1:10" x14ac:dyDescent="0.3">
      <c r="A70" t="s">
        <v>9</v>
      </c>
      <c r="B70" t="s">
        <v>186</v>
      </c>
      <c r="C70">
        <v>1</v>
      </c>
      <c r="D70">
        <v>2.2000000000000001E-3</v>
      </c>
      <c r="E70">
        <v>6.0287266306265694</v>
      </c>
      <c r="F70">
        <v>609.87732197439618</v>
      </c>
      <c r="G70">
        <v>0.42399999999999999</v>
      </c>
      <c r="H70">
        <v>5.0000000000000001E-4</v>
      </c>
      <c r="I70">
        <v>13.6005</v>
      </c>
      <c r="J70">
        <v>5.0000000000000001E-4</v>
      </c>
    </row>
    <row r="71" spans="1:10" x14ac:dyDescent="0.3">
      <c r="A71" t="s">
        <v>9</v>
      </c>
      <c r="B71" t="s">
        <v>187</v>
      </c>
      <c r="C71">
        <v>1</v>
      </c>
      <c r="D71">
        <v>1.6999999999999999E-3</v>
      </c>
      <c r="E71">
        <v>6.003851535337736</v>
      </c>
      <c r="F71">
        <v>607.55896309347702</v>
      </c>
      <c r="G71">
        <v>0.42399999999999999</v>
      </c>
      <c r="H71">
        <v>1E-4</v>
      </c>
      <c r="I71">
        <v>13.80245</v>
      </c>
      <c r="J71">
        <v>1E-4</v>
      </c>
    </row>
    <row r="72" spans="1:10" x14ac:dyDescent="0.3">
      <c r="A72" t="s">
        <v>9</v>
      </c>
      <c r="B72" t="s">
        <v>188</v>
      </c>
      <c r="C72">
        <v>1</v>
      </c>
      <c r="D72">
        <v>1.6999999999999999E-3</v>
      </c>
      <c r="E72">
        <v>5.995733886610525</v>
      </c>
      <c r="F72">
        <v>606.80239823210093</v>
      </c>
      <c r="G72">
        <v>0.42399999999999999</v>
      </c>
      <c r="H72">
        <v>0</v>
      </c>
      <c r="I72">
        <v>14.00142</v>
      </c>
      <c r="J72">
        <v>0</v>
      </c>
    </row>
    <row r="73" spans="1:10" x14ac:dyDescent="0.3">
      <c r="A73" t="s">
        <v>9</v>
      </c>
      <c r="B73" t="s">
        <v>189</v>
      </c>
      <c r="C73">
        <v>1</v>
      </c>
      <c r="D73">
        <v>1.6999999999999999E-3</v>
      </c>
      <c r="E73">
        <v>6.0040619584381361</v>
      </c>
      <c r="F73">
        <v>709.78547985577916</v>
      </c>
      <c r="G73">
        <v>0.42399999999999999</v>
      </c>
      <c r="H73">
        <v>1E-4</v>
      </c>
      <c r="I73">
        <v>14.200100000000001</v>
      </c>
      <c r="J73">
        <v>1E-4</v>
      </c>
    </row>
    <row r="74" spans="1:10" x14ac:dyDescent="0.3">
      <c r="A74" t="s">
        <v>9</v>
      </c>
      <c r="B74" t="s">
        <v>190</v>
      </c>
      <c r="C74">
        <v>1</v>
      </c>
      <c r="D74">
        <v>1.6999999999999999E-3</v>
      </c>
      <c r="E74">
        <v>6.0290773060593814</v>
      </c>
      <c r="F74">
        <v>712.15943634503526</v>
      </c>
      <c r="G74">
        <v>0.42399999999999999</v>
      </c>
      <c r="H74">
        <v>5.0000000000000001E-4</v>
      </c>
      <c r="I74">
        <v>14.401630000000001</v>
      </c>
      <c r="J74">
        <v>5.0000000000000001E-4</v>
      </c>
    </row>
    <row r="75" spans="1:10" x14ac:dyDescent="0.3">
      <c r="A75" t="s">
        <v>9</v>
      </c>
      <c r="B75" t="s">
        <v>191</v>
      </c>
      <c r="C75">
        <v>1</v>
      </c>
      <c r="D75">
        <v>1.6999999999999999E-3</v>
      </c>
      <c r="E75">
        <v>6.0698196800970967</v>
      </c>
      <c r="F75">
        <v>716.02588764121447</v>
      </c>
      <c r="G75">
        <v>0.42399999999999999</v>
      </c>
      <c r="H75">
        <v>1.1999999999999999E-3</v>
      </c>
      <c r="I75">
        <v>14.60178</v>
      </c>
      <c r="J75">
        <v>1.1999999999999999E-3</v>
      </c>
    </row>
    <row r="76" spans="1:10" x14ac:dyDescent="0.3">
      <c r="A76" t="s">
        <v>9</v>
      </c>
      <c r="B76" t="s">
        <v>192</v>
      </c>
      <c r="C76">
        <v>1</v>
      </c>
      <c r="D76">
        <v>1.6999999999999999E-3</v>
      </c>
      <c r="E76">
        <v>6.1251660725433554</v>
      </c>
      <c r="F76">
        <v>721.27826028436448</v>
      </c>
      <c r="G76">
        <v>0.42399999999999999</v>
      </c>
      <c r="H76">
        <v>2E-3</v>
      </c>
      <c r="I76">
        <v>14.80118</v>
      </c>
      <c r="J76">
        <v>2E-3</v>
      </c>
    </row>
    <row r="77" spans="1:10" x14ac:dyDescent="0.3">
      <c r="A77" t="s">
        <v>9</v>
      </c>
      <c r="B77" t="s">
        <v>193</v>
      </c>
      <c r="C77">
        <v>1</v>
      </c>
      <c r="D77">
        <v>1.8E-3</v>
      </c>
      <c r="E77">
        <v>6.1941586641737656</v>
      </c>
      <c r="F77">
        <v>727.82565723009043</v>
      </c>
      <c r="G77">
        <v>0.42399999999999999</v>
      </c>
      <c r="H77">
        <v>3.0999999999999999E-3</v>
      </c>
      <c r="I77">
        <v>15.00131</v>
      </c>
      <c r="J77">
        <v>3.0999999999999999E-3</v>
      </c>
    </row>
    <row r="78" spans="1:10" x14ac:dyDescent="0.3">
      <c r="A78" t="s">
        <v>9</v>
      </c>
      <c r="B78" t="s">
        <v>194</v>
      </c>
      <c r="C78">
        <v>1</v>
      </c>
      <c r="D78">
        <v>1.8E-3</v>
      </c>
      <c r="E78">
        <v>6.2747134164276668</v>
      </c>
      <c r="F78">
        <v>735.47030321898558</v>
      </c>
      <c r="G78">
        <v>0.42399999999999999</v>
      </c>
      <c r="H78">
        <v>4.3E-3</v>
      </c>
      <c r="I78">
        <v>15.20096</v>
      </c>
      <c r="J78">
        <v>4.3E-3</v>
      </c>
    </row>
    <row r="79" spans="1:10" x14ac:dyDescent="0.3">
      <c r="A79" t="s">
        <v>9</v>
      </c>
      <c r="B79" t="s">
        <v>195</v>
      </c>
      <c r="C79">
        <v>1</v>
      </c>
      <c r="D79">
        <v>2.3999999999999998E-3</v>
      </c>
      <c r="E79">
        <v>6.365497344214555</v>
      </c>
      <c r="F79">
        <v>744.08569796596134</v>
      </c>
      <c r="G79">
        <v>0.42399999999999999</v>
      </c>
      <c r="H79">
        <v>5.7000000000000002E-3</v>
      </c>
      <c r="I79">
        <v>15.40165</v>
      </c>
      <c r="J79">
        <v>5.7000000000000002E-3</v>
      </c>
    </row>
    <row r="80" spans="1:10" x14ac:dyDescent="0.3">
      <c r="A80" t="s">
        <v>9</v>
      </c>
      <c r="B80" t="s">
        <v>196</v>
      </c>
      <c r="C80">
        <v>1</v>
      </c>
      <c r="D80">
        <v>3.5999999999999999E-3</v>
      </c>
      <c r="E80">
        <v>6.4628301111782456</v>
      </c>
      <c r="F80">
        <v>753.32257755081559</v>
      </c>
      <c r="G80">
        <v>0.42399999999999999</v>
      </c>
      <c r="H80">
        <v>7.3000000000000001E-3</v>
      </c>
      <c r="I80">
        <v>15.60028</v>
      </c>
      <c r="J80">
        <v>7.3000000000000001E-3</v>
      </c>
    </row>
    <row r="81" spans="1:10" x14ac:dyDescent="0.3">
      <c r="A81" t="s">
        <v>9</v>
      </c>
      <c r="B81" t="s">
        <v>197</v>
      </c>
      <c r="C81">
        <v>1</v>
      </c>
      <c r="D81">
        <v>5.1000000000000004E-3</v>
      </c>
      <c r="E81">
        <v>6.5666354888177443</v>
      </c>
      <c r="F81">
        <v>763.17370788880396</v>
      </c>
      <c r="G81">
        <v>0.42399999999999999</v>
      </c>
      <c r="H81">
        <v>8.8999999999999999E-3</v>
      </c>
      <c r="I81">
        <v>15.801589999999999</v>
      </c>
      <c r="J81">
        <v>8.8999999999999999E-3</v>
      </c>
    </row>
    <row r="82" spans="1:10" x14ac:dyDescent="0.3">
      <c r="A82" t="s">
        <v>9</v>
      </c>
      <c r="B82" t="s">
        <v>198</v>
      </c>
      <c r="C82">
        <v>1</v>
      </c>
      <c r="D82">
        <v>6.7999999999999996E-3</v>
      </c>
      <c r="E82">
        <v>6.6728822058427673</v>
      </c>
      <c r="F82">
        <v>773.25652133447863</v>
      </c>
      <c r="G82">
        <v>0.42399999999999999</v>
      </c>
      <c r="H82">
        <v>1.0500000000000001E-2</v>
      </c>
      <c r="I82">
        <v>16.002569999999999</v>
      </c>
      <c r="J82">
        <v>1.0500000000000001E-2</v>
      </c>
    </row>
    <row r="83" spans="1:10" x14ac:dyDescent="0.3">
      <c r="A83" t="s">
        <v>9</v>
      </c>
      <c r="B83" t="s">
        <v>199</v>
      </c>
      <c r="C83">
        <v>1</v>
      </c>
      <c r="D83">
        <v>8.0000000000000002E-3</v>
      </c>
      <c r="E83">
        <v>6.7778306055264119</v>
      </c>
      <c r="F83">
        <v>783.21612446445658</v>
      </c>
      <c r="G83">
        <v>0.42399999999999999</v>
      </c>
      <c r="H83">
        <v>1.2200000000000001E-2</v>
      </c>
      <c r="I83">
        <v>16.201139999999999</v>
      </c>
      <c r="J83">
        <v>1.2200000000000001E-2</v>
      </c>
    </row>
    <row r="84" spans="1:10" x14ac:dyDescent="0.3">
      <c r="A84" t="s">
        <v>9</v>
      </c>
      <c r="B84" t="s">
        <v>200</v>
      </c>
      <c r="C84">
        <v>1</v>
      </c>
      <c r="D84">
        <v>9.7000000000000003E-3</v>
      </c>
      <c r="E84">
        <v>6.881661527823157</v>
      </c>
      <c r="F84">
        <v>793.06967899041763</v>
      </c>
      <c r="G84">
        <v>0.42399999999999999</v>
      </c>
      <c r="H84">
        <v>1.38E-2</v>
      </c>
      <c r="I84">
        <v>16.402609999999999</v>
      </c>
      <c r="J84">
        <v>1.38E-2</v>
      </c>
    </row>
    <row r="85" spans="1:10" x14ac:dyDescent="0.3">
      <c r="A85" t="s">
        <v>9</v>
      </c>
      <c r="B85" t="s">
        <v>201</v>
      </c>
      <c r="C85">
        <v>1</v>
      </c>
      <c r="D85">
        <v>1.12E-2</v>
      </c>
      <c r="E85">
        <v>6.9783415679735574</v>
      </c>
      <c r="F85">
        <v>802.24461480069067</v>
      </c>
      <c r="G85">
        <v>0.42399999999999999</v>
      </c>
      <c r="H85">
        <v>1.5299999999999999E-2</v>
      </c>
      <c r="I85">
        <v>16.60005</v>
      </c>
      <c r="J85">
        <v>1.5299999999999999E-2</v>
      </c>
    </row>
    <row r="86" spans="1:10" x14ac:dyDescent="0.3">
      <c r="A86" t="s">
        <v>9</v>
      </c>
      <c r="B86" t="s">
        <v>202</v>
      </c>
      <c r="C86">
        <v>1</v>
      </c>
      <c r="D86">
        <v>1.2800000000000001E-2</v>
      </c>
      <c r="E86">
        <v>7.0687891172262791</v>
      </c>
      <c r="F86">
        <v>810.82808722477398</v>
      </c>
      <c r="G86">
        <v>0.42399999999999999</v>
      </c>
      <c r="H86">
        <v>1.67E-2</v>
      </c>
      <c r="I86">
        <v>16.800129999999999</v>
      </c>
      <c r="J86">
        <v>1.67E-2</v>
      </c>
    </row>
    <row r="87" spans="1:10" x14ac:dyDescent="0.3">
      <c r="A87" t="s">
        <v>9</v>
      </c>
      <c r="B87" t="s">
        <v>203</v>
      </c>
      <c r="C87">
        <v>1</v>
      </c>
      <c r="D87">
        <v>1.37E-2</v>
      </c>
      <c r="E87">
        <v>7.1494117047366474</v>
      </c>
      <c r="F87">
        <v>818.47917077950785</v>
      </c>
      <c r="G87">
        <v>0.42399999999999999</v>
      </c>
      <c r="H87">
        <v>1.7899999999999999E-2</v>
      </c>
      <c r="I87">
        <v>17.000109999999999</v>
      </c>
      <c r="J87">
        <v>1.7899999999999999E-2</v>
      </c>
    </row>
    <row r="88" spans="1:10" x14ac:dyDescent="0.3">
      <c r="A88" t="s">
        <v>9</v>
      </c>
      <c r="B88" t="s">
        <v>204</v>
      </c>
      <c r="C88">
        <v>1</v>
      </c>
      <c r="D88">
        <v>1.5100000000000001E-2</v>
      </c>
      <c r="E88">
        <v>7.2186263726968116</v>
      </c>
      <c r="F88">
        <v>825.04764276892752</v>
      </c>
      <c r="G88">
        <v>0.42399999999999999</v>
      </c>
      <c r="H88">
        <v>1.9E-2</v>
      </c>
      <c r="I88">
        <v>17.201239999999999</v>
      </c>
      <c r="J88">
        <v>1.9E-2</v>
      </c>
    </row>
    <row r="89" spans="1:10" x14ac:dyDescent="0.3">
      <c r="A89" t="s">
        <v>9</v>
      </c>
      <c r="B89" t="s">
        <v>205</v>
      </c>
      <c r="C89">
        <v>1</v>
      </c>
      <c r="D89">
        <v>1.6E-2</v>
      </c>
      <c r="E89">
        <v>7.2738068870592612</v>
      </c>
      <c r="F89">
        <v>830.28427358192391</v>
      </c>
      <c r="G89">
        <v>0.42399999999999999</v>
      </c>
      <c r="H89">
        <v>1.9900000000000001E-2</v>
      </c>
      <c r="I89">
        <v>17.400670000000002</v>
      </c>
      <c r="J89">
        <v>1.9900000000000001E-2</v>
      </c>
    </row>
    <row r="90" spans="1:10" x14ac:dyDescent="0.3">
      <c r="A90" t="s">
        <v>9</v>
      </c>
      <c r="B90" t="s">
        <v>206</v>
      </c>
      <c r="C90">
        <v>1</v>
      </c>
      <c r="D90">
        <v>1.6400000000000001E-2</v>
      </c>
      <c r="E90">
        <v>7.3145502098985311</v>
      </c>
      <c r="F90">
        <v>834.15081491937065</v>
      </c>
      <c r="G90">
        <v>0.42399999999999999</v>
      </c>
      <c r="H90">
        <v>2.0500000000000001E-2</v>
      </c>
      <c r="I90">
        <v>17.601970000000001</v>
      </c>
      <c r="J90">
        <v>2.0500000000000001E-2</v>
      </c>
    </row>
    <row r="91" spans="1:10" x14ac:dyDescent="0.3">
      <c r="A91" t="s">
        <v>9</v>
      </c>
      <c r="B91" t="s">
        <v>207</v>
      </c>
      <c r="C91">
        <v>1</v>
      </c>
      <c r="D91">
        <v>1.67E-2</v>
      </c>
      <c r="E91">
        <v>7.3390268571907917</v>
      </c>
      <c r="F91">
        <v>836.47364874740617</v>
      </c>
      <c r="G91">
        <v>0.42399999999999999</v>
      </c>
      <c r="H91">
        <v>2.0899999999999998E-2</v>
      </c>
      <c r="I91">
        <v>17.800529999999998</v>
      </c>
      <c r="J91">
        <v>2.0899999999999998E-2</v>
      </c>
    </row>
    <row r="92" spans="1:10" x14ac:dyDescent="0.3">
      <c r="A92" t="s">
        <v>9</v>
      </c>
      <c r="B92" t="s">
        <v>208</v>
      </c>
      <c r="C92">
        <v>1</v>
      </c>
      <c r="D92">
        <v>1.67E-2</v>
      </c>
      <c r="E92">
        <v>7.3473025151975344</v>
      </c>
      <c r="F92">
        <v>837.25900869224608</v>
      </c>
      <c r="G92">
        <v>0.42399999999999999</v>
      </c>
      <c r="H92">
        <v>2.1000000000000001E-2</v>
      </c>
      <c r="I92">
        <v>18.000229999999998</v>
      </c>
      <c r="J92">
        <v>2.1000000000000001E-2</v>
      </c>
    </row>
    <row r="93" spans="1:10" x14ac:dyDescent="0.3">
      <c r="A93" t="s">
        <v>9</v>
      </c>
      <c r="B93" t="s">
        <v>209</v>
      </c>
      <c r="C93">
        <v>1</v>
      </c>
      <c r="D93">
        <v>1.67E-2</v>
      </c>
      <c r="E93">
        <v>7.3388999448460526</v>
      </c>
      <c r="F93">
        <v>731.98547485965219</v>
      </c>
      <c r="G93">
        <v>0.42399999999999999</v>
      </c>
      <c r="H93">
        <v>2.0899999999999998E-2</v>
      </c>
      <c r="I93">
        <v>18.200990000000001</v>
      </c>
      <c r="J93">
        <v>2.0899999999999998E-2</v>
      </c>
    </row>
    <row r="94" spans="1:10" x14ac:dyDescent="0.3">
      <c r="A94" t="s">
        <v>9</v>
      </c>
      <c r="B94" t="s">
        <v>210</v>
      </c>
      <c r="C94">
        <v>1</v>
      </c>
      <c r="D94">
        <v>1.67E-2</v>
      </c>
      <c r="E94">
        <v>7.3141419008533202</v>
      </c>
      <c r="F94">
        <v>729.67802515952951</v>
      </c>
      <c r="G94">
        <v>0.42399999999999999</v>
      </c>
      <c r="H94">
        <v>2.0500000000000001E-2</v>
      </c>
      <c r="I94">
        <v>18.40052</v>
      </c>
      <c r="J94">
        <v>2.0500000000000001E-2</v>
      </c>
    </row>
    <row r="95" spans="1:10" x14ac:dyDescent="0.3">
      <c r="A95" t="s">
        <v>9</v>
      </c>
      <c r="B95" t="s">
        <v>211</v>
      </c>
      <c r="C95">
        <v>1</v>
      </c>
      <c r="D95">
        <v>1.67E-2</v>
      </c>
      <c r="E95">
        <v>7.273523463005036</v>
      </c>
      <c r="F95">
        <v>725.89238675206934</v>
      </c>
      <c r="G95">
        <v>0.42399999999999999</v>
      </c>
      <c r="H95">
        <v>1.9900000000000001E-2</v>
      </c>
      <c r="I95">
        <v>18.60051</v>
      </c>
      <c r="J95">
        <v>1.9900000000000001E-2</v>
      </c>
    </row>
    <row r="96" spans="1:10" x14ac:dyDescent="0.3">
      <c r="A96" t="s">
        <v>9</v>
      </c>
      <c r="B96" t="s">
        <v>212</v>
      </c>
      <c r="C96">
        <v>1</v>
      </c>
      <c r="D96">
        <v>1.66E-2</v>
      </c>
      <c r="E96">
        <v>7.2171780311779461</v>
      </c>
      <c r="F96">
        <v>720.64099250578465</v>
      </c>
      <c r="G96">
        <v>0.42399999999999999</v>
      </c>
      <c r="H96">
        <v>1.9E-2</v>
      </c>
      <c r="I96">
        <v>18.80339</v>
      </c>
      <c r="J96">
        <v>1.9E-2</v>
      </c>
    </row>
    <row r="97" spans="1:10" x14ac:dyDescent="0.3">
      <c r="A97" t="s">
        <v>9</v>
      </c>
      <c r="B97" t="s">
        <v>213</v>
      </c>
      <c r="C97">
        <v>1</v>
      </c>
      <c r="D97">
        <v>1.67E-2</v>
      </c>
      <c r="E97">
        <v>7.149038266175932</v>
      </c>
      <c r="F97">
        <v>714.29036640759693</v>
      </c>
      <c r="G97">
        <v>0.42399999999999999</v>
      </c>
      <c r="H97">
        <v>1.7899999999999999E-2</v>
      </c>
      <c r="I97">
        <v>19.000879999999999</v>
      </c>
      <c r="J97">
        <v>1.7899999999999999E-2</v>
      </c>
    </row>
    <row r="98" spans="1:10" x14ac:dyDescent="0.3">
      <c r="A98" t="s">
        <v>9</v>
      </c>
      <c r="B98" t="s">
        <v>214</v>
      </c>
      <c r="C98">
        <v>1</v>
      </c>
      <c r="D98">
        <v>1.67E-2</v>
      </c>
      <c r="E98">
        <v>7.0680957622438418</v>
      </c>
      <c r="F98">
        <v>706.74652504112612</v>
      </c>
      <c r="G98">
        <v>0.42399999999999999</v>
      </c>
      <c r="H98">
        <v>1.67E-2</v>
      </c>
      <c r="I98">
        <v>19.20149</v>
      </c>
      <c r="J98">
        <v>1.67E-2</v>
      </c>
    </row>
    <row r="99" spans="1:10" x14ac:dyDescent="0.3">
      <c r="A99" t="s">
        <v>9</v>
      </c>
      <c r="B99" t="s">
        <v>215</v>
      </c>
      <c r="C99">
        <v>1</v>
      </c>
      <c r="D99">
        <v>1.66E-2</v>
      </c>
      <c r="E99">
        <v>6.9779000103268487</v>
      </c>
      <c r="F99">
        <v>698.34028096246232</v>
      </c>
      <c r="G99">
        <v>0.42399999999999999</v>
      </c>
      <c r="H99">
        <v>1.5299999999999999E-2</v>
      </c>
      <c r="I99">
        <v>19.400880000000001</v>
      </c>
      <c r="J99">
        <v>1.5299999999999999E-2</v>
      </c>
    </row>
    <row r="100" spans="1:10" x14ac:dyDescent="0.3">
      <c r="A100" t="s">
        <v>9</v>
      </c>
      <c r="B100" t="s">
        <v>216</v>
      </c>
      <c r="C100">
        <v>1</v>
      </c>
      <c r="D100">
        <v>1.6299999999999999E-2</v>
      </c>
      <c r="E100">
        <v>6.8798494790415736</v>
      </c>
      <c r="F100">
        <v>689.20197144667463</v>
      </c>
      <c r="G100">
        <v>0.42399999999999999</v>
      </c>
      <c r="H100">
        <v>1.37E-2</v>
      </c>
      <c r="I100">
        <v>19.60098</v>
      </c>
      <c r="J100">
        <v>1.37E-2</v>
      </c>
    </row>
    <row r="101" spans="1:10" x14ac:dyDescent="0.3">
      <c r="A101" t="s">
        <v>9</v>
      </c>
      <c r="B101" t="s">
        <v>217</v>
      </c>
      <c r="C101">
        <v>1</v>
      </c>
      <c r="D101">
        <v>1.5699999999999999E-2</v>
      </c>
      <c r="E101">
        <v>6.7764130797845414</v>
      </c>
      <c r="F101">
        <v>679.56169903591922</v>
      </c>
      <c r="G101">
        <v>0.42399999999999999</v>
      </c>
      <c r="H101">
        <v>1.21E-2</v>
      </c>
      <c r="I101">
        <v>19.801570000000002</v>
      </c>
      <c r="J101">
        <v>1.21E-2</v>
      </c>
    </row>
    <row r="102" spans="1:10" x14ac:dyDescent="0.3">
      <c r="A102" t="s">
        <v>9</v>
      </c>
      <c r="B102" t="s">
        <v>218</v>
      </c>
      <c r="C102">
        <v>1</v>
      </c>
      <c r="D102">
        <v>1.4999999999999999E-2</v>
      </c>
      <c r="E102">
        <v>6.6707068552692173</v>
      </c>
      <c r="F102">
        <v>669.7098789110911</v>
      </c>
      <c r="G102">
        <v>0.42399999999999999</v>
      </c>
      <c r="H102">
        <v>1.0500000000000001E-2</v>
      </c>
      <c r="I102">
        <v>20.001529999999999</v>
      </c>
      <c r="J102">
        <v>1.0500000000000001E-2</v>
      </c>
    </row>
    <row r="103" spans="1:10" x14ac:dyDescent="0.3">
      <c r="A103" t="s">
        <v>9</v>
      </c>
      <c r="B103" t="s">
        <v>219</v>
      </c>
      <c r="C103">
        <v>1</v>
      </c>
      <c r="D103">
        <v>1.38E-2</v>
      </c>
      <c r="E103">
        <v>6.5655151731355961</v>
      </c>
      <c r="F103">
        <v>659.90601413623756</v>
      </c>
      <c r="G103">
        <v>0.42399999999999999</v>
      </c>
      <c r="H103">
        <v>8.8999999999999999E-3</v>
      </c>
      <c r="I103">
        <v>20.20055</v>
      </c>
      <c r="J103">
        <v>8.8999999999999999E-3</v>
      </c>
    </row>
    <row r="104" spans="1:10" x14ac:dyDescent="0.3">
      <c r="A104" t="s">
        <v>9</v>
      </c>
      <c r="B104" t="s">
        <v>220</v>
      </c>
      <c r="C104">
        <v>1</v>
      </c>
      <c r="D104">
        <v>1.2E-2</v>
      </c>
      <c r="E104">
        <v>6.4619141527540798</v>
      </c>
      <c r="F104">
        <v>650.25039903668028</v>
      </c>
      <c r="G104">
        <v>0.42399999999999999</v>
      </c>
      <c r="H104">
        <v>7.1999999999999998E-3</v>
      </c>
      <c r="I104">
        <v>20.401540000000001</v>
      </c>
      <c r="J104">
        <v>7.1999999999999998E-3</v>
      </c>
    </row>
    <row r="105" spans="1:10" x14ac:dyDescent="0.3">
      <c r="A105" t="s">
        <v>9</v>
      </c>
      <c r="B105" t="s">
        <v>221</v>
      </c>
      <c r="C105">
        <v>1</v>
      </c>
      <c r="D105">
        <v>1.0200000000000001E-2</v>
      </c>
      <c r="E105">
        <v>6.3643376978696624</v>
      </c>
      <c r="F105">
        <v>641.15627344145253</v>
      </c>
      <c r="G105">
        <v>0.42399999999999999</v>
      </c>
      <c r="H105">
        <v>5.7000000000000002E-3</v>
      </c>
      <c r="I105">
        <v>20.600809999999999</v>
      </c>
      <c r="J105">
        <v>5.7000000000000002E-3</v>
      </c>
    </row>
    <row r="106" spans="1:10" x14ac:dyDescent="0.3">
      <c r="A106" t="s">
        <v>9</v>
      </c>
      <c r="B106" t="s">
        <v>222</v>
      </c>
      <c r="C106">
        <v>1</v>
      </c>
      <c r="D106">
        <v>8.0999999999999996E-3</v>
      </c>
      <c r="E106">
        <v>6.2736988880641844</v>
      </c>
      <c r="F106">
        <v>632.70873636758188</v>
      </c>
      <c r="G106">
        <v>0.42399999999999999</v>
      </c>
      <c r="H106">
        <v>4.3E-3</v>
      </c>
      <c r="I106">
        <v>20.801400000000001</v>
      </c>
      <c r="J106">
        <v>4.3E-3</v>
      </c>
    </row>
    <row r="107" spans="1:10" x14ac:dyDescent="0.3">
      <c r="A107" t="s">
        <v>9</v>
      </c>
      <c r="B107" t="s">
        <v>223</v>
      </c>
      <c r="C107">
        <v>1</v>
      </c>
      <c r="D107">
        <v>5.7999999999999996E-3</v>
      </c>
      <c r="E107">
        <v>6.1934543614810789</v>
      </c>
      <c r="F107">
        <v>625.22994649003658</v>
      </c>
      <c r="G107">
        <v>0.42399999999999999</v>
      </c>
      <c r="H107">
        <v>3.0999999999999999E-3</v>
      </c>
      <c r="I107">
        <v>21.00056</v>
      </c>
      <c r="J107">
        <v>3.0999999999999999E-3</v>
      </c>
    </row>
    <row r="108" spans="1:10" x14ac:dyDescent="0.3">
      <c r="A108" t="s">
        <v>9</v>
      </c>
      <c r="B108" t="s">
        <v>224</v>
      </c>
      <c r="C108">
        <v>1</v>
      </c>
      <c r="D108">
        <v>4.5999999999999999E-3</v>
      </c>
      <c r="E108">
        <v>6.1247426394391686</v>
      </c>
      <c r="F108">
        <v>618.82601399573048</v>
      </c>
      <c r="G108">
        <v>0.42399999999999999</v>
      </c>
      <c r="H108">
        <v>2E-3</v>
      </c>
      <c r="I108">
        <v>21.20017</v>
      </c>
      <c r="J108">
        <v>2E-3</v>
      </c>
    </row>
    <row r="109" spans="1:10" x14ac:dyDescent="0.3">
      <c r="A109" t="s">
        <v>9</v>
      </c>
      <c r="B109" t="s">
        <v>225</v>
      </c>
      <c r="C109">
        <v>1</v>
      </c>
      <c r="D109">
        <v>4.1000000000000003E-3</v>
      </c>
      <c r="E109">
        <v>6.0688104228533639</v>
      </c>
      <c r="F109">
        <v>613.61313140993354</v>
      </c>
      <c r="G109">
        <v>0.42399999999999999</v>
      </c>
      <c r="H109">
        <v>1.1000000000000001E-3</v>
      </c>
      <c r="I109">
        <v>21.40241</v>
      </c>
      <c r="J109">
        <v>1.1000000000000001E-3</v>
      </c>
    </row>
    <row r="110" spans="1:10" x14ac:dyDescent="0.3">
      <c r="A110" t="s">
        <v>9</v>
      </c>
      <c r="B110" t="s">
        <v>226</v>
      </c>
      <c r="C110">
        <v>1</v>
      </c>
      <c r="D110">
        <v>2.5999999999999999E-3</v>
      </c>
      <c r="E110">
        <v>6.0286815584980022</v>
      </c>
      <c r="F110">
        <v>609.87312125201379</v>
      </c>
      <c r="G110">
        <v>0.42399999999999999</v>
      </c>
      <c r="H110">
        <v>5.0000000000000001E-4</v>
      </c>
      <c r="I110">
        <v>21.600770000000001</v>
      </c>
      <c r="J110">
        <v>5.0000000000000001E-4</v>
      </c>
    </row>
    <row r="111" spans="1:10" x14ac:dyDescent="0.3">
      <c r="A111" t="s">
        <v>9</v>
      </c>
      <c r="B111" t="s">
        <v>227</v>
      </c>
      <c r="C111">
        <v>1</v>
      </c>
      <c r="D111">
        <v>1.8E-3</v>
      </c>
      <c r="E111">
        <v>6.0038834783234174</v>
      </c>
      <c r="F111">
        <v>607.56194017974246</v>
      </c>
      <c r="G111">
        <v>0.42399999999999999</v>
      </c>
      <c r="H111">
        <v>1E-4</v>
      </c>
      <c r="I111">
        <v>21.802060000000001</v>
      </c>
      <c r="J111">
        <v>1E-4</v>
      </c>
    </row>
    <row r="112" spans="1:10" x14ac:dyDescent="0.3">
      <c r="A112" t="s">
        <v>9</v>
      </c>
      <c r="B112" t="s">
        <v>228</v>
      </c>
      <c r="C112">
        <v>1</v>
      </c>
      <c r="D112">
        <v>1.6999999999999999E-3</v>
      </c>
      <c r="E112">
        <v>5.9957342894097101</v>
      </c>
      <c r="F112">
        <v>606.80243577298495</v>
      </c>
      <c r="G112">
        <v>0.42399999999999999</v>
      </c>
      <c r="H112">
        <v>0</v>
      </c>
      <c r="I112">
        <v>22.00196</v>
      </c>
      <c r="J112">
        <v>0</v>
      </c>
    </row>
    <row r="113" spans="1:10" x14ac:dyDescent="0.3">
      <c r="A113" t="s">
        <v>9</v>
      </c>
      <c r="B113" t="s">
        <v>229</v>
      </c>
      <c r="C113">
        <v>1</v>
      </c>
      <c r="D113">
        <v>1.2999999999999999E-3</v>
      </c>
      <c r="E113">
        <v>6.0040671930655174</v>
      </c>
      <c r="F113">
        <v>709.7859766219176</v>
      </c>
      <c r="G113">
        <v>0.42399999999999999</v>
      </c>
      <c r="H113">
        <v>1E-4</v>
      </c>
      <c r="I113">
        <v>22.20016</v>
      </c>
      <c r="J113">
        <v>1E-4</v>
      </c>
    </row>
    <row r="114" spans="1:10" x14ac:dyDescent="0.3">
      <c r="A114" t="s">
        <v>9</v>
      </c>
      <c r="B114" t="s">
        <v>230</v>
      </c>
      <c r="C114">
        <v>1</v>
      </c>
      <c r="D114">
        <v>1.1999999999999999E-3</v>
      </c>
      <c r="E114">
        <v>6.028887951219148</v>
      </c>
      <c r="F114">
        <v>712.14146657069716</v>
      </c>
      <c r="G114">
        <v>0.42399999999999999</v>
      </c>
      <c r="H114">
        <v>5.0000000000000001E-4</v>
      </c>
      <c r="I114">
        <v>22.400480000000002</v>
      </c>
      <c r="J114">
        <v>5.0000000000000001E-4</v>
      </c>
    </row>
    <row r="115" spans="1:10" x14ac:dyDescent="0.3">
      <c r="A115" t="s">
        <v>9</v>
      </c>
      <c r="B115" t="s">
        <v>231</v>
      </c>
      <c r="C115">
        <v>1</v>
      </c>
      <c r="D115">
        <v>1.2999999999999999E-3</v>
      </c>
      <c r="E115">
        <v>6.0698342364970204</v>
      </c>
      <c r="F115">
        <v>716.02726904356723</v>
      </c>
      <c r="G115">
        <v>0.42399999999999999</v>
      </c>
      <c r="H115">
        <v>1.1999999999999999E-3</v>
      </c>
      <c r="I115">
        <v>22.601839999999999</v>
      </c>
      <c r="J115">
        <v>1.1999999999999999E-3</v>
      </c>
    </row>
    <row r="116" spans="1:10" x14ac:dyDescent="0.3">
      <c r="A116" t="s">
        <v>9</v>
      </c>
      <c r="B116" t="s">
        <v>232</v>
      </c>
      <c r="C116">
        <v>1</v>
      </c>
      <c r="D116">
        <v>1.2999999999999999E-3</v>
      </c>
      <c r="E116">
        <v>6.1253010132089427</v>
      </c>
      <c r="F116">
        <v>721.29106615352873</v>
      </c>
      <c r="G116">
        <v>0.42399999999999999</v>
      </c>
      <c r="H116">
        <v>2E-3</v>
      </c>
      <c r="I116">
        <v>22.80161</v>
      </c>
      <c r="J116">
        <v>2E-3</v>
      </c>
    </row>
    <row r="117" spans="1:10" x14ac:dyDescent="0.3">
      <c r="A117" t="s">
        <v>9</v>
      </c>
      <c r="B117" t="s">
        <v>233</v>
      </c>
      <c r="C117">
        <v>1</v>
      </c>
      <c r="D117">
        <v>1.2999999999999999E-3</v>
      </c>
      <c r="E117">
        <v>6.1936907103812322</v>
      </c>
      <c r="F117">
        <v>727.78124841517899</v>
      </c>
      <c r="G117">
        <v>0.42399999999999999</v>
      </c>
      <c r="H117">
        <v>3.0999999999999999E-3</v>
      </c>
      <c r="I117">
        <v>23.000060000000001</v>
      </c>
      <c r="J117">
        <v>3.0999999999999999E-3</v>
      </c>
    </row>
    <row r="118" spans="1:10" x14ac:dyDescent="0.3">
      <c r="A118" t="s">
        <v>9</v>
      </c>
      <c r="B118" t="s">
        <v>234</v>
      </c>
      <c r="C118">
        <v>1</v>
      </c>
      <c r="D118">
        <v>1.4E-3</v>
      </c>
      <c r="E118">
        <v>6.2743090404487276</v>
      </c>
      <c r="F118">
        <v>735.43192793858429</v>
      </c>
      <c r="G118">
        <v>0.42399999999999999</v>
      </c>
      <c r="H118">
        <v>4.3E-3</v>
      </c>
      <c r="I118">
        <v>23.200019999999999</v>
      </c>
      <c r="J118">
        <v>4.3E-3</v>
      </c>
    </row>
    <row r="119" spans="1:10" x14ac:dyDescent="0.3">
      <c r="A119" t="s">
        <v>9</v>
      </c>
      <c r="B119" t="s">
        <v>235</v>
      </c>
      <c r="C119">
        <v>1</v>
      </c>
      <c r="D119">
        <v>2E-3</v>
      </c>
      <c r="E119">
        <v>6.3651455172448133</v>
      </c>
      <c r="F119">
        <v>744.05230958653283</v>
      </c>
      <c r="G119">
        <v>0.42399999999999999</v>
      </c>
      <c r="H119">
        <v>5.7000000000000002E-3</v>
      </c>
      <c r="I119">
        <v>23.4009</v>
      </c>
      <c r="J119">
        <v>5.7000000000000002E-3</v>
      </c>
    </row>
    <row r="120" spans="1:10" x14ac:dyDescent="0.3">
      <c r="A120" t="s">
        <v>9</v>
      </c>
      <c r="B120" t="s">
        <v>236</v>
      </c>
      <c r="C120">
        <v>1</v>
      </c>
      <c r="D120">
        <v>3.3E-3</v>
      </c>
      <c r="E120">
        <v>6.4633304620837002</v>
      </c>
      <c r="F120">
        <v>753.37006085174323</v>
      </c>
      <c r="G120">
        <v>0.42399999999999999</v>
      </c>
      <c r="H120">
        <v>7.3000000000000001E-3</v>
      </c>
      <c r="I120">
        <v>23.60127</v>
      </c>
      <c r="J120">
        <v>7.3000000000000001E-3</v>
      </c>
    </row>
    <row r="121" spans="1:10" x14ac:dyDescent="0.3">
      <c r="A121" t="s">
        <v>9</v>
      </c>
      <c r="B121" t="s">
        <v>237</v>
      </c>
      <c r="C121">
        <v>1</v>
      </c>
      <c r="D121">
        <v>4.5999999999999999E-3</v>
      </c>
      <c r="E121">
        <v>6.5664757333422594</v>
      </c>
      <c r="F121">
        <v>763.15854709418034</v>
      </c>
      <c r="G121">
        <v>0.42399999999999999</v>
      </c>
      <c r="H121">
        <v>8.8999999999999999E-3</v>
      </c>
      <c r="I121">
        <v>23.801279999999998</v>
      </c>
      <c r="J121">
        <v>8.8999999999999999E-3</v>
      </c>
    </row>
    <row r="122" spans="1:10" x14ac:dyDescent="0.3">
      <c r="A122" t="s">
        <v>9</v>
      </c>
      <c r="B122" t="s">
        <v>238</v>
      </c>
      <c r="C122">
        <v>1</v>
      </c>
      <c r="D122">
        <v>6.6E-3</v>
      </c>
      <c r="E122">
        <v>6.6715555055488904</v>
      </c>
      <c r="F122">
        <v>773.13061747658969</v>
      </c>
      <c r="G122">
        <v>0.42399999999999999</v>
      </c>
      <c r="H122">
        <v>1.0500000000000001E-2</v>
      </c>
      <c r="I122">
        <v>24.000070000000001</v>
      </c>
      <c r="J122">
        <v>1.0500000000000001E-2</v>
      </c>
    </row>
    <row r="123" spans="1:10" x14ac:dyDescent="0.3">
      <c r="A123" t="s">
        <v>9</v>
      </c>
      <c r="B123" t="s">
        <v>239</v>
      </c>
      <c r="C123">
        <v>1</v>
      </c>
      <c r="D123">
        <v>8.0000000000000002E-3</v>
      </c>
      <c r="E123">
        <v>6.7781480891236328</v>
      </c>
      <c r="F123">
        <v>783.24625365783277</v>
      </c>
      <c r="G123">
        <v>0.42399999999999999</v>
      </c>
      <c r="H123">
        <v>1.2200000000000001E-2</v>
      </c>
      <c r="I123">
        <v>24.201740000000001</v>
      </c>
      <c r="J123">
        <v>1.2200000000000001E-2</v>
      </c>
    </row>
    <row r="124" spans="1:10" x14ac:dyDescent="0.3">
      <c r="A124" t="s">
        <v>9</v>
      </c>
      <c r="B124" t="s">
        <v>240</v>
      </c>
      <c r="C124">
        <v>1</v>
      </c>
      <c r="D124">
        <v>9.5999999999999992E-3</v>
      </c>
      <c r="E124">
        <v>6.8810727842942114</v>
      </c>
      <c r="F124">
        <v>793.01380722952058</v>
      </c>
      <c r="G124">
        <v>0.42399999999999999</v>
      </c>
      <c r="H124">
        <v>1.38E-2</v>
      </c>
      <c r="I124">
        <v>24.401440000000001</v>
      </c>
      <c r="J124">
        <v>1.38E-2</v>
      </c>
    </row>
    <row r="125" spans="1:10" x14ac:dyDescent="0.3">
      <c r="A125" t="s">
        <v>9</v>
      </c>
      <c r="B125" t="s">
        <v>241</v>
      </c>
      <c r="C125">
        <v>1</v>
      </c>
      <c r="D125">
        <v>1.11E-2</v>
      </c>
      <c r="E125">
        <v>6.978721088595524</v>
      </c>
      <c r="F125">
        <v>802.28063130771523</v>
      </c>
      <c r="G125">
        <v>0.42399999999999999</v>
      </c>
      <c r="H125">
        <v>1.5299999999999999E-2</v>
      </c>
      <c r="I125">
        <v>24.600850000000001</v>
      </c>
      <c r="J125">
        <v>1.5299999999999999E-2</v>
      </c>
    </row>
    <row r="126" spans="1:10" x14ac:dyDescent="0.3">
      <c r="A126" t="s">
        <v>9</v>
      </c>
      <c r="B126" t="s">
        <v>242</v>
      </c>
      <c r="C126">
        <v>1</v>
      </c>
      <c r="D126">
        <v>1.23E-2</v>
      </c>
      <c r="E126">
        <v>7.069788197154188</v>
      </c>
      <c r="F126">
        <v>810.92289990993254</v>
      </c>
      <c r="G126">
        <v>0.42399999999999999</v>
      </c>
      <c r="H126">
        <v>1.67E-2</v>
      </c>
      <c r="I126">
        <v>24.80246</v>
      </c>
      <c r="J126">
        <v>1.67E-2</v>
      </c>
    </row>
    <row r="127" spans="1:10" x14ac:dyDescent="0.3">
      <c r="A127" t="s">
        <v>9</v>
      </c>
      <c r="B127" t="s">
        <v>243</v>
      </c>
      <c r="C127">
        <v>1</v>
      </c>
      <c r="D127">
        <v>1.37E-2</v>
      </c>
      <c r="E127">
        <v>7.150443627795303</v>
      </c>
      <c r="F127">
        <v>818.57710027777432</v>
      </c>
      <c r="G127">
        <v>0.42399999999999999</v>
      </c>
      <c r="H127">
        <v>1.7899999999999999E-2</v>
      </c>
      <c r="I127">
        <v>25.002859999999998</v>
      </c>
      <c r="J127">
        <v>1.7899999999999999E-2</v>
      </c>
    </row>
    <row r="128" spans="1:10" x14ac:dyDescent="0.3">
      <c r="A128" t="s">
        <v>9</v>
      </c>
      <c r="B128" t="s">
        <v>244</v>
      </c>
      <c r="C128">
        <v>1</v>
      </c>
      <c r="D128">
        <v>1.49E-2</v>
      </c>
      <c r="E128">
        <v>7.2186369149363134</v>
      </c>
      <c r="F128">
        <v>825.04864322745607</v>
      </c>
      <c r="G128">
        <v>0.42399999999999999</v>
      </c>
      <c r="H128">
        <v>1.9E-2</v>
      </c>
      <c r="I128">
        <v>25.201270000000001</v>
      </c>
      <c r="J128">
        <v>1.9E-2</v>
      </c>
    </row>
    <row r="129" spans="1:10" x14ac:dyDescent="0.3">
      <c r="A129" t="s">
        <v>9</v>
      </c>
      <c r="B129" t="s">
        <v>245</v>
      </c>
      <c r="C129">
        <v>1</v>
      </c>
      <c r="D129">
        <v>1.5900000000000001E-2</v>
      </c>
      <c r="E129">
        <v>7.2741649177314791</v>
      </c>
      <c r="F129">
        <v>830.31825069271736</v>
      </c>
      <c r="G129">
        <v>0.42399999999999999</v>
      </c>
      <c r="H129">
        <v>1.9900000000000001E-2</v>
      </c>
      <c r="I129">
        <v>25.402149999999999</v>
      </c>
      <c r="J129">
        <v>1.9900000000000001E-2</v>
      </c>
    </row>
    <row r="130" spans="1:10" x14ac:dyDescent="0.3">
      <c r="A130" t="s">
        <v>9</v>
      </c>
      <c r="B130" t="s">
        <v>246</v>
      </c>
      <c r="C130">
        <v>1</v>
      </c>
      <c r="D130">
        <v>1.66E-2</v>
      </c>
      <c r="E130">
        <v>7.3142497560728081</v>
      </c>
      <c r="F130">
        <v>834.12230185130954</v>
      </c>
      <c r="G130">
        <v>0.42399999999999999</v>
      </c>
      <c r="H130">
        <v>2.0500000000000001E-2</v>
      </c>
      <c r="I130">
        <v>25.60014</v>
      </c>
      <c r="J130">
        <v>2.0500000000000001E-2</v>
      </c>
    </row>
    <row r="131" spans="1:10" x14ac:dyDescent="0.3">
      <c r="A131" t="s">
        <v>9</v>
      </c>
      <c r="B131" t="s">
        <v>247</v>
      </c>
      <c r="C131">
        <v>1</v>
      </c>
      <c r="D131">
        <v>1.72E-2</v>
      </c>
      <c r="E131">
        <v>7.3391712047777773</v>
      </c>
      <c r="F131">
        <v>836.48734733341109</v>
      </c>
      <c r="G131">
        <v>0.42399999999999999</v>
      </c>
      <c r="H131">
        <v>2.0899999999999998E-2</v>
      </c>
      <c r="I131">
        <v>25.80228</v>
      </c>
      <c r="J131">
        <v>2.0899999999999998E-2</v>
      </c>
    </row>
    <row r="132" spans="1:10" x14ac:dyDescent="0.3">
      <c r="A132" t="s">
        <v>9</v>
      </c>
      <c r="B132" t="s">
        <v>248</v>
      </c>
      <c r="C132">
        <v>1</v>
      </c>
      <c r="D132">
        <v>1.7399999999999999E-2</v>
      </c>
      <c r="E132">
        <v>7.3473025151975344</v>
      </c>
      <c r="F132">
        <v>837.25900869224608</v>
      </c>
      <c r="G132">
        <v>0.42399999999999999</v>
      </c>
      <c r="H132">
        <v>2.1000000000000001E-2</v>
      </c>
      <c r="I132">
        <v>26.00067</v>
      </c>
      <c r="J132">
        <v>2.1000000000000001E-2</v>
      </c>
    </row>
    <row r="133" spans="1:10" x14ac:dyDescent="0.3">
      <c r="A133" t="s">
        <v>9</v>
      </c>
      <c r="B133" t="s">
        <v>249</v>
      </c>
      <c r="C133">
        <v>1</v>
      </c>
      <c r="D133">
        <v>1.7399999999999999E-2</v>
      </c>
      <c r="E133">
        <v>7.3389619818707983</v>
      </c>
      <c r="F133">
        <v>731.99125671035847</v>
      </c>
      <c r="G133">
        <v>0.42399999999999999</v>
      </c>
      <c r="H133">
        <v>2.0899999999999998E-2</v>
      </c>
      <c r="I133">
        <v>26.20025</v>
      </c>
      <c r="J133">
        <v>2.0899999999999998E-2</v>
      </c>
    </row>
    <row r="134" spans="1:10" x14ac:dyDescent="0.3">
      <c r="A134" t="s">
        <v>9</v>
      </c>
      <c r="B134" t="s">
        <v>250</v>
      </c>
      <c r="C134">
        <v>1</v>
      </c>
      <c r="D134">
        <v>1.7399999999999999E-2</v>
      </c>
      <c r="E134">
        <v>7.3138763175120944</v>
      </c>
      <c r="F134">
        <v>729.65327279212715</v>
      </c>
      <c r="G134">
        <v>0.42399999999999999</v>
      </c>
      <c r="H134">
        <v>2.0500000000000001E-2</v>
      </c>
      <c r="I134">
        <v>26.402139999999999</v>
      </c>
      <c r="J134">
        <v>2.0500000000000001E-2</v>
      </c>
    </row>
    <row r="135" spans="1:10" x14ac:dyDescent="0.3">
      <c r="A135" t="s">
        <v>9</v>
      </c>
      <c r="B135" t="s">
        <v>251</v>
      </c>
      <c r="C135">
        <v>1</v>
      </c>
      <c r="D135">
        <v>1.7399999999999999E-2</v>
      </c>
      <c r="E135">
        <v>7.2733600582928029</v>
      </c>
      <c r="F135">
        <v>725.87715743288925</v>
      </c>
      <c r="G135">
        <v>0.42399999999999999</v>
      </c>
      <c r="H135">
        <v>1.9900000000000001E-2</v>
      </c>
      <c r="I135">
        <v>26.601189999999999</v>
      </c>
      <c r="J135">
        <v>1.9900000000000001E-2</v>
      </c>
    </row>
    <row r="136" spans="1:10" x14ac:dyDescent="0.3">
      <c r="A136" t="s">
        <v>9</v>
      </c>
      <c r="B136" t="s">
        <v>252</v>
      </c>
      <c r="C136">
        <v>1</v>
      </c>
      <c r="D136">
        <v>1.7399999999999999E-2</v>
      </c>
      <c r="E136">
        <v>7.2180538479978651</v>
      </c>
      <c r="F136">
        <v>720.722618633401</v>
      </c>
      <c r="G136">
        <v>0.42399999999999999</v>
      </c>
      <c r="H136">
        <v>1.9E-2</v>
      </c>
      <c r="I136">
        <v>26.80059</v>
      </c>
      <c r="J136">
        <v>1.9E-2</v>
      </c>
    </row>
    <row r="137" spans="1:10" x14ac:dyDescent="0.3">
      <c r="A137" t="s">
        <v>9</v>
      </c>
      <c r="B137" t="s">
        <v>253</v>
      </c>
      <c r="C137">
        <v>1</v>
      </c>
      <c r="D137">
        <v>1.7399999999999999E-2</v>
      </c>
      <c r="E137">
        <v>7.1485740021672246</v>
      </c>
      <c r="F137">
        <v>714.24709700198537</v>
      </c>
      <c r="G137">
        <v>0.42399999999999999</v>
      </c>
      <c r="H137">
        <v>1.7899999999999999E-2</v>
      </c>
      <c r="I137">
        <v>27.002120000000001</v>
      </c>
      <c r="J137">
        <v>1.7899999999999999E-2</v>
      </c>
    </row>
    <row r="138" spans="1:10" x14ac:dyDescent="0.3">
      <c r="A138" t="s">
        <v>9</v>
      </c>
      <c r="B138" t="s">
        <v>254</v>
      </c>
      <c r="C138">
        <v>1</v>
      </c>
      <c r="D138">
        <v>1.7299999999999999E-2</v>
      </c>
      <c r="E138">
        <v>7.0674940436508971</v>
      </c>
      <c r="F138">
        <v>706.69044486826363</v>
      </c>
      <c r="G138">
        <v>0.42399999999999999</v>
      </c>
      <c r="H138">
        <v>1.67E-2</v>
      </c>
      <c r="I138">
        <v>27.20288</v>
      </c>
      <c r="J138">
        <v>1.67E-2</v>
      </c>
    </row>
    <row r="139" spans="1:10" x14ac:dyDescent="0.3">
      <c r="A139" t="s">
        <v>9</v>
      </c>
      <c r="B139" t="s">
        <v>255</v>
      </c>
      <c r="C139">
        <v>1</v>
      </c>
      <c r="D139">
        <v>1.7299999999999999E-2</v>
      </c>
      <c r="E139">
        <v>6.9775188678218836</v>
      </c>
      <c r="F139">
        <v>698.30475848099957</v>
      </c>
      <c r="G139">
        <v>0.42399999999999999</v>
      </c>
      <c r="H139">
        <v>1.5299999999999999E-2</v>
      </c>
      <c r="I139">
        <v>27.401689999999999</v>
      </c>
      <c r="J139">
        <v>1.5299999999999999E-2</v>
      </c>
    </row>
    <row r="140" spans="1:10" x14ac:dyDescent="0.3">
      <c r="A140" t="s">
        <v>9</v>
      </c>
      <c r="B140" t="s">
        <v>256</v>
      </c>
      <c r="C140">
        <v>1</v>
      </c>
      <c r="D140">
        <v>1.7299999999999999E-2</v>
      </c>
      <c r="E140">
        <v>6.8797821708970792</v>
      </c>
      <c r="F140">
        <v>689.19569832760783</v>
      </c>
      <c r="G140">
        <v>0.42399999999999999</v>
      </c>
      <c r="H140">
        <v>1.37E-2</v>
      </c>
      <c r="I140">
        <v>27.601120000000002</v>
      </c>
      <c r="J140">
        <v>1.37E-2</v>
      </c>
    </row>
    <row r="141" spans="1:10" x14ac:dyDescent="0.3">
      <c r="A141" t="s">
        <v>9</v>
      </c>
      <c r="B141" t="s">
        <v>257</v>
      </c>
      <c r="C141">
        <v>1</v>
      </c>
      <c r="D141">
        <v>1.66E-2</v>
      </c>
      <c r="E141">
        <v>6.7757598664063519</v>
      </c>
      <c r="F141">
        <v>679.50081954907205</v>
      </c>
      <c r="G141">
        <v>0.42399999999999999</v>
      </c>
      <c r="H141">
        <v>1.21E-2</v>
      </c>
      <c r="I141">
        <v>27.802810000000001</v>
      </c>
      <c r="J141">
        <v>1.21E-2</v>
      </c>
    </row>
    <row r="142" spans="1:10" x14ac:dyDescent="0.3">
      <c r="A142" t="s">
        <v>9</v>
      </c>
      <c r="B142" t="s">
        <v>258</v>
      </c>
      <c r="C142">
        <v>1</v>
      </c>
      <c r="D142">
        <v>1.5900000000000001E-2</v>
      </c>
      <c r="E142">
        <v>6.6714796825186484</v>
      </c>
      <c r="F142">
        <v>669.78190641073809</v>
      </c>
      <c r="G142">
        <v>0.42399999999999999</v>
      </c>
      <c r="H142">
        <v>1.0500000000000001E-2</v>
      </c>
      <c r="I142">
        <v>28.000070000000001</v>
      </c>
      <c r="J142">
        <v>1.0500000000000001E-2</v>
      </c>
    </row>
    <row r="143" spans="1:10" x14ac:dyDescent="0.3">
      <c r="A143" t="s">
        <v>9</v>
      </c>
      <c r="B143" t="s">
        <v>259</v>
      </c>
      <c r="C143">
        <v>1</v>
      </c>
      <c r="D143">
        <v>1.44E-2</v>
      </c>
      <c r="E143">
        <v>6.5657349382820778</v>
      </c>
      <c r="F143">
        <v>659.92649624788965</v>
      </c>
      <c r="G143">
        <v>0.42399999999999999</v>
      </c>
      <c r="H143">
        <v>8.8999999999999999E-3</v>
      </c>
      <c r="I143">
        <v>28.200130000000001</v>
      </c>
      <c r="J143">
        <v>8.8999999999999999E-3</v>
      </c>
    </row>
    <row r="144" spans="1:10" x14ac:dyDescent="0.3">
      <c r="A144" t="s">
        <v>9</v>
      </c>
      <c r="B144" t="s">
        <v>260</v>
      </c>
      <c r="C144">
        <v>1</v>
      </c>
      <c r="D144">
        <v>1.2500000000000001E-2</v>
      </c>
      <c r="E144">
        <v>6.4625410105335206</v>
      </c>
      <c r="F144">
        <v>650.30882218172417</v>
      </c>
      <c r="G144">
        <v>0.42399999999999999</v>
      </c>
      <c r="H144">
        <v>7.3000000000000001E-3</v>
      </c>
      <c r="I144">
        <v>28.400289999999998</v>
      </c>
      <c r="J144">
        <v>7.3000000000000001E-3</v>
      </c>
    </row>
    <row r="145" spans="1:10" x14ac:dyDescent="0.3">
      <c r="A145" t="s">
        <v>9</v>
      </c>
      <c r="B145" t="s">
        <v>261</v>
      </c>
      <c r="C145">
        <v>1</v>
      </c>
      <c r="D145">
        <v>1.06E-2</v>
      </c>
      <c r="E145">
        <v>6.3639595963953219</v>
      </c>
      <c r="F145">
        <v>641.12103438404404</v>
      </c>
      <c r="G145">
        <v>0.42399999999999999</v>
      </c>
      <c r="H145">
        <v>5.7000000000000002E-3</v>
      </c>
      <c r="I145">
        <v>28.601600000000001</v>
      </c>
      <c r="J145">
        <v>5.7000000000000002E-3</v>
      </c>
    </row>
    <row r="146" spans="1:10" x14ac:dyDescent="0.3">
      <c r="A146" t="s">
        <v>9</v>
      </c>
      <c r="B146" t="s">
        <v>262</v>
      </c>
      <c r="C146">
        <v>1</v>
      </c>
      <c r="D146">
        <v>8.5000000000000006E-3</v>
      </c>
      <c r="E146">
        <v>6.2731027244205144</v>
      </c>
      <c r="F146">
        <v>632.65317391599183</v>
      </c>
      <c r="G146">
        <v>0.42399999999999999</v>
      </c>
      <c r="H146">
        <v>4.3E-3</v>
      </c>
      <c r="I146">
        <v>28.802790000000002</v>
      </c>
      <c r="J146">
        <v>4.3E-3</v>
      </c>
    </row>
    <row r="147" spans="1:10" x14ac:dyDescent="0.3">
      <c r="A147" t="s">
        <v>9</v>
      </c>
      <c r="B147" t="s">
        <v>263</v>
      </c>
      <c r="C147">
        <v>1</v>
      </c>
      <c r="D147">
        <v>6.3E-3</v>
      </c>
      <c r="E147">
        <v>6.1929659719627486</v>
      </c>
      <c r="F147">
        <v>625.18442858692822</v>
      </c>
      <c r="G147">
        <v>0.42399999999999999</v>
      </c>
      <c r="H147">
        <v>3.0999999999999999E-3</v>
      </c>
      <c r="I147">
        <v>29.00187</v>
      </c>
      <c r="J147">
        <v>3.0999999999999999E-3</v>
      </c>
    </row>
    <row r="148" spans="1:10" x14ac:dyDescent="0.3">
      <c r="A148" t="s">
        <v>9</v>
      </c>
      <c r="B148" t="s">
        <v>264</v>
      </c>
      <c r="C148">
        <v>1</v>
      </c>
      <c r="D148">
        <v>4.4999999999999997E-3</v>
      </c>
      <c r="E148">
        <v>6.1236061454740991</v>
      </c>
      <c r="F148">
        <v>618.72009275818607</v>
      </c>
      <c r="G148">
        <v>0.42399999999999999</v>
      </c>
      <c r="H148">
        <v>2E-3</v>
      </c>
      <c r="I148">
        <v>29.20382</v>
      </c>
      <c r="J148">
        <v>2E-3</v>
      </c>
    </row>
    <row r="149" spans="1:10" x14ac:dyDescent="0.3">
      <c r="A149" t="s">
        <v>9</v>
      </c>
      <c r="B149" t="s">
        <v>265</v>
      </c>
      <c r="C149">
        <v>1</v>
      </c>
      <c r="D149">
        <v>3.5000000000000001E-3</v>
      </c>
      <c r="E149">
        <v>6.0690622607361657</v>
      </c>
      <c r="F149">
        <v>613.63660270061064</v>
      </c>
      <c r="G149">
        <v>0.42399999999999999</v>
      </c>
      <c r="H149">
        <v>1.1000000000000001E-3</v>
      </c>
      <c r="I149">
        <v>29.40136</v>
      </c>
      <c r="J149">
        <v>1.1000000000000001E-3</v>
      </c>
    </row>
    <row r="150" spans="1:10" x14ac:dyDescent="0.3">
      <c r="A150" t="s">
        <v>9</v>
      </c>
      <c r="B150" t="s">
        <v>266</v>
      </c>
      <c r="C150">
        <v>1</v>
      </c>
      <c r="D150">
        <v>3.3999999999999998E-3</v>
      </c>
      <c r="E150">
        <v>6.0284072494262384</v>
      </c>
      <c r="F150">
        <v>609.84755564652539</v>
      </c>
      <c r="G150">
        <v>0.42399999999999999</v>
      </c>
      <c r="H150">
        <v>5.0000000000000001E-4</v>
      </c>
      <c r="I150">
        <v>29.602450000000001</v>
      </c>
      <c r="J150">
        <v>5.0000000000000001E-4</v>
      </c>
    </row>
    <row r="151" spans="1:10" x14ac:dyDescent="0.3">
      <c r="A151" t="s">
        <v>9</v>
      </c>
      <c r="B151" t="s">
        <v>267</v>
      </c>
      <c r="C151">
        <v>1</v>
      </c>
      <c r="D151">
        <v>2.8E-3</v>
      </c>
      <c r="E151">
        <v>6.0040424228574016</v>
      </c>
      <c r="F151">
        <v>607.57675381030981</v>
      </c>
      <c r="G151">
        <v>0.42399999999999999</v>
      </c>
      <c r="H151">
        <v>1E-4</v>
      </c>
      <c r="I151">
        <v>29.800129999999999</v>
      </c>
      <c r="J151">
        <v>1E-4</v>
      </c>
    </row>
    <row r="152" spans="1:10" x14ac:dyDescent="0.3">
      <c r="A152" t="s">
        <v>9</v>
      </c>
      <c r="B152" t="s">
        <v>268</v>
      </c>
      <c r="C152">
        <v>1</v>
      </c>
      <c r="D152">
        <v>1.8E-3</v>
      </c>
      <c r="E152">
        <v>5.9957344102493186</v>
      </c>
      <c r="F152">
        <v>606.80244703523647</v>
      </c>
      <c r="G152">
        <v>0.42399999999999999</v>
      </c>
      <c r="H152">
        <v>0</v>
      </c>
      <c r="I152">
        <v>30.002089999999999</v>
      </c>
      <c r="J152">
        <v>0</v>
      </c>
    </row>
    <row r="153" spans="1:10" x14ac:dyDescent="0.3">
      <c r="A153" t="s">
        <v>9</v>
      </c>
      <c r="B153" t="s">
        <v>269</v>
      </c>
      <c r="C153">
        <v>1</v>
      </c>
      <c r="D153">
        <v>1.8E-3</v>
      </c>
      <c r="E153">
        <v>6.0040967194455286</v>
      </c>
      <c r="F153">
        <v>709.78877867538074</v>
      </c>
      <c r="G153">
        <v>0.42399999999999999</v>
      </c>
      <c r="H153">
        <v>1E-4</v>
      </c>
      <c r="I153">
        <v>30.200520000000001</v>
      </c>
      <c r="J153">
        <v>1E-4</v>
      </c>
    </row>
    <row r="154" spans="1:10" x14ac:dyDescent="0.3">
      <c r="A154" t="s">
        <v>9</v>
      </c>
      <c r="B154" t="s">
        <v>270</v>
      </c>
      <c r="C154">
        <v>1</v>
      </c>
      <c r="D154">
        <v>1.8E-3</v>
      </c>
      <c r="E154">
        <v>6.0292038696992742</v>
      </c>
      <c r="F154">
        <v>712.1714472344612</v>
      </c>
      <c r="G154">
        <v>0.42399999999999999</v>
      </c>
      <c r="H154">
        <v>5.0000000000000001E-4</v>
      </c>
      <c r="I154">
        <v>30.4024</v>
      </c>
      <c r="J154">
        <v>5.0000000000000001E-4</v>
      </c>
    </row>
    <row r="155" spans="1:10" x14ac:dyDescent="0.3">
      <c r="A155" t="s">
        <v>9</v>
      </c>
      <c r="B155" t="s">
        <v>271</v>
      </c>
      <c r="C155">
        <v>1</v>
      </c>
      <c r="D155">
        <v>1.8E-3</v>
      </c>
      <c r="E155">
        <v>6.0699900589062308</v>
      </c>
      <c r="F155">
        <v>716.04205659020135</v>
      </c>
      <c r="G155">
        <v>0.42399999999999999</v>
      </c>
      <c r="H155">
        <v>1.1999999999999999E-3</v>
      </c>
      <c r="I155">
        <v>30.60249</v>
      </c>
      <c r="J155">
        <v>1.1999999999999999E-3</v>
      </c>
    </row>
    <row r="156" spans="1:10" x14ac:dyDescent="0.3">
      <c r="A156" t="s">
        <v>9</v>
      </c>
      <c r="B156" t="s">
        <v>272</v>
      </c>
      <c r="C156">
        <v>1</v>
      </c>
      <c r="D156">
        <v>1.9E-3</v>
      </c>
      <c r="E156">
        <v>6.1266675307304679</v>
      </c>
      <c r="F156">
        <v>721.4207486663214</v>
      </c>
      <c r="G156">
        <v>0.42399999999999999</v>
      </c>
      <c r="H156">
        <v>2E-3</v>
      </c>
      <c r="I156">
        <v>30.805980000000002</v>
      </c>
      <c r="J156">
        <v>2E-3</v>
      </c>
    </row>
    <row r="157" spans="1:10" x14ac:dyDescent="0.3">
      <c r="A157" t="s">
        <v>9</v>
      </c>
      <c r="B157" t="s">
        <v>273</v>
      </c>
      <c r="C157">
        <v>1</v>
      </c>
      <c r="D157">
        <v>1.9E-3</v>
      </c>
      <c r="E157">
        <v>6.194021979983952</v>
      </c>
      <c r="F157">
        <v>727.81268590047705</v>
      </c>
      <c r="G157">
        <v>0.42399999999999999</v>
      </c>
      <c r="H157">
        <v>3.0999999999999999E-3</v>
      </c>
      <c r="I157">
        <v>31.00095</v>
      </c>
      <c r="J157">
        <v>3.0999999999999999E-3</v>
      </c>
    </row>
    <row r="158" spans="1:10" x14ac:dyDescent="0.3">
      <c r="A158" t="s">
        <v>9</v>
      </c>
      <c r="B158" t="s">
        <v>274</v>
      </c>
      <c r="C158">
        <v>1</v>
      </c>
      <c r="D158">
        <v>1.9E-3</v>
      </c>
      <c r="E158">
        <v>6.2753143240791109</v>
      </c>
      <c r="F158">
        <v>735.52732935510767</v>
      </c>
      <c r="G158">
        <v>0.42399999999999999</v>
      </c>
      <c r="H158">
        <v>4.3E-3</v>
      </c>
      <c r="I158">
        <v>31.202349999999999</v>
      </c>
      <c r="J158">
        <v>4.3E-3</v>
      </c>
    </row>
    <row r="159" spans="1:10" x14ac:dyDescent="0.3">
      <c r="A159" t="s">
        <v>9</v>
      </c>
      <c r="B159" t="s">
        <v>275</v>
      </c>
      <c r="C159">
        <v>1</v>
      </c>
      <c r="D159">
        <v>2.3E-3</v>
      </c>
      <c r="E159">
        <v>6.3651516398531367</v>
      </c>
      <c r="F159">
        <v>744.05289062206271</v>
      </c>
      <c r="G159">
        <v>0.42399999999999999</v>
      </c>
      <c r="H159">
        <v>5.7000000000000002E-3</v>
      </c>
      <c r="I159">
        <v>31.400919999999999</v>
      </c>
      <c r="J159">
        <v>5.7000000000000002E-3</v>
      </c>
    </row>
    <row r="160" spans="1:10" x14ac:dyDescent="0.3">
      <c r="A160" t="s">
        <v>9</v>
      </c>
      <c r="B160" t="s">
        <v>276</v>
      </c>
      <c r="C160">
        <v>1</v>
      </c>
      <c r="D160">
        <v>3.0000000000000001E-3</v>
      </c>
      <c r="E160">
        <v>6.4635550928791803</v>
      </c>
      <c r="F160">
        <v>753.3913783142342</v>
      </c>
      <c r="G160">
        <v>0.42399999999999999</v>
      </c>
      <c r="H160">
        <v>7.3000000000000001E-3</v>
      </c>
      <c r="I160">
        <v>31.60172</v>
      </c>
      <c r="J160">
        <v>7.3000000000000001E-3</v>
      </c>
    </row>
    <row r="161" spans="1:10" x14ac:dyDescent="0.3">
      <c r="A161" t="s">
        <v>9</v>
      </c>
      <c r="B161" t="s">
        <v>277</v>
      </c>
      <c r="C161">
        <v>1</v>
      </c>
      <c r="D161">
        <v>4.4000000000000003E-3</v>
      </c>
      <c r="E161">
        <v>6.5669075596909696</v>
      </c>
      <c r="F161">
        <v>763.19952741467307</v>
      </c>
      <c r="G161">
        <v>0.42399999999999999</v>
      </c>
      <c r="H161">
        <v>8.8999999999999999E-3</v>
      </c>
      <c r="I161">
        <v>31.802109999999999</v>
      </c>
      <c r="J161">
        <v>8.8999999999999999E-3</v>
      </c>
    </row>
    <row r="162" spans="1:10" x14ac:dyDescent="0.3">
      <c r="A162" t="s">
        <v>9</v>
      </c>
      <c r="B162" t="s">
        <v>278</v>
      </c>
      <c r="C162">
        <v>1</v>
      </c>
      <c r="D162">
        <v>6.3E-3</v>
      </c>
      <c r="E162">
        <v>6.6723911807645644</v>
      </c>
      <c r="F162">
        <v>773.20992305455718</v>
      </c>
      <c r="G162">
        <v>0.42399999999999999</v>
      </c>
      <c r="H162">
        <v>1.0500000000000001E-2</v>
      </c>
      <c r="I162">
        <v>32.001640000000002</v>
      </c>
      <c r="J162">
        <v>1.0500000000000001E-2</v>
      </c>
    </row>
    <row r="163" spans="1:10" x14ac:dyDescent="0.3">
      <c r="A163" t="s">
        <v>9</v>
      </c>
      <c r="B163" t="s">
        <v>279</v>
      </c>
      <c r="C163">
        <v>1</v>
      </c>
      <c r="D163">
        <v>8.0000000000000002E-3</v>
      </c>
      <c r="E163">
        <v>6.7785507215783456</v>
      </c>
      <c r="F163">
        <v>783.28446347778515</v>
      </c>
      <c r="G163">
        <v>0.42399999999999999</v>
      </c>
      <c r="H163">
        <v>1.2200000000000001E-2</v>
      </c>
      <c r="I163">
        <v>32.202509999999997</v>
      </c>
      <c r="J163">
        <v>1.2200000000000001E-2</v>
      </c>
    </row>
    <row r="164" spans="1:10" x14ac:dyDescent="0.3">
      <c r="A164" t="s">
        <v>9</v>
      </c>
      <c r="B164" t="s">
        <v>280</v>
      </c>
      <c r="C164">
        <v>1</v>
      </c>
      <c r="D164">
        <v>9.4000000000000004E-3</v>
      </c>
      <c r="E164">
        <v>6.880589057689507</v>
      </c>
      <c r="F164">
        <v>792.96790157473424</v>
      </c>
      <c r="G164">
        <v>0.42399999999999999</v>
      </c>
      <c r="H164">
        <v>1.37E-2</v>
      </c>
      <c r="I164">
        <v>32.400480000000002</v>
      </c>
      <c r="J164">
        <v>1.37E-2</v>
      </c>
    </row>
    <row r="165" spans="1:10" x14ac:dyDescent="0.3">
      <c r="A165" t="s">
        <v>9</v>
      </c>
      <c r="B165" t="s">
        <v>281</v>
      </c>
      <c r="C165">
        <v>1</v>
      </c>
      <c r="D165">
        <v>1.12E-2</v>
      </c>
      <c r="E165">
        <v>6.9788155632802642</v>
      </c>
      <c r="F165">
        <v>802.28959695529716</v>
      </c>
      <c r="G165">
        <v>0.42399999999999999</v>
      </c>
      <c r="H165">
        <v>1.5299999999999999E-2</v>
      </c>
      <c r="I165">
        <v>32.601050000000001</v>
      </c>
      <c r="J165">
        <v>1.5299999999999999E-2</v>
      </c>
    </row>
    <row r="166" spans="1:10" x14ac:dyDescent="0.3">
      <c r="A166" t="s">
        <v>9</v>
      </c>
      <c r="B166" t="s">
        <v>282</v>
      </c>
      <c r="C166">
        <v>1</v>
      </c>
      <c r="D166">
        <v>1.2200000000000001E-2</v>
      </c>
      <c r="E166">
        <v>7.0693154182597313</v>
      </c>
      <c r="F166">
        <v>810.87803319284853</v>
      </c>
      <c r="G166">
        <v>0.42399999999999999</v>
      </c>
      <c r="H166">
        <v>1.67E-2</v>
      </c>
      <c r="I166">
        <v>32.801349999999999</v>
      </c>
      <c r="J166">
        <v>1.67E-2</v>
      </c>
    </row>
    <row r="167" spans="1:10" x14ac:dyDescent="0.3">
      <c r="A167" t="s">
        <v>9</v>
      </c>
      <c r="B167" t="s">
        <v>283</v>
      </c>
      <c r="C167">
        <v>1</v>
      </c>
      <c r="D167">
        <v>1.37E-2</v>
      </c>
      <c r="E167">
        <v>7.1499671996640979</v>
      </c>
      <c r="F167">
        <v>818.53188724812298</v>
      </c>
      <c r="G167">
        <v>0.42399999999999999</v>
      </c>
      <c r="H167">
        <v>1.7899999999999999E-2</v>
      </c>
      <c r="I167">
        <v>33.00159</v>
      </c>
      <c r="J167">
        <v>1.7899999999999999E-2</v>
      </c>
    </row>
    <row r="168" spans="1:10" x14ac:dyDescent="0.3">
      <c r="A168" t="s">
        <v>9</v>
      </c>
      <c r="B168" t="s">
        <v>284</v>
      </c>
      <c r="C168">
        <v>1</v>
      </c>
      <c r="D168">
        <v>1.4800000000000001E-2</v>
      </c>
      <c r="E168">
        <v>7.2185371691318201</v>
      </c>
      <c r="F168">
        <v>825.03917735060975</v>
      </c>
      <c r="G168">
        <v>0.42399999999999999</v>
      </c>
      <c r="H168">
        <v>1.9E-2</v>
      </c>
      <c r="I168">
        <v>33.200949999999999</v>
      </c>
      <c r="J168">
        <v>1.9E-2</v>
      </c>
    </row>
    <row r="169" spans="1:10" x14ac:dyDescent="0.3">
      <c r="A169" t="s">
        <v>9</v>
      </c>
      <c r="B169" t="s">
        <v>285</v>
      </c>
      <c r="C169">
        <v>1</v>
      </c>
      <c r="D169">
        <v>1.5900000000000001E-2</v>
      </c>
      <c r="E169">
        <v>7.2743279169729638</v>
      </c>
      <c r="F169">
        <v>830.3337193207343</v>
      </c>
      <c r="G169">
        <v>0.42399999999999999</v>
      </c>
      <c r="H169">
        <v>1.9900000000000001E-2</v>
      </c>
      <c r="I169">
        <v>33.402830000000002</v>
      </c>
      <c r="J169">
        <v>1.9900000000000001E-2</v>
      </c>
    </row>
    <row r="170" spans="1:10" x14ac:dyDescent="0.3">
      <c r="A170" t="s">
        <v>9</v>
      </c>
      <c r="B170" t="s">
        <v>286</v>
      </c>
      <c r="C170">
        <v>1</v>
      </c>
      <c r="D170">
        <v>1.6400000000000001E-2</v>
      </c>
      <c r="E170">
        <v>7.3142481341898096</v>
      </c>
      <c r="F170">
        <v>834.12214793461294</v>
      </c>
      <c r="G170">
        <v>0.42399999999999999</v>
      </c>
      <c r="H170">
        <v>2.0500000000000001E-2</v>
      </c>
      <c r="I170">
        <v>33.600119999999997</v>
      </c>
      <c r="J170">
        <v>2.0500000000000001E-2</v>
      </c>
    </row>
    <row r="171" spans="1:10" x14ac:dyDescent="0.3">
      <c r="A171" t="s">
        <v>9</v>
      </c>
      <c r="B171" t="s">
        <v>287</v>
      </c>
      <c r="C171">
        <v>1</v>
      </c>
      <c r="D171">
        <v>1.7100000000000001E-2</v>
      </c>
      <c r="E171">
        <v>7.3391764758975269</v>
      </c>
      <c r="F171">
        <v>836.48784756267537</v>
      </c>
      <c r="G171">
        <v>0.42399999999999999</v>
      </c>
      <c r="H171">
        <v>2.0899999999999998E-2</v>
      </c>
      <c r="I171">
        <v>33.802349999999997</v>
      </c>
      <c r="J171">
        <v>2.0899999999999998E-2</v>
      </c>
    </row>
    <row r="172" spans="1:10" x14ac:dyDescent="0.3">
      <c r="A172" t="s">
        <v>9</v>
      </c>
      <c r="B172" t="s">
        <v>288</v>
      </c>
      <c r="C172">
        <v>1</v>
      </c>
      <c r="D172">
        <v>1.7299999999999999E-2</v>
      </c>
      <c r="E172">
        <v>7.3473025151975344</v>
      </c>
      <c r="F172">
        <v>837.25900869224608</v>
      </c>
      <c r="G172">
        <v>0.42399999999999999</v>
      </c>
      <c r="H172">
        <v>2.1000000000000001E-2</v>
      </c>
      <c r="I172">
        <v>34.000590000000003</v>
      </c>
      <c r="J172">
        <v>2.1000000000000001E-2</v>
      </c>
    </row>
    <row r="173" spans="1:10" x14ac:dyDescent="0.3">
      <c r="A173" t="s">
        <v>9</v>
      </c>
      <c r="B173" t="s">
        <v>289</v>
      </c>
      <c r="C173">
        <v>1</v>
      </c>
      <c r="D173">
        <v>1.7399999999999999E-2</v>
      </c>
      <c r="E173">
        <v>7.3388172288130624</v>
      </c>
      <c r="F173">
        <v>731.97776572537737</v>
      </c>
      <c r="G173">
        <v>0.42399999999999999</v>
      </c>
      <c r="H173">
        <v>2.0899999999999998E-2</v>
      </c>
      <c r="I173">
        <v>34.201979999999999</v>
      </c>
      <c r="J173">
        <v>2.0899999999999998E-2</v>
      </c>
    </row>
    <row r="174" spans="1:10" x14ac:dyDescent="0.3">
      <c r="A174" t="s">
        <v>9</v>
      </c>
      <c r="B174" t="s">
        <v>290</v>
      </c>
      <c r="C174">
        <v>1</v>
      </c>
      <c r="D174">
        <v>1.7299999999999999E-2</v>
      </c>
      <c r="E174">
        <v>7.3138304993173469</v>
      </c>
      <c r="F174">
        <v>729.64900253637677</v>
      </c>
      <c r="G174">
        <v>0.42399999999999999</v>
      </c>
      <c r="H174">
        <v>2.0500000000000001E-2</v>
      </c>
      <c r="I174">
        <v>34.402410000000003</v>
      </c>
      <c r="J174">
        <v>2.0500000000000001E-2</v>
      </c>
    </row>
    <row r="175" spans="1:10" x14ac:dyDescent="0.3">
      <c r="A175" t="s">
        <v>9</v>
      </c>
      <c r="B175" t="s">
        <v>291</v>
      </c>
      <c r="C175">
        <v>1</v>
      </c>
      <c r="D175">
        <v>1.7399999999999999E-2</v>
      </c>
      <c r="E175">
        <v>7.2733097799198063</v>
      </c>
      <c r="F175">
        <v>725.872471488526</v>
      </c>
      <c r="G175">
        <v>0.42399999999999999</v>
      </c>
      <c r="H175">
        <v>1.9900000000000001E-2</v>
      </c>
      <c r="I175">
        <v>34.601390000000002</v>
      </c>
      <c r="J175">
        <v>1.9900000000000001E-2</v>
      </c>
    </row>
    <row r="176" spans="1:10" x14ac:dyDescent="0.3">
      <c r="A176" t="s">
        <v>9</v>
      </c>
      <c r="B176" t="s">
        <v>292</v>
      </c>
      <c r="C176">
        <v>1</v>
      </c>
      <c r="D176">
        <v>1.7299999999999999E-2</v>
      </c>
      <c r="E176">
        <v>7.2176743273759012</v>
      </c>
      <c r="F176">
        <v>720.68724731143402</v>
      </c>
      <c r="G176">
        <v>0.42399999999999999</v>
      </c>
      <c r="H176">
        <v>1.9E-2</v>
      </c>
      <c r="I176">
        <v>34.801810000000003</v>
      </c>
      <c r="J176">
        <v>1.9E-2</v>
      </c>
    </row>
    <row r="177" spans="1:10" x14ac:dyDescent="0.3">
      <c r="A177" t="s">
        <v>9</v>
      </c>
      <c r="B177" t="s">
        <v>293</v>
      </c>
      <c r="C177">
        <v>1</v>
      </c>
      <c r="D177">
        <v>1.7299999999999999E-2</v>
      </c>
      <c r="E177">
        <v>7.148614954712972</v>
      </c>
      <c r="F177">
        <v>714.250913779249</v>
      </c>
      <c r="G177">
        <v>0.42399999999999999</v>
      </c>
      <c r="H177">
        <v>1.7899999999999999E-2</v>
      </c>
      <c r="I177">
        <v>35.002009999999999</v>
      </c>
      <c r="J177">
        <v>1.7899999999999999E-2</v>
      </c>
    </row>
    <row r="178" spans="1:10" x14ac:dyDescent="0.3">
      <c r="A178" t="s">
        <v>9</v>
      </c>
      <c r="B178" t="s">
        <v>294</v>
      </c>
      <c r="C178">
        <v>1</v>
      </c>
      <c r="D178">
        <v>1.7299999999999999E-2</v>
      </c>
      <c r="E178">
        <v>7.0684027036015644</v>
      </c>
      <c r="F178">
        <v>706.77513197566577</v>
      </c>
      <c r="G178">
        <v>0.42399999999999999</v>
      </c>
      <c r="H178">
        <v>1.67E-2</v>
      </c>
      <c r="I178">
        <v>35.200769999999999</v>
      </c>
      <c r="J178">
        <v>1.67E-2</v>
      </c>
    </row>
    <row r="179" spans="1:10" x14ac:dyDescent="0.3">
      <c r="A179" t="s">
        <v>9</v>
      </c>
      <c r="B179" t="s">
        <v>295</v>
      </c>
      <c r="C179">
        <v>1</v>
      </c>
      <c r="D179">
        <v>1.72E-2</v>
      </c>
      <c r="E179">
        <v>6.9779125799200976</v>
      </c>
      <c r="F179">
        <v>698.34145244855313</v>
      </c>
      <c r="G179">
        <v>0.42399999999999999</v>
      </c>
      <c r="H179">
        <v>1.5299999999999999E-2</v>
      </c>
      <c r="I179">
        <v>35.400860000000002</v>
      </c>
      <c r="J179">
        <v>1.5299999999999999E-2</v>
      </c>
    </row>
    <row r="180" spans="1:10" x14ac:dyDescent="0.3">
      <c r="A180" t="s">
        <v>9</v>
      </c>
      <c r="B180" t="s">
        <v>296</v>
      </c>
      <c r="C180">
        <v>1</v>
      </c>
      <c r="D180">
        <v>1.6899999999999998E-2</v>
      </c>
      <c r="E180">
        <v>6.8795733534608479</v>
      </c>
      <c r="F180">
        <v>689.17623654255101</v>
      </c>
      <c r="G180">
        <v>0.42399999999999999</v>
      </c>
      <c r="H180">
        <v>1.37E-2</v>
      </c>
      <c r="I180">
        <v>35.601529999999997</v>
      </c>
      <c r="J180">
        <v>1.37E-2</v>
      </c>
    </row>
    <row r="181" spans="1:10" x14ac:dyDescent="0.3">
      <c r="A181" t="s">
        <v>9</v>
      </c>
      <c r="B181" t="s">
        <v>297</v>
      </c>
      <c r="C181">
        <v>1</v>
      </c>
      <c r="D181">
        <v>1.6299999999999999E-2</v>
      </c>
      <c r="E181">
        <v>6.7761401979698173</v>
      </c>
      <c r="F181">
        <v>679.53626645078702</v>
      </c>
      <c r="G181">
        <v>0.42399999999999999</v>
      </c>
      <c r="H181">
        <v>1.21E-2</v>
      </c>
      <c r="I181">
        <v>35.80209</v>
      </c>
      <c r="J181">
        <v>1.21E-2</v>
      </c>
    </row>
    <row r="182" spans="1:10" x14ac:dyDescent="0.3">
      <c r="A182" t="s">
        <v>9</v>
      </c>
      <c r="B182" t="s">
        <v>298</v>
      </c>
      <c r="C182">
        <v>1</v>
      </c>
      <c r="D182">
        <v>1.5599999999999999E-2</v>
      </c>
      <c r="E182">
        <v>6.6711930146984244</v>
      </c>
      <c r="F182">
        <v>669.75518896989308</v>
      </c>
      <c r="G182">
        <v>0.42399999999999999</v>
      </c>
      <c r="H182">
        <v>1.0500000000000001E-2</v>
      </c>
      <c r="I182">
        <v>36.000610000000002</v>
      </c>
      <c r="J182">
        <v>1.0500000000000001E-2</v>
      </c>
    </row>
    <row r="183" spans="1:10" x14ac:dyDescent="0.3">
      <c r="A183" t="s">
        <v>9</v>
      </c>
      <c r="B183" t="s">
        <v>299</v>
      </c>
      <c r="C183">
        <v>1</v>
      </c>
      <c r="D183">
        <v>1.43E-2</v>
      </c>
      <c r="E183">
        <v>6.565729261691577</v>
      </c>
      <c r="F183">
        <v>659.92596718965501</v>
      </c>
      <c r="G183">
        <v>0.42399999999999999</v>
      </c>
      <c r="H183">
        <v>8.8999999999999999E-3</v>
      </c>
      <c r="I183">
        <v>36.200139999999998</v>
      </c>
      <c r="J183">
        <v>8.8999999999999999E-3</v>
      </c>
    </row>
    <row r="184" spans="1:10" x14ac:dyDescent="0.3">
      <c r="A184" t="s">
        <v>9</v>
      </c>
      <c r="B184" t="s">
        <v>300</v>
      </c>
      <c r="C184">
        <v>1</v>
      </c>
      <c r="D184">
        <v>1.29E-2</v>
      </c>
      <c r="E184">
        <v>6.4612406658383916</v>
      </c>
      <c r="F184">
        <v>650.18763005613812</v>
      </c>
      <c r="G184">
        <v>0.42399999999999999</v>
      </c>
      <c r="H184">
        <v>7.1999999999999998E-3</v>
      </c>
      <c r="I184">
        <v>36.40287</v>
      </c>
      <c r="J184">
        <v>7.1999999999999998E-3</v>
      </c>
    </row>
    <row r="185" spans="1:10" x14ac:dyDescent="0.3">
      <c r="A185" t="s">
        <v>9</v>
      </c>
      <c r="B185" t="s">
        <v>301</v>
      </c>
      <c r="C185">
        <v>1</v>
      </c>
      <c r="D185">
        <v>1.0999999999999999E-2</v>
      </c>
      <c r="E185">
        <v>6.3639936964853936</v>
      </c>
      <c r="F185">
        <v>641.1242125124387</v>
      </c>
      <c r="G185">
        <v>0.42399999999999999</v>
      </c>
      <c r="H185">
        <v>5.7000000000000002E-3</v>
      </c>
      <c r="I185">
        <v>36.601529999999997</v>
      </c>
      <c r="J185">
        <v>5.7000000000000002E-3</v>
      </c>
    </row>
    <row r="186" spans="1:10" x14ac:dyDescent="0.3">
      <c r="A186" t="s">
        <v>9</v>
      </c>
      <c r="B186" t="s">
        <v>302</v>
      </c>
      <c r="C186">
        <v>1</v>
      </c>
      <c r="D186">
        <v>8.3000000000000001E-3</v>
      </c>
      <c r="E186">
        <v>6.2697647675655936</v>
      </c>
      <c r="F186">
        <v>632.34207633711333</v>
      </c>
      <c r="G186">
        <v>0.42399999999999999</v>
      </c>
      <c r="H186">
        <v>4.3E-3</v>
      </c>
      <c r="I186">
        <v>36.810600000000001</v>
      </c>
      <c r="J186">
        <v>4.3E-3</v>
      </c>
    </row>
    <row r="187" spans="1:10" x14ac:dyDescent="0.3">
      <c r="A187" t="s">
        <v>9</v>
      </c>
      <c r="B187" t="s">
        <v>303</v>
      </c>
      <c r="C187">
        <v>1</v>
      </c>
      <c r="D187">
        <v>6.8999999999999999E-3</v>
      </c>
      <c r="E187">
        <v>6.1928819178762824</v>
      </c>
      <c r="F187">
        <v>625.17659474606944</v>
      </c>
      <c r="G187">
        <v>0.42399999999999999</v>
      </c>
      <c r="H187">
        <v>3.0999999999999999E-3</v>
      </c>
      <c r="I187">
        <v>37.002090000000003</v>
      </c>
      <c r="J187">
        <v>3.0999999999999999E-3</v>
      </c>
    </row>
    <row r="188" spans="1:10" x14ac:dyDescent="0.3">
      <c r="A188" t="s">
        <v>9</v>
      </c>
      <c r="B188" t="s">
        <v>304</v>
      </c>
      <c r="C188">
        <v>1</v>
      </c>
      <c r="D188">
        <v>4.7000000000000002E-3</v>
      </c>
      <c r="E188">
        <v>6.1243576044150032</v>
      </c>
      <c r="F188">
        <v>618.79012873147826</v>
      </c>
      <c r="G188">
        <v>0.42399999999999999</v>
      </c>
      <c r="H188">
        <v>2E-3</v>
      </c>
      <c r="I188">
        <v>37.201410000000003</v>
      </c>
      <c r="J188">
        <v>2E-3</v>
      </c>
    </row>
    <row r="189" spans="1:10" x14ac:dyDescent="0.3">
      <c r="A189" t="s">
        <v>9</v>
      </c>
      <c r="B189" t="s">
        <v>305</v>
      </c>
      <c r="C189">
        <v>1</v>
      </c>
      <c r="D189">
        <v>3.5999999999999999E-3</v>
      </c>
      <c r="E189">
        <v>6.0691082411192108</v>
      </c>
      <c r="F189">
        <v>613.64088807231042</v>
      </c>
      <c r="G189">
        <v>0.42399999999999999</v>
      </c>
      <c r="H189">
        <v>1.1000000000000001E-3</v>
      </c>
      <c r="I189">
        <v>37.40117</v>
      </c>
      <c r="J189">
        <v>1.1000000000000001E-3</v>
      </c>
    </row>
    <row r="190" spans="1:10" x14ac:dyDescent="0.3">
      <c r="A190" t="s">
        <v>9</v>
      </c>
      <c r="B190" t="s">
        <v>306</v>
      </c>
      <c r="C190">
        <v>1</v>
      </c>
      <c r="D190">
        <v>2.8E-3</v>
      </c>
      <c r="E190">
        <v>6.0284114784861593</v>
      </c>
      <c r="F190">
        <v>609.84794979491005</v>
      </c>
      <c r="G190">
        <v>0.42399999999999999</v>
      </c>
      <c r="H190">
        <v>5.0000000000000001E-4</v>
      </c>
      <c r="I190">
        <v>37.602429999999998</v>
      </c>
      <c r="J190">
        <v>5.0000000000000001E-4</v>
      </c>
    </row>
    <row r="191" spans="1:10" x14ac:dyDescent="0.3">
      <c r="A191" t="s">
        <v>9</v>
      </c>
      <c r="B191" t="s">
        <v>307</v>
      </c>
      <c r="C191">
        <v>1</v>
      </c>
      <c r="D191">
        <v>2.2000000000000001E-3</v>
      </c>
      <c r="E191">
        <v>6.0039786179801888</v>
      </c>
      <c r="F191">
        <v>607.57080719575367</v>
      </c>
      <c r="G191">
        <v>0.42399999999999999</v>
      </c>
      <c r="H191">
        <v>1E-4</v>
      </c>
      <c r="I191">
        <v>37.800899999999999</v>
      </c>
      <c r="J191">
        <v>1E-4</v>
      </c>
    </row>
    <row r="192" spans="1:10" x14ac:dyDescent="0.3">
      <c r="A192" t="s">
        <v>9</v>
      </c>
      <c r="B192" t="s">
        <v>308</v>
      </c>
      <c r="C192">
        <v>1</v>
      </c>
      <c r="D192">
        <v>2.2000000000000001E-3</v>
      </c>
      <c r="E192">
        <v>5.9957334838115024</v>
      </c>
      <c r="F192">
        <v>606.80236069123202</v>
      </c>
      <c r="G192">
        <v>0.42399999999999999</v>
      </c>
      <c r="H192">
        <v>0</v>
      </c>
      <c r="I192">
        <v>38.000140000000002</v>
      </c>
      <c r="J192">
        <v>0</v>
      </c>
    </row>
    <row r="193" spans="1:10" x14ac:dyDescent="0.3">
      <c r="A193" t="s">
        <v>9</v>
      </c>
      <c r="B193" t="s">
        <v>309</v>
      </c>
      <c r="C193">
        <v>1</v>
      </c>
      <c r="D193">
        <v>1.6999999999999999E-3</v>
      </c>
      <c r="E193">
        <v>6.0041425579138128</v>
      </c>
      <c r="F193">
        <v>709.7931287460209</v>
      </c>
      <c r="G193">
        <v>0.42399999999999999</v>
      </c>
      <c r="H193">
        <v>1E-4</v>
      </c>
      <c r="I193">
        <v>38.201070000000001</v>
      </c>
      <c r="J193">
        <v>1E-4</v>
      </c>
    </row>
    <row r="194" spans="1:10" x14ac:dyDescent="0.3">
      <c r="A194" t="s">
        <v>9</v>
      </c>
      <c r="B194" t="s">
        <v>310</v>
      </c>
      <c r="C194">
        <v>1</v>
      </c>
      <c r="D194">
        <v>1.5E-3</v>
      </c>
      <c r="E194">
        <v>6.0290655068605563</v>
      </c>
      <c r="F194">
        <v>712.15831660106687</v>
      </c>
      <c r="G194">
        <v>0.42399999999999999</v>
      </c>
      <c r="H194">
        <v>5.0000000000000001E-4</v>
      </c>
      <c r="I194">
        <v>38.401560000000003</v>
      </c>
      <c r="J194">
        <v>5.0000000000000001E-4</v>
      </c>
    </row>
    <row r="195" spans="1:10" x14ac:dyDescent="0.3">
      <c r="A195" t="s">
        <v>9</v>
      </c>
      <c r="B195" t="s">
        <v>311</v>
      </c>
      <c r="C195">
        <v>1</v>
      </c>
      <c r="D195">
        <v>1.6000000000000001E-3</v>
      </c>
      <c r="E195">
        <v>6.0702465597026576</v>
      </c>
      <c r="F195">
        <v>716.06639851578234</v>
      </c>
      <c r="G195">
        <v>0.42399999999999999</v>
      </c>
      <c r="H195">
        <v>1.1999999999999999E-3</v>
      </c>
      <c r="I195">
        <v>38.603549999999998</v>
      </c>
      <c r="J195">
        <v>1.1999999999999999E-3</v>
      </c>
    </row>
    <row r="196" spans="1:10" x14ac:dyDescent="0.3">
      <c r="A196" t="s">
        <v>9</v>
      </c>
      <c r="B196" t="s">
        <v>312</v>
      </c>
      <c r="C196">
        <v>1</v>
      </c>
      <c r="D196">
        <v>1.6000000000000001E-3</v>
      </c>
      <c r="E196">
        <v>6.1255824910035672</v>
      </c>
      <c r="F196">
        <v>721.31777839623851</v>
      </c>
      <c r="G196">
        <v>0.42399999999999999</v>
      </c>
      <c r="H196">
        <v>2E-3</v>
      </c>
      <c r="I196">
        <v>38.802509999999998</v>
      </c>
      <c r="J196">
        <v>2E-3</v>
      </c>
    </row>
    <row r="197" spans="1:10" x14ac:dyDescent="0.3">
      <c r="A197" t="s">
        <v>9</v>
      </c>
      <c r="B197" t="s">
        <v>313</v>
      </c>
      <c r="C197">
        <v>1</v>
      </c>
      <c r="D197">
        <v>1.6000000000000001E-3</v>
      </c>
      <c r="E197">
        <v>6.1941563935375639</v>
      </c>
      <c r="F197">
        <v>727.82544174671489</v>
      </c>
      <c r="G197">
        <v>0.42399999999999999</v>
      </c>
      <c r="H197">
        <v>3.0999999999999999E-3</v>
      </c>
      <c r="I197">
        <v>39.001300000000001</v>
      </c>
      <c r="J197">
        <v>3.0999999999999999E-3</v>
      </c>
    </row>
    <row r="198" spans="1:10" x14ac:dyDescent="0.3">
      <c r="A198" t="s">
        <v>9</v>
      </c>
      <c r="B198" t="s">
        <v>314</v>
      </c>
      <c r="C198">
        <v>1</v>
      </c>
      <c r="D198">
        <v>1.6000000000000001E-3</v>
      </c>
      <c r="E198">
        <v>6.2757261607198487</v>
      </c>
      <c r="F198">
        <v>735.56641265231372</v>
      </c>
      <c r="G198">
        <v>0.42399999999999999</v>
      </c>
      <c r="H198">
        <v>4.4000000000000003E-3</v>
      </c>
      <c r="I198">
        <v>39.203310000000002</v>
      </c>
      <c r="J198">
        <v>4.4000000000000003E-3</v>
      </c>
    </row>
    <row r="199" spans="1:10" x14ac:dyDescent="0.3">
      <c r="A199" t="s">
        <v>9</v>
      </c>
      <c r="B199" t="s">
        <v>315</v>
      </c>
      <c r="C199">
        <v>1</v>
      </c>
      <c r="D199">
        <v>2E-3</v>
      </c>
      <c r="E199">
        <v>6.3652704022358026</v>
      </c>
      <c r="F199">
        <v>744.06416117217771</v>
      </c>
      <c r="G199">
        <v>0.42399999999999999</v>
      </c>
      <c r="H199">
        <v>5.7000000000000002E-3</v>
      </c>
      <c r="I199">
        <v>39.40117</v>
      </c>
      <c r="J199">
        <v>5.7000000000000002E-3</v>
      </c>
    </row>
    <row r="200" spans="1:10" x14ac:dyDescent="0.3">
      <c r="A200" t="s">
        <v>9</v>
      </c>
      <c r="B200" t="s">
        <v>316</v>
      </c>
      <c r="C200">
        <v>1</v>
      </c>
      <c r="D200">
        <v>2.8999999999999998E-3</v>
      </c>
      <c r="E200">
        <v>6.4637407984826627</v>
      </c>
      <c r="F200">
        <v>753.40900177600474</v>
      </c>
      <c r="G200">
        <v>0.42399999999999999</v>
      </c>
      <c r="H200">
        <v>7.3000000000000001E-3</v>
      </c>
      <c r="I200">
        <v>39.602080000000001</v>
      </c>
      <c r="J200">
        <v>7.3000000000000001E-3</v>
      </c>
    </row>
    <row r="201" spans="1:10" x14ac:dyDescent="0.3">
      <c r="A201" t="s">
        <v>9</v>
      </c>
      <c r="B201" t="s">
        <v>317</v>
      </c>
      <c r="C201">
        <v>1</v>
      </c>
      <c r="D201">
        <v>4.4999999999999997E-3</v>
      </c>
      <c r="E201">
        <v>6.5667222595582366</v>
      </c>
      <c r="F201">
        <v>763.18194243207665</v>
      </c>
      <c r="G201">
        <v>0.42399999999999999</v>
      </c>
      <c r="H201">
        <v>8.8999999999999999E-3</v>
      </c>
      <c r="I201">
        <v>39.801749999999998</v>
      </c>
      <c r="J201">
        <v>8.8999999999999999E-3</v>
      </c>
    </row>
    <row r="202" spans="1:10" x14ac:dyDescent="0.3">
      <c r="A202" t="s">
        <v>9</v>
      </c>
      <c r="B202" t="s">
        <v>318</v>
      </c>
      <c r="C202">
        <v>1</v>
      </c>
      <c r="D202">
        <v>6.1999999999999998E-3</v>
      </c>
      <c r="E202">
        <v>6.6725087672820527</v>
      </c>
      <c r="F202">
        <v>773.22108201506683</v>
      </c>
      <c r="G202">
        <v>0.42399999999999999</v>
      </c>
      <c r="H202">
        <v>1.0500000000000001E-2</v>
      </c>
      <c r="I202">
        <v>40.001869999999997</v>
      </c>
      <c r="J202">
        <v>1.0500000000000001E-2</v>
      </c>
    </row>
    <row r="203" spans="1:10" x14ac:dyDescent="0.3">
      <c r="A203" t="s">
        <v>9</v>
      </c>
      <c r="B203" t="s">
        <v>319</v>
      </c>
      <c r="C203">
        <v>1</v>
      </c>
      <c r="D203">
        <v>7.9000000000000008E-3</v>
      </c>
      <c r="E203">
        <v>6.7794139688050166</v>
      </c>
      <c r="F203">
        <v>783.36638563959616</v>
      </c>
      <c r="G203">
        <v>0.42399999999999999</v>
      </c>
      <c r="H203">
        <v>1.2200000000000001E-2</v>
      </c>
      <c r="I203">
        <v>40.204160000000002</v>
      </c>
      <c r="J203">
        <v>1.2200000000000001E-2</v>
      </c>
    </row>
    <row r="204" spans="1:10" x14ac:dyDescent="0.3">
      <c r="A204" t="s">
        <v>9</v>
      </c>
      <c r="B204" t="s">
        <v>320</v>
      </c>
      <c r="C204">
        <v>1</v>
      </c>
      <c r="D204">
        <v>9.4999999999999998E-3</v>
      </c>
      <c r="E204">
        <v>6.8809487102447244</v>
      </c>
      <c r="F204">
        <v>793.00203260222429</v>
      </c>
      <c r="G204">
        <v>0.42399999999999999</v>
      </c>
      <c r="H204">
        <v>1.38E-2</v>
      </c>
      <c r="I204">
        <v>40.40119</v>
      </c>
      <c r="J204">
        <v>1.38E-2</v>
      </c>
    </row>
    <row r="205" spans="1:10" x14ac:dyDescent="0.3">
      <c r="A205" t="s">
        <v>9</v>
      </c>
      <c r="B205" t="s">
        <v>321</v>
      </c>
      <c r="C205">
        <v>1</v>
      </c>
      <c r="D205">
        <v>1.11E-2</v>
      </c>
      <c r="E205">
        <v>6.9784291496555504</v>
      </c>
      <c r="F205">
        <v>802.25292630231172</v>
      </c>
      <c r="G205">
        <v>0.42399999999999999</v>
      </c>
      <c r="H205">
        <v>1.5299999999999999E-2</v>
      </c>
      <c r="I205">
        <v>40.600230000000003</v>
      </c>
      <c r="J205">
        <v>1.5299999999999999E-2</v>
      </c>
    </row>
    <row r="206" spans="1:10" x14ac:dyDescent="0.3">
      <c r="A206" t="s">
        <v>9</v>
      </c>
      <c r="B206" t="s">
        <v>322</v>
      </c>
      <c r="C206">
        <v>1</v>
      </c>
      <c r="D206">
        <v>1.24E-2</v>
      </c>
      <c r="E206">
        <v>7.0699418705684218</v>
      </c>
      <c r="F206">
        <v>810.9374835169433</v>
      </c>
      <c r="G206">
        <v>0.42399999999999999</v>
      </c>
      <c r="H206">
        <v>1.67E-2</v>
      </c>
      <c r="I206">
        <v>40.802810000000001</v>
      </c>
      <c r="J206">
        <v>1.67E-2</v>
      </c>
    </row>
    <row r="207" spans="1:10" x14ac:dyDescent="0.3">
      <c r="A207" t="s">
        <v>9</v>
      </c>
      <c r="B207" t="s">
        <v>323</v>
      </c>
      <c r="C207">
        <v>1</v>
      </c>
      <c r="D207">
        <v>1.3599999999999999E-2</v>
      </c>
      <c r="E207">
        <v>7.1504424113830529</v>
      </c>
      <c r="F207">
        <v>818.57698484025173</v>
      </c>
      <c r="G207">
        <v>0.42399999999999999</v>
      </c>
      <c r="H207">
        <v>1.7899999999999999E-2</v>
      </c>
      <c r="I207">
        <v>41.002859999999998</v>
      </c>
      <c r="J207">
        <v>1.7899999999999999E-2</v>
      </c>
    </row>
    <row r="208" spans="1:10" x14ac:dyDescent="0.3">
      <c r="A208" t="s">
        <v>9</v>
      </c>
      <c r="B208" t="s">
        <v>324</v>
      </c>
      <c r="C208">
        <v>1</v>
      </c>
      <c r="D208">
        <v>1.4800000000000001E-2</v>
      </c>
      <c r="E208">
        <v>7.2190464403937744</v>
      </c>
      <c r="F208">
        <v>825.08750719336922</v>
      </c>
      <c r="G208">
        <v>0.42399999999999999</v>
      </c>
      <c r="H208">
        <v>1.9E-2</v>
      </c>
      <c r="I208">
        <v>41.202590000000001</v>
      </c>
      <c r="J208">
        <v>1.9E-2</v>
      </c>
    </row>
    <row r="209" spans="1:10" x14ac:dyDescent="0.3">
      <c r="A209" t="s">
        <v>9</v>
      </c>
      <c r="B209" t="s">
        <v>325</v>
      </c>
      <c r="C209">
        <v>1</v>
      </c>
      <c r="D209">
        <v>1.5699999999999999E-2</v>
      </c>
      <c r="E209">
        <v>7.2737014646642706</v>
      </c>
      <c r="F209">
        <v>830.27426899663931</v>
      </c>
      <c r="G209">
        <v>0.42399999999999999</v>
      </c>
      <c r="H209">
        <v>1.9900000000000001E-2</v>
      </c>
      <c r="I209">
        <v>41.400230000000001</v>
      </c>
      <c r="J209">
        <v>1.9900000000000001E-2</v>
      </c>
    </row>
    <row r="210" spans="1:10" x14ac:dyDescent="0.3">
      <c r="A210" t="s">
        <v>9</v>
      </c>
      <c r="B210" t="s">
        <v>326</v>
      </c>
      <c r="C210">
        <v>1</v>
      </c>
      <c r="D210">
        <v>1.61E-2</v>
      </c>
      <c r="E210">
        <v>7.3143645042950496</v>
      </c>
      <c r="F210">
        <v>834.13319145760022</v>
      </c>
      <c r="G210">
        <v>0.42399999999999999</v>
      </c>
      <c r="H210">
        <v>2.0500000000000001E-2</v>
      </c>
      <c r="I210">
        <v>41.600839999999998</v>
      </c>
      <c r="J210">
        <v>2.0500000000000001E-2</v>
      </c>
    </row>
    <row r="211" spans="1:10" x14ac:dyDescent="0.3">
      <c r="A211" t="s">
        <v>9</v>
      </c>
      <c r="B211" t="s">
        <v>327</v>
      </c>
      <c r="C211">
        <v>1</v>
      </c>
      <c r="D211">
        <v>1.6799999999999999E-2</v>
      </c>
      <c r="E211">
        <v>5.9957334838115024</v>
      </c>
      <c r="F211">
        <v>606.80236069123202</v>
      </c>
      <c r="G211">
        <v>0.42399999999999999</v>
      </c>
      <c r="H211">
        <v>0</v>
      </c>
      <c r="I211">
        <v>41.801659999999998</v>
      </c>
      <c r="J211">
        <v>0</v>
      </c>
    </row>
    <row r="212" spans="1:10" x14ac:dyDescent="0.3">
      <c r="A212" t="s">
        <v>9</v>
      </c>
      <c r="B212" t="s">
        <v>328</v>
      </c>
      <c r="C212">
        <v>1</v>
      </c>
      <c r="D212">
        <v>1.3899999999999999E-2</v>
      </c>
      <c r="E212">
        <v>5.9957334838115024</v>
      </c>
      <c r="F212">
        <v>606.80236069123202</v>
      </c>
      <c r="G212">
        <v>0.42399999999999999</v>
      </c>
      <c r="H212">
        <v>0</v>
      </c>
      <c r="I212">
        <v>42.002409999999998</v>
      </c>
      <c r="J212">
        <v>0</v>
      </c>
    </row>
    <row r="213" spans="1:10" x14ac:dyDescent="0.3">
      <c r="A213" t="s">
        <v>9</v>
      </c>
      <c r="B213" t="s">
        <v>329</v>
      </c>
      <c r="C213">
        <v>1</v>
      </c>
      <c r="D213">
        <v>8.3999999999999995E-3</v>
      </c>
      <c r="E213">
        <v>5.9957334838115024</v>
      </c>
      <c r="F213">
        <v>606.80236069123202</v>
      </c>
      <c r="G213">
        <v>0.42399999999999999</v>
      </c>
      <c r="H213">
        <v>0</v>
      </c>
      <c r="I213">
        <v>42.200449999999996</v>
      </c>
      <c r="J213">
        <v>0</v>
      </c>
    </row>
    <row r="214" spans="1:10" x14ac:dyDescent="0.3">
      <c r="A214" t="s">
        <v>9</v>
      </c>
      <c r="B214" t="s">
        <v>330</v>
      </c>
      <c r="C214">
        <v>1</v>
      </c>
      <c r="D214">
        <v>4.0000000000000001E-3</v>
      </c>
      <c r="E214">
        <v>5.9957334838115024</v>
      </c>
      <c r="F214">
        <v>606.80236069123202</v>
      </c>
      <c r="G214">
        <v>0.42399999999999999</v>
      </c>
      <c r="H214">
        <v>0</v>
      </c>
      <c r="I214">
        <v>42.401989999999998</v>
      </c>
      <c r="J214">
        <v>0</v>
      </c>
    </row>
    <row r="215" spans="1:10" x14ac:dyDescent="0.3">
      <c r="A215" t="s">
        <v>9</v>
      </c>
      <c r="B215" t="s">
        <v>331</v>
      </c>
      <c r="C215">
        <v>1</v>
      </c>
      <c r="D215">
        <v>2.2000000000000001E-3</v>
      </c>
      <c r="E215">
        <v>5.9957334838115024</v>
      </c>
      <c r="F215">
        <v>606.80236069123202</v>
      </c>
      <c r="G215">
        <v>0.42399999999999999</v>
      </c>
      <c r="H215">
        <v>0</v>
      </c>
      <c r="I215">
        <v>42.602310000000003</v>
      </c>
      <c r="J215">
        <v>0</v>
      </c>
    </row>
    <row r="216" spans="1:10" x14ac:dyDescent="0.3">
      <c r="A216" t="s">
        <v>9</v>
      </c>
      <c r="B216" t="s">
        <v>332</v>
      </c>
      <c r="C216">
        <v>1</v>
      </c>
      <c r="D216">
        <v>2.0999999999999999E-3</v>
      </c>
      <c r="E216">
        <v>5.9957334838115024</v>
      </c>
      <c r="F216">
        <v>606.80236069123202</v>
      </c>
      <c r="G216">
        <v>0.42399999999999999</v>
      </c>
      <c r="H216">
        <v>0</v>
      </c>
      <c r="I216">
        <v>42.800409999999999</v>
      </c>
      <c r="J216">
        <v>0</v>
      </c>
    </row>
    <row r="217" spans="1:10" x14ac:dyDescent="0.3">
      <c r="A217" t="s">
        <v>9</v>
      </c>
      <c r="B217" t="s">
        <v>333</v>
      </c>
      <c r="C217">
        <v>1</v>
      </c>
      <c r="D217">
        <v>2E-3</v>
      </c>
      <c r="E217">
        <v>5.9957334838115024</v>
      </c>
      <c r="F217">
        <v>606.80236069123202</v>
      </c>
      <c r="G217">
        <v>0.42399999999999999</v>
      </c>
      <c r="H217">
        <v>0</v>
      </c>
      <c r="I217">
        <v>43.002270000000003</v>
      </c>
      <c r="J217">
        <v>0</v>
      </c>
    </row>
    <row r="218" spans="1:10" x14ac:dyDescent="0.3">
      <c r="A218" t="s">
        <v>9</v>
      </c>
      <c r="B218" t="s">
        <v>334</v>
      </c>
      <c r="C218">
        <v>1</v>
      </c>
      <c r="D218">
        <v>2.0999999999999999E-3</v>
      </c>
      <c r="E218">
        <v>5.9957334838115024</v>
      </c>
      <c r="F218">
        <v>606.80236069123202</v>
      </c>
      <c r="G218">
        <v>0.42399999999999999</v>
      </c>
      <c r="H218">
        <v>0</v>
      </c>
      <c r="I218">
        <v>43.200380000000003</v>
      </c>
      <c r="J218">
        <v>0</v>
      </c>
    </row>
    <row r="219" spans="1:10" x14ac:dyDescent="0.3">
      <c r="A219" t="s">
        <v>9</v>
      </c>
      <c r="B219" t="s">
        <v>335</v>
      </c>
      <c r="C219">
        <v>1</v>
      </c>
      <c r="D219">
        <v>2.0999999999999999E-3</v>
      </c>
      <c r="E219">
        <v>5.9957334838115024</v>
      </c>
      <c r="F219">
        <v>606.80236069123202</v>
      </c>
      <c r="G219">
        <v>0.42399999999999999</v>
      </c>
      <c r="H219">
        <v>0</v>
      </c>
      <c r="I219">
        <v>43.400730000000003</v>
      </c>
      <c r="J219">
        <v>0</v>
      </c>
    </row>
    <row r="220" spans="1:10" x14ac:dyDescent="0.3">
      <c r="A220" t="s">
        <v>9</v>
      </c>
      <c r="B220" t="s">
        <v>336</v>
      </c>
      <c r="C220">
        <v>1</v>
      </c>
      <c r="D220">
        <v>2.0999999999999999E-3</v>
      </c>
      <c r="E220">
        <v>5.9957334838115024</v>
      </c>
      <c r="F220">
        <v>606.80236069123202</v>
      </c>
      <c r="G220">
        <v>0.42399999999999999</v>
      </c>
      <c r="H220">
        <v>0</v>
      </c>
      <c r="I220">
        <v>43.602449999999997</v>
      </c>
      <c r="J220">
        <v>0</v>
      </c>
    </row>
    <row r="221" spans="1:10" x14ac:dyDescent="0.3">
      <c r="A221" t="s">
        <v>9</v>
      </c>
      <c r="B221" t="s">
        <v>337</v>
      </c>
      <c r="C221">
        <v>1</v>
      </c>
      <c r="D221">
        <v>2E-3</v>
      </c>
      <c r="E221">
        <v>5.9957334838115024</v>
      </c>
      <c r="F221">
        <v>606.80236069123202</v>
      </c>
      <c r="G221">
        <v>0.42399999999999999</v>
      </c>
      <c r="H221">
        <v>0</v>
      </c>
      <c r="I221">
        <v>43.802950000000003</v>
      </c>
      <c r="J221">
        <v>0</v>
      </c>
    </row>
    <row r="222" spans="1:10" x14ac:dyDescent="0.3">
      <c r="A222" t="s">
        <v>9</v>
      </c>
      <c r="B222" t="s">
        <v>338</v>
      </c>
      <c r="C222">
        <v>1</v>
      </c>
      <c r="D222">
        <v>2.0999999999999999E-3</v>
      </c>
      <c r="E222">
        <v>5.9957334838115024</v>
      </c>
      <c r="F222">
        <v>606.80236069123202</v>
      </c>
      <c r="G222">
        <v>0.42399999999999999</v>
      </c>
      <c r="H222">
        <v>0</v>
      </c>
      <c r="I222">
        <v>44.001959999999997</v>
      </c>
      <c r="J222">
        <v>0</v>
      </c>
    </row>
    <row r="223" spans="1:10" x14ac:dyDescent="0.3">
      <c r="A223" t="s">
        <v>9</v>
      </c>
      <c r="B223" t="s">
        <v>339</v>
      </c>
      <c r="C223">
        <v>1</v>
      </c>
      <c r="D223">
        <v>2.0999999999999999E-3</v>
      </c>
      <c r="E223">
        <v>5.9957334838115024</v>
      </c>
      <c r="F223">
        <v>606.80236069123202</v>
      </c>
      <c r="G223">
        <v>0.42399999999999999</v>
      </c>
      <c r="H223">
        <v>0</v>
      </c>
      <c r="I223">
        <v>44.201090000000001</v>
      </c>
      <c r="J223">
        <v>0</v>
      </c>
    </row>
    <row r="224" spans="1:10" x14ac:dyDescent="0.3">
      <c r="A224" t="s">
        <v>9</v>
      </c>
      <c r="B224" t="s">
        <v>340</v>
      </c>
      <c r="C224">
        <v>1</v>
      </c>
      <c r="D224">
        <v>2.0999999999999999E-3</v>
      </c>
      <c r="E224">
        <v>5.9957334838115024</v>
      </c>
      <c r="F224">
        <v>606.80236069123202</v>
      </c>
      <c r="G224">
        <v>0.42399999999999999</v>
      </c>
      <c r="H224">
        <v>0</v>
      </c>
      <c r="I224">
        <v>44.401420000000002</v>
      </c>
      <c r="J224">
        <v>0</v>
      </c>
    </row>
    <row r="225" spans="1:10" x14ac:dyDescent="0.3">
      <c r="A225" t="s">
        <v>9</v>
      </c>
      <c r="B225" t="s">
        <v>341</v>
      </c>
      <c r="C225">
        <v>1</v>
      </c>
      <c r="D225">
        <v>2.0999999999999999E-3</v>
      </c>
      <c r="E225">
        <v>5.9957334838115024</v>
      </c>
      <c r="F225">
        <v>606.80236069123202</v>
      </c>
      <c r="G225">
        <v>0.42399999999999999</v>
      </c>
      <c r="H225">
        <v>0</v>
      </c>
      <c r="I225">
        <v>44.601349999999996</v>
      </c>
      <c r="J225">
        <v>0</v>
      </c>
    </row>
    <row r="226" spans="1:10" x14ac:dyDescent="0.3">
      <c r="A226" t="s">
        <v>9</v>
      </c>
      <c r="B226" t="s">
        <v>342</v>
      </c>
      <c r="C226">
        <v>1</v>
      </c>
      <c r="D226">
        <v>2.0999999999999999E-3</v>
      </c>
      <c r="E226">
        <v>5.9957334838115024</v>
      </c>
      <c r="F226">
        <v>606.80236069123202</v>
      </c>
      <c r="G226">
        <v>0.42399999999999999</v>
      </c>
      <c r="H226">
        <v>0</v>
      </c>
      <c r="I226">
        <v>44.803699999999999</v>
      </c>
      <c r="J226">
        <v>0</v>
      </c>
    </row>
    <row r="227" spans="1:10" x14ac:dyDescent="0.3">
      <c r="A227" t="s">
        <v>9</v>
      </c>
      <c r="B227" t="s">
        <v>343</v>
      </c>
      <c r="C227">
        <v>1</v>
      </c>
      <c r="D227">
        <v>2.0999999999999999E-3</v>
      </c>
      <c r="E227">
        <v>5.9957334838115024</v>
      </c>
      <c r="F227">
        <v>606.80236069123202</v>
      </c>
      <c r="G227">
        <v>0.42399999999999999</v>
      </c>
      <c r="H227">
        <v>0</v>
      </c>
      <c r="I227">
        <v>45.001449999999998</v>
      </c>
      <c r="J227">
        <v>0</v>
      </c>
    </row>
    <row r="228" spans="1:10" x14ac:dyDescent="0.3">
      <c r="A228" t="s">
        <v>9</v>
      </c>
      <c r="B228" t="s">
        <v>344</v>
      </c>
      <c r="C228">
        <v>1</v>
      </c>
      <c r="D228">
        <v>2.0999999999999999E-3</v>
      </c>
      <c r="E228">
        <v>5.9957334838115024</v>
      </c>
      <c r="F228">
        <v>606.80236069123202</v>
      </c>
      <c r="G228">
        <v>0.42399999999999999</v>
      </c>
      <c r="H228">
        <v>0</v>
      </c>
      <c r="I228">
        <v>45.201439999999998</v>
      </c>
      <c r="J228">
        <v>0</v>
      </c>
    </row>
    <row r="229" spans="1:10" x14ac:dyDescent="0.3">
      <c r="A229" t="s">
        <v>9</v>
      </c>
      <c r="B229" t="s">
        <v>345</v>
      </c>
      <c r="C229">
        <v>1</v>
      </c>
      <c r="D229">
        <v>2.0999999999999999E-3</v>
      </c>
      <c r="E229">
        <v>5.9957334838115024</v>
      </c>
      <c r="F229">
        <v>606.80236069123202</v>
      </c>
      <c r="G229">
        <v>0.42399999999999999</v>
      </c>
      <c r="H229">
        <v>0</v>
      </c>
      <c r="I229">
        <v>45.401090000000003</v>
      </c>
      <c r="J229">
        <v>0</v>
      </c>
    </row>
    <row r="230" spans="1:10" x14ac:dyDescent="0.3">
      <c r="A230" t="s">
        <v>9</v>
      </c>
      <c r="B230" t="s">
        <v>346</v>
      </c>
      <c r="C230">
        <v>1</v>
      </c>
      <c r="D230">
        <v>2E-3</v>
      </c>
      <c r="E230">
        <v>5.9957334838115024</v>
      </c>
      <c r="F230">
        <v>606.80236069123202</v>
      </c>
      <c r="G230">
        <v>0.42399999999999999</v>
      </c>
      <c r="H230">
        <v>0</v>
      </c>
      <c r="I230">
        <v>45.60033</v>
      </c>
      <c r="J230">
        <v>0</v>
      </c>
    </row>
    <row r="231" spans="1:10" x14ac:dyDescent="0.3">
      <c r="A231" t="s">
        <v>9</v>
      </c>
      <c r="B231" t="s">
        <v>347</v>
      </c>
      <c r="C231">
        <v>1</v>
      </c>
      <c r="D231">
        <v>2.0999999999999999E-3</v>
      </c>
      <c r="E231">
        <v>6.0039180365954357</v>
      </c>
      <c r="F231">
        <v>709.77182167290687</v>
      </c>
      <c r="G231">
        <v>0.42399999999999999</v>
      </c>
      <c r="H231">
        <v>1E-4</v>
      </c>
      <c r="I231">
        <v>45.801639999999999</v>
      </c>
      <c r="J231">
        <v>1E-4</v>
      </c>
    </row>
    <row r="232" spans="1:10" x14ac:dyDescent="0.3">
      <c r="A232" t="s">
        <v>9</v>
      </c>
      <c r="B232" t="s">
        <v>348</v>
      </c>
      <c r="C232">
        <v>1</v>
      </c>
      <c r="D232">
        <v>2.0999999999999999E-3</v>
      </c>
      <c r="E232">
        <v>5.9957337254908847</v>
      </c>
      <c r="F232">
        <v>606.80238321575052</v>
      </c>
      <c r="G232">
        <v>0.42399999999999999</v>
      </c>
      <c r="H232">
        <v>0</v>
      </c>
      <c r="I232">
        <v>46.001109999999997</v>
      </c>
      <c r="J232">
        <v>0</v>
      </c>
    </row>
    <row r="233" spans="1:10" x14ac:dyDescent="0.3">
      <c r="A233" t="s">
        <v>9</v>
      </c>
      <c r="B233" t="s">
        <v>349</v>
      </c>
      <c r="C233">
        <v>1</v>
      </c>
      <c r="D233">
        <v>2.0999999999999999E-3</v>
      </c>
      <c r="E233">
        <v>6.0041779230726249</v>
      </c>
      <c r="F233">
        <v>709.79648489959209</v>
      </c>
      <c r="G233">
        <v>0.42399999999999999</v>
      </c>
      <c r="H233">
        <v>1E-4</v>
      </c>
      <c r="I233">
        <v>46.20149</v>
      </c>
      <c r="J233">
        <v>1E-4</v>
      </c>
    </row>
    <row r="234" spans="1:10" x14ac:dyDescent="0.3">
      <c r="A234" t="s">
        <v>9</v>
      </c>
      <c r="B234" t="s">
        <v>350</v>
      </c>
      <c r="C234">
        <v>1</v>
      </c>
      <c r="D234">
        <v>2.0999999999999999E-3</v>
      </c>
      <c r="E234">
        <v>6.0288421127508647</v>
      </c>
      <c r="F234">
        <v>712.13711650005712</v>
      </c>
      <c r="G234">
        <v>0.42399999999999999</v>
      </c>
      <c r="H234">
        <v>5.0000000000000001E-4</v>
      </c>
      <c r="I234">
        <v>46.400199999999998</v>
      </c>
      <c r="J234">
        <v>5.0000000000000001E-4</v>
      </c>
    </row>
    <row r="235" spans="1:10" x14ac:dyDescent="0.3">
      <c r="A235" t="s">
        <v>9</v>
      </c>
      <c r="B235" t="s">
        <v>351</v>
      </c>
      <c r="C235">
        <v>1</v>
      </c>
      <c r="D235">
        <v>2.0999999999999999E-3</v>
      </c>
      <c r="E235">
        <v>6.0699657712083086</v>
      </c>
      <c r="F235">
        <v>716.03975168766851</v>
      </c>
      <c r="G235">
        <v>0.42399999999999999</v>
      </c>
      <c r="H235">
        <v>1.1999999999999999E-3</v>
      </c>
      <c r="I235">
        <v>46.60239</v>
      </c>
      <c r="J235">
        <v>1.1999999999999999E-3</v>
      </c>
    </row>
    <row r="236" spans="1:10" x14ac:dyDescent="0.3">
      <c r="A236" t="s">
        <v>9</v>
      </c>
      <c r="B236" t="s">
        <v>352</v>
      </c>
      <c r="C236">
        <v>1</v>
      </c>
      <c r="D236">
        <v>2.0999999999999999E-3</v>
      </c>
      <c r="E236">
        <v>6.1254687970052766</v>
      </c>
      <c r="F236">
        <v>721.30698883580078</v>
      </c>
      <c r="G236">
        <v>0.42399999999999999</v>
      </c>
      <c r="H236">
        <v>2E-3</v>
      </c>
      <c r="I236">
        <v>46.802149999999997</v>
      </c>
      <c r="J236">
        <v>2E-3</v>
      </c>
    </row>
    <row r="237" spans="1:10" x14ac:dyDescent="0.3">
      <c r="A237" t="s">
        <v>9</v>
      </c>
      <c r="B237" t="s">
        <v>353</v>
      </c>
      <c r="C237">
        <v>1</v>
      </c>
      <c r="D237">
        <v>2.0999999999999999E-3</v>
      </c>
      <c r="E237">
        <v>6.1941174683455689</v>
      </c>
      <c r="F237">
        <v>727.82174774599457</v>
      </c>
      <c r="G237">
        <v>0.42399999999999999</v>
      </c>
      <c r="H237">
        <v>3.0999999999999999E-3</v>
      </c>
      <c r="I237">
        <v>47.001199999999997</v>
      </c>
      <c r="J237">
        <v>3.0999999999999999E-3</v>
      </c>
    </row>
    <row r="238" spans="1:10" x14ac:dyDescent="0.3">
      <c r="A238" t="s">
        <v>9</v>
      </c>
      <c r="B238" t="s">
        <v>354</v>
      </c>
      <c r="C238">
        <v>1</v>
      </c>
      <c r="D238">
        <v>2.0999999999999999E-3</v>
      </c>
      <c r="E238">
        <v>6.2753139591554374</v>
      </c>
      <c r="F238">
        <v>735.52729472385101</v>
      </c>
      <c r="G238">
        <v>0.42399999999999999</v>
      </c>
      <c r="H238">
        <v>4.3E-3</v>
      </c>
      <c r="I238">
        <v>47.202350000000003</v>
      </c>
      <c r="J238">
        <v>4.3E-3</v>
      </c>
    </row>
    <row r="239" spans="1:10" x14ac:dyDescent="0.3">
      <c r="A239" t="s">
        <v>9</v>
      </c>
      <c r="B239" t="s">
        <v>355</v>
      </c>
      <c r="C239">
        <v>1</v>
      </c>
      <c r="D239">
        <v>2.0999999999999999E-3</v>
      </c>
      <c r="E239">
        <v>6.3653926111198391</v>
      </c>
      <c r="F239">
        <v>744.0757587952728</v>
      </c>
      <c r="G239">
        <v>0.42399999999999999</v>
      </c>
      <c r="H239">
        <v>5.7000000000000002E-3</v>
      </c>
      <c r="I239">
        <v>47.401420000000002</v>
      </c>
      <c r="J239">
        <v>5.7000000000000002E-3</v>
      </c>
    </row>
    <row r="240" spans="1:10" x14ac:dyDescent="0.3">
      <c r="A240" t="s">
        <v>9</v>
      </c>
      <c r="B240" t="s">
        <v>356</v>
      </c>
      <c r="C240">
        <v>1</v>
      </c>
      <c r="D240">
        <v>2.7000000000000001E-3</v>
      </c>
      <c r="E240">
        <v>6.4638320294014049</v>
      </c>
      <c r="F240">
        <v>753.41765959019335</v>
      </c>
      <c r="G240">
        <v>0.42399999999999999</v>
      </c>
      <c r="H240">
        <v>7.3000000000000001E-3</v>
      </c>
      <c r="I240">
        <v>47.602260000000001</v>
      </c>
      <c r="J240">
        <v>7.3000000000000001E-3</v>
      </c>
    </row>
    <row r="241" spans="1:10" x14ac:dyDescent="0.3">
      <c r="A241" t="s">
        <v>9</v>
      </c>
      <c r="B241" t="s">
        <v>357</v>
      </c>
      <c r="C241">
        <v>1</v>
      </c>
      <c r="D241">
        <v>4.1000000000000003E-3</v>
      </c>
      <c r="E241">
        <v>6.5659028031725608</v>
      </c>
      <c r="F241">
        <v>763.10417602107611</v>
      </c>
      <c r="G241">
        <v>0.42399999999999999</v>
      </c>
      <c r="H241">
        <v>8.8999999999999999E-3</v>
      </c>
      <c r="I241">
        <v>47.800190000000001</v>
      </c>
      <c r="J241">
        <v>8.8999999999999999E-3</v>
      </c>
    </row>
    <row r="242" spans="1:10" x14ac:dyDescent="0.3">
      <c r="A242" t="s">
        <v>9</v>
      </c>
      <c r="B242" t="s">
        <v>358</v>
      </c>
      <c r="C242">
        <v>1</v>
      </c>
      <c r="D242">
        <v>6.0000000000000001E-3</v>
      </c>
      <c r="E242">
        <v>6.6737430202449399</v>
      </c>
      <c r="F242">
        <v>773.33821262124479</v>
      </c>
      <c r="G242">
        <v>0.42399999999999999</v>
      </c>
      <c r="H242">
        <v>1.0500000000000001E-2</v>
      </c>
      <c r="I242">
        <v>48.004190000000001</v>
      </c>
      <c r="J242">
        <v>1.0500000000000001E-2</v>
      </c>
    </row>
    <row r="243" spans="1:10" x14ac:dyDescent="0.3">
      <c r="A243" t="s">
        <v>9</v>
      </c>
      <c r="B243" t="s">
        <v>359</v>
      </c>
      <c r="C243">
        <v>1</v>
      </c>
      <c r="D243">
        <v>7.7999999999999996E-3</v>
      </c>
      <c r="E243">
        <v>6.7783325783148669</v>
      </c>
      <c r="F243">
        <v>783.26376168208094</v>
      </c>
      <c r="G243">
        <v>0.42399999999999999</v>
      </c>
      <c r="H243">
        <v>1.2200000000000001E-2</v>
      </c>
      <c r="I243">
        <v>48.202100000000002</v>
      </c>
      <c r="J243">
        <v>1.2200000000000001E-2</v>
      </c>
    </row>
    <row r="244" spans="1:10" x14ac:dyDescent="0.3">
      <c r="A244" t="s">
        <v>9</v>
      </c>
      <c r="B244" t="s">
        <v>360</v>
      </c>
      <c r="C244">
        <v>1</v>
      </c>
      <c r="D244">
        <v>9.2999999999999992E-3</v>
      </c>
      <c r="E244">
        <v>6.8810164238599656</v>
      </c>
      <c r="F244">
        <v>793.00845862431083</v>
      </c>
      <c r="G244">
        <v>0.42399999999999999</v>
      </c>
      <c r="H244">
        <v>1.38E-2</v>
      </c>
      <c r="I244">
        <v>48.401330000000002</v>
      </c>
      <c r="J244">
        <v>1.38E-2</v>
      </c>
    </row>
    <row r="245" spans="1:10" x14ac:dyDescent="0.3">
      <c r="A245" t="s">
        <v>9</v>
      </c>
      <c r="B245" t="s">
        <v>361</v>
      </c>
      <c r="C245">
        <v>1</v>
      </c>
      <c r="D245">
        <v>1.0800000000000001E-2</v>
      </c>
      <c r="E245">
        <v>6.9795725771704449</v>
      </c>
      <c r="F245">
        <v>802.36143757347531</v>
      </c>
      <c r="G245">
        <v>0.42399999999999999</v>
      </c>
      <c r="H245">
        <v>1.5299999999999999E-2</v>
      </c>
      <c r="I245">
        <v>48.602649999999997</v>
      </c>
      <c r="J245">
        <v>1.5299999999999999E-2</v>
      </c>
    </row>
    <row r="246" spans="1:10" x14ac:dyDescent="0.3">
      <c r="A246" t="s">
        <v>9</v>
      </c>
      <c r="B246" t="s">
        <v>362</v>
      </c>
      <c r="C246">
        <v>1</v>
      </c>
      <c r="D246">
        <v>1.24E-2</v>
      </c>
      <c r="E246">
        <v>7.0696264143249508</v>
      </c>
      <c r="F246">
        <v>810.90754671943785</v>
      </c>
      <c r="G246">
        <v>0.42399999999999999</v>
      </c>
      <c r="H246">
        <v>1.67E-2</v>
      </c>
      <c r="I246">
        <v>48.802079999999997</v>
      </c>
      <c r="J246">
        <v>1.67E-2</v>
      </c>
    </row>
    <row r="247" spans="1:10" x14ac:dyDescent="0.3">
      <c r="A247" t="s">
        <v>9</v>
      </c>
      <c r="B247" t="s">
        <v>363</v>
      </c>
      <c r="C247">
        <v>1</v>
      </c>
      <c r="D247">
        <v>1.32E-2</v>
      </c>
      <c r="E247">
        <v>7.1497591931693663</v>
      </c>
      <c r="F247">
        <v>818.51214743177286</v>
      </c>
      <c r="G247">
        <v>0.42399999999999999</v>
      </c>
      <c r="H247">
        <v>1.7899999999999999E-2</v>
      </c>
      <c r="I247">
        <v>49.00103</v>
      </c>
      <c r="J247">
        <v>1.7899999999999999E-2</v>
      </c>
    </row>
    <row r="248" spans="1:10" x14ac:dyDescent="0.3">
      <c r="A248" t="s">
        <v>9</v>
      </c>
      <c r="B248" t="s">
        <v>364</v>
      </c>
      <c r="C248">
        <v>1</v>
      </c>
      <c r="D248">
        <v>1.49E-2</v>
      </c>
      <c r="E248">
        <v>7.2188481651970422</v>
      </c>
      <c r="F248">
        <v>825.0686908771994</v>
      </c>
      <c r="G248">
        <v>0.42399999999999999</v>
      </c>
      <c r="H248">
        <v>1.9E-2</v>
      </c>
      <c r="I248">
        <v>49.201949999999997</v>
      </c>
      <c r="J248">
        <v>1.9E-2</v>
      </c>
    </row>
    <row r="249" spans="1:10" x14ac:dyDescent="0.3">
      <c r="A249" t="s">
        <v>9</v>
      </c>
      <c r="B249" t="s">
        <v>365</v>
      </c>
      <c r="C249">
        <v>1</v>
      </c>
      <c r="D249">
        <v>1.61E-2</v>
      </c>
      <c r="E249">
        <v>7.2737095740792714</v>
      </c>
      <c r="F249">
        <v>830.2750385801229</v>
      </c>
      <c r="G249">
        <v>0.42399999999999999</v>
      </c>
      <c r="H249">
        <v>1.9900000000000001E-2</v>
      </c>
      <c r="I249">
        <v>49.400260000000003</v>
      </c>
      <c r="J249">
        <v>1.9900000000000001E-2</v>
      </c>
    </row>
    <row r="250" spans="1:10" x14ac:dyDescent="0.3">
      <c r="A250" t="s">
        <v>9</v>
      </c>
      <c r="B250" t="s">
        <v>366</v>
      </c>
      <c r="C250">
        <v>1</v>
      </c>
      <c r="D250">
        <v>1.72E-2</v>
      </c>
      <c r="E250">
        <v>7.3143835614202972</v>
      </c>
      <c r="F250">
        <v>834.13499997878625</v>
      </c>
      <c r="G250">
        <v>0.42399999999999999</v>
      </c>
      <c r="H250">
        <v>2.0500000000000001E-2</v>
      </c>
      <c r="I250">
        <v>49.600949999999997</v>
      </c>
      <c r="J250">
        <v>2.0500000000000001E-2</v>
      </c>
    </row>
    <row r="251" spans="1:10" x14ac:dyDescent="0.3">
      <c r="A251" t="s">
        <v>9</v>
      </c>
      <c r="B251" t="s">
        <v>367</v>
      </c>
      <c r="C251">
        <v>1</v>
      </c>
      <c r="D251">
        <v>1.77E-2</v>
      </c>
      <c r="E251">
        <v>7.3391910728445273</v>
      </c>
      <c r="F251">
        <v>836.48923281294572</v>
      </c>
      <c r="G251">
        <v>0.42399999999999999</v>
      </c>
      <c r="H251">
        <v>2.0899999999999998E-2</v>
      </c>
      <c r="I251">
        <v>49.802520000000001</v>
      </c>
      <c r="J251">
        <v>2.0899999999999998E-2</v>
      </c>
    </row>
    <row r="252" spans="1:10" x14ac:dyDescent="0.3">
      <c r="A252" t="s">
        <v>9</v>
      </c>
      <c r="B252" t="s">
        <v>368</v>
      </c>
      <c r="C252">
        <v>1</v>
      </c>
      <c r="D252">
        <v>1.7899999999999999E-2</v>
      </c>
      <c r="E252">
        <v>7.3473025151975344</v>
      </c>
      <c r="F252">
        <v>837.25900869224608</v>
      </c>
      <c r="G252">
        <v>0.42399999999999999</v>
      </c>
      <c r="H252">
        <v>2.1000000000000001E-2</v>
      </c>
      <c r="I252">
        <v>50.000729999999997</v>
      </c>
      <c r="J252">
        <v>2.1000000000000001E-2</v>
      </c>
    </row>
    <row r="253" spans="1:10" x14ac:dyDescent="0.3">
      <c r="A253" t="s">
        <v>9</v>
      </c>
      <c r="B253" t="s">
        <v>369</v>
      </c>
      <c r="C253">
        <v>1</v>
      </c>
      <c r="D253">
        <v>1.7899999999999999E-2</v>
      </c>
      <c r="E253">
        <v>7.3389554943387987</v>
      </c>
      <c r="F253">
        <v>731.99065207237607</v>
      </c>
      <c r="G253">
        <v>0.42399999999999999</v>
      </c>
      <c r="H253">
        <v>2.0899999999999998E-2</v>
      </c>
      <c r="I253">
        <v>50.200330000000001</v>
      </c>
      <c r="J253">
        <v>2.0899999999999998E-2</v>
      </c>
    </row>
    <row r="254" spans="1:10" x14ac:dyDescent="0.3">
      <c r="A254" t="s">
        <v>9</v>
      </c>
      <c r="B254" t="s">
        <v>370</v>
      </c>
      <c r="C254">
        <v>1</v>
      </c>
      <c r="D254">
        <v>1.7899999999999999E-2</v>
      </c>
      <c r="E254">
        <v>7.3141179780790706</v>
      </c>
      <c r="F254">
        <v>729.67579555696943</v>
      </c>
      <c r="G254">
        <v>0.42399999999999999</v>
      </c>
      <c r="H254">
        <v>2.0500000000000001E-2</v>
      </c>
      <c r="I254">
        <v>50.400669999999998</v>
      </c>
      <c r="J254">
        <v>2.0500000000000001E-2</v>
      </c>
    </row>
    <row r="255" spans="1:10" x14ac:dyDescent="0.3">
      <c r="A255" t="s">
        <v>9</v>
      </c>
      <c r="B255" t="s">
        <v>371</v>
      </c>
      <c r="C255">
        <v>1</v>
      </c>
      <c r="D255">
        <v>1.7899999999999999E-2</v>
      </c>
      <c r="E255">
        <v>7.2727713147638573</v>
      </c>
      <c r="F255">
        <v>725.82228653599157</v>
      </c>
      <c r="G255">
        <v>0.42399999999999999</v>
      </c>
      <c r="H255">
        <v>1.9800000000000002E-2</v>
      </c>
      <c r="I255">
        <v>50.603619999999999</v>
      </c>
      <c r="J255">
        <v>1.9800000000000002E-2</v>
      </c>
    </row>
    <row r="256" spans="1:10" x14ac:dyDescent="0.3">
      <c r="A256" t="s">
        <v>9</v>
      </c>
      <c r="B256" t="s">
        <v>372</v>
      </c>
      <c r="C256">
        <v>1</v>
      </c>
      <c r="D256">
        <v>1.78E-2</v>
      </c>
      <c r="E256">
        <v>7.2179204481211263</v>
      </c>
      <c r="F256">
        <v>720.71018576488905</v>
      </c>
      <c r="G256">
        <v>0.42399999999999999</v>
      </c>
      <c r="H256">
        <v>1.9E-2</v>
      </c>
      <c r="I256">
        <v>50.801020000000001</v>
      </c>
      <c r="J256">
        <v>1.9E-2</v>
      </c>
    </row>
    <row r="257" spans="1:10" x14ac:dyDescent="0.3">
      <c r="A257" t="s">
        <v>9</v>
      </c>
      <c r="B257" t="s">
        <v>373</v>
      </c>
      <c r="C257">
        <v>1</v>
      </c>
      <c r="D257">
        <v>1.7899999999999999E-2</v>
      </c>
      <c r="E257">
        <v>7.148822961207701</v>
      </c>
      <c r="F257">
        <v>714.27029998455771</v>
      </c>
      <c r="G257">
        <v>0.42399999999999999</v>
      </c>
      <c r="H257">
        <v>1.7899999999999999E-2</v>
      </c>
      <c r="I257">
        <v>51.001449999999998</v>
      </c>
      <c r="J257">
        <v>1.7899999999999999E-2</v>
      </c>
    </row>
    <row r="258" spans="1:10" x14ac:dyDescent="0.3">
      <c r="A258" t="s">
        <v>9</v>
      </c>
      <c r="B258" t="s">
        <v>374</v>
      </c>
      <c r="C258">
        <v>1</v>
      </c>
      <c r="D258">
        <v>1.7500000000000002E-2</v>
      </c>
      <c r="E258">
        <v>7.0679972328515994</v>
      </c>
      <c r="F258">
        <v>706.73734210176906</v>
      </c>
      <c r="G258">
        <v>0.42399999999999999</v>
      </c>
      <c r="H258">
        <v>1.67E-2</v>
      </c>
      <c r="I258">
        <v>51.201709999999999</v>
      </c>
      <c r="J258">
        <v>1.67E-2</v>
      </c>
    </row>
    <row r="259" spans="1:10" x14ac:dyDescent="0.3">
      <c r="A259" t="s">
        <v>9</v>
      </c>
      <c r="B259" t="s">
        <v>375</v>
      </c>
      <c r="C259">
        <v>1</v>
      </c>
      <c r="D259">
        <v>1.7500000000000002E-2</v>
      </c>
      <c r="E259">
        <v>6.9773510029313979</v>
      </c>
      <c r="F259">
        <v>698.28911347320627</v>
      </c>
      <c r="G259">
        <v>0.42399999999999999</v>
      </c>
      <c r="H259">
        <v>1.5299999999999999E-2</v>
      </c>
      <c r="I259">
        <v>51.40204</v>
      </c>
      <c r="J259">
        <v>1.5299999999999999E-2</v>
      </c>
    </row>
    <row r="260" spans="1:10" x14ac:dyDescent="0.3">
      <c r="A260" t="s">
        <v>9</v>
      </c>
      <c r="B260" t="s">
        <v>376</v>
      </c>
      <c r="C260">
        <v>1</v>
      </c>
      <c r="D260">
        <v>1.7000000000000001E-2</v>
      </c>
      <c r="E260">
        <v>6.8792988497631233</v>
      </c>
      <c r="F260">
        <v>689.15065279792316</v>
      </c>
      <c r="G260">
        <v>0.42399999999999999</v>
      </c>
      <c r="H260">
        <v>1.37E-2</v>
      </c>
      <c r="I260">
        <v>51.602069999999998</v>
      </c>
      <c r="J260">
        <v>1.37E-2</v>
      </c>
    </row>
    <row r="261" spans="1:10" x14ac:dyDescent="0.3">
      <c r="A261" t="s">
        <v>9</v>
      </c>
      <c r="B261" t="s">
        <v>377</v>
      </c>
      <c r="C261">
        <v>1</v>
      </c>
      <c r="D261">
        <v>1.6400000000000001E-2</v>
      </c>
      <c r="E261">
        <v>6.7758413660270929</v>
      </c>
      <c r="F261">
        <v>679.5084153137251</v>
      </c>
      <c r="G261">
        <v>0.42399999999999999</v>
      </c>
      <c r="H261">
        <v>1.21E-2</v>
      </c>
      <c r="I261">
        <v>51.80265</v>
      </c>
      <c r="J261">
        <v>1.21E-2</v>
      </c>
    </row>
    <row r="262" spans="1:10" x14ac:dyDescent="0.3">
      <c r="A262" t="s">
        <v>9</v>
      </c>
      <c r="B262" t="s">
        <v>378</v>
      </c>
      <c r="C262">
        <v>1</v>
      </c>
      <c r="D262">
        <v>1.5699999999999999E-2</v>
      </c>
      <c r="E262">
        <v>6.6702308326087607</v>
      </c>
      <c r="F262">
        <v>669.66551359913649</v>
      </c>
      <c r="G262">
        <v>0.42399999999999999</v>
      </c>
      <c r="H262">
        <v>1.0500000000000001E-2</v>
      </c>
      <c r="I262">
        <v>52.002420000000001</v>
      </c>
      <c r="J262">
        <v>1.0500000000000001E-2</v>
      </c>
    </row>
    <row r="263" spans="1:10" x14ac:dyDescent="0.3">
      <c r="A263" t="s">
        <v>9</v>
      </c>
      <c r="B263" t="s">
        <v>379</v>
      </c>
      <c r="C263">
        <v>1</v>
      </c>
      <c r="D263">
        <v>1.4200000000000001E-2</v>
      </c>
      <c r="E263">
        <v>6.5646543587334252</v>
      </c>
      <c r="F263">
        <v>659.82578623395523</v>
      </c>
      <c r="G263">
        <v>0.42399999999999999</v>
      </c>
      <c r="H263">
        <v>8.8000000000000005E-3</v>
      </c>
      <c r="I263">
        <v>52.202190000000002</v>
      </c>
      <c r="J263">
        <v>8.8000000000000005E-3</v>
      </c>
    </row>
    <row r="264" spans="1:10" x14ac:dyDescent="0.3">
      <c r="A264" t="s">
        <v>9</v>
      </c>
      <c r="B264" t="s">
        <v>380</v>
      </c>
      <c r="C264">
        <v>1</v>
      </c>
      <c r="D264">
        <v>1.24E-2</v>
      </c>
      <c r="E264">
        <v>6.4624919485727776</v>
      </c>
      <c r="F264">
        <v>650.30424960698292</v>
      </c>
      <c r="G264">
        <v>0.42399999999999999</v>
      </c>
      <c r="H264">
        <v>7.3000000000000001E-3</v>
      </c>
      <c r="I264">
        <v>52.400390000000002</v>
      </c>
      <c r="J264">
        <v>7.3000000000000001E-3</v>
      </c>
    </row>
    <row r="265" spans="1:10" x14ac:dyDescent="0.3">
      <c r="A265" t="s">
        <v>9</v>
      </c>
      <c r="B265" t="s">
        <v>381</v>
      </c>
      <c r="C265">
        <v>1</v>
      </c>
      <c r="D265">
        <v>1.0500000000000001E-2</v>
      </c>
      <c r="E265">
        <v>6.3637587667328646</v>
      </c>
      <c r="F265">
        <v>641.10231705950298</v>
      </c>
      <c r="G265">
        <v>0.42399999999999999</v>
      </c>
      <c r="H265">
        <v>5.7000000000000002E-3</v>
      </c>
      <c r="I265">
        <v>52.602029999999999</v>
      </c>
      <c r="J265">
        <v>5.7000000000000002E-3</v>
      </c>
    </row>
    <row r="266" spans="1:10" x14ac:dyDescent="0.3">
      <c r="A266" t="s">
        <v>9</v>
      </c>
      <c r="B266" t="s">
        <v>382</v>
      </c>
      <c r="C266">
        <v>1</v>
      </c>
      <c r="D266">
        <v>8.3999999999999995E-3</v>
      </c>
      <c r="E266">
        <v>6.2735296851202236</v>
      </c>
      <c r="F266">
        <v>632.69296665320496</v>
      </c>
      <c r="G266">
        <v>0.42399999999999999</v>
      </c>
      <c r="H266">
        <v>4.3E-3</v>
      </c>
      <c r="I266">
        <v>52.8018</v>
      </c>
      <c r="J266">
        <v>4.3E-3</v>
      </c>
    </row>
    <row r="267" spans="1:10" x14ac:dyDescent="0.3">
      <c r="A267" t="s">
        <v>9</v>
      </c>
      <c r="B267" t="s">
        <v>383</v>
      </c>
      <c r="C267">
        <v>1</v>
      </c>
      <c r="D267">
        <v>6.7999999999999996E-3</v>
      </c>
      <c r="E267">
        <v>6.1926265929450297</v>
      </c>
      <c r="F267">
        <v>625.15279846247677</v>
      </c>
      <c r="G267">
        <v>0.42399999999999999</v>
      </c>
      <c r="H267">
        <v>3.0999999999999999E-3</v>
      </c>
      <c r="I267">
        <v>53.002769999999998</v>
      </c>
      <c r="J267">
        <v>3.0999999999999999E-3</v>
      </c>
    </row>
    <row r="268" spans="1:10" x14ac:dyDescent="0.3">
      <c r="A268" t="s">
        <v>9</v>
      </c>
      <c r="B268" t="s">
        <v>384</v>
      </c>
      <c r="C268">
        <v>1</v>
      </c>
      <c r="D268">
        <v>5.0000000000000001E-3</v>
      </c>
      <c r="E268">
        <v>6.1241241749042512</v>
      </c>
      <c r="F268">
        <v>618.76837310107624</v>
      </c>
      <c r="G268">
        <v>0.42399999999999999</v>
      </c>
      <c r="H268">
        <v>2E-3</v>
      </c>
      <c r="I268">
        <v>53.202159999999999</v>
      </c>
      <c r="J268">
        <v>2E-3</v>
      </c>
    </row>
    <row r="269" spans="1:10" x14ac:dyDescent="0.3">
      <c r="A269" t="s">
        <v>9</v>
      </c>
      <c r="B269" t="s">
        <v>385</v>
      </c>
      <c r="C269">
        <v>1</v>
      </c>
      <c r="D269">
        <v>4.3E-3</v>
      </c>
      <c r="E269">
        <v>6.0691744139456061</v>
      </c>
      <c r="F269">
        <v>613.64705537973055</v>
      </c>
      <c r="G269">
        <v>0.42399999999999999</v>
      </c>
      <c r="H269">
        <v>1.1000000000000001E-3</v>
      </c>
      <c r="I269">
        <v>53.400889999999997</v>
      </c>
      <c r="J269">
        <v>1.1000000000000001E-3</v>
      </c>
    </row>
    <row r="270" spans="1:10" x14ac:dyDescent="0.3">
      <c r="A270" t="s">
        <v>9</v>
      </c>
      <c r="B270" t="s">
        <v>386</v>
      </c>
      <c r="C270">
        <v>1</v>
      </c>
      <c r="D270">
        <v>3.2000000000000002E-3</v>
      </c>
      <c r="E270">
        <v>6.0285920143375797</v>
      </c>
      <c r="F270">
        <v>609.86477573626246</v>
      </c>
      <c r="G270">
        <v>0.42399999999999999</v>
      </c>
      <c r="H270">
        <v>5.0000000000000001E-4</v>
      </c>
      <c r="I270">
        <v>53.601320000000001</v>
      </c>
      <c r="J270">
        <v>5.0000000000000001E-4</v>
      </c>
    </row>
    <row r="271" spans="1:10" x14ac:dyDescent="0.3">
      <c r="A271" t="s">
        <v>9</v>
      </c>
      <c r="B271" t="s">
        <v>387</v>
      </c>
      <c r="C271">
        <v>1</v>
      </c>
      <c r="D271">
        <v>2.8E-3</v>
      </c>
      <c r="E271">
        <v>6.0039193665394954</v>
      </c>
      <c r="F271">
        <v>607.56528496148098</v>
      </c>
      <c r="G271">
        <v>0.42399999999999999</v>
      </c>
      <c r="H271">
        <v>1E-4</v>
      </c>
      <c r="I271">
        <v>53.80162</v>
      </c>
      <c r="J271">
        <v>1E-4</v>
      </c>
    </row>
    <row r="272" spans="1:10" x14ac:dyDescent="0.3">
      <c r="A272" t="s">
        <v>9</v>
      </c>
      <c r="B272" t="s">
        <v>388</v>
      </c>
      <c r="C272">
        <v>1</v>
      </c>
      <c r="D272">
        <v>2.0999999999999999E-3</v>
      </c>
      <c r="E272">
        <v>5.9957358200459776</v>
      </c>
      <c r="F272">
        <v>606.80257842828507</v>
      </c>
      <c r="G272">
        <v>0.42399999999999999</v>
      </c>
      <c r="H272">
        <v>0</v>
      </c>
      <c r="I272">
        <v>54.003360000000001</v>
      </c>
      <c r="J272">
        <v>0</v>
      </c>
    </row>
    <row r="273" spans="1:10" x14ac:dyDescent="0.3">
      <c r="A273" t="s">
        <v>9</v>
      </c>
      <c r="B273" t="s">
        <v>389</v>
      </c>
      <c r="C273">
        <v>1</v>
      </c>
      <c r="D273">
        <v>2.0999999999999999E-3</v>
      </c>
      <c r="E273">
        <v>6.0042148209108719</v>
      </c>
      <c r="F273">
        <v>709.79998650444179</v>
      </c>
      <c r="G273">
        <v>0.42399999999999999</v>
      </c>
      <c r="H273">
        <v>1E-4</v>
      </c>
      <c r="I273">
        <v>54.201929999999997</v>
      </c>
      <c r="J273">
        <v>1E-4</v>
      </c>
    </row>
    <row r="274" spans="1:10" x14ac:dyDescent="0.3">
      <c r="A274" t="s">
        <v>9</v>
      </c>
      <c r="B274" t="s">
        <v>390</v>
      </c>
      <c r="C274">
        <v>1</v>
      </c>
      <c r="D274">
        <v>2.0999999999999999E-3</v>
      </c>
      <c r="E274">
        <v>6.0289248085103191</v>
      </c>
      <c r="F274">
        <v>712.14496432762928</v>
      </c>
      <c r="G274">
        <v>0.42399999999999999</v>
      </c>
      <c r="H274">
        <v>5.0000000000000001E-4</v>
      </c>
      <c r="I274">
        <v>54.400700000000001</v>
      </c>
      <c r="J274">
        <v>5.0000000000000001E-4</v>
      </c>
    </row>
    <row r="275" spans="1:10" x14ac:dyDescent="0.3">
      <c r="A275" t="s">
        <v>9</v>
      </c>
      <c r="B275" t="s">
        <v>391</v>
      </c>
      <c r="C275">
        <v>1</v>
      </c>
      <c r="D275">
        <v>2.0999999999999999E-3</v>
      </c>
      <c r="E275">
        <v>6.0699970735502058</v>
      </c>
      <c r="F275">
        <v>716.04272227991453</v>
      </c>
      <c r="G275">
        <v>0.42399999999999999</v>
      </c>
      <c r="H275">
        <v>1.1999999999999999E-3</v>
      </c>
      <c r="I275">
        <v>54.602519999999998</v>
      </c>
      <c r="J275">
        <v>1.1999999999999999E-3</v>
      </c>
    </row>
    <row r="276" spans="1:10" x14ac:dyDescent="0.3">
      <c r="A276" t="s">
        <v>9</v>
      </c>
      <c r="B276" t="s">
        <v>392</v>
      </c>
      <c r="C276">
        <v>1</v>
      </c>
      <c r="D276">
        <v>2.2000000000000001E-3</v>
      </c>
      <c r="E276">
        <v>6.1249402253356262</v>
      </c>
      <c r="F276">
        <v>721.25682738435091</v>
      </c>
      <c r="G276">
        <v>0.42399999999999999</v>
      </c>
      <c r="H276">
        <v>2E-3</v>
      </c>
      <c r="I276">
        <v>54.800460000000001</v>
      </c>
      <c r="J276">
        <v>2E-3</v>
      </c>
    </row>
    <row r="277" spans="1:10" x14ac:dyDescent="0.3">
      <c r="A277" t="s">
        <v>9</v>
      </c>
      <c r="B277" t="s">
        <v>393</v>
      </c>
      <c r="C277">
        <v>1</v>
      </c>
      <c r="D277">
        <v>2.2000000000000001E-3</v>
      </c>
      <c r="E277">
        <v>6.1944308161411401</v>
      </c>
      <c r="F277">
        <v>727.85148445179425</v>
      </c>
      <c r="G277">
        <v>0.42399999999999999</v>
      </c>
      <c r="H277">
        <v>3.0999999999999999E-3</v>
      </c>
      <c r="I277">
        <v>55.002029999999998</v>
      </c>
      <c r="J277">
        <v>3.0999999999999999E-3</v>
      </c>
    </row>
    <row r="278" spans="1:10" x14ac:dyDescent="0.3">
      <c r="A278" t="s">
        <v>9</v>
      </c>
      <c r="B278" t="s">
        <v>394</v>
      </c>
      <c r="C278">
        <v>1</v>
      </c>
      <c r="D278">
        <v>2.2000000000000001E-3</v>
      </c>
      <c r="E278">
        <v>6.2744930025279846</v>
      </c>
      <c r="F278">
        <v>735.44938593990582</v>
      </c>
      <c r="G278">
        <v>0.42399999999999999</v>
      </c>
      <c r="H278">
        <v>4.3E-3</v>
      </c>
      <c r="I278">
        <v>55.20044</v>
      </c>
      <c r="J278">
        <v>4.3E-3</v>
      </c>
    </row>
    <row r="279" spans="1:10" x14ac:dyDescent="0.3">
      <c r="A279" t="s">
        <v>9</v>
      </c>
      <c r="B279" t="s">
        <v>395</v>
      </c>
      <c r="C279">
        <v>1</v>
      </c>
      <c r="D279">
        <v>2.2000000000000001E-3</v>
      </c>
      <c r="E279">
        <v>6.3659849227913874</v>
      </c>
      <c r="F279">
        <v>744.13196917290259</v>
      </c>
      <c r="G279">
        <v>0.42399999999999999</v>
      </c>
      <c r="H279">
        <v>5.7999999999999996E-3</v>
      </c>
      <c r="I279">
        <v>55.402679999999997</v>
      </c>
      <c r="J279">
        <v>5.7999999999999996E-3</v>
      </c>
    </row>
    <row r="280" spans="1:10" x14ac:dyDescent="0.3">
      <c r="A280" t="s">
        <v>9</v>
      </c>
      <c r="B280" t="s">
        <v>396</v>
      </c>
      <c r="C280">
        <v>1</v>
      </c>
      <c r="D280">
        <v>2.3E-3</v>
      </c>
      <c r="E280">
        <v>6.4639317752058947</v>
      </c>
      <c r="F280">
        <v>753.42712546703945</v>
      </c>
      <c r="G280">
        <v>0.42399999999999999</v>
      </c>
      <c r="H280">
        <v>7.3000000000000001E-3</v>
      </c>
      <c r="I280">
        <v>55.602460000000001</v>
      </c>
      <c r="J280">
        <v>7.3000000000000001E-3</v>
      </c>
    </row>
    <row r="281" spans="1:10" x14ac:dyDescent="0.3">
      <c r="A281" t="s">
        <v>9</v>
      </c>
      <c r="B281" t="s">
        <v>397</v>
      </c>
      <c r="C281">
        <v>1</v>
      </c>
      <c r="D281">
        <v>3.5000000000000001E-3</v>
      </c>
      <c r="E281">
        <v>6.5666914437812389</v>
      </c>
      <c r="F281">
        <v>763.17901801483958</v>
      </c>
      <c r="G281">
        <v>0.42399999999999999</v>
      </c>
      <c r="H281">
        <v>8.8999999999999999E-3</v>
      </c>
      <c r="I281">
        <v>55.801699999999997</v>
      </c>
      <c r="J281">
        <v>8.8999999999999999E-3</v>
      </c>
    </row>
    <row r="282" spans="1:10" x14ac:dyDescent="0.3">
      <c r="A282" t="s">
        <v>9</v>
      </c>
      <c r="B282" t="s">
        <v>398</v>
      </c>
      <c r="C282">
        <v>1</v>
      </c>
      <c r="D282">
        <v>5.4999999999999997E-3</v>
      </c>
      <c r="E282">
        <v>6.6718677180263608</v>
      </c>
      <c r="F282">
        <v>773.16024644070171</v>
      </c>
      <c r="G282">
        <v>0.42399999999999999</v>
      </c>
      <c r="H282">
        <v>1.0500000000000001E-2</v>
      </c>
      <c r="I282">
        <v>56.000660000000003</v>
      </c>
      <c r="J282">
        <v>1.0500000000000001E-2</v>
      </c>
    </row>
    <row r="283" spans="1:10" x14ac:dyDescent="0.3">
      <c r="A283" t="s">
        <v>9</v>
      </c>
      <c r="B283" t="s">
        <v>399</v>
      </c>
      <c r="C283">
        <v>1</v>
      </c>
      <c r="D283">
        <v>7.6E-3</v>
      </c>
      <c r="E283">
        <v>6.7784132669941091</v>
      </c>
      <c r="F283">
        <v>783.271419037741</v>
      </c>
      <c r="G283">
        <v>0.42399999999999999</v>
      </c>
      <c r="H283">
        <v>1.2200000000000001E-2</v>
      </c>
      <c r="I283">
        <v>56.202249999999999</v>
      </c>
      <c r="J283">
        <v>1.2200000000000001E-2</v>
      </c>
    </row>
    <row r="284" spans="1:10" x14ac:dyDescent="0.3">
      <c r="A284" t="s">
        <v>9</v>
      </c>
      <c r="B284" t="s">
        <v>400</v>
      </c>
      <c r="C284">
        <v>1</v>
      </c>
      <c r="D284">
        <v>9.1000000000000004E-3</v>
      </c>
      <c r="E284">
        <v>6.881878049203638</v>
      </c>
      <c r="F284">
        <v>793.09022686942524</v>
      </c>
      <c r="G284">
        <v>0.42399999999999999</v>
      </c>
      <c r="H284">
        <v>1.38E-2</v>
      </c>
      <c r="I284">
        <v>56.403030000000001</v>
      </c>
      <c r="J284">
        <v>1.38E-2</v>
      </c>
    </row>
    <row r="285" spans="1:10" x14ac:dyDescent="0.3">
      <c r="A285" t="s">
        <v>9</v>
      </c>
      <c r="B285" t="s">
        <v>401</v>
      </c>
      <c r="C285">
        <v>1</v>
      </c>
      <c r="D285">
        <v>1.06E-2</v>
      </c>
      <c r="E285">
        <v>6.9792530662194743</v>
      </c>
      <c r="F285">
        <v>802.33111598422818</v>
      </c>
      <c r="G285">
        <v>0.42399999999999999</v>
      </c>
      <c r="H285">
        <v>1.5299999999999999E-2</v>
      </c>
      <c r="I285">
        <v>56.601970000000001</v>
      </c>
      <c r="J285">
        <v>1.5299999999999999E-2</v>
      </c>
    </row>
    <row r="286" spans="1:10" x14ac:dyDescent="0.3">
      <c r="A286" t="s">
        <v>9</v>
      </c>
      <c r="B286" t="s">
        <v>402</v>
      </c>
      <c r="C286">
        <v>1</v>
      </c>
      <c r="D286">
        <v>1.2500000000000001E-2</v>
      </c>
      <c r="E286">
        <v>7.0707167251716028</v>
      </c>
      <c r="F286">
        <v>811.01101721878513</v>
      </c>
      <c r="G286">
        <v>0.42399999999999999</v>
      </c>
      <c r="H286">
        <v>1.67E-2</v>
      </c>
      <c r="I286">
        <v>56.80462</v>
      </c>
      <c r="J286">
        <v>1.67E-2</v>
      </c>
    </row>
    <row r="287" spans="1:10" x14ac:dyDescent="0.3">
      <c r="A287" t="s">
        <v>9</v>
      </c>
      <c r="B287" t="s">
        <v>403</v>
      </c>
      <c r="C287">
        <v>1</v>
      </c>
      <c r="D287">
        <v>1.37E-2</v>
      </c>
      <c r="E287">
        <v>7.1503901056563102</v>
      </c>
      <c r="F287">
        <v>818.57202102678389</v>
      </c>
      <c r="G287">
        <v>0.42399999999999999</v>
      </c>
      <c r="H287">
        <v>1.7899999999999999E-2</v>
      </c>
      <c r="I287">
        <v>57.002719999999997</v>
      </c>
      <c r="J287">
        <v>1.7899999999999999E-2</v>
      </c>
    </row>
    <row r="288" spans="1:10" x14ac:dyDescent="0.3">
      <c r="A288" t="s">
        <v>9</v>
      </c>
      <c r="B288" t="s">
        <v>404</v>
      </c>
      <c r="C288">
        <v>1</v>
      </c>
      <c r="D288">
        <v>1.5100000000000001E-2</v>
      </c>
      <c r="E288">
        <v>7.219352165339247</v>
      </c>
      <c r="F288">
        <v>825.1165204906946</v>
      </c>
      <c r="G288">
        <v>0.42399999999999999</v>
      </c>
      <c r="H288">
        <v>1.9E-2</v>
      </c>
      <c r="I288">
        <v>57.203569999999999</v>
      </c>
      <c r="J288">
        <v>1.9E-2</v>
      </c>
    </row>
    <row r="289" spans="1:10" x14ac:dyDescent="0.3">
      <c r="A289" t="s">
        <v>9</v>
      </c>
      <c r="B289" t="s">
        <v>405</v>
      </c>
      <c r="C289">
        <v>1</v>
      </c>
      <c r="D289">
        <v>1.6199999999999999E-2</v>
      </c>
      <c r="E289">
        <v>7.2738482450757562</v>
      </c>
      <c r="F289">
        <v>830.2881984576893</v>
      </c>
      <c r="G289">
        <v>0.42399999999999999</v>
      </c>
      <c r="H289">
        <v>1.9900000000000001E-2</v>
      </c>
      <c r="I289">
        <v>57.400840000000002</v>
      </c>
      <c r="J289">
        <v>1.9900000000000001E-2</v>
      </c>
    </row>
    <row r="290" spans="1:10" x14ac:dyDescent="0.3">
      <c r="A290" t="s">
        <v>9</v>
      </c>
      <c r="B290" t="s">
        <v>406</v>
      </c>
      <c r="C290">
        <v>1</v>
      </c>
      <c r="D290">
        <v>1.6899999999999998E-2</v>
      </c>
      <c r="E290">
        <v>7.3142663803735584</v>
      </c>
      <c r="F290">
        <v>834.12387949745073</v>
      </c>
      <c r="G290">
        <v>0.42399999999999999</v>
      </c>
      <c r="H290">
        <v>2.0500000000000001E-2</v>
      </c>
      <c r="I290">
        <v>57.600230000000003</v>
      </c>
      <c r="J290">
        <v>2.0500000000000001E-2</v>
      </c>
    </row>
    <row r="291" spans="1:10" x14ac:dyDescent="0.3">
      <c r="A291" t="s">
        <v>9</v>
      </c>
      <c r="B291" t="s">
        <v>407</v>
      </c>
      <c r="C291">
        <v>1</v>
      </c>
      <c r="D291">
        <v>1.77E-2</v>
      </c>
      <c r="E291">
        <v>7.3390365884887911</v>
      </c>
      <c r="F291">
        <v>836.47457224758637</v>
      </c>
      <c r="G291">
        <v>0.42399999999999999</v>
      </c>
      <c r="H291">
        <v>2.0899999999999998E-2</v>
      </c>
      <c r="I291">
        <v>57.800649999999997</v>
      </c>
      <c r="J291">
        <v>2.0899999999999998E-2</v>
      </c>
    </row>
    <row r="292" spans="1:10" x14ac:dyDescent="0.3">
      <c r="A292" t="s">
        <v>9</v>
      </c>
      <c r="B292" t="s">
        <v>408</v>
      </c>
      <c r="C292">
        <v>1</v>
      </c>
      <c r="D292">
        <v>1.7999999999999999E-2</v>
      </c>
      <c r="E292">
        <v>7.3473017042560347</v>
      </c>
      <c r="F292">
        <v>837.25893173389773</v>
      </c>
      <c r="G292">
        <v>0.42399999999999999</v>
      </c>
      <c r="H292">
        <v>2.1000000000000001E-2</v>
      </c>
      <c r="I292">
        <v>58.001939999999998</v>
      </c>
      <c r="J292">
        <v>2.1000000000000001E-2</v>
      </c>
    </row>
    <row r="293" spans="1:10" x14ac:dyDescent="0.3">
      <c r="A293" t="s">
        <v>9</v>
      </c>
      <c r="B293" t="s">
        <v>409</v>
      </c>
      <c r="C293">
        <v>1</v>
      </c>
      <c r="D293">
        <v>1.8100000000000002E-2</v>
      </c>
      <c r="E293">
        <v>7.3386943711758219</v>
      </c>
      <c r="F293">
        <v>731.96631539358657</v>
      </c>
      <c r="G293">
        <v>0.42399999999999999</v>
      </c>
      <c r="H293">
        <v>2.0899999999999998E-2</v>
      </c>
      <c r="I293">
        <v>58.203440000000001</v>
      </c>
      <c r="J293">
        <v>2.0899999999999998E-2</v>
      </c>
    </row>
    <row r="294" spans="1:10" x14ac:dyDescent="0.3">
      <c r="A294" t="s">
        <v>9</v>
      </c>
      <c r="B294" t="s">
        <v>410</v>
      </c>
      <c r="C294">
        <v>1</v>
      </c>
      <c r="D294">
        <v>1.7999999999999999E-2</v>
      </c>
      <c r="E294">
        <v>7.3137656239973534</v>
      </c>
      <c r="F294">
        <v>729.6429561565534</v>
      </c>
      <c r="G294">
        <v>0.42399999999999999</v>
      </c>
      <c r="H294">
        <v>2.0500000000000001E-2</v>
      </c>
      <c r="I294">
        <v>58.402810000000002</v>
      </c>
      <c r="J294">
        <v>2.0500000000000001E-2</v>
      </c>
    </row>
    <row r="295" spans="1:10" x14ac:dyDescent="0.3">
      <c r="A295" t="s">
        <v>9</v>
      </c>
      <c r="B295" t="s">
        <v>411</v>
      </c>
      <c r="C295">
        <v>1</v>
      </c>
      <c r="D295">
        <v>1.7999999999999999E-2</v>
      </c>
      <c r="E295">
        <v>7.2735465748377859</v>
      </c>
      <c r="F295">
        <v>725.89454077488165</v>
      </c>
      <c r="G295">
        <v>0.42399999999999999</v>
      </c>
      <c r="H295">
        <v>1.9900000000000001E-2</v>
      </c>
      <c r="I295">
        <v>58.600409999999997</v>
      </c>
      <c r="J295">
        <v>1.9900000000000001E-2</v>
      </c>
    </row>
    <row r="296" spans="1:10" x14ac:dyDescent="0.3">
      <c r="A296" t="s">
        <v>9</v>
      </c>
      <c r="B296" t="s">
        <v>412</v>
      </c>
      <c r="C296">
        <v>1</v>
      </c>
      <c r="D296">
        <v>1.7999999999999999E-2</v>
      </c>
      <c r="E296">
        <v>7.217896930817628</v>
      </c>
      <c r="F296">
        <v>720.70799395220297</v>
      </c>
      <c r="G296">
        <v>0.42399999999999999</v>
      </c>
      <c r="H296">
        <v>1.9E-2</v>
      </c>
      <c r="I296">
        <v>58.801099999999998</v>
      </c>
      <c r="J296">
        <v>1.9E-2</v>
      </c>
    </row>
    <row r="297" spans="1:10" x14ac:dyDescent="0.3">
      <c r="A297" t="s">
        <v>9</v>
      </c>
      <c r="B297" t="s">
        <v>413</v>
      </c>
      <c r="C297">
        <v>1</v>
      </c>
      <c r="D297">
        <v>1.7999999999999999E-2</v>
      </c>
      <c r="E297">
        <v>7.1469715817633714</v>
      </c>
      <c r="F297">
        <v>714.09775142034619</v>
      </c>
      <c r="G297">
        <v>0.42399999999999999</v>
      </c>
      <c r="H297">
        <v>1.7899999999999999E-2</v>
      </c>
      <c r="I297">
        <v>59.006369999999997</v>
      </c>
      <c r="J297">
        <v>1.7899999999999999E-2</v>
      </c>
    </row>
    <row r="298" spans="1:10" x14ac:dyDescent="0.3">
      <c r="A298" t="s">
        <v>9</v>
      </c>
      <c r="B298" t="s">
        <v>414</v>
      </c>
      <c r="C298">
        <v>1</v>
      </c>
      <c r="D298">
        <v>1.7899999999999999E-2</v>
      </c>
      <c r="E298">
        <v>7.0677827388248708</v>
      </c>
      <c r="F298">
        <v>706.71735125847795</v>
      </c>
      <c r="G298">
        <v>0.42399999999999999</v>
      </c>
      <c r="H298">
        <v>1.67E-2</v>
      </c>
      <c r="I298">
        <v>59.202210000000001</v>
      </c>
      <c r="J298">
        <v>1.67E-2</v>
      </c>
    </row>
    <row r="299" spans="1:10" x14ac:dyDescent="0.3">
      <c r="A299" t="s">
        <v>9</v>
      </c>
      <c r="B299" t="s">
        <v>415</v>
      </c>
      <c r="C299">
        <v>1</v>
      </c>
      <c r="D299">
        <v>1.78E-2</v>
      </c>
      <c r="E299">
        <v>6.9778456772463544</v>
      </c>
      <c r="F299">
        <v>698.33521711936021</v>
      </c>
      <c r="G299">
        <v>0.42399999999999999</v>
      </c>
      <c r="H299">
        <v>1.5299999999999999E-2</v>
      </c>
      <c r="I299">
        <v>59.401000000000003</v>
      </c>
      <c r="J299">
        <v>1.5299999999999999E-2</v>
      </c>
    </row>
    <row r="300" spans="1:10" x14ac:dyDescent="0.3">
      <c r="A300" t="s">
        <v>9</v>
      </c>
      <c r="B300" t="s">
        <v>416</v>
      </c>
      <c r="C300">
        <v>1</v>
      </c>
      <c r="D300">
        <v>1.78E-2</v>
      </c>
      <c r="E300">
        <v>6.8797266214043331</v>
      </c>
      <c r="F300">
        <v>689.19052111488384</v>
      </c>
      <c r="G300">
        <v>0.42399999999999999</v>
      </c>
      <c r="H300">
        <v>1.37E-2</v>
      </c>
      <c r="I300">
        <v>59.601230000000001</v>
      </c>
      <c r="J300">
        <v>1.37E-2</v>
      </c>
    </row>
    <row r="301" spans="1:10" x14ac:dyDescent="0.3">
      <c r="A301" t="s">
        <v>9</v>
      </c>
      <c r="B301" t="s">
        <v>417</v>
      </c>
      <c r="C301">
        <v>1</v>
      </c>
      <c r="D301">
        <v>1.7299999999999999E-2</v>
      </c>
      <c r="E301">
        <v>6.7758932662830906</v>
      </c>
      <c r="F301">
        <v>679.51325241758411</v>
      </c>
      <c r="G301">
        <v>0.42399999999999999</v>
      </c>
      <c r="H301">
        <v>1.21E-2</v>
      </c>
      <c r="I301">
        <v>59.80256</v>
      </c>
      <c r="J301">
        <v>1.21E-2</v>
      </c>
    </row>
    <row r="302" spans="1:10" x14ac:dyDescent="0.3">
      <c r="A302" t="s">
        <v>9</v>
      </c>
      <c r="B302" t="s">
        <v>418</v>
      </c>
      <c r="C302">
        <v>1</v>
      </c>
      <c r="D302">
        <v>1.5900000000000001E-2</v>
      </c>
      <c r="E302">
        <v>6.6700564801862772</v>
      </c>
      <c r="F302">
        <v>669.64926395336101</v>
      </c>
      <c r="G302">
        <v>0.42399999999999999</v>
      </c>
      <c r="H302">
        <v>1.0500000000000001E-2</v>
      </c>
      <c r="I302">
        <v>60.002749999999999</v>
      </c>
      <c r="J302">
        <v>1.0500000000000001E-2</v>
      </c>
    </row>
    <row r="303" spans="1:10" x14ac:dyDescent="0.3">
      <c r="A303" t="s">
        <v>9</v>
      </c>
      <c r="B303" t="s">
        <v>419</v>
      </c>
      <c r="C303">
        <v>1</v>
      </c>
      <c r="D303">
        <v>1.43E-2</v>
      </c>
      <c r="E303">
        <v>6.5647873531394128</v>
      </c>
      <c r="F303">
        <v>659.83818131259329</v>
      </c>
      <c r="G303">
        <v>0.42399999999999999</v>
      </c>
      <c r="H303">
        <v>8.8000000000000005E-3</v>
      </c>
      <c r="I303">
        <v>60.201929999999997</v>
      </c>
      <c r="J303">
        <v>8.8000000000000005E-3</v>
      </c>
    </row>
    <row r="304" spans="1:10" x14ac:dyDescent="0.3">
      <c r="A304" t="s">
        <v>9</v>
      </c>
      <c r="B304" t="s">
        <v>420</v>
      </c>
      <c r="C304">
        <v>1</v>
      </c>
      <c r="D304">
        <v>1.2500000000000001E-2</v>
      </c>
      <c r="E304">
        <v>6.4617722379915934</v>
      </c>
      <c r="F304">
        <v>650.23717258081649</v>
      </c>
      <c r="G304">
        <v>0.42399999999999999</v>
      </c>
      <c r="H304">
        <v>7.1999999999999998E-3</v>
      </c>
      <c r="I304">
        <v>60.401820000000001</v>
      </c>
      <c r="J304">
        <v>7.1999999999999998E-3</v>
      </c>
    </row>
    <row r="305" spans="1:10" x14ac:dyDescent="0.3">
      <c r="A305" t="s">
        <v>9</v>
      </c>
      <c r="B305" t="s">
        <v>421</v>
      </c>
      <c r="C305">
        <v>1</v>
      </c>
      <c r="D305">
        <v>1.09E-2</v>
      </c>
      <c r="E305">
        <v>6.3643747578962087</v>
      </c>
      <c r="F305">
        <v>641.1597274359267</v>
      </c>
      <c r="G305">
        <v>0.42399999999999999</v>
      </c>
      <c r="H305">
        <v>5.7000000000000002E-3</v>
      </c>
      <c r="I305">
        <v>60.600720000000003</v>
      </c>
      <c r="J305">
        <v>5.7000000000000002E-3</v>
      </c>
    </row>
    <row r="306" spans="1:10" x14ac:dyDescent="0.3">
      <c r="A306" t="s">
        <v>9</v>
      </c>
      <c r="B306" t="s">
        <v>422</v>
      </c>
      <c r="C306">
        <v>1</v>
      </c>
      <c r="D306">
        <v>8.8999999999999999E-3</v>
      </c>
      <c r="E306">
        <v>6.273190873761556</v>
      </c>
      <c r="F306">
        <v>632.66138943457702</v>
      </c>
      <c r="G306">
        <v>0.42399999999999999</v>
      </c>
      <c r="H306">
        <v>4.3E-3</v>
      </c>
      <c r="I306">
        <v>60.802590000000002</v>
      </c>
      <c r="J306">
        <v>4.3E-3</v>
      </c>
    </row>
    <row r="307" spans="1:10" x14ac:dyDescent="0.3">
      <c r="A307" t="s">
        <v>9</v>
      </c>
      <c r="B307" t="s">
        <v>423</v>
      </c>
      <c r="C307">
        <v>1</v>
      </c>
      <c r="D307">
        <v>7.1999999999999998E-3</v>
      </c>
      <c r="E307">
        <v>6.1935411727686471</v>
      </c>
      <c r="F307">
        <v>625.23803730203792</v>
      </c>
      <c r="G307">
        <v>0.42399999999999999</v>
      </c>
      <c r="H307">
        <v>3.0999999999999999E-3</v>
      </c>
      <c r="I307">
        <v>61.000329999999998</v>
      </c>
      <c r="J307">
        <v>3.0999999999999999E-3</v>
      </c>
    </row>
    <row r="308" spans="1:10" x14ac:dyDescent="0.3">
      <c r="A308" t="s">
        <v>9</v>
      </c>
      <c r="B308" t="s">
        <v>424</v>
      </c>
      <c r="C308">
        <v>1</v>
      </c>
      <c r="D308">
        <v>5.4000000000000003E-3</v>
      </c>
      <c r="E308">
        <v>6.1238224641192032</v>
      </c>
      <c r="F308">
        <v>618.74025365590978</v>
      </c>
      <c r="G308">
        <v>0.42399999999999999</v>
      </c>
      <c r="H308">
        <v>2E-3</v>
      </c>
      <c r="I308">
        <v>61.203130000000002</v>
      </c>
      <c r="J308">
        <v>2E-3</v>
      </c>
    </row>
    <row r="309" spans="1:10" x14ac:dyDescent="0.3">
      <c r="A309" t="s">
        <v>9</v>
      </c>
      <c r="B309" t="s">
        <v>425</v>
      </c>
      <c r="C309">
        <v>1</v>
      </c>
      <c r="D309">
        <v>4.4999999999999997E-3</v>
      </c>
      <c r="E309">
        <v>6.069139746196484</v>
      </c>
      <c r="F309">
        <v>613.64382434551237</v>
      </c>
      <c r="G309">
        <v>0.42399999999999999</v>
      </c>
      <c r="H309">
        <v>1.1000000000000001E-3</v>
      </c>
      <c r="I309">
        <v>61.401040000000002</v>
      </c>
      <c r="J309">
        <v>1.1000000000000001E-3</v>
      </c>
    </row>
    <row r="310" spans="1:10" x14ac:dyDescent="0.3">
      <c r="A310" t="s">
        <v>9</v>
      </c>
      <c r="B310" t="s">
        <v>426</v>
      </c>
      <c r="C310">
        <v>1</v>
      </c>
      <c r="D310">
        <v>3.3E-3</v>
      </c>
      <c r="E310">
        <v>6.0285057788184782</v>
      </c>
      <c r="F310">
        <v>609.85673858588223</v>
      </c>
      <c r="G310">
        <v>0.42399999999999999</v>
      </c>
      <c r="H310">
        <v>5.0000000000000001E-4</v>
      </c>
      <c r="I310">
        <v>61.601849999999999</v>
      </c>
      <c r="J310">
        <v>5.0000000000000001E-4</v>
      </c>
    </row>
    <row r="311" spans="1:10" x14ac:dyDescent="0.3">
      <c r="A311" t="s">
        <v>9</v>
      </c>
      <c r="B311" t="s">
        <v>427</v>
      </c>
      <c r="C311">
        <v>1</v>
      </c>
      <c r="D311">
        <v>2.8E-3</v>
      </c>
      <c r="E311">
        <v>6.0040033111488613</v>
      </c>
      <c r="F311">
        <v>607.57310859907386</v>
      </c>
      <c r="G311">
        <v>0.42399999999999999</v>
      </c>
      <c r="H311">
        <v>1E-4</v>
      </c>
      <c r="I311">
        <v>61.800609999999999</v>
      </c>
      <c r="J311">
        <v>1E-4</v>
      </c>
    </row>
    <row r="312" spans="1:10" x14ac:dyDescent="0.3">
      <c r="A312" t="s">
        <v>9</v>
      </c>
      <c r="B312" t="s">
        <v>428</v>
      </c>
      <c r="C312">
        <v>1</v>
      </c>
      <c r="D312">
        <v>2.3999999999999998E-3</v>
      </c>
      <c r="E312">
        <v>5.9957358200459776</v>
      </c>
      <c r="F312">
        <v>606.80257842828507</v>
      </c>
      <c r="G312">
        <v>0.42399999999999999</v>
      </c>
      <c r="H312">
        <v>0</v>
      </c>
      <c r="I312">
        <v>62.003349999999998</v>
      </c>
      <c r="J312">
        <v>0</v>
      </c>
    </row>
    <row r="313" spans="1:10" x14ac:dyDescent="0.3">
      <c r="A313" t="s">
        <v>9</v>
      </c>
      <c r="B313" t="s">
        <v>429</v>
      </c>
      <c r="C313">
        <v>1</v>
      </c>
      <c r="D313">
        <v>2.3999999999999998E-3</v>
      </c>
      <c r="E313">
        <v>6.0043265970325139</v>
      </c>
      <c r="F313">
        <v>709.81059405838562</v>
      </c>
      <c r="G313">
        <v>0.42399999999999999</v>
      </c>
      <c r="H313">
        <v>1E-4</v>
      </c>
      <c r="I313">
        <v>62.20326</v>
      </c>
      <c r="J313">
        <v>1E-4</v>
      </c>
    </row>
    <row r="314" spans="1:10" x14ac:dyDescent="0.3">
      <c r="A314" t="s">
        <v>9</v>
      </c>
      <c r="B314" t="s">
        <v>430</v>
      </c>
      <c r="C314">
        <v>1</v>
      </c>
      <c r="D314">
        <v>2.3999999999999998E-3</v>
      </c>
      <c r="E314">
        <v>6.0290659082765998</v>
      </c>
      <c r="F314">
        <v>712.15835469544936</v>
      </c>
      <c r="G314">
        <v>0.42399999999999999</v>
      </c>
      <c r="H314">
        <v>5.0000000000000001E-4</v>
      </c>
      <c r="I314">
        <v>62.40157</v>
      </c>
      <c r="J314">
        <v>5.0000000000000001E-4</v>
      </c>
    </row>
    <row r="315" spans="1:10" x14ac:dyDescent="0.3">
      <c r="A315" t="s">
        <v>9</v>
      </c>
      <c r="B315" t="s">
        <v>431</v>
      </c>
      <c r="C315">
        <v>1</v>
      </c>
      <c r="D315">
        <v>2.3999999999999998E-3</v>
      </c>
      <c r="E315">
        <v>6.0695731538811186</v>
      </c>
      <c r="F315">
        <v>716.00249230331815</v>
      </c>
      <c r="G315">
        <v>0.42399999999999999</v>
      </c>
      <c r="H315">
        <v>1.1000000000000001E-3</v>
      </c>
      <c r="I315">
        <v>62.600760000000001</v>
      </c>
      <c r="J315">
        <v>1.1000000000000001E-3</v>
      </c>
    </row>
    <row r="316" spans="1:10" x14ac:dyDescent="0.3">
      <c r="A316" t="s">
        <v>9</v>
      </c>
      <c r="B316" t="s">
        <v>432</v>
      </c>
      <c r="C316">
        <v>1</v>
      </c>
      <c r="D316">
        <v>2.3999999999999998E-3</v>
      </c>
      <c r="E316">
        <v>6.1258979066999633</v>
      </c>
      <c r="F316">
        <v>721.3477113458265</v>
      </c>
      <c r="G316">
        <v>0.42399999999999999</v>
      </c>
      <c r="H316">
        <v>2E-3</v>
      </c>
      <c r="I316">
        <v>62.803519999999999</v>
      </c>
      <c r="J316">
        <v>2E-3</v>
      </c>
    </row>
    <row r="317" spans="1:10" x14ac:dyDescent="0.3">
      <c r="A317" t="s">
        <v>9</v>
      </c>
      <c r="B317" t="s">
        <v>433</v>
      </c>
      <c r="C317">
        <v>1</v>
      </c>
      <c r="D317">
        <v>2.3999999999999998E-3</v>
      </c>
      <c r="E317">
        <v>6.1939028526776134</v>
      </c>
      <c r="F317">
        <v>727.80138071910551</v>
      </c>
      <c r="G317">
        <v>0.42399999999999999</v>
      </c>
      <c r="H317">
        <v>3.0999999999999999E-3</v>
      </c>
      <c r="I317">
        <v>63.000630000000001</v>
      </c>
      <c r="J317">
        <v>3.0999999999999999E-3</v>
      </c>
    </row>
    <row r="318" spans="1:10" x14ac:dyDescent="0.3">
      <c r="A318" t="s">
        <v>9</v>
      </c>
      <c r="B318" t="s">
        <v>434</v>
      </c>
      <c r="C318">
        <v>1</v>
      </c>
      <c r="D318">
        <v>2.5000000000000001E-3</v>
      </c>
      <c r="E318">
        <v>6.274567406410605</v>
      </c>
      <c r="F318">
        <v>735.45644686836647</v>
      </c>
      <c r="G318">
        <v>0.42399999999999999</v>
      </c>
      <c r="H318">
        <v>4.3E-3</v>
      </c>
      <c r="I318">
        <v>63.200609999999998</v>
      </c>
      <c r="J318">
        <v>4.3E-3</v>
      </c>
    </row>
    <row r="319" spans="1:10" x14ac:dyDescent="0.3">
      <c r="A319" t="s">
        <v>9</v>
      </c>
      <c r="B319" t="s">
        <v>435</v>
      </c>
      <c r="C319">
        <v>1</v>
      </c>
      <c r="D319">
        <v>2.5000000000000001E-3</v>
      </c>
      <c r="E319">
        <v>6.3665683952005816</v>
      </c>
      <c r="F319">
        <v>744.18734070453536</v>
      </c>
      <c r="G319">
        <v>0.42399999999999999</v>
      </c>
      <c r="H319">
        <v>5.7999999999999996E-3</v>
      </c>
      <c r="I319">
        <v>63.403910000000003</v>
      </c>
      <c r="J319">
        <v>5.7999999999999996E-3</v>
      </c>
    </row>
    <row r="320" spans="1:10" x14ac:dyDescent="0.3">
      <c r="A320" t="s">
        <v>9</v>
      </c>
      <c r="B320" t="s">
        <v>436</v>
      </c>
      <c r="C320">
        <v>1</v>
      </c>
      <c r="D320">
        <v>2.5999999999999999E-3</v>
      </c>
      <c r="E320">
        <v>6.4633519520334488</v>
      </c>
      <c r="F320">
        <v>753.37210024797434</v>
      </c>
      <c r="G320">
        <v>0.42399999999999999</v>
      </c>
      <c r="H320">
        <v>7.3000000000000001E-3</v>
      </c>
      <c r="I320">
        <v>63.601309999999998</v>
      </c>
      <c r="J320">
        <v>7.3000000000000001E-3</v>
      </c>
    </row>
    <row r="321" spans="1:10" x14ac:dyDescent="0.3">
      <c r="A321" t="s">
        <v>9</v>
      </c>
      <c r="B321" t="s">
        <v>437</v>
      </c>
      <c r="C321">
        <v>1</v>
      </c>
      <c r="D321">
        <v>3.8E-3</v>
      </c>
      <c r="E321">
        <v>6.5672684286584362</v>
      </c>
      <c r="F321">
        <v>763.2337738796856</v>
      </c>
      <c r="G321">
        <v>0.42399999999999999</v>
      </c>
      <c r="H321">
        <v>8.8999999999999999E-3</v>
      </c>
      <c r="I321">
        <v>63.802799999999998</v>
      </c>
      <c r="J321">
        <v>8.8999999999999999E-3</v>
      </c>
    </row>
    <row r="322" spans="1:10" x14ac:dyDescent="0.3">
      <c r="A322" t="s">
        <v>9</v>
      </c>
      <c r="B322" t="s">
        <v>438</v>
      </c>
      <c r="C322">
        <v>1</v>
      </c>
      <c r="D322">
        <v>5.5999999999999999E-3</v>
      </c>
      <c r="E322">
        <v>6.6720217969113458</v>
      </c>
      <c r="F322">
        <v>773.17486852688671</v>
      </c>
      <c r="G322">
        <v>0.42399999999999999</v>
      </c>
      <c r="H322">
        <v>1.0500000000000001E-2</v>
      </c>
      <c r="I322">
        <v>64.000950000000003</v>
      </c>
      <c r="J322">
        <v>1.0500000000000001E-2</v>
      </c>
    </row>
    <row r="323" spans="1:10" x14ac:dyDescent="0.3">
      <c r="A323" t="s">
        <v>9</v>
      </c>
      <c r="B323" t="s">
        <v>439</v>
      </c>
      <c r="C323">
        <v>1</v>
      </c>
      <c r="D323">
        <v>7.6E-3</v>
      </c>
      <c r="E323">
        <v>6.7774093214172009</v>
      </c>
      <c r="F323">
        <v>783.1761446024924</v>
      </c>
      <c r="G323">
        <v>0.42399999999999999</v>
      </c>
      <c r="H323">
        <v>1.21E-2</v>
      </c>
      <c r="I323">
        <v>64.200329999999994</v>
      </c>
      <c r="J323">
        <v>1.21E-2</v>
      </c>
    </row>
    <row r="324" spans="1:10" x14ac:dyDescent="0.3">
      <c r="A324" t="s">
        <v>9</v>
      </c>
      <c r="B324" t="s">
        <v>440</v>
      </c>
      <c r="C324">
        <v>1</v>
      </c>
      <c r="D324">
        <v>9.1000000000000004E-3</v>
      </c>
      <c r="E324">
        <v>6.8817620845691483</v>
      </c>
      <c r="F324">
        <v>793.07922182561219</v>
      </c>
      <c r="G324">
        <v>0.42399999999999999</v>
      </c>
      <c r="H324">
        <v>1.38E-2</v>
      </c>
      <c r="I324">
        <v>64.402799999999999</v>
      </c>
      <c r="J324">
        <v>1.38E-2</v>
      </c>
    </row>
    <row r="325" spans="1:10" x14ac:dyDescent="0.3">
      <c r="A325" t="s">
        <v>9</v>
      </c>
      <c r="B325" t="s">
        <v>441</v>
      </c>
      <c r="C325">
        <v>1</v>
      </c>
      <c r="D325">
        <v>1.0999999999999999E-2</v>
      </c>
      <c r="E325">
        <v>6.978574713654786</v>
      </c>
      <c r="F325">
        <v>802.26674032583924</v>
      </c>
      <c r="G325">
        <v>0.42399999999999999</v>
      </c>
      <c r="H325">
        <v>1.5299999999999999E-2</v>
      </c>
      <c r="I325">
        <v>64.600539999999995</v>
      </c>
      <c r="J325">
        <v>1.5299999999999999E-2</v>
      </c>
    </row>
    <row r="326" spans="1:10" x14ac:dyDescent="0.3">
      <c r="A326" t="s">
        <v>9</v>
      </c>
      <c r="B326" t="s">
        <v>442</v>
      </c>
      <c r="C326">
        <v>1</v>
      </c>
      <c r="D326">
        <v>1.2200000000000001E-2</v>
      </c>
      <c r="E326">
        <v>7.0701624466564024</v>
      </c>
      <c r="F326">
        <v>810.95841618769259</v>
      </c>
      <c r="G326">
        <v>0.42399999999999999</v>
      </c>
      <c r="H326">
        <v>1.67E-2</v>
      </c>
      <c r="I326">
        <v>64.803330000000003</v>
      </c>
      <c r="J326">
        <v>1.67E-2</v>
      </c>
    </row>
    <row r="327" spans="1:10" x14ac:dyDescent="0.3">
      <c r="A327" t="s">
        <v>9</v>
      </c>
      <c r="B327" t="s">
        <v>443</v>
      </c>
      <c r="C327">
        <v>1</v>
      </c>
      <c r="D327">
        <v>1.3299999999999999E-2</v>
      </c>
      <c r="E327">
        <v>7.1495248310758877</v>
      </c>
      <c r="F327">
        <v>818.48990646910181</v>
      </c>
      <c r="G327">
        <v>0.42399999999999999</v>
      </c>
      <c r="H327">
        <v>1.7899999999999999E-2</v>
      </c>
      <c r="I327">
        <v>65.000410000000002</v>
      </c>
      <c r="J327">
        <v>1.7899999999999999E-2</v>
      </c>
    </row>
    <row r="328" spans="1:10" x14ac:dyDescent="0.3">
      <c r="A328" t="s">
        <v>9</v>
      </c>
      <c r="B328" t="s">
        <v>444</v>
      </c>
      <c r="C328">
        <v>1</v>
      </c>
      <c r="D328">
        <v>1.52E-2</v>
      </c>
      <c r="E328">
        <v>7.3147002340760174</v>
      </c>
      <c r="F328">
        <v>834.16505221381408</v>
      </c>
      <c r="G328">
        <v>0.42399999999999999</v>
      </c>
      <c r="H328">
        <v>2.0500000000000001E-2</v>
      </c>
      <c r="I328">
        <v>65.602890000000002</v>
      </c>
      <c r="J328">
        <v>2.0500000000000001E-2</v>
      </c>
    </row>
    <row r="329" spans="1:10" x14ac:dyDescent="0.3">
      <c r="A329" t="s">
        <v>9</v>
      </c>
      <c r="B329" t="s">
        <v>445</v>
      </c>
      <c r="C329">
        <v>1</v>
      </c>
      <c r="D329">
        <v>1.66E-2</v>
      </c>
      <c r="E329">
        <v>7.3391266029952824</v>
      </c>
      <c r="F329">
        <v>836.48311462425238</v>
      </c>
      <c r="G329">
        <v>0.42399999999999999</v>
      </c>
      <c r="H329">
        <v>2.0899999999999998E-2</v>
      </c>
      <c r="I329">
        <v>65.801739999999995</v>
      </c>
      <c r="J329">
        <v>2.0899999999999998E-2</v>
      </c>
    </row>
    <row r="330" spans="1:10" x14ac:dyDescent="0.3">
      <c r="A330" t="s">
        <v>9</v>
      </c>
      <c r="B330" t="s">
        <v>446</v>
      </c>
      <c r="C330">
        <v>1</v>
      </c>
      <c r="D330">
        <v>1.77E-2</v>
      </c>
      <c r="E330">
        <v>7.3473004878437846</v>
      </c>
      <c r="F330">
        <v>837.25881629637524</v>
      </c>
      <c r="G330">
        <v>0.42399999999999999</v>
      </c>
      <c r="H330">
        <v>2.1000000000000001E-2</v>
      </c>
      <c r="I330">
        <v>66.003200000000007</v>
      </c>
      <c r="J330">
        <v>2.1000000000000001E-2</v>
      </c>
    </row>
    <row r="331" spans="1:10" x14ac:dyDescent="0.3">
      <c r="A331" t="s">
        <v>9</v>
      </c>
      <c r="B331" t="s">
        <v>447</v>
      </c>
      <c r="C331">
        <v>1</v>
      </c>
      <c r="D331">
        <v>1.7600000000000001E-2</v>
      </c>
      <c r="E331">
        <v>7.3389076487903031</v>
      </c>
      <c r="F331">
        <v>731.98619286725625</v>
      </c>
      <c r="G331">
        <v>0.42399999999999999</v>
      </c>
      <c r="H331">
        <v>2.0899999999999998E-2</v>
      </c>
      <c r="I331">
        <v>66.200900000000004</v>
      </c>
      <c r="J331">
        <v>2.0899999999999998E-2</v>
      </c>
    </row>
    <row r="332" spans="1:10" x14ac:dyDescent="0.3">
      <c r="A332" t="s">
        <v>9</v>
      </c>
      <c r="B332" t="s">
        <v>448</v>
      </c>
      <c r="C332">
        <v>1</v>
      </c>
      <c r="D332">
        <v>1.7600000000000001E-2</v>
      </c>
      <c r="E332">
        <v>7.313972414079835</v>
      </c>
      <c r="F332">
        <v>729.66222899224067</v>
      </c>
      <c r="G332">
        <v>0.42399999999999999</v>
      </c>
      <c r="H332">
        <v>2.0500000000000001E-2</v>
      </c>
      <c r="I332">
        <v>66.40155</v>
      </c>
      <c r="J332">
        <v>2.0500000000000001E-2</v>
      </c>
    </row>
    <row r="333" spans="1:10" x14ac:dyDescent="0.3">
      <c r="A333" t="s">
        <v>9</v>
      </c>
      <c r="B333" t="s">
        <v>449</v>
      </c>
      <c r="C333">
        <v>1</v>
      </c>
      <c r="D333">
        <v>1.7600000000000001E-2</v>
      </c>
      <c r="E333">
        <v>7.2734439907380448</v>
      </c>
      <c r="F333">
        <v>725.88497993678584</v>
      </c>
      <c r="G333">
        <v>0.42399999999999999</v>
      </c>
      <c r="H333">
        <v>1.9900000000000001E-2</v>
      </c>
      <c r="I333">
        <v>66.600840000000005</v>
      </c>
      <c r="J333">
        <v>1.9900000000000001E-2</v>
      </c>
    </row>
    <row r="334" spans="1:10" x14ac:dyDescent="0.3">
      <c r="A334" t="s">
        <v>9</v>
      </c>
      <c r="B334" t="s">
        <v>450</v>
      </c>
      <c r="C334">
        <v>1</v>
      </c>
      <c r="D334">
        <v>1.7600000000000001E-2</v>
      </c>
      <c r="E334">
        <v>7.2173746844916771</v>
      </c>
      <c r="F334">
        <v>720.65932059462432</v>
      </c>
      <c r="G334">
        <v>0.42399999999999999</v>
      </c>
      <c r="H334">
        <v>1.9E-2</v>
      </c>
      <c r="I334">
        <v>66.802760000000006</v>
      </c>
      <c r="J334">
        <v>1.9E-2</v>
      </c>
    </row>
    <row r="335" spans="1:10" x14ac:dyDescent="0.3">
      <c r="A335" t="s">
        <v>9</v>
      </c>
      <c r="B335" t="s">
        <v>451</v>
      </c>
      <c r="C335">
        <v>1</v>
      </c>
      <c r="D335">
        <v>1.7600000000000001E-2</v>
      </c>
      <c r="E335">
        <v>7.1489596048504396</v>
      </c>
      <c r="F335">
        <v>714.28303517206098</v>
      </c>
      <c r="G335">
        <v>0.42399999999999999</v>
      </c>
      <c r="H335">
        <v>1.7899999999999999E-2</v>
      </c>
      <c r="I335">
        <v>67.001090000000005</v>
      </c>
      <c r="J335">
        <v>1.7899999999999999E-2</v>
      </c>
    </row>
    <row r="336" spans="1:10" x14ac:dyDescent="0.3">
      <c r="A336" t="s">
        <v>9</v>
      </c>
      <c r="B336" t="s">
        <v>452</v>
      </c>
      <c r="C336">
        <v>1</v>
      </c>
      <c r="D336">
        <v>1.7600000000000001E-2</v>
      </c>
      <c r="E336">
        <v>7.068574623199547</v>
      </c>
      <c r="F336">
        <v>706.79115488219782</v>
      </c>
      <c r="G336">
        <v>0.42399999999999999</v>
      </c>
      <c r="H336">
        <v>1.67E-2</v>
      </c>
      <c r="I336">
        <v>67.200370000000007</v>
      </c>
      <c r="J336">
        <v>1.67E-2</v>
      </c>
    </row>
    <row r="337" spans="1:10" x14ac:dyDescent="0.3">
      <c r="A337" t="s">
        <v>9</v>
      </c>
      <c r="B337" t="s">
        <v>453</v>
      </c>
      <c r="C337">
        <v>1</v>
      </c>
      <c r="D337">
        <v>1.7600000000000001E-2</v>
      </c>
      <c r="E337">
        <v>6.9769086343431894</v>
      </c>
      <c r="F337">
        <v>698.24788472078524</v>
      </c>
      <c r="G337">
        <v>0.42399999999999999</v>
      </c>
      <c r="H337">
        <v>1.52E-2</v>
      </c>
      <c r="I337">
        <v>67.402979999999999</v>
      </c>
      <c r="J337">
        <v>1.52E-2</v>
      </c>
    </row>
    <row r="338" spans="1:10" x14ac:dyDescent="0.3">
      <c r="A338" t="s">
        <v>9</v>
      </c>
      <c r="B338" t="s">
        <v>454</v>
      </c>
      <c r="C338">
        <v>1</v>
      </c>
      <c r="D338">
        <v>1.72E-2</v>
      </c>
      <c r="E338">
        <v>6.8800732988955531</v>
      </c>
      <c r="F338">
        <v>689.22283145706558</v>
      </c>
      <c r="G338">
        <v>0.42399999999999999</v>
      </c>
      <c r="H338">
        <v>1.37E-2</v>
      </c>
      <c r="I338">
        <v>67.600539999999995</v>
      </c>
      <c r="J338">
        <v>1.37E-2</v>
      </c>
    </row>
    <row r="339" spans="1:10" x14ac:dyDescent="0.3">
      <c r="A339" t="s">
        <v>9</v>
      </c>
      <c r="B339" t="s">
        <v>455</v>
      </c>
      <c r="C339">
        <v>1</v>
      </c>
      <c r="D339">
        <v>1.66E-2</v>
      </c>
      <c r="E339">
        <v>6.7760518053463246</v>
      </c>
      <c r="F339">
        <v>679.52802825827757</v>
      </c>
      <c r="G339">
        <v>0.42399999999999999</v>
      </c>
      <c r="H339">
        <v>1.21E-2</v>
      </c>
      <c r="I339">
        <v>67.802250000000001</v>
      </c>
      <c r="J339">
        <v>1.21E-2</v>
      </c>
    </row>
    <row r="340" spans="1:10" x14ac:dyDescent="0.3">
      <c r="A340" t="s">
        <v>9</v>
      </c>
      <c r="B340" t="s">
        <v>456</v>
      </c>
      <c r="C340">
        <v>1</v>
      </c>
      <c r="D340">
        <v>1.5900000000000001E-2</v>
      </c>
      <c r="E340">
        <v>6.671080699300683</v>
      </c>
      <c r="F340">
        <v>669.74472117482367</v>
      </c>
      <c r="G340">
        <v>0.42399999999999999</v>
      </c>
      <c r="H340">
        <v>1.0500000000000001E-2</v>
      </c>
      <c r="I340">
        <v>68.000820000000004</v>
      </c>
      <c r="J340">
        <v>1.0500000000000001E-2</v>
      </c>
    </row>
    <row r="341" spans="1:10" x14ac:dyDescent="0.3">
      <c r="A341" t="s">
        <v>9</v>
      </c>
      <c r="B341" t="s">
        <v>457</v>
      </c>
      <c r="C341">
        <v>1</v>
      </c>
      <c r="D341">
        <v>1.46E-2</v>
      </c>
      <c r="E341">
        <v>6.5647220723486699</v>
      </c>
      <c r="F341">
        <v>659.83209714289603</v>
      </c>
      <c r="G341">
        <v>0.42399999999999999</v>
      </c>
      <c r="H341">
        <v>8.8000000000000005E-3</v>
      </c>
      <c r="I341">
        <v>68.202060000000003</v>
      </c>
      <c r="J341">
        <v>8.8000000000000005E-3</v>
      </c>
    </row>
    <row r="342" spans="1:10" x14ac:dyDescent="0.3">
      <c r="A342" t="s">
        <v>9</v>
      </c>
      <c r="B342" t="s">
        <v>458</v>
      </c>
      <c r="C342">
        <v>1</v>
      </c>
      <c r="D342">
        <v>1.26E-2</v>
      </c>
      <c r="E342">
        <v>6.4618513047878361</v>
      </c>
      <c r="F342">
        <v>650.24454160622633</v>
      </c>
      <c r="G342">
        <v>0.42399999999999999</v>
      </c>
      <c r="H342">
        <v>7.1999999999999998E-3</v>
      </c>
      <c r="I342">
        <v>68.401660000000007</v>
      </c>
      <c r="J342">
        <v>7.1999999999999998E-3</v>
      </c>
    </row>
    <row r="343" spans="1:10" x14ac:dyDescent="0.3">
      <c r="A343" t="s">
        <v>9</v>
      </c>
      <c r="B343" t="s">
        <v>459</v>
      </c>
      <c r="C343">
        <v>1</v>
      </c>
      <c r="D343">
        <v>1.0500000000000001E-2</v>
      </c>
      <c r="E343">
        <v>6.3643318590908624</v>
      </c>
      <c r="F343">
        <v>641.15572926726838</v>
      </c>
      <c r="G343">
        <v>0.42399999999999999</v>
      </c>
      <c r="H343">
        <v>5.7000000000000002E-3</v>
      </c>
      <c r="I343">
        <v>68.600809999999996</v>
      </c>
      <c r="J343">
        <v>5.7000000000000002E-3</v>
      </c>
    </row>
    <row r="344" spans="1:10" x14ac:dyDescent="0.3">
      <c r="A344" t="s">
        <v>9</v>
      </c>
      <c r="B344" t="s">
        <v>460</v>
      </c>
      <c r="C344">
        <v>1</v>
      </c>
      <c r="D344">
        <v>8.9999999999999993E-3</v>
      </c>
      <c r="E344">
        <v>6.2736582193479631</v>
      </c>
      <c r="F344">
        <v>632.70494604323017</v>
      </c>
      <c r="G344">
        <v>0.42399999999999999</v>
      </c>
      <c r="H344">
        <v>4.3E-3</v>
      </c>
      <c r="I344">
        <v>68.801500000000004</v>
      </c>
      <c r="J344">
        <v>4.3E-3</v>
      </c>
    </row>
    <row r="345" spans="1:10" x14ac:dyDescent="0.3">
      <c r="A345" t="s">
        <v>9</v>
      </c>
      <c r="B345" t="s">
        <v>461</v>
      </c>
      <c r="C345">
        <v>1</v>
      </c>
      <c r="D345">
        <v>7.1999999999999998E-3</v>
      </c>
      <c r="E345">
        <v>6.1934251675870824</v>
      </c>
      <c r="F345">
        <v>625.2272256191161</v>
      </c>
      <c r="G345">
        <v>0.42399999999999999</v>
      </c>
      <c r="H345">
        <v>3.0999999999999999E-3</v>
      </c>
      <c r="I345">
        <v>69.000640000000004</v>
      </c>
      <c r="J345">
        <v>3.0999999999999999E-3</v>
      </c>
    </row>
    <row r="346" spans="1:10" x14ac:dyDescent="0.3">
      <c r="A346" t="s">
        <v>9</v>
      </c>
      <c r="B346" t="s">
        <v>462</v>
      </c>
      <c r="C346">
        <v>1</v>
      </c>
      <c r="D346">
        <v>5.5999999999999999E-3</v>
      </c>
      <c r="E346">
        <v>6.1240057774452614</v>
      </c>
      <c r="F346">
        <v>618.75733845789841</v>
      </c>
      <c r="G346">
        <v>0.42399999999999999</v>
      </c>
      <c r="H346">
        <v>2E-3</v>
      </c>
      <c r="I346">
        <v>69.202539999999999</v>
      </c>
      <c r="J346">
        <v>2E-3</v>
      </c>
    </row>
    <row r="347" spans="1:10" x14ac:dyDescent="0.3">
      <c r="A347" t="s">
        <v>9</v>
      </c>
      <c r="B347" t="s">
        <v>463</v>
      </c>
      <c r="C347">
        <v>1</v>
      </c>
      <c r="D347">
        <v>4.1000000000000003E-3</v>
      </c>
      <c r="E347">
        <v>6.0687795259822161</v>
      </c>
      <c r="F347">
        <v>613.61025182154253</v>
      </c>
      <c r="G347">
        <v>0.42399999999999999</v>
      </c>
      <c r="H347">
        <v>1.1000000000000001E-3</v>
      </c>
      <c r="I347">
        <v>69.402529999999999</v>
      </c>
      <c r="J347">
        <v>1.1000000000000001E-3</v>
      </c>
    </row>
    <row r="348" spans="1:10" x14ac:dyDescent="0.3">
      <c r="A348" t="s">
        <v>9</v>
      </c>
      <c r="B348" t="s">
        <v>464</v>
      </c>
      <c r="C348">
        <v>1</v>
      </c>
      <c r="D348">
        <v>3.3E-3</v>
      </c>
      <c r="E348">
        <v>6.0286727760015584</v>
      </c>
      <c r="F348">
        <v>609.87230272334523</v>
      </c>
      <c r="G348">
        <v>0.42399999999999999</v>
      </c>
      <c r="H348">
        <v>5.0000000000000001E-4</v>
      </c>
      <c r="I348">
        <v>69.600830000000002</v>
      </c>
      <c r="J348">
        <v>5.0000000000000001E-4</v>
      </c>
    </row>
    <row r="349" spans="1:10" x14ac:dyDescent="0.3">
      <c r="A349" t="s">
        <v>9</v>
      </c>
      <c r="B349" t="s">
        <v>465</v>
      </c>
      <c r="C349">
        <v>1</v>
      </c>
      <c r="D349">
        <v>2.5999999999999999E-3</v>
      </c>
      <c r="E349">
        <v>6.0040275988467826</v>
      </c>
      <c r="F349">
        <v>607.57537221252028</v>
      </c>
      <c r="G349">
        <v>0.42399999999999999</v>
      </c>
      <c r="H349">
        <v>1E-4</v>
      </c>
      <c r="I349">
        <v>69.800309999999996</v>
      </c>
      <c r="J349">
        <v>1E-4</v>
      </c>
    </row>
    <row r="350" spans="1:10" x14ac:dyDescent="0.3">
      <c r="A350" t="s">
        <v>9</v>
      </c>
      <c r="B350" t="s">
        <v>466</v>
      </c>
      <c r="C350">
        <v>1</v>
      </c>
      <c r="D350">
        <v>2.5999999999999999E-3</v>
      </c>
      <c r="E350">
        <v>5.9957344102493186</v>
      </c>
      <c r="F350">
        <v>606.80244703523647</v>
      </c>
      <c r="G350">
        <v>0.42399999999999999</v>
      </c>
      <c r="H350">
        <v>0</v>
      </c>
      <c r="I350">
        <v>70.002110000000002</v>
      </c>
      <c r="J350">
        <v>0</v>
      </c>
    </row>
    <row r="351" spans="1:10" x14ac:dyDescent="0.3">
      <c r="A351" t="s">
        <v>9</v>
      </c>
      <c r="B351" t="s">
        <v>467</v>
      </c>
      <c r="C351">
        <v>1</v>
      </c>
      <c r="D351">
        <v>1.9E-3</v>
      </c>
      <c r="E351">
        <v>6.00423165605641</v>
      </c>
      <c r="F351">
        <v>709.80158415975336</v>
      </c>
      <c r="G351">
        <v>0.42399999999999999</v>
      </c>
      <c r="H351">
        <v>1E-4</v>
      </c>
      <c r="I351">
        <v>70.202129999999997</v>
      </c>
      <c r="J351">
        <v>1E-4</v>
      </c>
    </row>
    <row r="352" spans="1:10" x14ac:dyDescent="0.3">
      <c r="A352" t="s">
        <v>9</v>
      </c>
      <c r="B352" t="s">
        <v>468</v>
      </c>
      <c r="C352">
        <v>2</v>
      </c>
      <c r="D352">
        <v>1.8E-3</v>
      </c>
      <c r="E352">
        <v>6.0292337934406213</v>
      </c>
      <c r="F352">
        <v>712.17428699751497</v>
      </c>
      <c r="G352">
        <v>0.42399999999999999</v>
      </c>
      <c r="H352">
        <v>5.0000000000000001E-4</v>
      </c>
      <c r="I352">
        <v>70.40258</v>
      </c>
      <c r="J352">
        <v>5.0000000000000001E-4</v>
      </c>
    </row>
    <row r="353" spans="1:10" x14ac:dyDescent="0.3">
      <c r="A353" t="s">
        <v>9</v>
      </c>
      <c r="B353" t="s">
        <v>469</v>
      </c>
      <c r="C353">
        <v>2</v>
      </c>
      <c r="D353">
        <v>1.8E-3</v>
      </c>
      <c r="E353">
        <v>6.0701138491261943</v>
      </c>
      <c r="F353">
        <v>716.05380428207593</v>
      </c>
      <c r="G353">
        <v>0.42399999999999999</v>
      </c>
      <c r="H353">
        <v>1.1999999999999999E-3</v>
      </c>
      <c r="I353">
        <v>70.602999999999994</v>
      </c>
      <c r="J353">
        <v>1.1999999999999999E-3</v>
      </c>
    </row>
    <row r="354" spans="1:10" x14ac:dyDescent="0.3">
      <c r="A354" t="s">
        <v>9</v>
      </c>
      <c r="B354" t="s">
        <v>470</v>
      </c>
      <c r="C354">
        <v>2</v>
      </c>
      <c r="D354">
        <v>1.8E-3</v>
      </c>
      <c r="E354">
        <v>6.1253488587574383</v>
      </c>
      <c r="F354">
        <v>721.29560669608088</v>
      </c>
      <c r="G354">
        <v>0.42399999999999999</v>
      </c>
      <c r="H354">
        <v>2E-3</v>
      </c>
      <c r="I354">
        <v>70.801770000000005</v>
      </c>
      <c r="J354">
        <v>2E-3</v>
      </c>
    </row>
    <row r="355" spans="1:10" x14ac:dyDescent="0.3">
      <c r="A355" t="s">
        <v>9</v>
      </c>
      <c r="B355" t="s">
        <v>471</v>
      </c>
      <c r="C355">
        <v>2</v>
      </c>
      <c r="D355">
        <v>1.8E-3</v>
      </c>
      <c r="E355">
        <v>6.1951330509330012</v>
      </c>
      <c r="F355">
        <v>727.91812653354179</v>
      </c>
      <c r="G355">
        <v>0.42399999999999999</v>
      </c>
      <c r="H355">
        <v>3.0999999999999999E-3</v>
      </c>
      <c r="I355">
        <v>71.003900000000002</v>
      </c>
      <c r="J355">
        <v>3.0999999999999999E-3</v>
      </c>
    </row>
    <row r="356" spans="1:10" x14ac:dyDescent="0.3">
      <c r="A356" t="s">
        <v>9</v>
      </c>
      <c r="B356" t="s">
        <v>472</v>
      </c>
      <c r="C356">
        <v>2</v>
      </c>
      <c r="D356">
        <v>1.8E-3</v>
      </c>
      <c r="E356">
        <v>6.2746814653325691</v>
      </c>
      <c r="F356">
        <v>735.46727106006085</v>
      </c>
      <c r="G356">
        <v>0.42399999999999999</v>
      </c>
      <c r="H356">
        <v>4.3E-3</v>
      </c>
      <c r="I356">
        <v>71.200879999999998</v>
      </c>
      <c r="J356">
        <v>4.3E-3</v>
      </c>
    </row>
    <row r="357" spans="1:10" x14ac:dyDescent="0.3">
      <c r="A357" t="s">
        <v>9</v>
      </c>
      <c r="B357" t="s">
        <v>473</v>
      </c>
      <c r="C357">
        <v>2</v>
      </c>
      <c r="D357">
        <v>1.8E-3</v>
      </c>
      <c r="E357">
        <v>6.364832007260941</v>
      </c>
      <c r="F357">
        <v>744.02255748906339</v>
      </c>
      <c r="G357">
        <v>0.42399999999999999</v>
      </c>
      <c r="H357">
        <v>5.7000000000000002E-3</v>
      </c>
      <c r="I357">
        <v>71.400239999999997</v>
      </c>
      <c r="J357">
        <v>5.7000000000000002E-3</v>
      </c>
    </row>
    <row r="358" spans="1:10" x14ac:dyDescent="0.3">
      <c r="A358" t="s">
        <v>9</v>
      </c>
      <c r="B358" t="s">
        <v>474</v>
      </c>
      <c r="C358">
        <v>2</v>
      </c>
      <c r="D358">
        <v>2.2000000000000001E-3</v>
      </c>
      <c r="E358">
        <v>6.4632777508862054</v>
      </c>
      <c r="F358">
        <v>753.36505855910093</v>
      </c>
      <c r="G358">
        <v>0.42399999999999999</v>
      </c>
      <c r="H358">
        <v>7.3000000000000001E-3</v>
      </c>
      <c r="I358">
        <v>71.601169999999996</v>
      </c>
      <c r="J358">
        <v>7.3000000000000001E-3</v>
      </c>
    </row>
    <row r="359" spans="1:10" x14ac:dyDescent="0.3">
      <c r="A359" t="s">
        <v>9</v>
      </c>
      <c r="B359" t="s">
        <v>475</v>
      </c>
      <c r="C359">
        <v>2</v>
      </c>
      <c r="D359">
        <v>3.2000000000000002E-3</v>
      </c>
      <c r="E359">
        <v>6.5671455710211966</v>
      </c>
      <c r="F359">
        <v>763.22211468991168</v>
      </c>
      <c r="G359">
        <v>0.42399999999999999</v>
      </c>
      <c r="H359">
        <v>8.8999999999999999E-3</v>
      </c>
      <c r="I359">
        <v>71.80256</v>
      </c>
      <c r="J359">
        <v>8.8999999999999999E-3</v>
      </c>
    </row>
    <row r="360" spans="1:10" x14ac:dyDescent="0.3">
      <c r="A360" t="s">
        <v>9</v>
      </c>
      <c r="B360" t="s">
        <v>476</v>
      </c>
      <c r="C360">
        <v>2</v>
      </c>
      <c r="D360">
        <v>5.1999999999999998E-3</v>
      </c>
      <c r="E360">
        <v>6.6719848990731014</v>
      </c>
      <c r="F360">
        <v>773.17136692203724</v>
      </c>
      <c r="G360">
        <v>0.42399999999999999</v>
      </c>
      <c r="H360">
        <v>1.0500000000000001E-2</v>
      </c>
      <c r="I360">
        <v>72.000879999999995</v>
      </c>
      <c r="J360">
        <v>1.0500000000000001E-2</v>
      </c>
    </row>
    <row r="361" spans="1:10" x14ac:dyDescent="0.3">
      <c r="A361" t="s">
        <v>9</v>
      </c>
      <c r="B361" t="s">
        <v>477</v>
      </c>
      <c r="C361">
        <v>2</v>
      </c>
      <c r="D361">
        <v>7.6E-3</v>
      </c>
      <c r="E361">
        <v>6.7775536690041864</v>
      </c>
      <c r="F361">
        <v>783.18984318849732</v>
      </c>
      <c r="G361">
        <v>0.42399999999999999</v>
      </c>
      <c r="H361">
        <v>1.21E-2</v>
      </c>
      <c r="I361">
        <v>72.200609999999998</v>
      </c>
      <c r="J361">
        <v>1.21E-2</v>
      </c>
    </row>
    <row r="362" spans="1:10" x14ac:dyDescent="0.3">
      <c r="A362" t="s">
        <v>9</v>
      </c>
      <c r="B362" t="s">
        <v>478</v>
      </c>
      <c r="C362">
        <v>2</v>
      </c>
      <c r="D362">
        <v>8.6999999999999994E-3</v>
      </c>
      <c r="E362">
        <v>6.8812884947331927</v>
      </c>
      <c r="F362">
        <v>793.03427815018006</v>
      </c>
      <c r="G362">
        <v>0.42399999999999999</v>
      </c>
      <c r="H362">
        <v>1.38E-2</v>
      </c>
      <c r="I362">
        <v>72.401859999999999</v>
      </c>
      <c r="J362">
        <v>1.38E-2</v>
      </c>
    </row>
    <row r="363" spans="1:10" x14ac:dyDescent="0.3">
      <c r="A363" t="s">
        <v>9</v>
      </c>
      <c r="B363" t="s">
        <v>479</v>
      </c>
      <c r="C363">
        <v>2</v>
      </c>
      <c r="D363">
        <v>1.0500000000000001E-2</v>
      </c>
      <c r="E363">
        <v>6.978914092672504</v>
      </c>
      <c r="F363">
        <v>802.29894739462065</v>
      </c>
      <c r="G363">
        <v>0.42399999999999999</v>
      </c>
      <c r="H363">
        <v>1.5299999999999999E-2</v>
      </c>
      <c r="I363">
        <v>72.601259999999996</v>
      </c>
      <c r="J363">
        <v>1.5299999999999999E-2</v>
      </c>
    </row>
    <row r="364" spans="1:10" x14ac:dyDescent="0.3">
      <c r="A364" t="s">
        <v>9</v>
      </c>
      <c r="B364" t="s">
        <v>480</v>
      </c>
      <c r="C364">
        <v>2</v>
      </c>
      <c r="D364">
        <v>1.23E-2</v>
      </c>
      <c r="E364">
        <v>7.0697079139456944</v>
      </c>
      <c r="F364">
        <v>810.91528103344649</v>
      </c>
      <c r="G364">
        <v>0.42399999999999999</v>
      </c>
      <c r="H364">
        <v>1.67E-2</v>
      </c>
      <c r="I364">
        <v>72.802269999999993</v>
      </c>
      <c r="J364">
        <v>1.67E-2</v>
      </c>
    </row>
    <row r="365" spans="1:10" x14ac:dyDescent="0.3">
      <c r="A365" t="s">
        <v>9</v>
      </c>
      <c r="B365" t="s">
        <v>481</v>
      </c>
      <c r="C365">
        <v>2</v>
      </c>
      <c r="D365">
        <v>1.35E-2</v>
      </c>
      <c r="E365">
        <v>7.1496882357881244</v>
      </c>
      <c r="F365">
        <v>818.50541357629299</v>
      </c>
      <c r="G365">
        <v>0.42399999999999999</v>
      </c>
      <c r="H365">
        <v>1.7899999999999999E-2</v>
      </c>
      <c r="I365">
        <v>73.00085</v>
      </c>
      <c r="J365">
        <v>1.7899999999999999E-2</v>
      </c>
    </row>
    <row r="366" spans="1:10" x14ac:dyDescent="0.3">
      <c r="A366" t="s">
        <v>9</v>
      </c>
      <c r="B366" t="s">
        <v>482</v>
      </c>
      <c r="C366">
        <v>2</v>
      </c>
      <c r="D366">
        <v>1.4800000000000001E-2</v>
      </c>
      <c r="E366">
        <v>7.2183624112385862</v>
      </c>
      <c r="F366">
        <v>825.02259282654188</v>
      </c>
      <c r="G366">
        <v>0.42399999999999999</v>
      </c>
      <c r="H366">
        <v>1.9E-2</v>
      </c>
      <c r="I366">
        <v>73.200389999999999</v>
      </c>
      <c r="J366">
        <v>1.9E-2</v>
      </c>
    </row>
    <row r="367" spans="1:10" x14ac:dyDescent="0.3">
      <c r="A367" t="s">
        <v>9</v>
      </c>
      <c r="B367" t="s">
        <v>483</v>
      </c>
      <c r="C367">
        <v>2</v>
      </c>
      <c r="D367">
        <v>1.5800000000000002E-2</v>
      </c>
      <c r="E367">
        <v>7.273683623951273</v>
      </c>
      <c r="F367">
        <v>830.27257591297587</v>
      </c>
      <c r="G367">
        <v>0.42399999999999999</v>
      </c>
      <c r="H367">
        <v>1.9900000000000001E-2</v>
      </c>
      <c r="I367">
        <v>73.400149999999996</v>
      </c>
      <c r="J367">
        <v>1.9900000000000001E-2</v>
      </c>
    </row>
    <row r="368" spans="1:10" x14ac:dyDescent="0.3">
      <c r="A368" t="s">
        <v>9</v>
      </c>
      <c r="B368" t="s">
        <v>484</v>
      </c>
      <c r="C368">
        <v>2</v>
      </c>
      <c r="D368">
        <v>1.6400000000000001E-2</v>
      </c>
      <c r="E368">
        <v>7.3147237513795149</v>
      </c>
      <c r="F368">
        <v>834.16728400591603</v>
      </c>
      <c r="G368">
        <v>0.42399999999999999</v>
      </c>
      <c r="H368">
        <v>2.0500000000000001E-2</v>
      </c>
      <c r="I368">
        <v>73.603030000000004</v>
      </c>
      <c r="J368">
        <v>2.0500000000000001E-2</v>
      </c>
    </row>
    <row r="369" spans="1:10" x14ac:dyDescent="0.3">
      <c r="A369" t="s">
        <v>9</v>
      </c>
      <c r="B369" t="s">
        <v>485</v>
      </c>
      <c r="C369">
        <v>2</v>
      </c>
      <c r="D369">
        <v>1.66E-2</v>
      </c>
      <c r="E369">
        <v>7.3391087622822839</v>
      </c>
      <c r="F369">
        <v>836.48142154058883</v>
      </c>
      <c r="G369">
        <v>0.42399999999999999</v>
      </c>
      <c r="H369">
        <v>2.0899999999999998E-2</v>
      </c>
      <c r="I369">
        <v>73.801519999999996</v>
      </c>
      <c r="J369">
        <v>2.0899999999999998E-2</v>
      </c>
    </row>
    <row r="370" spans="1:10" x14ac:dyDescent="0.3">
      <c r="A370" t="s">
        <v>9</v>
      </c>
      <c r="B370" t="s">
        <v>486</v>
      </c>
      <c r="C370">
        <v>2</v>
      </c>
      <c r="D370">
        <v>1.7399999999999999E-2</v>
      </c>
      <c r="E370">
        <v>7.3473025151975344</v>
      </c>
      <c r="F370">
        <v>837.25900869224608</v>
      </c>
      <c r="G370">
        <v>0.42399999999999999</v>
      </c>
      <c r="H370">
        <v>2.1000000000000001E-2</v>
      </c>
      <c r="I370">
        <v>74.001220000000004</v>
      </c>
      <c r="J370">
        <v>2.1000000000000001E-2</v>
      </c>
    </row>
    <row r="371" spans="1:10" x14ac:dyDescent="0.3">
      <c r="A371" t="s">
        <v>9</v>
      </c>
      <c r="B371" t="s">
        <v>487</v>
      </c>
      <c r="C371">
        <v>2</v>
      </c>
      <c r="D371">
        <v>1.7899999999999999E-2</v>
      </c>
      <c r="E371">
        <v>7.3389258949740519</v>
      </c>
      <c r="F371">
        <v>731.98789341158169</v>
      </c>
      <c r="G371">
        <v>0.42399999999999999</v>
      </c>
      <c r="H371">
        <v>2.0899999999999998E-2</v>
      </c>
      <c r="I371">
        <v>74.200680000000006</v>
      </c>
      <c r="J371">
        <v>2.0899999999999998E-2</v>
      </c>
    </row>
    <row r="372" spans="1:10" x14ac:dyDescent="0.3">
      <c r="A372" t="s">
        <v>9</v>
      </c>
      <c r="B372" t="s">
        <v>488</v>
      </c>
      <c r="C372">
        <v>2</v>
      </c>
      <c r="D372">
        <v>1.78E-2</v>
      </c>
      <c r="E372">
        <v>7.3136447937138662</v>
      </c>
      <c r="F372">
        <v>729.63169477413237</v>
      </c>
      <c r="G372">
        <v>0.42399999999999999</v>
      </c>
      <c r="H372">
        <v>2.0500000000000001E-2</v>
      </c>
      <c r="I372">
        <v>74.403530000000003</v>
      </c>
      <c r="J372">
        <v>2.0500000000000001E-2</v>
      </c>
    </row>
    <row r="373" spans="1:10" x14ac:dyDescent="0.3">
      <c r="A373" t="s">
        <v>9</v>
      </c>
      <c r="B373" t="s">
        <v>489</v>
      </c>
      <c r="C373">
        <v>2</v>
      </c>
      <c r="D373">
        <v>1.78E-2</v>
      </c>
      <c r="E373">
        <v>7.273495890994039</v>
      </c>
      <c r="F373">
        <v>725.8898170406444</v>
      </c>
      <c r="G373">
        <v>0.42399999999999999</v>
      </c>
      <c r="H373">
        <v>1.9900000000000001E-2</v>
      </c>
      <c r="I373">
        <v>74.600620000000006</v>
      </c>
      <c r="J373">
        <v>1.9900000000000001E-2</v>
      </c>
    </row>
    <row r="374" spans="1:10" x14ac:dyDescent="0.3">
      <c r="A374" t="s">
        <v>9</v>
      </c>
      <c r="B374" t="s">
        <v>490</v>
      </c>
      <c r="C374">
        <v>2</v>
      </c>
      <c r="D374">
        <v>1.78E-2</v>
      </c>
      <c r="E374">
        <v>7.2175563353876599</v>
      </c>
      <c r="F374">
        <v>720.67625045812997</v>
      </c>
      <c r="G374">
        <v>0.42399999999999999</v>
      </c>
      <c r="H374">
        <v>1.9E-2</v>
      </c>
      <c r="I374">
        <v>74.802189999999996</v>
      </c>
      <c r="J374">
        <v>1.9E-2</v>
      </c>
    </row>
    <row r="375" spans="1:10" x14ac:dyDescent="0.3">
      <c r="A375" t="s">
        <v>9</v>
      </c>
      <c r="B375" t="s">
        <v>491</v>
      </c>
      <c r="C375">
        <v>2</v>
      </c>
      <c r="D375">
        <v>1.78E-2</v>
      </c>
      <c r="E375">
        <v>7.1484032989814894</v>
      </c>
      <c r="F375">
        <v>714.23118746507487</v>
      </c>
      <c r="G375">
        <v>0.42399999999999999</v>
      </c>
      <c r="H375">
        <v>1.7899999999999999E-2</v>
      </c>
      <c r="I375">
        <v>75.002570000000006</v>
      </c>
      <c r="J375">
        <v>1.7899999999999999E-2</v>
      </c>
    </row>
    <row r="376" spans="1:10" x14ac:dyDescent="0.3">
      <c r="A376" t="s">
        <v>9</v>
      </c>
      <c r="B376" t="s">
        <v>492</v>
      </c>
      <c r="C376">
        <v>2</v>
      </c>
      <c r="D376">
        <v>1.78E-2</v>
      </c>
      <c r="E376">
        <v>7.0683017413848219</v>
      </c>
      <c r="F376">
        <v>706.76572229706539</v>
      </c>
      <c r="G376">
        <v>0.42399999999999999</v>
      </c>
      <c r="H376">
        <v>1.67E-2</v>
      </c>
      <c r="I376">
        <v>75.200999999999993</v>
      </c>
      <c r="J376">
        <v>1.67E-2</v>
      </c>
    </row>
    <row r="377" spans="1:10" x14ac:dyDescent="0.3">
      <c r="A377" t="s">
        <v>9</v>
      </c>
      <c r="B377" t="s">
        <v>493</v>
      </c>
      <c r="C377">
        <v>2</v>
      </c>
      <c r="D377">
        <v>1.7600000000000001E-2</v>
      </c>
      <c r="E377">
        <v>6.9777070062498661</v>
      </c>
      <c r="F377">
        <v>698.32229298248751</v>
      </c>
      <c r="G377">
        <v>0.42399999999999999</v>
      </c>
      <c r="H377">
        <v>1.5299999999999999E-2</v>
      </c>
      <c r="I377">
        <v>75.401290000000003</v>
      </c>
      <c r="J377">
        <v>1.5299999999999999E-2</v>
      </c>
    </row>
    <row r="378" spans="1:10" x14ac:dyDescent="0.3">
      <c r="A378" t="s">
        <v>9</v>
      </c>
      <c r="B378" t="s">
        <v>494</v>
      </c>
      <c r="C378">
        <v>2</v>
      </c>
      <c r="D378">
        <v>1.7500000000000002E-2</v>
      </c>
      <c r="E378">
        <v>6.8795441595668523</v>
      </c>
      <c r="F378">
        <v>689.17351567163064</v>
      </c>
      <c r="G378">
        <v>0.42399999999999999</v>
      </c>
      <c r="H378">
        <v>1.37E-2</v>
      </c>
      <c r="I378">
        <v>75.601590000000002</v>
      </c>
      <c r="J378">
        <v>1.37E-2</v>
      </c>
    </row>
    <row r="379" spans="1:10" x14ac:dyDescent="0.3">
      <c r="A379" t="s">
        <v>9</v>
      </c>
      <c r="B379" t="s">
        <v>495</v>
      </c>
      <c r="C379">
        <v>2</v>
      </c>
      <c r="D379">
        <v>1.6899999999999998E-2</v>
      </c>
      <c r="E379">
        <v>6.7769162689852456</v>
      </c>
      <c r="F379">
        <v>679.60859626942499</v>
      </c>
      <c r="G379">
        <v>0.42399999999999999</v>
      </c>
      <c r="H379">
        <v>1.21E-2</v>
      </c>
      <c r="I379">
        <v>75.800610000000006</v>
      </c>
      <c r="J379">
        <v>1.21E-2</v>
      </c>
    </row>
    <row r="380" spans="1:10" x14ac:dyDescent="0.3">
      <c r="A380" t="s">
        <v>9</v>
      </c>
      <c r="B380" t="s">
        <v>496</v>
      </c>
      <c r="C380">
        <v>2</v>
      </c>
      <c r="D380">
        <v>1.6199999999999999E-2</v>
      </c>
      <c r="E380">
        <v>6.6709655456076931</v>
      </c>
      <c r="F380">
        <v>669.73398885063705</v>
      </c>
      <c r="G380">
        <v>0.42399999999999999</v>
      </c>
      <c r="H380">
        <v>1.0500000000000001E-2</v>
      </c>
      <c r="I380">
        <v>76.001040000000003</v>
      </c>
      <c r="J380">
        <v>1.0500000000000001E-2</v>
      </c>
    </row>
    <row r="381" spans="1:10" x14ac:dyDescent="0.3">
      <c r="A381" t="s">
        <v>9</v>
      </c>
      <c r="B381" t="s">
        <v>497</v>
      </c>
      <c r="C381">
        <v>2</v>
      </c>
      <c r="D381">
        <v>1.49E-2</v>
      </c>
      <c r="E381">
        <v>6.5657616993515742</v>
      </c>
      <c r="F381">
        <v>659.9289903795667</v>
      </c>
      <c r="G381">
        <v>0.42399999999999999</v>
      </c>
      <c r="H381">
        <v>8.8999999999999999E-3</v>
      </c>
      <c r="I381">
        <v>76.200069999999997</v>
      </c>
      <c r="J381">
        <v>8.8999999999999999E-3</v>
      </c>
    </row>
    <row r="382" spans="1:10" x14ac:dyDescent="0.3">
      <c r="A382" t="s">
        <v>9</v>
      </c>
      <c r="B382" t="s">
        <v>498</v>
      </c>
      <c r="C382">
        <v>2</v>
      </c>
      <c r="D382">
        <v>1.2699999999999999E-2</v>
      </c>
      <c r="E382">
        <v>6.4620211970320707</v>
      </c>
      <c r="F382">
        <v>650.26037556338906</v>
      </c>
      <c r="G382">
        <v>0.42399999999999999</v>
      </c>
      <c r="H382">
        <v>7.1999999999999998E-3</v>
      </c>
      <c r="I382">
        <v>76.401319999999998</v>
      </c>
      <c r="J382">
        <v>7.1999999999999998E-3</v>
      </c>
    </row>
    <row r="383" spans="1:10" x14ac:dyDescent="0.3">
      <c r="A383" t="s">
        <v>9</v>
      </c>
      <c r="B383" t="s">
        <v>499</v>
      </c>
      <c r="C383">
        <v>2</v>
      </c>
      <c r="D383">
        <v>1.0800000000000001E-2</v>
      </c>
      <c r="E383">
        <v>6.3641122155856076</v>
      </c>
      <c r="F383">
        <v>641.1352584925786</v>
      </c>
      <c r="G383">
        <v>0.42399999999999999</v>
      </c>
      <c r="H383">
        <v>5.7000000000000002E-3</v>
      </c>
      <c r="I383">
        <v>76.601280000000003</v>
      </c>
      <c r="J383">
        <v>5.7000000000000002E-3</v>
      </c>
    </row>
    <row r="384" spans="1:10" x14ac:dyDescent="0.3">
      <c r="A384" t="s">
        <v>9</v>
      </c>
      <c r="B384" t="s">
        <v>500</v>
      </c>
      <c r="C384">
        <v>2</v>
      </c>
      <c r="D384">
        <v>8.8000000000000005E-3</v>
      </c>
      <c r="E384">
        <v>6.2737985122274509</v>
      </c>
      <c r="F384">
        <v>632.71802133959841</v>
      </c>
      <c r="G384">
        <v>0.42399999999999999</v>
      </c>
      <c r="H384">
        <v>4.3E-3</v>
      </c>
      <c r="I384">
        <v>76.801169999999999</v>
      </c>
      <c r="J384">
        <v>4.3E-3</v>
      </c>
    </row>
    <row r="385" spans="1:10" x14ac:dyDescent="0.3">
      <c r="A385" t="s">
        <v>9</v>
      </c>
      <c r="B385" t="s">
        <v>501</v>
      </c>
      <c r="C385">
        <v>2</v>
      </c>
      <c r="D385">
        <v>7.7000000000000002E-3</v>
      </c>
      <c r="E385">
        <v>6.1932617628748474</v>
      </c>
      <c r="F385">
        <v>625.21199629993566</v>
      </c>
      <c r="G385">
        <v>0.42399999999999999</v>
      </c>
      <c r="H385">
        <v>3.0999999999999999E-3</v>
      </c>
      <c r="I385">
        <v>77.001080000000002</v>
      </c>
      <c r="J385">
        <v>3.0999999999999999E-3</v>
      </c>
    </row>
    <row r="386" spans="1:10" x14ac:dyDescent="0.3">
      <c r="A386" t="s">
        <v>9</v>
      </c>
      <c r="B386" t="s">
        <v>502</v>
      </c>
      <c r="C386">
        <v>2</v>
      </c>
      <c r="D386">
        <v>5.7999999999999996E-3</v>
      </c>
      <c r="E386">
        <v>6.1247400849734444</v>
      </c>
      <c r="F386">
        <v>618.82577591952509</v>
      </c>
      <c r="G386">
        <v>0.42399999999999999</v>
      </c>
      <c r="H386">
        <v>2E-3</v>
      </c>
      <c r="I386">
        <v>77.200180000000003</v>
      </c>
      <c r="J386">
        <v>2E-3</v>
      </c>
    </row>
    <row r="387" spans="1:10" x14ac:dyDescent="0.3">
      <c r="A387" t="s">
        <v>9</v>
      </c>
      <c r="B387" t="s">
        <v>503</v>
      </c>
      <c r="C387">
        <v>2</v>
      </c>
      <c r="D387">
        <v>4.3E-3</v>
      </c>
      <c r="E387">
        <v>6.0688580251194093</v>
      </c>
      <c r="F387">
        <v>613.61756794112898</v>
      </c>
      <c r="G387">
        <v>0.42399999999999999</v>
      </c>
      <c r="H387">
        <v>1.1000000000000001E-3</v>
      </c>
      <c r="I387">
        <v>77.402209999999997</v>
      </c>
      <c r="J387">
        <v>1.1000000000000001E-3</v>
      </c>
    </row>
    <row r="388" spans="1:10" x14ac:dyDescent="0.3">
      <c r="A388" t="s">
        <v>9</v>
      </c>
      <c r="B388" t="s">
        <v>504</v>
      </c>
      <c r="C388">
        <v>2</v>
      </c>
      <c r="D388">
        <v>4.1000000000000003E-3</v>
      </c>
      <c r="E388">
        <v>6.0287732759816439</v>
      </c>
      <c r="F388">
        <v>609.8816693214892</v>
      </c>
      <c r="G388">
        <v>0.42399999999999999</v>
      </c>
      <c r="H388">
        <v>5.0000000000000001E-4</v>
      </c>
      <c r="I388">
        <v>77.600210000000004</v>
      </c>
      <c r="J388">
        <v>5.0000000000000001E-4</v>
      </c>
    </row>
    <row r="389" spans="1:10" x14ac:dyDescent="0.3">
      <c r="A389" t="s">
        <v>9</v>
      </c>
      <c r="B389" t="s">
        <v>505</v>
      </c>
      <c r="C389">
        <v>2</v>
      </c>
      <c r="D389">
        <v>2.8E-3</v>
      </c>
      <c r="E389">
        <v>6.0038614450428636</v>
      </c>
      <c r="F389">
        <v>607.559886677995</v>
      </c>
      <c r="G389">
        <v>0.42399999999999999</v>
      </c>
      <c r="H389">
        <v>1E-4</v>
      </c>
      <c r="I389">
        <v>77.802319999999995</v>
      </c>
      <c r="J389">
        <v>1E-4</v>
      </c>
    </row>
    <row r="390" spans="1:10" x14ac:dyDescent="0.3">
      <c r="A390" t="s">
        <v>9</v>
      </c>
      <c r="B390" t="s">
        <v>506</v>
      </c>
      <c r="C390">
        <v>2</v>
      </c>
      <c r="D390">
        <v>2.5000000000000001E-3</v>
      </c>
      <c r="E390">
        <v>5.995734813048017</v>
      </c>
      <c r="F390">
        <v>606.80248457607524</v>
      </c>
      <c r="G390">
        <v>0.42399999999999999</v>
      </c>
      <c r="H390">
        <v>0</v>
      </c>
      <c r="I390">
        <v>78.002510000000001</v>
      </c>
      <c r="J390">
        <v>0</v>
      </c>
    </row>
    <row r="391" spans="1:10" x14ac:dyDescent="0.3">
      <c r="A391" t="s">
        <v>9</v>
      </c>
      <c r="B391" t="s">
        <v>507</v>
      </c>
      <c r="C391">
        <v>2</v>
      </c>
      <c r="D391">
        <v>1.6999999999999999E-3</v>
      </c>
      <c r="E391">
        <v>6.0041202043113682</v>
      </c>
      <c r="F391">
        <v>709.79100738914883</v>
      </c>
      <c r="G391">
        <v>0.42399999999999999</v>
      </c>
      <c r="H391">
        <v>1E-4</v>
      </c>
      <c r="I391">
        <v>78.200800000000001</v>
      </c>
      <c r="J391">
        <v>1E-4</v>
      </c>
    </row>
    <row r="392" spans="1:10" x14ac:dyDescent="0.3">
      <c r="A392" t="s">
        <v>9</v>
      </c>
      <c r="B392" t="s">
        <v>508</v>
      </c>
      <c r="C392">
        <v>2</v>
      </c>
      <c r="D392">
        <v>1.8E-3</v>
      </c>
      <c r="E392">
        <v>6.028989456766694</v>
      </c>
      <c r="F392">
        <v>712.15109944715925</v>
      </c>
      <c r="G392">
        <v>0.42399999999999999</v>
      </c>
      <c r="H392">
        <v>5.0000000000000001E-4</v>
      </c>
      <c r="I392">
        <v>78.4011</v>
      </c>
      <c r="J392">
        <v>5.0000000000000001E-4</v>
      </c>
    </row>
    <row r="393" spans="1:10" x14ac:dyDescent="0.3">
      <c r="A393" t="s">
        <v>9</v>
      </c>
      <c r="B393" t="s">
        <v>509</v>
      </c>
      <c r="C393">
        <v>2</v>
      </c>
      <c r="D393">
        <v>1.8E-3</v>
      </c>
      <c r="E393">
        <v>6.0694997636753749</v>
      </c>
      <c r="F393">
        <v>715.99552757279309</v>
      </c>
      <c r="G393">
        <v>0.42399999999999999</v>
      </c>
      <c r="H393">
        <v>1.1000000000000001E-3</v>
      </c>
      <c r="I393">
        <v>78.600459999999998</v>
      </c>
      <c r="J393">
        <v>1.1000000000000001E-3</v>
      </c>
    </row>
    <row r="394" spans="1:10" x14ac:dyDescent="0.3">
      <c r="A394" t="s">
        <v>9</v>
      </c>
      <c r="B394" t="s">
        <v>510</v>
      </c>
      <c r="C394">
        <v>2</v>
      </c>
      <c r="D394">
        <v>1.8E-3</v>
      </c>
      <c r="E394">
        <v>6.1248250716426362</v>
      </c>
      <c r="F394">
        <v>721.24589929888623</v>
      </c>
      <c r="G394">
        <v>0.42399999999999999</v>
      </c>
      <c r="H394">
        <v>2E-3</v>
      </c>
      <c r="I394">
        <v>78.800089999999997</v>
      </c>
      <c r="J394">
        <v>2E-3</v>
      </c>
    </row>
    <row r="395" spans="1:10" x14ac:dyDescent="0.3">
      <c r="A395" t="s">
        <v>9</v>
      </c>
      <c r="B395" t="s">
        <v>511</v>
      </c>
      <c r="C395">
        <v>2</v>
      </c>
      <c r="D395">
        <v>1.8E-3</v>
      </c>
      <c r="E395">
        <v>6.194259220919756</v>
      </c>
      <c r="F395">
        <v>727.83520006528488</v>
      </c>
      <c r="G395">
        <v>0.42399999999999999</v>
      </c>
      <c r="H395">
        <v>3.0999999999999999E-3</v>
      </c>
      <c r="I395">
        <v>79.001580000000004</v>
      </c>
      <c r="J395">
        <v>3.0999999999999999E-3</v>
      </c>
    </row>
    <row r="396" spans="1:10" x14ac:dyDescent="0.3">
      <c r="A396" t="s">
        <v>9</v>
      </c>
      <c r="B396" t="s">
        <v>512</v>
      </c>
      <c r="C396">
        <v>2</v>
      </c>
      <c r="D396">
        <v>1.8E-3</v>
      </c>
      <c r="E396">
        <v>6.2748748343332252</v>
      </c>
      <c r="F396">
        <v>735.48562177822316</v>
      </c>
      <c r="G396">
        <v>0.42399999999999999</v>
      </c>
      <c r="H396">
        <v>4.3E-3</v>
      </c>
      <c r="I396">
        <v>79.201329999999999</v>
      </c>
      <c r="J396">
        <v>4.3E-3</v>
      </c>
    </row>
    <row r="397" spans="1:10" x14ac:dyDescent="0.3">
      <c r="A397" t="s">
        <v>9</v>
      </c>
      <c r="B397" t="s">
        <v>513</v>
      </c>
      <c r="C397">
        <v>2</v>
      </c>
      <c r="D397">
        <v>2.0999999999999999E-3</v>
      </c>
      <c r="E397">
        <v>5.9957334838115024</v>
      </c>
      <c r="F397">
        <v>606.80236069123202</v>
      </c>
      <c r="G397">
        <v>0.42399999999999999</v>
      </c>
      <c r="H397">
        <v>0</v>
      </c>
      <c r="I397">
        <v>79.401290000000003</v>
      </c>
      <c r="J397">
        <v>0</v>
      </c>
    </row>
    <row r="398" spans="1:10" x14ac:dyDescent="0.3">
      <c r="A398" t="s">
        <v>9</v>
      </c>
      <c r="B398" t="s">
        <v>514</v>
      </c>
      <c r="C398">
        <v>2</v>
      </c>
      <c r="D398">
        <v>2E-3</v>
      </c>
      <c r="E398">
        <v>5.9957334838115024</v>
      </c>
      <c r="F398">
        <v>606.80236069123202</v>
      </c>
      <c r="G398">
        <v>0.42399999999999999</v>
      </c>
      <c r="H398">
        <v>0</v>
      </c>
      <c r="I398">
        <v>79.600229999999996</v>
      </c>
      <c r="J398">
        <v>0</v>
      </c>
    </row>
    <row r="399" spans="1:10" x14ac:dyDescent="0.3">
      <c r="A399" t="s">
        <v>9</v>
      </c>
      <c r="B399" t="s">
        <v>515</v>
      </c>
      <c r="C399">
        <v>2</v>
      </c>
      <c r="D399">
        <v>1.6000000000000001E-3</v>
      </c>
      <c r="E399">
        <v>5.9957334838115024</v>
      </c>
      <c r="F399">
        <v>606.80236069123202</v>
      </c>
      <c r="G399">
        <v>0.42399999999999999</v>
      </c>
      <c r="H399">
        <v>0</v>
      </c>
      <c r="I399">
        <v>79.802269999999993</v>
      </c>
      <c r="J399">
        <v>0</v>
      </c>
    </row>
    <row r="400" spans="1:10" x14ac:dyDescent="0.3">
      <c r="A400" t="s">
        <v>9</v>
      </c>
      <c r="B400" t="s">
        <v>516</v>
      </c>
      <c r="C400">
        <v>2</v>
      </c>
      <c r="D400">
        <v>1.6000000000000001E-3</v>
      </c>
      <c r="E400">
        <v>5.9957334838115024</v>
      </c>
      <c r="F400">
        <v>606.80236069123202</v>
      </c>
      <c r="G400">
        <v>0.42399999999999999</v>
      </c>
      <c r="H400">
        <v>0</v>
      </c>
      <c r="I400">
        <v>80.000600000000006</v>
      </c>
      <c r="J400">
        <v>0</v>
      </c>
    </row>
    <row r="401" spans="1:10" x14ac:dyDescent="0.3">
      <c r="A401" t="s">
        <v>9</v>
      </c>
      <c r="B401" t="s">
        <v>517</v>
      </c>
      <c r="C401">
        <v>2</v>
      </c>
      <c r="D401">
        <v>1.6000000000000001E-3</v>
      </c>
      <c r="E401">
        <v>5.9957334838115024</v>
      </c>
      <c r="F401">
        <v>606.80236069123202</v>
      </c>
      <c r="G401">
        <v>0.42399999999999999</v>
      </c>
      <c r="H401">
        <v>0</v>
      </c>
      <c r="I401">
        <v>80.201149999999998</v>
      </c>
      <c r="J401">
        <v>0</v>
      </c>
    </row>
    <row r="402" spans="1:10" x14ac:dyDescent="0.3">
      <c r="A402" t="s">
        <v>9</v>
      </c>
      <c r="B402" t="s">
        <v>518</v>
      </c>
      <c r="C402">
        <v>2</v>
      </c>
      <c r="D402">
        <v>1.6000000000000001E-3</v>
      </c>
      <c r="E402">
        <v>5.9957334838115024</v>
      </c>
      <c r="F402">
        <v>606.80236069123202</v>
      </c>
      <c r="G402">
        <v>0.42399999999999999</v>
      </c>
      <c r="H402">
        <v>0</v>
      </c>
      <c r="I402">
        <v>80.400480000000002</v>
      </c>
      <c r="J402">
        <v>0</v>
      </c>
    </row>
    <row r="403" spans="1:10" x14ac:dyDescent="0.3">
      <c r="A403" t="s">
        <v>9</v>
      </c>
      <c r="B403" t="s">
        <v>519</v>
      </c>
      <c r="C403">
        <v>2</v>
      </c>
      <c r="D403">
        <v>1.6000000000000001E-3</v>
      </c>
      <c r="E403">
        <v>5.9957334838115024</v>
      </c>
      <c r="F403">
        <v>606.80236069123202</v>
      </c>
      <c r="G403">
        <v>0.42399999999999999</v>
      </c>
      <c r="H403">
        <v>0</v>
      </c>
      <c r="I403">
        <v>80.602180000000004</v>
      </c>
      <c r="J403">
        <v>0</v>
      </c>
    </row>
    <row r="404" spans="1:10" x14ac:dyDescent="0.3">
      <c r="A404" t="s">
        <v>9</v>
      </c>
      <c r="B404" t="s">
        <v>520</v>
      </c>
      <c r="C404">
        <v>2</v>
      </c>
      <c r="D404">
        <v>1.6000000000000001E-3</v>
      </c>
      <c r="E404">
        <v>5.9957334838115024</v>
      </c>
      <c r="F404">
        <v>606.80236069123202</v>
      </c>
      <c r="G404">
        <v>0.42399999999999999</v>
      </c>
      <c r="H404">
        <v>0</v>
      </c>
      <c r="I404">
        <v>80.802180000000007</v>
      </c>
      <c r="J404">
        <v>0</v>
      </c>
    </row>
    <row r="405" spans="1:10" x14ac:dyDescent="0.3">
      <c r="A405" t="s">
        <v>9</v>
      </c>
      <c r="B405" t="s">
        <v>521</v>
      </c>
      <c r="C405">
        <v>2</v>
      </c>
      <c r="D405">
        <v>1.6000000000000001E-3</v>
      </c>
      <c r="E405">
        <v>5.9957334838115024</v>
      </c>
      <c r="F405">
        <v>606.80236069123202</v>
      </c>
      <c r="G405">
        <v>0.42399999999999999</v>
      </c>
      <c r="H405">
        <v>0</v>
      </c>
      <c r="I405">
        <v>81.001570000000001</v>
      </c>
      <c r="J405">
        <v>0</v>
      </c>
    </row>
    <row r="406" spans="1:10" x14ac:dyDescent="0.3">
      <c r="A406" t="s">
        <v>9</v>
      </c>
      <c r="B406" t="s">
        <v>522</v>
      </c>
      <c r="C406">
        <v>2</v>
      </c>
      <c r="D406">
        <v>1.6000000000000001E-3</v>
      </c>
      <c r="E406">
        <v>5.9957334838115024</v>
      </c>
      <c r="F406">
        <v>606.80236069123202</v>
      </c>
      <c r="G406">
        <v>0.42399999999999999</v>
      </c>
      <c r="H406">
        <v>0</v>
      </c>
      <c r="I406">
        <v>81.202259999999995</v>
      </c>
      <c r="J406">
        <v>0</v>
      </c>
    </row>
    <row r="407" spans="1:10" x14ac:dyDescent="0.3">
      <c r="A407" t="s">
        <v>9</v>
      </c>
      <c r="B407" t="s">
        <v>523</v>
      </c>
      <c r="C407">
        <v>2</v>
      </c>
      <c r="D407">
        <v>1.5E-3</v>
      </c>
      <c r="E407">
        <v>5.9957334838115024</v>
      </c>
      <c r="F407">
        <v>606.80236069123202</v>
      </c>
      <c r="G407">
        <v>0.42399999999999999</v>
      </c>
      <c r="H407">
        <v>0</v>
      </c>
      <c r="I407">
        <v>81.400639999999996</v>
      </c>
      <c r="J407">
        <v>0</v>
      </c>
    </row>
    <row r="408" spans="1:10" x14ac:dyDescent="0.3">
      <c r="A408" t="s">
        <v>9</v>
      </c>
      <c r="B408" t="s">
        <v>524</v>
      </c>
      <c r="C408">
        <v>2</v>
      </c>
      <c r="D408">
        <v>1.6000000000000001E-3</v>
      </c>
      <c r="E408">
        <v>5.9957334838115024</v>
      </c>
      <c r="F408">
        <v>606.80236069123202</v>
      </c>
      <c r="G408">
        <v>0.42399999999999999</v>
      </c>
      <c r="H408">
        <v>0</v>
      </c>
      <c r="I408">
        <v>81.600899999999996</v>
      </c>
      <c r="J408">
        <v>0</v>
      </c>
    </row>
    <row r="409" spans="1:10" x14ac:dyDescent="0.3">
      <c r="A409" t="s">
        <v>9</v>
      </c>
      <c r="B409" t="s">
        <v>525</v>
      </c>
      <c r="C409">
        <v>2</v>
      </c>
      <c r="D409">
        <v>1.6000000000000001E-3</v>
      </c>
      <c r="E409">
        <v>7.3390990309842854</v>
      </c>
      <c r="F409">
        <v>836.48049804040863</v>
      </c>
      <c r="G409">
        <v>0.42399999999999999</v>
      </c>
      <c r="H409">
        <v>2.0899999999999998E-2</v>
      </c>
      <c r="I409">
        <v>81.801410000000004</v>
      </c>
      <c r="J409">
        <v>2.0899999999999998E-2</v>
      </c>
    </row>
    <row r="410" spans="1:10" x14ac:dyDescent="0.3">
      <c r="A410" t="s">
        <v>9</v>
      </c>
      <c r="B410" t="s">
        <v>526</v>
      </c>
      <c r="C410">
        <v>2</v>
      </c>
      <c r="D410">
        <v>9.1000000000000004E-3</v>
      </c>
      <c r="E410">
        <v>7.3473017042560347</v>
      </c>
      <c r="F410">
        <v>837.25893173389773</v>
      </c>
      <c r="G410">
        <v>0.42399999999999999</v>
      </c>
      <c r="H410">
        <v>2.1000000000000001E-2</v>
      </c>
      <c r="I410">
        <v>82.001999999999995</v>
      </c>
      <c r="J410">
        <v>2.1000000000000001E-2</v>
      </c>
    </row>
    <row r="411" spans="1:10" x14ac:dyDescent="0.3">
      <c r="A411" t="s">
        <v>9</v>
      </c>
      <c r="B411" t="s">
        <v>527</v>
      </c>
      <c r="C411">
        <v>2</v>
      </c>
      <c r="D411">
        <v>1.49E-2</v>
      </c>
      <c r="E411">
        <v>7.3389283277985493</v>
      </c>
      <c r="F411">
        <v>731.98812015082478</v>
      </c>
      <c r="G411">
        <v>0.42399999999999999</v>
      </c>
      <c r="H411">
        <v>2.0899999999999998E-2</v>
      </c>
      <c r="I411">
        <v>82.200649999999996</v>
      </c>
      <c r="J411">
        <v>2.0899999999999998E-2</v>
      </c>
    </row>
    <row r="412" spans="1:10" x14ac:dyDescent="0.3">
      <c r="A412" t="s">
        <v>9</v>
      </c>
      <c r="B412" t="s">
        <v>528</v>
      </c>
      <c r="C412">
        <v>2</v>
      </c>
      <c r="D412">
        <v>1.5699999999999999E-2</v>
      </c>
      <c r="E412">
        <v>7.3139391654783372</v>
      </c>
      <c r="F412">
        <v>729.6591302225811</v>
      </c>
      <c r="G412">
        <v>0.42399999999999999</v>
      </c>
      <c r="H412">
        <v>2.0500000000000001E-2</v>
      </c>
      <c r="I412">
        <v>82.401750000000007</v>
      </c>
      <c r="J412">
        <v>2.0500000000000001E-2</v>
      </c>
    </row>
    <row r="413" spans="1:10" x14ac:dyDescent="0.3">
      <c r="A413" t="s">
        <v>9</v>
      </c>
      <c r="B413" t="s">
        <v>529</v>
      </c>
      <c r="C413">
        <v>2</v>
      </c>
      <c r="D413">
        <v>1.5699999999999999E-2</v>
      </c>
      <c r="E413">
        <v>7.2732440936583131</v>
      </c>
      <c r="F413">
        <v>725.86634952895486</v>
      </c>
      <c r="G413">
        <v>0.42399999999999999</v>
      </c>
      <c r="H413">
        <v>1.9800000000000002E-2</v>
      </c>
      <c r="I413">
        <v>82.601659999999995</v>
      </c>
      <c r="J413">
        <v>1.9800000000000002E-2</v>
      </c>
    </row>
    <row r="414" spans="1:10" x14ac:dyDescent="0.3">
      <c r="A414" t="s">
        <v>9</v>
      </c>
      <c r="B414" t="s">
        <v>530</v>
      </c>
      <c r="C414">
        <v>2</v>
      </c>
      <c r="D414">
        <v>1.5699999999999999E-2</v>
      </c>
      <c r="E414">
        <v>7.2180027586833697</v>
      </c>
      <c r="F414">
        <v>720.71785710929009</v>
      </c>
      <c r="G414">
        <v>0.42399999999999999</v>
      </c>
      <c r="H414">
        <v>1.9E-2</v>
      </c>
      <c r="I414">
        <v>82.800749999999994</v>
      </c>
      <c r="J414">
        <v>1.9E-2</v>
      </c>
    </row>
    <row r="415" spans="1:10" x14ac:dyDescent="0.3">
      <c r="A415" t="s">
        <v>9</v>
      </c>
      <c r="B415" t="s">
        <v>531</v>
      </c>
      <c r="C415">
        <v>2</v>
      </c>
      <c r="D415">
        <v>1.5699999999999999E-2</v>
      </c>
      <c r="E415">
        <v>7.1486246860109688</v>
      </c>
      <c r="F415">
        <v>714.25182073622227</v>
      </c>
      <c r="G415">
        <v>0.42399999999999999</v>
      </c>
      <c r="H415">
        <v>1.7899999999999999E-2</v>
      </c>
      <c r="I415">
        <v>83.001980000000003</v>
      </c>
      <c r="J415">
        <v>1.7899999999999999E-2</v>
      </c>
    </row>
    <row r="416" spans="1:10" x14ac:dyDescent="0.3">
      <c r="A416" t="s">
        <v>9</v>
      </c>
      <c r="B416" t="s">
        <v>532</v>
      </c>
      <c r="C416">
        <v>2</v>
      </c>
      <c r="D416">
        <v>1.5699999999999999E-2</v>
      </c>
      <c r="E416">
        <v>7.0678390992591149</v>
      </c>
      <c r="F416">
        <v>706.72260405094949</v>
      </c>
      <c r="G416">
        <v>0.42399999999999999</v>
      </c>
      <c r="H416">
        <v>1.67E-2</v>
      </c>
      <c r="I416">
        <v>83.202079999999995</v>
      </c>
      <c r="J416">
        <v>1.67E-2</v>
      </c>
    </row>
    <row r="417" spans="1:10" x14ac:dyDescent="0.3">
      <c r="A417" t="s">
        <v>9</v>
      </c>
      <c r="B417" t="s">
        <v>533</v>
      </c>
      <c r="C417">
        <v>2</v>
      </c>
      <c r="D417">
        <v>1.5699999999999999E-2</v>
      </c>
      <c r="E417">
        <v>6.9776940311858668</v>
      </c>
      <c r="F417">
        <v>698.32108370652281</v>
      </c>
      <c r="G417">
        <v>0.42399999999999999</v>
      </c>
      <c r="H417">
        <v>1.5299999999999999E-2</v>
      </c>
      <c r="I417">
        <v>83.401309999999995</v>
      </c>
      <c r="J417">
        <v>1.5299999999999999E-2</v>
      </c>
    </row>
    <row r="418" spans="1:10" x14ac:dyDescent="0.3">
      <c r="A418" t="s">
        <v>9</v>
      </c>
      <c r="B418" t="s">
        <v>534</v>
      </c>
      <c r="C418">
        <v>2</v>
      </c>
      <c r="D418">
        <v>1.5599999999999999E-2</v>
      </c>
      <c r="E418">
        <v>6.8795182094388529</v>
      </c>
      <c r="F418">
        <v>689.17109711970113</v>
      </c>
      <c r="G418">
        <v>0.42399999999999999</v>
      </c>
      <c r="H418">
        <v>1.37E-2</v>
      </c>
      <c r="I418">
        <v>83.601640000000003</v>
      </c>
      <c r="J418">
        <v>1.37E-2</v>
      </c>
    </row>
    <row r="419" spans="1:10" x14ac:dyDescent="0.3">
      <c r="A419" t="s">
        <v>9</v>
      </c>
      <c r="B419" t="s">
        <v>535</v>
      </c>
      <c r="C419">
        <v>2</v>
      </c>
      <c r="D419">
        <v>1.55E-2</v>
      </c>
      <c r="E419">
        <v>6.7755518599116202</v>
      </c>
      <c r="F419">
        <v>679.481433343763</v>
      </c>
      <c r="G419">
        <v>0.42399999999999999</v>
      </c>
      <c r="H419">
        <v>1.21E-2</v>
      </c>
      <c r="I419">
        <v>83.803210000000007</v>
      </c>
      <c r="J419">
        <v>1.21E-2</v>
      </c>
    </row>
    <row r="420" spans="1:10" x14ac:dyDescent="0.3">
      <c r="A420" t="s">
        <v>9</v>
      </c>
      <c r="B420" t="s">
        <v>536</v>
      </c>
      <c r="C420">
        <v>2</v>
      </c>
      <c r="D420">
        <v>1.5299999999999999E-2</v>
      </c>
      <c r="E420">
        <v>6.6700613458352782</v>
      </c>
      <c r="F420">
        <v>669.64971743184799</v>
      </c>
      <c r="G420">
        <v>0.42399999999999999</v>
      </c>
      <c r="H420">
        <v>1.0500000000000001E-2</v>
      </c>
      <c r="I420">
        <v>84.002750000000006</v>
      </c>
      <c r="J420">
        <v>1.0500000000000001E-2</v>
      </c>
    </row>
    <row r="421" spans="1:10" x14ac:dyDescent="0.3">
      <c r="A421" t="s">
        <v>9</v>
      </c>
      <c r="B421" t="s">
        <v>537</v>
      </c>
      <c r="C421">
        <v>2</v>
      </c>
      <c r="D421">
        <v>1.43E-2</v>
      </c>
      <c r="E421">
        <v>6.5656250557088374</v>
      </c>
      <c r="F421">
        <v>659.91625519206366</v>
      </c>
      <c r="G421">
        <v>0.42399999999999999</v>
      </c>
      <c r="H421">
        <v>8.8999999999999999E-3</v>
      </c>
      <c r="I421">
        <v>84.200329999999994</v>
      </c>
      <c r="J421">
        <v>8.8999999999999999E-3</v>
      </c>
    </row>
    <row r="422" spans="1:10" x14ac:dyDescent="0.3">
      <c r="A422" t="s">
        <v>9</v>
      </c>
      <c r="B422" t="s">
        <v>538</v>
      </c>
      <c r="C422">
        <v>2</v>
      </c>
      <c r="D422">
        <v>1.26E-2</v>
      </c>
      <c r="E422">
        <v>6.4614928686448696</v>
      </c>
      <c r="F422">
        <v>650.21113535770189</v>
      </c>
      <c r="G422">
        <v>0.42399999999999999</v>
      </c>
      <c r="H422">
        <v>7.1999999999999998E-3</v>
      </c>
      <c r="I422">
        <v>84.402370000000005</v>
      </c>
      <c r="J422">
        <v>7.1999999999999998E-3</v>
      </c>
    </row>
    <row r="423" spans="1:10" x14ac:dyDescent="0.3">
      <c r="A423" t="s">
        <v>9</v>
      </c>
      <c r="B423" t="s">
        <v>539</v>
      </c>
      <c r="C423">
        <v>2</v>
      </c>
      <c r="D423">
        <v>1.04E-2</v>
      </c>
      <c r="E423">
        <v>6.364188768463201</v>
      </c>
      <c r="F423">
        <v>641.14239322077037</v>
      </c>
      <c r="G423">
        <v>0.42399999999999999</v>
      </c>
      <c r="H423">
        <v>5.7000000000000002E-3</v>
      </c>
      <c r="I423">
        <v>84.601119999999995</v>
      </c>
      <c r="J423">
        <v>5.7000000000000002E-3</v>
      </c>
    </row>
    <row r="424" spans="1:10" x14ac:dyDescent="0.3">
      <c r="A424" t="s">
        <v>9</v>
      </c>
      <c r="B424" t="s">
        <v>540</v>
      </c>
      <c r="C424">
        <v>2</v>
      </c>
      <c r="D424">
        <v>8.3000000000000001E-3</v>
      </c>
      <c r="E424">
        <v>6.2739617547513848</v>
      </c>
      <c r="F424">
        <v>632.73323554282911</v>
      </c>
      <c r="G424">
        <v>0.42399999999999999</v>
      </c>
      <c r="H424">
        <v>4.3E-3</v>
      </c>
      <c r="I424">
        <v>84.800790000000006</v>
      </c>
      <c r="J424">
        <v>4.3E-3</v>
      </c>
    </row>
    <row r="425" spans="1:10" x14ac:dyDescent="0.3">
      <c r="A425" t="s">
        <v>9</v>
      </c>
      <c r="B425" t="s">
        <v>541</v>
      </c>
      <c r="C425">
        <v>2</v>
      </c>
      <c r="D425">
        <v>6.7000000000000002E-3</v>
      </c>
      <c r="E425">
        <v>6.1934007987950093</v>
      </c>
      <c r="F425">
        <v>625.22495444769493</v>
      </c>
      <c r="G425">
        <v>0.42399999999999999</v>
      </c>
      <c r="H425">
        <v>3.0999999999999999E-3</v>
      </c>
      <c r="I425">
        <v>85.000709999999998</v>
      </c>
      <c r="J425">
        <v>3.0999999999999999E-3</v>
      </c>
    </row>
    <row r="426" spans="1:10" x14ac:dyDescent="0.3">
      <c r="A426" t="s">
        <v>9</v>
      </c>
      <c r="B426" t="s">
        <v>542</v>
      </c>
      <c r="C426">
        <v>2</v>
      </c>
      <c r="D426">
        <v>5.3E-3</v>
      </c>
      <c r="E426">
        <v>6.1241669926154474</v>
      </c>
      <c r="F426">
        <v>618.77236371175968</v>
      </c>
      <c r="G426">
        <v>0.42399999999999999</v>
      </c>
      <c r="H426">
        <v>2E-3</v>
      </c>
      <c r="I426">
        <v>85.202020000000005</v>
      </c>
      <c r="J426">
        <v>2E-3</v>
      </c>
    </row>
    <row r="427" spans="1:10" x14ac:dyDescent="0.3">
      <c r="A427" t="s">
        <v>9</v>
      </c>
      <c r="B427" t="s">
        <v>543</v>
      </c>
      <c r="C427">
        <v>2</v>
      </c>
      <c r="D427">
        <v>4.3E-3</v>
      </c>
      <c r="E427">
        <v>6.0694168854540838</v>
      </c>
      <c r="F427">
        <v>613.6696537243206</v>
      </c>
      <c r="G427">
        <v>0.42399999999999999</v>
      </c>
      <c r="H427">
        <v>1.1000000000000001E-3</v>
      </c>
      <c r="I427">
        <v>85.399879999999996</v>
      </c>
      <c r="J427">
        <v>1.1000000000000001E-3</v>
      </c>
    </row>
    <row r="428" spans="1:10" x14ac:dyDescent="0.3">
      <c r="A428" t="s">
        <v>9</v>
      </c>
      <c r="B428" t="s">
        <v>544</v>
      </c>
      <c r="C428">
        <v>2</v>
      </c>
      <c r="D428">
        <v>3.3999999999999998E-3</v>
      </c>
      <c r="E428">
        <v>6.028326771591785</v>
      </c>
      <c r="F428">
        <v>609.84005511235432</v>
      </c>
      <c r="G428">
        <v>0.42399999999999999</v>
      </c>
      <c r="H428">
        <v>5.0000000000000001E-4</v>
      </c>
      <c r="I428">
        <v>85.602940000000004</v>
      </c>
      <c r="J428">
        <v>5.0000000000000001E-4</v>
      </c>
    </row>
    <row r="429" spans="1:10" x14ac:dyDescent="0.3">
      <c r="A429" t="s">
        <v>9</v>
      </c>
      <c r="B429" t="s">
        <v>545</v>
      </c>
      <c r="C429">
        <v>2</v>
      </c>
      <c r="D429">
        <v>2.5999999999999999E-3</v>
      </c>
      <c r="E429">
        <v>6.0037103950243802</v>
      </c>
      <c r="F429">
        <v>607.54580881627226</v>
      </c>
      <c r="G429">
        <v>0.42399999999999999</v>
      </c>
      <c r="H429">
        <v>1E-4</v>
      </c>
      <c r="I429">
        <v>85.804180000000002</v>
      </c>
      <c r="J429">
        <v>1E-4</v>
      </c>
    </row>
    <row r="430" spans="1:10" x14ac:dyDescent="0.3">
      <c r="A430" t="s">
        <v>9</v>
      </c>
      <c r="B430" t="s">
        <v>546</v>
      </c>
      <c r="C430">
        <v>2</v>
      </c>
      <c r="D430">
        <v>2E-3</v>
      </c>
      <c r="E430">
        <v>5.9957352561269897</v>
      </c>
      <c r="F430">
        <v>606.80252587103541</v>
      </c>
      <c r="G430">
        <v>0.42399999999999999</v>
      </c>
      <c r="H430">
        <v>0</v>
      </c>
      <c r="I430">
        <v>86.00291</v>
      </c>
      <c r="J430">
        <v>0</v>
      </c>
    </row>
    <row r="431" spans="1:10" x14ac:dyDescent="0.3">
      <c r="A431" t="s">
        <v>9</v>
      </c>
      <c r="B431" t="s">
        <v>547</v>
      </c>
      <c r="C431">
        <v>2</v>
      </c>
      <c r="D431">
        <v>1.9E-3</v>
      </c>
      <c r="E431">
        <v>6.0042109932669927</v>
      </c>
      <c r="F431">
        <v>709.7996232610376</v>
      </c>
      <c r="G431">
        <v>0.42399999999999999</v>
      </c>
      <c r="H431">
        <v>1E-4</v>
      </c>
      <c r="I431">
        <v>86.201890000000006</v>
      </c>
      <c r="J431">
        <v>1E-4</v>
      </c>
    </row>
    <row r="432" spans="1:10" x14ac:dyDescent="0.3">
      <c r="A432" t="s">
        <v>9</v>
      </c>
      <c r="B432" t="s">
        <v>548</v>
      </c>
      <c r="C432">
        <v>2</v>
      </c>
      <c r="D432">
        <v>1.6999999999999999E-3</v>
      </c>
      <c r="E432">
        <v>6.0289389026735893</v>
      </c>
      <c r="F432">
        <v>712.14630186372369</v>
      </c>
      <c r="G432">
        <v>0.42399999999999999</v>
      </c>
      <c r="H432">
        <v>5.0000000000000001E-4</v>
      </c>
      <c r="I432">
        <v>86.400790000000001</v>
      </c>
      <c r="J432">
        <v>5.0000000000000001E-4</v>
      </c>
    </row>
    <row r="433" spans="1:10" x14ac:dyDescent="0.3">
      <c r="A433" t="s">
        <v>9</v>
      </c>
      <c r="B433" t="s">
        <v>549</v>
      </c>
      <c r="C433">
        <v>2</v>
      </c>
      <c r="D433">
        <v>1.8E-3</v>
      </c>
      <c r="E433">
        <v>6.0697220427405059</v>
      </c>
      <c r="F433">
        <v>716.01662185607404</v>
      </c>
      <c r="G433">
        <v>0.42399999999999999</v>
      </c>
      <c r="H433">
        <v>1.1000000000000001E-3</v>
      </c>
      <c r="I433">
        <v>86.601370000000003</v>
      </c>
      <c r="J433">
        <v>1.1000000000000001E-3</v>
      </c>
    </row>
    <row r="434" spans="1:10" x14ac:dyDescent="0.3">
      <c r="A434" t="s">
        <v>9</v>
      </c>
      <c r="B434" t="s">
        <v>550</v>
      </c>
      <c r="C434">
        <v>2</v>
      </c>
      <c r="D434">
        <v>1.8E-3</v>
      </c>
      <c r="E434">
        <v>6.1248882034384051</v>
      </c>
      <c r="F434">
        <v>721.25189050630468</v>
      </c>
      <c r="G434">
        <v>0.42399999999999999</v>
      </c>
      <c r="H434">
        <v>2E-3</v>
      </c>
      <c r="I434">
        <v>86.800290000000004</v>
      </c>
      <c r="J434">
        <v>2E-3</v>
      </c>
    </row>
    <row r="435" spans="1:10" x14ac:dyDescent="0.3">
      <c r="A435" t="s">
        <v>9</v>
      </c>
      <c r="B435" t="s">
        <v>551</v>
      </c>
      <c r="C435">
        <v>2</v>
      </c>
      <c r="D435">
        <v>1.8E-3</v>
      </c>
      <c r="E435">
        <v>6.1944229094615144</v>
      </c>
      <c r="F435">
        <v>727.85073410789778</v>
      </c>
      <c r="G435">
        <v>0.42399999999999999</v>
      </c>
      <c r="H435">
        <v>3.0999999999999999E-3</v>
      </c>
      <c r="I435">
        <v>87.002009999999999</v>
      </c>
      <c r="J435">
        <v>3.0999999999999999E-3</v>
      </c>
    </row>
    <row r="436" spans="1:10" x14ac:dyDescent="0.3">
      <c r="A436" t="s">
        <v>9</v>
      </c>
      <c r="B436" t="s">
        <v>552</v>
      </c>
      <c r="C436">
        <v>2</v>
      </c>
      <c r="D436">
        <v>1.9E-3</v>
      </c>
      <c r="E436">
        <v>6.2746843036278177</v>
      </c>
      <c r="F436">
        <v>735.46754041427994</v>
      </c>
      <c r="G436">
        <v>0.42399999999999999</v>
      </c>
      <c r="H436">
        <v>4.3E-3</v>
      </c>
      <c r="I436">
        <v>87.200890000000001</v>
      </c>
      <c r="J436">
        <v>4.3E-3</v>
      </c>
    </row>
    <row r="437" spans="1:10" x14ac:dyDescent="0.3">
      <c r="A437" t="s">
        <v>9</v>
      </c>
      <c r="B437" t="s">
        <v>553</v>
      </c>
      <c r="C437">
        <v>2</v>
      </c>
      <c r="D437">
        <v>2.3E-3</v>
      </c>
      <c r="E437">
        <v>6.3648925034968373</v>
      </c>
      <c r="F437">
        <v>744.02829858184987</v>
      </c>
      <c r="G437">
        <v>0.42399999999999999</v>
      </c>
      <c r="H437">
        <v>5.7000000000000002E-3</v>
      </c>
      <c r="I437">
        <v>87.400369999999995</v>
      </c>
      <c r="J437">
        <v>5.7000000000000002E-3</v>
      </c>
    </row>
    <row r="438" spans="1:10" x14ac:dyDescent="0.3">
      <c r="A438" t="s">
        <v>9</v>
      </c>
      <c r="B438" t="s">
        <v>554</v>
      </c>
      <c r="C438">
        <v>2</v>
      </c>
      <c r="D438">
        <v>3.3E-3</v>
      </c>
      <c r="E438">
        <v>6.4639309642643958</v>
      </c>
      <c r="F438">
        <v>753.4270485086912</v>
      </c>
      <c r="G438">
        <v>0.42399999999999999</v>
      </c>
      <c r="H438">
        <v>7.3000000000000001E-3</v>
      </c>
      <c r="I438">
        <v>87.602459999999994</v>
      </c>
      <c r="J438">
        <v>7.3000000000000001E-3</v>
      </c>
    </row>
    <row r="439" spans="1:10" x14ac:dyDescent="0.3">
      <c r="A439" t="s">
        <v>9</v>
      </c>
      <c r="B439" t="s">
        <v>555</v>
      </c>
      <c r="C439">
        <v>2</v>
      </c>
      <c r="D439">
        <v>4.4999999999999997E-3</v>
      </c>
      <c r="E439">
        <v>6.5674545397326698</v>
      </c>
      <c r="F439">
        <v>763.25143582063038</v>
      </c>
      <c r="G439">
        <v>0.42399999999999999</v>
      </c>
      <c r="H439">
        <v>8.8999999999999999E-3</v>
      </c>
      <c r="I439">
        <v>87.803150000000002</v>
      </c>
      <c r="J439">
        <v>8.8999999999999999E-3</v>
      </c>
    </row>
    <row r="440" spans="1:10" x14ac:dyDescent="0.3">
      <c r="A440" t="s">
        <v>9</v>
      </c>
      <c r="B440" t="s">
        <v>556</v>
      </c>
      <c r="C440">
        <v>2</v>
      </c>
      <c r="D440">
        <v>5.8999999999999999E-3</v>
      </c>
      <c r="E440">
        <v>6.673243480280985</v>
      </c>
      <c r="F440">
        <v>773.29080627866551</v>
      </c>
      <c r="G440">
        <v>0.42399999999999999</v>
      </c>
      <c r="H440">
        <v>1.0500000000000001E-2</v>
      </c>
      <c r="I440">
        <v>88.003249999999994</v>
      </c>
      <c r="J440">
        <v>1.0500000000000001E-2</v>
      </c>
    </row>
    <row r="441" spans="1:10" x14ac:dyDescent="0.3">
      <c r="A441" t="s">
        <v>9</v>
      </c>
      <c r="B441" t="s">
        <v>557</v>
      </c>
      <c r="C441">
        <v>2</v>
      </c>
      <c r="D441">
        <v>7.6E-3</v>
      </c>
      <c r="E441">
        <v>6.7771676608502229</v>
      </c>
      <c r="F441">
        <v>783.15321101468624</v>
      </c>
      <c r="G441">
        <v>0.42399999999999999</v>
      </c>
      <c r="H441">
        <v>1.21E-2</v>
      </c>
      <c r="I441">
        <v>88.199870000000004</v>
      </c>
      <c r="J441">
        <v>1.21E-2</v>
      </c>
    </row>
    <row r="442" spans="1:10" x14ac:dyDescent="0.3">
      <c r="A442" t="s">
        <v>9</v>
      </c>
      <c r="B442" t="s">
        <v>558</v>
      </c>
      <c r="C442">
        <v>2</v>
      </c>
      <c r="D442">
        <v>9.2999999999999992E-3</v>
      </c>
      <c r="E442">
        <v>6.8813825639471826</v>
      </c>
      <c r="F442">
        <v>793.04320531858764</v>
      </c>
      <c r="G442">
        <v>0.42399999999999999</v>
      </c>
      <c r="H442">
        <v>1.38E-2</v>
      </c>
      <c r="I442">
        <v>88.402050000000003</v>
      </c>
      <c r="J442">
        <v>1.38E-2</v>
      </c>
    </row>
    <row r="443" spans="1:10" x14ac:dyDescent="0.3">
      <c r="A443" t="s">
        <v>9</v>
      </c>
      <c r="B443" t="s">
        <v>559</v>
      </c>
      <c r="C443">
        <v>2</v>
      </c>
      <c r="D443">
        <v>1.09E-2</v>
      </c>
      <c r="E443">
        <v>6.9789814008169984</v>
      </c>
      <c r="F443">
        <v>802.30533493753319</v>
      </c>
      <c r="G443">
        <v>0.42399999999999999</v>
      </c>
      <c r="H443">
        <v>1.5299999999999999E-2</v>
      </c>
      <c r="I443">
        <v>88.601399999999998</v>
      </c>
      <c r="J443">
        <v>1.5299999999999999E-2</v>
      </c>
    </row>
    <row r="444" spans="1:10" x14ac:dyDescent="0.3">
      <c r="A444" t="s">
        <v>9</v>
      </c>
      <c r="B444" t="s">
        <v>560</v>
      </c>
      <c r="C444">
        <v>2</v>
      </c>
      <c r="D444">
        <v>1.26E-2</v>
      </c>
      <c r="E444">
        <v>7.0687291075552832</v>
      </c>
      <c r="F444">
        <v>810.82239230699645</v>
      </c>
      <c r="G444">
        <v>0.42399999999999999</v>
      </c>
      <c r="H444">
        <v>1.67E-2</v>
      </c>
      <c r="I444">
        <v>88.799989999999994</v>
      </c>
      <c r="J444">
        <v>1.67E-2</v>
      </c>
    </row>
    <row r="445" spans="1:10" x14ac:dyDescent="0.3">
      <c r="A445" t="s">
        <v>9</v>
      </c>
      <c r="B445" t="s">
        <v>561</v>
      </c>
      <c r="C445">
        <v>2</v>
      </c>
      <c r="D445">
        <v>1.3599999999999999E-2</v>
      </c>
      <c r="E445">
        <v>7.1494173813271473</v>
      </c>
      <c r="F445">
        <v>818.47970948794637</v>
      </c>
      <c r="G445">
        <v>0.42399999999999999</v>
      </c>
      <c r="H445">
        <v>1.7899999999999999E-2</v>
      </c>
      <c r="I445">
        <v>89.000119999999995</v>
      </c>
      <c r="J445">
        <v>1.7899999999999999E-2</v>
      </c>
    </row>
    <row r="446" spans="1:10" x14ac:dyDescent="0.3">
      <c r="A446" t="s">
        <v>9</v>
      </c>
      <c r="B446" t="s">
        <v>562</v>
      </c>
      <c r="C446">
        <v>2</v>
      </c>
      <c r="D446">
        <v>1.44E-2</v>
      </c>
      <c r="E446">
        <v>7.2183429486425892</v>
      </c>
      <c r="F446">
        <v>825.02074582618172</v>
      </c>
      <c r="G446">
        <v>0.42399999999999999</v>
      </c>
      <c r="H446">
        <v>1.9E-2</v>
      </c>
      <c r="I446">
        <v>89.200329999999994</v>
      </c>
      <c r="J446">
        <v>1.9E-2</v>
      </c>
    </row>
    <row r="447" spans="1:10" x14ac:dyDescent="0.3">
      <c r="A447" t="s">
        <v>9</v>
      </c>
      <c r="B447" t="s">
        <v>563</v>
      </c>
      <c r="C447">
        <v>2</v>
      </c>
      <c r="D447">
        <v>1.5599999999999999E-2</v>
      </c>
      <c r="E447">
        <v>7.2735964477400312</v>
      </c>
      <c r="F447">
        <v>830.26430289052905</v>
      </c>
      <c r="G447">
        <v>0.42399999999999999</v>
      </c>
      <c r="H447">
        <v>1.9900000000000001E-2</v>
      </c>
      <c r="I447">
        <v>89.399789999999996</v>
      </c>
      <c r="J447">
        <v>1.9900000000000001E-2</v>
      </c>
    </row>
    <row r="448" spans="1:10" x14ac:dyDescent="0.3">
      <c r="A448" t="s">
        <v>9</v>
      </c>
      <c r="B448" t="s">
        <v>564</v>
      </c>
      <c r="C448">
        <v>2</v>
      </c>
      <c r="D448">
        <v>1.61E-2</v>
      </c>
      <c r="E448">
        <v>7.3145814311462791</v>
      </c>
      <c r="F448">
        <v>834.15377781578195</v>
      </c>
      <c r="G448">
        <v>0.42399999999999999</v>
      </c>
      <c r="H448">
        <v>2.0500000000000001E-2</v>
      </c>
      <c r="I448">
        <v>89.602170000000001</v>
      </c>
      <c r="J448">
        <v>2.0500000000000001E-2</v>
      </c>
    </row>
    <row r="449" spans="1:10" x14ac:dyDescent="0.3">
      <c r="A449" t="s">
        <v>9</v>
      </c>
      <c r="B449" t="s">
        <v>565</v>
      </c>
      <c r="C449">
        <v>2</v>
      </c>
      <c r="D449">
        <v>1.6500000000000001E-2</v>
      </c>
      <c r="E449">
        <v>7.3390519963772887</v>
      </c>
      <c r="F449">
        <v>836.47603445620473</v>
      </c>
      <c r="G449">
        <v>0.42399999999999999</v>
      </c>
      <c r="H449">
        <v>2.0899999999999998E-2</v>
      </c>
      <c r="I449">
        <v>89.800830000000005</v>
      </c>
      <c r="J449">
        <v>2.0899999999999998E-2</v>
      </c>
    </row>
    <row r="450" spans="1:10" x14ac:dyDescent="0.3">
      <c r="A450" t="s">
        <v>9</v>
      </c>
      <c r="B450" t="s">
        <v>566</v>
      </c>
      <c r="C450">
        <v>2</v>
      </c>
      <c r="D450">
        <v>1.6500000000000001E-2</v>
      </c>
      <c r="E450">
        <v>7.3473025151975344</v>
      </c>
      <c r="F450">
        <v>837.25900869224608</v>
      </c>
      <c r="G450">
        <v>0.42399999999999999</v>
      </c>
      <c r="H450">
        <v>2.1000000000000001E-2</v>
      </c>
      <c r="I450">
        <v>90.001289999999997</v>
      </c>
      <c r="J450">
        <v>2.1000000000000001E-2</v>
      </c>
    </row>
    <row r="451" spans="1:10" x14ac:dyDescent="0.3">
      <c r="A451" t="s">
        <v>9</v>
      </c>
      <c r="B451" t="s">
        <v>567</v>
      </c>
      <c r="C451">
        <v>2</v>
      </c>
      <c r="D451">
        <v>1.6500000000000001E-2</v>
      </c>
      <c r="E451">
        <v>7.3388748056595574</v>
      </c>
      <c r="F451">
        <v>731.98313188747068</v>
      </c>
      <c r="G451">
        <v>0.42399999999999999</v>
      </c>
      <c r="H451">
        <v>2.0899999999999998E-2</v>
      </c>
      <c r="I451">
        <v>90.20129</v>
      </c>
      <c r="J451">
        <v>2.0899999999999998E-2</v>
      </c>
    </row>
    <row r="452" spans="1:10" x14ac:dyDescent="0.3">
      <c r="A452" t="s">
        <v>9</v>
      </c>
      <c r="B452" t="s">
        <v>568</v>
      </c>
      <c r="C452">
        <v>2</v>
      </c>
      <c r="D452">
        <v>1.6500000000000001E-2</v>
      </c>
      <c r="E452">
        <v>7.3139740359628336</v>
      </c>
      <c r="F452">
        <v>729.6623801517361</v>
      </c>
      <c r="G452">
        <v>0.42399999999999999</v>
      </c>
      <c r="H452">
        <v>2.0500000000000001E-2</v>
      </c>
      <c r="I452">
        <v>90.401539999999997</v>
      </c>
      <c r="J452">
        <v>2.0500000000000001E-2</v>
      </c>
    </row>
    <row r="453" spans="1:10" x14ac:dyDescent="0.3">
      <c r="A453" t="s">
        <v>9</v>
      </c>
      <c r="B453" t="s">
        <v>569</v>
      </c>
      <c r="C453">
        <v>2</v>
      </c>
      <c r="D453">
        <v>1.66E-2</v>
      </c>
      <c r="E453">
        <v>7.2732736930230599</v>
      </c>
      <c r="F453">
        <v>725.86910818974923</v>
      </c>
      <c r="G453">
        <v>0.42399999999999999</v>
      </c>
      <c r="H453">
        <v>1.9800000000000002E-2</v>
      </c>
      <c r="I453">
        <v>90.601550000000003</v>
      </c>
      <c r="J453">
        <v>1.9800000000000002E-2</v>
      </c>
    </row>
    <row r="454" spans="1:10" x14ac:dyDescent="0.3">
      <c r="A454" t="s">
        <v>9</v>
      </c>
      <c r="B454" t="s">
        <v>570</v>
      </c>
      <c r="C454">
        <v>2</v>
      </c>
      <c r="D454">
        <v>1.6500000000000001E-2</v>
      </c>
      <c r="E454">
        <v>7.217786642773639</v>
      </c>
      <c r="F454">
        <v>720.69771510650321</v>
      </c>
      <c r="G454">
        <v>0.42399999999999999</v>
      </c>
      <c r="H454">
        <v>1.9E-2</v>
      </c>
      <c r="I454">
        <v>90.801450000000003</v>
      </c>
      <c r="J454">
        <v>1.9E-2</v>
      </c>
    </row>
    <row r="455" spans="1:10" x14ac:dyDescent="0.3">
      <c r="A455" t="s">
        <v>9</v>
      </c>
      <c r="B455" t="s">
        <v>571</v>
      </c>
      <c r="C455">
        <v>2</v>
      </c>
      <c r="D455">
        <v>1.6500000000000001E-2</v>
      </c>
      <c r="E455">
        <v>7.1487657898319572</v>
      </c>
      <c r="F455">
        <v>714.2649716123384</v>
      </c>
      <c r="G455">
        <v>0.42399999999999999</v>
      </c>
      <c r="H455">
        <v>1.7899999999999999E-2</v>
      </c>
      <c r="I455">
        <v>91.001599999999996</v>
      </c>
      <c r="J455">
        <v>1.7899999999999999E-2</v>
      </c>
    </row>
    <row r="456" spans="1:10" x14ac:dyDescent="0.3">
      <c r="A456" t="s">
        <v>9</v>
      </c>
      <c r="B456" t="s">
        <v>572</v>
      </c>
      <c r="C456">
        <v>2</v>
      </c>
      <c r="D456">
        <v>1.6500000000000001E-2</v>
      </c>
      <c r="E456">
        <v>7.0679757429018526</v>
      </c>
      <c r="F456">
        <v>706.73533923845275</v>
      </c>
      <c r="G456">
        <v>0.42399999999999999</v>
      </c>
      <c r="H456">
        <v>1.67E-2</v>
      </c>
      <c r="I456">
        <v>91.201759999999993</v>
      </c>
      <c r="J456">
        <v>1.67E-2</v>
      </c>
    </row>
    <row r="457" spans="1:10" x14ac:dyDescent="0.3">
      <c r="A457" t="s">
        <v>9</v>
      </c>
      <c r="B457" t="s">
        <v>573</v>
      </c>
      <c r="C457">
        <v>2</v>
      </c>
      <c r="D457">
        <v>1.6500000000000001E-2</v>
      </c>
      <c r="E457">
        <v>6.977200573283163</v>
      </c>
      <c r="F457">
        <v>698.27509342999076</v>
      </c>
      <c r="G457">
        <v>0.42399999999999999</v>
      </c>
      <c r="H457">
        <v>1.52E-2</v>
      </c>
      <c r="I457">
        <v>91.402360000000002</v>
      </c>
      <c r="J457">
        <v>1.52E-2</v>
      </c>
    </row>
    <row r="458" spans="1:10" x14ac:dyDescent="0.3">
      <c r="A458" t="s">
        <v>9</v>
      </c>
      <c r="B458" t="s">
        <v>574</v>
      </c>
      <c r="C458">
        <v>2</v>
      </c>
      <c r="D458">
        <v>1.6400000000000001E-2</v>
      </c>
      <c r="E458">
        <v>6.8790600274913949</v>
      </c>
      <c r="F458">
        <v>689.12839456219797</v>
      </c>
      <c r="G458">
        <v>0.42399999999999999</v>
      </c>
      <c r="H458">
        <v>1.37E-2</v>
      </c>
      <c r="I458">
        <v>91.602549999999994</v>
      </c>
      <c r="J458">
        <v>1.37E-2</v>
      </c>
    </row>
    <row r="459" spans="1:10" x14ac:dyDescent="0.3">
      <c r="A459" t="s">
        <v>9</v>
      </c>
      <c r="B459" t="s">
        <v>575</v>
      </c>
      <c r="C459">
        <v>2</v>
      </c>
      <c r="D459">
        <v>1.6299999999999999E-2</v>
      </c>
      <c r="E459">
        <v>6.7766608224127696</v>
      </c>
      <c r="F459">
        <v>679.58478864887013</v>
      </c>
      <c r="G459">
        <v>0.42399999999999999</v>
      </c>
      <c r="H459">
        <v>1.21E-2</v>
      </c>
      <c r="I459">
        <v>91.801090000000002</v>
      </c>
      <c r="J459">
        <v>1.21E-2</v>
      </c>
    </row>
    <row r="460" spans="1:10" x14ac:dyDescent="0.3">
      <c r="A460" t="s">
        <v>9</v>
      </c>
      <c r="B460" t="s">
        <v>576</v>
      </c>
      <c r="C460">
        <v>2</v>
      </c>
      <c r="D460">
        <v>1.5599999999999999E-2</v>
      </c>
      <c r="E460">
        <v>6.670059723952277</v>
      </c>
      <c r="F460">
        <v>669.64956627235222</v>
      </c>
      <c r="G460">
        <v>0.42399999999999999</v>
      </c>
      <c r="H460">
        <v>1.0500000000000001E-2</v>
      </c>
      <c r="I460">
        <v>92.002750000000006</v>
      </c>
      <c r="J460">
        <v>1.0500000000000001E-2</v>
      </c>
    </row>
    <row r="461" spans="1:10" x14ac:dyDescent="0.3">
      <c r="A461" t="s">
        <v>9</v>
      </c>
      <c r="B461" t="s">
        <v>577</v>
      </c>
      <c r="C461">
        <v>2</v>
      </c>
      <c r="D461">
        <v>1.4500000000000001E-2</v>
      </c>
      <c r="E461">
        <v>6.5650326629431399</v>
      </c>
      <c r="F461">
        <v>659.86104418630066</v>
      </c>
      <c r="G461">
        <v>0.42399999999999999</v>
      </c>
      <c r="H461">
        <v>8.8000000000000005E-3</v>
      </c>
      <c r="I461">
        <v>92.20147</v>
      </c>
      <c r="J461">
        <v>8.8000000000000005E-3</v>
      </c>
    </row>
    <row r="462" spans="1:10" x14ac:dyDescent="0.3">
      <c r="A462" t="s">
        <v>9</v>
      </c>
      <c r="B462" t="s">
        <v>578</v>
      </c>
      <c r="C462">
        <v>2</v>
      </c>
      <c r="D462">
        <v>1.2699999999999999E-2</v>
      </c>
      <c r="E462">
        <v>6.4615845050343603</v>
      </c>
      <c r="F462">
        <v>650.21967586920243</v>
      </c>
      <c r="G462">
        <v>0.42399999999999999</v>
      </c>
      <c r="H462">
        <v>7.1999999999999998E-3</v>
      </c>
      <c r="I462">
        <v>92.402190000000004</v>
      </c>
      <c r="J462">
        <v>7.1999999999999998E-3</v>
      </c>
    </row>
    <row r="463" spans="1:10" x14ac:dyDescent="0.3">
      <c r="A463" t="s">
        <v>9</v>
      </c>
      <c r="B463" t="s">
        <v>579</v>
      </c>
      <c r="C463">
        <v>2</v>
      </c>
      <c r="D463">
        <v>1.06E-2</v>
      </c>
      <c r="E463">
        <v>6.3643801101101074</v>
      </c>
      <c r="F463">
        <v>641.16022626226197</v>
      </c>
      <c r="G463">
        <v>0.42399999999999999</v>
      </c>
      <c r="H463">
        <v>5.7000000000000002E-3</v>
      </c>
      <c r="I463">
        <v>92.600710000000007</v>
      </c>
      <c r="J463">
        <v>5.7000000000000002E-3</v>
      </c>
    </row>
    <row r="464" spans="1:10" x14ac:dyDescent="0.3">
      <c r="A464" t="s">
        <v>9</v>
      </c>
      <c r="B464" t="s">
        <v>580</v>
      </c>
      <c r="C464">
        <v>2</v>
      </c>
      <c r="D464">
        <v>8.6E-3</v>
      </c>
      <c r="E464">
        <v>6.2739353586055628</v>
      </c>
      <c r="F464">
        <v>632.7307754220385</v>
      </c>
      <c r="G464">
        <v>0.42399999999999999</v>
      </c>
      <c r="H464">
        <v>4.3E-3</v>
      </c>
      <c r="I464">
        <v>92.800849999999997</v>
      </c>
      <c r="J464">
        <v>4.3E-3</v>
      </c>
    </row>
    <row r="465" spans="1:10" x14ac:dyDescent="0.3">
      <c r="A465" t="s">
        <v>9</v>
      </c>
      <c r="B465" t="s">
        <v>581</v>
      </c>
      <c r="C465">
        <v>2</v>
      </c>
      <c r="D465">
        <v>6.8999999999999999E-3</v>
      </c>
      <c r="E465">
        <v>6.1934761352603527</v>
      </c>
      <c r="F465">
        <v>625.23197580626493</v>
      </c>
      <c r="G465">
        <v>0.42399999999999999</v>
      </c>
      <c r="H465">
        <v>3.0999999999999999E-3</v>
      </c>
      <c r="I465">
        <v>93.000500000000002</v>
      </c>
      <c r="J465">
        <v>3.0999999999999999E-3</v>
      </c>
    </row>
    <row r="466" spans="1:10" x14ac:dyDescent="0.3">
      <c r="A466" t="s">
        <v>9</v>
      </c>
      <c r="B466" t="s">
        <v>582</v>
      </c>
      <c r="C466">
        <v>2</v>
      </c>
      <c r="D466">
        <v>5.3E-3</v>
      </c>
      <c r="E466">
        <v>6.124008777928811</v>
      </c>
      <c r="F466">
        <v>618.75761810296524</v>
      </c>
      <c r="G466">
        <v>0.42399999999999999</v>
      </c>
      <c r="H466">
        <v>2E-3</v>
      </c>
      <c r="I466">
        <v>93.202520000000007</v>
      </c>
      <c r="J466">
        <v>2E-3</v>
      </c>
    </row>
    <row r="467" spans="1:10" x14ac:dyDescent="0.3">
      <c r="A467" t="s">
        <v>9</v>
      </c>
      <c r="B467" t="s">
        <v>583</v>
      </c>
      <c r="C467">
        <v>2</v>
      </c>
      <c r="D467">
        <v>4.3E-3</v>
      </c>
      <c r="E467">
        <v>6.069196228271954</v>
      </c>
      <c r="F467">
        <v>613.6490884749461</v>
      </c>
      <c r="G467">
        <v>0.42399999999999999</v>
      </c>
      <c r="H467">
        <v>1.1000000000000001E-3</v>
      </c>
      <c r="I467">
        <v>93.400800000000004</v>
      </c>
      <c r="J467">
        <v>1.1000000000000001E-3</v>
      </c>
    </row>
    <row r="468" spans="1:10" x14ac:dyDescent="0.3">
      <c r="A468" t="s">
        <v>9</v>
      </c>
      <c r="B468" t="s">
        <v>584</v>
      </c>
      <c r="C468">
        <v>2</v>
      </c>
      <c r="D468">
        <v>3.5999999999999999E-3</v>
      </c>
      <c r="E468">
        <v>6.0286497330988373</v>
      </c>
      <c r="F468">
        <v>609.87015512481162</v>
      </c>
      <c r="G468">
        <v>0.42399999999999999</v>
      </c>
      <c r="H468">
        <v>5.0000000000000001E-4</v>
      </c>
      <c r="I468">
        <v>93.600970000000004</v>
      </c>
      <c r="J468">
        <v>5.0000000000000001E-4</v>
      </c>
    </row>
    <row r="469" spans="1:10" x14ac:dyDescent="0.3">
      <c r="A469" t="s">
        <v>9</v>
      </c>
      <c r="B469" t="s">
        <v>585</v>
      </c>
      <c r="C469">
        <v>2</v>
      </c>
      <c r="D469">
        <v>2.7000000000000001E-3</v>
      </c>
      <c r="E469">
        <v>6.0039938028597746</v>
      </c>
      <c r="F469">
        <v>607.57222242653097</v>
      </c>
      <c r="G469">
        <v>0.42399999999999999</v>
      </c>
      <c r="H469">
        <v>1E-4</v>
      </c>
      <c r="I469">
        <v>93.800719999999998</v>
      </c>
      <c r="J469">
        <v>1E-4</v>
      </c>
    </row>
    <row r="470" spans="1:10" x14ac:dyDescent="0.3">
      <c r="A470" t="s">
        <v>9</v>
      </c>
      <c r="B470" t="s">
        <v>586</v>
      </c>
      <c r="C470">
        <v>2</v>
      </c>
      <c r="D470">
        <v>2E-3</v>
      </c>
      <c r="E470">
        <v>5.995734208849564</v>
      </c>
      <c r="F470">
        <v>606.80242826477934</v>
      </c>
      <c r="G470">
        <v>0.42399999999999999</v>
      </c>
      <c r="H470">
        <v>0</v>
      </c>
      <c r="I470">
        <v>94.00188</v>
      </c>
      <c r="J470">
        <v>0</v>
      </c>
    </row>
    <row r="471" spans="1:10" x14ac:dyDescent="0.3">
      <c r="A471" t="s">
        <v>9</v>
      </c>
      <c r="B471" t="s">
        <v>587</v>
      </c>
      <c r="C471">
        <v>2</v>
      </c>
      <c r="D471">
        <v>2E-3</v>
      </c>
      <c r="E471">
        <v>6.0042381800807769</v>
      </c>
      <c r="F471">
        <v>709.80220328966573</v>
      </c>
      <c r="G471">
        <v>0.42399999999999999</v>
      </c>
      <c r="H471">
        <v>1E-4</v>
      </c>
      <c r="I471">
        <v>94.202209999999994</v>
      </c>
      <c r="J471">
        <v>1E-4</v>
      </c>
    </row>
    <row r="472" spans="1:10" x14ac:dyDescent="0.3">
      <c r="A472" t="s">
        <v>9</v>
      </c>
      <c r="B472" t="s">
        <v>588</v>
      </c>
      <c r="C472">
        <v>2</v>
      </c>
      <c r="D472">
        <v>2.0999999999999999E-3</v>
      </c>
      <c r="E472">
        <v>6.0289777751543872</v>
      </c>
      <c r="F472">
        <v>712.14999086215141</v>
      </c>
      <c r="G472">
        <v>0.42399999999999999</v>
      </c>
      <c r="H472">
        <v>5.0000000000000001E-4</v>
      </c>
      <c r="I472">
        <v>94.401020000000003</v>
      </c>
      <c r="J472">
        <v>5.0000000000000001E-4</v>
      </c>
    </row>
    <row r="473" spans="1:10" x14ac:dyDescent="0.3">
      <c r="A473" t="s">
        <v>9</v>
      </c>
      <c r="B473" t="s">
        <v>589</v>
      </c>
      <c r="C473">
        <v>2</v>
      </c>
      <c r="D473">
        <v>2.0999999999999999E-3</v>
      </c>
      <c r="E473">
        <v>6.0699693393509069</v>
      </c>
      <c r="F473">
        <v>716.04009030440113</v>
      </c>
      <c r="G473">
        <v>0.42399999999999999</v>
      </c>
      <c r="H473">
        <v>1.1999999999999999E-3</v>
      </c>
      <c r="I473">
        <v>94.602400000000003</v>
      </c>
      <c r="J473">
        <v>1.1999999999999999E-3</v>
      </c>
    </row>
    <row r="474" spans="1:10" x14ac:dyDescent="0.3">
      <c r="A474" t="s">
        <v>9</v>
      </c>
      <c r="B474" t="s">
        <v>590</v>
      </c>
      <c r="C474">
        <v>2</v>
      </c>
      <c r="D474">
        <v>2.0999999999999999E-3</v>
      </c>
      <c r="E474">
        <v>6.1250620692959892</v>
      </c>
      <c r="F474">
        <v>721.26839037618936</v>
      </c>
      <c r="G474">
        <v>0.42399999999999999</v>
      </c>
      <c r="H474">
        <v>2E-3</v>
      </c>
      <c r="I474">
        <v>94.800839999999994</v>
      </c>
      <c r="J474">
        <v>2E-3</v>
      </c>
    </row>
    <row r="475" spans="1:10" x14ac:dyDescent="0.3">
      <c r="A475" t="s">
        <v>9</v>
      </c>
      <c r="B475" t="s">
        <v>591</v>
      </c>
      <c r="C475">
        <v>2</v>
      </c>
      <c r="D475">
        <v>2.0999999999999999E-3</v>
      </c>
      <c r="E475">
        <v>6.194073718051647</v>
      </c>
      <c r="F475">
        <v>727.81759584310134</v>
      </c>
      <c r="G475">
        <v>0.42399999999999999</v>
      </c>
      <c r="H475">
        <v>3.0999999999999999E-3</v>
      </c>
      <c r="I475">
        <v>95.001080000000002</v>
      </c>
      <c r="J475">
        <v>3.0999999999999999E-3</v>
      </c>
    </row>
    <row r="476" spans="1:10" x14ac:dyDescent="0.3">
      <c r="A476" t="s">
        <v>9</v>
      </c>
      <c r="B476" t="s">
        <v>592</v>
      </c>
      <c r="C476">
        <v>2</v>
      </c>
      <c r="D476">
        <v>2.0999999999999999E-3</v>
      </c>
      <c r="E476">
        <v>6.2771058965878224</v>
      </c>
      <c r="F476">
        <v>735.69734958618437</v>
      </c>
      <c r="G476">
        <v>0.42399999999999999</v>
      </c>
      <c r="H476">
        <v>4.4000000000000003E-3</v>
      </c>
      <c r="I476">
        <v>95.206519999999998</v>
      </c>
      <c r="J476">
        <v>4.4000000000000003E-3</v>
      </c>
    </row>
    <row r="477" spans="1:10" x14ac:dyDescent="0.3">
      <c r="A477" t="s">
        <v>9</v>
      </c>
      <c r="B477" t="s">
        <v>593</v>
      </c>
      <c r="C477">
        <v>2</v>
      </c>
      <c r="D477">
        <v>2.2000000000000001E-3</v>
      </c>
      <c r="E477">
        <v>6.3656707640543146</v>
      </c>
      <c r="F477">
        <v>744.10215550875455</v>
      </c>
      <c r="G477">
        <v>0.42399999999999999</v>
      </c>
      <c r="H477">
        <v>5.7000000000000002E-3</v>
      </c>
      <c r="I477">
        <v>95.402010000000004</v>
      </c>
      <c r="J477">
        <v>5.7000000000000002E-3</v>
      </c>
    </row>
    <row r="478" spans="1:10" x14ac:dyDescent="0.3">
      <c r="A478" t="s">
        <v>9</v>
      </c>
      <c r="B478" t="s">
        <v>594</v>
      </c>
      <c r="C478">
        <v>2</v>
      </c>
      <c r="D478">
        <v>2.8999999999999998E-3</v>
      </c>
      <c r="E478">
        <v>6.4629858119462318</v>
      </c>
      <c r="F478">
        <v>753.33735355369743</v>
      </c>
      <c r="G478">
        <v>0.42399999999999999</v>
      </c>
      <c r="H478">
        <v>7.3000000000000001E-3</v>
      </c>
      <c r="I478">
        <v>95.600589999999997</v>
      </c>
      <c r="J478">
        <v>7.3000000000000001E-3</v>
      </c>
    </row>
    <row r="479" spans="1:10" x14ac:dyDescent="0.3">
      <c r="A479" t="s">
        <v>9</v>
      </c>
      <c r="B479" t="s">
        <v>595</v>
      </c>
      <c r="C479">
        <v>2</v>
      </c>
      <c r="D479">
        <v>4.1999999999999997E-3</v>
      </c>
      <c r="E479">
        <v>6.5664222112032631</v>
      </c>
      <c r="F479">
        <v>763.15346784318967</v>
      </c>
      <c r="G479">
        <v>0.42399999999999999</v>
      </c>
      <c r="H479">
        <v>8.8999999999999999E-3</v>
      </c>
      <c r="I479">
        <v>95.801180000000002</v>
      </c>
      <c r="J479">
        <v>8.8999999999999999E-3</v>
      </c>
    </row>
    <row r="480" spans="1:10" x14ac:dyDescent="0.3">
      <c r="A480" t="s">
        <v>9</v>
      </c>
      <c r="B480" t="s">
        <v>596</v>
      </c>
      <c r="C480">
        <v>2</v>
      </c>
      <c r="D480">
        <v>5.7000000000000002E-3</v>
      </c>
      <c r="E480">
        <v>6.6723948300013127</v>
      </c>
      <c r="F480">
        <v>773.21026936712462</v>
      </c>
      <c r="G480">
        <v>0.42399999999999999</v>
      </c>
      <c r="H480">
        <v>1.0500000000000001E-2</v>
      </c>
      <c r="I480">
        <v>96.001649999999998</v>
      </c>
      <c r="J480">
        <v>1.0500000000000001E-2</v>
      </c>
    </row>
    <row r="481" spans="1:10" x14ac:dyDescent="0.3">
      <c r="A481" t="s">
        <v>9</v>
      </c>
      <c r="B481" t="s">
        <v>597</v>
      </c>
      <c r="C481">
        <v>2</v>
      </c>
      <c r="D481">
        <v>7.9000000000000008E-3</v>
      </c>
      <c r="E481">
        <v>5.9957334838115024</v>
      </c>
      <c r="F481">
        <v>606.80236069123202</v>
      </c>
      <c r="G481">
        <v>0.42399999999999999</v>
      </c>
      <c r="H481">
        <v>0</v>
      </c>
      <c r="I481">
        <v>108.2028</v>
      </c>
      <c r="J481">
        <v>0</v>
      </c>
    </row>
    <row r="482" spans="1:10" x14ac:dyDescent="0.3">
      <c r="A482" t="s">
        <v>9</v>
      </c>
      <c r="B482" t="s">
        <v>598</v>
      </c>
      <c r="C482">
        <v>2</v>
      </c>
      <c r="D482">
        <v>7.7999999999999996E-3</v>
      </c>
      <c r="E482">
        <v>5.9957334838115024</v>
      </c>
      <c r="F482">
        <v>606.80236069123202</v>
      </c>
      <c r="G482">
        <v>0.42399999999999999</v>
      </c>
      <c r="H482">
        <v>0</v>
      </c>
      <c r="I482">
        <v>108.40179999999999</v>
      </c>
      <c r="J482">
        <v>0</v>
      </c>
    </row>
    <row r="483" spans="1:10" x14ac:dyDescent="0.3">
      <c r="A483" t="s">
        <v>9</v>
      </c>
      <c r="B483" t="s">
        <v>599</v>
      </c>
      <c r="C483">
        <v>2</v>
      </c>
      <c r="D483">
        <v>5.1999999999999998E-3</v>
      </c>
      <c r="E483">
        <v>5.9957334838115024</v>
      </c>
      <c r="F483">
        <v>606.80236069123202</v>
      </c>
      <c r="G483">
        <v>0.42399999999999999</v>
      </c>
      <c r="H483">
        <v>0</v>
      </c>
      <c r="I483">
        <v>108.60080000000001</v>
      </c>
      <c r="J483">
        <v>0</v>
      </c>
    </row>
    <row r="484" spans="1:10" x14ac:dyDescent="0.3">
      <c r="A484" t="s">
        <v>9</v>
      </c>
      <c r="B484" t="s">
        <v>600</v>
      </c>
      <c r="C484">
        <v>2</v>
      </c>
      <c r="D484">
        <v>2.8999999999999998E-3</v>
      </c>
      <c r="E484">
        <v>6.274103507325572</v>
      </c>
      <c r="F484">
        <v>735.41242284519683</v>
      </c>
      <c r="G484">
        <v>0.42399999999999999</v>
      </c>
      <c r="H484">
        <v>4.3E-3</v>
      </c>
      <c r="I484">
        <v>108.8005</v>
      </c>
      <c r="J484">
        <v>4.3E-3</v>
      </c>
    </row>
    <row r="485" spans="1:10" x14ac:dyDescent="0.3">
      <c r="A485" t="s">
        <v>9</v>
      </c>
      <c r="B485" t="s">
        <v>601</v>
      </c>
      <c r="C485">
        <v>2</v>
      </c>
      <c r="D485">
        <v>3.3999999999999998E-3</v>
      </c>
      <c r="E485">
        <v>6.1934007987950093</v>
      </c>
      <c r="F485">
        <v>625.22495444769493</v>
      </c>
      <c r="G485">
        <v>0.42399999999999999</v>
      </c>
      <c r="H485">
        <v>3.0999999999999999E-3</v>
      </c>
      <c r="I485">
        <v>109.00069999999999</v>
      </c>
      <c r="J485">
        <v>3.0999999999999999E-3</v>
      </c>
    </row>
    <row r="486" spans="1:10" x14ac:dyDescent="0.3">
      <c r="A486" t="s">
        <v>9</v>
      </c>
      <c r="B486" t="s">
        <v>602</v>
      </c>
      <c r="C486">
        <v>2</v>
      </c>
      <c r="D486">
        <v>3.3E-3</v>
      </c>
      <c r="E486">
        <v>6.1248269368080859</v>
      </c>
      <c r="F486">
        <v>618.83387051051363</v>
      </c>
      <c r="G486">
        <v>0.42399999999999999</v>
      </c>
      <c r="H486">
        <v>2E-3</v>
      </c>
      <c r="I486">
        <v>109.1999</v>
      </c>
      <c r="J486">
        <v>2E-3</v>
      </c>
    </row>
    <row r="487" spans="1:10" x14ac:dyDescent="0.3">
      <c r="A487" t="s">
        <v>9</v>
      </c>
      <c r="B487" t="s">
        <v>603</v>
      </c>
      <c r="C487">
        <v>2</v>
      </c>
      <c r="D487">
        <v>3.0000000000000001E-3</v>
      </c>
      <c r="E487">
        <v>6.0694051673494096</v>
      </c>
      <c r="F487">
        <v>613.66856159696499</v>
      </c>
      <c r="G487">
        <v>0.42399999999999999</v>
      </c>
      <c r="H487">
        <v>1.1000000000000001E-3</v>
      </c>
      <c r="I487">
        <v>109.3999</v>
      </c>
      <c r="J487">
        <v>1.1000000000000001E-3</v>
      </c>
    </row>
    <row r="488" spans="1:10" x14ac:dyDescent="0.3">
      <c r="A488" t="s">
        <v>9</v>
      </c>
      <c r="B488" t="s">
        <v>604</v>
      </c>
      <c r="C488">
        <v>2</v>
      </c>
      <c r="D488">
        <v>3.0000000000000001E-3</v>
      </c>
      <c r="E488">
        <v>6.0287440739782303</v>
      </c>
      <c r="F488">
        <v>609.87894769477111</v>
      </c>
      <c r="G488">
        <v>0.42399999999999999</v>
      </c>
      <c r="H488">
        <v>5.0000000000000001E-4</v>
      </c>
      <c r="I488">
        <v>109.60039999999999</v>
      </c>
      <c r="J488">
        <v>5.0000000000000001E-4</v>
      </c>
    </row>
    <row r="489" spans="1:10" x14ac:dyDescent="0.3">
      <c r="A489" t="s">
        <v>9</v>
      </c>
      <c r="B489" t="s">
        <v>605</v>
      </c>
      <c r="C489">
        <v>2</v>
      </c>
      <c r="D489">
        <v>2.5000000000000001E-3</v>
      </c>
      <c r="E489">
        <v>6.0038954802576168</v>
      </c>
      <c r="F489">
        <v>607.56305876000988</v>
      </c>
      <c r="G489">
        <v>0.42399999999999999</v>
      </c>
      <c r="H489">
        <v>1E-4</v>
      </c>
      <c r="I489">
        <v>109.8019</v>
      </c>
      <c r="J489">
        <v>1E-4</v>
      </c>
    </row>
    <row r="490" spans="1:10" x14ac:dyDescent="0.3">
      <c r="A490" t="s">
        <v>9</v>
      </c>
      <c r="B490" t="s">
        <v>606</v>
      </c>
      <c r="C490">
        <v>2</v>
      </c>
      <c r="D490">
        <v>2.3999999999999998E-3</v>
      </c>
      <c r="E490">
        <v>5.9957335240914063</v>
      </c>
      <c r="F490">
        <v>606.80236444531909</v>
      </c>
      <c r="G490">
        <v>0.42399999999999999</v>
      </c>
      <c r="H490">
        <v>0</v>
      </c>
      <c r="I490">
        <v>110.0003</v>
      </c>
      <c r="J490">
        <v>0</v>
      </c>
    </row>
    <row r="491" spans="1:10" x14ac:dyDescent="0.3">
      <c r="A491" t="s">
        <v>9</v>
      </c>
      <c r="B491" t="s">
        <v>607</v>
      </c>
      <c r="C491">
        <v>2</v>
      </c>
      <c r="D491">
        <v>2.3999999999999998E-3</v>
      </c>
      <c r="E491">
        <v>6.0041858175881266</v>
      </c>
      <c r="F491">
        <v>709.7972340891132</v>
      </c>
      <c r="G491">
        <v>0.42399999999999999</v>
      </c>
      <c r="H491">
        <v>1E-4</v>
      </c>
      <c r="I491">
        <v>110.2016</v>
      </c>
      <c r="J491">
        <v>1E-4</v>
      </c>
    </row>
    <row r="492" spans="1:10" x14ac:dyDescent="0.3">
      <c r="A492" t="s">
        <v>9</v>
      </c>
      <c r="B492" t="s">
        <v>608</v>
      </c>
      <c r="C492">
        <v>2</v>
      </c>
      <c r="D492">
        <v>2.3999999999999998E-3</v>
      </c>
      <c r="E492">
        <v>6.029167576012445</v>
      </c>
      <c r="F492">
        <v>712.1680029635811</v>
      </c>
      <c r="G492">
        <v>0.42399999999999999</v>
      </c>
      <c r="H492">
        <v>5.0000000000000001E-4</v>
      </c>
      <c r="I492">
        <v>110.40219999999999</v>
      </c>
      <c r="J492">
        <v>5.0000000000000001E-4</v>
      </c>
    </row>
    <row r="493" spans="1:10" x14ac:dyDescent="0.3">
      <c r="A493" t="s">
        <v>9</v>
      </c>
      <c r="B493" t="s">
        <v>609</v>
      </c>
      <c r="C493">
        <v>2</v>
      </c>
      <c r="D493">
        <v>2.5000000000000001E-3</v>
      </c>
      <c r="E493">
        <v>6.0696751703218093</v>
      </c>
      <c r="F493">
        <v>716.01217366353978</v>
      </c>
      <c r="G493">
        <v>0.42399999999999999</v>
      </c>
      <c r="H493">
        <v>1.1000000000000001E-3</v>
      </c>
      <c r="I493">
        <v>110.60120000000001</v>
      </c>
      <c r="J493">
        <v>1.1000000000000001E-3</v>
      </c>
    </row>
    <row r="494" spans="1:10" x14ac:dyDescent="0.3">
      <c r="A494" t="s">
        <v>9</v>
      </c>
      <c r="B494" t="s">
        <v>610</v>
      </c>
      <c r="C494">
        <v>2</v>
      </c>
      <c r="D494">
        <v>2.5000000000000001E-3</v>
      </c>
      <c r="E494">
        <v>6.1251976181677019</v>
      </c>
      <c r="F494">
        <v>721.28125396411497</v>
      </c>
      <c r="G494">
        <v>0.42399999999999999</v>
      </c>
      <c r="H494">
        <v>2E-3</v>
      </c>
      <c r="I494">
        <v>110.8013</v>
      </c>
      <c r="J494">
        <v>2E-3</v>
      </c>
    </row>
    <row r="495" spans="1:10" x14ac:dyDescent="0.3">
      <c r="A495" t="s">
        <v>9</v>
      </c>
      <c r="B495" t="s">
        <v>611</v>
      </c>
      <c r="C495">
        <v>2</v>
      </c>
      <c r="D495">
        <v>2.5000000000000001E-3</v>
      </c>
      <c r="E495">
        <v>6.1941929669992124</v>
      </c>
      <c r="F495">
        <v>727.82891256822518</v>
      </c>
      <c r="G495">
        <v>0.42399999999999999</v>
      </c>
      <c r="H495">
        <v>3.0999999999999999E-3</v>
      </c>
      <c r="I495">
        <v>111.0014</v>
      </c>
      <c r="J495">
        <v>3.0999999999999999E-3</v>
      </c>
    </row>
    <row r="496" spans="1:10" x14ac:dyDescent="0.3">
      <c r="A496" t="s">
        <v>9</v>
      </c>
      <c r="B496" t="s">
        <v>612</v>
      </c>
      <c r="C496">
        <v>2</v>
      </c>
      <c r="D496">
        <v>2.5000000000000001E-3</v>
      </c>
      <c r="E496">
        <v>6.2751100884623554</v>
      </c>
      <c r="F496">
        <v>735.50794739507751</v>
      </c>
      <c r="G496">
        <v>0.42399999999999999</v>
      </c>
      <c r="H496">
        <v>4.3E-3</v>
      </c>
      <c r="I496">
        <v>111.20189999999999</v>
      </c>
      <c r="J496">
        <v>4.3E-3</v>
      </c>
    </row>
    <row r="497" spans="1:10" x14ac:dyDescent="0.3">
      <c r="A497" t="s">
        <v>9</v>
      </c>
      <c r="B497" t="s">
        <v>613</v>
      </c>
      <c r="C497">
        <v>2</v>
      </c>
      <c r="D497">
        <v>2.5000000000000001E-3</v>
      </c>
      <c r="E497">
        <v>6.3653336556727949</v>
      </c>
      <c r="F497">
        <v>744.07016392334822</v>
      </c>
      <c r="G497">
        <v>0.42399999999999999</v>
      </c>
      <c r="H497">
        <v>5.7000000000000002E-3</v>
      </c>
      <c r="I497">
        <v>111.40130000000001</v>
      </c>
      <c r="J497">
        <v>5.7000000000000002E-3</v>
      </c>
    </row>
    <row r="498" spans="1:10" x14ac:dyDescent="0.3">
      <c r="A498" t="s">
        <v>9</v>
      </c>
      <c r="B498" t="s">
        <v>614</v>
      </c>
      <c r="C498">
        <v>2</v>
      </c>
      <c r="D498">
        <v>2.5000000000000001E-3</v>
      </c>
      <c r="E498">
        <v>6.463538468578431</v>
      </c>
      <c r="F498">
        <v>753.38980066809313</v>
      </c>
      <c r="G498">
        <v>0.42399999999999999</v>
      </c>
      <c r="H498">
        <v>7.3000000000000001E-3</v>
      </c>
      <c r="I498">
        <v>111.60169999999999</v>
      </c>
      <c r="J498">
        <v>7.3000000000000001E-3</v>
      </c>
    </row>
    <row r="499" spans="1:10" x14ac:dyDescent="0.3">
      <c r="A499" t="s">
        <v>9</v>
      </c>
      <c r="B499" t="s">
        <v>615</v>
      </c>
      <c r="C499">
        <v>2</v>
      </c>
      <c r="D499">
        <v>3.7000000000000002E-3</v>
      </c>
      <c r="E499">
        <v>6.5661505458007889</v>
      </c>
      <c r="F499">
        <v>763.12768679649491</v>
      </c>
      <c r="G499">
        <v>0.42399999999999999</v>
      </c>
      <c r="H499">
        <v>8.8999999999999999E-3</v>
      </c>
      <c r="I499">
        <v>111.80070000000001</v>
      </c>
      <c r="J499">
        <v>8.8999999999999999E-3</v>
      </c>
    </row>
    <row r="500" spans="1:10" x14ac:dyDescent="0.3">
      <c r="A500" t="s">
        <v>9</v>
      </c>
      <c r="B500" t="s">
        <v>616</v>
      </c>
      <c r="C500">
        <v>2</v>
      </c>
      <c r="D500">
        <v>5.7000000000000002E-3</v>
      </c>
      <c r="E500">
        <v>6.6719548942376026</v>
      </c>
      <c r="F500">
        <v>773.16851946314853</v>
      </c>
      <c r="G500">
        <v>0.42399999999999999</v>
      </c>
      <c r="H500">
        <v>1.0500000000000001E-2</v>
      </c>
      <c r="I500">
        <v>112.0008</v>
      </c>
      <c r="J500">
        <v>1.0500000000000001E-2</v>
      </c>
    </row>
    <row r="501" spans="1:10" x14ac:dyDescent="0.3">
      <c r="A501" t="s">
        <v>9</v>
      </c>
      <c r="B501" t="s">
        <v>617</v>
      </c>
      <c r="C501">
        <v>2</v>
      </c>
      <c r="D501">
        <v>7.7000000000000002E-3</v>
      </c>
      <c r="E501">
        <v>6.7790514779545514</v>
      </c>
      <c r="F501">
        <v>783.33198525788691</v>
      </c>
      <c r="G501">
        <v>0.42399999999999999</v>
      </c>
      <c r="H501">
        <v>1.2200000000000001E-2</v>
      </c>
      <c r="I501">
        <v>112.20350000000001</v>
      </c>
      <c r="J501">
        <v>1.2200000000000001E-2</v>
      </c>
    </row>
    <row r="502" spans="1:10" x14ac:dyDescent="0.3">
      <c r="A502" t="s">
        <v>9</v>
      </c>
      <c r="B502" t="s">
        <v>618</v>
      </c>
      <c r="C502">
        <v>2</v>
      </c>
      <c r="D502">
        <v>8.8999999999999999E-3</v>
      </c>
      <c r="E502">
        <v>6.8808724817437286</v>
      </c>
      <c r="F502">
        <v>792.99479851747992</v>
      </c>
      <c r="G502">
        <v>0.42399999999999999</v>
      </c>
      <c r="H502">
        <v>1.38E-2</v>
      </c>
      <c r="I502">
        <v>112.401</v>
      </c>
      <c r="J502">
        <v>1.38E-2</v>
      </c>
    </row>
    <row r="503" spans="1:10" x14ac:dyDescent="0.3">
      <c r="A503" t="s">
        <v>9</v>
      </c>
      <c r="B503" t="s">
        <v>619</v>
      </c>
      <c r="C503">
        <v>2</v>
      </c>
      <c r="D503">
        <v>1.0500000000000001E-2</v>
      </c>
      <c r="E503">
        <v>6.9788159687510127</v>
      </c>
      <c r="F503">
        <v>802.28963543447117</v>
      </c>
      <c r="G503">
        <v>0.42399999999999999</v>
      </c>
      <c r="H503">
        <v>1.5299999999999999E-2</v>
      </c>
      <c r="I503">
        <v>112.6011</v>
      </c>
      <c r="J503">
        <v>1.5299999999999999E-2</v>
      </c>
    </row>
    <row r="504" spans="1:10" x14ac:dyDescent="0.3">
      <c r="A504" t="s">
        <v>9</v>
      </c>
      <c r="B504" t="s">
        <v>620</v>
      </c>
      <c r="C504">
        <v>2</v>
      </c>
      <c r="D504">
        <v>1.2E-2</v>
      </c>
      <c r="E504">
        <v>7.0685539441913008</v>
      </c>
      <c r="F504">
        <v>810.80576930375446</v>
      </c>
      <c r="G504">
        <v>0.42399999999999999</v>
      </c>
      <c r="H504">
        <v>1.67E-2</v>
      </c>
      <c r="I504">
        <v>112.7996</v>
      </c>
      <c r="J504">
        <v>1.67E-2</v>
      </c>
    </row>
    <row r="505" spans="1:10" x14ac:dyDescent="0.3">
      <c r="A505" t="s">
        <v>9</v>
      </c>
      <c r="B505" t="s">
        <v>621</v>
      </c>
      <c r="C505">
        <v>2</v>
      </c>
      <c r="D505">
        <v>1.35E-2</v>
      </c>
      <c r="E505">
        <v>7.1494100828536489</v>
      </c>
      <c r="F505">
        <v>818.47901686281136</v>
      </c>
      <c r="G505">
        <v>0.42399999999999999</v>
      </c>
      <c r="H505">
        <v>1.7899999999999999E-2</v>
      </c>
      <c r="I505">
        <v>113.0001</v>
      </c>
      <c r="J505">
        <v>1.7899999999999999E-2</v>
      </c>
    </row>
    <row r="506" spans="1:10" x14ac:dyDescent="0.3">
      <c r="A506" t="s">
        <v>9</v>
      </c>
      <c r="B506" t="s">
        <v>622</v>
      </c>
      <c r="C506">
        <v>2</v>
      </c>
      <c r="D506">
        <v>1.43E-2</v>
      </c>
      <c r="E506">
        <v>7.2180672285326146</v>
      </c>
      <c r="F506">
        <v>824.99457998774517</v>
      </c>
      <c r="G506">
        <v>0.42399999999999999</v>
      </c>
      <c r="H506">
        <v>1.9E-2</v>
      </c>
      <c r="I506">
        <v>113.1994</v>
      </c>
      <c r="J506">
        <v>1.9E-2</v>
      </c>
    </row>
    <row r="507" spans="1:10" x14ac:dyDescent="0.3">
      <c r="A507" t="s">
        <v>9</v>
      </c>
      <c r="B507" t="s">
        <v>623</v>
      </c>
      <c r="C507">
        <v>2</v>
      </c>
      <c r="D507">
        <v>1.5599999999999999E-2</v>
      </c>
      <c r="E507">
        <v>7.27448361774095</v>
      </c>
      <c r="F507">
        <v>830.34849532361625</v>
      </c>
      <c r="G507">
        <v>0.42399999999999999</v>
      </c>
      <c r="H507">
        <v>1.9900000000000001E-2</v>
      </c>
      <c r="I507">
        <v>113.40349999999999</v>
      </c>
      <c r="J507">
        <v>1.9900000000000001E-2</v>
      </c>
    </row>
    <row r="508" spans="1:10" x14ac:dyDescent="0.3">
      <c r="A508" t="s">
        <v>9</v>
      </c>
      <c r="B508" t="s">
        <v>624</v>
      </c>
      <c r="C508">
        <v>2</v>
      </c>
      <c r="D508">
        <v>1.6199999999999999E-2</v>
      </c>
      <c r="E508">
        <v>7.3142858429695572</v>
      </c>
      <c r="F508">
        <v>834.125726497811</v>
      </c>
      <c r="G508">
        <v>0.42399999999999999</v>
      </c>
      <c r="H508">
        <v>2.0500000000000001E-2</v>
      </c>
      <c r="I508">
        <v>113.6003</v>
      </c>
      <c r="J508">
        <v>2.0500000000000001E-2</v>
      </c>
    </row>
    <row r="509" spans="1:10" x14ac:dyDescent="0.3">
      <c r="A509" t="s">
        <v>9</v>
      </c>
      <c r="B509" t="s">
        <v>625</v>
      </c>
      <c r="C509">
        <v>2</v>
      </c>
      <c r="D509">
        <v>1.66E-2</v>
      </c>
      <c r="E509">
        <v>7.3391967494350254</v>
      </c>
      <c r="F509">
        <v>836.489771521384</v>
      </c>
      <c r="G509">
        <v>0.42399999999999999</v>
      </c>
      <c r="H509">
        <v>2.0899999999999998E-2</v>
      </c>
      <c r="I509">
        <v>113.8026</v>
      </c>
      <c r="J509">
        <v>2.0899999999999998E-2</v>
      </c>
    </row>
    <row r="510" spans="1:10" x14ac:dyDescent="0.3">
      <c r="A510" t="s">
        <v>9</v>
      </c>
      <c r="B510" t="s">
        <v>626</v>
      </c>
      <c r="C510">
        <v>2</v>
      </c>
      <c r="D510">
        <v>1.7299999999999999E-2</v>
      </c>
      <c r="E510">
        <v>7.3473021097267832</v>
      </c>
      <c r="F510">
        <v>837.25897021307173</v>
      </c>
      <c r="G510">
        <v>0.42399999999999999</v>
      </c>
      <c r="H510">
        <v>2.1000000000000001E-2</v>
      </c>
      <c r="I510">
        <v>114.0016</v>
      </c>
      <c r="J510">
        <v>2.1000000000000001E-2</v>
      </c>
    </row>
    <row r="511" spans="1:10" x14ac:dyDescent="0.3">
      <c r="A511" t="s">
        <v>9</v>
      </c>
      <c r="B511" t="s">
        <v>627</v>
      </c>
      <c r="C511">
        <v>2</v>
      </c>
      <c r="D511">
        <v>1.72E-2</v>
      </c>
      <c r="E511">
        <v>7.3389023776705544</v>
      </c>
      <c r="F511">
        <v>731.98570159889562</v>
      </c>
      <c r="G511">
        <v>0.42399999999999999</v>
      </c>
      <c r="H511">
        <v>2.0899999999999998E-2</v>
      </c>
      <c r="I511">
        <v>114.20099999999999</v>
      </c>
      <c r="J511">
        <v>2.0899999999999998E-2</v>
      </c>
    </row>
    <row r="512" spans="1:10" x14ac:dyDescent="0.3">
      <c r="A512" t="s">
        <v>9</v>
      </c>
      <c r="B512" t="s">
        <v>628</v>
      </c>
      <c r="C512">
        <v>2</v>
      </c>
      <c r="D512">
        <v>1.72E-2</v>
      </c>
      <c r="E512">
        <v>7.3138746956290941</v>
      </c>
      <c r="F512">
        <v>729.65312163263161</v>
      </c>
      <c r="G512">
        <v>0.42399999999999999</v>
      </c>
      <c r="H512">
        <v>2.0500000000000001E-2</v>
      </c>
      <c r="I512">
        <v>114.4021</v>
      </c>
      <c r="J512">
        <v>2.0500000000000001E-2</v>
      </c>
    </row>
    <row r="513" spans="1:10" x14ac:dyDescent="0.3">
      <c r="A513" t="s">
        <v>9</v>
      </c>
      <c r="B513" t="s">
        <v>629</v>
      </c>
      <c r="C513">
        <v>2</v>
      </c>
      <c r="D513">
        <v>1.72E-2</v>
      </c>
      <c r="E513">
        <v>7.2736933552492724</v>
      </c>
      <c r="F513">
        <v>725.90822070923218</v>
      </c>
      <c r="G513">
        <v>0.42399999999999999</v>
      </c>
      <c r="H513">
        <v>1.9900000000000001E-2</v>
      </c>
      <c r="I513">
        <v>114.5998</v>
      </c>
      <c r="J513">
        <v>1.9900000000000001E-2</v>
      </c>
    </row>
    <row r="514" spans="1:10" x14ac:dyDescent="0.3">
      <c r="A514" t="s">
        <v>9</v>
      </c>
      <c r="B514" t="s">
        <v>630</v>
      </c>
      <c r="C514">
        <v>2</v>
      </c>
      <c r="D514">
        <v>1.72E-2</v>
      </c>
      <c r="E514">
        <v>7.217944370895375</v>
      </c>
      <c r="F514">
        <v>720.71241536744901</v>
      </c>
      <c r="G514">
        <v>0.42399999999999999</v>
      </c>
      <c r="H514">
        <v>1.9E-2</v>
      </c>
      <c r="I514">
        <v>114.8009</v>
      </c>
      <c r="J514">
        <v>1.9E-2</v>
      </c>
    </row>
    <row r="515" spans="1:10" x14ac:dyDescent="0.3">
      <c r="A515" t="s">
        <v>9</v>
      </c>
      <c r="B515" t="s">
        <v>631</v>
      </c>
      <c r="C515">
        <v>2</v>
      </c>
      <c r="D515">
        <v>1.72E-2</v>
      </c>
      <c r="E515">
        <v>7.1487475436482084</v>
      </c>
      <c r="F515">
        <v>714.26327106801307</v>
      </c>
      <c r="G515">
        <v>0.42399999999999999</v>
      </c>
      <c r="H515">
        <v>1.7899999999999999E-2</v>
      </c>
      <c r="I515">
        <v>115.0017</v>
      </c>
      <c r="J515">
        <v>1.7899999999999999E-2</v>
      </c>
    </row>
    <row r="516" spans="1:10" x14ac:dyDescent="0.3">
      <c r="A516" t="s">
        <v>9</v>
      </c>
      <c r="B516" t="s">
        <v>632</v>
      </c>
      <c r="C516">
        <v>2</v>
      </c>
      <c r="D516">
        <v>1.72E-2</v>
      </c>
      <c r="E516">
        <v>7.0679420888296054</v>
      </c>
      <c r="F516">
        <v>706.73220267891929</v>
      </c>
      <c r="G516">
        <v>0.42399999999999999</v>
      </c>
      <c r="H516">
        <v>1.67E-2</v>
      </c>
      <c r="I516">
        <v>115.20180000000001</v>
      </c>
      <c r="J516">
        <v>1.67E-2</v>
      </c>
    </row>
    <row r="517" spans="1:10" x14ac:dyDescent="0.3">
      <c r="A517" t="s">
        <v>9</v>
      </c>
      <c r="B517" t="s">
        <v>633</v>
      </c>
      <c r="C517">
        <v>2</v>
      </c>
      <c r="D517">
        <v>1.72E-2</v>
      </c>
      <c r="E517">
        <v>6.9783679235723044</v>
      </c>
      <c r="F517">
        <v>698.38389047693875</v>
      </c>
      <c r="G517">
        <v>0.42399999999999999</v>
      </c>
      <c r="H517">
        <v>1.5299999999999999E-2</v>
      </c>
      <c r="I517">
        <v>115.3999</v>
      </c>
      <c r="J517">
        <v>1.5299999999999999E-2</v>
      </c>
    </row>
    <row r="518" spans="1:10" x14ac:dyDescent="0.3">
      <c r="A518" t="s">
        <v>9</v>
      </c>
      <c r="B518" t="s">
        <v>634</v>
      </c>
      <c r="C518">
        <v>2</v>
      </c>
      <c r="D518">
        <v>1.6899999999999998E-2</v>
      </c>
      <c r="E518">
        <v>6.8797225666968336</v>
      </c>
      <c r="F518">
        <v>689.19014321614497</v>
      </c>
      <c r="G518">
        <v>0.42399999999999999</v>
      </c>
      <c r="H518">
        <v>1.37E-2</v>
      </c>
      <c r="I518">
        <v>115.60120000000001</v>
      </c>
      <c r="J518">
        <v>1.37E-2</v>
      </c>
    </row>
    <row r="519" spans="1:10" x14ac:dyDescent="0.3">
      <c r="A519" t="s">
        <v>9</v>
      </c>
      <c r="B519" t="s">
        <v>635</v>
      </c>
      <c r="C519">
        <v>2</v>
      </c>
      <c r="D519">
        <v>1.67E-2</v>
      </c>
      <c r="E519">
        <v>6.7770630493967321</v>
      </c>
      <c r="F519">
        <v>679.62227620377541</v>
      </c>
      <c r="G519">
        <v>0.42399999999999999</v>
      </c>
      <c r="H519">
        <v>1.21E-2</v>
      </c>
      <c r="I519">
        <v>115.80029999999999</v>
      </c>
      <c r="J519">
        <v>1.21E-2</v>
      </c>
    </row>
    <row r="520" spans="1:10" x14ac:dyDescent="0.3">
      <c r="A520" t="s">
        <v>9</v>
      </c>
      <c r="B520" t="s">
        <v>636</v>
      </c>
      <c r="C520">
        <v>2</v>
      </c>
      <c r="D520">
        <v>1.6E-2</v>
      </c>
      <c r="E520">
        <v>6.6706886090854676</v>
      </c>
      <c r="F520">
        <v>669.70817836676565</v>
      </c>
      <c r="G520">
        <v>0.42399999999999999</v>
      </c>
      <c r="H520">
        <v>1.0500000000000001E-2</v>
      </c>
      <c r="I520">
        <v>116.0016</v>
      </c>
      <c r="J520">
        <v>1.0500000000000001E-2</v>
      </c>
    </row>
    <row r="521" spans="1:10" x14ac:dyDescent="0.3">
      <c r="A521" t="s">
        <v>9</v>
      </c>
      <c r="B521" t="s">
        <v>637</v>
      </c>
      <c r="C521">
        <v>2</v>
      </c>
      <c r="D521">
        <v>1.4800000000000001E-2</v>
      </c>
      <c r="E521">
        <v>6.5658727983370637</v>
      </c>
      <c r="F521">
        <v>659.93934480501434</v>
      </c>
      <c r="G521">
        <v>0.42399999999999999</v>
      </c>
      <c r="H521">
        <v>8.8999999999999999E-3</v>
      </c>
      <c r="I521">
        <v>116.1999</v>
      </c>
      <c r="J521">
        <v>8.8999999999999999E-3</v>
      </c>
    </row>
    <row r="522" spans="1:10" x14ac:dyDescent="0.3">
      <c r="A522" t="s">
        <v>9</v>
      </c>
      <c r="B522" t="s">
        <v>638</v>
      </c>
      <c r="C522">
        <v>2</v>
      </c>
      <c r="D522">
        <v>1.32E-2</v>
      </c>
      <c r="E522">
        <v>6.4619518615338274</v>
      </c>
      <c r="F522">
        <v>650.2539134949526</v>
      </c>
      <c r="G522">
        <v>0.42399999999999999</v>
      </c>
      <c r="H522">
        <v>7.1999999999999998E-3</v>
      </c>
      <c r="I522">
        <v>116.4015</v>
      </c>
      <c r="J522">
        <v>7.1999999999999998E-3</v>
      </c>
    </row>
    <row r="523" spans="1:10" x14ac:dyDescent="0.3">
      <c r="A523" t="s">
        <v>9</v>
      </c>
      <c r="B523" t="s">
        <v>639</v>
      </c>
      <c r="C523">
        <v>2</v>
      </c>
      <c r="D523">
        <v>1.0999999999999999E-2</v>
      </c>
      <c r="E523">
        <v>6.3636087831024533</v>
      </c>
      <c r="F523">
        <v>641.08833858514868</v>
      </c>
      <c r="G523">
        <v>0.42399999999999999</v>
      </c>
      <c r="H523">
        <v>5.7000000000000002E-3</v>
      </c>
      <c r="I523">
        <v>116.6023</v>
      </c>
      <c r="J523">
        <v>5.7000000000000002E-3</v>
      </c>
    </row>
    <row r="524" spans="1:10" x14ac:dyDescent="0.3">
      <c r="A524" t="s">
        <v>9</v>
      </c>
      <c r="B524" t="s">
        <v>640</v>
      </c>
      <c r="C524">
        <v>2</v>
      </c>
      <c r="D524">
        <v>9.1000000000000004E-3</v>
      </c>
      <c r="E524">
        <v>6.2738852829679406</v>
      </c>
      <c r="F524">
        <v>632.7261083726122</v>
      </c>
      <c r="G524">
        <v>0.42399999999999999</v>
      </c>
      <c r="H524">
        <v>4.3E-3</v>
      </c>
      <c r="I524">
        <v>116.801</v>
      </c>
      <c r="J524">
        <v>4.3E-3</v>
      </c>
    </row>
    <row r="525" spans="1:10" x14ac:dyDescent="0.3">
      <c r="A525" t="s">
        <v>9</v>
      </c>
      <c r="B525" t="s">
        <v>641</v>
      </c>
      <c r="C525">
        <v>2</v>
      </c>
      <c r="D525">
        <v>7.1999999999999998E-3</v>
      </c>
      <c r="E525">
        <v>6.192704118952423</v>
      </c>
      <c r="F525">
        <v>625.16002388636582</v>
      </c>
      <c r="G525">
        <v>0.42399999999999999</v>
      </c>
      <c r="H525">
        <v>3.0999999999999999E-3</v>
      </c>
      <c r="I525">
        <v>117.0026</v>
      </c>
      <c r="J525">
        <v>3.0999999999999999E-3</v>
      </c>
    </row>
    <row r="526" spans="1:10" x14ac:dyDescent="0.3">
      <c r="A526" t="s">
        <v>9</v>
      </c>
      <c r="B526" t="s">
        <v>642</v>
      </c>
      <c r="C526">
        <v>2</v>
      </c>
      <c r="D526">
        <v>5.5999999999999999E-3</v>
      </c>
      <c r="E526">
        <v>6.1244230879411221</v>
      </c>
      <c r="F526">
        <v>618.79623179611258</v>
      </c>
      <c r="G526">
        <v>0.42399999999999999</v>
      </c>
      <c r="H526">
        <v>2E-3</v>
      </c>
      <c r="I526">
        <v>117.2012</v>
      </c>
      <c r="J526">
        <v>2E-3</v>
      </c>
    </row>
    <row r="527" spans="1:10" x14ac:dyDescent="0.3">
      <c r="A527" t="s">
        <v>9</v>
      </c>
      <c r="B527" t="s">
        <v>643</v>
      </c>
      <c r="C527">
        <v>2</v>
      </c>
      <c r="D527">
        <v>4.7999999999999996E-3</v>
      </c>
      <c r="E527">
        <v>6.0695238486379237</v>
      </c>
      <c r="F527">
        <v>613.67962269305451</v>
      </c>
      <c r="G527">
        <v>0.42399999999999999</v>
      </c>
      <c r="H527">
        <v>1.1000000000000001E-3</v>
      </c>
      <c r="I527">
        <v>117.3994</v>
      </c>
      <c r="J527">
        <v>1.1000000000000001E-3</v>
      </c>
    </row>
    <row r="528" spans="1:10" x14ac:dyDescent="0.3">
      <c r="A528" t="s">
        <v>9</v>
      </c>
      <c r="B528" t="s">
        <v>644</v>
      </c>
      <c r="C528">
        <v>2</v>
      </c>
      <c r="D528">
        <v>3.3999999999999998E-3</v>
      </c>
      <c r="E528">
        <v>6.0284735114561956</v>
      </c>
      <c r="F528">
        <v>609.85373126771742</v>
      </c>
      <c r="G528">
        <v>0.42399999999999999</v>
      </c>
      <c r="H528">
        <v>5.0000000000000001E-4</v>
      </c>
      <c r="I528">
        <v>117.602</v>
      </c>
      <c r="J528">
        <v>5.0000000000000001E-4</v>
      </c>
    </row>
    <row r="529" spans="1:10" x14ac:dyDescent="0.3">
      <c r="A529" t="s">
        <v>9</v>
      </c>
      <c r="B529" t="s">
        <v>645</v>
      </c>
      <c r="C529">
        <v>2</v>
      </c>
      <c r="D529">
        <v>3.2000000000000002E-3</v>
      </c>
      <c r="E529">
        <v>6.0039632709123012</v>
      </c>
      <c r="F529">
        <v>607.56937684902653</v>
      </c>
      <c r="G529">
        <v>0.42399999999999999</v>
      </c>
      <c r="H529">
        <v>1E-4</v>
      </c>
      <c r="I529">
        <v>117.80110000000001</v>
      </c>
      <c r="J529">
        <v>1E-4</v>
      </c>
    </row>
    <row r="530" spans="1:10" x14ac:dyDescent="0.3">
      <c r="A530" t="s">
        <v>9</v>
      </c>
      <c r="B530" t="s">
        <v>646</v>
      </c>
      <c r="C530">
        <v>2</v>
      </c>
      <c r="D530">
        <v>3.2000000000000002E-3</v>
      </c>
      <c r="E530">
        <v>5.995734208849564</v>
      </c>
      <c r="F530">
        <v>606.80242826477934</v>
      </c>
      <c r="G530">
        <v>0.42399999999999999</v>
      </c>
      <c r="H530">
        <v>0</v>
      </c>
      <c r="I530">
        <v>118.00190000000001</v>
      </c>
      <c r="J530">
        <v>0</v>
      </c>
    </row>
    <row r="531" spans="1:10" x14ac:dyDescent="0.3">
      <c r="A531" t="s">
        <v>9</v>
      </c>
      <c r="B531" t="s">
        <v>647</v>
      </c>
      <c r="C531">
        <v>2</v>
      </c>
      <c r="D531">
        <v>2.3999999999999998E-3</v>
      </c>
      <c r="E531">
        <v>6.0040379505150314</v>
      </c>
      <c r="F531">
        <v>709.7832015038764</v>
      </c>
      <c r="G531">
        <v>0.42399999999999999</v>
      </c>
      <c r="H531">
        <v>1E-4</v>
      </c>
      <c r="I531">
        <v>118.1998</v>
      </c>
      <c r="J531">
        <v>1E-4</v>
      </c>
    </row>
    <row r="532" spans="1:10" x14ac:dyDescent="0.3">
      <c r="A532" t="s">
        <v>9</v>
      </c>
      <c r="B532" t="s">
        <v>648</v>
      </c>
      <c r="C532">
        <v>2</v>
      </c>
      <c r="D532">
        <v>2.3999999999999998E-3</v>
      </c>
      <c r="E532">
        <v>6.0287529335141183</v>
      </c>
      <c r="F532">
        <v>712.12865339048983</v>
      </c>
      <c r="G532">
        <v>0.42399999999999999</v>
      </c>
      <c r="H532">
        <v>5.0000000000000001E-4</v>
      </c>
      <c r="I532">
        <v>118.3997</v>
      </c>
      <c r="J532">
        <v>5.0000000000000001E-4</v>
      </c>
    </row>
    <row r="533" spans="1:10" x14ac:dyDescent="0.3">
      <c r="A533" t="s">
        <v>9</v>
      </c>
      <c r="B533" t="s">
        <v>649</v>
      </c>
      <c r="C533">
        <v>2</v>
      </c>
      <c r="D533">
        <v>2.3999999999999998E-3</v>
      </c>
      <c r="E533">
        <v>6.069488451041452</v>
      </c>
      <c r="F533">
        <v>715.99445400383388</v>
      </c>
      <c r="G533">
        <v>0.42399999999999999</v>
      </c>
      <c r="H533">
        <v>1.1000000000000001E-3</v>
      </c>
      <c r="I533">
        <v>118.60039999999999</v>
      </c>
      <c r="J533">
        <v>1.1000000000000001E-3</v>
      </c>
    </row>
    <row r="534" spans="1:10" x14ac:dyDescent="0.3">
      <c r="A534" t="s">
        <v>9</v>
      </c>
      <c r="B534" t="s">
        <v>650</v>
      </c>
      <c r="C534">
        <v>2</v>
      </c>
      <c r="D534">
        <v>2.3999999999999998E-3</v>
      </c>
      <c r="E534">
        <v>6.1249468750559251</v>
      </c>
      <c r="F534">
        <v>721.25745844280732</v>
      </c>
      <c r="G534">
        <v>0.42399999999999999</v>
      </c>
      <c r="H534">
        <v>2E-3</v>
      </c>
      <c r="I534">
        <v>118.8005</v>
      </c>
      <c r="J534">
        <v>2E-3</v>
      </c>
    </row>
    <row r="535" spans="1:10" x14ac:dyDescent="0.3">
      <c r="A535" t="s">
        <v>9</v>
      </c>
      <c r="B535" t="s">
        <v>651</v>
      </c>
      <c r="C535">
        <v>2</v>
      </c>
      <c r="D535">
        <v>2.5000000000000001E-3</v>
      </c>
      <c r="E535">
        <v>6.1944643080250863</v>
      </c>
      <c r="F535">
        <v>727.85466283158075</v>
      </c>
      <c r="G535">
        <v>0.42399999999999999</v>
      </c>
      <c r="H535">
        <v>3.0999999999999999E-3</v>
      </c>
      <c r="I535">
        <v>119.0021</v>
      </c>
      <c r="J535">
        <v>3.0999999999999999E-3</v>
      </c>
    </row>
    <row r="536" spans="1:10" x14ac:dyDescent="0.3">
      <c r="A536" t="s">
        <v>9</v>
      </c>
      <c r="B536" t="s">
        <v>652</v>
      </c>
      <c r="C536">
        <v>2</v>
      </c>
      <c r="D536">
        <v>2.3999999999999998E-3</v>
      </c>
      <c r="E536">
        <v>6.2743268811617261</v>
      </c>
      <c r="F536">
        <v>735.43362102224785</v>
      </c>
      <c r="G536">
        <v>0.42399999999999999</v>
      </c>
      <c r="H536">
        <v>4.3E-3</v>
      </c>
      <c r="I536">
        <v>119.20010000000001</v>
      </c>
      <c r="J536">
        <v>4.3E-3</v>
      </c>
    </row>
    <row r="537" spans="1:10" x14ac:dyDescent="0.3">
      <c r="A537" t="s">
        <v>9</v>
      </c>
      <c r="B537" t="s">
        <v>653</v>
      </c>
      <c r="C537">
        <v>2</v>
      </c>
      <c r="D537">
        <v>2.5000000000000001E-3</v>
      </c>
      <c r="E537">
        <v>6.3644760039424746</v>
      </c>
      <c r="F537">
        <v>743.9887727741409</v>
      </c>
      <c r="G537">
        <v>0.42399999999999999</v>
      </c>
      <c r="H537">
        <v>5.7000000000000002E-3</v>
      </c>
      <c r="I537">
        <v>119.3995</v>
      </c>
      <c r="J537">
        <v>5.7000000000000002E-3</v>
      </c>
    </row>
    <row r="538" spans="1:10" x14ac:dyDescent="0.3">
      <c r="A538" t="s">
        <v>9</v>
      </c>
      <c r="B538" t="s">
        <v>654</v>
      </c>
      <c r="C538">
        <v>2</v>
      </c>
      <c r="D538">
        <v>2.8E-3</v>
      </c>
      <c r="E538">
        <v>6.4631869254382144</v>
      </c>
      <c r="F538">
        <v>753.35643922408656</v>
      </c>
      <c r="G538">
        <v>0.42399999999999999</v>
      </c>
      <c r="H538">
        <v>7.3000000000000001E-3</v>
      </c>
      <c r="I538">
        <v>119.601</v>
      </c>
      <c r="J538">
        <v>7.3000000000000001E-3</v>
      </c>
    </row>
    <row r="539" spans="1:10" x14ac:dyDescent="0.3">
      <c r="A539" t="s">
        <v>9</v>
      </c>
      <c r="B539" t="s">
        <v>655</v>
      </c>
      <c r="C539">
        <v>2</v>
      </c>
      <c r="D539">
        <v>3.8999999999999998E-3</v>
      </c>
      <c r="E539">
        <v>6.5665649369072501</v>
      </c>
      <c r="F539">
        <v>763.1670125124981</v>
      </c>
      <c r="G539">
        <v>0.42399999999999999</v>
      </c>
      <c r="H539">
        <v>8.8999999999999999E-3</v>
      </c>
      <c r="I539">
        <v>119.8015</v>
      </c>
      <c r="J539">
        <v>8.8999999999999999E-3</v>
      </c>
    </row>
    <row r="540" spans="1:10" x14ac:dyDescent="0.3">
      <c r="A540" t="s">
        <v>9</v>
      </c>
      <c r="B540" t="s">
        <v>656</v>
      </c>
      <c r="C540">
        <v>2</v>
      </c>
      <c r="D540">
        <v>5.4000000000000003E-3</v>
      </c>
      <c r="E540">
        <v>6.6721268138355878</v>
      </c>
      <c r="F540">
        <v>773.18483463299731</v>
      </c>
      <c r="G540">
        <v>0.42399999999999999</v>
      </c>
      <c r="H540">
        <v>1.0500000000000001E-2</v>
      </c>
      <c r="I540">
        <v>120.00109999999999</v>
      </c>
      <c r="J540">
        <v>1.0500000000000001E-2</v>
      </c>
    </row>
    <row r="541" spans="1:10" x14ac:dyDescent="0.3">
      <c r="A541" t="s">
        <v>9</v>
      </c>
      <c r="B541" t="s">
        <v>657</v>
      </c>
      <c r="C541">
        <v>2</v>
      </c>
      <c r="D541">
        <v>7.6E-3</v>
      </c>
      <c r="E541">
        <v>6.7782843272956201</v>
      </c>
      <c r="F541">
        <v>783.25918266035444</v>
      </c>
      <c r="G541">
        <v>0.42399999999999999</v>
      </c>
      <c r="H541">
        <v>1.2200000000000001E-2</v>
      </c>
      <c r="I541">
        <v>120.202</v>
      </c>
      <c r="J541">
        <v>1.2200000000000001E-2</v>
      </c>
    </row>
    <row r="542" spans="1:10" x14ac:dyDescent="0.3">
      <c r="A542" t="s">
        <v>9</v>
      </c>
      <c r="B542" t="s">
        <v>658</v>
      </c>
      <c r="C542">
        <v>2</v>
      </c>
      <c r="D542">
        <v>8.5000000000000006E-3</v>
      </c>
      <c r="E542">
        <v>6.8808254471367327</v>
      </c>
      <c r="F542">
        <v>792.99033493327602</v>
      </c>
      <c r="G542">
        <v>0.42399999999999999</v>
      </c>
      <c r="H542">
        <v>1.38E-2</v>
      </c>
      <c r="I542">
        <v>120.40089999999999</v>
      </c>
      <c r="J542">
        <v>1.38E-2</v>
      </c>
    </row>
    <row r="543" spans="1:10" x14ac:dyDescent="0.3">
      <c r="A543" t="s">
        <v>9</v>
      </c>
      <c r="B543" t="s">
        <v>659</v>
      </c>
      <c r="C543">
        <v>2</v>
      </c>
      <c r="D543">
        <v>1.0500000000000001E-2</v>
      </c>
      <c r="E543">
        <v>6.9789736968727487</v>
      </c>
      <c r="F543">
        <v>802.30460383322384</v>
      </c>
      <c r="G543">
        <v>0.42399999999999999</v>
      </c>
      <c r="H543">
        <v>1.5299999999999999E-2</v>
      </c>
      <c r="I543">
        <v>120.6014</v>
      </c>
      <c r="J543">
        <v>1.5299999999999999E-2</v>
      </c>
    </row>
    <row r="544" spans="1:10" x14ac:dyDescent="0.3">
      <c r="A544" t="s">
        <v>9</v>
      </c>
      <c r="B544" t="s">
        <v>660</v>
      </c>
      <c r="C544">
        <v>2</v>
      </c>
      <c r="D544">
        <v>1.2E-2</v>
      </c>
      <c r="E544">
        <v>7.0688888630307689</v>
      </c>
      <c r="F544">
        <v>810.83755310161996</v>
      </c>
      <c r="G544">
        <v>0.42399999999999999</v>
      </c>
      <c r="H544">
        <v>1.67E-2</v>
      </c>
      <c r="I544">
        <v>120.8004</v>
      </c>
      <c r="J544">
        <v>1.67E-2</v>
      </c>
    </row>
    <row r="545" spans="1:10" x14ac:dyDescent="0.3">
      <c r="A545" t="s">
        <v>9</v>
      </c>
      <c r="B545" t="s">
        <v>661</v>
      </c>
      <c r="C545">
        <v>2</v>
      </c>
      <c r="D545">
        <v>1.3100000000000001E-2</v>
      </c>
      <c r="E545">
        <v>7.1493492622411541</v>
      </c>
      <c r="F545">
        <v>818.47324498668559</v>
      </c>
      <c r="G545">
        <v>0.42399999999999999</v>
      </c>
      <c r="H545">
        <v>1.7899999999999999E-2</v>
      </c>
      <c r="I545">
        <v>120.9999</v>
      </c>
      <c r="J545">
        <v>1.7899999999999999E-2</v>
      </c>
    </row>
    <row r="546" spans="1:10" x14ac:dyDescent="0.3">
      <c r="A546" t="s">
        <v>9</v>
      </c>
      <c r="B546" t="s">
        <v>662</v>
      </c>
      <c r="C546">
        <v>2</v>
      </c>
      <c r="D546">
        <v>1.46E-2</v>
      </c>
      <c r="E546">
        <v>7.2187557178660509</v>
      </c>
      <c r="F546">
        <v>825.05991762548831</v>
      </c>
      <c r="G546">
        <v>0.42399999999999999</v>
      </c>
      <c r="H546">
        <v>1.9E-2</v>
      </c>
      <c r="I546">
        <v>121.2017</v>
      </c>
      <c r="J546">
        <v>1.9E-2</v>
      </c>
    </row>
    <row r="547" spans="1:10" x14ac:dyDescent="0.3">
      <c r="A547" t="s">
        <v>9</v>
      </c>
      <c r="B547" t="s">
        <v>663</v>
      </c>
      <c r="C547">
        <v>2</v>
      </c>
      <c r="D547">
        <v>1.54E-2</v>
      </c>
      <c r="E547">
        <v>7.2740132716709924</v>
      </c>
      <c r="F547">
        <v>830.30385948157709</v>
      </c>
      <c r="G547">
        <v>0.42399999999999999</v>
      </c>
      <c r="H547">
        <v>1.9900000000000001E-2</v>
      </c>
      <c r="I547">
        <v>121.4015</v>
      </c>
      <c r="J547">
        <v>1.9900000000000001E-2</v>
      </c>
    </row>
    <row r="548" spans="1:10" x14ac:dyDescent="0.3">
      <c r="A548" t="s">
        <v>9</v>
      </c>
      <c r="B548" t="s">
        <v>664</v>
      </c>
      <c r="C548">
        <v>2</v>
      </c>
      <c r="D548">
        <v>1.5699999999999999E-2</v>
      </c>
      <c r="E548">
        <v>7.3141828533990649</v>
      </c>
      <c r="F548">
        <v>834.11595278757136</v>
      </c>
      <c r="G548">
        <v>0.42399999999999999</v>
      </c>
      <c r="H548">
        <v>2.0500000000000001E-2</v>
      </c>
      <c r="I548">
        <v>121.5997</v>
      </c>
      <c r="J548">
        <v>2.0500000000000001E-2</v>
      </c>
    </row>
    <row r="549" spans="1:10" x14ac:dyDescent="0.3">
      <c r="A549" t="s">
        <v>9</v>
      </c>
      <c r="B549" t="s">
        <v>665</v>
      </c>
      <c r="C549">
        <v>2</v>
      </c>
      <c r="D549">
        <v>1.6299999999999999E-2</v>
      </c>
      <c r="E549">
        <v>7.3390191532465421</v>
      </c>
      <c r="F549">
        <v>836.47291764309693</v>
      </c>
      <c r="G549">
        <v>0.42399999999999999</v>
      </c>
      <c r="H549">
        <v>2.0899999999999998E-2</v>
      </c>
      <c r="I549">
        <v>121.8004</v>
      </c>
      <c r="J549">
        <v>2.0899999999999998E-2</v>
      </c>
    </row>
    <row r="550" spans="1:10" x14ac:dyDescent="0.3">
      <c r="A550" t="s">
        <v>9</v>
      </c>
      <c r="B550" t="s">
        <v>666</v>
      </c>
      <c r="C550">
        <v>2</v>
      </c>
      <c r="D550">
        <v>1.7100000000000001E-2</v>
      </c>
      <c r="E550">
        <v>7.3473025151975344</v>
      </c>
      <c r="F550">
        <v>837.25900869224608</v>
      </c>
      <c r="G550">
        <v>0.42399999999999999</v>
      </c>
      <c r="H550">
        <v>2.1000000000000001E-2</v>
      </c>
      <c r="I550">
        <v>122.00109999999999</v>
      </c>
      <c r="J550">
        <v>2.1000000000000001E-2</v>
      </c>
    </row>
    <row r="551" spans="1:10" x14ac:dyDescent="0.3">
      <c r="A551" t="s">
        <v>9</v>
      </c>
      <c r="B551" t="s">
        <v>667</v>
      </c>
      <c r="C551">
        <v>2</v>
      </c>
      <c r="D551">
        <v>1.7100000000000001E-2</v>
      </c>
      <c r="E551">
        <v>7.3384421683693448</v>
      </c>
      <c r="F551">
        <v>731.94281009202291</v>
      </c>
      <c r="G551">
        <v>0.42399999999999999</v>
      </c>
      <c r="H551">
        <v>2.0899999999999998E-2</v>
      </c>
      <c r="I551">
        <v>122.2064</v>
      </c>
      <c r="J551">
        <v>2.0899999999999998E-2</v>
      </c>
    </row>
    <row r="552" spans="1:10" x14ac:dyDescent="0.3">
      <c r="A552" t="s">
        <v>9</v>
      </c>
      <c r="B552" t="s">
        <v>668</v>
      </c>
      <c r="C552">
        <v>2</v>
      </c>
      <c r="D552">
        <v>1.7100000000000001E-2</v>
      </c>
      <c r="E552">
        <v>7.313928623238839</v>
      </c>
      <c r="F552">
        <v>729.65814768585983</v>
      </c>
      <c r="G552">
        <v>0.42399999999999999</v>
      </c>
      <c r="H552">
        <v>2.0500000000000001E-2</v>
      </c>
      <c r="I552">
        <v>122.40179999999999</v>
      </c>
      <c r="J552">
        <v>2.0500000000000001E-2</v>
      </c>
    </row>
    <row r="553" spans="1:10" x14ac:dyDescent="0.3">
      <c r="A553" t="s">
        <v>9</v>
      </c>
      <c r="B553" t="s">
        <v>669</v>
      </c>
      <c r="C553">
        <v>2</v>
      </c>
      <c r="D553">
        <v>1.7100000000000001E-2</v>
      </c>
      <c r="E553">
        <v>7.2735169754730391</v>
      </c>
      <c r="F553">
        <v>725.89178211408728</v>
      </c>
      <c r="G553">
        <v>0.42399999999999999</v>
      </c>
      <c r="H553">
        <v>1.9900000000000001E-2</v>
      </c>
      <c r="I553">
        <v>122.6005</v>
      </c>
      <c r="J553">
        <v>1.9900000000000001E-2</v>
      </c>
    </row>
    <row r="554" spans="1:10" x14ac:dyDescent="0.3">
      <c r="A554" t="s">
        <v>9</v>
      </c>
      <c r="B554" t="s">
        <v>670</v>
      </c>
      <c r="C554">
        <v>2</v>
      </c>
      <c r="D554">
        <v>1.7100000000000001E-2</v>
      </c>
      <c r="E554">
        <v>7.2184313412660819</v>
      </c>
      <c r="F554">
        <v>720.75780100599889</v>
      </c>
      <c r="G554">
        <v>0.42399999999999999</v>
      </c>
      <c r="H554">
        <v>1.9E-2</v>
      </c>
      <c r="I554">
        <v>122.79940000000001</v>
      </c>
      <c r="J554">
        <v>1.9E-2</v>
      </c>
    </row>
    <row r="555" spans="1:10" x14ac:dyDescent="0.3">
      <c r="A555" t="s">
        <v>9</v>
      </c>
      <c r="B555" t="s">
        <v>671</v>
      </c>
      <c r="C555">
        <v>2</v>
      </c>
      <c r="D555">
        <v>1.7000000000000001E-2</v>
      </c>
      <c r="E555">
        <v>7.1487134841052118</v>
      </c>
      <c r="F555">
        <v>714.26009671860572</v>
      </c>
      <c r="G555">
        <v>0.42399999999999999</v>
      </c>
      <c r="H555">
        <v>1.7899999999999999E-2</v>
      </c>
      <c r="I555">
        <v>123.0017</v>
      </c>
      <c r="J555">
        <v>1.7899999999999999E-2</v>
      </c>
    </row>
    <row r="556" spans="1:10" x14ac:dyDescent="0.3">
      <c r="A556" t="s">
        <v>9</v>
      </c>
      <c r="B556" t="s">
        <v>672</v>
      </c>
      <c r="C556">
        <v>2</v>
      </c>
      <c r="D556">
        <v>1.7000000000000001E-2</v>
      </c>
      <c r="E556">
        <v>7.0672511666716691</v>
      </c>
      <c r="F556">
        <v>706.66780873379957</v>
      </c>
      <c r="G556">
        <v>0.42399999999999999</v>
      </c>
      <c r="H556">
        <v>1.66E-2</v>
      </c>
      <c r="I556">
        <v>123.2034</v>
      </c>
      <c r="J556">
        <v>1.66E-2</v>
      </c>
    </row>
    <row r="557" spans="1:10" x14ac:dyDescent="0.3">
      <c r="A557" t="s">
        <v>9</v>
      </c>
      <c r="B557" t="s">
        <v>673</v>
      </c>
      <c r="C557">
        <v>2</v>
      </c>
      <c r="D557">
        <v>1.7100000000000001E-2</v>
      </c>
      <c r="E557">
        <v>6.9780723353955816</v>
      </c>
      <c r="F557">
        <v>698.35634165886836</v>
      </c>
      <c r="G557">
        <v>0.42399999999999999</v>
      </c>
      <c r="H557">
        <v>1.5299999999999999E-2</v>
      </c>
      <c r="I557">
        <v>123.40049999999999</v>
      </c>
      <c r="J557">
        <v>1.5299999999999999E-2</v>
      </c>
    </row>
    <row r="558" spans="1:10" x14ac:dyDescent="0.3">
      <c r="A558" t="s">
        <v>9</v>
      </c>
      <c r="B558" t="s">
        <v>674</v>
      </c>
      <c r="C558">
        <v>2</v>
      </c>
      <c r="D558">
        <v>1.67E-2</v>
      </c>
      <c r="E558">
        <v>6.8800493761213044</v>
      </c>
      <c r="F558">
        <v>689.22060185450562</v>
      </c>
      <c r="G558">
        <v>0.42399999999999999</v>
      </c>
      <c r="H558">
        <v>1.37E-2</v>
      </c>
      <c r="I558">
        <v>123.6006</v>
      </c>
      <c r="J558">
        <v>1.37E-2</v>
      </c>
    </row>
    <row r="559" spans="1:10" x14ac:dyDescent="0.3">
      <c r="A559" t="s">
        <v>9</v>
      </c>
      <c r="B559" t="s">
        <v>675</v>
      </c>
      <c r="C559">
        <v>2</v>
      </c>
      <c r="D559">
        <v>1.67E-2</v>
      </c>
      <c r="E559">
        <v>6.7762006131115617</v>
      </c>
      <c r="F559">
        <v>679.54189714199754</v>
      </c>
      <c r="G559">
        <v>0.42399999999999999</v>
      </c>
      <c r="H559">
        <v>1.21E-2</v>
      </c>
      <c r="I559">
        <v>123.80200000000001</v>
      </c>
      <c r="J559">
        <v>1.21E-2</v>
      </c>
    </row>
    <row r="560" spans="1:10" x14ac:dyDescent="0.3">
      <c r="A560" t="s">
        <v>9</v>
      </c>
      <c r="B560" t="s">
        <v>676</v>
      </c>
      <c r="C560">
        <v>2</v>
      </c>
      <c r="D560">
        <v>1.6E-2</v>
      </c>
      <c r="E560">
        <v>6.6704291078054929</v>
      </c>
      <c r="F560">
        <v>669.68399284747193</v>
      </c>
      <c r="G560">
        <v>0.42399999999999999</v>
      </c>
      <c r="H560">
        <v>1.0500000000000001E-2</v>
      </c>
      <c r="I560">
        <v>124.0021</v>
      </c>
      <c r="J560">
        <v>1.0500000000000001E-2</v>
      </c>
    </row>
    <row r="561" spans="1:10" x14ac:dyDescent="0.3">
      <c r="A561" t="s">
        <v>9</v>
      </c>
      <c r="B561" t="s">
        <v>677</v>
      </c>
      <c r="C561">
        <v>2</v>
      </c>
      <c r="D561">
        <v>1.5100000000000001E-2</v>
      </c>
      <c r="E561">
        <v>6.5661663591600368</v>
      </c>
      <c r="F561">
        <v>659.96670467371541</v>
      </c>
      <c r="G561">
        <v>0.42399999999999999</v>
      </c>
      <c r="H561">
        <v>8.8999999999999999E-3</v>
      </c>
      <c r="I561">
        <v>124.19929999999999</v>
      </c>
      <c r="J561">
        <v>8.8999999999999999E-3</v>
      </c>
    </row>
    <row r="562" spans="1:10" x14ac:dyDescent="0.3">
      <c r="A562" t="s">
        <v>9</v>
      </c>
      <c r="B562" t="s">
        <v>678</v>
      </c>
      <c r="C562">
        <v>2</v>
      </c>
      <c r="D562">
        <v>1.3599999999999999E-2</v>
      </c>
      <c r="E562">
        <v>6.4630287918457272</v>
      </c>
      <c r="F562">
        <v>650.35428340002181</v>
      </c>
      <c r="G562">
        <v>0.42399999999999999</v>
      </c>
      <c r="H562">
        <v>7.3000000000000001E-3</v>
      </c>
      <c r="I562">
        <v>124.3993</v>
      </c>
      <c r="J562">
        <v>7.3000000000000001E-3</v>
      </c>
    </row>
    <row r="563" spans="1:10" x14ac:dyDescent="0.3">
      <c r="A563" t="s">
        <v>9</v>
      </c>
      <c r="B563" t="s">
        <v>679</v>
      </c>
      <c r="C563">
        <v>2</v>
      </c>
      <c r="D563">
        <v>1.09E-2</v>
      </c>
      <c r="E563">
        <v>6.364346374943711</v>
      </c>
      <c r="F563">
        <v>641.15708214475387</v>
      </c>
      <c r="G563">
        <v>0.42399999999999999</v>
      </c>
      <c r="H563">
        <v>5.7000000000000002E-3</v>
      </c>
      <c r="I563">
        <v>124.60080000000001</v>
      </c>
      <c r="J563">
        <v>5.7000000000000002E-3</v>
      </c>
    </row>
    <row r="564" spans="1:10" x14ac:dyDescent="0.3">
      <c r="A564" t="s">
        <v>9</v>
      </c>
      <c r="B564" t="s">
        <v>680</v>
      </c>
      <c r="C564">
        <v>2</v>
      </c>
      <c r="D564">
        <v>9.2999999999999992E-3</v>
      </c>
      <c r="E564">
        <v>6.2730339565813198</v>
      </c>
      <c r="F564">
        <v>632.64676475337899</v>
      </c>
      <c r="G564">
        <v>0.42399999999999999</v>
      </c>
      <c r="H564">
        <v>4.3E-3</v>
      </c>
      <c r="I564">
        <v>124.80289999999999</v>
      </c>
      <c r="J564">
        <v>4.3E-3</v>
      </c>
    </row>
    <row r="565" spans="1:10" x14ac:dyDescent="0.3">
      <c r="A565" t="s">
        <v>9</v>
      </c>
      <c r="B565" t="s">
        <v>681</v>
      </c>
      <c r="C565">
        <v>2</v>
      </c>
      <c r="D565">
        <v>6.4999999999999997E-3</v>
      </c>
      <c r="E565">
        <v>6.1930450793060663</v>
      </c>
      <c r="F565">
        <v>625.19180139132538</v>
      </c>
      <c r="G565">
        <v>0.42399999999999999</v>
      </c>
      <c r="H565">
        <v>3.0999999999999999E-3</v>
      </c>
      <c r="I565">
        <v>125.0016</v>
      </c>
      <c r="J565">
        <v>3.0999999999999999E-3</v>
      </c>
    </row>
    <row r="566" spans="1:10" x14ac:dyDescent="0.3">
      <c r="A566" t="s">
        <v>9</v>
      </c>
      <c r="B566" t="s">
        <v>682</v>
      </c>
      <c r="C566">
        <v>2</v>
      </c>
      <c r="D566">
        <v>6.1999999999999998E-3</v>
      </c>
      <c r="E566">
        <v>6.1250280097529934</v>
      </c>
      <c r="F566">
        <v>618.85261050897896</v>
      </c>
      <c r="G566">
        <v>0.42399999999999999</v>
      </c>
      <c r="H566">
        <v>2E-3</v>
      </c>
      <c r="I566">
        <v>125.19929999999999</v>
      </c>
      <c r="J566">
        <v>2E-3</v>
      </c>
    </row>
    <row r="567" spans="1:10" x14ac:dyDescent="0.3">
      <c r="A567" t="s">
        <v>9</v>
      </c>
      <c r="B567" t="s">
        <v>683</v>
      </c>
      <c r="C567">
        <v>2</v>
      </c>
      <c r="D567">
        <v>5.0000000000000001E-3</v>
      </c>
      <c r="E567">
        <v>6.0689384705162022</v>
      </c>
      <c r="F567">
        <v>613.62506545211011</v>
      </c>
      <c r="G567">
        <v>0.42399999999999999</v>
      </c>
      <c r="H567">
        <v>1.1000000000000001E-3</v>
      </c>
      <c r="I567">
        <v>125.4019</v>
      </c>
      <c r="J567">
        <v>1.1000000000000001E-3</v>
      </c>
    </row>
    <row r="568" spans="1:10" x14ac:dyDescent="0.3">
      <c r="A568" t="s">
        <v>9</v>
      </c>
      <c r="B568" t="s">
        <v>684</v>
      </c>
      <c r="C568">
        <v>2</v>
      </c>
      <c r="D568">
        <v>3.8E-3</v>
      </c>
      <c r="E568">
        <v>6.0284777405161183</v>
      </c>
      <c r="F568">
        <v>609.85412541610219</v>
      </c>
      <c r="G568">
        <v>0.42399999999999999</v>
      </c>
      <c r="H568">
        <v>5.0000000000000001E-4</v>
      </c>
      <c r="I568">
        <v>125.602</v>
      </c>
      <c r="J568">
        <v>5.0000000000000001E-4</v>
      </c>
    </row>
    <row r="569" spans="1:10" x14ac:dyDescent="0.3">
      <c r="A569" t="s">
        <v>9</v>
      </c>
      <c r="B569" t="s">
        <v>685</v>
      </c>
      <c r="C569">
        <v>2</v>
      </c>
      <c r="D569">
        <v>2.5999999999999999E-3</v>
      </c>
      <c r="E569">
        <v>6.0039943259170423</v>
      </c>
      <c r="F569">
        <v>607.57227117546836</v>
      </c>
      <c r="G569">
        <v>0.42399999999999999</v>
      </c>
      <c r="H569">
        <v>1E-4</v>
      </c>
      <c r="I569">
        <v>125.80070000000001</v>
      </c>
      <c r="J569">
        <v>1E-4</v>
      </c>
    </row>
    <row r="570" spans="1:10" x14ac:dyDescent="0.3">
      <c r="A570" t="s">
        <v>9</v>
      </c>
      <c r="B570" t="s">
        <v>686</v>
      </c>
      <c r="C570">
        <v>2</v>
      </c>
      <c r="D570">
        <v>2.2000000000000001E-3</v>
      </c>
      <c r="E570">
        <v>5.9957336046511944</v>
      </c>
      <c r="F570">
        <v>606.80237195349127</v>
      </c>
      <c r="G570">
        <v>0.42399999999999999</v>
      </c>
      <c r="H570">
        <v>0</v>
      </c>
      <c r="I570">
        <v>126.00069999999999</v>
      </c>
      <c r="J570">
        <v>0</v>
      </c>
    </row>
    <row r="571" spans="1:10" x14ac:dyDescent="0.3">
      <c r="A571" t="s">
        <v>9</v>
      </c>
      <c r="B571" t="s">
        <v>687</v>
      </c>
      <c r="C571">
        <v>2</v>
      </c>
      <c r="D571">
        <v>1.4E-3</v>
      </c>
      <c r="E571">
        <v>6.004106065546317</v>
      </c>
      <c r="F571">
        <v>709.78966562034554</v>
      </c>
      <c r="G571">
        <v>0.42399999999999999</v>
      </c>
      <c r="H571">
        <v>1E-4</v>
      </c>
      <c r="I571">
        <v>126.20059999999999</v>
      </c>
      <c r="J571">
        <v>1E-4</v>
      </c>
    </row>
    <row r="572" spans="1:10" x14ac:dyDescent="0.3">
      <c r="A572" t="s">
        <v>9</v>
      </c>
      <c r="B572" t="s">
        <v>688</v>
      </c>
      <c r="C572">
        <v>2</v>
      </c>
      <c r="D572">
        <v>1.4E-3</v>
      </c>
      <c r="E572">
        <v>6.0286898138824716</v>
      </c>
      <c r="F572">
        <v>712.12266333744662</v>
      </c>
      <c r="G572">
        <v>0.42399999999999999</v>
      </c>
      <c r="H572">
        <v>5.0000000000000001E-4</v>
      </c>
      <c r="I572">
        <v>126.3993</v>
      </c>
      <c r="J572">
        <v>5.0000000000000001E-4</v>
      </c>
    </row>
    <row r="573" spans="1:10" x14ac:dyDescent="0.3">
      <c r="A573" t="s">
        <v>9</v>
      </c>
      <c r="B573" t="s">
        <v>689</v>
      </c>
      <c r="C573">
        <v>2</v>
      </c>
      <c r="D573">
        <v>1.4E-3</v>
      </c>
      <c r="E573">
        <v>6.0698573888768426</v>
      </c>
      <c r="F573">
        <v>716.02946620441253</v>
      </c>
      <c r="G573">
        <v>0.42399999999999999</v>
      </c>
      <c r="H573">
        <v>1.1999999999999999E-3</v>
      </c>
      <c r="I573">
        <v>126.6019</v>
      </c>
      <c r="J573">
        <v>1.1999999999999999E-3</v>
      </c>
    </row>
    <row r="574" spans="1:10" x14ac:dyDescent="0.3">
      <c r="A574" t="s">
        <v>9</v>
      </c>
      <c r="B574" t="s">
        <v>690</v>
      </c>
      <c r="C574">
        <v>2</v>
      </c>
      <c r="D574">
        <v>1.5E-3</v>
      </c>
      <c r="E574">
        <v>6.1248690246719324</v>
      </c>
      <c r="F574">
        <v>721.25007044136635</v>
      </c>
      <c r="G574">
        <v>0.42399999999999999</v>
      </c>
      <c r="H574">
        <v>2E-3</v>
      </c>
      <c r="I574">
        <v>126.8002</v>
      </c>
      <c r="J574">
        <v>2E-3</v>
      </c>
    </row>
    <row r="575" spans="1:10" x14ac:dyDescent="0.3">
      <c r="A575" t="s">
        <v>9</v>
      </c>
      <c r="B575" t="s">
        <v>691</v>
      </c>
      <c r="C575">
        <v>2</v>
      </c>
      <c r="D575">
        <v>1.5E-3</v>
      </c>
      <c r="E575">
        <v>6.1942501383749562</v>
      </c>
      <c r="F575">
        <v>727.8343381317834</v>
      </c>
      <c r="G575">
        <v>0.42399999999999999</v>
      </c>
      <c r="H575">
        <v>3.0999999999999999E-3</v>
      </c>
      <c r="I575">
        <v>127.00149999999999</v>
      </c>
      <c r="J575">
        <v>3.0999999999999999E-3</v>
      </c>
    </row>
    <row r="576" spans="1:10" x14ac:dyDescent="0.3">
      <c r="A576" t="s">
        <v>9</v>
      </c>
      <c r="B576" t="s">
        <v>692</v>
      </c>
      <c r="C576">
        <v>2</v>
      </c>
      <c r="D576">
        <v>1.5E-3</v>
      </c>
      <c r="E576">
        <v>6.2751170625592536</v>
      </c>
      <c r="F576">
        <v>735.50860923687321</v>
      </c>
      <c r="G576">
        <v>0.42399999999999999</v>
      </c>
      <c r="H576">
        <v>4.3E-3</v>
      </c>
      <c r="I576">
        <v>127.20189999999999</v>
      </c>
      <c r="J576">
        <v>4.3E-3</v>
      </c>
    </row>
    <row r="577" spans="1:10" x14ac:dyDescent="0.3">
      <c r="A577" t="s">
        <v>9</v>
      </c>
      <c r="B577" t="s">
        <v>693</v>
      </c>
      <c r="C577">
        <v>2</v>
      </c>
      <c r="D577">
        <v>1.8E-3</v>
      </c>
      <c r="E577">
        <v>6.3645464747588179</v>
      </c>
      <c r="F577">
        <v>743.99546045461182</v>
      </c>
      <c r="G577">
        <v>0.42399999999999999</v>
      </c>
      <c r="H577">
        <v>5.7000000000000002E-3</v>
      </c>
      <c r="I577">
        <v>127.39960000000001</v>
      </c>
      <c r="J577">
        <v>5.7000000000000002E-3</v>
      </c>
    </row>
    <row r="578" spans="1:10" x14ac:dyDescent="0.3">
      <c r="A578" t="s">
        <v>9</v>
      </c>
      <c r="B578" t="s">
        <v>694</v>
      </c>
      <c r="C578">
        <v>2</v>
      </c>
      <c r="D578">
        <v>2.5999999999999999E-3</v>
      </c>
      <c r="E578">
        <v>6.4630024362469802</v>
      </c>
      <c r="F578">
        <v>753.3389311998385</v>
      </c>
      <c r="G578">
        <v>0.42399999999999999</v>
      </c>
      <c r="H578">
        <v>7.3000000000000001E-3</v>
      </c>
      <c r="I578">
        <v>127.6006</v>
      </c>
      <c r="J578">
        <v>7.3000000000000001E-3</v>
      </c>
    </row>
    <row r="579" spans="1:10" x14ac:dyDescent="0.3">
      <c r="A579" t="s">
        <v>9</v>
      </c>
      <c r="B579" t="s">
        <v>695</v>
      </c>
      <c r="C579">
        <v>2</v>
      </c>
      <c r="D579">
        <v>4.1000000000000003E-3</v>
      </c>
      <c r="E579">
        <v>6.5659911957960526</v>
      </c>
      <c r="F579">
        <v>763.11256448104541</v>
      </c>
      <c r="G579">
        <v>0.42399999999999999</v>
      </c>
      <c r="H579">
        <v>8.8999999999999999E-3</v>
      </c>
      <c r="I579">
        <v>127.8004</v>
      </c>
      <c r="J579">
        <v>8.8999999999999999E-3</v>
      </c>
    </row>
    <row r="580" spans="1:10" x14ac:dyDescent="0.3">
      <c r="A580" t="s">
        <v>9</v>
      </c>
      <c r="B580" t="s">
        <v>696</v>
      </c>
      <c r="C580">
        <v>2</v>
      </c>
      <c r="D580">
        <v>6.1000000000000004E-3</v>
      </c>
      <c r="E580">
        <v>6.6710973236014333</v>
      </c>
      <c r="F580">
        <v>773.08713600977603</v>
      </c>
      <c r="G580">
        <v>0.42399999999999999</v>
      </c>
      <c r="H580">
        <v>1.0500000000000001E-2</v>
      </c>
      <c r="I580">
        <v>127.9992</v>
      </c>
      <c r="J580">
        <v>1.0500000000000001E-2</v>
      </c>
    </row>
    <row r="581" spans="1:10" x14ac:dyDescent="0.3">
      <c r="A581" t="s">
        <v>9</v>
      </c>
      <c r="B581" t="s">
        <v>697</v>
      </c>
      <c r="C581">
        <v>2</v>
      </c>
      <c r="D581">
        <v>7.3000000000000001E-3</v>
      </c>
      <c r="E581">
        <v>6.7776242209146806</v>
      </c>
      <c r="F581">
        <v>783.19653856480318</v>
      </c>
      <c r="G581">
        <v>0.42399999999999999</v>
      </c>
      <c r="H581">
        <v>1.21E-2</v>
      </c>
      <c r="I581">
        <v>128.20070000000001</v>
      </c>
      <c r="J581">
        <v>1.21E-2</v>
      </c>
    </row>
    <row r="582" spans="1:10" x14ac:dyDescent="0.3">
      <c r="A582" t="s">
        <v>9</v>
      </c>
      <c r="B582" t="s">
        <v>698</v>
      </c>
      <c r="C582">
        <v>2</v>
      </c>
      <c r="D582">
        <v>8.6E-3</v>
      </c>
      <c r="E582">
        <v>6.8809251929412252</v>
      </c>
      <c r="F582">
        <v>792.99980081012234</v>
      </c>
      <c r="G582">
        <v>0.42399999999999999</v>
      </c>
      <c r="H582">
        <v>1.38E-2</v>
      </c>
      <c r="I582">
        <v>128.40110000000001</v>
      </c>
      <c r="J582">
        <v>1.38E-2</v>
      </c>
    </row>
    <row r="583" spans="1:10" x14ac:dyDescent="0.3">
      <c r="A583" t="s">
        <v>9</v>
      </c>
      <c r="B583" t="s">
        <v>699</v>
      </c>
      <c r="C583">
        <v>2</v>
      </c>
      <c r="D583">
        <v>1.03E-2</v>
      </c>
      <c r="E583">
        <v>6.9782495261133146</v>
      </c>
      <c r="F583">
        <v>802.23588002815359</v>
      </c>
      <c r="G583">
        <v>0.42399999999999999</v>
      </c>
      <c r="H583">
        <v>1.5299999999999999E-2</v>
      </c>
      <c r="I583">
        <v>128.59989999999999</v>
      </c>
      <c r="J583">
        <v>1.5299999999999999E-2</v>
      </c>
    </row>
    <row r="584" spans="1:10" x14ac:dyDescent="0.3">
      <c r="A584" t="s">
        <v>9</v>
      </c>
      <c r="B584" t="s">
        <v>700</v>
      </c>
      <c r="C584">
        <v>2</v>
      </c>
      <c r="D584">
        <v>1.1900000000000001E-2</v>
      </c>
      <c r="E584">
        <v>7.0691824238537411</v>
      </c>
      <c r="F584">
        <v>810.86541202372007</v>
      </c>
      <c r="G584">
        <v>0.42399999999999999</v>
      </c>
      <c r="H584">
        <v>1.67E-2</v>
      </c>
      <c r="I584">
        <v>128.80099999999999</v>
      </c>
      <c r="J584">
        <v>1.67E-2</v>
      </c>
    </row>
    <row r="585" spans="1:10" x14ac:dyDescent="0.3">
      <c r="A585" t="s">
        <v>9</v>
      </c>
      <c r="B585" t="s">
        <v>701</v>
      </c>
      <c r="C585">
        <v>2</v>
      </c>
      <c r="D585">
        <v>1.3100000000000001E-2</v>
      </c>
      <c r="E585">
        <v>7.1506650148247823</v>
      </c>
      <c r="F585">
        <v>818.59810990687185</v>
      </c>
      <c r="G585">
        <v>0.42399999999999999</v>
      </c>
      <c r="H585">
        <v>1.7899999999999999E-2</v>
      </c>
      <c r="I585">
        <v>129.0034</v>
      </c>
      <c r="J585">
        <v>1.7899999999999999E-2</v>
      </c>
    </row>
    <row r="586" spans="1:10" x14ac:dyDescent="0.3">
      <c r="A586" t="s">
        <v>9</v>
      </c>
      <c r="B586" t="s">
        <v>702</v>
      </c>
      <c r="C586">
        <v>2</v>
      </c>
      <c r="D586">
        <v>1.43E-2</v>
      </c>
      <c r="E586">
        <v>7.21909550235452</v>
      </c>
      <c r="F586">
        <v>825.09216317344396</v>
      </c>
      <c r="G586">
        <v>0.42399999999999999</v>
      </c>
      <c r="H586">
        <v>1.9E-2</v>
      </c>
      <c r="I586">
        <v>129.20269999999999</v>
      </c>
      <c r="J586">
        <v>1.9E-2</v>
      </c>
    </row>
    <row r="587" spans="1:10" x14ac:dyDescent="0.3">
      <c r="A587" t="s">
        <v>9</v>
      </c>
      <c r="B587" t="s">
        <v>703</v>
      </c>
      <c r="C587">
        <v>2</v>
      </c>
      <c r="D587">
        <v>1.5299999999999999E-2</v>
      </c>
      <c r="E587">
        <v>7.2740793634032359</v>
      </c>
      <c r="F587">
        <v>830.31013158696715</v>
      </c>
      <c r="G587">
        <v>0.42399999999999999</v>
      </c>
      <c r="H587">
        <v>1.9900000000000001E-2</v>
      </c>
      <c r="I587">
        <v>129.40180000000001</v>
      </c>
      <c r="J587">
        <v>1.9900000000000001E-2</v>
      </c>
    </row>
    <row r="588" spans="1:10" x14ac:dyDescent="0.3">
      <c r="A588" t="s">
        <v>9</v>
      </c>
      <c r="B588" t="s">
        <v>704</v>
      </c>
      <c r="C588">
        <v>2</v>
      </c>
      <c r="D588">
        <v>1.6E-2</v>
      </c>
      <c r="E588">
        <v>7.3146426572295251</v>
      </c>
      <c r="F588">
        <v>834.15958817108196</v>
      </c>
      <c r="G588">
        <v>0.42399999999999999</v>
      </c>
      <c r="H588">
        <v>2.0500000000000001E-2</v>
      </c>
      <c r="I588">
        <v>129.60249999999999</v>
      </c>
      <c r="J588">
        <v>2.0500000000000001E-2</v>
      </c>
    </row>
    <row r="589" spans="1:10" x14ac:dyDescent="0.3">
      <c r="A589" t="s">
        <v>9</v>
      </c>
      <c r="B589" t="s">
        <v>705</v>
      </c>
      <c r="C589">
        <v>2</v>
      </c>
      <c r="D589">
        <v>1.6400000000000001E-2</v>
      </c>
      <c r="E589">
        <v>7.3390917325107861</v>
      </c>
      <c r="F589">
        <v>836.47980541527363</v>
      </c>
      <c r="G589">
        <v>0.42399999999999999</v>
      </c>
      <c r="H589">
        <v>2.0899999999999998E-2</v>
      </c>
      <c r="I589">
        <v>129.8013</v>
      </c>
      <c r="J589">
        <v>2.0899999999999998E-2</v>
      </c>
    </row>
    <row r="590" spans="1:10" x14ac:dyDescent="0.3">
      <c r="A590" t="s">
        <v>9</v>
      </c>
      <c r="B590" t="s">
        <v>706</v>
      </c>
      <c r="C590">
        <v>2</v>
      </c>
      <c r="D590">
        <v>1.66E-2</v>
      </c>
      <c r="E590">
        <v>7.3473025151975344</v>
      </c>
      <c r="F590">
        <v>837.25900869224608</v>
      </c>
      <c r="G590">
        <v>0.42399999999999999</v>
      </c>
      <c r="H590">
        <v>2.1000000000000001E-2</v>
      </c>
      <c r="I590">
        <v>130.0008</v>
      </c>
      <c r="J590">
        <v>2.1000000000000001E-2</v>
      </c>
    </row>
    <row r="591" spans="1:10" x14ac:dyDescent="0.3">
      <c r="A591" t="s">
        <v>9</v>
      </c>
      <c r="B591" t="s">
        <v>707</v>
      </c>
      <c r="C591">
        <v>2</v>
      </c>
      <c r="D591">
        <v>1.67E-2</v>
      </c>
      <c r="E591">
        <v>7.3389887429402956</v>
      </c>
      <c r="F591">
        <v>731.99375084203552</v>
      </c>
      <c r="G591">
        <v>0.42399999999999999</v>
      </c>
      <c r="H591">
        <v>2.0899999999999998E-2</v>
      </c>
      <c r="I591">
        <v>130.19990000000001</v>
      </c>
      <c r="J591">
        <v>2.0899999999999998E-2</v>
      </c>
    </row>
    <row r="592" spans="1:10" x14ac:dyDescent="0.3">
      <c r="A592" t="s">
        <v>9</v>
      </c>
      <c r="B592" t="s">
        <v>708</v>
      </c>
      <c r="C592">
        <v>3</v>
      </c>
      <c r="D592">
        <v>1.66E-2</v>
      </c>
      <c r="E592">
        <v>7.3139793070825831</v>
      </c>
      <c r="F592">
        <v>729.66287142009674</v>
      </c>
      <c r="G592">
        <v>0.42399999999999999</v>
      </c>
      <c r="H592">
        <v>2.0500000000000001E-2</v>
      </c>
      <c r="I592">
        <v>130.4015</v>
      </c>
      <c r="J592">
        <v>2.0500000000000001E-2</v>
      </c>
    </row>
    <row r="593" spans="1:10" x14ac:dyDescent="0.3">
      <c r="A593" t="s">
        <v>9</v>
      </c>
      <c r="B593" t="s">
        <v>709</v>
      </c>
      <c r="C593">
        <v>3</v>
      </c>
      <c r="D593">
        <v>1.67E-2</v>
      </c>
      <c r="E593">
        <v>7.2732862626163088</v>
      </c>
      <c r="F593">
        <v>725.87027967584004</v>
      </c>
      <c r="G593">
        <v>0.42399999999999999</v>
      </c>
      <c r="H593">
        <v>1.9800000000000002E-2</v>
      </c>
      <c r="I593">
        <v>130.60149999999999</v>
      </c>
      <c r="J593">
        <v>1.9800000000000002E-2</v>
      </c>
    </row>
    <row r="594" spans="1:10" x14ac:dyDescent="0.3">
      <c r="A594" t="s">
        <v>9</v>
      </c>
      <c r="B594" t="s">
        <v>710</v>
      </c>
      <c r="C594">
        <v>3</v>
      </c>
      <c r="D594">
        <v>1.66E-2</v>
      </c>
      <c r="E594">
        <v>7.2180785817136126</v>
      </c>
      <c r="F594">
        <v>720.72492381570873</v>
      </c>
      <c r="G594">
        <v>0.42399999999999999</v>
      </c>
      <c r="H594">
        <v>1.9E-2</v>
      </c>
      <c r="I594">
        <v>130.8005</v>
      </c>
      <c r="J594">
        <v>1.9E-2</v>
      </c>
    </row>
    <row r="595" spans="1:10" x14ac:dyDescent="0.3">
      <c r="A595" t="s">
        <v>9</v>
      </c>
      <c r="B595" t="s">
        <v>711</v>
      </c>
      <c r="C595">
        <v>3</v>
      </c>
      <c r="D595">
        <v>1.66E-2</v>
      </c>
      <c r="E595">
        <v>7.1493983242018997</v>
      </c>
      <c r="F595">
        <v>714.32392381561704</v>
      </c>
      <c r="G595">
        <v>0.42399999999999999</v>
      </c>
      <c r="H595">
        <v>1.7899999999999999E-2</v>
      </c>
      <c r="I595">
        <v>130.9999</v>
      </c>
      <c r="J595">
        <v>1.7899999999999999E-2</v>
      </c>
    </row>
    <row r="596" spans="1:10" x14ac:dyDescent="0.3">
      <c r="A596" t="s">
        <v>9</v>
      </c>
      <c r="B596" t="s">
        <v>712</v>
      </c>
      <c r="C596">
        <v>3</v>
      </c>
      <c r="D596">
        <v>1.66E-2</v>
      </c>
      <c r="E596">
        <v>7.0682482192458282</v>
      </c>
      <c r="F596">
        <v>706.76073403371117</v>
      </c>
      <c r="G596">
        <v>0.42399999999999999</v>
      </c>
      <c r="H596">
        <v>1.67E-2</v>
      </c>
      <c r="I596">
        <v>131.2011</v>
      </c>
      <c r="J596">
        <v>1.67E-2</v>
      </c>
    </row>
    <row r="597" spans="1:10" x14ac:dyDescent="0.3">
      <c r="A597" t="s">
        <v>9</v>
      </c>
      <c r="B597" t="s">
        <v>713</v>
      </c>
      <c r="C597">
        <v>3</v>
      </c>
      <c r="D597">
        <v>1.66E-2</v>
      </c>
      <c r="E597">
        <v>6.9784611818447972</v>
      </c>
      <c r="F597">
        <v>698.39258214793517</v>
      </c>
      <c r="G597">
        <v>0.42399999999999999</v>
      </c>
      <c r="H597">
        <v>1.5299999999999999E-2</v>
      </c>
      <c r="I597">
        <v>131.3997</v>
      </c>
      <c r="J597">
        <v>1.5299999999999999E-2</v>
      </c>
    </row>
    <row r="598" spans="1:10" x14ac:dyDescent="0.3">
      <c r="A598" t="s">
        <v>9</v>
      </c>
      <c r="B598" t="s">
        <v>714</v>
      </c>
      <c r="C598">
        <v>3</v>
      </c>
      <c r="D598">
        <v>1.6500000000000001E-2</v>
      </c>
      <c r="E598">
        <v>6.8795575401015991</v>
      </c>
      <c r="F598">
        <v>689.17476273746911</v>
      </c>
      <c r="G598">
        <v>0.42399999999999999</v>
      </c>
      <c r="H598">
        <v>1.37E-2</v>
      </c>
      <c r="I598">
        <v>131.60159999999999</v>
      </c>
      <c r="J598">
        <v>1.37E-2</v>
      </c>
    </row>
    <row r="599" spans="1:10" x14ac:dyDescent="0.3">
      <c r="A599" t="s">
        <v>9</v>
      </c>
      <c r="B599" t="s">
        <v>715</v>
      </c>
      <c r="C599">
        <v>3</v>
      </c>
      <c r="D599">
        <v>1.6500000000000001E-2</v>
      </c>
      <c r="E599">
        <v>6.7770135819652353</v>
      </c>
      <c r="F599">
        <v>679.61766583915994</v>
      </c>
      <c r="G599">
        <v>0.42399999999999999</v>
      </c>
      <c r="H599">
        <v>1.21E-2</v>
      </c>
      <c r="I599">
        <v>131.8004</v>
      </c>
      <c r="J599">
        <v>1.21E-2</v>
      </c>
    </row>
    <row r="600" spans="1:10" x14ac:dyDescent="0.3">
      <c r="A600" t="s">
        <v>9</v>
      </c>
      <c r="B600" t="s">
        <v>716</v>
      </c>
      <c r="C600">
        <v>3</v>
      </c>
      <c r="D600">
        <v>1.5800000000000002E-2</v>
      </c>
      <c r="E600">
        <v>6.6708451207949544</v>
      </c>
      <c r="F600">
        <v>669.72276525808968</v>
      </c>
      <c r="G600">
        <v>0.42399999999999999</v>
      </c>
      <c r="H600">
        <v>1.0500000000000001E-2</v>
      </c>
      <c r="I600">
        <v>132.00129999999999</v>
      </c>
      <c r="J600">
        <v>1.0500000000000001E-2</v>
      </c>
    </row>
    <row r="601" spans="1:10" x14ac:dyDescent="0.3">
      <c r="A601" t="s">
        <v>9</v>
      </c>
      <c r="B601" t="s">
        <v>717</v>
      </c>
      <c r="C601">
        <v>3</v>
      </c>
      <c r="D601">
        <v>1.4500000000000001E-2</v>
      </c>
      <c r="E601">
        <v>6.5662361001290304</v>
      </c>
      <c r="F601">
        <v>659.97320453202565</v>
      </c>
      <c r="G601">
        <v>0.42399999999999999</v>
      </c>
      <c r="H601">
        <v>8.8999999999999999E-3</v>
      </c>
      <c r="I601">
        <v>132.19919999999999</v>
      </c>
      <c r="J601">
        <v>8.8999999999999999E-3</v>
      </c>
    </row>
    <row r="602" spans="1:10" x14ac:dyDescent="0.3">
      <c r="A602" t="s">
        <v>9</v>
      </c>
      <c r="B602" t="s">
        <v>718</v>
      </c>
      <c r="C602">
        <v>3</v>
      </c>
      <c r="D602">
        <v>1.3100000000000001E-2</v>
      </c>
      <c r="E602">
        <v>6.4613801477763788</v>
      </c>
      <c r="F602">
        <v>650.20062977275848</v>
      </c>
      <c r="G602">
        <v>0.42399999999999999</v>
      </c>
      <c r="H602">
        <v>7.1999999999999998E-3</v>
      </c>
      <c r="I602">
        <v>132.40260000000001</v>
      </c>
      <c r="J602">
        <v>7.1999999999999998E-3</v>
      </c>
    </row>
    <row r="603" spans="1:10" x14ac:dyDescent="0.3">
      <c r="A603" t="s">
        <v>9</v>
      </c>
      <c r="B603" t="s">
        <v>719</v>
      </c>
      <c r="C603">
        <v>3</v>
      </c>
      <c r="D603">
        <v>1.14E-2</v>
      </c>
      <c r="E603">
        <v>6.3641933097356009</v>
      </c>
      <c r="F603">
        <v>641.14281646735799</v>
      </c>
      <c r="G603">
        <v>0.42399999999999999</v>
      </c>
      <c r="H603">
        <v>5.7000000000000002E-3</v>
      </c>
      <c r="I603">
        <v>132.6011</v>
      </c>
      <c r="J603">
        <v>5.7000000000000002E-3</v>
      </c>
    </row>
    <row r="604" spans="1:10" x14ac:dyDescent="0.3">
      <c r="A604" t="s">
        <v>9</v>
      </c>
      <c r="B604" t="s">
        <v>720</v>
      </c>
      <c r="C604">
        <v>3</v>
      </c>
      <c r="D604">
        <v>9.5999999999999992E-3</v>
      </c>
      <c r="E604">
        <v>6.2733032297063698</v>
      </c>
      <c r="F604">
        <v>632.67186100863364</v>
      </c>
      <c r="G604">
        <v>0.42399999999999999</v>
      </c>
      <c r="H604">
        <v>4.3E-3</v>
      </c>
      <c r="I604">
        <v>132.8023</v>
      </c>
      <c r="J604">
        <v>4.3E-3</v>
      </c>
    </row>
    <row r="605" spans="1:10" x14ac:dyDescent="0.3">
      <c r="A605" t="s">
        <v>9</v>
      </c>
      <c r="B605" t="s">
        <v>721</v>
      </c>
      <c r="C605">
        <v>3</v>
      </c>
      <c r="D605">
        <v>8.0999999999999996E-3</v>
      </c>
      <c r="E605">
        <v>6.1931603546402796</v>
      </c>
      <c r="F605">
        <v>625.20254505247419</v>
      </c>
      <c r="G605">
        <v>0.42399999999999999</v>
      </c>
      <c r="H605">
        <v>3.0999999999999999E-3</v>
      </c>
      <c r="I605">
        <v>133.00129999999999</v>
      </c>
      <c r="J605">
        <v>3.0999999999999999E-3</v>
      </c>
    </row>
    <row r="606" spans="1:10" x14ac:dyDescent="0.3">
      <c r="A606" t="s">
        <v>9</v>
      </c>
      <c r="B606" t="s">
        <v>722</v>
      </c>
      <c r="C606">
        <v>3</v>
      </c>
      <c r="D606">
        <v>6.1999999999999998E-3</v>
      </c>
      <c r="E606">
        <v>6.124145786495224</v>
      </c>
      <c r="F606">
        <v>618.77038730135484</v>
      </c>
      <c r="G606">
        <v>0.42399999999999999</v>
      </c>
      <c r="H606">
        <v>2E-3</v>
      </c>
      <c r="I606">
        <v>133.2021</v>
      </c>
      <c r="J606">
        <v>2E-3</v>
      </c>
    </row>
    <row r="607" spans="1:10" x14ac:dyDescent="0.3">
      <c r="A607" t="s">
        <v>9</v>
      </c>
      <c r="B607" t="s">
        <v>723</v>
      </c>
      <c r="C607">
        <v>3</v>
      </c>
      <c r="D607">
        <v>4.0000000000000001E-3</v>
      </c>
      <c r="E607">
        <v>6.0690241059385954</v>
      </c>
      <c r="F607">
        <v>613.633046673477</v>
      </c>
      <c r="G607">
        <v>0.42399999999999999</v>
      </c>
      <c r="H607">
        <v>1.1000000000000001E-3</v>
      </c>
      <c r="I607">
        <v>133.4015</v>
      </c>
      <c r="J607">
        <v>1.1000000000000001E-3</v>
      </c>
    </row>
    <row r="608" spans="1:10" x14ac:dyDescent="0.3">
      <c r="A608" t="s">
        <v>9</v>
      </c>
      <c r="B608" t="s">
        <v>724</v>
      </c>
      <c r="C608">
        <v>3</v>
      </c>
      <c r="D608">
        <v>3.2000000000000002E-3</v>
      </c>
      <c r="E608">
        <v>6.0284233222867663</v>
      </c>
      <c r="F608">
        <v>609.84905363712664</v>
      </c>
      <c r="G608">
        <v>0.42399999999999999</v>
      </c>
      <c r="H608">
        <v>5.0000000000000001E-4</v>
      </c>
      <c r="I608">
        <v>133.60239999999999</v>
      </c>
      <c r="J608">
        <v>5.0000000000000001E-4</v>
      </c>
    </row>
    <row r="609" spans="1:10" x14ac:dyDescent="0.3">
      <c r="A609" t="s">
        <v>9</v>
      </c>
      <c r="B609" t="s">
        <v>725</v>
      </c>
      <c r="C609">
        <v>3</v>
      </c>
      <c r="D609">
        <v>2.5999999999999999E-3</v>
      </c>
      <c r="E609">
        <v>6.0038348988728636</v>
      </c>
      <c r="F609">
        <v>607.55741257495094</v>
      </c>
      <c r="G609">
        <v>0.42399999999999999</v>
      </c>
      <c r="H609">
        <v>1E-4</v>
      </c>
      <c r="I609">
        <v>133.80260000000001</v>
      </c>
      <c r="J609">
        <v>1E-4</v>
      </c>
    </row>
    <row r="610" spans="1:10" x14ac:dyDescent="0.3">
      <c r="A610" t="s">
        <v>9</v>
      </c>
      <c r="B610" t="s">
        <v>726</v>
      </c>
      <c r="C610">
        <v>3</v>
      </c>
      <c r="D610">
        <v>2.5000000000000001E-3</v>
      </c>
      <c r="E610">
        <v>5.9957561211177781</v>
      </c>
      <c r="F610">
        <v>606.80447048817689</v>
      </c>
      <c r="G610">
        <v>0.42399999999999999</v>
      </c>
      <c r="H610">
        <v>0</v>
      </c>
      <c r="I610">
        <v>134.0104</v>
      </c>
      <c r="J610">
        <v>0</v>
      </c>
    </row>
    <row r="611" spans="1:10" x14ac:dyDescent="0.3">
      <c r="A611" t="s">
        <v>9</v>
      </c>
      <c r="B611" t="s">
        <v>727</v>
      </c>
      <c r="C611">
        <v>3</v>
      </c>
      <c r="D611">
        <v>2.5000000000000001E-3</v>
      </c>
      <c r="E611">
        <v>6.0041257633153498</v>
      </c>
      <c r="F611">
        <v>709.79153493862668</v>
      </c>
      <c r="G611">
        <v>0.42399999999999999</v>
      </c>
      <c r="H611">
        <v>1E-4</v>
      </c>
      <c r="I611">
        <v>134.20089999999999</v>
      </c>
      <c r="J611">
        <v>1E-4</v>
      </c>
    </row>
    <row r="612" spans="1:10" x14ac:dyDescent="0.3">
      <c r="A612" t="s">
        <v>9</v>
      </c>
      <c r="B612" t="s">
        <v>728</v>
      </c>
      <c r="C612">
        <v>3</v>
      </c>
      <c r="D612">
        <v>2.5999999999999999E-3</v>
      </c>
      <c r="E612">
        <v>6.0292926029181961</v>
      </c>
      <c r="F612">
        <v>712.17986801693689</v>
      </c>
      <c r="G612">
        <v>0.42399999999999999</v>
      </c>
      <c r="H612">
        <v>5.0000000000000001E-4</v>
      </c>
      <c r="I612">
        <v>134.40289999999999</v>
      </c>
      <c r="J612">
        <v>5.0000000000000001E-4</v>
      </c>
    </row>
    <row r="613" spans="1:10" x14ac:dyDescent="0.3">
      <c r="A613" t="s">
        <v>9</v>
      </c>
      <c r="B613" t="s">
        <v>729</v>
      </c>
      <c r="C613">
        <v>3</v>
      </c>
      <c r="D613">
        <v>2.5999999999999999E-3</v>
      </c>
      <c r="E613">
        <v>6.0696212427120653</v>
      </c>
      <c r="F613">
        <v>716.007055933375</v>
      </c>
      <c r="G613">
        <v>0.42399999999999999</v>
      </c>
      <c r="H613">
        <v>1.1000000000000001E-3</v>
      </c>
      <c r="I613">
        <v>134.601</v>
      </c>
      <c r="J613">
        <v>1.1000000000000001E-3</v>
      </c>
    </row>
    <row r="614" spans="1:10" x14ac:dyDescent="0.3">
      <c r="A614" t="s">
        <v>9</v>
      </c>
      <c r="B614" t="s">
        <v>730</v>
      </c>
      <c r="C614">
        <v>3</v>
      </c>
      <c r="D614">
        <v>2.5999999999999999E-3</v>
      </c>
      <c r="E614">
        <v>6.1246609776301266</v>
      </c>
      <c r="F614">
        <v>721.23032677709909</v>
      </c>
      <c r="G614">
        <v>0.42399999999999999</v>
      </c>
      <c r="H614">
        <v>2E-3</v>
      </c>
      <c r="I614">
        <v>134.7996</v>
      </c>
      <c r="J614">
        <v>2E-3</v>
      </c>
    </row>
    <row r="615" spans="1:10" x14ac:dyDescent="0.3">
      <c r="A615" t="s">
        <v>9</v>
      </c>
      <c r="B615" t="s">
        <v>731</v>
      </c>
      <c r="C615">
        <v>3</v>
      </c>
      <c r="D615">
        <v>2.5999999999999999E-3</v>
      </c>
      <c r="E615">
        <v>6.1942404070769594</v>
      </c>
      <c r="F615">
        <v>727.83341463160343</v>
      </c>
      <c r="G615">
        <v>0.42399999999999999</v>
      </c>
      <c r="H615">
        <v>3.0999999999999999E-3</v>
      </c>
      <c r="I615">
        <v>135.00149999999999</v>
      </c>
      <c r="J615">
        <v>3.0999999999999999E-3</v>
      </c>
    </row>
    <row r="616" spans="1:10" x14ac:dyDescent="0.3">
      <c r="A616" t="s">
        <v>9</v>
      </c>
      <c r="B616" t="s">
        <v>732</v>
      </c>
      <c r="C616">
        <v>3</v>
      </c>
      <c r="D616">
        <v>2.5999999999999999E-3</v>
      </c>
      <c r="E616">
        <v>6.2750307783836616</v>
      </c>
      <c r="F616">
        <v>735.50042086860958</v>
      </c>
      <c r="G616">
        <v>0.42399999999999999</v>
      </c>
      <c r="H616">
        <v>4.3E-3</v>
      </c>
      <c r="I616">
        <v>135.20169999999999</v>
      </c>
      <c r="J616">
        <v>4.3E-3</v>
      </c>
    </row>
    <row r="617" spans="1:10" x14ac:dyDescent="0.3">
      <c r="A617" t="s">
        <v>9</v>
      </c>
      <c r="B617" t="s">
        <v>733</v>
      </c>
      <c r="C617">
        <v>3</v>
      </c>
      <c r="D617">
        <v>2.8E-3</v>
      </c>
      <c r="E617">
        <v>6.3643504701982856</v>
      </c>
      <c r="F617">
        <v>743.97685962181743</v>
      </c>
      <c r="G617">
        <v>0.42399999999999999</v>
      </c>
      <c r="H617">
        <v>5.7000000000000002E-3</v>
      </c>
      <c r="I617">
        <v>135.39920000000001</v>
      </c>
      <c r="J617">
        <v>5.7000000000000002E-3</v>
      </c>
    </row>
    <row r="618" spans="1:10" x14ac:dyDescent="0.3">
      <c r="A618" t="s">
        <v>9</v>
      </c>
      <c r="B618" t="s">
        <v>734</v>
      </c>
      <c r="C618">
        <v>3</v>
      </c>
      <c r="D618">
        <v>3.3E-3</v>
      </c>
      <c r="E618">
        <v>6.4623025937325442</v>
      </c>
      <c r="F618">
        <v>753.27251614521845</v>
      </c>
      <c r="G618">
        <v>0.42399999999999999</v>
      </c>
      <c r="H618">
        <v>7.1999999999999998E-3</v>
      </c>
      <c r="I618">
        <v>135.5992</v>
      </c>
      <c r="J618">
        <v>7.1999999999999998E-3</v>
      </c>
    </row>
    <row r="619" spans="1:10" x14ac:dyDescent="0.3">
      <c r="A619" t="s">
        <v>9</v>
      </c>
      <c r="B619" t="s">
        <v>735</v>
      </c>
      <c r="C619">
        <v>3</v>
      </c>
      <c r="D619">
        <v>4.4000000000000003E-3</v>
      </c>
      <c r="E619">
        <v>6.5667413166834843</v>
      </c>
      <c r="F619">
        <v>763.18375095326269</v>
      </c>
      <c r="G619">
        <v>0.42399999999999999</v>
      </c>
      <c r="H619">
        <v>8.8999999999999999E-3</v>
      </c>
      <c r="I619">
        <v>135.80179999999999</v>
      </c>
      <c r="J619">
        <v>8.8999999999999999E-3</v>
      </c>
    </row>
    <row r="620" spans="1:10" x14ac:dyDescent="0.3">
      <c r="A620" t="s">
        <v>9</v>
      </c>
      <c r="B620" t="s">
        <v>736</v>
      </c>
      <c r="C620">
        <v>3</v>
      </c>
      <c r="D620">
        <v>6.0000000000000001E-3</v>
      </c>
      <c r="E620">
        <v>6.6721815523868324</v>
      </c>
      <c r="F620">
        <v>773.19002932151034</v>
      </c>
      <c r="G620">
        <v>0.42399999999999999</v>
      </c>
      <c r="H620">
        <v>1.0500000000000001E-2</v>
      </c>
      <c r="I620">
        <v>136.00129999999999</v>
      </c>
      <c r="J620">
        <v>1.0500000000000001E-2</v>
      </c>
    </row>
    <row r="621" spans="1:10" x14ac:dyDescent="0.3">
      <c r="A621" t="s">
        <v>9</v>
      </c>
      <c r="B621" t="s">
        <v>737</v>
      </c>
      <c r="C621">
        <v>3</v>
      </c>
      <c r="D621">
        <v>7.4999999999999997E-3</v>
      </c>
      <c r="E621">
        <v>6.7768570702557502</v>
      </c>
      <c r="F621">
        <v>783.1237359672707</v>
      </c>
      <c r="G621">
        <v>0.42399999999999999</v>
      </c>
      <c r="H621">
        <v>1.21E-2</v>
      </c>
      <c r="I621">
        <v>136.19929999999999</v>
      </c>
      <c r="J621">
        <v>1.21E-2</v>
      </c>
    </row>
    <row r="622" spans="1:10" x14ac:dyDescent="0.3">
      <c r="A622" t="s">
        <v>9</v>
      </c>
      <c r="B622" t="s">
        <v>738</v>
      </c>
      <c r="C622">
        <v>3</v>
      </c>
      <c r="D622">
        <v>8.8999999999999999E-3</v>
      </c>
      <c r="E622">
        <v>6.8802010221817911</v>
      </c>
      <c r="F622">
        <v>792.93107700505197</v>
      </c>
      <c r="G622">
        <v>0.42399999999999999</v>
      </c>
      <c r="H622">
        <v>1.37E-2</v>
      </c>
      <c r="I622">
        <v>136.3997</v>
      </c>
      <c r="J622">
        <v>1.37E-2</v>
      </c>
    </row>
    <row r="623" spans="1:10" x14ac:dyDescent="0.3">
      <c r="A623" t="s">
        <v>9</v>
      </c>
      <c r="B623" t="s">
        <v>739</v>
      </c>
      <c r="C623">
        <v>3</v>
      </c>
      <c r="D623">
        <v>1.03E-2</v>
      </c>
      <c r="E623">
        <v>6.9806742411980931</v>
      </c>
      <c r="F623">
        <v>802.46598548969905</v>
      </c>
      <c r="G623">
        <v>0.42399999999999999</v>
      </c>
      <c r="H623">
        <v>1.5299999999999999E-2</v>
      </c>
      <c r="I623">
        <v>136.60499999999999</v>
      </c>
      <c r="J623">
        <v>1.5299999999999999E-2</v>
      </c>
    </row>
    <row r="624" spans="1:10" x14ac:dyDescent="0.3">
      <c r="A624" t="s">
        <v>9</v>
      </c>
      <c r="B624" t="s">
        <v>740</v>
      </c>
      <c r="C624">
        <v>3</v>
      </c>
      <c r="D624">
        <v>1.1599999999999999E-2</v>
      </c>
      <c r="E624">
        <v>7.0689541438215144</v>
      </c>
      <c r="F624">
        <v>810.84374824866165</v>
      </c>
      <c r="G624">
        <v>0.42399999999999999</v>
      </c>
      <c r="H624">
        <v>1.67E-2</v>
      </c>
      <c r="I624">
        <v>136.8005</v>
      </c>
      <c r="J624">
        <v>1.67E-2</v>
      </c>
    </row>
    <row r="625" spans="1:10" x14ac:dyDescent="0.3">
      <c r="A625" t="s">
        <v>9</v>
      </c>
      <c r="B625" t="s">
        <v>741</v>
      </c>
      <c r="C625">
        <v>3</v>
      </c>
      <c r="D625">
        <v>1.29E-2</v>
      </c>
      <c r="E625">
        <v>7.149348045828904</v>
      </c>
      <c r="F625">
        <v>818.47312954916299</v>
      </c>
      <c r="G625">
        <v>0.42399999999999999</v>
      </c>
      <c r="H625">
        <v>1.7899999999999999E-2</v>
      </c>
      <c r="I625">
        <v>136.9999</v>
      </c>
      <c r="J625">
        <v>1.7899999999999999E-2</v>
      </c>
    </row>
    <row r="626" spans="1:10" x14ac:dyDescent="0.3">
      <c r="A626" t="s">
        <v>9</v>
      </c>
      <c r="B626" t="s">
        <v>742</v>
      </c>
      <c r="C626">
        <v>3</v>
      </c>
      <c r="D626">
        <v>1.4200000000000001E-2</v>
      </c>
      <c r="E626">
        <v>7.2181158850226099</v>
      </c>
      <c r="F626">
        <v>824.99919748864568</v>
      </c>
      <c r="G626">
        <v>0.42399999999999999</v>
      </c>
      <c r="H626">
        <v>1.9E-2</v>
      </c>
      <c r="I626">
        <v>137.1996</v>
      </c>
      <c r="J626">
        <v>1.9E-2</v>
      </c>
    </row>
    <row r="627" spans="1:10" x14ac:dyDescent="0.3">
      <c r="A627" t="s">
        <v>9</v>
      </c>
      <c r="B627" t="s">
        <v>743</v>
      </c>
      <c r="C627">
        <v>3</v>
      </c>
      <c r="D627">
        <v>1.5299999999999999E-2</v>
      </c>
      <c r="E627">
        <v>7.2736828130097733</v>
      </c>
      <c r="F627">
        <v>830.27249895462751</v>
      </c>
      <c r="G627">
        <v>0.42399999999999999</v>
      </c>
      <c r="H627">
        <v>1.9900000000000001E-2</v>
      </c>
      <c r="I627">
        <v>137.40010000000001</v>
      </c>
      <c r="J627">
        <v>1.9900000000000001E-2</v>
      </c>
    </row>
    <row r="628" spans="1:10" x14ac:dyDescent="0.3">
      <c r="A628" t="s">
        <v>9</v>
      </c>
      <c r="B628" t="s">
        <v>744</v>
      </c>
      <c r="C628">
        <v>3</v>
      </c>
      <c r="D628">
        <v>1.5699999999999999E-2</v>
      </c>
      <c r="E628">
        <v>7.3143020617995536</v>
      </c>
      <c r="F628">
        <v>834.12726566477772</v>
      </c>
      <c r="G628">
        <v>0.42399999999999999</v>
      </c>
      <c r="H628">
        <v>2.0500000000000001E-2</v>
      </c>
      <c r="I628">
        <v>137.60040000000001</v>
      </c>
      <c r="J628">
        <v>2.0500000000000001E-2</v>
      </c>
    </row>
    <row r="629" spans="1:10" x14ac:dyDescent="0.3">
      <c r="A629" t="s">
        <v>9</v>
      </c>
      <c r="B629" t="s">
        <v>745</v>
      </c>
      <c r="C629">
        <v>3</v>
      </c>
      <c r="D629">
        <v>1.5800000000000002E-2</v>
      </c>
      <c r="E629">
        <v>7.3390463197867879</v>
      </c>
      <c r="F629">
        <v>836.47549574776622</v>
      </c>
      <c r="G629">
        <v>0.42399999999999999</v>
      </c>
      <c r="H629">
        <v>2.0899999999999998E-2</v>
      </c>
      <c r="I629">
        <v>137.80080000000001</v>
      </c>
      <c r="J629">
        <v>2.0899999999999998E-2</v>
      </c>
    </row>
    <row r="630" spans="1:10" x14ac:dyDescent="0.3">
      <c r="A630" t="s">
        <v>9</v>
      </c>
      <c r="B630" t="s">
        <v>746</v>
      </c>
      <c r="C630">
        <v>3</v>
      </c>
      <c r="D630">
        <v>1.5800000000000002E-2</v>
      </c>
      <c r="E630">
        <v>7.3473025151975344</v>
      </c>
      <c r="F630">
        <v>837.25900869224608</v>
      </c>
      <c r="G630">
        <v>0.42399999999999999</v>
      </c>
      <c r="H630">
        <v>2.1000000000000001E-2</v>
      </c>
      <c r="I630">
        <v>138.00069999999999</v>
      </c>
      <c r="J630">
        <v>2.1000000000000001E-2</v>
      </c>
    </row>
    <row r="631" spans="1:10" x14ac:dyDescent="0.3">
      <c r="A631" t="s">
        <v>9</v>
      </c>
      <c r="B631" t="s">
        <v>747</v>
      </c>
      <c r="C631">
        <v>3</v>
      </c>
      <c r="D631">
        <v>1.5800000000000002E-2</v>
      </c>
      <c r="E631">
        <v>7.3389173800883034</v>
      </c>
      <c r="F631">
        <v>731.98709982422986</v>
      </c>
      <c r="G631">
        <v>0.42399999999999999</v>
      </c>
      <c r="H631">
        <v>2.0899999999999998E-2</v>
      </c>
      <c r="I631">
        <v>138.20079999999999</v>
      </c>
      <c r="J631">
        <v>2.0899999999999998E-2</v>
      </c>
    </row>
    <row r="632" spans="1:10" x14ac:dyDescent="0.3">
      <c r="A632" t="s">
        <v>9</v>
      </c>
      <c r="B632" t="s">
        <v>748</v>
      </c>
      <c r="C632">
        <v>3</v>
      </c>
      <c r="D632">
        <v>1.5800000000000002E-2</v>
      </c>
      <c r="E632">
        <v>7.3139290287095893</v>
      </c>
      <c r="F632">
        <v>729.65818547573372</v>
      </c>
      <c r="G632">
        <v>0.42399999999999999</v>
      </c>
      <c r="H632">
        <v>2.0500000000000001E-2</v>
      </c>
      <c r="I632">
        <v>138.40180000000001</v>
      </c>
      <c r="J632">
        <v>2.0500000000000001E-2</v>
      </c>
    </row>
    <row r="633" spans="1:10" x14ac:dyDescent="0.3">
      <c r="A633" t="s">
        <v>9</v>
      </c>
      <c r="B633" t="s">
        <v>749</v>
      </c>
      <c r="C633">
        <v>3</v>
      </c>
      <c r="D633">
        <v>1.5800000000000002E-2</v>
      </c>
      <c r="E633">
        <v>7.2737095740792714</v>
      </c>
      <c r="F633">
        <v>725.90973230418808</v>
      </c>
      <c r="G633">
        <v>0.42399999999999999</v>
      </c>
      <c r="H633">
        <v>1.9900000000000001E-2</v>
      </c>
      <c r="I633">
        <v>138.59970000000001</v>
      </c>
      <c r="J633">
        <v>1.9900000000000001E-2</v>
      </c>
    </row>
    <row r="634" spans="1:10" x14ac:dyDescent="0.3">
      <c r="A634" t="s">
        <v>9</v>
      </c>
      <c r="B634" t="s">
        <v>750</v>
      </c>
      <c r="C634">
        <v>3</v>
      </c>
      <c r="D634">
        <v>1.5800000000000002E-2</v>
      </c>
      <c r="E634">
        <v>7.2178288117316347</v>
      </c>
      <c r="F634">
        <v>720.70164525338839</v>
      </c>
      <c r="G634">
        <v>0.42399999999999999</v>
      </c>
      <c r="H634">
        <v>1.9E-2</v>
      </c>
      <c r="I634">
        <v>138.8013</v>
      </c>
      <c r="J634">
        <v>1.9E-2</v>
      </c>
    </row>
    <row r="635" spans="1:10" x14ac:dyDescent="0.3">
      <c r="A635" t="s">
        <v>9</v>
      </c>
      <c r="B635" t="s">
        <v>751</v>
      </c>
      <c r="C635">
        <v>3</v>
      </c>
      <c r="D635">
        <v>1.5800000000000002E-2</v>
      </c>
      <c r="E635">
        <v>7.1488168791464526</v>
      </c>
      <c r="F635">
        <v>714.26973313644942</v>
      </c>
      <c r="G635">
        <v>0.42399999999999999</v>
      </c>
      <c r="H635">
        <v>1.7899999999999999E-2</v>
      </c>
      <c r="I635">
        <v>139.00149999999999</v>
      </c>
      <c r="J635">
        <v>1.7899999999999999E-2</v>
      </c>
    </row>
    <row r="636" spans="1:10" x14ac:dyDescent="0.3">
      <c r="A636" t="s">
        <v>9</v>
      </c>
      <c r="B636" t="s">
        <v>752</v>
      </c>
      <c r="C636">
        <v>3</v>
      </c>
      <c r="D636">
        <v>1.5699999999999999E-2</v>
      </c>
      <c r="E636">
        <v>7.0691520135474946</v>
      </c>
      <c r="F636">
        <v>706.84496766262657</v>
      </c>
      <c r="G636">
        <v>0.42399999999999999</v>
      </c>
      <c r="H636">
        <v>1.67E-2</v>
      </c>
      <c r="I636">
        <v>139.19900000000001</v>
      </c>
      <c r="J636">
        <v>1.67E-2</v>
      </c>
    </row>
    <row r="637" spans="1:10" x14ac:dyDescent="0.3">
      <c r="A637" t="s">
        <v>9</v>
      </c>
      <c r="B637" t="s">
        <v>753</v>
      </c>
      <c r="C637">
        <v>3</v>
      </c>
      <c r="D637">
        <v>1.5699999999999999E-2</v>
      </c>
      <c r="E637">
        <v>6.9766807597817104</v>
      </c>
      <c r="F637">
        <v>698.22664681165543</v>
      </c>
      <c r="G637">
        <v>0.42399999999999999</v>
      </c>
      <c r="H637">
        <v>1.52E-2</v>
      </c>
      <c r="I637">
        <v>139.40350000000001</v>
      </c>
      <c r="J637">
        <v>1.52E-2</v>
      </c>
    </row>
    <row r="638" spans="1:10" x14ac:dyDescent="0.3">
      <c r="A638" t="s">
        <v>9</v>
      </c>
      <c r="B638" t="s">
        <v>754</v>
      </c>
      <c r="C638">
        <v>3</v>
      </c>
      <c r="D638">
        <v>1.5699999999999999E-2</v>
      </c>
      <c r="E638">
        <v>6.8806490673604994</v>
      </c>
      <c r="F638">
        <v>689.27649307799857</v>
      </c>
      <c r="G638">
        <v>0.42399999999999999</v>
      </c>
      <c r="H638">
        <v>1.37E-2</v>
      </c>
      <c r="I638">
        <v>139.5994</v>
      </c>
      <c r="J638">
        <v>1.37E-2</v>
      </c>
    </row>
    <row r="639" spans="1:10" x14ac:dyDescent="0.3">
      <c r="A639" t="s">
        <v>9</v>
      </c>
      <c r="B639" t="s">
        <v>755</v>
      </c>
      <c r="C639">
        <v>3</v>
      </c>
      <c r="D639">
        <v>1.54E-2</v>
      </c>
      <c r="E639">
        <v>6.7764621417452862</v>
      </c>
      <c r="F639">
        <v>679.56627161066069</v>
      </c>
      <c r="G639">
        <v>0.42399999999999999</v>
      </c>
      <c r="H639">
        <v>1.21E-2</v>
      </c>
      <c r="I639">
        <v>139.8015</v>
      </c>
      <c r="J639">
        <v>1.21E-2</v>
      </c>
    </row>
    <row r="640" spans="1:10" x14ac:dyDescent="0.3">
      <c r="A640" t="s">
        <v>9</v>
      </c>
      <c r="B640" t="s">
        <v>756</v>
      </c>
      <c r="C640">
        <v>3</v>
      </c>
      <c r="D640">
        <v>1.5299999999999999E-2</v>
      </c>
      <c r="E640">
        <v>6.671920834694606</v>
      </c>
      <c r="F640">
        <v>669.82302179353735</v>
      </c>
      <c r="G640">
        <v>0.42399999999999999</v>
      </c>
      <c r="H640">
        <v>1.0500000000000001E-2</v>
      </c>
      <c r="I640">
        <v>139.9992</v>
      </c>
      <c r="J640">
        <v>1.0500000000000001E-2</v>
      </c>
    </row>
    <row r="641" spans="1:10" x14ac:dyDescent="0.3">
      <c r="A641" t="s">
        <v>9</v>
      </c>
      <c r="B641" t="s">
        <v>757</v>
      </c>
      <c r="C641">
        <v>3</v>
      </c>
      <c r="D641">
        <v>1.4200000000000001E-2</v>
      </c>
      <c r="E641">
        <v>6.5653533903063606</v>
      </c>
      <c r="F641">
        <v>659.8909359765529</v>
      </c>
      <c r="G641">
        <v>0.42399999999999999</v>
      </c>
      <c r="H641">
        <v>8.8999999999999999E-3</v>
      </c>
      <c r="I641">
        <v>140.20089999999999</v>
      </c>
      <c r="J641">
        <v>8.8999999999999999E-3</v>
      </c>
    </row>
    <row r="642" spans="1:10" x14ac:dyDescent="0.3">
      <c r="A642" t="s">
        <v>9</v>
      </c>
      <c r="B642" t="s">
        <v>758</v>
      </c>
      <c r="C642">
        <v>3</v>
      </c>
      <c r="D642">
        <v>1.2800000000000001E-2</v>
      </c>
      <c r="E642">
        <v>6.4620889106473136</v>
      </c>
      <c r="F642">
        <v>650.26668647232975</v>
      </c>
      <c r="G642">
        <v>0.42399999999999999</v>
      </c>
      <c r="H642">
        <v>7.1999999999999998E-3</v>
      </c>
      <c r="I642">
        <v>140.40119999999999</v>
      </c>
      <c r="J642">
        <v>7.1999999999999998E-3</v>
      </c>
    </row>
    <row r="643" spans="1:10" x14ac:dyDescent="0.3">
      <c r="A643" t="s">
        <v>9</v>
      </c>
      <c r="B643" t="s">
        <v>759</v>
      </c>
      <c r="C643">
        <v>3</v>
      </c>
      <c r="D643">
        <v>1.12E-2</v>
      </c>
      <c r="E643">
        <v>6.3638060851693856</v>
      </c>
      <c r="F643">
        <v>641.10672713778672</v>
      </c>
      <c r="G643">
        <v>0.42399999999999999</v>
      </c>
      <c r="H643">
        <v>5.7000000000000002E-3</v>
      </c>
      <c r="I643">
        <v>140.6019</v>
      </c>
      <c r="J643">
        <v>5.7000000000000002E-3</v>
      </c>
    </row>
    <row r="644" spans="1:10" x14ac:dyDescent="0.3">
      <c r="A644" t="s">
        <v>9</v>
      </c>
      <c r="B644" t="s">
        <v>760</v>
      </c>
      <c r="C644">
        <v>3</v>
      </c>
      <c r="D644">
        <v>9.4000000000000004E-3</v>
      </c>
      <c r="E644">
        <v>6.2736393649580888</v>
      </c>
      <c r="F644">
        <v>632.70318881409389</v>
      </c>
      <c r="G644">
        <v>0.42399999999999999</v>
      </c>
      <c r="H644">
        <v>4.3E-3</v>
      </c>
      <c r="I644">
        <v>140.8015</v>
      </c>
      <c r="J644">
        <v>4.3E-3</v>
      </c>
    </row>
    <row r="645" spans="1:10" x14ac:dyDescent="0.3">
      <c r="A645" t="s">
        <v>9</v>
      </c>
      <c r="B645" t="s">
        <v>761</v>
      </c>
      <c r="C645">
        <v>3</v>
      </c>
      <c r="D645">
        <v>7.6E-3</v>
      </c>
      <c r="E645">
        <v>6.1934979090396256</v>
      </c>
      <c r="F645">
        <v>625.23400512249316</v>
      </c>
      <c r="G645">
        <v>0.42399999999999999</v>
      </c>
      <c r="H645">
        <v>3.0999999999999999E-3</v>
      </c>
      <c r="I645">
        <v>141.00040000000001</v>
      </c>
      <c r="J645">
        <v>3.0999999999999999E-3</v>
      </c>
    </row>
    <row r="646" spans="1:10" x14ac:dyDescent="0.3">
      <c r="A646" t="s">
        <v>9</v>
      </c>
      <c r="B646" t="s">
        <v>762</v>
      </c>
      <c r="C646">
        <v>3</v>
      </c>
      <c r="D646">
        <v>5.5999999999999999E-3</v>
      </c>
      <c r="E646">
        <v>6.1250957639153114</v>
      </c>
      <c r="F646">
        <v>618.85892519690708</v>
      </c>
      <c r="G646">
        <v>0.42399999999999999</v>
      </c>
      <c r="H646">
        <v>2E-3</v>
      </c>
      <c r="I646">
        <v>141.19900000000001</v>
      </c>
      <c r="J646">
        <v>2E-3</v>
      </c>
    </row>
    <row r="647" spans="1:10" x14ac:dyDescent="0.3">
      <c r="A647" t="s">
        <v>9</v>
      </c>
      <c r="B647" t="s">
        <v>763</v>
      </c>
      <c r="C647">
        <v>3</v>
      </c>
      <c r="D647">
        <v>4.3E-3</v>
      </c>
      <c r="E647">
        <v>6.0692616712509988</v>
      </c>
      <c r="F647">
        <v>613.65518776059309</v>
      </c>
      <c r="G647">
        <v>0.42399999999999999</v>
      </c>
      <c r="H647">
        <v>1.1000000000000001E-3</v>
      </c>
      <c r="I647">
        <v>141.40049999999999</v>
      </c>
      <c r="J647">
        <v>1.1000000000000001E-3</v>
      </c>
    </row>
    <row r="648" spans="1:10" x14ac:dyDescent="0.3">
      <c r="A648" t="s">
        <v>9</v>
      </c>
      <c r="B648" t="s">
        <v>764</v>
      </c>
      <c r="C648">
        <v>3</v>
      </c>
      <c r="D648">
        <v>3.5999999999999999E-3</v>
      </c>
      <c r="E648">
        <v>6.0286639935051136</v>
      </c>
      <c r="F648">
        <v>609.87148419467655</v>
      </c>
      <c r="G648">
        <v>0.42399999999999999</v>
      </c>
      <c r="H648">
        <v>5.0000000000000001E-4</v>
      </c>
      <c r="I648">
        <v>141.6009</v>
      </c>
      <c r="J648">
        <v>5.0000000000000001E-4</v>
      </c>
    </row>
    <row r="649" spans="1:10" x14ac:dyDescent="0.3">
      <c r="A649" t="s">
        <v>9</v>
      </c>
      <c r="B649" t="s">
        <v>765</v>
      </c>
      <c r="C649">
        <v>3</v>
      </c>
      <c r="D649">
        <v>2.8E-3</v>
      </c>
      <c r="E649">
        <v>6.0041204435391107</v>
      </c>
      <c r="F649">
        <v>607.58402533784511</v>
      </c>
      <c r="G649">
        <v>0.42399999999999999</v>
      </c>
      <c r="H649">
        <v>1E-4</v>
      </c>
      <c r="I649">
        <v>141.79920000000001</v>
      </c>
      <c r="J649">
        <v>1E-4</v>
      </c>
    </row>
    <row r="650" spans="1:10" x14ac:dyDescent="0.3">
      <c r="A650" t="s">
        <v>9</v>
      </c>
      <c r="B650" t="s">
        <v>766</v>
      </c>
      <c r="C650">
        <v>3</v>
      </c>
      <c r="D650">
        <v>2.2000000000000001E-3</v>
      </c>
      <c r="E650">
        <v>5.9957335240914063</v>
      </c>
      <c r="F650">
        <v>606.80236444531909</v>
      </c>
      <c r="G650">
        <v>0.42399999999999999</v>
      </c>
      <c r="H650">
        <v>0</v>
      </c>
      <c r="I650">
        <v>142.00030000000001</v>
      </c>
      <c r="J650">
        <v>0</v>
      </c>
    </row>
    <row r="651" spans="1:10" x14ac:dyDescent="0.3">
      <c r="A651" t="s">
        <v>9</v>
      </c>
      <c r="B651" t="s">
        <v>767</v>
      </c>
      <c r="C651">
        <v>3</v>
      </c>
      <c r="D651">
        <v>2.2000000000000001E-3</v>
      </c>
      <c r="E651">
        <v>6.0041999158061037</v>
      </c>
      <c r="F651">
        <v>709.79857200999925</v>
      </c>
      <c r="G651">
        <v>0.42399999999999999</v>
      </c>
      <c r="H651">
        <v>1E-4</v>
      </c>
      <c r="I651">
        <v>142.20179999999999</v>
      </c>
      <c r="J651">
        <v>1E-4</v>
      </c>
    </row>
    <row r="652" spans="1:10" x14ac:dyDescent="0.3">
      <c r="A652" t="s">
        <v>9</v>
      </c>
      <c r="B652" t="s">
        <v>768</v>
      </c>
      <c r="C652">
        <v>3</v>
      </c>
      <c r="D652">
        <v>2.2000000000000001E-3</v>
      </c>
      <c r="E652">
        <v>6.0290912826361316</v>
      </c>
      <c r="F652">
        <v>712.16076272216901</v>
      </c>
      <c r="G652">
        <v>0.42399999999999999</v>
      </c>
      <c r="H652">
        <v>5.0000000000000001E-4</v>
      </c>
      <c r="I652">
        <v>142.40170000000001</v>
      </c>
      <c r="J652">
        <v>5.0000000000000001E-4</v>
      </c>
    </row>
    <row r="653" spans="1:10" x14ac:dyDescent="0.3">
      <c r="A653" t="s">
        <v>9</v>
      </c>
      <c r="B653" t="s">
        <v>769</v>
      </c>
      <c r="C653">
        <v>3</v>
      </c>
      <c r="D653">
        <v>2.2000000000000001E-3</v>
      </c>
      <c r="E653">
        <v>6.0700563128267744</v>
      </c>
      <c r="F653">
        <v>716.04834408726094</v>
      </c>
      <c r="G653">
        <v>0.42399999999999999</v>
      </c>
      <c r="H653">
        <v>1.1999999999999999E-3</v>
      </c>
      <c r="I653">
        <v>142.6028</v>
      </c>
      <c r="J653">
        <v>1.1999999999999999E-3</v>
      </c>
    </row>
    <row r="654" spans="1:10" x14ac:dyDescent="0.3">
      <c r="A654" t="s">
        <v>9</v>
      </c>
      <c r="B654" t="s">
        <v>770</v>
      </c>
      <c r="C654">
        <v>3</v>
      </c>
      <c r="D654">
        <v>2.2000000000000001E-3</v>
      </c>
      <c r="E654">
        <v>6.1252805774831449</v>
      </c>
      <c r="F654">
        <v>721.28912680315045</v>
      </c>
      <c r="G654">
        <v>0.42399999999999999</v>
      </c>
      <c r="H654">
        <v>2E-3</v>
      </c>
      <c r="I654">
        <v>142.8015</v>
      </c>
      <c r="J654">
        <v>2E-3</v>
      </c>
    </row>
    <row r="655" spans="1:10" x14ac:dyDescent="0.3">
      <c r="A655" t="s">
        <v>9</v>
      </c>
      <c r="B655" t="s">
        <v>771</v>
      </c>
      <c r="C655">
        <v>3</v>
      </c>
      <c r="D655">
        <v>2.2000000000000001E-3</v>
      </c>
      <c r="E655">
        <v>6.193858575271717</v>
      </c>
      <c r="F655">
        <v>727.79717879328598</v>
      </c>
      <c r="G655">
        <v>0.42399999999999999</v>
      </c>
      <c r="H655">
        <v>3.0999999999999999E-3</v>
      </c>
      <c r="I655">
        <v>143.00049999999999</v>
      </c>
      <c r="J655">
        <v>3.0999999999999999E-3</v>
      </c>
    </row>
    <row r="656" spans="1:10" x14ac:dyDescent="0.3">
      <c r="A656" t="s">
        <v>9</v>
      </c>
      <c r="B656" t="s">
        <v>772</v>
      </c>
      <c r="C656">
        <v>3</v>
      </c>
      <c r="D656">
        <v>2.3E-3</v>
      </c>
      <c r="E656">
        <v>6.2741850880404648</v>
      </c>
      <c r="F656">
        <v>735.42016485504018</v>
      </c>
      <c r="G656">
        <v>0.42399999999999999</v>
      </c>
      <c r="H656">
        <v>4.3E-3</v>
      </c>
      <c r="I656">
        <v>143.19970000000001</v>
      </c>
      <c r="J656">
        <v>4.3E-3</v>
      </c>
    </row>
    <row r="657" spans="1:10" x14ac:dyDescent="0.3">
      <c r="A657" t="s">
        <v>9</v>
      </c>
      <c r="B657" t="s">
        <v>773</v>
      </c>
      <c r="C657">
        <v>3</v>
      </c>
      <c r="D657">
        <v>2.3999999999999998E-3</v>
      </c>
      <c r="E657">
        <v>6.3650548945321974</v>
      </c>
      <c r="F657">
        <v>744.04370949110557</v>
      </c>
      <c r="G657">
        <v>0.42399999999999999</v>
      </c>
      <c r="H657">
        <v>5.7000000000000002E-3</v>
      </c>
      <c r="I657">
        <v>143.4007</v>
      </c>
      <c r="J657">
        <v>5.7000000000000002E-3</v>
      </c>
    </row>
    <row r="658" spans="1:10" x14ac:dyDescent="0.3">
      <c r="A658" t="s">
        <v>9</v>
      </c>
      <c r="B658" t="s">
        <v>774</v>
      </c>
      <c r="C658">
        <v>3</v>
      </c>
      <c r="D658">
        <v>2.5000000000000001E-3</v>
      </c>
      <c r="E658">
        <v>6.4632165248029612</v>
      </c>
      <c r="F658">
        <v>753.35924820380103</v>
      </c>
      <c r="G658">
        <v>0.42399999999999999</v>
      </c>
      <c r="H658">
        <v>7.3000000000000001E-3</v>
      </c>
      <c r="I658">
        <v>143.601</v>
      </c>
      <c r="J658">
        <v>7.3000000000000001E-3</v>
      </c>
    </row>
    <row r="659" spans="1:10" x14ac:dyDescent="0.3">
      <c r="A659" t="s">
        <v>9</v>
      </c>
      <c r="B659" t="s">
        <v>775</v>
      </c>
      <c r="C659">
        <v>3</v>
      </c>
      <c r="D659">
        <v>3.7000000000000002E-3</v>
      </c>
      <c r="E659">
        <v>6.5654596236428509</v>
      </c>
      <c r="F659">
        <v>763.06211828370658</v>
      </c>
      <c r="G659">
        <v>0.42399999999999999</v>
      </c>
      <c r="H659">
        <v>8.8999999999999999E-3</v>
      </c>
      <c r="I659">
        <v>143.79929999999999</v>
      </c>
      <c r="J659">
        <v>8.8999999999999999E-3</v>
      </c>
    </row>
    <row r="660" spans="1:10" x14ac:dyDescent="0.3">
      <c r="A660" t="s">
        <v>9</v>
      </c>
      <c r="B660" t="s">
        <v>776</v>
      </c>
      <c r="C660">
        <v>3</v>
      </c>
      <c r="D660">
        <v>5.3E-3</v>
      </c>
      <c r="E660">
        <v>6.6720080109058477</v>
      </c>
      <c r="F660">
        <v>773.17356023496495</v>
      </c>
      <c r="G660">
        <v>0.42399999999999999</v>
      </c>
      <c r="H660">
        <v>1.0500000000000001E-2</v>
      </c>
      <c r="I660">
        <v>144.0009</v>
      </c>
      <c r="J660">
        <v>1.0500000000000001E-2</v>
      </c>
    </row>
    <row r="661" spans="1:10" x14ac:dyDescent="0.3">
      <c r="A661" t="s">
        <v>9</v>
      </c>
      <c r="B661" t="s">
        <v>777</v>
      </c>
      <c r="C661">
        <v>3</v>
      </c>
      <c r="D661">
        <v>7.4999999999999997E-3</v>
      </c>
      <c r="E661">
        <v>6.7780248260156446</v>
      </c>
      <c r="F661">
        <v>783.23455598888472</v>
      </c>
      <c r="G661">
        <v>0.42399999999999999</v>
      </c>
      <c r="H661">
        <v>1.2200000000000001E-2</v>
      </c>
      <c r="I661">
        <v>144.20150000000001</v>
      </c>
      <c r="J661">
        <v>1.2200000000000001E-2</v>
      </c>
    </row>
    <row r="662" spans="1:10" x14ac:dyDescent="0.3">
      <c r="A662" t="s">
        <v>9</v>
      </c>
      <c r="B662" t="s">
        <v>778</v>
      </c>
      <c r="C662">
        <v>3</v>
      </c>
      <c r="D662">
        <v>8.6999999999999994E-3</v>
      </c>
      <c r="E662">
        <v>6.8801239827392973</v>
      </c>
      <c r="F662">
        <v>792.92376596195936</v>
      </c>
      <c r="G662">
        <v>0.42399999999999999</v>
      </c>
      <c r="H662">
        <v>1.37E-2</v>
      </c>
      <c r="I662">
        <v>144.39959999999999</v>
      </c>
      <c r="J662">
        <v>1.37E-2</v>
      </c>
    </row>
    <row r="663" spans="1:10" x14ac:dyDescent="0.3">
      <c r="A663" t="s">
        <v>9</v>
      </c>
      <c r="B663" t="s">
        <v>779</v>
      </c>
      <c r="C663">
        <v>3</v>
      </c>
      <c r="D663">
        <v>1.04E-2</v>
      </c>
      <c r="E663">
        <v>6.9788407024667611</v>
      </c>
      <c r="F663">
        <v>802.29198266409571</v>
      </c>
      <c r="G663">
        <v>0.42399999999999999</v>
      </c>
      <c r="H663">
        <v>1.5299999999999999E-2</v>
      </c>
      <c r="I663">
        <v>144.6011</v>
      </c>
      <c r="J663">
        <v>1.5299999999999999E-2</v>
      </c>
    </row>
    <row r="664" spans="1:10" x14ac:dyDescent="0.3">
      <c r="A664" t="s">
        <v>9</v>
      </c>
      <c r="B664" t="s">
        <v>780</v>
      </c>
      <c r="C664">
        <v>3</v>
      </c>
      <c r="D664">
        <v>1.17E-2</v>
      </c>
      <c r="E664">
        <v>7.0692602742377346</v>
      </c>
      <c r="F664">
        <v>810.87280002516104</v>
      </c>
      <c r="G664">
        <v>0.42399999999999999</v>
      </c>
      <c r="H664">
        <v>1.67E-2</v>
      </c>
      <c r="I664">
        <v>144.80119999999999</v>
      </c>
      <c r="J664">
        <v>1.67E-2</v>
      </c>
    </row>
    <row r="665" spans="1:10" x14ac:dyDescent="0.3">
      <c r="A665" t="s">
        <v>9</v>
      </c>
      <c r="B665" t="s">
        <v>781</v>
      </c>
      <c r="C665">
        <v>3</v>
      </c>
      <c r="D665">
        <v>1.2800000000000001E-2</v>
      </c>
      <c r="E665">
        <v>7.1490719202481783</v>
      </c>
      <c r="F665">
        <v>818.4469252315522</v>
      </c>
      <c r="G665">
        <v>0.42399999999999999</v>
      </c>
      <c r="H665">
        <v>1.7899999999999999E-2</v>
      </c>
      <c r="I665">
        <v>144.9992</v>
      </c>
      <c r="J665">
        <v>1.7899999999999999E-2</v>
      </c>
    </row>
    <row r="666" spans="1:10" x14ac:dyDescent="0.3">
      <c r="A666" t="s">
        <v>9</v>
      </c>
      <c r="B666" t="s">
        <v>782</v>
      </c>
      <c r="C666">
        <v>3</v>
      </c>
      <c r="D666">
        <v>1.41E-2</v>
      </c>
      <c r="E666">
        <v>7.2179074730571298</v>
      </c>
      <c r="F666">
        <v>824.97941919312166</v>
      </c>
      <c r="G666">
        <v>0.42399999999999999</v>
      </c>
      <c r="H666">
        <v>1.9E-2</v>
      </c>
      <c r="I666">
        <v>145.19890000000001</v>
      </c>
      <c r="J666">
        <v>1.9E-2</v>
      </c>
    </row>
    <row r="667" spans="1:10" x14ac:dyDescent="0.3">
      <c r="A667" t="s">
        <v>9</v>
      </c>
      <c r="B667" t="s">
        <v>783</v>
      </c>
      <c r="C667">
        <v>3</v>
      </c>
      <c r="D667">
        <v>1.5100000000000001E-2</v>
      </c>
      <c r="E667">
        <v>7.2737116014330212</v>
      </c>
      <c r="F667">
        <v>830.27523097599374</v>
      </c>
      <c r="G667">
        <v>0.42399999999999999</v>
      </c>
      <c r="H667">
        <v>1.9900000000000001E-2</v>
      </c>
      <c r="I667">
        <v>145.40029999999999</v>
      </c>
      <c r="J667">
        <v>1.9900000000000001E-2</v>
      </c>
    </row>
    <row r="668" spans="1:10" x14ac:dyDescent="0.3">
      <c r="A668" t="s">
        <v>9</v>
      </c>
      <c r="B668" t="s">
        <v>784</v>
      </c>
      <c r="C668">
        <v>3</v>
      </c>
      <c r="D668">
        <v>1.6E-2</v>
      </c>
      <c r="E668">
        <v>7.314071348942826</v>
      </c>
      <c r="F668">
        <v>834.10537101467423</v>
      </c>
      <c r="G668">
        <v>0.42399999999999999</v>
      </c>
      <c r="H668">
        <v>2.0500000000000001E-2</v>
      </c>
      <c r="I668">
        <v>145.59899999999999</v>
      </c>
      <c r="J668">
        <v>2.0500000000000001E-2</v>
      </c>
    </row>
    <row r="669" spans="1:10" x14ac:dyDescent="0.3">
      <c r="A669" t="s">
        <v>9</v>
      </c>
      <c r="B669" t="s">
        <v>785</v>
      </c>
      <c r="C669">
        <v>3</v>
      </c>
      <c r="D669">
        <v>1.6299999999999999E-2</v>
      </c>
      <c r="E669">
        <v>7.3391440382375306</v>
      </c>
      <c r="F669">
        <v>836.48476922874181</v>
      </c>
      <c r="G669">
        <v>0.42399999999999999</v>
      </c>
      <c r="H669">
        <v>2.0899999999999998E-2</v>
      </c>
      <c r="I669">
        <v>145.80199999999999</v>
      </c>
      <c r="J669">
        <v>2.0899999999999998E-2</v>
      </c>
    </row>
    <row r="670" spans="1:10" x14ac:dyDescent="0.3">
      <c r="A670" t="s">
        <v>9</v>
      </c>
      <c r="B670" t="s">
        <v>786</v>
      </c>
      <c r="C670">
        <v>3</v>
      </c>
      <c r="D670">
        <v>1.6299999999999999E-2</v>
      </c>
      <c r="E670">
        <v>7.3473025151975344</v>
      </c>
      <c r="F670">
        <v>837.25900869224608</v>
      </c>
      <c r="G670">
        <v>0.42399999999999999</v>
      </c>
      <c r="H670">
        <v>2.1000000000000001E-2</v>
      </c>
      <c r="I670">
        <v>146.00059999999999</v>
      </c>
      <c r="J670">
        <v>2.1000000000000001E-2</v>
      </c>
    </row>
    <row r="671" spans="1:10" x14ac:dyDescent="0.3">
      <c r="A671" t="s">
        <v>9</v>
      </c>
      <c r="B671" t="s">
        <v>787</v>
      </c>
      <c r="C671">
        <v>3</v>
      </c>
      <c r="D671">
        <v>1.6400000000000001E-2</v>
      </c>
      <c r="E671">
        <v>5.9957334838115024</v>
      </c>
      <c r="F671">
        <v>606.80236069123202</v>
      </c>
      <c r="G671">
        <v>0.42399999999999999</v>
      </c>
      <c r="H671">
        <v>0</v>
      </c>
      <c r="I671">
        <v>146.19980000000001</v>
      </c>
      <c r="J671">
        <v>0</v>
      </c>
    </row>
    <row r="672" spans="1:10" x14ac:dyDescent="0.3">
      <c r="A672" t="s">
        <v>9</v>
      </c>
      <c r="B672" t="s">
        <v>788</v>
      </c>
      <c r="C672">
        <v>3</v>
      </c>
      <c r="D672">
        <v>1.3899999999999999E-2</v>
      </c>
      <c r="E672">
        <v>5.9957334838115024</v>
      </c>
      <c r="F672">
        <v>606.80236069123202</v>
      </c>
      <c r="G672">
        <v>0.42399999999999999</v>
      </c>
      <c r="H672">
        <v>0</v>
      </c>
      <c r="I672">
        <v>146.40010000000001</v>
      </c>
      <c r="J672">
        <v>0</v>
      </c>
    </row>
    <row r="673" spans="1:10" x14ac:dyDescent="0.3">
      <c r="A673" t="s">
        <v>9</v>
      </c>
      <c r="B673" t="s">
        <v>789</v>
      </c>
      <c r="C673">
        <v>3</v>
      </c>
      <c r="D673">
        <v>8.8000000000000005E-3</v>
      </c>
      <c r="E673">
        <v>5.9957334838115024</v>
      </c>
      <c r="F673">
        <v>606.80236069123202</v>
      </c>
      <c r="G673">
        <v>0.42399999999999999</v>
      </c>
      <c r="H673">
        <v>0</v>
      </c>
      <c r="I673">
        <v>146.60040000000001</v>
      </c>
      <c r="J673">
        <v>0</v>
      </c>
    </row>
    <row r="674" spans="1:10" x14ac:dyDescent="0.3">
      <c r="A674" t="s">
        <v>9</v>
      </c>
      <c r="B674" t="s">
        <v>790</v>
      </c>
      <c r="C674">
        <v>3</v>
      </c>
      <c r="D674">
        <v>4.8999999999999998E-3</v>
      </c>
      <c r="E674">
        <v>5.9957334838115024</v>
      </c>
      <c r="F674">
        <v>606.80236069123202</v>
      </c>
      <c r="G674">
        <v>0.42399999999999999</v>
      </c>
      <c r="H674">
        <v>0</v>
      </c>
      <c r="I674">
        <v>146.79920000000001</v>
      </c>
      <c r="J674">
        <v>0</v>
      </c>
    </row>
    <row r="675" spans="1:10" x14ac:dyDescent="0.3">
      <c r="A675" t="s">
        <v>9</v>
      </c>
      <c r="B675" t="s">
        <v>791</v>
      </c>
      <c r="C675">
        <v>3</v>
      </c>
      <c r="D675">
        <v>3.2000000000000002E-3</v>
      </c>
      <c r="E675">
        <v>5.9957334838115024</v>
      </c>
      <c r="F675">
        <v>606.80236069123202</v>
      </c>
      <c r="G675">
        <v>0.42399999999999999</v>
      </c>
      <c r="H675">
        <v>0</v>
      </c>
      <c r="I675">
        <v>147.001</v>
      </c>
      <c r="J675">
        <v>0</v>
      </c>
    </row>
    <row r="676" spans="1:10" x14ac:dyDescent="0.3">
      <c r="A676" t="s">
        <v>9</v>
      </c>
      <c r="B676" t="s">
        <v>792</v>
      </c>
      <c r="C676">
        <v>3</v>
      </c>
      <c r="D676">
        <v>3.2000000000000002E-3</v>
      </c>
      <c r="E676">
        <v>5.9957334838115024</v>
      </c>
      <c r="F676">
        <v>606.80236069123202</v>
      </c>
      <c r="G676">
        <v>0.42399999999999999</v>
      </c>
      <c r="H676">
        <v>0</v>
      </c>
      <c r="I676">
        <v>147.1996</v>
      </c>
      <c r="J676">
        <v>0</v>
      </c>
    </row>
    <row r="677" spans="1:10" x14ac:dyDescent="0.3">
      <c r="A677" t="s">
        <v>9</v>
      </c>
      <c r="B677" t="s">
        <v>793</v>
      </c>
      <c r="C677">
        <v>3</v>
      </c>
      <c r="D677">
        <v>3.2000000000000002E-3</v>
      </c>
      <c r="E677">
        <v>5.9957334838115024</v>
      </c>
      <c r="F677">
        <v>606.80236069123202</v>
      </c>
      <c r="G677">
        <v>0.42399999999999999</v>
      </c>
      <c r="H677">
        <v>0</v>
      </c>
      <c r="I677">
        <v>147.40110000000001</v>
      </c>
      <c r="J677">
        <v>0</v>
      </c>
    </row>
    <row r="678" spans="1:10" x14ac:dyDescent="0.3">
      <c r="A678" t="s">
        <v>9</v>
      </c>
      <c r="B678" t="s">
        <v>794</v>
      </c>
      <c r="C678">
        <v>3</v>
      </c>
      <c r="D678">
        <v>3.0999999999999999E-3</v>
      </c>
      <c r="E678">
        <v>5.9957334838115024</v>
      </c>
      <c r="F678">
        <v>606.80236069123202</v>
      </c>
      <c r="G678">
        <v>0.42399999999999999</v>
      </c>
      <c r="H678">
        <v>0</v>
      </c>
      <c r="I678">
        <v>147.59909999999999</v>
      </c>
      <c r="J678">
        <v>0</v>
      </c>
    </row>
    <row r="679" spans="1:10" x14ac:dyDescent="0.3">
      <c r="A679" t="s">
        <v>9</v>
      </c>
      <c r="B679" t="s">
        <v>795</v>
      </c>
      <c r="C679">
        <v>3</v>
      </c>
      <c r="D679">
        <v>3.0000000000000001E-3</v>
      </c>
      <c r="E679">
        <v>5.9957334838115024</v>
      </c>
      <c r="F679">
        <v>606.80236069123202</v>
      </c>
      <c r="G679">
        <v>0.42399999999999999</v>
      </c>
      <c r="H679">
        <v>0</v>
      </c>
      <c r="I679">
        <v>147.79990000000001</v>
      </c>
      <c r="J679">
        <v>0</v>
      </c>
    </row>
    <row r="680" spans="1:10" x14ac:dyDescent="0.3">
      <c r="A680" t="s">
        <v>9</v>
      </c>
      <c r="B680" t="s">
        <v>796</v>
      </c>
      <c r="C680">
        <v>3</v>
      </c>
      <c r="D680">
        <v>2.3999999999999998E-3</v>
      </c>
      <c r="E680">
        <v>5.9957334838115024</v>
      </c>
      <c r="F680">
        <v>606.80236069123202</v>
      </c>
      <c r="G680">
        <v>0.42399999999999999</v>
      </c>
      <c r="H680">
        <v>0</v>
      </c>
      <c r="I680">
        <v>148.00290000000001</v>
      </c>
      <c r="J680">
        <v>0</v>
      </c>
    </row>
    <row r="681" spans="1:10" x14ac:dyDescent="0.3">
      <c r="A681" t="s">
        <v>9</v>
      </c>
      <c r="B681" t="s">
        <v>797</v>
      </c>
      <c r="C681">
        <v>3</v>
      </c>
      <c r="D681">
        <v>2.3999999999999998E-3</v>
      </c>
      <c r="E681">
        <v>6.565977815261304</v>
      </c>
      <c r="F681">
        <v>763.11129466829777</v>
      </c>
      <c r="G681">
        <v>0.42399999999999999</v>
      </c>
      <c r="H681">
        <v>8.8999999999999999E-3</v>
      </c>
      <c r="I681">
        <v>148.19970000000001</v>
      </c>
      <c r="J681">
        <v>8.8999999999999999E-3</v>
      </c>
    </row>
    <row r="682" spans="1:10" x14ac:dyDescent="0.3">
      <c r="A682" t="s">
        <v>9</v>
      </c>
      <c r="B682" t="s">
        <v>798</v>
      </c>
      <c r="C682">
        <v>3</v>
      </c>
      <c r="D682">
        <v>3.3E-3</v>
      </c>
      <c r="E682">
        <v>6.4619993016115718</v>
      </c>
      <c r="F682">
        <v>650.25833491019853</v>
      </c>
      <c r="G682">
        <v>0.42399999999999999</v>
      </c>
      <c r="H682">
        <v>7.1999999999999998E-3</v>
      </c>
      <c r="I682">
        <v>148.4014</v>
      </c>
      <c r="J682">
        <v>7.1999999999999998E-3</v>
      </c>
    </row>
    <row r="683" spans="1:10" x14ac:dyDescent="0.3">
      <c r="A683" t="s">
        <v>9</v>
      </c>
      <c r="B683" t="s">
        <v>799</v>
      </c>
      <c r="C683">
        <v>3</v>
      </c>
      <c r="D683">
        <v>3.5999999999999999E-3</v>
      </c>
      <c r="E683">
        <v>6.3649940739197026</v>
      </c>
      <c r="F683">
        <v>641.21744768931626</v>
      </c>
      <c r="G683">
        <v>0.42399999999999999</v>
      </c>
      <c r="H683">
        <v>5.7000000000000002E-3</v>
      </c>
      <c r="I683">
        <v>148.5994</v>
      </c>
      <c r="J683">
        <v>5.7000000000000002E-3</v>
      </c>
    </row>
    <row r="684" spans="1:10" x14ac:dyDescent="0.3">
      <c r="A684" t="s">
        <v>9</v>
      </c>
      <c r="B684" t="s">
        <v>800</v>
      </c>
      <c r="C684">
        <v>3</v>
      </c>
      <c r="D684">
        <v>3.5000000000000001E-3</v>
      </c>
      <c r="E684">
        <v>6.2746137517173262</v>
      </c>
      <c r="F684">
        <v>632.79400166005485</v>
      </c>
      <c r="G684">
        <v>0.42399999999999999</v>
      </c>
      <c r="H684">
        <v>4.3E-3</v>
      </c>
      <c r="I684">
        <v>148.79929999999999</v>
      </c>
      <c r="J684">
        <v>4.3E-3</v>
      </c>
    </row>
    <row r="685" spans="1:10" x14ac:dyDescent="0.3">
      <c r="A685" t="s">
        <v>9</v>
      </c>
      <c r="B685" t="s">
        <v>801</v>
      </c>
      <c r="C685">
        <v>3</v>
      </c>
      <c r="D685">
        <v>3.5000000000000001E-3</v>
      </c>
      <c r="E685">
        <v>6.1932052402523023</v>
      </c>
      <c r="F685">
        <v>625.20672839151462</v>
      </c>
      <c r="G685">
        <v>0.42399999999999999</v>
      </c>
      <c r="H685">
        <v>3.0999999999999999E-3</v>
      </c>
      <c r="I685">
        <v>149.00120000000001</v>
      </c>
      <c r="J685">
        <v>3.0999999999999999E-3</v>
      </c>
    </row>
    <row r="686" spans="1:10" x14ac:dyDescent="0.3">
      <c r="A686" t="s">
        <v>9</v>
      </c>
      <c r="B686" t="s">
        <v>802</v>
      </c>
      <c r="C686">
        <v>3</v>
      </c>
      <c r="D686">
        <v>3.5000000000000001E-3</v>
      </c>
      <c r="E686">
        <v>6.1243766615402526</v>
      </c>
      <c r="F686">
        <v>618.79190485555159</v>
      </c>
      <c r="G686">
        <v>0.42399999999999999</v>
      </c>
      <c r="H686">
        <v>2E-3</v>
      </c>
      <c r="I686">
        <v>149.2013</v>
      </c>
      <c r="J686">
        <v>2E-3</v>
      </c>
    </row>
    <row r="687" spans="1:10" x14ac:dyDescent="0.3">
      <c r="A687" t="s">
        <v>9</v>
      </c>
      <c r="B687" t="s">
        <v>803</v>
      </c>
      <c r="C687">
        <v>3</v>
      </c>
      <c r="D687">
        <v>3.0999999999999999E-3</v>
      </c>
      <c r="E687">
        <v>6.0691393001786604</v>
      </c>
      <c r="F687">
        <v>613.64378277665105</v>
      </c>
      <c r="G687">
        <v>0.42399999999999999</v>
      </c>
      <c r="H687">
        <v>1.1000000000000001E-3</v>
      </c>
      <c r="I687">
        <v>149.40100000000001</v>
      </c>
      <c r="J687">
        <v>1.1000000000000001E-3</v>
      </c>
    </row>
    <row r="688" spans="1:10" x14ac:dyDescent="0.3">
      <c r="A688" t="s">
        <v>9</v>
      </c>
      <c r="B688" t="s">
        <v>804</v>
      </c>
      <c r="C688">
        <v>3</v>
      </c>
      <c r="D688">
        <v>3.0999999999999999E-3</v>
      </c>
      <c r="E688">
        <v>6.0289949752236014</v>
      </c>
      <c r="F688">
        <v>609.90233169083967</v>
      </c>
      <c r="G688">
        <v>0.42399999999999999</v>
      </c>
      <c r="H688">
        <v>5.0000000000000001E-4</v>
      </c>
      <c r="I688">
        <v>149.59889999999999</v>
      </c>
      <c r="J688">
        <v>5.0000000000000001E-4</v>
      </c>
    </row>
    <row r="689" spans="1:10" x14ac:dyDescent="0.3">
      <c r="A689" t="s">
        <v>9</v>
      </c>
      <c r="B689" t="s">
        <v>805</v>
      </c>
      <c r="C689">
        <v>3</v>
      </c>
      <c r="D689">
        <v>2.5999999999999999E-3</v>
      </c>
      <c r="E689">
        <v>6.0039654077431539</v>
      </c>
      <c r="F689">
        <v>607.56957600166197</v>
      </c>
      <c r="G689">
        <v>0.42399999999999999</v>
      </c>
      <c r="H689">
        <v>1E-4</v>
      </c>
      <c r="I689">
        <v>149.80109999999999</v>
      </c>
      <c r="J689">
        <v>1E-4</v>
      </c>
    </row>
    <row r="690" spans="1:10" x14ac:dyDescent="0.3">
      <c r="A690" t="s">
        <v>9</v>
      </c>
      <c r="B690" t="s">
        <v>806</v>
      </c>
      <c r="C690">
        <v>3</v>
      </c>
      <c r="D690">
        <v>2.5999999999999999E-3</v>
      </c>
      <c r="E690">
        <v>5.9957336449311036</v>
      </c>
      <c r="F690">
        <v>606.8023757075789</v>
      </c>
      <c r="G690">
        <v>0.42399999999999999</v>
      </c>
      <c r="H690">
        <v>0</v>
      </c>
      <c r="I690">
        <v>150.0008</v>
      </c>
      <c r="J690">
        <v>0</v>
      </c>
    </row>
    <row r="691" spans="1:10" x14ac:dyDescent="0.3">
      <c r="A691" t="s">
        <v>9</v>
      </c>
      <c r="B691" t="s">
        <v>807</v>
      </c>
      <c r="C691">
        <v>3</v>
      </c>
      <c r="D691">
        <v>2.5000000000000001E-3</v>
      </c>
      <c r="E691">
        <v>6.0040462869936491</v>
      </c>
      <c r="F691">
        <v>709.78399263569736</v>
      </c>
      <c r="G691">
        <v>0.42399999999999999</v>
      </c>
      <c r="H691">
        <v>1E-4</v>
      </c>
      <c r="I691">
        <v>150.19990000000001</v>
      </c>
      <c r="J691">
        <v>1E-4</v>
      </c>
    </row>
    <row r="692" spans="1:10" x14ac:dyDescent="0.3">
      <c r="A692" t="s">
        <v>9</v>
      </c>
      <c r="B692" t="s">
        <v>808</v>
      </c>
      <c r="C692">
        <v>3</v>
      </c>
      <c r="D692">
        <v>2.5000000000000001E-3</v>
      </c>
      <c r="E692">
        <v>6.0288363104644329</v>
      </c>
      <c r="F692">
        <v>712.13656586307468</v>
      </c>
      <c r="G692">
        <v>0.42399999999999999</v>
      </c>
      <c r="H692">
        <v>5.0000000000000001E-4</v>
      </c>
      <c r="I692">
        <v>150.40020000000001</v>
      </c>
      <c r="J692">
        <v>5.0000000000000001E-4</v>
      </c>
    </row>
    <row r="693" spans="1:10" x14ac:dyDescent="0.3">
      <c r="A693" t="s">
        <v>9</v>
      </c>
      <c r="B693" t="s">
        <v>809</v>
      </c>
      <c r="C693">
        <v>3</v>
      </c>
      <c r="D693">
        <v>2.5999999999999999E-3</v>
      </c>
      <c r="E693">
        <v>6.0691827260959794</v>
      </c>
      <c r="F693">
        <v>715.9654407065085</v>
      </c>
      <c r="G693">
        <v>0.42399999999999999</v>
      </c>
      <c r="H693">
        <v>1.1000000000000001E-3</v>
      </c>
      <c r="I693">
        <v>150.59909999999999</v>
      </c>
      <c r="J693">
        <v>1.1000000000000001E-3</v>
      </c>
    </row>
    <row r="694" spans="1:10" x14ac:dyDescent="0.3">
      <c r="A694" t="s">
        <v>9</v>
      </c>
      <c r="B694" t="s">
        <v>810</v>
      </c>
      <c r="C694">
        <v>3</v>
      </c>
      <c r="D694">
        <v>2.5999999999999999E-3</v>
      </c>
      <c r="E694">
        <v>6.1245570149298363</v>
      </c>
      <c r="F694">
        <v>721.22046071684144</v>
      </c>
      <c r="G694">
        <v>0.42399999999999999</v>
      </c>
      <c r="H694">
        <v>2E-3</v>
      </c>
      <c r="I694">
        <v>150.79920000000001</v>
      </c>
      <c r="J694">
        <v>2E-3</v>
      </c>
    </row>
    <row r="695" spans="1:10" x14ac:dyDescent="0.3">
      <c r="A695" t="s">
        <v>9</v>
      </c>
      <c r="B695" t="s">
        <v>811</v>
      </c>
      <c r="C695">
        <v>3</v>
      </c>
      <c r="D695">
        <v>2.5999999999999999E-3</v>
      </c>
      <c r="E695">
        <v>6.1941261048725416</v>
      </c>
      <c r="F695">
        <v>727.82256735240435</v>
      </c>
      <c r="G695">
        <v>0.42399999999999999</v>
      </c>
      <c r="H695">
        <v>3.0999999999999999E-3</v>
      </c>
      <c r="I695">
        <v>151.00120000000001</v>
      </c>
      <c r="J695">
        <v>3.0999999999999999E-3</v>
      </c>
    </row>
    <row r="696" spans="1:10" x14ac:dyDescent="0.3">
      <c r="A696" t="s">
        <v>9</v>
      </c>
      <c r="B696" t="s">
        <v>812</v>
      </c>
      <c r="C696">
        <v>3</v>
      </c>
      <c r="D696">
        <v>2.5999999999999999E-3</v>
      </c>
      <c r="E696">
        <v>6.2748874444735501</v>
      </c>
      <c r="F696">
        <v>735.48681848053991</v>
      </c>
      <c r="G696">
        <v>0.42399999999999999</v>
      </c>
      <c r="H696">
        <v>4.3E-3</v>
      </c>
      <c r="I696">
        <v>151.20140000000001</v>
      </c>
      <c r="J696">
        <v>4.3E-3</v>
      </c>
    </row>
    <row r="697" spans="1:10" x14ac:dyDescent="0.3">
      <c r="A697" t="s">
        <v>9</v>
      </c>
      <c r="B697" t="s">
        <v>813</v>
      </c>
      <c r="C697">
        <v>3</v>
      </c>
      <c r="D697">
        <v>2.5999999999999999E-3</v>
      </c>
      <c r="E697">
        <v>6.3646383138836846</v>
      </c>
      <c r="F697">
        <v>744.00417598756167</v>
      </c>
      <c r="G697">
        <v>0.42399999999999999</v>
      </c>
      <c r="H697">
        <v>5.7000000000000002E-3</v>
      </c>
      <c r="I697">
        <v>151.3998</v>
      </c>
      <c r="J697">
        <v>5.7000000000000002E-3</v>
      </c>
    </row>
    <row r="698" spans="1:10" x14ac:dyDescent="0.3">
      <c r="A698" t="s">
        <v>9</v>
      </c>
      <c r="B698" t="s">
        <v>814</v>
      </c>
      <c r="C698">
        <v>3</v>
      </c>
      <c r="D698">
        <v>2.7000000000000001E-3</v>
      </c>
      <c r="E698">
        <v>6.4624481577317807</v>
      </c>
      <c r="F698">
        <v>753.28633016874608</v>
      </c>
      <c r="G698">
        <v>0.42399999999999999</v>
      </c>
      <c r="H698">
        <v>7.3000000000000001E-3</v>
      </c>
      <c r="I698">
        <v>151.59950000000001</v>
      </c>
      <c r="J698">
        <v>7.3000000000000001E-3</v>
      </c>
    </row>
    <row r="699" spans="1:10" x14ac:dyDescent="0.3">
      <c r="A699" t="s">
        <v>9</v>
      </c>
      <c r="B699" t="s">
        <v>815</v>
      </c>
      <c r="C699">
        <v>3</v>
      </c>
      <c r="D699">
        <v>2.8E-3</v>
      </c>
      <c r="E699">
        <v>6.5653189252926136</v>
      </c>
      <c r="F699">
        <v>763.04876601026911</v>
      </c>
      <c r="G699">
        <v>0.42399999999999999</v>
      </c>
      <c r="H699">
        <v>8.8000000000000005E-3</v>
      </c>
      <c r="I699">
        <v>151.79910000000001</v>
      </c>
      <c r="J699">
        <v>8.8000000000000005E-3</v>
      </c>
    </row>
    <row r="700" spans="1:10" x14ac:dyDescent="0.3">
      <c r="A700" t="s">
        <v>9</v>
      </c>
      <c r="B700" t="s">
        <v>816</v>
      </c>
      <c r="C700">
        <v>3</v>
      </c>
      <c r="D700">
        <v>4.3E-3</v>
      </c>
      <c r="E700">
        <v>6.6723396859793187</v>
      </c>
      <c r="F700">
        <v>773.20503619943736</v>
      </c>
      <c r="G700">
        <v>0.42399999999999999</v>
      </c>
      <c r="H700">
        <v>1.0500000000000001E-2</v>
      </c>
      <c r="I700">
        <v>152.00149999999999</v>
      </c>
      <c r="J700">
        <v>1.0500000000000001E-2</v>
      </c>
    </row>
    <row r="701" spans="1:10" x14ac:dyDescent="0.3">
      <c r="A701" t="s">
        <v>9</v>
      </c>
      <c r="B701" t="s">
        <v>817</v>
      </c>
      <c r="C701">
        <v>3</v>
      </c>
      <c r="D701">
        <v>6.3E-3</v>
      </c>
      <c r="E701">
        <v>6.7766259519282714</v>
      </c>
      <c r="F701">
        <v>783.10180283799286</v>
      </c>
      <c r="G701">
        <v>0.42399999999999999</v>
      </c>
      <c r="H701">
        <v>1.21E-2</v>
      </c>
      <c r="I701">
        <v>152.19880000000001</v>
      </c>
      <c r="J701">
        <v>1.21E-2</v>
      </c>
    </row>
    <row r="702" spans="1:10" x14ac:dyDescent="0.3">
      <c r="A702" t="s">
        <v>9</v>
      </c>
      <c r="B702" t="s">
        <v>818</v>
      </c>
      <c r="C702">
        <v>3</v>
      </c>
      <c r="D702">
        <v>8.3999999999999995E-3</v>
      </c>
      <c r="E702">
        <v>6.8808761309804796</v>
      </c>
      <c r="F702">
        <v>792.99514483004759</v>
      </c>
      <c r="G702">
        <v>0.42399999999999999</v>
      </c>
      <c r="H702">
        <v>1.38E-2</v>
      </c>
      <c r="I702">
        <v>152.40100000000001</v>
      </c>
      <c r="J702">
        <v>1.38E-2</v>
      </c>
    </row>
    <row r="703" spans="1:10" x14ac:dyDescent="0.3">
      <c r="A703" t="s">
        <v>9</v>
      </c>
      <c r="B703" t="s">
        <v>819</v>
      </c>
      <c r="C703">
        <v>3</v>
      </c>
      <c r="D703">
        <v>0.01</v>
      </c>
      <c r="E703">
        <v>6.9778590577811013</v>
      </c>
      <c r="F703">
        <v>802.19882458342659</v>
      </c>
      <c r="G703">
        <v>0.42399999999999999</v>
      </c>
      <c r="H703">
        <v>1.5299999999999999E-2</v>
      </c>
      <c r="I703">
        <v>152.59899999999999</v>
      </c>
      <c r="J703">
        <v>1.5299999999999999E-2</v>
      </c>
    </row>
    <row r="704" spans="1:10" x14ac:dyDescent="0.3">
      <c r="A704" t="s">
        <v>9</v>
      </c>
      <c r="B704" t="s">
        <v>820</v>
      </c>
      <c r="C704">
        <v>3</v>
      </c>
      <c r="D704">
        <v>1.14E-2</v>
      </c>
      <c r="E704">
        <v>7.0693782662259759</v>
      </c>
      <c r="F704">
        <v>810.88399746484515</v>
      </c>
      <c r="G704">
        <v>0.42399999999999999</v>
      </c>
      <c r="H704">
        <v>1.67E-2</v>
      </c>
      <c r="I704">
        <v>152.8015</v>
      </c>
      <c r="J704">
        <v>1.67E-2</v>
      </c>
    </row>
    <row r="705" spans="1:10" x14ac:dyDescent="0.3">
      <c r="A705" t="s">
        <v>9</v>
      </c>
      <c r="B705" t="s">
        <v>821</v>
      </c>
      <c r="C705">
        <v>3</v>
      </c>
      <c r="D705">
        <v>1.2800000000000001E-2</v>
      </c>
      <c r="E705">
        <v>7.1492665462081622</v>
      </c>
      <c r="F705">
        <v>818.46539523515457</v>
      </c>
      <c r="G705">
        <v>0.42399999999999999</v>
      </c>
      <c r="H705">
        <v>1.7899999999999999E-2</v>
      </c>
      <c r="I705">
        <v>152.99969999999999</v>
      </c>
      <c r="J705">
        <v>1.7899999999999999E-2</v>
      </c>
    </row>
    <row r="706" spans="1:10" x14ac:dyDescent="0.3">
      <c r="A706" t="s">
        <v>9</v>
      </c>
      <c r="B706" t="s">
        <v>822</v>
      </c>
      <c r="C706">
        <v>3</v>
      </c>
      <c r="D706">
        <v>1.44E-2</v>
      </c>
      <c r="E706">
        <v>7.2181815712841031</v>
      </c>
      <c r="F706">
        <v>825.00543111486138</v>
      </c>
      <c r="G706">
        <v>0.42399999999999999</v>
      </c>
      <c r="H706">
        <v>1.9E-2</v>
      </c>
      <c r="I706">
        <v>153.19980000000001</v>
      </c>
      <c r="J706">
        <v>1.9E-2</v>
      </c>
    </row>
    <row r="707" spans="1:10" x14ac:dyDescent="0.3">
      <c r="A707" t="s">
        <v>9</v>
      </c>
      <c r="B707" t="s">
        <v>823</v>
      </c>
      <c r="C707">
        <v>3</v>
      </c>
      <c r="D707">
        <v>1.55E-2</v>
      </c>
      <c r="E707">
        <v>7.2736491589375252</v>
      </c>
      <c r="F707">
        <v>830.26930518317113</v>
      </c>
      <c r="G707">
        <v>0.42399999999999999</v>
      </c>
      <c r="H707">
        <v>1.9900000000000001E-2</v>
      </c>
      <c r="I707">
        <v>153.4</v>
      </c>
      <c r="J707">
        <v>1.9900000000000001E-2</v>
      </c>
    </row>
    <row r="708" spans="1:10" x14ac:dyDescent="0.3">
      <c r="A708" t="s">
        <v>9</v>
      </c>
      <c r="B708" t="s">
        <v>824</v>
      </c>
      <c r="C708">
        <v>3</v>
      </c>
      <c r="D708">
        <v>1.66E-2</v>
      </c>
      <c r="E708">
        <v>7.3141167616668206</v>
      </c>
      <c r="F708">
        <v>834.10968068218131</v>
      </c>
      <c r="G708">
        <v>0.42399999999999999</v>
      </c>
      <c r="H708">
        <v>2.0500000000000001E-2</v>
      </c>
      <c r="I708">
        <v>153.5993</v>
      </c>
      <c r="J708">
        <v>2.0500000000000001E-2</v>
      </c>
    </row>
    <row r="709" spans="1:10" x14ac:dyDescent="0.3">
      <c r="A709" t="s">
        <v>9</v>
      </c>
      <c r="B709" t="s">
        <v>825</v>
      </c>
      <c r="C709">
        <v>3</v>
      </c>
      <c r="D709">
        <v>1.7100000000000001E-2</v>
      </c>
      <c r="E709">
        <v>7.3389806335252947</v>
      </c>
      <c r="F709">
        <v>836.46926212155051</v>
      </c>
      <c r="G709">
        <v>0.42399999999999999</v>
      </c>
      <c r="H709">
        <v>2.0899999999999998E-2</v>
      </c>
      <c r="I709">
        <v>153.80000000000001</v>
      </c>
      <c r="J709">
        <v>2.0899999999999998E-2</v>
      </c>
    </row>
    <row r="710" spans="1:10" x14ac:dyDescent="0.3">
      <c r="A710" t="s">
        <v>9</v>
      </c>
      <c r="B710" t="s">
        <v>826</v>
      </c>
      <c r="C710">
        <v>3</v>
      </c>
      <c r="D710">
        <v>1.7100000000000001E-2</v>
      </c>
      <c r="E710">
        <v>7.3473021097267832</v>
      </c>
      <c r="F710">
        <v>837.25897021307173</v>
      </c>
      <c r="G710">
        <v>0.42399999999999999</v>
      </c>
      <c r="H710">
        <v>2.1000000000000001E-2</v>
      </c>
      <c r="I710">
        <v>154.00190000000001</v>
      </c>
      <c r="J710">
        <v>2.1000000000000001E-2</v>
      </c>
    </row>
    <row r="711" spans="1:10" x14ac:dyDescent="0.3">
      <c r="A711" t="s">
        <v>9</v>
      </c>
      <c r="B711" t="s">
        <v>827</v>
      </c>
      <c r="C711">
        <v>3</v>
      </c>
      <c r="D711">
        <v>1.72E-2</v>
      </c>
      <c r="E711">
        <v>7.3389202183835511</v>
      </c>
      <c r="F711">
        <v>731.98736435334695</v>
      </c>
      <c r="G711">
        <v>0.42399999999999999</v>
      </c>
      <c r="H711">
        <v>2.0899999999999998E-2</v>
      </c>
      <c r="I711">
        <v>154.20070000000001</v>
      </c>
      <c r="J711">
        <v>2.0899999999999998E-2</v>
      </c>
    </row>
    <row r="712" spans="1:10" x14ac:dyDescent="0.3">
      <c r="A712" t="s">
        <v>9</v>
      </c>
      <c r="B712" t="s">
        <v>828</v>
      </c>
      <c r="C712">
        <v>3</v>
      </c>
      <c r="D712">
        <v>1.7100000000000001E-2</v>
      </c>
      <c r="E712">
        <v>7.3139967423248322</v>
      </c>
      <c r="F712">
        <v>729.66449638467441</v>
      </c>
      <c r="G712">
        <v>0.42399999999999999</v>
      </c>
      <c r="H712">
        <v>2.0500000000000001E-2</v>
      </c>
      <c r="I712">
        <v>154.4014</v>
      </c>
      <c r="J712">
        <v>2.0500000000000001E-2</v>
      </c>
    </row>
    <row r="713" spans="1:10" x14ac:dyDescent="0.3">
      <c r="A713" t="s">
        <v>9</v>
      </c>
      <c r="B713" t="s">
        <v>829</v>
      </c>
      <c r="C713">
        <v>3</v>
      </c>
      <c r="D713">
        <v>1.72E-2</v>
      </c>
      <c r="E713">
        <v>7.2738835210310038</v>
      </c>
      <c r="F713">
        <v>725.92594416008956</v>
      </c>
      <c r="G713">
        <v>0.42399999999999999</v>
      </c>
      <c r="H713">
        <v>1.9900000000000001E-2</v>
      </c>
      <c r="I713">
        <v>154.59899999999999</v>
      </c>
      <c r="J713">
        <v>1.9900000000000001E-2</v>
      </c>
    </row>
    <row r="714" spans="1:10" x14ac:dyDescent="0.3">
      <c r="A714" t="s">
        <v>9</v>
      </c>
      <c r="B714" t="s">
        <v>830</v>
      </c>
      <c r="C714">
        <v>3</v>
      </c>
      <c r="D714">
        <v>1.72E-2</v>
      </c>
      <c r="E714">
        <v>7.2180364127556178</v>
      </c>
      <c r="F714">
        <v>720.72099366882355</v>
      </c>
      <c r="G714">
        <v>0.42399999999999999</v>
      </c>
      <c r="H714">
        <v>1.9E-2</v>
      </c>
      <c r="I714">
        <v>154.8006</v>
      </c>
      <c r="J714">
        <v>1.9E-2</v>
      </c>
    </row>
    <row r="715" spans="1:10" x14ac:dyDescent="0.3">
      <c r="A715" t="s">
        <v>9</v>
      </c>
      <c r="B715" t="s">
        <v>831</v>
      </c>
      <c r="C715">
        <v>3</v>
      </c>
      <c r="D715">
        <v>1.72E-2</v>
      </c>
      <c r="E715">
        <v>7.1487998493749538</v>
      </c>
      <c r="F715">
        <v>714.26814596174574</v>
      </c>
      <c r="G715">
        <v>0.42399999999999999</v>
      </c>
      <c r="H715">
        <v>1.7899999999999999E-2</v>
      </c>
      <c r="I715">
        <v>155.00149999999999</v>
      </c>
      <c r="J715">
        <v>1.7899999999999999E-2</v>
      </c>
    </row>
    <row r="716" spans="1:10" x14ac:dyDescent="0.3">
      <c r="A716" t="s">
        <v>9</v>
      </c>
      <c r="B716" t="s">
        <v>832</v>
      </c>
      <c r="C716">
        <v>3</v>
      </c>
      <c r="D716">
        <v>1.7100000000000001E-2</v>
      </c>
      <c r="E716">
        <v>7.0683147164488211</v>
      </c>
      <c r="F716">
        <v>706.76693157303021</v>
      </c>
      <c r="G716">
        <v>0.42399999999999999</v>
      </c>
      <c r="H716">
        <v>1.67E-2</v>
      </c>
      <c r="I716">
        <v>155.20099999999999</v>
      </c>
      <c r="J716">
        <v>1.67E-2</v>
      </c>
    </row>
    <row r="717" spans="1:10" x14ac:dyDescent="0.3">
      <c r="A717" t="s">
        <v>9</v>
      </c>
      <c r="B717" t="s">
        <v>833</v>
      </c>
      <c r="C717">
        <v>3</v>
      </c>
      <c r="D717">
        <v>1.7100000000000001E-2</v>
      </c>
      <c r="E717">
        <v>6.9781445091890753</v>
      </c>
      <c r="F717">
        <v>698.3630682564218</v>
      </c>
      <c r="G717">
        <v>0.42399999999999999</v>
      </c>
      <c r="H717">
        <v>1.5299999999999999E-2</v>
      </c>
      <c r="I717">
        <v>155.40039999999999</v>
      </c>
      <c r="J717">
        <v>1.5299999999999999E-2</v>
      </c>
    </row>
    <row r="718" spans="1:10" x14ac:dyDescent="0.3">
      <c r="A718" t="s">
        <v>9</v>
      </c>
      <c r="B718" t="s">
        <v>834</v>
      </c>
      <c r="C718">
        <v>3</v>
      </c>
      <c r="D718">
        <v>1.7000000000000001E-2</v>
      </c>
      <c r="E718">
        <v>6.8805185057790128</v>
      </c>
      <c r="F718">
        <v>689.26432473860405</v>
      </c>
      <c r="G718">
        <v>0.42399999999999999</v>
      </c>
      <c r="H718">
        <v>1.37E-2</v>
      </c>
      <c r="I718">
        <v>155.59970000000001</v>
      </c>
      <c r="J718">
        <v>1.37E-2</v>
      </c>
    </row>
    <row r="719" spans="1:10" x14ac:dyDescent="0.3">
      <c r="A719" t="s">
        <v>9</v>
      </c>
      <c r="B719" t="s">
        <v>835</v>
      </c>
      <c r="C719">
        <v>3</v>
      </c>
      <c r="D719">
        <v>1.6500000000000001E-2</v>
      </c>
      <c r="E719">
        <v>6.7768761273810014</v>
      </c>
      <c r="F719">
        <v>679.60485507190924</v>
      </c>
      <c r="G719">
        <v>0.42399999999999999</v>
      </c>
      <c r="H719">
        <v>1.21E-2</v>
      </c>
      <c r="I719">
        <v>155.80070000000001</v>
      </c>
      <c r="J719">
        <v>1.21E-2</v>
      </c>
    </row>
    <row r="720" spans="1:10" x14ac:dyDescent="0.3">
      <c r="A720" t="s">
        <v>9</v>
      </c>
      <c r="B720" t="s">
        <v>836</v>
      </c>
      <c r="C720">
        <v>3</v>
      </c>
      <c r="D720">
        <v>1.5699999999999999E-2</v>
      </c>
      <c r="E720">
        <v>6.6718863696808608</v>
      </c>
      <c r="F720">
        <v>669.81980965425623</v>
      </c>
      <c r="G720">
        <v>0.42399999999999999</v>
      </c>
      <c r="H720">
        <v>1.0500000000000001E-2</v>
      </c>
      <c r="I720">
        <v>155.99930000000001</v>
      </c>
      <c r="J720">
        <v>1.0500000000000001E-2</v>
      </c>
    </row>
    <row r="721" spans="1:10" x14ac:dyDescent="0.3">
      <c r="A721" t="s">
        <v>9</v>
      </c>
      <c r="B721" t="s">
        <v>837</v>
      </c>
      <c r="C721">
        <v>3</v>
      </c>
      <c r="D721">
        <v>1.49E-2</v>
      </c>
      <c r="E721">
        <v>6.566185010814535</v>
      </c>
      <c r="F721">
        <v>659.96844300791463</v>
      </c>
      <c r="G721">
        <v>0.42399999999999999</v>
      </c>
      <c r="H721">
        <v>8.8999999999999999E-3</v>
      </c>
      <c r="I721">
        <v>156.19929999999999</v>
      </c>
      <c r="J721">
        <v>8.8999999999999999E-3</v>
      </c>
    </row>
    <row r="722" spans="1:10" x14ac:dyDescent="0.3">
      <c r="A722" t="s">
        <v>9</v>
      </c>
      <c r="B722" t="s">
        <v>838</v>
      </c>
      <c r="C722">
        <v>3</v>
      </c>
      <c r="D722">
        <v>1.32E-2</v>
      </c>
      <c r="E722">
        <v>6.463105831288221</v>
      </c>
      <c r="F722">
        <v>650.36146347606223</v>
      </c>
      <c r="G722">
        <v>0.42399999999999999</v>
      </c>
      <c r="H722">
        <v>7.3000000000000001E-3</v>
      </c>
      <c r="I722">
        <v>156.39920000000001</v>
      </c>
      <c r="J722">
        <v>7.3000000000000001E-3</v>
      </c>
    </row>
    <row r="723" spans="1:10" x14ac:dyDescent="0.3">
      <c r="A723" t="s">
        <v>9</v>
      </c>
      <c r="B723" t="s">
        <v>839</v>
      </c>
      <c r="C723">
        <v>3</v>
      </c>
      <c r="D723">
        <v>1.14E-2</v>
      </c>
      <c r="E723">
        <v>6.3642804859468427</v>
      </c>
      <c r="F723">
        <v>641.15094129024578</v>
      </c>
      <c r="G723">
        <v>0.42399999999999999</v>
      </c>
      <c r="H723">
        <v>5.7000000000000002E-3</v>
      </c>
      <c r="I723">
        <v>156.6009</v>
      </c>
      <c r="J723">
        <v>5.7000000000000002E-3</v>
      </c>
    </row>
    <row r="724" spans="1:10" x14ac:dyDescent="0.3">
      <c r="A724" t="s">
        <v>9</v>
      </c>
      <c r="B724" t="s">
        <v>840</v>
      </c>
      <c r="C724">
        <v>3</v>
      </c>
      <c r="D724">
        <v>9.4999999999999998E-3</v>
      </c>
      <c r="E724">
        <v>6.2731324454264854</v>
      </c>
      <c r="F724">
        <v>632.6559439137485</v>
      </c>
      <c r="G724">
        <v>0.42399999999999999</v>
      </c>
      <c r="H724">
        <v>4.3E-3</v>
      </c>
      <c r="I724">
        <v>156.80269999999999</v>
      </c>
      <c r="J724">
        <v>4.3E-3</v>
      </c>
    </row>
    <row r="725" spans="1:10" x14ac:dyDescent="0.3">
      <c r="A725" t="s">
        <v>9</v>
      </c>
      <c r="B725" t="s">
        <v>841</v>
      </c>
      <c r="C725">
        <v>3</v>
      </c>
      <c r="D725">
        <v>8.0000000000000002E-3</v>
      </c>
      <c r="E725">
        <v>6.1931785602769542</v>
      </c>
      <c r="F725">
        <v>625.2042418178122</v>
      </c>
      <c r="G725">
        <v>0.42399999999999999</v>
      </c>
      <c r="H725">
        <v>3.0999999999999999E-3</v>
      </c>
      <c r="I725">
        <v>157.00129999999999</v>
      </c>
      <c r="J725">
        <v>3.0999999999999999E-3</v>
      </c>
    </row>
    <row r="726" spans="1:10" x14ac:dyDescent="0.3">
      <c r="A726" t="s">
        <v>9</v>
      </c>
      <c r="B726" t="s">
        <v>842</v>
      </c>
      <c r="C726">
        <v>3</v>
      </c>
      <c r="D726">
        <v>6.3E-3</v>
      </c>
      <c r="E726">
        <v>6.124620876572954</v>
      </c>
      <c r="F726">
        <v>618.81466569659938</v>
      </c>
      <c r="G726">
        <v>0.42399999999999999</v>
      </c>
      <c r="H726">
        <v>2E-3</v>
      </c>
      <c r="I726">
        <v>157.20060000000001</v>
      </c>
      <c r="J726">
        <v>2E-3</v>
      </c>
    </row>
    <row r="727" spans="1:10" x14ac:dyDescent="0.3">
      <c r="A727" t="s">
        <v>9</v>
      </c>
      <c r="B727" t="s">
        <v>843</v>
      </c>
      <c r="C727">
        <v>3</v>
      </c>
      <c r="D727">
        <v>4.4999999999999997E-3</v>
      </c>
      <c r="E727">
        <v>6.0695995905740174</v>
      </c>
      <c r="F727">
        <v>613.6866818414984</v>
      </c>
      <c r="G727">
        <v>0.42399999999999999</v>
      </c>
      <c r="H727">
        <v>1.1000000000000001E-3</v>
      </c>
      <c r="I727">
        <v>157.3991</v>
      </c>
      <c r="J727">
        <v>1.1000000000000001E-3</v>
      </c>
    </row>
    <row r="728" spans="1:10" x14ac:dyDescent="0.3">
      <c r="A728" t="s">
        <v>9</v>
      </c>
      <c r="B728" t="s">
        <v>844</v>
      </c>
      <c r="C728">
        <v>3</v>
      </c>
      <c r="D728">
        <v>4.3E-3</v>
      </c>
      <c r="E728">
        <v>6.0285168522246586</v>
      </c>
      <c r="F728">
        <v>609.85777062733825</v>
      </c>
      <c r="G728">
        <v>0.42399999999999999</v>
      </c>
      <c r="H728">
        <v>5.0000000000000001E-4</v>
      </c>
      <c r="I728">
        <v>157.6018</v>
      </c>
      <c r="J728">
        <v>5.0000000000000001E-4</v>
      </c>
    </row>
    <row r="729" spans="1:10" x14ac:dyDescent="0.3">
      <c r="A729" t="s">
        <v>9</v>
      </c>
      <c r="B729" t="s">
        <v>845</v>
      </c>
      <c r="C729">
        <v>3</v>
      </c>
      <c r="D729">
        <v>3.5000000000000001E-3</v>
      </c>
      <c r="E729">
        <v>6.0041166564423056</v>
      </c>
      <c r="F729">
        <v>607.58367238042285</v>
      </c>
      <c r="G729">
        <v>0.42399999999999999</v>
      </c>
      <c r="H729">
        <v>1E-4</v>
      </c>
      <c r="I729">
        <v>157.79920000000001</v>
      </c>
      <c r="J729">
        <v>1E-4</v>
      </c>
    </row>
    <row r="730" spans="1:10" x14ac:dyDescent="0.3">
      <c r="A730" t="s">
        <v>9</v>
      </c>
      <c r="B730" t="s">
        <v>846</v>
      </c>
      <c r="C730">
        <v>3</v>
      </c>
      <c r="D730">
        <v>2.8E-3</v>
      </c>
      <c r="E730">
        <v>5.9957335240914063</v>
      </c>
      <c r="F730">
        <v>606.80236444531909</v>
      </c>
      <c r="G730">
        <v>0.42399999999999999</v>
      </c>
      <c r="H730">
        <v>0</v>
      </c>
      <c r="I730">
        <v>158.00040000000001</v>
      </c>
      <c r="J730">
        <v>0</v>
      </c>
    </row>
    <row r="731" spans="1:10" x14ac:dyDescent="0.3">
      <c r="A731" t="s">
        <v>9</v>
      </c>
      <c r="B731" t="s">
        <v>847</v>
      </c>
      <c r="C731">
        <v>3</v>
      </c>
      <c r="D731">
        <v>2.8E-3</v>
      </c>
      <c r="E731">
        <v>6.0039677432546741</v>
      </c>
      <c r="F731">
        <v>709.77653883486857</v>
      </c>
      <c r="G731">
        <v>0.42399999999999999</v>
      </c>
      <c r="H731">
        <v>1E-4</v>
      </c>
      <c r="I731">
        <v>158.19900000000001</v>
      </c>
      <c r="J731">
        <v>1E-4</v>
      </c>
    </row>
    <row r="732" spans="1:10" x14ac:dyDescent="0.3">
      <c r="A732" t="s">
        <v>9</v>
      </c>
      <c r="B732" t="s">
        <v>848</v>
      </c>
      <c r="C732">
        <v>3</v>
      </c>
      <c r="D732">
        <v>2.8E-3</v>
      </c>
      <c r="E732">
        <v>6.028747658339662</v>
      </c>
      <c r="F732">
        <v>712.12815277643392</v>
      </c>
      <c r="G732">
        <v>0.42399999999999999</v>
      </c>
      <c r="H732">
        <v>5.0000000000000001E-4</v>
      </c>
      <c r="I732">
        <v>158.39959999999999</v>
      </c>
      <c r="J732">
        <v>5.0000000000000001E-4</v>
      </c>
    </row>
    <row r="733" spans="1:10" x14ac:dyDescent="0.3">
      <c r="A733" t="s">
        <v>9</v>
      </c>
      <c r="B733" t="s">
        <v>849</v>
      </c>
      <c r="C733">
        <v>3</v>
      </c>
      <c r="D733">
        <v>2.8999999999999998E-3</v>
      </c>
      <c r="E733">
        <v>6.069525186691398</v>
      </c>
      <c r="F733">
        <v>715.99794021701371</v>
      </c>
      <c r="G733">
        <v>0.42399999999999999</v>
      </c>
      <c r="H733">
        <v>1.1000000000000001E-3</v>
      </c>
      <c r="I733">
        <v>158.60059999999999</v>
      </c>
      <c r="J733">
        <v>1.1000000000000001E-3</v>
      </c>
    </row>
    <row r="734" spans="1:10" x14ac:dyDescent="0.3">
      <c r="A734" t="s">
        <v>9</v>
      </c>
      <c r="B734" t="s">
        <v>850</v>
      </c>
      <c r="C734">
        <v>3</v>
      </c>
      <c r="D734">
        <v>2.8999999999999998E-3</v>
      </c>
      <c r="E734">
        <v>6.1252098228372764</v>
      </c>
      <c r="F734">
        <v>721.28241218725759</v>
      </c>
      <c r="G734">
        <v>0.42399999999999999</v>
      </c>
      <c r="H734">
        <v>2E-3</v>
      </c>
      <c r="I734">
        <v>158.8013</v>
      </c>
      <c r="J734">
        <v>2E-3</v>
      </c>
    </row>
    <row r="735" spans="1:10" x14ac:dyDescent="0.3">
      <c r="A735" t="s">
        <v>9</v>
      </c>
      <c r="B735" t="s">
        <v>851</v>
      </c>
      <c r="C735">
        <v>3</v>
      </c>
      <c r="D735">
        <v>2.8999999999999998E-3</v>
      </c>
      <c r="E735">
        <v>6.1937661684878007</v>
      </c>
      <c r="F735">
        <v>727.78840938949236</v>
      </c>
      <c r="G735">
        <v>0.42399999999999999</v>
      </c>
      <c r="H735">
        <v>3.0999999999999999E-3</v>
      </c>
      <c r="I735">
        <v>159.00030000000001</v>
      </c>
      <c r="J735">
        <v>3.0999999999999999E-3</v>
      </c>
    </row>
    <row r="736" spans="1:10" x14ac:dyDescent="0.3">
      <c r="A736" t="s">
        <v>9</v>
      </c>
      <c r="B736" t="s">
        <v>852</v>
      </c>
      <c r="C736">
        <v>3</v>
      </c>
      <c r="D736">
        <v>2.8999999999999998E-3</v>
      </c>
      <c r="E736">
        <v>6.2742504904724337</v>
      </c>
      <c r="F736">
        <v>735.42637154583394</v>
      </c>
      <c r="G736">
        <v>0.42399999999999999</v>
      </c>
      <c r="H736">
        <v>4.3E-3</v>
      </c>
      <c r="I736">
        <v>159.19990000000001</v>
      </c>
      <c r="J736">
        <v>4.3E-3</v>
      </c>
    </row>
    <row r="737" spans="1:10" x14ac:dyDescent="0.3">
      <c r="A737" t="s">
        <v>9</v>
      </c>
      <c r="B737" t="s">
        <v>853</v>
      </c>
      <c r="C737">
        <v>3</v>
      </c>
      <c r="D737">
        <v>2.8999999999999998E-3</v>
      </c>
      <c r="E737">
        <v>6.3695467400473591</v>
      </c>
      <c r="F737">
        <v>744.46998563049442</v>
      </c>
      <c r="G737">
        <v>0.42399999999999999</v>
      </c>
      <c r="H737">
        <v>5.7999999999999996E-3</v>
      </c>
      <c r="I737">
        <v>159.4102</v>
      </c>
      <c r="J737">
        <v>5.7999999999999996E-3</v>
      </c>
    </row>
    <row r="738" spans="1:10" x14ac:dyDescent="0.3">
      <c r="A738" t="s">
        <v>9</v>
      </c>
      <c r="B738" t="s">
        <v>854</v>
      </c>
      <c r="C738">
        <v>3</v>
      </c>
      <c r="D738">
        <v>3.0000000000000001E-3</v>
      </c>
      <c r="E738">
        <v>6.4625920998480169</v>
      </c>
      <c r="F738">
        <v>753.29999027557687</v>
      </c>
      <c r="G738">
        <v>0.42399999999999999</v>
      </c>
      <c r="H738">
        <v>7.3000000000000001E-3</v>
      </c>
      <c r="I738">
        <v>159.59979999999999</v>
      </c>
      <c r="J738">
        <v>7.3000000000000001E-3</v>
      </c>
    </row>
    <row r="739" spans="1:10" x14ac:dyDescent="0.3">
      <c r="A739" t="s">
        <v>9</v>
      </c>
      <c r="B739" t="s">
        <v>855</v>
      </c>
      <c r="C739">
        <v>3</v>
      </c>
      <c r="D739">
        <v>3.5999999999999999E-3</v>
      </c>
      <c r="E739">
        <v>6.5657483188168246</v>
      </c>
      <c r="F739">
        <v>763.08951545571665</v>
      </c>
      <c r="G739">
        <v>0.42399999999999999</v>
      </c>
      <c r="H739">
        <v>8.8999999999999999E-3</v>
      </c>
      <c r="I739">
        <v>159.79990000000001</v>
      </c>
      <c r="J739">
        <v>8.8999999999999999E-3</v>
      </c>
    </row>
    <row r="740" spans="1:10" x14ac:dyDescent="0.3">
      <c r="A740" t="s">
        <v>9</v>
      </c>
      <c r="B740" t="s">
        <v>856</v>
      </c>
      <c r="C740">
        <v>3</v>
      </c>
      <c r="D740">
        <v>4.7999999999999996E-3</v>
      </c>
      <c r="E740">
        <v>6.6720526126883426</v>
      </c>
      <c r="F740">
        <v>773.17779294412378</v>
      </c>
      <c r="G740">
        <v>0.42399999999999999</v>
      </c>
      <c r="H740">
        <v>1.0500000000000001E-2</v>
      </c>
      <c r="I740">
        <v>160.001</v>
      </c>
      <c r="J740">
        <v>1.0500000000000001E-2</v>
      </c>
    </row>
    <row r="741" spans="1:10" x14ac:dyDescent="0.3">
      <c r="A741" t="s">
        <v>9</v>
      </c>
      <c r="B741" t="s">
        <v>857</v>
      </c>
      <c r="C741">
        <v>3</v>
      </c>
      <c r="D741">
        <v>6.4999999999999997E-3</v>
      </c>
      <c r="E741">
        <v>6.7771218426554771</v>
      </c>
      <c r="F741">
        <v>783.14886286800481</v>
      </c>
      <c r="G741">
        <v>0.42399999999999999</v>
      </c>
      <c r="H741">
        <v>1.21E-2</v>
      </c>
      <c r="I741">
        <v>160.19980000000001</v>
      </c>
      <c r="J741">
        <v>1.21E-2</v>
      </c>
    </row>
    <row r="742" spans="1:10" x14ac:dyDescent="0.3">
      <c r="A742" t="s">
        <v>9</v>
      </c>
      <c r="B742" t="s">
        <v>858</v>
      </c>
      <c r="C742">
        <v>3</v>
      </c>
      <c r="D742">
        <v>8.3000000000000001E-3</v>
      </c>
      <c r="E742">
        <v>6.880956008718222</v>
      </c>
      <c r="F742">
        <v>793.00272522735929</v>
      </c>
      <c r="G742">
        <v>0.42399999999999999</v>
      </c>
      <c r="H742">
        <v>1.38E-2</v>
      </c>
      <c r="I742">
        <v>160.40119999999999</v>
      </c>
      <c r="J742">
        <v>1.38E-2</v>
      </c>
    </row>
    <row r="743" spans="1:10" x14ac:dyDescent="0.3">
      <c r="A743" t="s">
        <v>9</v>
      </c>
      <c r="B743" t="s">
        <v>859</v>
      </c>
      <c r="C743">
        <v>3</v>
      </c>
      <c r="D743">
        <v>9.9000000000000008E-3</v>
      </c>
      <c r="E743">
        <v>6.9778055356421058</v>
      </c>
      <c r="F743">
        <v>802.19374533243592</v>
      </c>
      <c r="G743">
        <v>0.42399999999999999</v>
      </c>
      <c r="H743">
        <v>1.5299999999999999E-2</v>
      </c>
      <c r="I743">
        <v>160.59889999999999</v>
      </c>
      <c r="J743">
        <v>1.5299999999999999E-2</v>
      </c>
    </row>
    <row r="744" spans="1:10" x14ac:dyDescent="0.3">
      <c r="A744" t="s">
        <v>9</v>
      </c>
      <c r="B744" t="s">
        <v>860</v>
      </c>
      <c r="C744">
        <v>3</v>
      </c>
      <c r="D744">
        <v>1.15E-2</v>
      </c>
      <c r="E744">
        <v>7.0683370173400686</v>
      </c>
      <c r="F744">
        <v>810.7851829455725</v>
      </c>
      <c r="G744">
        <v>0.42399999999999999</v>
      </c>
      <c r="H744">
        <v>1.67E-2</v>
      </c>
      <c r="I744">
        <v>160.79910000000001</v>
      </c>
      <c r="J744">
        <v>1.67E-2</v>
      </c>
    </row>
    <row r="745" spans="1:10" x14ac:dyDescent="0.3">
      <c r="A745" t="s">
        <v>9</v>
      </c>
      <c r="B745" t="s">
        <v>861</v>
      </c>
      <c r="C745">
        <v>3</v>
      </c>
      <c r="D745">
        <v>1.3100000000000001E-2</v>
      </c>
      <c r="E745">
        <v>7.1492860088041583</v>
      </c>
      <c r="F745">
        <v>818.46724223551462</v>
      </c>
      <c r="G745">
        <v>0.42399999999999999</v>
      </c>
      <c r="H745">
        <v>1.7899999999999999E-2</v>
      </c>
      <c r="I745">
        <v>160.99979999999999</v>
      </c>
      <c r="J745">
        <v>1.7899999999999999E-2</v>
      </c>
    </row>
    <row r="746" spans="1:10" x14ac:dyDescent="0.3">
      <c r="A746" t="s">
        <v>9</v>
      </c>
      <c r="B746" t="s">
        <v>862</v>
      </c>
      <c r="C746">
        <v>3</v>
      </c>
      <c r="D746">
        <v>1.43E-2</v>
      </c>
      <c r="E746">
        <v>7.2181248053791069</v>
      </c>
      <c r="F746">
        <v>825.00004403047728</v>
      </c>
      <c r="G746">
        <v>0.42399999999999999</v>
      </c>
      <c r="H746">
        <v>1.9E-2</v>
      </c>
      <c r="I746">
        <v>161.1996</v>
      </c>
      <c r="J746">
        <v>1.9E-2</v>
      </c>
    </row>
    <row r="747" spans="1:10" x14ac:dyDescent="0.3">
      <c r="A747" t="s">
        <v>9</v>
      </c>
      <c r="B747" t="s">
        <v>863</v>
      </c>
      <c r="C747">
        <v>3</v>
      </c>
      <c r="D747">
        <v>1.5599999999999999E-2</v>
      </c>
      <c r="E747">
        <v>7.2734816995177924</v>
      </c>
      <c r="F747">
        <v>830.25341328423849</v>
      </c>
      <c r="G747">
        <v>0.42399999999999999</v>
      </c>
      <c r="H747">
        <v>1.9900000000000001E-2</v>
      </c>
      <c r="I747">
        <v>161.39930000000001</v>
      </c>
      <c r="J747">
        <v>1.9900000000000001E-2</v>
      </c>
    </row>
    <row r="748" spans="1:10" x14ac:dyDescent="0.3">
      <c r="A748" t="s">
        <v>9</v>
      </c>
      <c r="B748" t="s">
        <v>864</v>
      </c>
      <c r="C748">
        <v>3</v>
      </c>
      <c r="D748">
        <v>1.6E-2</v>
      </c>
      <c r="E748">
        <v>7.3142144801175633</v>
      </c>
      <c r="F748">
        <v>834.11895416315679</v>
      </c>
      <c r="G748">
        <v>0.42399999999999999</v>
      </c>
      <c r="H748">
        <v>2.0500000000000001E-2</v>
      </c>
      <c r="I748">
        <v>161.59989999999999</v>
      </c>
      <c r="J748">
        <v>2.0500000000000001E-2</v>
      </c>
    </row>
    <row r="749" spans="1:10" x14ac:dyDescent="0.3">
      <c r="A749" t="s">
        <v>9</v>
      </c>
      <c r="B749" t="s">
        <v>865</v>
      </c>
      <c r="C749">
        <v>3</v>
      </c>
      <c r="D749">
        <v>1.6199999999999999E-2</v>
      </c>
      <c r="E749">
        <v>7.3390726753855384</v>
      </c>
      <c r="F749">
        <v>836.4779968940876</v>
      </c>
      <c r="G749">
        <v>0.42399999999999999</v>
      </c>
      <c r="H749">
        <v>2.0899999999999998E-2</v>
      </c>
      <c r="I749">
        <v>161.80109999999999</v>
      </c>
      <c r="J749">
        <v>2.0899999999999998E-2</v>
      </c>
    </row>
    <row r="750" spans="1:10" x14ac:dyDescent="0.3">
      <c r="A750" t="s">
        <v>9</v>
      </c>
      <c r="B750" t="s">
        <v>866</v>
      </c>
      <c r="C750">
        <v>3</v>
      </c>
      <c r="D750">
        <v>1.6199999999999999E-2</v>
      </c>
      <c r="E750">
        <v>7.3473025151975344</v>
      </c>
      <c r="F750">
        <v>837.25900869224608</v>
      </c>
      <c r="G750">
        <v>0.42399999999999999</v>
      </c>
      <c r="H750">
        <v>2.1000000000000001E-2</v>
      </c>
      <c r="I750">
        <v>162.00040000000001</v>
      </c>
      <c r="J750">
        <v>2.1000000000000001E-2</v>
      </c>
    </row>
    <row r="751" spans="1:10" x14ac:dyDescent="0.3">
      <c r="A751" t="s">
        <v>9</v>
      </c>
      <c r="B751" t="s">
        <v>867</v>
      </c>
      <c r="C751">
        <v>3</v>
      </c>
      <c r="D751">
        <v>1.6299999999999999E-2</v>
      </c>
      <c r="E751">
        <v>7.3389927976477951</v>
      </c>
      <c r="F751">
        <v>731.9941287407745</v>
      </c>
      <c r="G751">
        <v>0.42399999999999999</v>
      </c>
      <c r="H751">
        <v>2.0899999999999998E-2</v>
      </c>
      <c r="I751">
        <v>162.19990000000001</v>
      </c>
      <c r="J751">
        <v>2.0899999999999998E-2</v>
      </c>
    </row>
    <row r="752" spans="1:10" x14ac:dyDescent="0.3">
      <c r="A752" t="s">
        <v>9</v>
      </c>
      <c r="B752" t="s">
        <v>868</v>
      </c>
      <c r="C752">
        <v>3</v>
      </c>
      <c r="D752">
        <v>1.6299999999999999E-2</v>
      </c>
      <c r="E752">
        <v>7.3140218815113291</v>
      </c>
      <c r="F752">
        <v>729.66683935685592</v>
      </c>
      <c r="G752">
        <v>0.42399999999999999</v>
      </c>
      <c r="H752">
        <v>2.0500000000000001E-2</v>
      </c>
      <c r="I752">
        <v>162.40119999999999</v>
      </c>
      <c r="J752">
        <v>2.0500000000000001E-2</v>
      </c>
    </row>
    <row r="753" spans="1:10" x14ac:dyDescent="0.3">
      <c r="A753" t="s">
        <v>9</v>
      </c>
      <c r="B753" t="s">
        <v>869</v>
      </c>
      <c r="C753">
        <v>3</v>
      </c>
      <c r="D753">
        <v>1.6199999999999999E-2</v>
      </c>
      <c r="E753">
        <v>7.2733231604545541</v>
      </c>
      <c r="F753">
        <v>725.87371855436447</v>
      </c>
      <c r="G753">
        <v>0.42399999999999999</v>
      </c>
      <c r="H753">
        <v>1.9900000000000001E-2</v>
      </c>
      <c r="I753">
        <v>162.60130000000001</v>
      </c>
      <c r="J753">
        <v>1.9900000000000001E-2</v>
      </c>
    </row>
    <row r="754" spans="1:10" x14ac:dyDescent="0.3">
      <c r="A754" t="s">
        <v>9</v>
      </c>
      <c r="B754" t="s">
        <v>870</v>
      </c>
      <c r="C754">
        <v>3</v>
      </c>
      <c r="D754">
        <v>1.6299999999999999E-2</v>
      </c>
      <c r="E754">
        <v>7.2177501504061423</v>
      </c>
      <c r="F754">
        <v>720.69431401785243</v>
      </c>
      <c r="G754">
        <v>0.42399999999999999</v>
      </c>
      <c r="H754">
        <v>1.9E-2</v>
      </c>
      <c r="I754">
        <v>162.80160000000001</v>
      </c>
      <c r="J754">
        <v>1.9E-2</v>
      </c>
    </row>
    <row r="755" spans="1:10" x14ac:dyDescent="0.3">
      <c r="A755" t="s">
        <v>9</v>
      </c>
      <c r="B755" t="s">
        <v>871</v>
      </c>
      <c r="C755">
        <v>3</v>
      </c>
      <c r="D755">
        <v>1.6299999999999999E-2</v>
      </c>
      <c r="E755">
        <v>7.1496120072871294</v>
      </c>
      <c r="F755">
        <v>714.34383907916049</v>
      </c>
      <c r="G755">
        <v>0.42399999999999999</v>
      </c>
      <c r="H755">
        <v>1.7899999999999999E-2</v>
      </c>
      <c r="I755">
        <v>162.99930000000001</v>
      </c>
      <c r="J755">
        <v>1.7899999999999999E-2</v>
      </c>
    </row>
    <row r="756" spans="1:10" x14ac:dyDescent="0.3">
      <c r="A756" t="s">
        <v>9</v>
      </c>
      <c r="B756" t="s">
        <v>872</v>
      </c>
      <c r="C756">
        <v>3</v>
      </c>
      <c r="D756">
        <v>1.6199999999999999E-2</v>
      </c>
      <c r="E756">
        <v>7.0686390930487928</v>
      </c>
      <c r="F756">
        <v>706.79716347214753</v>
      </c>
      <c r="G756">
        <v>0.42399999999999999</v>
      </c>
      <c r="H756">
        <v>1.67E-2</v>
      </c>
      <c r="I756">
        <v>163.2002</v>
      </c>
      <c r="J756">
        <v>1.67E-2</v>
      </c>
    </row>
    <row r="757" spans="1:10" x14ac:dyDescent="0.3">
      <c r="A757" t="s">
        <v>9</v>
      </c>
      <c r="B757" t="s">
        <v>873</v>
      </c>
      <c r="C757">
        <v>3</v>
      </c>
      <c r="D757">
        <v>1.6199999999999999E-2</v>
      </c>
      <c r="E757">
        <v>6.9781793796735716</v>
      </c>
      <c r="F757">
        <v>698.36631818557692</v>
      </c>
      <c r="G757">
        <v>0.42399999999999999</v>
      </c>
      <c r="H757">
        <v>1.5299999999999999E-2</v>
      </c>
      <c r="I757">
        <v>163.40029999999999</v>
      </c>
      <c r="J757">
        <v>1.5299999999999999E-2</v>
      </c>
    </row>
    <row r="758" spans="1:10" x14ac:dyDescent="0.3">
      <c r="A758" t="s">
        <v>9</v>
      </c>
      <c r="B758" t="s">
        <v>874</v>
      </c>
      <c r="C758">
        <v>3</v>
      </c>
      <c r="D758">
        <v>1.6199999999999999E-2</v>
      </c>
      <c r="E758">
        <v>6.8809774986679706</v>
      </c>
      <c r="F758">
        <v>689.30710287585487</v>
      </c>
      <c r="G758">
        <v>0.42399999999999999</v>
      </c>
      <c r="H758">
        <v>1.38E-2</v>
      </c>
      <c r="I758">
        <v>163.59870000000001</v>
      </c>
      <c r="J758">
        <v>1.38E-2</v>
      </c>
    </row>
    <row r="759" spans="1:10" x14ac:dyDescent="0.3">
      <c r="A759" t="s">
        <v>9</v>
      </c>
      <c r="B759" t="s">
        <v>875</v>
      </c>
      <c r="C759">
        <v>3</v>
      </c>
      <c r="D759">
        <v>1.5599999999999999E-2</v>
      </c>
      <c r="E759">
        <v>6.7773529609829568</v>
      </c>
      <c r="F759">
        <v>679.64929596361162</v>
      </c>
      <c r="G759">
        <v>0.42399999999999999</v>
      </c>
      <c r="H759">
        <v>1.21E-2</v>
      </c>
      <c r="I759">
        <v>163.7998</v>
      </c>
      <c r="J759">
        <v>1.21E-2</v>
      </c>
    </row>
    <row r="760" spans="1:10" x14ac:dyDescent="0.3">
      <c r="A760" t="s">
        <v>9</v>
      </c>
      <c r="B760" t="s">
        <v>876</v>
      </c>
      <c r="C760">
        <v>3</v>
      </c>
      <c r="D760">
        <v>1.4999999999999999E-2</v>
      </c>
      <c r="E760">
        <v>6.6712404547761679</v>
      </c>
      <c r="F760">
        <v>669.7596103851389</v>
      </c>
      <c r="G760">
        <v>0.42399999999999999</v>
      </c>
      <c r="H760">
        <v>1.0500000000000001E-2</v>
      </c>
      <c r="I760">
        <v>164.00049999999999</v>
      </c>
      <c r="J760">
        <v>1.0500000000000001E-2</v>
      </c>
    </row>
    <row r="761" spans="1:10" x14ac:dyDescent="0.3">
      <c r="A761" t="s">
        <v>9</v>
      </c>
      <c r="B761" t="s">
        <v>877</v>
      </c>
      <c r="C761">
        <v>3</v>
      </c>
      <c r="D761">
        <v>1.43E-2</v>
      </c>
      <c r="E761">
        <v>6.5652564827971203</v>
      </c>
      <c r="F761">
        <v>659.88190419669161</v>
      </c>
      <c r="G761">
        <v>0.42399999999999999</v>
      </c>
      <c r="H761">
        <v>8.8000000000000005E-3</v>
      </c>
      <c r="I761">
        <v>164.20099999999999</v>
      </c>
      <c r="J761">
        <v>8.8000000000000005E-3</v>
      </c>
    </row>
    <row r="762" spans="1:10" x14ac:dyDescent="0.3">
      <c r="A762" t="s">
        <v>9</v>
      </c>
      <c r="B762" t="s">
        <v>878</v>
      </c>
      <c r="C762">
        <v>3</v>
      </c>
      <c r="D762">
        <v>1.29E-2</v>
      </c>
      <c r="E762">
        <v>6.4621773032708063</v>
      </c>
      <c r="F762">
        <v>650.2749246648392</v>
      </c>
      <c r="G762">
        <v>0.42399999999999999</v>
      </c>
      <c r="H762">
        <v>7.1999999999999998E-3</v>
      </c>
      <c r="I762">
        <v>164.40100000000001</v>
      </c>
      <c r="J762">
        <v>7.1999999999999998E-3</v>
      </c>
    </row>
    <row r="763" spans="1:10" x14ac:dyDescent="0.3">
      <c r="A763" t="s">
        <v>9</v>
      </c>
      <c r="B763" t="s">
        <v>879</v>
      </c>
      <c r="C763">
        <v>3</v>
      </c>
      <c r="D763">
        <v>1.17E-2</v>
      </c>
      <c r="E763">
        <v>6.3640768990832859</v>
      </c>
      <c r="F763">
        <v>641.13196699456228</v>
      </c>
      <c r="G763">
        <v>0.42399999999999999</v>
      </c>
      <c r="H763">
        <v>5.7000000000000002E-3</v>
      </c>
      <c r="I763">
        <v>164.60130000000001</v>
      </c>
      <c r="J763">
        <v>5.7000000000000002E-3</v>
      </c>
    </row>
    <row r="764" spans="1:10" x14ac:dyDescent="0.3">
      <c r="A764" t="s">
        <v>9</v>
      </c>
      <c r="B764" t="s">
        <v>880</v>
      </c>
      <c r="C764">
        <v>3</v>
      </c>
      <c r="D764">
        <v>1.06E-2</v>
      </c>
      <c r="E764">
        <v>6.2745066668922593</v>
      </c>
      <c r="F764">
        <v>632.78402135435863</v>
      </c>
      <c r="G764">
        <v>0.42399999999999999</v>
      </c>
      <c r="H764">
        <v>4.3E-3</v>
      </c>
      <c r="I764">
        <v>164.79949999999999</v>
      </c>
      <c r="J764">
        <v>4.3E-3</v>
      </c>
    </row>
    <row r="765" spans="1:10" x14ac:dyDescent="0.3">
      <c r="A765" t="s">
        <v>9</v>
      </c>
      <c r="B765" t="s">
        <v>881</v>
      </c>
      <c r="C765">
        <v>3</v>
      </c>
      <c r="D765">
        <v>8.3999999999999995E-3</v>
      </c>
      <c r="E765">
        <v>6.1941033174163938</v>
      </c>
      <c r="F765">
        <v>625.29042918320795</v>
      </c>
      <c r="G765">
        <v>0.42399999999999999</v>
      </c>
      <c r="H765">
        <v>3.0999999999999999E-3</v>
      </c>
      <c r="I765">
        <v>164.99879999999999</v>
      </c>
      <c r="J765">
        <v>3.0999999999999999E-3</v>
      </c>
    </row>
    <row r="766" spans="1:10" x14ac:dyDescent="0.3">
      <c r="A766" t="s">
        <v>9</v>
      </c>
      <c r="B766" t="s">
        <v>882</v>
      </c>
      <c r="C766">
        <v>3</v>
      </c>
      <c r="D766">
        <v>6.1999999999999998E-3</v>
      </c>
      <c r="E766">
        <v>6.1249804885810972</v>
      </c>
      <c r="F766">
        <v>618.84818153575827</v>
      </c>
      <c r="G766">
        <v>0.42399999999999999</v>
      </c>
      <c r="H766">
        <v>2E-3</v>
      </c>
      <c r="I766">
        <v>165.1994</v>
      </c>
      <c r="J766">
        <v>2E-3</v>
      </c>
    </row>
    <row r="767" spans="1:10" x14ac:dyDescent="0.3">
      <c r="A767" t="s">
        <v>9</v>
      </c>
      <c r="B767" t="s">
        <v>883</v>
      </c>
      <c r="C767">
        <v>3</v>
      </c>
      <c r="D767">
        <v>5.0000000000000001E-3</v>
      </c>
      <c r="E767">
        <v>6.0690980232563136</v>
      </c>
      <c r="F767">
        <v>613.6399357674884</v>
      </c>
      <c r="G767">
        <v>0.42399999999999999</v>
      </c>
      <c r="H767">
        <v>1.1000000000000001E-3</v>
      </c>
      <c r="I767">
        <v>165.40119999999999</v>
      </c>
      <c r="J767">
        <v>1.1000000000000001E-3</v>
      </c>
    </row>
    <row r="768" spans="1:10" x14ac:dyDescent="0.3">
      <c r="A768" t="s">
        <v>9</v>
      </c>
      <c r="B768" t="s">
        <v>884</v>
      </c>
      <c r="C768">
        <v>3</v>
      </c>
      <c r="D768">
        <v>4.3E-3</v>
      </c>
      <c r="E768">
        <v>6.0288981001520199</v>
      </c>
      <c r="F768">
        <v>609.89330293416822</v>
      </c>
      <c r="G768">
        <v>0.42399999999999999</v>
      </c>
      <c r="H768">
        <v>5.0000000000000001E-4</v>
      </c>
      <c r="I768">
        <v>165.59950000000001</v>
      </c>
      <c r="J768">
        <v>5.0000000000000001E-4</v>
      </c>
    </row>
    <row r="769" spans="1:10" x14ac:dyDescent="0.3">
      <c r="A769" t="s">
        <v>9</v>
      </c>
      <c r="B769" t="s">
        <v>885</v>
      </c>
      <c r="C769">
        <v>3</v>
      </c>
      <c r="D769">
        <v>3.5999999999999999E-3</v>
      </c>
      <c r="E769">
        <v>6.0040476980318589</v>
      </c>
      <c r="F769">
        <v>607.57724545656924</v>
      </c>
      <c r="G769">
        <v>0.42399999999999999</v>
      </c>
      <c r="H769">
        <v>1E-4</v>
      </c>
      <c r="I769">
        <v>165.80009999999999</v>
      </c>
      <c r="J769">
        <v>1E-4</v>
      </c>
    </row>
    <row r="770" spans="1:10" x14ac:dyDescent="0.3">
      <c r="A770" t="s">
        <v>9</v>
      </c>
      <c r="B770" t="s">
        <v>886</v>
      </c>
      <c r="C770">
        <v>3</v>
      </c>
      <c r="D770">
        <v>3.5000000000000001E-3</v>
      </c>
      <c r="E770">
        <v>5.9957334838115024</v>
      </c>
      <c r="F770">
        <v>606.80236069123202</v>
      </c>
      <c r="G770">
        <v>0.42399999999999999</v>
      </c>
      <c r="H770">
        <v>0</v>
      </c>
      <c r="I770">
        <v>166.00020000000001</v>
      </c>
      <c r="J770">
        <v>0</v>
      </c>
    </row>
    <row r="771" spans="1:10" x14ac:dyDescent="0.3">
      <c r="A771" t="s">
        <v>9</v>
      </c>
      <c r="B771" t="s">
        <v>887</v>
      </c>
      <c r="C771">
        <v>3</v>
      </c>
      <c r="D771">
        <v>2.8999999999999998E-3</v>
      </c>
      <c r="E771">
        <v>6.0041211693317527</v>
      </c>
      <c r="F771">
        <v>709.79109896958335</v>
      </c>
      <c r="G771">
        <v>0.42399999999999999</v>
      </c>
      <c r="H771">
        <v>1E-4</v>
      </c>
      <c r="I771">
        <v>166.20079999999999</v>
      </c>
      <c r="J771">
        <v>1E-4</v>
      </c>
    </row>
    <row r="772" spans="1:10" x14ac:dyDescent="0.3">
      <c r="A772" t="s">
        <v>9</v>
      </c>
      <c r="B772" t="s">
        <v>888</v>
      </c>
      <c r="C772">
        <v>3</v>
      </c>
      <c r="D772">
        <v>2.8999999999999998E-3</v>
      </c>
      <c r="E772">
        <v>6.0287688806787134</v>
      </c>
      <c r="F772">
        <v>712.13016677640996</v>
      </c>
      <c r="G772">
        <v>0.42399999999999999</v>
      </c>
      <c r="H772">
        <v>5.0000000000000001E-4</v>
      </c>
      <c r="I772">
        <v>166.3997</v>
      </c>
      <c r="J772">
        <v>5.0000000000000001E-4</v>
      </c>
    </row>
    <row r="773" spans="1:10" x14ac:dyDescent="0.3">
      <c r="A773" t="s">
        <v>9</v>
      </c>
      <c r="B773" t="s">
        <v>889</v>
      </c>
      <c r="C773">
        <v>3</v>
      </c>
      <c r="D773">
        <v>2.8999999999999998E-3</v>
      </c>
      <c r="E773">
        <v>6.0693386701464149</v>
      </c>
      <c r="F773">
        <v>715.98023979689481</v>
      </c>
      <c r="G773">
        <v>0.42399999999999999</v>
      </c>
      <c r="H773">
        <v>1.1000000000000001E-3</v>
      </c>
      <c r="I773">
        <v>166.59979999999999</v>
      </c>
      <c r="J773">
        <v>1.1000000000000001E-3</v>
      </c>
    </row>
    <row r="774" spans="1:10" x14ac:dyDescent="0.3">
      <c r="A774" t="s">
        <v>9</v>
      </c>
      <c r="B774" t="s">
        <v>890</v>
      </c>
      <c r="C774">
        <v>3</v>
      </c>
      <c r="D774">
        <v>2.8999999999999998E-3</v>
      </c>
      <c r="E774">
        <v>6.1252867000914684</v>
      </c>
      <c r="F774">
        <v>721.28970783868033</v>
      </c>
      <c r="G774">
        <v>0.42399999999999999</v>
      </c>
      <c r="H774">
        <v>2E-3</v>
      </c>
      <c r="I774">
        <v>166.80160000000001</v>
      </c>
      <c r="J774">
        <v>2E-3</v>
      </c>
    </row>
    <row r="775" spans="1:10" x14ac:dyDescent="0.3">
      <c r="A775" t="s">
        <v>9</v>
      </c>
      <c r="B775" t="s">
        <v>891</v>
      </c>
      <c r="C775">
        <v>3</v>
      </c>
      <c r="D775">
        <v>2.8999999999999998E-3</v>
      </c>
      <c r="E775">
        <v>6.1936106299081164</v>
      </c>
      <c r="F775">
        <v>727.77364877828018</v>
      </c>
      <c r="G775">
        <v>0.42399999999999999</v>
      </c>
      <c r="H775">
        <v>3.0999999999999999E-3</v>
      </c>
      <c r="I775">
        <v>166.99979999999999</v>
      </c>
      <c r="J775">
        <v>3.0999999999999999E-3</v>
      </c>
    </row>
    <row r="776" spans="1:10" x14ac:dyDescent="0.3">
      <c r="A776" t="s">
        <v>9</v>
      </c>
      <c r="B776" t="s">
        <v>892</v>
      </c>
      <c r="C776">
        <v>3</v>
      </c>
      <c r="D776">
        <v>3.0000000000000001E-3</v>
      </c>
      <c r="E776">
        <v>6.2738015532580738</v>
      </c>
      <c r="F776">
        <v>735.38376740419119</v>
      </c>
      <c r="G776">
        <v>0.42399999999999999</v>
      </c>
      <c r="H776">
        <v>4.3E-3</v>
      </c>
      <c r="I776">
        <v>167.19880000000001</v>
      </c>
      <c r="J776">
        <v>4.3E-3</v>
      </c>
    </row>
    <row r="777" spans="1:10" x14ac:dyDescent="0.3">
      <c r="A777" t="s">
        <v>9</v>
      </c>
      <c r="B777" t="s">
        <v>893</v>
      </c>
      <c r="C777">
        <v>3</v>
      </c>
      <c r="D777">
        <v>3.0000000000000001E-3</v>
      </c>
      <c r="E777">
        <v>6.3651468147512134</v>
      </c>
      <c r="F777">
        <v>744.05243271989013</v>
      </c>
      <c r="G777">
        <v>0.42399999999999999</v>
      </c>
      <c r="H777">
        <v>5.7000000000000002E-3</v>
      </c>
      <c r="I777">
        <v>167.40090000000001</v>
      </c>
      <c r="J777">
        <v>5.7000000000000002E-3</v>
      </c>
    </row>
    <row r="778" spans="1:10" x14ac:dyDescent="0.3">
      <c r="A778" t="s">
        <v>9</v>
      </c>
      <c r="B778" t="s">
        <v>894</v>
      </c>
      <c r="C778">
        <v>3</v>
      </c>
      <c r="D778">
        <v>3.0999999999999999E-3</v>
      </c>
      <c r="E778">
        <v>6.4623581432252886</v>
      </c>
      <c r="F778">
        <v>753.27778779208006</v>
      </c>
      <c r="G778">
        <v>0.42399999999999999</v>
      </c>
      <c r="H778">
        <v>7.3000000000000001E-3</v>
      </c>
      <c r="I778">
        <v>167.5993</v>
      </c>
      <c r="J778">
        <v>7.3000000000000001E-3</v>
      </c>
    </row>
    <row r="779" spans="1:10" x14ac:dyDescent="0.3">
      <c r="A779" t="s">
        <v>9</v>
      </c>
      <c r="B779" t="s">
        <v>895</v>
      </c>
      <c r="C779">
        <v>3</v>
      </c>
      <c r="D779">
        <v>3.7000000000000002E-3</v>
      </c>
      <c r="E779">
        <v>6.5663305748137706</v>
      </c>
      <c r="F779">
        <v>763.14477154982694</v>
      </c>
      <c r="G779">
        <v>0.42399999999999999</v>
      </c>
      <c r="H779">
        <v>8.8999999999999999E-3</v>
      </c>
      <c r="I779">
        <v>167.80099999999999</v>
      </c>
      <c r="J779">
        <v>8.8999999999999999E-3</v>
      </c>
    </row>
    <row r="780" spans="1:10" x14ac:dyDescent="0.3">
      <c r="A780" t="s">
        <v>9</v>
      </c>
      <c r="B780" t="s">
        <v>896</v>
      </c>
      <c r="C780">
        <v>3</v>
      </c>
      <c r="D780">
        <v>5.1000000000000004E-3</v>
      </c>
      <c r="E780">
        <v>6.6720595056910934</v>
      </c>
      <c r="F780">
        <v>773.17844709008477</v>
      </c>
      <c r="G780">
        <v>0.42399999999999999</v>
      </c>
      <c r="H780">
        <v>1.0500000000000001E-2</v>
      </c>
      <c r="I780">
        <v>168.001</v>
      </c>
      <c r="J780">
        <v>1.0500000000000001E-2</v>
      </c>
    </row>
    <row r="781" spans="1:10" x14ac:dyDescent="0.3">
      <c r="A781" t="s">
        <v>9</v>
      </c>
      <c r="B781" t="s">
        <v>897</v>
      </c>
      <c r="C781">
        <v>3</v>
      </c>
      <c r="D781">
        <v>6.8999999999999999E-3</v>
      </c>
      <c r="E781">
        <v>6.7769503285282431</v>
      </c>
      <c r="F781">
        <v>783.13258617733027</v>
      </c>
      <c r="G781">
        <v>0.42399999999999999</v>
      </c>
      <c r="H781">
        <v>1.21E-2</v>
      </c>
      <c r="I781">
        <v>168.1995</v>
      </c>
      <c r="J781">
        <v>1.21E-2</v>
      </c>
    </row>
    <row r="782" spans="1:10" x14ac:dyDescent="0.3">
      <c r="A782" t="s">
        <v>9</v>
      </c>
      <c r="B782" t="s">
        <v>898</v>
      </c>
      <c r="C782">
        <v>3</v>
      </c>
      <c r="D782">
        <v>8.8000000000000005E-3</v>
      </c>
      <c r="E782">
        <v>6.8802172410117901</v>
      </c>
      <c r="F782">
        <v>792.93261617201892</v>
      </c>
      <c r="G782">
        <v>0.42399999999999999</v>
      </c>
      <c r="H782">
        <v>1.37E-2</v>
      </c>
      <c r="I782">
        <v>168.3997</v>
      </c>
      <c r="J782">
        <v>1.37E-2</v>
      </c>
    </row>
    <row r="783" spans="1:10" x14ac:dyDescent="0.3">
      <c r="A783" t="s">
        <v>9</v>
      </c>
      <c r="B783" t="s">
        <v>899</v>
      </c>
      <c r="C783">
        <v>3</v>
      </c>
      <c r="D783">
        <v>1.01E-2</v>
      </c>
      <c r="E783">
        <v>6.9778712219036017</v>
      </c>
      <c r="F783">
        <v>802.19997895865185</v>
      </c>
      <c r="G783">
        <v>0.42399999999999999</v>
      </c>
      <c r="H783">
        <v>1.5299999999999999E-2</v>
      </c>
      <c r="I783">
        <v>168.59899999999999</v>
      </c>
      <c r="J783">
        <v>1.5299999999999999E-2</v>
      </c>
    </row>
    <row r="784" spans="1:10" x14ac:dyDescent="0.3">
      <c r="A784" t="s">
        <v>9</v>
      </c>
      <c r="B784" t="s">
        <v>900</v>
      </c>
      <c r="C784">
        <v>3</v>
      </c>
      <c r="D784">
        <v>1.18E-2</v>
      </c>
      <c r="E784">
        <v>7.0694017835294707</v>
      </c>
      <c r="F784">
        <v>810.88622925694676</v>
      </c>
      <c r="G784">
        <v>0.42399999999999999</v>
      </c>
      <c r="H784">
        <v>1.67E-2</v>
      </c>
      <c r="I784">
        <v>168.8015</v>
      </c>
      <c r="J784">
        <v>1.67E-2</v>
      </c>
    </row>
    <row r="785" spans="1:10" x14ac:dyDescent="0.3">
      <c r="A785" t="s">
        <v>9</v>
      </c>
      <c r="B785" t="s">
        <v>901</v>
      </c>
      <c r="C785">
        <v>3</v>
      </c>
      <c r="D785">
        <v>1.26E-2</v>
      </c>
      <c r="E785">
        <v>7.1488862146446968</v>
      </c>
      <c r="F785">
        <v>818.42930176978177</v>
      </c>
      <c r="G785">
        <v>0.42399999999999999</v>
      </c>
      <c r="H785">
        <v>1.7899999999999999E-2</v>
      </c>
      <c r="I785">
        <v>168.99870000000001</v>
      </c>
      <c r="J785">
        <v>1.7899999999999999E-2</v>
      </c>
    </row>
    <row r="786" spans="1:10" x14ac:dyDescent="0.3">
      <c r="A786" t="s">
        <v>9</v>
      </c>
      <c r="B786" t="s">
        <v>902</v>
      </c>
      <c r="C786">
        <v>3</v>
      </c>
      <c r="D786">
        <v>1.4E-2</v>
      </c>
      <c r="E786">
        <v>7.2179378833633754</v>
      </c>
      <c r="F786">
        <v>824.98230513118438</v>
      </c>
      <c r="G786">
        <v>0.42399999999999999</v>
      </c>
      <c r="H786">
        <v>1.9E-2</v>
      </c>
      <c r="I786">
        <v>169.19900000000001</v>
      </c>
      <c r="J786">
        <v>1.9E-2</v>
      </c>
    </row>
    <row r="787" spans="1:10" x14ac:dyDescent="0.3">
      <c r="A787" t="s">
        <v>9</v>
      </c>
      <c r="B787" t="s">
        <v>903</v>
      </c>
      <c r="C787">
        <v>3</v>
      </c>
      <c r="D787">
        <v>1.5100000000000001E-2</v>
      </c>
      <c r="E787">
        <v>7.2736556464695248</v>
      </c>
      <c r="F787">
        <v>830.269920849958</v>
      </c>
      <c r="G787">
        <v>0.42399999999999999</v>
      </c>
      <c r="H787">
        <v>1.9900000000000001E-2</v>
      </c>
      <c r="I787">
        <v>169.4</v>
      </c>
      <c r="J787">
        <v>1.9900000000000001E-2</v>
      </c>
    </row>
    <row r="788" spans="1:10" x14ac:dyDescent="0.3">
      <c r="A788" t="s">
        <v>9</v>
      </c>
      <c r="B788" t="s">
        <v>904</v>
      </c>
      <c r="C788">
        <v>3</v>
      </c>
      <c r="D788">
        <v>1.61E-2</v>
      </c>
      <c r="E788">
        <v>7.3142834101450571</v>
      </c>
      <c r="F788">
        <v>834.12549562276592</v>
      </c>
      <c r="G788">
        <v>0.42399999999999999</v>
      </c>
      <c r="H788">
        <v>2.0500000000000001E-2</v>
      </c>
      <c r="I788">
        <v>169.6003</v>
      </c>
      <c r="J788">
        <v>2.0500000000000001E-2</v>
      </c>
    </row>
    <row r="789" spans="1:10" x14ac:dyDescent="0.3">
      <c r="A789" t="s">
        <v>9</v>
      </c>
      <c r="B789" t="s">
        <v>905</v>
      </c>
      <c r="C789">
        <v>3</v>
      </c>
      <c r="D789">
        <v>1.66E-2</v>
      </c>
      <c r="E789">
        <v>7.3389668475197967</v>
      </c>
      <c r="F789">
        <v>836.46795382962875</v>
      </c>
      <c r="G789">
        <v>0.42399999999999999</v>
      </c>
      <c r="H789">
        <v>2.0899999999999998E-2</v>
      </c>
      <c r="I789">
        <v>169.7998</v>
      </c>
      <c r="J789">
        <v>2.0899999999999998E-2</v>
      </c>
    </row>
    <row r="790" spans="1:10" x14ac:dyDescent="0.3">
      <c r="A790" t="s">
        <v>9</v>
      </c>
      <c r="B790" t="s">
        <v>906</v>
      </c>
      <c r="C790">
        <v>3</v>
      </c>
      <c r="D790">
        <v>1.72E-2</v>
      </c>
      <c r="E790">
        <v>7.3473025151975344</v>
      </c>
      <c r="F790">
        <v>837.25900869224608</v>
      </c>
      <c r="G790">
        <v>0.42399999999999999</v>
      </c>
      <c r="H790">
        <v>2.1000000000000001E-2</v>
      </c>
      <c r="I790">
        <v>170.00129999999999</v>
      </c>
      <c r="J790">
        <v>2.1000000000000001E-2</v>
      </c>
    </row>
    <row r="791" spans="1:10" x14ac:dyDescent="0.3">
      <c r="A791" t="s">
        <v>9</v>
      </c>
      <c r="B791" t="s">
        <v>907</v>
      </c>
      <c r="C791">
        <v>3</v>
      </c>
      <c r="D791">
        <v>1.7299999999999999E-2</v>
      </c>
      <c r="E791">
        <v>7.3390175313635408</v>
      </c>
      <c r="F791">
        <v>731.99643392308201</v>
      </c>
      <c r="G791">
        <v>0.42399999999999999</v>
      </c>
      <c r="H791">
        <v>2.0899999999999998E-2</v>
      </c>
      <c r="I791">
        <v>170.1996</v>
      </c>
      <c r="J791">
        <v>2.0899999999999998E-2</v>
      </c>
    </row>
    <row r="792" spans="1:10" x14ac:dyDescent="0.3">
      <c r="A792" t="s">
        <v>9</v>
      </c>
      <c r="B792" t="s">
        <v>908</v>
      </c>
      <c r="C792">
        <v>3</v>
      </c>
      <c r="D792">
        <v>1.7299999999999999E-2</v>
      </c>
      <c r="E792">
        <v>7.3140579684080782</v>
      </c>
      <c r="F792">
        <v>729.67020265563292</v>
      </c>
      <c r="G792">
        <v>0.42399999999999999</v>
      </c>
      <c r="H792">
        <v>2.0500000000000001E-2</v>
      </c>
      <c r="I792">
        <v>170.40100000000001</v>
      </c>
      <c r="J792">
        <v>2.0500000000000001E-2</v>
      </c>
    </row>
    <row r="793" spans="1:10" x14ac:dyDescent="0.3">
      <c r="A793" t="s">
        <v>9</v>
      </c>
      <c r="B793" t="s">
        <v>909</v>
      </c>
      <c r="C793">
        <v>3</v>
      </c>
      <c r="D793">
        <v>1.72E-2</v>
      </c>
      <c r="E793">
        <v>7.2735263013002882</v>
      </c>
      <c r="F793">
        <v>725.89265128118689</v>
      </c>
      <c r="G793">
        <v>0.42399999999999999</v>
      </c>
      <c r="H793">
        <v>1.9900000000000001E-2</v>
      </c>
      <c r="I793">
        <v>170.60050000000001</v>
      </c>
      <c r="J793">
        <v>1.9900000000000001E-2</v>
      </c>
    </row>
    <row r="794" spans="1:10" x14ac:dyDescent="0.3">
      <c r="A794" t="s">
        <v>9</v>
      </c>
      <c r="B794" t="s">
        <v>910</v>
      </c>
      <c r="C794">
        <v>3</v>
      </c>
      <c r="D794">
        <v>1.72E-2</v>
      </c>
      <c r="E794">
        <v>7.2182010338801019</v>
      </c>
      <c r="F794">
        <v>720.73633635762553</v>
      </c>
      <c r="G794">
        <v>0.42399999999999999</v>
      </c>
      <c r="H794">
        <v>1.9E-2</v>
      </c>
      <c r="I794">
        <v>170.80009999999999</v>
      </c>
      <c r="J794">
        <v>1.9E-2</v>
      </c>
    </row>
    <row r="795" spans="1:10" x14ac:dyDescent="0.3">
      <c r="A795" t="s">
        <v>9</v>
      </c>
      <c r="B795" t="s">
        <v>911</v>
      </c>
      <c r="C795">
        <v>3</v>
      </c>
      <c r="D795">
        <v>1.72E-2</v>
      </c>
      <c r="E795">
        <v>7.1489762291511871</v>
      </c>
      <c r="F795">
        <v>714.28458455689065</v>
      </c>
      <c r="G795">
        <v>0.42399999999999999</v>
      </c>
      <c r="H795">
        <v>1.7899999999999999E-2</v>
      </c>
      <c r="I795">
        <v>171.00110000000001</v>
      </c>
      <c r="J795">
        <v>1.7899999999999999E-2</v>
      </c>
    </row>
    <row r="796" spans="1:10" x14ac:dyDescent="0.3">
      <c r="A796" t="s">
        <v>9</v>
      </c>
      <c r="B796" t="s">
        <v>912</v>
      </c>
      <c r="C796">
        <v>3</v>
      </c>
      <c r="D796">
        <v>1.72E-2</v>
      </c>
      <c r="E796">
        <v>7.0692047247449912</v>
      </c>
      <c r="F796">
        <v>706.84988034623325</v>
      </c>
      <c r="G796">
        <v>0.42399999999999999</v>
      </c>
      <c r="H796">
        <v>1.67E-2</v>
      </c>
      <c r="I796">
        <v>171.19890000000001</v>
      </c>
      <c r="J796">
        <v>1.67E-2</v>
      </c>
    </row>
    <row r="797" spans="1:10" x14ac:dyDescent="0.3">
      <c r="A797" t="s">
        <v>9</v>
      </c>
      <c r="B797" t="s">
        <v>913</v>
      </c>
      <c r="C797">
        <v>3</v>
      </c>
      <c r="D797">
        <v>1.72E-2</v>
      </c>
      <c r="E797">
        <v>6.9788119140435141</v>
      </c>
      <c r="F797">
        <v>698.42527038885555</v>
      </c>
      <c r="G797">
        <v>0.42399999999999999</v>
      </c>
      <c r="H797">
        <v>1.5299999999999999E-2</v>
      </c>
      <c r="I797">
        <v>171.3989</v>
      </c>
      <c r="J797">
        <v>1.5299999999999999E-2</v>
      </c>
    </row>
    <row r="798" spans="1:10" x14ac:dyDescent="0.3">
      <c r="A798" t="s">
        <v>9</v>
      </c>
      <c r="B798" t="s">
        <v>914</v>
      </c>
      <c r="C798">
        <v>3</v>
      </c>
      <c r="D798">
        <v>1.72E-2</v>
      </c>
      <c r="E798">
        <v>6.8786119823126857</v>
      </c>
      <c r="F798">
        <v>689.0866367515423</v>
      </c>
      <c r="G798">
        <v>0.42399999999999999</v>
      </c>
      <c r="H798">
        <v>1.37E-2</v>
      </c>
      <c r="I798">
        <v>171.60339999999999</v>
      </c>
      <c r="J798">
        <v>1.37E-2</v>
      </c>
    </row>
    <row r="799" spans="1:10" x14ac:dyDescent="0.3">
      <c r="A799" t="s">
        <v>9</v>
      </c>
      <c r="B799" t="s">
        <v>915</v>
      </c>
      <c r="C799">
        <v>3</v>
      </c>
      <c r="D799">
        <v>1.7100000000000001E-2</v>
      </c>
      <c r="E799">
        <v>6.7779931992971463</v>
      </c>
      <c r="F799">
        <v>679.70896617449409</v>
      </c>
      <c r="G799">
        <v>0.42399999999999999</v>
      </c>
      <c r="H799">
        <v>1.2200000000000001E-2</v>
      </c>
      <c r="I799">
        <v>171.79849999999999</v>
      </c>
      <c r="J799">
        <v>1.2200000000000001E-2</v>
      </c>
    </row>
    <row r="800" spans="1:10" x14ac:dyDescent="0.3">
      <c r="A800" t="s">
        <v>9</v>
      </c>
      <c r="B800" t="s">
        <v>916</v>
      </c>
      <c r="C800">
        <v>3</v>
      </c>
      <c r="D800">
        <v>1.6500000000000001E-2</v>
      </c>
      <c r="E800">
        <v>6.6716921491916272</v>
      </c>
      <c r="F800">
        <v>669.80170830465966</v>
      </c>
      <c r="G800">
        <v>0.42399999999999999</v>
      </c>
      <c r="H800">
        <v>1.0500000000000001E-2</v>
      </c>
      <c r="I800">
        <v>171.99969999999999</v>
      </c>
      <c r="J800">
        <v>1.0500000000000001E-2</v>
      </c>
    </row>
    <row r="801" spans="1:10" x14ac:dyDescent="0.3">
      <c r="A801" t="s">
        <v>9</v>
      </c>
      <c r="B801" t="s">
        <v>917</v>
      </c>
      <c r="C801">
        <v>3</v>
      </c>
      <c r="D801">
        <v>1.54E-2</v>
      </c>
      <c r="E801">
        <v>6.5665179023002551</v>
      </c>
      <c r="F801">
        <v>659.99946849438379</v>
      </c>
      <c r="G801">
        <v>0.42399999999999999</v>
      </c>
      <c r="H801">
        <v>8.8999999999999999E-3</v>
      </c>
      <c r="I801">
        <v>172.1986</v>
      </c>
      <c r="J801">
        <v>8.8999999999999999E-3</v>
      </c>
    </row>
    <row r="802" spans="1:10" x14ac:dyDescent="0.3">
      <c r="A802" t="s">
        <v>9</v>
      </c>
      <c r="B802" t="s">
        <v>918</v>
      </c>
      <c r="C802">
        <v>3</v>
      </c>
      <c r="D802">
        <v>1.4E-2</v>
      </c>
      <c r="E802">
        <v>6.4634407501276891</v>
      </c>
      <c r="F802">
        <v>650.39267791190059</v>
      </c>
      <c r="G802">
        <v>0.42399999999999999</v>
      </c>
      <c r="H802">
        <v>7.3000000000000001E-3</v>
      </c>
      <c r="I802">
        <v>172.39850000000001</v>
      </c>
      <c r="J802">
        <v>7.3000000000000001E-3</v>
      </c>
    </row>
    <row r="803" spans="1:10" x14ac:dyDescent="0.3">
      <c r="A803" t="s">
        <v>9</v>
      </c>
      <c r="B803" t="s">
        <v>919</v>
      </c>
      <c r="C803">
        <v>3</v>
      </c>
      <c r="D803">
        <v>1.23E-2</v>
      </c>
      <c r="E803">
        <v>6.3649113173396339</v>
      </c>
      <c r="F803">
        <v>641.20973477605389</v>
      </c>
      <c r="G803">
        <v>0.42399999999999999</v>
      </c>
      <c r="H803">
        <v>5.7000000000000002E-3</v>
      </c>
      <c r="I803">
        <v>172.59960000000001</v>
      </c>
      <c r="J803">
        <v>5.7000000000000002E-3</v>
      </c>
    </row>
    <row r="804" spans="1:10" x14ac:dyDescent="0.3">
      <c r="A804" t="s">
        <v>9</v>
      </c>
      <c r="B804" t="s">
        <v>920</v>
      </c>
      <c r="C804">
        <v>3</v>
      </c>
      <c r="D804">
        <v>1.0500000000000001E-2</v>
      </c>
      <c r="E804">
        <v>6.2742049155601372</v>
      </c>
      <c r="F804">
        <v>632.75589813020486</v>
      </c>
      <c r="G804">
        <v>0.42399999999999999</v>
      </c>
      <c r="H804">
        <v>4.3E-3</v>
      </c>
      <c r="I804">
        <v>172.80019999999999</v>
      </c>
      <c r="J804">
        <v>4.3E-3</v>
      </c>
    </row>
    <row r="805" spans="1:10" x14ac:dyDescent="0.3">
      <c r="A805" t="s">
        <v>9</v>
      </c>
      <c r="B805" t="s">
        <v>921</v>
      </c>
      <c r="C805">
        <v>3</v>
      </c>
      <c r="D805">
        <v>8.2000000000000007E-3</v>
      </c>
      <c r="E805">
        <v>6.1941166574040691</v>
      </c>
      <c r="F805">
        <v>625.29167247005921</v>
      </c>
      <c r="G805">
        <v>0.42399999999999999</v>
      </c>
      <c r="H805">
        <v>3.0999999999999999E-3</v>
      </c>
      <c r="I805">
        <v>172.99879999999999</v>
      </c>
      <c r="J805">
        <v>3.0999999999999999E-3</v>
      </c>
    </row>
    <row r="806" spans="1:10" x14ac:dyDescent="0.3">
      <c r="A806" t="s">
        <v>9</v>
      </c>
      <c r="B806" t="s">
        <v>922</v>
      </c>
      <c r="C806">
        <v>3</v>
      </c>
      <c r="D806">
        <v>6.3E-3</v>
      </c>
      <c r="E806">
        <v>6.1247975807257884</v>
      </c>
      <c r="F806">
        <v>618.83113452364353</v>
      </c>
      <c r="G806">
        <v>0.42399999999999999</v>
      </c>
      <c r="H806">
        <v>2E-3</v>
      </c>
      <c r="I806">
        <v>173.2</v>
      </c>
      <c r="J806">
        <v>2E-3</v>
      </c>
    </row>
    <row r="807" spans="1:10" x14ac:dyDescent="0.3">
      <c r="A807" t="s">
        <v>9</v>
      </c>
      <c r="B807" t="s">
        <v>923</v>
      </c>
      <c r="C807">
        <v>3</v>
      </c>
      <c r="D807">
        <v>5.5999999999999999E-3</v>
      </c>
      <c r="E807">
        <v>6.0692047431577034</v>
      </c>
      <c r="F807">
        <v>613.64988206229793</v>
      </c>
      <c r="G807">
        <v>0.42399999999999999</v>
      </c>
      <c r="H807">
        <v>1.1000000000000001E-3</v>
      </c>
      <c r="I807">
        <v>173.4008</v>
      </c>
      <c r="J807">
        <v>1.1000000000000001E-3</v>
      </c>
    </row>
    <row r="808" spans="1:10" x14ac:dyDescent="0.3">
      <c r="A808" t="s">
        <v>9</v>
      </c>
      <c r="B808" t="s">
        <v>924</v>
      </c>
      <c r="C808">
        <v>3</v>
      </c>
      <c r="D808">
        <v>4.4000000000000003E-3</v>
      </c>
      <c r="E808">
        <v>6.029028527928161</v>
      </c>
      <c r="F808">
        <v>609.9054588029046</v>
      </c>
      <c r="G808">
        <v>0.42399999999999999</v>
      </c>
      <c r="H808">
        <v>5.0000000000000001E-4</v>
      </c>
      <c r="I808">
        <v>173.59870000000001</v>
      </c>
      <c r="J808">
        <v>5.0000000000000001E-4</v>
      </c>
    </row>
    <row r="809" spans="1:10" x14ac:dyDescent="0.3">
      <c r="A809" t="s">
        <v>9</v>
      </c>
      <c r="B809" t="s">
        <v>925</v>
      </c>
      <c r="C809">
        <v>3</v>
      </c>
      <c r="D809">
        <v>3.5999999999999999E-3</v>
      </c>
      <c r="E809">
        <v>6.0041071927550016</v>
      </c>
      <c r="F809">
        <v>607.5827903647662</v>
      </c>
      <c r="G809">
        <v>0.42399999999999999</v>
      </c>
      <c r="H809">
        <v>1E-4</v>
      </c>
      <c r="I809">
        <v>173.79929999999999</v>
      </c>
      <c r="J809">
        <v>1E-4</v>
      </c>
    </row>
    <row r="810" spans="1:10" x14ac:dyDescent="0.3">
      <c r="A810" t="s">
        <v>9</v>
      </c>
      <c r="B810" t="s">
        <v>926</v>
      </c>
      <c r="C810">
        <v>3</v>
      </c>
      <c r="D810">
        <v>3.3999999999999998E-3</v>
      </c>
      <c r="E810">
        <v>5.9957335240914063</v>
      </c>
      <c r="F810">
        <v>606.80236444531909</v>
      </c>
      <c r="G810">
        <v>0.42399999999999999</v>
      </c>
      <c r="H810">
        <v>0</v>
      </c>
      <c r="I810">
        <v>173.99950000000001</v>
      </c>
      <c r="J810">
        <v>0</v>
      </c>
    </row>
    <row r="811" spans="1:10" x14ac:dyDescent="0.3">
      <c r="A811" t="s">
        <v>9</v>
      </c>
      <c r="B811" t="s">
        <v>927</v>
      </c>
      <c r="C811">
        <v>3</v>
      </c>
      <c r="D811">
        <v>3.3999999999999998E-3</v>
      </c>
      <c r="E811">
        <v>6.0040470938804411</v>
      </c>
      <c r="F811">
        <v>709.78406920925386</v>
      </c>
      <c r="G811">
        <v>0.42399999999999999</v>
      </c>
      <c r="H811">
        <v>1E-4</v>
      </c>
      <c r="I811">
        <v>174.19990000000001</v>
      </c>
      <c r="J811">
        <v>1E-4</v>
      </c>
    </row>
    <row r="812" spans="1:10" x14ac:dyDescent="0.3">
      <c r="A812" t="s">
        <v>9</v>
      </c>
      <c r="B812" t="s">
        <v>928</v>
      </c>
      <c r="C812">
        <v>3</v>
      </c>
      <c r="D812">
        <v>3.3999999999999998E-3</v>
      </c>
      <c r="E812">
        <v>6.028562731240017</v>
      </c>
      <c r="F812">
        <v>712.11060319467765</v>
      </c>
      <c r="G812">
        <v>0.42399999999999999</v>
      </c>
      <c r="H812">
        <v>5.0000000000000001E-4</v>
      </c>
      <c r="I812">
        <v>174.39850000000001</v>
      </c>
      <c r="J812">
        <v>5.0000000000000001E-4</v>
      </c>
    </row>
    <row r="813" spans="1:10" x14ac:dyDescent="0.3">
      <c r="A813" t="s">
        <v>9</v>
      </c>
      <c r="B813" t="s">
        <v>929</v>
      </c>
      <c r="C813">
        <v>3</v>
      </c>
      <c r="D813">
        <v>3.5000000000000001E-3</v>
      </c>
      <c r="E813">
        <v>6.0691523563368079</v>
      </c>
      <c r="F813">
        <v>715.96255861636314</v>
      </c>
      <c r="G813">
        <v>0.42399999999999999</v>
      </c>
      <c r="H813">
        <v>1.1000000000000001E-3</v>
      </c>
      <c r="I813">
        <v>174.59899999999999</v>
      </c>
      <c r="J813">
        <v>1.1000000000000001E-3</v>
      </c>
    </row>
    <row r="814" spans="1:10" x14ac:dyDescent="0.3">
      <c r="A814" t="s">
        <v>9</v>
      </c>
      <c r="B814" t="s">
        <v>930</v>
      </c>
      <c r="C814">
        <v>3</v>
      </c>
      <c r="D814">
        <v>3.5000000000000001E-3</v>
      </c>
      <c r="E814">
        <v>6.1248751472802576</v>
      </c>
      <c r="F814">
        <v>721.25065147689645</v>
      </c>
      <c r="G814">
        <v>0.42399999999999999</v>
      </c>
      <c r="H814">
        <v>2E-3</v>
      </c>
      <c r="I814">
        <v>174.80019999999999</v>
      </c>
      <c r="J814">
        <v>2E-3</v>
      </c>
    </row>
    <row r="815" spans="1:10" x14ac:dyDescent="0.3">
      <c r="A815" t="s">
        <v>9</v>
      </c>
      <c r="B815" t="s">
        <v>931</v>
      </c>
      <c r="C815">
        <v>3</v>
      </c>
      <c r="D815">
        <v>3.5000000000000001E-3</v>
      </c>
      <c r="E815">
        <v>6.1933640225979856</v>
      </c>
      <c r="F815">
        <v>727.75024574454892</v>
      </c>
      <c r="G815">
        <v>0.42399999999999999</v>
      </c>
      <c r="H815">
        <v>3.0999999999999999E-3</v>
      </c>
      <c r="I815">
        <v>174.9992</v>
      </c>
      <c r="J815">
        <v>3.0999999999999999E-3</v>
      </c>
    </row>
    <row r="816" spans="1:10" x14ac:dyDescent="0.3">
      <c r="A816" t="s">
        <v>9</v>
      </c>
      <c r="B816" t="s">
        <v>932</v>
      </c>
      <c r="C816">
        <v>3</v>
      </c>
      <c r="D816">
        <v>3.5000000000000001E-3</v>
      </c>
      <c r="E816">
        <v>6.2744368042820424</v>
      </c>
      <c r="F816">
        <v>735.44405272636573</v>
      </c>
      <c r="G816">
        <v>0.42399999999999999</v>
      </c>
      <c r="H816">
        <v>4.3E-3</v>
      </c>
      <c r="I816">
        <v>175.2003</v>
      </c>
      <c r="J816">
        <v>4.3E-3</v>
      </c>
    </row>
    <row r="817" spans="1:10" x14ac:dyDescent="0.3">
      <c r="A817" t="s">
        <v>9</v>
      </c>
      <c r="B817" t="s">
        <v>933</v>
      </c>
      <c r="C817">
        <v>3</v>
      </c>
      <c r="D817">
        <v>3.5000000000000001E-3</v>
      </c>
      <c r="E817">
        <v>6.3643306832256883</v>
      </c>
      <c r="F817">
        <v>743.97498183811786</v>
      </c>
      <c r="G817">
        <v>0.42399999999999999</v>
      </c>
      <c r="H817">
        <v>5.7000000000000002E-3</v>
      </c>
      <c r="I817">
        <v>175.39920000000001</v>
      </c>
      <c r="J817">
        <v>5.7000000000000002E-3</v>
      </c>
    </row>
    <row r="818" spans="1:10" x14ac:dyDescent="0.3">
      <c r="A818" t="s">
        <v>9</v>
      </c>
      <c r="B818" t="s">
        <v>934</v>
      </c>
      <c r="C818">
        <v>3</v>
      </c>
      <c r="D818">
        <v>3.5000000000000001E-3</v>
      </c>
      <c r="E818">
        <v>6.4626346742767629</v>
      </c>
      <c r="F818">
        <v>753.30403058886486</v>
      </c>
      <c r="G818">
        <v>0.42399999999999999</v>
      </c>
      <c r="H818">
        <v>7.3000000000000001E-3</v>
      </c>
      <c r="I818">
        <v>175.59989999999999</v>
      </c>
      <c r="J818">
        <v>7.3000000000000001E-3</v>
      </c>
    </row>
    <row r="819" spans="1:10" x14ac:dyDescent="0.3">
      <c r="A819" t="s">
        <v>9</v>
      </c>
      <c r="B819" t="s">
        <v>935</v>
      </c>
      <c r="C819">
        <v>3</v>
      </c>
      <c r="D819">
        <v>3.5999999999999999E-3</v>
      </c>
      <c r="E819">
        <v>6.5656193791183366</v>
      </c>
      <c r="F819">
        <v>763.07727907833021</v>
      </c>
      <c r="G819">
        <v>0.42399999999999999</v>
      </c>
      <c r="H819">
        <v>8.8999999999999999E-3</v>
      </c>
      <c r="I819">
        <v>175.7997</v>
      </c>
      <c r="J819">
        <v>8.8999999999999999E-3</v>
      </c>
    </row>
    <row r="820" spans="1:10" x14ac:dyDescent="0.3">
      <c r="A820" t="s">
        <v>9</v>
      </c>
      <c r="B820" t="s">
        <v>936</v>
      </c>
      <c r="C820">
        <v>3</v>
      </c>
      <c r="D820">
        <v>3.7000000000000002E-3</v>
      </c>
      <c r="E820">
        <v>6.6711334104981797</v>
      </c>
      <c r="F820">
        <v>773.09056065627726</v>
      </c>
      <c r="G820">
        <v>0.42399999999999999</v>
      </c>
      <c r="H820">
        <v>1.0500000000000001E-2</v>
      </c>
      <c r="I820">
        <v>175.99930000000001</v>
      </c>
      <c r="J820">
        <v>1.0500000000000001E-2</v>
      </c>
    </row>
    <row r="821" spans="1:10" x14ac:dyDescent="0.3">
      <c r="A821" t="s">
        <v>9</v>
      </c>
      <c r="B821" t="s">
        <v>937</v>
      </c>
      <c r="C821">
        <v>3</v>
      </c>
      <c r="D821">
        <v>5.4000000000000003E-3</v>
      </c>
      <c r="E821">
        <v>6.7773801275232026</v>
      </c>
      <c r="F821">
        <v>783.17337410195194</v>
      </c>
      <c r="G821">
        <v>0.42399999999999999</v>
      </c>
      <c r="H821">
        <v>1.21E-2</v>
      </c>
      <c r="I821">
        <v>176.2003</v>
      </c>
      <c r="J821">
        <v>1.21E-2</v>
      </c>
    </row>
    <row r="822" spans="1:10" x14ac:dyDescent="0.3">
      <c r="A822" t="s">
        <v>9</v>
      </c>
      <c r="B822" t="s">
        <v>938</v>
      </c>
      <c r="C822">
        <v>3</v>
      </c>
      <c r="D822">
        <v>8.0999999999999996E-3</v>
      </c>
      <c r="E822">
        <v>6.8807484076942416</v>
      </c>
      <c r="F822">
        <v>792.98302389018352</v>
      </c>
      <c r="G822">
        <v>0.42399999999999999</v>
      </c>
      <c r="H822">
        <v>1.38E-2</v>
      </c>
      <c r="I822">
        <v>176.4008</v>
      </c>
      <c r="J822">
        <v>1.38E-2</v>
      </c>
    </row>
    <row r="823" spans="1:10" x14ac:dyDescent="0.3">
      <c r="A823" t="s">
        <v>9</v>
      </c>
      <c r="B823" t="s">
        <v>939</v>
      </c>
      <c r="C823">
        <v>3</v>
      </c>
      <c r="D823">
        <v>9.7999999999999997E-3</v>
      </c>
      <c r="E823">
        <v>6.97799245765784</v>
      </c>
      <c r="F823">
        <v>802.21148423172906</v>
      </c>
      <c r="G823">
        <v>0.42399999999999999</v>
      </c>
      <c r="H823">
        <v>1.5299999999999999E-2</v>
      </c>
      <c r="I823">
        <v>176.5993</v>
      </c>
      <c r="J823">
        <v>1.5299999999999999E-2</v>
      </c>
    </row>
    <row r="824" spans="1:10" x14ac:dyDescent="0.3">
      <c r="A824" t="s">
        <v>9</v>
      </c>
      <c r="B824" t="s">
        <v>940</v>
      </c>
      <c r="C824">
        <v>3</v>
      </c>
      <c r="D824">
        <v>1.14E-2</v>
      </c>
      <c r="E824">
        <v>7.0692529757642353</v>
      </c>
      <c r="F824">
        <v>810.87210740002593</v>
      </c>
      <c r="G824">
        <v>0.42399999999999999</v>
      </c>
      <c r="H824">
        <v>1.67E-2</v>
      </c>
      <c r="I824">
        <v>176.80119999999999</v>
      </c>
      <c r="J824">
        <v>1.67E-2</v>
      </c>
    </row>
    <row r="825" spans="1:10" x14ac:dyDescent="0.3">
      <c r="A825" t="s">
        <v>9</v>
      </c>
      <c r="B825" t="s">
        <v>941</v>
      </c>
      <c r="C825">
        <v>3</v>
      </c>
      <c r="D825">
        <v>1.2699999999999999E-2</v>
      </c>
      <c r="E825">
        <v>7.1494636049926443</v>
      </c>
      <c r="F825">
        <v>818.48409611380202</v>
      </c>
      <c r="G825">
        <v>0.42399999999999999</v>
      </c>
      <c r="H825">
        <v>1.7899999999999999E-2</v>
      </c>
      <c r="I825">
        <v>177.00020000000001</v>
      </c>
      <c r="J825">
        <v>1.7899999999999999E-2</v>
      </c>
    </row>
    <row r="826" spans="1:10" x14ac:dyDescent="0.3">
      <c r="A826" t="s">
        <v>9</v>
      </c>
      <c r="B826" t="s">
        <v>942</v>
      </c>
      <c r="C826">
        <v>3</v>
      </c>
      <c r="D826">
        <v>1.4E-2</v>
      </c>
      <c r="E826">
        <v>7.2184844579343261</v>
      </c>
      <c r="F826">
        <v>825.03417505796756</v>
      </c>
      <c r="G826">
        <v>0.42399999999999999</v>
      </c>
      <c r="H826">
        <v>1.9E-2</v>
      </c>
      <c r="I826">
        <v>177.20079999999999</v>
      </c>
      <c r="J826">
        <v>1.9E-2</v>
      </c>
    </row>
    <row r="827" spans="1:10" x14ac:dyDescent="0.3">
      <c r="A827" t="s">
        <v>9</v>
      </c>
      <c r="B827" t="s">
        <v>943</v>
      </c>
      <c r="C827">
        <v>3</v>
      </c>
      <c r="D827">
        <v>1.4800000000000001E-2</v>
      </c>
      <c r="E827">
        <v>7.2734598040972926</v>
      </c>
      <c r="F827">
        <v>830.25133540883314</v>
      </c>
      <c r="G827">
        <v>0.42399999999999999</v>
      </c>
      <c r="H827">
        <v>1.9900000000000001E-2</v>
      </c>
      <c r="I827">
        <v>177.39920000000001</v>
      </c>
      <c r="J827">
        <v>1.9900000000000001E-2</v>
      </c>
    </row>
    <row r="828" spans="1:10" x14ac:dyDescent="0.3">
      <c r="A828" t="s">
        <v>9</v>
      </c>
      <c r="B828" t="s">
        <v>944</v>
      </c>
      <c r="C828">
        <v>3</v>
      </c>
      <c r="D828">
        <v>1.61E-2</v>
      </c>
      <c r="E828">
        <v>7.3142996289750561</v>
      </c>
      <c r="F828">
        <v>834.12703478973287</v>
      </c>
      <c r="G828">
        <v>0.42399999999999999</v>
      </c>
      <c r="H828">
        <v>2.0500000000000001E-2</v>
      </c>
      <c r="I828">
        <v>177.60040000000001</v>
      </c>
      <c r="J828">
        <v>2.0500000000000001E-2</v>
      </c>
    </row>
    <row r="829" spans="1:10" x14ac:dyDescent="0.3">
      <c r="A829" t="s">
        <v>9</v>
      </c>
      <c r="B829" t="s">
        <v>945</v>
      </c>
      <c r="C829">
        <v>3</v>
      </c>
      <c r="D829">
        <v>1.6799999999999999E-2</v>
      </c>
      <c r="E829">
        <v>7.3389218402665497</v>
      </c>
      <c r="F829">
        <v>836.46368264129558</v>
      </c>
      <c r="G829">
        <v>0.42399999999999999</v>
      </c>
      <c r="H829">
        <v>2.0899999999999998E-2</v>
      </c>
      <c r="I829">
        <v>177.79929999999999</v>
      </c>
      <c r="J829">
        <v>2.0899999999999998E-2</v>
      </c>
    </row>
    <row r="830" spans="1:10" x14ac:dyDescent="0.3">
      <c r="A830" t="s">
        <v>9</v>
      </c>
      <c r="B830" t="s">
        <v>946</v>
      </c>
      <c r="C830">
        <v>3</v>
      </c>
      <c r="D830">
        <v>1.6899999999999998E-2</v>
      </c>
      <c r="E830">
        <v>7.3473025151975344</v>
      </c>
      <c r="F830">
        <v>837.25900869224608</v>
      </c>
      <c r="G830">
        <v>0.42399999999999999</v>
      </c>
      <c r="H830">
        <v>2.1000000000000001E-2</v>
      </c>
      <c r="I830">
        <v>177.99950000000001</v>
      </c>
      <c r="J830">
        <v>2.1000000000000001E-2</v>
      </c>
    </row>
    <row r="831" spans="1:10" x14ac:dyDescent="0.3">
      <c r="A831" t="s">
        <v>9</v>
      </c>
      <c r="B831" t="s">
        <v>947</v>
      </c>
      <c r="C831">
        <v>3</v>
      </c>
      <c r="D831">
        <v>1.6899999999999998E-2</v>
      </c>
      <c r="E831">
        <v>7.3390187477757909</v>
      </c>
      <c r="F831">
        <v>731.99654729270378</v>
      </c>
      <c r="G831">
        <v>0.42399999999999999</v>
      </c>
      <c r="H831">
        <v>2.0899999999999998E-2</v>
      </c>
      <c r="I831">
        <v>178.1996</v>
      </c>
      <c r="J831">
        <v>2.0899999999999998E-2</v>
      </c>
    </row>
    <row r="832" spans="1:10" x14ac:dyDescent="0.3">
      <c r="A832" t="s">
        <v>9</v>
      </c>
      <c r="B832" t="s">
        <v>948</v>
      </c>
      <c r="C832">
        <v>3</v>
      </c>
      <c r="D832">
        <v>1.6799999999999999E-2</v>
      </c>
      <c r="E832">
        <v>7.3141216273158216</v>
      </c>
      <c r="F832">
        <v>729.67613566583464</v>
      </c>
      <c r="G832">
        <v>0.42399999999999999</v>
      </c>
      <c r="H832">
        <v>2.0500000000000001E-2</v>
      </c>
      <c r="I832">
        <v>178.4006</v>
      </c>
      <c r="J832">
        <v>2.0500000000000001E-2</v>
      </c>
    </row>
    <row r="833" spans="1:10" x14ac:dyDescent="0.3">
      <c r="A833" t="s">
        <v>9</v>
      </c>
      <c r="B833" t="s">
        <v>949</v>
      </c>
      <c r="C833">
        <v>3</v>
      </c>
      <c r="D833">
        <v>1.6799999999999999E-2</v>
      </c>
      <c r="E833">
        <v>7.2732299021820639</v>
      </c>
      <c r="F833">
        <v>725.86502688336839</v>
      </c>
      <c r="G833">
        <v>0.42399999999999999</v>
      </c>
      <c r="H833">
        <v>1.9800000000000002E-2</v>
      </c>
      <c r="I833">
        <v>178.60169999999999</v>
      </c>
      <c r="J833">
        <v>1.9800000000000002E-2</v>
      </c>
    </row>
    <row r="834" spans="1:10" x14ac:dyDescent="0.3">
      <c r="A834" t="s">
        <v>9</v>
      </c>
      <c r="B834" t="s">
        <v>950</v>
      </c>
      <c r="C834">
        <v>3</v>
      </c>
      <c r="D834">
        <v>1.6799999999999999E-2</v>
      </c>
      <c r="E834">
        <v>7.2183636276508363</v>
      </c>
      <c r="F834">
        <v>720.75149009705797</v>
      </c>
      <c r="G834">
        <v>0.42399999999999999</v>
      </c>
      <c r="H834">
        <v>1.9E-2</v>
      </c>
      <c r="I834">
        <v>178.7996</v>
      </c>
      <c r="J834">
        <v>1.9E-2</v>
      </c>
    </row>
    <row r="835" spans="1:10" x14ac:dyDescent="0.3">
      <c r="A835" t="s">
        <v>9</v>
      </c>
      <c r="B835" t="s">
        <v>951</v>
      </c>
      <c r="C835">
        <v>3</v>
      </c>
      <c r="D835">
        <v>1.6799999999999999E-2</v>
      </c>
      <c r="E835">
        <v>7.1499011079318544</v>
      </c>
      <c r="F835">
        <v>714.37078325924881</v>
      </c>
      <c r="G835">
        <v>0.42399999999999999</v>
      </c>
      <c r="H835">
        <v>1.7899999999999999E-2</v>
      </c>
      <c r="I835">
        <v>178.99860000000001</v>
      </c>
      <c r="J835">
        <v>1.7899999999999999E-2</v>
      </c>
    </row>
    <row r="836" spans="1:10" x14ac:dyDescent="0.3">
      <c r="A836" t="s">
        <v>9</v>
      </c>
      <c r="B836" t="s">
        <v>952</v>
      </c>
      <c r="C836">
        <v>3</v>
      </c>
      <c r="D836">
        <v>1.6799999999999999E-2</v>
      </c>
      <c r="E836">
        <v>7.0689533328800147</v>
      </c>
      <c r="F836">
        <v>706.82645062441736</v>
      </c>
      <c r="G836">
        <v>0.42399999999999999</v>
      </c>
      <c r="H836">
        <v>1.67E-2</v>
      </c>
      <c r="I836">
        <v>179.1995</v>
      </c>
      <c r="J836">
        <v>1.67E-2</v>
      </c>
    </row>
    <row r="837" spans="1:10" x14ac:dyDescent="0.3">
      <c r="A837" t="s">
        <v>9</v>
      </c>
      <c r="B837" t="s">
        <v>953</v>
      </c>
      <c r="C837">
        <v>3</v>
      </c>
      <c r="D837">
        <v>1.67E-2</v>
      </c>
      <c r="E837">
        <v>6.9788196179877637</v>
      </c>
      <c r="F837">
        <v>698.42598839645962</v>
      </c>
      <c r="G837">
        <v>0.42399999999999999</v>
      </c>
      <c r="H837">
        <v>1.5299999999999999E-2</v>
      </c>
      <c r="I837">
        <v>179.3989</v>
      </c>
      <c r="J837">
        <v>1.5299999999999999E-2</v>
      </c>
    </row>
    <row r="838" spans="1:10" x14ac:dyDescent="0.3">
      <c r="A838" t="s">
        <v>9</v>
      </c>
      <c r="B838" t="s">
        <v>954</v>
      </c>
      <c r="C838">
        <v>3</v>
      </c>
      <c r="D838">
        <v>1.67E-2</v>
      </c>
      <c r="E838">
        <v>6.8806214953495024</v>
      </c>
      <c r="F838">
        <v>689.27392336657363</v>
      </c>
      <c r="G838">
        <v>0.42399999999999999</v>
      </c>
      <c r="H838">
        <v>1.37E-2</v>
      </c>
      <c r="I838">
        <v>179.59950000000001</v>
      </c>
      <c r="J838">
        <v>1.37E-2</v>
      </c>
    </row>
    <row r="839" spans="1:10" x14ac:dyDescent="0.3">
      <c r="A839" t="s">
        <v>9</v>
      </c>
      <c r="B839" t="s">
        <v>955</v>
      </c>
      <c r="C839">
        <v>3</v>
      </c>
      <c r="D839">
        <v>1.67E-2</v>
      </c>
      <c r="E839">
        <v>6.7780118509516454</v>
      </c>
      <c r="F839">
        <v>679.71070450869342</v>
      </c>
      <c r="G839">
        <v>0.42399999999999999</v>
      </c>
      <c r="H839">
        <v>1.2200000000000001E-2</v>
      </c>
      <c r="I839">
        <v>179.79849999999999</v>
      </c>
      <c r="J839">
        <v>1.2200000000000001E-2</v>
      </c>
    </row>
    <row r="840" spans="1:10" x14ac:dyDescent="0.3">
      <c r="A840" t="s">
        <v>9</v>
      </c>
      <c r="B840" t="s">
        <v>956</v>
      </c>
      <c r="C840">
        <v>3</v>
      </c>
      <c r="D840">
        <v>1.6E-2</v>
      </c>
      <c r="E840">
        <v>6.6719175909286061</v>
      </c>
      <c r="F840">
        <v>669.82271947454615</v>
      </c>
      <c r="G840">
        <v>0.42399999999999999</v>
      </c>
      <c r="H840">
        <v>1.0500000000000001E-2</v>
      </c>
      <c r="I840">
        <v>179.9992</v>
      </c>
      <c r="J840">
        <v>1.0500000000000001E-2</v>
      </c>
    </row>
    <row r="841" spans="1:10" x14ac:dyDescent="0.3">
      <c r="A841" t="s">
        <v>9</v>
      </c>
      <c r="B841" t="s">
        <v>957</v>
      </c>
      <c r="C841">
        <v>3</v>
      </c>
      <c r="D841">
        <v>1.47E-2</v>
      </c>
      <c r="E841">
        <v>6.5662511025467794</v>
      </c>
      <c r="F841">
        <v>659.97460275735989</v>
      </c>
      <c r="G841">
        <v>0.42399999999999999</v>
      </c>
      <c r="H841">
        <v>8.8999999999999999E-3</v>
      </c>
      <c r="I841">
        <v>180.19909999999999</v>
      </c>
      <c r="J841">
        <v>8.8999999999999999E-3</v>
      </c>
    </row>
    <row r="842" spans="1:10" x14ac:dyDescent="0.3">
      <c r="A842" t="s">
        <v>9</v>
      </c>
      <c r="B842" t="s">
        <v>958</v>
      </c>
      <c r="C842">
        <v>3</v>
      </c>
      <c r="D842">
        <v>1.38E-2</v>
      </c>
      <c r="E842">
        <v>6.4618111631835902</v>
      </c>
      <c r="F842">
        <v>650.24080040871058</v>
      </c>
      <c r="G842">
        <v>0.42399999999999999</v>
      </c>
      <c r="H842">
        <v>7.1999999999999998E-3</v>
      </c>
      <c r="I842">
        <v>180.40170000000001</v>
      </c>
      <c r="J842">
        <v>7.1999999999999998E-3</v>
      </c>
    </row>
    <row r="843" spans="1:10" x14ac:dyDescent="0.3">
      <c r="A843" t="s">
        <v>9</v>
      </c>
      <c r="B843" t="s">
        <v>959</v>
      </c>
      <c r="C843">
        <v>3</v>
      </c>
      <c r="D843">
        <v>1.21E-2</v>
      </c>
      <c r="E843">
        <v>6.3639085881749766</v>
      </c>
      <c r="F843">
        <v>641.11628041790789</v>
      </c>
      <c r="G843">
        <v>0.42399999999999999</v>
      </c>
      <c r="H843">
        <v>5.7000000000000002E-3</v>
      </c>
      <c r="I843">
        <v>180.60169999999999</v>
      </c>
      <c r="J843">
        <v>5.7000000000000002E-3</v>
      </c>
    </row>
    <row r="844" spans="1:10" x14ac:dyDescent="0.3">
      <c r="A844" t="s">
        <v>9</v>
      </c>
      <c r="B844" t="s">
        <v>960</v>
      </c>
      <c r="C844">
        <v>3</v>
      </c>
      <c r="D844">
        <v>0.01</v>
      </c>
      <c r="E844">
        <v>6.2743619949286726</v>
      </c>
      <c r="F844">
        <v>632.77053792735228</v>
      </c>
      <c r="G844">
        <v>0.42399999999999999</v>
      </c>
      <c r="H844">
        <v>4.3E-3</v>
      </c>
      <c r="I844">
        <v>180.79990000000001</v>
      </c>
      <c r="J844">
        <v>4.3E-3</v>
      </c>
    </row>
    <row r="845" spans="1:10" x14ac:dyDescent="0.3">
      <c r="A845" t="s">
        <v>9</v>
      </c>
      <c r="B845" t="s">
        <v>961</v>
      </c>
      <c r="C845">
        <v>3</v>
      </c>
      <c r="D845">
        <v>8.3999999999999995E-3</v>
      </c>
      <c r="E845">
        <v>6.193918422754412</v>
      </c>
      <c r="F845">
        <v>625.27319700071121</v>
      </c>
      <c r="G845">
        <v>0.42399999999999999</v>
      </c>
      <c r="H845">
        <v>3.0999999999999999E-3</v>
      </c>
      <c r="I845">
        <v>180.99930000000001</v>
      </c>
      <c r="J845">
        <v>3.0999999999999999E-3</v>
      </c>
    </row>
    <row r="846" spans="1:10" x14ac:dyDescent="0.3">
      <c r="A846" t="s">
        <v>9</v>
      </c>
      <c r="B846" t="s">
        <v>962</v>
      </c>
      <c r="C846">
        <v>3</v>
      </c>
      <c r="D846">
        <v>6.7000000000000002E-3</v>
      </c>
      <c r="E846">
        <v>6.1248329377751851</v>
      </c>
      <c r="F846">
        <v>618.83442980064729</v>
      </c>
      <c r="G846">
        <v>0.42399999999999999</v>
      </c>
      <c r="H846">
        <v>2E-3</v>
      </c>
      <c r="I846">
        <v>181.19990000000001</v>
      </c>
      <c r="J846">
        <v>2E-3</v>
      </c>
    </row>
    <row r="847" spans="1:10" x14ac:dyDescent="0.3">
      <c r="A847" t="s">
        <v>9</v>
      </c>
      <c r="B847" t="s">
        <v>963</v>
      </c>
      <c r="C847">
        <v>3</v>
      </c>
      <c r="D847">
        <v>5.0000000000000001E-3</v>
      </c>
      <c r="E847">
        <v>6.0693817311400613</v>
      </c>
      <c r="F847">
        <v>613.66637734225378</v>
      </c>
      <c r="G847">
        <v>0.42399999999999999</v>
      </c>
      <c r="H847">
        <v>1.1000000000000001E-3</v>
      </c>
      <c r="I847">
        <v>181.4</v>
      </c>
      <c r="J847">
        <v>1.1000000000000001E-3</v>
      </c>
    </row>
    <row r="848" spans="1:10" x14ac:dyDescent="0.3">
      <c r="A848" t="s">
        <v>9</v>
      </c>
      <c r="B848" t="s">
        <v>964</v>
      </c>
      <c r="C848">
        <v>3</v>
      </c>
      <c r="D848">
        <v>4.5999999999999999E-3</v>
      </c>
      <c r="E848">
        <v>6.0286581547263136</v>
      </c>
      <c r="F848">
        <v>609.87094002049253</v>
      </c>
      <c r="G848">
        <v>0.42399999999999999</v>
      </c>
      <c r="H848">
        <v>5.0000000000000001E-4</v>
      </c>
      <c r="I848">
        <v>181.6009</v>
      </c>
      <c r="J848">
        <v>5.0000000000000001E-4</v>
      </c>
    </row>
    <row r="849" spans="1:10" x14ac:dyDescent="0.3">
      <c r="A849" t="s">
        <v>9</v>
      </c>
      <c r="B849" t="s">
        <v>965</v>
      </c>
      <c r="C849">
        <v>3</v>
      </c>
      <c r="D849">
        <v>3.8E-3</v>
      </c>
      <c r="E849">
        <v>6.0040294518481119</v>
      </c>
      <c r="F849">
        <v>607.57554491224403</v>
      </c>
      <c r="G849">
        <v>0.42399999999999999</v>
      </c>
      <c r="H849">
        <v>1E-4</v>
      </c>
      <c r="I849">
        <v>181.80029999999999</v>
      </c>
      <c r="J849">
        <v>1E-4</v>
      </c>
    </row>
    <row r="850" spans="1:10" x14ac:dyDescent="0.3">
      <c r="A850" t="s">
        <v>9</v>
      </c>
      <c r="B850" t="s">
        <v>966</v>
      </c>
      <c r="C850">
        <v>3</v>
      </c>
      <c r="D850">
        <v>3.5999999999999999E-3</v>
      </c>
      <c r="E850">
        <v>5.9957334838115024</v>
      </c>
      <c r="F850">
        <v>606.80236069123202</v>
      </c>
      <c r="G850">
        <v>0.42399999999999999</v>
      </c>
      <c r="H850">
        <v>0</v>
      </c>
      <c r="I850">
        <v>181.99979999999999</v>
      </c>
      <c r="J850">
        <v>0</v>
      </c>
    </row>
    <row r="851" spans="1:10" x14ac:dyDescent="0.3">
      <c r="A851" t="s">
        <v>9</v>
      </c>
      <c r="B851" t="s">
        <v>967</v>
      </c>
      <c r="C851">
        <v>3</v>
      </c>
      <c r="D851">
        <v>3.2000000000000002E-3</v>
      </c>
      <c r="E851">
        <v>6.0039236766935691</v>
      </c>
      <c r="F851">
        <v>709.77235691821977</v>
      </c>
      <c r="G851">
        <v>0.42399999999999999</v>
      </c>
      <c r="H851">
        <v>1E-4</v>
      </c>
      <c r="I851">
        <v>182.19839999999999</v>
      </c>
      <c r="J851">
        <v>1E-4</v>
      </c>
    </row>
    <row r="852" spans="1:10" x14ac:dyDescent="0.3">
      <c r="A852" t="s">
        <v>9</v>
      </c>
      <c r="B852" t="s">
        <v>968</v>
      </c>
      <c r="C852">
        <v>3</v>
      </c>
      <c r="D852">
        <v>3.0000000000000001E-3</v>
      </c>
      <c r="E852">
        <v>6.0289900609181117</v>
      </c>
      <c r="F852">
        <v>712.15115678112886</v>
      </c>
      <c r="G852">
        <v>0.42399999999999999</v>
      </c>
      <c r="H852">
        <v>5.0000000000000001E-4</v>
      </c>
      <c r="I852">
        <v>182.40110000000001</v>
      </c>
      <c r="J852">
        <v>5.0000000000000001E-4</v>
      </c>
    </row>
    <row r="853" spans="1:10" x14ac:dyDescent="0.3">
      <c r="A853" t="s">
        <v>9</v>
      </c>
      <c r="B853" t="s">
        <v>969</v>
      </c>
      <c r="C853">
        <v>3</v>
      </c>
      <c r="D853">
        <v>3.0000000000000001E-3</v>
      </c>
      <c r="E853">
        <v>6.0693542807702876</v>
      </c>
      <c r="F853">
        <v>715.9817212451004</v>
      </c>
      <c r="G853">
        <v>0.42399999999999999</v>
      </c>
      <c r="H853">
        <v>1.1000000000000001E-3</v>
      </c>
      <c r="I853">
        <v>182.59989999999999</v>
      </c>
      <c r="J853">
        <v>1.1000000000000001E-3</v>
      </c>
    </row>
    <row r="854" spans="1:10" x14ac:dyDescent="0.3">
      <c r="A854" t="s">
        <v>9</v>
      </c>
      <c r="B854" t="s">
        <v>970</v>
      </c>
      <c r="C854">
        <v>3</v>
      </c>
      <c r="D854">
        <v>3.0000000000000001E-3</v>
      </c>
      <c r="E854">
        <v>6.1248458317450352</v>
      </c>
      <c r="F854">
        <v>721.24786943260392</v>
      </c>
      <c r="G854">
        <v>0.42399999999999999</v>
      </c>
      <c r="H854">
        <v>2E-3</v>
      </c>
      <c r="I854">
        <v>182.80019999999999</v>
      </c>
      <c r="J854">
        <v>2E-3</v>
      </c>
    </row>
    <row r="855" spans="1:10" x14ac:dyDescent="0.3">
      <c r="A855" t="s">
        <v>9</v>
      </c>
      <c r="B855" t="s">
        <v>971</v>
      </c>
      <c r="C855">
        <v>3</v>
      </c>
      <c r="D855">
        <v>3.0000000000000001E-3</v>
      </c>
      <c r="E855">
        <v>6.1935766514592681</v>
      </c>
      <c r="F855">
        <v>727.77042422348461</v>
      </c>
      <c r="G855">
        <v>0.42399999999999999</v>
      </c>
      <c r="H855">
        <v>3.0999999999999999E-3</v>
      </c>
      <c r="I855">
        <v>182.99979999999999</v>
      </c>
      <c r="J855">
        <v>3.0999999999999999E-3</v>
      </c>
    </row>
    <row r="856" spans="1:10" x14ac:dyDescent="0.3">
      <c r="A856" t="s">
        <v>9</v>
      </c>
      <c r="B856" t="s">
        <v>972</v>
      </c>
      <c r="C856">
        <v>3</v>
      </c>
      <c r="D856">
        <v>3.0000000000000001E-3</v>
      </c>
      <c r="E856">
        <v>6.2748304758331797</v>
      </c>
      <c r="F856">
        <v>735.48141215656881</v>
      </c>
      <c r="G856">
        <v>0.42399999999999999</v>
      </c>
      <c r="H856">
        <v>4.3E-3</v>
      </c>
      <c r="I856">
        <v>183.2012</v>
      </c>
      <c r="J856">
        <v>4.3E-3</v>
      </c>
    </row>
    <row r="857" spans="1:10" x14ac:dyDescent="0.3">
      <c r="A857" t="s">
        <v>9</v>
      </c>
      <c r="B857" t="s">
        <v>973</v>
      </c>
      <c r="C857">
        <v>3</v>
      </c>
      <c r="D857">
        <v>3.0000000000000001E-3</v>
      </c>
      <c r="E857">
        <v>6.3654349017190617</v>
      </c>
      <c r="F857">
        <v>744.07977217313896</v>
      </c>
      <c r="G857">
        <v>0.42399999999999999</v>
      </c>
      <c r="H857">
        <v>5.7000000000000002E-3</v>
      </c>
      <c r="I857">
        <v>183.4015</v>
      </c>
      <c r="J857">
        <v>5.7000000000000002E-3</v>
      </c>
    </row>
    <row r="858" spans="1:10" x14ac:dyDescent="0.3">
      <c r="A858" t="s">
        <v>9</v>
      </c>
      <c r="B858" t="s">
        <v>974</v>
      </c>
      <c r="C858">
        <v>3</v>
      </c>
      <c r="D858">
        <v>3.0999999999999999E-3</v>
      </c>
      <c r="E858">
        <v>6.4630973164024716</v>
      </c>
      <c r="F858">
        <v>753.34793532659455</v>
      </c>
      <c r="G858">
        <v>0.42399999999999999</v>
      </c>
      <c r="H858">
        <v>7.3000000000000001E-3</v>
      </c>
      <c r="I858">
        <v>183.60079999999999</v>
      </c>
      <c r="J858">
        <v>7.3000000000000001E-3</v>
      </c>
    </row>
    <row r="859" spans="1:10" x14ac:dyDescent="0.3">
      <c r="A859" t="s">
        <v>9</v>
      </c>
      <c r="B859" t="s">
        <v>975</v>
      </c>
      <c r="C859">
        <v>3</v>
      </c>
      <c r="D859">
        <v>3.7000000000000002E-3</v>
      </c>
      <c r="E859">
        <v>6.5660897251882941</v>
      </c>
      <c r="F859">
        <v>763.12191492036914</v>
      </c>
      <c r="G859">
        <v>0.42399999999999999</v>
      </c>
      <c r="H859">
        <v>8.8999999999999999E-3</v>
      </c>
      <c r="I859">
        <v>183.8005</v>
      </c>
      <c r="J859">
        <v>8.8999999999999999E-3</v>
      </c>
    </row>
    <row r="860" spans="1:10" x14ac:dyDescent="0.3">
      <c r="A860" t="s">
        <v>9</v>
      </c>
      <c r="B860" t="s">
        <v>976</v>
      </c>
      <c r="C860">
        <v>3</v>
      </c>
      <c r="D860">
        <v>4.7999999999999996E-3</v>
      </c>
      <c r="E860">
        <v>6.6706504948349723</v>
      </c>
      <c r="F860">
        <v>773.04473195983894</v>
      </c>
      <c r="G860">
        <v>0.42399999999999999</v>
      </c>
      <c r="H860">
        <v>1.0500000000000001E-2</v>
      </c>
      <c r="I860">
        <v>183.9984</v>
      </c>
      <c r="J860">
        <v>1.0500000000000001E-2</v>
      </c>
    </row>
    <row r="861" spans="1:10" x14ac:dyDescent="0.3">
      <c r="A861" t="s">
        <v>9</v>
      </c>
      <c r="B861" t="s">
        <v>977</v>
      </c>
      <c r="C861">
        <v>3</v>
      </c>
      <c r="D861">
        <v>6.3E-3</v>
      </c>
      <c r="E861">
        <v>6.7777584317329191</v>
      </c>
      <c r="F861">
        <v>783.20927517145401</v>
      </c>
      <c r="G861">
        <v>0.42399999999999999</v>
      </c>
      <c r="H861">
        <v>1.2200000000000001E-2</v>
      </c>
      <c r="I861">
        <v>184.20099999999999</v>
      </c>
      <c r="J861">
        <v>1.2200000000000001E-2</v>
      </c>
    </row>
    <row r="862" spans="1:10" x14ac:dyDescent="0.3">
      <c r="A862" t="s">
        <v>9</v>
      </c>
      <c r="B862" t="s">
        <v>978</v>
      </c>
      <c r="C862">
        <v>3</v>
      </c>
      <c r="D862">
        <v>8.3999999999999995E-3</v>
      </c>
      <c r="E862">
        <v>6.8797987951978294</v>
      </c>
      <c r="F862">
        <v>792.89290566427394</v>
      </c>
      <c r="G862">
        <v>0.42399999999999999</v>
      </c>
      <c r="H862">
        <v>1.37E-2</v>
      </c>
      <c r="I862">
        <v>184.3989</v>
      </c>
      <c r="J862">
        <v>1.37E-2</v>
      </c>
    </row>
    <row r="863" spans="1:10" x14ac:dyDescent="0.3">
      <c r="A863" t="s">
        <v>9</v>
      </c>
      <c r="B863" t="s">
        <v>979</v>
      </c>
      <c r="C863">
        <v>3</v>
      </c>
      <c r="D863">
        <v>1.0200000000000001E-2</v>
      </c>
      <c r="E863">
        <v>6.9787198721832739</v>
      </c>
      <c r="F863">
        <v>802.28051587019274</v>
      </c>
      <c r="G863">
        <v>0.42399999999999999</v>
      </c>
      <c r="H863">
        <v>1.5299999999999999E-2</v>
      </c>
      <c r="I863">
        <v>184.60079999999999</v>
      </c>
      <c r="J863">
        <v>1.5299999999999999E-2</v>
      </c>
    </row>
    <row r="864" spans="1:10" x14ac:dyDescent="0.3">
      <c r="A864" t="s">
        <v>9</v>
      </c>
      <c r="B864" t="s">
        <v>980</v>
      </c>
      <c r="C864">
        <v>3</v>
      </c>
      <c r="D864">
        <v>1.1299999999999999E-2</v>
      </c>
      <c r="E864">
        <v>7.0682368660648276</v>
      </c>
      <c r="F864">
        <v>810.77567858955217</v>
      </c>
      <c r="G864">
        <v>0.42399999999999999</v>
      </c>
      <c r="H864">
        <v>1.67E-2</v>
      </c>
      <c r="I864">
        <v>184.7988</v>
      </c>
      <c r="J864">
        <v>1.67E-2</v>
      </c>
    </row>
    <row r="865" spans="1:10" x14ac:dyDescent="0.3">
      <c r="A865" t="s">
        <v>9</v>
      </c>
      <c r="B865" t="s">
        <v>981</v>
      </c>
      <c r="C865">
        <v>3</v>
      </c>
      <c r="D865">
        <v>1.23E-2</v>
      </c>
      <c r="E865">
        <v>7.1489908260981876</v>
      </c>
      <c r="F865">
        <v>818.43922939671802</v>
      </c>
      <c r="G865">
        <v>0.42399999999999999</v>
      </c>
      <c r="H865">
        <v>1.7899999999999999E-2</v>
      </c>
      <c r="I865">
        <v>184.999</v>
      </c>
      <c r="J865">
        <v>1.7899999999999999E-2</v>
      </c>
    </row>
    <row r="866" spans="1:10" x14ac:dyDescent="0.3">
      <c r="A866" t="s">
        <v>9</v>
      </c>
      <c r="B866" t="s">
        <v>982</v>
      </c>
      <c r="C866">
        <v>3</v>
      </c>
      <c r="D866">
        <v>1.41E-2</v>
      </c>
      <c r="E866">
        <v>7.3143450416990508</v>
      </c>
      <c r="F866">
        <v>834.13134445723995</v>
      </c>
      <c r="G866">
        <v>0.42399999999999999</v>
      </c>
      <c r="H866">
        <v>2.0500000000000001E-2</v>
      </c>
      <c r="I866">
        <v>185.60069999999999</v>
      </c>
      <c r="J866">
        <v>2.0500000000000001E-2</v>
      </c>
    </row>
    <row r="867" spans="1:10" x14ac:dyDescent="0.3">
      <c r="A867" t="s">
        <v>9</v>
      </c>
      <c r="B867" t="s">
        <v>983</v>
      </c>
      <c r="C867">
        <v>3</v>
      </c>
      <c r="D867">
        <v>1.55E-2</v>
      </c>
      <c r="E867">
        <v>7.3390674042657889</v>
      </c>
      <c r="F867">
        <v>836.47749666482343</v>
      </c>
      <c r="G867">
        <v>0.42399999999999999</v>
      </c>
      <c r="H867">
        <v>2.0899999999999998E-2</v>
      </c>
      <c r="I867">
        <v>185.80099999999999</v>
      </c>
      <c r="J867">
        <v>2.0899999999999998E-2</v>
      </c>
    </row>
    <row r="868" spans="1:10" x14ac:dyDescent="0.3">
      <c r="A868" t="s">
        <v>9</v>
      </c>
      <c r="B868" t="s">
        <v>984</v>
      </c>
      <c r="C868">
        <v>3</v>
      </c>
      <c r="D868">
        <v>1.66E-2</v>
      </c>
      <c r="E868">
        <v>7.3473025151975344</v>
      </c>
      <c r="F868">
        <v>837.25900869224608</v>
      </c>
      <c r="G868">
        <v>0.42399999999999999</v>
      </c>
      <c r="H868">
        <v>2.1000000000000001E-2</v>
      </c>
      <c r="I868">
        <v>186.00049999999999</v>
      </c>
      <c r="J868">
        <v>2.1000000000000001E-2</v>
      </c>
    </row>
    <row r="869" spans="1:10" x14ac:dyDescent="0.3">
      <c r="A869" t="s">
        <v>9</v>
      </c>
      <c r="B869" t="s">
        <v>985</v>
      </c>
      <c r="C869">
        <v>3</v>
      </c>
      <c r="D869">
        <v>1.7000000000000001E-2</v>
      </c>
      <c r="E869">
        <v>7.3390426705500396</v>
      </c>
      <c r="F869">
        <v>731.99877689526375</v>
      </c>
      <c r="G869">
        <v>0.42399999999999999</v>
      </c>
      <c r="H869">
        <v>2.0899999999999998E-2</v>
      </c>
      <c r="I869">
        <v>186.19929999999999</v>
      </c>
      <c r="J869">
        <v>2.0899999999999998E-2</v>
      </c>
    </row>
    <row r="870" spans="1:10" x14ac:dyDescent="0.3">
      <c r="A870" t="s">
        <v>9</v>
      </c>
      <c r="B870" t="s">
        <v>986</v>
      </c>
      <c r="C870">
        <v>3</v>
      </c>
      <c r="D870">
        <v>1.7000000000000001E-2</v>
      </c>
      <c r="E870">
        <v>7.3143344994595516</v>
      </c>
      <c r="F870">
        <v>729.6959753496302</v>
      </c>
      <c r="G870">
        <v>0.42399999999999999</v>
      </c>
      <c r="H870">
        <v>2.0500000000000001E-2</v>
      </c>
      <c r="I870">
        <v>186.39930000000001</v>
      </c>
      <c r="J870">
        <v>2.0500000000000001E-2</v>
      </c>
    </row>
    <row r="871" spans="1:10" x14ac:dyDescent="0.3">
      <c r="A871" t="s">
        <v>9</v>
      </c>
      <c r="B871" t="s">
        <v>987</v>
      </c>
      <c r="C871">
        <v>3</v>
      </c>
      <c r="D871">
        <v>1.7000000000000001E-2</v>
      </c>
      <c r="E871">
        <v>5.9957334838115024</v>
      </c>
      <c r="F871">
        <v>606.80236069123202</v>
      </c>
      <c r="G871">
        <v>0.42399999999999999</v>
      </c>
      <c r="H871">
        <v>0</v>
      </c>
      <c r="I871">
        <v>186.6003</v>
      </c>
      <c r="J871">
        <v>0</v>
      </c>
    </row>
    <row r="872" spans="1:10" x14ac:dyDescent="0.3">
      <c r="A872" t="s">
        <v>9</v>
      </c>
      <c r="B872" t="s">
        <v>988</v>
      </c>
      <c r="C872">
        <v>3</v>
      </c>
      <c r="D872">
        <v>1.2200000000000001E-2</v>
      </c>
      <c r="E872">
        <v>5.9957334838115024</v>
      </c>
      <c r="F872">
        <v>606.80236069123202</v>
      </c>
      <c r="G872">
        <v>0.42399999999999999</v>
      </c>
      <c r="H872">
        <v>0</v>
      </c>
      <c r="I872">
        <v>186.79839999999999</v>
      </c>
      <c r="J872">
        <v>0</v>
      </c>
    </row>
    <row r="873" spans="1:10" x14ac:dyDescent="0.3">
      <c r="A873" t="s">
        <v>9</v>
      </c>
      <c r="B873" t="s">
        <v>989</v>
      </c>
      <c r="C873">
        <v>3</v>
      </c>
      <c r="D873">
        <v>8.2000000000000007E-3</v>
      </c>
      <c r="E873">
        <v>5.9957334838115024</v>
      </c>
      <c r="F873">
        <v>606.80236069123202</v>
      </c>
      <c r="G873">
        <v>0.42399999999999999</v>
      </c>
      <c r="H873">
        <v>0</v>
      </c>
      <c r="I873">
        <v>186.99850000000001</v>
      </c>
      <c r="J873">
        <v>0</v>
      </c>
    </row>
    <row r="874" spans="1:10" x14ac:dyDescent="0.3">
      <c r="A874" t="s">
        <v>9</v>
      </c>
      <c r="B874" t="s">
        <v>990</v>
      </c>
      <c r="C874">
        <v>3</v>
      </c>
      <c r="D874">
        <v>5.0000000000000001E-3</v>
      </c>
      <c r="E874">
        <v>5.9957334838115024</v>
      </c>
      <c r="F874">
        <v>606.80236069123202</v>
      </c>
      <c r="G874">
        <v>0.42399999999999999</v>
      </c>
      <c r="H874">
        <v>0</v>
      </c>
      <c r="I874">
        <v>187.1986</v>
      </c>
      <c r="J874">
        <v>0</v>
      </c>
    </row>
    <row r="875" spans="1:10" x14ac:dyDescent="0.3">
      <c r="A875" t="s">
        <v>9</v>
      </c>
      <c r="B875" t="s">
        <v>991</v>
      </c>
      <c r="C875">
        <v>3</v>
      </c>
      <c r="D875">
        <v>3.8999999999999998E-3</v>
      </c>
      <c r="E875">
        <v>5.9957334838115024</v>
      </c>
      <c r="F875">
        <v>606.80236069123202</v>
      </c>
      <c r="G875">
        <v>0.42399999999999999</v>
      </c>
      <c r="H875">
        <v>0</v>
      </c>
      <c r="I875">
        <v>187.39920000000001</v>
      </c>
      <c r="J875">
        <v>0</v>
      </c>
    </row>
    <row r="876" spans="1:10" x14ac:dyDescent="0.3">
      <c r="A876" t="s">
        <v>9</v>
      </c>
      <c r="B876" t="s">
        <v>992</v>
      </c>
      <c r="C876">
        <v>3</v>
      </c>
      <c r="D876">
        <v>3.3E-3</v>
      </c>
      <c r="E876">
        <v>5.9957334838115024</v>
      </c>
      <c r="F876">
        <v>606.80236069123202</v>
      </c>
      <c r="G876">
        <v>0.42399999999999999</v>
      </c>
      <c r="H876">
        <v>0</v>
      </c>
      <c r="I876">
        <v>187.6003</v>
      </c>
      <c r="J876">
        <v>0</v>
      </c>
    </row>
    <row r="877" spans="1:10" x14ac:dyDescent="0.3">
      <c r="A877" t="s">
        <v>9</v>
      </c>
      <c r="B877" t="s">
        <v>993</v>
      </c>
      <c r="C877">
        <v>3</v>
      </c>
      <c r="D877">
        <v>3.2000000000000002E-3</v>
      </c>
      <c r="E877">
        <v>5.9957334838115024</v>
      </c>
      <c r="F877">
        <v>606.80236069123202</v>
      </c>
      <c r="G877">
        <v>0.42399999999999999</v>
      </c>
      <c r="H877">
        <v>0</v>
      </c>
      <c r="I877">
        <v>187.7987</v>
      </c>
      <c r="J877">
        <v>0</v>
      </c>
    </row>
    <row r="878" spans="1:10" x14ac:dyDescent="0.3">
      <c r="A878" t="s">
        <v>9</v>
      </c>
      <c r="B878" t="s">
        <v>994</v>
      </c>
      <c r="C878">
        <v>3</v>
      </c>
      <c r="D878">
        <v>3.2000000000000002E-3</v>
      </c>
      <c r="E878">
        <v>5.9957334838115024</v>
      </c>
      <c r="F878">
        <v>606.80236069123202</v>
      </c>
      <c r="G878">
        <v>0.42399999999999999</v>
      </c>
      <c r="H878">
        <v>0</v>
      </c>
      <c r="I878">
        <v>187.99959999999999</v>
      </c>
      <c r="J878">
        <v>0</v>
      </c>
    </row>
    <row r="879" spans="1:10" x14ac:dyDescent="0.3">
      <c r="A879" t="s">
        <v>9</v>
      </c>
      <c r="B879" t="s">
        <v>995</v>
      </c>
      <c r="C879">
        <v>3</v>
      </c>
      <c r="D879">
        <v>3.3E-3</v>
      </c>
      <c r="E879">
        <v>5.9957334838115024</v>
      </c>
      <c r="F879">
        <v>606.80236069123202</v>
      </c>
      <c r="G879">
        <v>0.42399999999999999</v>
      </c>
      <c r="H879">
        <v>0</v>
      </c>
      <c r="I879">
        <v>188.1995</v>
      </c>
      <c r="J879">
        <v>0</v>
      </c>
    </row>
    <row r="880" spans="1:10" x14ac:dyDescent="0.3">
      <c r="A880" t="s">
        <v>9</v>
      </c>
      <c r="B880" t="s">
        <v>996</v>
      </c>
      <c r="C880">
        <v>3</v>
      </c>
      <c r="D880">
        <v>3.2000000000000002E-3</v>
      </c>
      <c r="E880">
        <v>5.9957334838115024</v>
      </c>
      <c r="F880">
        <v>606.80236069123202</v>
      </c>
      <c r="G880">
        <v>0.42399999999999999</v>
      </c>
      <c r="H880">
        <v>0</v>
      </c>
      <c r="I880">
        <v>188.39930000000001</v>
      </c>
      <c r="J880">
        <v>0</v>
      </c>
    </row>
    <row r="881" spans="1:10" x14ac:dyDescent="0.3">
      <c r="A881" t="s">
        <v>9</v>
      </c>
      <c r="B881" t="s">
        <v>997</v>
      </c>
      <c r="C881">
        <v>3</v>
      </c>
      <c r="D881">
        <v>3.2000000000000002E-3</v>
      </c>
      <c r="E881">
        <v>5.9957334838115024</v>
      </c>
      <c r="F881">
        <v>606.80236069123202</v>
      </c>
      <c r="G881">
        <v>0.42399999999999999</v>
      </c>
      <c r="H881">
        <v>0</v>
      </c>
      <c r="I881">
        <v>188.5986</v>
      </c>
      <c r="J881">
        <v>0</v>
      </c>
    </row>
    <row r="882" spans="1:10" x14ac:dyDescent="0.3">
      <c r="A882" t="s">
        <v>9</v>
      </c>
      <c r="B882" t="s">
        <v>998</v>
      </c>
      <c r="C882">
        <v>3</v>
      </c>
      <c r="D882">
        <v>3.2000000000000002E-3</v>
      </c>
      <c r="E882">
        <v>5.9957334838115024</v>
      </c>
      <c r="F882">
        <v>606.80236069123202</v>
      </c>
      <c r="G882">
        <v>0.42399999999999999</v>
      </c>
      <c r="H882">
        <v>0</v>
      </c>
      <c r="I882">
        <v>188.8005</v>
      </c>
      <c r="J882">
        <v>0</v>
      </c>
    </row>
    <row r="883" spans="1:10" x14ac:dyDescent="0.3">
      <c r="A883" t="s">
        <v>9</v>
      </c>
      <c r="B883" t="s">
        <v>999</v>
      </c>
      <c r="C883">
        <v>3</v>
      </c>
      <c r="D883">
        <v>3.2000000000000002E-3</v>
      </c>
      <c r="E883">
        <v>5.9957334838115024</v>
      </c>
      <c r="F883">
        <v>606.80236069123202</v>
      </c>
      <c r="G883">
        <v>0.42399999999999999</v>
      </c>
      <c r="H883">
        <v>0</v>
      </c>
      <c r="I883">
        <v>188.9991</v>
      </c>
      <c r="J883">
        <v>0</v>
      </c>
    </row>
    <row r="884" spans="1:10" x14ac:dyDescent="0.3">
      <c r="A884" t="s">
        <v>9</v>
      </c>
      <c r="B884" t="s">
        <v>1000</v>
      </c>
      <c r="C884">
        <v>3</v>
      </c>
      <c r="D884">
        <v>3.2000000000000002E-3</v>
      </c>
      <c r="E884">
        <v>5.9957334838115024</v>
      </c>
      <c r="F884">
        <v>606.80236069123202</v>
      </c>
      <c r="G884">
        <v>0.42399999999999999</v>
      </c>
      <c r="H884">
        <v>0</v>
      </c>
      <c r="I884">
        <v>189.19900000000001</v>
      </c>
      <c r="J884">
        <v>0</v>
      </c>
    </row>
    <row r="885" spans="1:10" x14ac:dyDescent="0.3">
      <c r="A885" t="s">
        <v>9</v>
      </c>
      <c r="B885" t="s">
        <v>1001</v>
      </c>
      <c r="C885">
        <v>3</v>
      </c>
      <c r="D885">
        <v>3.2000000000000002E-3</v>
      </c>
      <c r="E885">
        <v>6.0693481987090401</v>
      </c>
      <c r="F885">
        <v>715.98114405748788</v>
      </c>
      <c r="G885">
        <v>0.42399999999999999</v>
      </c>
      <c r="H885">
        <v>1.1000000000000001E-3</v>
      </c>
      <c r="I885">
        <v>189.40020000000001</v>
      </c>
      <c r="J885">
        <v>1.1000000000000001E-3</v>
      </c>
    </row>
    <row r="886" spans="1:10" x14ac:dyDescent="0.3">
      <c r="A886" t="s">
        <v>9</v>
      </c>
      <c r="B886" t="s">
        <v>1002</v>
      </c>
      <c r="C886">
        <v>3</v>
      </c>
      <c r="D886">
        <v>3.3E-3</v>
      </c>
      <c r="E886">
        <v>6.0288933115424621</v>
      </c>
      <c r="F886">
        <v>609.89285663575754</v>
      </c>
      <c r="G886">
        <v>0.42399999999999999</v>
      </c>
      <c r="H886">
        <v>5.0000000000000001E-4</v>
      </c>
      <c r="I886">
        <v>189.59950000000001</v>
      </c>
      <c r="J886">
        <v>5.0000000000000001E-4</v>
      </c>
    </row>
    <row r="887" spans="1:10" x14ac:dyDescent="0.3">
      <c r="A887" t="s">
        <v>9</v>
      </c>
      <c r="B887" t="s">
        <v>1003</v>
      </c>
      <c r="C887">
        <v>3</v>
      </c>
      <c r="D887">
        <v>3.2000000000000002E-3</v>
      </c>
      <c r="E887">
        <v>6.0038147185936381</v>
      </c>
      <c r="F887">
        <v>607.55553177292711</v>
      </c>
      <c r="G887">
        <v>0.42399999999999999</v>
      </c>
      <c r="H887">
        <v>1E-4</v>
      </c>
      <c r="I887">
        <v>189.80289999999999</v>
      </c>
      <c r="J887">
        <v>1E-4</v>
      </c>
    </row>
    <row r="888" spans="1:10" x14ac:dyDescent="0.3">
      <c r="A888" t="s">
        <v>9</v>
      </c>
      <c r="B888" t="s">
        <v>1004</v>
      </c>
      <c r="C888">
        <v>3</v>
      </c>
      <c r="D888">
        <v>3.2000000000000002E-3</v>
      </c>
      <c r="E888">
        <v>5.9957340880099554</v>
      </c>
      <c r="F888">
        <v>606.80241700252782</v>
      </c>
      <c r="G888">
        <v>0.42399999999999999</v>
      </c>
      <c r="H888">
        <v>0</v>
      </c>
      <c r="I888">
        <v>189.9983</v>
      </c>
      <c r="J888">
        <v>0</v>
      </c>
    </row>
    <row r="889" spans="1:10" x14ac:dyDescent="0.3">
      <c r="A889" t="s">
        <v>9</v>
      </c>
      <c r="B889" t="s">
        <v>1005</v>
      </c>
      <c r="C889">
        <v>3</v>
      </c>
      <c r="D889">
        <v>3.2000000000000002E-3</v>
      </c>
      <c r="E889">
        <v>6.0040492712583706</v>
      </c>
      <c r="F889">
        <v>709.78427584241945</v>
      </c>
      <c r="G889">
        <v>0.42399999999999999</v>
      </c>
      <c r="H889">
        <v>1E-4</v>
      </c>
      <c r="I889">
        <v>190.2</v>
      </c>
      <c r="J889">
        <v>1E-4</v>
      </c>
    </row>
    <row r="890" spans="1:10" x14ac:dyDescent="0.3">
      <c r="A890" t="s">
        <v>9</v>
      </c>
      <c r="B890" t="s">
        <v>1006</v>
      </c>
      <c r="C890">
        <v>4</v>
      </c>
      <c r="D890">
        <v>3.2000000000000002E-3</v>
      </c>
      <c r="E890">
        <v>6.0286845346533058</v>
      </c>
      <c r="F890">
        <v>712.12216233859874</v>
      </c>
      <c r="G890">
        <v>0.42399999999999999</v>
      </c>
      <c r="H890">
        <v>5.0000000000000001E-4</v>
      </c>
      <c r="I890">
        <v>190.39920000000001</v>
      </c>
      <c r="J890">
        <v>5.0000000000000001E-4</v>
      </c>
    </row>
    <row r="891" spans="1:10" x14ac:dyDescent="0.3">
      <c r="A891" t="s">
        <v>9</v>
      </c>
      <c r="B891" t="s">
        <v>1007</v>
      </c>
      <c r="C891">
        <v>4</v>
      </c>
      <c r="D891">
        <v>3.2000000000000002E-3</v>
      </c>
      <c r="E891">
        <v>6.0692755383506469</v>
      </c>
      <c r="F891">
        <v>715.97424858947647</v>
      </c>
      <c r="G891">
        <v>0.42399999999999999</v>
      </c>
      <c r="H891">
        <v>1.1000000000000001E-3</v>
      </c>
      <c r="I891">
        <v>190.59950000000001</v>
      </c>
      <c r="J891">
        <v>1.1000000000000001E-3</v>
      </c>
    </row>
    <row r="892" spans="1:10" x14ac:dyDescent="0.3">
      <c r="A892" t="s">
        <v>9</v>
      </c>
      <c r="B892" t="s">
        <v>1008</v>
      </c>
      <c r="C892">
        <v>4</v>
      </c>
      <c r="D892">
        <v>3.2000000000000002E-3</v>
      </c>
      <c r="E892">
        <v>6.1244712578662188</v>
      </c>
      <c r="F892">
        <v>721.21232237150423</v>
      </c>
      <c r="G892">
        <v>0.42399999999999999</v>
      </c>
      <c r="H892">
        <v>2E-3</v>
      </c>
      <c r="I892">
        <v>190.79900000000001</v>
      </c>
      <c r="J892">
        <v>2E-3</v>
      </c>
    </row>
    <row r="893" spans="1:10" x14ac:dyDescent="0.3">
      <c r="A893" t="s">
        <v>9</v>
      </c>
      <c r="B893" t="s">
        <v>1009</v>
      </c>
      <c r="C893">
        <v>4</v>
      </c>
      <c r="D893">
        <v>3.2000000000000002E-3</v>
      </c>
      <c r="E893">
        <v>6.1937746833735501</v>
      </c>
      <c r="F893">
        <v>727.78921745214996</v>
      </c>
      <c r="G893">
        <v>0.42399999999999999</v>
      </c>
      <c r="H893">
        <v>3.0999999999999999E-3</v>
      </c>
      <c r="I893">
        <v>191.00030000000001</v>
      </c>
      <c r="J893">
        <v>3.0999999999999999E-3</v>
      </c>
    </row>
    <row r="894" spans="1:10" x14ac:dyDescent="0.3">
      <c r="A894" t="s">
        <v>9</v>
      </c>
      <c r="B894" t="s">
        <v>1010</v>
      </c>
      <c r="C894">
        <v>4</v>
      </c>
      <c r="D894">
        <v>3.2000000000000002E-3</v>
      </c>
      <c r="E894">
        <v>6.2744896371207606</v>
      </c>
      <c r="F894">
        <v>735.44906656276032</v>
      </c>
      <c r="G894">
        <v>0.42399999999999999</v>
      </c>
      <c r="H894">
        <v>4.3E-3</v>
      </c>
      <c r="I894">
        <v>191.2004</v>
      </c>
      <c r="J894">
        <v>4.3E-3</v>
      </c>
    </row>
    <row r="895" spans="1:10" x14ac:dyDescent="0.3">
      <c r="A895" t="s">
        <v>9</v>
      </c>
      <c r="B895" t="s">
        <v>1011</v>
      </c>
      <c r="C895">
        <v>4</v>
      </c>
      <c r="D895">
        <v>3.2000000000000002E-3</v>
      </c>
      <c r="E895">
        <v>6.364793082068946</v>
      </c>
      <c r="F895">
        <v>744.01886348834296</v>
      </c>
      <c r="G895">
        <v>0.42399999999999999</v>
      </c>
      <c r="H895">
        <v>5.7000000000000002E-3</v>
      </c>
      <c r="I895">
        <v>191.40020000000001</v>
      </c>
      <c r="J895">
        <v>5.7000000000000002E-3</v>
      </c>
    </row>
    <row r="896" spans="1:10" x14ac:dyDescent="0.3">
      <c r="A896" t="s">
        <v>9</v>
      </c>
      <c r="B896" t="s">
        <v>1012</v>
      </c>
      <c r="C896">
        <v>4</v>
      </c>
      <c r="D896">
        <v>3.3E-3</v>
      </c>
      <c r="E896">
        <v>6.4634127726459436</v>
      </c>
      <c r="F896">
        <v>753.37787212410012</v>
      </c>
      <c r="G896">
        <v>0.42399999999999999</v>
      </c>
      <c r="H896">
        <v>7.3000000000000001E-3</v>
      </c>
      <c r="I896">
        <v>191.60140000000001</v>
      </c>
      <c r="J896">
        <v>7.3000000000000001E-3</v>
      </c>
    </row>
    <row r="897" spans="1:10" x14ac:dyDescent="0.3">
      <c r="A897" t="s">
        <v>9</v>
      </c>
      <c r="B897" t="s">
        <v>1013</v>
      </c>
      <c r="C897">
        <v>4</v>
      </c>
      <c r="D897">
        <v>3.5000000000000001E-3</v>
      </c>
      <c r="E897">
        <v>6.5660710735337959</v>
      </c>
      <c r="F897">
        <v>763.12014487835722</v>
      </c>
      <c r="G897">
        <v>0.42399999999999999</v>
      </c>
      <c r="H897">
        <v>8.8999999999999999E-3</v>
      </c>
      <c r="I897">
        <v>191.8005</v>
      </c>
      <c r="J897">
        <v>8.8999999999999999E-3</v>
      </c>
    </row>
    <row r="898" spans="1:10" x14ac:dyDescent="0.3">
      <c r="A898" t="s">
        <v>9</v>
      </c>
      <c r="B898" t="s">
        <v>1014</v>
      </c>
      <c r="C898">
        <v>4</v>
      </c>
      <c r="D898">
        <v>4.3E-3</v>
      </c>
      <c r="E898">
        <v>6.6710129856854401</v>
      </c>
      <c r="F898">
        <v>773.0791323415483</v>
      </c>
      <c r="G898">
        <v>0.42399999999999999</v>
      </c>
      <c r="H898">
        <v>1.0500000000000001E-2</v>
      </c>
      <c r="I898">
        <v>191.999</v>
      </c>
      <c r="J898">
        <v>1.0500000000000001E-2</v>
      </c>
    </row>
    <row r="899" spans="1:10" x14ac:dyDescent="0.3">
      <c r="A899" t="s">
        <v>9</v>
      </c>
      <c r="B899" t="s">
        <v>1015</v>
      </c>
      <c r="C899">
        <v>4</v>
      </c>
      <c r="D899">
        <v>6.1000000000000004E-3</v>
      </c>
      <c r="E899">
        <v>6.7770066889624871</v>
      </c>
      <c r="F899">
        <v>783.13793478254001</v>
      </c>
      <c r="G899">
        <v>0.42399999999999999</v>
      </c>
      <c r="H899">
        <v>1.21E-2</v>
      </c>
      <c r="I899">
        <v>192.1996</v>
      </c>
      <c r="J899">
        <v>1.21E-2</v>
      </c>
    </row>
    <row r="900" spans="1:10" x14ac:dyDescent="0.3">
      <c r="A900" t="s">
        <v>9</v>
      </c>
      <c r="B900" t="s">
        <v>1016</v>
      </c>
      <c r="C900">
        <v>4</v>
      </c>
      <c r="D900">
        <v>8.0000000000000002E-3</v>
      </c>
      <c r="E900">
        <v>6.8804970158292642</v>
      </c>
      <c r="F900">
        <v>792.95916680219716</v>
      </c>
      <c r="G900">
        <v>0.42399999999999999</v>
      </c>
      <c r="H900">
        <v>1.37E-2</v>
      </c>
      <c r="I900">
        <v>192.40029999999999</v>
      </c>
      <c r="J900">
        <v>1.37E-2</v>
      </c>
    </row>
    <row r="901" spans="1:10" x14ac:dyDescent="0.3">
      <c r="A901" t="s">
        <v>9</v>
      </c>
      <c r="B901" t="s">
        <v>1017</v>
      </c>
      <c r="C901">
        <v>4</v>
      </c>
      <c r="D901">
        <v>9.4000000000000004E-3</v>
      </c>
      <c r="E901">
        <v>6.978335485912309</v>
      </c>
      <c r="F901">
        <v>802.24403761307815</v>
      </c>
      <c r="G901">
        <v>0.42399999999999999</v>
      </c>
      <c r="H901">
        <v>1.5299999999999999E-2</v>
      </c>
      <c r="I901">
        <v>192.6</v>
      </c>
      <c r="J901">
        <v>1.5299999999999999E-2</v>
      </c>
    </row>
    <row r="902" spans="1:10" x14ac:dyDescent="0.3">
      <c r="A902" t="s">
        <v>9</v>
      </c>
      <c r="B902" t="s">
        <v>1018</v>
      </c>
      <c r="C902">
        <v>4</v>
      </c>
      <c r="D902">
        <v>1.1299999999999999E-2</v>
      </c>
      <c r="E902">
        <v>7.0693640747497257</v>
      </c>
      <c r="F902">
        <v>810.88265069374904</v>
      </c>
      <c r="G902">
        <v>0.42399999999999999</v>
      </c>
      <c r="H902">
        <v>1.67E-2</v>
      </c>
      <c r="I902">
        <v>192.8015</v>
      </c>
      <c r="J902">
        <v>1.67E-2</v>
      </c>
    </row>
    <row r="903" spans="1:10" x14ac:dyDescent="0.3">
      <c r="A903" t="s">
        <v>9</v>
      </c>
      <c r="B903" t="s">
        <v>1019</v>
      </c>
      <c r="C903">
        <v>4</v>
      </c>
      <c r="D903">
        <v>1.2500000000000001E-2</v>
      </c>
      <c r="E903">
        <v>7.1487584913584588</v>
      </c>
      <c r="F903">
        <v>818.41718082991781</v>
      </c>
      <c r="G903">
        <v>0.42399999999999999</v>
      </c>
      <c r="H903">
        <v>1.7899999999999999E-2</v>
      </c>
      <c r="I903">
        <v>192.9984</v>
      </c>
      <c r="J903">
        <v>1.7899999999999999E-2</v>
      </c>
    </row>
    <row r="904" spans="1:10" x14ac:dyDescent="0.3">
      <c r="A904" t="s">
        <v>9</v>
      </c>
      <c r="B904" t="s">
        <v>1020</v>
      </c>
      <c r="C904">
        <v>4</v>
      </c>
      <c r="D904">
        <v>1.3899999999999999E-2</v>
      </c>
      <c r="E904">
        <v>7.2177647473531428</v>
      </c>
      <c r="F904">
        <v>824.96587452381334</v>
      </c>
      <c r="G904">
        <v>0.42399999999999999</v>
      </c>
      <c r="H904">
        <v>1.9E-2</v>
      </c>
      <c r="I904">
        <v>193.1985</v>
      </c>
      <c r="J904">
        <v>1.9E-2</v>
      </c>
    </row>
    <row r="905" spans="1:10" x14ac:dyDescent="0.3">
      <c r="A905" t="s">
        <v>9</v>
      </c>
      <c r="B905" t="s">
        <v>1021</v>
      </c>
      <c r="C905">
        <v>4</v>
      </c>
      <c r="D905">
        <v>1.54E-2</v>
      </c>
      <c r="E905">
        <v>7.2733487051118049</v>
      </c>
      <c r="F905">
        <v>830.24079211511037</v>
      </c>
      <c r="G905">
        <v>0.42399999999999999</v>
      </c>
      <c r="H905">
        <v>1.9900000000000001E-2</v>
      </c>
      <c r="I905">
        <v>193.39879999999999</v>
      </c>
      <c r="J905">
        <v>1.9900000000000001E-2</v>
      </c>
    </row>
    <row r="906" spans="1:10" x14ac:dyDescent="0.3">
      <c r="A906" t="s">
        <v>9</v>
      </c>
      <c r="B906" t="s">
        <v>1022</v>
      </c>
      <c r="C906">
        <v>4</v>
      </c>
      <c r="D906">
        <v>1.6500000000000001E-2</v>
      </c>
      <c r="E906">
        <v>7.313943625656588</v>
      </c>
      <c r="F906">
        <v>834.09325007481027</v>
      </c>
      <c r="G906">
        <v>0.42399999999999999</v>
      </c>
      <c r="H906">
        <v>2.0500000000000001E-2</v>
      </c>
      <c r="I906">
        <v>193.59829999999999</v>
      </c>
      <c r="J906">
        <v>2.0500000000000001E-2</v>
      </c>
    </row>
    <row r="907" spans="1:10" x14ac:dyDescent="0.3">
      <c r="A907" t="s">
        <v>9</v>
      </c>
      <c r="B907" t="s">
        <v>1023</v>
      </c>
      <c r="C907">
        <v>4</v>
      </c>
      <c r="D907">
        <v>1.7100000000000001E-2</v>
      </c>
      <c r="E907">
        <v>7.3388541266513077</v>
      </c>
      <c r="F907">
        <v>836.45725661920915</v>
      </c>
      <c r="G907">
        <v>0.42399999999999999</v>
      </c>
      <c r="H907">
        <v>2.0899999999999998E-2</v>
      </c>
      <c r="I907">
        <v>193.79849999999999</v>
      </c>
      <c r="J907">
        <v>2.0899999999999998E-2</v>
      </c>
    </row>
    <row r="908" spans="1:10" x14ac:dyDescent="0.3">
      <c r="A908" t="s">
        <v>9</v>
      </c>
      <c r="B908" t="s">
        <v>1024</v>
      </c>
      <c r="C908">
        <v>4</v>
      </c>
      <c r="D908">
        <v>1.7500000000000002E-2</v>
      </c>
      <c r="E908">
        <v>7.3473021097267832</v>
      </c>
      <c r="F908">
        <v>837.25897021307173</v>
      </c>
      <c r="G908">
        <v>0.42399999999999999</v>
      </c>
      <c r="H908">
        <v>2.1000000000000001E-2</v>
      </c>
      <c r="I908">
        <v>193.9982</v>
      </c>
      <c r="J908">
        <v>2.1000000000000001E-2</v>
      </c>
    </row>
    <row r="909" spans="1:10" x14ac:dyDescent="0.3">
      <c r="A909" t="s">
        <v>9</v>
      </c>
      <c r="B909" t="s">
        <v>1025</v>
      </c>
      <c r="C909">
        <v>4</v>
      </c>
      <c r="D909">
        <v>1.7600000000000001E-2</v>
      </c>
      <c r="E909">
        <v>7.3390730808562861</v>
      </c>
      <c r="F909">
        <v>732.00161113580589</v>
      </c>
      <c r="G909">
        <v>0.42399999999999999</v>
      </c>
      <c r="H909">
        <v>2.0899999999999998E-2</v>
      </c>
      <c r="I909">
        <v>194.19890000000001</v>
      </c>
      <c r="J909">
        <v>2.0899999999999998E-2</v>
      </c>
    </row>
    <row r="910" spans="1:10" x14ac:dyDescent="0.3">
      <c r="A910" t="s">
        <v>9</v>
      </c>
      <c r="B910" t="s">
        <v>1026</v>
      </c>
      <c r="C910">
        <v>4</v>
      </c>
      <c r="D910">
        <v>1.7600000000000001E-2</v>
      </c>
      <c r="E910">
        <v>7.3144387054422921</v>
      </c>
      <c r="F910">
        <v>729.70568734722167</v>
      </c>
      <c r="G910">
        <v>0.42399999999999999</v>
      </c>
      <c r="H910">
        <v>2.0500000000000001E-2</v>
      </c>
      <c r="I910">
        <v>194.39869999999999</v>
      </c>
      <c r="J910">
        <v>2.0500000000000001E-2</v>
      </c>
    </row>
    <row r="911" spans="1:10" x14ac:dyDescent="0.3">
      <c r="A911" t="s">
        <v>9</v>
      </c>
      <c r="B911" t="s">
        <v>1027</v>
      </c>
      <c r="C911">
        <v>4</v>
      </c>
      <c r="D911">
        <v>1.7500000000000002E-2</v>
      </c>
      <c r="E911">
        <v>7.2735425201302846</v>
      </c>
      <c r="F911">
        <v>725.89416287614256</v>
      </c>
      <c r="G911">
        <v>0.42399999999999999</v>
      </c>
      <c r="H911">
        <v>1.9900000000000001E-2</v>
      </c>
      <c r="I911">
        <v>194.60040000000001</v>
      </c>
      <c r="J911">
        <v>1.9900000000000001E-2</v>
      </c>
    </row>
    <row r="912" spans="1:10" x14ac:dyDescent="0.3">
      <c r="A912" t="s">
        <v>9</v>
      </c>
      <c r="B912" t="s">
        <v>1028</v>
      </c>
      <c r="C912">
        <v>4</v>
      </c>
      <c r="D912">
        <v>1.7500000000000002E-2</v>
      </c>
      <c r="E912">
        <v>7.2185793380898184</v>
      </c>
      <c r="F912">
        <v>720.77159430997096</v>
      </c>
      <c r="G912">
        <v>0.42399999999999999</v>
      </c>
      <c r="H912">
        <v>1.9E-2</v>
      </c>
      <c r="I912">
        <v>194.7989</v>
      </c>
      <c r="J912">
        <v>1.9E-2</v>
      </c>
    </row>
    <row r="913" spans="1:10" x14ac:dyDescent="0.3">
      <c r="A913" t="s">
        <v>9</v>
      </c>
      <c r="B913" t="s">
        <v>1029</v>
      </c>
      <c r="C913">
        <v>4</v>
      </c>
      <c r="D913">
        <v>1.7500000000000002E-2</v>
      </c>
      <c r="E913">
        <v>7.1495122614826387</v>
      </c>
      <c r="F913">
        <v>714.334542770182</v>
      </c>
      <c r="G913">
        <v>0.42399999999999999</v>
      </c>
      <c r="H913">
        <v>1.7899999999999999E-2</v>
      </c>
      <c r="I913">
        <v>194.99959999999999</v>
      </c>
      <c r="J913">
        <v>1.7899999999999999E-2</v>
      </c>
    </row>
    <row r="914" spans="1:10" x14ac:dyDescent="0.3">
      <c r="A914" t="s">
        <v>9</v>
      </c>
      <c r="B914" t="s">
        <v>1030</v>
      </c>
      <c r="C914">
        <v>4</v>
      </c>
      <c r="D914">
        <v>1.7500000000000002E-2</v>
      </c>
      <c r="E914">
        <v>7.0692006700374899</v>
      </c>
      <c r="F914">
        <v>706.84950244749405</v>
      </c>
      <c r="G914">
        <v>0.42399999999999999</v>
      </c>
      <c r="H914">
        <v>1.67E-2</v>
      </c>
      <c r="I914">
        <v>195.19890000000001</v>
      </c>
      <c r="J914">
        <v>1.67E-2</v>
      </c>
    </row>
    <row r="915" spans="1:10" x14ac:dyDescent="0.3">
      <c r="A915" t="s">
        <v>9</v>
      </c>
      <c r="B915" t="s">
        <v>1031</v>
      </c>
      <c r="C915">
        <v>4</v>
      </c>
      <c r="D915">
        <v>1.7399999999999999E-2</v>
      </c>
      <c r="E915">
        <v>6.9777232250798651</v>
      </c>
      <c r="F915">
        <v>698.32380457744341</v>
      </c>
      <c r="G915">
        <v>0.42399999999999999</v>
      </c>
      <c r="H915">
        <v>1.5299999999999999E-2</v>
      </c>
      <c r="I915">
        <v>195.40119999999999</v>
      </c>
      <c r="J915">
        <v>1.5299999999999999E-2</v>
      </c>
    </row>
    <row r="916" spans="1:10" x14ac:dyDescent="0.3">
      <c r="A916" t="s">
        <v>9</v>
      </c>
      <c r="B916" t="s">
        <v>1032</v>
      </c>
      <c r="C916">
        <v>4</v>
      </c>
      <c r="D916">
        <v>1.7299999999999999E-2</v>
      </c>
      <c r="E916">
        <v>6.8756698865509556</v>
      </c>
      <c r="F916">
        <v>688.81243342654909</v>
      </c>
      <c r="G916">
        <v>0.42399999999999999</v>
      </c>
      <c r="H916">
        <v>1.37E-2</v>
      </c>
      <c r="I916">
        <v>195.60929999999999</v>
      </c>
      <c r="J916">
        <v>1.37E-2</v>
      </c>
    </row>
    <row r="917" spans="1:10" x14ac:dyDescent="0.3">
      <c r="A917" t="s">
        <v>9</v>
      </c>
      <c r="B917" t="s">
        <v>1033</v>
      </c>
      <c r="C917">
        <v>4</v>
      </c>
      <c r="D917">
        <v>1.6899999999999998E-2</v>
      </c>
      <c r="E917">
        <v>6.7771936109782196</v>
      </c>
      <c r="F917">
        <v>679.63444454317005</v>
      </c>
      <c r="G917">
        <v>0.42399999999999999</v>
      </c>
      <c r="H917">
        <v>1.21E-2</v>
      </c>
      <c r="I917">
        <v>195.80009999999999</v>
      </c>
      <c r="J917">
        <v>1.21E-2</v>
      </c>
    </row>
    <row r="918" spans="1:10" x14ac:dyDescent="0.3">
      <c r="A918" t="s">
        <v>9</v>
      </c>
      <c r="B918" t="s">
        <v>1034</v>
      </c>
      <c r="C918">
        <v>4</v>
      </c>
      <c r="D918">
        <v>1.6E-2</v>
      </c>
      <c r="E918">
        <v>6.6710373139304373</v>
      </c>
      <c r="F918">
        <v>669.74067765831683</v>
      </c>
      <c r="G918">
        <v>0.42399999999999999</v>
      </c>
      <c r="H918">
        <v>1.0500000000000001E-2</v>
      </c>
      <c r="I918">
        <v>196.0009</v>
      </c>
      <c r="J918">
        <v>1.0500000000000001E-2</v>
      </c>
    </row>
    <row r="919" spans="1:10" x14ac:dyDescent="0.3">
      <c r="A919" t="s">
        <v>9</v>
      </c>
      <c r="B919" t="s">
        <v>1035</v>
      </c>
      <c r="C919">
        <v>4</v>
      </c>
      <c r="D919">
        <v>1.49E-2</v>
      </c>
      <c r="E919">
        <v>6.5650865905528857</v>
      </c>
      <c r="F919">
        <v>659.86607023952899</v>
      </c>
      <c r="G919">
        <v>0.42399999999999999</v>
      </c>
      <c r="H919">
        <v>8.8000000000000005E-3</v>
      </c>
      <c r="I919">
        <v>196.20140000000001</v>
      </c>
      <c r="J919">
        <v>8.8000000000000005E-3</v>
      </c>
    </row>
    <row r="920" spans="1:10" x14ac:dyDescent="0.3">
      <c r="A920" t="s">
        <v>9</v>
      </c>
      <c r="B920" t="s">
        <v>1036</v>
      </c>
      <c r="C920">
        <v>4</v>
      </c>
      <c r="D920">
        <v>1.32E-2</v>
      </c>
      <c r="E920">
        <v>6.4620921544133143</v>
      </c>
      <c r="F920">
        <v>650.26698879132095</v>
      </c>
      <c r="G920">
        <v>0.42399999999999999</v>
      </c>
      <c r="H920">
        <v>7.1999999999999998E-3</v>
      </c>
      <c r="I920">
        <v>196.40119999999999</v>
      </c>
      <c r="J920">
        <v>7.1999999999999998E-3</v>
      </c>
    </row>
    <row r="921" spans="1:10" x14ac:dyDescent="0.3">
      <c r="A921" t="s">
        <v>9</v>
      </c>
      <c r="B921" t="s">
        <v>1037</v>
      </c>
      <c r="C921">
        <v>4</v>
      </c>
      <c r="D921">
        <v>1.1900000000000001E-2</v>
      </c>
      <c r="E921">
        <v>6.3648607551371139</v>
      </c>
      <c r="F921">
        <v>641.20502237877906</v>
      </c>
      <c r="G921">
        <v>0.42399999999999999</v>
      </c>
      <c r="H921">
        <v>5.7000000000000002E-3</v>
      </c>
      <c r="I921">
        <v>196.59970000000001</v>
      </c>
      <c r="J921">
        <v>5.7000000000000002E-3</v>
      </c>
    </row>
    <row r="922" spans="1:10" x14ac:dyDescent="0.3">
      <c r="A922" t="s">
        <v>9</v>
      </c>
      <c r="B922" t="s">
        <v>1038</v>
      </c>
      <c r="C922">
        <v>4</v>
      </c>
      <c r="D922">
        <v>1.04E-2</v>
      </c>
      <c r="E922">
        <v>6.274526088941184</v>
      </c>
      <c r="F922">
        <v>632.78583148931841</v>
      </c>
      <c r="G922">
        <v>0.42399999999999999</v>
      </c>
      <c r="H922">
        <v>4.3E-3</v>
      </c>
      <c r="I922">
        <v>196.79949999999999</v>
      </c>
      <c r="J922">
        <v>4.3E-3</v>
      </c>
    </row>
    <row r="923" spans="1:10" x14ac:dyDescent="0.3">
      <c r="A923" t="s">
        <v>9</v>
      </c>
      <c r="B923" t="s">
        <v>1039</v>
      </c>
      <c r="C923">
        <v>4</v>
      </c>
      <c r="D923">
        <v>8.6999999999999994E-3</v>
      </c>
      <c r="E923">
        <v>6.1935805034313933</v>
      </c>
      <c r="F923">
        <v>625.2417029198059</v>
      </c>
      <c r="G923">
        <v>0.42399999999999999</v>
      </c>
      <c r="H923">
        <v>3.0999999999999999E-3</v>
      </c>
      <c r="I923">
        <v>197.00020000000001</v>
      </c>
      <c r="J923">
        <v>3.0999999999999999E-3</v>
      </c>
    </row>
    <row r="924" spans="1:10" x14ac:dyDescent="0.3">
      <c r="A924" t="s">
        <v>9</v>
      </c>
      <c r="B924" t="s">
        <v>1040</v>
      </c>
      <c r="C924">
        <v>4</v>
      </c>
      <c r="D924">
        <v>7.3000000000000001E-3</v>
      </c>
      <c r="E924">
        <v>6.1244492813515699</v>
      </c>
      <c r="F924">
        <v>618.79867302196635</v>
      </c>
      <c r="G924">
        <v>0.42399999999999999</v>
      </c>
      <c r="H924">
        <v>2E-3</v>
      </c>
      <c r="I924">
        <v>197.2011</v>
      </c>
      <c r="J924">
        <v>2E-3</v>
      </c>
    </row>
    <row r="925" spans="1:10" x14ac:dyDescent="0.3">
      <c r="A925" t="s">
        <v>9</v>
      </c>
      <c r="B925" t="s">
        <v>1041</v>
      </c>
      <c r="C925">
        <v>4</v>
      </c>
      <c r="D925">
        <v>5.7000000000000002E-3</v>
      </c>
      <c r="E925">
        <v>6.069244479291199</v>
      </c>
      <c r="F925">
        <v>613.6535854699398</v>
      </c>
      <c r="G925">
        <v>0.42399999999999999</v>
      </c>
      <c r="H925">
        <v>1.1000000000000001E-3</v>
      </c>
      <c r="I925">
        <v>197.4006</v>
      </c>
      <c r="J925">
        <v>1.1000000000000001E-3</v>
      </c>
    </row>
    <row r="926" spans="1:10" x14ac:dyDescent="0.3">
      <c r="A926" t="s">
        <v>9</v>
      </c>
      <c r="B926" t="s">
        <v>1042</v>
      </c>
      <c r="C926">
        <v>4</v>
      </c>
      <c r="D926">
        <v>4.8999999999999998E-3</v>
      </c>
      <c r="E926">
        <v>6.0286221448690096</v>
      </c>
      <c r="F926">
        <v>609.8675839017917</v>
      </c>
      <c r="G926">
        <v>0.42399999999999999</v>
      </c>
      <c r="H926">
        <v>5.0000000000000001E-4</v>
      </c>
      <c r="I926">
        <v>197.6011</v>
      </c>
      <c r="J926">
        <v>5.0000000000000001E-4</v>
      </c>
    </row>
    <row r="927" spans="1:10" x14ac:dyDescent="0.3">
      <c r="A927" t="s">
        <v>9</v>
      </c>
      <c r="B927" t="s">
        <v>1043</v>
      </c>
      <c r="C927">
        <v>4</v>
      </c>
      <c r="D927">
        <v>4.3E-3</v>
      </c>
      <c r="E927">
        <v>6.004172846578836</v>
      </c>
      <c r="F927">
        <v>607.58890930114751</v>
      </c>
      <c r="G927">
        <v>0.42399999999999999</v>
      </c>
      <c r="H927">
        <v>1E-4</v>
      </c>
      <c r="I927">
        <v>197.79859999999999</v>
      </c>
      <c r="J927">
        <v>1E-4</v>
      </c>
    </row>
    <row r="928" spans="1:10" x14ac:dyDescent="0.3">
      <c r="A928" t="s">
        <v>9</v>
      </c>
      <c r="B928" t="s">
        <v>1044</v>
      </c>
      <c r="C928">
        <v>4</v>
      </c>
      <c r="D928">
        <v>4.1999999999999997E-3</v>
      </c>
      <c r="E928">
        <v>5.9957336449311036</v>
      </c>
      <c r="F928">
        <v>606.8023757075789</v>
      </c>
      <c r="G928">
        <v>0.42399999999999999</v>
      </c>
      <c r="H928">
        <v>0</v>
      </c>
      <c r="I928">
        <v>198.0008</v>
      </c>
      <c r="J928">
        <v>0</v>
      </c>
    </row>
    <row r="929" spans="1:10" x14ac:dyDescent="0.3">
      <c r="A929" t="s">
        <v>9</v>
      </c>
      <c r="B929" t="s">
        <v>1045</v>
      </c>
      <c r="C929">
        <v>4</v>
      </c>
      <c r="D929">
        <v>4.1999999999999997E-3</v>
      </c>
      <c r="E929">
        <v>6.0041336172837756</v>
      </c>
      <c r="F929">
        <v>709.79228028023044</v>
      </c>
      <c r="G929">
        <v>0.42399999999999999</v>
      </c>
      <c r="H929">
        <v>1E-4</v>
      </c>
      <c r="I929">
        <v>198.20099999999999</v>
      </c>
      <c r="J929">
        <v>1E-4</v>
      </c>
    </row>
    <row r="930" spans="1:10" x14ac:dyDescent="0.3">
      <c r="A930" t="s">
        <v>9</v>
      </c>
      <c r="B930" t="s">
        <v>1046</v>
      </c>
      <c r="C930">
        <v>4</v>
      </c>
      <c r="D930">
        <v>4.3E-3</v>
      </c>
      <c r="E930">
        <v>6.0287296108365798</v>
      </c>
      <c r="F930">
        <v>712.1264400683915</v>
      </c>
      <c r="G930">
        <v>0.42399999999999999</v>
      </c>
      <c r="H930">
        <v>5.0000000000000001E-4</v>
      </c>
      <c r="I930">
        <v>198.39949999999999</v>
      </c>
      <c r="J930">
        <v>5.0000000000000001E-4</v>
      </c>
    </row>
    <row r="931" spans="1:10" x14ac:dyDescent="0.3">
      <c r="A931" t="s">
        <v>9</v>
      </c>
      <c r="B931" t="s">
        <v>1047</v>
      </c>
      <c r="C931">
        <v>4</v>
      </c>
      <c r="D931">
        <v>4.3E-3</v>
      </c>
      <c r="E931">
        <v>6.0690191997425176</v>
      </c>
      <c r="F931">
        <v>715.94992205556503</v>
      </c>
      <c r="G931">
        <v>0.42399999999999999</v>
      </c>
      <c r="H931">
        <v>1.1000000000000001E-3</v>
      </c>
      <c r="I931">
        <v>198.5985</v>
      </c>
      <c r="J931">
        <v>1.1000000000000001E-3</v>
      </c>
    </row>
    <row r="932" spans="1:10" x14ac:dyDescent="0.3">
      <c r="A932" t="s">
        <v>9</v>
      </c>
      <c r="B932" t="s">
        <v>1048</v>
      </c>
      <c r="C932">
        <v>4</v>
      </c>
      <c r="D932">
        <v>4.3E-3</v>
      </c>
      <c r="E932">
        <v>6.1246479214719782</v>
      </c>
      <c r="F932">
        <v>721.22908774769076</v>
      </c>
      <c r="G932">
        <v>0.42399999999999999</v>
      </c>
      <c r="H932">
        <v>2E-3</v>
      </c>
      <c r="I932">
        <v>198.79949999999999</v>
      </c>
      <c r="J932">
        <v>2E-3</v>
      </c>
    </row>
    <row r="933" spans="1:10" x14ac:dyDescent="0.3">
      <c r="A933" t="s">
        <v>9</v>
      </c>
      <c r="B933" t="s">
        <v>1049</v>
      </c>
      <c r="C933">
        <v>4</v>
      </c>
      <c r="D933">
        <v>4.4000000000000003E-3</v>
      </c>
      <c r="E933">
        <v>6.1933968251816589</v>
      </c>
      <c r="F933">
        <v>727.75335870973947</v>
      </c>
      <c r="G933">
        <v>0.42399999999999999</v>
      </c>
      <c r="H933">
        <v>3.0999999999999999E-3</v>
      </c>
      <c r="I933">
        <v>198.99930000000001</v>
      </c>
      <c r="J933">
        <v>3.0999999999999999E-3</v>
      </c>
    </row>
    <row r="934" spans="1:10" x14ac:dyDescent="0.3">
      <c r="A934" t="s">
        <v>9</v>
      </c>
      <c r="B934" t="s">
        <v>1050</v>
      </c>
      <c r="C934">
        <v>4</v>
      </c>
      <c r="D934">
        <v>4.3E-3</v>
      </c>
      <c r="E934">
        <v>6.2736403786349637</v>
      </c>
      <c r="F934">
        <v>735.36847193245808</v>
      </c>
      <c r="G934">
        <v>0.42399999999999999</v>
      </c>
      <c r="H934">
        <v>4.3E-3</v>
      </c>
      <c r="I934">
        <v>199.1985</v>
      </c>
      <c r="J934">
        <v>4.3E-3</v>
      </c>
    </row>
    <row r="935" spans="1:10" x14ac:dyDescent="0.3">
      <c r="A935" t="s">
        <v>9</v>
      </c>
      <c r="B935" t="s">
        <v>1051</v>
      </c>
      <c r="C935">
        <v>4</v>
      </c>
      <c r="D935">
        <v>4.3E-3</v>
      </c>
      <c r="E935">
        <v>6.36451898384197</v>
      </c>
      <c r="F935">
        <v>743.99285156660301</v>
      </c>
      <c r="G935">
        <v>0.42399999999999999</v>
      </c>
      <c r="H935">
        <v>5.7000000000000002E-3</v>
      </c>
      <c r="I935">
        <v>199.39959999999999</v>
      </c>
      <c r="J935">
        <v>5.7000000000000002E-3</v>
      </c>
    </row>
    <row r="936" spans="1:10" x14ac:dyDescent="0.3">
      <c r="A936" t="s">
        <v>9</v>
      </c>
      <c r="B936" t="s">
        <v>1052</v>
      </c>
      <c r="C936">
        <v>4</v>
      </c>
      <c r="D936">
        <v>4.4000000000000003E-3</v>
      </c>
      <c r="E936">
        <v>6.4619336153500786</v>
      </c>
      <c r="F936">
        <v>753.23750009672244</v>
      </c>
      <c r="G936">
        <v>0.42399999999999999</v>
      </c>
      <c r="H936">
        <v>7.1999999999999998E-3</v>
      </c>
      <c r="I936">
        <v>199.5985</v>
      </c>
      <c r="J936">
        <v>7.1999999999999998E-3</v>
      </c>
    </row>
    <row r="937" spans="1:10" x14ac:dyDescent="0.3">
      <c r="A937" t="s">
        <v>9</v>
      </c>
      <c r="B937" t="s">
        <v>1053</v>
      </c>
      <c r="C937">
        <v>4</v>
      </c>
      <c r="D937">
        <v>4.4000000000000003E-3</v>
      </c>
      <c r="E937">
        <v>6.5650034690491443</v>
      </c>
      <c r="F937">
        <v>763.01882921276388</v>
      </c>
      <c r="G937">
        <v>0.42399999999999999</v>
      </c>
      <c r="H937">
        <v>8.8000000000000005E-3</v>
      </c>
      <c r="I937">
        <v>199.79849999999999</v>
      </c>
      <c r="J937">
        <v>8.8000000000000005E-3</v>
      </c>
    </row>
    <row r="938" spans="1:10" x14ac:dyDescent="0.3">
      <c r="A938" t="s">
        <v>9</v>
      </c>
      <c r="B938" t="s">
        <v>1054</v>
      </c>
      <c r="C938">
        <v>4</v>
      </c>
      <c r="D938">
        <v>4.5999999999999999E-3</v>
      </c>
      <c r="E938">
        <v>6.6705507490304834</v>
      </c>
      <c r="F938">
        <v>773.03526608299285</v>
      </c>
      <c r="G938">
        <v>0.42399999999999999</v>
      </c>
      <c r="H938">
        <v>1.0500000000000001E-2</v>
      </c>
      <c r="I938">
        <v>199.9982</v>
      </c>
      <c r="J938">
        <v>1.0500000000000001E-2</v>
      </c>
    </row>
    <row r="939" spans="1:10" x14ac:dyDescent="0.3">
      <c r="A939" t="s">
        <v>9</v>
      </c>
      <c r="B939" t="s">
        <v>1055</v>
      </c>
      <c r="C939">
        <v>4</v>
      </c>
      <c r="D939">
        <v>6.1999999999999998E-3</v>
      </c>
      <c r="E939">
        <v>6.7771915836244698</v>
      </c>
      <c r="F939">
        <v>783.1554812859622</v>
      </c>
      <c r="G939">
        <v>0.42399999999999999</v>
      </c>
      <c r="H939">
        <v>1.21E-2</v>
      </c>
      <c r="I939">
        <v>200.19990000000001</v>
      </c>
      <c r="J939">
        <v>1.21E-2</v>
      </c>
    </row>
    <row r="940" spans="1:10" x14ac:dyDescent="0.3">
      <c r="A940" t="s">
        <v>9</v>
      </c>
      <c r="B940" t="s">
        <v>1056</v>
      </c>
      <c r="C940">
        <v>4</v>
      </c>
      <c r="D940">
        <v>7.9000000000000008E-3</v>
      </c>
      <c r="E940">
        <v>6.8799394935480667</v>
      </c>
      <c r="F940">
        <v>792.90625793771153</v>
      </c>
      <c r="G940">
        <v>0.42399999999999999</v>
      </c>
      <c r="H940">
        <v>1.37E-2</v>
      </c>
      <c r="I940">
        <v>200.39920000000001</v>
      </c>
      <c r="J940">
        <v>1.37E-2</v>
      </c>
    </row>
    <row r="941" spans="1:10" x14ac:dyDescent="0.3">
      <c r="A941" t="s">
        <v>9</v>
      </c>
      <c r="B941" t="s">
        <v>1057</v>
      </c>
      <c r="C941">
        <v>4</v>
      </c>
      <c r="D941">
        <v>9.7000000000000003E-3</v>
      </c>
      <c r="E941">
        <v>6.9789526123937513</v>
      </c>
      <c r="F941">
        <v>802.30260291616707</v>
      </c>
      <c r="G941">
        <v>0.42399999999999999</v>
      </c>
      <c r="H941">
        <v>1.5299999999999999E-2</v>
      </c>
      <c r="I941">
        <v>200.60130000000001</v>
      </c>
      <c r="J941">
        <v>1.5299999999999999E-2</v>
      </c>
    </row>
    <row r="942" spans="1:10" x14ac:dyDescent="0.3">
      <c r="A942" t="s">
        <v>9</v>
      </c>
      <c r="B942" t="s">
        <v>1058</v>
      </c>
      <c r="C942">
        <v>4</v>
      </c>
      <c r="D942">
        <v>1.09E-2</v>
      </c>
      <c r="E942">
        <v>7.068222674588581</v>
      </c>
      <c r="F942">
        <v>810.7743318184564</v>
      </c>
      <c r="G942">
        <v>0.42399999999999999</v>
      </c>
      <c r="H942">
        <v>1.67E-2</v>
      </c>
      <c r="I942">
        <v>200.7988</v>
      </c>
      <c r="J942">
        <v>1.67E-2</v>
      </c>
    </row>
    <row r="943" spans="1:10" x14ac:dyDescent="0.3">
      <c r="A943" t="s">
        <v>9</v>
      </c>
      <c r="B943" t="s">
        <v>1059</v>
      </c>
      <c r="C943">
        <v>4</v>
      </c>
      <c r="D943">
        <v>1.26E-2</v>
      </c>
      <c r="E943">
        <v>7.1487013199827141</v>
      </c>
      <c r="F943">
        <v>818.41175526635959</v>
      </c>
      <c r="G943">
        <v>0.42399999999999999</v>
      </c>
      <c r="H943">
        <v>1.7899999999999999E-2</v>
      </c>
      <c r="I943">
        <v>200.9982</v>
      </c>
      <c r="J943">
        <v>1.7899999999999999E-2</v>
      </c>
    </row>
    <row r="944" spans="1:10" x14ac:dyDescent="0.3">
      <c r="A944" t="s">
        <v>9</v>
      </c>
      <c r="B944" t="s">
        <v>1060</v>
      </c>
      <c r="C944">
        <v>4</v>
      </c>
      <c r="D944">
        <v>1.41E-2</v>
      </c>
      <c r="E944">
        <v>7.2176808149078981</v>
      </c>
      <c r="F944">
        <v>824.95790933475962</v>
      </c>
      <c r="G944">
        <v>0.42399999999999999</v>
      </c>
      <c r="H944">
        <v>1.9E-2</v>
      </c>
      <c r="I944">
        <v>201.19820000000001</v>
      </c>
      <c r="J944">
        <v>1.9E-2</v>
      </c>
    </row>
    <row r="945" spans="1:10" x14ac:dyDescent="0.3">
      <c r="A945" t="s">
        <v>9</v>
      </c>
      <c r="B945" t="s">
        <v>1061</v>
      </c>
      <c r="C945">
        <v>4</v>
      </c>
      <c r="D945">
        <v>1.5299999999999999E-2</v>
      </c>
      <c r="E945">
        <v>7.2734480454455426</v>
      </c>
      <c r="F945">
        <v>830.25021951278211</v>
      </c>
      <c r="G945">
        <v>0.42399999999999999</v>
      </c>
      <c r="H945">
        <v>1.9900000000000001E-2</v>
      </c>
      <c r="I945">
        <v>201.39920000000001</v>
      </c>
      <c r="J945">
        <v>1.9900000000000001E-2</v>
      </c>
    </row>
    <row r="946" spans="1:10" x14ac:dyDescent="0.3">
      <c r="A946" t="s">
        <v>9</v>
      </c>
      <c r="B946" t="s">
        <v>1062</v>
      </c>
      <c r="C946">
        <v>4</v>
      </c>
      <c r="D946">
        <v>1.5900000000000001E-2</v>
      </c>
      <c r="E946">
        <v>7.3141706892765672</v>
      </c>
      <c r="F946">
        <v>834.11479841234632</v>
      </c>
      <c r="G946">
        <v>0.42399999999999999</v>
      </c>
      <c r="H946">
        <v>2.0500000000000001E-2</v>
      </c>
      <c r="I946">
        <v>201.59960000000001</v>
      </c>
      <c r="J946">
        <v>2.0500000000000001E-2</v>
      </c>
    </row>
    <row r="947" spans="1:10" x14ac:dyDescent="0.3">
      <c r="A947" t="s">
        <v>9</v>
      </c>
      <c r="B947" t="s">
        <v>1063</v>
      </c>
      <c r="C947">
        <v>4</v>
      </c>
      <c r="D947">
        <v>1.7000000000000001E-2</v>
      </c>
      <c r="E947">
        <v>7.3390146930682922</v>
      </c>
      <c r="F947">
        <v>836.47249437218102</v>
      </c>
      <c r="G947">
        <v>0.42399999999999999</v>
      </c>
      <c r="H947">
        <v>2.0899999999999998E-2</v>
      </c>
      <c r="I947">
        <v>201.8004</v>
      </c>
      <c r="J947">
        <v>2.0899999999999998E-2</v>
      </c>
    </row>
    <row r="948" spans="1:10" x14ac:dyDescent="0.3">
      <c r="A948" t="s">
        <v>9</v>
      </c>
      <c r="B948" t="s">
        <v>1064</v>
      </c>
      <c r="C948">
        <v>4</v>
      </c>
      <c r="D948">
        <v>1.7399999999999999E-2</v>
      </c>
      <c r="E948">
        <v>7.3473025151975344</v>
      </c>
      <c r="F948">
        <v>837.25900869224608</v>
      </c>
      <c r="G948">
        <v>0.42399999999999999</v>
      </c>
      <c r="H948">
        <v>2.1000000000000001E-2</v>
      </c>
      <c r="I948">
        <v>201.99969999999999</v>
      </c>
      <c r="J948">
        <v>2.1000000000000001E-2</v>
      </c>
    </row>
    <row r="949" spans="1:10" x14ac:dyDescent="0.3">
      <c r="A949" t="s">
        <v>9</v>
      </c>
      <c r="B949" t="s">
        <v>1065</v>
      </c>
      <c r="C949">
        <v>4</v>
      </c>
      <c r="D949">
        <v>1.7399999999999999E-2</v>
      </c>
      <c r="E949">
        <v>7.3390422650792893</v>
      </c>
      <c r="F949">
        <v>731.99873910538975</v>
      </c>
      <c r="G949">
        <v>0.42399999999999999</v>
      </c>
      <c r="H949">
        <v>2.0899999999999998E-2</v>
      </c>
      <c r="I949">
        <v>202.19929999999999</v>
      </c>
      <c r="J949">
        <v>2.0899999999999998E-2</v>
      </c>
    </row>
    <row r="950" spans="1:10" x14ac:dyDescent="0.3">
      <c r="A950" t="s">
        <v>9</v>
      </c>
      <c r="B950" t="s">
        <v>1066</v>
      </c>
      <c r="C950">
        <v>4</v>
      </c>
      <c r="D950">
        <v>1.7399999999999999E-2</v>
      </c>
      <c r="E950">
        <v>7.3143332830473016</v>
      </c>
      <c r="F950">
        <v>729.69586198000854</v>
      </c>
      <c r="G950">
        <v>0.42399999999999999</v>
      </c>
      <c r="H950">
        <v>2.0500000000000001E-2</v>
      </c>
      <c r="I950">
        <v>202.39940000000001</v>
      </c>
      <c r="J950">
        <v>2.0500000000000001E-2</v>
      </c>
    </row>
    <row r="951" spans="1:10" x14ac:dyDescent="0.3">
      <c r="A951" t="s">
        <v>9</v>
      </c>
      <c r="B951" t="s">
        <v>1067</v>
      </c>
      <c r="C951">
        <v>4</v>
      </c>
      <c r="D951">
        <v>1.7399999999999999E-2</v>
      </c>
      <c r="E951">
        <v>7.2736730817117738</v>
      </c>
      <c r="F951">
        <v>725.90633121553731</v>
      </c>
      <c r="G951">
        <v>0.42399999999999999</v>
      </c>
      <c r="H951">
        <v>1.9900000000000001E-2</v>
      </c>
      <c r="I951">
        <v>202.59989999999999</v>
      </c>
      <c r="J951">
        <v>1.9900000000000001E-2</v>
      </c>
    </row>
    <row r="952" spans="1:10" x14ac:dyDescent="0.3">
      <c r="A952" t="s">
        <v>9</v>
      </c>
      <c r="B952" t="s">
        <v>1068</v>
      </c>
      <c r="C952">
        <v>4</v>
      </c>
      <c r="D952">
        <v>1.7500000000000002E-2</v>
      </c>
      <c r="E952">
        <v>7.2179484256028754</v>
      </c>
      <c r="F952">
        <v>720.71279326618787</v>
      </c>
      <c r="G952">
        <v>0.42399999999999999</v>
      </c>
      <c r="H952">
        <v>1.9E-2</v>
      </c>
      <c r="I952">
        <v>202.80090000000001</v>
      </c>
      <c r="J952">
        <v>1.9E-2</v>
      </c>
    </row>
    <row r="953" spans="1:10" x14ac:dyDescent="0.3">
      <c r="A953" t="s">
        <v>9</v>
      </c>
      <c r="B953" t="s">
        <v>1069</v>
      </c>
      <c r="C953">
        <v>4</v>
      </c>
      <c r="D953">
        <v>1.7299999999999999E-2</v>
      </c>
      <c r="E953">
        <v>7.1490005573961843</v>
      </c>
      <c r="F953">
        <v>714.28685194932439</v>
      </c>
      <c r="G953">
        <v>0.42399999999999999</v>
      </c>
      <c r="H953">
        <v>1.7899999999999999E-2</v>
      </c>
      <c r="I953">
        <v>203.001</v>
      </c>
      <c r="J953">
        <v>1.7899999999999999E-2</v>
      </c>
    </row>
    <row r="954" spans="1:10" x14ac:dyDescent="0.3">
      <c r="A954" t="s">
        <v>9</v>
      </c>
      <c r="B954" t="s">
        <v>1070</v>
      </c>
      <c r="C954">
        <v>4</v>
      </c>
      <c r="D954">
        <v>1.7299999999999999E-2</v>
      </c>
      <c r="E954">
        <v>7.0688657511980217</v>
      </c>
      <c r="F954">
        <v>706.81828801165568</v>
      </c>
      <c r="G954">
        <v>0.42399999999999999</v>
      </c>
      <c r="H954">
        <v>1.67E-2</v>
      </c>
      <c r="I954">
        <v>203.19970000000001</v>
      </c>
      <c r="J954">
        <v>1.67E-2</v>
      </c>
    </row>
    <row r="955" spans="1:10" x14ac:dyDescent="0.3">
      <c r="A955" t="s">
        <v>9</v>
      </c>
      <c r="B955" t="s">
        <v>1071</v>
      </c>
      <c r="C955">
        <v>4</v>
      </c>
      <c r="D955">
        <v>1.7299999999999999E-2</v>
      </c>
      <c r="E955">
        <v>6.9782085735675699</v>
      </c>
      <c r="F955">
        <v>698.36903905649751</v>
      </c>
      <c r="G955">
        <v>0.42399999999999999</v>
      </c>
      <c r="H955">
        <v>1.5299999999999999E-2</v>
      </c>
      <c r="I955">
        <v>203.40020000000001</v>
      </c>
      <c r="J955">
        <v>1.5299999999999999E-2</v>
      </c>
    </row>
    <row r="956" spans="1:10" x14ac:dyDescent="0.3">
      <c r="A956" t="s">
        <v>9</v>
      </c>
      <c r="B956" t="s">
        <v>1072</v>
      </c>
      <c r="C956">
        <v>4</v>
      </c>
      <c r="D956">
        <v>1.72E-2</v>
      </c>
      <c r="E956">
        <v>6.8800769481323014</v>
      </c>
      <c r="F956">
        <v>689.22317156593056</v>
      </c>
      <c r="G956">
        <v>0.42399999999999999</v>
      </c>
      <c r="H956">
        <v>1.37E-2</v>
      </c>
      <c r="I956">
        <v>203.60050000000001</v>
      </c>
      <c r="J956">
        <v>1.37E-2</v>
      </c>
    </row>
    <row r="957" spans="1:10" x14ac:dyDescent="0.3">
      <c r="A957" t="s">
        <v>9</v>
      </c>
      <c r="B957" t="s">
        <v>1073</v>
      </c>
      <c r="C957">
        <v>4</v>
      </c>
      <c r="D957">
        <v>1.7000000000000001E-2</v>
      </c>
      <c r="E957">
        <v>6.7767642174540104</v>
      </c>
      <c r="F957">
        <v>679.59442506671382</v>
      </c>
      <c r="G957">
        <v>0.42399999999999999</v>
      </c>
      <c r="H957">
        <v>1.21E-2</v>
      </c>
      <c r="I957">
        <v>203.80090000000001</v>
      </c>
      <c r="J957">
        <v>1.21E-2</v>
      </c>
    </row>
    <row r="958" spans="1:10" x14ac:dyDescent="0.3">
      <c r="A958" t="s">
        <v>9</v>
      </c>
      <c r="B958" t="s">
        <v>1074</v>
      </c>
      <c r="C958">
        <v>4</v>
      </c>
      <c r="D958">
        <v>1.6400000000000001E-2</v>
      </c>
      <c r="E958">
        <v>6.6722423729993263</v>
      </c>
      <c r="F958">
        <v>669.85298916353725</v>
      </c>
      <c r="G958">
        <v>0.42399999999999999</v>
      </c>
      <c r="H958">
        <v>1.0500000000000001E-2</v>
      </c>
      <c r="I958">
        <v>203.99860000000001</v>
      </c>
      <c r="J958">
        <v>1.0500000000000001E-2</v>
      </c>
    </row>
    <row r="959" spans="1:10" x14ac:dyDescent="0.3">
      <c r="A959" t="s">
        <v>9</v>
      </c>
      <c r="B959" t="s">
        <v>1075</v>
      </c>
      <c r="C959">
        <v>4</v>
      </c>
      <c r="D959">
        <v>1.5100000000000001E-2</v>
      </c>
      <c r="E959">
        <v>6.5664295096767633</v>
      </c>
      <c r="F959">
        <v>659.99123030187434</v>
      </c>
      <c r="G959">
        <v>0.42399999999999999</v>
      </c>
      <c r="H959">
        <v>8.8999999999999999E-3</v>
      </c>
      <c r="I959">
        <v>204.19880000000001</v>
      </c>
      <c r="J959">
        <v>8.8999999999999999E-3</v>
      </c>
    </row>
    <row r="960" spans="1:10" x14ac:dyDescent="0.3">
      <c r="A960" t="s">
        <v>9</v>
      </c>
      <c r="B960" t="s">
        <v>1076</v>
      </c>
      <c r="C960">
        <v>4</v>
      </c>
      <c r="D960">
        <v>1.41E-2</v>
      </c>
      <c r="E960">
        <v>6.4626691392905107</v>
      </c>
      <c r="F960">
        <v>650.3207637818756</v>
      </c>
      <c r="G960">
        <v>0.42399999999999999</v>
      </c>
      <c r="H960">
        <v>7.3000000000000001E-3</v>
      </c>
      <c r="I960">
        <v>204.4</v>
      </c>
      <c r="J960">
        <v>7.3000000000000001E-3</v>
      </c>
    </row>
    <row r="961" spans="1:10" x14ac:dyDescent="0.3">
      <c r="A961" t="s">
        <v>9</v>
      </c>
      <c r="B961" t="s">
        <v>1077</v>
      </c>
      <c r="C961">
        <v>4</v>
      </c>
      <c r="D961">
        <v>1.24E-2</v>
      </c>
      <c r="E961">
        <v>6.3653371021741707</v>
      </c>
      <c r="F961">
        <v>641.24941792263269</v>
      </c>
      <c r="G961">
        <v>0.42399999999999999</v>
      </c>
      <c r="H961">
        <v>5.7000000000000002E-3</v>
      </c>
      <c r="I961">
        <v>204.59870000000001</v>
      </c>
      <c r="J961">
        <v>5.7000000000000002E-3</v>
      </c>
    </row>
    <row r="962" spans="1:10" x14ac:dyDescent="0.3">
      <c r="A962" t="s">
        <v>9</v>
      </c>
      <c r="B962" t="s">
        <v>1078</v>
      </c>
      <c r="C962">
        <v>4</v>
      </c>
      <c r="D962">
        <v>1.06E-2</v>
      </c>
      <c r="E962">
        <v>6.2750004897186393</v>
      </c>
      <c r="F962">
        <v>632.83004564177725</v>
      </c>
      <c r="G962">
        <v>0.42399999999999999</v>
      </c>
      <c r="H962">
        <v>4.3E-3</v>
      </c>
      <c r="I962">
        <v>204.79839999999999</v>
      </c>
      <c r="J962">
        <v>4.3E-3</v>
      </c>
    </row>
    <row r="963" spans="1:10" x14ac:dyDescent="0.3">
      <c r="A963" t="s">
        <v>9</v>
      </c>
      <c r="B963" t="s">
        <v>1079</v>
      </c>
      <c r="C963">
        <v>4</v>
      </c>
      <c r="D963">
        <v>8.9999999999999993E-3</v>
      </c>
      <c r="E963">
        <v>6.1940387664730006</v>
      </c>
      <c r="F963">
        <v>625.28441303528371</v>
      </c>
      <c r="G963">
        <v>0.42399999999999999</v>
      </c>
      <c r="H963">
        <v>3.0999999999999999E-3</v>
      </c>
      <c r="I963">
        <v>204.999</v>
      </c>
      <c r="J963">
        <v>3.0999999999999999E-3</v>
      </c>
    </row>
    <row r="964" spans="1:10" x14ac:dyDescent="0.3">
      <c r="A964" t="s">
        <v>9</v>
      </c>
      <c r="B964" t="s">
        <v>1080</v>
      </c>
      <c r="C964">
        <v>4</v>
      </c>
      <c r="D964">
        <v>7.3000000000000001E-3</v>
      </c>
      <c r="E964">
        <v>6.124611712934005</v>
      </c>
      <c r="F964">
        <v>618.81381164544928</v>
      </c>
      <c r="G964">
        <v>0.42399999999999999</v>
      </c>
      <c r="H964">
        <v>2E-3</v>
      </c>
      <c r="I964">
        <v>205.20060000000001</v>
      </c>
      <c r="J964">
        <v>2E-3</v>
      </c>
    </row>
    <row r="965" spans="1:10" x14ac:dyDescent="0.3">
      <c r="A965" t="s">
        <v>9</v>
      </c>
      <c r="B965" t="s">
        <v>1081</v>
      </c>
      <c r="C965">
        <v>4</v>
      </c>
      <c r="D965">
        <v>5.7000000000000002E-3</v>
      </c>
      <c r="E965">
        <v>6.069290459674245</v>
      </c>
      <c r="F965">
        <v>613.65787084163969</v>
      </c>
      <c r="G965">
        <v>0.42399999999999999</v>
      </c>
      <c r="H965">
        <v>1.1000000000000001E-3</v>
      </c>
      <c r="I965">
        <v>205.40039999999999</v>
      </c>
      <c r="J965">
        <v>1.1000000000000001E-3</v>
      </c>
    </row>
    <row r="966" spans="1:10" x14ac:dyDescent="0.3">
      <c r="A966" t="s">
        <v>9</v>
      </c>
      <c r="B966" t="s">
        <v>1082</v>
      </c>
      <c r="C966">
        <v>4</v>
      </c>
      <c r="D966">
        <v>4.8999999999999998E-3</v>
      </c>
      <c r="E966">
        <v>6.0289752409621986</v>
      </c>
      <c r="F966">
        <v>609.90049245767705</v>
      </c>
      <c r="G966">
        <v>0.42399999999999999</v>
      </c>
      <c r="H966">
        <v>5.0000000000000001E-4</v>
      </c>
      <c r="I966">
        <v>205.59899999999999</v>
      </c>
      <c r="J966">
        <v>5.0000000000000001E-4</v>
      </c>
    </row>
    <row r="967" spans="1:10" x14ac:dyDescent="0.3">
      <c r="A967" t="s">
        <v>9</v>
      </c>
      <c r="B967" t="s">
        <v>1083</v>
      </c>
      <c r="C967">
        <v>4</v>
      </c>
      <c r="D967">
        <v>4.8999999999999998E-3</v>
      </c>
      <c r="E967">
        <v>6.0039386628924873</v>
      </c>
      <c r="F967">
        <v>607.56708338157989</v>
      </c>
      <c r="G967">
        <v>0.42399999999999999</v>
      </c>
      <c r="H967">
        <v>1E-4</v>
      </c>
      <c r="I967">
        <v>205.8014</v>
      </c>
      <c r="J967">
        <v>1E-4</v>
      </c>
    </row>
    <row r="968" spans="1:10" x14ac:dyDescent="0.3">
      <c r="A968" t="s">
        <v>9</v>
      </c>
      <c r="B968" t="s">
        <v>1084</v>
      </c>
      <c r="C968">
        <v>4</v>
      </c>
      <c r="D968">
        <v>4.7999999999999996E-3</v>
      </c>
      <c r="E968">
        <v>5.9957340074502161</v>
      </c>
      <c r="F968">
        <v>606.80240949436018</v>
      </c>
      <c r="G968">
        <v>0.42399999999999999</v>
      </c>
      <c r="H968">
        <v>0</v>
      </c>
      <c r="I968">
        <v>205.9984</v>
      </c>
      <c r="J968">
        <v>0</v>
      </c>
    </row>
    <row r="969" spans="1:10" x14ac:dyDescent="0.3">
      <c r="A969" t="s">
        <v>9</v>
      </c>
      <c r="B969" t="s">
        <v>1085</v>
      </c>
      <c r="C969">
        <v>4</v>
      </c>
      <c r="D969">
        <v>4.0000000000000001E-3</v>
      </c>
      <c r="E969">
        <v>6.0039420850656171</v>
      </c>
      <c r="F969">
        <v>709.7741038727271</v>
      </c>
      <c r="G969">
        <v>0.42399999999999999</v>
      </c>
      <c r="H969">
        <v>1E-4</v>
      </c>
      <c r="I969">
        <v>206.1987</v>
      </c>
      <c r="J969">
        <v>1E-4</v>
      </c>
    </row>
    <row r="970" spans="1:10" x14ac:dyDescent="0.3">
      <c r="A970" t="s">
        <v>9</v>
      </c>
      <c r="B970" t="s">
        <v>1086</v>
      </c>
      <c r="C970">
        <v>4</v>
      </c>
      <c r="D970">
        <v>4.0000000000000001E-3</v>
      </c>
      <c r="E970">
        <v>6.0288225366230561</v>
      </c>
      <c r="F970">
        <v>712.13525872552805</v>
      </c>
      <c r="G970">
        <v>0.42399999999999999</v>
      </c>
      <c r="H970">
        <v>5.0000000000000001E-4</v>
      </c>
      <c r="I970">
        <v>206.40010000000001</v>
      </c>
      <c r="J970">
        <v>5.0000000000000001E-4</v>
      </c>
    </row>
    <row r="971" spans="1:10" x14ac:dyDescent="0.3">
      <c r="A971" t="s">
        <v>9</v>
      </c>
      <c r="B971" t="s">
        <v>1087</v>
      </c>
      <c r="C971">
        <v>4</v>
      </c>
      <c r="D971">
        <v>4.0000000000000001E-3</v>
      </c>
      <c r="E971">
        <v>6.0692957713410696</v>
      </c>
      <c r="F971">
        <v>715.97616870026764</v>
      </c>
      <c r="G971">
        <v>0.42399999999999999</v>
      </c>
      <c r="H971">
        <v>1.1000000000000001E-3</v>
      </c>
      <c r="I971">
        <v>206.59960000000001</v>
      </c>
      <c r="J971">
        <v>1.1000000000000001E-3</v>
      </c>
    </row>
    <row r="972" spans="1:10" x14ac:dyDescent="0.3">
      <c r="A972" t="s">
        <v>9</v>
      </c>
      <c r="B972" t="s">
        <v>1088</v>
      </c>
      <c r="C972">
        <v>4</v>
      </c>
      <c r="D972">
        <v>4.1000000000000003E-3</v>
      </c>
      <c r="E972">
        <v>6.124982313199471</v>
      </c>
      <c r="F972">
        <v>721.26082152262984</v>
      </c>
      <c r="G972">
        <v>0.42399999999999999</v>
      </c>
      <c r="H972">
        <v>2E-3</v>
      </c>
      <c r="I972">
        <v>206.8006</v>
      </c>
      <c r="J972">
        <v>2E-3</v>
      </c>
    </row>
    <row r="973" spans="1:10" x14ac:dyDescent="0.3">
      <c r="A973" t="s">
        <v>9</v>
      </c>
      <c r="B973" t="s">
        <v>1089</v>
      </c>
      <c r="C973">
        <v>4</v>
      </c>
      <c r="D973">
        <v>4.0000000000000001E-3</v>
      </c>
      <c r="E973">
        <v>6.193551147349095</v>
      </c>
      <c r="F973">
        <v>727.76800388342917</v>
      </c>
      <c r="G973">
        <v>0.42399999999999999</v>
      </c>
      <c r="H973">
        <v>3.0999999999999999E-3</v>
      </c>
      <c r="I973">
        <v>206.99969999999999</v>
      </c>
      <c r="J973">
        <v>3.0999999999999999E-3</v>
      </c>
    </row>
    <row r="974" spans="1:10" x14ac:dyDescent="0.3">
      <c r="A974" t="s">
        <v>9</v>
      </c>
      <c r="B974" t="s">
        <v>1090</v>
      </c>
      <c r="C974">
        <v>4</v>
      </c>
      <c r="D974">
        <v>4.1000000000000003E-3</v>
      </c>
      <c r="E974">
        <v>6.274692737419417</v>
      </c>
      <c r="F974">
        <v>735.46834078110271</v>
      </c>
      <c r="G974">
        <v>0.42399999999999999</v>
      </c>
      <c r="H974">
        <v>4.3E-3</v>
      </c>
      <c r="I974">
        <v>207.20089999999999</v>
      </c>
      <c r="J974">
        <v>4.3E-3</v>
      </c>
    </row>
    <row r="975" spans="1:10" x14ac:dyDescent="0.3">
      <c r="A975" t="s">
        <v>9</v>
      </c>
      <c r="B975" t="s">
        <v>1091</v>
      </c>
      <c r="C975">
        <v>4</v>
      </c>
      <c r="D975">
        <v>4.1000000000000003E-3</v>
      </c>
      <c r="E975">
        <v>6.3642357625231218</v>
      </c>
      <c r="F975">
        <v>743.96597386344433</v>
      </c>
      <c r="G975">
        <v>0.42399999999999999</v>
      </c>
      <c r="H975">
        <v>5.7000000000000002E-3</v>
      </c>
      <c r="I975">
        <v>207.399</v>
      </c>
      <c r="J975">
        <v>5.7000000000000002E-3</v>
      </c>
    </row>
    <row r="976" spans="1:10" x14ac:dyDescent="0.3">
      <c r="A976" t="s">
        <v>9</v>
      </c>
      <c r="B976" t="s">
        <v>1092</v>
      </c>
      <c r="C976">
        <v>4</v>
      </c>
      <c r="D976">
        <v>4.1000000000000003E-3</v>
      </c>
      <c r="E976">
        <v>6.461729258092098</v>
      </c>
      <c r="F976">
        <v>753.2181065929401</v>
      </c>
      <c r="G976">
        <v>0.42399999999999999</v>
      </c>
      <c r="H976">
        <v>7.1999999999999998E-3</v>
      </c>
      <c r="I976">
        <v>207.59809999999999</v>
      </c>
      <c r="J976">
        <v>7.1999999999999998E-3</v>
      </c>
    </row>
    <row r="977" spans="1:10" x14ac:dyDescent="0.3">
      <c r="A977" t="s">
        <v>9</v>
      </c>
      <c r="B977" t="s">
        <v>1093</v>
      </c>
      <c r="C977">
        <v>4</v>
      </c>
      <c r="D977">
        <v>4.1000000000000003E-3</v>
      </c>
      <c r="E977">
        <v>6.5663699054765194</v>
      </c>
      <c r="F977">
        <v>763.14850402972161</v>
      </c>
      <c r="G977">
        <v>0.42399999999999999</v>
      </c>
      <c r="H977">
        <v>8.8999999999999999E-3</v>
      </c>
      <c r="I977">
        <v>207.80109999999999</v>
      </c>
      <c r="J977">
        <v>8.8999999999999999E-3</v>
      </c>
    </row>
    <row r="978" spans="1:10" x14ac:dyDescent="0.3">
      <c r="A978" t="s">
        <v>9</v>
      </c>
      <c r="B978" t="s">
        <v>1094</v>
      </c>
      <c r="C978">
        <v>4</v>
      </c>
      <c r="D978">
        <v>4.1999999999999997E-3</v>
      </c>
      <c r="E978">
        <v>6.6718413624276138</v>
      </c>
      <c r="F978">
        <v>773.15774529438056</v>
      </c>
      <c r="G978">
        <v>0.42399999999999999</v>
      </c>
      <c r="H978">
        <v>1.0500000000000001E-2</v>
      </c>
      <c r="I978">
        <v>208.00059999999999</v>
      </c>
      <c r="J978">
        <v>1.0500000000000001E-2</v>
      </c>
    </row>
    <row r="979" spans="1:10" x14ac:dyDescent="0.3">
      <c r="A979" t="s">
        <v>9</v>
      </c>
      <c r="B979" t="s">
        <v>1095</v>
      </c>
      <c r="C979">
        <v>4</v>
      </c>
      <c r="D979">
        <v>5.4000000000000003E-3</v>
      </c>
      <c r="E979">
        <v>6.7765513453102804</v>
      </c>
      <c r="F979">
        <v>783.09472266994567</v>
      </c>
      <c r="G979">
        <v>0.42399999999999999</v>
      </c>
      <c r="H979">
        <v>1.21E-2</v>
      </c>
      <c r="I979">
        <v>208.1987</v>
      </c>
      <c r="J979">
        <v>1.21E-2</v>
      </c>
    </row>
    <row r="980" spans="1:10" x14ac:dyDescent="0.3">
      <c r="A980" t="s">
        <v>9</v>
      </c>
      <c r="B980" t="s">
        <v>1096</v>
      </c>
      <c r="C980">
        <v>4</v>
      </c>
      <c r="D980">
        <v>7.7000000000000002E-3</v>
      </c>
      <c r="E980">
        <v>6.8805197221912628</v>
      </c>
      <c r="F980">
        <v>792.96132163595087</v>
      </c>
      <c r="G980">
        <v>0.42399999999999999</v>
      </c>
      <c r="H980">
        <v>1.37E-2</v>
      </c>
      <c r="I980">
        <v>208.40029999999999</v>
      </c>
      <c r="J980">
        <v>1.37E-2</v>
      </c>
    </row>
    <row r="981" spans="1:10" x14ac:dyDescent="0.3">
      <c r="A981" t="s">
        <v>9</v>
      </c>
      <c r="B981" t="s">
        <v>1097</v>
      </c>
      <c r="C981">
        <v>4</v>
      </c>
      <c r="D981">
        <v>9.4000000000000004E-3</v>
      </c>
      <c r="E981">
        <v>6.9784210402405504</v>
      </c>
      <c r="F981">
        <v>802.25215671882825</v>
      </c>
      <c r="G981">
        <v>0.42399999999999999</v>
      </c>
      <c r="H981">
        <v>1.5299999999999999E-2</v>
      </c>
      <c r="I981">
        <v>208.6002</v>
      </c>
      <c r="J981">
        <v>1.5299999999999999E-2</v>
      </c>
    </row>
    <row r="982" spans="1:10" x14ac:dyDescent="0.3">
      <c r="A982" t="s">
        <v>9</v>
      </c>
      <c r="B982" t="s">
        <v>1098</v>
      </c>
      <c r="C982">
        <v>4</v>
      </c>
      <c r="D982">
        <v>1.0999999999999999E-2</v>
      </c>
      <c r="E982">
        <v>7.0688166892372761</v>
      </c>
      <c r="F982">
        <v>810.8307038086175</v>
      </c>
      <c r="G982">
        <v>0.42399999999999999</v>
      </c>
      <c r="H982">
        <v>1.67E-2</v>
      </c>
      <c r="I982">
        <v>208.80019999999999</v>
      </c>
      <c r="J982">
        <v>1.67E-2</v>
      </c>
    </row>
    <row r="983" spans="1:10" x14ac:dyDescent="0.3">
      <c r="A983" t="s">
        <v>9</v>
      </c>
      <c r="B983" t="s">
        <v>1099</v>
      </c>
      <c r="C983">
        <v>4</v>
      </c>
      <c r="D983">
        <v>1.2500000000000001E-2</v>
      </c>
      <c r="E983">
        <v>7.1494684706416427</v>
      </c>
      <c r="F983">
        <v>818.48455786389195</v>
      </c>
      <c r="G983">
        <v>0.42399999999999999</v>
      </c>
      <c r="H983">
        <v>1.7899999999999999E-2</v>
      </c>
      <c r="I983">
        <v>209.00030000000001</v>
      </c>
      <c r="J983">
        <v>1.7899999999999999E-2</v>
      </c>
    </row>
    <row r="984" spans="1:10" x14ac:dyDescent="0.3">
      <c r="A984" t="s">
        <v>9</v>
      </c>
      <c r="B984" t="s">
        <v>1100</v>
      </c>
      <c r="C984">
        <v>4</v>
      </c>
      <c r="D984">
        <v>1.41E-2</v>
      </c>
      <c r="E984">
        <v>7.217742851932643</v>
      </c>
      <c r="F984">
        <v>824.96379664840788</v>
      </c>
      <c r="G984">
        <v>0.42399999999999999</v>
      </c>
      <c r="H984">
        <v>1.9E-2</v>
      </c>
      <c r="I984">
        <v>209.19839999999999</v>
      </c>
      <c r="J984">
        <v>1.9E-2</v>
      </c>
    </row>
    <row r="985" spans="1:10" x14ac:dyDescent="0.3">
      <c r="A985" t="s">
        <v>9</v>
      </c>
      <c r="B985" t="s">
        <v>1101</v>
      </c>
      <c r="C985">
        <v>4</v>
      </c>
      <c r="D985">
        <v>1.52E-2</v>
      </c>
      <c r="E985">
        <v>7.2732096286445662</v>
      </c>
      <c r="F985">
        <v>830.22759375836938</v>
      </c>
      <c r="G985">
        <v>0.42399999999999999</v>
      </c>
      <c r="H985">
        <v>1.9800000000000002E-2</v>
      </c>
      <c r="I985">
        <v>209.3982</v>
      </c>
      <c r="J985">
        <v>1.9800000000000002E-2</v>
      </c>
    </row>
    <row r="986" spans="1:10" x14ac:dyDescent="0.3">
      <c r="A986" t="s">
        <v>9</v>
      </c>
      <c r="B986" t="s">
        <v>1102</v>
      </c>
      <c r="C986">
        <v>4</v>
      </c>
      <c r="D986">
        <v>1.5800000000000002E-2</v>
      </c>
      <c r="E986">
        <v>7.3143592331753</v>
      </c>
      <c r="F986">
        <v>834.13269122833606</v>
      </c>
      <c r="G986">
        <v>0.42399999999999999</v>
      </c>
      <c r="H986">
        <v>2.0500000000000001E-2</v>
      </c>
      <c r="I986">
        <v>209.60079999999999</v>
      </c>
      <c r="J986">
        <v>2.0500000000000001E-2</v>
      </c>
    </row>
    <row r="987" spans="1:10" x14ac:dyDescent="0.3">
      <c r="A987" t="s">
        <v>9</v>
      </c>
      <c r="B987" t="s">
        <v>1103</v>
      </c>
      <c r="C987">
        <v>4</v>
      </c>
      <c r="D987">
        <v>1.6899999999999998E-2</v>
      </c>
      <c r="E987">
        <v>7.3391845853125277</v>
      </c>
      <c r="F987">
        <v>836.48861714615896</v>
      </c>
      <c r="G987">
        <v>0.42399999999999999</v>
      </c>
      <c r="H987">
        <v>2.0899999999999998E-2</v>
      </c>
      <c r="I987">
        <v>209.80240000000001</v>
      </c>
      <c r="J987">
        <v>2.0899999999999998E-2</v>
      </c>
    </row>
    <row r="988" spans="1:10" x14ac:dyDescent="0.3">
      <c r="A988" t="s">
        <v>9</v>
      </c>
      <c r="B988" t="s">
        <v>1104</v>
      </c>
      <c r="C988">
        <v>4</v>
      </c>
      <c r="D988">
        <v>1.7399999999999999E-2</v>
      </c>
      <c r="E988">
        <v>7.3473021097267832</v>
      </c>
      <c r="F988">
        <v>837.25897021307173</v>
      </c>
      <c r="G988">
        <v>0.42399999999999999</v>
      </c>
      <c r="H988">
        <v>2.1000000000000001E-2</v>
      </c>
      <c r="I988">
        <v>209.9982</v>
      </c>
      <c r="J988">
        <v>2.1000000000000001E-2</v>
      </c>
    </row>
    <row r="989" spans="1:10" x14ac:dyDescent="0.3">
      <c r="A989" t="s">
        <v>9</v>
      </c>
      <c r="B989" t="s">
        <v>1105</v>
      </c>
      <c r="C989">
        <v>4</v>
      </c>
      <c r="D989">
        <v>1.7399999999999999E-2</v>
      </c>
      <c r="E989">
        <v>7.3388557485343062</v>
      </c>
      <c r="F989">
        <v>731.98135576339735</v>
      </c>
      <c r="G989">
        <v>0.42399999999999999</v>
      </c>
      <c r="H989">
        <v>2.0899999999999998E-2</v>
      </c>
      <c r="I989">
        <v>210.20150000000001</v>
      </c>
      <c r="J989">
        <v>2.0899999999999998E-2</v>
      </c>
    </row>
    <row r="990" spans="1:10" x14ac:dyDescent="0.3">
      <c r="A990" t="s">
        <v>9</v>
      </c>
      <c r="B990" t="s">
        <v>1106</v>
      </c>
      <c r="C990">
        <v>4</v>
      </c>
      <c r="D990">
        <v>1.7399999999999999E-2</v>
      </c>
      <c r="E990">
        <v>7.3141321695553208</v>
      </c>
      <c r="F990">
        <v>729.6771182025559</v>
      </c>
      <c r="G990">
        <v>0.42399999999999999</v>
      </c>
      <c r="H990">
        <v>2.0500000000000001E-2</v>
      </c>
      <c r="I990">
        <v>210.4006</v>
      </c>
      <c r="J990">
        <v>2.0500000000000001E-2</v>
      </c>
    </row>
    <row r="991" spans="1:10" x14ac:dyDescent="0.3">
      <c r="A991" t="s">
        <v>9</v>
      </c>
      <c r="B991" t="s">
        <v>1107</v>
      </c>
      <c r="C991">
        <v>4</v>
      </c>
      <c r="D991">
        <v>1.7399999999999999E-2</v>
      </c>
      <c r="E991">
        <v>7.2736301018122766</v>
      </c>
      <c r="F991">
        <v>725.90232548890424</v>
      </c>
      <c r="G991">
        <v>0.42399999999999999</v>
      </c>
      <c r="H991">
        <v>1.9900000000000001E-2</v>
      </c>
      <c r="I991">
        <v>210.6001</v>
      </c>
      <c r="J991">
        <v>1.9900000000000001E-2</v>
      </c>
    </row>
    <row r="992" spans="1:10" x14ac:dyDescent="0.3">
      <c r="A992" t="s">
        <v>9</v>
      </c>
      <c r="B992" t="s">
        <v>1108</v>
      </c>
      <c r="C992">
        <v>4</v>
      </c>
      <c r="D992">
        <v>1.7399999999999999E-2</v>
      </c>
      <c r="E992">
        <v>7.2185047314718247</v>
      </c>
      <c r="F992">
        <v>720.7646409731741</v>
      </c>
      <c r="G992">
        <v>0.42399999999999999</v>
      </c>
      <c r="H992">
        <v>1.9E-2</v>
      </c>
      <c r="I992">
        <v>210.79910000000001</v>
      </c>
      <c r="J992">
        <v>1.9E-2</v>
      </c>
    </row>
    <row r="993" spans="1:10" x14ac:dyDescent="0.3">
      <c r="A993" t="s">
        <v>9</v>
      </c>
      <c r="B993" t="s">
        <v>1109</v>
      </c>
      <c r="C993">
        <v>4</v>
      </c>
      <c r="D993">
        <v>1.7399999999999999E-2</v>
      </c>
      <c r="E993">
        <v>7.1493131753444077</v>
      </c>
      <c r="F993">
        <v>714.31598794209879</v>
      </c>
      <c r="G993">
        <v>0.42399999999999999</v>
      </c>
      <c r="H993">
        <v>1.7899999999999999E-2</v>
      </c>
      <c r="I993">
        <v>211.00020000000001</v>
      </c>
      <c r="J993">
        <v>1.7899999999999999E-2</v>
      </c>
    </row>
    <row r="994" spans="1:10" x14ac:dyDescent="0.3">
      <c r="A994" t="s">
        <v>9</v>
      </c>
      <c r="B994" t="s">
        <v>1110</v>
      </c>
      <c r="C994">
        <v>4</v>
      </c>
      <c r="D994">
        <v>1.7299999999999999E-2</v>
      </c>
      <c r="E994">
        <v>7.0690644318655016</v>
      </c>
      <c r="F994">
        <v>706.83680504986489</v>
      </c>
      <c r="G994">
        <v>0.42399999999999999</v>
      </c>
      <c r="H994">
        <v>1.67E-2</v>
      </c>
      <c r="I994">
        <v>211.19919999999999</v>
      </c>
      <c r="J994">
        <v>1.67E-2</v>
      </c>
    </row>
    <row r="995" spans="1:10" x14ac:dyDescent="0.3">
      <c r="A995" t="s">
        <v>9</v>
      </c>
      <c r="B995" t="s">
        <v>1111</v>
      </c>
      <c r="C995">
        <v>4</v>
      </c>
      <c r="D995">
        <v>1.7299999999999999E-2</v>
      </c>
      <c r="E995">
        <v>6.9784368535998</v>
      </c>
      <c r="F995">
        <v>698.39031475550144</v>
      </c>
      <c r="G995">
        <v>0.42399999999999999</v>
      </c>
      <c r="H995">
        <v>1.5299999999999999E-2</v>
      </c>
      <c r="I995">
        <v>211.3997</v>
      </c>
      <c r="J995">
        <v>1.5299999999999999E-2</v>
      </c>
    </row>
    <row r="996" spans="1:10" x14ac:dyDescent="0.3">
      <c r="A996" t="s">
        <v>9</v>
      </c>
      <c r="B996" t="s">
        <v>1112</v>
      </c>
      <c r="C996">
        <v>4</v>
      </c>
      <c r="D996">
        <v>1.7299999999999999E-2</v>
      </c>
      <c r="E996">
        <v>6.8797910912535789</v>
      </c>
      <c r="F996">
        <v>689.19652970483355</v>
      </c>
      <c r="G996">
        <v>0.42399999999999999</v>
      </c>
      <c r="H996">
        <v>1.37E-2</v>
      </c>
      <c r="I996">
        <v>211.6011</v>
      </c>
      <c r="J996">
        <v>1.37E-2</v>
      </c>
    </row>
    <row r="997" spans="1:10" x14ac:dyDescent="0.3">
      <c r="A997" t="s">
        <v>9</v>
      </c>
      <c r="B997" t="s">
        <v>1113</v>
      </c>
      <c r="C997">
        <v>4</v>
      </c>
      <c r="D997">
        <v>1.72E-2</v>
      </c>
      <c r="E997">
        <v>6.7781679571903801</v>
      </c>
      <c r="F997">
        <v>679.72525361014345</v>
      </c>
      <c r="G997">
        <v>0.42399999999999999</v>
      </c>
      <c r="H997">
        <v>1.2200000000000001E-2</v>
      </c>
      <c r="I997">
        <v>211.79820000000001</v>
      </c>
      <c r="J997">
        <v>1.2200000000000001E-2</v>
      </c>
    </row>
    <row r="998" spans="1:10" x14ac:dyDescent="0.3">
      <c r="A998" t="s">
        <v>9</v>
      </c>
      <c r="B998" t="s">
        <v>1114</v>
      </c>
      <c r="C998">
        <v>4</v>
      </c>
      <c r="D998">
        <v>1.6299999999999999E-2</v>
      </c>
      <c r="E998">
        <v>6.6698071156750496</v>
      </c>
      <c r="F998">
        <v>669.62602318091467</v>
      </c>
      <c r="G998">
        <v>0.42399999999999999</v>
      </c>
      <c r="H998">
        <v>1.0500000000000001E-2</v>
      </c>
      <c r="I998">
        <v>212.00319999999999</v>
      </c>
      <c r="J998">
        <v>1.0500000000000001E-2</v>
      </c>
    </row>
    <row r="999" spans="1:10" x14ac:dyDescent="0.3">
      <c r="A999" t="s">
        <v>9</v>
      </c>
      <c r="B999" t="s">
        <v>1115</v>
      </c>
      <c r="C999">
        <v>4</v>
      </c>
      <c r="D999">
        <v>1.52E-2</v>
      </c>
      <c r="E999">
        <v>6.5654397555761026</v>
      </c>
      <c r="F999">
        <v>659.89898521969292</v>
      </c>
      <c r="G999">
        <v>0.42399999999999999</v>
      </c>
      <c r="H999">
        <v>8.8999999999999999E-3</v>
      </c>
      <c r="I999">
        <v>212.20070000000001</v>
      </c>
      <c r="J999">
        <v>8.8999999999999999E-3</v>
      </c>
    </row>
    <row r="1000" spans="1:10" x14ac:dyDescent="0.3">
      <c r="A1000" t="s">
        <v>9</v>
      </c>
      <c r="B1000" t="s">
        <v>1116</v>
      </c>
      <c r="C1000">
        <v>4</v>
      </c>
      <c r="D1000">
        <v>1.3899999999999999E-2</v>
      </c>
      <c r="E1000">
        <v>6.4631873309089629</v>
      </c>
      <c r="F1000">
        <v>650.36905924071539</v>
      </c>
      <c r="G1000">
        <v>0.42399999999999999</v>
      </c>
      <c r="H1000">
        <v>7.3000000000000001E-3</v>
      </c>
      <c r="I1000">
        <v>212.399</v>
      </c>
      <c r="J1000">
        <v>7.3000000000000001E-3</v>
      </c>
    </row>
    <row r="1001" spans="1:10" x14ac:dyDescent="0.3">
      <c r="A1001" t="s">
        <v>9</v>
      </c>
      <c r="B1001" t="s">
        <v>1117</v>
      </c>
      <c r="C1001">
        <v>4</v>
      </c>
      <c r="D1001">
        <v>1.1900000000000001E-2</v>
      </c>
      <c r="E1001">
        <v>6.364526931068669</v>
      </c>
      <c r="F1001">
        <v>641.17390997559994</v>
      </c>
      <c r="G1001">
        <v>0.42399999999999999</v>
      </c>
      <c r="H1001">
        <v>5.7000000000000002E-3</v>
      </c>
      <c r="I1001">
        <v>212.60040000000001</v>
      </c>
      <c r="J1001">
        <v>5.7000000000000002E-3</v>
      </c>
    </row>
    <row r="1002" spans="1:10" x14ac:dyDescent="0.3">
      <c r="A1002" t="s">
        <v>9</v>
      </c>
      <c r="B1002" t="s">
        <v>1118</v>
      </c>
      <c r="C1002">
        <v>4</v>
      </c>
      <c r="D1002">
        <v>1.06E-2</v>
      </c>
      <c r="E1002">
        <v>6.2749907178735649</v>
      </c>
      <c r="F1002">
        <v>632.82913490581632</v>
      </c>
      <c r="G1002">
        <v>0.42399999999999999</v>
      </c>
      <c r="H1002">
        <v>4.3E-3</v>
      </c>
      <c r="I1002">
        <v>212.79839999999999</v>
      </c>
      <c r="J1002">
        <v>4.3E-3</v>
      </c>
    </row>
    <row r="1003" spans="1:10" x14ac:dyDescent="0.3">
      <c r="A1003" t="s">
        <v>9</v>
      </c>
      <c r="B1003" t="s">
        <v>1119</v>
      </c>
      <c r="C1003">
        <v>4</v>
      </c>
      <c r="D1003">
        <v>8.8999999999999999E-3</v>
      </c>
      <c r="E1003">
        <v>6.1937895236029981</v>
      </c>
      <c r="F1003">
        <v>625.26118359979944</v>
      </c>
      <c r="G1003">
        <v>0.42399999999999999</v>
      </c>
      <c r="H1003">
        <v>3.0999999999999999E-3</v>
      </c>
      <c r="I1003">
        <v>212.99969999999999</v>
      </c>
      <c r="J1003">
        <v>3.0999999999999999E-3</v>
      </c>
    </row>
    <row r="1004" spans="1:10" x14ac:dyDescent="0.3">
      <c r="A1004" t="s">
        <v>9</v>
      </c>
      <c r="B1004" t="s">
        <v>1120</v>
      </c>
      <c r="C1004">
        <v>4</v>
      </c>
      <c r="D1004">
        <v>7.3000000000000001E-3</v>
      </c>
      <c r="E1004">
        <v>6.1254417115591799</v>
      </c>
      <c r="F1004">
        <v>618.89116751731558</v>
      </c>
      <c r="G1004">
        <v>0.42399999999999999</v>
      </c>
      <c r="H1004">
        <v>2E-3</v>
      </c>
      <c r="I1004">
        <v>213.1979</v>
      </c>
      <c r="J1004">
        <v>2E-3</v>
      </c>
    </row>
    <row r="1005" spans="1:10" x14ac:dyDescent="0.3">
      <c r="A1005" t="s">
        <v>9</v>
      </c>
      <c r="B1005" t="s">
        <v>1121</v>
      </c>
      <c r="C1005">
        <v>4</v>
      </c>
      <c r="D1005">
        <v>6.1999999999999998E-3</v>
      </c>
      <c r="E1005">
        <v>6.069547203753122</v>
      </c>
      <c r="F1005">
        <v>613.68179938979097</v>
      </c>
      <c r="G1005">
        <v>0.42399999999999999</v>
      </c>
      <c r="H1005">
        <v>1.1000000000000001E-3</v>
      </c>
      <c r="I1005">
        <v>213.39930000000001</v>
      </c>
      <c r="J1005">
        <v>1.1000000000000001E-3</v>
      </c>
    </row>
    <row r="1006" spans="1:10" x14ac:dyDescent="0.3">
      <c r="A1006" t="s">
        <v>9</v>
      </c>
      <c r="B1006" t="s">
        <v>1122</v>
      </c>
      <c r="C1006">
        <v>4</v>
      </c>
      <c r="D1006">
        <v>6.1999999999999998E-3</v>
      </c>
      <c r="E1006">
        <v>6.0289012871521148</v>
      </c>
      <c r="F1006">
        <v>609.89359996257713</v>
      </c>
      <c r="G1006">
        <v>0.42399999999999999</v>
      </c>
      <c r="H1006">
        <v>5.0000000000000001E-4</v>
      </c>
      <c r="I1006">
        <v>213.5994</v>
      </c>
      <c r="J1006">
        <v>5.0000000000000001E-4</v>
      </c>
    </row>
    <row r="1007" spans="1:10" x14ac:dyDescent="0.3">
      <c r="A1007" t="s">
        <v>9</v>
      </c>
      <c r="B1007" t="s">
        <v>1123</v>
      </c>
      <c r="C1007">
        <v>4</v>
      </c>
      <c r="D1007">
        <v>6.1999999999999998E-3</v>
      </c>
      <c r="E1007">
        <v>6.0040041950750966</v>
      </c>
      <c r="F1007">
        <v>607.57319098099902</v>
      </c>
      <c r="G1007">
        <v>0.42399999999999999</v>
      </c>
      <c r="H1007">
        <v>1E-4</v>
      </c>
      <c r="I1007">
        <v>213.8006</v>
      </c>
      <c r="J1007">
        <v>1E-4</v>
      </c>
    </row>
    <row r="1008" spans="1:10" x14ac:dyDescent="0.3">
      <c r="A1008" t="s">
        <v>9</v>
      </c>
      <c r="B1008" t="s">
        <v>1124</v>
      </c>
      <c r="C1008">
        <v>4</v>
      </c>
      <c r="D1008">
        <v>5.1000000000000004E-3</v>
      </c>
      <c r="E1008">
        <v>5.9957340477300853</v>
      </c>
      <c r="F1008">
        <v>606.80241324844394</v>
      </c>
      <c r="G1008">
        <v>0.42399999999999999</v>
      </c>
      <c r="H1008">
        <v>0</v>
      </c>
      <c r="I1008">
        <v>213.9983</v>
      </c>
      <c r="J1008">
        <v>0</v>
      </c>
    </row>
    <row r="1009" spans="1:10" x14ac:dyDescent="0.3">
      <c r="A1009" t="s">
        <v>9</v>
      </c>
      <c r="B1009" t="s">
        <v>1125</v>
      </c>
      <c r="C1009">
        <v>4</v>
      </c>
      <c r="D1009">
        <v>4.1999999999999997E-3</v>
      </c>
      <c r="E1009">
        <v>6.0039583971538883</v>
      </c>
      <c r="F1009">
        <v>709.775651889904</v>
      </c>
      <c r="G1009">
        <v>0.42399999999999999</v>
      </c>
      <c r="H1009">
        <v>1E-4</v>
      </c>
      <c r="I1009">
        <v>214.19890000000001</v>
      </c>
      <c r="J1009">
        <v>1E-4</v>
      </c>
    </row>
    <row r="1010" spans="1:10" x14ac:dyDescent="0.3">
      <c r="A1010" t="s">
        <v>9</v>
      </c>
      <c r="B1010" t="s">
        <v>1126</v>
      </c>
      <c r="C1010">
        <v>4</v>
      </c>
      <c r="D1010">
        <v>3.8999999999999998E-3</v>
      </c>
      <c r="E1010">
        <v>6.0288358279542411</v>
      </c>
      <c r="F1010">
        <v>712.13652007285748</v>
      </c>
      <c r="G1010">
        <v>0.42399999999999999</v>
      </c>
      <c r="H1010">
        <v>5.0000000000000001E-4</v>
      </c>
      <c r="I1010">
        <v>214.40020000000001</v>
      </c>
      <c r="J1010">
        <v>5.0000000000000001E-4</v>
      </c>
    </row>
    <row r="1011" spans="1:10" x14ac:dyDescent="0.3">
      <c r="A1011" t="s">
        <v>9</v>
      </c>
      <c r="B1011" t="s">
        <v>1127</v>
      </c>
      <c r="C1011">
        <v>4</v>
      </c>
      <c r="D1011">
        <v>3.8999999999999998E-3</v>
      </c>
      <c r="E1011">
        <v>6.0691936738062289</v>
      </c>
      <c r="F1011">
        <v>715.96647964421118</v>
      </c>
      <c r="G1011">
        <v>0.42399999999999999</v>
      </c>
      <c r="H1011">
        <v>1.1000000000000001E-3</v>
      </c>
      <c r="I1011">
        <v>214.5992</v>
      </c>
      <c r="J1011">
        <v>1.1000000000000001E-3</v>
      </c>
    </row>
    <row r="1012" spans="1:10" x14ac:dyDescent="0.3">
      <c r="A1012" t="s">
        <v>9</v>
      </c>
      <c r="B1012" t="s">
        <v>1128</v>
      </c>
      <c r="C1012">
        <v>4</v>
      </c>
      <c r="D1012">
        <v>3.8E-3</v>
      </c>
      <c r="E1012">
        <v>6.124226191344941</v>
      </c>
      <c r="F1012">
        <v>721.18906555863498</v>
      </c>
      <c r="G1012">
        <v>0.42399999999999999</v>
      </c>
      <c r="H1012">
        <v>2E-3</v>
      </c>
      <c r="I1012">
        <v>214.79820000000001</v>
      </c>
      <c r="J1012">
        <v>2E-3</v>
      </c>
    </row>
    <row r="1013" spans="1:10" x14ac:dyDescent="0.3">
      <c r="A1013" t="s">
        <v>9</v>
      </c>
      <c r="B1013" t="s">
        <v>1129</v>
      </c>
      <c r="C1013">
        <v>4</v>
      </c>
      <c r="D1013">
        <v>3.8999999999999998E-3</v>
      </c>
      <c r="E1013">
        <v>6.1936544207491124</v>
      </c>
      <c r="F1013">
        <v>727.77780452909076</v>
      </c>
      <c r="G1013">
        <v>0.42399999999999999</v>
      </c>
      <c r="H1013">
        <v>3.0999999999999999E-3</v>
      </c>
      <c r="I1013">
        <v>215</v>
      </c>
      <c r="J1013">
        <v>3.0999999999999999E-3</v>
      </c>
    </row>
    <row r="1014" spans="1:10" x14ac:dyDescent="0.3">
      <c r="A1014" t="s">
        <v>9</v>
      </c>
      <c r="B1014" t="s">
        <v>1130</v>
      </c>
      <c r="C1014">
        <v>4</v>
      </c>
      <c r="D1014">
        <v>3.8999999999999998E-3</v>
      </c>
      <c r="E1014">
        <v>5.9957334838115024</v>
      </c>
      <c r="F1014">
        <v>606.80236069123202</v>
      </c>
      <c r="G1014">
        <v>0.42399999999999999</v>
      </c>
      <c r="H1014">
        <v>0</v>
      </c>
      <c r="I1014">
        <v>215.1996</v>
      </c>
      <c r="J1014">
        <v>0</v>
      </c>
    </row>
    <row r="1015" spans="1:10" x14ac:dyDescent="0.3">
      <c r="A1015" t="s">
        <v>9</v>
      </c>
      <c r="B1015" t="s">
        <v>1131</v>
      </c>
      <c r="C1015">
        <v>4</v>
      </c>
      <c r="D1015">
        <v>3.8E-3</v>
      </c>
      <c r="E1015">
        <v>5.9957334838115024</v>
      </c>
      <c r="F1015">
        <v>606.80236069123202</v>
      </c>
      <c r="G1015">
        <v>0.42399999999999999</v>
      </c>
      <c r="H1015">
        <v>0</v>
      </c>
      <c r="I1015">
        <v>215.40049999999999</v>
      </c>
      <c r="J1015">
        <v>0</v>
      </c>
    </row>
    <row r="1016" spans="1:10" x14ac:dyDescent="0.3">
      <c r="A1016" t="s">
        <v>9</v>
      </c>
      <c r="B1016" t="s">
        <v>1132</v>
      </c>
      <c r="C1016">
        <v>4</v>
      </c>
      <c r="D1016">
        <v>3.3999999999999998E-3</v>
      </c>
      <c r="E1016">
        <v>5.9957334838115024</v>
      </c>
      <c r="F1016">
        <v>606.80236069123202</v>
      </c>
      <c r="G1016">
        <v>0.42399999999999999</v>
      </c>
      <c r="H1016">
        <v>0</v>
      </c>
      <c r="I1016">
        <v>215.59880000000001</v>
      </c>
      <c r="J1016">
        <v>0</v>
      </c>
    </row>
    <row r="1017" spans="1:10" x14ac:dyDescent="0.3">
      <c r="A1017" t="s">
        <v>9</v>
      </c>
      <c r="B1017" t="s">
        <v>1133</v>
      </c>
      <c r="C1017">
        <v>4</v>
      </c>
      <c r="D1017">
        <v>3.3999999999999998E-3</v>
      </c>
      <c r="E1017">
        <v>5.9957334838115024</v>
      </c>
      <c r="F1017">
        <v>606.80236069123202</v>
      </c>
      <c r="G1017">
        <v>0.42399999999999999</v>
      </c>
      <c r="H1017">
        <v>0</v>
      </c>
      <c r="I1017">
        <v>215.8005</v>
      </c>
      <c r="J1017">
        <v>0</v>
      </c>
    </row>
    <row r="1018" spans="1:10" x14ac:dyDescent="0.3">
      <c r="A1018" t="s">
        <v>9</v>
      </c>
      <c r="B1018" t="s">
        <v>1134</v>
      </c>
      <c r="C1018">
        <v>4</v>
      </c>
      <c r="D1018">
        <v>3.3999999999999998E-3</v>
      </c>
      <c r="E1018">
        <v>5.9957334838115024</v>
      </c>
      <c r="F1018">
        <v>606.80236069123202</v>
      </c>
      <c r="G1018">
        <v>0.42399999999999999</v>
      </c>
      <c r="H1018">
        <v>0</v>
      </c>
      <c r="I1018">
        <v>216.00659999999999</v>
      </c>
      <c r="J1018">
        <v>0</v>
      </c>
    </row>
    <row r="1019" spans="1:10" x14ac:dyDescent="0.3">
      <c r="A1019" t="s">
        <v>9</v>
      </c>
      <c r="B1019" t="s">
        <v>1135</v>
      </c>
      <c r="C1019">
        <v>4</v>
      </c>
      <c r="D1019">
        <v>3.3999999999999998E-3</v>
      </c>
      <c r="E1019">
        <v>5.9957334838115024</v>
      </c>
      <c r="F1019">
        <v>606.80236069123202</v>
      </c>
      <c r="G1019">
        <v>0.42399999999999999</v>
      </c>
      <c r="H1019">
        <v>0</v>
      </c>
      <c r="I1019">
        <v>216.1987</v>
      </c>
      <c r="J1019">
        <v>0</v>
      </c>
    </row>
    <row r="1020" spans="1:10" x14ac:dyDescent="0.3">
      <c r="A1020" t="s">
        <v>9</v>
      </c>
      <c r="B1020" t="s">
        <v>1136</v>
      </c>
      <c r="C1020">
        <v>4</v>
      </c>
      <c r="D1020">
        <v>3.3999999999999998E-3</v>
      </c>
      <c r="E1020">
        <v>5.9957334838115024</v>
      </c>
      <c r="F1020">
        <v>606.80236069123202</v>
      </c>
      <c r="G1020">
        <v>0.42399999999999999</v>
      </c>
      <c r="H1020">
        <v>0</v>
      </c>
      <c r="I1020">
        <v>216.39879999999999</v>
      </c>
      <c r="J1020">
        <v>0</v>
      </c>
    </row>
    <row r="1021" spans="1:10" x14ac:dyDescent="0.3">
      <c r="A1021" t="s">
        <v>9</v>
      </c>
      <c r="B1021" t="s">
        <v>1137</v>
      </c>
      <c r="C1021">
        <v>4</v>
      </c>
      <c r="D1021">
        <v>3.3999999999999998E-3</v>
      </c>
      <c r="E1021">
        <v>5.9957334838115024</v>
      </c>
      <c r="F1021">
        <v>606.80236069123202</v>
      </c>
      <c r="G1021">
        <v>0.42399999999999999</v>
      </c>
      <c r="H1021">
        <v>0</v>
      </c>
      <c r="I1021">
        <v>216.5984</v>
      </c>
      <c r="J1021">
        <v>0</v>
      </c>
    </row>
    <row r="1022" spans="1:10" x14ac:dyDescent="0.3">
      <c r="A1022" t="s">
        <v>9</v>
      </c>
      <c r="B1022" t="s">
        <v>1138</v>
      </c>
      <c r="C1022">
        <v>4</v>
      </c>
      <c r="D1022">
        <v>3.3999999999999998E-3</v>
      </c>
      <c r="E1022">
        <v>5.9957334838115024</v>
      </c>
      <c r="F1022">
        <v>606.80236069123202</v>
      </c>
      <c r="G1022">
        <v>0.42399999999999999</v>
      </c>
      <c r="H1022">
        <v>0</v>
      </c>
      <c r="I1022">
        <v>216.79900000000001</v>
      </c>
      <c r="J1022">
        <v>0</v>
      </c>
    </row>
    <row r="1023" spans="1:10" x14ac:dyDescent="0.3">
      <c r="A1023" t="s">
        <v>9</v>
      </c>
      <c r="B1023" t="s">
        <v>1139</v>
      </c>
      <c r="C1023">
        <v>4</v>
      </c>
      <c r="D1023">
        <v>3.3999999999999998E-3</v>
      </c>
      <c r="E1023">
        <v>5.9957334838115024</v>
      </c>
      <c r="F1023">
        <v>606.80236069123202</v>
      </c>
      <c r="G1023">
        <v>0.42399999999999999</v>
      </c>
      <c r="H1023">
        <v>0</v>
      </c>
      <c r="I1023">
        <v>217.00030000000001</v>
      </c>
      <c r="J1023">
        <v>0</v>
      </c>
    </row>
    <row r="1024" spans="1:10" x14ac:dyDescent="0.3">
      <c r="A1024" t="s">
        <v>9</v>
      </c>
      <c r="B1024" t="s">
        <v>1140</v>
      </c>
      <c r="C1024">
        <v>4</v>
      </c>
      <c r="D1024">
        <v>3.3999999999999998E-3</v>
      </c>
      <c r="E1024">
        <v>5.9957334838115024</v>
      </c>
      <c r="F1024">
        <v>606.80236069123202</v>
      </c>
      <c r="G1024">
        <v>0.42399999999999999</v>
      </c>
      <c r="H1024">
        <v>0</v>
      </c>
      <c r="I1024">
        <v>217.1994</v>
      </c>
      <c r="J1024">
        <v>0</v>
      </c>
    </row>
    <row r="1025" spans="1:10" x14ac:dyDescent="0.3">
      <c r="A1025" t="s">
        <v>9</v>
      </c>
      <c r="B1025" t="s">
        <v>1141</v>
      </c>
      <c r="C1025">
        <v>4</v>
      </c>
      <c r="D1025">
        <v>3.3999999999999998E-3</v>
      </c>
      <c r="E1025">
        <v>5.9957334838115024</v>
      </c>
      <c r="F1025">
        <v>606.80236069123202</v>
      </c>
      <c r="G1025">
        <v>0.42399999999999999</v>
      </c>
      <c r="H1025">
        <v>0</v>
      </c>
      <c r="I1025">
        <v>217.39920000000001</v>
      </c>
      <c r="J1025">
        <v>0</v>
      </c>
    </row>
    <row r="1026" spans="1:10" x14ac:dyDescent="0.3">
      <c r="A1026" t="s">
        <v>9</v>
      </c>
      <c r="B1026" t="s">
        <v>1142</v>
      </c>
      <c r="C1026">
        <v>4</v>
      </c>
      <c r="D1026">
        <v>3.3999999999999998E-3</v>
      </c>
      <c r="E1026">
        <v>5.9957334838115024</v>
      </c>
      <c r="F1026">
        <v>606.80236069123202</v>
      </c>
      <c r="G1026">
        <v>0.42399999999999999</v>
      </c>
      <c r="H1026">
        <v>0</v>
      </c>
      <c r="I1026">
        <v>217.6003</v>
      </c>
      <c r="J1026">
        <v>0</v>
      </c>
    </row>
    <row r="1027" spans="1:10" x14ac:dyDescent="0.3">
      <c r="A1027" t="s">
        <v>9</v>
      </c>
      <c r="B1027" t="s">
        <v>1143</v>
      </c>
      <c r="C1027">
        <v>4</v>
      </c>
      <c r="D1027">
        <v>3.3999999999999998E-3</v>
      </c>
      <c r="E1027">
        <v>5.9957334838115024</v>
      </c>
      <c r="F1027">
        <v>606.80236069123202</v>
      </c>
      <c r="G1027">
        <v>0.42399999999999999</v>
      </c>
      <c r="H1027">
        <v>0</v>
      </c>
      <c r="I1027">
        <v>217.79839999999999</v>
      </c>
      <c r="J1027">
        <v>0</v>
      </c>
    </row>
    <row r="1028" spans="1:10" x14ac:dyDescent="0.3">
      <c r="A1028" t="s">
        <v>9</v>
      </c>
      <c r="B1028" t="s">
        <v>1144</v>
      </c>
      <c r="C1028">
        <v>4</v>
      </c>
      <c r="D1028">
        <v>3.3999999999999998E-3</v>
      </c>
      <c r="E1028">
        <v>5.9957334838115024</v>
      </c>
      <c r="F1028">
        <v>606.80236069123202</v>
      </c>
      <c r="G1028">
        <v>0.42399999999999999</v>
      </c>
      <c r="H1028">
        <v>0</v>
      </c>
      <c r="I1028">
        <v>218.00030000000001</v>
      </c>
      <c r="J1028">
        <v>0</v>
      </c>
    </row>
    <row r="1029" spans="1:10" x14ac:dyDescent="0.3">
      <c r="A1029" t="s">
        <v>9</v>
      </c>
      <c r="B1029" t="s">
        <v>1145</v>
      </c>
      <c r="C1029">
        <v>4</v>
      </c>
      <c r="D1029">
        <v>3.3999999999999998E-3</v>
      </c>
      <c r="E1029">
        <v>5.9957334838115024</v>
      </c>
      <c r="F1029">
        <v>606.80236069123202</v>
      </c>
      <c r="G1029">
        <v>0.42399999999999999</v>
      </c>
      <c r="H1029">
        <v>0</v>
      </c>
      <c r="I1029">
        <v>218.1996</v>
      </c>
      <c r="J1029">
        <v>0</v>
      </c>
    </row>
    <row r="1030" spans="1:10" x14ac:dyDescent="0.3">
      <c r="A1030" t="s">
        <v>9</v>
      </c>
      <c r="B1030" t="s">
        <v>1146</v>
      </c>
      <c r="C1030">
        <v>4</v>
      </c>
      <c r="D1030">
        <v>3.3999999999999998E-3</v>
      </c>
      <c r="E1030">
        <v>5.9957334838115024</v>
      </c>
      <c r="F1030">
        <v>606.80236069123202</v>
      </c>
      <c r="G1030">
        <v>0.42399999999999999</v>
      </c>
      <c r="H1030">
        <v>0</v>
      </c>
      <c r="I1030">
        <v>218.3982</v>
      </c>
      <c r="J1030">
        <v>0</v>
      </c>
    </row>
    <row r="1031" spans="1:10" x14ac:dyDescent="0.3">
      <c r="A1031" t="s">
        <v>9</v>
      </c>
      <c r="B1031" t="s">
        <v>1147</v>
      </c>
      <c r="C1031">
        <v>4</v>
      </c>
      <c r="D1031">
        <v>3.3999999999999998E-3</v>
      </c>
      <c r="E1031">
        <v>5.9957334838115024</v>
      </c>
      <c r="F1031">
        <v>606.80236069123202</v>
      </c>
      <c r="G1031">
        <v>0.42399999999999999</v>
      </c>
      <c r="H1031">
        <v>0</v>
      </c>
      <c r="I1031">
        <v>218.5993</v>
      </c>
      <c r="J1031">
        <v>0</v>
      </c>
    </row>
    <row r="1032" spans="1:10" x14ac:dyDescent="0.3">
      <c r="A1032" t="s">
        <v>9</v>
      </c>
      <c r="B1032" t="s">
        <v>1148</v>
      </c>
      <c r="C1032">
        <v>4</v>
      </c>
      <c r="D1032">
        <v>3.3999999999999998E-3</v>
      </c>
      <c r="E1032">
        <v>5.9957334838115024</v>
      </c>
      <c r="F1032">
        <v>606.80236069123202</v>
      </c>
      <c r="G1032">
        <v>0.42399999999999999</v>
      </c>
      <c r="H1032">
        <v>0</v>
      </c>
      <c r="I1032">
        <v>218.7997</v>
      </c>
      <c r="J1032">
        <v>0</v>
      </c>
    </row>
    <row r="1033" spans="1:10" x14ac:dyDescent="0.3">
      <c r="A1033" t="s">
        <v>9</v>
      </c>
      <c r="B1033" t="s">
        <v>1149</v>
      </c>
      <c r="C1033">
        <v>4</v>
      </c>
      <c r="D1033">
        <v>3.3999999999999998E-3</v>
      </c>
      <c r="E1033">
        <v>5.9957334838115024</v>
      </c>
      <c r="F1033">
        <v>606.80236069123202</v>
      </c>
      <c r="G1033">
        <v>0.42399999999999999</v>
      </c>
      <c r="H1033">
        <v>0</v>
      </c>
      <c r="I1033">
        <v>218.99979999999999</v>
      </c>
      <c r="J1033">
        <v>0</v>
      </c>
    </row>
    <row r="1034" spans="1:10" x14ac:dyDescent="0.3">
      <c r="A1034" t="s">
        <v>9</v>
      </c>
      <c r="B1034" t="s">
        <v>1150</v>
      </c>
      <c r="C1034">
        <v>4</v>
      </c>
      <c r="D1034">
        <v>3.3999999999999998E-3</v>
      </c>
      <c r="E1034">
        <v>5.9957334838115024</v>
      </c>
      <c r="F1034">
        <v>606.80236069123202</v>
      </c>
      <c r="G1034">
        <v>0.42399999999999999</v>
      </c>
      <c r="H1034">
        <v>0</v>
      </c>
      <c r="I1034">
        <v>219.1978</v>
      </c>
      <c r="J1034">
        <v>0</v>
      </c>
    </row>
    <row r="1035" spans="1:10" x14ac:dyDescent="0.3">
      <c r="A1035" t="s">
        <v>9</v>
      </c>
      <c r="B1035" t="s">
        <v>1151</v>
      </c>
      <c r="C1035">
        <v>4</v>
      </c>
      <c r="D1035">
        <v>3.3999999999999998E-3</v>
      </c>
      <c r="E1035">
        <v>5.9957334838115024</v>
      </c>
      <c r="F1035">
        <v>606.80236069123202</v>
      </c>
      <c r="G1035">
        <v>0.42399999999999999</v>
      </c>
      <c r="H1035">
        <v>0</v>
      </c>
      <c r="I1035">
        <v>219.39940000000001</v>
      </c>
      <c r="J1035">
        <v>0</v>
      </c>
    </row>
    <row r="1036" spans="1:10" x14ac:dyDescent="0.3">
      <c r="A1036" t="s">
        <v>9</v>
      </c>
      <c r="B1036" t="s">
        <v>1152</v>
      </c>
      <c r="C1036">
        <v>4</v>
      </c>
      <c r="D1036">
        <v>3.3999999999999998E-3</v>
      </c>
      <c r="E1036">
        <v>5.9957334838115024</v>
      </c>
      <c r="F1036">
        <v>606.80236069123202</v>
      </c>
      <c r="G1036">
        <v>0.42399999999999999</v>
      </c>
      <c r="H1036">
        <v>0</v>
      </c>
      <c r="I1036">
        <v>219.59909999999999</v>
      </c>
      <c r="J1036">
        <v>0</v>
      </c>
    </row>
    <row r="1037" spans="1:10" x14ac:dyDescent="0.3">
      <c r="A1037" t="s">
        <v>9</v>
      </c>
      <c r="B1037" t="s">
        <v>1153</v>
      </c>
      <c r="C1037">
        <v>4</v>
      </c>
      <c r="D1037">
        <v>3.3999999999999998E-3</v>
      </c>
      <c r="E1037">
        <v>5.9957334838115024</v>
      </c>
      <c r="F1037">
        <v>606.80236069123202</v>
      </c>
      <c r="G1037">
        <v>0.42399999999999999</v>
      </c>
      <c r="H1037">
        <v>0</v>
      </c>
      <c r="I1037">
        <v>219.7997</v>
      </c>
      <c r="J1037">
        <v>0</v>
      </c>
    </row>
    <row r="1038" spans="1:10" x14ac:dyDescent="0.3">
      <c r="A1038" t="s">
        <v>9</v>
      </c>
      <c r="B1038" t="s">
        <v>1154</v>
      </c>
      <c r="C1038">
        <v>4</v>
      </c>
      <c r="D1038">
        <v>3.3999999999999998E-3</v>
      </c>
      <c r="E1038">
        <v>5.9957334838115024</v>
      </c>
      <c r="F1038">
        <v>606.80236069123202</v>
      </c>
      <c r="G1038">
        <v>0.42399999999999999</v>
      </c>
      <c r="H1038">
        <v>0</v>
      </c>
      <c r="I1038">
        <v>219.99799999999999</v>
      </c>
      <c r="J1038">
        <v>0</v>
      </c>
    </row>
    <row r="1039" spans="1:10" x14ac:dyDescent="0.3">
      <c r="A1039" t="s">
        <v>9</v>
      </c>
      <c r="B1039" t="s">
        <v>1155</v>
      </c>
      <c r="C1039">
        <v>4</v>
      </c>
      <c r="D1039">
        <v>3.3999999999999998E-3</v>
      </c>
      <c r="E1039">
        <v>5.9957334838115024</v>
      </c>
      <c r="F1039">
        <v>606.80236069123202</v>
      </c>
      <c r="G1039">
        <v>0.42399999999999999</v>
      </c>
      <c r="H1039">
        <v>0</v>
      </c>
      <c r="I1039">
        <v>220.1987</v>
      </c>
      <c r="J1039">
        <v>0</v>
      </c>
    </row>
    <row r="1040" spans="1:10" x14ac:dyDescent="0.3">
      <c r="A1040" t="s">
        <v>9</v>
      </c>
      <c r="B1040" t="s">
        <v>1156</v>
      </c>
      <c r="C1040">
        <v>4</v>
      </c>
      <c r="D1040">
        <v>3.3999999999999998E-3</v>
      </c>
      <c r="E1040">
        <v>5.9957334838115024</v>
      </c>
      <c r="F1040">
        <v>606.80236069123202</v>
      </c>
      <c r="G1040">
        <v>0.42399999999999999</v>
      </c>
      <c r="H1040">
        <v>0</v>
      </c>
      <c r="I1040">
        <v>220.40029999999999</v>
      </c>
      <c r="J1040">
        <v>0</v>
      </c>
    </row>
    <row r="1041" spans="1:10" x14ac:dyDescent="0.3">
      <c r="A1041" t="s">
        <v>9</v>
      </c>
      <c r="B1041" t="s">
        <v>1157</v>
      </c>
      <c r="C1041">
        <v>4</v>
      </c>
      <c r="D1041">
        <v>3.3999999999999998E-3</v>
      </c>
      <c r="E1041">
        <v>5.9957334838115024</v>
      </c>
      <c r="F1041">
        <v>606.80236069123202</v>
      </c>
      <c r="G1041">
        <v>0.42399999999999999</v>
      </c>
      <c r="H1041">
        <v>0</v>
      </c>
      <c r="I1041">
        <v>220.59970000000001</v>
      </c>
      <c r="J1041">
        <v>0</v>
      </c>
    </row>
    <row r="1042" spans="1:10" x14ac:dyDescent="0.3">
      <c r="A1042" t="s">
        <v>9</v>
      </c>
      <c r="B1042" t="s">
        <v>1158</v>
      </c>
      <c r="C1042">
        <v>4</v>
      </c>
      <c r="D1042">
        <v>3.3999999999999998E-3</v>
      </c>
      <c r="E1042">
        <v>5.9957334838115024</v>
      </c>
      <c r="F1042">
        <v>606.80236069123202</v>
      </c>
      <c r="G1042">
        <v>0.42399999999999999</v>
      </c>
      <c r="H1042">
        <v>0</v>
      </c>
      <c r="I1042">
        <v>220.80080000000001</v>
      </c>
      <c r="J1042">
        <v>0</v>
      </c>
    </row>
    <row r="1043" spans="1:10" x14ac:dyDescent="0.3">
      <c r="A1043" t="s">
        <v>9</v>
      </c>
      <c r="B1043" t="s">
        <v>1159</v>
      </c>
      <c r="C1043">
        <v>4</v>
      </c>
      <c r="D1043">
        <v>3.3999999999999998E-3</v>
      </c>
      <c r="E1043">
        <v>6.1934966520803014</v>
      </c>
      <c r="F1043">
        <v>727.7628322824205</v>
      </c>
      <c r="G1043">
        <v>0.42399999999999999</v>
      </c>
      <c r="H1043">
        <v>3.0999999999999999E-3</v>
      </c>
      <c r="I1043">
        <v>221.00040000000001</v>
      </c>
      <c r="J1043">
        <v>3.0999999999999999E-3</v>
      </c>
    </row>
    <row r="1044" spans="1:10" x14ac:dyDescent="0.3">
      <c r="A1044" t="s">
        <v>9</v>
      </c>
      <c r="B1044" t="s">
        <v>1160</v>
      </c>
      <c r="C1044">
        <v>4</v>
      </c>
      <c r="D1044">
        <v>3.3999999999999998E-3</v>
      </c>
      <c r="E1044">
        <v>6.1250036815079953</v>
      </c>
      <c r="F1044">
        <v>618.85034311654522</v>
      </c>
      <c r="G1044">
        <v>0.42399999999999999</v>
      </c>
      <c r="H1044">
        <v>2E-3</v>
      </c>
      <c r="I1044">
        <v>221.19929999999999</v>
      </c>
      <c r="J1044">
        <v>2E-3</v>
      </c>
    </row>
    <row r="1045" spans="1:10" x14ac:dyDescent="0.3">
      <c r="A1045" t="s">
        <v>9</v>
      </c>
      <c r="B1045" t="s">
        <v>1161</v>
      </c>
      <c r="C1045">
        <v>4</v>
      </c>
      <c r="D1045">
        <v>3.3999999999999998E-3</v>
      </c>
      <c r="E1045">
        <v>6.0694948980263774</v>
      </c>
      <c r="F1045">
        <v>613.67692449605829</v>
      </c>
      <c r="G1045">
        <v>0.42399999999999999</v>
      </c>
      <c r="H1045">
        <v>1.1000000000000001E-3</v>
      </c>
      <c r="I1045">
        <v>221.39959999999999</v>
      </c>
      <c r="J1045">
        <v>1.1000000000000001E-3</v>
      </c>
    </row>
    <row r="1046" spans="1:10" x14ac:dyDescent="0.3">
      <c r="A1046" t="s">
        <v>9</v>
      </c>
      <c r="B1046" t="s">
        <v>1162</v>
      </c>
      <c r="C1046">
        <v>4</v>
      </c>
      <c r="D1046">
        <v>3.3999999999999998E-3</v>
      </c>
      <c r="E1046">
        <v>6.028945430752664</v>
      </c>
      <c r="F1046">
        <v>609.89771414614825</v>
      </c>
      <c r="G1046">
        <v>0.42399999999999999</v>
      </c>
      <c r="H1046">
        <v>5.0000000000000001E-4</v>
      </c>
      <c r="I1046">
        <v>221.5992</v>
      </c>
      <c r="J1046">
        <v>5.0000000000000001E-4</v>
      </c>
    </row>
    <row r="1047" spans="1:10" x14ac:dyDescent="0.3">
      <c r="A1047" t="s">
        <v>9</v>
      </c>
      <c r="B1047" t="s">
        <v>1163</v>
      </c>
      <c r="C1047">
        <v>4</v>
      </c>
      <c r="D1047">
        <v>3.3E-3</v>
      </c>
      <c r="E1047">
        <v>6.0040458044834573</v>
      </c>
      <c r="F1047">
        <v>607.57706897785829</v>
      </c>
      <c r="G1047">
        <v>0.42399999999999999</v>
      </c>
      <c r="H1047">
        <v>1E-4</v>
      </c>
      <c r="I1047">
        <v>221.80009999999999</v>
      </c>
      <c r="J1047">
        <v>1E-4</v>
      </c>
    </row>
    <row r="1048" spans="1:10" x14ac:dyDescent="0.3">
      <c r="A1048" t="s">
        <v>9</v>
      </c>
      <c r="B1048" t="s">
        <v>1164</v>
      </c>
      <c r="C1048">
        <v>4</v>
      </c>
      <c r="D1048">
        <v>3.3E-3</v>
      </c>
      <c r="E1048">
        <v>5.9957336449311036</v>
      </c>
      <c r="F1048">
        <v>606.8023757075789</v>
      </c>
      <c r="G1048">
        <v>0.42399999999999999</v>
      </c>
      <c r="H1048">
        <v>0</v>
      </c>
      <c r="I1048">
        <v>222.0009</v>
      </c>
      <c r="J1048">
        <v>0</v>
      </c>
    </row>
    <row r="1049" spans="1:10" x14ac:dyDescent="0.3">
      <c r="A1049" t="s">
        <v>9</v>
      </c>
      <c r="B1049" t="s">
        <v>1165</v>
      </c>
      <c r="C1049">
        <v>4</v>
      </c>
      <c r="D1049">
        <v>3.3E-3</v>
      </c>
      <c r="E1049">
        <v>6.0038818645498324</v>
      </c>
      <c r="F1049">
        <v>709.76838894577918</v>
      </c>
      <c r="G1049">
        <v>0.42399999999999999</v>
      </c>
      <c r="H1049">
        <v>1E-4</v>
      </c>
      <c r="I1049">
        <v>222.1979</v>
      </c>
      <c r="J1049">
        <v>1E-4</v>
      </c>
    </row>
    <row r="1050" spans="1:10" x14ac:dyDescent="0.3">
      <c r="A1050" t="s">
        <v>9</v>
      </c>
      <c r="B1050" t="s">
        <v>1166</v>
      </c>
      <c r="C1050">
        <v>4</v>
      </c>
      <c r="D1050">
        <v>3.3999999999999998E-3</v>
      </c>
      <c r="E1050">
        <v>6.0285817843105587</v>
      </c>
      <c r="F1050">
        <v>712.11241133107205</v>
      </c>
      <c r="G1050">
        <v>0.42399999999999999</v>
      </c>
      <c r="H1050">
        <v>5.0000000000000001E-4</v>
      </c>
      <c r="I1050">
        <v>222.39859999999999</v>
      </c>
      <c r="J1050">
        <v>5.0000000000000001E-4</v>
      </c>
    </row>
    <row r="1051" spans="1:10" x14ac:dyDescent="0.3">
      <c r="A1051" t="s">
        <v>9</v>
      </c>
      <c r="B1051" t="s">
        <v>1167</v>
      </c>
      <c r="C1051">
        <v>4</v>
      </c>
      <c r="D1051">
        <v>3.3999999999999998E-3</v>
      </c>
      <c r="E1051">
        <v>6.0690075221849211</v>
      </c>
      <c r="F1051">
        <v>715.94881385534904</v>
      </c>
      <c r="G1051">
        <v>0.42399999999999999</v>
      </c>
      <c r="H1051">
        <v>1.1000000000000001E-3</v>
      </c>
      <c r="I1051">
        <v>222.5984</v>
      </c>
      <c r="J1051">
        <v>1.1000000000000001E-3</v>
      </c>
    </row>
    <row r="1052" spans="1:10" x14ac:dyDescent="0.3">
      <c r="A1052" t="s">
        <v>9</v>
      </c>
      <c r="B1052" t="s">
        <v>1168</v>
      </c>
      <c r="C1052">
        <v>4</v>
      </c>
      <c r="D1052">
        <v>3.3999999999999998E-3</v>
      </c>
      <c r="E1052">
        <v>6.1241122946112778</v>
      </c>
      <c r="F1052">
        <v>721.17825675861025</v>
      </c>
      <c r="G1052">
        <v>0.42399999999999999</v>
      </c>
      <c r="H1052">
        <v>2E-3</v>
      </c>
      <c r="I1052">
        <v>222.7978</v>
      </c>
      <c r="J1052">
        <v>2E-3</v>
      </c>
    </row>
    <row r="1053" spans="1:10" x14ac:dyDescent="0.3">
      <c r="A1053" t="s">
        <v>9</v>
      </c>
      <c r="B1053" t="s">
        <v>1169</v>
      </c>
      <c r="C1053">
        <v>4</v>
      </c>
      <c r="D1053">
        <v>3.3999999999999998E-3</v>
      </c>
      <c r="E1053">
        <v>6.1930144257173696</v>
      </c>
      <c r="F1053">
        <v>727.71706900057836</v>
      </c>
      <c r="G1053">
        <v>0.42399999999999999</v>
      </c>
      <c r="H1053">
        <v>3.0999999999999999E-3</v>
      </c>
      <c r="I1053">
        <v>222.9983</v>
      </c>
      <c r="J1053">
        <v>3.0999999999999999E-3</v>
      </c>
    </row>
    <row r="1054" spans="1:10" x14ac:dyDescent="0.3">
      <c r="A1054" t="s">
        <v>9</v>
      </c>
      <c r="B1054" t="s">
        <v>1170</v>
      </c>
      <c r="C1054">
        <v>4</v>
      </c>
      <c r="D1054">
        <v>3.3999999999999998E-3</v>
      </c>
      <c r="E1054">
        <v>6.2744368448291166</v>
      </c>
      <c r="F1054">
        <v>735.4440565742832</v>
      </c>
      <c r="G1054">
        <v>0.42399999999999999</v>
      </c>
      <c r="H1054">
        <v>4.3E-3</v>
      </c>
      <c r="I1054">
        <v>223.2003</v>
      </c>
      <c r="J1054">
        <v>4.3E-3</v>
      </c>
    </row>
    <row r="1055" spans="1:10" x14ac:dyDescent="0.3">
      <c r="A1055" t="s">
        <v>9</v>
      </c>
      <c r="B1055" t="s">
        <v>1171</v>
      </c>
      <c r="C1055">
        <v>4</v>
      </c>
      <c r="D1055">
        <v>3.3999999999999998E-3</v>
      </c>
      <c r="E1055">
        <v>6.3643398874117123</v>
      </c>
      <c r="F1055">
        <v>743.97585531537152</v>
      </c>
      <c r="G1055">
        <v>0.42399999999999999</v>
      </c>
      <c r="H1055">
        <v>5.7000000000000002E-3</v>
      </c>
      <c r="I1055">
        <v>223.39920000000001</v>
      </c>
      <c r="J1055">
        <v>5.7000000000000002E-3</v>
      </c>
    </row>
    <row r="1056" spans="1:10" x14ac:dyDescent="0.3">
      <c r="A1056" t="s">
        <v>9</v>
      </c>
      <c r="B1056" t="s">
        <v>1172</v>
      </c>
      <c r="C1056">
        <v>4</v>
      </c>
      <c r="D1056">
        <v>3.3999999999999998E-3</v>
      </c>
      <c r="E1056">
        <v>6.4616542460033539</v>
      </c>
      <c r="F1056">
        <v>753.21098794571833</v>
      </c>
      <c r="G1056">
        <v>0.42399999999999999</v>
      </c>
      <c r="H1056">
        <v>7.1999999999999998E-3</v>
      </c>
      <c r="I1056">
        <v>223.59790000000001</v>
      </c>
      <c r="J1056">
        <v>7.1999999999999998E-3</v>
      </c>
    </row>
    <row r="1057" spans="1:10" x14ac:dyDescent="0.3">
      <c r="A1057" t="s">
        <v>9</v>
      </c>
      <c r="B1057" t="s">
        <v>1173</v>
      </c>
      <c r="C1057">
        <v>4</v>
      </c>
      <c r="D1057">
        <v>3.5000000000000001E-3</v>
      </c>
      <c r="E1057">
        <v>6.5650999710876343</v>
      </c>
      <c r="F1057">
        <v>763.02798725621653</v>
      </c>
      <c r="G1057">
        <v>0.42399999999999999</v>
      </c>
      <c r="H1057">
        <v>8.8000000000000005E-3</v>
      </c>
      <c r="I1057">
        <v>223.7987</v>
      </c>
      <c r="J1057">
        <v>8.8000000000000005E-3</v>
      </c>
    </row>
    <row r="1058" spans="1:10" x14ac:dyDescent="0.3">
      <c r="A1058" t="s">
        <v>9</v>
      </c>
      <c r="B1058" t="s">
        <v>1174</v>
      </c>
      <c r="C1058">
        <v>4</v>
      </c>
      <c r="D1058">
        <v>3.7000000000000002E-3</v>
      </c>
      <c r="E1058">
        <v>6.671525095242643</v>
      </c>
      <c r="F1058">
        <v>773.12773153852686</v>
      </c>
      <c r="G1058">
        <v>0.42399999999999999</v>
      </c>
      <c r="H1058">
        <v>1.0500000000000001E-2</v>
      </c>
      <c r="I1058">
        <v>224</v>
      </c>
      <c r="J1058">
        <v>1.0500000000000001E-2</v>
      </c>
    </row>
    <row r="1059" spans="1:10" x14ac:dyDescent="0.3">
      <c r="A1059" t="s">
        <v>9</v>
      </c>
      <c r="B1059" t="s">
        <v>1175</v>
      </c>
      <c r="C1059">
        <v>4</v>
      </c>
      <c r="D1059">
        <v>5.0000000000000001E-3</v>
      </c>
      <c r="E1059">
        <v>6.7766770412427659</v>
      </c>
      <c r="F1059">
        <v>783.10665121393856</v>
      </c>
      <c r="G1059">
        <v>0.42399999999999999</v>
      </c>
      <c r="H1059">
        <v>1.21E-2</v>
      </c>
      <c r="I1059">
        <v>224.19890000000001</v>
      </c>
      <c r="J1059">
        <v>1.21E-2</v>
      </c>
    </row>
    <row r="1060" spans="1:10" x14ac:dyDescent="0.3">
      <c r="A1060" t="s">
        <v>9</v>
      </c>
      <c r="B1060" t="s">
        <v>1176</v>
      </c>
      <c r="C1060">
        <v>4</v>
      </c>
      <c r="D1060">
        <v>7.1999999999999998E-3</v>
      </c>
      <c r="E1060">
        <v>6.8801211444440487</v>
      </c>
      <c r="F1060">
        <v>792.92349660774028</v>
      </c>
      <c r="G1060">
        <v>0.42399999999999999</v>
      </c>
      <c r="H1060">
        <v>1.37E-2</v>
      </c>
      <c r="I1060">
        <v>224.39959999999999</v>
      </c>
      <c r="J1060">
        <v>1.37E-2</v>
      </c>
    </row>
    <row r="1061" spans="1:10" x14ac:dyDescent="0.3">
      <c r="A1061" t="s">
        <v>9</v>
      </c>
      <c r="B1061" t="s">
        <v>1177</v>
      </c>
      <c r="C1061">
        <v>4</v>
      </c>
      <c r="D1061">
        <v>9.2999999999999992E-3</v>
      </c>
      <c r="E1061">
        <v>6.9774223657833909</v>
      </c>
      <c r="F1061">
        <v>802.15738251284381</v>
      </c>
      <c r="G1061">
        <v>0.42399999999999999</v>
      </c>
      <c r="H1061">
        <v>1.5299999999999999E-2</v>
      </c>
      <c r="I1061">
        <v>224.59809999999999</v>
      </c>
      <c r="J1061">
        <v>1.5299999999999999E-2</v>
      </c>
    </row>
    <row r="1062" spans="1:10" x14ac:dyDescent="0.3">
      <c r="A1062" t="s">
        <v>9</v>
      </c>
      <c r="B1062" t="s">
        <v>1178</v>
      </c>
      <c r="C1062">
        <v>4</v>
      </c>
      <c r="D1062">
        <v>1.09E-2</v>
      </c>
      <c r="E1062">
        <v>7.0677762512928712</v>
      </c>
      <c r="F1062">
        <v>810.73196624769355</v>
      </c>
      <c r="G1062">
        <v>0.42399999999999999</v>
      </c>
      <c r="H1062">
        <v>1.67E-2</v>
      </c>
      <c r="I1062">
        <v>224.7978</v>
      </c>
      <c r="J1062">
        <v>1.67E-2</v>
      </c>
    </row>
    <row r="1063" spans="1:10" x14ac:dyDescent="0.3">
      <c r="A1063" t="s">
        <v>9</v>
      </c>
      <c r="B1063" t="s">
        <v>1179</v>
      </c>
      <c r="C1063">
        <v>4</v>
      </c>
      <c r="D1063">
        <v>1.23E-2</v>
      </c>
      <c r="E1063">
        <v>7.1488874310569468</v>
      </c>
      <c r="F1063">
        <v>818.42941720730425</v>
      </c>
      <c r="G1063">
        <v>0.42399999999999999</v>
      </c>
      <c r="H1063">
        <v>1.7899999999999999E-2</v>
      </c>
      <c r="I1063">
        <v>224.99870000000001</v>
      </c>
      <c r="J1063">
        <v>1.7899999999999999E-2</v>
      </c>
    </row>
    <row r="1064" spans="1:10" x14ac:dyDescent="0.3">
      <c r="A1064" t="s">
        <v>9</v>
      </c>
      <c r="B1064" t="s">
        <v>1180</v>
      </c>
      <c r="C1064">
        <v>4</v>
      </c>
      <c r="D1064">
        <v>1.38E-2</v>
      </c>
      <c r="E1064">
        <v>7.2182784787933443</v>
      </c>
      <c r="F1064">
        <v>825.01462763748839</v>
      </c>
      <c r="G1064">
        <v>0.42399999999999999</v>
      </c>
      <c r="H1064">
        <v>1.9E-2</v>
      </c>
      <c r="I1064">
        <v>225.20009999999999</v>
      </c>
      <c r="J1064">
        <v>1.9E-2</v>
      </c>
    </row>
    <row r="1065" spans="1:10" x14ac:dyDescent="0.3">
      <c r="A1065" t="s">
        <v>9</v>
      </c>
      <c r="B1065" t="s">
        <v>1181</v>
      </c>
      <c r="C1065">
        <v>4</v>
      </c>
      <c r="D1065">
        <v>1.49E-2</v>
      </c>
      <c r="E1065">
        <v>7.2735112988825392</v>
      </c>
      <c r="F1065">
        <v>830.25622226395296</v>
      </c>
      <c r="G1065">
        <v>0.42399999999999999</v>
      </c>
      <c r="H1065">
        <v>1.9900000000000001E-2</v>
      </c>
      <c r="I1065">
        <v>225.39940000000001</v>
      </c>
      <c r="J1065">
        <v>1.9900000000000001E-2</v>
      </c>
    </row>
    <row r="1066" spans="1:10" x14ac:dyDescent="0.3">
      <c r="A1066" t="s">
        <v>9</v>
      </c>
      <c r="B1066" t="s">
        <v>1182</v>
      </c>
      <c r="C1066">
        <v>4</v>
      </c>
      <c r="D1066">
        <v>1.5800000000000002E-2</v>
      </c>
      <c r="E1066">
        <v>7.3139934985588324</v>
      </c>
      <c r="F1066">
        <v>834.09798301323326</v>
      </c>
      <c r="G1066">
        <v>0.42399999999999999</v>
      </c>
      <c r="H1066">
        <v>2.0500000000000001E-2</v>
      </c>
      <c r="I1066">
        <v>225.5986</v>
      </c>
      <c r="J1066">
        <v>2.0500000000000001E-2</v>
      </c>
    </row>
    <row r="1067" spans="1:10" x14ac:dyDescent="0.3">
      <c r="A1067" t="s">
        <v>9</v>
      </c>
      <c r="B1067" t="s">
        <v>1183</v>
      </c>
      <c r="C1067">
        <v>4</v>
      </c>
      <c r="D1067">
        <v>1.6400000000000001E-2</v>
      </c>
      <c r="E1067">
        <v>7.3388143905178103</v>
      </c>
      <c r="F1067">
        <v>836.45348566014025</v>
      </c>
      <c r="G1067">
        <v>0.42399999999999999</v>
      </c>
      <c r="H1067">
        <v>2.0899999999999998E-2</v>
      </c>
      <c r="I1067">
        <v>225.798</v>
      </c>
      <c r="J1067">
        <v>2.0899999999999998E-2</v>
      </c>
    </row>
    <row r="1068" spans="1:10" x14ac:dyDescent="0.3">
      <c r="A1068" t="s">
        <v>9</v>
      </c>
      <c r="B1068" t="s">
        <v>1184</v>
      </c>
      <c r="C1068">
        <v>4</v>
      </c>
      <c r="D1068">
        <v>1.66E-2</v>
      </c>
      <c r="E1068">
        <v>7.3473025151975344</v>
      </c>
      <c r="F1068">
        <v>837.25900869224608</v>
      </c>
      <c r="G1068">
        <v>0.42399999999999999</v>
      </c>
      <c r="H1068">
        <v>2.1000000000000001E-2</v>
      </c>
      <c r="I1068">
        <v>226.00040000000001</v>
      </c>
      <c r="J1068">
        <v>2.1000000000000001E-2</v>
      </c>
    </row>
    <row r="1069" spans="1:10" x14ac:dyDescent="0.3">
      <c r="A1069" t="s">
        <v>9</v>
      </c>
      <c r="B1069" t="s">
        <v>1185</v>
      </c>
      <c r="C1069">
        <v>4</v>
      </c>
      <c r="D1069">
        <v>1.66E-2</v>
      </c>
      <c r="E1069">
        <v>7.3389899593525438</v>
      </c>
      <c r="F1069">
        <v>731.99386421165707</v>
      </c>
      <c r="G1069">
        <v>0.42399999999999999</v>
      </c>
      <c r="H1069">
        <v>2.0899999999999998E-2</v>
      </c>
      <c r="I1069">
        <v>226.19990000000001</v>
      </c>
      <c r="J1069">
        <v>2.0899999999999998E-2</v>
      </c>
    </row>
    <row r="1070" spans="1:10" x14ac:dyDescent="0.3">
      <c r="A1070" t="s">
        <v>9</v>
      </c>
      <c r="B1070" t="s">
        <v>1186</v>
      </c>
      <c r="C1070">
        <v>4</v>
      </c>
      <c r="D1070">
        <v>1.66E-2</v>
      </c>
      <c r="E1070">
        <v>7.3142582709585584</v>
      </c>
      <c r="F1070">
        <v>729.68887085333756</v>
      </c>
      <c r="G1070">
        <v>0.42399999999999999</v>
      </c>
      <c r="H1070">
        <v>2.0500000000000001E-2</v>
      </c>
      <c r="I1070">
        <v>226.3998</v>
      </c>
      <c r="J1070">
        <v>2.0500000000000001E-2</v>
      </c>
    </row>
    <row r="1071" spans="1:10" x14ac:dyDescent="0.3">
      <c r="A1071" t="s">
        <v>9</v>
      </c>
      <c r="B1071" t="s">
        <v>1187</v>
      </c>
      <c r="C1071">
        <v>4</v>
      </c>
      <c r="D1071">
        <v>1.66E-2</v>
      </c>
      <c r="E1071">
        <v>7.2739512346462494</v>
      </c>
      <c r="F1071">
        <v>725.93225506903048</v>
      </c>
      <c r="G1071">
        <v>0.42399999999999999</v>
      </c>
      <c r="H1071">
        <v>1.9900000000000001E-2</v>
      </c>
      <c r="I1071">
        <v>226.59870000000001</v>
      </c>
      <c r="J1071">
        <v>1.9900000000000001E-2</v>
      </c>
    </row>
    <row r="1072" spans="1:10" x14ac:dyDescent="0.3">
      <c r="A1072" t="s">
        <v>9</v>
      </c>
      <c r="B1072" t="s">
        <v>1188</v>
      </c>
      <c r="C1072">
        <v>4</v>
      </c>
      <c r="D1072">
        <v>1.66E-2</v>
      </c>
      <c r="E1072">
        <v>7.2186604322398082</v>
      </c>
      <c r="F1072">
        <v>720.77915228475013</v>
      </c>
      <c r="G1072">
        <v>0.42399999999999999</v>
      </c>
      <c r="H1072">
        <v>1.9E-2</v>
      </c>
      <c r="I1072">
        <v>226.79859999999999</v>
      </c>
      <c r="J1072">
        <v>1.9E-2</v>
      </c>
    </row>
    <row r="1073" spans="1:10" x14ac:dyDescent="0.3">
      <c r="A1073" t="s">
        <v>9</v>
      </c>
      <c r="B1073" t="s">
        <v>1189</v>
      </c>
      <c r="C1073">
        <v>4</v>
      </c>
      <c r="D1073">
        <v>1.66E-2</v>
      </c>
      <c r="E1073">
        <v>7.1494567119898944</v>
      </c>
      <c r="F1073">
        <v>714.32936555745812</v>
      </c>
      <c r="G1073">
        <v>0.42399999999999999</v>
      </c>
      <c r="H1073">
        <v>1.7899999999999999E-2</v>
      </c>
      <c r="I1073">
        <v>226.99979999999999</v>
      </c>
      <c r="J1073">
        <v>1.7899999999999999E-2</v>
      </c>
    </row>
    <row r="1074" spans="1:10" x14ac:dyDescent="0.3">
      <c r="A1074" t="s">
        <v>9</v>
      </c>
      <c r="B1074" t="s">
        <v>1190</v>
      </c>
      <c r="C1074">
        <v>4</v>
      </c>
      <c r="D1074">
        <v>1.66E-2</v>
      </c>
      <c r="E1074">
        <v>7.0657103778218104</v>
      </c>
      <c r="F1074">
        <v>706.52420721299268</v>
      </c>
      <c r="G1074">
        <v>0.42399999999999999</v>
      </c>
      <c r="H1074">
        <v>1.66E-2</v>
      </c>
      <c r="I1074">
        <v>227.20699999999999</v>
      </c>
      <c r="J1074">
        <v>1.66E-2</v>
      </c>
    </row>
    <row r="1075" spans="1:10" x14ac:dyDescent="0.3">
      <c r="A1075" t="s">
        <v>9</v>
      </c>
      <c r="B1075" t="s">
        <v>1191</v>
      </c>
      <c r="C1075">
        <v>4</v>
      </c>
      <c r="D1075">
        <v>1.6500000000000001E-2</v>
      </c>
      <c r="E1075">
        <v>6.9792603646929727</v>
      </c>
      <c r="F1075">
        <v>698.46706598938511</v>
      </c>
      <c r="G1075">
        <v>0.42399999999999999</v>
      </c>
      <c r="H1075">
        <v>1.5299999999999999E-2</v>
      </c>
      <c r="I1075">
        <v>227.398</v>
      </c>
      <c r="J1075">
        <v>1.5299999999999999E-2</v>
      </c>
    </row>
    <row r="1076" spans="1:10" x14ac:dyDescent="0.3">
      <c r="A1076" t="s">
        <v>9</v>
      </c>
      <c r="B1076" t="s">
        <v>1192</v>
      </c>
      <c r="C1076">
        <v>4</v>
      </c>
      <c r="D1076">
        <v>1.6500000000000001E-2</v>
      </c>
      <c r="E1076">
        <v>6.8814450064426786</v>
      </c>
      <c r="F1076">
        <v>689.35067460045764</v>
      </c>
      <c r="G1076">
        <v>0.42399999999999999</v>
      </c>
      <c r="H1076">
        <v>1.38E-2</v>
      </c>
      <c r="I1076">
        <v>227.59780000000001</v>
      </c>
      <c r="J1076">
        <v>1.38E-2</v>
      </c>
    </row>
    <row r="1077" spans="1:10" x14ac:dyDescent="0.3">
      <c r="A1077" t="s">
        <v>9</v>
      </c>
      <c r="B1077" t="s">
        <v>1193</v>
      </c>
      <c r="C1077">
        <v>4</v>
      </c>
      <c r="D1077">
        <v>1.6500000000000001E-2</v>
      </c>
      <c r="E1077">
        <v>6.7771867179754706</v>
      </c>
      <c r="F1077">
        <v>679.63380211531398</v>
      </c>
      <c r="G1077">
        <v>0.42399999999999999</v>
      </c>
      <c r="H1077">
        <v>1.21E-2</v>
      </c>
      <c r="I1077">
        <v>227.80009999999999</v>
      </c>
      <c r="J1077">
        <v>1.21E-2</v>
      </c>
    </row>
    <row r="1078" spans="1:10" x14ac:dyDescent="0.3">
      <c r="A1078" t="s">
        <v>9</v>
      </c>
      <c r="B1078" t="s">
        <v>1194</v>
      </c>
      <c r="C1078">
        <v>4</v>
      </c>
      <c r="D1078">
        <v>1.5800000000000002E-2</v>
      </c>
      <c r="E1078">
        <v>6.6719792224825998</v>
      </c>
      <c r="F1078">
        <v>669.82846353537832</v>
      </c>
      <c r="G1078">
        <v>0.42399999999999999</v>
      </c>
      <c r="H1078">
        <v>1.0500000000000001E-2</v>
      </c>
      <c r="I1078">
        <v>227.9991</v>
      </c>
      <c r="J1078">
        <v>1.0500000000000001E-2</v>
      </c>
    </row>
    <row r="1079" spans="1:10" x14ac:dyDescent="0.3">
      <c r="A1079" t="s">
        <v>9</v>
      </c>
      <c r="B1079" t="s">
        <v>1195</v>
      </c>
      <c r="C1079">
        <v>4</v>
      </c>
      <c r="D1079">
        <v>1.47E-2</v>
      </c>
      <c r="E1079">
        <v>6.5657012842098288</v>
      </c>
      <c r="F1079">
        <v>659.92335968835607</v>
      </c>
      <c r="G1079">
        <v>0.42399999999999999</v>
      </c>
      <c r="H1079">
        <v>8.8999999999999999E-3</v>
      </c>
      <c r="I1079">
        <v>228.2002</v>
      </c>
      <c r="J1079">
        <v>8.8999999999999999E-3</v>
      </c>
    </row>
    <row r="1080" spans="1:10" x14ac:dyDescent="0.3">
      <c r="A1080" t="s">
        <v>9</v>
      </c>
      <c r="B1080" t="s">
        <v>1196</v>
      </c>
      <c r="C1080">
        <v>4</v>
      </c>
      <c r="D1080">
        <v>1.34E-2</v>
      </c>
      <c r="E1080">
        <v>6.4630466325587266</v>
      </c>
      <c r="F1080">
        <v>650.35594615447337</v>
      </c>
      <c r="G1080">
        <v>0.42399999999999999</v>
      </c>
      <c r="H1080">
        <v>7.3000000000000001E-3</v>
      </c>
      <c r="I1080">
        <v>228.39930000000001</v>
      </c>
      <c r="J1080">
        <v>7.3000000000000001E-3</v>
      </c>
    </row>
    <row r="1081" spans="1:10" x14ac:dyDescent="0.3">
      <c r="A1081" t="s">
        <v>9</v>
      </c>
      <c r="B1081" t="s">
        <v>1197</v>
      </c>
      <c r="C1081">
        <v>4</v>
      </c>
      <c r="D1081">
        <v>1.2E-2</v>
      </c>
      <c r="E1081">
        <v>6.3649648394786293</v>
      </c>
      <c r="F1081">
        <v>641.21472303940823</v>
      </c>
      <c r="G1081">
        <v>0.42399999999999999</v>
      </c>
      <c r="H1081">
        <v>5.7000000000000002E-3</v>
      </c>
      <c r="I1081">
        <v>228.59950000000001</v>
      </c>
      <c r="J1081">
        <v>5.7000000000000002E-3</v>
      </c>
    </row>
    <row r="1082" spans="1:10" x14ac:dyDescent="0.3">
      <c r="A1082" t="s">
        <v>9</v>
      </c>
      <c r="B1082" t="s">
        <v>1198</v>
      </c>
      <c r="C1082">
        <v>4</v>
      </c>
      <c r="D1082">
        <v>1.0200000000000001E-2</v>
      </c>
      <c r="E1082">
        <v>6.27417012616979</v>
      </c>
      <c r="F1082">
        <v>632.75265575902449</v>
      </c>
      <c r="G1082">
        <v>0.42399999999999999</v>
      </c>
      <c r="H1082">
        <v>4.3E-3</v>
      </c>
      <c r="I1082">
        <v>228.80029999999999</v>
      </c>
      <c r="J1082">
        <v>4.3E-3</v>
      </c>
    </row>
    <row r="1083" spans="1:10" x14ac:dyDescent="0.3">
      <c r="A1083" t="s">
        <v>9</v>
      </c>
      <c r="B1083" t="s">
        <v>1199</v>
      </c>
      <c r="C1083">
        <v>4</v>
      </c>
      <c r="D1083">
        <v>9.1999999999999998E-3</v>
      </c>
      <c r="E1083">
        <v>6.1926943471073486</v>
      </c>
      <c r="F1083">
        <v>625.15911315040489</v>
      </c>
      <c r="G1083">
        <v>0.42399999999999999</v>
      </c>
      <c r="H1083">
        <v>3.0999999999999999E-3</v>
      </c>
      <c r="I1083">
        <v>229.0026</v>
      </c>
      <c r="J1083">
        <v>3.0999999999999999E-3</v>
      </c>
    </row>
    <row r="1084" spans="1:10" x14ac:dyDescent="0.3">
      <c r="A1084" t="s">
        <v>9</v>
      </c>
      <c r="B1084" t="s">
        <v>1200</v>
      </c>
      <c r="C1084">
        <v>4</v>
      </c>
      <c r="D1084">
        <v>7.7999999999999996E-3</v>
      </c>
      <c r="E1084">
        <v>6.1249056386806533</v>
      </c>
      <c r="F1084">
        <v>618.84120552503691</v>
      </c>
      <c r="G1084">
        <v>0.42399999999999999</v>
      </c>
      <c r="H1084">
        <v>2E-3</v>
      </c>
      <c r="I1084">
        <v>229.1996</v>
      </c>
      <c r="J1084">
        <v>2E-3</v>
      </c>
    </row>
    <row r="1085" spans="1:10" x14ac:dyDescent="0.3">
      <c r="A1085" t="s">
        <v>9</v>
      </c>
      <c r="B1085" t="s">
        <v>1201</v>
      </c>
      <c r="C1085">
        <v>4</v>
      </c>
      <c r="D1085">
        <v>6.0000000000000001E-3</v>
      </c>
      <c r="E1085">
        <v>6.069428522464607</v>
      </c>
      <c r="F1085">
        <v>613.67073829370133</v>
      </c>
      <c r="G1085">
        <v>0.42399999999999999</v>
      </c>
      <c r="H1085">
        <v>1.1000000000000001E-3</v>
      </c>
      <c r="I1085">
        <v>229.3998</v>
      </c>
      <c r="J1085">
        <v>1.1000000000000001E-3</v>
      </c>
    </row>
    <row r="1086" spans="1:10" x14ac:dyDescent="0.3">
      <c r="A1086" t="s">
        <v>9</v>
      </c>
      <c r="B1086" t="s">
        <v>1202</v>
      </c>
      <c r="C1086">
        <v>4</v>
      </c>
      <c r="D1086">
        <v>5.3E-3</v>
      </c>
      <c r="E1086">
        <v>6.0287886230495289</v>
      </c>
      <c r="F1086">
        <v>609.88309966821612</v>
      </c>
      <c r="G1086">
        <v>0.42399999999999999</v>
      </c>
      <c r="H1086">
        <v>5.0000000000000001E-4</v>
      </c>
      <c r="I1086">
        <v>229.6001</v>
      </c>
      <c r="J1086">
        <v>5.0000000000000001E-4</v>
      </c>
    </row>
    <row r="1087" spans="1:10" x14ac:dyDescent="0.3">
      <c r="A1087" t="s">
        <v>9</v>
      </c>
      <c r="B1087" t="s">
        <v>1203</v>
      </c>
      <c r="C1087">
        <v>4</v>
      </c>
      <c r="D1087">
        <v>4.4000000000000003E-3</v>
      </c>
      <c r="E1087">
        <v>6.0042173186106904</v>
      </c>
      <c r="F1087">
        <v>607.59305409451633</v>
      </c>
      <c r="G1087">
        <v>0.42399999999999999</v>
      </c>
      <c r="H1087">
        <v>1E-4</v>
      </c>
      <c r="I1087">
        <v>229.798</v>
      </c>
      <c r="J1087">
        <v>1E-4</v>
      </c>
    </row>
    <row r="1088" spans="1:10" x14ac:dyDescent="0.3">
      <c r="A1088" t="s">
        <v>9</v>
      </c>
      <c r="B1088" t="s">
        <v>1204</v>
      </c>
      <c r="C1088">
        <v>4</v>
      </c>
      <c r="D1088">
        <v>3.8E-3</v>
      </c>
      <c r="E1088">
        <v>5.9957334838115024</v>
      </c>
      <c r="F1088">
        <v>606.80236069123202</v>
      </c>
      <c r="G1088">
        <v>0.42399999999999999</v>
      </c>
      <c r="H1088">
        <v>0</v>
      </c>
      <c r="I1088">
        <v>230</v>
      </c>
      <c r="J1088">
        <v>0</v>
      </c>
    </row>
    <row r="1089" spans="1:10" x14ac:dyDescent="0.3">
      <c r="A1089" t="s">
        <v>9</v>
      </c>
      <c r="B1089" t="s">
        <v>1205</v>
      </c>
      <c r="C1089">
        <v>4</v>
      </c>
      <c r="D1089">
        <v>3.8E-3</v>
      </c>
      <c r="E1089">
        <v>6.0039878424397504</v>
      </c>
      <c r="F1089">
        <v>709.77844624753232</v>
      </c>
      <c r="G1089">
        <v>0.42399999999999999</v>
      </c>
      <c r="H1089">
        <v>1E-4</v>
      </c>
      <c r="I1089">
        <v>230.19919999999999</v>
      </c>
      <c r="J1089">
        <v>1E-4</v>
      </c>
    </row>
    <row r="1090" spans="1:10" x14ac:dyDescent="0.3">
      <c r="A1090" t="s">
        <v>9</v>
      </c>
      <c r="B1090" t="s">
        <v>1206</v>
      </c>
      <c r="C1090">
        <v>4</v>
      </c>
      <c r="D1090">
        <v>3.8E-3</v>
      </c>
      <c r="E1090">
        <v>6.0286426900719112</v>
      </c>
      <c r="F1090">
        <v>712.1181912878244</v>
      </c>
      <c r="G1090">
        <v>0.42399999999999999</v>
      </c>
      <c r="H1090">
        <v>5.0000000000000001E-4</v>
      </c>
      <c r="I1090">
        <v>230.399</v>
      </c>
      <c r="J1090">
        <v>5.0000000000000001E-4</v>
      </c>
    </row>
    <row r="1091" spans="1:10" x14ac:dyDescent="0.3">
      <c r="A1091" t="s">
        <v>9</v>
      </c>
      <c r="B1091" t="s">
        <v>1207</v>
      </c>
      <c r="C1091">
        <v>4</v>
      </c>
      <c r="D1091">
        <v>3.8E-3</v>
      </c>
      <c r="E1091">
        <v>6.0692700644955222</v>
      </c>
      <c r="F1091">
        <v>715.97372912062508</v>
      </c>
      <c r="G1091">
        <v>0.42399999999999999</v>
      </c>
      <c r="H1091">
        <v>1.1000000000000001E-3</v>
      </c>
      <c r="I1091">
        <v>230.59950000000001</v>
      </c>
      <c r="J1091">
        <v>1.1000000000000001E-3</v>
      </c>
    </row>
    <row r="1092" spans="1:10" x14ac:dyDescent="0.3">
      <c r="A1092" t="s">
        <v>9</v>
      </c>
      <c r="B1092" t="s">
        <v>1208</v>
      </c>
      <c r="C1092">
        <v>4</v>
      </c>
      <c r="D1092">
        <v>3.8E-3</v>
      </c>
      <c r="E1092">
        <v>6.12444603758557</v>
      </c>
      <c r="F1092">
        <v>721.20992896687062</v>
      </c>
      <c r="G1092">
        <v>0.42399999999999999</v>
      </c>
      <c r="H1092">
        <v>2E-3</v>
      </c>
      <c r="I1092">
        <v>230.7989</v>
      </c>
      <c r="J1092">
        <v>2E-3</v>
      </c>
    </row>
    <row r="1093" spans="1:10" x14ac:dyDescent="0.3">
      <c r="A1093" t="s">
        <v>9</v>
      </c>
      <c r="B1093" t="s">
        <v>1209</v>
      </c>
      <c r="C1093">
        <v>4</v>
      </c>
      <c r="D1093">
        <v>3.8E-3</v>
      </c>
      <c r="E1093">
        <v>6.1931394728966573</v>
      </c>
      <c r="F1093">
        <v>727.72893597789277</v>
      </c>
      <c r="G1093">
        <v>0.42399999999999999</v>
      </c>
      <c r="H1093">
        <v>3.0999999999999999E-3</v>
      </c>
      <c r="I1093">
        <v>230.99860000000001</v>
      </c>
      <c r="J1093">
        <v>3.0999999999999999E-3</v>
      </c>
    </row>
    <row r="1094" spans="1:10" x14ac:dyDescent="0.3">
      <c r="A1094" t="s">
        <v>9</v>
      </c>
      <c r="B1094" t="s">
        <v>1210</v>
      </c>
      <c r="C1094">
        <v>4</v>
      </c>
      <c r="D1094">
        <v>3.8E-3</v>
      </c>
      <c r="E1094">
        <v>6.2741129142469712</v>
      </c>
      <c r="F1094">
        <v>735.41331556203761</v>
      </c>
      <c r="G1094">
        <v>0.42399999999999999</v>
      </c>
      <c r="H1094">
        <v>4.3E-3</v>
      </c>
      <c r="I1094">
        <v>231.1996</v>
      </c>
      <c r="J1094">
        <v>4.3E-3</v>
      </c>
    </row>
    <row r="1095" spans="1:10" x14ac:dyDescent="0.3">
      <c r="A1095" t="s">
        <v>9</v>
      </c>
      <c r="B1095" t="s">
        <v>1211</v>
      </c>
      <c r="C1095">
        <v>4</v>
      </c>
      <c r="D1095">
        <v>3.8E-3</v>
      </c>
      <c r="E1095">
        <v>6.3647640098161729</v>
      </c>
      <c r="F1095">
        <v>744.01610453155479</v>
      </c>
      <c r="G1095">
        <v>0.42399999999999999</v>
      </c>
      <c r="H1095">
        <v>5.7000000000000002E-3</v>
      </c>
      <c r="I1095">
        <v>231.40010000000001</v>
      </c>
      <c r="J1095">
        <v>5.7000000000000002E-3</v>
      </c>
    </row>
    <row r="1096" spans="1:10" x14ac:dyDescent="0.3">
      <c r="A1096" t="s">
        <v>9</v>
      </c>
      <c r="B1096" t="s">
        <v>1212</v>
      </c>
      <c r="C1096">
        <v>4</v>
      </c>
      <c r="D1096">
        <v>3.8999999999999998E-3</v>
      </c>
      <c r="E1096">
        <v>6.4622636685405483</v>
      </c>
      <c r="F1096">
        <v>753.26882214449813</v>
      </c>
      <c r="G1096">
        <v>0.42399999999999999</v>
      </c>
      <c r="H1096">
        <v>7.1999999999999998E-3</v>
      </c>
      <c r="I1096">
        <v>231.5992</v>
      </c>
      <c r="J1096">
        <v>7.1999999999999998E-3</v>
      </c>
    </row>
    <row r="1097" spans="1:10" x14ac:dyDescent="0.3">
      <c r="A1097" t="s">
        <v>9</v>
      </c>
      <c r="B1097" t="s">
        <v>1213</v>
      </c>
      <c r="C1097">
        <v>4</v>
      </c>
      <c r="D1097">
        <v>3.8999999999999998E-3</v>
      </c>
      <c r="E1097">
        <v>6.5659368627155583</v>
      </c>
      <c r="F1097">
        <v>763.1074082717065</v>
      </c>
      <c r="G1097">
        <v>0.42399999999999999</v>
      </c>
      <c r="H1097">
        <v>8.8999999999999999E-3</v>
      </c>
      <c r="I1097">
        <v>231.80019999999999</v>
      </c>
      <c r="J1097">
        <v>8.8999999999999999E-3</v>
      </c>
    </row>
    <row r="1098" spans="1:10" x14ac:dyDescent="0.3">
      <c r="A1098" t="s">
        <v>9</v>
      </c>
      <c r="B1098" t="s">
        <v>1214</v>
      </c>
      <c r="C1098">
        <v>4</v>
      </c>
      <c r="D1098">
        <v>4.0000000000000001E-3</v>
      </c>
      <c r="E1098">
        <v>6.6713106012159118</v>
      </c>
      <c r="F1098">
        <v>773.10737605539009</v>
      </c>
      <c r="G1098">
        <v>0.42399999999999999</v>
      </c>
      <c r="H1098">
        <v>1.0500000000000001E-2</v>
      </c>
      <c r="I1098">
        <v>231.99959999999999</v>
      </c>
      <c r="J1098">
        <v>1.0500000000000001E-2</v>
      </c>
    </row>
    <row r="1099" spans="1:10" x14ac:dyDescent="0.3">
      <c r="A1099" t="s">
        <v>9</v>
      </c>
      <c r="B1099" t="s">
        <v>1215</v>
      </c>
      <c r="C1099">
        <v>4</v>
      </c>
      <c r="D1099">
        <v>5.3E-3</v>
      </c>
      <c r="E1099">
        <v>6.7768826149129966</v>
      </c>
      <c r="F1099">
        <v>783.1261601552435</v>
      </c>
      <c r="G1099">
        <v>0.42399999999999999</v>
      </c>
      <c r="H1099">
        <v>1.21E-2</v>
      </c>
      <c r="I1099">
        <v>232.19929999999999</v>
      </c>
      <c r="J1099">
        <v>1.21E-2</v>
      </c>
    </row>
    <row r="1100" spans="1:10" x14ac:dyDescent="0.3">
      <c r="A1100" t="s">
        <v>9</v>
      </c>
      <c r="B1100" t="s">
        <v>1216</v>
      </c>
      <c r="C1100">
        <v>4</v>
      </c>
      <c r="D1100">
        <v>7.4000000000000003E-3</v>
      </c>
      <c r="E1100">
        <v>6.8794849608373561</v>
      </c>
      <c r="F1100">
        <v>792.86312278346509</v>
      </c>
      <c r="G1100">
        <v>0.42399999999999999</v>
      </c>
      <c r="H1100">
        <v>1.37E-2</v>
      </c>
      <c r="I1100">
        <v>232.39830000000001</v>
      </c>
      <c r="J1100">
        <v>1.37E-2</v>
      </c>
    </row>
    <row r="1101" spans="1:10" x14ac:dyDescent="0.3">
      <c r="A1101" t="s">
        <v>9</v>
      </c>
      <c r="B1101" t="s">
        <v>1217</v>
      </c>
      <c r="C1101">
        <v>4</v>
      </c>
      <c r="D1101">
        <v>9.4000000000000004E-3</v>
      </c>
      <c r="E1101">
        <v>6.9785361939335404</v>
      </c>
      <c r="F1101">
        <v>802.26308480429293</v>
      </c>
      <c r="G1101">
        <v>0.42399999999999999</v>
      </c>
      <c r="H1101">
        <v>1.5299999999999999E-2</v>
      </c>
      <c r="I1101">
        <v>232.60040000000001</v>
      </c>
      <c r="J1101">
        <v>1.5299999999999999E-2</v>
      </c>
    </row>
    <row r="1102" spans="1:10" x14ac:dyDescent="0.3">
      <c r="A1102" t="s">
        <v>9</v>
      </c>
      <c r="B1102" t="s">
        <v>1218</v>
      </c>
      <c r="C1102">
        <v>4</v>
      </c>
      <c r="D1102">
        <v>1.0999999999999999E-2</v>
      </c>
      <c r="E1102">
        <v>7.068195102577584</v>
      </c>
      <c r="F1102">
        <v>810.77171523461277</v>
      </c>
      <c r="G1102">
        <v>0.42399999999999999</v>
      </c>
      <c r="H1102">
        <v>1.67E-2</v>
      </c>
      <c r="I1102">
        <v>232.7987</v>
      </c>
      <c r="J1102">
        <v>1.67E-2</v>
      </c>
    </row>
    <row r="1103" spans="1:10" x14ac:dyDescent="0.3">
      <c r="A1103" t="s">
        <v>9</v>
      </c>
      <c r="B1103" t="s">
        <v>1219</v>
      </c>
      <c r="C1103">
        <v>4</v>
      </c>
      <c r="D1103">
        <v>1.24E-2</v>
      </c>
      <c r="E1103">
        <v>7.1490492138861823</v>
      </c>
      <c r="F1103">
        <v>818.44477039779872</v>
      </c>
      <c r="G1103">
        <v>0.42399999999999999</v>
      </c>
      <c r="H1103">
        <v>1.7899999999999999E-2</v>
      </c>
      <c r="I1103">
        <v>232.9991</v>
      </c>
      <c r="J1103">
        <v>1.7899999999999999E-2</v>
      </c>
    </row>
    <row r="1104" spans="1:10" x14ac:dyDescent="0.3">
      <c r="A1104" t="s">
        <v>9</v>
      </c>
      <c r="B1104" t="s">
        <v>1220</v>
      </c>
      <c r="C1104">
        <v>4</v>
      </c>
      <c r="D1104">
        <v>1.37E-2</v>
      </c>
      <c r="E1104">
        <v>7.2177517722891444</v>
      </c>
      <c r="F1104">
        <v>824.96464319023971</v>
      </c>
      <c r="G1104">
        <v>0.42399999999999999</v>
      </c>
      <c r="H1104">
        <v>1.9E-2</v>
      </c>
      <c r="I1104">
        <v>233.19839999999999</v>
      </c>
      <c r="J1104">
        <v>1.9E-2</v>
      </c>
    </row>
    <row r="1105" spans="1:10" x14ac:dyDescent="0.3">
      <c r="A1105" t="s">
        <v>9</v>
      </c>
      <c r="B1105" t="s">
        <v>1221</v>
      </c>
      <c r="C1105">
        <v>4</v>
      </c>
      <c r="D1105">
        <v>1.49E-2</v>
      </c>
      <c r="E1105">
        <v>7.2730944749515762</v>
      </c>
      <c r="F1105">
        <v>830.21666567290458</v>
      </c>
      <c r="G1105">
        <v>0.42399999999999999</v>
      </c>
      <c r="H1105">
        <v>1.9800000000000002E-2</v>
      </c>
      <c r="I1105">
        <v>233.39769999999999</v>
      </c>
      <c r="J1105">
        <v>1.9800000000000002E-2</v>
      </c>
    </row>
    <row r="1106" spans="1:10" x14ac:dyDescent="0.3">
      <c r="A1106" t="s">
        <v>9</v>
      </c>
      <c r="B1106" t="s">
        <v>1222</v>
      </c>
      <c r="C1106">
        <v>4</v>
      </c>
      <c r="D1106">
        <v>1.6E-2</v>
      </c>
      <c r="E1106">
        <v>7.3138755065705938</v>
      </c>
      <c r="F1106">
        <v>834.08678557354938</v>
      </c>
      <c r="G1106">
        <v>0.42399999999999999</v>
      </c>
      <c r="H1106">
        <v>2.0500000000000001E-2</v>
      </c>
      <c r="I1106">
        <v>233.59790000000001</v>
      </c>
      <c r="J1106">
        <v>2.0500000000000001E-2</v>
      </c>
    </row>
    <row r="1107" spans="1:10" x14ac:dyDescent="0.3">
      <c r="A1107" t="s">
        <v>9</v>
      </c>
      <c r="B1107" t="s">
        <v>1223</v>
      </c>
      <c r="C1107">
        <v>4</v>
      </c>
      <c r="D1107">
        <v>1.6400000000000001E-2</v>
      </c>
      <c r="E1107">
        <v>7.3388443953533073</v>
      </c>
      <c r="F1107">
        <v>836.45633311902895</v>
      </c>
      <c r="G1107">
        <v>0.42399999999999999</v>
      </c>
      <c r="H1107">
        <v>2.0899999999999998E-2</v>
      </c>
      <c r="I1107">
        <v>233.79830000000001</v>
      </c>
      <c r="J1107">
        <v>2.0899999999999998E-2</v>
      </c>
    </row>
    <row r="1108" spans="1:10" x14ac:dyDescent="0.3">
      <c r="A1108" t="s">
        <v>9</v>
      </c>
      <c r="B1108" t="s">
        <v>1224</v>
      </c>
      <c r="C1108">
        <v>4</v>
      </c>
      <c r="D1108">
        <v>1.6299999999999999E-2</v>
      </c>
      <c r="E1108">
        <v>7.3473012987852826</v>
      </c>
      <c r="F1108">
        <v>837.25889325472349</v>
      </c>
      <c r="G1108">
        <v>0.42399999999999999</v>
      </c>
      <c r="H1108">
        <v>2.1000000000000001E-2</v>
      </c>
      <c r="I1108">
        <v>234.0027</v>
      </c>
      <c r="J1108">
        <v>2.1000000000000001E-2</v>
      </c>
    </row>
    <row r="1109" spans="1:10" x14ac:dyDescent="0.3">
      <c r="A1109" t="s">
        <v>9</v>
      </c>
      <c r="B1109" t="s">
        <v>1225</v>
      </c>
      <c r="C1109">
        <v>4</v>
      </c>
      <c r="D1109">
        <v>1.6299999999999999E-2</v>
      </c>
      <c r="E1109">
        <v>7.3389733350517963</v>
      </c>
      <c r="F1109">
        <v>731.9923148268274</v>
      </c>
      <c r="G1109">
        <v>0.42399999999999999</v>
      </c>
      <c r="H1109">
        <v>2.0899999999999998E-2</v>
      </c>
      <c r="I1109">
        <v>234.20009999999999</v>
      </c>
      <c r="J1109">
        <v>2.0899999999999998E-2</v>
      </c>
    </row>
    <row r="1110" spans="1:10" x14ac:dyDescent="0.3">
      <c r="A1110" t="s">
        <v>9</v>
      </c>
      <c r="B1110" t="s">
        <v>1226</v>
      </c>
      <c r="C1110">
        <v>4</v>
      </c>
      <c r="D1110">
        <v>1.6400000000000001E-2</v>
      </c>
      <c r="E1110">
        <v>7.3143949146012961</v>
      </c>
      <c r="F1110">
        <v>729.70160604084083</v>
      </c>
      <c r="G1110">
        <v>0.42399999999999999</v>
      </c>
      <c r="H1110">
        <v>2.0500000000000001E-2</v>
      </c>
      <c r="I1110">
        <v>234.399</v>
      </c>
      <c r="J1110">
        <v>2.0500000000000001E-2</v>
      </c>
    </row>
    <row r="1111" spans="1:10" x14ac:dyDescent="0.3">
      <c r="A1111" t="s">
        <v>9</v>
      </c>
      <c r="B1111" t="s">
        <v>1227</v>
      </c>
      <c r="C1111">
        <v>4</v>
      </c>
      <c r="D1111">
        <v>1.6299999999999999E-2</v>
      </c>
      <c r="E1111">
        <v>7.2735433310717861</v>
      </c>
      <c r="F1111">
        <v>725.89423845589045</v>
      </c>
      <c r="G1111">
        <v>0.42399999999999999</v>
      </c>
      <c r="H1111">
        <v>1.9900000000000001E-2</v>
      </c>
      <c r="I1111">
        <v>234.60040000000001</v>
      </c>
      <c r="J1111">
        <v>1.9900000000000001E-2</v>
      </c>
    </row>
    <row r="1112" spans="1:10" x14ac:dyDescent="0.3">
      <c r="A1112" t="s">
        <v>9</v>
      </c>
      <c r="B1112" t="s">
        <v>1228</v>
      </c>
      <c r="C1112">
        <v>4</v>
      </c>
      <c r="D1112">
        <v>1.6299999999999999E-2</v>
      </c>
      <c r="E1112">
        <v>7.2181564320976062</v>
      </c>
      <c r="F1112">
        <v>720.73217947149692</v>
      </c>
      <c r="G1112">
        <v>0.42399999999999999</v>
      </c>
      <c r="H1112">
        <v>1.9E-2</v>
      </c>
      <c r="I1112">
        <v>234.80029999999999</v>
      </c>
      <c r="J1112">
        <v>1.9E-2</v>
      </c>
    </row>
    <row r="1113" spans="1:10" x14ac:dyDescent="0.3">
      <c r="A1113" t="s">
        <v>9</v>
      </c>
      <c r="B1113" t="s">
        <v>1229</v>
      </c>
      <c r="C1113">
        <v>4</v>
      </c>
      <c r="D1113">
        <v>1.6299999999999999E-2</v>
      </c>
      <c r="E1113">
        <v>7.1488132299097016</v>
      </c>
      <c r="F1113">
        <v>714.26939302758421</v>
      </c>
      <c r="G1113">
        <v>0.42399999999999999</v>
      </c>
      <c r="H1113">
        <v>1.7899999999999999E-2</v>
      </c>
      <c r="I1113">
        <v>235.00149999999999</v>
      </c>
      <c r="J1113">
        <v>1.7899999999999999E-2</v>
      </c>
    </row>
    <row r="1114" spans="1:10" x14ac:dyDescent="0.3">
      <c r="A1114" t="s">
        <v>9</v>
      </c>
      <c r="B1114" t="s">
        <v>1230</v>
      </c>
      <c r="C1114">
        <v>4</v>
      </c>
      <c r="D1114">
        <v>1.6299999999999999E-2</v>
      </c>
      <c r="E1114">
        <v>7.0694601713174681</v>
      </c>
      <c r="F1114">
        <v>706.873687966788</v>
      </c>
      <c r="G1114">
        <v>0.42399999999999999</v>
      </c>
      <c r="H1114">
        <v>1.67E-2</v>
      </c>
      <c r="I1114">
        <v>235.19829999999999</v>
      </c>
      <c r="J1114">
        <v>1.67E-2</v>
      </c>
    </row>
    <row r="1115" spans="1:10" x14ac:dyDescent="0.3">
      <c r="A1115" t="s">
        <v>9</v>
      </c>
      <c r="B1115" t="s">
        <v>1231</v>
      </c>
      <c r="C1115">
        <v>4</v>
      </c>
      <c r="D1115">
        <v>1.6299999999999999E-2</v>
      </c>
      <c r="E1115">
        <v>6.9790933107439894</v>
      </c>
      <c r="F1115">
        <v>698.4514965613397</v>
      </c>
      <c r="G1115">
        <v>0.42399999999999999</v>
      </c>
      <c r="H1115">
        <v>1.5299999999999999E-2</v>
      </c>
      <c r="I1115">
        <v>235.39830000000001</v>
      </c>
      <c r="J1115">
        <v>1.5299999999999999E-2</v>
      </c>
    </row>
    <row r="1116" spans="1:10" x14ac:dyDescent="0.3">
      <c r="A1116" t="s">
        <v>9</v>
      </c>
      <c r="B1116" t="s">
        <v>1232</v>
      </c>
      <c r="C1116">
        <v>4</v>
      </c>
      <c r="D1116">
        <v>1.6199999999999999E-2</v>
      </c>
      <c r="E1116">
        <v>6.8807767906467383</v>
      </c>
      <c r="F1116">
        <v>689.288396888276</v>
      </c>
      <c r="G1116">
        <v>0.42399999999999999</v>
      </c>
      <c r="H1116">
        <v>1.38E-2</v>
      </c>
      <c r="I1116">
        <v>235.59909999999999</v>
      </c>
      <c r="J1116">
        <v>1.38E-2</v>
      </c>
    </row>
    <row r="1117" spans="1:10" x14ac:dyDescent="0.3">
      <c r="A1117" t="s">
        <v>9</v>
      </c>
      <c r="B1117" t="s">
        <v>1233</v>
      </c>
      <c r="C1117">
        <v>4</v>
      </c>
      <c r="D1117">
        <v>1.6199999999999999E-2</v>
      </c>
      <c r="E1117">
        <v>6.7781115967561352</v>
      </c>
      <c r="F1117">
        <v>679.7200008176718</v>
      </c>
      <c r="G1117">
        <v>0.42399999999999999</v>
      </c>
      <c r="H1117">
        <v>1.2200000000000001E-2</v>
      </c>
      <c r="I1117">
        <v>235.79830000000001</v>
      </c>
      <c r="J1117">
        <v>1.2200000000000001E-2</v>
      </c>
    </row>
    <row r="1118" spans="1:10" x14ac:dyDescent="0.3">
      <c r="A1118" t="s">
        <v>9</v>
      </c>
      <c r="B1118" t="s">
        <v>1234</v>
      </c>
      <c r="C1118">
        <v>4</v>
      </c>
      <c r="D1118">
        <v>1.6E-2</v>
      </c>
      <c r="E1118">
        <v>6.6715445578386419</v>
      </c>
      <c r="F1118">
        <v>669.78795279056146</v>
      </c>
      <c r="G1118">
        <v>0.42399999999999999</v>
      </c>
      <c r="H1118">
        <v>1.0500000000000001E-2</v>
      </c>
      <c r="I1118">
        <v>235.9999</v>
      </c>
      <c r="J1118">
        <v>1.0500000000000001E-2</v>
      </c>
    </row>
    <row r="1119" spans="1:10" x14ac:dyDescent="0.3">
      <c r="A1119" t="s">
        <v>9</v>
      </c>
      <c r="B1119" t="s">
        <v>1235</v>
      </c>
      <c r="C1119">
        <v>4</v>
      </c>
      <c r="D1119">
        <v>1.4800000000000001E-2</v>
      </c>
      <c r="E1119">
        <v>6.5650987546753843</v>
      </c>
      <c r="F1119">
        <v>659.86720393574581</v>
      </c>
      <c r="G1119">
        <v>0.42399999999999999</v>
      </c>
      <c r="H1119">
        <v>8.8000000000000005E-3</v>
      </c>
      <c r="I1119">
        <v>236.2013</v>
      </c>
      <c r="J1119">
        <v>8.8000000000000005E-3</v>
      </c>
    </row>
    <row r="1120" spans="1:10" x14ac:dyDescent="0.3">
      <c r="A1120" t="s">
        <v>9</v>
      </c>
      <c r="B1120" t="s">
        <v>1236</v>
      </c>
      <c r="C1120">
        <v>4</v>
      </c>
      <c r="D1120">
        <v>1.3899999999999999E-2</v>
      </c>
      <c r="E1120">
        <v>6.4635453615811809</v>
      </c>
      <c r="F1120">
        <v>650.40242769936606</v>
      </c>
      <c r="G1120">
        <v>0.42399999999999999</v>
      </c>
      <c r="H1120">
        <v>7.3000000000000001E-3</v>
      </c>
      <c r="I1120">
        <v>236.39830000000001</v>
      </c>
      <c r="J1120">
        <v>7.3000000000000001E-3</v>
      </c>
    </row>
    <row r="1121" spans="1:10" x14ac:dyDescent="0.3">
      <c r="A1121" t="s">
        <v>9</v>
      </c>
      <c r="B1121" t="s">
        <v>1237</v>
      </c>
      <c r="C1121">
        <v>4</v>
      </c>
      <c r="D1121">
        <v>1.2200000000000001E-2</v>
      </c>
      <c r="E1121">
        <v>6.3645498807131169</v>
      </c>
      <c r="F1121">
        <v>641.17604888246251</v>
      </c>
      <c r="G1121">
        <v>0.42399999999999999</v>
      </c>
      <c r="H1121">
        <v>5.7000000000000002E-3</v>
      </c>
      <c r="I1121">
        <v>236.6003</v>
      </c>
      <c r="J1121">
        <v>5.7000000000000002E-3</v>
      </c>
    </row>
    <row r="1122" spans="1:10" x14ac:dyDescent="0.3">
      <c r="A1122" t="s">
        <v>9</v>
      </c>
      <c r="B1122" t="s">
        <v>1238</v>
      </c>
      <c r="C1122">
        <v>4</v>
      </c>
      <c r="D1122">
        <v>1.06E-2</v>
      </c>
      <c r="E1122">
        <v>6.2749698361299426</v>
      </c>
      <c r="F1122">
        <v>632.82718872731073</v>
      </c>
      <c r="G1122">
        <v>0.42399999999999999</v>
      </c>
      <c r="H1122">
        <v>4.3E-3</v>
      </c>
      <c r="I1122">
        <v>236.79839999999999</v>
      </c>
      <c r="J1122">
        <v>4.3E-3</v>
      </c>
    </row>
    <row r="1123" spans="1:10" x14ac:dyDescent="0.3">
      <c r="A1123" t="s">
        <v>9</v>
      </c>
      <c r="B1123" t="s">
        <v>1239</v>
      </c>
      <c r="C1123">
        <v>4</v>
      </c>
      <c r="D1123">
        <v>8.9999999999999993E-3</v>
      </c>
      <c r="E1123">
        <v>6.1934286140884556</v>
      </c>
      <c r="F1123">
        <v>625.22754683304413</v>
      </c>
      <c r="G1123">
        <v>0.42399999999999999</v>
      </c>
      <c r="H1123">
        <v>3.0999999999999999E-3</v>
      </c>
      <c r="I1123">
        <v>237.00059999999999</v>
      </c>
      <c r="J1123">
        <v>3.0999999999999999E-3</v>
      </c>
    </row>
    <row r="1124" spans="1:10" x14ac:dyDescent="0.3">
      <c r="A1124" t="s">
        <v>9</v>
      </c>
      <c r="B1124" t="s">
        <v>1240</v>
      </c>
      <c r="C1124">
        <v>4</v>
      </c>
      <c r="D1124">
        <v>7.9000000000000008E-3</v>
      </c>
      <c r="E1124">
        <v>6.1247227713724213</v>
      </c>
      <c r="F1124">
        <v>618.82416229190972</v>
      </c>
      <c r="G1124">
        <v>0.42399999999999999</v>
      </c>
      <c r="H1124">
        <v>2E-3</v>
      </c>
      <c r="I1124">
        <v>237.2002</v>
      </c>
      <c r="J1124">
        <v>2E-3</v>
      </c>
    </row>
    <row r="1125" spans="1:10" x14ac:dyDescent="0.3">
      <c r="A1125" t="s">
        <v>9</v>
      </c>
      <c r="B1125" t="s">
        <v>1241</v>
      </c>
      <c r="C1125">
        <v>4</v>
      </c>
      <c r="D1125">
        <v>6.3E-3</v>
      </c>
      <c r="E1125">
        <v>6.0696151606508151</v>
      </c>
      <c r="F1125">
        <v>613.68813297265604</v>
      </c>
      <c r="G1125">
        <v>0.42399999999999999</v>
      </c>
      <c r="H1125">
        <v>1.1000000000000001E-3</v>
      </c>
      <c r="I1125">
        <v>237.3991</v>
      </c>
      <c r="J1125">
        <v>1.1000000000000001E-3</v>
      </c>
    </row>
    <row r="1126" spans="1:10" x14ac:dyDescent="0.3">
      <c r="A1126" t="s">
        <v>9</v>
      </c>
      <c r="B1126" t="s">
        <v>1242</v>
      </c>
      <c r="C1126">
        <v>4</v>
      </c>
      <c r="D1126">
        <v>5.4000000000000003E-3</v>
      </c>
      <c r="E1126">
        <v>6.0289954577337932</v>
      </c>
      <c r="F1126">
        <v>609.90237666078951</v>
      </c>
      <c r="G1126">
        <v>0.42399999999999999</v>
      </c>
      <c r="H1126">
        <v>5.0000000000000001E-4</v>
      </c>
      <c r="I1126">
        <v>237.59889999999999</v>
      </c>
      <c r="J1126">
        <v>5.0000000000000001E-4</v>
      </c>
    </row>
    <row r="1127" spans="1:10" x14ac:dyDescent="0.3">
      <c r="A1127" t="s">
        <v>9</v>
      </c>
      <c r="B1127" t="s">
        <v>1243</v>
      </c>
      <c r="C1127">
        <v>4</v>
      </c>
      <c r="D1127">
        <v>4.4000000000000003E-3</v>
      </c>
      <c r="E1127">
        <v>6.0040613948337924</v>
      </c>
      <c r="F1127">
        <v>607.57852199850947</v>
      </c>
      <c r="G1127">
        <v>0.42399999999999999</v>
      </c>
      <c r="H1127">
        <v>1E-4</v>
      </c>
      <c r="I1127">
        <v>237.79990000000001</v>
      </c>
      <c r="J1127">
        <v>1E-4</v>
      </c>
    </row>
    <row r="1128" spans="1:10" x14ac:dyDescent="0.3">
      <c r="A1128" t="s">
        <v>9</v>
      </c>
      <c r="B1128" t="s">
        <v>1244</v>
      </c>
      <c r="C1128">
        <v>4</v>
      </c>
      <c r="D1128">
        <v>4.0000000000000001E-3</v>
      </c>
      <c r="E1128">
        <v>5.9957345310889281</v>
      </c>
      <c r="F1128">
        <v>606.8024582974881</v>
      </c>
      <c r="G1128">
        <v>0.42399999999999999</v>
      </c>
      <c r="H1128">
        <v>0</v>
      </c>
      <c r="I1128">
        <v>237.99770000000001</v>
      </c>
      <c r="J1128">
        <v>0</v>
      </c>
    </row>
    <row r="1129" spans="1:10" x14ac:dyDescent="0.3">
      <c r="A1129" t="s">
        <v>9</v>
      </c>
      <c r="B1129" t="s">
        <v>1245</v>
      </c>
      <c r="C1129">
        <v>4</v>
      </c>
      <c r="D1129">
        <v>4.0000000000000001E-3</v>
      </c>
      <c r="E1129">
        <v>6.0039592040406804</v>
      </c>
      <c r="F1129">
        <v>709.7757284634605</v>
      </c>
      <c r="G1129">
        <v>0.42399999999999999</v>
      </c>
      <c r="H1129">
        <v>1E-4</v>
      </c>
      <c r="I1129">
        <v>238.19890000000001</v>
      </c>
      <c r="J1129">
        <v>1E-4</v>
      </c>
    </row>
    <row r="1130" spans="1:10" x14ac:dyDescent="0.3">
      <c r="A1130" t="s">
        <v>9</v>
      </c>
      <c r="B1130" t="s">
        <v>1246</v>
      </c>
      <c r="C1130">
        <v>4</v>
      </c>
      <c r="D1130">
        <v>4.0000000000000001E-3</v>
      </c>
      <c r="E1130">
        <v>6.0285288947059348</v>
      </c>
      <c r="F1130">
        <v>712.10739210759323</v>
      </c>
      <c r="G1130">
        <v>0.42399999999999999</v>
      </c>
      <c r="H1130">
        <v>5.0000000000000001E-4</v>
      </c>
      <c r="I1130">
        <v>238.39830000000001</v>
      </c>
      <c r="J1130">
        <v>5.0000000000000001E-4</v>
      </c>
    </row>
    <row r="1131" spans="1:10" x14ac:dyDescent="0.3">
      <c r="A1131" t="s">
        <v>9</v>
      </c>
      <c r="B1131" t="s">
        <v>1247</v>
      </c>
      <c r="C1131">
        <v>4</v>
      </c>
      <c r="D1131">
        <v>4.0000000000000001E-3</v>
      </c>
      <c r="E1131">
        <v>6.0691866591622539</v>
      </c>
      <c r="F1131">
        <v>715.96581395449789</v>
      </c>
      <c r="G1131">
        <v>0.42399999999999999</v>
      </c>
      <c r="H1131">
        <v>1.1000000000000001E-3</v>
      </c>
      <c r="I1131">
        <v>238.5992</v>
      </c>
      <c r="J1131">
        <v>1.1000000000000001E-3</v>
      </c>
    </row>
    <row r="1132" spans="1:10" x14ac:dyDescent="0.3">
      <c r="A1132" t="s">
        <v>9</v>
      </c>
      <c r="B1132" t="s">
        <v>1248</v>
      </c>
      <c r="C1132">
        <v>4</v>
      </c>
      <c r="D1132">
        <v>4.0000000000000001E-3</v>
      </c>
      <c r="E1132">
        <v>6.1244349682340973</v>
      </c>
      <c r="F1132">
        <v>721.20887848541588</v>
      </c>
      <c r="G1132">
        <v>0.42399999999999999</v>
      </c>
      <c r="H1132">
        <v>2E-3</v>
      </c>
      <c r="I1132">
        <v>238.7988</v>
      </c>
      <c r="J1132">
        <v>2E-3</v>
      </c>
    </row>
    <row r="1133" spans="1:10" x14ac:dyDescent="0.3">
      <c r="A1133" t="s">
        <v>9</v>
      </c>
      <c r="B1133" t="s">
        <v>1249</v>
      </c>
      <c r="C1133">
        <v>4</v>
      </c>
      <c r="D1133">
        <v>4.0000000000000001E-3</v>
      </c>
      <c r="E1133">
        <v>6.1934612950309038</v>
      </c>
      <c r="F1133">
        <v>727.75947689843281</v>
      </c>
      <c r="G1133">
        <v>0.42399999999999999</v>
      </c>
      <c r="H1133">
        <v>3.0999999999999999E-3</v>
      </c>
      <c r="I1133">
        <v>238.99950000000001</v>
      </c>
      <c r="J1133">
        <v>3.0999999999999999E-3</v>
      </c>
    </row>
    <row r="1134" spans="1:10" x14ac:dyDescent="0.3">
      <c r="A1134" t="s">
        <v>9</v>
      </c>
      <c r="B1134" t="s">
        <v>1250</v>
      </c>
      <c r="C1134">
        <v>4</v>
      </c>
      <c r="D1134">
        <v>4.1000000000000003E-3</v>
      </c>
      <c r="E1134">
        <v>6.2744062723345699</v>
      </c>
      <c r="F1134">
        <v>735.44115524455071</v>
      </c>
      <c r="G1134">
        <v>0.42399999999999999</v>
      </c>
      <c r="H1134">
        <v>4.3E-3</v>
      </c>
      <c r="I1134">
        <v>239.2002</v>
      </c>
      <c r="J1134">
        <v>4.3E-3</v>
      </c>
    </row>
    <row r="1135" spans="1:10" x14ac:dyDescent="0.3">
      <c r="A1135" t="s">
        <v>9</v>
      </c>
      <c r="B1135" t="s">
        <v>1251</v>
      </c>
      <c r="C1135">
        <v>4</v>
      </c>
      <c r="D1135">
        <v>4.0000000000000001E-3</v>
      </c>
      <c r="E1135">
        <v>6.3640215523259158</v>
      </c>
      <c r="F1135">
        <v>743.94564531572939</v>
      </c>
      <c r="G1135">
        <v>0.42399999999999999</v>
      </c>
      <c r="H1135">
        <v>5.7000000000000002E-3</v>
      </c>
      <c r="I1135">
        <v>239.39850000000001</v>
      </c>
      <c r="J1135">
        <v>5.7000000000000002E-3</v>
      </c>
    </row>
    <row r="1136" spans="1:10" x14ac:dyDescent="0.3">
      <c r="A1136" t="s">
        <v>9</v>
      </c>
      <c r="B1136" t="s">
        <v>1252</v>
      </c>
      <c r="C1136">
        <v>4</v>
      </c>
      <c r="D1136">
        <v>4.1000000000000003E-3</v>
      </c>
      <c r="E1136">
        <v>6.4625203315252753</v>
      </c>
      <c r="F1136">
        <v>753.29317946174865</v>
      </c>
      <c r="G1136">
        <v>0.42399999999999999</v>
      </c>
      <c r="H1136">
        <v>7.3000000000000001E-3</v>
      </c>
      <c r="I1136">
        <v>239.59970000000001</v>
      </c>
      <c r="J1136">
        <v>7.3000000000000001E-3</v>
      </c>
    </row>
    <row r="1137" spans="1:10" x14ac:dyDescent="0.3">
      <c r="A1137" t="s">
        <v>9</v>
      </c>
      <c r="B1137" t="s">
        <v>1253</v>
      </c>
      <c r="C1137">
        <v>4</v>
      </c>
      <c r="D1137">
        <v>4.1999999999999997E-3</v>
      </c>
      <c r="E1137">
        <v>6.5652868931033677</v>
      </c>
      <c r="F1137">
        <v>763.04572615550967</v>
      </c>
      <c r="G1137">
        <v>0.42399999999999999</v>
      </c>
      <c r="H1137">
        <v>8.8000000000000005E-3</v>
      </c>
      <c r="I1137">
        <v>239.79900000000001</v>
      </c>
      <c r="J1137">
        <v>8.8000000000000005E-3</v>
      </c>
    </row>
    <row r="1138" spans="1:10" x14ac:dyDescent="0.3">
      <c r="A1138" t="s">
        <v>9</v>
      </c>
      <c r="B1138" t="s">
        <v>1254</v>
      </c>
      <c r="C1138">
        <v>4</v>
      </c>
      <c r="D1138">
        <v>4.4000000000000003E-3</v>
      </c>
      <c r="E1138">
        <v>6.6702089371882636</v>
      </c>
      <c r="F1138">
        <v>773.00282813916624</v>
      </c>
      <c r="G1138">
        <v>0.42399999999999999</v>
      </c>
      <c r="H1138">
        <v>1.0500000000000001E-2</v>
      </c>
      <c r="I1138">
        <v>239.9975</v>
      </c>
      <c r="J1138">
        <v>1.0500000000000001E-2</v>
      </c>
    </row>
    <row r="1139" spans="1:10" x14ac:dyDescent="0.3">
      <c r="A1139" t="s">
        <v>9</v>
      </c>
      <c r="B1139" t="s">
        <v>1255</v>
      </c>
      <c r="C1139">
        <v>4</v>
      </c>
      <c r="D1139">
        <v>5.4999999999999997E-3</v>
      </c>
      <c r="E1139">
        <v>6.7761916927550612</v>
      </c>
      <c r="F1139">
        <v>783.06059164245539</v>
      </c>
      <c r="G1139">
        <v>0.42399999999999999</v>
      </c>
      <c r="H1139">
        <v>1.21E-2</v>
      </c>
      <c r="I1139">
        <v>240.19800000000001</v>
      </c>
      <c r="J1139">
        <v>1.21E-2</v>
      </c>
    </row>
    <row r="1140" spans="1:10" x14ac:dyDescent="0.3">
      <c r="A1140" t="s">
        <v>9</v>
      </c>
      <c r="B1140" t="s">
        <v>1256</v>
      </c>
      <c r="C1140">
        <v>4</v>
      </c>
      <c r="D1140">
        <v>7.4000000000000003E-3</v>
      </c>
      <c r="E1140">
        <v>6.8793296655401202</v>
      </c>
      <c r="F1140">
        <v>792.84838525975749</v>
      </c>
      <c r="G1140">
        <v>0.42399999999999999</v>
      </c>
      <c r="H1140">
        <v>1.37E-2</v>
      </c>
      <c r="I1140">
        <v>240.398</v>
      </c>
      <c r="J1140">
        <v>1.37E-2</v>
      </c>
    </row>
    <row r="1141" spans="1:10" x14ac:dyDescent="0.3">
      <c r="A1141" t="s">
        <v>9</v>
      </c>
      <c r="B1141" t="s">
        <v>1257</v>
      </c>
      <c r="C1141">
        <v>4</v>
      </c>
      <c r="D1141">
        <v>9.2999999999999992E-3</v>
      </c>
      <c r="E1141">
        <v>6.9775541437771311</v>
      </c>
      <c r="F1141">
        <v>802.16988824444979</v>
      </c>
      <c r="G1141">
        <v>0.42399999999999999</v>
      </c>
      <c r="H1141">
        <v>1.5299999999999999E-2</v>
      </c>
      <c r="I1141">
        <v>240.5984</v>
      </c>
      <c r="J1141">
        <v>1.5299999999999999E-2</v>
      </c>
    </row>
    <row r="1142" spans="1:10" x14ac:dyDescent="0.3">
      <c r="A1142" t="s">
        <v>9</v>
      </c>
      <c r="B1142" t="s">
        <v>1258</v>
      </c>
      <c r="C1142">
        <v>4</v>
      </c>
      <c r="D1142">
        <v>1.12E-2</v>
      </c>
      <c r="E1142">
        <v>7.0678455867911154</v>
      </c>
      <c r="F1142">
        <v>810.73854618647681</v>
      </c>
      <c r="G1142">
        <v>0.42399999999999999</v>
      </c>
      <c r="H1142">
        <v>1.67E-2</v>
      </c>
      <c r="I1142">
        <v>240.7979</v>
      </c>
      <c r="J1142">
        <v>1.67E-2</v>
      </c>
    </row>
    <row r="1143" spans="1:10" x14ac:dyDescent="0.3">
      <c r="A1143" t="s">
        <v>9</v>
      </c>
      <c r="B1143" t="s">
        <v>1259</v>
      </c>
      <c r="C1143">
        <v>4</v>
      </c>
      <c r="D1143">
        <v>1.23E-2</v>
      </c>
      <c r="E1143">
        <v>7.1486490142559687</v>
      </c>
      <c r="F1143">
        <v>818.40679145289141</v>
      </c>
      <c r="G1143">
        <v>0.42399999999999999</v>
      </c>
      <c r="H1143">
        <v>1.7899999999999999E-2</v>
      </c>
      <c r="I1143">
        <v>240.99809999999999</v>
      </c>
      <c r="J1143">
        <v>1.7899999999999999E-2</v>
      </c>
    </row>
    <row r="1144" spans="1:10" x14ac:dyDescent="0.3">
      <c r="A1144" t="s">
        <v>9</v>
      </c>
      <c r="B1144" t="s">
        <v>1260</v>
      </c>
      <c r="C1144">
        <v>4</v>
      </c>
      <c r="D1144">
        <v>1.34E-2</v>
      </c>
      <c r="E1144">
        <v>7.2174614552321676</v>
      </c>
      <c r="F1144">
        <v>824.9370921015327</v>
      </c>
      <c r="G1144">
        <v>0.42399999999999999</v>
      </c>
      <c r="H1144">
        <v>1.9E-2</v>
      </c>
      <c r="I1144">
        <v>241.19749999999999</v>
      </c>
      <c r="J1144">
        <v>1.9E-2</v>
      </c>
    </row>
    <row r="1145" spans="1:10" x14ac:dyDescent="0.3">
      <c r="A1145" t="s">
        <v>9</v>
      </c>
      <c r="B1145" t="s">
        <v>1261</v>
      </c>
      <c r="C1145">
        <v>4</v>
      </c>
      <c r="D1145">
        <v>1.49E-2</v>
      </c>
      <c r="E1145">
        <v>7.2731094773693252</v>
      </c>
      <c r="F1145">
        <v>830.21808940234905</v>
      </c>
      <c r="G1145">
        <v>0.42399999999999999</v>
      </c>
      <c r="H1145">
        <v>1.9800000000000002E-2</v>
      </c>
      <c r="I1145">
        <v>241.39779999999999</v>
      </c>
      <c r="J1145">
        <v>1.9800000000000002E-2</v>
      </c>
    </row>
    <row r="1146" spans="1:10" x14ac:dyDescent="0.3">
      <c r="A1146" t="s">
        <v>9</v>
      </c>
      <c r="B1146" t="s">
        <v>1262</v>
      </c>
      <c r="C1146">
        <v>4</v>
      </c>
      <c r="D1146">
        <v>1.54E-2</v>
      </c>
      <c r="E1146">
        <v>7.3138442853228458</v>
      </c>
      <c r="F1146">
        <v>834.08382267713807</v>
      </c>
      <c r="G1146">
        <v>0.42399999999999999</v>
      </c>
      <c r="H1146">
        <v>2.0500000000000001E-2</v>
      </c>
      <c r="I1146">
        <v>241.5977</v>
      </c>
      <c r="J1146">
        <v>2.0500000000000001E-2</v>
      </c>
    </row>
    <row r="1147" spans="1:10" x14ac:dyDescent="0.3">
      <c r="A1147" t="s">
        <v>9</v>
      </c>
      <c r="B1147" t="s">
        <v>1263</v>
      </c>
      <c r="C1147">
        <v>4</v>
      </c>
      <c r="D1147">
        <v>1.54E-2</v>
      </c>
      <c r="E1147">
        <v>7.3388849424283036</v>
      </c>
      <c r="F1147">
        <v>836.4601810364461</v>
      </c>
      <c r="G1147">
        <v>0.42399999999999999</v>
      </c>
      <c r="H1147">
        <v>2.0899999999999998E-2</v>
      </c>
      <c r="I1147">
        <v>241.7988</v>
      </c>
      <c r="J1147">
        <v>2.0899999999999998E-2</v>
      </c>
    </row>
    <row r="1148" spans="1:10" x14ac:dyDescent="0.3">
      <c r="A1148" t="s">
        <v>9</v>
      </c>
      <c r="B1148" t="s">
        <v>1264</v>
      </c>
      <c r="C1148">
        <v>4</v>
      </c>
      <c r="D1148">
        <v>1.54E-2</v>
      </c>
      <c r="E1148">
        <v>7.3473017042560347</v>
      </c>
      <c r="F1148">
        <v>837.25893173389773</v>
      </c>
      <c r="G1148">
        <v>0.42399999999999999</v>
      </c>
      <c r="H1148">
        <v>2.1000000000000001E-2</v>
      </c>
      <c r="I1148">
        <v>241.99799999999999</v>
      </c>
      <c r="J1148">
        <v>2.1000000000000001E-2</v>
      </c>
    </row>
    <row r="1149" spans="1:10" x14ac:dyDescent="0.3">
      <c r="A1149" t="s">
        <v>9</v>
      </c>
      <c r="B1149" t="s">
        <v>1265</v>
      </c>
      <c r="C1149">
        <v>4</v>
      </c>
      <c r="D1149">
        <v>1.55E-2</v>
      </c>
      <c r="E1149">
        <v>7.3389615764000471</v>
      </c>
      <c r="F1149">
        <v>731.99121892048436</v>
      </c>
      <c r="G1149">
        <v>0.42399999999999999</v>
      </c>
      <c r="H1149">
        <v>2.0899999999999998E-2</v>
      </c>
      <c r="I1149">
        <v>242.2002</v>
      </c>
      <c r="J1149">
        <v>2.0899999999999998E-2</v>
      </c>
    </row>
    <row r="1150" spans="1:10" x14ac:dyDescent="0.3">
      <c r="A1150" t="s">
        <v>9</v>
      </c>
      <c r="B1150" t="s">
        <v>1266</v>
      </c>
      <c r="C1150">
        <v>4</v>
      </c>
      <c r="D1150">
        <v>1.54E-2</v>
      </c>
      <c r="E1150">
        <v>7.3146130578647757</v>
      </c>
      <c r="F1150">
        <v>729.72193699299714</v>
      </c>
      <c r="G1150">
        <v>0.42399999999999999</v>
      </c>
      <c r="H1150">
        <v>2.0500000000000001E-2</v>
      </c>
      <c r="I1150">
        <v>242.39760000000001</v>
      </c>
      <c r="J1150">
        <v>2.0500000000000001E-2</v>
      </c>
    </row>
    <row r="1151" spans="1:10" x14ac:dyDescent="0.3">
      <c r="A1151" t="s">
        <v>9</v>
      </c>
      <c r="B1151" t="s">
        <v>1267</v>
      </c>
      <c r="C1151">
        <v>4</v>
      </c>
      <c r="D1151">
        <v>1.54E-2</v>
      </c>
      <c r="E1151">
        <v>7.2734865651667908</v>
      </c>
      <c r="F1151">
        <v>725.88894787354491</v>
      </c>
      <c r="G1151">
        <v>0.42399999999999999</v>
      </c>
      <c r="H1151">
        <v>1.9900000000000001E-2</v>
      </c>
      <c r="I1151">
        <v>242.60069999999999</v>
      </c>
      <c r="J1151">
        <v>1.9900000000000001E-2</v>
      </c>
    </row>
    <row r="1152" spans="1:10" x14ac:dyDescent="0.3">
      <c r="A1152" t="s">
        <v>9</v>
      </c>
      <c r="B1152" t="s">
        <v>1268</v>
      </c>
      <c r="C1152">
        <v>4</v>
      </c>
      <c r="D1152">
        <v>1.54E-2</v>
      </c>
      <c r="E1152">
        <v>7.2183372720520893</v>
      </c>
      <c r="F1152">
        <v>720.7490337552548</v>
      </c>
      <c r="G1152">
        <v>0.42399999999999999</v>
      </c>
      <c r="H1152">
        <v>1.9E-2</v>
      </c>
      <c r="I1152">
        <v>242.7997</v>
      </c>
      <c r="J1152">
        <v>1.9E-2</v>
      </c>
    </row>
    <row r="1153" spans="1:10" x14ac:dyDescent="0.3">
      <c r="A1153" t="s">
        <v>9</v>
      </c>
      <c r="B1153" t="s">
        <v>1269</v>
      </c>
      <c r="C1153">
        <v>4</v>
      </c>
      <c r="D1153">
        <v>1.54E-2</v>
      </c>
      <c r="E1153">
        <v>7.1498694812133552</v>
      </c>
      <c r="F1153">
        <v>714.36783564908467</v>
      </c>
      <c r="G1153">
        <v>0.42399999999999999</v>
      </c>
      <c r="H1153">
        <v>1.7899999999999999E-2</v>
      </c>
      <c r="I1153">
        <v>242.99870000000001</v>
      </c>
      <c r="J1153">
        <v>1.7899999999999999E-2</v>
      </c>
    </row>
    <row r="1154" spans="1:10" x14ac:dyDescent="0.3">
      <c r="A1154" t="s">
        <v>9</v>
      </c>
      <c r="B1154" t="s">
        <v>1270</v>
      </c>
      <c r="C1154">
        <v>4</v>
      </c>
      <c r="D1154">
        <v>1.54E-2</v>
      </c>
      <c r="E1154">
        <v>7.0685000165815541</v>
      </c>
      <c r="F1154">
        <v>706.78420154540083</v>
      </c>
      <c r="G1154">
        <v>0.42399999999999999</v>
      </c>
      <c r="H1154">
        <v>1.67E-2</v>
      </c>
      <c r="I1154">
        <v>243.20050000000001</v>
      </c>
      <c r="J1154">
        <v>1.67E-2</v>
      </c>
    </row>
    <row r="1155" spans="1:10" x14ac:dyDescent="0.3">
      <c r="A1155" t="s">
        <v>9</v>
      </c>
      <c r="B1155" t="s">
        <v>1271</v>
      </c>
      <c r="C1155">
        <v>4</v>
      </c>
      <c r="D1155">
        <v>1.54E-2</v>
      </c>
      <c r="E1155">
        <v>6.9789818062877496</v>
      </c>
      <c r="F1155">
        <v>698.44110434601828</v>
      </c>
      <c r="G1155">
        <v>0.42399999999999999</v>
      </c>
      <c r="H1155">
        <v>1.5299999999999999E-2</v>
      </c>
      <c r="I1155">
        <v>243.39859999999999</v>
      </c>
      <c r="J1155">
        <v>1.5299999999999999E-2</v>
      </c>
    </row>
    <row r="1156" spans="1:10" x14ac:dyDescent="0.3">
      <c r="A1156" t="s">
        <v>9</v>
      </c>
      <c r="B1156" t="s">
        <v>1272</v>
      </c>
      <c r="C1156">
        <v>4</v>
      </c>
      <c r="D1156">
        <v>1.54E-2</v>
      </c>
      <c r="E1156">
        <v>6.8809316804732248</v>
      </c>
      <c r="F1156">
        <v>689.3028326201046</v>
      </c>
      <c r="G1156">
        <v>0.42399999999999999</v>
      </c>
      <c r="H1156">
        <v>1.38E-2</v>
      </c>
      <c r="I1156">
        <v>243.59880000000001</v>
      </c>
      <c r="J1156">
        <v>1.38E-2</v>
      </c>
    </row>
    <row r="1157" spans="1:10" x14ac:dyDescent="0.3">
      <c r="A1157" t="s">
        <v>9</v>
      </c>
      <c r="B1157" t="s">
        <v>1273</v>
      </c>
      <c r="C1157">
        <v>4</v>
      </c>
      <c r="D1157">
        <v>1.54E-2</v>
      </c>
      <c r="E1157">
        <v>6.7771121113574777</v>
      </c>
      <c r="F1157">
        <v>679.62684877851689</v>
      </c>
      <c r="G1157">
        <v>0.42399999999999999</v>
      </c>
      <c r="H1157">
        <v>1.21E-2</v>
      </c>
      <c r="I1157">
        <v>243.80019999999999</v>
      </c>
      <c r="J1157">
        <v>1.21E-2</v>
      </c>
    </row>
    <row r="1158" spans="1:10" x14ac:dyDescent="0.3">
      <c r="A1158" t="s">
        <v>9</v>
      </c>
      <c r="B1158" t="s">
        <v>1274</v>
      </c>
      <c r="C1158">
        <v>4</v>
      </c>
      <c r="D1158">
        <v>1.5299999999999999E-2</v>
      </c>
      <c r="E1158">
        <v>6.6723368476840692</v>
      </c>
      <c r="F1158">
        <v>669.86179420415522</v>
      </c>
      <c r="G1158">
        <v>0.42399999999999999</v>
      </c>
      <c r="H1158">
        <v>1.0500000000000001E-2</v>
      </c>
      <c r="I1158">
        <v>243.99850000000001</v>
      </c>
      <c r="J1158">
        <v>1.0500000000000001E-2</v>
      </c>
    </row>
    <row r="1159" spans="1:10" x14ac:dyDescent="0.3">
      <c r="A1159" t="s">
        <v>9</v>
      </c>
      <c r="B1159" t="s">
        <v>1275</v>
      </c>
      <c r="C1159">
        <v>4</v>
      </c>
      <c r="D1159">
        <v>1.47E-2</v>
      </c>
      <c r="E1159">
        <v>6.5664615418660093</v>
      </c>
      <c r="F1159">
        <v>659.99421570191214</v>
      </c>
      <c r="G1159">
        <v>0.42399999999999999</v>
      </c>
      <c r="H1159">
        <v>8.8999999999999999E-3</v>
      </c>
      <c r="I1159">
        <v>244.1987</v>
      </c>
      <c r="J1159">
        <v>8.8999999999999999E-3</v>
      </c>
    </row>
    <row r="1160" spans="1:10" x14ac:dyDescent="0.3">
      <c r="A1160" t="s">
        <v>9</v>
      </c>
      <c r="B1160" t="s">
        <v>1276</v>
      </c>
      <c r="C1160">
        <v>4</v>
      </c>
      <c r="D1160">
        <v>1.35E-2</v>
      </c>
      <c r="E1160">
        <v>6.4626610298755116</v>
      </c>
      <c r="F1160">
        <v>650.32000798439776</v>
      </c>
      <c r="G1160">
        <v>0.42399999999999999</v>
      </c>
      <c r="H1160">
        <v>7.3000000000000001E-3</v>
      </c>
      <c r="I1160">
        <v>244.4</v>
      </c>
      <c r="J1160">
        <v>7.3000000000000001E-3</v>
      </c>
    </row>
    <row r="1161" spans="1:10" x14ac:dyDescent="0.3">
      <c r="A1161" t="s">
        <v>9</v>
      </c>
      <c r="B1161" t="s">
        <v>1277</v>
      </c>
      <c r="C1161">
        <v>4</v>
      </c>
      <c r="D1161">
        <v>1.2E-2</v>
      </c>
      <c r="E1161">
        <v>6.3657155685721856</v>
      </c>
      <c r="F1161">
        <v>641.28469099092774</v>
      </c>
      <c r="G1161">
        <v>0.42399999999999999</v>
      </c>
      <c r="H1161">
        <v>5.7000000000000002E-3</v>
      </c>
      <c r="I1161">
        <v>244.59790000000001</v>
      </c>
      <c r="J1161">
        <v>5.7000000000000002E-3</v>
      </c>
    </row>
    <row r="1162" spans="1:10" x14ac:dyDescent="0.3">
      <c r="A1162" t="s">
        <v>9</v>
      </c>
      <c r="B1162" t="s">
        <v>1278</v>
      </c>
      <c r="C1162">
        <v>4</v>
      </c>
      <c r="D1162">
        <v>1.12E-2</v>
      </c>
      <c r="E1162">
        <v>6.2752022925108966</v>
      </c>
      <c r="F1162">
        <v>632.84885366201559</v>
      </c>
      <c r="G1162">
        <v>0.42399999999999999</v>
      </c>
      <c r="H1162">
        <v>4.3E-3</v>
      </c>
      <c r="I1162">
        <v>244.7979</v>
      </c>
      <c r="J1162">
        <v>4.3E-3</v>
      </c>
    </row>
    <row r="1163" spans="1:10" x14ac:dyDescent="0.3">
      <c r="A1163" t="s">
        <v>9</v>
      </c>
      <c r="B1163" t="s">
        <v>1279</v>
      </c>
      <c r="C1163">
        <v>4</v>
      </c>
      <c r="D1163">
        <v>9.7999999999999997E-3</v>
      </c>
      <c r="E1163">
        <v>6.19443414100129</v>
      </c>
      <c r="F1163">
        <v>625.32126194132024</v>
      </c>
      <c r="G1163">
        <v>0.42399999999999999</v>
      </c>
      <c r="H1163">
        <v>3.0999999999999999E-3</v>
      </c>
      <c r="I1163">
        <v>244.99799999999999</v>
      </c>
      <c r="J1163">
        <v>3.0999999999999999E-3</v>
      </c>
    </row>
    <row r="1164" spans="1:10" x14ac:dyDescent="0.3">
      <c r="A1164" t="s">
        <v>9</v>
      </c>
      <c r="B1164" t="s">
        <v>1280</v>
      </c>
      <c r="C1164">
        <v>4</v>
      </c>
      <c r="D1164">
        <v>6.6E-3</v>
      </c>
      <c r="E1164">
        <v>6.0292221523753904</v>
      </c>
      <c r="F1164">
        <v>609.92350460138641</v>
      </c>
      <c r="G1164">
        <v>0.42399999999999999</v>
      </c>
      <c r="H1164">
        <v>5.0000000000000001E-4</v>
      </c>
      <c r="I1164">
        <v>245.5975</v>
      </c>
      <c r="J1164">
        <v>5.0000000000000001E-4</v>
      </c>
    </row>
    <row r="1165" spans="1:10" x14ac:dyDescent="0.3">
      <c r="A1165" t="s">
        <v>9</v>
      </c>
      <c r="B1165" t="s">
        <v>1281</v>
      </c>
      <c r="C1165">
        <v>4</v>
      </c>
      <c r="D1165">
        <v>5.4000000000000003E-3</v>
      </c>
      <c r="E1165">
        <v>6.0041436445754242</v>
      </c>
      <c r="F1165">
        <v>607.58618767442954</v>
      </c>
      <c r="G1165">
        <v>0.42399999999999999</v>
      </c>
      <c r="H1165">
        <v>1E-4</v>
      </c>
      <c r="I1165">
        <v>245.7989</v>
      </c>
      <c r="J1165">
        <v>1E-4</v>
      </c>
    </row>
    <row r="1166" spans="1:10" x14ac:dyDescent="0.3">
      <c r="A1166" t="s">
        <v>9</v>
      </c>
      <c r="B1166" t="s">
        <v>1282</v>
      </c>
      <c r="C1166">
        <v>4</v>
      </c>
      <c r="D1166">
        <v>4.3E-3</v>
      </c>
      <c r="E1166">
        <v>5.9957345713687991</v>
      </c>
      <c r="F1166">
        <v>606.80246205157209</v>
      </c>
      <c r="G1166">
        <v>0.42399999999999999</v>
      </c>
      <c r="H1166">
        <v>0</v>
      </c>
      <c r="I1166">
        <v>245.99770000000001</v>
      </c>
      <c r="J1166">
        <v>0</v>
      </c>
    </row>
    <row r="1167" spans="1:10" x14ac:dyDescent="0.3">
      <c r="A1167" t="s">
        <v>9</v>
      </c>
      <c r="B1167" t="s">
        <v>1283</v>
      </c>
      <c r="C1167">
        <v>4</v>
      </c>
      <c r="D1167">
        <v>3.7000000000000002E-3</v>
      </c>
      <c r="E1167">
        <v>6.003860317834179</v>
      </c>
      <c r="F1167">
        <v>709.76634416246361</v>
      </c>
      <c r="G1167">
        <v>0.42399999999999999</v>
      </c>
      <c r="H1167">
        <v>1E-4</v>
      </c>
      <c r="I1167">
        <v>246.1977</v>
      </c>
      <c r="J1167">
        <v>1E-4</v>
      </c>
    </row>
    <row r="1168" spans="1:10" x14ac:dyDescent="0.3">
      <c r="A1168" t="s">
        <v>9</v>
      </c>
      <c r="B1168" t="s">
        <v>1284</v>
      </c>
      <c r="C1168">
        <v>4</v>
      </c>
      <c r="D1168">
        <v>3.7000000000000002E-3</v>
      </c>
      <c r="E1168">
        <v>6.0289144933344403</v>
      </c>
      <c r="F1168">
        <v>712.14398541743844</v>
      </c>
      <c r="G1168">
        <v>0.42399999999999999</v>
      </c>
      <c r="H1168">
        <v>5.0000000000000001E-4</v>
      </c>
      <c r="I1168">
        <v>246.4006</v>
      </c>
      <c r="J1168">
        <v>5.0000000000000001E-4</v>
      </c>
    </row>
    <row r="1169" spans="1:10" x14ac:dyDescent="0.3">
      <c r="A1169" t="s">
        <v>9</v>
      </c>
      <c r="B1169" t="s">
        <v>1285</v>
      </c>
      <c r="C1169">
        <v>4</v>
      </c>
      <c r="D1169">
        <v>3.7000000000000002E-3</v>
      </c>
      <c r="E1169">
        <v>6.06907527634724</v>
      </c>
      <c r="F1169">
        <v>715.95524372535306</v>
      </c>
      <c r="G1169">
        <v>0.42399999999999999</v>
      </c>
      <c r="H1169">
        <v>1.1000000000000001E-3</v>
      </c>
      <c r="I1169">
        <v>246.59870000000001</v>
      </c>
      <c r="J1169">
        <v>1.1000000000000001E-3</v>
      </c>
    </row>
    <row r="1170" spans="1:10" x14ac:dyDescent="0.3">
      <c r="A1170" t="s">
        <v>9</v>
      </c>
      <c r="B1170" t="s">
        <v>1286</v>
      </c>
      <c r="C1170">
        <v>4</v>
      </c>
      <c r="D1170">
        <v>3.7000000000000002E-3</v>
      </c>
      <c r="E1170">
        <v>6.1240306733493091</v>
      </c>
      <c r="F1170">
        <v>721.17051090084942</v>
      </c>
      <c r="G1170">
        <v>0.42399999999999999</v>
      </c>
      <c r="H1170">
        <v>2E-3</v>
      </c>
      <c r="I1170">
        <v>246.79750000000001</v>
      </c>
      <c r="J1170">
        <v>2E-3</v>
      </c>
    </row>
    <row r="1171" spans="1:10" x14ac:dyDescent="0.3">
      <c r="A1171" t="s">
        <v>9</v>
      </c>
      <c r="B1171" t="s">
        <v>1287</v>
      </c>
      <c r="C1171">
        <v>4</v>
      </c>
      <c r="D1171">
        <v>3.7000000000000002E-3</v>
      </c>
      <c r="E1171">
        <v>6.192756059755494</v>
      </c>
      <c r="F1171">
        <v>727.69255007079641</v>
      </c>
      <c r="G1171">
        <v>0.42399999999999999</v>
      </c>
      <c r="H1171">
        <v>3.0999999999999999E-3</v>
      </c>
      <c r="I1171">
        <v>246.99760000000001</v>
      </c>
      <c r="J1171">
        <v>3.0999999999999999E-3</v>
      </c>
    </row>
    <row r="1172" spans="1:10" x14ac:dyDescent="0.3">
      <c r="A1172" t="s">
        <v>9</v>
      </c>
      <c r="B1172" t="s">
        <v>1288</v>
      </c>
      <c r="C1172">
        <v>4</v>
      </c>
      <c r="D1172">
        <v>3.7000000000000002E-3</v>
      </c>
      <c r="E1172">
        <v>6.2741240646925958</v>
      </c>
      <c r="F1172">
        <v>735.4143737393274</v>
      </c>
      <c r="G1172">
        <v>0.42399999999999999</v>
      </c>
      <c r="H1172">
        <v>4.3E-3</v>
      </c>
      <c r="I1172">
        <v>247.1996</v>
      </c>
      <c r="J1172">
        <v>4.3E-3</v>
      </c>
    </row>
    <row r="1173" spans="1:10" x14ac:dyDescent="0.3">
      <c r="A1173" t="s">
        <v>9</v>
      </c>
      <c r="B1173" t="s">
        <v>1289</v>
      </c>
      <c r="C1173">
        <v>4</v>
      </c>
      <c r="D1173">
        <v>3.7000000000000002E-3</v>
      </c>
      <c r="E1173">
        <v>6.3635273240287864</v>
      </c>
      <c r="F1173">
        <v>743.89874305033186</v>
      </c>
      <c r="G1173">
        <v>0.42399999999999999</v>
      </c>
      <c r="H1173">
        <v>5.7000000000000002E-3</v>
      </c>
      <c r="I1173">
        <v>247.39750000000001</v>
      </c>
      <c r="J1173">
        <v>5.7000000000000002E-3</v>
      </c>
    </row>
    <row r="1174" spans="1:10" x14ac:dyDescent="0.3">
      <c r="A1174" t="s">
        <v>9</v>
      </c>
      <c r="B1174" t="s">
        <v>1290</v>
      </c>
      <c r="C1174">
        <v>4</v>
      </c>
      <c r="D1174">
        <v>3.7000000000000002E-3</v>
      </c>
      <c r="E1174">
        <v>6.4621395944910587</v>
      </c>
      <c r="F1174">
        <v>753.2570475172015</v>
      </c>
      <c r="G1174">
        <v>0.42399999999999999</v>
      </c>
      <c r="H1174">
        <v>7.1999999999999998E-3</v>
      </c>
      <c r="I1174">
        <v>247.59889999999999</v>
      </c>
      <c r="J1174">
        <v>7.1999999999999998E-3</v>
      </c>
    </row>
    <row r="1175" spans="1:10" x14ac:dyDescent="0.3">
      <c r="A1175" t="s">
        <v>9</v>
      </c>
      <c r="B1175" t="s">
        <v>1291</v>
      </c>
      <c r="C1175">
        <v>4</v>
      </c>
      <c r="D1175">
        <v>3.8E-3</v>
      </c>
      <c r="E1175">
        <v>6.5657775127108238</v>
      </c>
      <c r="F1175">
        <v>763.09228595625723</v>
      </c>
      <c r="G1175">
        <v>0.42399999999999999</v>
      </c>
      <c r="H1175">
        <v>8.8999999999999999E-3</v>
      </c>
      <c r="I1175">
        <v>247.79990000000001</v>
      </c>
      <c r="J1175">
        <v>8.8999999999999999E-3</v>
      </c>
    </row>
    <row r="1176" spans="1:10" x14ac:dyDescent="0.3">
      <c r="A1176" t="s">
        <v>9</v>
      </c>
      <c r="B1176" t="s">
        <v>1292</v>
      </c>
      <c r="C1176">
        <v>4</v>
      </c>
      <c r="D1176">
        <v>4.7999999999999996E-3</v>
      </c>
      <c r="E1176">
        <v>6.6703034118730038</v>
      </c>
      <c r="F1176">
        <v>773.01179378674806</v>
      </c>
      <c r="G1176">
        <v>0.42399999999999999</v>
      </c>
      <c r="H1176">
        <v>1.0500000000000001E-2</v>
      </c>
      <c r="I1176">
        <v>247.99770000000001</v>
      </c>
      <c r="J1176">
        <v>1.0500000000000001E-2</v>
      </c>
    </row>
    <row r="1177" spans="1:10" x14ac:dyDescent="0.3">
      <c r="A1177" t="s">
        <v>9</v>
      </c>
      <c r="B1177" t="s">
        <v>1293</v>
      </c>
      <c r="C1177">
        <v>4</v>
      </c>
      <c r="D1177">
        <v>5.7000000000000002E-3</v>
      </c>
      <c r="E1177">
        <v>6.7767127226687647</v>
      </c>
      <c r="F1177">
        <v>783.11003738126578</v>
      </c>
      <c r="G1177">
        <v>0.42399999999999999</v>
      </c>
      <c r="H1177">
        <v>1.21E-2</v>
      </c>
      <c r="I1177">
        <v>248.19900000000001</v>
      </c>
      <c r="J1177">
        <v>1.21E-2</v>
      </c>
    </row>
    <row r="1178" spans="1:10" x14ac:dyDescent="0.3">
      <c r="A1178" t="s">
        <v>9</v>
      </c>
      <c r="B1178" t="s">
        <v>1294</v>
      </c>
      <c r="C1178">
        <v>4</v>
      </c>
      <c r="D1178">
        <v>7.4999999999999997E-3</v>
      </c>
      <c r="E1178">
        <v>6.8804593070495166</v>
      </c>
      <c r="F1178">
        <v>792.95558823899921</v>
      </c>
      <c r="G1178">
        <v>0.42399999999999999</v>
      </c>
      <c r="H1178">
        <v>1.37E-2</v>
      </c>
      <c r="I1178">
        <v>248.40020000000001</v>
      </c>
      <c r="J1178">
        <v>1.37E-2</v>
      </c>
    </row>
    <row r="1179" spans="1:10" x14ac:dyDescent="0.3">
      <c r="A1179" t="s">
        <v>9</v>
      </c>
      <c r="B1179" t="s">
        <v>1295</v>
      </c>
      <c r="C1179">
        <v>4</v>
      </c>
      <c r="D1179">
        <v>9.4000000000000004E-3</v>
      </c>
      <c r="E1179">
        <v>6.9778866297920983</v>
      </c>
      <c r="F1179">
        <v>802.20144116727022</v>
      </c>
      <c r="G1179">
        <v>0.42399999999999999</v>
      </c>
      <c r="H1179">
        <v>1.5299999999999999E-2</v>
      </c>
      <c r="I1179">
        <v>248.59909999999999</v>
      </c>
      <c r="J1179">
        <v>1.5299999999999999E-2</v>
      </c>
    </row>
    <row r="1180" spans="1:10" x14ac:dyDescent="0.3">
      <c r="A1180" t="s">
        <v>9</v>
      </c>
      <c r="B1180" t="s">
        <v>1296</v>
      </c>
      <c r="C1180">
        <v>4</v>
      </c>
      <c r="D1180">
        <v>1.0800000000000001E-2</v>
      </c>
      <c r="E1180">
        <v>7.0690822725785027</v>
      </c>
      <c r="F1180">
        <v>810.85590766769997</v>
      </c>
      <c r="G1180">
        <v>0.42399999999999999</v>
      </c>
      <c r="H1180">
        <v>1.67E-2</v>
      </c>
      <c r="I1180">
        <v>248.80080000000001</v>
      </c>
      <c r="J1180">
        <v>1.67E-2</v>
      </c>
    </row>
    <row r="1181" spans="1:10" x14ac:dyDescent="0.3">
      <c r="A1181" t="s">
        <v>9</v>
      </c>
      <c r="B1181" t="s">
        <v>1297</v>
      </c>
      <c r="C1181">
        <v>4</v>
      </c>
      <c r="D1181">
        <v>1.21E-2</v>
      </c>
      <c r="E1181">
        <v>7.1489859604491874</v>
      </c>
      <c r="F1181">
        <v>818.43876764662787</v>
      </c>
      <c r="G1181">
        <v>0.42399999999999999</v>
      </c>
      <c r="H1181">
        <v>1.7899999999999999E-2</v>
      </c>
      <c r="I1181">
        <v>248.999</v>
      </c>
      <c r="J1181">
        <v>1.7899999999999999E-2</v>
      </c>
    </row>
    <row r="1182" spans="1:10" x14ac:dyDescent="0.3">
      <c r="A1182" t="s">
        <v>9</v>
      </c>
      <c r="B1182" t="s">
        <v>1298</v>
      </c>
      <c r="C1182">
        <v>4</v>
      </c>
      <c r="D1182">
        <v>1.35E-2</v>
      </c>
      <c r="E1182">
        <v>7.218033168989618</v>
      </c>
      <c r="F1182">
        <v>824.99134773711478</v>
      </c>
      <c r="G1182">
        <v>0.42399999999999999</v>
      </c>
      <c r="H1182">
        <v>1.9E-2</v>
      </c>
      <c r="I1182">
        <v>249.19929999999999</v>
      </c>
      <c r="J1182">
        <v>1.9E-2</v>
      </c>
    </row>
    <row r="1183" spans="1:10" x14ac:dyDescent="0.3">
      <c r="A1183" t="s">
        <v>9</v>
      </c>
      <c r="B1183" t="s">
        <v>1299</v>
      </c>
      <c r="C1183">
        <v>4</v>
      </c>
      <c r="D1183">
        <v>1.44E-2</v>
      </c>
      <c r="E1183">
        <v>7.2734618314510424</v>
      </c>
      <c r="F1183">
        <v>830.25152780470398</v>
      </c>
      <c r="G1183">
        <v>0.42399999999999999</v>
      </c>
      <c r="H1183">
        <v>1.9900000000000001E-2</v>
      </c>
      <c r="I1183">
        <v>249.39920000000001</v>
      </c>
      <c r="J1183">
        <v>1.9900000000000001E-2</v>
      </c>
    </row>
    <row r="1184" spans="1:10" x14ac:dyDescent="0.3">
      <c r="A1184" t="s">
        <v>9</v>
      </c>
      <c r="B1184" t="s">
        <v>1300</v>
      </c>
      <c r="C1184">
        <v>4</v>
      </c>
      <c r="D1184">
        <v>1.55E-2</v>
      </c>
      <c r="E1184">
        <v>7.3141581196833174</v>
      </c>
      <c r="F1184">
        <v>834.11360555794681</v>
      </c>
      <c r="G1184">
        <v>0.42399999999999999</v>
      </c>
      <c r="H1184">
        <v>2.0500000000000001E-2</v>
      </c>
      <c r="I1184">
        <v>249.59960000000001</v>
      </c>
      <c r="J1184">
        <v>2.0500000000000001E-2</v>
      </c>
    </row>
    <row r="1185" spans="1:10" x14ac:dyDescent="0.3">
      <c r="A1185" t="s">
        <v>9</v>
      </c>
      <c r="B1185" t="s">
        <v>1301</v>
      </c>
      <c r="C1185">
        <v>4</v>
      </c>
      <c r="D1185">
        <v>1.61E-2</v>
      </c>
      <c r="E1185">
        <v>7.3388415570580587</v>
      </c>
      <c r="F1185">
        <v>836.45606376480987</v>
      </c>
      <c r="G1185">
        <v>0.42399999999999999</v>
      </c>
      <c r="H1185">
        <v>2.0899999999999998E-2</v>
      </c>
      <c r="I1185">
        <v>249.79830000000001</v>
      </c>
      <c r="J1185">
        <v>2.0899999999999998E-2</v>
      </c>
    </row>
    <row r="1186" spans="1:10" x14ac:dyDescent="0.3">
      <c r="A1186" t="s">
        <v>9</v>
      </c>
      <c r="B1186" t="s">
        <v>1302</v>
      </c>
      <c r="C1186">
        <v>4</v>
      </c>
      <c r="D1186">
        <v>1.6199999999999999E-2</v>
      </c>
      <c r="E1186">
        <v>7.3473012987852826</v>
      </c>
      <c r="F1186">
        <v>837.25889325472349</v>
      </c>
      <c r="G1186">
        <v>0.42399999999999999</v>
      </c>
      <c r="H1186">
        <v>2.1000000000000001E-2</v>
      </c>
      <c r="I1186">
        <v>249.9975</v>
      </c>
      <c r="J1186">
        <v>2.1000000000000001E-2</v>
      </c>
    </row>
    <row r="1187" spans="1:10" x14ac:dyDescent="0.3">
      <c r="A1187" t="s">
        <v>9</v>
      </c>
      <c r="B1187" t="s">
        <v>1303</v>
      </c>
      <c r="C1187">
        <v>4</v>
      </c>
      <c r="D1187">
        <v>1.6199999999999999E-2</v>
      </c>
      <c r="E1187">
        <v>7.3390901106277848</v>
      </c>
      <c r="F1187">
        <v>732.00319831050956</v>
      </c>
      <c r="G1187">
        <v>0.42399999999999999</v>
      </c>
      <c r="H1187">
        <v>2.0899999999999998E-2</v>
      </c>
      <c r="I1187">
        <v>250.1987</v>
      </c>
      <c r="J1187">
        <v>2.0899999999999998E-2</v>
      </c>
    </row>
    <row r="1188" spans="1:10" x14ac:dyDescent="0.3">
      <c r="A1188" t="s">
        <v>9</v>
      </c>
      <c r="B1188" t="s">
        <v>1304</v>
      </c>
      <c r="C1188">
        <v>5</v>
      </c>
      <c r="D1188">
        <v>1.6199999999999999E-2</v>
      </c>
      <c r="E1188">
        <v>7.3140559410543258</v>
      </c>
      <c r="F1188">
        <v>729.67001370626315</v>
      </c>
      <c r="G1188">
        <v>0.42399999999999999</v>
      </c>
      <c r="H1188">
        <v>2.0500000000000001E-2</v>
      </c>
      <c r="I1188">
        <v>250.40100000000001</v>
      </c>
      <c r="J1188">
        <v>2.0500000000000001E-2</v>
      </c>
    </row>
    <row r="1189" spans="1:10" x14ac:dyDescent="0.3">
      <c r="A1189" t="s">
        <v>9</v>
      </c>
      <c r="B1189" t="s">
        <v>1305</v>
      </c>
      <c r="C1189">
        <v>5</v>
      </c>
      <c r="D1189">
        <v>1.6199999999999999E-2</v>
      </c>
      <c r="E1189">
        <v>7.2738271605967588</v>
      </c>
      <c r="F1189">
        <v>725.92069136761791</v>
      </c>
      <c r="G1189">
        <v>0.42399999999999999</v>
      </c>
      <c r="H1189">
        <v>1.9900000000000001E-2</v>
      </c>
      <c r="I1189">
        <v>250.5992</v>
      </c>
      <c r="J1189">
        <v>1.9900000000000001E-2</v>
      </c>
    </row>
    <row r="1190" spans="1:10" x14ac:dyDescent="0.3">
      <c r="A1190" t="s">
        <v>9</v>
      </c>
      <c r="B1190" t="s">
        <v>1306</v>
      </c>
      <c r="C1190">
        <v>5</v>
      </c>
      <c r="D1190">
        <v>1.6199999999999999E-2</v>
      </c>
      <c r="E1190">
        <v>7.2183238915173389</v>
      </c>
      <c r="F1190">
        <v>720.74778668941599</v>
      </c>
      <c r="G1190">
        <v>0.42399999999999999</v>
      </c>
      <c r="H1190">
        <v>1.9E-2</v>
      </c>
      <c r="I1190">
        <v>250.7997</v>
      </c>
      <c r="J1190">
        <v>1.9E-2</v>
      </c>
    </row>
    <row r="1191" spans="1:10" x14ac:dyDescent="0.3">
      <c r="A1191" t="s">
        <v>9</v>
      </c>
      <c r="B1191" t="s">
        <v>1307</v>
      </c>
      <c r="C1191">
        <v>5</v>
      </c>
      <c r="D1191">
        <v>1.6199999999999999E-2</v>
      </c>
      <c r="E1191">
        <v>7.1497368922781188</v>
      </c>
      <c r="F1191">
        <v>714.35547836032072</v>
      </c>
      <c r="G1191">
        <v>0.42399999999999999</v>
      </c>
      <c r="H1191">
        <v>1.7899999999999999E-2</v>
      </c>
      <c r="I1191">
        <v>250.999</v>
      </c>
      <c r="J1191">
        <v>1.7899999999999999E-2</v>
      </c>
    </row>
    <row r="1192" spans="1:10" x14ac:dyDescent="0.3">
      <c r="A1192" t="s">
        <v>9</v>
      </c>
      <c r="B1192" t="s">
        <v>1308</v>
      </c>
      <c r="C1192">
        <v>5</v>
      </c>
      <c r="D1192">
        <v>1.61E-2</v>
      </c>
      <c r="E1192">
        <v>7.0693324480312301</v>
      </c>
      <c r="F1192">
        <v>706.86178415651068</v>
      </c>
      <c r="G1192">
        <v>0.42399999999999999</v>
      </c>
      <c r="H1192">
        <v>1.67E-2</v>
      </c>
      <c r="I1192">
        <v>251.1986</v>
      </c>
      <c r="J1192">
        <v>1.67E-2</v>
      </c>
    </row>
    <row r="1193" spans="1:10" x14ac:dyDescent="0.3">
      <c r="A1193" t="s">
        <v>9</v>
      </c>
      <c r="B1193" t="s">
        <v>1309</v>
      </c>
      <c r="C1193">
        <v>5</v>
      </c>
      <c r="D1193">
        <v>1.61E-2</v>
      </c>
      <c r="E1193">
        <v>6.9784842936775444</v>
      </c>
      <c r="F1193">
        <v>698.39473617074714</v>
      </c>
      <c r="G1193">
        <v>0.42399999999999999</v>
      </c>
      <c r="H1193">
        <v>1.5299999999999999E-2</v>
      </c>
      <c r="I1193">
        <v>251.39959999999999</v>
      </c>
      <c r="J1193">
        <v>1.5299999999999999E-2</v>
      </c>
    </row>
    <row r="1194" spans="1:10" x14ac:dyDescent="0.3">
      <c r="A1194" t="s">
        <v>9</v>
      </c>
      <c r="B1194" t="s">
        <v>1310</v>
      </c>
      <c r="C1194">
        <v>5</v>
      </c>
      <c r="D1194">
        <v>1.61E-2</v>
      </c>
      <c r="E1194">
        <v>5.9957334838115024</v>
      </c>
      <c r="F1194">
        <v>606.80236069123202</v>
      </c>
      <c r="G1194">
        <v>0.42399999999999999</v>
      </c>
      <c r="H1194">
        <v>0</v>
      </c>
      <c r="I1194">
        <v>251.5975</v>
      </c>
      <c r="J1194">
        <v>0</v>
      </c>
    </row>
    <row r="1195" spans="1:10" x14ac:dyDescent="0.3">
      <c r="A1195" t="s">
        <v>9</v>
      </c>
      <c r="B1195" t="s">
        <v>1311</v>
      </c>
      <c r="C1195">
        <v>5</v>
      </c>
      <c r="D1195">
        <v>1.29E-2</v>
      </c>
      <c r="E1195">
        <v>5.9957334838115024</v>
      </c>
      <c r="F1195">
        <v>606.80236069123202</v>
      </c>
      <c r="G1195">
        <v>0.42399999999999999</v>
      </c>
      <c r="H1195">
        <v>0</v>
      </c>
      <c r="I1195">
        <v>251.79920000000001</v>
      </c>
      <c r="J1195">
        <v>0</v>
      </c>
    </row>
    <row r="1196" spans="1:10" x14ac:dyDescent="0.3">
      <c r="A1196" t="s">
        <v>9</v>
      </c>
      <c r="B1196" t="s">
        <v>1312</v>
      </c>
      <c r="C1196">
        <v>5</v>
      </c>
      <c r="D1196">
        <v>8.8000000000000005E-3</v>
      </c>
      <c r="E1196">
        <v>5.9957334838115024</v>
      </c>
      <c r="F1196">
        <v>606.80236069123202</v>
      </c>
      <c r="G1196">
        <v>0.42399999999999999</v>
      </c>
      <c r="H1196">
        <v>0</v>
      </c>
      <c r="I1196">
        <v>251.99780000000001</v>
      </c>
      <c r="J1196">
        <v>0</v>
      </c>
    </row>
    <row r="1197" spans="1:10" x14ac:dyDescent="0.3">
      <c r="A1197" t="s">
        <v>9</v>
      </c>
      <c r="B1197" t="s">
        <v>1313</v>
      </c>
      <c r="C1197">
        <v>5</v>
      </c>
      <c r="D1197">
        <v>5.5999999999999999E-3</v>
      </c>
      <c r="E1197">
        <v>5.9957334838115024</v>
      </c>
      <c r="F1197">
        <v>606.80236069123202</v>
      </c>
      <c r="G1197">
        <v>0.42399999999999999</v>
      </c>
      <c r="H1197">
        <v>0</v>
      </c>
      <c r="I1197">
        <v>252.19919999999999</v>
      </c>
      <c r="J1197">
        <v>0</v>
      </c>
    </row>
    <row r="1198" spans="1:10" x14ac:dyDescent="0.3">
      <c r="A1198" t="s">
        <v>9</v>
      </c>
      <c r="B1198" t="s">
        <v>1314</v>
      </c>
      <c r="C1198">
        <v>5</v>
      </c>
      <c r="D1198">
        <v>4.7999999999999996E-3</v>
      </c>
      <c r="E1198">
        <v>5.9957334838115024</v>
      </c>
      <c r="F1198">
        <v>606.80236069123202</v>
      </c>
      <c r="G1198">
        <v>0.42399999999999999</v>
      </c>
      <c r="H1198">
        <v>0</v>
      </c>
      <c r="I1198">
        <v>252.3991</v>
      </c>
      <c r="J1198">
        <v>0</v>
      </c>
    </row>
    <row r="1199" spans="1:10" x14ac:dyDescent="0.3">
      <c r="A1199" t="s">
        <v>9</v>
      </c>
      <c r="B1199" t="s">
        <v>1315</v>
      </c>
      <c r="C1199">
        <v>5</v>
      </c>
      <c r="D1199">
        <v>4.4999999999999997E-3</v>
      </c>
      <c r="E1199">
        <v>5.9957334838115024</v>
      </c>
      <c r="F1199">
        <v>606.80236069123202</v>
      </c>
      <c r="G1199">
        <v>0.42399999999999999</v>
      </c>
      <c r="H1199">
        <v>0</v>
      </c>
      <c r="I1199">
        <v>252.5993</v>
      </c>
      <c r="J1199">
        <v>0</v>
      </c>
    </row>
    <row r="1200" spans="1:10" x14ac:dyDescent="0.3">
      <c r="A1200" t="s">
        <v>9</v>
      </c>
      <c r="B1200" t="s">
        <v>1316</v>
      </c>
      <c r="C1200">
        <v>5</v>
      </c>
      <c r="D1200">
        <v>3.8999999999999998E-3</v>
      </c>
      <c r="E1200">
        <v>5.9957334838115024</v>
      </c>
      <c r="F1200">
        <v>606.80236069123202</v>
      </c>
      <c r="G1200">
        <v>0.42399999999999999</v>
      </c>
      <c r="H1200">
        <v>0</v>
      </c>
      <c r="I1200">
        <v>252.80009999999999</v>
      </c>
      <c r="J1200">
        <v>0</v>
      </c>
    </row>
    <row r="1201" spans="1:10" x14ac:dyDescent="0.3">
      <c r="A1201" t="s">
        <v>9</v>
      </c>
      <c r="B1201" t="s">
        <v>1317</v>
      </c>
      <c r="C1201">
        <v>5</v>
      </c>
      <c r="D1201">
        <v>3.3E-3</v>
      </c>
      <c r="E1201">
        <v>5.9957334838115024</v>
      </c>
      <c r="F1201">
        <v>606.80236069123202</v>
      </c>
      <c r="G1201">
        <v>0.42399999999999999</v>
      </c>
      <c r="H1201">
        <v>0</v>
      </c>
      <c r="I1201">
        <v>253.00040000000001</v>
      </c>
      <c r="J1201">
        <v>0</v>
      </c>
    </row>
    <row r="1202" spans="1:10" x14ac:dyDescent="0.3">
      <c r="A1202" t="s">
        <v>9</v>
      </c>
      <c r="B1202" t="s">
        <v>1318</v>
      </c>
      <c r="C1202">
        <v>5</v>
      </c>
      <c r="D1202">
        <v>3.3E-3</v>
      </c>
      <c r="E1202">
        <v>5.9957334838115024</v>
      </c>
      <c r="F1202">
        <v>606.80236069123202</v>
      </c>
      <c r="G1202">
        <v>0.42399999999999999</v>
      </c>
      <c r="H1202">
        <v>0</v>
      </c>
      <c r="I1202">
        <v>253.19739999999999</v>
      </c>
      <c r="J1202">
        <v>0</v>
      </c>
    </row>
    <row r="1203" spans="1:10" x14ac:dyDescent="0.3">
      <c r="A1203" t="s">
        <v>9</v>
      </c>
      <c r="B1203" t="s">
        <v>1319</v>
      </c>
      <c r="C1203">
        <v>5</v>
      </c>
      <c r="D1203">
        <v>3.3E-3</v>
      </c>
      <c r="E1203">
        <v>5.9957334838115024</v>
      </c>
      <c r="F1203">
        <v>606.80236069123202</v>
      </c>
      <c r="G1203">
        <v>0.42399999999999999</v>
      </c>
      <c r="H1203">
        <v>0</v>
      </c>
      <c r="I1203">
        <v>253.39949999999999</v>
      </c>
      <c r="J1203">
        <v>0</v>
      </c>
    </row>
    <row r="1204" spans="1:10" x14ac:dyDescent="0.3">
      <c r="A1204" t="s">
        <v>9</v>
      </c>
      <c r="B1204" t="s">
        <v>1320</v>
      </c>
      <c r="C1204">
        <v>5</v>
      </c>
      <c r="D1204">
        <v>3.3E-3</v>
      </c>
      <c r="E1204">
        <v>5.9957334838115024</v>
      </c>
      <c r="F1204">
        <v>606.80236069123202</v>
      </c>
      <c r="G1204">
        <v>0.42399999999999999</v>
      </c>
      <c r="H1204">
        <v>0</v>
      </c>
      <c r="I1204">
        <v>253.59819999999999</v>
      </c>
      <c r="J1204">
        <v>0</v>
      </c>
    </row>
    <row r="1205" spans="1:10" x14ac:dyDescent="0.3">
      <c r="A1205" t="s">
        <v>9</v>
      </c>
      <c r="B1205" t="s">
        <v>1321</v>
      </c>
      <c r="C1205">
        <v>5</v>
      </c>
      <c r="D1205">
        <v>3.3E-3</v>
      </c>
      <c r="E1205">
        <v>5.9957334838115024</v>
      </c>
      <c r="F1205">
        <v>606.80236069123202</v>
      </c>
      <c r="G1205">
        <v>0.42399999999999999</v>
      </c>
      <c r="H1205">
        <v>0</v>
      </c>
      <c r="I1205">
        <v>253.7979</v>
      </c>
      <c r="J1205">
        <v>0</v>
      </c>
    </row>
    <row r="1206" spans="1:10" x14ac:dyDescent="0.3">
      <c r="A1206" t="s">
        <v>9</v>
      </c>
      <c r="B1206" t="s">
        <v>1322</v>
      </c>
      <c r="C1206">
        <v>5</v>
      </c>
      <c r="D1206">
        <v>3.3E-3</v>
      </c>
      <c r="E1206">
        <v>5.9957334838115024</v>
      </c>
      <c r="F1206">
        <v>606.80236069123202</v>
      </c>
      <c r="G1206">
        <v>0.42399999999999999</v>
      </c>
      <c r="H1206">
        <v>0</v>
      </c>
      <c r="I1206">
        <v>253.9991</v>
      </c>
      <c r="J1206">
        <v>0</v>
      </c>
    </row>
    <row r="1207" spans="1:10" x14ac:dyDescent="0.3">
      <c r="A1207" t="s">
        <v>9</v>
      </c>
      <c r="B1207" t="s">
        <v>1323</v>
      </c>
      <c r="C1207">
        <v>5</v>
      </c>
      <c r="D1207">
        <v>3.3E-3</v>
      </c>
      <c r="E1207">
        <v>5.9957334838115024</v>
      </c>
      <c r="F1207">
        <v>606.80236069123202</v>
      </c>
      <c r="G1207">
        <v>0.42399999999999999</v>
      </c>
      <c r="H1207">
        <v>0</v>
      </c>
      <c r="I1207">
        <v>254.1986</v>
      </c>
      <c r="J1207">
        <v>0</v>
      </c>
    </row>
    <row r="1208" spans="1:10" x14ac:dyDescent="0.3">
      <c r="A1208" t="s">
        <v>9</v>
      </c>
      <c r="B1208" t="s">
        <v>1324</v>
      </c>
      <c r="C1208">
        <v>5</v>
      </c>
      <c r="D1208">
        <v>3.3E-3</v>
      </c>
      <c r="E1208">
        <v>5.9957334838115024</v>
      </c>
      <c r="F1208">
        <v>606.80236069123202</v>
      </c>
      <c r="G1208">
        <v>0.42399999999999999</v>
      </c>
      <c r="H1208">
        <v>0</v>
      </c>
      <c r="I1208">
        <v>254.40039999999999</v>
      </c>
      <c r="J1208">
        <v>0</v>
      </c>
    </row>
    <row r="1209" spans="1:10" x14ac:dyDescent="0.3">
      <c r="A1209" t="s">
        <v>9</v>
      </c>
      <c r="B1209" t="s">
        <v>1325</v>
      </c>
      <c r="C1209">
        <v>5</v>
      </c>
      <c r="D1209">
        <v>3.3E-3</v>
      </c>
      <c r="E1209">
        <v>5.9957334838115024</v>
      </c>
      <c r="F1209">
        <v>606.80236069123202</v>
      </c>
      <c r="G1209">
        <v>0.42399999999999999</v>
      </c>
      <c r="H1209">
        <v>0</v>
      </c>
      <c r="I1209">
        <v>254.59780000000001</v>
      </c>
      <c r="J1209">
        <v>0</v>
      </c>
    </row>
    <row r="1210" spans="1:10" x14ac:dyDescent="0.3">
      <c r="A1210" t="s">
        <v>9</v>
      </c>
      <c r="B1210" t="s">
        <v>1326</v>
      </c>
      <c r="C1210">
        <v>5</v>
      </c>
      <c r="D1210">
        <v>3.3E-3</v>
      </c>
      <c r="E1210">
        <v>5.9957334838115024</v>
      </c>
      <c r="F1210">
        <v>606.80236069123202</v>
      </c>
      <c r="G1210">
        <v>0.42399999999999999</v>
      </c>
      <c r="H1210">
        <v>0</v>
      </c>
      <c r="I1210">
        <v>254.79949999999999</v>
      </c>
      <c r="J1210">
        <v>0</v>
      </c>
    </row>
    <row r="1211" spans="1:10" x14ac:dyDescent="0.3">
      <c r="A1211" t="s">
        <v>9</v>
      </c>
      <c r="B1211" t="s">
        <v>1327</v>
      </c>
      <c r="C1211">
        <v>5</v>
      </c>
      <c r="D1211">
        <v>3.3E-3</v>
      </c>
      <c r="E1211">
        <v>5.9957334838115024</v>
      </c>
      <c r="F1211">
        <v>606.80236069123202</v>
      </c>
      <c r="G1211">
        <v>0.42399999999999999</v>
      </c>
      <c r="H1211">
        <v>0</v>
      </c>
      <c r="I1211">
        <v>254.99799999999999</v>
      </c>
      <c r="J1211">
        <v>0</v>
      </c>
    </row>
    <row r="1212" spans="1:10" x14ac:dyDescent="0.3">
      <c r="A1212" t="s">
        <v>9</v>
      </c>
      <c r="B1212" t="s">
        <v>1328</v>
      </c>
      <c r="C1212">
        <v>5</v>
      </c>
      <c r="D1212">
        <v>3.3E-3</v>
      </c>
      <c r="E1212">
        <v>5.9957334838115024</v>
      </c>
      <c r="F1212">
        <v>606.80236069123202</v>
      </c>
      <c r="G1212">
        <v>0.42399999999999999</v>
      </c>
      <c r="H1212">
        <v>0</v>
      </c>
      <c r="I1212">
        <v>255.19800000000001</v>
      </c>
      <c r="J1212">
        <v>0</v>
      </c>
    </row>
    <row r="1213" spans="1:10" x14ac:dyDescent="0.3">
      <c r="A1213" t="s">
        <v>9</v>
      </c>
      <c r="B1213" t="s">
        <v>1329</v>
      </c>
      <c r="C1213">
        <v>5</v>
      </c>
      <c r="D1213">
        <v>3.3E-3</v>
      </c>
      <c r="E1213">
        <v>5.9957334838115024</v>
      </c>
      <c r="F1213">
        <v>606.80236069123202</v>
      </c>
      <c r="G1213">
        <v>0.42399999999999999</v>
      </c>
      <c r="H1213">
        <v>0</v>
      </c>
      <c r="I1213">
        <v>255.3989</v>
      </c>
      <c r="J1213">
        <v>0</v>
      </c>
    </row>
    <row r="1214" spans="1:10" x14ac:dyDescent="0.3">
      <c r="A1214" t="s">
        <v>9</v>
      </c>
      <c r="B1214" t="s">
        <v>1330</v>
      </c>
      <c r="C1214">
        <v>5</v>
      </c>
      <c r="D1214">
        <v>3.3E-3</v>
      </c>
      <c r="E1214">
        <v>5.9957334838115024</v>
      </c>
      <c r="F1214">
        <v>606.80236069123202</v>
      </c>
      <c r="G1214">
        <v>0.42399999999999999</v>
      </c>
      <c r="H1214">
        <v>0</v>
      </c>
      <c r="I1214">
        <v>255.59739999999999</v>
      </c>
      <c r="J1214">
        <v>0</v>
      </c>
    </row>
    <row r="1215" spans="1:10" x14ac:dyDescent="0.3">
      <c r="A1215" t="s">
        <v>9</v>
      </c>
      <c r="B1215" t="s">
        <v>1331</v>
      </c>
      <c r="C1215">
        <v>5</v>
      </c>
      <c r="D1215">
        <v>3.3E-3</v>
      </c>
      <c r="E1215">
        <v>5.9957334838115024</v>
      </c>
      <c r="F1215">
        <v>606.80236069123202</v>
      </c>
      <c r="G1215">
        <v>0.42399999999999999</v>
      </c>
      <c r="H1215">
        <v>0</v>
      </c>
      <c r="I1215">
        <v>255.79769999999999</v>
      </c>
      <c r="J1215">
        <v>0</v>
      </c>
    </row>
    <row r="1216" spans="1:10" x14ac:dyDescent="0.3">
      <c r="A1216" t="s">
        <v>9</v>
      </c>
      <c r="B1216" t="s">
        <v>1332</v>
      </c>
      <c r="C1216">
        <v>5</v>
      </c>
      <c r="D1216">
        <v>3.3E-3</v>
      </c>
      <c r="E1216">
        <v>5.9957334838115024</v>
      </c>
      <c r="F1216">
        <v>606.80236069123202</v>
      </c>
      <c r="G1216">
        <v>0.42399999999999999</v>
      </c>
      <c r="H1216">
        <v>0</v>
      </c>
      <c r="I1216">
        <v>255.9999</v>
      </c>
      <c r="J1216">
        <v>0</v>
      </c>
    </row>
    <row r="1217" spans="1:10" x14ac:dyDescent="0.3">
      <c r="A1217" t="s">
        <v>9</v>
      </c>
      <c r="B1217" t="s">
        <v>1333</v>
      </c>
      <c r="C1217">
        <v>5</v>
      </c>
      <c r="D1217">
        <v>3.3E-3</v>
      </c>
      <c r="E1217">
        <v>5.9957334838115024</v>
      </c>
      <c r="F1217">
        <v>606.80236069123202</v>
      </c>
      <c r="G1217">
        <v>0.42399999999999999</v>
      </c>
      <c r="H1217">
        <v>0</v>
      </c>
      <c r="I1217">
        <v>256.1977</v>
      </c>
      <c r="J1217">
        <v>0</v>
      </c>
    </row>
    <row r="1218" spans="1:10" x14ac:dyDescent="0.3">
      <c r="A1218" t="s">
        <v>9</v>
      </c>
      <c r="B1218" t="s">
        <v>1334</v>
      </c>
      <c r="C1218">
        <v>5</v>
      </c>
      <c r="D1218">
        <v>3.3E-3</v>
      </c>
      <c r="E1218">
        <v>5.9957334838115024</v>
      </c>
      <c r="F1218">
        <v>606.80236069123202</v>
      </c>
      <c r="G1218">
        <v>0.42399999999999999</v>
      </c>
      <c r="H1218">
        <v>0</v>
      </c>
      <c r="I1218">
        <v>256.39789999999999</v>
      </c>
      <c r="J1218">
        <v>0</v>
      </c>
    </row>
    <row r="1219" spans="1:10" x14ac:dyDescent="0.3">
      <c r="A1219" t="s">
        <v>9</v>
      </c>
      <c r="B1219" t="s">
        <v>1335</v>
      </c>
      <c r="C1219">
        <v>5</v>
      </c>
      <c r="D1219">
        <v>3.3E-3</v>
      </c>
      <c r="E1219">
        <v>5.9957334838115024</v>
      </c>
      <c r="F1219">
        <v>606.80236069123202</v>
      </c>
      <c r="G1219">
        <v>0.42399999999999999</v>
      </c>
      <c r="H1219">
        <v>0</v>
      </c>
      <c r="I1219">
        <v>256.59730000000002</v>
      </c>
      <c r="J1219">
        <v>0</v>
      </c>
    </row>
    <row r="1220" spans="1:10" x14ac:dyDescent="0.3">
      <c r="A1220" t="s">
        <v>9</v>
      </c>
      <c r="B1220" t="s">
        <v>1336</v>
      </c>
      <c r="C1220">
        <v>5</v>
      </c>
      <c r="D1220">
        <v>3.3E-3</v>
      </c>
      <c r="E1220">
        <v>7.0679737155481037</v>
      </c>
      <c r="F1220">
        <v>810.75070560551512</v>
      </c>
      <c r="G1220">
        <v>0.42399999999999999</v>
      </c>
      <c r="H1220">
        <v>1.67E-2</v>
      </c>
      <c r="I1220">
        <v>256.79820000000001</v>
      </c>
      <c r="J1220">
        <v>1.67E-2</v>
      </c>
    </row>
    <row r="1221" spans="1:10" x14ac:dyDescent="0.3">
      <c r="A1221" t="s">
        <v>9</v>
      </c>
      <c r="B1221" t="s">
        <v>1337</v>
      </c>
      <c r="C1221">
        <v>5</v>
      </c>
      <c r="D1221">
        <v>7.4000000000000003E-3</v>
      </c>
      <c r="E1221">
        <v>7.1489287890734428</v>
      </c>
      <c r="F1221">
        <v>818.43334208306976</v>
      </c>
      <c r="G1221">
        <v>0.42399999999999999</v>
      </c>
      <c r="H1221">
        <v>1.7899999999999999E-2</v>
      </c>
      <c r="I1221">
        <v>256.99880000000002</v>
      </c>
      <c r="J1221">
        <v>1.7899999999999999E-2</v>
      </c>
    </row>
    <row r="1222" spans="1:10" x14ac:dyDescent="0.3">
      <c r="A1222" t="s">
        <v>9</v>
      </c>
      <c r="B1222" t="s">
        <v>1338</v>
      </c>
      <c r="C1222">
        <v>5</v>
      </c>
      <c r="D1222">
        <v>1.0999999999999999E-2</v>
      </c>
      <c r="E1222">
        <v>7.2174995694826656</v>
      </c>
      <c r="F1222">
        <v>824.94070914390511</v>
      </c>
      <c r="G1222">
        <v>0.42399999999999999</v>
      </c>
      <c r="H1222">
        <v>1.9E-2</v>
      </c>
      <c r="I1222">
        <v>257.19760000000002</v>
      </c>
      <c r="J1222">
        <v>1.9E-2</v>
      </c>
    </row>
    <row r="1223" spans="1:10" x14ac:dyDescent="0.3">
      <c r="A1223" t="s">
        <v>9</v>
      </c>
      <c r="B1223" t="s">
        <v>1339</v>
      </c>
      <c r="C1223">
        <v>5</v>
      </c>
      <c r="D1223">
        <v>1.4200000000000001E-2</v>
      </c>
      <c r="E1223">
        <v>7.2736597011770234</v>
      </c>
      <c r="F1223">
        <v>830.27030564169957</v>
      </c>
      <c r="G1223">
        <v>0.42399999999999999</v>
      </c>
      <c r="H1223">
        <v>1.9900000000000001E-2</v>
      </c>
      <c r="I1223">
        <v>257.40010000000001</v>
      </c>
      <c r="J1223">
        <v>1.9900000000000001E-2</v>
      </c>
    </row>
    <row r="1224" spans="1:10" x14ac:dyDescent="0.3">
      <c r="A1224" t="s">
        <v>9</v>
      </c>
      <c r="B1224" t="s">
        <v>1340</v>
      </c>
      <c r="C1224">
        <v>5</v>
      </c>
      <c r="D1224">
        <v>1.6199999999999999E-2</v>
      </c>
      <c r="E1224">
        <v>7.3139351107708386</v>
      </c>
      <c r="F1224">
        <v>834.09244201215267</v>
      </c>
      <c r="G1224">
        <v>0.42399999999999999</v>
      </c>
      <c r="H1224">
        <v>2.0500000000000001E-2</v>
      </c>
      <c r="I1224">
        <v>257.59820000000002</v>
      </c>
      <c r="J1224">
        <v>2.0500000000000001E-2</v>
      </c>
    </row>
    <row r="1225" spans="1:10" x14ac:dyDescent="0.3">
      <c r="A1225" t="s">
        <v>9</v>
      </c>
      <c r="B1225" t="s">
        <v>1341</v>
      </c>
      <c r="C1225">
        <v>5</v>
      </c>
      <c r="D1225">
        <v>1.6500000000000001E-2</v>
      </c>
      <c r="E1225">
        <v>7.3389664420490446</v>
      </c>
      <c r="F1225">
        <v>836.4679153504544</v>
      </c>
      <c r="G1225">
        <v>0.42399999999999999</v>
      </c>
      <c r="H1225">
        <v>2.0899999999999998E-2</v>
      </c>
      <c r="I1225">
        <v>257.7998</v>
      </c>
      <c r="J1225">
        <v>2.0899999999999998E-2</v>
      </c>
    </row>
    <row r="1226" spans="1:10" x14ac:dyDescent="0.3">
      <c r="A1226" t="s">
        <v>9</v>
      </c>
      <c r="B1226" t="s">
        <v>1342</v>
      </c>
      <c r="C1226">
        <v>5</v>
      </c>
      <c r="D1226">
        <v>1.6500000000000001E-2</v>
      </c>
      <c r="E1226">
        <v>7.3473025151975344</v>
      </c>
      <c r="F1226">
        <v>837.25900869224608</v>
      </c>
      <c r="G1226">
        <v>0.42399999999999999</v>
      </c>
      <c r="H1226">
        <v>2.1000000000000001E-2</v>
      </c>
      <c r="I1226">
        <v>258.00080000000003</v>
      </c>
      <c r="J1226">
        <v>2.1000000000000001E-2</v>
      </c>
    </row>
    <row r="1227" spans="1:10" x14ac:dyDescent="0.3">
      <c r="A1227" t="s">
        <v>9</v>
      </c>
      <c r="B1227" t="s">
        <v>1343</v>
      </c>
      <c r="C1227">
        <v>5</v>
      </c>
      <c r="D1227">
        <v>1.6500000000000001E-2</v>
      </c>
      <c r="E1227">
        <v>7.3391699883655273</v>
      </c>
      <c r="F1227">
        <v>732.01064291566718</v>
      </c>
      <c r="G1227">
        <v>0.42399999999999999</v>
      </c>
      <c r="H1227">
        <v>2.0899999999999998E-2</v>
      </c>
      <c r="I1227">
        <v>258.1977</v>
      </c>
      <c r="J1227">
        <v>2.0899999999999998E-2</v>
      </c>
    </row>
    <row r="1228" spans="1:10" x14ac:dyDescent="0.3">
      <c r="A1228" t="s">
        <v>9</v>
      </c>
      <c r="B1228" t="s">
        <v>1344</v>
      </c>
      <c r="C1228">
        <v>5</v>
      </c>
      <c r="D1228">
        <v>1.6500000000000001E-2</v>
      </c>
      <c r="E1228">
        <v>7.3143770738882976</v>
      </c>
      <c r="F1228">
        <v>729.69994328638938</v>
      </c>
      <c r="G1228">
        <v>0.42399999999999999</v>
      </c>
      <c r="H1228">
        <v>2.0500000000000001E-2</v>
      </c>
      <c r="I1228">
        <v>258.39909999999998</v>
      </c>
      <c r="J1228">
        <v>2.0500000000000001E-2</v>
      </c>
    </row>
    <row r="1229" spans="1:10" x14ac:dyDescent="0.3">
      <c r="A1229" t="s">
        <v>9</v>
      </c>
      <c r="B1229" t="s">
        <v>1345</v>
      </c>
      <c r="C1229">
        <v>5</v>
      </c>
      <c r="D1229">
        <v>1.6500000000000001E-2</v>
      </c>
      <c r="E1229">
        <v>7.2742654744774704</v>
      </c>
      <c r="F1229">
        <v>725.96154222130031</v>
      </c>
      <c r="G1229">
        <v>0.42399999999999999</v>
      </c>
      <c r="H1229">
        <v>1.9900000000000001E-2</v>
      </c>
      <c r="I1229">
        <v>258.59739999999999</v>
      </c>
      <c r="J1229">
        <v>1.9900000000000001E-2</v>
      </c>
    </row>
    <row r="1230" spans="1:10" x14ac:dyDescent="0.3">
      <c r="A1230" t="s">
        <v>9</v>
      </c>
      <c r="B1230" t="s">
        <v>1346</v>
      </c>
      <c r="C1230">
        <v>5</v>
      </c>
      <c r="D1230">
        <v>1.6500000000000001E-2</v>
      </c>
      <c r="E1230">
        <v>7.2183474088208373</v>
      </c>
      <c r="F1230">
        <v>720.74997850210207</v>
      </c>
      <c r="G1230">
        <v>0.42399999999999999</v>
      </c>
      <c r="H1230">
        <v>1.9E-2</v>
      </c>
      <c r="I1230">
        <v>258.79969999999997</v>
      </c>
      <c r="J1230">
        <v>1.9E-2</v>
      </c>
    </row>
    <row r="1231" spans="1:10" x14ac:dyDescent="0.3">
      <c r="A1231" t="s">
        <v>9</v>
      </c>
      <c r="B1231" t="s">
        <v>1347</v>
      </c>
      <c r="C1231">
        <v>5</v>
      </c>
      <c r="D1231">
        <v>1.6500000000000001E-2</v>
      </c>
      <c r="E1231">
        <v>7.1499177322326011</v>
      </c>
      <c r="F1231">
        <v>714.37233264407848</v>
      </c>
      <c r="G1231">
        <v>0.42399999999999999</v>
      </c>
      <c r="H1231">
        <v>1.7899999999999999E-2</v>
      </c>
      <c r="I1231">
        <v>258.99849999999998</v>
      </c>
      <c r="J1231">
        <v>1.7899999999999999E-2</v>
      </c>
    </row>
    <row r="1232" spans="1:10" x14ac:dyDescent="0.3">
      <c r="A1232" t="s">
        <v>9</v>
      </c>
      <c r="B1232" t="s">
        <v>1348</v>
      </c>
      <c r="C1232">
        <v>5</v>
      </c>
      <c r="D1232">
        <v>1.6500000000000001E-2</v>
      </c>
      <c r="E1232">
        <v>7.0682968757358244</v>
      </c>
      <c r="F1232">
        <v>706.76526881857876</v>
      </c>
      <c r="G1232">
        <v>0.42399999999999999</v>
      </c>
      <c r="H1232">
        <v>1.67E-2</v>
      </c>
      <c r="I1232">
        <v>259.20100000000002</v>
      </c>
      <c r="J1232">
        <v>1.67E-2</v>
      </c>
    </row>
    <row r="1233" spans="1:10" x14ac:dyDescent="0.3">
      <c r="A1233" t="s">
        <v>9</v>
      </c>
      <c r="B1233" t="s">
        <v>1349</v>
      </c>
      <c r="C1233">
        <v>5</v>
      </c>
      <c r="D1233">
        <v>1.6500000000000001E-2</v>
      </c>
      <c r="E1233">
        <v>6.9791439945877327</v>
      </c>
      <c r="F1233">
        <v>698.45622029557671</v>
      </c>
      <c r="G1233">
        <v>0.42399999999999999</v>
      </c>
      <c r="H1233">
        <v>1.5299999999999999E-2</v>
      </c>
      <c r="I1233">
        <v>259.39830000000001</v>
      </c>
      <c r="J1233">
        <v>1.5299999999999999E-2</v>
      </c>
    </row>
    <row r="1234" spans="1:10" x14ac:dyDescent="0.3">
      <c r="A1234" t="s">
        <v>9</v>
      </c>
      <c r="B1234" t="s">
        <v>1350</v>
      </c>
      <c r="C1234">
        <v>5</v>
      </c>
      <c r="D1234">
        <v>1.6500000000000001E-2</v>
      </c>
      <c r="E1234">
        <v>6.879986933625811</v>
      </c>
      <c r="F1234">
        <v>689.21478221392556</v>
      </c>
      <c r="G1234">
        <v>0.42399999999999999</v>
      </c>
      <c r="H1234">
        <v>1.37E-2</v>
      </c>
      <c r="I1234">
        <v>259.60070000000002</v>
      </c>
      <c r="J1234">
        <v>1.37E-2</v>
      </c>
    </row>
    <row r="1235" spans="1:10" x14ac:dyDescent="0.3">
      <c r="A1235" t="s">
        <v>9</v>
      </c>
      <c r="B1235" t="s">
        <v>1351</v>
      </c>
      <c r="C1235">
        <v>5</v>
      </c>
      <c r="D1235">
        <v>1.6E-2</v>
      </c>
      <c r="E1235">
        <v>6.7783204141923674</v>
      </c>
      <c r="F1235">
        <v>679.73946260272862</v>
      </c>
      <c r="G1235">
        <v>0.42399999999999999</v>
      </c>
      <c r="H1235">
        <v>1.2200000000000001E-2</v>
      </c>
      <c r="I1235">
        <v>259.79790000000003</v>
      </c>
      <c r="J1235">
        <v>1.2200000000000001E-2</v>
      </c>
    </row>
    <row r="1236" spans="1:10" x14ac:dyDescent="0.3">
      <c r="A1236" t="s">
        <v>9</v>
      </c>
      <c r="B1236" t="s">
        <v>1352</v>
      </c>
      <c r="C1236">
        <v>5</v>
      </c>
      <c r="D1236">
        <v>1.54E-2</v>
      </c>
      <c r="E1236">
        <v>6.6725805356047969</v>
      </c>
      <c r="F1236">
        <v>669.88450591836704</v>
      </c>
      <c r="G1236">
        <v>0.42399999999999999</v>
      </c>
      <c r="H1236">
        <v>1.0500000000000001E-2</v>
      </c>
      <c r="I1236">
        <v>259.99799999999999</v>
      </c>
      <c r="J1236">
        <v>1.0500000000000001E-2</v>
      </c>
    </row>
    <row r="1237" spans="1:10" x14ac:dyDescent="0.3">
      <c r="A1237" t="s">
        <v>9</v>
      </c>
      <c r="B1237" t="s">
        <v>1353</v>
      </c>
      <c r="C1237">
        <v>5</v>
      </c>
      <c r="D1237">
        <v>1.46E-2</v>
      </c>
      <c r="E1237">
        <v>6.5669472958244652</v>
      </c>
      <c r="F1237">
        <v>660.03948797084013</v>
      </c>
      <c r="G1237">
        <v>0.42399999999999999</v>
      </c>
      <c r="H1237">
        <v>8.8999999999999999E-3</v>
      </c>
      <c r="I1237">
        <v>260.19779999999997</v>
      </c>
      <c r="J1237">
        <v>8.8999999999999999E-3</v>
      </c>
    </row>
    <row r="1238" spans="1:10" x14ac:dyDescent="0.3">
      <c r="A1238" t="s">
        <v>9</v>
      </c>
      <c r="B1238" t="s">
        <v>1354</v>
      </c>
      <c r="C1238">
        <v>5</v>
      </c>
      <c r="D1238">
        <v>1.3299999999999999E-2</v>
      </c>
      <c r="E1238">
        <v>6.4629225585092378</v>
      </c>
      <c r="F1238">
        <v>650.34438245306103</v>
      </c>
      <c r="G1238">
        <v>0.42399999999999999</v>
      </c>
      <c r="H1238">
        <v>7.3000000000000001E-3</v>
      </c>
      <c r="I1238">
        <v>260.39949999999999</v>
      </c>
      <c r="J1238">
        <v>7.3000000000000001E-3</v>
      </c>
    </row>
    <row r="1239" spans="1:10" x14ac:dyDescent="0.3">
      <c r="A1239" t="s">
        <v>9</v>
      </c>
      <c r="B1239" t="s">
        <v>1355</v>
      </c>
      <c r="C1239">
        <v>5</v>
      </c>
      <c r="D1239">
        <v>1.14E-2</v>
      </c>
      <c r="E1239">
        <v>6.3651884971443096</v>
      </c>
      <c r="F1239">
        <v>641.23556793384978</v>
      </c>
      <c r="G1239">
        <v>0.42399999999999999</v>
      </c>
      <c r="H1239">
        <v>5.7000000000000002E-3</v>
      </c>
      <c r="I1239">
        <v>260.59899999999999</v>
      </c>
      <c r="J1239">
        <v>5.7000000000000002E-3</v>
      </c>
    </row>
    <row r="1240" spans="1:10" x14ac:dyDescent="0.3">
      <c r="A1240" t="s">
        <v>9</v>
      </c>
      <c r="B1240" t="s">
        <v>1356</v>
      </c>
      <c r="C1240">
        <v>5</v>
      </c>
      <c r="D1240">
        <v>9.7000000000000003E-3</v>
      </c>
      <c r="E1240">
        <v>6.2753498433168087</v>
      </c>
      <c r="F1240">
        <v>632.86260539712657</v>
      </c>
      <c r="G1240">
        <v>0.42399999999999999</v>
      </c>
      <c r="H1240">
        <v>4.3E-3</v>
      </c>
      <c r="I1240">
        <v>260.79750000000001</v>
      </c>
      <c r="J1240">
        <v>4.3E-3</v>
      </c>
    </row>
    <row r="1241" spans="1:10" x14ac:dyDescent="0.3">
      <c r="A1241" t="s">
        <v>9</v>
      </c>
      <c r="B1241" t="s">
        <v>1357</v>
      </c>
      <c r="C1241">
        <v>5</v>
      </c>
      <c r="D1241">
        <v>8.8000000000000005E-3</v>
      </c>
      <c r="E1241">
        <v>6.1940083156196781</v>
      </c>
      <c r="F1241">
        <v>625.28157501575402</v>
      </c>
      <c r="G1241">
        <v>0.42399999999999999</v>
      </c>
      <c r="H1241">
        <v>3.0999999999999999E-3</v>
      </c>
      <c r="I1241">
        <v>260.9991</v>
      </c>
      <c r="J1241">
        <v>3.0999999999999999E-3</v>
      </c>
    </row>
    <row r="1242" spans="1:10" x14ac:dyDescent="0.3">
      <c r="A1242" t="s">
        <v>9</v>
      </c>
      <c r="B1242" t="s">
        <v>1358</v>
      </c>
      <c r="C1242">
        <v>5</v>
      </c>
      <c r="D1242">
        <v>7.4999999999999997E-3</v>
      </c>
      <c r="E1242">
        <v>6.1250107366990454</v>
      </c>
      <c r="F1242">
        <v>618.85100066035102</v>
      </c>
      <c r="G1242">
        <v>0.42399999999999999</v>
      </c>
      <c r="H1242">
        <v>2E-3</v>
      </c>
      <c r="I1242">
        <v>261.19929999999999</v>
      </c>
      <c r="J1242">
        <v>2E-3</v>
      </c>
    </row>
    <row r="1243" spans="1:10" x14ac:dyDescent="0.3">
      <c r="A1243" t="s">
        <v>9</v>
      </c>
      <c r="B1243" t="s">
        <v>1359</v>
      </c>
      <c r="C1243">
        <v>5</v>
      </c>
      <c r="D1243">
        <v>7.1999999999999998E-3</v>
      </c>
      <c r="E1243">
        <v>6.0695144011694504</v>
      </c>
      <c r="F1243">
        <v>613.67874218899271</v>
      </c>
      <c r="G1243">
        <v>0.42399999999999999</v>
      </c>
      <c r="H1243">
        <v>1.1000000000000001E-3</v>
      </c>
      <c r="I1243">
        <v>261.39949999999999</v>
      </c>
      <c r="J1243">
        <v>1.1000000000000001E-3</v>
      </c>
    </row>
    <row r="1244" spans="1:10" x14ac:dyDescent="0.3">
      <c r="A1244" t="s">
        <v>9</v>
      </c>
      <c r="B1244" t="s">
        <v>1360</v>
      </c>
      <c r="C1244">
        <v>5</v>
      </c>
      <c r="D1244">
        <v>6.4000000000000003E-3</v>
      </c>
      <c r="E1244">
        <v>6.0288661571663376</v>
      </c>
      <c r="F1244">
        <v>609.89032584790277</v>
      </c>
      <c r="G1244">
        <v>0.42399999999999999</v>
      </c>
      <c r="H1244">
        <v>5.0000000000000001E-4</v>
      </c>
      <c r="I1244">
        <v>261.59960000000001</v>
      </c>
      <c r="J1244">
        <v>5.0000000000000001E-4</v>
      </c>
    </row>
    <row r="1245" spans="1:10" x14ac:dyDescent="0.3">
      <c r="A1245" t="s">
        <v>9</v>
      </c>
      <c r="B1245" t="s">
        <v>1361</v>
      </c>
      <c r="C1245">
        <v>5</v>
      </c>
      <c r="D1245">
        <v>5.1000000000000004E-3</v>
      </c>
      <c r="E1245">
        <v>6.0040719046356319</v>
      </c>
      <c r="F1245">
        <v>607.57950151204091</v>
      </c>
      <c r="G1245">
        <v>0.42399999999999999</v>
      </c>
      <c r="H1245">
        <v>1E-4</v>
      </c>
      <c r="I1245">
        <v>261.7998</v>
      </c>
      <c r="J1245">
        <v>1E-4</v>
      </c>
    </row>
    <row r="1246" spans="1:10" x14ac:dyDescent="0.3">
      <c r="A1246" t="s">
        <v>9</v>
      </c>
      <c r="B1246" t="s">
        <v>1362</v>
      </c>
      <c r="C1246">
        <v>5</v>
      </c>
      <c r="D1246">
        <v>4.7999999999999996E-3</v>
      </c>
      <c r="E1246">
        <v>5.9957336046511944</v>
      </c>
      <c r="F1246">
        <v>606.80237195349127</v>
      </c>
      <c r="G1246">
        <v>0.42399999999999999</v>
      </c>
      <c r="H1246">
        <v>0</v>
      </c>
      <c r="I1246">
        <v>261.99919999999997</v>
      </c>
      <c r="J1246">
        <v>0</v>
      </c>
    </row>
    <row r="1247" spans="1:10" x14ac:dyDescent="0.3">
      <c r="A1247" t="s">
        <v>9</v>
      </c>
      <c r="B1247" t="s">
        <v>1363</v>
      </c>
      <c r="C1247">
        <v>5</v>
      </c>
      <c r="D1247">
        <v>4.1999999999999997E-3</v>
      </c>
      <c r="E1247">
        <v>6.0039135683077722</v>
      </c>
      <c r="F1247">
        <v>709.77139763240757</v>
      </c>
      <c r="G1247">
        <v>0.42399999999999999</v>
      </c>
      <c r="H1247">
        <v>1E-4</v>
      </c>
      <c r="I1247">
        <v>262.19830000000002</v>
      </c>
      <c r="J1247">
        <v>1E-4</v>
      </c>
    </row>
    <row r="1248" spans="1:10" x14ac:dyDescent="0.3">
      <c r="A1248" t="s">
        <v>9</v>
      </c>
      <c r="B1248" t="s">
        <v>1364</v>
      </c>
      <c r="C1248">
        <v>5</v>
      </c>
      <c r="D1248">
        <v>4.1999999999999997E-3</v>
      </c>
      <c r="E1248">
        <v>6.0286130420506732</v>
      </c>
      <c r="F1248">
        <v>712.11537769060897</v>
      </c>
      <c r="G1248">
        <v>0.42399999999999999</v>
      </c>
      <c r="H1248">
        <v>5.0000000000000001E-4</v>
      </c>
      <c r="I1248">
        <v>262.39879999999999</v>
      </c>
      <c r="J1248">
        <v>5.0000000000000001E-4</v>
      </c>
    </row>
    <row r="1249" spans="1:10" x14ac:dyDescent="0.3">
      <c r="A1249" t="s">
        <v>9</v>
      </c>
      <c r="B1249" t="s">
        <v>1365</v>
      </c>
      <c r="C1249">
        <v>5</v>
      </c>
      <c r="D1249">
        <v>4.1999999999999997E-3</v>
      </c>
      <c r="E1249">
        <v>6.0688947607693553</v>
      </c>
      <c r="F1249">
        <v>715.93811279701185</v>
      </c>
      <c r="G1249">
        <v>0.42399999999999999</v>
      </c>
      <c r="H1249">
        <v>1.1000000000000001E-3</v>
      </c>
      <c r="I1249">
        <v>262.59789999999998</v>
      </c>
      <c r="J1249">
        <v>1.1000000000000001E-3</v>
      </c>
    </row>
    <row r="1250" spans="1:10" x14ac:dyDescent="0.3">
      <c r="A1250" t="s">
        <v>9</v>
      </c>
      <c r="B1250" t="s">
        <v>1366</v>
      </c>
      <c r="C1250">
        <v>5</v>
      </c>
      <c r="D1250">
        <v>4.1999999999999997E-3</v>
      </c>
      <c r="E1250">
        <v>6.1248499675466839</v>
      </c>
      <c r="F1250">
        <v>721.24826192018031</v>
      </c>
      <c r="G1250">
        <v>0.42399999999999999</v>
      </c>
      <c r="H1250">
        <v>2E-3</v>
      </c>
      <c r="I1250">
        <v>262.80020000000002</v>
      </c>
      <c r="J1250">
        <v>2E-3</v>
      </c>
    </row>
    <row r="1251" spans="1:10" x14ac:dyDescent="0.3">
      <c r="A1251" t="s">
        <v>9</v>
      </c>
      <c r="B1251" t="s">
        <v>1367</v>
      </c>
      <c r="C1251">
        <v>5</v>
      </c>
      <c r="D1251">
        <v>4.1999999999999997E-3</v>
      </c>
      <c r="E1251">
        <v>6.192911355052729</v>
      </c>
      <c r="F1251">
        <v>727.70728759450401</v>
      </c>
      <c r="G1251">
        <v>0.42399999999999999</v>
      </c>
      <c r="H1251">
        <v>3.0999999999999999E-3</v>
      </c>
      <c r="I1251">
        <v>262.99799999999999</v>
      </c>
      <c r="J1251">
        <v>3.0999999999999999E-3</v>
      </c>
    </row>
    <row r="1252" spans="1:10" x14ac:dyDescent="0.3">
      <c r="A1252" t="s">
        <v>9</v>
      </c>
      <c r="B1252" t="s">
        <v>1368</v>
      </c>
      <c r="C1252">
        <v>5</v>
      </c>
      <c r="D1252">
        <v>4.3E-3</v>
      </c>
      <c r="E1252">
        <v>6.2734099090606854</v>
      </c>
      <c r="F1252">
        <v>735.34660036985895</v>
      </c>
      <c r="G1252">
        <v>0.42399999999999999</v>
      </c>
      <c r="H1252">
        <v>4.3E-3</v>
      </c>
      <c r="I1252">
        <v>263.1979</v>
      </c>
      <c r="J1252">
        <v>4.3E-3</v>
      </c>
    </row>
    <row r="1253" spans="1:10" x14ac:dyDescent="0.3">
      <c r="A1253" t="s">
        <v>9</v>
      </c>
      <c r="B1253" t="s">
        <v>1369</v>
      </c>
      <c r="C1253">
        <v>5</v>
      </c>
      <c r="D1253">
        <v>4.1999999999999997E-3</v>
      </c>
      <c r="E1253">
        <v>6.3647334373216262</v>
      </c>
      <c r="F1253">
        <v>744.01320320182242</v>
      </c>
      <c r="G1253">
        <v>0.42399999999999999</v>
      </c>
      <c r="H1253">
        <v>5.7000000000000002E-3</v>
      </c>
      <c r="I1253">
        <v>263.39999999999998</v>
      </c>
      <c r="J1253">
        <v>5.7000000000000002E-3</v>
      </c>
    </row>
    <row r="1254" spans="1:10" x14ac:dyDescent="0.3">
      <c r="A1254" t="s">
        <v>9</v>
      </c>
      <c r="B1254" t="s">
        <v>1370</v>
      </c>
      <c r="C1254">
        <v>5</v>
      </c>
      <c r="D1254">
        <v>4.3E-3</v>
      </c>
      <c r="E1254">
        <v>6.4615545001988632</v>
      </c>
      <c r="F1254">
        <v>753.20152206887212</v>
      </c>
      <c r="G1254">
        <v>0.42399999999999999</v>
      </c>
      <c r="H1254">
        <v>7.1999999999999998E-3</v>
      </c>
      <c r="I1254">
        <v>263.59769999999997</v>
      </c>
      <c r="J1254">
        <v>7.1999999999999998E-3</v>
      </c>
    </row>
    <row r="1255" spans="1:10" x14ac:dyDescent="0.3">
      <c r="A1255" t="s">
        <v>9</v>
      </c>
      <c r="B1255" t="s">
        <v>1371</v>
      </c>
      <c r="C1255">
        <v>5</v>
      </c>
      <c r="D1255">
        <v>4.3E-3</v>
      </c>
      <c r="E1255">
        <v>6.5646503040259248</v>
      </c>
      <c r="F1255">
        <v>762.98531385206024</v>
      </c>
      <c r="G1255">
        <v>0.42399999999999999</v>
      </c>
      <c r="H1255">
        <v>8.8000000000000005E-3</v>
      </c>
      <c r="I1255">
        <v>263.7978</v>
      </c>
      <c r="J1255">
        <v>8.8000000000000005E-3</v>
      </c>
    </row>
    <row r="1256" spans="1:10" x14ac:dyDescent="0.3">
      <c r="A1256" t="s">
        <v>9</v>
      </c>
      <c r="B1256" t="s">
        <v>1372</v>
      </c>
      <c r="C1256">
        <v>5</v>
      </c>
      <c r="D1256">
        <v>4.4999999999999997E-3</v>
      </c>
      <c r="E1256">
        <v>6.6704822244737372</v>
      </c>
      <c r="F1256">
        <v>773.02876310255772</v>
      </c>
      <c r="G1256">
        <v>0.42399999999999999</v>
      </c>
      <c r="H1256">
        <v>1.0500000000000001E-2</v>
      </c>
      <c r="I1256">
        <v>263.99799999999999</v>
      </c>
      <c r="J1256">
        <v>1.0500000000000001E-2</v>
      </c>
    </row>
    <row r="1257" spans="1:10" x14ac:dyDescent="0.3">
      <c r="A1257" t="s">
        <v>9</v>
      </c>
      <c r="B1257" t="s">
        <v>1373</v>
      </c>
      <c r="C1257">
        <v>5</v>
      </c>
      <c r="D1257">
        <v>5.7000000000000002E-3</v>
      </c>
      <c r="E1257">
        <v>6.7774802787984436</v>
      </c>
      <c r="F1257">
        <v>783.18287845797238</v>
      </c>
      <c r="G1257">
        <v>0.42399999999999999</v>
      </c>
      <c r="H1257">
        <v>1.21E-2</v>
      </c>
      <c r="I1257">
        <v>264.20049999999998</v>
      </c>
      <c r="J1257">
        <v>1.21E-2</v>
      </c>
    </row>
    <row r="1258" spans="1:10" x14ac:dyDescent="0.3">
      <c r="A1258" t="s">
        <v>9</v>
      </c>
      <c r="B1258" t="s">
        <v>1374</v>
      </c>
      <c r="C1258">
        <v>5</v>
      </c>
      <c r="D1258">
        <v>7.4999999999999997E-3</v>
      </c>
      <c r="E1258">
        <v>6.8792854692283756</v>
      </c>
      <c r="F1258">
        <v>792.8441910297729</v>
      </c>
      <c r="G1258">
        <v>0.42399999999999999</v>
      </c>
      <c r="H1258">
        <v>1.37E-2</v>
      </c>
      <c r="I1258">
        <v>264.39789999999999</v>
      </c>
      <c r="J1258">
        <v>1.37E-2</v>
      </c>
    </row>
    <row r="1259" spans="1:10" x14ac:dyDescent="0.3">
      <c r="A1259" t="s">
        <v>9</v>
      </c>
      <c r="B1259" t="s">
        <v>1375</v>
      </c>
      <c r="C1259">
        <v>5</v>
      </c>
      <c r="D1259">
        <v>9.4000000000000004E-3</v>
      </c>
      <c r="E1259">
        <v>6.9783679235723044</v>
      </c>
      <c r="F1259">
        <v>802.24711594701171</v>
      </c>
      <c r="G1259">
        <v>0.42399999999999999</v>
      </c>
      <c r="H1259">
        <v>1.5299999999999999E-2</v>
      </c>
      <c r="I1259">
        <v>264.6001</v>
      </c>
      <c r="J1259">
        <v>1.5299999999999999E-2</v>
      </c>
    </row>
    <row r="1260" spans="1:10" x14ac:dyDescent="0.3">
      <c r="A1260" t="s">
        <v>9</v>
      </c>
      <c r="B1260" t="s">
        <v>1376</v>
      </c>
      <c r="C1260">
        <v>5</v>
      </c>
      <c r="D1260">
        <v>1.1299999999999999E-2</v>
      </c>
      <c r="E1260">
        <v>7.0678666712701128</v>
      </c>
      <c r="F1260">
        <v>810.7405471035338</v>
      </c>
      <c r="G1260">
        <v>0.42399999999999999</v>
      </c>
      <c r="H1260">
        <v>1.67E-2</v>
      </c>
      <c r="I1260">
        <v>264.798</v>
      </c>
      <c r="J1260">
        <v>1.67E-2</v>
      </c>
    </row>
    <row r="1261" spans="1:10" x14ac:dyDescent="0.3">
      <c r="A1261" t="s">
        <v>9</v>
      </c>
      <c r="B1261" t="s">
        <v>1377</v>
      </c>
      <c r="C1261">
        <v>5</v>
      </c>
      <c r="D1261">
        <v>1.2999999999999999E-2</v>
      </c>
      <c r="E1261">
        <v>7.1487986329627038</v>
      </c>
      <c r="F1261">
        <v>818.42099026816061</v>
      </c>
      <c r="G1261">
        <v>0.42399999999999999</v>
      </c>
      <c r="H1261">
        <v>1.7899999999999999E-2</v>
      </c>
      <c r="I1261">
        <v>264.99849999999998</v>
      </c>
      <c r="J1261">
        <v>1.7899999999999999E-2</v>
      </c>
    </row>
    <row r="1262" spans="1:10" x14ac:dyDescent="0.3">
      <c r="A1262" t="s">
        <v>9</v>
      </c>
      <c r="B1262" t="s">
        <v>1378</v>
      </c>
      <c r="C1262">
        <v>5</v>
      </c>
      <c r="D1262">
        <v>1.41E-2</v>
      </c>
      <c r="E1262">
        <v>7.2182655037293451</v>
      </c>
      <c r="F1262">
        <v>825.01339630391487</v>
      </c>
      <c r="G1262">
        <v>0.42399999999999999</v>
      </c>
      <c r="H1262">
        <v>1.9E-2</v>
      </c>
      <c r="I1262">
        <v>265.20010000000002</v>
      </c>
      <c r="J1262">
        <v>1.9E-2</v>
      </c>
    </row>
    <row r="1263" spans="1:10" x14ac:dyDescent="0.3">
      <c r="A1263" t="s">
        <v>9</v>
      </c>
      <c r="B1263" t="s">
        <v>1379</v>
      </c>
      <c r="C1263">
        <v>5</v>
      </c>
      <c r="D1263">
        <v>1.5100000000000001E-2</v>
      </c>
      <c r="E1263">
        <v>7.2733462722873039</v>
      </c>
      <c r="F1263">
        <v>830.24056124006518</v>
      </c>
      <c r="G1263">
        <v>0.42399999999999999</v>
      </c>
      <c r="H1263">
        <v>1.9900000000000001E-2</v>
      </c>
      <c r="I1263">
        <v>265.39870000000002</v>
      </c>
      <c r="J1263">
        <v>1.9900000000000001E-2</v>
      </c>
    </row>
    <row r="1264" spans="1:10" x14ac:dyDescent="0.3">
      <c r="A1264" t="s">
        <v>9</v>
      </c>
      <c r="B1264" t="s">
        <v>1380</v>
      </c>
      <c r="C1264">
        <v>5</v>
      </c>
      <c r="D1264">
        <v>1.5599999999999999E-2</v>
      </c>
      <c r="E1264">
        <v>7.3143884270692956</v>
      </c>
      <c r="F1264">
        <v>834.13546172887629</v>
      </c>
      <c r="G1264">
        <v>0.42399999999999999</v>
      </c>
      <c r="H1264">
        <v>2.0500000000000001E-2</v>
      </c>
      <c r="I1264">
        <v>265.601</v>
      </c>
      <c r="J1264">
        <v>2.0500000000000001E-2</v>
      </c>
    </row>
    <row r="1265" spans="1:10" x14ac:dyDescent="0.3">
      <c r="A1265" t="s">
        <v>9</v>
      </c>
      <c r="B1265" t="s">
        <v>1381</v>
      </c>
      <c r="C1265">
        <v>5</v>
      </c>
      <c r="D1265">
        <v>1.6299999999999999E-2</v>
      </c>
      <c r="E1265">
        <v>7.3389003503168038</v>
      </c>
      <c r="F1265">
        <v>836.46164324506469</v>
      </c>
      <c r="G1265">
        <v>0.42399999999999999</v>
      </c>
      <c r="H1265">
        <v>2.0899999999999998E-2</v>
      </c>
      <c r="I1265">
        <v>265.79899999999998</v>
      </c>
      <c r="J1265">
        <v>2.0899999999999998E-2</v>
      </c>
    </row>
    <row r="1266" spans="1:10" x14ac:dyDescent="0.3">
      <c r="A1266" t="s">
        <v>9</v>
      </c>
      <c r="B1266" t="s">
        <v>1382</v>
      </c>
      <c r="C1266">
        <v>5</v>
      </c>
      <c r="D1266">
        <v>1.6500000000000001E-2</v>
      </c>
      <c r="E1266">
        <v>7.3473025151975344</v>
      </c>
      <c r="F1266">
        <v>837.25900869224608</v>
      </c>
      <c r="G1266">
        <v>0.42399999999999999</v>
      </c>
      <c r="H1266">
        <v>2.1000000000000001E-2</v>
      </c>
      <c r="I1266">
        <v>265.99950000000001</v>
      </c>
      <c r="J1266">
        <v>2.1000000000000001E-2</v>
      </c>
    </row>
    <row r="1267" spans="1:10" x14ac:dyDescent="0.3">
      <c r="A1267" t="s">
        <v>9</v>
      </c>
      <c r="B1267" t="s">
        <v>1383</v>
      </c>
      <c r="C1267">
        <v>5</v>
      </c>
      <c r="D1267">
        <v>1.6500000000000001E-2</v>
      </c>
      <c r="E1267">
        <v>7.3391391725885304</v>
      </c>
      <c r="F1267">
        <v>732.00777088525103</v>
      </c>
      <c r="G1267">
        <v>0.42399999999999999</v>
      </c>
      <c r="H1267">
        <v>2.0899999999999998E-2</v>
      </c>
      <c r="I1267">
        <v>266.19810000000001</v>
      </c>
      <c r="J1267">
        <v>2.0899999999999998E-2</v>
      </c>
    </row>
    <row r="1268" spans="1:10" x14ac:dyDescent="0.3">
      <c r="A1268" t="s">
        <v>9</v>
      </c>
      <c r="B1268" t="s">
        <v>1384</v>
      </c>
      <c r="C1268">
        <v>5</v>
      </c>
      <c r="D1268">
        <v>1.6500000000000001E-2</v>
      </c>
      <c r="E1268">
        <v>7.3143766684175473</v>
      </c>
      <c r="F1268">
        <v>729.69990549651538</v>
      </c>
      <c r="G1268">
        <v>0.42399999999999999</v>
      </c>
      <c r="H1268">
        <v>2.0500000000000001E-2</v>
      </c>
      <c r="I1268">
        <v>266.39909999999998</v>
      </c>
      <c r="J1268">
        <v>2.0500000000000001E-2</v>
      </c>
    </row>
    <row r="1269" spans="1:10" x14ac:dyDescent="0.3">
      <c r="A1269" t="s">
        <v>9</v>
      </c>
      <c r="B1269" t="s">
        <v>1385</v>
      </c>
      <c r="C1269">
        <v>5</v>
      </c>
      <c r="D1269">
        <v>1.66E-2</v>
      </c>
      <c r="E1269">
        <v>7.2738068870592612</v>
      </c>
      <c r="F1269">
        <v>725.91880187392314</v>
      </c>
      <c r="G1269">
        <v>0.42399999999999999</v>
      </c>
      <c r="H1269">
        <v>1.9900000000000001E-2</v>
      </c>
      <c r="I1269">
        <v>266.59930000000003</v>
      </c>
      <c r="J1269">
        <v>1.9900000000000001E-2</v>
      </c>
    </row>
    <row r="1270" spans="1:10" x14ac:dyDescent="0.3">
      <c r="A1270" t="s">
        <v>9</v>
      </c>
      <c r="B1270" t="s">
        <v>1386</v>
      </c>
      <c r="C1270">
        <v>5</v>
      </c>
      <c r="D1270">
        <v>1.6500000000000001E-2</v>
      </c>
      <c r="E1270">
        <v>7.2185282487753222</v>
      </c>
      <c r="F1270">
        <v>720.76683278586006</v>
      </c>
      <c r="G1270">
        <v>0.42399999999999999</v>
      </c>
      <c r="H1270">
        <v>1.9E-2</v>
      </c>
      <c r="I1270">
        <v>266.79910000000001</v>
      </c>
      <c r="J1270">
        <v>1.9E-2</v>
      </c>
    </row>
    <row r="1271" spans="1:10" x14ac:dyDescent="0.3">
      <c r="A1271" t="s">
        <v>9</v>
      </c>
      <c r="B1271" t="s">
        <v>1387</v>
      </c>
      <c r="C1271">
        <v>5</v>
      </c>
      <c r="D1271">
        <v>1.6500000000000001E-2</v>
      </c>
      <c r="E1271">
        <v>7.1491805864091686</v>
      </c>
      <c r="F1271">
        <v>714.30363065333449</v>
      </c>
      <c r="G1271">
        <v>0.42399999999999999</v>
      </c>
      <c r="H1271">
        <v>1.7899999999999999E-2</v>
      </c>
      <c r="I1271">
        <v>267.00049999999999</v>
      </c>
      <c r="J1271">
        <v>1.7899999999999999E-2</v>
      </c>
    </row>
    <row r="1272" spans="1:10" x14ac:dyDescent="0.3">
      <c r="A1272" t="s">
        <v>9</v>
      </c>
      <c r="B1272" t="s">
        <v>1388</v>
      </c>
      <c r="C1272">
        <v>5</v>
      </c>
      <c r="D1272">
        <v>1.6500000000000001E-2</v>
      </c>
      <c r="E1272">
        <v>7.0694630096127167</v>
      </c>
      <c r="F1272">
        <v>706.8739524959052</v>
      </c>
      <c r="G1272">
        <v>0.42399999999999999</v>
      </c>
      <c r="H1272">
        <v>1.67E-2</v>
      </c>
      <c r="I1272">
        <v>267.19830000000002</v>
      </c>
      <c r="J1272">
        <v>1.67E-2</v>
      </c>
    </row>
    <row r="1273" spans="1:10" x14ac:dyDescent="0.3">
      <c r="A1273" t="s">
        <v>9</v>
      </c>
      <c r="B1273" t="s">
        <v>1389</v>
      </c>
      <c r="C1273">
        <v>5</v>
      </c>
      <c r="D1273">
        <v>1.6500000000000001E-2</v>
      </c>
      <c r="E1273">
        <v>6.9786464819775302</v>
      </c>
      <c r="F1273">
        <v>698.4098521203058</v>
      </c>
      <c r="G1273">
        <v>0.42399999999999999</v>
      </c>
      <c r="H1273">
        <v>1.5299999999999999E-2</v>
      </c>
      <c r="I1273">
        <v>267.39929999999998</v>
      </c>
      <c r="J1273">
        <v>1.5299999999999999E-2</v>
      </c>
    </row>
    <row r="1274" spans="1:10" x14ac:dyDescent="0.3">
      <c r="A1274" t="s">
        <v>9</v>
      </c>
      <c r="B1274" t="s">
        <v>1390</v>
      </c>
      <c r="C1274">
        <v>5</v>
      </c>
      <c r="D1274">
        <v>1.6400000000000001E-2</v>
      </c>
      <c r="E1274">
        <v>6.8812994424434386</v>
      </c>
      <c r="F1274">
        <v>689.33710803572853</v>
      </c>
      <c r="G1274">
        <v>0.42399999999999999</v>
      </c>
      <c r="H1274">
        <v>1.38E-2</v>
      </c>
      <c r="I1274">
        <v>267.59809999999999</v>
      </c>
      <c r="J1274">
        <v>1.38E-2</v>
      </c>
    </row>
    <row r="1275" spans="1:10" x14ac:dyDescent="0.3">
      <c r="A1275" t="s">
        <v>9</v>
      </c>
      <c r="B1275" t="s">
        <v>1391</v>
      </c>
      <c r="C1275">
        <v>5</v>
      </c>
      <c r="D1275">
        <v>1.6400000000000001E-2</v>
      </c>
      <c r="E1275">
        <v>6.7780029305951457</v>
      </c>
      <c r="F1275">
        <v>679.70987313146759</v>
      </c>
      <c r="G1275">
        <v>0.42399999999999999</v>
      </c>
      <c r="H1275">
        <v>1.2200000000000001E-2</v>
      </c>
      <c r="I1275">
        <v>267.79849999999999</v>
      </c>
      <c r="J1275">
        <v>1.2200000000000001E-2</v>
      </c>
    </row>
    <row r="1276" spans="1:10" x14ac:dyDescent="0.3">
      <c r="A1276" t="s">
        <v>9</v>
      </c>
      <c r="B1276" t="s">
        <v>1392</v>
      </c>
      <c r="C1276">
        <v>5</v>
      </c>
      <c r="D1276">
        <v>1.5699999999999999E-2</v>
      </c>
      <c r="E1276">
        <v>6.6715583438441408</v>
      </c>
      <c r="F1276">
        <v>669.78923764627393</v>
      </c>
      <c r="G1276">
        <v>0.42399999999999999</v>
      </c>
      <c r="H1276">
        <v>1.0500000000000001E-2</v>
      </c>
      <c r="I1276">
        <v>267.99990000000003</v>
      </c>
      <c r="J1276">
        <v>1.0500000000000001E-2</v>
      </c>
    </row>
    <row r="1277" spans="1:10" x14ac:dyDescent="0.3">
      <c r="A1277" t="s">
        <v>9</v>
      </c>
      <c r="B1277" t="s">
        <v>1393</v>
      </c>
      <c r="C1277">
        <v>5</v>
      </c>
      <c r="D1277">
        <v>1.4999999999999999E-2</v>
      </c>
      <c r="E1277">
        <v>6.5668130850062276</v>
      </c>
      <c r="F1277">
        <v>660.0269795225804</v>
      </c>
      <c r="G1277">
        <v>0.42399999999999999</v>
      </c>
      <c r="H1277">
        <v>8.8999999999999999E-3</v>
      </c>
      <c r="I1277">
        <v>268.19810000000001</v>
      </c>
      <c r="J1277">
        <v>8.8999999999999999E-3</v>
      </c>
    </row>
    <row r="1278" spans="1:10" x14ac:dyDescent="0.3">
      <c r="A1278" t="s">
        <v>9</v>
      </c>
      <c r="B1278" t="s">
        <v>1394</v>
      </c>
      <c r="C1278">
        <v>5</v>
      </c>
      <c r="D1278">
        <v>1.35E-2</v>
      </c>
      <c r="E1278">
        <v>6.4624404537875328</v>
      </c>
      <c r="F1278">
        <v>650.29945029299813</v>
      </c>
      <c r="G1278">
        <v>0.42399999999999999</v>
      </c>
      <c r="H1278">
        <v>7.3000000000000001E-3</v>
      </c>
      <c r="I1278">
        <v>268.40050000000002</v>
      </c>
      <c r="J1278">
        <v>7.3000000000000001E-3</v>
      </c>
    </row>
    <row r="1279" spans="1:10" x14ac:dyDescent="0.3">
      <c r="A1279" t="s">
        <v>9</v>
      </c>
      <c r="B1279" t="s">
        <v>1395</v>
      </c>
      <c r="C1279">
        <v>5</v>
      </c>
      <c r="D1279">
        <v>1.21E-2</v>
      </c>
      <c r="E1279">
        <v>6.3651317312393143</v>
      </c>
      <c r="F1279">
        <v>641.23027735150413</v>
      </c>
      <c r="G1279">
        <v>0.42399999999999999</v>
      </c>
      <c r="H1279">
        <v>5.7000000000000002E-3</v>
      </c>
      <c r="I1279">
        <v>268.59910000000002</v>
      </c>
      <c r="J1279">
        <v>5.7000000000000002E-3</v>
      </c>
    </row>
    <row r="1280" spans="1:10" x14ac:dyDescent="0.3">
      <c r="A1280" t="s">
        <v>9</v>
      </c>
      <c r="B1280" t="s">
        <v>1396</v>
      </c>
      <c r="C1280">
        <v>5</v>
      </c>
      <c r="D1280">
        <v>1.0699999999999999E-2</v>
      </c>
      <c r="E1280">
        <v>6.2744717558606888</v>
      </c>
      <c r="F1280">
        <v>632.78076764621619</v>
      </c>
      <c r="G1280">
        <v>0.42399999999999999</v>
      </c>
      <c r="H1280">
        <v>4.3E-3</v>
      </c>
      <c r="I1280">
        <v>268.7996</v>
      </c>
      <c r="J1280">
        <v>4.3E-3</v>
      </c>
    </row>
    <row r="1281" spans="1:10" x14ac:dyDescent="0.3">
      <c r="A1281" t="s">
        <v>9</v>
      </c>
      <c r="B1281" t="s">
        <v>1397</v>
      </c>
      <c r="C1281">
        <v>5</v>
      </c>
      <c r="D1281">
        <v>8.8999999999999999E-3</v>
      </c>
      <c r="E1281">
        <v>6.1935403212800706</v>
      </c>
      <c r="F1281">
        <v>625.23795794330272</v>
      </c>
      <c r="G1281">
        <v>0.42399999999999999</v>
      </c>
      <c r="H1281">
        <v>3.0999999999999999E-3</v>
      </c>
      <c r="I1281">
        <v>269.00029999999998</v>
      </c>
      <c r="J1281">
        <v>3.0999999999999999E-3</v>
      </c>
    </row>
    <row r="1282" spans="1:10" x14ac:dyDescent="0.3">
      <c r="A1282" t="s">
        <v>9</v>
      </c>
      <c r="B1282" t="s">
        <v>1398</v>
      </c>
      <c r="C1282">
        <v>5</v>
      </c>
      <c r="D1282">
        <v>7.4999999999999997E-3</v>
      </c>
      <c r="E1282">
        <v>6.1246096855802552</v>
      </c>
      <c r="F1282">
        <v>618.81362269607985</v>
      </c>
      <c r="G1282">
        <v>0.42399999999999999</v>
      </c>
      <c r="H1282">
        <v>2E-3</v>
      </c>
      <c r="I1282">
        <v>269.20060000000001</v>
      </c>
      <c r="J1282">
        <v>2E-3</v>
      </c>
    </row>
    <row r="1283" spans="1:10" x14ac:dyDescent="0.3">
      <c r="A1283" t="s">
        <v>9</v>
      </c>
      <c r="B1283" t="s">
        <v>1399</v>
      </c>
      <c r="C1283">
        <v>5</v>
      </c>
      <c r="D1283">
        <v>6.4999999999999997E-3</v>
      </c>
      <c r="E1283">
        <v>6.0693216403749162</v>
      </c>
      <c r="F1283">
        <v>613.66077688294217</v>
      </c>
      <c r="G1283">
        <v>0.42399999999999999</v>
      </c>
      <c r="H1283">
        <v>1.1000000000000001E-3</v>
      </c>
      <c r="I1283">
        <v>269.40030000000002</v>
      </c>
      <c r="J1283">
        <v>1.1000000000000001E-3</v>
      </c>
    </row>
    <row r="1284" spans="1:10" x14ac:dyDescent="0.3">
      <c r="A1284" t="s">
        <v>9</v>
      </c>
      <c r="B1284" t="s">
        <v>1400</v>
      </c>
      <c r="C1284">
        <v>5</v>
      </c>
      <c r="D1284">
        <v>5.7000000000000002E-3</v>
      </c>
      <c r="E1284">
        <v>6.0290764626802211</v>
      </c>
      <c r="F1284">
        <v>609.90992632179666</v>
      </c>
      <c r="G1284">
        <v>0.42399999999999999</v>
      </c>
      <c r="H1284">
        <v>5.0000000000000001E-4</v>
      </c>
      <c r="I1284">
        <v>269.59840000000003</v>
      </c>
      <c r="J1284">
        <v>5.0000000000000001E-4</v>
      </c>
    </row>
    <row r="1285" spans="1:10" x14ac:dyDescent="0.3">
      <c r="A1285" t="s">
        <v>9</v>
      </c>
      <c r="B1285" t="s">
        <v>1401</v>
      </c>
      <c r="C1285">
        <v>5</v>
      </c>
      <c r="D1285">
        <v>5.1000000000000004E-3</v>
      </c>
      <c r="E1285">
        <v>6.0042012862972376</v>
      </c>
      <c r="F1285">
        <v>607.59155988290263</v>
      </c>
      <c r="G1285">
        <v>0.42399999999999999</v>
      </c>
      <c r="H1285">
        <v>1E-4</v>
      </c>
      <c r="I1285">
        <v>269.79820000000001</v>
      </c>
      <c r="J1285">
        <v>1E-4</v>
      </c>
    </row>
    <row r="1286" spans="1:10" x14ac:dyDescent="0.3">
      <c r="A1286" t="s">
        <v>9</v>
      </c>
      <c r="B1286" t="s">
        <v>1402</v>
      </c>
      <c r="C1286">
        <v>5</v>
      </c>
      <c r="D1286">
        <v>5.1000000000000004E-3</v>
      </c>
      <c r="E1286">
        <v>5.9957336046511944</v>
      </c>
      <c r="F1286">
        <v>606.80237195349127</v>
      </c>
      <c r="G1286">
        <v>0.42399999999999999</v>
      </c>
      <c r="H1286">
        <v>0</v>
      </c>
      <c r="I1286">
        <v>269.99930000000001</v>
      </c>
      <c r="J1286">
        <v>0</v>
      </c>
    </row>
    <row r="1287" spans="1:10" x14ac:dyDescent="0.3">
      <c r="A1287" t="s">
        <v>9</v>
      </c>
      <c r="B1287" t="s">
        <v>1403</v>
      </c>
      <c r="C1287">
        <v>5</v>
      </c>
      <c r="D1287">
        <v>4.7000000000000002E-3</v>
      </c>
      <c r="E1287">
        <v>6.0039891723838101</v>
      </c>
      <c r="F1287">
        <v>709.7785724592236</v>
      </c>
      <c r="G1287">
        <v>0.42399999999999999</v>
      </c>
      <c r="H1287">
        <v>1E-4</v>
      </c>
      <c r="I1287">
        <v>270.19920000000002</v>
      </c>
      <c r="J1287">
        <v>1E-4</v>
      </c>
    </row>
    <row r="1288" spans="1:10" x14ac:dyDescent="0.3">
      <c r="A1288" t="s">
        <v>9</v>
      </c>
      <c r="B1288" t="s">
        <v>1404</v>
      </c>
      <c r="C1288">
        <v>5</v>
      </c>
      <c r="D1288">
        <v>4.4000000000000003E-3</v>
      </c>
      <c r="E1288">
        <v>6.028989537860844</v>
      </c>
      <c r="F1288">
        <v>712.15110714299408</v>
      </c>
      <c r="G1288">
        <v>0.42399999999999999</v>
      </c>
      <c r="H1288">
        <v>5.0000000000000001E-4</v>
      </c>
      <c r="I1288">
        <v>270.40109999999999</v>
      </c>
      <c r="J1288">
        <v>5.0000000000000001E-4</v>
      </c>
    </row>
    <row r="1289" spans="1:10" x14ac:dyDescent="0.3">
      <c r="A1289" t="s">
        <v>9</v>
      </c>
      <c r="B1289" t="s">
        <v>1405</v>
      </c>
      <c r="C1289">
        <v>5</v>
      </c>
      <c r="D1289">
        <v>4.4999999999999997E-3</v>
      </c>
      <c r="E1289">
        <v>6.0690122661926962</v>
      </c>
      <c r="F1289">
        <v>715.9492640616869</v>
      </c>
      <c r="G1289">
        <v>0.42399999999999999</v>
      </c>
      <c r="H1289">
        <v>1.1000000000000001E-3</v>
      </c>
      <c r="I1289">
        <v>270.59840000000003</v>
      </c>
      <c r="J1289">
        <v>1.1000000000000001E-3</v>
      </c>
    </row>
    <row r="1290" spans="1:10" x14ac:dyDescent="0.3">
      <c r="A1290" t="s">
        <v>9</v>
      </c>
      <c r="B1290" t="s">
        <v>1406</v>
      </c>
      <c r="C1290">
        <v>5</v>
      </c>
      <c r="D1290">
        <v>4.4999999999999997E-3</v>
      </c>
      <c r="E1290">
        <v>6.1243845682198774</v>
      </c>
      <c r="F1290">
        <v>721.20409552406636</v>
      </c>
      <c r="G1290">
        <v>0.42399999999999999</v>
      </c>
      <c r="H1290">
        <v>2E-3</v>
      </c>
      <c r="I1290">
        <v>270.7987</v>
      </c>
      <c r="J1290">
        <v>2E-3</v>
      </c>
    </row>
    <row r="1291" spans="1:10" x14ac:dyDescent="0.3">
      <c r="A1291" t="s">
        <v>9</v>
      </c>
      <c r="B1291" t="s">
        <v>1407</v>
      </c>
      <c r="C1291">
        <v>5</v>
      </c>
      <c r="D1291">
        <v>4.4000000000000003E-3</v>
      </c>
      <c r="E1291">
        <v>6.1948748471594239</v>
      </c>
      <c r="F1291">
        <v>727.89362299542938</v>
      </c>
      <c r="G1291">
        <v>0.42399999999999999</v>
      </c>
      <c r="H1291">
        <v>3.0999999999999999E-3</v>
      </c>
      <c r="I1291">
        <v>271.00319999999999</v>
      </c>
      <c r="J1291">
        <v>3.0999999999999999E-3</v>
      </c>
    </row>
    <row r="1292" spans="1:10" x14ac:dyDescent="0.3">
      <c r="A1292" t="s">
        <v>9</v>
      </c>
      <c r="B1292" t="s">
        <v>1408</v>
      </c>
      <c r="C1292">
        <v>5</v>
      </c>
      <c r="D1292">
        <v>4.4999999999999997E-3</v>
      </c>
      <c r="E1292">
        <v>6.2745369961043584</v>
      </c>
      <c r="F1292">
        <v>735.45356093030352</v>
      </c>
      <c r="G1292">
        <v>0.42399999999999999</v>
      </c>
      <c r="H1292">
        <v>4.3E-3</v>
      </c>
      <c r="I1292">
        <v>271.20049999999998</v>
      </c>
      <c r="J1292">
        <v>4.3E-3</v>
      </c>
    </row>
    <row r="1293" spans="1:10" x14ac:dyDescent="0.3">
      <c r="A1293" t="s">
        <v>9</v>
      </c>
      <c r="B1293" t="s">
        <v>1409</v>
      </c>
      <c r="C1293">
        <v>5</v>
      </c>
      <c r="D1293">
        <v>4.4999999999999997E-3</v>
      </c>
      <c r="E1293">
        <v>6.3639083854396024</v>
      </c>
      <c r="F1293">
        <v>743.93490577821831</v>
      </c>
      <c r="G1293">
        <v>0.42399999999999999</v>
      </c>
      <c r="H1293">
        <v>5.7000000000000002E-3</v>
      </c>
      <c r="I1293">
        <v>271.39830000000001</v>
      </c>
      <c r="J1293">
        <v>5.7000000000000002E-3</v>
      </c>
    </row>
    <row r="1294" spans="1:10" x14ac:dyDescent="0.3">
      <c r="A1294" t="s">
        <v>9</v>
      </c>
      <c r="B1294" t="s">
        <v>1410</v>
      </c>
      <c r="C1294">
        <v>5</v>
      </c>
      <c r="D1294">
        <v>4.4999999999999997E-3</v>
      </c>
      <c r="E1294">
        <v>6.4625758810180196</v>
      </c>
      <c r="F1294">
        <v>753.29845110861015</v>
      </c>
      <c r="G1294">
        <v>0.42399999999999999</v>
      </c>
      <c r="H1294">
        <v>7.3000000000000001E-3</v>
      </c>
      <c r="I1294">
        <v>271.59980000000002</v>
      </c>
      <c r="J1294">
        <v>7.3000000000000001E-3</v>
      </c>
    </row>
    <row r="1295" spans="1:10" x14ac:dyDescent="0.3">
      <c r="A1295" t="s">
        <v>9</v>
      </c>
      <c r="B1295" t="s">
        <v>1411</v>
      </c>
      <c r="C1295">
        <v>5</v>
      </c>
      <c r="D1295">
        <v>4.4999999999999997E-3</v>
      </c>
      <c r="E1295">
        <v>6.5654158328018557</v>
      </c>
      <c r="F1295">
        <v>763.05796253289611</v>
      </c>
      <c r="G1295">
        <v>0.42399999999999999</v>
      </c>
      <c r="H1295">
        <v>8.8999999999999999E-3</v>
      </c>
      <c r="I1295">
        <v>271.79930000000002</v>
      </c>
      <c r="J1295">
        <v>8.8999999999999999E-3</v>
      </c>
    </row>
    <row r="1296" spans="1:10" x14ac:dyDescent="0.3">
      <c r="A1296" t="s">
        <v>9</v>
      </c>
      <c r="B1296" t="s">
        <v>1412</v>
      </c>
      <c r="C1296">
        <v>5</v>
      </c>
      <c r="D1296">
        <v>4.5999999999999999E-3</v>
      </c>
      <c r="E1296">
        <v>6.670628193943724</v>
      </c>
      <c r="F1296">
        <v>773.04261560525947</v>
      </c>
      <c r="G1296">
        <v>0.42399999999999999</v>
      </c>
      <c r="H1296">
        <v>1.0500000000000001E-2</v>
      </c>
      <c r="I1296">
        <v>271.99829999999997</v>
      </c>
      <c r="J1296">
        <v>1.0500000000000001E-2</v>
      </c>
    </row>
    <row r="1297" spans="1:10" x14ac:dyDescent="0.3">
      <c r="A1297" t="s">
        <v>9</v>
      </c>
      <c r="B1297" t="s">
        <v>1413</v>
      </c>
      <c r="C1297">
        <v>5</v>
      </c>
      <c r="D1297">
        <v>5.0000000000000001E-3</v>
      </c>
      <c r="E1297">
        <v>6.7767281305572613</v>
      </c>
      <c r="F1297">
        <v>783.11149958988415</v>
      </c>
      <c r="G1297">
        <v>0.42399999999999999</v>
      </c>
      <c r="H1297">
        <v>1.21E-2</v>
      </c>
      <c r="I1297">
        <v>272.19900000000001</v>
      </c>
      <c r="J1297">
        <v>1.21E-2</v>
      </c>
    </row>
    <row r="1298" spans="1:10" x14ac:dyDescent="0.3">
      <c r="A1298" t="s">
        <v>9</v>
      </c>
      <c r="B1298" t="s">
        <v>1414</v>
      </c>
      <c r="C1298">
        <v>5</v>
      </c>
      <c r="D1298">
        <v>6.7000000000000002E-3</v>
      </c>
      <c r="E1298">
        <v>6.880238730961536</v>
      </c>
      <c r="F1298">
        <v>792.93465556824981</v>
      </c>
      <c r="G1298">
        <v>0.42399999999999999</v>
      </c>
      <c r="H1298">
        <v>1.37E-2</v>
      </c>
      <c r="I1298">
        <v>272.39980000000003</v>
      </c>
      <c r="J1298">
        <v>1.37E-2</v>
      </c>
    </row>
    <row r="1299" spans="1:10" x14ac:dyDescent="0.3">
      <c r="A1299" t="s">
        <v>9</v>
      </c>
      <c r="B1299" t="s">
        <v>1415</v>
      </c>
      <c r="C1299">
        <v>5</v>
      </c>
      <c r="D1299">
        <v>9.1000000000000004E-3</v>
      </c>
      <c r="E1299">
        <v>6.9785714698887862</v>
      </c>
      <c r="F1299">
        <v>802.2664324924458</v>
      </c>
      <c r="G1299">
        <v>0.42399999999999999</v>
      </c>
      <c r="H1299">
        <v>1.5299999999999999E-2</v>
      </c>
      <c r="I1299">
        <v>272.60050000000001</v>
      </c>
      <c r="J1299">
        <v>1.5299999999999999E-2</v>
      </c>
    </row>
    <row r="1300" spans="1:10" x14ac:dyDescent="0.3">
      <c r="A1300" t="s">
        <v>9</v>
      </c>
      <c r="B1300" t="s">
        <v>1416</v>
      </c>
      <c r="C1300">
        <v>5</v>
      </c>
      <c r="D1300">
        <v>1.0999999999999999E-2</v>
      </c>
      <c r="E1300">
        <v>7.0686026006812952</v>
      </c>
      <c r="F1300">
        <v>810.81038680465497</v>
      </c>
      <c r="G1300">
        <v>0.42399999999999999</v>
      </c>
      <c r="H1300">
        <v>1.67E-2</v>
      </c>
      <c r="I1300">
        <v>272.79969999999997</v>
      </c>
      <c r="J1300">
        <v>1.67E-2</v>
      </c>
    </row>
    <row r="1301" spans="1:10" x14ac:dyDescent="0.3">
      <c r="A1301" t="s">
        <v>9</v>
      </c>
      <c r="B1301" t="s">
        <v>1417</v>
      </c>
      <c r="C1301">
        <v>5</v>
      </c>
      <c r="D1301">
        <v>1.2200000000000001E-2</v>
      </c>
      <c r="E1301">
        <v>7.1495438882011353</v>
      </c>
      <c r="F1301">
        <v>818.49171499028773</v>
      </c>
      <c r="G1301">
        <v>0.42399999999999999</v>
      </c>
      <c r="H1301">
        <v>1.7899999999999999E-2</v>
      </c>
      <c r="I1301">
        <v>273.00049999999999</v>
      </c>
      <c r="J1301">
        <v>1.7899999999999999E-2</v>
      </c>
    </row>
    <row r="1302" spans="1:10" x14ac:dyDescent="0.3">
      <c r="A1302" t="s">
        <v>9</v>
      </c>
      <c r="B1302" t="s">
        <v>1418</v>
      </c>
      <c r="C1302">
        <v>5</v>
      </c>
      <c r="D1302">
        <v>1.38E-2</v>
      </c>
      <c r="E1302">
        <v>7.2183814683638339</v>
      </c>
      <c r="F1302">
        <v>825.02440134772792</v>
      </c>
      <c r="G1302">
        <v>0.42399999999999999</v>
      </c>
      <c r="H1302">
        <v>1.9E-2</v>
      </c>
      <c r="I1302">
        <v>273.2004</v>
      </c>
      <c r="J1302">
        <v>1.9E-2</v>
      </c>
    </row>
    <row r="1303" spans="1:10" x14ac:dyDescent="0.3">
      <c r="A1303" t="s">
        <v>9</v>
      </c>
      <c r="B1303" t="s">
        <v>1419</v>
      </c>
      <c r="C1303">
        <v>5</v>
      </c>
      <c r="D1303">
        <v>1.47E-2</v>
      </c>
      <c r="E1303">
        <v>7.2734926472280392</v>
      </c>
      <c r="F1303">
        <v>830.25445222194094</v>
      </c>
      <c r="G1303">
        <v>0.42399999999999999</v>
      </c>
      <c r="H1303">
        <v>1.9900000000000001E-2</v>
      </c>
      <c r="I1303">
        <v>273.39940000000001</v>
      </c>
      <c r="J1303">
        <v>1.9900000000000001E-2</v>
      </c>
    </row>
    <row r="1304" spans="1:10" x14ac:dyDescent="0.3">
      <c r="A1304" t="s">
        <v>9</v>
      </c>
      <c r="B1304" t="s">
        <v>1420</v>
      </c>
      <c r="C1304">
        <v>5</v>
      </c>
      <c r="D1304">
        <v>1.5800000000000002E-2</v>
      </c>
      <c r="E1304">
        <v>7.3143349049303028</v>
      </c>
      <c r="F1304">
        <v>834.13038247788575</v>
      </c>
      <c r="G1304">
        <v>0.42399999999999999</v>
      </c>
      <c r="H1304">
        <v>2.0500000000000001E-2</v>
      </c>
      <c r="I1304">
        <v>273.60059999999999</v>
      </c>
      <c r="J1304">
        <v>2.0500000000000001E-2</v>
      </c>
    </row>
    <row r="1305" spans="1:10" x14ac:dyDescent="0.3">
      <c r="A1305" t="s">
        <v>9</v>
      </c>
      <c r="B1305" t="s">
        <v>1421</v>
      </c>
      <c r="C1305">
        <v>5</v>
      </c>
      <c r="D1305">
        <v>1.6199999999999999E-2</v>
      </c>
      <c r="E1305">
        <v>7.3388472336485568</v>
      </c>
      <c r="F1305">
        <v>836.45660247324804</v>
      </c>
      <c r="G1305">
        <v>0.42399999999999999</v>
      </c>
      <c r="H1305">
        <v>2.0899999999999998E-2</v>
      </c>
      <c r="I1305">
        <v>273.79840000000002</v>
      </c>
      <c r="J1305">
        <v>2.0899999999999998E-2</v>
      </c>
    </row>
    <row r="1306" spans="1:10" x14ac:dyDescent="0.3">
      <c r="A1306" t="s">
        <v>9</v>
      </c>
      <c r="B1306" t="s">
        <v>1422</v>
      </c>
      <c r="C1306">
        <v>5</v>
      </c>
      <c r="D1306">
        <v>1.6400000000000001E-2</v>
      </c>
      <c r="E1306">
        <v>7.3473025151975344</v>
      </c>
      <c r="F1306">
        <v>837.25900869224608</v>
      </c>
      <c r="G1306">
        <v>0.42399999999999999</v>
      </c>
      <c r="H1306">
        <v>2.1000000000000001E-2</v>
      </c>
      <c r="I1306">
        <v>273.99889999999999</v>
      </c>
      <c r="J1306">
        <v>2.1000000000000001E-2</v>
      </c>
    </row>
    <row r="1307" spans="1:10" x14ac:dyDescent="0.3">
      <c r="A1307" t="s">
        <v>9</v>
      </c>
      <c r="B1307" t="s">
        <v>1423</v>
      </c>
      <c r="C1307">
        <v>5</v>
      </c>
      <c r="D1307">
        <v>1.6500000000000001E-2</v>
      </c>
      <c r="E1307">
        <v>7.3389023776705544</v>
      </c>
      <c r="F1307">
        <v>731.98570159889562</v>
      </c>
      <c r="G1307">
        <v>0.42399999999999999</v>
      </c>
      <c r="H1307">
        <v>2.0899999999999998E-2</v>
      </c>
      <c r="I1307">
        <v>274.20100000000002</v>
      </c>
      <c r="J1307">
        <v>2.0899999999999998E-2</v>
      </c>
    </row>
    <row r="1308" spans="1:10" x14ac:dyDescent="0.3">
      <c r="A1308" t="s">
        <v>9</v>
      </c>
      <c r="B1308" t="s">
        <v>1424</v>
      </c>
      <c r="C1308">
        <v>5</v>
      </c>
      <c r="D1308">
        <v>1.6400000000000001E-2</v>
      </c>
      <c r="E1308">
        <v>7.3142234004740612</v>
      </c>
      <c r="F1308">
        <v>729.68562092418256</v>
      </c>
      <c r="G1308">
        <v>0.42399999999999999</v>
      </c>
      <c r="H1308">
        <v>2.0500000000000001E-2</v>
      </c>
      <c r="I1308">
        <v>274.39999999999998</v>
      </c>
      <c r="J1308">
        <v>2.0500000000000001E-2</v>
      </c>
    </row>
    <row r="1309" spans="1:10" x14ac:dyDescent="0.3">
      <c r="A1309" t="s">
        <v>9</v>
      </c>
      <c r="B1309" t="s">
        <v>1425</v>
      </c>
      <c r="C1309">
        <v>5</v>
      </c>
      <c r="D1309">
        <v>1.6400000000000001E-2</v>
      </c>
      <c r="E1309">
        <v>7.2738060761177614</v>
      </c>
      <c r="F1309">
        <v>725.91872629417537</v>
      </c>
      <c r="G1309">
        <v>0.42399999999999999</v>
      </c>
      <c r="H1309">
        <v>1.9900000000000001E-2</v>
      </c>
      <c r="I1309">
        <v>274.59930000000003</v>
      </c>
      <c r="J1309">
        <v>1.9900000000000001E-2</v>
      </c>
    </row>
    <row r="1310" spans="1:10" x14ac:dyDescent="0.3">
      <c r="A1310" t="s">
        <v>9</v>
      </c>
      <c r="B1310" t="s">
        <v>1426</v>
      </c>
      <c r="C1310">
        <v>5</v>
      </c>
      <c r="D1310">
        <v>1.6400000000000001E-2</v>
      </c>
      <c r="E1310">
        <v>7.2182423918965979</v>
      </c>
      <c r="F1310">
        <v>720.74019092476294</v>
      </c>
      <c r="G1310">
        <v>0.42399999999999999</v>
      </c>
      <c r="H1310">
        <v>1.9E-2</v>
      </c>
      <c r="I1310">
        <v>274.8</v>
      </c>
      <c r="J1310">
        <v>1.9E-2</v>
      </c>
    </row>
    <row r="1311" spans="1:10" x14ac:dyDescent="0.3">
      <c r="A1311" t="s">
        <v>9</v>
      </c>
      <c r="B1311" t="s">
        <v>1427</v>
      </c>
      <c r="C1311">
        <v>5</v>
      </c>
      <c r="D1311">
        <v>1.6400000000000001E-2</v>
      </c>
      <c r="E1311">
        <v>7.1493180409934061</v>
      </c>
      <c r="F1311">
        <v>714.31644142058542</v>
      </c>
      <c r="G1311">
        <v>0.42399999999999999</v>
      </c>
      <c r="H1311">
        <v>1.7899999999999999E-2</v>
      </c>
      <c r="I1311">
        <v>275.00009999999997</v>
      </c>
      <c r="J1311">
        <v>1.7899999999999999E-2</v>
      </c>
    </row>
    <row r="1312" spans="1:10" x14ac:dyDescent="0.3">
      <c r="A1312" t="s">
        <v>9</v>
      </c>
      <c r="B1312" t="s">
        <v>1428</v>
      </c>
      <c r="C1312">
        <v>5</v>
      </c>
      <c r="D1312">
        <v>1.6400000000000001E-2</v>
      </c>
      <c r="E1312">
        <v>7.0688280424182741</v>
      </c>
      <c r="F1312">
        <v>706.81477355338313</v>
      </c>
      <c r="G1312">
        <v>0.42399999999999999</v>
      </c>
      <c r="H1312">
        <v>1.67E-2</v>
      </c>
      <c r="I1312">
        <v>275.19979999999998</v>
      </c>
      <c r="J1312">
        <v>1.67E-2</v>
      </c>
    </row>
    <row r="1313" spans="1:10" x14ac:dyDescent="0.3">
      <c r="A1313" t="s">
        <v>9</v>
      </c>
      <c r="B1313" t="s">
        <v>1429</v>
      </c>
      <c r="C1313">
        <v>5</v>
      </c>
      <c r="D1313">
        <v>1.6400000000000001E-2</v>
      </c>
      <c r="E1313">
        <v>6.9783602196280574</v>
      </c>
      <c r="F1313">
        <v>698.38317246933502</v>
      </c>
      <c r="G1313">
        <v>0.42399999999999999</v>
      </c>
      <c r="H1313">
        <v>1.5299999999999999E-2</v>
      </c>
      <c r="I1313">
        <v>275.3999</v>
      </c>
      <c r="J1313">
        <v>1.5299999999999999E-2</v>
      </c>
    </row>
    <row r="1314" spans="1:10" x14ac:dyDescent="0.3">
      <c r="A1314" t="s">
        <v>9</v>
      </c>
      <c r="B1314" t="s">
        <v>1430</v>
      </c>
      <c r="C1314">
        <v>5</v>
      </c>
      <c r="D1314">
        <v>1.6400000000000001E-2</v>
      </c>
      <c r="E1314">
        <v>6.8799836898598112</v>
      </c>
      <c r="F1314">
        <v>689.21447989493447</v>
      </c>
      <c r="G1314">
        <v>0.42399999999999999</v>
      </c>
      <c r="H1314">
        <v>1.37E-2</v>
      </c>
      <c r="I1314">
        <v>275.60070000000002</v>
      </c>
      <c r="J1314">
        <v>1.37E-2</v>
      </c>
    </row>
    <row r="1315" spans="1:10" x14ac:dyDescent="0.3">
      <c r="A1315" t="s">
        <v>9</v>
      </c>
      <c r="B1315" t="s">
        <v>1431</v>
      </c>
      <c r="C1315">
        <v>5</v>
      </c>
      <c r="D1315">
        <v>1.61E-2</v>
      </c>
      <c r="E1315">
        <v>6.7771867179754706</v>
      </c>
      <c r="F1315">
        <v>679.63380211531398</v>
      </c>
      <c r="G1315">
        <v>0.42399999999999999</v>
      </c>
      <c r="H1315">
        <v>1.21E-2</v>
      </c>
      <c r="I1315">
        <v>275.80009999999999</v>
      </c>
      <c r="J1315">
        <v>1.21E-2</v>
      </c>
    </row>
    <row r="1316" spans="1:10" x14ac:dyDescent="0.3">
      <c r="A1316" t="s">
        <v>9</v>
      </c>
      <c r="B1316" t="s">
        <v>1432</v>
      </c>
      <c r="C1316">
        <v>5</v>
      </c>
      <c r="D1316">
        <v>1.55E-2</v>
      </c>
      <c r="E1316">
        <v>6.6224440773718856</v>
      </c>
      <c r="F1316">
        <v>665.21178801105975</v>
      </c>
      <c r="G1316">
        <v>0.42399999999999999</v>
      </c>
      <c r="H1316">
        <v>9.7000000000000003E-3</v>
      </c>
      <c r="I1316">
        <v>276.09249999999997</v>
      </c>
      <c r="J1316">
        <v>9.7000000000000003E-3</v>
      </c>
    </row>
    <row r="1317" spans="1:10" x14ac:dyDescent="0.3">
      <c r="A1317" t="s">
        <v>9</v>
      </c>
      <c r="B1317" t="s">
        <v>1433</v>
      </c>
      <c r="C1317">
        <v>5</v>
      </c>
      <c r="D1317">
        <v>1.4800000000000001E-2</v>
      </c>
      <c r="E1317">
        <v>6.565660331664084</v>
      </c>
      <c r="F1317">
        <v>659.91954291109266</v>
      </c>
      <c r="G1317">
        <v>0.42399999999999999</v>
      </c>
      <c r="H1317">
        <v>8.8999999999999999E-3</v>
      </c>
      <c r="I1317">
        <v>276.20030000000003</v>
      </c>
      <c r="J1317">
        <v>8.8999999999999999E-3</v>
      </c>
    </row>
    <row r="1318" spans="1:10" x14ac:dyDescent="0.3">
      <c r="A1318" t="s">
        <v>9</v>
      </c>
      <c r="B1318" t="s">
        <v>1434</v>
      </c>
      <c r="C1318">
        <v>5</v>
      </c>
      <c r="D1318">
        <v>1.3899999999999999E-2</v>
      </c>
      <c r="E1318">
        <v>6.4629683767039836</v>
      </c>
      <c r="F1318">
        <v>650.3486527088113</v>
      </c>
      <c r="G1318">
        <v>0.42399999999999999</v>
      </c>
      <c r="H1318">
        <v>7.3000000000000001E-3</v>
      </c>
      <c r="I1318">
        <v>276.39940000000001</v>
      </c>
      <c r="J1318">
        <v>7.3000000000000001E-3</v>
      </c>
    </row>
    <row r="1319" spans="1:10" x14ac:dyDescent="0.3">
      <c r="A1319" t="s">
        <v>9</v>
      </c>
      <c r="B1319" t="s">
        <v>1435</v>
      </c>
      <c r="C1319">
        <v>5</v>
      </c>
      <c r="D1319">
        <v>1.26E-2</v>
      </c>
      <c r="E1319">
        <v>6.3647442633906488</v>
      </c>
      <c r="F1319">
        <v>641.19416534800848</v>
      </c>
      <c r="G1319">
        <v>0.42399999999999999</v>
      </c>
      <c r="H1319">
        <v>5.7000000000000002E-3</v>
      </c>
      <c r="I1319">
        <v>276.59989999999999</v>
      </c>
      <c r="J1319">
        <v>5.7000000000000002E-3</v>
      </c>
    </row>
    <row r="1320" spans="1:10" x14ac:dyDescent="0.3">
      <c r="A1320" t="s">
        <v>9</v>
      </c>
      <c r="B1320" t="s">
        <v>1436</v>
      </c>
      <c r="C1320">
        <v>5</v>
      </c>
      <c r="D1320">
        <v>1.0699999999999999E-2</v>
      </c>
      <c r="E1320">
        <v>6.2748543175132783</v>
      </c>
      <c r="F1320">
        <v>632.81642239223754</v>
      </c>
      <c r="G1320">
        <v>0.42399999999999999</v>
      </c>
      <c r="H1320">
        <v>4.3E-3</v>
      </c>
      <c r="I1320">
        <v>276.7987</v>
      </c>
      <c r="J1320">
        <v>4.3E-3</v>
      </c>
    </row>
    <row r="1321" spans="1:10" x14ac:dyDescent="0.3">
      <c r="A1321" t="s">
        <v>9</v>
      </c>
      <c r="B1321" t="s">
        <v>1437</v>
      </c>
      <c r="C1321">
        <v>5</v>
      </c>
      <c r="D1321">
        <v>9.1999999999999998E-3</v>
      </c>
      <c r="E1321">
        <v>6.1935245484678978</v>
      </c>
      <c r="F1321">
        <v>625.23648791720814</v>
      </c>
      <c r="G1321">
        <v>0.42399999999999999</v>
      </c>
      <c r="H1321">
        <v>3.0999999999999999E-3</v>
      </c>
      <c r="I1321">
        <v>277.00040000000001</v>
      </c>
      <c r="J1321">
        <v>3.0999999999999999E-3</v>
      </c>
    </row>
    <row r="1322" spans="1:10" x14ac:dyDescent="0.3">
      <c r="A1322" t="s">
        <v>9</v>
      </c>
      <c r="B1322" t="s">
        <v>1438</v>
      </c>
      <c r="C1322">
        <v>5</v>
      </c>
      <c r="D1322">
        <v>7.6E-3</v>
      </c>
      <c r="E1322">
        <v>6.1251361082549316</v>
      </c>
      <c r="F1322">
        <v>618.86268528935977</v>
      </c>
      <c r="G1322">
        <v>0.42399999999999999</v>
      </c>
      <c r="H1322">
        <v>2E-3</v>
      </c>
      <c r="I1322">
        <v>277.19889999999998</v>
      </c>
      <c r="J1322">
        <v>2E-3</v>
      </c>
    </row>
    <row r="1323" spans="1:10" x14ac:dyDescent="0.3">
      <c r="A1323" t="s">
        <v>9</v>
      </c>
      <c r="B1323" t="s">
        <v>1439</v>
      </c>
      <c r="C1323">
        <v>5</v>
      </c>
      <c r="D1323">
        <v>6.6E-3</v>
      </c>
      <c r="E1323">
        <v>6.069372324218663</v>
      </c>
      <c r="F1323">
        <v>613.66550061717942</v>
      </c>
      <c r="G1323">
        <v>0.42399999999999999</v>
      </c>
      <c r="H1323">
        <v>1.1000000000000001E-3</v>
      </c>
      <c r="I1323">
        <v>277.40010000000001</v>
      </c>
      <c r="J1323">
        <v>1.1000000000000001E-3</v>
      </c>
    </row>
    <row r="1324" spans="1:10" x14ac:dyDescent="0.3">
      <c r="A1324" t="s">
        <v>9</v>
      </c>
      <c r="B1324" t="s">
        <v>1440</v>
      </c>
      <c r="C1324">
        <v>5</v>
      </c>
      <c r="D1324">
        <v>5.7999999999999996E-3</v>
      </c>
      <c r="E1324">
        <v>6.0286358781633114</v>
      </c>
      <c r="F1324">
        <v>609.86886384482068</v>
      </c>
      <c r="G1324">
        <v>0.42399999999999999</v>
      </c>
      <c r="H1324">
        <v>5.0000000000000001E-4</v>
      </c>
      <c r="I1324">
        <v>277.601</v>
      </c>
      <c r="J1324">
        <v>5.0000000000000001E-4</v>
      </c>
    </row>
    <row r="1325" spans="1:10" x14ac:dyDescent="0.3">
      <c r="A1325" t="s">
        <v>9</v>
      </c>
      <c r="B1325" t="s">
        <v>1441</v>
      </c>
      <c r="C1325">
        <v>5</v>
      </c>
      <c r="D1325">
        <v>5.0000000000000001E-3</v>
      </c>
      <c r="E1325">
        <v>6.0041101324179396</v>
      </c>
      <c r="F1325">
        <v>607.58306434135193</v>
      </c>
      <c r="G1325">
        <v>0.42399999999999999</v>
      </c>
      <c r="H1325">
        <v>1E-4</v>
      </c>
      <c r="I1325">
        <v>277.79930000000002</v>
      </c>
      <c r="J1325">
        <v>1E-4</v>
      </c>
    </row>
    <row r="1326" spans="1:10" x14ac:dyDescent="0.3">
      <c r="A1326" t="s">
        <v>9</v>
      </c>
      <c r="B1326" t="s">
        <v>1442</v>
      </c>
      <c r="C1326">
        <v>5</v>
      </c>
      <c r="D1326">
        <v>4.4000000000000003E-3</v>
      </c>
      <c r="E1326">
        <v>5.9957336449311036</v>
      </c>
      <c r="F1326">
        <v>606.8023757075789</v>
      </c>
      <c r="G1326">
        <v>0.42399999999999999</v>
      </c>
      <c r="H1326">
        <v>0</v>
      </c>
      <c r="I1326">
        <v>278.0009</v>
      </c>
      <c r="J1326">
        <v>0</v>
      </c>
    </row>
    <row r="1327" spans="1:10" x14ac:dyDescent="0.3">
      <c r="A1327" t="s">
        <v>9</v>
      </c>
      <c r="B1327" t="s">
        <v>1443</v>
      </c>
      <c r="C1327">
        <v>5</v>
      </c>
      <c r="D1327">
        <v>4.3E-3</v>
      </c>
      <c r="E1327">
        <v>6.0043697350656027</v>
      </c>
      <c r="F1327">
        <v>709.81468785772574</v>
      </c>
      <c r="G1327">
        <v>0.42399999999999999</v>
      </c>
      <c r="H1327">
        <v>1E-4</v>
      </c>
      <c r="I1327">
        <v>278.2038</v>
      </c>
      <c r="J1327">
        <v>1E-4</v>
      </c>
    </row>
    <row r="1328" spans="1:10" x14ac:dyDescent="0.3">
      <c r="A1328" t="s">
        <v>9</v>
      </c>
      <c r="B1328" t="s">
        <v>1444</v>
      </c>
      <c r="C1328">
        <v>5</v>
      </c>
      <c r="D1328">
        <v>4.1000000000000003E-3</v>
      </c>
      <c r="E1328">
        <v>6.0286299988374363</v>
      </c>
      <c r="F1328">
        <v>712.11698688967272</v>
      </c>
      <c r="G1328">
        <v>0.42399999999999999</v>
      </c>
      <c r="H1328">
        <v>5.0000000000000001E-4</v>
      </c>
      <c r="I1328">
        <v>278.39890000000003</v>
      </c>
      <c r="J1328">
        <v>5.0000000000000001E-4</v>
      </c>
    </row>
    <row r="1329" spans="1:10" x14ac:dyDescent="0.3">
      <c r="A1329" t="s">
        <v>9</v>
      </c>
      <c r="B1329" t="s">
        <v>1445</v>
      </c>
      <c r="C1329">
        <v>5</v>
      </c>
      <c r="D1329">
        <v>4.1000000000000003E-3</v>
      </c>
      <c r="E1329">
        <v>6.0695463117174704</v>
      </c>
      <c r="F1329">
        <v>715.99994498198794</v>
      </c>
      <c r="G1329">
        <v>0.42399999999999999</v>
      </c>
      <c r="H1329">
        <v>1.1000000000000001E-3</v>
      </c>
      <c r="I1329">
        <v>278.60059999999999</v>
      </c>
      <c r="J1329">
        <v>1.1000000000000001E-3</v>
      </c>
    </row>
    <row r="1330" spans="1:10" x14ac:dyDescent="0.3">
      <c r="A1330" t="s">
        <v>9</v>
      </c>
      <c r="B1330" t="s">
        <v>1446</v>
      </c>
      <c r="C1330">
        <v>5</v>
      </c>
      <c r="D1330">
        <v>4.1000000000000003E-3</v>
      </c>
      <c r="E1330">
        <v>6.1246035629719318</v>
      </c>
      <c r="F1330">
        <v>721.2248781260364</v>
      </c>
      <c r="G1330">
        <v>0.42399999999999999</v>
      </c>
      <c r="H1330">
        <v>2E-3</v>
      </c>
      <c r="I1330">
        <v>278.79939999999999</v>
      </c>
      <c r="J1330">
        <v>2E-3</v>
      </c>
    </row>
    <row r="1331" spans="1:10" x14ac:dyDescent="0.3">
      <c r="A1331" t="s">
        <v>9</v>
      </c>
      <c r="B1331" t="s">
        <v>1447</v>
      </c>
      <c r="C1331">
        <v>5</v>
      </c>
      <c r="D1331">
        <v>4.1000000000000003E-3</v>
      </c>
      <c r="E1331">
        <v>6.1937297977615291</v>
      </c>
      <c r="F1331">
        <v>727.78495780756919</v>
      </c>
      <c r="G1331">
        <v>0.42399999999999999</v>
      </c>
      <c r="H1331">
        <v>3.0999999999999999E-3</v>
      </c>
      <c r="I1331">
        <v>279.00020000000001</v>
      </c>
      <c r="J1331">
        <v>3.0999999999999999E-3</v>
      </c>
    </row>
    <row r="1332" spans="1:10" x14ac:dyDescent="0.3">
      <c r="A1332" t="s">
        <v>9</v>
      </c>
      <c r="B1332" t="s">
        <v>1448</v>
      </c>
      <c r="C1332">
        <v>5</v>
      </c>
      <c r="D1332">
        <v>4.1000000000000003E-3</v>
      </c>
      <c r="E1332">
        <v>6.273762749707303</v>
      </c>
      <c r="F1332">
        <v>735.38008494722305</v>
      </c>
      <c r="G1332">
        <v>0.42399999999999999</v>
      </c>
      <c r="H1332">
        <v>4.3E-3</v>
      </c>
      <c r="I1332">
        <v>279.19869999999997</v>
      </c>
      <c r="J1332">
        <v>4.3E-3</v>
      </c>
    </row>
    <row r="1333" spans="1:10" x14ac:dyDescent="0.3">
      <c r="A1333" t="s">
        <v>9</v>
      </c>
      <c r="B1333" t="s">
        <v>1449</v>
      </c>
      <c r="C1333">
        <v>5</v>
      </c>
      <c r="D1333">
        <v>4.1000000000000003E-3</v>
      </c>
      <c r="E1333">
        <v>6.3644333484195794</v>
      </c>
      <c r="F1333">
        <v>743.98472476501809</v>
      </c>
      <c r="G1333">
        <v>0.42399999999999999</v>
      </c>
      <c r="H1333">
        <v>5.7000000000000002E-3</v>
      </c>
      <c r="I1333">
        <v>279.39940000000001</v>
      </c>
      <c r="J1333">
        <v>5.7000000000000002E-3</v>
      </c>
    </row>
    <row r="1334" spans="1:10" x14ac:dyDescent="0.3">
      <c r="A1334" t="s">
        <v>9</v>
      </c>
      <c r="B1334" t="s">
        <v>1450</v>
      </c>
      <c r="C1334">
        <v>5</v>
      </c>
      <c r="D1334">
        <v>4.1000000000000003E-3</v>
      </c>
      <c r="E1334">
        <v>6.46323477098671</v>
      </c>
      <c r="F1334">
        <v>753.36097976663882</v>
      </c>
      <c r="G1334">
        <v>0.42399999999999999</v>
      </c>
      <c r="H1334">
        <v>7.3000000000000001E-3</v>
      </c>
      <c r="I1334">
        <v>279.60109999999997</v>
      </c>
      <c r="J1334">
        <v>7.3000000000000001E-3</v>
      </c>
    </row>
    <row r="1335" spans="1:10" x14ac:dyDescent="0.3">
      <c r="A1335" t="s">
        <v>9</v>
      </c>
      <c r="B1335" t="s">
        <v>1451</v>
      </c>
      <c r="C1335">
        <v>5</v>
      </c>
      <c r="D1335">
        <v>4.1000000000000003E-3</v>
      </c>
      <c r="E1335">
        <v>6.5654685439993514</v>
      </c>
      <c r="F1335">
        <v>763.06296482553853</v>
      </c>
      <c r="G1335">
        <v>0.42399999999999999</v>
      </c>
      <c r="H1335">
        <v>8.8999999999999999E-3</v>
      </c>
      <c r="I1335">
        <v>279.79930000000002</v>
      </c>
      <c r="J1335">
        <v>8.8999999999999999E-3</v>
      </c>
    </row>
    <row r="1336" spans="1:10" x14ac:dyDescent="0.3">
      <c r="A1336" t="s">
        <v>9</v>
      </c>
      <c r="B1336" t="s">
        <v>1452</v>
      </c>
      <c r="C1336">
        <v>5</v>
      </c>
      <c r="D1336">
        <v>4.5999999999999999E-3</v>
      </c>
      <c r="E1336">
        <v>6.6715372593651407</v>
      </c>
      <c r="F1336">
        <v>773.1288859137519</v>
      </c>
      <c r="G1336">
        <v>0.42399999999999999</v>
      </c>
      <c r="H1336">
        <v>1.0500000000000001E-2</v>
      </c>
      <c r="I1336">
        <v>280</v>
      </c>
      <c r="J1336">
        <v>1.0500000000000001E-2</v>
      </c>
    </row>
    <row r="1337" spans="1:10" x14ac:dyDescent="0.3">
      <c r="A1337" t="s">
        <v>9</v>
      </c>
      <c r="B1337" t="s">
        <v>1453</v>
      </c>
      <c r="C1337">
        <v>5</v>
      </c>
      <c r="D1337">
        <v>5.7999999999999996E-3</v>
      </c>
      <c r="E1337">
        <v>6.7773918861749518</v>
      </c>
      <c r="F1337">
        <v>783.17448999800297</v>
      </c>
      <c r="G1337">
        <v>0.42399999999999999</v>
      </c>
      <c r="H1337">
        <v>1.21E-2</v>
      </c>
      <c r="I1337">
        <v>280.20030000000003</v>
      </c>
      <c r="J1337">
        <v>1.21E-2</v>
      </c>
    </row>
    <row r="1338" spans="1:10" x14ac:dyDescent="0.3">
      <c r="A1338" t="s">
        <v>9</v>
      </c>
      <c r="B1338" t="s">
        <v>1454</v>
      </c>
      <c r="C1338">
        <v>5</v>
      </c>
      <c r="D1338">
        <v>7.4999999999999997E-3</v>
      </c>
      <c r="E1338">
        <v>6.8809758767849694</v>
      </c>
      <c r="F1338">
        <v>793.00461070689369</v>
      </c>
      <c r="G1338">
        <v>0.42399999999999999</v>
      </c>
      <c r="H1338">
        <v>1.38E-2</v>
      </c>
      <c r="I1338">
        <v>280.40120000000002</v>
      </c>
      <c r="J1338">
        <v>1.38E-2</v>
      </c>
    </row>
    <row r="1339" spans="1:10" x14ac:dyDescent="0.3">
      <c r="A1339" t="s">
        <v>9</v>
      </c>
      <c r="B1339" t="s">
        <v>1455</v>
      </c>
      <c r="C1339">
        <v>5</v>
      </c>
      <c r="D1339">
        <v>9.4000000000000004E-3</v>
      </c>
      <c r="E1339">
        <v>6.9785544401172874</v>
      </c>
      <c r="F1339">
        <v>802.26481636713061</v>
      </c>
      <c r="G1339">
        <v>0.42399999999999999</v>
      </c>
      <c r="H1339">
        <v>1.5299999999999999E-2</v>
      </c>
      <c r="I1339">
        <v>280.60050000000001</v>
      </c>
      <c r="J1339">
        <v>1.5299999999999999E-2</v>
      </c>
    </row>
    <row r="1340" spans="1:10" x14ac:dyDescent="0.3">
      <c r="A1340" t="s">
        <v>9</v>
      </c>
      <c r="B1340" t="s">
        <v>1456</v>
      </c>
      <c r="C1340">
        <v>5</v>
      </c>
      <c r="D1340">
        <v>1.11E-2</v>
      </c>
      <c r="E1340">
        <v>7.068445683501059</v>
      </c>
      <c r="F1340">
        <v>810.79549536425054</v>
      </c>
      <c r="G1340">
        <v>0.42399999999999999</v>
      </c>
      <c r="H1340">
        <v>1.67E-2</v>
      </c>
      <c r="I1340">
        <v>280.79930000000002</v>
      </c>
      <c r="J1340">
        <v>1.67E-2</v>
      </c>
    </row>
    <row r="1341" spans="1:10" x14ac:dyDescent="0.3">
      <c r="A1341" t="s">
        <v>9</v>
      </c>
      <c r="B1341" t="s">
        <v>1457</v>
      </c>
      <c r="C1341">
        <v>5</v>
      </c>
      <c r="D1341">
        <v>1.2200000000000001E-2</v>
      </c>
      <c r="E1341">
        <v>7.1491805864091686</v>
      </c>
      <c r="F1341">
        <v>818.45723765023013</v>
      </c>
      <c r="G1341">
        <v>0.42399999999999999</v>
      </c>
      <c r="H1341">
        <v>1.7899999999999999E-2</v>
      </c>
      <c r="I1341">
        <v>280.99950000000001</v>
      </c>
      <c r="J1341">
        <v>1.7899999999999999E-2</v>
      </c>
    </row>
    <row r="1342" spans="1:10" x14ac:dyDescent="0.3">
      <c r="A1342" t="s">
        <v>9</v>
      </c>
      <c r="B1342" t="s">
        <v>1458</v>
      </c>
      <c r="C1342">
        <v>5</v>
      </c>
      <c r="D1342">
        <v>1.3599999999999999E-2</v>
      </c>
      <c r="E1342">
        <v>7.2186673252425591</v>
      </c>
      <c r="F1342">
        <v>825.0515291655189</v>
      </c>
      <c r="G1342">
        <v>0.42399999999999999</v>
      </c>
      <c r="H1342">
        <v>1.9E-2</v>
      </c>
      <c r="I1342">
        <v>281.20139999999998</v>
      </c>
      <c r="J1342">
        <v>1.9E-2</v>
      </c>
    </row>
    <row r="1343" spans="1:10" x14ac:dyDescent="0.3">
      <c r="A1343" t="s">
        <v>9</v>
      </c>
      <c r="B1343" t="s">
        <v>1459</v>
      </c>
      <c r="C1343">
        <v>5</v>
      </c>
      <c r="D1343">
        <v>1.46E-2</v>
      </c>
      <c r="E1343">
        <v>7.2738441903682576</v>
      </c>
      <c r="F1343">
        <v>830.28781366594774</v>
      </c>
      <c r="G1343">
        <v>0.42399999999999999</v>
      </c>
      <c r="H1343">
        <v>1.9900000000000001E-2</v>
      </c>
      <c r="I1343">
        <v>281.4008</v>
      </c>
      <c r="J1343">
        <v>1.9900000000000001E-2</v>
      </c>
    </row>
    <row r="1344" spans="1:10" x14ac:dyDescent="0.3">
      <c r="A1344" t="s">
        <v>9</v>
      </c>
      <c r="B1344" t="s">
        <v>1460</v>
      </c>
      <c r="C1344">
        <v>5</v>
      </c>
      <c r="D1344">
        <v>1.5599999999999999E-2</v>
      </c>
      <c r="E1344">
        <v>7.3141443336778176</v>
      </c>
      <c r="F1344">
        <v>834.11229726602494</v>
      </c>
      <c r="G1344">
        <v>0.42399999999999999</v>
      </c>
      <c r="H1344">
        <v>2.0500000000000001E-2</v>
      </c>
      <c r="I1344">
        <v>281.59949999999998</v>
      </c>
      <c r="J1344">
        <v>2.0500000000000001E-2</v>
      </c>
    </row>
    <row r="1345" spans="1:10" x14ac:dyDescent="0.3">
      <c r="A1345" t="s">
        <v>9</v>
      </c>
      <c r="B1345" t="s">
        <v>1461</v>
      </c>
      <c r="C1345">
        <v>5</v>
      </c>
      <c r="D1345">
        <v>1.6199999999999999E-2</v>
      </c>
      <c r="E1345">
        <v>7.3389011612583026</v>
      </c>
      <c r="F1345">
        <v>836.46172020341305</v>
      </c>
      <c r="G1345">
        <v>0.42399999999999999</v>
      </c>
      <c r="H1345">
        <v>2.0899999999999998E-2</v>
      </c>
      <c r="I1345">
        <v>281.79899999999998</v>
      </c>
      <c r="J1345">
        <v>2.0899999999999998E-2</v>
      </c>
    </row>
    <row r="1346" spans="1:10" x14ac:dyDescent="0.3">
      <c r="A1346" t="s">
        <v>9</v>
      </c>
      <c r="B1346" t="s">
        <v>1462</v>
      </c>
      <c r="C1346">
        <v>5</v>
      </c>
      <c r="D1346">
        <v>1.6400000000000001E-2</v>
      </c>
      <c r="E1346">
        <v>7.3473025151975344</v>
      </c>
      <c r="F1346">
        <v>837.25900869224608</v>
      </c>
      <c r="G1346">
        <v>0.42399999999999999</v>
      </c>
      <c r="H1346">
        <v>2.1000000000000001E-2</v>
      </c>
      <c r="I1346">
        <v>282.00130000000001</v>
      </c>
      <c r="J1346">
        <v>2.1000000000000001E-2</v>
      </c>
    </row>
    <row r="1347" spans="1:10" x14ac:dyDescent="0.3">
      <c r="A1347" t="s">
        <v>9</v>
      </c>
      <c r="B1347" t="s">
        <v>1463</v>
      </c>
      <c r="C1347">
        <v>5</v>
      </c>
      <c r="D1347">
        <v>1.6400000000000001E-2</v>
      </c>
      <c r="E1347">
        <v>7.3388873752528054</v>
      </c>
      <c r="F1347">
        <v>731.98430337356137</v>
      </c>
      <c r="G1347">
        <v>0.42399999999999999</v>
      </c>
      <c r="H1347">
        <v>2.0899999999999998E-2</v>
      </c>
      <c r="I1347">
        <v>282.2011</v>
      </c>
      <c r="J1347">
        <v>2.0899999999999998E-2</v>
      </c>
    </row>
    <row r="1348" spans="1:10" x14ac:dyDescent="0.3">
      <c r="A1348" t="s">
        <v>9</v>
      </c>
      <c r="B1348" t="s">
        <v>1464</v>
      </c>
      <c r="C1348">
        <v>5</v>
      </c>
      <c r="D1348">
        <v>1.6299999999999999E-2</v>
      </c>
      <c r="E1348">
        <v>7.3143312556935518</v>
      </c>
      <c r="F1348">
        <v>729.695673030639</v>
      </c>
      <c r="G1348">
        <v>0.42399999999999999</v>
      </c>
      <c r="H1348">
        <v>2.0500000000000001E-2</v>
      </c>
      <c r="I1348">
        <v>282.39940000000001</v>
      </c>
      <c r="J1348">
        <v>2.0500000000000001E-2</v>
      </c>
    </row>
    <row r="1349" spans="1:10" x14ac:dyDescent="0.3">
      <c r="A1349" t="s">
        <v>9</v>
      </c>
      <c r="B1349" t="s">
        <v>1465</v>
      </c>
      <c r="C1349">
        <v>5</v>
      </c>
      <c r="D1349">
        <v>1.6400000000000001E-2</v>
      </c>
      <c r="E1349">
        <v>7.2739224462230014</v>
      </c>
      <c r="F1349">
        <v>725.92957198798376</v>
      </c>
      <c r="G1349">
        <v>0.42399999999999999</v>
      </c>
      <c r="H1349">
        <v>1.9900000000000001E-2</v>
      </c>
      <c r="I1349">
        <v>282.59879999999998</v>
      </c>
      <c r="J1349">
        <v>1.9900000000000001E-2</v>
      </c>
    </row>
    <row r="1350" spans="1:10" x14ac:dyDescent="0.3">
      <c r="A1350" t="s">
        <v>9</v>
      </c>
      <c r="B1350" t="s">
        <v>1466</v>
      </c>
      <c r="C1350">
        <v>5</v>
      </c>
      <c r="D1350">
        <v>1.6400000000000001E-2</v>
      </c>
      <c r="E1350">
        <v>7.2180473604658646</v>
      </c>
      <c r="F1350">
        <v>720.72201399541859</v>
      </c>
      <c r="G1350">
        <v>0.42399999999999999</v>
      </c>
      <c r="H1350">
        <v>1.9E-2</v>
      </c>
      <c r="I1350">
        <v>282.80059999999997</v>
      </c>
      <c r="J1350">
        <v>1.9E-2</v>
      </c>
    </row>
    <row r="1351" spans="1:10" x14ac:dyDescent="0.3">
      <c r="A1351" t="s">
        <v>9</v>
      </c>
      <c r="B1351" t="s">
        <v>1467</v>
      </c>
      <c r="C1351">
        <v>5</v>
      </c>
      <c r="D1351">
        <v>1.6299999999999999E-2</v>
      </c>
      <c r="E1351">
        <v>7.149644850417876</v>
      </c>
      <c r="F1351">
        <v>714.34690005894606</v>
      </c>
      <c r="G1351">
        <v>0.42399999999999999</v>
      </c>
      <c r="H1351">
        <v>1.7899999999999999E-2</v>
      </c>
      <c r="I1351">
        <v>282.99930000000001</v>
      </c>
      <c r="J1351">
        <v>1.7899999999999999E-2</v>
      </c>
    </row>
    <row r="1352" spans="1:10" x14ac:dyDescent="0.3">
      <c r="A1352" t="s">
        <v>9</v>
      </c>
      <c r="B1352" t="s">
        <v>1468</v>
      </c>
      <c r="C1352">
        <v>5</v>
      </c>
      <c r="D1352">
        <v>1.6299999999999999E-2</v>
      </c>
      <c r="E1352">
        <v>7.0683678331170654</v>
      </c>
      <c r="F1352">
        <v>706.77188204651054</v>
      </c>
      <c r="G1352">
        <v>0.42399999999999999</v>
      </c>
      <c r="H1352">
        <v>1.67E-2</v>
      </c>
      <c r="I1352">
        <v>283.20080000000002</v>
      </c>
      <c r="J1352">
        <v>1.67E-2</v>
      </c>
    </row>
    <row r="1353" spans="1:10" x14ac:dyDescent="0.3">
      <c r="A1353" t="s">
        <v>9</v>
      </c>
      <c r="B1353" t="s">
        <v>1469</v>
      </c>
      <c r="C1353">
        <v>5</v>
      </c>
      <c r="D1353">
        <v>1.6400000000000001E-2</v>
      </c>
      <c r="E1353">
        <v>6.9777702596868609</v>
      </c>
      <c r="F1353">
        <v>698.32818820281545</v>
      </c>
      <c r="G1353">
        <v>0.42399999999999999</v>
      </c>
      <c r="H1353">
        <v>1.5299999999999999E-2</v>
      </c>
      <c r="I1353">
        <v>283.40120000000002</v>
      </c>
      <c r="J1353">
        <v>1.5299999999999999E-2</v>
      </c>
    </row>
    <row r="1354" spans="1:10" x14ac:dyDescent="0.3">
      <c r="A1354" t="s">
        <v>9</v>
      </c>
      <c r="B1354" t="s">
        <v>1470</v>
      </c>
      <c r="C1354">
        <v>5</v>
      </c>
      <c r="D1354">
        <v>1.6299999999999999E-2</v>
      </c>
      <c r="E1354">
        <v>6.8805509434390082</v>
      </c>
      <c r="F1354">
        <v>689.26734792851562</v>
      </c>
      <c r="G1354">
        <v>0.42399999999999999</v>
      </c>
      <c r="H1354">
        <v>1.37E-2</v>
      </c>
      <c r="I1354">
        <v>283.59960000000001</v>
      </c>
      <c r="J1354">
        <v>1.37E-2</v>
      </c>
    </row>
    <row r="1355" spans="1:10" x14ac:dyDescent="0.3">
      <c r="A1355" t="s">
        <v>9</v>
      </c>
      <c r="B1355" t="s">
        <v>1471</v>
      </c>
      <c r="C1355">
        <v>5</v>
      </c>
      <c r="D1355">
        <v>1.6299999999999999E-2</v>
      </c>
      <c r="E1355">
        <v>6.7766450090535217</v>
      </c>
      <c r="F1355">
        <v>679.58331484378823</v>
      </c>
      <c r="G1355">
        <v>0.42399999999999999</v>
      </c>
      <c r="H1355">
        <v>1.21E-2</v>
      </c>
      <c r="I1355">
        <v>283.80110000000002</v>
      </c>
      <c r="J1355">
        <v>1.21E-2</v>
      </c>
    </row>
    <row r="1356" spans="1:10" x14ac:dyDescent="0.3">
      <c r="A1356" t="s">
        <v>9</v>
      </c>
      <c r="B1356" t="s">
        <v>1472</v>
      </c>
      <c r="C1356">
        <v>5</v>
      </c>
      <c r="D1356">
        <v>1.5900000000000001E-2</v>
      </c>
      <c r="E1356">
        <v>6.670461545465491</v>
      </c>
      <c r="F1356">
        <v>669.68701603738373</v>
      </c>
      <c r="G1356">
        <v>0.42399999999999999</v>
      </c>
      <c r="H1356">
        <v>1.0500000000000001E-2</v>
      </c>
      <c r="I1356">
        <v>284.00200000000001</v>
      </c>
      <c r="J1356">
        <v>1.0500000000000001E-2</v>
      </c>
    </row>
    <row r="1357" spans="1:10" x14ac:dyDescent="0.3">
      <c r="A1357" t="s">
        <v>9</v>
      </c>
      <c r="B1357" t="s">
        <v>1473</v>
      </c>
      <c r="C1357">
        <v>5</v>
      </c>
      <c r="D1357">
        <v>1.4999999999999999E-2</v>
      </c>
      <c r="E1357">
        <v>6.5647524826549164</v>
      </c>
      <c r="F1357">
        <v>659.83493138343817</v>
      </c>
      <c r="G1357">
        <v>0.42399999999999999</v>
      </c>
      <c r="H1357">
        <v>8.8000000000000005E-3</v>
      </c>
      <c r="I1357">
        <v>284.202</v>
      </c>
      <c r="J1357">
        <v>8.8000000000000005E-3</v>
      </c>
    </row>
    <row r="1358" spans="1:10" x14ac:dyDescent="0.3">
      <c r="A1358" t="s">
        <v>9</v>
      </c>
      <c r="B1358" t="s">
        <v>1474</v>
      </c>
      <c r="C1358">
        <v>5</v>
      </c>
      <c r="D1358">
        <v>1.43E-2</v>
      </c>
      <c r="E1358">
        <v>6.4628098376407488</v>
      </c>
      <c r="F1358">
        <v>650.33387686811784</v>
      </c>
      <c r="G1358">
        <v>0.42399999999999999</v>
      </c>
      <c r="H1358">
        <v>7.3000000000000001E-3</v>
      </c>
      <c r="I1358">
        <v>284.3997</v>
      </c>
      <c r="J1358">
        <v>7.3000000000000001E-3</v>
      </c>
    </row>
    <row r="1359" spans="1:10" x14ac:dyDescent="0.3">
      <c r="A1359" t="s">
        <v>9</v>
      </c>
      <c r="B1359" t="s">
        <v>1475</v>
      </c>
      <c r="C1359">
        <v>5</v>
      </c>
      <c r="D1359">
        <v>1.29E-2</v>
      </c>
      <c r="E1359">
        <v>6.3647151911378774</v>
      </c>
      <c r="F1359">
        <v>641.19145581405019</v>
      </c>
      <c r="G1359">
        <v>0.42399999999999999</v>
      </c>
      <c r="H1359">
        <v>5.7000000000000002E-3</v>
      </c>
      <c r="I1359">
        <v>284.60000000000002</v>
      </c>
      <c r="J1359">
        <v>5.7000000000000002E-3</v>
      </c>
    </row>
    <row r="1360" spans="1:10" x14ac:dyDescent="0.3">
      <c r="A1360" t="s">
        <v>9</v>
      </c>
      <c r="B1360" t="s">
        <v>1476</v>
      </c>
      <c r="C1360">
        <v>5</v>
      </c>
      <c r="D1360">
        <v>1.11E-2</v>
      </c>
      <c r="E1360">
        <v>6.2740435787487279</v>
      </c>
      <c r="F1360">
        <v>632.7408615393814</v>
      </c>
      <c r="G1360">
        <v>0.42399999999999999</v>
      </c>
      <c r="H1360">
        <v>4.3E-3</v>
      </c>
      <c r="I1360">
        <v>284.80059999999997</v>
      </c>
      <c r="J1360">
        <v>4.3E-3</v>
      </c>
    </row>
    <row r="1361" spans="1:10" x14ac:dyDescent="0.3">
      <c r="A1361" t="s">
        <v>9</v>
      </c>
      <c r="B1361" t="s">
        <v>1477</v>
      </c>
      <c r="C1361">
        <v>5</v>
      </c>
      <c r="D1361">
        <v>9.4000000000000004E-3</v>
      </c>
      <c r="E1361">
        <v>6.1933630089211134</v>
      </c>
      <c r="F1361">
        <v>625.22143243144774</v>
      </c>
      <c r="G1361">
        <v>0.42399999999999999</v>
      </c>
      <c r="H1361">
        <v>3.0999999999999999E-3</v>
      </c>
      <c r="I1361">
        <v>285.00080000000003</v>
      </c>
      <c r="J1361">
        <v>3.0999999999999999E-3</v>
      </c>
    </row>
    <row r="1362" spans="1:10" x14ac:dyDescent="0.3">
      <c r="A1362" t="s">
        <v>9</v>
      </c>
      <c r="B1362" t="s">
        <v>1478</v>
      </c>
      <c r="C1362">
        <v>5</v>
      </c>
      <c r="D1362">
        <v>7.7999999999999996E-3</v>
      </c>
      <c r="E1362">
        <v>6.1250380248805172</v>
      </c>
      <c r="F1362">
        <v>618.85354391886426</v>
      </c>
      <c r="G1362">
        <v>0.42399999999999999</v>
      </c>
      <c r="H1362">
        <v>2E-3</v>
      </c>
      <c r="I1362">
        <v>285.19920000000002</v>
      </c>
      <c r="J1362">
        <v>2E-3</v>
      </c>
    </row>
    <row r="1363" spans="1:10" x14ac:dyDescent="0.3">
      <c r="A1363" t="s">
        <v>9</v>
      </c>
      <c r="B1363" t="s">
        <v>1479</v>
      </c>
      <c r="C1363">
        <v>5</v>
      </c>
      <c r="D1363">
        <v>6.4999999999999997E-3</v>
      </c>
      <c r="E1363">
        <v>6.0690863051516386</v>
      </c>
      <c r="F1363">
        <v>613.63884364013279</v>
      </c>
      <c r="G1363">
        <v>0.42399999999999999</v>
      </c>
      <c r="H1363">
        <v>1.1000000000000001E-3</v>
      </c>
      <c r="I1363">
        <v>285.40120000000002</v>
      </c>
      <c r="J1363">
        <v>1.1000000000000001E-3</v>
      </c>
    </row>
    <row r="1364" spans="1:10" x14ac:dyDescent="0.3">
      <c r="A1364" t="s">
        <v>9</v>
      </c>
      <c r="B1364" t="s">
        <v>1480</v>
      </c>
      <c r="C1364">
        <v>5</v>
      </c>
      <c r="D1364">
        <v>5.7000000000000002E-3</v>
      </c>
      <c r="E1364">
        <v>6.028845417337477</v>
      </c>
      <c r="F1364">
        <v>609.88839289585292</v>
      </c>
      <c r="G1364">
        <v>0.42399999999999999</v>
      </c>
      <c r="H1364">
        <v>5.0000000000000001E-4</v>
      </c>
      <c r="I1364">
        <v>285.59980000000002</v>
      </c>
      <c r="J1364">
        <v>5.0000000000000001E-4</v>
      </c>
    </row>
    <row r="1365" spans="1:10" x14ac:dyDescent="0.3">
      <c r="A1365" t="s">
        <v>9</v>
      </c>
      <c r="B1365" t="s">
        <v>1481</v>
      </c>
      <c r="C1365">
        <v>5</v>
      </c>
      <c r="D1365">
        <v>5.1999999999999998E-3</v>
      </c>
      <c r="E1365">
        <v>6.0039151780266504</v>
      </c>
      <c r="F1365">
        <v>607.56489459208376</v>
      </c>
      <c r="G1365">
        <v>0.42399999999999999</v>
      </c>
      <c r="H1365">
        <v>1E-4</v>
      </c>
      <c r="I1365">
        <v>285.80169999999998</v>
      </c>
      <c r="J1365">
        <v>1E-4</v>
      </c>
    </row>
    <row r="1366" spans="1:10" x14ac:dyDescent="0.3">
      <c r="A1366" t="s">
        <v>9</v>
      </c>
      <c r="B1366" t="s">
        <v>1482</v>
      </c>
      <c r="C1366">
        <v>5</v>
      </c>
      <c r="D1366">
        <v>5.1999999999999998E-3</v>
      </c>
      <c r="E1366">
        <v>5.9957335240914063</v>
      </c>
      <c r="F1366">
        <v>606.80236444531909</v>
      </c>
      <c r="G1366">
        <v>0.42399999999999999</v>
      </c>
      <c r="H1366">
        <v>0</v>
      </c>
      <c r="I1366">
        <v>286.00049999999999</v>
      </c>
      <c r="J1366">
        <v>0</v>
      </c>
    </row>
    <row r="1367" spans="1:10" x14ac:dyDescent="0.3">
      <c r="A1367" t="s">
        <v>9</v>
      </c>
      <c r="B1367" t="s">
        <v>1483</v>
      </c>
      <c r="C1367">
        <v>5</v>
      </c>
      <c r="D1367">
        <v>5.1999999999999998E-3</v>
      </c>
      <c r="E1367">
        <v>6.0040557141885866</v>
      </c>
      <c r="F1367">
        <v>709.78488727649687</v>
      </c>
      <c r="G1367">
        <v>0.42399999999999999</v>
      </c>
      <c r="H1367">
        <v>1E-4</v>
      </c>
      <c r="I1367">
        <v>286.2</v>
      </c>
      <c r="J1367">
        <v>1E-4</v>
      </c>
    </row>
    <row r="1368" spans="1:10" x14ac:dyDescent="0.3">
      <c r="A1368" t="s">
        <v>9</v>
      </c>
      <c r="B1368" t="s">
        <v>1484</v>
      </c>
      <c r="C1368">
        <v>5</v>
      </c>
      <c r="D1368">
        <v>5.1999999999999998E-3</v>
      </c>
      <c r="E1368">
        <v>6.0287832627262148</v>
      </c>
      <c r="F1368">
        <v>712.13153163271784</v>
      </c>
      <c r="G1368">
        <v>0.42399999999999999</v>
      </c>
      <c r="H1368">
        <v>5.0000000000000001E-4</v>
      </c>
      <c r="I1368">
        <v>286.39980000000003</v>
      </c>
      <c r="J1368">
        <v>5.0000000000000001E-4</v>
      </c>
    </row>
    <row r="1369" spans="1:10" x14ac:dyDescent="0.3">
      <c r="A1369" t="s">
        <v>9</v>
      </c>
      <c r="B1369" t="s">
        <v>1485</v>
      </c>
      <c r="C1369">
        <v>5</v>
      </c>
      <c r="D1369">
        <v>5.1999999999999998E-3</v>
      </c>
      <c r="E1369">
        <v>5.9957334838115024</v>
      </c>
      <c r="F1369">
        <v>606.80236069123202</v>
      </c>
      <c r="G1369">
        <v>0.42399999999999999</v>
      </c>
      <c r="H1369">
        <v>0</v>
      </c>
      <c r="I1369">
        <v>286.60129999999998</v>
      </c>
      <c r="J1369">
        <v>0</v>
      </c>
    </row>
    <row r="1370" spans="1:10" x14ac:dyDescent="0.3">
      <c r="A1370" t="s">
        <v>9</v>
      </c>
      <c r="B1370" t="s">
        <v>1486</v>
      </c>
      <c r="C1370">
        <v>5</v>
      </c>
      <c r="D1370">
        <v>5.1999999999999998E-3</v>
      </c>
      <c r="E1370">
        <v>5.9957334838115024</v>
      </c>
      <c r="F1370">
        <v>606.80236069123202</v>
      </c>
      <c r="G1370">
        <v>0.42399999999999999</v>
      </c>
      <c r="H1370">
        <v>0</v>
      </c>
      <c r="I1370">
        <v>286.80059999999997</v>
      </c>
      <c r="J1370">
        <v>0</v>
      </c>
    </row>
    <row r="1371" spans="1:10" x14ac:dyDescent="0.3">
      <c r="A1371" t="s">
        <v>9</v>
      </c>
      <c r="B1371" t="s">
        <v>1487</v>
      </c>
      <c r="C1371">
        <v>5</v>
      </c>
      <c r="D1371">
        <v>5.1000000000000004E-3</v>
      </c>
      <c r="E1371">
        <v>5.9957334838115024</v>
      </c>
      <c r="F1371">
        <v>606.80236069123202</v>
      </c>
      <c r="G1371">
        <v>0.42399999999999999</v>
      </c>
      <c r="H1371">
        <v>0</v>
      </c>
      <c r="I1371">
        <v>286.99990000000003</v>
      </c>
      <c r="J1371">
        <v>0</v>
      </c>
    </row>
    <row r="1372" spans="1:10" x14ac:dyDescent="0.3">
      <c r="A1372" t="s">
        <v>9</v>
      </c>
      <c r="B1372" t="s">
        <v>1488</v>
      </c>
      <c r="C1372">
        <v>5</v>
      </c>
      <c r="D1372">
        <v>5.1000000000000004E-3</v>
      </c>
      <c r="E1372">
        <v>5.9957334838115024</v>
      </c>
      <c r="F1372">
        <v>606.80236069123202</v>
      </c>
      <c r="G1372">
        <v>0.42399999999999999</v>
      </c>
      <c r="H1372">
        <v>0</v>
      </c>
      <c r="I1372">
        <v>287.2</v>
      </c>
      <c r="J1372">
        <v>0</v>
      </c>
    </row>
    <row r="1373" spans="1:10" x14ac:dyDescent="0.3">
      <c r="A1373" t="s">
        <v>9</v>
      </c>
      <c r="B1373" t="s">
        <v>1489</v>
      </c>
      <c r="C1373">
        <v>5</v>
      </c>
      <c r="D1373">
        <v>5.0000000000000001E-3</v>
      </c>
      <c r="E1373">
        <v>5.9957334838115024</v>
      </c>
      <c r="F1373">
        <v>606.80236069123202</v>
      </c>
      <c r="G1373">
        <v>0.42399999999999999</v>
      </c>
      <c r="H1373">
        <v>0</v>
      </c>
      <c r="I1373">
        <v>287.40109999999999</v>
      </c>
      <c r="J1373">
        <v>0</v>
      </c>
    </row>
    <row r="1374" spans="1:10" x14ac:dyDescent="0.3">
      <c r="A1374" t="s">
        <v>9</v>
      </c>
      <c r="B1374" t="s">
        <v>1490</v>
      </c>
      <c r="C1374">
        <v>5</v>
      </c>
      <c r="D1374">
        <v>5.0000000000000001E-3</v>
      </c>
      <c r="E1374">
        <v>5.9957334838115024</v>
      </c>
      <c r="F1374">
        <v>606.80236069123202</v>
      </c>
      <c r="G1374">
        <v>0.42399999999999999</v>
      </c>
      <c r="H1374">
        <v>0</v>
      </c>
      <c r="I1374">
        <v>287.59930000000003</v>
      </c>
      <c r="J1374">
        <v>0</v>
      </c>
    </row>
    <row r="1375" spans="1:10" x14ac:dyDescent="0.3">
      <c r="A1375" t="s">
        <v>9</v>
      </c>
      <c r="B1375" t="s">
        <v>1491</v>
      </c>
      <c r="C1375">
        <v>5</v>
      </c>
      <c r="D1375">
        <v>5.0000000000000001E-3</v>
      </c>
      <c r="E1375">
        <v>5.9957334838115024</v>
      </c>
      <c r="F1375">
        <v>606.80236069123202</v>
      </c>
      <c r="G1375">
        <v>0.42399999999999999</v>
      </c>
      <c r="H1375">
        <v>0</v>
      </c>
      <c r="I1375">
        <v>287.8</v>
      </c>
      <c r="J1375">
        <v>0</v>
      </c>
    </row>
    <row r="1376" spans="1:10" x14ac:dyDescent="0.3">
      <c r="A1376" t="s">
        <v>9</v>
      </c>
      <c r="B1376" t="s">
        <v>1492</v>
      </c>
      <c r="C1376">
        <v>5</v>
      </c>
      <c r="D1376">
        <v>5.0000000000000001E-3</v>
      </c>
      <c r="E1376">
        <v>5.9957334838115024</v>
      </c>
      <c r="F1376">
        <v>606.80236069123202</v>
      </c>
      <c r="G1376">
        <v>0.42399999999999999</v>
      </c>
      <c r="H1376">
        <v>0</v>
      </c>
      <c r="I1376">
        <v>288.00130000000001</v>
      </c>
      <c r="J1376">
        <v>0</v>
      </c>
    </row>
    <row r="1377" spans="1:10" x14ac:dyDescent="0.3">
      <c r="A1377" t="s">
        <v>9</v>
      </c>
      <c r="B1377" t="s">
        <v>1493</v>
      </c>
      <c r="C1377">
        <v>5</v>
      </c>
      <c r="D1377">
        <v>5.0000000000000001E-3</v>
      </c>
      <c r="E1377">
        <v>5.9957334838115024</v>
      </c>
      <c r="F1377">
        <v>606.80236069123202</v>
      </c>
      <c r="G1377">
        <v>0.42399999999999999</v>
      </c>
      <c r="H1377">
        <v>0</v>
      </c>
      <c r="I1377">
        <v>288.20080000000002</v>
      </c>
      <c r="J1377">
        <v>0</v>
      </c>
    </row>
    <row r="1378" spans="1:10" x14ac:dyDescent="0.3">
      <c r="A1378" t="s">
        <v>9</v>
      </c>
      <c r="B1378" t="s">
        <v>1494</v>
      </c>
      <c r="C1378">
        <v>5</v>
      </c>
      <c r="D1378">
        <v>4.8999999999999998E-3</v>
      </c>
      <c r="E1378">
        <v>5.9957334838115024</v>
      </c>
      <c r="F1378">
        <v>606.80236069123202</v>
      </c>
      <c r="G1378">
        <v>0.42399999999999999</v>
      </c>
      <c r="H1378">
        <v>0</v>
      </c>
      <c r="I1378">
        <v>288.39940000000001</v>
      </c>
      <c r="J1378">
        <v>0</v>
      </c>
    </row>
    <row r="1379" spans="1:10" x14ac:dyDescent="0.3">
      <c r="A1379" t="s">
        <v>9</v>
      </c>
      <c r="B1379" t="s">
        <v>1495</v>
      </c>
      <c r="C1379">
        <v>5</v>
      </c>
      <c r="D1379">
        <v>4.8999999999999998E-3</v>
      </c>
      <c r="E1379">
        <v>5.9957334838115024</v>
      </c>
      <c r="F1379">
        <v>606.80236069123202</v>
      </c>
      <c r="G1379">
        <v>0.42399999999999999</v>
      </c>
      <c r="H1379">
        <v>0</v>
      </c>
      <c r="I1379">
        <v>288.59989999999999</v>
      </c>
      <c r="J1379">
        <v>0</v>
      </c>
    </row>
    <row r="1380" spans="1:10" x14ac:dyDescent="0.3">
      <c r="A1380" t="s">
        <v>9</v>
      </c>
      <c r="B1380" t="s">
        <v>1496</v>
      </c>
      <c r="C1380">
        <v>5</v>
      </c>
      <c r="D1380">
        <v>4.7999999999999996E-3</v>
      </c>
      <c r="E1380">
        <v>5.9957334838115024</v>
      </c>
      <c r="F1380">
        <v>606.80236069123202</v>
      </c>
      <c r="G1380">
        <v>0.42399999999999999</v>
      </c>
      <c r="H1380">
        <v>0</v>
      </c>
      <c r="I1380">
        <v>288.80029999999999</v>
      </c>
      <c r="J1380">
        <v>0</v>
      </c>
    </row>
    <row r="1381" spans="1:10" x14ac:dyDescent="0.3">
      <c r="A1381" t="s">
        <v>9</v>
      </c>
      <c r="B1381" t="s">
        <v>1497</v>
      </c>
      <c r="C1381">
        <v>5</v>
      </c>
      <c r="D1381">
        <v>4.7999999999999996E-3</v>
      </c>
      <c r="E1381">
        <v>5.9957334838115024</v>
      </c>
      <c r="F1381">
        <v>606.80236069123202</v>
      </c>
      <c r="G1381">
        <v>0.42399999999999999</v>
      </c>
      <c r="H1381">
        <v>0</v>
      </c>
      <c r="I1381">
        <v>288.99979999999999</v>
      </c>
      <c r="J1381">
        <v>0</v>
      </c>
    </row>
    <row r="1382" spans="1:10" x14ac:dyDescent="0.3">
      <c r="A1382" t="s">
        <v>9</v>
      </c>
      <c r="B1382" t="s">
        <v>1498</v>
      </c>
      <c r="C1382">
        <v>5</v>
      </c>
      <c r="D1382">
        <v>4.7999999999999996E-3</v>
      </c>
      <c r="E1382">
        <v>5.9957334838115024</v>
      </c>
      <c r="F1382">
        <v>606.80236069123202</v>
      </c>
      <c r="G1382">
        <v>0.42399999999999999</v>
      </c>
      <c r="H1382">
        <v>0</v>
      </c>
      <c r="I1382">
        <v>289.20010000000002</v>
      </c>
      <c r="J1382">
        <v>0</v>
      </c>
    </row>
    <row r="1383" spans="1:10" x14ac:dyDescent="0.3">
      <c r="A1383" t="s">
        <v>9</v>
      </c>
      <c r="B1383" t="s">
        <v>1499</v>
      </c>
      <c r="C1383">
        <v>5</v>
      </c>
      <c r="D1383">
        <v>4.7999999999999996E-3</v>
      </c>
      <c r="E1383">
        <v>5.9957334838115024</v>
      </c>
      <c r="F1383">
        <v>606.80236069123202</v>
      </c>
      <c r="G1383">
        <v>0.42399999999999999</v>
      </c>
      <c r="H1383">
        <v>0</v>
      </c>
      <c r="I1383">
        <v>289.4008</v>
      </c>
      <c r="J1383">
        <v>0</v>
      </c>
    </row>
    <row r="1384" spans="1:10" x14ac:dyDescent="0.3">
      <c r="A1384" t="s">
        <v>9</v>
      </c>
      <c r="B1384" t="s">
        <v>1500</v>
      </c>
      <c r="C1384">
        <v>5</v>
      </c>
      <c r="D1384">
        <v>4.7000000000000002E-3</v>
      </c>
      <c r="E1384">
        <v>5.9957334838115024</v>
      </c>
      <c r="F1384">
        <v>606.80236069123202</v>
      </c>
      <c r="G1384">
        <v>0.42399999999999999</v>
      </c>
      <c r="H1384">
        <v>0</v>
      </c>
      <c r="I1384">
        <v>289.59989999999999</v>
      </c>
      <c r="J1384">
        <v>0</v>
      </c>
    </row>
    <row r="1385" spans="1:10" x14ac:dyDescent="0.3">
      <c r="A1385" t="s">
        <v>9</v>
      </c>
      <c r="B1385" t="s">
        <v>1501</v>
      </c>
      <c r="C1385">
        <v>5</v>
      </c>
      <c r="D1385">
        <v>4.7999999999999996E-3</v>
      </c>
      <c r="E1385">
        <v>5.9957334838115024</v>
      </c>
      <c r="F1385">
        <v>606.80236069123202</v>
      </c>
      <c r="G1385">
        <v>0.42399999999999999</v>
      </c>
      <c r="H1385">
        <v>0</v>
      </c>
      <c r="I1385">
        <v>289.80040000000002</v>
      </c>
      <c r="J1385">
        <v>0</v>
      </c>
    </row>
    <row r="1386" spans="1:10" x14ac:dyDescent="0.3">
      <c r="A1386" t="s">
        <v>9</v>
      </c>
      <c r="B1386" t="s">
        <v>1502</v>
      </c>
      <c r="C1386">
        <v>5</v>
      </c>
      <c r="D1386">
        <v>4.7999999999999996E-3</v>
      </c>
      <c r="E1386">
        <v>5.9957334838115024</v>
      </c>
      <c r="F1386">
        <v>606.80236069123202</v>
      </c>
      <c r="G1386">
        <v>0.42399999999999999</v>
      </c>
      <c r="H1386">
        <v>0</v>
      </c>
      <c r="I1386">
        <v>290.00170000000003</v>
      </c>
      <c r="J1386">
        <v>0</v>
      </c>
    </row>
    <row r="1387" spans="1:10" x14ac:dyDescent="0.3">
      <c r="A1387" t="s">
        <v>9</v>
      </c>
      <c r="B1387" t="s">
        <v>1503</v>
      </c>
      <c r="C1387">
        <v>5</v>
      </c>
      <c r="D1387">
        <v>4.7999999999999996E-3</v>
      </c>
      <c r="E1387">
        <v>5.9957334838115024</v>
      </c>
      <c r="F1387">
        <v>606.80236069123202</v>
      </c>
      <c r="G1387">
        <v>0.42399999999999999</v>
      </c>
      <c r="H1387">
        <v>0</v>
      </c>
      <c r="I1387">
        <v>290.20049999999998</v>
      </c>
      <c r="J1387">
        <v>0</v>
      </c>
    </row>
    <row r="1388" spans="1:10" x14ac:dyDescent="0.3">
      <c r="A1388" t="s">
        <v>9</v>
      </c>
      <c r="B1388" t="s">
        <v>1504</v>
      </c>
      <c r="C1388">
        <v>5</v>
      </c>
      <c r="D1388">
        <v>4.7000000000000002E-3</v>
      </c>
      <c r="E1388">
        <v>5.9957334838115024</v>
      </c>
      <c r="F1388">
        <v>606.80236069123202</v>
      </c>
      <c r="G1388">
        <v>0.42399999999999999</v>
      </c>
      <c r="H1388">
        <v>0</v>
      </c>
      <c r="I1388">
        <v>290.4015</v>
      </c>
      <c r="J1388">
        <v>0</v>
      </c>
    </row>
    <row r="1389" spans="1:10" x14ac:dyDescent="0.3">
      <c r="A1389" t="s">
        <v>9</v>
      </c>
      <c r="B1389" t="s">
        <v>1505</v>
      </c>
      <c r="C1389">
        <v>5</v>
      </c>
      <c r="D1389">
        <v>4.7999999999999996E-3</v>
      </c>
      <c r="E1389">
        <v>5.9957334838115024</v>
      </c>
      <c r="F1389">
        <v>606.80236069123202</v>
      </c>
      <c r="G1389">
        <v>0.42399999999999999</v>
      </c>
      <c r="H1389">
        <v>0</v>
      </c>
      <c r="I1389">
        <v>290.59989999999999</v>
      </c>
      <c r="J1389">
        <v>0</v>
      </c>
    </row>
    <row r="1390" spans="1:10" x14ac:dyDescent="0.3">
      <c r="A1390" t="s">
        <v>9</v>
      </c>
      <c r="B1390" t="s">
        <v>1506</v>
      </c>
      <c r="C1390">
        <v>5</v>
      </c>
      <c r="D1390">
        <v>4.7000000000000002E-3</v>
      </c>
      <c r="E1390">
        <v>5.9957334838115024</v>
      </c>
      <c r="F1390">
        <v>606.80236069123202</v>
      </c>
      <c r="G1390">
        <v>0.42399999999999999</v>
      </c>
      <c r="H1390">
        <v>0</v>
      </c>
      <c r="I1390">
        <v>290.80119999999999</v>
      </c>
      <c r="J1390">
        <v>0</v>
      </c>
    </row>
    <row r="1391" spans="1:10" x14ac:dyDescent="0.3">
      <c r="A1391" t="s">
        <v>9</v>
      </c>
      <c r="B1391" t="s">
        <v>1507</v>
      </c>
      <c r="C1391">
        <v>5</v>
      </c>
      <c r="D1391">
        <v>4.7000000000000002E-3</v>
      </c>
      <c r="E1391">
        <v>5.9957334838115024</v>
      </c>
      <c r="F1391">
        <v>606.80236069123202</v>
      </c>
      <c r="G1391">
        <v>0.42399999999999999</v>
      </c>
      <c r="H1391">
        <v>0</v>
      </c>
      <c r="I1391">
        <v>291.00130000000001</v>
      </c>
      <c r="J1391">
        <v>0</v>
      </c>
    </row>
    <row r="1392" spans="1:10" x14ac:dyDescent="0.3">
      <c r="A1392" t="s">
        <v>9</v>
      </c>
      <c r="B1392" t="s">
        <v>1508</v>
      </c>
      <c r="C1392">
        <v>5</v>
      </c>
      <c r="D1392">
        <v>4.7000000000000002E-3</v>
      </c>
      <c r="E1392">
        <v>5.9957334838115024</v>
      </c>
      <c r="F1392">
        <v>606.80236069123202</v>
      </c>
      <c r="G1392">
        <v>0.42399999999999999</v>
      </c>
      <c r="H1392">
        <v>0</v>
      </c>
      <c r="I1392">
        <v>291.2</v>
      </c>
      <c r="J1392">
        <v>0</v>
      </c>
    </row>
    <row r="1393" spans="1:10" x14ac:dyDescent="0.3">
      <c r="A1393" t="s">
        <v>9</v>
      </c>
      <c r="B1393" t="s">
        <v>1509</v>
      </c>
      <c r="C1393">
        <v>5</v>
      </c>
      <c r="D1393">
        <v>4.7000000000000002E-3</v>
      </c>
      <c r="E1393">
        <v>6.9774381791426396</v>
      </c>
      <c r="F1393">
        <v>802.15888320063652</v>
      </c>
      <c r="G1393">
        <v>0.42399999999999999</v>
      </c>
      <c r="H1393">
        <v>1.5299999999999999E-2</v>
      </c>
      <c r="I1393">
        <v>291.40190000000001</v>
      </c>
      <c r="J1393">
        <v>1.5299999999999999E-2</v>
      </c>
    </row>
    <row r="1394" spans="1:10" x14ac:dyDescent="0.3">
      <c r="A1394" t="s">
        <v>9</v>
      </c>
      <c r="B1394" t="s">
        <v>1510</v>
      </c>
      <c r="C1394">
        <v>5</v>
      </c>
      <c r="D1394">
        <v>6.7000000000000002E-3</v>
      </c>
      <c r="E1394">
        <v>6.8790288062436504</v>
      </c>
      <c r="F1394">
        <v>689.12548474190817</v>
      </c>
      <c r="G1394">
        <v>0.42399999999999999</v>
      </c>
      <c r="H1394">
        <v>1.37E-2</v>
      </c>
      <c r="I1394">
        <v>291.6026</v>
      </c>
      <c r="J1394">
        <v>1.37E-2</v>
      </c>
    </row>
    <row r="1395" spans="1:10" x14ac:dyDescent="0.3">
      <c r="A1395" t="s">
        <v>9</v>
      </c>
      <c r="B1395" t="s">
        <v>1511</v>
      </c>
      <c r="C1395">
        <v>5</v>
      </c>
      <c r="D1395">
        <v>7.3000000000000001E-3</v>
      </c>
      <c r="E1395">
        <v>6.7761341159085662</v>
      </c>
      <c r="F1395">
        <v>679.53569960267839</v>
      </c>
      <c r="G1395">
        <v>0.42399999999999999</v>
      </c>
      <c r="H1395">
        <v>1.21E-2</v>
      </c>
      <c r="I1395">
        <v>291.8021</v>
      </c>
      <c r="J1395">
        <v>1.21E-2</v>
      </c>
    </row>
    <row r="1396" spans="1:10" x14ac:dyDescent="0.3">
      <c r="A1396" t="s">
        <v>9</v>
      </c>
      <c r="B1396" t="s">
        <v>1512</v>
      </c>
      <c r="C1396">
        <v>5</v>
      </c>
      <c r="D1396">
        <v>7.3000000000000001E-3</v>
      </c>
      <c r="E1396">
        <v>6.6699753860362838</v>
      </c>
      <c r="F1396">
        <v>669.64170597858163</v>
      </c>
      <c r="G1396">
        <v>0.42399999999999999</v>
      </c>
      <c r="H1396">
        <v>1.0500000000000001E-2</v>
      </c>
      <c r="I1396">
        <v>292.00290000000001</v>
      </c>
      <c r="J1396">
        <v>1.0500000000000001E-2</v>
      </c>
    </row>
    <row r="1397" spans="1:10" x14ac:dyDescent="0.3">
      <c r="A1397" t="s">
        <v>9</v>
      </c>
      <c r="B1397" t="s">
        <v>1513</v>
      </c>
      <c r="C1397">
        <v>5</v>
      </c>
      <c r="D1397">
        <v>7.3000000000000001E-3</v>
      </c>
      <c r="E1397">
        <v>6.5654531361108512</v>
      </c>
      <c r="F1397">
        <v>659.90023228553139</v>
      </c>
      <c r="G1397">
        <v>0.42399999999999999</v>
      </c>
      <c r="H1397">
        <v>8.8999999999999999E-3</v>
      </c>
      <c r="I1397">
        <v>292.20069999999998</v>
      </c>
      <c r="J1397">
        <v>8.8999999999999999E-3</v>
      </c>
    </row>
    <row r="1398" spans="1:10" x14ac:dyDescent="0.3">
      <c r="A1398" t="s">
        <v>9</v>
      </c>
      <c r="B1398" t="s">
        <v>1514</v>
      </c>
      <c r="C1398">
        <v>5</v>
      </c>
      <c r="D1398">
        <v>7.3000000000000001E-3</v>
      </c>
      <c r="E1398">
        <v>6.4622685341895467</v>
      </c>
      <c r="F1398">
        <v>650.28342738646575</v>
      </c>
      <c r="G1398">
        <v>0.42399999999999999</v>
      </c>
      <c r="H1398">
        <v>7.1999999999999998E-3</v>
      </c>
      <c r="I1398">
        <v>292.4008</v>
      </c>
      <c r="J1398">
        <v>7.1999999999999998E-3</v>
      </c>
    </row>
    <row r="1399" spans="1:10" x14ac:dyDescent="0.3">
      <c r="A1399" t="s">
        <v>9</v>
      </c>
      <c r="B1399" t="s">
        <v>1515</v>
      </c>
      <c r="C1399">
        <v>5</v>
      </c>
      <c r="D1399">
        <v>7.3000000000000001E-3</v>
      </c>
      <c r="E1399">
        <v>6.3641532897725792</v>
      </c>
      <c r="F1399">
        <v>641.13908660680443</v>
      </c>
      <c r="G1399">
        <v>0.42399999999999999</v>
      </c>
      <c r="H1399">
        <v>5.7000000000000002E-3</v>
      </c>
      <c r="I1399">
        <v>292.60120000000001</v>
      </c>
      <c r="J1399">
        <v>5.7000000000000002E-3</v>
      </c>
    </row>
    <row r="1400" spans="1:10" x14ac:dyDescent="0.3">
      <c r="A1400" t="s">
        <v>9</v>
      </c>
      <c r="B1400" t="s">
        <v>1516</v>
      </c>
      <c r="C1400">
        <v>5</v>
      </c>
      <c r="D1400">
        <v>7.1999999999999998E-3</v>
      </c>
      <c r="E1400">
        <v>6.2735669884292209</v>
      </c>
      <c r="F1400">
        <v>632.6964433216034</v>
      </c>
      <c r="G1400">
        <v>0.42399999999999999</v>
      </c>
      <c r="H1400">
        <v>4.3E-3</v>
      </c>
      <c r="I1400">
        <v>292.80169999999998</v>
      </c>
      <c r="J1400">
        <v>4.3E-3</v>
      </c>
    </row>
    <row r="1401" spans="1:10" x14ac:dyDescent="0.3">
      <c r="A1401" t="s">
        <v>9</v>
      </c>
      <c r="B1401" t="s">
        <v>1517</v>
      </c>
      <c r="C1401">
        <v>5</v>
      </c>
      <c r="D1401">
        <v>7.1999999999999998E-3</v>
      </c>
      <c r="E1401">
        <v>6.1937408265659286</v>
      </c>
      <c r="F1401">
        <v>625.25664503594453</v>
      </c>
      <c r="G1401">
        <v>0.42399999999999999</v>
      </c>
      <c r="H1401">
        <v>3.0999999999999999E-3</v>
      </c>
      <c r="I1401">
        <v>292.99979999999999</v>
      </c>
      <c r="J1401">
        <v>3.0999999999999999E-3</v>
      </c>
    </row>
    <row r="1402" spans="1:10" x14ac:dyDescent="0.3">
      <c r="A1402" t="s">
        <v>9</v>
      </c>
      <c r="B1402" t="s">
        <v>1518</v>
      </c>
      <c r="C1402">
        <v>5</v>
      </c>
      <c r="D1402">
        <v>7.1999999999999998E-3</v>
      </c>
      <c r="E1402">
        <v>6.1248369113885346</v>
      </c>
      <c r="F1402">
        <v>618.83480014141139</v>
      </c>
      <c r="G1402">
        <v>0.42399999999999999</v>
      </c>
      <c r="H1402">
        <v>2E-3</v>
      </c>
      <c r="I1402">
        <v>293.19990000000001</v>
      </c>
      <c r="J1402">
        <v>2E-3</v>
      </c>
    </row>
    <row r="1403" spans="1:10" x14ac:dyDescent="0.3">
      <c r="A1403" t="s">
        <v>9</v>
      </c>
      <c r="B1403" t="s">
        <v>1519</v>
      </c>
      <c r="C1403">
        <v>5</v>
      </c>
      <c r="D1403">
        <v>7.1999999999999998E-3</v>
      </c>
      <c r="E1403">
        <v>6.0693754057963609</v>
      </c>
      <c r="F1403">
        <v>613.66578782022088</v>
      </c>
      <c r="G1403">
        <v>0.42399999999999999</v>
      </c>
      <c r="H1403">
        <v>1.1000000000000001E-3</v>
      </c>
      <c r="I1403">
        <v>293.40010000000001</v>
      </c>
      <c r="J1403">
        <v>1.1000000000000001E-3</v>
      </c>
    </row>
    <row r="1404" spans="1:10" x14ac:dyDescent="0.3">
      <c r="A1404" t="s">
        <v>9</v>
      </c>
      <c r="B1404" t="s">
        <v>1520</v>
      </c>
      <c r="C1404">
        <v>5</v>
      </c>
      <c r="D1404">
        <v>6.8999999999999999E-3</v>
      </c>
      <c r="E1404">
        <v>6.0284760861954583</v>
      </c>
      <c r="F1404">
        <v>609.8539712334167</v>
      </c>
      <c r="G1404">
        <v>0.42399999999999999</v>
      </c>
      <c r="H1404">
        <v>5.0000000000000001E-4</v>
      </c>
      <c r="I1404">
        <v>293.60199999999998</v>
      </c>
      <c r="J1404">
        <v>5.0000000000000001E-4</v>
      </c>
    </row>
    <row r="1405" spans="1:10" x14ac:dyDescent="0.3">
      <c r="A1405" t="s">
        <v>9</v>
      </c>
      <c r="B1405" t="s">
        <v>1521</v>
      </c>
      <c r="C1405">
        <v>5</v>
      </c>
      <c r="D1405">
        <v>6.1000000000000004E-3</v>
      </c>
      <c r="E1405">
        <v>6.0040772649589469</v>
      </c>
      <c r="F1405">
        <v>607.58000109417389</v>
      </c>
      <c r="G1405">
        <v>0.42399999999999999</v>
      </c>
      <c r="H1405">
        <v>1E-4</v>
      </c>
      <c r="I1405">
        <v>293.79969999999997</v>
      </c>
      <c r="J1405">
        <v>1E-4</v>
      </c>
    </row>
    <row r="1406" spans="1:10" x14ac:dyDescent="0.3">
      <c r="A1406" t="s">
        <v>9</v>
      </c>
      <c r="B1406" t="s">
        <v>1522</v>
      </c>
      <c r="C1406">
        <v>5</v>
      </c>
      <c r="D1406">
        <v>5.3E-3</v>
      </c>
      <c r="E1406">
        <v>5.9957335643713243</v>
      </c>
      <c r="F1406">
        <v>606.8023681994074</v>
      </c>
      <c r="G1406">
        <v>0.42399999999999999</v>
      </c>
      <c r="H1406">
        <v>0</v>
      </c>
      <c r="I1406">
        <v>294.00069999999999</v>
      </c>
      <c r="J1406">
        <v>0</v>
      </c>
    </row>
    <row r="1407" spans="1:10" x14ac:dyDescent="0.3">
      <c r="A1407" t="s">
        <v>9</v>
      </c>
      <c r="B1407" t="s">
        <v>1523</v>
      </c>
      <c r="C1407">
        <v>5</v>
      </c>
      <c r="D1407">
        <v>5.1000000000000004E-3</v>
      </c>
      <c r="E1407">
        <v>6.0040431081029686</v>
      </c>
      <c r="F1407">
        <v>709.78369095897187</v>
      </c>
      <c r="G1407">
        <v>0.42399999999999999</v>
      </c>
      <c r="H1407">
        <v>1E-4</v>
      </c>
      <c r="I1407">
        <v>294.19990000000001</v>
      </c>
      <c r="J1407">
        <v>1E-4</v>
      </c>
    </row>
    <row r="1408" spans="1:10" x14ac:dyDescent="0.3">
      <c r="A1408" t="s">
        <v>9</v>
      </c>
      <c r="B1408" t="s">
        <v>1524</v>
      </c>
      <c r="C1408">
        <v>5</v>
      </c>
      <c r="D1408">
        <v>5.1000000000000004E-3</v>
      </c>
      <c r="E1408">
        <v>6.0289592045940399</v>
      </c>
      <c r="F1408">
        <v>712.14822851597444</v>
      </c>
      <c r="G1408">
        <v>0.42399999999999999</v>
      </c>
      <c r="H1408">
        <v>5.0000000000000001E-4</v>
      </c>
      <c r="I1408">
        <v>294.40089999999998</v>
      </c>
      <c r="J1408">
        <v>5.0000000000000001E-4</v>
      </c>
    </row>
    <row r="1409" spans="1:10" x14ac:dyDescent="0.3">
      <c r="A1409" t="s">
        <v>9</v>
      </c>
      <c r="B1409" t="s">
        <v>1525</v>
      </c>
      <c r="C1409">
        <v>5</v>
      </c>
      <c r="D1409">
        <v>5.1000000000000004E-3</v>
      </c>
      <c r="E1409">
        <v>6.0698434406830444</v>
      </c>
      <c r="F1409">
        <v>716.02814252082089</v>
      </c>
      <c r="G1409">
        <v>0.42399999999999999</v>
      </c>
      <c r="H1409">
        <v>1.1999999999999999E-3</v>
      </c>
      <c r="I1409">
        <v>294.6019</v>
      </c>
      <c r="J1409">
        <v>1.1999999999999999E-3</v>
      </c>
    </row>
    <row r="1410" spans="1:10" x14ac:dyDescent="0.3">
      <c r="A1410" t="s">
        <v>9</v>
      </c>
      <c r="B1410" t="s">
        <v>1526</v>
      </c>
      <c r="C1410">
        <v>5</v>
      </c>
      <c r="D1410">
        <v>5.1000000000000004E-3</v>
      </c>
      <c r="E1410">
        <v>6.1253879866848102</v>
      </c>
      <c r="F1410">
        <v>721.29931993638854</v>
      </c>
      <c r="G1410">
        <v>0.42399999999999999</v>
      </c>
      <c r="H1410">
        <v>2E-3</v>
      </c>
      <c r="I1410">
        <v>294.80189999999999</v>
      </c>
      <c r="J1410">
        <v>2E-3</v>
      </c>
    </row>
    <row r="1411" spans="1:10" x14ac:dyDescent="0.3">
      <c r="A1411" t="s">
        <v>9</v>
      </c>
      <c r="B1411" t="s">
        <v>1527</v>
      </c>
      <c r="C1411">
        <v>5</v>
      </c>
      <c r="D1411">
        <v>5.1000000000000004E-3</v>
      </c>
      <c r="E1411">
        <v>6.19394380522336</v>
      </c>
      <c r="F1411">
        <v>727.80526711569689</v>
      </c>
      <c r="G1411">
        <v>0.42399999999999999</v>
      </c>
      <c r="H1411">
        <v>3.0999999999999999E-3</v>
      </c>
      <c r="I1411">
        <v>295.00069999999999</v>
      </c>
      <c r="J1411">
        <v>3.0999999999999999E-3</v>
      </c>
    </row>
    <row r="1412" spans="1:10" x14ac:dyDescent="0.3">
      <c r="A1412" t="s">
        <v>9</v>
      </c>
      <c r="B1412" t="s">
        <v>1528</v>
      </c>
      <c r="C1412">
        <v>5</v>
      </c>
      <c r="D1412">
        <v>5.1000000000000004E-3</v>
      </c>
      <c r="E1412">
        <v>6.27482504252513</v>
      </c>
      <c r="F1412">
        <v>735.48089653563488</v>
      </c>
      <c r="G1412">
        <v>0.42399999999999999</v>
      </c>
      <c r="H1412">
        <v>4.3E-3</v>
      </c>
      <c r="I1412">
        <v>295.20119999999997</v>
      </c>
      <c r="J1412">
        <v>4.3E-3</v>
      </c>
    </row>
    <row r="1413" spans="1:10" x14ac:dyDescent="0.3">
      <c r="A1413" t="s">
        <v>9</v>
      </c>
      <c r="B1413" t="s">
        <v>1529</v>
      </c>
      <c r="C1413">
        <v>5</v>
      </c>
      <c r="D1413">
        <v>5.1000000000000004E-3</v>
      </c>
      <c r="E1413">
        <v>6.3647671319409476</v>
      </c>
      <c r="F1413">
        <v>744.01640082119593</v>
      </c>
      <c r="G1413">
        <v>0.42399999999999999</v>
      </c>
      <c r="H1413">
        <v>5.7000000000000002E-3</v>
      </c>
      <c r="I1413">
        <v>295.40010000000001</v>
      </c>
      <c r="J1413">
        <v>5.7000000000000002E-3</v>
      </c>
    </row>
    <row r="1414" spans="1:10" x14ac:dyDescent="0.3">
      <c r="A1414" t="s">
        <v>9</v>
      </c>
      <c r="B1414" t="s">
        <v>1530</v>
      </c>
      <c r="C1414">
        <v>5</v>
      </c>
      <c r="D1414">
        <v>5.1000000000000004E-3</v>
      </c>
      <c r="E1414">
        <v>6.4638559521756527</v>
      </c>
      <c r="F1414">
        <v>753.41992986146943</v>
      </c>
      <c r="G1414">
        <v>0.42399999999999999</v>
      </c>
      <c r="H1414">
        <v>7.3000000000000001E-3</v>
      </c>
      <c r="I1414">
        <v>295.60230000000001</v>
      </c>
      <c r="J1414">
        <v>7.3000000000000001E-3</v>
      </c>
    </row>
    <row r="1415" spans="1:10" x14ac:dyDescent="0.3">
      <c r="A1415" t="s">
        <v>9</v>
      </c>
      <c r="B1415" t="s">
        <v>1531</v>
      </c>
      <c r="C1415">
        <v>5</v>
      </c>
      <c r="D1415">
        <v>5.1999999999999998E-3</v>
      </c>
      <c r="E1415">
        <v>6.5668572813179749</v>
      </c>
      <c r="F1415">
        <v>763.19475599707584</v>
      </c>
      <c r="G1415">
        <v>0.42399999999999999</v>
      </c>
      <c r="H1415">
        <v>8.8999999999999999E-3</v>
      </c>
      <c r="I1415">
        <v>295.80200000000002</v>
      </c>
      <c r="J1415">
        <v>8.8999999999999999E-3</v>
      </c>
    </row>
    <row r="1416" spans="1:10" x14ac:dyDescent="0.3">
      <c r="A1416" t="s">
        <v>9</v>
      </c>
      <c r="B1416" t="s">
        <v>1532</v>
      </c>
      <c r="C1416">
        <v>5</v>
      </c>
      <c r="D1416">
        <v>5.1999999999999998E-3</v>
      </c>
      <c r="E1416">
        <v>6.6726750102895371</v>
      </c>
      <c r="F1416">
        <v>773.2368584764771</v>
      </c>
      <c r="G1416">
        <v>0.42399999999999999</v>
      </c>
      <c r="H1416">
        <v>1.0500000000000001E-2</v>
      </c>
      <c r="I1416">
        <v>296.00220000000002</v>
      </c>
      <c r="J1416">
        <v>1.0500000000000001E-2</v>
      </c>
    </row>
    <row r="1417" spans="1:10" x14ac:dyDescent="0.3">
      <c r="A1417" t="s">
        <v>9</v>
      </c>
      <c r="B1417" t="s">
        <v>1533</v>
      </c>
      <c r="C1417">
        <v>5</v>
      </c>
      <c r="D1417">
        <v>6.0000000000000001E-3</v>
      </c>
      <c r="E1417">
        <v>6.7782202629171264</v>
      </c>
      <c r="F1417">
        <v>783.25310295083523</v>
      </c>
      <c r="G1417">
        <v>0.42399999999999999</v>
      </c>
      <c r="H1417">
        <v>1.2200000000000001E-2</v>
      </c>
      <c r="I1417">
        <v>296.20190000000002</v>
      </c>
      <c r="J1417">
        <v>1.2200000000000001E-2</v>
      </c>
    </row>
    <row r="1418" spans="1:10" x14ac:dyDescent="0.3">
      <c r="A1418" t="s">
        <v>9</v>
      </c>
      <c r="B1418" t="s">
        <v>1534</v>
      </c>
      <c r="C1418">
        <v>5</v>
      </c>
      <c r="D1418">
        <v>7.1999999999999998E-3</v>
      </c>
      <c r="E1418">
        <v>6.8814397353229291</v>
      </c>
      <c r="F1418">
        <v>793.04863088214597</v>
      </c>
      <c r="G1418">
        <v>0.42399999999999999</v>
      </c>
      <c r="H1418">
        <v>1.38E-2</v>
      </c>
      <c r="I1418">
        <v>296.40219999999999</v>
      </c>
      <c r="J1418">
        <v>1.38E-2</v>
      </c>
    </row>
    <row r="1419" spans="1:10" x14ac:dyDescent="0.3">
      <c r="A1419" t="s">
        <v>9</v>
      </c>
      <c r="B1419" t="s">
        <v>1535</v>
      </c>
      <c r="C1419">
        <v>5</v>
      </c>
      <c r="D1419">
        <v>8.8000000000000005E-3</v>
      </c>
      <c r="E1419">
        <v>6.9784567216665474</v>
      </c>
      <c r="F1419">
        <v>802.25554288615535</v>
      </c>
      <c r="G1419">
        <v>0.42399999999999999</v>
      </c>
      <c r="H1419">
        <v>1.5299999999999999E-2</v>
      </c>
      <c r="I1419">
        <v>296.6003</v>
      </c>
      <c r="J1419">
        <v>1.5299999999999999E-2</v>
      </c>
    </row>
    <row r="1420" spans="1:10" x14ac:dyDescent="0.3">
      <c r="A1420" t="s">
        <v>9</v>
      </c>
      <c r="B1420" t="s">
        <v>1536</v>
      </c>
      <c r="C1420">
        <v>5</v>
      </c>
      <c r="D1420">
        <v>1.09E-2</v>
      </c>
      <c r="E1420">
        <v>7.0688904849137701</v>
      </c>
      <c r="F1420">
        <v>810.83770701831679</v>
      </c>
      <c r="G1420">
        <v>0.42399999999999999</v>
      </c>
      <c r="H1420">
        <v>1.67E-2</v>
      </c>
      <c r="I1420">
        <v>296.80040000000002</v>
      </c>
      <c r="J1420">
        <v>1.67E-2</v>
      </c>
    </row>
    <row r="1421" spans="1:10" x14ac:dyDescent="0.3">
      <c r="A1421" t="s">
        <v>9</v>
      </c>
      <c r="B1421" t="s">
        <v>1537</v>
      </c>
      <c r="C1421">
        <v>5</v>
      </c>
      <c r="D1421">
        <v>1.23E-2</v>
      </c>
      <c r="E1421">
        <v>7.1497952800661126</v>
      </c>
      <c r="F1421">
        <v>818.51557207827409</v>
      </c>
      <c r="G1421">
        <v>0.42399999999999999</v>
      </c>
      <c r="H1421">
        <v>1.7899999999999999E-2</v>
      </c>
      <c r="I1421">
        <v>297.00110000000001</v>
      </c>
      <c r="J1421">
        <v>1.7899999999999999E-2</v>
      </c>
    </row>
    <row r="1422" spans="1:10" x14ac:dyDescent="0.3">
      <c r="A1422" t="s">
        <v>9</v>
      </c>
      <c r="B1422" t="s">
        <v>1538</v>
      </c>
      <c r="C1422">
        <v>5</v>
      </c>
      <c r="D1422">
        <v>1.37E-2</v>
      </c>
      <c r="E1422">
        <v>7.2186811112480571</v>
      </c>
      <c r="F1422">
        <v>825.05283745744066</v>
      </c>
      <c r="G1422">
        <v>0.42399999999999999</v>
      </c>
      <c r="H1422">
        <v>1.9E-2</v>
      </c>
      <c r="I1422">
        <v>297.20139999999998</v>
      </c>
      <c r="J1422">
        <v>1.9E-2</v>
      </c>
    </row>
    <row r="1423" spans="1:10" x14ac:dyDescent="0.3">
      <c r="A1423" t="s">
        <v>9</v>
      </c>
      <c r="B1423" t="s">
        <v>1539</v>
      </c>
      <c r="C1423">
        <v>5</v>
      </c>
      <c r="D1423">
        <v>1.46E-2</v>
      </c>
      <c r="E1423">
        <v>7.273626047104778</v>
      </c>
      <c r="F1423">
        <v>830.26711187024353</v>
      </c>
      <c r="G1423">
        <v>0.42399999999999999</v>
      </c>
      <c r="H1423">
        <v>1.9900000000000001E-2</v>
      </c>
      <c r="I1423">
        <v>297.3999</v>
      </c>
      <c r="J1423">
        <v>1.9900000000000001E-2</v>
      </c>
    </row>
    <row r="1424" spans="1:10" x14ac:dyDescent="0.3">
      <c r="A1424" t="s">
        <v>9</v>
      </c>
      <c r="B1424" t="s">
        <v>1540</v>
      </c>
      <c r="C1424">
        <v>5</v>
      </c>
      <c r="D1424">
        <v>1.54E-2</v>
      </c>
      <c r="E1424">
        <v>7.3143458526405496</v>
      </c>
      <c r="F1424">
        <v>834.13142141558819</v>
      </c>
      <c r="G1424">
        <v>0.42399999999999999</v>
      </c>
      <c r="H1424">
        <v>2.0500000000000001E-2</v>
      </c>
      <c r="I1424">
        <v>297.60070000000002</v>
      </c>
      <c r="J1424">
        <v>2.0500000000000001E-2</v>
      </c>
    </row>
    <row r="1425" spans="1:10" x14ac:dyDescent="0.3">
      <c r="A1425" t="s">
        <v>9</v>
      </c>
      <c r="B1425" t="s">
        <v>1541</v>
      </c>
      <c r="C1425">
        <v>5</v>
      </c>
      <c r="D1425">
        <v>1.6E-2</v>
      </c>
      <c r="E1425">
        <v>7.3392433785712701</v>
      </c>
      <c r="F1425">
        <v>836.49419662641355</v>
      </c>
      <c r="G1425">
        <v>0.42399999999999999</v>
      </c>
      <c r="H1425">
        <v>2.0899999999999998E-2</v>
      </c>
      <c r="I1425">
        <v>297.8032</v>
      </c>
      <c r="J1425">
        <v>2.0899999999999998E-2</v>
      </c>
    </row>
    <row r="1426" spans="1:10" x14ac:dyDescent="0.3">
      <c r="A1426" t="s">
        <v>9</v>
      </c>
      <c r="B1426" t="s">
        <v>1542</v>
      </c>
      <c r="C1426">
        <v>5</v>
      </c>
      <c r="D1426">
        <v>1.61E-2</v>
      </c>
      <c r="E1426">
        <v>7.3473025151975344</v>
      </c>
      <c r="F1426">
        <v>837.25900869224608</v>
      </c>
      <c r="G1426">
        <v>0.42399999999999999</v>
      </c>
      <c r="H1426">
        <v>2.1000000000000001E-2</v>
      </c>
      <c r="I1426">
        <v>298.00020000000001</v>
      </c>
      <c r="J1426">
        <v>2.1000000000000001E-2</v>
      </c>
    </row>
    <row r="1427" spans="1:10" x14ac:dyDescent="0.3">
      <c r="A1427" t="s">
        <v>9</v>
      </c>
      <c r="B1427" t="s">
        <v>1543</v>
      </c>
      <c r="C1427">
        <v>5</v>
      </c>
      <c r="D1427">
        <v>1.61E-2</v>
      </c>
      <c r="E1427">
        <v>7.3389680639320467</v>
      </c>
      <c r="F1427">
        <v>731.99182355846676</v>
      </c>
      <c r="G1427">
        <v>0.42399999999999999</v>
      </c>
      <c r="H1427">
        <v>2.0899999999999998E-2</v>
      </c>
      <c r="I1427">
        <v>298.2002</v>
      </c>
      <c r="J1427">
        <v>2.0899999999999998E-2</v>
      </c>
    </row>
    <row r="1428" spans="1:10" x14ac:dyDescent="0.3">
      <c r="A1428" t="s">
        <v>9</v>
      </c>
      <c r="B1428" t="s">
        <v>1544</v>
      </c>
      <c r="C1428">
        <v>5</v>
      </c>
      <c r="D1428">
        <v>1.61E-2</v>
      </c>
      <c r="E1428">
        <v>7.3137838701811022</v>
      </c>
      <c r="F1428">
        <v>729.64465670087873</v>
      </c>
      <c r="G1428">
        <v>0.42399999999999999</v>
      </c>
      <c r="H1428">
        <v>2.0500000000000001E-2</v>
      </c>
      <c r="I1428">
        <v>298.40269999999998</v>
      </c>
      <c r="J1428">
        <v>2.0500000000000001E-2</v>
      </c>
    </row>
    <row r="1429" spans="1:10" x14ac:dyDescent="0.3">
      <c r="A1429" t="s">
        <v>9</v>
      </c>
      <c r="B1429" t="s">
        <v>1545</v>
      </c>
      <c r="C1429">
        <v>5</v>
      </c>
      <c r="D1429">
        <v>1.61E-2</v>
      </c>
      <c r="E1429">
        <v>7.2730020276205849</v>
      </c>
      <c r="F1429">
        <v>725.84378897423858</v>
      </c>
      <c r="G1429">
        <v>0.42399999999999999</v>
      </c>
      <c r="H1429">
        <v>1.9800000000000002E-2</v>
      </c>
      <c r="I1429">
        <v>298.60270000000003</v>
      </c>
      <c r="J1429">
        <v>1.9800000000000002E-2</v>
      </c>
    </row>
    <row r="1430" spans="1:10" x14ac:dyDescent="0.3">
      <c r="A1430" t="s">
        <v>9</v>
      </c>
      <c r="B1430" t="s">
        <v>1546</v>
      </c>
      <c r="C1430">
        <v>5</v>
      </c>
      <c r="D1430">
        <v>1.61E-2</v>
      </c>
      <c r="E1430">
        <v>7.2182148198856</v>
      </c>
      <c r="F1430">
        <v>720.73762121333789</v>
      </c>
      <c r="G1430">
        <v>0.42399999999999999</v>
      </c>
      <c r="H1430">
        <v>1.9E-2</v>
      </c>
      <c r="I1430">
        <v>298.80009999999999</v>
      </c>
      <c r="J1430">
        <v>1.9E-2</v>
      </c>
    </row>
    <row r="1431" spans="1:10" x14ac:dyDescent="0.3">
      <c r="A1431" t="s">
        <v>9</v>
      </c>
      <c r="B1431" t="s">
        <v>1547</v>
      </c>
      <c r="C1431">
        <v>5</v>
      </c>
      <c r="D1431">
        <v>1.61E-2</v>
      </c>
      <c r="E1431">
        <v>7.1487013199827141</v>
      </c>
      <c r="F1431">
        <v>714.25896302238903</v>
      </c>
      <c r="G1431">
        <v>0.42399999999999999</v>
      </c>
      <c r="H1431">
        <v>1.7899999999999999E-2</v>
      </c>
      <c r="I1431">
        <v>299.0018</v>
      </c>
      <c r="J1431">
        <v>1.7899999999999999E-2</v>
      </c>
    </row>
    <row r="1432" spans="1:10" x14ac:dyDescent="0.3">
      <c r="A1432" t="s">
        <v>9</v>
      </c>
      <c r="B1432" t="s">
        <v>1548</v>
      </c>
      <c r="C1432">
        <v>5</v>
      </c>
      <c r="D1432">
        <v>1.6E-2</v>
      </c>
      <c r="E1432">
        <v>7.0684902852835547</v>
      </c>
      <c r="F1432">
        <v>706.78329458842734</v>
      </c>
      <c r="G1432">
        <v>0.42399999999999999</v>
      </c>
      <c r="H1432">
        <v>1.67E-2</v>
      </c>
      <c r="I1432">
        <v>299.20060000000001</v>
      </c>
      <c r="J1432">
        <v>1.67E-2</v>
      </c>
    </row>
    <row r="1433" spans="1:10" x14ac:dyDescent="0.3">
      <c r="A1433" t="s">
        <v>9</v>
      </c>
      <c r="B1433" t="s">
        <v>1549</v>
      </c>
      <c r="C1433">
        <v>5</v>
      </c>
      <c r="D1433">
        <v>1.6E-2</v>
      </c>
      <c r="E1433">
        <v>6.9777949934026067</v>
      </c>
      <c r="F1433">
        <v>698.33049338512296</v>
      </c>
      <c r="G1433">
        <v>0.42399999999999999</v>
      </c>
      <c r="H1433">
        <v>1.5299999999999999E-2</v>
      </c>
      <c r="I1433">
        <v>299.40109999999999</v>
      </c>
      <c r="J1433">
        <v>1.5299999999999999E-2</v>
      </c>
    </row>
    <row r="1434" spans="1:10" x14ac:dyDescent="0.3">
      <c r="A1434" t="s">
        <v>9</v>
      </c>
      <c r="B1434" t="s">
        <v>1550</v>
      </c>
      <c r="C1434">
        <v>5</v>
      </c>
      <c r="D1434">
        <v>1.6E-2</v>
      </c>
      <c r="E1434">
        <v>6.8798121757325763</v>
      </c>
      <c r="F1434">
        <v>689.19849477827609</v>
      </c>
      <c r="G1434">
        <v>0.42399999999999999</v>
      </c>
      <c r="H1434">
        <v>1.37E-2</v>
      </c>
      <c r="I1434">
        <v>299.601</v>
      </c>
      <c r="J1434">
        <v>1.37E-2</v>
      </c>
    </row>
    <row r="1435" spans="1:10" x14ac:dyDescent="0.3">
      <c r="A1435" t="s">
        <v>9</v>
      </c>
      <c r="B1435" t="s">
        <v>1551</v>
      </c>
      <c r="C1435">
        <v>5</v>
      </c>
      <c r="D1435">
        <v>1.5900000000000001E-2</v>
      </c>
      <c r="E1435">
        <v>6.7760201786278271</v>
      </c>
      <c r="F1435">
        <v>679.52508064811354</v>
      </c>
      <c r="G1435">
        <v>0.42399999999999999</v>
      </c>
      <c r="H1435">
        <v>1.21E-2</v>
      </c>
      <c r="I1435">
        <v>299.8023</v>
      </c>
      <c r="J1435">
        <v>1.21E-2</v>
      </c>
    </row>
    <row r="1436" spans="1:10" x14ac:dyDescent="0.3">
      <c r="A1436" t="s">
        <v>9</v>
      </c>
      <c r="B1436" t="s">
        <v>1552</v>
      </c>
      <c r="C1436">
        <v>5</v>
      </c>
      <c r="D1436">
        <v>1.5800000000000002E-2</v>
      </c>
      <c r="E1436">
        <v>6.6710251498079378</v>
      </c>
      <c r="F1436">
        <v>669.73954396209979</v>
      </c>
      <c r="G1436">
        <v>0.42399999999999999</v>
      </c>
      <c r="H1436">
        <v>1.0500000000000001E-2</v>
      </c>
      <c r="I1436">
        <v>300.0009</v>
      </c>
      <c r="J1436">
        <v>1.0500000000000001E-2</v>
      </c>
    </row>
    <row r="1437" spans="1:10" x14ac:dyDescent="0.3">
      <c r="A1437" t="s">
        <v>9</v>
      </c>
      <c r="B1437" t="s">
        <v>1553</v>
      </c>
      <c r="C1437">
        <v>5</v>
      </c>
      <c r="D1437">
        <v>1.5100000000000001E-2</v>
      </c>
      <c r="E1437">
        <v>6.5654515142278527</v>
      </c>
      <c r="F1437">
        <v>659.90008112603584</v>
      </c>
      <c r="G1437">
        <v>0.42399999999999999</v>
      </c>
      <c r="H1437">
        <v>8.8999999999999999E-3</v>
      </c>
      <c r="I1437">
        <v>300.20069999999998</v>
      </c>
      <c r="J1437">
        <v>8.8999999999999999E-3</v>
      </c>
    </row>
    <row r="1438" spans="1:10" x14ac:dyDescent="0.3">
      <c r="A1438" t="s">
        <v>9</v>
      </c>
      <c r="B1438" t="s">
        <v>1554</v>
      </c>
      <c r="C1438">
        <v>5</v>
      </c>
      <c r="D1438">
        <v>1.4E-2</v>
      </c>
      <c r="E1438">
        <v>6.4616887110171017</v>
      </c>
      <c r="F1438">
        <v>650.2293878667939</v>
      </c>
      <c r="G1438">
        <v>0.42399999999999999</v>
      </c>
      <c r="H1438">
        <v>7.1999999999999998E-3</v>
      </c>
      <c r="I1438">
        <v>300.40199999999999</v>
      </c>
      <c r="J1438">
        <v>7.1999999999999998E-3</v>
      </c>
    </row>
    <row r="1439" spans="1:10" x14ac:dyDescent="0.3">
      <c r="A1439" t="s">
        <v>9</v>
      </c>
      <c r="B1439" t="s">
        <v>1555</v>
      </c>
      <c r="C1439">
        <v>5</v>
      </c>
      <c r="D1439">
        <v>1.23E-2</v>
      </c>
      <c r="E1439">
        <v>6.3638028414033858</v>
      </c>
      <c r="F1439">
        <v>641.10642481879563</v>
      </c>
      <c r="G1439">
        <v>0.42399999999999999</v>
      </c>
      <c r="H1439">
        <v>5.7000000000000002E-3</v>
      </c>
      <c r="I1439">
        <v>300.6019</v>
      </c>
      <c r="J1439">
        <v>5.7000000000000002E-3</v>
      </c>
    </row>
    <row r="1440" spans="1:10" x14ac:dyDescent="0.3">
      <c r="A1440" t="s">
        <v>9</v>
      </c>
      <c r="B1440" t="s">
        <v>1556</v>
      </c>
      <c r="C1440">
        <v>5</v>
      </c>
      <c r="D1440">
        <v>1.06E-2</v>
      </c>
      <c r="E1440">
        <v>6.2735072220406769</v>
      </c>
      <c r="F1440">
        <v>632.69087309419115</v>
      </c>
      <c r="G1440">
        <v>0.42399999999999999</v>
      </c>
      <c r="H1440">
        <v>4.3E-3</v>
      </c>
      <c r="I1440">
        <v>300.80180000000001</v>
      </c>
      <c r="J1440">
        <v>4.3E-3</v>
      </c>
    </row>
    <row r="1441" spans="1:10" x14ac:dyDescent="0.3">
      <c r="A1441" t="s">
        <v>9</v>
      </c>
      <c r="B1441" t="s">
        <v>1557</v>
      </c>
      <c r="C1441">
        <v>5</v>
      </c>
      <c r="D1441">
        <v>9.1000000000000004E-3</v>
      </c>
      <c r="E1441">
        <v>6.1931492852888059</v>
      </c>
      <c r="F1441">
        <v>625.20151338891674</v>
      </c>
      <c r="G1441">
        <v>0.42399999999999999</v>
      </c>
      <c r="H1441">
        <v>3.0999999999999999E-3</v>
      </c>
      <c r="I1441">
        <v>301.00139999999999</v>
      </c>
      <c r="J1441">
        <v>3.0999999999999999E-3</v>
      </c>
    </row>
    <row r="1442" spans="1:10" x14ac:dyDescent="0.3">
      <c r="A1442" t="s">
        <v>9</v>
      </c>
      <c r="B1442" t="s">
        <v>1558</v>
      </c>
      <c r="C1442">
        <v>5</v>
      </c>
      <c r="D1442">
        <v>7.7999999999999996E-3</v>
      </c>
      <c r="E1442">
        <v>6.1243997328259274</v>
      </c>
      <c r="F1442">
        <v>618.79405509937635</v>
      </c>
      <c r="G1442">
        <v>0.42399999999999999</v>
      </c>
      <c r="H1442">
        <v>2E-3</v>
      </c>
      <c r="I1442">
        <v>301.2013</v>
      </c>
      <c r="J1442">
        <v>2E-3</v>
      </c>
    </row>
    <row r="1443" spans="1:10" x14ac:dyDescent="0.3">
      <c r="A1443" t="s">
        <v>9</v>
      </c>
      <c r="B1443" t="s">
        <v>1559</v>
      </c>
      <c r="C1443">
        <v>5</v>
      </c>
      <c r="D1443">
        <v>7.1000000000000004E-3</v>
      </c>
      <c r="E1443">
        <v>6.0688605795851336</v>
      </c>
      <c r="F1443">
        <v>613.61780601733449</v>
      </c>
      <c r="G1443">
        <v>0.42399999999999999</v>
      </c>
      <c r="H1443">
        <v>1.1000000000000001E-3</v>
      </c>
      <c r="I1443">
        <v>301.40219999999999</v>
      </c>
      <c r="J1443">
        <v>1.1000000000000001E-3</v>
      </c>
    </row>
    <row r="1444" spans="1:10" x14ac:dyDescent="0.3">
      <c r="A1444" t="s">
        <v>9</v>
      </c>
      <c r="B1444" t="s">
        <v>1560</v>
      </c>
      <c r="C1444">
        <v>5</v>
      </c>
      <c r="D1444">
        <v>6.4000000000000003E-3</v>
      </c>
      <c r="E1444">
        <v>6.0286501791166627</v>
      </c>
      <c r="F1444">
        <v>609.87019669367294</v>
      </c>
      <c r="G1444">
        <v>0.42399999999999999</v>
      </c>
      <c r="H1444">
        <v>5.0000000000000001E-4</v>
      </c>
      <c r="I1444">
        <v>301.601</v>
      </c>
      <c r="J1444">
        <v>5.0000000000000001E-4</v>
      </c>
    </row>
    <row r="1445" spans="1:10" x14ac:dyDescent="0.3">
      <c r="A1445" t="s">
        <v>9</v>
      </c>
      <c r="B1445" t="s">
        <v>1561</v>
      </c>
      <c r="C1445">
        <v>5</v>
      </c>
      <c r="D1445">
        <v>5.7000000000000002E-3</v>
      </c>
      <c r="E1445">
        <v>6.0040028691857454</v>
      </c>
      <c r="F1445">
        <v>607.57306740811146</v>
      </c>
      <c r="G1445">
        <v>0.42399999999999999</v>
      </c>
      <c r="H1445">
        <v>1E-4</v>
      </c>
      <c r="I1445">
        <v>301.80059999999997</v>
      </c>
      <c r="J1445">
        <v>1E-4</v>
      </c>
    </row>
    <row r="1446" spans="1:10" x14ac:dyDescent="0.3">
      <c r="A1446" t="s">
        <v>9</v>
      </c>
      <c r="B1446" t="s">
        <v>1562</v>
      </c>
      <c r="C1446">
        <v>5</v>
      </c>
      <c r="D1446">
        <v>5.7000000000000002E-3</v>
      </c>
      <c r="E1446">
        <v>5.995734208849564</v>
      </c>
      <c r="F1446">
        <v>606.80242826477934</v>
      </c>
      <c r="G1446">
        <v>0.42399999999999999</v>
      </c>
      <c r="H1446">
        <v>0</v>
      </c>
      <c r="I1446">
        <v>302.00189999999998</v>
      </c>
      <c r="J1446">
        <v>0</v>
      </c>
    </row>
    <row r="1447" spans="1:10" x14ac:dyDescent="0.3">
      <c r="A1447" t="s">
        <v>9</v>
      </c>
      <c r="B1447" t="s">
        <v>1563</v>
      </c>
      <c r="C1447">
        <v>5</v>
      </c>
      <c r="D1447">
        <v>5.1999999999999998E-3</v>
      </c>
      <c r="E1447">
        <v>6.0043131435130306</v>
      </c>
      <c r="F1447">
        <v>709.80931731938676</v>
      </c>
      <c r="G1447">
        <v>0.42399999999999999</v>
      </c>
      <c r="H1447">
        <v>1E-4</v>
      </c>
      <c r="I1447">
        <v>302.20310000000001</v>
      </c>
      <c r="J1447">
        <v>1E-4</v>
      </c>
    </row>
    <row r="1448" spans="1:10" x14ac:dyDescent="0.3">
      <c r="A1448" t="s">
        <v>9</v>
      </c>
      <c r="B1448" t="s">
        <v>1564</v>
      </c>
      <c r="C1448">
        <v>5</v>
      </c>
      <c r="D1448">
        <v>5.1999999999999998E-3</v>
      </c>
      <c r="E1448">
        <v>6.0290588206478901</v>
      </c>
      <c r="F1448">
        <v>712.15768207948486</v>
      </c>
      <c r="G1448">
        <v>0.42399999999999999</v>
      </c>
      <c r="H1448">
        <v>5.0000000000000001E-4</v>
      </c>
      <c r="I1448">
        <v>302.4015</v>
      </c>
      <c r="J1448">
        <v>5.0000000000000001E-4</v>
      </c>
    </row>
    <row r="1449" spans="1:10" x14ac:dyDescent="0.3">
      <c r="A1449" t="s">
        <v>9</v>
      </c>
      <c r="B1449" t="s">
        <v>1565</v>
      </c>
      <c r="C1449">
        <v>5</v>
      </c>
      <c r="D1449">
        <v>5.1999999999999998E-3</v>
      </c>
      <c r="E1449">
        <v>6.0695768031178687</v>
      </c>
      <c r="F1449">
        <v>716.00283861588582</v>
      </c>
      <c r="G1449">
        <v>0.42399999999999999</v>
      </c>
      <c r="H1449">
        <v>1.1000000000000001E-3</v>
      </c>
      <c r="I1449">
        <v>302.60079999999999</v>
      </c>
      <c r="J1449">
        <v>1.1000000000000001E-3</v>
      </c>
    </row>
    <row r="1450" spans="1:10" x14ac:dyDescent="0.3">
      <c r="A1450" t="s">
        <v>9</v>
      </c>
      <c r="B1450" t="s">
        <v>1566</v>
      </c>
      <c r="C1450">
        <v>5</v>
      </c>
      <c r="D1450">
        <v>5.1999999999999998E-3</v>
      </c>
      <c r="E1450">
        <v>6.1253282608433413</v>
      </c>
      <c r="F1450">
        <v>721.29365195403307</v>
      </c>
      <c r="G1450">
        <v>0.42399999999999999</v>
      </c>
      <c r="H1450">
        <v>2E-3</v>
      </c>
      <c r="I1450">
        <v>302.80169999999998</v>
      </c>
      <c r="J1450">
        <v>2E-3</v>
      </c>
    </row>
    <row r="1451" spans="1:10" x14ac:dyDescent="0.3">
      <c r="A1451" t="s">
        <v>9</v>
      </c>
      <c r="B1451" t="s">
        <v>1567</v>
      </c>
      <c r="C1451">
        <v>5</v>
      </c>
      <c r="D1451">
        <v>5.3E-3</v>
      </c>
      <c r="E1451">
        <v>6.1946751528150674</v>
      </c>
      <c r="F1451">
        <v>727.87467200214996</v>
      </c>
      <c r="G1451">
        <v>0.42399999999999999</v>
      </c>
      <c r="H1451">
        <v>3.0999999999999999E-3</v>
      </c>
      <c r="I1451">
        <v>303.0027</v>
      </c>
      <c r="J1451">
        <v>3.0999999999999999E-3</v>
      </c>
    </row>
    <row r="1452" spans="1:10" x14ac:dyDescent="0.3">
      <c r="A1452" t="s">
        <v>9</v>
      </c>
      <c r="B1452" t="s">
        <v>1568</v>
      </c>
      <c r="C1452">
        <v>5</v>
      </c>
      <c r="D1452">
        <v>5.3E-3</v>
      </c>
      <c r="E1452">
        <v>6.27472626985044</v>
      </c>
      <c r="F1452">
        <v>735.4715230088068</v>
      </c>
      <c r="G1452">
        <v>0.42399999999999999</v>
      </c>
      <c r="H1452">
        <v>4.3E-3</v>
      </c>
      <c r="I1452">
        <v>303.20100000000002</v>
      </c>
      <c r="J1452">
        <v>4.3E-3</v>
      </c>
    </row>
    <row r="1453" spans="1:10" x14ac:dyDescent="0.3">
      <c r="A1453" t="s">
        <v>9</v>
      </c>
      <c r="B1453" t="s">
        <v>1569</v>
      </c>
      <c r="C1453">
        <v>5</v>
      </c>
      <c r="D1453">
        <v>5.3E-3</v>
      </c>
      <c r="E1453">
        <v>6.3658350202551253</v>
      </c>
      <c r="F1453">
        <v>744.11774342221145</v>
      </c>
      <c r="G1453">
        <v>0.42399999999999999</v>
      </c>
      <c r="H1453">
        <v>5.7999999999999996E-3</v>
      </c>
      <c r="I1453">
        <v>303.40230000000003</v>
      </c>
      <c r="J1453">
        <v>5.7999999999999996E-3</v>
      </c>
    </row>
    <row r="1454" spans="1:10" x14ac:dyDescent="0.3">
      <c r="A1454" t="s">
        <v>9</v>
      </c>
      <c r="B1454" t="s">
        <v>1570</v>
      </c>
      <c r="C1454">
        <v>5</v>
      </c>
      <c r="D1454">
        <v>5.3E-3</v>
      </c>
      <c r="E1454">
        <v>6.4631609753102159</v>
      </c>
      <c r="F1454">
        <v>753.35397655693953</v>
      </c>
      <c r="G1454">
        <v>0.42399999999999999</v>
      </c>
      <c r="H1454">
        <v>7.3000000000000001E-3</v>
      </c>
      <c r="I1454">
        <v>303.60090000000002</v>
      </c>
      <c r="J1454">
        <v>7.3000000000000001E-3</v>
      </c>
    </row>
    <row r="1455" spans="1:10" x14ac:dyDescent="0.3">
      <c r="A1455" t="s">
        <v>9</v>
      </c>
      <c r="B1455" t="s">
        <v>1571</v>
      </c>
      <c r="C1455">
        <v>5</v>
      </c>
      <c r="D1455">
        <v>5.3E-3</v>
      </c>
      <c r="E1455">
        <v>6.5670827230549529</v>
      </c>
      <c r="F1455">
        <v>763.21615041791506</v>
      </c>
      <c r="G1455">
        <v>0.42399999999999999</v>
      </c>
      <c r="H1455">
        <v>8.8999999999999999E-3</v>
      </c>
      <c r="I1455">
        <v>303.80239999999998</v>
      </c>
      <c r="J1455">
        <v>8.8999999999999999E-3</v>
      </c>
    </row>
    <row r="1456" spans="1:10" x14ac:dyDescent="0.3">
      <c r="A1456" t="s">
        <v>9</v>
      </c>
      <c r="B1456" t="s">
        <v>1572</v>
      </c>
      <c r="C1456">
        <v>5</v>
      </c>
      <c r="D1456">
        <v>5.4000000000000003E-3</v>
      </c>
      <c r="E1456">
        <v>6.6735431231652091</v>
      </c>
      <c r="F1456">
        <v>773.31924238837837</v>
      </c>
      <c r="G1456">
        <v>0.42399999999999999</v>
      </c>
      <c r="H1456">
        <v>1.0500000000000001E-2</v>
      </c>
      <c r="I1456">
        <v>304.00380000000001</v>
      </c>
      <c r="J1456">
        <v>1.0500000000000001E-2</v>
      </c>
    </row>
    <row r="1457" spans="1:10" x14ac:dyDescent="0.3">
      <c r="A1457" t="s">
        <v>9</v>
      </c>
      <c r="B1457" t="s">
        <v>1573</v>
      </c>
      <c r="C1457">
        <v>5</v>
      </c>
      <c r="D1457">
        <v>5.5999999999999999E-3</v>
      </c>
      <c r="E1457">
        <v>6.7781201116418854</v>
      </c>
      <c r="F1457">
        <v>783.2435985948149</v>
      </c>
      <c r="G1457">
        <v>0.42399999999999999</v>
      </c>
      <c r="H1457">
        <v>1.2200000000000001E-2</v>
      </c>
      <c r="I1457">
        <v>304.20170000000002</v>
      </c>
      <c r="J1457">
        <v>1.2200000000000001E-2</v>
      </c>
    </row>
    <row r="1458" spans="1:10" x14ac:dyDescent="0.3">
      <c r="A1458" t="s">
        <v>9</v>
      </c>
      <c r="B1458" t="s">
        <v>1574</v>
      </c>
      <c r="C1458">
        <v>5</v>
      </c>
      <c r="D1458">
        <v>7.0000000000000001E-3</v>
      </c>
      <c r="E1458">
        <v>6.8812061841709493</v>
      </c>
      <c r="F1458">
        <v>793.02646687782317</v>
      </c>
      <c r="G1458">
        <v>0.42399999999999999</v>
      </c>
      <c r="H1458">
        <v>1.38E-2</v>
      </c>
      <c r="I1458">
        <v>304.40170000000001</v>
      </c>
      <c r="J1458">
        <v>1.38E-2</v>
      </c>
    </row>
    <row r="1459" spans="1:10" x14ac:dyDescent="0.3">
      <c r="A1459" t="s">
        <v>9</v>
      </c>
      <c r="B1459" t="s">
        <v>1575</v>
      </c>
      <c r="C1459">
        <v>5</v>
      </c>
      <c r="D1459">
        <v>9.2999999999999992E-3</v>
      </c>
      <c r="E1459">
        <v>6.9788897644275067</v>
      </c>
      <c r="F1459">
        <v>802.29663864417046</v>
      </c>
      <c r="G1459">
        <v>0.42399999999999999</v>
      </c>
      <c r="H1459">
        <v>1.5299999999999999E-2</v>
      </c>
      <c r="I1459">
        <v>304.60120000000001</v>
      </c>
      <c r="J1459">
        <v>1.5299999999999999E-2</v>
      </c>
    </row>
    <row r="1460" spans="1:10" x14ac:dyDescent="0.3">
      <c r="A1460" t="s">
        <v>9</v>
      </c>
      <c r="B1460" t="s">
        <v>1576</v>
      </c>
      <c r="C1460">
        <v>5</v>
      </c>
      <c r="D1460">
        <v>1.09E-2</v>
      </c>
      <c r="E1460">
        <v>7.0688252041230264</v>
      </c>
      <c r="F1460">
        <v>810.83151187127521</v>
      </c>
      <c r="G1460">
        <v>0.42399999999999999</v>
      </c>
      <c r="H1460">
        <v>1.67E-2</v>
      </c>
      <c r="I1460">
        <v>304.80020000000002</v>
      </c>
      <c r="J1460">
        <v>1.67E-2</v>
      </c>
    </row>
    <row r="1461" spans="1:10" x14ac:dyDescent="0.3">
      <c r="A1461" t="s">
        <v>9</v>
      </c>
      <c r="B1461" t="s">
        <v>1577</v>
      </c>
      <c r="C1461">
        <v>5</v>
      </c>
      <c r="D1461">
        <v>1.23E-2</v>
      </c>
      <c r="E1461">
        <v>7.1498183918988598</v>
      </c>
      <c r="F1461">
        <v>818.51776539120181</v>
      </c>
      <c r="G1461">
        <v>0.42399999999999999</v>
      </c>
      <c r="H1461">
        <v>1.7899999999999999E-2</v>
      </c>
      <c r="I1461">
        <v>305.00119999999998</v>
      </c>
      <c r="J1461">
        <v>1.7899999999999999E-2</v>
      </c>
    </row>
    <row r="1462" spans="1:10" x14ac:dyDescent="0.3">
      <c r="A1462" t="s">
        <v>9</v>
      </c>
      <c r="B1462" t="s">
        <v>1578</v>
      </c>
      <c r="C1462">
        <v>5</v>
      </c>
      <c r="D1462">
        <v>1.38E-2</v>
      </c>
      <c r="E1462">
        <v>7.3143782903005494</v>
      </c>
      <c r="F1462">
        <v>834.13449974952209</v>
      </c>
      <c r="G1462">
        <v>0.42399999999999999</v>
      </c>
      <c r="H1462">
        <v>2.0500000000000001E-2</v>
      </c>
      <c r="I1462">
        <v>305.60090000000002</v>
      </c>
      <c r="J1462">
        <v>2.0500000000000001E-2</v>
      </c>
    </row>
    <row r="1463" spans="1:10" x14ac:dyDescent="0.3">
      <c r="A1463" t="s">
        <v>9</v>
      </c>
      <c r="B1463" t="s">
        <v>1579</v>
      </c>
      <c r="C1463">
        <v>5</v>
      </c>
      <c r="D1463">
        <v>1.54E-2</v>
      </c>
      <c r="E1463">
        <v>7.3390986255135342</v>
      </c>
      <c r="F1463">
        <v>836.4804595612344</v>
      </c>
      <c r="G1463">
        <v>0.42399999999999999</v>
      </c>
      <c r="H1463">
        <v>2.0899999999999998E-2</v>
      </c>
      <c r="I1463">
        <v>305.8014</v>
      </c>
      <c r="J1463">
        <v>2.0899999999999998E-2</v>
      </c>
    </row>
    <row r="1464" spans="1:10" x14ac:dyDescent="0.3">
      <c r="A1464" t="s">
        <v>9</v>
      </c>
      <c r="B1464" t="s">
        <v>1580</v>
      </c>
      <c r="C1464">
        <v>5</v>
      </c>
      <c r="D1464">
        <v>1.6500000000000001E-2</v>
      </c>
      <c r="E1464">
        <v>7.3473012987852826</v>
      </c>
      <c r="F1464">
        <v>837.25889325472349</v>
      </c>
      <c r="G1464">
        <v>0.42399999999999999</v>
      </c>
      <c r="H1464">
        <v>2.1000000000000001E-2</v>
      </c>
      <c r="I1464">
        <v>306.00259999999997</v>
      </c>
      <c r="J1464">
        <v>2.1000000000000001E-2</v>
      </c>
    </row>
    <row r="1465" spans="1:10" x14ac:dyDescent="0.3">
      <c r="A1465" t="s">
        <v>9</v>
      </c>
      <c r="B1465" t="s">
        <v>1581</v>
      </c>
      <c r="C1465">
        <v>5</v>
      </c>
      <c r="D1465">
        <v>1.67E-2</v>
      </c>
      <c r="E1465">
        <v>7.3389206238543023</v>
      </c>
      <c r="F1465">
        <v>731.98740214322095</v>
      </c>
      <c r="G1465">
        <v>0.42399999999999999</v>
      </c>
      <c r="H1465">
        <v>2.0899999999999998E-2</v>
      </c>
      <c r="I1465">
        <v>306.20069999999998</v>
      </c>
      <c r="J1465">
        <v>2.0899999999999998E-2</v>
      </c>
    </row>
    <row r="1466" spans="1:10" x14ac:dyDescent="0.3">
      <c r="A1466" t="s">
        <v>9</v>
      </c>
      <c r="B1466" t="s">
        <v>1582</v>
      </c>
      <c r="C1466">
        <v>5</v>
      </c>
      <c r="D1466">
        <v>1.67E-2</v>
      </c>
      <c r="E1466">
        <v>7.3137992780695988</v>
      </c>
      <c r="F1466">
        <v>729.64609271608663</v>
      </c>
      <c r="G1466">
        <v>0.42399999999999999</v>
      </c>
      <c r="H1466">
        <v>2.0500000000000001E-2</v>
      </c>
      <c r="I1466">
        <v>306.40260000000001</v>
      </c>
      <c r="J1466">
        <v>2.0500000000000001E-2</v>
      </c>
    </row>
    <row r="1467" spans="1:10" x14ac:dyDescent="0.3">
      <c r="A1467" t="s">
        <v>9</v>
      </c>
      <c r="B1467" t="s">
        <v>1583</v>
      </c>
      <c r="C1467">
        <v>5</v>
      </c>
      <c r="D1467">
        <v>1.66E-2</v>
      </c>
      <c r="E1467">
        <v>7.2733207276300567</v>
      </c>
      <c r="F1467">
        <v>725.87349181512127</v>
      </c>
      <c r="G1467">
        <v>0.42399999999999999</v>
      </c>
      <c r="H1467">
        <v>1.9900000000000001E-2</v>
      </c>
      <c r="I1467">
        <v>306.60129999999998</v>
      </c>
      <c r="J1467">
        <v>1.9900000000000001E-2</v>
      </c>
    </row>
    <row r="1468" spans="1:10" x14ac:dyDescent="0.3">
      <c r="A1468" t="s">
        <v>9</v>
      </c>
      <c r="B1468" t="s">
        <v>1584</v>
      </c>
      <c r="C1468">
        <v>5</v>
      </c>
      <c r="D1468">
        <v>1.66E-2</v>
      </c>
      <c r="E1468">
        <v>7.2172789933946868</v>
      </c>
      <c r="F1468">
        <v>720.6504021843848</v>
      </c>
      <c r="G1468">
        <v>0.42399999999999999</v>
      </c>
      <c r="H1468">
        <v>1.9E-2</v>
      </c>
      <c r="I1468">
        <v>306.80309999999997</v>
      </c>
      <c r="J1468">
        <v>1.9E-2</v>
      </c>
    </row>
    <row r="1469" spans="1:10" x14ac:dyDescent="0.3">
      <c r="A1469" t="s">
        <v>9</v>
      </c>
      <c r="B1469" t="s">
        <v>1585</v>
      </c>
      <c r="C1469">
        <v>5</v>
      </c>
      <c r="D1469">
        <v>1.67E-2</v>
      </c>
      <c r="E1469">
        <v>7.1485760295209744</v>
      </c>
      <c r="F1469">
        <v>714.2472859513548</v>
      </c>
      <c r="G1469">
        <v>0.42399999999999999</v>
      </c>
      <c r="H1469">
        <v>1.7899999999999999E-2</v>
      </c>
      <c r="I1469">
        <v>307.00209999999998</v>
      </c>
      <c r="J1469">
        <v>1.7899999999999999E-2</v>
      </c>
    </row>
    <row r="1470" spans="1:10" x14ac:dyDescent="0.3">
      <c r="A1470" t="s">
        <v>9</v>
      </c>
      <c r="B1470" t="s">
        <v>1586</v>
      </c>
      <c r="C1470">
        <v>5</v>
      </c>
      <c r="D1470">
        <v>1.66E-2</v>
      </c>
      <c r="E1470">
        <v>7.0682133487613319</v>
      </c>
      <c r="F1470">
        <v>706.75748410455617</v>
      </c>
      <c r="G1470">
        <v>0.42399999999999999</v>
      </c>
      <c r="H1470">
        <v>1.67E-2</v>
      </c>
      <c r="I1470">
        <v>307.20119999999997</v>
      </c>
      <c r="J1470">
        <v>1.67E-2</v>
      </c>
    </row>
    <row r="1471" spans="1:10" x14ac:dyDescent="0.3">
      <c r="A1471" t="s">
        <v>9</v>
      </c>
      <c r="B1471" t="s">
        <v>1587</v>
      </c>
      <c r="C1471">
        <v>5</v>
      </c>
      <c r="D1471">
        <v>1.66E-2</v>
      </c>
      <c r="E1471">
        <v>6.973354683219763</v>
      </c>
      <c r="F1471">
        <v>697.91665647608193</v>
      </c>
      <c r="G1471">
        <v>0.42399999999999999</v>
      </c>
      <c r="H1471">
        <v>1.52E-2</v>
      </c>
      <c r="I1471">
        <v>307.41050000000001</v>
      </c>
      <c r="J1471">
        <v>1.52E-2</v>
      </c>
    </row>
    <row r="1472" spans="1:10" x14ac:dyDescent="0.3">
      <c r="A1472" t="s">
        <v>9</v>
      </c>
      <c r="B1472" t="s">
        <v>1588</v>
      </c>
      <c r="C1472">
        <v>5</v>
      </c>
      <c r="D1472">
        <v>1.66E-2</v>
      </c>
      <c r="E1472">
        <v>6.8794768514223579</v>
      </c>
      <c r="F1472">
        <v>689.16724255256372</v>
      </c>
      <c r="G1472">
        <v>0.42399999999999999</v>
      </c>
      <c r="H1472">
        <v>1.37E-2</v>
      </c>
      <c r="I1472">
        <v>307.60169999999999</v>
      </c>
      <c r="J1472">
        <v>1.37E-2</v>
      </c>
    </row>
    <row r="1473" spans="1:10" x14ac:dyDescent="0.3">
      <c r="A1473" t="s">
        <v>9</v>
      </c>
      <c r="B1473" t="s">
        <v>1589</v>
      </c>
      <c r="C1473">
        <v>5</v>
      </c>
      <c r="D1473">
        <v>1.6500000000000001E-2</v>
      </c>
      <c r="E1473">
        <v>6.7764872809317858</v>
      </c>
      <c r="F1473">
        <v>679.56861458284243</v>
      </c>
      <c r="G1473">
        <v>0.42399999999999999</v>
      </c>
      <c r="H1473">
        <v>1.21E-2</v>
      </c>
      <c r="I1473">
        <v>307.8014</v>
      </c>
      <c r="J1473">
        <v>1.21E-2</v>
      </c>
    </row>
    <row r="1474" spans="1:10" x14ac:dyDescent="0.3">
      <c r="A1474" t="s">
        <v>9</v>
      </c>
      <c r="B1474" t="s">
        <v>1590</v>
      </c>
      <c r="C1474">
        <v>5</v>
      </c>
      <c r="D1474">
        <v>1.6500000000000001E-2</v>
      </c>
      <c r="E1474">
        <v>6.6709099961149514</v>
      </c>
      <c r="F1474">
        <v>669.7288116379134</v>
      </c>
      <c r="G1474">
        <v>0.42399999999999999</v>
      </c>
      <c r="H1474">
        <v>1.0500000000000001E-2</v>
      </c>
      <c r="I1474">
        <v>308.00110000000001</v>
      </c>
      <c r="J1474">
        <v>1.0500000000000001E-2</v>
      </c>
    </row>
    <row r="1475" spans="1:10" x14ac:dyDescent="0.3">
      <c r="A1475" t="s">
        <v>9</v>
      </c>
      <c r="B1475" t="s">
        <v>1591</v>
      </c>
      <c r="C1475">
        <v>5</v>
      </c>
      <c r="D1475">
        <v>1.6E-2</v>
      </c>
      <c r="E1475">
        <v>6.5646859854519244</v>
      </c>
      <c r="F1475">
        <v>659.82873384411926</v>
      </c>
      <c r="G1475">
        <v>0.42399999999999999</v>
      </c>
      <c r="H1475">
        <v>8.8000000000000005E-3</v>
      </c>
      <c r="I1475">
        <v>308.20209999999997</v>
      </c>
      <c r="J1475">
        <v>8.8000000000000005E-3</v>
      </c>
    </row>
    <row r="1476" spans="1:10" x14ac:dyDescent="0.3">
      <c r="A1476" t="s">
        <v>9</v>
      </c>
      <c r="B1476" t="s">
        <v>1592</v>
      </c>
      <c r="C1476">
        <v>5</v>
      </c>
      <c r="D1476">
        <v>1.49E-2</v>
      </c>
      <c r="E1476">
        <v>6.4614223167343754</v>
      </c>
      <c r="F1476">
        <v>650.20455991964377</v>
      </c>
      <c r="G1476">
        <v>0.42399999999999999</v>
      </c>
      <c r="H1476">
        <v>7.1999999999999998E-3</v>
      </c>
      <c r="I1476">
        <v>308.40249999999997</v>
      </c>
      <c r="J1476">
        <v>7.1999999999999998E-3</v>
      </c>
    </row>
    <row r="1477" spans="1:10" x14ac:dyDescent="0.3">
      <c r="A1477" t="s">
        <v>9</v>
      </c>
      <c r="B1477" t="s">
        <v>1593</v>
      </c>
      <c r="C1477">
        <v>5</v>
      </c>
      <c r="D1477">
        <v>1.37E-2</v>
      </c>
      <c r="E1477">
        <v>6.3638930991923264</v>
      </c>
      <c r="F1477">
        <v>641.11483684472489</v>
      </c>
      <c r="G1477">
        <v>0.42399999999999999</v>
      </c>
      <c r="H1477">
        <v>5.7000000000000002E-3</v>
      </c>
      <c r="I1477">
        <v>308.60169999999999</v>
      </c>
      <c r="J1477">
        <v>5.7000000000000002E-3</v>
      </c>
    </row>
    <row r="1478" spans="1:10" x14ac:dyDescent="0.3">
      <c r="A1478" t="s">
        <v>9</v>
      </c>
      <c r="B1478" t="s">
        <v>1594</v>
      </c>
      <c r="C1478">
        <v>5</v>
      </c>
      <c r="D1478">
        <v>1.1299999999999999E-2</v>
      </c>
      <c r="E1478">
        <v>6.2732725355705981</v>
      </c>
      <c r="F1478">
        <v>632.6690003151798</v>
      </c>
      <c r="G1478">
        <v>0.42399999999999999</v>
      </c>
      <c r="H1478">
        <v>4.3E-3</v>
      </c>
      <c r="I1478">
        <v>308.80239999999998</v>
      </c>
      <c r="J1478">
        <v>4.3E-3</v>
      </c>
    </row>
    <row r="1479" spans="1:10" x14ac:dyDescent="0.3">
      <c r="A1479" t="s">
        <v>9</v>
      </c>
      <c r="B1479" t="s">
        <v>1595</v>
      </c>
      <c r="C1479">
        <v>5</v>
      </c>
      <c r="D1479">
        <v>9.2999999999999992E-3</v>
      </c>
      <c r="E1479">
        <v>6.19225303274309</v>
      </c>
      <c r="F1479">
        <v>625.11798265165601</v>
      </c>
      <c r="G1479">
        <v>0.42399999999999999</v>
      </c>
      <c r="H1479">
        <v>3.0999999999999999E-3</v>
      </c>
      <c r="I1479">
        <v>309.00380000000001</v>
      </c>
      <c r="J1479">
        <v>3.0999999999999999E-3</v>
      </c>
    </row>
    <row r="1480" spans="1:10" x14ac:dyDescent="0.3">
      <c r="A1480" t="s">
        <v>9</v>
      </c>
      <c r="B1480" t="s">
        <v>1596</v>
      </c>
      <c r="C1480">
        <v>5</v>
      </c>
      <c r="D1480">
        <v>8.3000000000000001E-3</v>
      </c>
      <c r="E1480">
        <v>6.1242474380122394</v>
      </c>
      <c r="F1480">
        <v>618.77986122274069</v>
      </c>
      <c r="G1480">
        <v>0.42399999999999999</v>
      </c>
      <c r="H1480">
        <v>2E-3</v>
      </c>
      <c r="I1480">
        <v>309.20179999999999</v>
      </c>
      <c r="J1480">
        <v>2E-3</v>
      </c>
    </row>
    <row r="1481" spans="1:10" x14ac:dyDescent="0.3">
      <c r="A1481" t="s">
        <v>9</v>
      </c>
      <c r="B1481" t="s">
        <v>1597</v>
      </c>
      <c r="C1481">
        <v>5</v>
      </c>
      <c r="D1481">
        <v>7.4000000000000003E-3</v>
      </c>
      <c r="E1481">
        <v>6.0688551462770848</v>
      </c>
      <c r="F1481">
        <v>613.61729963302434</v>
      </c>
      <c r="G1481">
        <v>0.42399999999999999</v>
      </c>
      <c r="H1481">
        <v>1.1000000000000001E-3</v>
      </c>
      <c r="I1481">
        <v>309.40219999999999</v>
      </c>
      <c r="J1481">
        <v>1.1000000000000001E-3</v>
      </c>
    </row>
    <row r="1482" spans="1:10" x14ac:dyDescent="0.3">
      <c r="A1482" t="s">
        <v>9</v>
      </c>
      <c r="B1482" t="s">
        <v>1598</v>
      </c>
      <c r="C1482">
        <v>5</v>
      </c>
      <c r="D1482">
        <v>6.1999999999999998E-3</v>
      </c>
      <c r="E1482">
        <v>6.0286750750207103</v>
      </c>
      <c r="F1482">
        <v>609.87251699193018</v>
      </c>
      <c r="G1482">
        <v>0.42399999999999999</v>
      </c>
      <c r="H1482">
        <v>5.0000000000000001E-4</v>
      </c>
      <c r="I1482">
        <v>309.60079999999999</v>
      </c>
      <c r="J1482">
        <v>5.0000000000000001E-4</v>
      </c>
    </row>
    <row r="1483" spans="1:10" x14ac:dyDescent="0.3">
      <c r="A1483" t="s">
        <v>9</v>
      </c>
      <c r="B1483" t="s">
        <v>1599</v>
      </c>
      <c r="C1483">
        <v>5</v>
      </c>
      <c r="D1483">
        <v>6.0000000000000001E-3</v>
      </c>
      <c r="E1483">
        <v>6.0040106420600212</v>
      </c>
      <c r="F1483">
        <v>607.57379183999399</v>
      </c>
      <c r="G1483">
        <v>0.42399999999999999</v>
      </c>
      <c r="H1483">
        <v>1E-4</v>
      </c>
      <c r="I1483">
        <v>309.8005</v>
      </c>
      <c r="J1483">
        <v>1E-4</v>
      </c>
    </row>
    <row r="1484" spans="1:10" x14ac:dyDescent="0.3">
      <c r="A1484" t="s">
        <v>9</v>
      </c>
      <c r="B1484" t="s">
        <v>1600</v>
      </c>
      <c r="C1484">
        <v>5</v>
      </c>
      <c r="D1484">
        <v>5.4999999999999997E-3</v>
      </c>
      <c r="E1484">
        <v>5.995733926890475</v>
      </c>
      <c r="F1484">
        <v>606.80240198619231</v>
      </c>
      <c r="G1484">
        <v>0.42399999999999999</v>
      </c>
      <c r="H1484">
        <v>0</v>
      </c>
      <c r="I1484">
        <v>310.00150000000002</v>
      </c>
      <c r="J1484">
        <v>0</v>
      </c>
    </row>
    <row r="1485" spans="1:10" x14ac:dyDescent="0.3">
      <c r="A1485" t="s">
        <v>9</v>
      </c>
      <c r="B1485" t="s">
        <v>1601</v>
      </c>
      <c r="C1485">
        <v>5</v>
      </c>
      <c r="D1485">
        <v>5.4999999999999997E-3</v>
      </c>
      <c r="E1485">
        <v>6.0043642571557712</v>
      </c>
      <c r="F1485">
        <v>709.81416800408272</v>
      </c>
      <c r="G1485">
        <v>0.42399999999999999</v>
      </c>
      <c r="H1485">
        <v>1E-4</v>
      </c>
      <c r="I1485">
        <v>310.20370000000003</v>
      </c>
      <c r="J1485">
        <v>1E-4</v>
      </c>
    </row>
    <row r="1486" spans="1:10" x14ac:dyDescent="0.3">
      <c r="A1486" t="s">
        <v>9</v>
      </c>
      <c r="B1486" t="s">
        <v>1602</v>
      </c>
      <c r="C1486">
        <v>6</v>
      </c>
      <c r="D1486">
        <v>5.4999999999999997E-3</v>
      </c>
      <c r="E1486">
        <v>6.0292418906914982</v>
      </c>
      <c r="F1486">
        <v>712.1750554266232</v>
      </c>
      <c r="G1486">
        <v>0.42399999999999999</v>
      </c>
      <c r="H1486">
        <v>5.0000000000000001E-4</v>
      </c>
      <c r="I1486">
        <v>310.40260000000001</v>
      </c>
      <c r="J1486">
        <v>5.0000000000000001E-4</v>
      </c>
    </row>
    <row r="1487" spans="1:10" x14ac:dyDescent="0.3">
      <c r="A1487" t="s">
        <v>9</v>
      </c>
      <c r="B1487" t="s">
        <v>1603</v>
      </c>
      <c r="C1487">
        <v>6</v>
      </c>
      <c r="D1487">
        <v>5.4999999999999997E-3</v>
      </c>
      <c r="E1487">
        <v>6.0721147256360366</v>
      </c>
      <c r="F1487">
        <v>716.24368746285995</v>
      </c>
      <c r="G1487">
        <v>0.42399999999999999</v>
      </c>
      <c r="H1487">
        <v>1.1999999999999999E-3</v>
      </c>
      <c r="I1487">
        <v>310.6112</v>
      </c>
      <c r="J1487">
        <v>1.1999999999999999E-3</v>
      </c>
    </row>
    <row r="1488" spans="1:10" x14ac:dyDescent="0.3">
      <c r="A1488" t="s">
        <v>9</v>
      </c>
      <c r="B1488" t="s">
        <v>1604</v>
      </c>
      <c r="C1488">
        <v>6</v>
      </c>
      <c r="D1488">
        <v>5.4999999999999997E-3</v>
      </c>
      <c r="E1488">
        <v>6.1254932874385766</v>
      </c>
      <c r="F1488">
        <v>721.30931297792097</v>
      </c>
      <c r="G1488">
        <v>0.42399999999999999</v>
      </c>
      <c r="H1488">
        <v>2E-3</v>
      </c>
      <c r="I1488">
        <v>310.80220000000003</v>
      </c>
      <c r="J1488">
        <v>2E-3</v>
      </c>
    </row>
    <row r="1489" spans="1:10" x14ac:dyDescent="0.3">
      <c r="A1489" t="s">
        <v>9</v>
      </c>
      <c r="B1489" t="s">
        <v>1605</v>
      </c>
      <c r="C1489">
        <v>6</v>
      </c>
      <c r="D1489">
        <v>5.4999999999999997E-3</v>
      </c>
      <c r="E1489">
        <v>6.1945302781161047</v>
      </c>
      <c r="F1489">
        <v>727.8609233932184</v>
      </c>
      <c r="G1489">
        <v>0.42399999999999999</v>
      </c>
      <c r="H1489">
        <v>3.0999999999999999E-3</v>
      </c>
      <c r="I1489">
        <v>311.00229999999999</v>
      </c>
      <c r="J1489">
        <v>3.0999999999999999E-3</v>
      </c>
    </row>
    <row r="1490" spans="1:10" x14ac:dyDescent="0.3">
      <c r="A1490" t="s">
        <v>9</v>
      </c>
      <c r="B1490" t="s">
        <v>1606</v>
      </c>
      <c r="C1490">
        <v>6</v>
      </c>
      <c r="D1490">
        <v>5.4999999999999997E-3</v>
      </c>
      <c r="E1490">
        <v>6.2746608674184703</v>
      </c>
      <c r="F1490">
        <v>735.46531631801281</v>
      </c>
      <c r="G1490">
        <v>0.42399999999999999</v>
      </c>
      <c r="H1490">
        <v>4.3E-3</v>
      </c>
      <c r="I1490">
        <v>311.20080000000002</v>
      </c>
      <c r="J1490">
        <v>4.3E-3</v>
      </c>
    </row>
    <row r="1491" spans="1:10" x14ac:dyDescent="0.3">
      <c r="A1491" t="s">
        <v>9</v>
      </c>
      <c r="B1491" t="s">
        <v>1607</v>
      </c>
      <c r="C1491">
        <v>6</v>
      </c>
      <c r="D1491">
        <v>5.4999999999999997E-3</v>
      </c>
      <c r="E1491">
        <v>6.3661768726444183</v>
      </c>
      <c r="F1491">
        <v>744.1501852139553</v>
      </c>
      <c r="G1491">
        <v>0.42399999999999999</v>
      </c>
      <c r="H1491">
        <v>5.7999999999999996E-3</v>
      </c>
      <c r="I1491">
        <v>311.40309999999999</v>
      </c>
      <c r="J1491">
        <v>5.7999999999999996E-3</v>
      </c>
    </row>
    <row r="1492" spans="1:10" x14ac:dyDescent="0.3">
      <c r="A1492" t="s">
        <v>9</v>
      </c>
      <c r="B1492" t="s">
        <v>1608</v>
      </c>
      <c r="C1492">
        <v>6</v>
      </c>
      <c r="D1492">
        <v>5.4999999999999997E-3</v>
      </c>
      <c r="E1492">
        <v>6.4646543240823302</v>
      </c>
      <c r="F1492">
        <v>753.4956953554132</v>
      </c>
      <c r="G1492">
        <v>0.42399999999999999</v>
      </c>
      <c r="H1492">
        <v>7.3000000000000001E-3</v>
      </c>
      <c r="I1492">
        <v>311.60390000000001</v>
      </c>
      <c r="J1492">
        <v>7.3000000000000001E-3</v>
      </c>
    </row>
    <row r="1493" spans="1:10" x14ac:dyDescent="0.3">
      <c r="A1493" t="s">
        <v>9</v>
      </c>
      <c r="B1493" t="s">
        <v>1609</v>
      </c>
      <c r="C1493">
        <v>6</v>
      </c>
      <c r="D1493">
        <v>5.4999999999999997E-3</v>
      </c>
      <c r="E1493">
        <v>6.5675636113644087</v>
      </c>
      <c r="F1493">
        <v>763.26178671848243</v>
      </c>
      <c r="G1493">
        <v>0.42399999999999999</v>
      </c>
      <c r="H1493">
        <v>8.8999999999999999E-3</v>
      </c>
      <c r="I1493">
        <v>311.80329999999998</v>
      </c>
      <c r="J1493">
        <v>8.8999999999999999E-3</v>
      </c>
    </row>
    <row r="1494" spans="1:10" x14ac:dyDescent="0.3">
      <c r="A1494" t="s">
        <v>9</v>
      </c>
      <c r="B1494" t="s">
        <v>1610</v>
      </c>
      <c r="C1494">
        <v>6</v>
      </c>
      <c r="D1494">
        <v>5.5999999999999999E-3</v>
      </c>
      <c r="E1494">
        <v>6.6726373015097904</v>
      </c>
      <c r="F1494">
        <v>773.23327991327903</v>
      </c>
      <c r="G1494">
        <v>0.42399999999999999</v>
      </c>
      <c r="H1494">
        <v>1.0500000000000001E-2</v>
      </c>
      <c r="I1494">
        <v>312.00209999999998</v>
      </c>
      <c r="J1494">
        <v>1.0500000000000001E-2</v>
      </c>
    </row>
    <row r="1495" spans="1:10" x14ac:dyDescent="0.3">
      <c r="A1495" t="s">
        <v>9</v>
      </c>
      <c r="B1495" t="s">
        <v>1611</v>
      </c>
      <c r="C1495">
        <v>6</v>
      </c>
      <c r="D1495">
        <v>5.5999999999999999E-3</v>
      </c>
      <c r="E1495">
        <v>6.7777450511981714</v>
      </c>
      <c r="F1495">
        <v>783.20800535870649</v>
      </c>
      <c r="G1495">
        <v>0.42399999999999999</v>
      </c>
      <c r="H1495">
        <v>1.2200000000000001E-2</v>
      </c>
      <c r="I1495">
        <v>312.20100000000002</v>
      </c>
      <c r="J1495">
        <v>1.2200000000000001E-2</v>
      </c>
    </row>
    <row r="1496" spans="1:10" x14ac:dyDescent="0.3">
      <c r="A1496" t="s">
        <v>9</v>
      </c>
      <c r="B1496" t="s">
        <v>1612</v>
      </c>
      <c r="C1496">
        <v>6</v>
      </c>
      <c r="D1496">
        <v>5.7000000000000002E-3</v>
      </c>
      <c r="E1496">
        <v>6.8818841312648864</v>
      </c>
      <c r="F1496">
        <v>793.09080405703776</v>
      </c>
      <c r="G1496">
        <v>0.42399999999999999</v>
      </c>
      <c r="H1496">
        <v>1.38E-2</v>
      </c>
      <c r="I1496">
        <v>312.40300000000002</v>
      </c>
      <c r="J1496">
        <v>1.38E-2</v>
      </c>
    </row>
    <row r="1497" spans="1:10" x14ac:dyDescent="0.3">
      <c r="A1497" t="s">
        <v>9</v>
      </c>
      <c r="B1497" t="s">
        <v>1613</v>
      </c>
      <c r="C1497">
        <v>6</v>
      </c>
      <c r="D1497">
        <v>7.1999999999999998E-3</v>
      </c>
      <c r="E1497">
        <v>6.9788269164612622</v>
      </c>
      <c r="F1497">
        <v>802.29067437217384</v>
      </c>
      <c r="G1497">
        <v>0.42399999999999999</v>
      </c>
      <c r="H1497">
        <v>1.5299999999999999E-2</v>
      </c>
      <c r="I1497">
        <v>312.60109999999997</v>
      </c>
      <c r="J1497">
        <v>1.5299999999999999E-2</v>
      </c>
    </row>
    <row r="1498" spans="1:10" x14ac:dyDescent="0.3">
      <c r="A1498" t="s">
        <v>9</v>
      </c>
      <c r="B1498" t="s">
        <v>1614</v>
      </c>
      <c r="C1498">
        <v>6</v>
      </c>
      <c r="D1498">
        <v>0.01</v>
      </c>
      <c r="E1498">
        <v>7.0692935228392324</v>
      </c>
      <c r="F1498">
        <v>810.87595531744307</v>
      </c>
      <c r="G1498">
        <v>0.42399999999999999</v>
      </c>
      <c r="H1498">
        <v>1.67E-2</v>
      </c>
      <c r="I1498">
        <v>312.80130000000003</v>
      </c>
      <c r="J1498">
        <v>1.67E-2</v>
      </c>
    </row>
    <row r="1499" spans="1:10" x14ac:dyDescent="0.3">
      <c r="A1499" t="s">
        <v>9</v>
      </c>
      <c r="B1499" t="s">
        <v>1615</v>
      </c>
      <c r="C1499">
        <v>6</v>
      </c>
      <c r="D1499">
        <v>1.2E-2</v>
      </c>
      <c r="E1499">
        <v>7.1507436761502774</v>
      </c>
      <c r="F1499">
        <v>818.60557486666141</v>
      </c>
      <c r="G1499">
        <v>0.42399999999999999</v>
      </c>
      <c r="H1499">
        <v>1.7899999999999999E-2</v>
      </c>
      <c r="I1499">
        <v>313.00369999999998</v>
      </c>
      <c r="J1499">
        <v>1.7899999999999999E-2</v>
      </c>
    </row>
    <row r="1500" spans="1:10" x14ac:dyDescent="0.3">
      <c r="A1500" t="s">
        <v>9</v>
      </c>
      <c r="B1500" t="s">
        <v>1616</v>
      </c>
      <c r="C1500">
        <v>6</v>
      </c>
      <c r="D1500">
        <v>1.34E-2</v>
      </c>
      <c r="E1500">
        <v>7.2188043743560453</v>
      </c>
      <c r="F1500">
        <v>825.06453512638871</v>
      </c>
      <c r="G1500">
        <v>0.42399999999999999</v>
      </c>
      <c r="H1500">
        <v>1.9E-2</v>
      </c>
      <c r="I1500">
        <v>313.20179999999999</v>
      </c>
      <c r="J1500">
        <v>1.9E-2</v>
      </c>
    </row>
    <row r="1501" spans="1:10" x14ac:dyDescent="0.3">
      <c r="A1501" t="s">
        <v>9</v>
      </c>
      <c r="B1501" t="s">
        <v>1617</v>
      </c>
      <c r="C1501">
        <v>6</v>
      </c>
      <c r="D1501">
        <v>1.44E-2</v>
      </c>
      <c r="E1501">
        <v>7.2745939057849389</v>
      </c>
      <c r="F1501">
        <v>830.35896165899078</v>
      </c>
      <c r="G1501">
        <v>0.42399999999999999</v>
      </c>
      <c r="H1501">
        <v>1.9900000000000001E-2</v>
      </c>
      <c r="I1501">
        <v>313.40390000000002</v>
      </c>
      <c r="J1501">
        <v>1.9900000000000001E-2</v>
      </c>
    </row>
    <row r="1502" spans="1:10" x14ac:dyDescent="0.3">
      <c r="A1502" t="s">
        <v>9</v>
      </c>
      <c r="B1502" t="s">
        <v>1618</v>
      </c>
      <c r="C1502">
        <v>6</v>
      </c>
      <c r="D1502">
        <v>1.5299999999999999E-2</v>
      </c>
      <c r="E1502">
        <v>7.3147180747890177</v>
      </c>
      <c r="F1502">
        <v>834.16674529747786</v>
      </c>
      <c r="G1502">
        <v>0.42399999999999999</v>
      </c>
      <c r="H1502">
        <v>2.0500000000000001E-2</v>
      </c>
      <c r="I1502">
        <v>313.60300000000001</v>
      </c>
      <c r="J1502">
        <v>2.0500000000000001E-2</v>
      </c>
    </row>
    <row r="1503" spans="1:10" x14ac:dyDescent="0.3">
      <c r="A1503" t="s">
        <v>9</v>
      </c>
      <c r="B1503" t="s">
        <v>1619</v>
      </c>
      <c r="C1503">
        <v>6</v>
      </c>
      <c r="D1503">
        <v>1.6199999999999999E-2</v>
      </c>
      <c r="E1503">
        <v>7.3390536182602899</v>
      </c>
      <c r="F1503">
        <v>836.47618837290156</v>
      </c>
      <c r="G1503">
        <v>0.42399999999999999</v>
      </c>
      <c r="H1503">
        <v>2.0899999999999998E-2</v>
      </c>
      <c r="I1503">
        <v>313.80079999999998</v>
      </c>
      <c r="J1503">
        <v>2.0899999999999998E-2</v>
      </c>
    </row>
    <row r="1504" spans="1:10" x14ac:dyDescent="0.3">
      <c r="A1504" t="s">
        <v>9</v>
      </c>
      <c r="B1504" t="s">
        <v>1620</v>
      </c>
      <c r="C1504">
        <v>6</v>
      </c>
      <c r="D1504">
        <v>1.6199999999999999E-2</v>
      </c>
      <c r="E1504">
        <v>7.347297649548536</v>
      </c>
      <c r="F1504">
        <v>837.25854694215616</v>
      </c>
      <c r="G1504">
        <v>0.42399999999999999</v>
      </c>
      <c r="H1504">
        <v>2.1000000000000001E-2</v>
      </c>
      <c r="I1504">
        <v>314.005</v>
      </c>
      <c r="J1504">
        <v>2.1000000000000001E-2</v>
      </c>
    </row>
    <row r="1505" spans="1:10" x14ac:dyDescent="0.3">
      <c r="A1505" t="s">
        <v>9</v>
      </c>
      <c r="B1505" t="s">
        <v>1621</v>
      </c>
      <c r="C1505">
        <v>6</v>
      </c>
      <c r="D1505">
        <v>1.6199999999999999E-2</v>
      </c>
      <c r="E1505">
        <v>7.3389027831413021</v>
      </c>
      <c r="F1505">
        <v>731.98573938876939</v>
      </c>
      <c r="G1505">
        <v>0.42399999999999999</v>
      </c>
      <c r="H1505">
        <v>2.0899999999999998E-2</v>
      </c>
      <c r="I1505">
        <v>314.20100000000002</v>
      </c>
      <c r="J1505">
        <v>2.0899999999999998E-2</v>
      </c>
    </row>
    <row r="1506" spans="1:10" x14ac:dyDescent="0.3">
      <c r="A1506" t="s">
        <v>9</v>
      </c>
      <c r="B1506" t="s">
        <v>1622</v>
      </c>
      <c r="C1506">
        <v>6</v>
      </c>
      <c r="D1506">
        <v>1.6199999999999999E-2</v>
      </c>
      <c r="E1506">
        <v>7.3137794100028524</v>
      </c>
      <c r="F1506">
        <v>729.64424101226587</v>
      </c>
      <c r="G1506">
        <v>0.42399999999999999</v>
      </c>
      <c r="H1506">
        <v>2.0500000000000001E-2</v>
      </c>
      <c r="I1506">
        <v>314.40269999999998</v>
      </c>
      <c r="J1506">
        <v>2.0500000000000001E-2</v>
      </c>
    </row>
    <row r="1507" spans="1:10" x14ac:dyDescent="0.3">
      <c r="A1507" t="s">
        <v>9</v>
      </c>
      <c r="B1507" t="s">
        <v>1623</v>
      </c>
      <c r="C1507">
        <v>6</v>
      </c>
      <c r="D1507">
        <v>1.61E-2</v>
      </c>
      <c r="E1507">
        <v>7.2729489109523398</v>
      </c>
      <c r="F1507">
        <v>725.83883850075813</v>
      </c>
      <c r="G1507">
        <v>0.42399999999999999</v>
      </c>
      <c r="H1507">
        <v>1.9800000000000002E-2</v>
      </c>
      <c r="I1507">
        <v>314.60289999999998</v>
      </c>
      <c r="J1507">
        <v>1.9800000000000002E-2</v>
      </c>
    </row>
    <row r="1508" spans="1:10" x14ac:dyDescent="0.3">
      <c r="A1508" t="s">
        <v>9</v>
      </c>
      <c r="B1508" t="s">
        <v>1624</v>
      </c>
      <c r="C1508">
        <v>6</v>
      </c>
      <c r="D1508">
        <v>1.61E-2</v>
      </c>
      <c r="E1508">
        <v>7.2176183724124048</v>
      </c>
      <c r="F1508">
        <v>720.68203230883614</v>
      </c>
      <c r="G1508">
        <v>0.42399999999999999</v>
      </c>
      <c r="H1508">
        <v>1.9E-2</v>
      </c>
      <c r="I1508">
        <v>314.80200000000002</v>
      </c>
      <c r="J1508">
        <v>1.9E-2</v>
      </c>
    </row>
    <row r="1509" spans="1:10" x14ac:dyDescent="0.3">
      <c r="A1509" t="s">
        <v>9</v>
      </c>
      <c r="B1509" t="s">
        <v>1625</v>
      </c>
      <c r="C1509">
        <v>6</v>
      </c>
      <c r="D1509">
        <v>1.61E-2</v>
      </c>
      <c r="E1509">
        <v>7.1487937673137054</v>
      </c>
      <c r="F1509">
        <v>714.26757911363734</v>
      </c>
      <c r="G1509">
        <v>0.42399999999999999</v>
      </c>
      <c r="H1509">
        <v>1.7899999999999999E-2</v>
      </c>
      <c r="I1509">
        <v>315.00150000000002</v>
      </c>
      <c r="J1509">
        <v>1.7899999999999999E-2</v>
      </c>
    </row>
    <row r="1510" spans="1:10" x14ac:dyDescent="0.3">
      <c r="A1510" t="s">
        <v>9</v>
      </c>
      <c r="B1510" t="s">
        <v>1626</v>
      </c>
      <c r="C1510">
        <v>6</v>
      </c>
      <c r="D1510">
        <v>1.61E-2</v>
      </c>
      <c r="E1510">
        <v>7.0670755978369364</v>
      </c>
      <c r="F1510">
        <v>706.65144571840244</v>
      </c>
      <c r="G1510">
        <v>0.42399999999999999</v>
      </c>
      <c r="H1510">
        <v>1.66E-2</v>
      </c>
      <c r="I1510">
        <v>315.20389999999998</v>
      </c>
      <c r="J1510">
        <v>1.66E-2</v>
      </c>
    </row>
    <row r="1511" spans="1:10" x14ac:dyDescent="0.3">
      <c r="A1511" t="s">
        <v>9</v>
      </c>
      <c r="B1511" t="s">
        <v>1627</v>
      </c>
      <c r="C1511">
        <v>6</v>
      </c>
      <c r="D1511">
        <v>1.61E-2</v>
      </c>
      <c r="E1511">
        <v>6.9771482675564176</v>
      </c>
      <c r="F1511">
        <v>698.27021853625808</v>
      </c>
      <c r="G1511">
        <v>0.42399999999999999</v>
      </c>
      <c r="H1511">
        <v>1.52E-2</v>
      </c>
      <c r="I1511">
        <v>315.40249999999997</v>
      </c>
      <c r="J1511">
        <v>1.52E-2</v>
      </c>
    </row>
    <row r="1512" spans="1:10" x14ac:dyDescent="0.3">
      <c r="A1512" t="s">
        <v>9</v>
      </c>
      <c r="B1512" t="s">
        <v>1628</v>
      </c>
      <c r="C1512">
        <v>6</v>
      </c>
      <c r="D1512">
        <v>1.61E-2</v>
      </c>
      <c r="E1512">
        <v>6.8795733534608479</v>
      </c>
      <c r="F1512">
        <v>689.17623654255101</v>
      </c>
      <c r="G1512">
        <v>0.42399999999999999</v>
      </c>
      <c r="H1512">
        <v>1.37E-2</v>
      </c>
      <c r="I1512">
        <v>315.60149999999999</v>
      </c>
      <c r="J1512">
        <v>1.37E-2</v>
      </c>
    </row>
    <row r="1513" spans="1:10" x14ac:dyDescent="0.3">
      <c r="A1513" t="s">
        <v>9</v>
      </c>
      <c r="B1513" t="s">
        <v>1629</v>
      </c>
      <c r="C1513">
        <v>6</v>
      </c>
      <c r="D1513">
        <v>1.61E-2</v>
      </c>
      <c r="E1513">
        <v>6.7764041594280444</v>
      </c>
      <c r="F1513">
        <v>679.56086765869372</v>
      </c>
      <c r="G1513">
        <v>0.42399999999999999</v>
      </c>
      <c r="H1513">
        <v>1.21E-2</v>
      </c>
      <c r="I1513">
        <v>315.80160000000001</v>
      </c>
      <c r="J1513">
        <v>1.21E-2</v>
      </c>
    </row>
    <row r="1514" spans="1:10" x14ac:dyDescent="0.3">
      <c r="A1514" t="s">
        <v>9</v>
      </c>
      <c r="B1514" t="s">
        <v>1630</v>
      </c>
      <c r="C1514">
        <v>6</v>
      </c>
      <c r="D1514">
        <v>1.5699999999999999E-2</v>
      </c>
      <c r="E1514">
        <v>6.6694855773703292</v>
      </c>
      <c r="F1514">
        <v>669.59605581091466</v>
      </c>
      <c r="G1514">
        <v>0.42399999999999999</v>
      </c>
      <c r="H1514">
        <v>1.0500000000000001E-2</v>
      </c>
      <c r="I1514">
        <v>316.00380000000001</v>
      </c>
      <c r="J1514">
        <v>1.0500000000000001E-2</v>
      </c>
    </row>
    <row r="1515" spans="1:10" x14ac:dyDescent="0.3">
      <c r="A1515" t="s">
        <v>9</v>
      </c>
      <c r="B1515" t="s">
        <v>1631</v>
      </c>
      <c r="C1515">
        <v>6</v>
      </c>
      <c r="D1515">
        <v>1.4999999999999999E-2</v>
      </c>
      <c r="E1515">
        <v>6.5652751344516176</v>
      </c>
      <c r="F1515">
        <v>659.88364253089082</v>
      </c>
      <c r="G1515">
        <v>0.42399999999999999</v>
      </c>
      <c r="H1515">
        <v>8.8000000000000005E-3</v>
      </c>
      <c r="I1515">
        <v>316.20100000000002</v>
      </c>
      <c r="J1515">
        <v>8.8000000000000005E-3</v>
      </c>
    </row>
    <row r="1516" spans="1:10" x14ac:dyDescent="0.3">
      <c r="A1516" t="s">
        <v>9</v>
      </c>
      <c r="B1516" t="s">
        <v>1632</v>
      </c>
      <c r="C1516">
        <v>6</v>
      </c>
      <c r="D1516">
        <v>1.43E-2</v>
      </c>
      <c r="E1516">
        <v>6.4619011776900814</v>
      </c>
      <c r="F1516">
        <v>650.24918976071558</v>
      </c>
      <c r="G1516">
        <v>0.42399999999999999</v>
      </c>
      <c r="H1516">
        <v>7.1999999999999998E-3</v>
      </c>
      <c r="I1516">
        <v>316.40159999999997</v>
      </c>
      <c r="J1516">
        <v>7.1999999999999998E-3</v>
      </c>
    </row>
    <row r="1517" spans="1:10" x14ac:dyDescent="0.3">
      <c r="A1517" t="s">
        <v>9</v>
      </c>
      <c r="B1517" t="s">
        <v>1633</v>
      </c>
      <c r="C1517">
        <v>6</v>
      </c>
      <c r="D1517">
        <v>1.2999999999999999E-2</v>
      </c>
      <c r="E1517">
        <v>6.364231342891947</v>
      </c>
      <c r="F1517">
        <v>641.14636115752944</v>
      </c>
      <c r="G1517">
        <v>0.42399999999999999</v>
      </c>
      <c r="H1517">
        <v>5.7000000000000002E-3</v>
      </c>
      <c r="I1517">
        <v>316.601</v>
      </c>
      <c r="J1517">
        <v>5.7000000000000002E-3</v>
      </c>
    </row>
    <row r="1518" spans="1:10" x14ac:dyDescent="0.3">
      <c r="A1518" t="s">
        <v>9</v>
      </c>
      <c r="B1518" t="s">
        <v>1634</v>
      </c>
      <c r="C1518">
        <v>6</v>
      </c>
      <c r="D1518">
        <v>1.0999999999999999E-2</v>
      </c>
      <c r="E1518">
        <v>6.2738545077380197</v>
      </c>
      <c r="F1518">
        <v>632.72324012118349</v>
      </c>
      <c r="G1518">
        <v>0.42399999999999999</v>
      </c>
      <c r="H1518">
        <v>4.3E-3</v>
      </c>
      <c r="I1518">
        <v>316.80099999999999</v>
      </c>
      <c r="J1518">
        <v>4.3E-3</v>
      </c>
    </row>
    <row r="1519" spans="1:10" x14ac:dyDescent="0.3">
      <c r="A1519" t="s">
        <v>9</v>
      </c>
      <c r="B1519" t="s">
        <v>1635</v>
      </c>
      <c r="C1519">
        <v>6</v>
      </c>
      <c r="D1519">
        <v>8.9999999999999993E-3</v>
      </c>
      <c r="E1519">
        <v>6.1927827802779163</v>
      </c>
      <c r="F1519">
        <v>625.16735512190178</v>
      </c>
      <c r="G1519">
        <v>0.42399999999999999</v>
      </c>
      <c r="H1519">
        <v>3.0999999999999999E-3</v>
      </c>
      <c r="I1519">
        <v>317.00229999999999</v>
      </c>
      <c r="J1519">
        <v>3.0999999999999999E-3</v>
      </c>
    </row>
    <row r="1520" spans="1:10" x14ac:dyDescent="0.3">
      <c r="A1520" t="s">
        <v>9</v>
      </c>
      <c r="B1520" t="s">
        <v>1636</v>
      </c>
      <c r="C1520">
        <v>6</v>
      </c>
      <c r="D1520">
        <v>7.9000000000000008E-3</v>
      </c>
      <c r="E1520">
        <v>6.1243916639580007</v>
      </c>
      <c r="F1520">
        <v>618.79330308088572</v>
      </c>
      <c r="G1520">
        <v>0.42399999999999999</v>
      </c>
      <c r="H1520">
        <v>2E-3</v>
      </c>
      <c r="I1520">
        <v>317.2013</v>
      </c>
      <c r="J1520">
        <v>2E-3</v>
      </c>
    </row>
    <row r="1521" spans="1:10" x14ac:dyDescent="0.3">
      <c r="A1521" t="s">
        <v>9</v>
      </c>
      <c r="B1521" t="s">
        <v>1637</v>
      </c>
      <c r="C1521">
        <v>6</v>
      </c>
      <c r="D1521">
        <v>7.1999999999999998E-3</v>
      </c>
      <c r="E1521">
        <v>6.068924360134103</v>
      </c>
      <c r="F1521">
        <v>613.62375036449839</v>
      </c>
      <c r="G1521">
        <v>0.42399999999999999</v>
      </c>
      <c r="H1521">
        <v>1.1000000000000001E-3</v>
      </c>
      <c r="I1521">
        <v>317.40190000000001</v>
      </c>
      <c r="J1521">
        <v>1.1000000000000001E-3</v>
      </c>
    </row>
    <row r="1522" spans="1:10" x14ac:dyDescent="0.3">
      <c r="A1522" t="s">
        <v>9</v>
      </c>
      <c r="B1522" t="s">
        <v>1638</v>
      </c>
      <c r="C1522">
        <v>6</v>
      </c>
      <c r="D1522">
        <v>6.1999999999999998E-3</v>
      </c>
      <c r="E1522">
        <v>6.028496671945434</v>
      </c>
      <c r="F1522">
        <v>609.85588982531442</v>
      </c>
      <c r="G1522">
        <v>0.42399999999999999</v>
      </c>
      <c r="H1522">
        <v>5.0000000000000001E-4</v>
      </c>
      <c r="I1522">
        <v>317.6019</v>
      </c>
      <c r="J1522">
        <v>5.0000000000000001E-4</v>
      </c>
    </row>
    <row r="1523" spans="1:10" x14ac:dyDescent="0.3">
      <c r="A1523" t="s">
        <v>9</v>
      </c>
      <c r="B1523" t="s">
        <v>1639</v>
      </c>
      <c r="C1523">
        <v>6</v>
      </c>
      <c r="D1523">
        <v>5.7000000000000002E-3</v>
      </c>
      <c r="E1523">
        <v>6.0037279965096362</v>
      </c>
      <c r="F1523">
        <v>607.54744927469812</v>
      </c>
      <c r="G1523">
        <v>0.42399999999999999</v>
      </c>
      <c r="H1523">
        <v>1E-4</v>
      </c>
      <c r="I1523">
        <v>317.80399999999997</v>
      </c>
      <c r="J1523">
        <v>1E-4</v>
      </c>
    </row>
    <row r="1524" spans="1:10" x14ac:dyDescent="0.3">
      <c r="A1524" t="s">
        <v>9</v>
      </c>
      <c r="B1524" t="s">
        <v>1640</v>
      </c>
      <c r="C1524">
        <v>6</v>
      </c>
      <c r="D1524">
        <v>5.4000000000000003E-3</v>
      </c>
      <c r="E1524">
        <v>5.9957352158471204</v>
      </c>
      <c r="F1524">
        <v>606.80252211695165</v>
      </c>
      <c r="G1524">
        <v>0.42399999999999999</v>
      </c>
      <c r="H1524">
        <v>0</v>
      </c>
      <c r="I1524">
        <v>318.00290000000001</v>
      </c>
      <c r="J1524">
        <v>0</v>
      </c>
    </row>
    <row r="1525" spans="1:10" x14ac:dyDescent="0.3">
      <c r="A1525" t="s">
        <v>9</v>
      </c>
      <c r="B1525" t="s">
        <v>1641</v>
      </c>
      <c r="C1525">
        <v>6</v>
      </c>
      <c r="D1525">
        <v>5.3E-3</v>
      </c>
      <c r="E1525">
        <v>6.0041571386419834</v>
      </c>
      <c r="F1525">
        <v>709.79451245712414</v>
      </c>
      <c r="G1525">
        <v>0.42399999999999999</v>
      </c>
      <c r="H1525">
        <v>1E-4</v>
      </c>
      <c r="I1525">
        <v>318.20119999999997</v>
      </c>
      <c r="J1525">
        <v>1E-4</v>
      </c>
    </row>
    <row r="1526" spans="1:10" x14ac:dyDescent="0.3">
      <c r="A1526" t="s">
        <v>9</v>
      </c>
      <c r="B1526" t="s">
        <v>1642</v>
      </c>
      <c r="C1526">
        <v>6</v>
      </c>
      <c r="D1526">
        <v>5.1000000000000004E-3</v>
      </c>
      <c r="E1526">
        <v>6.0294222643546194</v>
      </c>
      <c r="F1526">
        <v>712.19217288725338</v>
      </c>
      <c r="G1526">
        <v>0.42399999999999999</v>
      </c>
      <c r="H1526">
        <v>5.0000000000000001E-4</v>
      </c>
      <c r="I1526">
        <v>318.40370000000001</v>
      </c>
      <c r="J1526">
        <v>5.0000000000000001E-4</v>
      </c>
    </row>
    <row r="1527" spans="1:10" x14ac:dyDescent="0.3">
      <c r="A1527" t="s">
        <v>9</v>
      </c>
      <c r="B1527" t="s">
        <v>1643</v>
      </c>
      <c r="C1527">
        <v>6</v>
      </c>
      <c r="D1527">
        <v>5.1000000000000004E-3</v>
      </c>
      <c r="E1527">
        <v>6.0696486930818381</v>
      </c>
      <c r="F1527">
        <v>716.00966097346645</v>
      </c>
      <c r="G1527">
        <v>0.42399999999999999</v>
      </c>
      <c r="H1527">
        <v>1.1000000000000001E-3</v>
      </c>
      <c r="I1527">
        <v>318.60109999999997</v>
      </c>
      <c r="J1527">
        <v>1.1000000000000001E-3</v>
      </c>
    </row>
    <row r="1528" spans="1:10" x14ac:dyDescent="0.3">
      <c r="A1528" t="s">
        <v>9</v>
      </c>
      <c r="B1528" t="s">
        <v>1644</v>
      </c>
      <c r="C1528">
        <v>6</v>
      </c>
      <c r="D1528">
        <v>5.1000000000000004E-3</v>
      </c>
      <c r="E1528">
        <v>6.1255793688787934</v>
      </c>
      <c r="F1528">
        <v>721.31748210659748</v>
      </c>
      <c r="G1528">
        <v>0.42399999999999999</v>
      </c>
      <c r="H1528">
        <v>2E-3</v>
      </c>
      <c r="I1528">
        <v>318.80250000000001</v>
      </c>
      <c r="J1528">
        <v>2E-3</v>
      </c>
    </row>
    <row r="1529" spans="1:10" x14ac:dyDescent="0.3">
      <c r="A1529" t="s">
        <v>9</v>
      </c>
      <c r="B1529" t="s">
        <v>1645</v>
      </c>
      <c r="C1529">
        <v>6</v>
      </c>
      <c r="D1529">
        <v>5.1000000000000004E-3</v>
      </c>
      <c r="E1529">
        <v>6.1942101995060854</v>
      </c>
      <c r="F1529">
        <v>727.83054793312749</v>
      </c>
      <c r="G1529">
        <v>0.42399999999999999</v>
      </c>
      <c r="H1529">
        <v>3.0999999999999999E-3</v>
      </c>
      <c r="I1529">
        <v>319.00139999999999</v>
      </c>
      <c r="J1529">
        <v>3.0999999999999999E-3</v>
      </c>
    </row>
    <row r="1530" spans="1:10" x14ac:dyDescent="0.3">
      <c r="A1530" t="s">
        <v>9</v>
      </c>
      <c r="B1530" t="s">
        <v>1646</v>
      </c>
      <c r="C1530">
        <v>6</v>
      </c>
      <c r="D1530">
        <v>5.1000000000000004E-3</v>
      </c>
      <c r="E1530">
        <v>6.275530764365441</v>
      </c>
      <c r="F1530">
        <v>735.54786953828034</v>
      </c>
      <c r="G1530">
        <v>0.42399999999999999</v>
      </c>
      <c r="H1530">
        <v>4.3E-3</v>
      </c>
      <c r="I1530">
        <v>319.2029</v>
      </c>
      <c r="J1530">
        <v>4.3E-3</v>
      </c>
    </row>
    <row r="1531" spans="1:10" x14ac:dyDescent="0.3">
      <c r="A1531" t="s">
        <v>9</v>
      </c>
      <c r="B1531" t="s">
        <v>1647</v>
      </c>
      <c r="C1531">
        <v>6</v>
      </c>
      <c r="D1531">
        <v>5.1000000000000004E-3</v>
      </c>
      <c r="E1531">
        <v>6.3664360495477954</v>
      </c>
      <c r="F1531">
        <v>744.17478110208583</v>
      </c>
      <c r="G1531">
        <v>0.42399999999999999</v>
      </c>
      <c r="H1531">
        <v>5.7999999999999996E-3</v>
      </c>
      <c r="I1531">
        <v>319.40359999999998</v>
      </c>
      <c r="J1531">
        <v>5.7999999999999996E-3</v>
      </c>
    </row>
    <row r="1532" spans="1:10" x14ac:dyDescent="0.3">
      <c r="A1532" t="s">
        <v>9</v>
      </c>
      <c r="B1532" t="s">
        <v>1648</v>
      </c>
      <c r="C1532">
        <v>6</v>
      </c>
      <c r="D1532">
        <v>5.1000000000000004E-3</v>
      </c>
      <c r="E1532">
        <v>6.464439830055599</v>
      </c>
      <c r="F1532">
        <v>753.47533987227632</v>
      </c>
      <c r="G1532">
        <v>0.42399999999999999</v>
      </c>
      <c r="H1532">
        <v>7.3000000000000001E-3</v>
      </c>
      <c r="I1532">
        <v>319.6035</v>
      </c>
      <c r="J1532">
        <v>7.3000000000000001E-3</v>
      </c>
    </row>
    <row r="1533" spans="1:10" x14ac:dyDescent="0.3">
      <c r="A1533" t="s">
        <v>9</v>
      </c>
      <c r="B1533" t="s">
        <v>1649</v>
      </c>
      <c r="C1533">
        <v>6</v>
      </c>
      <c r="D1533">
        <v>5.1999999999999998E-3</v>
      </c>
      <c r="E1533">
        <v>6.5679625945823732</v>
      </c>
      <c r="F1533">
        <v>763.29965022586725</v>
      </c>
      <c r="G1533">
        <v>0.42399999999999999</v>
      </c>
      <c r="H1533">
        <v>8.8999999999999999E-3</v>
      </c>
      <c r="I1533">
        <v>319.80410000000001</v>
      </c>
      <c r="J1533">
        <v>8.8999999999999999E-3</v>
      </c>
    </row>
    <row r="1534" spans="1:10" x14ac:dyDescent="0.3">
      <c r="A1534" t="s">
        <v>9</v>
      </c>
      <c r="B1534" t="s">
        <v>1650</v>
      </c>
      <c r="C1534">
        <v>6</v>
      </c>
      <c r="D1534">
        <v>5.1999999999999998E-3</v>
      </c>
      <c r="E1534">
        <v>6.672886666021018</v>
      </c>
      <c r="F1534">
        <v>773.25694460539466</v>
      </c>
      <c r="G1534">
        <v>0.42399999999999999</v>
      </c>
      <c r="H1534">
        <v>1.0500000000000001E-2</v>
      </c>
      <c r="I1534">
        <v>320.00259999999997</v>
      </c>
      <c r="J1534">
        <v>1.0500000000000001E-2</v>
      </c>
    </row>
    <row r="1535" spans="1:10" x14ac:dyDescent="0.3">
      <c r="A1535" t="s">
        <v>9</v>
      </c>
      <c r="B1535" t="s">
        <v>1651</v>
      </c>
      <c r="C1535">
        <v>6</v>
      </c>
      <c r="D1535">
        <v>5.5999999999999999E-3</v>
      </c>
      <c r="E1535">
        <v>6.7816858214170601</v>
      </c>
      <c r="F1535">
        <v>783.58198445247899</v>
      </c>
      <c r="G1535">
        <v>0.42399999999999999</v>
      </c>
      <c r="H1535">
        <v>1.2200000000000001E-2</v>
      </c>
      <c r="I1535">
        <v>320.20850000000002</v>
      </c>
      <c r="J1535">
        <v>1.2200000000000001E-2</v>
      </c>
    </row>
    <row r="1536" spans="1:10" x14ac:dyDescent="0.3">
      <c r="A1536" t="s">
        <v>9</v>
      </c>
      <c r="B1536" t="s">
        <v>1652</v>
      </c>
      <c r="C1536">
        <v>6</v>
      </c>
      <c r="D1536">
        <v>6.8999999999999999E-3</v>
      </c>
      <c r="E1536">
        <v>6.8814839316346736</v>
      </c>
      <c r="F1536">
        <v>793.05282511213056</v>
      </c>
      <c r="G1536">
        <v>0.42399999999999999</v>
      </c>
      <c r="H1536">
        <v>1.38E-2</v>
      </c>
      <c r="I1536">
        <v>320.40230000000003</v>
      </c>
      <c r="J1536">
        <v>1.38E-2</v>
      </c>
    </row>
    <row r="1537" spans="1:10" x14ac:dyDescent="0.3">
      <c r="A1537" t="s">
        <v>9</v>
      </c>
      <c r="B1537" t="s">
        <v>1653</v>
      </c>
      <c r="C1537">
        <v>6</v>
      </c>
      <c r="D1537">
        <v>8.6999999999999994E-3</v>
      </c>
      <c r="E1537">
        <v>6.9798292401551718</v>
      </c>
      <c r="F1537">
        <v>802.38579489072583</v>
      </c>
      <c r="G1537">
        <v>0.42399999999999999</v>
      </c>
      <c r="H1537">
        <v>1.5299999999999999E-2</v>
      </c>
      <c r="I1537">
        <v>320.60320000000002</v>
      </c>
      <c r="J1537">
        <v>1.5299999999999999E-2</v>
      </c>
    </row>
    <row r="1538" spans="1:10" x14ac:dyDescent="0.3">
      <c r="A1538" t="s">
        <v>9</v>
      </c>
      <c r="B1538" t="s">
        <v>1654</v>
      </c>
      <c r="C1538">
        <v>6</v>
      </c>
      <c r="D1538">
        <v>1.0800000000000001E-2</v>
      </c>
      <c r="E1538">
        <v>7.070327878722388</v>
      </c>
      <c r="F1538">
        <v>810.97411569075462</v>
      </c>
      <c r="G1538">
        <v>0.42399999999999999</v>
      </c>
      <c r="H1538">
        <v>1.67E-2</v>
      </c>
      <c r="I1538">
        <v>320.80369999999999</v>
      </c>
      <c r="J1538">
        <v>1.67E-2</v>
      </c>
    </row>
    <row r="1539" spans="1:10" x14ac:dyDescent="0.3">
      <c r="A1539" t="s">
        <v>9</v>
      </c>
      <c r="B1539" t="s">
        <v>1655</v>
      </c>
      <c r="C1539">
        <v>6</v>
      </c>
      <c r="D1539">
        <v>1.2200000000000001E-2</v>
      </c>
      <c r="E1539">
        <v>7.15027941214157</v>
      </c>
      <c r="F1539">
        <v>818.56151621223501</v>
      </c>
      <c r="G1539">
        <v>0.42399999999999999</v>
      </c>
      <c r="H1539">
        <v>1.7899999999999999E-2</v>
      </c>
      <c r="I1539">
        <v>321.00240000000002</v>
      </c>
      <c r="J1539">
        <v>1.7899999999999999E-2</v>
      </c>
    </row>
    <row r="1540" spans="1:10" x14ac:dyDescent="0.3">
      <c r="A1540" t="s">
        <v>9</v>
      </c>
      <c r="B1540" t="s">
        <v>1656</v>
      </c>
      <c r="C1540">
        <v>6</v>
      </c>
      <c r="D1540">
        <v>1.35E-2</v>
      </c>
      <c r="E1540">
        <v>7.2187995087070469</v>
      </c>
      <c r="F1540">
        <v>825.06407337629878</v>
      </c>
      <c r="G1540">
        <v>0.42399999999999999</v>
      </c>
      <c r="H1540">
        <v>1.9E-2</v>
      </c>
      <c r="I1540">
        <v>321.20179999999999</v>
      </c>
      <c r="J1540">
        <v>1.9E-2</v>
      </c>
    </row>
    <row r="1541" spans="1:10" x14ac:dyDescent="0.3">
      <c r="A1541" t="s">
        <v>9</v>
      </c>
      <c r="B1541" t="s">
        <v>1657</v>
      </c>
      <c r="C1541">
        <v>6</v>
      </c>
      <c r="D1541">
        <v>1.47E-2</v>
      </c>
      <c r="E1541">
        <v>7.2744783466212013</v>
      </c>
      <c r="F1541">
        <v>830.34799509435209</v>
      </c>
      <c r="G1541">
        <v>0.42399999999999999</v>
      </c>
      <c r="H1541">
        <v>1.9900000000000001E-2</v>
      </c>
      <c r="I1541">
        <v>321.40339999999998</v>
      </c>
      <c r="J1541">
        <v>1.9900000000000001E-2</v>
      </c>
    </row>
    <row r="1542" spans="1:10" x14ac:dyDescent="0.3">
      <c r="A1542" t="s">
        <v>9</v>
      </c>
      <c r="B1542" t="s">
        <v>1658</v>
      </c>
      <c r="C1542">
        <v>6</v>
      </c>
      <c r="D1542">
        <v>1.54E-2</v>
      </c>
      <c r="E1542">
        <v>7.3144906056982864</v>
      </c>
      <c r="F1542">
        <v>834.14515848076746</v>
      </c>
      <c r="G1542">
        <v>0.42399999999999999</v>
      </c>
      <c r="H1542">
        <v>2.0500000000000001E-2</v>
      </c>
      <c r="I1542">
        <v>321.60160000000002</v>
      </c>
      <c r="J1542">
        <v>2.0500000000000001E-2</v>
      </c>
    </row>
    <row r="1543" spans="1:10" x14ac:dyDescent="0.3">
      <c r="A1543" t="s">
        <v>9</v>
      </c>
      <c r="B1543" t="s">
        <v>1659</v>
      </c>
      <c r="C1543">
        <v>6</v>
      </c>
      <c r="D1543">
        <v>1.5599999999999999E-2</v>
      </c>
      <c r="E1543">
        <v>7.3391995877302767</v>
      </c>
      <c r="F1543">
        <v>836.49004087560331</v>
      </c>
      <c r="G1543">
        <v>0.42399999999999999</v>
      </c>
      <c r="H1543">
        <v>2.0899999999999998E-2</v>
      </c>
      <c r="I1543">
        <v>321.80259999999998</v>
      </c>
      <c r="J1543">
        <v>2.0899999999999998E-2</v>
      </c>
    </row>
    <row r="1544" spans="1:10" x14ac:dyDescent="0.3">
      <c r="A1544" t="s">
        <v>9</v>
      </c>
      <c r="B1544" t="s">
        <v>1660</v>
      </c>
      <c r="C1544">
        <v>6</v>
      </c>
      <c r="D1544">
        <v>1.5599999999999999E-2</v>
      </c>
      <c r="E1544">
        <v>7.3472988659607834</v>
      </c>
      <c r="F1544">
        <v>837.25866237967841</v>
      </c>
      <c r="G1544">
        <v>0.42399999999999999</v>
      </c>
      <c r="H1544">
        <v>2.1000000000000001E-2</v>
      </c>
      <c r="I1544">
        <v>322.0043</v>
      </c>
      <c r="J1544">
        <v>2.1000000000000001E-2</v>
      </c>
    </row>
    <row r="1545" spans="1:10" x14ac:dyDescent="0.3">
      <c r="A1545" t="s">
        <v>9</v>
      </c>
      <c r="B1545" t="s">
        <v>1661</v>
      </c>
      <c r="C1545">
        <v>6</v>
      </c>
      <c r="D1545">
        <v>1.5599999999999999E-2</v>
      </c>
      <c r="E1545">
        <v>7.3388326367015591</v>
      </c>
      <c r="F1545">
        <v>731.97920174058538</v>
      </c>
      <c r="G1545">
        <v>0.42399999999999999</v>
      </c>
      <c r="H1545">
        <v>2.0899999999999998E-2</v>
      </c>
      <c r="I1545">
        <v>322.20179999999999</v>
      </c>
      <c r="J1545">
        <v>2.0899999999999998E-2</v>
      </c>
    </row>
    <row r="1546" spans="1:10" x14ac:dyDescent="0.3">
      <c r="A1546" t="s">
        <v>9</v>
      </c>
      <c r="B1546" t="s">
        <v>1662</v>
      </c>
      <c r="C1546">
        <v>6</v>
      </c>
      <c r="D1546">
        <v>1.5599999999999999E-2</v>
      </c>
      <c r="E1546">
        <v>7.3138207680193474</v>
      </c>
      <c r="F1546">
        <v>729.64809557940316</v>
      </c>
      <c r="G1546">
        <v>0.42399999999999999</v>
      </c>
      <c r="H1546">
        <v>2.0500000000000001E-2</v>
      </c>
      <c r="I1546">
        <v>322.40249999999997</v>
      </c>
      <c r="J1546">
        <v>2.0500000000000001E-2</v>
      </c>
    </row>
    <row r="1547" spans="1:10" x14ac:dyDescent="0.3">
      <c r="A1547" t="s">
        <v>9</v>
      </c>
      <c r="B1547" t="s">
        <v>1663</v>
      </c>
      <c r="C1547">
        <v>6</v>
      </c>
      <c r="D1547">
        <v>1.5599999999999999E-2</v>
      </c>
      <c r="E1547">
        <v>7.2733284315743063</v>
      </c>
      <c r="F1547">
        <v>725.87420982272533</v>
      </c>
      <c r="G1547">
        <v>0.42399999999999999</v>
      </c>
      <c r="H1547">
        <v>1.9900000000000001E-2</v>
      </c>
      <c r="I1547">
        <v>322.60129999999998</v>
      </c>
      <c r="J1547">
        <v>1.9900000000000001E-2</v>
      </c>
    </row>
    <row r="1548" spans="1:10" x14ac:dyDescent="0.3">
      <c r="A1548" t="s">
        <v>9</v>
      </c>
      <c r="B1548" t="s">
        <v>1664</v>
      </c>
      <c r="C1548">
        <v>6</v>
      </c>
      <c r="D1548">
        <v>1.5599999999999999E-2</v>
      </c>
      <c r="E1548">
        <v>7.2176658124901518</v>
      </c>
      <c r="F1548">
        <v>720.68645372408218</v>
      </c>
      <c r="G1548">
        <v>0.42399999999999999</v>
      </c>
      <c r="H1548">
        <v>1.9E-2</v>
      </c>
      <c r="I1548">
        <v>322.80180000000001</v>
      </c>
      <c r="J1548">
        <v>1.9E-2</v>
      </c>
    </row>
    <row r="1549" spans="1:10" x14ac:dyDescent="0.3">
      <c r="A1549" t="s">
        <v>9</v>
      </c>
      <c r="B1549" t="s">
        <v>1665</v>
      </c>
      <c r="C1549">
        <v>6</v>
      </c>
      <c r="D1549">
        <v>1.5599999999999999E-2</v>
      </c>
      <c r="E1549">
        <v>7.1480254002425241</v>
      </c>
      <c r="F1549">
        <v>714.19596730260332</v>
      </c>
      <c r="G1549">
        <v>0.42399999999999999</v>
      </c>
      <c r="H1549">
        <v>1.7899999999999999E-2</v>
      </c>
      <c r="I1549">
        <v>323.00360000000001</v>
      </c>
      <c r="J1549">
        <v>1.7899999999999999E-2</v>
      </c>
    </row>
    <row r="1550" spans="1:10" x14ac:dyDescent="0.3">
      <c r="A1550" t="s">
        <v>9</v>
      </c>
      <c r="B1550" t="s">
        <v>1666</v>
      </c>
      <c r="C1550">
        <v>6</v>
      </c>
      <c r="D1550">
        <v>1.55E-2</v>
      </c>
      <c r="E1550">
        <v>5.9957334838115024</v>
      </c>
      <c r="F1550">
        <v>606.80236069123202</v>
      </c>
      <c r="G1550">
        <v>0.42399999999999999</v>
      </c>
      <c r="H1550">
        <v>0</v>
      </c>
      <c r="I1550">
        <v>323.2045</v>
      </c>
      <c r="J1550">
        <v>0</v>
      </c>
    </row>
    <row r="1551" spans="1:10" x14ac:dyDescent="0.3">
      <c r="A1551" t="s">
        <v>9</v>
      </c>
      <c r="B1551" t="s">
        <v>1667</v>
      </c>
      <c r="C1551">
        <v>6</v>
      </c>
      <c r="D1551">
        <v>1.2200000000000001E-2</v>
      </c>
      <c r="E1551">
        <v>5.9957334838115024</v>
      </c>
      <c r="F1551">
        <v>606.80236069123202</v>
      </c>
      <c r="G1551">
        <v>0.42399999999999999</v>
      </c>
      <c r="H1551">
        <v>0</v>
      </c>
      <c r="I1551">
        <v>323.40179999999998</v>
      </c>
      <c r="J1551">
        <v>0</v>
      </c>
    </row>
    <row r="1552" spans="1:10" x14ac:dyDescent="0.3">
      <c r="A1552" t="s">
        <v>9</v>
      </c>
      <c r="B1552" t="s">
        <v>1668</v>
      </c>
      <c r="C1552">
        <v>6</v>
      </c>
      <c r="D1552">
        <v>8.3000000000000001E-3</v>
      </c>
      <c r="E1552">
        <v>5.9957334838115024</v>
      </c>
      <c r="F1552">
        <v>606.80236069123202</v>
      </c>
      <c r="G1552">
        <v>0.42399999999999999</v>
      </c>
      <c r="H1552">
        <v>0</v>
      </c>
      <c r="I1552">
        <v>323.60210000000001</v>
      </c>
      <c r="J1552">
        <v>0</v>
      </c>
    </row>
    <row r="1553" spans="1:10" x14ac:dyDescent="0.3">
      <c r="A1553" t="s">
        <v>9</v>
      </c>
      <c r="B1553" t="s">
        <v>1669</v>
      </c>
      <c r="C1553">
        <v>6</v>
      </c>
      <c r="D1553">
        <v>6.1000000000000004E-3</v>
      </c>
      <c r="E1553">
        <v>5.9957334838115024</v>
      </c>
      <c r="F1553">
        <v>606.80236069123202</v>
      </c>
      <c r="G1553">
        <v>0.42399999999999999</v>
      </c>
      <c r="H1553">
        <v>0</v>
      </c>
      <c r="I1553">
        <v>323.81330000000003</v>
      </c>
      <c r="J1553">
        <v>0</v>
      </c>
    </row>
    <row r="1554" spans="1:10" x14ac:dyDescent="0.3">
      <c r="A1554" t="s">
        <v>9</v>
      </c>
      <c r="B1554" t="s">
        <v>1670</v>
      </c>
      <c r="C1554">
        <v>6</v>
      </c>
      <c r="D1554">
        <v>5.5999999999999999E-3</v>
      </c>
      <c r="E1554">
        <v>5.9957334838115024</v>
      </c>
      <c r="F1554">
        <v>606.80236069123202</v>
      </c>
      <c r="G1554">
        <v>0.42399999999999999</v>
      </c>
      <c r="H1554">
        <v>0</v>
      </c>
      <c r="I1554">
        <v>324.0027</v>
      </c>
      <c r="J1554">
        <v>0</v>
      </c>
    </row>
    <row r="1555" spans="1:10" x14ac:dyDescent="0.3">
      <c r="A1555" t="s">
        <v>9</v>
      </c>
      <c r="B1555" t="s">
        <v>1671</v>
      </c>
      <c r="C1555">
        <v>6</v>
      </c>
      <c r="D1555">
        <v>5.4999999999999997E-3</v>
      </c>
      <c r="E1555">
        <v>5.9957334838115024</v>
      </c>
      <c r="F1555">
        <v>606.80236069123202</v>
      </c>
      <c r="G1555">
        <v>0.42399999999999999</v>
      </c>
      <c r="H1555">
        <v>0</v>
      </c>
      <c r="I1555">
        <v>324.20229999999998</v>
      </c>
      <c r="J1555">
        <v>0</v>
      </c>
    </row>
    <row r="1556" spans="1:10" x14ac:dyDescent="0.3">
      <c r="A1556" t="s">
        <v>9</v>
      </c>
      <c r="B1556" t="s">
        <v>1672</v>
      </c>
      <c r="C1556">
        <v>6</v>
      </c>
      <c r="D1556">
        <v>5.1000000000000004E-3</v>
      </c>
      <c r="E1556">
        <v>5.9957334838115024</v>
      </c>
      <c r="F1556">
        <v>606.80236069123202</v>
      </c>
      <c r="G1556">
        <v>0.42399999999999999</v>
      </c>
      <c r="H1556">
        <v>0</v>
      </c>
      <c r="I1556">
        <v>324.40280000000001</v>
      </c>
      <c r="J1556">
        <v>0</v>
      </c>
    </row>
    <row r="1557" spans="1:10" x14ac:dyDescent="0.3">
      <c r="A1557" t="s">
        <v>9</v>
      </c>
      <c r="B1557" t="s">
        <v>1673</v>
      </c>
      <c r="C1557">
        <v>6</v>
      </c>
      <c r="D1557">
        <v>5.1000000000000004E-3</v>
      </c>
      <c r="E1557">
        <v>5.9957334838115024</v>
      </c>
      <c r="F1557">
        <v>606.80236069123202</v>
      </c>
      <c r="G1557">
        <v>0.42399999999999999</v>
      </c>
      <c r="H1557">
        <v>0</v>
      </c>
      <c r="I1557">
        <v>324.60210000000001</v>
      </c>
      <c r="J1557">
        <v>0</v>
      </c>
    </row>
    <row r="1558" spans="1:10" x14ac:dyDescent="0.3">
      <c r="A1558" t="s">
        <v>9</v>
      </c>
      <c r="B1558" t="s">
        <v>1674</v>
      </c>
      <c r="C1558">
        <v>6</v>
      </c>
      <c r="D1558">
        <v>5.1000000000000004E-3</v>
      </c>
      <c r="E1558">
        <v>5.9957334838115024</v>
      </c>
      <c r="F1558">
        <v>606.80236069123202</v>
      </c>
      <c r="G1558">
        <v>0.42399999999999999</v>
      </c>
      <c r="H1558">
        <v>0</v>
      </c>
      <c r="I1558">
        <v>324.80270000000002</v>
      </c>
      <c r="J1558">
        <v>0</v>
      </c>
    </row>
    <row r="1559" spans="1:10" x14ac:dyDescent="0.3">
      <c r="A1559" t="s">
        <v>9</v>
      </c>
      <c r="B1559" t="s">
        <v>1675</v>
      </c>
      <c r="C1559">
        <v>6</v>
      </c>
      <c r="D1559">
        <v>5.1000000000000004E-3</v>
      </c>
      <c r="E1559">
        <v>5.9957334838115024</v>
      </c>
      <c r="F1559">
        <v>606.80236069123202</v>
      </c>
      <c r="G1559">
        <v>0.42399999999999999</v>
      </c>
      <c r="H1559">
        <v>0</v>
      </c>
      <c r="I1559">
        <v>325.00229999999999</v>
      </c>
      <c r="J1559">
        <v>0</v>
      </c>
    </row>
    <row r="1560" spans="1:10" x14ac:dyDescent="0.3">
      <c r="A1560" t="s">
        <v>9</v>
      </c>
      <c r="B1560" t="s">
        <v>1676</v>
      </c>
      <c r="C1560">
        <v>6</v>
      </c>
      <c r="D1560">
        <v>5.1000000000000004E-3</v>
      </c>
      <c r="E1560">
        <v>5.9957334838115024</v>
      </c>
      <c r="F1560">
        <v>606.80236069123202</v>
      </c>
      <c r="G1560">
        <v>0.42399999999999999</v>
      </c>
      <c r="H1560">
        <v>0</v>
      </c>
      <c r="I1560">
        <v>325.2047</v>
      </c>
      <c r="J1560">
        <v>0</v>
      </c>
    </row>
    <row r="1561" spans="1:10" x14ac:dyDescent="0.3">
      <c r="A1561" t="s">
        <v>9</v>
      </c>
      <c r="B1561" t="s">
        <v>1677</v>
      </c>
      <c r="C1561">
        <v>6</v>
      </c>
      <c r="D1561">
        <v>5.1000000000000004E-3</v>
      </c>
      <c r="E1561">
        <v>5.9957334838115024</v>
      </c>
      <c r="F1561">
        <v>606.80236069123202</v>
      </c>
      <c r="G1561">
        <v>0.42399999999999999</v>
      </c>
      <c r="H1561">
        <v>0</v>
      </c>
      <c r="I1561">
        <v>325.40280000000001</v>
      </c>
      <c r="J1561">
        <v>0</v>
      </c>
    </row>
    <row r="1562" spans="1:10" x14ac:dyDescent="0.3">
      <c r="A1562" t="s">
        <v>9</v>
      </c>
      <c r="B1562" t="s">
        <v>1678</v>
      </c>
      <c r="C1562">
        <v>6</v>
      </c>
      <c r="D1562">
        <v>5.1999999999999998E-3</v>
      </c>
      <c r="E1562">
        <v>5.9957334838115024</v>
      </c>
      <c r="F1562">
        <v>606.80236069123202</v>
      </c>
      <c r="G1562">
        <v>0.42399999999999999</v>
      </c>
      <c r="H1562">
        <v>0</v>
      </c>
      <c r="I1562">
        <v>325.60329999999999</v>
      </c>
      <c r="J1562">
        <v>0</v>
      </c>
    </row>
    <row r="1563" spans="1:10" x14ac:dyDescent="0.3">
      <c r="A1563" t="s">
        <v>9</v>
      </c>
      <c r="B1563" t="s">
        <v>1679</v>
      </c>
      <c r="C1563">
        <v>6</v>
      </c>
      <c r="D1563">
        <v>5.1999999999999998E-3</v>
      </c>
      <c r="E1563">
        <v>5.9957334838115024</v>
      </c>
      <c r="F1563">
        <v>606.80236069123202</v>
      </c>
      <c r="G1563">
        <v>0.42399999999999999</v>
      </c>
      <c r="H1563">
        <v>0</v>
      </c>
      <c r="I1563">
        <v>325.80380000000002</v>
      </c>
      <c r="J1563">
        <v>0</v>
      </c>
    </row>
    <row r="1564" spans="1:10" x14ac:dyDescent="0.3">
      <c r="A1564" t="s">
        <v>9</v>
      </c>
      <c r="B1564" t="s">
        <v>1680</v>
      </c>
      <c r="C1564">
        <v>6</v>
      </c>
      <c r="D1564">
        <v>5.1000000000000004E-3</v>
      </c>
      <c r="E1564">
        <v>5.9957334838115024</v>
      </c>
      <c r="F1564">
        <v>606.80236069123202</v>
      </c>
      <c r="G1564">
        <v>0.42399999999999999</v>
      </c>
      <c r="H1564">
        <v>0</v>
      </c>
      <c r="I1564">
        <v>326.00389999999999</v>
      </c>
      <c r="J1564">
        <v>0</v>
      </c>
    </row>
    <row r="1565" spans="1:10" x14ac:dyDescent="0.3">
      <c r="A1565" t="s">
        <v>9</v>
      </c>
      <c r="B1565" t="s">
        <v>1681</v>
      </c>
      <c r="C1565">
        <v>6</v>
      </c>
      <c r="D1565">
        <v>5.1000000000000004E-3</v>
      </c>
      <c r="E1565">
        <v>6.0041850107013346</v>
      </c>
      <c r="F1565">
        <v>709.79715751555671</v>
      </c>
      <c r="G1565">
        <v>0.42399999999999999</v>
      </c>
      <c r="H1565">
        <v>1E-4</v>
      </c>
      <c r="I1565">
        <v>326.20159999999998</v>
      </c>
      <c r="J1565">
        <v>1E-4</v>
      </c>
    </row>
    <row r="1566" spans="1:10" x14ac:dyDescent="0.3">
      <c r="A1566" t="s">
        <v>9</v>
      </c>
      <c r="B1566" t="s">
        <v>1682</v>
      </c>
      <c r="C1566">
        <v>6</v>
      </c>
      <c r="D1566">
        <v>5.1999999999999998E-3</v>
      </c>
      <c r="E1566">
        <v>6.029130840362499</v>
      </c>
      <c r="F1566">
        <v>712.16451675040116</v>
      </c>
      <c r="G1566">
        <v>0.42399999999999999</v>
      </c>
      <c r="H1566">
        <v>5.0000000000000001E-4</v>
      </c>
      <c r="I1566">
        <v>326.40190000000001</v>
      </c>
      <c r="J1566">
        <v>5.0000000000000001E-4</v>
      </c>
    </row>
    <row r="1567" spans="1:10" x14ac:dyDescent="0.3">
      <c r="A1567" t="s">
        <v>9</v>
      </c>
      <c r="B1567" t="s">
        <v>1683</v>
      </c>
      <c r="C1567">
        <v>6</v>
      </c>
      <c r="D1567">
        <v>5.1999999999999998E-3</v>
      </c>
      <c r="E1567">
        <v>6.0698137196770734</v>
      </c>
      <c r="F1567">
        <v>716.02532199735424</v>
      </c>
      <c r="G1567">
        <v>0.42399999999999999</v>
      </c>
      <c r="H1567">
        <v>1.1999999999999999E-3</v>
      </c>
      <c r="I1567">
        <v>326.60169999999999</v>
      </c>
      <c r="J1567">
        <v>1.1999999999999999E-3</v>
      </c>
    </row>
    <row r="1568" spans="1:10" x14ac:dyDescent="0.3">
      <c r="A1568" t="s">
        <v>9</v>
      </c>
      <c r="B1568" t="s">
        <v>1684</v>
      </c>
      <c r="C1568">
        <v>6</v>
      </c>
      <c r="D1568">
        <v>5.1999999999999998E-3</v>
      </c>
      <c r="E1568">
        <v>6.1255013968535748</v>
      </c>
      <c r="F1568">
        <v>721.31008256140433</v>
      </c>
      <c r="G1568">
        <v>0.42399999999999999</v>
      </c>
      <c r="H1568">
        <v>2E-3</v>
      </c>
      <c r="I1568">
        <v>326.80220000000003</v>
      </c>
      <c r="J1568">
        <v>2E-3</v>
      </c>
    </row>
    <row r="1569" spans="1:10" x14ac:dyDescent="0.3">
      <c r="A1569" t="s">
        <v>9</v>
      </c>
      <c r="B1569" t="s">
        <v>1685</v>
      </c>
      <c r="C1569">
        <v>6</v>
      </c>
      <c r="D1569">
        <v>5.1999999999999998E-3</v>
      </c>
      <c r="E1569">
        <v>6.1943209335679006</v>
      </c>
      <c r="F1569">
        <v>727.84105659559384</v>
      </c>
      <c r="G1569">
        <v>0.42399999999999999</v>
      </c>
      <c r="H1569">
        <v>3.0999999999999999E-3</v>
      </c>
      <c r="I1569">
        <v>327.00170000000003</v>
      </c>
      <c r="J1569">
        <v>3.0999999999999999E-3</v>
      </c>
    </row>
    <row r="1570" spans="1:10" x14ac:dyDescent="0.3">
      <c r="A1570" t="s">
        <v>9</v>
      </c>
      <c r="B1570" t="s">
        <v>1686</v>
      </c>
      <c r="C1570">
        <v>6</v>
      </c>
      <c r="D1570">
        <v>5.1999999999999998E-3</v>
      </c>
      <c r="E1570">
        <v>6.2761507696892096</v>
      </c>
      <c r="F1570">
        <v>735.60670804350605</v>
      </c>
      <c r="G1570">
        <v>0.42399999999999999</v>
      </c>
      <c r="H1570">
        <v>4.4000000000000003E-3</v>
      </c>
      <c r="I1570">
        <v>327.20429999999999</v>
      </c>
      <c r="J1570">
        <v>4.4000000000000003E-3</v>
      </c>
    </row>
    <row r="1571" spans="1:10" x14ac:dyDescent="0.3">
      <c r="A1571" t="s">
        <v>9</v>
      </c>
      <c r="B1571" t="s">
        <v>1687</v>
      </c>
      <c r="C1571">
        <v>6</v>
      </c>
      <c r="D1571">
        <v>5.1999999999999998E-3</v>
      </c>
      <c r="E1571">
        <v>6.366235138791188</v>
      </c>
      <c r="F1571">
        <v>744.15571467128382</v>
      </c>
      <c r="G1571">
        <v>0.42399999999999999</v>
      </c>
      <c r="H1571">
        <v>5.7999999999999996E-3</v>
      </c>
      <c r="I1571">
        <v>327.40320000000003</v>
      </c>
      <c r="J1571">
        <v>5.7999999999999996E-3</v>
      </c>
    </row>
    <row r="1572" spans="1:10" x14ac:dyDescent="0.3">
      <c r="A1572" t="s">
        <v>9</v>
      </c>
      <c r="B1572" t="s">
        <v>1688</v>
      </c>
      <c r="C1572">
        <v>6</v>
      </c>
      <c r="D1572">
        <v>5.1999999999999998E-3</v>
      </c>
      <c r="E1572">
        <v>6.4650306009382943</v>
      </c>
      <c r="F1572">
        <v>753.53140402904421</v>
      </c>
      <c r="G1572">
        <v>0.42399999999999999</v>
      </c>
      <c r="H1572">
        <v>7.3000000000000001E-3</v>
      </c>
      <c r="I1572">
        <v>327.6046</v>
      </c>
      <c r="J1572">
        <v>7.3000000000000001E-3</v>
      </c>
    </row>
    <row r="1573" spans="1:10" x14ac:dyDescent="0.3">
      <c r="A1573" t="s">
        <v>9</v>
      </c>
      <c r="B1573" t="s">
        <v>1689</v>
      </c>
      <c r="C1573">
        <v>6</v>
      </c>
      <c r="D1573">
        <v>5.1999999999999998E-3</v>
      </c>
      <c r="E1573">
        <v>6.567250993416188</v>
      </c>
      <c r="F1573">
        <v>763.23211927519628</v>
      </c>
      <c r="G1573">
        <v>0.42399999999999999</v>
      </c>
      <c r="H1573">
        <v>8.8999999999999999E-3</v>
      </c>
      <c r="I1573">
        <v>327.80279999999999</v>
      </c>
      <c r="J1573">
        <v>8.8999999999999999E-3</v>
      </c>
    </row>
    <row r="1574" spans="1:10" x14ac:dyDescent="0.3">
      <c r="A1574" t="s">
        <v>9</v>
      </c>
      <c r="B1574" t="s">
        <v>1690</v>
      </c>
      <c r="C1574">
        <v>6</v>
      </c>
      <c r="D1574">
        <v>5.1999999999999998E-3</v>
      </c>
      <c r="E1574">
        <v>6.675208391535306</v>
      </c>
      <c r="F1574">
        <v>773.4772763567006</v>
      </c>
      <c r="G1574">
        <v>0.42399999999999999</v>
      </c>
      <c r="H1574">
        <v>1.06E-2</v>
      </c>
      <c r="I1574">
        <v>328.00689999999997</v>
      </c>
      <c r="J1574">
        <v>1.06E-2</v>
      </c>
    </row>
    <row r="1575" spans="1:10" x14ac:dyDescent="0.3">
      <c r="A1575" t="s">
        <v>9</v>
      </c>
      <c r="B1575" t="s">
        <v>1691</v>
      </c>
      <c r="C1575">
        <v>6</v>
      </c>
      <c r="D1575">
        <v>5.3E-3</v>
      </c>
      <c r="E1575">
        <v>6.7781862033741289</v>
      </c>
      <c r="F1575">
        <v>783.24987070020484</v>
      </c>
      <c r="G1575">
        <v>0.42399999999999999</v>
      </c>
      <c r="H1575">
        <v>1.2200000000000001E-2</v>
      </c>
      <c r="I1575">
        <v>328.20179999999999</v>
      </c>
      <c r="J1575">
        <v>1.2200000000000001E-2</v>
      </c>
    </row>
    <row r="1576" spans="1:10" x14ac:dyDescent="0.3">
      <c r="A1576" t="s">
        <v>9</v>
      </c>
      <c r="B1576" t="s">
        <v>1692</v>
      </c>
      <c r="C1576">
        <v>6</v>
      </c>
      <c r="D1576">
        <v>6.1999999999999998E-3</v>
      </c>
      <c r="E1576">
        <v>6.8822401345833546</v>
      </c>
      <c r="F1576">
        <v>793.12458877196036</v>
      </c>
      <c r="G1576">
        <v>0.42399999999999999</v>
      </c>
      <c r="H1576">
        <v>1.38E-2</v>
      </c>
      <c r="I1576">
        <v>328.40370000000001</v>
      </c>
      <c r="J1576">
        <v>1.38E-2</v>
      </c>
    </row>
    <row r="1577" spans="1:10" x14ac:dyDescent="0.3">
      <c r="A1577" t="s">
        <v>9</v>
      </c>
      <c r="B1577" t="s">
        <v>1693</v>
      </c>
      <c r="C1577">
        <v>6</v>
      </c>
      <c r="D1577">
        <v>8.0999999999999996E-3</v>
      </c>
      <c r="E1577">
        <v>6.9801057712066452</v>
      </c>
      <c r="F1577">
        <v>802.41203768751063</v>
      </c>
      <c r="G1577">
        <v>0.42399999999999999</v>
      </c>
      <c r="H1577">
        <v>1.5299999999999999E-2</v>
      </c>
      <c r="I1577">
        <v>328.60379999999998</v>
      </c>
      <c r="J1577">
        <v>1.5299999999999999E-2</v>
      </c>
    </row>
    <row r="1578" spans="1:10" x14ac:dyDescent="0.3">
      <c r="A1578" t="s">
        <v>9</v>
      </c>
      <c r="B1578" t="s">
        <v>1694</v>
      </c>
      <c r="C1578">
        <v>6</v>
      </c>
      <c r="D1578">
        <v>1.0200000000000001E-2</v>
      </c>
      <c r="E1578">
        <v>7.0704876341978737</v>
      </c>
      <c r="F1578">
        <v>810.98927648537824</v>
      </c>
      <c r="G1578">
        <v>0.42399999999999999</v>
      </c>
      <c r="H1578">
        <v>1.67E-2</v>
      </c>
      <c r="I1578">
        <v>328.80410000000001</v>
      </c>
      <c r="J1578">
        <v>1.67E-2</v>
      </c>
    </row>
    <row r="1579" spans="1:10" x14ac:dyDescent="0.3">
      <c r="A1579" t="s">
        <v>9</v>
      </c>
      <c r="B1579" t="s">
        <v>1695</v>
      </c>
      <c r="C1579">
        <v>6</v>
      </c>
      <c r="D1579">
        <v>1.1900000000000001E-2</v>
      </c>
      <c r="E1579">
        <v>7.1521762043098951</v>
      </c>
      <c r="F1579">
        <v>818.74152178900908</v>
      </c>
      <c r="G1579">
        <v>0.42399999999999999</v>
      </c>
      <c r="H1579">
        <v>1.7999999999999999E-2</v>
      </c>
      <c r="I1579">
        <v>329.00749999999999</v>
      </c>
      <c r="J1579">
        <v>1.7999999999999999E-2</v>
      </c>
    </row>
    <row r="1580" spans="1:10" x14ac:dyDescent="0.3">
      <c r="A1580" t="s">
        <v>9</v>
      </c>
      <c r="B1580" t="s">
        <v>1696</v>
      </c>
      <c r="C1580">
        <v>6</v>
      </c>
      <c r="D1580">
        <v>1.3599999999999999E-2</v>
      </c>
      <c r="E1580">
        <v>7.2192536359470054</v>
      </c>
      <c r="F1580">
        <v>825.10717005137076</v>
      </c>
      <c r="G1580">
        <v>0.42399999999999999</v>
      </c>
      <c r="H1580">
        <v>1.9E-2</v>
      </c>
      <c r="I1580">
        <v>329.20319999999998</v>
      </c>
      <c r="J1580">
        <v>1.9E-2</v>
      </c>
    </row>
    <row r="1581" spans="1:10" x14ac:dyDescent="0.3">
      <c r="A1581" t="s">
        <v>9</v>
      </c>
      <c r="B1581" t="s">
        <v>1697</v>
      </c>
      <c r="C1581">
        <v>6</v>
      </c>
      <c r="D1581">
        <v>1.4999999999999999E-2</v>
      </c>
      <c r="E1581">
        <v>7.274297101195967</v>
      </c>
      <c r="F1581">
        <v>830.33079490349735</v>
      </c>
      <c r="G1581">
        <v>0.42399999999999999</v>
      </c>
      <c r="H1581">
        <v>1.9900000000000001E-2</v>
      </c>
      <c r="I1581">
        <v>329.40269999999998</v>
      </c>
      <c r="J1581">
        <v>1.9900000000000001E-2</v>
      </c>
    </row>
    <row r="1582" spans="1:10" x14ac:dyDescent="0.3">
      <c r="A1582" t="s">
        <v>9</v>
      </c>
      <c r="B1582" t="s">
        <v>1698</v>
      </c>
      <c r="C1582">
        <v>6</v>
      </c>
      <c r="D1582">
        <v>1.5900000000000001E-2</v>
      </c>
      <c r="E1582">
        <v>7.3147257787332647</v>
      </c>
      <c r="F1582">
        <v>834.16747640178687</v>
      </c>
      <c r="G1582">
        <v>0.42399999999999999</v>
      </c>
      <c r="H1582">
        <v>2.0500000000000001E-2</v>
      </c>
      <c r="I1582">
        <v>329.60300000000001</v>
      </c>
      <c r="J1582">
        <v>2.0500000000000001E-2</v>
      </c>
    </row>
    <row r="1583" spans="1:10" x14ac:dyDescent="0.3">
      <c r="A1583" t="s">
        <v>9</v>
      </c>
      <c r="B1583" t="s">
        <v>1699</v>
      </c>
      <c r="C1583">
        <v>6</v>
      </c>
      <c r="D1583">
        <v>1.6199999999999999E-2</v>
      </c>
      <c r="E1583">
        <v>7.3394258404087536</v>
      </c>
      <c r="F1583">
        <v>836.51151225479089</v>
      </c>
      <c r="G1583">
        <v>0.42399999999999999</v>
      </c>
      <c r="H1583">
        <v>2.0899999999999998E-2</v>
      </c>
      <c r="I1583">
        <v>329.80540000000002</v>
      </c>
      <c r="J1583">
        <v>2.0899999999999998E-2</v>
      </c>
    </row>
    <row r="1584" spans="1:10" x14ac:dyDescent="0.3">
      <c r="A1584" t="s">
        <v>9</v>
      </c>
      <c r="B1584" t="s">
        <v>1700</v>
      </c>
      <c r="C1584">
        <v>6</v>
      </c>
      <c r="D1584">
        <v>1.6500000000000001E-2</v>
      </c>
      <c r="E1584">
        <v>7.3472992714315346</v>
      </c>
      <c r="F1584">
        <v>837.25870085885265</v>
      </c>
      <c r="G1584">
        <v>0.42399999999999999</v>
      </c>
      <c r="H1584">
        <v>2.1000000000000001E-2</v>
      </c>
      <c r="I1584">
        <v>330.00400000000002</v>
      </c>
      <c r="J1584">
        <v>2.1000000000000001E-2</v>
      </c>
    </row>
    <row r="1585" spans="1:10" x14ac:dyDescent="0.3">
      <c r="A1585" t="s">
        <v>9</v>
      </c>
      <c r="B1585" t="s">
        <v>1701</v>
      </c>
      <c r="C1585">
        <v>6</v>
      </c>
      <c r="D1585">
        <v>1.6500000000000001E-2</v>
      </c>
      <c r="E1585">
        <v>7.33849528503759</v>
      </c>
      <c r="F1585">
        <v>731.94776056550336</v>
      </c>
      <c r="G1585">
        <v>0.42399999999999999</v>
      </c>
      <c r="H1585">
        <v>2.0899999999999998E-2</v>
      </c>
      <c r="I1585">
        <v>330.20580000000001</v>
      </c>
      <c r="J1585">
        <v>2.0899999999999998E-2</v>
      </c>
    </row>
    <row r="1586" spans="1:10" x14ac:dyDescent="0.3">
      <c r="A1586" t="s">
        <v>9</v>
      </c>
      <c r="B1586" t="s">
        <v>1702</v>
      </c>
      <c r="C1586">
        <v>6</v>
      </c>
      <c r="D1586">
        <v>1.6500000000000001E-2</v>
      </c>
      <c r="E1586">
        <v>7.3136918283208594</v>
      </c>
      <c r="F1586">
        <v>729.63607839950407</v>
      </c>
      <c r="G1586">
        <v>0.42399999999999999</v>
      </c>
      <c r="H1586">
        <v>2.0500000000000001E-2</v>
      </c>
      <c r="I1586">
        <v>330.40320000000003</v>
      </c>
      <c r="J1586">
        <v>2.0500000000000001E-2</v>
      </c>
    </row>
    <row r="1587" spans="1:10" x14ac:dyDescent="0.3">
      <c r="A1587" t="s">
        <v>9</v>
      </c>
      <c r="B1587" t="s">
        <v>1703</v>
      </c>
      <c r="C1587">
        <v>6</v>
      </c>
      <c r="D1587">
        <v>1.6500000000000001E-2</v>
      </c>
      <c r="E1587">
        <v>7.272721441861612</v>
      </c>
      <c r="F1587">
        <v>725.81763838150221</v>
      </c>
      <c r="G1587">
        <v>0.42399999999999999</v>
      </c>
      <c r="H1587">
        <v>1.9800000000000002E-2</v>
      </c>
      <c r="I1587">
        <v>330.60379999999998</v>
      </c>
      <c r="J1587">
        <v>1.9800000000000002E-2</v>
      </c>
    </row>
    <row r="1588" spans="1:10" x14ac:dyDescent="0.3">
      <c r="A1588" t="s">
        <v>9</v>
      </c>
      <c r="B1588" t="s">
        <v>1704</v>
      </c>
      <c r="C1588">
        <v>6</v>
      </c>
      <c r="D1588">
        <v>1.6500000000000001E-2</v>
      </c>
      <c r="E1588">
        <v>7.2172027648936918</v>
      </c>
      <c r="F1588">
        <v>720.64329768809205</v>
      </c>
      <c r="G1588">
        <v>0.42399999999999999</v>
      </c>
      <c r="H1588">
        <v>1.9E-2</v>
      </c>
      <c r="I1588">
        <v>330.80329999999998</v>
      </c>
      <c r="J1588">
        <v>1.9E-2</v>
      </c>
    </row>
    <row r="1589" spans="1:10" x14ac:dyDescent="0.3">
      <c r="A1589" t="s">
        <v>9</v>
      </c>
      <c r="B1589" t="s">
        <v>1705</v>
      </c>
      <c r="C1589">
        <v>6</v>
      </c>
      <c r="D1589">
        <v>1.6500000000000001E-2</v>
      </c>
      <c r="E1589">
        <v>7.1473069060735908</v>
      </c>
      <c r="F1589">
        <v>714.12900364605866</v>
      </c>
      <c r="G1589">
        <v>0.42399999999999999</v>
      </c>
      <c r="H1589">
        <v>1.7899999999999999E-2</v>
      </c>
      <c r="I1589">
        <v>331.00549999999998</v>
      </c>
      <c r="J1589">
        <v>1.7899999999999999E-2</v>
      </c>
    </row>
    <row r="1590" spans="1:10" x14ac:dyDescent="0.3">
      <c r="A1590" t="s">
        <v>9</v>
      </c>
      <c r="B1590" t="s">
        <v>1706</v>
      </c>
      <c r="C1590">
        <v>6</v>
      </c>
      <c r="D1590">
        <v>1.6500000000000001E-2</v>
      </c>
      <c r="E1590">
        <v>7.0663449395455018</v>
      </c>
      <c r="F1590">
        <v>706.58334836564075</v>
      </c>
      <c r="G1590">
        <v>0.42399999999999999</v>
      </c>
      <c r="H1590">
        <v>1.66E-2</v>
      </c>
      <c r="I1590">
        <v>331.20549999999997</v>
      </c>
      <c r="J1590">
        <v>1.66E-2</v>
      </c>
    </row>
    <row r="1591" spans="1:10" x14ac:dyDescent="0.3">
      <c r="A1591" t="s">
        <v>9</v>
      </c>
      <c r="B1591" t="s">
        <v>1707</v>
      </c>
      <c r="C1591">
        <v>6</v>
      </c>
      <c r="D1591">
        <v>1.6500000000000001E-2</v>
      </c>
      <c r="E1591">
        <v>6.9755989638208096</v>
      </c>
      <c r="F1591">
        <v>698.12582342809947</v>
      </c>
      <c r="G1591">
        <v>0.42399999999999999</v>
      </c>
      <c r="H1591">
        <v>1.52E-2</v>
      </c>
      <c r="I1591">
        <v>331.40570000000002</v>
      </c>
      <c r="J1591">
        <v>1.52E-2</v>
      </c>
    </row>
    <row r="1592" spans="1:10" x14ac:dyDescent="0.3">
      <c r="A1592" t="s">
        <v>9</v>
      </c>
      <c r="B1592" t="s">
        <v>1708</v>
      </c>
      <c r="C1592">
        <v>6</v>
      </c>
      <c r="D1592">
        <v>1.6500000000000001E-2</v>
      </c>
      <c r="E1592">
        <v>6.8781570441312274</v>
      </c>
      <c r="F1592">
        <v>689.04423651303046</v>
      </c>
      <c r="G1592">
        <v>0.42399999999999999</v>
      </c>
      <c r="H1592">
        <v>1.37E-2</v>
      </c>
      <c r="I1592">
        <v>331.60430000000002</v>
      </c>
      <c r="J1592">
        <v>1.37E-2</v>
      </c>
    </row>
    <row r="1593" spans="1:10" x14ac:dyDescent="0.3">
      <c r="A1593" t="s">
        <v>9</v>
      </c>
      <c r="B1593" t="s">
        <v>1709</v>
      </c>
      <c r="C1593">
        <v>6</v>
      </c>
      <c r="D1593">
        <v>1.61E-2</v>
      </c>
      <c r="E1593">
        <v>6.7757789235315986</v>
      </c>
      <c r="F1593">
        <v>679.50259567314504</v>
      </c>
      <c r="G1593">
        <v>0.42399999999999999</v>
      </c>
      <c r="H1593">
        <v>1.21E-2</v>
      </c>
      <c r="I1593">
        <v>331.80279999999999</v>
      </c>
      <c r="J1593">
        <v>1.21E-2</v>
      </c>
    </row>
    <row r="1594" spans="1:10" x14ac:dyDescent="0.3">
      <c r="A1594" t="s">
        <v>9</v>
      </c>
      <c r="B1594" t="s">
        <v>1710</v>
      </c>
      <c r="C1594">
        <v>6</v>
      </c>
      <c r="D1594">
        <v>1.5599999999999999E-2</v>
      </c>
      <c r="E1594">
        <v>6.6687289689508988</v>
      </c>
      <c r="F1594">
        <v>669.5255399062238</v>
      </c>
      <c r="G1594">
        <v>0.42399999999999999</v>
      </c>
      <c r="H1594">
        <v>1.0500000000000001E-2</v>
      </c>
      <c r="I1594">
        <v>332.0052</v>
      </c>
      <c r="J1594">
        <v>1.0500000000000001E-2</v>
      </c>
    </row>
    <row r="1595" spans="1:10" x14ac:dyDescent="0.3">
      <c r="A1595" t="s">
        <v>9</v>
      </c>
      <c r="B1595" t="s">
        <v>1711</v>
      </c>
      <c r="C1595">
        <v>6</v>
      </c>
      <c r="D1595">
        <v>1.47E-2</v>
      </c>
      <c r="E1595">
        <v>6.5635612095915246</v>
      </c>
      <c r="F1595">
        <v>659.72390473393023</v>
      </c>
      <c r="G1595">
        <v>0.42399999999999999</v>
      </c>
      <c r="H1595">
        <v>8.8000000000000005E-3</v>
      </c>
      <c r="I1595">
        <v>332.20429999999999</v>
      </c>
      <c r="J1595">
        <v>8.8000000000000005E-3</v>
      </c>
    </row>
    <row r="1596" spans="1:10" x14ac:dyDescent="0.3">
      <c r="A1596" t="s">
        <v>9</v>
      </c>
      <c r="B1596" t="s">
        <v>1712</v>
      </c>
      <c r="C1596">
        <v>6</v>
      </c>
      <c r="D1596">
        <v>1.3599999999999999E-2</v>
      </c>
      <c r="E1596">
        <v>6.4606336761256973</v>
      </c>
      <c r="F1596">
        <v>650.13105861491499</v>
      </c>
      <c r="G1596">
        <v>0.42399999999999999</v>
      </c>
      <c r="H1596">
        <v>7.1999999999999998E-3</v>
      </c>
      <c r="I1596">
        <v>332.40410000000003</v>
      </c>
      <c r="J1596">
        <v>7.1999999999999998E-3</v>
      </c>
    </row>
    <row r="1597" spans="1:10" x14ac:dyDescent="0.3">
      <c r="A1597" t="s">
        <v>9</v>
      </c>
      <c r="B1597" t="s">
        <v>1713</v>
      </c>
      <c r="C1597">
        <v>6</v>
      </c>
      <c r="D1597">
        <v>1.1900000000000001E-2</v>
      </c>
      <c r="E1597">
        <v>6.3634203608449464</v>
      </c>
      <c r="F1597">
        <v>641.07077763074903</v>
      </c>
      <c r="G1597">
        <v>0.42399999999999999</v>
      </c>
      <c r="H1597">
        <v>5.7000000000000002E-3</v>
      </c>
      <c r="I1597">
        <v>332.60270000000003</v>
      </c>
      <c r="J1597">
        <v>5.7000000000000002E-3</v>
      </c>
    </row>
    <row r="1598" spans="1:10" x14ac:dyDescent="0.3">
      <c r="A1598" t="s">
        <v>9</v>
      </c>
      <c r="B1598" t="s">
        <v>1714</v>
      </c>
      <c r="C1598">
        <v>6</v>
      </c>
      <c r="D1598">
        <v>1.04E-2</v>
      </c>
      <c r="E1598">
        <v>6.2734599441512309</v>
      </c>
      <c r="F1598">
        <v>632.68646679489473</v>
      </c>
      <c r="G1598">
        <v>0.42399999999999999</v>
      </c>
      <c r="H1598">
        <v>4.3E-3</v>
      </c>
      <c r="I1598">
        <v>332.80200000000002</v>
      </c>
      <c r="J1598">
        <v>4.3E-3</v>
      </c>
    </row>
    <row r="1599" spans="1:10" x14ac:dyDescent="0.3">
      <c r="A1599" t="s">
        <v>9</v>
      </c>
      <c r="B1599" t="s">
        <v>1715</v>
      </c>
      <c r="C1599">
        <v>6</v>
      </c>
      <c r="D1599">
        <v>8.8999999999999999E-3</v>
      </c>
      <c r="E1599">
        <v>6.1916826570391166</v>
      </c>
      <c r="F1599">
        <v>625.06482363604573</v>
      </c>
      <c r="G1599">
        <v>0.42399999999999999</v>
      </c>
      <c r="H1599">
        <v>3.0000000000000001E-3</v>
      </c>
      <c r="I1599">
        <v>333.00529999999998</v>
      </c>
      <c r="J1599">
        <v>3.0000000000000001E-3</v>
      </c>
    </row>
    <row r="1600" spans="1:10" x14ac:dyDescent="0.3">
      <c r="A1600" t="s">
        <v>9</v>
      </c>
      <c r="B1600" t="s">
        <v>1716</v>
      </c>
      <c r="C1600">
        <v>6</v>
      </c>
      <c r="D1600">
        <v>8.0999999999999996E-3</v>
      </c>
      <c r="E1600">
        <v>6.1234168311809398</v>
      </c>
      <c r="F1600">
        <v>618.70244866606356</v>
      </c>
      <c r="G1600">
        <v>0.42399999999999999</v>
      </c>
      <c r="H1600">
        <v>2E-3</v>
      </c>
      <c r="I1600">
        <v>333.20440000000002</v>
      </c>
      <c r="J1600">
        <v>2E-3</v>
      </c>
    </row>
    <row r="1601" spans="1:10" x14ac:dyDescent="0.3">
      <c r="A1601" t="s">
        <v>9</v>
      </c>
      <c r="B1601" t="s">
        <v>1717</v>
      </c>
      <c r="C1601">
        <v>6</v>
      </c>
      <c r="D1601">
        <v>7.4999999999999997E-3</v>
      </c>
      <c r="E1601">
        <v>6.0684753418255948</v>
      </c>
      <c r="F1601">
        <v>613.58190185814544</v>
      </c>
      <c r="G1601">
        <v>0.42399999999999999</v>
      </c>
      <c r="H1601">
        <v>1.1000000000000001E-3</v>
      </c>
      <c r="I1601">
        <v>333.40379999999999</v>
      </c>
      <c r="J1601">
        <v>1.1000000000000001E-3</v>
      </c>
    </row>
    <row r="1602" spans="1:10" x14ac:dyDescent="0.3">
      <c r="A1602" t="s">
        <v>9</v>
      </c>
      <c r="B1602" t="s">
        <v>1718</v>
      </c>
      <c r="C1602">
        <v>6</v>
      </c>
      <c r="D1602">
        <v>6.6E-3</v>
      </c>
      <c r="E1602">
        <v>6.0281507891768848</v>
      </c>
      <c r="F1602">
        <v>609.8236535512857</v>
      </c>
      <c r="G1602">
        <v>0.42399999999999999</v>
      </c>
      <c r="H1602">
        <v>5.0000000000000001E-4</v>
      </c>
      <c r="I1602">
        <v>333.60399999999998</v>
      </c>
      <c r="J1602">
        <v>5.0000000000000001E-4</v>
      </c>
    </row>
    <row r="1603" spans="1:10" x14ac:dyDescent="0.3">
      <c r="A1603" t="s">
        <v>9</v>
      </c>
      <c r="B1603" t="s">
        <v>1719</v>
      </c>
      <c r="C1603">
        <v>6</v>
      </c>
      <c r="D1603">
        <v>6.0000000000000001E-3</v>
      </c>
      <c r="E1603">
        <v>6.0038592676649367</v>
      </c>
      <c r="F1603">
        <v>607.55968374637212</v>
      </c>
      <c r="G1603">
        <v>0.42399999999999999</v>
      </c>
      <c r="H1603">
        <v>1E-4</v>
      </c>
      <c r="I1603">
        <v>333.8023</v>
      </c>
      <c r="J1603">
        <v>1E-4</v>
      </c>
    </row>
    <row r="1604" spans="1:10" x14ac:dyDescent="0.3">
      <c r="A1604" t="s">
        <v>9</v>
      </c>
      <c r="B1604" t="s">
        <v>1720</v>
      </c>
      <c r="C1604">
        <v>6</v>
      </c>
      <c r="D1604">
        <v>5.8999999999999999E-3</v>
      </c>
      <c r="E1604">
        <v>5.9957372298422298</v>
      </c>
      <c r="F1604">
        <v>606.80270982129582</v>
      </c>
      <c r="G1604">
        <v>0.42399999999999999</v>
      </c>
      <c r="H1604">
        <v>0</v>
      </c>
      <c r="I1604">
        <v>334.00420000000003</v>
      </c>
      <c r="J1604">
        <v>0</v>
      </c>
    </row>
    <row r="1605" spans="1:10" x14ac:dyDescent="0.3">
      <c r="A1605" t="s">
        <v>9</v>
      </c>
      <c r="B1605" t="s">
        <v>1721</v>
      </c>
      <c r="C1605">
        <v>6</v>
      </c>
      <c r="D1605">
        <v>5.4000000000000003E-3</v>
      </c>
      <c r="E1605">
        <v>6.0043142301746393</v>
      </c>
      <c r="F1605">
        <v>709.80942044357334</v>
      </c>
      <c r="G1605">
        <v>0.42399999999999999</v>
      </c>
      <c r="H1605">
        <v>1E-4</v>
      </c>
      <c r="I1605">
        <v>334.20310000000001</v>
      </c>
      <c r="J1605">
        <v>1E-4</v>
      </c>
    </row>
    <row r="1606" spans="1:10" x14ac:dyDescent="0.3">
      <c r="A1606" t="s">
        <v>9</v>
      </c>
      <c r="B1606" t="s">
        <v>1722</v>
      </c>
      <c r="C1606">
        <v>6</v>
      </c>
      <c r="D1606">
        <v>5.4000000000000003E-3</v>
      </c>
      <c r="E1606">
        <v>6.0291986310171852</v>
      </c>
      <c r="F1606">
        <v>712.1709500835309</v>
      </c>
      <c r="G1606">
        <v>0.42399999999999999</v>
      </c>
      <c r="H1606">
        <v>5.0000000000000001E-4</v>
      </c>
      <c r="I1606">
        <v>334.4024</v>
      </c>
      <c r="J1606">
        <v>5.0000000000000001E-4</v>
      </c>
    </row>
    <row r="1607" spans="1:10" x14ac:dyDescent="0.3">
      <c r="A1607" t="s">
        <v>9</v>
      </c>
      <c r="B1607" t="s">
        <v>1723</v>
      </c>
      <c r="C1607">
        <v>6</v>
      </c>
      <c r="D1607">
        <v>5.4000000000000003E-3</v>
      </c>
      <c r="E1607">
        <v>6.0699131005578879</v>
      </c>
      <c r="F1607">
        <v>716.03475324294357</v>
      </c>
      <c r="G1607">
        <v>0.42399999999999999</v>
      </c>
      <c r="H1607">
        <v>1.1999999999999999E-3</v>
      </c>
      <c r="I1607">
        <v>334.60219999999998</v>
      </c>
      <c r="J1607">
        <v>1.1999999999999999E-3</v>
      </c>
    </row>
    <row r="1608" spans="1:10" x14ac:dyDescent="0.3">
      <c r="A1608" t="s">
        <v>9</v>
      </c>
      <c r="B1608" t="s">
        <v>1724</v>
      </c>
      <c r="C1608">
        <v>6</v>
      </c>
      <c r="D1608">
        <v>5.4000000000000003E-3</v>
      </c>
      <c r="E1608">
        <v>6.1259949763975046</v>
      </c>
      <c r="F1608">
        <v>721.35692326012327</v>
      </c>
      <c r="G1608">
        <v>0.42399999999999999</v>
      </c>
      <c r="H1608">
        <v>2E-3</v>
      </c>
      <c r="I1608">
        <v>334.80380000000002</v>
      </c>
      <c r="J1608">
        <v>2E-3</v>
      </c>
    </row>
    <row r="1609" spans="1:10" x14ac:dyDescent="0.3">
      <c r="A1609" t="s">
        <v>9</v>
      </c>
      <c r="B1609" t="s">
        <v>1725</v>
      </c>
      <c r="C1609">
        <v>6</v>
      </c>
      <c r="D1609">
        <v>5.4000000000000003E-3</v>
      </c>
      <c r="E1609">
        <v>6.19551374742014</v>
      </c>
      <c r="F1609">
        <v>727.95425463017136</v>
      </c>
      <c r="G1609">
        <v>0.42399999999999999</v>
      </c>
      <c r="H1609">
        <v>3.0999999999999999E-3</v>
      </c>
      <c r="I1609">
        <v>335.00490000000002</v>
      </c>
      <c r="J1609">
        <v>3.0999999999999999E-3</v>
      </c>
    </row>
    <row r="1610" spans="1:10" x14ac:dyDescent="0.3">
      <c r="A1610" t="s">
        <v>9</v>
      </c>
      <c r="B1610" t="s">
        <v>1726</v>
      </c>
      <c r="C1610">
        <v>6</v>
      </c>
      <c r="D1610">
        <v>5.4000000000000003E-3</v>
      </c>
      <c r="E1610">
        <v>6.2755920715428362</v>
      </c>
      <c r="F1610">
        <v>735.55368758941518</v>
      </c>
      <c r="G1610">
        <v>0.42399999999999999</v>
      </c>
      <c r="H1610">
        <v>4.3E-3</v>
      </c>
      <c r="I1610">
        <v>335.20299999999997</v>
      </c>
      <c r="J1610">
        <v>4.3E-3</v>
      </c>
    </row>
    <row r="1611" spans="1:10" x14ac:dyDescent="0.3">
      <c r="A1611" t="s">
        <v>9</v>
      </c>
      <c r="B1611" t="s">
        <v>1727</v>
      </c>
      <c r="C1611">
        <v>6</v>
      </c>
      <c r="D1611">
        <v>5.4000000000000003E-3</v>
      </c>
      <c r="E1611">
        <v>6.366724339251018</v>
      </c>
      <c r="F1611">
        <v>744.20213979492166</v>
      </c>
      <c r="G1611">
        <v>0.42399999999999999</v>
      </c>
      <c r="H1611">
        <v>5.7999999999999996E-3</v>
      </c>
      <c r="I1611">
        <v>335.4042</v>
      </c>
      <c r="J1611">
        <v>5.7999999999999996E-3</v>
      </c>
    </row>
    <row r="1612" spans="1:10" x14ac:dyDescent="0.3">
      <c r="A1612" t="s">
        <v>9</v>
      </c>
      <c r="B1612" t="s">
        <v>1728</v>
      </c>
      <c r="C1612">
        <v>6</v>
      </c>
      <c r="D1612">
        <v>5.4000000000000003E-3</v>
      </c>
      <c r="E1612">
        <v>6.4638640615906517</v>
      </c>
      <c r="F1612">
        <v>753.4206994449529</v>
      </c>
      <c r="G1612">
        <v>0.42399999999999999</v>
      </c>
      <c r="H1612">
        <v>7.3000000000000001E-3</v>
      </c>
      <c r="I1612">
        <v>335.60230000000001</v>
      </c>
      <c r="J1612">
        <v>7.3000000000000001E-3</v>
      </c>
    </row>
    <row r="1613" spans="1:10" x14ac:dyDescent="0.3">
      <c r="A1613" t="s">
        <v>9</v>
      </c>
      <c r="B1613" t="s">
        <v>1729</v>
      </c>
      <c r="C1613">
        <v>6</v>
      </c>
      <c r="D1613">
        <v>5.4000000000000003E-3</v>
      </c>
      <c r="E1613">
        <v>6.5673037046136828</v>
      </c>
      <c r="F1613">
        <v>763.23712156783859</v>
      </c>
      <c r="G1613">
        <v>0.42399999999999999</v>
      </c>
      <c r="H1613">
        <v>8.8999999999999999E-3</v>
      </c>
      <c r="I1613">
        <v>335.80290000000002</v>
      </c>
      <c r="J1613">
        <v>8.8999999999999999E-3</v>
      </c>
    </row>
    <row r="1614" spans="1:10" x14ac:dyDescent="0.3">
      <c r="A1614" t="s">
        <v>9</v>
      </c>
      <c r="B1614" t="s">
        <v>1730</v>
      </c>
      <c r="C1614">
        <v>6</v>
      </c>
      <c r="D1614">
        <v>5.4999999999999997E-3</v>
      </c>
      <c r="E1614">
        <v>6.6730549363822522</v>
      </c>
      <c r="F1614">
        <v>773.27291346267577</v>
      </c>
      <c r="G1614">
        <v>0.42399999999999999</v>
      </c>
      <c r="H1614">
        <v>1.0500000000000001E-2</v>
      </c>
      <c r="I1614">
        <v>336.00290000000001</v>
      </c>
      <c r="J1614">
        <v>1.0500000000000001E-2</v>
      </c>
    </row>
    <row r="1615" spans="1:10" x14ac:dyDescent="0.3">
      <c r="A1615" t="s">
        <v>9</v>
      </c>
      <c r="B1615" t="s">
        <v>1731</v>
      </c>
      <c r="C1615">
        <v>6</v>
      </c>
      <c r="D1615">
        <v>5.4999999999999997E-3</v>
      </c>
      <c r="E1615">
        <v>6.7789720056875566</v>
      </c>
      <c r="F1615">
        <v>783.32444333974911</v>
      </c>
      <c r="G1615">
        <v>0.42399999999999999</v>
      </c>
      <c r="H1615">
        <v>1.2200000000000001E-2</v>
      </c>
      <c r="I1615">
        <v>336.20330000000001</v>
      </c>
      <c r="J1615">
        <v>1.2200000000000001E-2</v>
      </c>
    </row>
    <row r="1616" spans="1:10" x14ac:dyDescent="0.3">
      <c r="A1616" t="s">
        <v>9</v>
      </c>
      <c r="B1616" t="s">
        <v>1732</v>
      </c>
      <c r="C1616">
        <v>6</v>
      </c>
      <c r="D1616">
        <v>6.0000000000000001E-3</v>
      </c>
      <c r="E1616">
        <v>6.8816440925809097</v>
      </c>
      <c r="F1616">
        <v>793.06802438592842</v>
      </c>
      <c r="G1616">
        <v>0.42399999999999999</v>
      </c>
      <c r="H1616">
        <v>1.38E-2</v>
      </c>
      <c r="I1616">
        <v>336.40260000000001</v>
      </c>
      <c r="J1616">
        <v>1.38E-2</v>
      </c>
    </row>
    <row r="1617" spans="1:10" x14ac:dyDescent="0.3">
      <c r="A1617" t="s">
        <v>9</v>
      </c>
      <c r="B1617" t="s">
        <v>1733</v>
      </c>
      <c r="C1617">
        <v>6</v>
      </c>
      <c r="D1617">
        <v>7.7999999999999996E-3</v>
      </c>
      <c r="E1617">
        <v>6.9794375554107084</v>
      </c>
      <c r="F1617">
        <v>802.34862400847624</v>
      </c>
      <c r="G1617">
        <v>0.42399999999999999</v>
      </c>
      <c r="H1617">
        <v>1.5299999999999999E-2</v>
      </c>
      <c r="I1617">
        <v>336.60239999999999</v>
      </c>
      <c r="J1617">
        <v>1.5299999999999999E-2</v>
      </c>
    </row>
    <row r="1618" spans="1:10" x14ac:dyDescent="0.3">
      <c r="A1618" t="s">
        <v>9</v>
      </c>
      <c r="B1618" t="s">
        <v>1734</v>
      </c>
      <c r="C1618">
        <v>6</v>
      </c>
      <c r="D1618">
        <v>1.01E-2</v>
      </c>
      <c r="E1618">
        <v>7.0703307170176366</v>
      </c>
      <c r="F1618">
        <v>810.9743850449737</v>
      </c>
      <c r="G1618">
        <v>0.42399999999999999</v>
      </c>
      <c r="H1618">
        <v>1.67E-2</v>
      </c>
      <c r="I1618">
        <v>336.80369999999999</v>
      </c>
      <c r="J1618">
        <v>1.67E-2</v>
      </c>
    </row>
    <row r="1619" spans="1:10" x14ac:dyDescent="0.3">
      <c r="A1619" t="s">
        <v>9</v>
      </c>
      <c r="B1619" t="s">
        <v>1735</v>
      </c>
      <c r="C1619">
        <v>6</v>
      </c>
      <c r="D1619">
        <v>1.2200000000000001E-2</v>
      </c>
      <c r="E1619">
        <v>7.1503402327540622</v>
      </c>
      <c r="F1619">
        <v>818.56728808836056</v>
      </c>
      <c r="G1619">
        <v>0.42399999999999999</v>
      </c>
      <c r="H1619">
        <v>1.7899999999999999E-2</v>
      </c>
      <c r="I1619">
        <v>337.00259999999997</v>
      </c>
      <c r="J1619">
        <v>1.7899999999999999E-2</v>
      </c>
    </row>
    <row r="1620" spans="1:10" x14ac:dyDescent="0.3">
      <c r="A1620" t="s">
        <v>9</v>
      </c>
      <c r="B1620" t="s">
        <v>1736</v>
      </c>
      <c r="C1620">
        <v>6</v>
      </c>
      <c r="D1620">
        <v>1.35E-2</v>
      </c>
      <c r="E1620">
        <v>7.2189584532410329</v>
      </c>
      <c r="F1620">
        <v>825.07915721257405</v>
      </c>
      <c r="G1620">
        <v>0.42399999999999999</v>
      </c>
      <c r="H1620">
        <v>1.9E-2</v>
      </c>
      <c r="I1620">
        <v>337.20229999999998</v>
      </c>
      <c r="J1620">
        <v>1.9E-2</v>
      </c>
    </row>
    <row r="1621" spans="1:10" x14ac:dyDescent="0.3">
      <c r="A1621" t="s">
        <v>9</v>
      </c>
      <c r="B1621" t="s">
        <v>1737</v>
      </c>
      <c r="C1621">
        <v>6</v>
      </c>
      <c r="D1621">
        <v>1.49E-2</v>
      </c>
      <c r="E1621">
        <v>7.2746567537511826</v>
      </c>
      <c r="F1621">
        <v>830.3649259309874</v>
      </c>
      <c r="G1621">
        <v>0.42399999999999999</v>
      </c>
      <c r="H1621">
        <v>1.9900000000000001E-2</v>
      </c>
      <c r="I1621">
        <v>337.4042</v>
      </c>
      <c r="J1621">
        <v>1.9900000000000001E-2</v>
      </c>
    </row>
    <row r="1622" spans="1:10" x14ac:dyDescent="0.3">
      <c r="A1622" t="s">
        <v>9</v>
      </c>
      <c r="B1622" t="s">
        <v>1738</v>
      </c>
      <c r="C1622">
        <v>6</v>
      </c>
      <c r="D1622">
        <v>1.5699999999999999E-2</v>
      </c>
      <c r="E1622">
        <v>7.3148810740305024</v>
      </c>
      <c r="F1622">
        <v>834.18221392549469</v>
      </c>
      <c r="G1622">
        <v>0.42399999999999999</v>
      </c>
      <c r="H1622">
        <v>2.0500000000000001E-2</v>
      </c>
      <c r="I1622">
        <v>337.60399999999998</v>
      </c>
      <c r="J1622">
        <v>2.0500000000000001E-2</v>
      </c>
    </row>
    <row r="1623" spans="1:10" x14ac:dyDescent="0.3">
      <c r="A1623" t="s">
        <v>9</v>
      </c>
      <c r="B1623" t="s">
        <v>1739</v>
      </c>
      <c r="C1623">
        <v>6</v>
      </c>
      <c r="D1623">
        <v>1.5900000000000001E-2</v>
      </c>
      <c r="E1623">
        <v>7.3398641542894634</v>
      </c>
      <c r="F1623">
        <v>836.55310824207015</v>
      </c>
      <c r="G1623">
        <v>0.42399999999999999</v>
      </c>
      <c r="H1623">
        <v>2.0899999999999998E-2</v>
      </c>
      <c r="I1623">
        <v>337.8109</v>
      </c>
      <c r="J1623">
        <v>2.0899999999999998E-2</v>
      </c>
    </row>
    <row r="1624" spans="1:10" x14ac:dyDescent="0.3">
      <c r="A1624" t="s">
        <v>9</v>
      </c>
      <c r="B1624" t="s">
        <v>1740</v>
      </c>
      <c r="C1624">
        <v>6</v>
      </c>
      <c r="D1624">
        <v>1.6199999999999999E-2</v>
      </c>
      <c r="E1624">
        <v>7.3472964331362851</v>
      </c>
      <c r="F1624">
        <v>837.25843150463345</v>
      </c>
      <c r="G1624">
        <v>0.42399999999999999</v>
      </c>
      <c r="H1624">
        <v>2.1000000000000001E-2</v>
      </c>
      <c r="I1624">
        <v>338.00560000000002</v>
      </c>
      <c r="J1624">
        <v>2.1000000000000001E-2</v>
      </c>
    </row>
    <row r="1625" spans="1:10" x14ac:dyDescent="0.3">
      <c r="A1625" t="s">
        <v>9</v>
      </c>
      <c r="B1625" t="s">
        <v>1741</v>
      </c>
      <c r="C1625">
        <v>6</v>
      </c>
      <c r="D1625">
        <v>1.6299999999999999E-2</v>
      </c>
      <c r="E1625">
        <v>7.3385463743520853</v>
      </c>
      <c r="F1625">
        <v>731.95252208961438</v>
      </c>
      <c r="G1625">
        <v>0.42399999999999999</v>
      </c>
      <c r="H1625">
        <v>2.0899999999999998E-2</v>
      </c>
      <c r="I1625">
        <v>338.20519999999999</v>
      </c>
      <c r="J1625">
        <v>2.0899999999999998E-2</v>
      </c>
    </row>
    <row r="1626" spans="1:10" x14ac:dyDescent="0.3">
      <c r="A1626" t="s">
        <v>9</v>
      </c>
      <c r="B1626" t="s">
        <v>1742</v>
      </c>
      <c r="C1626">
        <v>6</v>
      </c>
      <c r="D1626">
        <v>1.6299999999999999E-2</v>
      </c>
      <c r="E1626">
        <v>7.3136046521096176</v>
      </c>
      <c r="F1626">
        <v>729.62795357661639</v>
      </c>
      <c r="G1626">
        <v>0.42399999999999999</v>
      </c>
      <c r="H1626">
        <v>2.0500000000000001E-2</v>
      </c>
      <c r="I1626">
        <v>338.40379999999999</v>
      </c>
      <c r="J1626">
        <v>2.0500000000000001E-2</v>
      </c>
    </row>
    <row r="1627" spans="1:10" x14ac:dyDescent="0.3">
      <c r="A1627" t="s">
        <v>9</v>
      </c>
      <c r="B1627" t="s">
        <v>1743</v>
      </c>
      <c r="C1627">
        <v>6</v>
      </c>
      <c r="D1627">
        <v>1.6400000000000001E-2</v>
      </c>
      <c r="E1627">
        <v>7.2723670604261423</v>
      </c>
      <c r="F1627">
        <v>725.78461003171651</v>
      </c>
      <c r="G1627">
        <v>0.42399999999999999</v>
      </c>
      <c r="H1627">
        <v>1.9800000000000002E-2</v>
      </c>
      <c r="I1627">
        <v>338.6053</v>
      </c>
      <c r="J1627">
        <v>1.9800000000000002E-2</v>
      </c>
    </row>
    <row r="1628" spans="1:10" x14ac:dyDescent="0.3">
      <c r="A1628" t="s">
        <v>9</v>
      </c>
      <c r="B1628" t="s">
        <v>1744</v>
      </c>
      <c r="C1628">
        <v>6</v>
      </c>
      <c r="D1628">
        <v>1.6299999999999999E-2</v>
      </c>
      <c r="E1628">
        <v>7.2167453938877353</v>
      </c>
      <c r="F1628">
        <v>720.600670710337</v>
      </c>
      <c r="G1628">
        <v>0.42399999999999999</v>
      </c>
      <c r="H1628">
        <v>1.9E-2</v>
      </c>
      <c r="I1628">
        <v>338.8048</v>
      </c>
      <c r="J1628">
        <v>1.9E-2</v>
      </c>
    </row>
    <row r="1629" spans="1:10" x14ac:dyDescent="0.3">
      <c r="A1629" t="s">
        <v>9</v>
      </c>
      <c r="B1629" t="s">
        <v>1745</v>
      </c>
      <c r="C1629">
        <v>6</v>
      </c>
      <c r="D1629">
        <v>1.6299999999999999E-2</v>
      </c>
      <c r="E1629">
        <v>7.1484981791369808</v>
      </c>
      <c r="F1629">
        <v>714.24003029556661</v>
      </c>
      <c r="G1629">
        <v>0.42399999999999999</v>
      </c>
      <c r="H1629">
        <v>1.7899999999999999E-2</v>
      </c>
      <c r="I1629">
        <v>339.00229999999999</v>
      </c>
      <c r="J1629">
        <v>1.7899999999999999E-2</v>
      </c>
    </row>
    <row r="1630" spans="1:10" x14ac:dyDescent="0.3">
      <c r="A1630" t="s">
        <v>9</v>
      </c>
      <c r="B1630" t="s">
        <v>1746</v>
      </c>
      <c r="C1630">
        <v>6</v>
      </c>
      <c r="D1630">
        <v>1.6299999999999999E-2</v>
      </c>
      <c r="E1630">
        <v>7.0676396076501327</v>
      </c>
      <c r="F1630">
        <v>706.70401143299239</v>
      </c>
      <c r="G1630">
        <v>0.42399999999999999</v>
      </c>
      <c r="H1630">
        <v>1.67E-2</v>
      </c>
      <c r="I1630">
        <v>339.20249999999999</v>
      </c>
      <c r="J1630">
        <v>1.67E-2</v>
      </c>
    </row>
    <row r="1631" spans="1:10" x14ac:dyDescent="0.3">
      <c r="A1631" t="s">
        <v>9</v>
      </c>
      <c r="B1631" t="s">
        <v>1747</v>
      </c>
      <c r="C1631">
        <v>6</v>
      </c>
      <c r="D1631">
        <v>1.6299999999999999E-2</v>
      </c>
      <c r="E1631">
        <v>6.9770055418524306</v>
      </c>
      <c r="F1631">
        <v>698.25691650064653</v>
      </c>
      <c r="G1631">
        <v>0.42399999999999999</v>
      </c>
      <c r="H1631">
        <v>1.52E-2</v>
      </c>
      <c r="I1631">
        <v>339.40280000000001</v>
      </c>
      <c r="J1631">
        <v>1.52E-2</v>
      </c>
    </row>
    <row r="1632" spans="1:10" x14ac:dyDescent="0.3">
      <c r="A1632" t="s">
        <v>9</v>
      </c>
      <c r="B1632" t="s">
        <v>1748</v>
      </c>
      <c r="C1632">
        <v>6</v>
      </c>
      <c r="D1632">
        <v>1.6400000000000001E-2</v>
      </c>
      <c r="E1632">
        <v>6.8783614013892107</v>
      </c>
      <c r="F1632">
        <v>689.06328260947441</v>
      </c>
      <c r="G1632">
        <v>0.42399999999999999</v>
      </c>
      <c r="H1632">
        <v>1.37E-2</v>
      </c>
      <c r="I1632">
        <v>339.60390000000001</v>
      </c>
      <c r="J1632">
        <v>1.37E-2</v>
      </c>
    </row>
    <row r="1633" spans="1:10" x14ac:dyDescent="0.3">
      <c r="A1633" t="s">
        <v>9</v>
      </c>
      <c r="B1633" t="s">
        <v>1749</v>
      </c>
      <c r="C1633">
        <v>6</v>
      </c>
      <c r="D1633">
        <v>1.6199999999999999E-2</v>
      </c>
      <c r="E1633">
        <v>6.7751151679139099</v>
      </c>
      <c r="F1633">
        <v>679.44073364957637</v>
      </c>
      <c r="G1633">
        <v>0.42399999999999999</v>
      </c>
      <c r="H1633">
        <v>1.21E-2</v>
      </c>
      <c r="I1633">
        <v>339.80399999999997</v>
      </c>
      <c r="J1633">
        <v>1.21E-2</v>
      </c>
    </row>
    <row r="1634" spans="1:10" x14ac:dyDescent="0.3">
      <c r="A1634" t="s">
        <v>9</v>
      </c>
      <c r="B1634" t="s">
        <v>1750</v>
      </c>
      <c r="C1634">
        <v>6</v>
      </c>
      <c r="D1634">
        <v>1.6199999999999999E-2</v>
      </c>
      <c r="E1634">
        <v>6.6702227231937616</v>
      </c>
      <c r="F1634">
        <v>669.66475780165865</v>
      </c>
      <c r="G1634">
        <v>0.42399999999999999</v>
      </c>
      <c r="H1634">
        <v>1.0500000000000001E-2</v>
      </c>
      <c r="I1634">
        <v>340.00240000000002</v>
      </c>
      <c r="J1634">
        <v>1.0500000000000001E-2</v>
      </c>
    </row>
    <row r="1635" spans="1:10" x14ac:dyDescent="0.3">
      <c r="A1635" t="s">
        <v>9</v>
      </c>
      <c r="B1635" t="s">
        <v>1751</v>
      </c>
      <c r="C1635">
        <v>6</v>
      </c>
      <c r="D1635">
        <v>1.5299999999999999E-2</v>
      </c>
      <c r="E1635">
        <v>6.5633049520775497</v>
      </c>
      <c r="F1635">
        <v>659.70002153362771</v>
      </c>
      <c r="G1635">
        <v>0.42399999999999999</v>
      </c>
      <c r="H1635">
        <v>8.8000000000000005E-3</v>
      </c>
      <c r="I1635">
        <v>340.20479999999998</v>
      </c>
      <c r="J1635">
        <v>8.8000000000000005E-3</v>
      </c>
    </row>
    <row r="1636" spans="1:10" x14ac:dyDescent="0.3">
      <c r="A1636" t="s">
        <v>9</v>
      </c>
      <c r="B1636" t="s">
        <v>1752</v>
      </c>
      <c r="C1636">
        <v>6</v>
      </c>
      <c r="D1636">
        <v>1.43E-2</v>
      </c>
      <c r="E1636">
        <v>6.4599561345025096</v>
      </c>
      <c r="F1636">
        <v>650.06791173563397</v>
      </c>
      <c r="G1636">
        <v>0.42399999999999999</v>
      </c>
      <c r="H1636">
        <v>7.1999999999999998E-3</v>
      </c>
      <c r="I1636">
        <v>340.40539999999999</v>
      </c>
      <c r="J1636">
        <v>7.1999999999999998E-3</v>
      </c>
    </row>
    <row r="1637" spans="1:10" x14ac:dyDescent="0.3">
      <c r="A1637" t="s">
        <v>9</v>
      </c>
      <c r="B1637" t="s">
        <v>1753</v>
      </c>
      <c r="C1637">
        <v>6</v>
      </c>
      <c r="D1637">
        <v>1.26E-2</v>
      </c>
      <c r="E1637">
        <v>6.3627123683684346</v>
      </c>
      <c r="F1637">
        <v>641.00479273193821</v>
      </c>
      <c r="G1637">
        <v>0.42399999999999999</v>
      </c>
      <c r="H1637">
        <v>5.7000000000000002E-3</v>
      </c>
      <c r="I1637">
        <v>340.60419999999999</v>
      </c>
      <c r="J1637">
        <v>5.7000000000000002E-3</v>
      </c>
    </row>
    <row r="1638" spans="1:10" x14ac:dyDescent="0.3">
      <c r="A1638" t="s">
        <v>9</v>
      </c>
      <c r="B1638" t="s">
        <v>1754</v>
      </c>
      <c r="C1638">
        <v>6</v>
      </c>
      <c r="D1638">
        <v>1.11E-2</v>
      </c>
      <c r="E1638">
        <v>6.2730337132988696</v>
      </c>
      <c r="F1638">
        <v>632.64674207945473</v>
      </c>
      <c r="G1638">
        <v>0.42399999999999999</v>
      </c>
      <c r="H1638">
        <v>4.3E-3</v>
      </c>
      <c r="I1638">
        <v>340.80290000000002</v>
      </c>
      <c r="J1638">
        <v>4.3E-3</v>
      </c>
    </row>
    <row r="1639" spans="1:10" x14ac:dyDescent="0.3">
      <c r="A1639" t="s">
        <v>9</v>
      </c>
      <c r="B1639" t="s">
        <v>1755</v>
      </c>
      <c r="C1639">
        <v>6</v>
      </c>
      <c r="D1639">
        <v>9.4000000000000004E-3</v>
      </c>
      <c r="E1639">
        <v>6.1920955073567283</v>
      </c>
      <c r="F1639">
        <v>625.10330128564715</v>
      </c>
      <c r="G1639">
        <v>0.42399999999999999</v>
      </c>
      <c r="H1639">
        <v>3.0999999999999999E-3</v>
      </c>
      <c r="I1639">
        <v>341.00420000000003</v>
      </c>
      <c r="J1639">
        <v>3.0999999999999999E-3</v>
      </c>
    </row>
    <row r="1640" spans="1:10" x14ac:dyDescent="0.3">
      <c r="A1640" t="s">
        <v>9</v>
      </c>
      <c r="B1640" t="s">
        <v>1756</v>
      </c>
      <c r="C1640">
        <v>6</v>
      </c>
      <c r="D1640">
        <v>7.7999999999999996E-3</v>
      </c>
      <c r="E1640">
        <v>6.1236632763027679</v>
      </c>
      <c r="F1640">
        <v>618.72541735141795</v>
      </c>
      <c r="G1640">
        <v>0.42399999999999999</v>
      </c>
      <c r="H1640">
        <v>2E-3</v>
      </c>
      <c r="I1640">
        <v>341.20359999999999</v>
      </c>
      <c r="J1640">
        <v>2E-3</v>
      </c>
    </row>
    <row r="1641" spans="1:10" x14ac:dyDescent="0.3">
      <c r="A1641" t="s">
        <v>9</v>
      </c>
      <c r="B1641" t="s">
        <v>1757</v>
      </c>
      <c r="C1641">
        <v>6</v>
      </c>
      <c r="D1641">
        <v>7.1000000000000004E-3</v>
      </c>
      <c r="E1641">
        <v>6.0687587253327431</v>
      </c>
      <c r="F1641">
        <v>613.6083132010117</v>
      </c>
      <c r="G1641">
        <v>0.42399999999999999</v>
      </c>
      <c r="H1641">
        <v>1.1000000000000001E-3</v>
      </c>
      <c r="I1641">
        <v>341.40260000000001</v>
      </c>
      <c r="J1641">
        <v>1.1000000000000001E-3</v>
      </c>
    </row>
    <row r="1642" spans="1:10" x14ac:dyDescent="0.3">
      <c r="A1642" t="s">
        <v>9</v>
      </c>
      <c r="B1642" t="s">
        <v>1758</v>
      </c>
      <c r="C1642">
        <v>6</v>
      </c>
      <c r="D1642">
        <v>6.4000000000000003E-3</v>
      </c>
      <c r="E1642">
        <v>6.0282481467586591</v>
      </c>
      <c r="F1642">
        <v>609.832727277907</v>
      </c>
      <c r="G1642">
        <v>0.42399999999999999</v>
      </c>
      <c r="H1642">
        <v>5.0000000000000001E-4</v>
      </c>
      <c r="I1642">
        <v>341.60340000000002</v>
      </c>
      <c r="J1642">
        <v>5.0000000000000001E-4</v>
      </c>
    </row>
    <row r="1643" spans="1:10" x14ac:dyDescent="0.3">
      <c r="A1643" t="s">
        <v>9</v>
      </c>
      <c r="B1643" t="s">
        <v>1759</v>
      </c>
      <c r="C1643">
        <v>6</v>
      </c>
      <c r="D1643">
        <v>5.7999999999999996E-3</v>
      </c>
      <c r="E1643">
        <v>6.0035730012607544</v>
      </c>
      <c r="F1643">
        <v>607.53300371750231</v>
      </c>
      <c r="G1643">
        <v>0.42399999999999999</v>
      </c>
      <c r="H1643">
        <v>1E-4</v>
      </c>
      <c r="I1643">
        <v>341.80590000000001</v>
      </c>
      <c r="J1643">
        <v>1E-4</v>
      </c>
    </row>
    <row r="1644" spans="1:10" x14ac:dyDescent="0.3">
      <c r="A1644" t="s">
        <v>9</v>
      </c>
      <c r="B1644" t="s">
        <v>1760</v>
      </c>
      <c r="C1644">
        <v>6</v>
      </c>
      <c r="D1644">
        <v>5.7999999999999996E-3</v>
      </c>
      <c r="E1644">
        <v>5.995739807756328</v>
      </c>
      <c r="F1644">
        <v>606.80295008288977</v>
      </c>
      <c r="G1644">
        <v>0.42399999999999999</v>
      </c>
      <c r="H1644">
        <v>0</v>
      </c>
      <c r="I1644">
        <v>342.00549999999998</v>
      </c>
      <c r="J1644">
        <v>0</v>
      </c>
    </row>
    <row r="1645" spans="1:10" x14ac:dyDescent="0.3">
      <c r="A1645" t="s">
        <v>9</v>
      </c>
      <c r="B1645" t="s">
        <v>1761</v>
      </c>
      <c r="C1645">
        <v>6</v>
      </c>
      <c r="D1645">
        <v>5.7999999999999996E-3</v>
      </c>
      <c r="E1645">
        <v>6.0043095996986748</v>
      </c>
      <c r="F1645">
        <v>709.80898101140428</v>
      </c>
      <c r="G1645">
        <v>0.42399999999999999</v>
      </c>
      <c r="H1645">
        <v>1E-4</v>
      </c>
      <c r="I1645">
        <v>342.20299999999997</v>
      </c>
      <c r="J1645">
        <v>1E-4</v>
      </c>
    </row>
    <row r="1646" spans="1:10" x14ac:dyDescent="0.3">
      <c r="A1646" t="s">
        <v>9</v>
      </c>
      <c r="B1646" t="s">
        <v>1762</v>
      </c>
      <c r="C1646">
        <v>6</v>
      </c>
      <c r="D1646">
        <v>5.7999999999999996E-3</v>
      </c>
      <c r="E1646">
        <v>6.029588053234864</v>
      </c>
      <c r="F1646">
        <v>712.20790625198867</v>
      </c>
      <c r="G1646">
        <v>0.42399999999999999</v>
      </c>
      <c r="H1646">
        <v>5.0000000000000001E-4</v>
      </c>
      <c r="I1646">
        <v>342.40469999999999</v>
      </c>
      <c r="J1646">
        <v>5.0000000000000001E-4</v>
      </c>
    </row>
    <row r="1647" spans="1:10" x14ac:dyDescent="0.3">
      <c r="A1647" t="s">
        <v>9</v>
      </c>
      <c r="B1647" t="s">
        <v>1763</v>
      </c>
      <c r="C1647">
        <v>6</v>
      </c>
      <c r="D1647">
        <v>5.7999999999999996E-3</v>
      </c>
      <c r="E1647">
        <v>6.0708230174678786</v>
      </c>
      <c r="F1647">
        <v>716.12110435770182</v>
      </c>
      <c r="G1647">
        <v>0.42399999999999999</v>
      </c>
      <c r="H1647">
        <v>1.1999999999999999E-3</v>
      </c>
      <c r="I1647">
        <v>342.60590000000002</v>
      </c>
      <c r="J1647">
        <v>1.1999999999999999E-3</v>
      </c>
    </row>
    <row r="1648" spans="1:10" x14ac:dyDescent="0.3">
      <c r="A1648" t="s">
        <v>9</v>
      </c>
      <c r="B1648" t="s">
        <v>1764</v>
      </c>
      <c r="C1648">
        <v>6</v>
      </c>
      <c r="D1648">
        <v>5.7999999999999996E-3</v>
      </c>
      <c r="E1648">
        <v>6.1255885325177406</v>
      </c>
      <c r="F1648">
        <v>721.31835173593367</v>
      </c>
      <c r="G1648">
        <v>0.42399999999999999</v>
      </c>
      <c r="H1648">
        <v>2E-3</v>
      </c>
      <c r="I1648">
        <v>342.80250000000001</v>
      </c>
      <c r="J1648">
        <v>2E-3</v>
      </c>
    </row>
    <row r="1649" spans="1:10" x14ac:dyDescent="0.3">
      <c r="A1649" t="s">
        <v>9</v>
      </c>
      <c r="B1649" t="s">
        <v>1765</v>
      </c>
      <c r="C1649">
        <v>6</v>
      </c>
      <c r="D1649">
        <v>5.7999999999999996E-3</v>
      </c>
      <c r="E1649">
        <v>6.1959617115046992</v>
      </c>
      <c r="F1649">
        <v>727.996766421796</v>
      </c>
      <c r="G1649">
        <v>0.42399999999999999</v>
      </c>
      <c r="H1649">
        <v>3.0999999999999999E-3</v>
      </c>
      <c r="I1649">
        <v>343.0061</v>
      </c>
      <c r="J1649">
        <v>3.0999999999999999E-3</v>
      </c>
    </row>
    <row r="1650" spans="1:10" x14ac:dyDescent="0.3">
      <c r="A1650" t="s">
        <v>9</v>
      </c>
      <c r="B1650" t="s">
        <v>1766</v>
      </c>
      <c r="C1650">
        <v>6</v>
      </c>
      <c r="D1650">
        <v>5.7999999999999996E-3</v>
      </c>
      <c r="E1650">
        <v>6.2756686649675046</v>
      </c>
      <c r="F1650">
        <v>735.5609563054162</v>
      </c>
      <c r="G1650">
        <v>0.42399999999999999</v>
      </c>
      <c r="H1650">
        <v>4.3E-3</v>
      </c>
      <c r="I1650">
        <v>343.20319999999998</v>
      </c>
      <c r="J1650">
        <v>4.3E-3</v>
      </c>
    </row>
    <row r="1651" spans="1:10" x14ac:dyDescent="0.3">
      <c r="A1651" t="s">
        <v>9</v>
      </c>
      <c r="B1651" t="s">
        <v>1767</v>
      </c>
      <c r="C1651">
        <v>6</v>
      </c>
      <c r="D1651">
        <v>5.8999999999999999E-3</v>
      </c>
      <c r="E1651">
        <v>6.3675637042505171</v>
      </c>
      <c r="F1651">
        <v>744.28179553337407</v>
      </c>
      <c r="G1651">
        <v>0.42399999999999999</v>
      </c>
      <c r="H1651">
        <v>5.7999999999999996E-3</v>
      </c>
      <c r="I1651">
        <v>343.40600000000001</v>
      </c>
      <c r="J1651">
        <v>5.7999999999999996E-3</v>
      </c>
    </row>
    <row r="1652" spans="1:10" x14ac:dyDescent="0.3">
      <c r="A1652" t="s">
        <v>9</v>
      </c>
      <c r="B1652" t="s">
        <v>1768</v>
      </c>
      <c r="C1652">
        <v>6</v>
      </c>
      <c r="D1652">
        <v>5.7999999999999996E-3</v>
      </c>
      <c r="E1652">
        <v>6.4654068777942602</v>
      </c>
      <c r="F1652">
        <v>753.56711270267533</v>
      </c>
      <c r="G1652">
        <v>0.42399999999999999</v>
      </c>
      <c r="H1652">
        <v>7.3000000000000001E-3</v>
      </c>
      <c r="I1652">
        <v>343.60539999999997</v>
      </c>
      <c r="J1652">
        <v>7.3000000000000001E-3</v>
      </c>
    </row>
    <row r="1653" spans="1:10" x14ac:dyDescent="0.3">
      <c r="A1653" t="s">
        <v>9</v>
      </c>
      <c r="B1653" t="s">
        <v>1769</v>
      </c>
      <c r="C1653">
        <v>6</v>
      </c>
      <c r="D1653">
        <v>5.8999999999999999E-3</v>
      </c>
      <c r="E1653">
        <v>6.5677841874523883</v>
      </c>
      <c r="F1653">
        <v>763.28271938923172</v>
      </c>
      <c r="G1653">
        <v>0.42399999999999999</v>
      </c>
      <c r="H1653">
        <v>8.8999999999999999E-3</v>
      </c>
      <c r="I1653">
        <v>343.80380000000002</v>
      </c>
      <c r="J1653">
        <v>8.8999999999999999E-3</v>
      </c>
    </row>
    <row r="1654" spans="1:10" x14ac:dyDescent="0.3">
      <c r="A1654" t="s">
        <v>9</v>
      </c>
      <c r="B1654" t="s">
        <v>1770</v>
      </c>
      <c r="C1654">
        <v>6</v>
      </c>
      <c r="D1654">
        <v>5.8999999999999999E-3</v>
      </c>
      <c r="E1654">
        <v>6.6746135659451094</v>
      </c>
      <c r="F1654">
        <v>773.42082740819092</v>
      </c>
      <c r="G1654">
        <v>0.42399999999999999</v>
      </c>
      <c r="H1654">
        <v>1.0500000000000001E-2</v>
      </c>
      <c r="I1654">
        <v>344.00580000000002</v>
      </c>
      <c r="J1654">
        <v>1.0500000000000001E-2</v>
      </c>
    </row>
    <row r="1655" spans="1:10" x14ac:dyDescent="0.3">
      <c r="A1655" t="s">
        <v>9</v>
      </c>
      <c r="B1655" t="s">
        <v>1771</v>
      </c>
      <c r="C1655">
        <v>6</v>
      </c>
      <c r="D1655">
        <v>6.1999999999999998E-3</v>
      </c>
      <c r="E1655">
        <v>6.7794318095180142</v>
      </c>
      <c r="F1655">
        <v>783.3680787232596</v>
      </c>
      <c r="G1655">
        <v>0.42399999999999999</v>
      </c>
      <c r="H1655">
        <v>1.2200000000000001E-2</v>
      </c>
      <c r="I1655">
        <v>344.20420000000001</v>
      </c>
      <c r="J1655">
        <v>1.2200000000000001E-2</v>
      </c>
    </row>
    <row r="1656" spans="1:10" x14ac:dyDescent="0.3">
      <c r="A1656" t="s">
        <v>9</v>
      </c>
      <c r="B1656" t="s">
        <v>1772</v>
      </c>
      <c r="C1656">
        <v>6</v>
      </c>
      <c r="D1656">
        <v>7.1000000000000004E-3</v>
      </c>
      <c r="E1656">
        <v>6.8822628409453532</v>
      </c>
      <c r="F1656">
        <v>793.12674360571407</v>
      </c>
      <c r="G1656">
        <v>0.42399999999999999</v>
      </c>
      <c r="H1656">
        <v>1.38E-2</v>
      </c>
      <c r="I1656">
        <v>344.40379999999999</v>
      </c>
      <c r="J1656">
        <v>1.38E-2</v>
      </c>
    </row>
    <row r="1657" spans="1:10" x14ac:dyDescent="0.3">
      <c r="A1657" t="s">
        <v>9</v>
      </c>
      <c r="B1657" t="s">
        <v>1773</v>
      </c>
      <c r="C1657">
        <v>6</v>
      </c>
      <c r="D1657">
        <v>8.6999999999999994E-3</v>
      </c>
      <c r="E1657">
        <v>6.9802375492003828</v>
      </c>
      <c r="F1657">
        <v>802.42454341911639</v>
      </c>
      <c r="G1657">
        <v>0.42399999999999999</v>
      </c>
      <c r="H1657">
        <v>1.5299999999999999E-2</v>
      </c>
      <c r="I1657">
        <v>344.60399999999998</v>
      </c>
      <c r="J1657">
        <v>1.5299999999999999E-2</v>
      </c>
    </row>
    <row r="1658" spans="1:10" x14ac:dyDescent="0.3">
      <c r="A1658" t="s">
        <v>9</v>
      </c>
      <c r="B1658" t="s">
        <v>1774</v>
      </c>
      <c r="C1658">
        <v>6</v>
      </c>
      <c r="D1658">
        <v>1.04E-2</v>
      </c>
      <c r="E1658">
        <v>7.0705399399246192</v>
      </c>
      <c r="F1658">
        <v>810.99424029884642</v>
      </c>
      <c r="G1658">
        <v>0.42399999999999999</v>
      </c>
      <c r="H1658">
        <v>1.67E-2</v>
      </c>
      <c r="I1658">
        <v>344.80419999999998</v>
      </c>
      <c r="J1658">
        <v>1.67E-2</v>
      </c>
    </row>
    <row r="1659" spans="1:10" x14ac:dyDescent="0.3">
      <c r="A1659" t="s">
        <v>9</v>
      </c>
      <c r="B1659" t="s">
        <v>1775</v>
      </c>
      <c r="C1659">
        <v>6</v>
      </c>
      <c r="D1659">
        <v>1.21E-2</v>
      </c>
      <c r="E1659">
        <v>7.1513664792222196</v>
      </c>
      <c r="F1659">
        <v>818.66467887818874</v>
      </c>
      <c r="G1659">
        <v>0.42399999999999999</v>
      </c>
      <c r="H1659">
        <v>1.7999999999999999E-2</v>
      </c>
      <c r="I1659">
        <v>345.00529999999998</v>
      </c>
      <c r="J1659">
        <v>1.7999999999999999E-2</v>
      </c>
    </row>
    <row r="1660" spans="1:10" x14ac:dyDescent="0.3">
      <c r="A1660" t="s">
        <v>9</v>
      </c>
      <c r="B1660" t="s">
        <v>1776</v>
      </c>
      <c r="C1660">
        <v>6</v>
      </c>
      <c r="D1660">
        <v>1.3299999999999999E-2</v>
      </c>
      <c r="E1660">
        <v>7.2195334107644804</v>
      </c>
      <c r="F1660">
        <v>825.13372068154922</v>
      </c>
      <c r="G1660">
        <v>0.42399999999999999</v>
      </c>
      <c r="H1660">
        <v>1.9E-2</v>
      </c>
      <c r="I1660">
        <v>345.20420000000001</v>
      </c>
      <c r="J1660">
        <v>1.9E-2</v>
      </c>
    </row>
    <row r="1661" spans="1:10" x14ac:dyDescent="0.3">
      <c r="A1661" t="s">
        <v>9</v>
      </c>
      <c r="B1661" t="s">
        <v>1777</v>
      </c>
      <c r="C1661">
        <v>6</v>
      </c>
      <c r="D1661">
        <v>1.4500000000000001E-2</v>
      </c>
      <c r="E1661">
        <v>7.2744945654511977</v>
      </c>
      <c r="F1661">
        <v>830.34953426131869</v>
      </c>
      <c r="G1661">
        <v>0.42399999999999999</v>
      </c>
      <c r="H1661">
        <v>1.9900000000000001E-2</v>
      </c>
      <c r="I1661">
        <v>345.40350000000001</v>
      </c>
      <c r="J1661">
        <v>1.9900000000000001E-2</v>
      </c>
    </row>
    <row r="1662" spans="1:10" x14ac:dyDescent="0.3">
      <c r="A1662" t="s">
        <v>9</v>
      </c>
      <c r="B1662" t="s">
        <v>1778</v>
      </c>
      <c r="C1662">
        <v>6</v>
      </c>
      <c r="D1662">
        <v>1.52E-2</v>
      </c>
      <c r="E1662">
        <v>7.3151681473214758</v>
      </c>
      <c r="F1662">
        <v>834.20945718080804</v>
      </c>
      <c r="G1662">
        <v>0.42399999999999999</v>
      </c>
      <c r="H1662">
        <v>2.0500000000000001E-2</v>
      </c>
      <c r="I1662">
        <v>345.60579999999999</v>
      </c>
      <c r="J1662">
        <v>2.0500000000000001E-2</v>
      </c>
    </row>
    <row r="1663" spans="1:10" x14ac:dyDescent="0.3">
      <c r="A1663" t="s">
        <v>9</v>
      </c>
      <c r="B1663" t="s">
        <v>1779</v>
      </c>
      <c r="C1663">
        <v>6</v>
      </c>
      <c r="D1663">
        <v>1.55E-2</v>
      </c>
      <c r="E1663">
        <v>7.3392527043985218</v>
      </c>
      <c r="F1663">
        <v>836.49508164741974</v>
      </c>
      <c r="G1663">
        <v>0.42399999999999999</v>
      </c>
      <c r="H1663">
        <v>2.0899999999999998E-2</v>
      </c>
      <c r="I1663">
        <v>345.80329999999998</v>
      </c>
      <c r="J1663">
        <v>2.0899999999999998E-2</v>
      </c>
    </row>
    <row r="1664" spans="1:10" x14ac:dyDescent="0.3">
      <c r="A1664" t="s">
        <v>9</v>
      </c>
      <c r="B1664" t="s">
        <v>1780</v>
      </c>
      <c r="C1664">
        <v>6</v>
      </c>
      <c r="D1664">
        <v>1.5699999999999999E-2</v>
      </c>
      <c r="E1664">
        <v>7.3472996769022849</v>
      </c>
      <c r="F1664">
        <v>837.25873933802688</v>
      </c>
      <c r="G1664">
        <v>0.42399999999999999</v>
      </c>
      <c r="H1664">
        <v>2.1000000000000001E-2</v>
      </c>
      <c r="I1664">
        <v>346.00380000000001</v>
      </c>
      <c r="J1664">
        <v>2.1000000000000001E-2</v>
      </c>
    </row>
    <row r="1665" spans="1:10" x14ac:dyDescent="0.3">
      <c r="A1665" t="s">
        <v>9</v>
      </c>
      <c r="B1665" t="s">
        <v>1781</v>
      </c>
      <c r="C1665">
        <v>6</v>
      </c>
      <c r="D1665">
        <v>1.5699999999999999E-2</v>
      </c>
      <c r="E1665">
        <v>7.3386039511985803</v>
      </c>
      <c r="F1665">
        <v>731.95788825170769</v>
      </c>
      <c r="G1665">
        <v>0.42399999999999999</v>
      </c>
      <c r="H1665">
        <v>2.0899999999999998E-2</v>
      </c>
      <c r="I1665">
        <v>346.2045</v>
      </c>
      <c r="J1665">
        <v>2.0899999999999998E-2</v>
      </c>
    </row>
    <row r="1666" spans="1:10" x14ac:dyDescent="0.3">
      <c r="A1666" t="s">
        <v>9</v>
      </c>
      <c r="B1666" t="s">
        <v>1782</v>
      </c>
      <c r="C1666">
        <v>6</v>
      </c>
      <c r="D1666">
        <v>1.5699999999999999E-2</v>
      </c>
      <c r="E1666">
        <v>7.3132591910306504</v>
      </c>
      <c r="F1666">
        <v>729.59575660405665</v>
      </c>
      <c r="G1666">
        <v>0.42399999999999999</v>
      </c>
      <c r="H1666">
        <v>2.0500000000000001E-2</v>
      </c>
      <c r="I1666">
        <v>346.40589999999997</v>
      </c>
      <c r="J1666">
        <v>2.0500000000000001E-2</v>
      </c>
    </row>
    <row r="1667" spans="1:10" x14ac:dyDescent="0.3">
      <c r="A1667" t="s">
        <v>9</v>
      </c>
      <c r="B1667" t="s">
        <v>1783</v>
      </c>
      <c r="C1667">
        <v>6</v>
      </c>
      <c r="D1667">
        <v>1.5699999999999999E-2</v>
      </c>
      <c r="E1667">
        <v>7.2728893067520959</v>
      </c>
      <c r="F1667">
        <v>725.83328338929539</v>
      </c>
      <c r="G1667">
        <v>0.42399999999999999</v>
      </c>
      <c r="H1667">
        <v>1.9800000000000002E-2</v>
      </c>
      <c r="I1667">
        <v>346.60309999999998</v>
      </c>
      <c r="J1667">
        <v>1.9800000000000002E-2</v>
      </c>
    </row>
    <row r="1668" spans="1:10" x14ac:dyDescent="0.3">
      <c r="A1668" t="s">
        <v>9</v>
      </c>
      <c r="B1668" t="s">
        <v>1784</v>
      </c>
      <c r="C1668">
        <v>6</v>
      </c>
      <c r="D1668">
        <v>1.5699999999999999E-2</v>
      </c>
      <c r="E1668">
        <v>7.2164088531652659</v>
      </c>
      <c r="F1668">
        <v>720.56930511500275</v>
      </c>
      <c r="G1668">
        <v>0.42399999999999999</v>
      </c>
      <c r="H1668">
        <v>1.9E-2</v>
      </c>
      <c r="I1668">
        <v>346.80579999999998</v>
      </c>
      <c r="J1668">
        <v>1.9E-2</v>
      </c>
    </row>
    <row r="1669" spans="1:10" x14ac:dyDescent="0.3">
      <c r="A1669" t="s">
        <v>9</v>
      </c>
      <c r="B1669" t="s">
        <v>1785</v>
      </c>
      <c r="C1669">
        <v>6</v>
      </c>
      <c r="D1669">
        <v>1.5699999999999999E-2</v>
      </c>
      <c r="E1669">
        <v>7.1480655418467727</v>
      </c>
      <c r="F1669">
        <v>714.19970850011919</v>
      </c>
      <c r="G1669">
        <v>0.42399999999999999</v>
      </c>
      <c r="H1669">
        <v>1.7899999999999999E-2</v>
      </c>
      <c r="I1669">
        <v>347.0034</v>
      </c>
      <c r="J1669">
        <v>1.7899999999999999E-2</v>
      </c>
    </row>
    <row r="1670" spans="1:10" x14ac:dyDescent="0.3">
      <c r="A1670" t="s">
        <v>9</v>
      </c>
      <c r="B1670" t="s">
        <v>1786</v>
      </c>
      <c r="C1670">
        <v>6</v>
      </c>
      <c r="D1670">
        <v>1.5599999999999999E-2</v>
      </c>
      <c r="E1670">
        <v>7.0661077391567737</v>
      </c>
      <c r="F1670">
        <v>706.56124128941133</v>
      </c>
      <c r="G1670">
        <v>0.42399999999999999</v>
      </c>
      <c r="H1670">
        <v>1.66E-2</v>
      </c>
      <c r="I1670">
        <v>347.20609999999999</v>
      </c>
      <c r="J1670">
        <v>1.66E-2</v>
      </c>
    </row>
    <row r="1671" spans="1:10" x14ac:dyDescent="0.3">
      <c r="A1671" t="s">
        <v>9</v>
      </c>
      <c r="B1671" t="s">
        <v>1787</v>
      </c>
      <c r="C1671">
        <v>6</v>
      </c>
      <c r="D1671">
        <v>1.5599999999999999E-2</v>
      </c>
      <c r="E1671">
        <v>6.9754302879888241</v>
      </c>
      <c r="F1671">
        <v>698.1101028405584</v>
      </c>
      <c r="G1671">
        <v>0.42399999999999999</v>
      </c>
      <c r="H1671">
        <v>1.52E-2</v>
      </c>
      <c r="I1671">
        <v>347.40609999999998</v>
      </c>
      <c r="J1671">
        <v>1.52E-2</v>
      </c>
    </row>
    <row r="1672" spans="1:10" x14ac:dyDescent="0.3">
      <c r="A1672" t="s">
        <v>9</v>
      </c>
      <c r="B1672" t="s">
        <v>1788</v>
      </c>
      <c r="C1672">
        <v>6</v>
      </c>
      <c r="D1672">
        <v>1.5599999999999999E-2</v>
      </c>
      <c r="E1672">
        <v>6.8775253207027864</v>
      </c>
      <c r="F1672">
        <v>688.9853598894997</v>
      </c>
      <c r="G1672">
        <v>0.42399999999999999</v>
      </c>
      <c r="H1672">
        <v>1.37E-2</v>
      </c>
      <c r="I1672">
        <v>347.60559999999998</v>
      </c>
      <c r="J1672">
        <v>1.37E-2</v>
      </c>
    </row>
    <row r="1673" spans="1:10" x14ac:dyDescent="0.3">
      <c r="A1673" t="s">
        <v>9</v>
      </c>
      <c r="B1673" t="s">
        <v>1789</v>
      </c>
      <c r="C1673">
        <v>6</v>
      </c>
      <c r="D1673">
        <v>1.55E-2</v>
      </c>
      <c r="E1673">
        <v>6.775327229116141</v>
      </c>
      <c r="F1673">
        <v>679.4604977536244</v>
      </c>
      <c r="G1673">
        <v>0.42399999999999999</v>
      </c>
      <c r="H1673">
        <v>1.21E-2</v>
      </c>
      <c r="I1673">
        <v>347.80360000000002</v>
      </c>
      <c r="J1673">
        <v>1.21E-2</v>
      </c>
    </row>
    <row r="1674" spans="1:10" x14ac:dyDescent="0.3">
      <c r="A1674" t="s">
        <v>9</v>
      </c>
      <c r="B1674" t="s">
        <v>1790</v>
      </c>
      <c r="C1674">
        <v>6</v>
      </c>
      <c r="D1674">
        <v>1.55E-2</v>
      </c>
      <c r="E1674">
        <v>6.6695918107068186</v>
      </c>
      <c r="F1674">
        <v>669.60595675787556</v>
      </c>
      <c r="G1674">
        <v>0.42399999999999999</v>
      </c>
      <c r="H1674">
        <v>1.0500000000000001E-2</v>
      </c>
      <c r="I1674">
        <v>348.00360000000001</v>
      </c>
      <c r="J1674">
        <v>1.0500000000000001E-2</v>
      </c>
    </row>
    <row r="1675" spans="1:10" x14ac:dyDescent="0.3">
      <c r="A1675" t="s">
        <v>9</v>
      </c>
      <c r="B1675" t="s">
        <v>1791</v>
      </c>
      <c r="C1675">
        <v>6</v>
      </c>
      <c r="D1675">
        <v>1.47E-2</v>
      </c>
      <c r="E1675">
        <v>6.564107378691725</v>
      </c>
      <c r="F1675">
        <v>659.77480769406884</v>
      </c>
      <c r="G1675">
        <v>0.42399999999999999</v>
      </c>
      <c r="H1675">
        <v>8.8000000000000005E-3</v>
      </c>
      <c r="I1675">
        <v>348.20319999999998</v>
      </c>
      <c r="J1675">
        <v>8.8000000000000005E-3</v>
      </c>
    </row>
    <row r="1676" spans="1:10" x14ac:dyDescent="0.3">
      <c r="A1676" t="s">
        <v>9</v>
      </c>
      <c r="B1676" t="s">
        <v>1792</v>
      </c>
      <c r="C1676">
        <v>6</v>
      </c>
      <c r="D1676">
        <v>1.37E-2</v>
      </c>
      <c r="E1676">
        <v>6.4611595716884</v>
      </c>
      <c r="F1676">
        <v>650.18007208135896</v>
      </c>
      <c r="G1676">
        <v>0.42399999999999999</v>
      </c>
      <c r="H1676">
        <v>7.1999999999999998E-3</v>
      </c>
      <c r="I1676">
        <v>348.40300000000002</v>
      </c>
      <c r="J1676">
        <v>7.1999999999999998E-3</v>
      </c>
    </row>
    <row r="1677" spans="1:10" x14ac:dyDescent="0.3">
      <c r="A1677" t="s">
        <v>9</v>
      </c>
      <c r="B1677" t="s">
        <v>1793</v>
      </c>
      <c r="C1677">
        <v>6</v>
      </c>
      <c r="D1677">
        <v>1.23E-2</v>
      </c>
      <c r="E1677">
        <v>6.3620231086405754</v>
      </c>
      <c r="F1677">
        <v>640.94055372530158</v>
      </c>
      <c r="G1677">
        <v>0.42399999999999999</v>
      </c>
      <c r="H1677">
        <v>5.7000000000000002E-3</v>
      </c>
      <c r="I1677">
        <v>348.60570000000001</v>
      </c>
      <c r="J1677">
        <v>5.7000000000000002E-3</v>
      </c>
    </row>
    <row r="1678" spans="1:10" x14ac:dyDescent="0.3">
      <c r="A1678" t="s">
        <v>9</v>
      </c>
      <c r="B1678" t="s">
        <v>1794</v>
      </c>
      <c r="C1678">
        <v>6</v>
      </c>
      <c r="D1678">
        <v>1.1299999999999999E-2</v>
      </c>
      <c r="E1678">
        <v>6.2718755671957496</v>
      </c>
      <c r="F1678">
        <v>632.53880286264393</v>
      </c>
      <c r="G1678">
        <v>0.42399999999999999</v>
      </c>
      <c r="H1678">
        <v>4.3E-3</v>
      </c>
      <c r="I1678">
        <v>348.80560000000003</v>
      </c>
      <c r="J1678">
        <v>4.3E-3</v>
      </c>
    </row>
    <row r="1679" spans="1:10" x14ac:dyDescent="0.3">
      <c r="A1679" t="s">
        <v>9</v>
      </c>
      <c r="B1679" t="s">
        <v>1795</v>
      </c>
      <c r="C1679">
        <v>6</v>
      </c>
      <c r="D1679">
        <v>9.9000000000000008E-3</v>
      </c>
      <c r="E1679">
        <v>6.1923632396929289</v>
      </c>
      <c r="F1679">
        <v>625.12825393938101</v>
      </c>
      <c r="G1679">
        <v>0.42399999999999999</v>
      </c>
      <c r="H1679">
        <v>3.0999999999999999E-3</v>
      </c>
      <c r="I1679">
        <v>349.00349999999997</v>
      </c>
      <c r="J1679">
        <v>3.0999999999999999E-3</v>
      </c>
    </row>
    <row r="1680" spans="1:10" x14ac:dyDescent="0.3">
      <c r="A1680" t="s">
        <v>9</v>
      </c>
      <c r="B1680" t="s">
        <v>1796</v>
      </c>
      <c r="C1680">
        <v>6</v>
      </c>
      <c r="D1680">
        <v>8.2000000000000007E-3</v>
      </c>
      <c r="E1680">
        <v>6.1232700913165292</v>
      </c>
      <c r="F1680">
        <v>618.68877251070057</v>
      </c>
      <c r="G1680">
        <v>0.42399999999999999</v>
      </c>
      <c r="H1680">
        <v>2E-3</v>
      </c>
      <c r="I1680">
        <v>349.20490000000001</v>
      </c>
      <c r="J1680">
        <v>2E-3</v>
      </c>
    </row>
    <row r="1681" spans="1:10" x14ac:dyDescent="0.3">
      <c r="A1681" t="s">
        <v>9</v>
      </c>
      <c r="B1681" t="s">
        <v>1797</v>
      </c>
      <c r="C1681">
        <v>6</v>
      </c>
      <c r="D1681">
        <v>7.4000000000000003E-3</v>
      </c>
      <c r="E1681">
        <v>6.0680740879714312</v>
      </c>
      <c r="F1681">
        <v>613.54450499893744</v>
      </c>
      <c r="G1681">
        <v>0.42399999999999999</v>
      </c>
      <c r="H1681">
        <v>1.1000000000000001E-3</v>
      </c>
      <c r="I1681">
        <v>349.40550000000002</v>
      </c>
      <c r="J1681">
        <v>1.1000000000000001E-3</v>
      </c>
    </row>
    <row r="1682" spans="1:10" x14ac:dyDescent="0.3">
      <c r="A1682" t="s">
        <v>9</v>
      </c>
      <c r="B1682" t="s">
        <v>1798</v>
      </c>
      <c r="C1682">
        <v>6</v>
      </c>
      <c r="D1682">
        <v>6.6E-3</v>
      </c>
      <c r="E1682">
        <v>6.0281434177186517</v>
      </c>
      <c r="F1682">
        <v>609.82296653137837</v>
      </c>
      <c r="G1682">
        <v>0.42399999999999999</v>
      </c>
      <c r="H1682">
        <v>5.0000000000000001E-4</v>
      </c>
      <c r="I1682">
        <v>349.60410000000002</v>
      </c>
      <c r="J1682">
        <v>5.0000000000000001E-4</v>
      </c>
    </row>
    <row r="1683" spans="1:10" x14ac:dyDescent="0.3">
      <c r="A1683" t="s">
        <v>9</v>
      </c>
      <c r="B1683" t="s">
        <v>1799</v>
      </c>
      <c r="C1683">
        <v>6</v>
      </c>
      <c r="D1683">
        <v>5.8999999999999999E-3</v>
      </c>
      <c r="E1683">
        <v>6.003810972043909</v>
      </c>
      <c r="F1683">
        <v>607.55518259449229</v>
      </c>
      <c r="G1683">
        <v>0.42399999999999999</v>
      </c>
      <c r="H1683">
        <v>1E-4</v>
      </c>
      <c r="I1683">
        <v>349.80290000000002</v>
      </c>
      <c r="J1683">
        <v>1E-4</v>
      </c>
    </row>
    <row r="1684" spans="1:10" x14ac:dyDescent="0.3">
      <c r="A1684" t="s">
        <v>9</v>
      </c>
      <c r="B1684" t="s">
        <v>1800</v>
      </c>
      <c r="C1684">
        <v>6</v>
      </c>
      <c r="D1684">
        <v>5.1999999999999998E-3</v>
      </c>
      <c r="E1684">
        <v>5.9957403313934181</v>
      </c>
      <c r="F1684">
        <v>606.8029988858666</v>
      </c>
      <c r="G1684">
        <v>0.42399999999999999</v>
      </c>
      <c r="H1684">
        <v>0</v>
      </c>
      <c r="I1684">
        <v>350.00569999999999</v>
      </c>
      <c r="J1684">
        <v>0</v>
      </c>
    </row>
    <row r="1685" spans="1:10" x14ac:dyDescent="0.3">
      <c r="A1685" t="s">
        <v>9</v>
      </c>
      <c r="B1685" t="s">
        <v>1801</v>
      </c>
      <c r="C1685">
        <v>6</v>
      </c>
      <c r="D1685">
        <v>5.1999999999999998E-3</v>
      </c>
      <c r="E1685">
        <v>6.0043508441833611</v>
      </c>
      <c r="F1685">
        <v>709.81289511300099</v>
      </c>
      <c r="G1685">
        <v>0.42399999999999999</v>
      </c>
      <c r="H1685">
        <v>1E-4</v>
      </c>
      <c r="I1685">
        <v>350.20359999999999</v>
      </c>
      <c r="J1685">
        <v>1E-4</v>
      </c>
    </row>
    <row r="1686" spans="1:10" x14ac:dyDescent="0.3">
      <c r="A1686" t="s">
        <v>9</v>
      </c>
      <c r="B1686" t="s">
        <v>1802</v>
      </c>
      <c r="C1686">
        <v>6</v>
      </c>
      <c r="D1686">
        <v>5.0000000000000001E-3</v>
      </c>
      <c r="E1686">
        <v>6.0294436934837554</v>
      </c>
      <c r="F1686">
        <v>712.1942065116084</v>
      </c>
      <c r="G1686">
        <v>0.42399999999999999</v>
      </c>
      <c r="H1686">
        <v>5.0000000000000001E-4</v>
      </c>
      <c r="I1686">
        <v>350.40379999999999</v>
      </c>
      <c r="J1686">
        <v>5.0000000000000001E-4</v>
      </c>
    </row>
    <row r="1687" spans="1:10" x14ac:dyDescent="0.3">
      <c r="A1687" t="s">
        <v>9</v>
      </c>
      <c r="B1687" t="s">
        <v>1803</v>
      </c>
      <c r="C1687">
        <v>6</v>
      </c>
      <c r="D1687">
        <v>5.0000000000000001E-3</v>
      </c>
      <c r="E1687">
        <v>6.0702343955801581</v>
      </c>
      <c r="F1687">
        <v>716.06524414055707</v>
      </c>
      <c r="G1687">
        <v>0.42399999999999999</v>
      </c>
      <c r="H1687">
        <v>1.1999999999999999E-3</v>
      </c>
      <c r="I1687">
        <v>350.6035</v>
      </c>
      <c r="J1687">
        <v>1.1999999999999999E-3</v>
      </c>
    </row>
    <row r="1688" spans="1:10" x14ac:dyDescent="0.3">
      <c r="A1688" t="s">
        <v>9</v>
      </c>
      <c r="B1688" t="s">
        <v>1804</v>
      </c>
      <c r="C1688">
        <v>6</v>
      </c>
      <c r="D1688">
        <v>5.0000000000000001E-3</v>
      </c>
      <c r="E1688">
        <v>6.1262893076149014</v>
      </c>
      <c r="F1688">
        <v>721.38485529265415</v>
      </c>
      <c r="G1688">
        <v>0.42399999999999999</v>
      </c>
      <c r="H1688">
        <v>2E-3</v>
      </c>
      <c r="I1688">
        <v>350.80470000000003</v>
      </c>
      <c r="J1688">
        <v>2E-3</v>
      </c>
    </row>
    <row r="1689" spans="1:10" x14ac:dyDescent="0.3">
      <c r="A1689" t="s">
        <v>9</v>
      </c>
      <c r="B1689" t="s">
        <v>1805</v>
      </c>
      <c r="C1689">
        <v>6</v>
      </c>
      <c r="D1689">
        <v>5.0000000000000001E-3</v>
      </c>
      <c r="E1689">
        <v>6.195018748728585</v>
      </c>
      <c r="F1689">
        <v>727.90727925434271</v>
      </c>
      <c r="G1689">
        <v>0.42399999999999999</v>
      </c>
      <c r="H1689">
        <v>3.0999999999999999E-3</v>
      </c>
      <c r="I1689">
        <v>351.00360000000001</v>
      </c>
      <c r="J1689">
        <v>3.0999999999999999E-3</v>
      </c>
    </row>
    <row r="1690" spans="1:10" x14ac:dyDescent="0.3">
      <c r="A1690" t="s">
        <v>9</v>
      </c>
      <c r="B1690" t="s">
        <v>1806</v>
      </c>
      <c r="C1690">
        <v>6</v>
      </c>
      <c r="D1690">
        <v>5.0000000000000001E-3</v>
      </c>
      <c r="E1690">
        <v>6.275962671808303</v>
      </c>
      <c r="F1690">
        <v>735.58885755460801</v>
      </c>
      <c r="G1690">
        <v>0.42399999999999999</v>
      </c>
      <c r="H1690">
        <v>4.4000000000000003E-3</v>
      </c>
      <c r="I1690">
        <v>351.20389999999998</v>
      </c>
      <c r="J1690">
        <v>4.4000000000000003E-3</v>
      </c>
    </row>
    <row r="1691" spans="1:10" x14ac:dyDescent="0.3">
      <c r="A1691" t="s">
        <v>9</v>
      </c>
      <c r="B1691" t="s">
        <v>1807</v>
      </c>
      <c r="C1691">
        <v>6</v>
      </c>
      <c r="D1691">
        <v>5.0000000000000001E-3</v>
      </c>
      <c r="E1691">
        <v>6.3671140777358817</v>
      </c>
      <c r="F1691">
        <v>744.23912597713525</v>
      </c>
      <c r="G1691">
        <v>0.42399999999999999</v>
      </c>
      <c r="H1691">
        <v>5.7999999999999996E-3</v>
      </c>
      <c r="I1691">
        <v>351.4051</v>
      </c>
      <c r="J1691">
        <v>5.7999999999999996E-3</v>
      </c>
    </row>
    <row r="1692" spans="1:10" x14ac:dyDescent="0.3">
      <c r="A1692" t="s">
        <v>9</v>
      </c>
      <c r="B1692" t="s">
        <v>1808</v>
      </c>
      <c r="C1692">
        <v>6</v>
      </c>
      <c r="D1692">
        <v>5.0000000000000001E-3</v>
      </c>
      <c r="E1692">
        <v>6.4658115376027236</v>
      </c>
      <c r="F1692">
        <v>753.60551491849856</v>
      </c>
      <c r="G1692">
        <v>0.42399999999999999</v>
      </c>
      <c r="H1692">
        <v>7.3000000000000001E-3</v>
      </c>
      <c r="I1692">
        <v>351.6062</v>
      </c>
      <c r="J1692">
        <v>7.3000000000000001E-3</v>
      </c>
    </row>
    <row r="1693" spans="1:10" x14ac:dyDescent="0.3">
      <c r="A1693" t="s">
        <v>9</v>
      </c>
      <c r="B1693" t="s">
        <v>1809</v>
      </c>
      <c r="C1693">
        <v>6</v>
      </c>
      <c r="D1693">
        <v>5.0000000000000001E-3</v>
      </c>
      <c r="E1693">
        <v>6.5687747524945488</v>
      </c>
      <c r="F1693">
        <v>763.37672401173268</v>
      </c>
      <c r="G1693">
        <v>0.42399999999999999</v>
      </c>
      <c r="H1693">
        <v>8.8999999999999999E-3</v>
      </c>
      <c r="I1693">
        <v>351.8057</v>
      </c>
      <c r="J1693">
        <v>8.8999999999999999E-3</v>
      </c>
    </row>
    <row r="1694" spans="1:10" x14ac:dyDescent="0.3">
      <c r="A1694" t="s">
        <v>9</v>
      </c>
      <c r="B1694" t="s">
        <v>1810</v>
      </c>
      <c r="C1694">
        <v>6</v>
      </c>
      <c r="D1694">
        <v>5.1000000000000004E-3</v>
      </c>
      <c r="E1694">
        <v>6.6733266017847281</v>
      </c>
      <c r="F1694">
        <v>773.29869450937076</v>
      </c>
      <c r="G1694">
        <v>0.42399999999999999</v>
      </c>
      <c r="H1694">
        <v>1.0500000000000001E-2</v>
      </c>
      <c r="I1694">
        <v>352.0034</v>
      </c>
      <c r="J1694">
        <v>1.0500000000000001E-2</v>
      </c>
    </row>
    <row r="1695" spans="1:10" x14ac:dyDescent="0.3">
      <c r="A1695" t="s">
        <v>9</v>
      </c>
      <c r="B1695" t="s">
        <v>1811</v>
      </c>
      <c r="C1695">
        <v>6</v>
      </c>
      <c r="D1695">
        <v>5.1000000000000004E-3</v>
      </c>
      <c r="E1695">
        <v>6.780115433202452</v>
      </c>
      <c r="F1695">
        <v>783.4329546109127</v>
      </c>
      <c r="G1695">
        <v>0.42399999999999999</v>
      </c>
      <c r="H1695">
        <v>1.2200000000000001E-2</v>
      </c>
      <c r="I1695">
        <v>352.20549999999997</v>
      </c>
      <c r="J1695">
        <v>1.2200000000000001E-2</v>
      </c>
    </row>
    <row r="1696" spans="1:10" x14ac:dyDescent="0.3">
      <c r="A1696" t="s">
        <v>9</v>
      </c>
      <c r="B1696" t="s">
        <v>1812</v>
      </c>
      <c r="C1696">
        <v>6</v>
      </c>
      <c r="D1696">
        <v>6.3E-3</v>
      </c>
      <c r="E1696">
        <v>6.8823135247890974</v>
      </c>
      <c r="F1696">
        <v>793.13155350248542</v>
      </c>
      <c r="G1696">
        <v>0.42399999999999999</v>
      </c>
      <c r="H1696">
        <v>1.38E-2</v>
      </c>
      <c r="I1696">
        <v>352.40390000000002</v>
      </c>
      <c r="J1696">
        <v>1.38E-2</v>
      </c>
    </row>
    <row r="1697" spans="1:10" x14ac:dyDescent="0.3">
      <c r="A1697" t="s">
        <v>9</v>
      </c>
      <c r="B1697" t="s">
        <v>1813</v>
      </c>
      <c r="C1697">
        <v>6</v>
      </c>
      <c r="D1697">
        <v>8.3999999999999995E-3</v>
      </c>
      <c r="E1697">
        <v>6.9806515348360971</v>
      </c>
      <c r="F1697">
        <v>802.46383065594569</v>
      </c>
      <c r="G1697">
        <v>0.42399999999999999</v>
      </c>
      <c r="H1697">
        <v>1.5299999999999999E-2</v>
      </c>
      <c r="I1697">
        <v>352.60489999999999</v>
      </c>
      <c r="J1697">
        <v>1.5299999999999999E-2</v>
      </c>
    </row>
    <row r="1698" spans="1:10" x14ac:dyDescent="0.3">
      <c r="A1698" t="s">
        <v>9</v>
      </c>
      <c r="B1698" t="s">
        <v>1814</v>
      </c>
      <c r="C1698">
        <v>6</v>
      </c>
      <c r="D1698">
        <v>1.04E-2</v>
      </c>
      <c r="E1698">
        <v>7.0705995441248639</v>
      </c>
      <c r="F1698">
        <v>810.9998967374496</v>
      </c>
      <c r="G1698">
        <v>0.42399999999999999</v>
      </c>
      <c r="H1698">
        <v>1.67E-2</v>
      </c>
      <c r="I1698">
        <v>352.80430000000001</v>
      </c>
      <c r="J1698">
        <v>1.67E-2</v>
      </c>
    </row>
    <row r="1699" spans="1:10" x14ac:dyDescent="0.3">
      <c r="A1699" t="s">
        <v>9</v>
      </c>
      <c r="B1699" t="s">
        <v>1815</v>
      </c>
      <c r="C1699">
        <v>6</v>
      </c>
      <c r="D1699">
        <v>1.18E-2</v>
      </c>
      <c r="E1699">
        <v>7.1516215203239453</v>
      </c>
      <c r="F1699">
        <v>818.68888227874243</v>
      </c>
      <c r="G1699">
        <v>0.42399999999999999</v>
      </c>
      <c r="H1699">
        <v>1.7999999999999999E-2</v>
      </c>
      <c r="I1699">
        <v>353.00599999999997</v>
      </c>
      <c r="J1699">
        <v>1.7999999999999999E-2</v>
      </c>
    </row>
    <row r="1700" spans="1:10" x14ac:dyDescent="0.3">
      <c r="A1700" t="s">
        <v>9</v>
      </c>
      <c r="B1700" t="s">
        <v>1816</v>
      </c>
      <c r="C1700">
        <v>6</v>
      </c>
      <c r="D1700">
        <v>1.2999999999999999E-2</v>
      </c>
      <c r="E1700">
        <v>7.2195646320122258</v>
      </c>
      <c r="F1700">
        <v>825.1366835779603</v>
      </c>
      <c r="G1700">
        <v>0.42399999999999999</v>
      </c>
      <c r="H1700">
        <v>1.9E-2</v>
      </c>
      <c r="I1700">
        <v>353.20429999999999</v>
      </c>
      <c r="J1700">
        <v>1.9E-2</v>
      </c>
    </row>
    <row r="1701" spans="1:10" x14ac:dyDescent="0.3">
      <c r="A1701" t="s">
        <v>9</v>
      </c>
      <c r="B1701" t="s">
        <v>1817</v>
      </c>
      <c r="C1701">
        <v>6</v>
      </c>
      <c r="D1701">
        <v>1.43E-2</v>
      </c>
      <c r="E1701">
        <v>7.2748067779286698</v>
      </c>
      <c r="F1701">
        <v>830.37916322543083</v>
      </c>
      <c r="G1701">
        <v>0.42399999999999999</v>
      </c>
      <c r="H1701">
        <v>1.9900000000000001E-2</v>
      </c>
      <c r="I1701">
        <v>353.40480000000002</v>
      </c>
      <c r="J1701">
        <v>1.9900000000000001E-2</v>
      </c>
    </row>
    <row r="1702" spans="1:10" x14ac:dyDescent="0.3">
      <c r="A1702" t="s">
        <v>9</v>
      </c>
      <c r="B1702" t="s">
        <v>1818</v>
      </c>
      <c r="C1702">
        <v>6</v>
      </c>
      <c r="D1702">
        <v>1.4800000000000001E-2</v>
      </c>
      <c r="E1702">
        <v>7.3152281569924709</v>
      </c>
      <c r="F1702">
        <v>834.21515209858558</v>
      </c>
      <c r="G1702">
        <v>0.42399999999999999</v>
      </c>
      <c r="H1702">
        <v>2.0500000000000001E-2</v>
      </c>
      <c r="I1702">
        <v>353.60610000000003</v>
      </c>
      <c r="J1702">
        <v>2.0500000000000001E-2</v>
      </c>
    </row>
    <row r="1703" spans="1:10" x14ac:dyDescent="0.3">
      <c r="A1703" t="s">
        <v>9</v>
      </c>
      <c r="B1703" t="s">
        <v>1819</v>
      </c>
      <c r="C1703">
        <v>6</v>
      </c>
      <c r="D1703">
        <v>1.49E-2</v>
      </c>
      <c r="E1703">
        <v>7.3392831147047666</v>
      </c>
      <c r="F1703">
        <v>836.49796758548246</v>
      </c>
      <c r="G1703">
        <v>0.42399999999999999</v>
      </c>
      <c r="H1703">
        <v>2.0899999999999998E-2</v>
      </c>
      <c r="I1703">
        <v>353.80360000000002</v>
      </c>
      <c r="J1703">
        <v>2.0899999999999998E-2</v>
      </c>
    </row>
    <row r="1704" spans="1:10" x14ac:dyDescent="0.3">
      <c r="A1704" t="s">
        <v>9</v>
      </c>
      <c r="B1704" t="s">
        <v>1820</v>
      </c>
      <c r="C1704">
        <v>6</v>
      </c>
      <c r="D1704">
        <v>1.4999999999999999E-2</v>
      </c>
      <c r="E1704">
        <v>7.3472960276655348</v>
      </c>
      <c r="F1704">
        <v>837.25839302545933</v>
      </c>
      <c r="G1704">
        <v>0.42399999999999999</v>
      </c>
      <c r="H1704">
        <v>2.1000000000000001E-2</v>
      </c>
      <c r="I1704">
        <v>354.00560000000002</v>
      </c>
      <c r="J1704">
        <v>2.1000000000000001E-2</v>
      </c>
    </row>
    <row r="1705" spans="1:10" x14ac:dyDescent="0.3">
      <c r="A1705" t="s">
        <v>9</v>
      </c>
      <c r="B1705" t="s">
        <v>1821</v>
      </c>
      <c r="C1705">
        <v>6</v>
      </c>
      <c r="D1705">
        <v>1.4999999999999999E-2</v>
      </c>
      <c r="E1705">
        <v>7.3386911274098221</v>
      </c>
      <c r="F1705">
        <v>731.96601307459548</v>
      </c>
      <c r="G1705">
        <v>0.42399999999999999</v>
      </c>
      <c r="H1705">
        <v>2.0899999999999998E-2</v>
      </c>
      <c r="I1705">
        <v>354.20350000000002</v>
      </c>
      <c r="J1705">
        <v>2.0899999999999998E-2</v>
      </c>
    </row>
    <row r="1706" spans="1:10" x14ac:dyDescent="0.3">
      <c r="A1706" t="s">
        <v>9</v>
      </c>
      <c r="B1706" t="s">
        <v>1822</v>
      </c>
      <c r="C1706">
        <v>6</v>
      </c>
      <c r="D1706">
        <v>1.4999999999999999E-2</v>
      </c>
      <c r="E1706">
        <v>7.3135454533801241</v>
      </c>
      <c r="F1706">
        <v>729.62243625502754</v>
      </c>
      <c r="G1706">
        <v>0.42399999999999999</v>
      </c>
      <c r="H1706">
        <v>2.0500000000000001E-2</v>
      </c>
      <c r="I1706">
        <v>354.40410000000003</v>
      </c>
      <c r="J1706">
        <v>2.0500000000000001E-2</v>
      </c>
    </row>
    <row r="1707" spans="1:10" x14ac:dyDescent="0.3">
      <c r="A1707" t="s">
        <v>9</v>
      </c>
      <c r="B1707" t="s">
        <v>1823</v>
      </c>
      <c r="C1707">
        <v>6</v>
      </c>
      <c r="D1707">
        <v>1.4999999999999999E-2</v>
      </c>
      <c r="E1707">
        <v>7.2726954917336144</v>
      </c>
      <c r="F1707">
        <v>725.81521982957281</v>
      </c>
      <c r="G1707">
        <v>0.42399999999999999</v>
      </c>
      <c r="H1707">
        <v>1.9800000000000002E-2</v>
      </c>
      <c r="I1707">
        <v>354.60390000000001</v>
      </c>
      <c r="J1707">
        <v>1.9800000000000002E-2</v>
      </c>
    </row>
    <row r="1708" spans="1:10" x14ac:dyDescent="0.3">
      <c r="A1708" t="s">
        <v>9</v>
      </c>
      <c r="B1708" t="s">
        <v>1824</v>
      </c>
      <c r="C1708">
        <v>6</v>
      </c>
      <c r="D1708">
        <v>1.4999999999999999E-2</v>
      </c>
      <c r="E1708">
        <v>7.2171086956797019</v>
      </c>
      <c r="F1708">
        <v>720.63453043734819</v>
      </c>
      <c r="G1708">
        <v>0.42399999999999999</v>
      </c>
      <c r="H1708">
        <v>1.9E-2</v>
      </c>
      <c r="I1708">
        <v>354.80360000000002</v>
      </c>
      <c r="J1708">
        <v>1.9E-2</v>
      </c>
    </row>
    <row r="1709" spans="1:10" x14ac:dyDescent="0.3">
      <c r="A1709" t="s">
        <v>9</v>
      </c>
      <c r="B1709" t="s">
        <v>1825</v>
      </c>
      <c r="C1709">
        <v>6</v>
      </c>
      <c r="D1709">
        <v>1.4999999999999999E-2</v>
      </c>
      <c r="E1709">
        <v>7.1479252489672831</v>
      </c>
      <c r="F1709">
        <v>714.18663320375083</v>
      </c>
      <c r="G1709">
        <v>0.42399999999999999</v>
      </c>
      <c r="H1709">
        <v>1.7899999999999999E-2</v>
      </c>
      <c r="I1709">
        <v>355.00380000000001</v>
      </c>
      <c r="J1709">
        <v>1.7899999999999999E-2</v>
      </c>
    </row>
    <row r="1710" spans="1:10" x14ac:dyDescent="0.3">
      <c r="A1710" t="s">
        <v>9</v>
      </c>
      <c r="B1710" t="s">
        <v>1826</v>
      </c>
      <c r="C1710">
        <v>6</v>
      </c>
      <c r="D1710">
        <v>1.4999999999999999E-2</v>
      </c>
      <c r="E1710">
        <v>7.0660813835580267</v>
      </c>
      <c r="F1710">
        <v>706.55878494760816</v>
      </c>
      <c r="G1710">
        <v>0.42399999999999999</v>
      </c>
      <c r="H1710">
        <v>1.66E-2</v>
      </c>
      <c r="I1710">
        <v>355.20620000000002</v>
      </c>
      <c r="J1710">
        <v>1.66E-2</v>
      </c>
    </row>
    <row r="1711" spans="1:10" x14ac:dyDescent="0.3">
      <c r="A1711" t="s">
        <v>9</v>
      </c>
      <c r="B1711" t="s">
        <v>1827</v>
      </c>
      <c r="C1711">
        <v>6</v>
      </c>
      <c r="D1711">
        <v>1.4999999999999999E-2</v>
      </c>
      <c r="E1711">
        <v>6.9756220756535567</v>
      </c>
      <c r="F1711">
        <v>698.12797745091154</v>
      </c>
      <c r="G1711">
        <v>0.42399999999999999</v>
      </c>
      <c r="H1711">
        <v>1.52E-2</v>
      </c>
      <c r="I1711">
        <v>355.40570000000002</v>
      </c>
      <c r="J1711">
        <v>1.52E-2</v>
      </c>
    </row>
    <row r="1712" spans="1:10" x14ac:dyDescent="0.3">
      <c r="A1712" t="s">
        <v>9</v>
      </c>
      <c r="B1712" t="s">
        <v>1828</v>
      </c>
      <c r="C1712">
        <v>6</v>
      </c>
      <c r="D1712">
        <v>1.4999999999999999E-2</v>
      </c>
      <c r="E1712">
        <v>6.8776315540392767</v>
      </c>
      <c r="F1712">
        <v>688.9952608364606</v>
      </c>
      <c r="G1712">
        <v>0.42399999999999999</v>
      </c>
      <c r="H1712">
        <v>1.37E-2</v>
      </c>
      <c r="I1712">
        <v>355.6053</v>
      </c>
      <c r="J1712">
        <v>1.37E-2</v>
      </c>
    </row>
    <row r="1713" spans="1:10" x14ac:dyDescent="0.3">
      <c r="A1713" t="s">
        <v>9</v>
      </c>
      <c r="B1713" t="s">
        <v>1829</v>
      </c>
      <c r="C1713">
        <v>6</v>
      </c>
      <c r="D1713">
        <v>1.4999999999999999E-2</v>
      </c>
      <c r="E1713">
        <v>6.7742352963864922</v>
      </c>
      <c r="F1713">
        <v>679.35872962322105</v>
      </c>
      <c r="G1713">
        <v>0.42399999999999999</v>
      </c>
      <c r="H1713">
        <v>1.21E-2</v>
      </c>
      <c r="I1713">
        <v>355.8057</v>
      </c>
      <c r="J1713">
        <v>1.21E-2</v>
      </c>
    </row>
    <row r="1714" spans="1:10" x14ac:dyDescent="0.3">
      <c r="A1714" t="s">
        <v>9</v>
      </c>
      <c r="B1714" t="s">
        <v>1830</v>
      </c>
      <c r="C1714">
        <v>6</v>
      </c>
      <c r="D1714">
        <v>1.49E-2</v>
      </c>
      <c r="E1714">
        <v>6.6674557907960139</v>
      </c>
      <c r="F1714">
        <v>669.40687970218846</v>
      </c>
      <c r="G1714">
        <v>0.42399999999999999</v>
      </c>
      <c r="H1714">
        <v>1.04E-2</v>
      </c>
      <c r="I1714">
        <v>356.00760000000002</v>
      </c>
      <c r="J1714">
        <v>1.04E-2</v>
      </c>
    </row>
    <row r="1715" spans="1:10" x14ac:dyDescent="0.3">
      <c r="A1715" t="s">
        <v>9</v>
      </c>
      <c r="B1715" t="s">
        <v>1831</v>
      </c>
      <c r="C1715">
        <v>6</v>
      </c>
      <c r="D1715">
        <v>1.4800000000000001E-2</v>
      </c>
      <c r="E1715">
        <v>6.5621209774876581</v>
      </c>
      <c r="F1715">
        <v>659.58967510184971</v>
      </c>
      <c r="G1715">
        <v>0.42399999999999999</v>
      </c>
      <c r="H1715">
        <v>8.8000000000000005E-3</v>
      </c>
      <c r="I1715">
        <v>356.20699999999999</v>
      </c>
      <c r="J1715">
        <v>8.8000000000000005E-3</v>
      </c>
    </row>
    <row r="1716" spans="1:10" x14ac:dyDescent="0.3">
      <c r="A1716" t="s">
        <v>9</v>
      </c>
      <c r="B1716" t="s">
        <v>1832</v>
      </c>
      <c r="C1716">
        <v>6</v>
      </c>
      <c r="D1716">
        <v>1.38E-2</v>
      </c>
      <c r="E1716">
        <v>6.4593260329570672</v>
      </c>
      <c r="F1716">
        <v>650.00918627159865</v>
      </c>
      <c r="G1716">
        <v>0.42399999999999999</v>
      </c>
      <c r="H1716">
        <v>7.1999999999999998E-3</v>
      </c>
      <c r="I1716">
        <v>356.40660000000003</v>
      </c>
      <c r="J1716">
        <v>7.1999999999999998E-3</v>
      </c>
    </row>
    <row r="1717" spans="1:10" x14ac:dyDescent="0.3">
      <c r="A1717" t="s">
        <v>9</v>
      </c>
      <c r="B1717" t="s">
        <v>1833</v>
      </c>
      <c r="C1717">
        <v>6</v>
      </c>
      <c r="D1717">
        <v>1.2E-2</v>
      </c>
      <c r="E1717">
        <v>5.9957334838115024</v>
      </c>
      <c r="F1717">
        <v>606.80236069123202</v>
      </c>
      <c r="G1717">
        <v>0.42399999999999999</v>
      </c>
      <c r="H1717">
        <v>0</v>
      </c>
      <c r="I1717">
        <v>356.60570000000001</v>
      </c>
      <c r="J1717">
        <v>0</v>
      </c>
    </row>
    <row r="1718" spans="1:10" x14ac:dyDescent="0.3">
      <c r="A1718" t="s">
        <v>9</v>
      </c>
      <c r="B1718" t="s">
        <v>1834</v>
      </c>
      <c r="C1718">
        <v>6</v>
      </c>
      <c r="D1718">
        <v>8.8999999999999999E-3</v>
      </c>
      <c r="E1718">
        <v>5.9957334838115024</v>
      </c>
      <c r="F1718">
        <v>606.80236069123202</v>
      </c>
      <c r="G1718">
        <v>0.42399999999999999</v>
      </c>
      <c r="H1718">
        <v>0</v>
      </c>
      <c r="I1718">
        <v>356.80410000000001</v>
      </c>
      <c r="J1718">
        <v>0</v>
      </c>
    </row>
    <row r="1719" spans="1:10" x14ac:dyDescent="0.3">
      <c r="A1719" t="s">
        <v>9</v>
      </c>
      <c r="B1719" t="s">
        <v>1835</v>
      </c>
      <c r="C1719">
        <v>6</v>
      </c>
      <c r="D1719">
        <v>6.4999999999999997E-3</v>
      </c>
      <c r="E1719">
        <v>5.9957334838115024</v>
      </c>
      <c r="F1719">
        <v>606.80236069123202</v>
      </c>
      <c r="G1719">
        <v>0.42399999999999999</v>
      </c>
      <c r="H1719">
        <v>0</v>
      </c>
      <c r="I1719">
        <v>357.00459999999998</v>
      </c>
      <c r="J1719">
        <v>0</v>
      </c>
    </row>
    <row r="1720" spans="1:10" x14ac:dyDescent="0.3">
      <c r="A1720" t="s">
        <v>9</v>
      </c>
      <c r="B1720" t="s">
        <v>1836</v>
      </c>
      <c r="C1720">
        <v>6</v>
      </c>
      <c r="D1720">
        <v>6.4000000000000003E-3</v>
      </c>
      <c r="E1720">
        <v>5.9957334838115024</v>
      </c>
      <c r="F1720">
        <v>606.80236069123202</v>
      </c>
      <c r="G1720">
        <v>0.42399999999999999</v>
      </c>
      <c r="H1720">
        <v>0</v>
      </c>
      <c r="I1720">
        <v>357.20659999999998</v>
      </c>
      <c r="J1720">
        <v>0</v>
      </c>
    </row>
    <row r="1721" spans="1:10" x14ac:dyDescent="0.3">
      <c r="A1721" t="s">
        <v>9</v>
      </c>
      <c r="B1721" t="s">
        <v>1837</v>
      </c>
      <c r="C1721">
        <v>6</v>
      </c>
      <c r="D1721">
        <v>6.3E-3</v>
      </c>
      <c r="E1721">
        <v>5.9957334838115024</v>
      </c>
      <c r="F1721">
        <v>606.80236069123202</v>
      </c>
      <c r="G1721">
        <v>0.42399999999999999</v>
      </c>
      <c r="H1721">
        <v>0</v>
      </c>
      <c r="I1721">
        <v>357.40660000000003</v>
      </c>
      <c r="J1721">
        <v>0</v>
      </c>
    </row>
    <row r="1722" spans="1:10" x14ac:dyDescent="0.3">
      <c r="A1722" t="s">
        <v>9</v>
      </c>
      <c r="B1722" t="s">
        <v>1838</v>
      </c>
      <c r="C1722">
        <v>6</v>
      </c>
      <c r="D1722">
        <v>6.4000000000000003E-3</v>
      </c>
      <c r="E1722">
        <v>5.9957334838115024</v>
      </c>
      <c r="F1722">
        <v>606.80236069123202</v>
      </c>
      <c r="G1722">
        <v>0.42399999999999999</v>
      </c>
      <c r="H1722">
        <v>0</v>
      </c>
      <c r="I1722">
        <v>357.60539999999997</v>
      </c>
      <c r="J1722">
        <v>0</v>
      </c>
    </row>
    <row r="1723" spans="1:10" x14ac:dyDescent="0.3">
      <c r="A1723" t="s">
        <v>9</v>
      </c>
      <c r="B1723" t="s">
        <v>1839</v>
      </c>
      <c r="C1723">
        <v>6</v>
      </c>
      <c r="D1723">
        <v>6.4000000000000003E-3</v>
      </c>
      <c r="E1723">
        <v>5.9957334838115024</v>
      </c>
      <c r="F1723">
        <v>606.80236069123202</v>
      </c>
      <c r="G1723">
        <v>0.42399999999999999</v>
      </c>
      <c r="H1723">
        <v>0</v>
      </c>
      <c r="I1723">
        <v>357.80470000000003</v>
      </c>
      <c r="J1723">
        <v>0</v>
      </c>
    </row>
    <row r="1724" spans="1:10" x14ac:dyDescent="0.3">
      <c r="A1724" t="s">
        <v>9</v>
      </c>
      <c r="B1724" t="s">
        <v>1840</v>
      </c>
      <c r="C1724">
        <v>6</v>
      </c>
      <c r="D1724">
        <v>6.3E-3</v>
      </c>
      <c r="E1724">
        <v>5.9957334838115024</v>
      </c>
      <c r="F1724">
        <v>606.80236069123202</v>
      </c>
      <c r="G1724">
        <v>0.42399999999999999</v>
      </c>
      <c r="H1724">
        <v>0</v>
      </c>
      <c r="I1724">
        <v>358.00599999999997</v>
      </c>
      <c r="J1724">
        <v>0</v>
      </c>
    </row>
    <row r="1725" spans="1:10" x14ac:dyDescent="0.3">
      <c r="A1725" t="s">
        <v>9</v>
      </c>
      <c r="B1725" t="s">
        <v>1841</v>
      </c>
      <c r="C1725">
        <v>6</v>
      </c>
      <c r="D1725">
        <v>6.3E-3</v>
      </c>
      <c r="E1725">
        <v>5.9957334838115024</v>
      </c>
      <c r="F1725">
        <v>606.80236069123202</v>
      </c>
      <c r="G1725">
        <v>0.42399999999999999</v>
      </c>
      <c r="H1725">
        <v>0</v>
      </c>
      <c r="I1725">
        <v>358.2047</v>
      </c>
      <c r="J1725">
        <v>0</v>
      </c>
    </row>
    <row r="1726" spans="1:10" x14ac:dyDescent="0.3">
      <c r="A1726" t="s">
        <v>9</v>
      </c>
      <c r="B1726" t="s">
        <v>1842</v>
      </c>
      <c r="C1726">
        <v>6</v>
      </c>
      <c r="D1726">
        <v>6.4000000000000003E-3</v>
      </c>
      <c r="E1726">
        <v>5.9957334838115024</v>
      </c>
      <c r="F1726">
        <v>606.80236069123202</v>
      </c>
      <c r="G1726">
        <v>0.42399999999999999</v>
      </c>
      <c r="H1726">
        <v>0</v>
      </c>
      <c r="I1726">
        <v>358.40710000000001</v>
      </c>
      <c r="J1726">
        <v>0</v>
      </c>
    </row>
    <row r="1727" spans="1:10" x14ac:dyDescent="0.3">
      <c r="A1727" t="s">
        <v>9</v>
      </c>
      <c r="B1727" t="s">
        <v>1843</v>
      </c>
      <c r="C1727">
        <v>6</v>
      </c>
      <c r="D1727">
        <v>6.3E-3</v>
      </c>
      <c r="E1727">
        <v>5.9957334838115024</v>
      </c>
      <c r="F1727">
        <v>606.80236069123202</v>
      </c>
      <c r="G1727">
        <v>0.42399999999999999</v>
      </c>
      <c r="H1727">
        <v>0</v>
      </c>
      <c r="I1727">
        <v>358.60750000000002</v>
      </c>
      <c r="J1727">
        <v>0</v>
      </c>
    </row>
    <row r="1728" spans="1:10" x14ac:dyDescent="0.3">
      <c r="A1728" t="s">
        <v>9</v>
      </c>
      <c r="B1728" t="s">
        <v>1844</v>
      </c>
      <c r="C1728">
        <v>6</v>
      </c>
      <c r="D1728">
        <v>6.3E-3</v>
      </c>
      <c r="E1728">
        <v>5.9957334838115024</v>
      </c>
      <c r="F1728">
        <v>606.80236069123202</v>
      </c>
      <c r="G1728">
        <v>0.42399999999999999</v>
      </c>
      <c r="H1728">
        <v>0</v>
      </c>
      <c r="I1728">
        <v>358.80630000000002</v>
      </c>
      <c r="J1728">
        <v>0</v>
      </c>
    </row>
    <row r="1729" spans="1:10" x14ac:dyDescent="0.3">
      <c r="A1729" t="s">
        <v>9</v>
      </c>
      <c r="B1729" t="s">
        <v>1845</v>
      </c>
      <c r="C1729">
        <v>6</v>
      </c>
      <c r="D1729">
        <v>6.3E-3</v>
      </c>
      <c r="E1729">
        <v>5.9957334838115024</v>
      </c>
      <c r="F1729">
        <v>606.80236069123202</v>
      </c>
      <c r="G1729">
        <v>0.42399999999999999</v>
      </c>
      <c r="H1729">
        <v>0</v>
      </c>
      <c r="I1729">
        <v>359.00540000000001</v>
      </c>
      <c r="J1729">
        <v>0</v>
      </c>
    </row>
    <row r="1730" spans="1:10" x14ac:dyDescent="0.3">
      <c r="A1730" t="s">
        <v>9</v>
      </c>
      <c r="B1730" t="s">
        <v>1846</v>
      </c>
      <c r="C1730">
        <v>6</v>
      </c>
      <c r="D1730">
        <v>6.3E-3</v>
      </c>
      <c r="E1730">
        <v>5.9957334838115024</v>
      </c>
      <c r="F1730">
        <v>606.80236069123202</v>
      </c>
      <c r="G1730">
        <v>0.42399999999999999</v>
      </c>
      <c r="H1730">
        <v>0</v>
      </c>
      <c r="I1730">
        <v>359.2056</v>
      </c>
      <c r="J1730">
        <v>0</v>
      </c>
    </row>
    <row r="1731" spans="1:10" x14ac:dyDescent="0.3">
      <c r="A1731" t="s">
        <v>9</v>
      </c>
      <c r="B1731" t="s">
        <v>1847</v>
      </c>
      <c r="C1731">
        <v>6</v>
      </c>
      <c r="D1731">
        <v>6.3E-3</v>
      </c>
      <c r="E1731">
        <v>5.9957334838115024</v>
      </c>
      <c r="F1731">
        <v>606.80236069123202</v>
      </c>
      <c r="G1731">
        <v>0.42399999999999999</v>
      </c>
      <c r="H1731">
        <v>0</v>
      </c>
      <c r="I1731">
        <v>359.40690000000001</v>
      </c>
      <c r="J1731">
        <v>0</v>
      </c>
    </row>
    <row r="1732" spans="1:10" x14ac:dyDescent="0.3">
      <c r="A1732" t="s">
        <v>9</v>
      </c>
      <c r="B1732" t="s">
        <v>1848</v>
      </c>
      <c r="C1732">
        <v>6</v>
      </c>
      <c r="D1732">
        <v>6.3E-3</v>
      </c>
      <c r="E1732">
        <v>5.9957334838115024</v>
      </c>
      <c r="F1732">
        <v>606.80236069123202</v>
      </c>
      <c r="G1732">
        <v>0.42399999999999999</v>
      </c>
      <c r="H1732">
        <v>0</v>
      </c>
      <c r="I1732">
        <v>359.60570000000001</v>
      </c>
      <c r="J1732">
        <v>0</v>
      </c>
    </row>
    <row r="1733" spans="1:10" x14ac:dyDescent="0.3">
      <c r="A1733" t="s">
        <v>9</v>
      </c>
      <c r="B1733" t="s">
        <v>1849</v>
      </c>
      <c r="C1733">
        <v>6</v>
      </c>
      <c r="D1733">
        <v>6.3E-3</v>
      </c>
      <c r="E1733">
        <v>5.9957334838115024</v>
      </c>
      <c r="F1733">
        <v>606.80236069123202</v>
      </c>
      <c r="G1733">
        <v>0.42399999999999999</v>
      </c>
      <c r="H1733">
        <v>0</v>
      </c>
      <c r="I1733">
        <v>359.8073</v>
      </c>
      <c r="J1733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DP117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1" width="9.44140625" bestFit="1" customWidth="1"/>
    <col min="12" max="12" width="11.6640625" bestFit="1" customWidth="1"/>
    <col min="13" max="13" width="11.44140625" bestFit="1" customWidth="1"/>
    <col min="14" max="14" width="16.21875" bestFit="1" customWidth="1"/>
    <col min="15" max="15" width="12.88671875" bestFit="1" customWidth="1"/>
    <col min="16" max="16" width="12.33203125" bestFit="1" customWidth="1"/>
    <col min="17" max="17" width="10" bestFit="1" customWidth="1"/>
    <col min="18" max="18" width="9.44140625" bestFit="1" customWidth="1"/>
    <col min="19" max="19" width="9.21875" bestFit="1" customWidth="1"/>
    <col min="20" max="21" width="9.44140625" bestFit="1" customWidth="1"/>
    <col min="22" max="22" width="11.6640625" bestFit="1" customWidth="1"/>
    <col min="23" max="23" width="11.44140625" bestFit="1" customWidth="1"/>
    <col min="24" max="24" width="16.21875" bestFit="1" customWidth="1"/>
    <col min="25" max="25" width="12.88671875" bestFit="1" customWidth="1"/>
    <col min="26" max="26" width="12.33203125" bestFit="1" customWidth="1"/>
    <col min="27" max="27" width="10" bestFit="1" customWidth="1"/>
    <col min="28" max="28" width="9.44140625" bestFit="1" customWidth="1"/>
    <col min="29" max="29" width="9.21875" bestFit="1" customWidth="1"/>
    <col min="30" max="31" width="9.44140625" bestFit="1" customWidth="1"/>
    <col min="32" max="32" width="11.6640625" bestFit="1" customWidth="1"/>
    <col min="33" max="33" width="11.44140625" bestFit="1" customWidth="1"/>
    <col min="34" max="34" width="16.21875" bestFit="1" customWidth="1"/>
    <col min="35" max="35" width="12.88671875" bestFit="1" customWidth="1"/>
    <col min="36" max="36" width="12.33203125" bestFit="1" customWidth="1"/>
    <col min="37" max="37" width="10" bestFit="1" customWidth="1"/>
    <col min="38" max="38" width="9.44140625" bestFit="1" customWidth="1"/>
    <col min="39" max="39" width="9.21875" bestFit="1" customWidth="1"/>
    <col min="40" max="41" width="9.44140625" bestFit="1" customWidth="1"/>
    <col min="42" max="42" width="11.6640625" bestFit="1" customWidth="1"/>
    <col min="43" max="43" width="11.44140625" bestFit="1" customWidth="1"/>
    <col min="44" max="44" width="16.21875" bestFit="1" customWidth="1"/>
    <col min="45" max="45" width="12.88671875" bestFit="1" customWidth="1"/>
    <col min="46" max="46" width="12.33203125" bestFit="1" customWidth="1"/>
    <col min="47" max="47" width="10" bestFit="1" customWidth="1"/>
    <col min="48" max="48" width="9.44140625" bestFit="1" customWidth="1"/>
    <col min="49" max="49" width="9.21875" bestFit="1" customWidth="1"/>
    <col min="50" max="51" width="9.44140625" bestFit="1" customWidth="1"/>
    <col min="52" max="52" width="11.6640625" bestFit="1" customWidth="1"/>
    <col min="53" max="53" width="11.44140625" bestFit="1" customWidth="1"/>
    <col min="54" max="54" width="16.21875" bestFit="1" customWidth="1"/>
    <col min="55" max="55" width="12.88671875" bestFit="1" customWidth="1"/>
    <col min="56" max="56" width="12.33203125" bestFit="1" customWidth="1"/>
    <col min="57" max="57" width="10" bestFit="1" customWidth="1"/>
    <col min="58" max="58" width="9.44140625" bestFit="1" customWidth="1"/>
    <col min="59" max="59" width="9.21875" bestFit="1" customWidth="1"/>
    <col min="60" max="61" width="9.44140625" bestFit="1" customWidth="1"/>
    <col min="62" max="62" width="11.6640625" bestFit="1" customWidth="1"/>
    <col min="63" max="63" width="11.44140625" bestFit="1" customWidth="1"/>
    <col min="64" max="64" width="16.21875" bestFit="1" customWidth="1"/>
    <col min="65" max="65" width="12.88671875" bestFit="1" customWidth="1"/>
    <col min="66" max="66" width="12.33203125" bestFit="1" customWidth="1"/>
    <col min="67" max="67" width="10" bestFit="1" customWidth="1"/>
    <col min="68" max="68" width="9.44140625" bestFit="1" customWidth="1"/>
    <col min="69" max="69" width="9.21875" bestFit="1" customWidth="1"/>
    <col min="70" max="71" width="9.44140625" bestFit="1" customWidth="1"/>
    <col min="72" max="72" width="11.6640625" bestFit="1" customWidth="1"/>
    <col min="73" max="73" width="11.44140625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7" width="10" bestFit="1" customWidth="1"/>
    <col min="78" max="78" width="9.44140625" bestFit="1" customWidth="1"/>
    <col min="79" max="79" width="9.21875" bestFit="1" customWidth="1"/>
    <col min="80" max="81" width="9.44140625" bestFit="1" customWidth="1"/>
    <col min="82" max="82" width="11.6640625" bestFit="1" customWidth="1"/>
    <col min="83" max="83" width="11.44140625" bestFit="1" customWidth="1"/>
    <col min="84" max="84" width="16.21875" bestFit="1" customWidth="1"/>
    <col min="85" max="85" width="12.88671875" bestFit="1" customWidth="1"/>
    <col min="86" max="86" width="12.33203125" bestFit="1" customWidth="1"/>
    <col min="87" max="87" width="10" bestFit="1" customWidth="1"/>
    <col min="88" max="88" width="9.44140625" bestFit="1" customWidth="1"/>
    <col min="89" max="89" width="9.21875" bestFit="1" customWidth="1"/>
    <col min="90" max="90" width="9.4414062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1" width="10.44140625" bestFit="1" customWidth="1"/>
    <col min="102" max="102" width="11.6640625" bestFit="1" customWidth="1"/>
    <col min="103" max="103" width="12.44140625" bestFit="1" customWidth="1"/>
    <col min="104" max="104" width="17.21875" bestFit="1" customWidth="1"/>
    <col min="105" max="105" width="13.88671875" bestFit="1" customWidth="1"/>
    <col min="106" max="106" width="13.33203125" bestFit="1" customWidth="1"/>
    <col min="107" max="107" width="11" bestFit="1" customWidth="1"/>
    <col min="108" max="108" width="10.44140625" bestFit="1" customWidth="1"/>
    <col min="109" max="109" width="10.21875" bestFit="1" customWidth="1"/>
    <col min="110" max="111" width="10.44140625" bestFit="1" customWidth="1"/>
    <col min="112" max="112" width="11.6640625" bestFit="1" customWidth="1"/>
    <col min="113" max="113" width="12.44140625" bestFit="1" customWidth="1"/>
    <col min="114" max="114" width="17.21875" bestFit="1" customWidth="1"/>
    <col min="115" max="115" width="13.88671875" bestFit="1" customWidth="1"/>
    <col min="116" max="116" width="13.33203125" bestFit="1" customWidth="1"/>
    <col min="117" max="117" width="11" bestFit="1" customWidth="1"/>
    <col min="118" max="118" width="10.44140625" bestFit="1" customWidth="1"/>
    <col min="119" max="119" width="10.21875" bestFit="1" customWidth="1"/>
    <col min="120" max="120" width="10.44140625" bestFit="1" customWidth="1"/>
    <col min="121" max="121" width="17.21875" bestFit="1" customWidth="1"/>
    <col min="122" max="122" width="13.88671875" bestFit="1" customWidth="1"/>
    <col min="123" max="123" width="13.33203125" bestFit="1" customWidth="1"/>
    <col min="124" max="124" width="11" bestFit="1" customWidth="1"/>
    <col min="125" max="125" width="10.44140625" bestFit="1" customWidth="1"/>
    <col min="126" max="126" width="10.21875" bestFit="1" customWidth="1"/>
    <col min="127" max="127" width="10.44140625" bestFit="1" customWidth="1"/>
    <col min="128" max="128" width="11.6640625" bestFit="1" customWidth="1"/>
    <col min="129" max="129" width="12.44140625" bestFit="1" customWidth="1"/>
    <col min="130" max="130" width="17.21875" bestFit="1" customWidth="1"/>
    <col min="131" max="131" width="13.88671875" bestFit="1" customWidth="1"/>
    <col min="132" max="132" width="13.33203125" bestFit="1" customWidth="1"/>
    <col min="133" max="133" width="11" bestFit="1" customWidth="1"/>
    <col min="134" max="134" width="10.44140625" bestFit="1" customWidth="1"/>
    <col min="135" max="135" width="10.21875" bestFit="1" customWidth="1"/>
    <col min="136" max="136" width="10.44140625" bestFit="1" customWidth="1"/>
    <col min="137" max="137" width="11.6640625" bestFit="1" customWidth="1"/>
    <col min="138" max="138" width="12.44140625" bestFit="1" customWidth="1"/>
    <col min="139" max="139" width="17.21875" bestFit="1" customWidth="1"/>
    <col min="140" max="140" width="13.88671875" bestFit="1" customWidth="1"/>
    <col min="141" max="141" width="13.33203125" bestFit="1" customWidth="1"/>
    <col min="142" max="142" width="11" bestFit="1" customWidth="1"/>
    <col min="143" max="143" width="10.44140625" bestFit="1" customWidth="1"/>
    <col min="144" max="144" width="10.21875" bestFit="1" customWidth="1"/>
    <col min="145" max="145" width="10.44140625" bestFit="1" customWidth="1"/>
    <col min="146" max="146" width="11.6640625" bestFit="1" customWidth="1"/>
    <col min="147" max="147" width="12.44140625" bestFit="1" customWidth="1"/>
    <col min="148" max="148" width="17.21875" bestFit="1" customWidth="1"/>
    <col min="149" max="149" width="13.88671875" bestFit="1" customWidth="1"/>
    <col min="150" max="150" width="13.33203125" bestFit="1" customWidth="1"/>
    <col min="151" max="151" width="11" bestFit="1" customWidth="1"/>
    <col min="152" max="152" width="10.44140625" bestFit="1" customWidth="1"/>
    <col min="153" max="153" width="10.21875" bestFit="1" customWidth="1"/>
    <col min="154" max="154" width="10.44140625" bestFit="1" customWidth="1"/>
    <col min="155" max="155" width="11.6640625" bestFit="1" customWidth="1"/>
    <col min="156" max="156" width="12.44140625" bestFit="1" customWidth="1"/>
    <col min="157" max="157" width="17.21875" bestFit="1" customWidth="1"/>
    <col min="158" max="158" width="13.88671875" bestFit="1" customWidth="1"/>
    <col min="159" max="159" width="13.33203125" bestFit="1" customWidth="1"/>
    <col min="160" max="160" width="11" bestFit="1" customWidth="1"/>
    <col min="161" max="161" width="10.44140625" bestFit="1" customWidth="1"/>
    <col min="162" max="162" width="10.21875" bestFit="1" customWidth="1"/>
    <col min="163" max="163" width="10.44140625" bestFit="1" customWidth="1"/>
    <col min="164" max="164" width="11.6640625" bestFit="1" customWidth="1"/>
    <col min="165" max="165" width="12.44140625" bestFit="1" customWidth="1"/>
    <col min="166" max="166" width="17.21875" bestFit="1" customWidth="1"/>
    <col min="167" max="167" width="13.88671875" bestFit="1" customWidth="1"/>
    <col min="168" max="168" width="13.33203125" bestFit="1" customWidth="1"/>
    <col min="169" max="169" width="11" bestFit="1" customWidth="1"/>
    <col min="170" max="170" width="10.44140625" bestFit="1" customWidth="1"/>
    <col min="171" max="171" width="10.21875" bestFit="1" customWidth="1"/>
    <col min="172" max="172" width="10.44140625" bestFit="1" customWidth="1"/>
    <col min="173" max="173" width="11.6640625" bestFit="1" customWidth="1"/>
    <col min="174" max="174" width="12.44140625" bestFit="1" customWidth="1"/>
    <col min="175" max="175" width="17.21875" bestFit="1" customWidth="1"/>
    <col min="176" max="176" width="13.88671875" bestFit="1" customWidth="1"/>
    <col min="177" max="177" width="13.33203125" bestFit="1" customWidth="1"/>
    <col min="178" max="178" width="11" bestFit="1" customWidth="1"/>
    <col min="179" max="179" width="10.44140625" bestFit="1" customWidth="1"/>
    <col min="180" max="180" width="10.21875" bestFit="1" customWidth="1"/>
    <col min="181" max="181" width="10.44140625" bestFit="1" customWidth="1"/>
    <col min="182" max="182" width="11.6640625" bestFit="1" customWidth="1"/>
    <col min="183" max="183" width="12.44140625" bestFit="1" customWidth="1"/>
    <col min="184" max="184" width="17.21875" bestFit="1" customWidth="1"/>
    <col min="185" max="185" width="13.88671875" bestFit="1" customWidth="1"/>
    <col min="186" max="186" width="13.33203125" bestFit="1" customWidth="1"/>
    <col min="187" max="187" width="11" bestFit="1" customWidth="1"/>
    <col min="188" max="188" width="10.44140625" bestFit="1" customWidth="1"/>
    <col min="189" max="189" width="10.21875" bestFit="1" customWidth="1"/>
    <col min="190" max="190" width="10.44140625" bestFit="1" customWidth="1"/>
    <col min="191" max="191" width="11.6640625" bestFit="1" customWidth="1"/>
    <col min="192" max="192" width="12.44140625" bestFit="1" customWidth="1"/>
    <col min="193" max="193" width="17.21875" bestFit="1" customWidth="1"/>
    <col min="194" max="194" width="13.88671875" bestFit="1" customWidth="1"/>
    <col min="195" max="195" width="13.33203125" bestFit="1" customWidth="1"/>
    <col min="196" max="196" width="11" bestFit="1" customWidth="1"/>
    <col min="197" max="197" width="10.44140625" bestFit="1" customWidth="1"/>
    <col min="198" max="198" width="10.21875" bestFit="1" customWidth="1"/>
  </cols>
  <sheetData>
    <row r="1" spans="1:120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80</v>
      </c>
      <c r="K1" t="s">
        <v>11</v>
      </c>
      <c r="L1" t="s">
        <v>21</v>
      </c>
      <c r="M1" t="s">
        <v>31</v>
      </c>
      <c r="N1" t="s">
        <v>41</v>
      </c>
      <c r="O1" t="s">
        <v>51</v>
      </c>
      <c r="P1" t="s">
        <v>61</v>
      </c>
      <c r="Q1" t="s">
        <v>71</v>
      </c>
      <c r="R1" t="s">
        <v>81</v>
      </c>
      <c r="S1" t="s">
        <v>91</v>
      </c>
      <c r="T1" t="s">
        <v>81</v>
      </c>
      <c r="U1" t="s">
        <v>12</v>
      </c>
      <c r="V1" t="s">
        <v>22</v>
      </c>
      <c r="W1" t="s">
        <v>32</v>
      </c>
      <c r="X1" t="s">
        <v>42</v>
      </c>
      <c r="Y1" t="s">
        <v>52</v>
      </c>
      <c r="Z1" t="s">
        <v>62</v>
      </c>
      <c r="AA1" t="s">
        <v>72</v>
      </c>
      <c r="AB1" t="s">
        <v>82</v>
      </c>
      <c r="AC1" t="s">
        <v>92</v>
      </c>
      <c r="AD1" t="s">
        <v>82</v>
      </c>
      <c r="AE1" t="s">
        <v>13</v>
      </c>
      <c r="AF1" t="s">
        <v>23</v>
      </c>
      <c r="AG1" t="s">
        <v>33</v>
      </c>
      <c r="AH1" t="s">
        <v>43</v>
      </c>
      <c r="AI1" t="s">
        <v>53</v>
      </c>
      <c r="AJ1" t="s">
        <v>63</v>
      </c>
      <c r="AK1" t="s">
        <v>73</v>
      </c>
      <c r="AL1" t="s">
        <v>83</v>
      </c>
      <c r="AM1" t="s">
        <v>93</v>
      </c>
      <c r="AN1" t="s">
        <v>83</v>
      </c>
      <c r="AO1" t="s">
        <v>14</v>
      </c>
      <c r="AP1" t="s">
        <v>24</v>
      </c>
      <c r="AQ1" t="s">
        <v>34</v>
      </c>
      <c r="AR1" t="s">
        <v>44</v>
      </c>
      <c r="AS1" t="s">
        <v>54</v>
      </c>
      <c r="AT1" t="s">
        <v>64</v>
      </c>
      <c r="AU1" t="s">
        <v>74</v>
      </c>
      <c r="AV1" t="s">
        <v>84</v>
      </c>
      <c r="AW1" t="s">
        <v>94</v>
      </c>
      <c r="AX1" t="s">
        <v>84</v>
      </c>
      <c r="AY1" t="s">
        <v>15</v>
      </c>
      <c r="AZ1" t="s">
        <v>25</v>
      </c>
      <c r="BA1" t="s">
        <v>35</v>
      </c>
      <c r="BB1" t="s">
        <v>45</v>
      </c>
      <c r="BC1" t="s">
        <v>55</v>
      </c>
      <c r="BD1" t="s">
        <v>65</v>
      </c>
      <c r="BE1" t="s">
        <v>75</v>
      </c>
      <c r="BF1" t="s">
        <v>85</v>
      </c>
      <c r="BG1" t="s">
        <v>95</v>
      </c>
      <c r="BH1" t="s">
        <v>85</v>
      </c>
      <c r="BI1" t="s">
        <v>16</v>
      </c>
      <c r="BJ1" t="s">
        <v>26</v>
      </c>
      <c r="BK1" t="s">
        <v>36</v>
      </c>
      <c r="BL1" t="s">
        <v>46</v>
      </c>
      <c r="BM1" t="s">
        <v>56</v>
      </c>
      <c r="BN1" t="s">
        <v>66</v>
      </c>
      <c r="BO1" t="s">
        <v>76</v>
      </c>
      <c r="BP1" t="s">
        <v>86</v>
      </c>
      <c r="BQ1" t="s">
        <v>96</v>
      </c>
      <c r="BR1" t="s">
        <v>86</v>
      </c>
      <c r="BS1" t="s">
        <v>17</v>
      </c>
      <c r="BT1" t="s">
        <v>27</v>
      </c>
      <c r="BU1" t="s">
        <v>37</v>
      </c>
      <c r="BV1" t="s">
        <v>47</v>
      </c>
      <c r="BW1" t="s">
        <v>57</v>
      </c>
      <c r="BX1" t="s">
        <v>67</v>
      </c>
      <c r="BY1" t="s">
        <v>77</v>
      </c>
      <c r="BZ1" t="s">
        <v>87</v>
      </c>
      <c r="CA1" t="s">
        <v>97</v>
      </c>
      <c r="CB1" t="s">
        <v>87</v>
      </c>
      <c r="CC1" t="s">
        <v>18</v>
      </c>
      <c r="CD1" t="s">
        <v>28</v>
      </c>
      <c r="CE1" t="s">
        <v>38</v>
      </c>
      <c r="CF1" t="s">
        <v>48</v>
      </c>
      <c r="CG1" t="s">
        <v>58</v>
      </c>
      <c r="CH1" t="s">
        <v>68</v>
      </c>
      <c r="CI1" t="s">
        <v>78</v>
      </c>
      <c r="CJ1" t="s">
        <v>88</v>
      </c>
      <c r="CK1" t="s">
        <v>98</v>
      </c>
      <c r="CL1" t="s">
        <v>88</v>
      </c>
      <c r="CM1" t="s">
        <v>19</v>
      </c>
      <c r="CN1" t="s">
        <v>29</v>
      </c>
      <c r="CO1" t="s">
        <v>39</v>
      </c>
      <c r="CP1" t="s">
        <v>49</v>
      </c>
      <c r="CQ1" t="s">
        <v>59</v>
      </c>
      <c r="CR1" t="s">
        <v>69</v>
      </c>
      <c r="CS1" t="s">
        <v>79</v>
      </c>
      <c r="CT1" t="s">
        <v>89</v>
      </c>
      <c r="CU1" t="s">
        <v>99</v>
      </c>
      <c r="CV1" t="s">
        <v>89</v>
      </c>
      <c r="CW1" t="s">
        <v>100</v>
      </c>
      <c r="CX1" t="s">
        <v>102</v>
      </c>
      <c r="CY1" t="s">
        <v>104</v>
      </c>
      <c r="CZ1" t="s">
        <v>106</v>
      </c>
      <c r="DA1" t="s">
        <v>108</v>
      </c>
      <c r="DB1" t="s">
        <v>110</v>
      </c>
      <c r="DC1" t="s">
        <v>112</v>
      </c>
      <c r="DD1" t="s">
        <v>114</v>
      </c>
      <c r="DE1" t="s">
        <v>116</v>
      </c>
      <c r="DF1" t="s">
        <v>114</v>
      </c>
      <c r="DG1" t="s">
        <v>101</v>
      </c>
      <c r="DH1" t="s">
        <v>103</v>
      </c>
      <c r="DI1" t="s">
        <v>105</v>
      </c>
      <c r="DJ1" t="s">
        <v>107</v>
      </c>
      <c r="DK1" t="s">
        <v>109</v>
      </c>
      <c r="DL1" t="s">
        <v>111</v>
      </c>
      <c r="DM1" t="s">
        <v>113</v>
      </c>
      <c r="DN1" t="s">
        <v>115</v>
      </c>
      <c r="DO1" t="s">
        <v>117</v>
      </c>
      <c r="DP1" t="s">
        <v>115</v>
      </c>
    </row>
    <row r="2" spans="1:120" x14ac:dyDescent="0.3">
      <c r="A2" s="2">
        <v>45681</v>
      </c>
      <c r="B2" t="s">
        <v>188</v>
      </c>
      <c r="C2">
        <v>1</v>
      </c>
      <c r="D2">
        <v>1.6999999999999999E-3</v>
      </c>
      <c r="E2">
        <v>5.995733886610525</v>
      </c>
      <c r="F2">
        <v>606.80239823210093</v>
      </c>
      <c r="G2">
        <v>0.42399999999999999</v>
      </c>
      <c r="H2">
        <v>0</v>
      </c>
      <c r="I2">
        <v>0</v>
      </c>
      <c r="J2">
        <v>0</v>
      </c>
      <c r="K2" s="2">
        <v>45681</v>
      </c>
      <c r="L2" t="s">
        <v>346</v>
      </c>
      <c r="M2">
        <v>1</v>
      </c>
      <c r="N2">
        <v>2E-3</v>
      </c>
      <c r="O2">
        <v>5.9957334838115024</v>
      </c>
      <c r="P2">
        <v>606.80236069123202</v>
      </c>
      <c r="Q2">
        <v>0.42399999999999999</v>
      </c>
      <c r="R2">
        <v>0</v>
      </c>
      <c r="S2">
        <v>0</v>
      </c>
      <c r="T2">
        <v>0</v>
      </c>
      <c r="U2" s="2">
        <v>45681</v>
      </c>
      <c r="V2" t="s">
        <v>599</v>
      </c>
      <c r="W2">
        <v>2</v>
      </c>
      <c r="X2">
        <v>5.1999999999999998E-3</v>
      </c>
      <c r="Y2">
        <v>5.9957334838115024</v>
      </c>
      <c r="Z2">
        <v>606.80236069123202</v>
      </c>
      <c r="AA2">
        <v>0.42399999999999999</v>
      </c>
      <c r="AB2">
        <v>0</v>
      </c>
      <c r="AC2">
        <v>0</v>
      </c>
      <c r="AD2">
        <v>0</v>
      </c>
      <c r="AE2" s="2">
        <v>45681</v>
      </c>
      <c r="AF2" t="s">
        <v>726</v>
      </c>
      <c r="AG2">
        <v>3</v>
      </c>
      <c r="AH2">
        <v>2.5000000000000001E-3</v>
      </c>
      <c r="AI2">
        <v>5.9957561211177781</v>
      </c>
      <c r="AJ2">
        <v>606.80447048817689</v>
      </c>
      <c r="AK2">
        <v>0.42399999999999999</v>
      </c>
      <c r="AL2">
        <v>0</v>
      </c>
      <c r="AM2">
        <v>0</v>
      </c>
      <c r="AN2">
        <v>0</v>
      </c>
      <c r="AO2" s="2">
        <v>45681</v>
      </c>
      <c r="AP2" t="s">
        <v>796</v>
      </c>
      <c r="AQ2">
        <v>3</v>
      </c>
      <c r="AR2">
        <v>2.3999999999999998E-3</v>
      </c>
      <c r="AS2">
        <v>5.9957334838115024</v>
      </c>
      <c r="AT2">
        <v>606.80236069123202</v>
      </c>
      <c r="AU2">
        <v>0.42399999999999999</v>
      </c>
      <c r="AV2">
        <v>0</v>
      </c>
      <c r="AW2">
        <v>0</v>
      </c>
      <c r="AX2">
        <v>0</v>
      </c>
      <c r="AY2" s="2">
        <v>45681</v>
      </c>
      <c r="AZ2" t="s">
        <v>926</v>
      </c>
      <c r="BA2">
        <v>3</v>
      </c>
      <c r="BB2">
        <v>3.3999999999999998E-3</v>
      </c>
      <c r="BC2">
        <v>5.9957335240914063</v>
      </c>
      <c r="BD2">
        <v>606.80236444531909</v>
      </c>
      <c r="BE2">
        <v>0.42399999999999999</v>
      </c>
      <c r="BF2">
        <v>0</v>
      </c>
      <c r="BG2">
        <v>0</v>
      </c>
      <c r="BH2">
        <v>0</v>
      </c>
      <c r="BI2" s="2">
        <v>45681</v>
      </c>
      <c r="BJ2" t="s">
        <v>1000</v>
      </c>
      <c r="BK2">
        <v>3</v>
      </c>
      <c r="BL2">
        <v>3.2000000000000002E-3</v>
      </c>
      <c r="BM2">
        <v>5.9957334838115024</v>
      </c>
      <c r="BN2">
        <v>606.80236069123202</v>
      </c>
      <c r="BO2">
        <v>0.42399999999999999</v>
      </c>
      <c r="BP2">
        <v>0</v>
      </c>
      <c r="BQ2">
        <v>0</v>
      </c>
      <c r="BR2">
        <v>0</v>
      </c>
      <c r="BS2" s="2">
        <v>45681</v>
      </c>
      <c r="BT2" t="s">
        <v>1124</v>
      </c>
      <c r="BU2">
        <v>4</v>
      </c>
      <c r="BV2">
        <v>5.1000000000000004E-3</v>
      </c>
      <c r="BW2">
        <v>5.9957340477300853</v>
      </c>
      <c r="BX2">
        <v>606.80241324844394</v>
      </c>
      <c r="BY2">
        <v>0.42399999999999999</v>
      </c>
      <c r="BZ2">
        <v>0</v>
      </c>
      <c r="CA2">
        <v>0</v>
      </c>
      <c r="CB2">
        <v>0</v>
      </c>
      <c r="CC2" s="2">
        <v>45681</v>
      </c>
      <c r="CD2" t="s">
        <v>1244</v>
      </c>
      <c r="CE2">
        <v>4</v>
      </c>
      <c r="CF2">
        <v>4.0000000000000001E-3</v>
      </c>
      <c r="CG2">
        <v>5.9957345310889281</v>
      </c>
      <c r="CH2">
        <v>606.8024582974881</v>
      </c>
      <c r="CI2">
        <v>0.42399999999999999</v>
      </c>
      <c r="CJ2">
        <v>0</v>
      </c>
      <c r="CK2">
        <v>0</v>
      </c>
      <c r="CL2">
        <v>0</v>
      </c>
      <c r="CM2" s="2">
        <v>45681</v>
      </c>
      <c r="CN2" t="s">
        <v>1362</v>
      </c>
      <c r="CO2">
        <v>5</v>
      </c>
      <c r="CP2">
        <v>4.7999999999999996E-3</v>
      </c>
      <c r="CQ2">
        <v>5.9957336046511944</v>
      </c>
      <c r="CR2">
        <v>606.80237195349127</v>
      </c>
      <c r="CS2">
        <v>0.42399999999999999</v>
      </c>
      <c r="CT2">
        <v>0</v>
      </c>
      <c r="CU2">
        <v>0</v>
      </c>
      <c r="CV2">
        <v>0</v>
      </c>
      <c r="CW2" s="2">
        <v>45681</v>
      </c>
      <c r="CX2" t="s">
        <v>1522</v>
      </c>
      <c r="CY2">
        <v>5</v>
      </c>
      <c r="CZ2">
        <v>5.3E-3</v>
      </c>
      <c r="DA2">
        <v>5.9957335643713243</v>
      </c>
      <c r="DB2">
        <v>606.8023681994074</v>
      </c>
      <c r="DC2">
        <v>0.42399999999999999</v>
      </c>
      <c r="DD2">
        <v>0</v>
      </c>
      <c r="DE2">
        <v>0</v>
      </c>
      <c r="DF2">
        <v>0</v>
      </c>
      <c r="DG2" s="2">
        <v>45681</v>
      </c>
      <c r="DH2" t="s">
        <v>1680</v>
      </c>
      <c r="DI2">
        <v>6</v>
      </c>
      <c r="DJ2">
        <v>5.1000000000000004E-3</v>
      </c>
      <c r="DK2">
        <v>5.9957334838115024</v>
      </c>
      <c r="DL2">
        <v>606.80236069123202</v>
      </c>
      <c r="DM2">
        <v>0.42399999999999999</v>
      </c>
      <c r="DN2">
        <v>0</v>
      </c>
      <c r="DO2">
        <v>0</v>
      </c>
      <c r="DP2">
        <v>0</v>
      </c>
    </row>
    <row r="3" spans="1:120" x14ac:dyDescent="0.3">
      <c r="A3" s="2">
        <v>45681</v>
      </c>
      <c r="B3" t="s">
        <v>189</v>
      </c>
      <c r="C3">
        <v>1</v>
      </c>
      <c r="D3">
        <v>1.6999999999999999E-3</v>
      </c>
      <c r="E3">
        <v>6.0040619584381361</v>
      </c>
      <c r="F3">
        <v>709.78547985577916</v>
      </c>
      <c r="G3">
        <v>0.42399999999999999</v>
      </c>
      <c r="H3">
        <v>1E-4</v>
      </c>
      <c r="I3">
        <v>0.1986800000000013</v>
      </c>
      <c r="J3">
        <v>1E-4</v>
      </c>
      <c r="K3" s="2">
        <v>45681</v>
      </c>
      <c r="L3" t="s">
        <v>347</v>
      </c>
      <c r="M3">
        <v>1</v>
      </c>
      <c r="N3">
        <v>2.0999999999999999E-3</v>
      </c>
      <c r="O3">
        <v>6.0039180365954357</v>
      </c>
      <c r="P3">
        <v>709.77182167290687</v>
      </c>
      <c r="Q3">
        <v>0.42399999999999999</v>
      </c>
      <c r="R3">
        <v>1E-4</v>
      </c>
      <c r="S3">
        <v>0.20130999999999943</v>
      </c>
      <c r="T3">
        <v>1E-4</v>
      </c>
      <c r="U3" s="2">
        <v>45681</v>
      </c>
      <c r="V3" t="s">
        <v>600</v>
      </c>
      <c r="W3">
        <v>2</v>
      </c>
      <c r="X3">
        <v>2.8999999999999998E-3</v>
      </c>
      <c r="Y3">
        <v>6.274103507325572</v>
      </c>
      <c r="Z3">
        <v>735.41242284519683</v>
      </c>
      <c r="AA3">
        <v>0.42399999999999999</v>
      </c>
      <c r="AB3">
        <v>4.3E-3</v>
      </c>
      <c r="AC3">
        <v>0.19969999999999288</v>
      </c>
      <c r="AD3">
        <v>4.3E-3</v>
      </c>
      <c r="AE3" s="2">
        <v>45681</v>
      </c>
      <c r="AF3" t="s">
        <v>727</v>
      </c>
      <c r="AG3">
        <v>3</v>
      </c>
      <c r="AH3">
        <v>2.5000000000000001E-3</v>
      </c>
      <c r="AI3">
        <v>6.0041257633153498</v>
      </c>
      <c r="AJ3">
        <v>709.79153493862668</v>
      </c>
      <c r="AK3">
        <v>0.42399999999999999</v>
      </c>
      <c r="AL3">
        <v>1E-4</v>
      </c>
      <c r="AM3">
        <v>0.1904999999999859</v>
      </c>
      <c r="AN3">
        <v>1E-4</v>
      </c>
      <c r="AO3" s="2">
        <v>45681</v>
      </c>
      <c r="AP3" t="s">
        <v>797</v>
      </c>
      <c r="AQ3">
        <v>3</v>
      </c>
      <c r="AR3">
        <v>2.3999999999999998E-3</v>
      </c>
      <c r="AS3">
        <v>6.565977815261304</v>
      </c>
      <c r="AT3">
        <v>763.11129466829777</v>
      </c>
      <c r="AU3">
        <v>0.42399999999999999</v>
      </c>
      <c r="AV3">
        <v>8.8999999999999999E-3</v>
      </c>
      <c r="AW3">
        <v>0.19679999999999609</v>
      </c>
      <c r="AX3">
        <v>8.8999999999999999E-3</v>
      </c>
      <c r="AY3" s="2">
        <v>45681</v>
      </c>
      <c r="AZ3" t="s">
        <v>927</v>
      </c>
      <c r="BA3">
        <v>3</v>
      </c>
      <c r="BB3">
        <v>3.3999999999999998E-3</v>
      </c>
      <c r="BC3">
        <v>6.0040470938804411</v>
      </c>
      <c r="BD3">
        <v>709.78406920925386</v>
      </c>
      <c r="BE3">
        <v>0.42399999999999999</v>
      </c>
      <c r="BF3">
        <v>1E-4</v>
      </c>
      <c r="BG3">
        <v>0.20040000000000191</v>
      </c>
      <c r="BH3">
        <v>1E-4</v>
      </c>
      <c r="BI3" s="2">
        <v>45681</v>
      </c>
      <c r="BJ3" t="s">
        <v>1001</v>
      </c>
      <c r="BK3">
        <v>3</v>
      </c>
      <c r="BL3">
        <v>3.2000000000000002E-3</v>
      </c>
      <c r="BM3">
        <v>6.0693481987090401</v>
      </c>
      <c r="BN3">
        <v>715.98114405748788</v>
      </c>
      <c r="BO3">
        <v>0.42399999999999999</v>
      </c>
      <c r="BP3">
        <v>1.1000000000000001E-3</v>
      </c>
      <c r="BQ3">
        <v>0.20120000000000005</v>
      </c>
      <c r="BR3">
        <v>1.1000000000000001E-3</v>
      </c>
      <c r="BS3" s="2">
        <v>45681</v>
      </c>
      <c r="BT3" t="s">
        <v>1125</v>
      </c>
      <c r="BU3">
        <v>4</v>
      </c>
      <c r="BV3">
        <v>4.1999999999999997E-3</v>
      </c>
      <c r="BW3">
        <v>6.0039583971538883</v>
      </c>
      <c r="BX3">
        <v>709.775651889904</v>
      </c>
      <c r="BY3">
        <v>0.42399999999999999</v>
      </c>
      <c r="BZ3">
        <v>1E-4</v>
      </c>
      <c r="CA3">
        <v>0.20060000000000855</v>
      </c>
      <c r="CB3">
        <v>1E-4</v>
      </c>
      <c r="CC3" s="2">
        <v>45681</v>
      </c>
      <c r="CD3" t="s">
        <v>1245</v>
      </c>
      <c r="CE3">
        <v>4</v>
      </c>
      <c r="CF3">
        <v>4.0000000000000001E-3</v>
      </c>
      <c r="CG3">
        <v>6.0039592040406804</v>
      </c>
      <c r="CH3">
        <v>709.7757284634605</v>
      </c>
      <c r="CI3">
        <v>0.42399999999999999</v>
      </c>
      <c r="CJ3">
        <v>1E-4</v>
      </c>
      <c r="CK3">
        <v>0.20120000000000005</v>
      </c>
      <c r="CL3">
        <v>1E-4</v>
      </c>
      <c r="CM3" s="2">
        <v>45681</v>
      </c>
      <c r="CN3" t="s">
        <v>1363</v>
      </c>
      <c r="CO3">
        <v>5</v>
      </c>
      <c r="CP3">
        <v>4.1999999999999997E-3</v>
      </c>
      <c r="CQ3">
        <v>6.0039135683077722</v>
      </c>
      <c r="CR3">
        <v>709.77139763240757</v>
      </c>
      <c r="CS3">
        <v>0.42399999999999999</v>
      </c>
      <c r="CT3">
        <v>1E-4</v>
      </c>
      <c r="CU3">
        <v>0.19910000000004402</v>
      </c>
      <c r="CV3">
        <v>1E-4</v>
      </c>
      <c r="CW3" s="2">
        <v>45681</v>
      </c>
      <c r="CX3" t="s">
        <v>1523</v>
      </c>
      <c r="CY3">
        <v>5</v>
      </c>
      <c r="CZ3">
        <v>5.1000000000000004E-3</v>
      </c>
      <c r="DA3">
        <v>6.0040431081029686</v>
      </c>
      <c r="DB3">
        <v>709.78369095897187</v>
      </c>
      <c r="DC3">
        <v>0.42399999999999999</v>
      </c>
      <c r="DD3">
        <v>1E-4</v>
      </c>
      <c r="DE3">
        <v>0.19920000000001892</v>
      </c>
      <c r="DF3">
        <v>1E-4</v>
      </c>
      <c r="DG3" s="2">
        <v>45681</v>
      </c>
      <c r="DH3" t="s">
        <v>1681</v>
      </c>
      <c r="DI3">
        <v>6</v>
      </c>
      <c r="DJ3">
        <v>5.1000000000000004E-3</v>
      </c>
      <c r="DK3">
        <v>6.0041850107013346</v>
      </c>
      <c r="DL3">
        <v>709.79715751555671</v>
      </c>
      <c r="DM3">
        <v>0.42399999999999999</v>
      </c>
      <c r="DN3">
        <v>1E-4</v>
      </c>
      <c r="DO3">
        <v>0.19769999999999754</v>
      </c>
      <c r="DP3">
        <v>1E-4</v>
      </c>
    </row>
    <row r="4" spans="1:120" x14ac:dyDescent="0.3">
      <c r="A4" s="2">
        <v>45681</v>
      </c>
      <c r="B4" t="s">
        <v>190</v>
      </c>
      <c r="C4">
        <v>1</v>
      </c>
      <c r="D4">
        <v>1.6999999999999999E-3</v>
      </c>
      <c r="E4">
        <v>6.0290773060593814</v>
      </c>
      <c r="F4">
        <v>712.15943634503526</v>
      </c>
      <c r="G4">
        <v>0.42399999999999999</v>
      </c>
      <c r="H4">
        <v>5.0000000000000001E-4</v>
      </c>
      <c r="I4">
        <v>0.40021000000000129</v>
      </c>
      <c r="J4">
        <v>5.0000000000000001E-4</v>
      </c>
      <c r="K4" s="2">
        <v>45681</v>
      </c>
      <c r="L4" t="s">
        <v>348</v>
      </c>
      <c r="M4">
        <v>1</v>
      </c>
      <c r="N4">
        <v>2.0999999999999999E-3</v>
      </c>
      <c r="O4">
        <v>5.9957337254908847</v>
      </c>
      <c r="P4">
        <v>606.80238321575052</v>
      </c>
      <c r="Q4">
        <v>0.42399999999999999</v>
      </c>
      <c r="R4">
        <v>0</v>
      </c>
      <c r="S4">
        <v>0.40077999999999747</v>
      </c>
      <c r="T4">
        <v>0</v>
      </c>
      <c r="U4" s="2">
        <v>45681</v>
      </c>
      <c r="V4" t="s">
        <v>601</v>
      </c>
      <c r="W4">
        <v>2</v>
      </c>
      <c r="X4">
        <v>3.3999999999999998E-3</v>
      </c>
      <c r="Y4">
        <v>6.1934007987950093</v>
      </c>
      <c r="Z4">
        <v>625.22495444769493</v>
      </c>
      <c r="AA4">
        <v>0.42399999999999999</v>
      </c>
      <c r="AB4">
        <v>3.0999999999999999E-3</v>
      </c>
      <c r="AC4">
        <v>0.39989999999998815</v>
      </c>
      <c r="AD4">
        <v>3.0999999999999999E-3</v>
      </c>
      <c r="AE4" s="2">
        <v>45681</v>
      </c>
      <c r="AF4" t="s">
        <v>728</v>
      </c>
      <c r="AG4">
        <v>3</v>
      </c>
      <c r="AH4">
        <v>2.5999999999999999E-3</v>
      </c>
      <c r="AI4">
        <v>6.0292926029181961</v>
      </c>
      <c r="AJ4">
        <v>712.17986801693689</v>
      </c>
      <c r="AK4">
        <v>0.42399999999999999</v>
      </c>
      <c r="AL4">
        <v>5.0000000000000001E-4</v>
      </c>
      <c r="AM4">
        <v>0.39249999999998408</v>
      </c>
      <c r="AN4">
        <v>5.0000000000000001E-4</v>
      </c>
      <c r="AO4" s="2">
        <v>45681</v>
      </c>
      <c r="AP4" t="s">
        <v>798</v>
      </c>
      <c r="AQ4">
        <v>3</v>
      </c>
      <c r="AR4">
        <v>3.3E-3</v>
      </c>
      <c r="AS4">
        <v>6.4619993016115718</v>
      </c>
      <c r="AT4">
        <v>650.25833491019853</v>
      </c>
      <c r="AU4">
        <v>0.42399999999999999</v>
      </c>
      <c r="AV4">
        <v>7.1999999999999998E-3</v>
      </c>
      <c r="AW4">
        <v>0.39849999999998431</v>
      </c>
      <c r="AX4">
        <v>7.1999999999999998E-3</v>
      </c>
      <c r="AY4" s="2">
        <v>45681</v>
      </c>
      <c r="AZ4" t="s">
        <v>928</v>
      </c>
      <c r="BA4">
        <v>3</v>
      </c>
      <c r="BB4">
        <v>3.3999999999999998E-3</v>
      </c>
      <c r="BC4">
        <v>6.028562731240017</v>
      </c>
      <c r="BD4">
        <v>712.11060319467765</v>
      </c>
      <c r="BE4">
        <v>0.42399999999999999</v>
      </c>
      <c r="BF4">
        <v>5.0000000000000001E-4</v>
      </c>
      <c r="BG4">
        <v>0.39900000000000091</v>
      </c>
      <c r="BH4">
        <v>5.0000000000000001E-4</v>
      </c>
      <c r="BI4" s="2">
        <v>45681</v>
      </c>
      <c r="BJ4" t="s">
        <v>1002</v>
      </c>
      <c r="BK4">
        <v>3</v>
      </c>
      <c r="BL4">
        <v>3.3E-3</v>
      </c>
      <c r="BM4">
        <v>6.0288933115424621</v>
      </c>
      <c r="BN4">
        <v>609.89285663575754</v>
      </c>
      <c r="BO4">
        <v>0.42399999999999999</v>
      </c>
      <c r="BP4">
        <v>5.0000000000000001E-4</v>
      </c>
      <c r="BQ4">
        <v>0.40049999999999386</v>
      </c>
      <c r="BR4">
        <v>5.0000000000000001E-4</v>
      </c>
      <c r="BS4" s="2">
        <v>45681</v>
      </c>
      <c r="BT4" t="s">
        <v>1126</v>
      </c>
      <c r="BU4">
        <v>4</v>
      </c>
      <c r="BV4">
        <v>3.8999999999999998E-3</v>
      </c>
      <c r="BW4">
        <v>6.0288358279542411</v>
      </c>
      <c r="BX4">
        <v>712.13652007285748</v>
      </c>
      <c r="BY4">
        <v>0.42399999999999999</v>
      </c>
      <c r="BZ4">
        <v>5.0000000000000001E-4</v>
      </c>
      <c r="CA4">
        <v>0.40190000000001191</v>
      </c>
      <c r="CB4">
        <v>5.0000000000000001E-4</v>
      </c>
      <c r="CC4" s="2">
        <v>45681</v>
      </c>
      <c r="CD4" t="s">
        <v>1246</v>
      </c>
      <c r="CE4">
        <v>4</v>
      </c>
      <c r="CF4">
        <v>4.0000000000000001E-3</v>
      </c>
      <c r="CG4">
        <v>6.0285288947059348</v>
      </c>
      <c r="CH4">
        <v>712.10739210759323</v>
      </c>
      <c r="CI4">
        <v>0.42399999999999999</v>
      </c>
      <c r="CJ4">
        <v>5.0000000000000001E-4</v>
      </c>
      <c r="CK4">
        <v>0.40059999999999718</v>
      </c>
      <c r="CL4">
        <v>5.0000000000000001E-4</v>
      </c>
      <c r="CM4" s="2">
        <v>45681</v>
      </c>
      <c r="CN4" t="s">
        <v>1364</v>
      </c>
      <c r="CO4">
        <v>5</v>
      </c>
      <c r="CP4">
        <v>4.1999999999999997E-3</v>
      </c>
      <c r="CQ4">
        <v>6.0286130420506732</v>
      </c>
      <c r="CR4">
        <v>712.11537769060897</v>
      </c>
      <c r="CS4">
        <v>0.42399999999999999</v>
      </c>
      <c r="CT4">
        <v>5.0000000000000001E-4</v>
      </c>
      <c r="CU4">
        <v>0.39960000000002083</v>
      </c>
      <c r="CV4">
        <v>5.0000000000000001E-4</v>
      </c>
      <c r="CW4" s="2">
        <v>45681</v>
      </c>
      <c r="CX4" t="s">
        <v>1524</v>
      </c>
      <c r="CY4">
        <v>5</v>
      </c>
      <c r="CZ4">
        <v>5.1000000000000004E-3</v>
      </c>
      <c r="DA4">
        <v>6.0289592045940399</v>
      </c>
      <c r="DB4">
        <v>712.14822851597444</v>
      </c>
      <c r="DC4">
        <v>0.42399999999999999</v>
      </c>
      <c r="DD4">
        <v>5.0000000000000001E-4</v>
      </c>
      <c r="DE4">
        <v>0.4001999999999839</v>
      </c>
      <c r="DF4">
        <v>5.0000000000000001E-4</v>
      </c>
      <c r="DG4" s="2">
        <v>45681</v>
      </c>
      <c r="DH4" t="s">
        <v>1682</v>
      </c>
      <c r="DI4">
        <v>6</v>
      </c>
      <c r="DJ4">
        <v>5.1999999999999998E-3</v>
      </c>
      <c r="DK4">
        <v>6.029130840362499</v>
      </c>
      <c r="DL4">
        <v>712.16451675040116</v>
      </c>
      <c r="DM4">
        <v>0.42399999999999999</v>
      </c>
      <c r="DN4">
        <v>5.0000000000000001E-4</v>
      </c>
      <c r="DO4">
        <v>0.39800000000002456</v>
      </c>
      <c r="DP4">
        <v>5.0000000000000001E-4</v>
      </c>
    </row>
    <row r="5" spans="1:120" x14ac:dyDescent="0.3">
      <c r="A5" s="2">
        <v>45681</v>
      </c>
      <c r="B5" t="s">
        <v>191</v>
      </c>
      <c r="C5">
        <v>1</v>
      </c>
      <c r="D5">
        <v>1.6999999999999999E-3</v>
      </c>
      <c r="E5">
        <v>6.0698196800970967</v>
      </c>
      <c r="F5">
        <v>716.02588764121447</v>
      </c>
      <c r="G5">
        <v>0.42399999999999999</v>
      </c>
      <c r="H5">
        <v>1.1999999999999999E-3</v>
      </c>
      <c r="I5">
        <v>0.60036000000000023</v>
      </c>
      <c r="J5">
        <v>1.1999999999999999E-3</v>
      </c>
      <c r="K5" s="2">
        <v>45681</v>
      </c>
      <c r="L5" t="s">
        <v>349</v>
      </c>
      <c r="M5">
        <v>1</v>
      </c>
      <c r="N5">
        <v>2.0999999999999999E-3</v>
      </c>
      <c r="O5">
        <v>6.0041779230726249</v>
      </c>
      <c r="P5">
        <v>709.79648489959209</v>
      </c>
      <c r="Q5">
        <v>0.42399999999999999</v>
      </c>
      <c r="R5">
        <v>1E-4</v>
      </c>
      <c r="S5">
        <v>0.60116000000000014</v>
      </c>
      <c r="T5">
        <v>1E-4</v>
      </c>
      <c r="U5" s="2">
        <v>45681</v>
      </c>
      <c r="V5" t="s">
        <v>602</v>
      </c>
      <c r="W5">
        <v>2</v>
      </c>
      <c r="X5">
        <v>3.3E-3</v>
      </c>
      <c r="Y5">
        <v>6.1248269368080859</v>
      </c>
      <c r="Z5">
        <v>618.83387051051363</v>
      </c>
      <c r="AA5">
        <v>0.42399999999999999</v>
      </c>
      <c r="AB5">
        <v>2E-3</v>
      </c>
      <c r="AC5">
        <v>0.59909999999999286</v>
      </c>
      <c r="AD5">
        <v>2E-3</v>
      </c>
      <c r="AE5" s="2">
        <v>45681</v>
      </c>
      <c r="AF5" t="s">
        <v>729</v>
      </c>
      <c r="AG5">
        <v>3</v>
      </c>
      <c r="AH5">
        <v>2.5999999999999999E-3</v>
      </c>
      <c r="AI5">
        <v>6.0696212427120653</v>
      </c>
      <c r="AJ5">
        <v>716.007055933375</v>
      </c>
      <c r="AK5">
        <v>0.42399999999999999</v>
      </c>
      <c r="AL5">
        <v>1.1000000000000001E-3</v>
      </c>
      <c r="AM5">
        <v>0.59059999999999491</v>
      </c>
      <c r="AN5">
        <v>1.1000000000000001E-3</v>
      </c>
      <c r="AO5" s="2">
        <v>45681</v>
      </c>
      <c r="AP5" t="s">
        <v>799</v>
      </c>
      <c r="AQ5">
        <v>3</v>
      </c>
      <c r="AR5">
        <v>3.5999999999999999E-3</v>
      </c>
      <c r="AS5">
        <v>6.3649940739197026</v>
      </c>
      <c r="AT5">
        <v>641.21744768931626</v>
      </c>
      <c r="AU5">
        <v>0.42399999999999999</v>
      </c>
      <c r="AV5">
        <v>5.7000000000000002E-3</v>
      </c>
      <c r="AW5">
        <v>0.59649999999999181</v>
      </c>
      <c r="AX5">
        <v>5.7000000000000002E-3</v>
      </c>
      <c r="AY5" s="2">
        <v>45681</v>
      </c>
      <c r="AZ5" t="s">
        <v>929</v>
      </c>
      <c r="BA5">
        <v>3</v>
      </c>
      <c r="BB5">
        <v>3.5000000000000001E-3</v>
      </c>
      <c r="BC5">
        <v>6.0691523563368079</v>
      </c>
      <c r="BD5">
        <v>715.96255861636314</v>
      </c>
      <c r="BE5">
        <v>0.42399999999999999</v>
      </c>
      <c r="BF5">
        <v>1.1000000000000001E-3</v>
      </c>
      <c r="BG5">
        <v>0.59949999999997772</v>
      </c>
      <c r="BH5">
        <v>1.1000000000000001E-3</v>
      </c>
      <c r="BI5" s="2">
        <v>45681</v>
      </c>
      <c r="BJ5" t="s">
        <v>1003</v>
      </c>
      <c r="BK5">
        <v>3</v>
      </c>
      <c r="BL5">
        <v>3.2000000000000002E-3</v>
      </c>
      <c r="BM5">
        <v>6.0038147185936381</v>
      </c>
      <c r="BN5">
        <v>607.55553177292711</v>
      </c>
      <c r="BO5">
        <v>0.42399999999999999</v>
      </c>
      <c r="BP5">
        <v>1E-4</v>
      </c>
      <c r="BQ5">
        <v>0.60389999999998167</v>
      </c>
      <c r="BR5">
        <v>1E-4</v>
      </c>
      <c r="BS5" s="2">
        <v>45681</v>
      </c>
      <c r="BT5" t="s">
        <v>1127</v>
      </c>
      <c r="BU5">
        <v>4</v>
      </c>
      <c r="BV5">
        <v>3.8999999999999998E-3</v>
      </c>
      <c r="BW5">
        <v>6.0691936738062289</v>
      </c>
      <c r="BX5">
        <v>715.96647964421118</v>
      </c>
      <c r="BY5">
        <v>0.42399999999999999</v>
      </c>
      <c r="BZ5">
        <v>1.1000000000000001E-3</v>
      </c>
      <c r="CA5">
        <v>0.60089999999999577</v>
      </c>
      <c r="CB5">
        <v>1.1000000000000001E-3</v>
      </c>
      <c r="CC5" s="2">
        <v>45681</v>
      </c>
      <c r="CD5" t="s">
        <v>1247</v>
      </c>
      <c r="CE5">
        <v>4</v>
      </c>
      <c r="CF5">
        <v>4.0000000000000001E-3</v>
      </c>
      <c r="CG5">
        <v>6.0691866591622539</v>
      </c>
      <c r="CH5">
        <v>715.96581395449789</v>
      </c>
      <c r="CI5">
        <v>0.42399999999999999</v>
      </c>
      <c r="CJ5">
        <v>1.1000000000000001E-3</v>
      </c>
      <c r="CK5">
        <v>0.60149999999998727</v>
      </c>
      <c r="CL5">
        <v>1.1000000000000001E-3</v>
      </c>
      <c r="CM5" s="2">
        <v>45681</v>
      </c>
      <c r="CN5" t="s">
        <v>1365</v>
      </c>
      <c r="CO5">
        <v>5</v>
      </c>
      <c r="CP5">
        <v>4.1999999999999997E-3</v>
      </c>
      <c r="CQ5">
        <v>6.0688947607693553</v>
      </c>
      <c r="CR5">
        <v>715.93811279701185</v>
      </c>
      <c r="CS5">
        <v>0.42399999999999999</v>
      </c>
      <c r="CT5">
        <v>1.1000000000000001E-3</v>
      </c>
      <c r="CU5">
        <v>0.598700000000008</v>
      </c>
      <c r="CV5">
        <v>1.1000000000000001E-3</v>
      </c>
      <c r="CW5" s="2">
        <v>45681</v>
      </c>
      <c r="CX5" t="s">
        <v>1525</v>
      </c>
      <c r="CY5">
        <v>5</v>
      </c>
      <c r="CZ5">
        <v>5.1000000000000004E-3</v>
      </c>
      <c r="DA5">
        <v>6.0698434406830444</v>
      </c>
      <c r="DB5">
        <v>716.02814252082089</v>
      </c>
      <c r="DC5">
        <v>0.42399999999999999</v>
      </c>
      <c r="DD5">
        <v>1.1999999999999999E-3</v>
      </c>
      <c r="DE5">
        <v>0.60120000000000573</v>
      </c>
      <c r="DF5">
        <v>1.1999999999999999E-3</v>
      </c>
      <c r="DG5" s="2">
        <v>45681</v>
      </c>
      <c r="DH5" t="s">
        <v>1683</v>
      </c>
      <c r="DI5">
        <v>6</v>
      </c>
      <c r="DJ5">
        <v>5.1999999999999998E-3</v>
      </c>
      <c r="DK5">
        <v>6.0698137196770734</v>
      </c>
      <c r="DL5">
        <v>716.02532199735424</v>
      </c>
      <c r="DM5">
        <v>0.42399999999999999</v>
      </c>
      <c r="DN5">
        <v>1.1999999999999999E-3</v>
      </c>
      <c r="DO5">
        <v>0.59780000000000655</v>
      </c>
      <c r="DP5">
        <v>1.1999999999999999E-3</v>
      </c>
    </row>
    <row r="6" spans="1:120" x14ac:dyDescent="0.3">
      <c r="A6" s="2">
        <v>45681</v>
      </c>
      <c r="B6" t="s">
        <v>192</v>
      </c>
      <c r="C6">
        <v>1</v>
      </c>
      <c r="D6">
        <v>1.6999999999999999E-3</v>
      </c>
      <c r="E6">
        <v>6.1251660725433554</v>
      </c>
      <c r="F6">
        <v>721.27826028436448</v>
      </c>
      <c r="G6">
        <v>0.42399999999999999</v>
      </c>
      <c r="H6">
        <v>2E-3</v>
      </c>
      <c r="I6">
        <v>0.79976000000000091</v>
      </c>
      <c r="J6">
        <v>2E-3</v>
      </c>
      <c r="K6" s="2">
        <v>45681</v>
      </c>
      <c r="L6" t="s">
        <v>350</v>
      </c>
      <c r="M6">
        <v>1</v>
      </c>
      <c r="N6">
        <v>2.0999999999999999E-3</v>
      </c>
      <c r="O6">
        <v>6.0288421127508647</v>
      </c>
      <c r="P6">
        <v>712.13711650005712</v>
      </c>
      <c r="Q6">
        <v>0.42399999999999999</v>
      </c>
      <c r="R6">
        <v>5.0000000000000001E-4</v>
      </c>
      <c r="S6">
        <v>0.79986999999999853</v>
      </c>
      <c r="T6">
        <v>5.0000000000000001E-4</v>
      </c>
      <c r="U6" s="2">
        <v>45681</v>
      </c>
      <c r="V6" t="s">
        <v>603</v>
      </c>
      <c r="W6">
        <v>2</v>
      </c>
      <c r="X6">
        <v>3.0000000000000001E-3</v>
      </c>
      <c r="Y6">
        <v>6.0694051673494096</v>
      </c>
      <c r="Z6">
        <v>613.66856159696499</v>
      </c>
      <c r="AA6">
        <v>0.42399999999999999</v>
      </c>
      <c r="AB6">
        <v>1.1000000000000001E-3</v>
      </c>
      <c r="AC6">
        <v>0.7990999999999957</v>
      </c>
      <c r="AD6">
        <v>1.1000000000000001E-3</v>
      </c>
      <c r="AE6" s="2">
        <v>45681</v>
      </c>
      <c r="AF6" t="s">
        <v>730</v>
      </c>
      <c r="AG6">
        <v>3</v>
      </c>
      <c r="AH6">
        <v>2.5999999999999999E-3</v>
      </c>
      <c r="AI6">
        <v>6.1246609776301266</v>
      </c>
      <c r="AJ6">
        <v>721.23032677709909</v>
      </c>
      <c r="AK6">
        <v>0.42399999999999999</v>
      </c>
      <c r="AL6">
        <v>2E-3</v>
      </c>
      <c r="AM6">
        <v>0.78919999999999391</v>
      </c>
      <c r="AN6">
        <v>2E-3</v>
      </c>
      <c r="AO6" s="2">
        <v>45681</v>
      </c>
      <c r="AP6" t="s">
        <v>800</v>
      </c>
      <c r="AQ6">
        <v>3</v>
      </c>
      <c r="AR6">
        <v>3.5000000000000001E-3</v>
      </c>
      <c r="AS6">
        <v>6.2746137517173262</v>
      </c>
      <c r="AT6">
        <v>632.79400166005485</v>
      </c>
      <c r="AU6">
        <v>0.42399999999999999</v>
      </c>
      <c r="AV6">
        <v>4.3E-3</v>
      </c>
      <c r="AW6">
        <v>0.79639999999997713</v>
      </c>
      <c r="AX6">
        <v>4.3E-3</v>
      </c>
      <c r="AY6" s="2">
        <v>45681</v>
      </c>
      <c r="AZ6" t="s">
        <v>930</v>
      </c>
      <c r="BA6">
        <v>3</v>
      </c>
      <c r="BB6">
        <v>3.5000000000000001E-3</v>
      </c>
      <c r="BC6">
        <v>6.1248751472802576</v>
      </c>
      <c r="BD6">
        <v>721.25065147689645</v>
      </c>
      <c r="BE6">
        <v>0.42399999999999999</v>
      </c>
      <c r="BF6">
        <v>2E-3</v>
      </c>
      <c r="BG6">
        <v>0.80069999999997776</v>
      </c>
      <c r="BH6">
        <v>2E-3</v>
      </c>
      <c r="BI6" s="2">
        <v>45681</v>
      </c>
      <c r="BJ6" t="s">
        <v>1004</v>
      </c>
      <c r="BK6">
        <v>3</v>
      </c>
      <c r="BL6">
        <v>3.2000000000000002E-3</v>
      </c>
      <c r="BM6">
        <v>5.9957340880099554</v>
      </c>
      <c r="BN6">
        <v>606.80241700252782</v>
      </c>
      <c r="BO6">
        <v>0.42399999999999999</v>
      </c>
      <c r="BP6">
        <v>0</v>
      </c>
      <c r="BQ6">
        <v>0.79929999999998813</v>
      </c>
      <c r="BR6">
        <v>0</v>
      </c>
      <c r="BS6" s="2">
        <v>45681</v>
      </c>
      <c r="BT6" t="s">
        <v>1128</v>
      </c>
      <c r="BU6">
        <v>4</v>
      </c>
      <c r="BV6">
        <v>3.8E-3</v>
      </c>
      <c r="BW6">
        <v>6.124226191344941</v>
      </c>
      <c r="BX6">
        <v>721.18906555863498</v>
      </c>
      <c r="BY6">
        <v>0.42399999999999999</v>
      </c>
      <c r="BZ6">
        <v>2E-3</v>
      </c>
      <c r="CA6">
        <v>0.79990000000000805</v>
      </c>
      <c r="CB6">
        <v>2E-3</v>
      </c>
      <c r="CC6" s="2">
        <v>45681</v>
      </c>
      <c r="CD6" t="s">
        <v>1248</v>
      </c>
      <c r="CE6">
        <v>4</v>
      </c>
      <c r="CF6">
        <v>4.0000000000000001E-3</v>
      </c>
      <c r="CG6">
        <v>6.1244349682340973</v>
      </c>
      <c r="CH6">
        <v>721.20887848541588</v>
      </c>
      <c r="CI6">
        <v>0.42399999999999999</v>
      </c>
      <c r="CJ6">
        <v>2E-3</v>
      </c>
      <c r="CK6">
        <v>0.80109999999999104</v>
      </c>
      <c r="CL6">
        <v>2E-3</v>
      </c>
      <c r="CM6" s="2">
        <v>45681</v>
      </c>
      <c r="CN6" t="s">
        <v>1366</v>
      </c>
      <c r="CO6">
        <v>5</v>
      </c>
      <c r="CP6">
        <v>4.1999999999999997E-3</v>
      </c>
      <c r="CQ6">
        <v>6.1248499675466839</v>
      </c>
      <c r="CR6">
        <v>721.24826192018031</v>
      </c>
      <c r="CS6">
        <v>0.42399999999999999</v>
      </c>
      <c r="CT6">
        <v>2E-3</v>
      </c>
      <c r="CU6">
        <v>0.80100000000004457</v>
      </c>
      <c r="CV6">
        <v>2E-3</v>
      </c>
      <c r="CW6" s="2">
        <v>45681</v>
      </c>
      <c r="CX6" t="s">
        <v>1526</v>
      </c>
      <c r="CY6">
        <v>5</v>
      </c>
      <c r="CZ6">
        <v>5.1000000000000004E-3</v>
      </c>
      <c r="DA6">
        <v>6.1253879866848102</v>
      </c>
      <c r="DB6">
        <v>721.29931993638854</v>
      </c>
      <c r="DC6">
        <v>0.42399999999999999</v>
      </c>
      <c r="DD6">
        <v>2E-3</v>
      </c>
      <c r="DE6">
        <v>0.80119999999999436</v>
      </c>
      <c r="DF6">
        <v>2E-3</v>
      </c>
      <c r="DG6" s="2">
        <v>45681</v>
      </c>
      <c r="DH6" t="s">
        <v>1684</v>
      </c>
      <c r="DI6">
        <v>6</v>
      </c>
      <c r="DJ6">
        <v>5.1999999999999998E-3</v>
      </c>
      <c r="DK6">
        <v>6.1255013968535748</v>
      </c>
      <c r="DL6">
        <v>721.31008256140433</v>
      </c>
      <c r="DM6">
        <v>0.42399999999999999</v>
      </c>
      <c r="DN6">
        <v>2E-3</v>
      </c>
      <c r="DO6">
        <v>0.7983000000000402</v>
      </c>
      <c r="DP6">
        <v>2E-3</v>
      </c>
    </row>
    <row r="7" spans="1:120" x14ac:dyDescent="0.3">
      <c r="A7" s="2">
        <v>45681</v>
      </c>
      <c r="B7" t="s">
        <v>193</v>
      </c>
      <c r="C7">
        <v>1</v>
      </c>
      <c r="D7">
        <v>1.8E-3</v>
      </c>
      <c r="E7">
        <v>6.1941586641737656</v>
      </c>
      <c r="F7">
        <v>727.82565723009043</v>
      </c>
      <c r="G7">
        <v>0.42399999999999999</v>
      </c>
      <c r="H7">
        <v>3.0999999999999999E-3</v>
      </c>
      <c r="I7">
        <v>0.99989000000000061</v>
      </c>
      <c r="J7">
        <v>3.0999999999999999E-3</v>
      </c>
      <c r="K7" s="2">
        <v>45681</v>
      </c>
      <c r="L7" t="s">
        <v>351</v>
      </c>
      <c r="M7">
        <v>1</v>
      </c>
      <c r="N7">
        <v>2.0999999999999999E-3</v>
      </c>
      <c r="O7">
        <v>6.0699657712083086</v>
      </c>
      <c r="P7">
        <v>716.03975168766851</v>
      </c>
      <c r="Q7">
        <v>0.42399999999999999</v>
      </c>
      <c r="R7">
        <v>1.1999999999999999E-3</v>
      </c>
      <c r="S7">
        <v>1.0020600000000002</v>
      </c>
      <c r="T7">
        <v>1.1999999999999999E-3</v>
      </c>
      <c r="U7" s="2">
        <v>45681</v>
      </c>
      <c r="V7" t="s">
        <v>604</v>
      </c>
      <c r="W7">
        <v>2</v>
      </c>
      <c r="X7">
        <v>3.0000000000000001E-3</v>
      </c>
      <c r="Y7">
        <v>6.0287440739782303</v>
      </c>
      <c r="Z7">
        <v>609.87894769477111</v>
      </c>
      <c r="AA7">
        <v>0.42399999999999999</v>
      </c>
      <c r="AB7">
        <v>5.0000000000000001E-4</v>
      </c>
      <c r="AC7">
        <v>0.99959999999998672</v>
      </c>
      <c r="AD7">
        <v>5.0000000000000001E-4</v>
      </c>
      <c r="AE7" s="2">
        <v>45681</v>
      </c>
      <c r="AF7" t="s">
        <v>731</v>
      </c>
      <c r="AG7">
        <v>3</v>
      </c>
      <c r="AH7">
        <v>2.5999999999999999E-3</v>
      </c>
      <c r="AI7">
        <v>6.1942404070769594</v>
      </c>
      <c r="AJ7">
        <v>727.83341463160343</v>
      </c>
      <c r="AK7">
        <v>0.42399999999999999</v>
      </c>
      <c r="AL7">
        <v>3.0999999999999999E-3</v>
      </c>
      <c r="AM7">
        <v>0.99109999999998877</v>
      </c>
      <c r="AN7">
        <v>3.0999999999999999E-3</v>
      </c>
      <c r="AO7" s="2">
        <v>45681</v>
      </c>
      <c r="AP7" t="s">
        <v>801</v>
      </c>
      <c r="AQ7">
        <v>3</v>
      </c>
      <c r="AR7">
        <v>3.5000000000000001E-3</v>
      </c>
      <c r="AS7">
        <v>6.1932052402523023</v>
      </c>
      <c r="AT7">
        <v>625.20672839151462</v>
      </c>
      <c r="AU7">
        <v>0.42399999999999999</v>
      </c>
      <c r="AV7">
        <v>3.0999999999999999E-3</v>
      </c>
      <c r="AW7">
        <v>0.99830000000000041</v>
      </c>
      <c r="AX7">
        <v>3.0999999999999999E-3</v>
      </c>
      <c r="AY7" s="2">
        <v>45681</v>
      </c>
      <c r="AZ7" t="s">
        <v>931</v>
      </c>
      <c r="BA7">
        <v>3</v>
      </c>
      <c r="BB7">
        <v>3.5000000000000001E-3</v>
      </c>
      <c r="BC7">
        <v>6.1933640225979856</v>
      </c>
      <c r="BD7">
        <v>727.75024574454892</v>
      </c>
      <c r="BE7">
        <v>0.42399999999999999</v>
      </c>
      <c r="BF7">
        <v>3.0999999999999999E-3</v>
      </c>
      <c r="BG7">
        <v>0.99969999999999004</v>
      </c>
      <c r="BH7">
        <v>3.0999999999999999E-3</v>
      </c>
      <c r="BI7" s="2">
        <v>45681</v>
      </c>
      <c r="BJ7" t="s">
        <v>1005</v>
      </c>
      <c r="BK7">
        <v>3</v>
      </c>
      <c r="BL7">
        <v>3.2000000000000002E-3</v>
      </c>
      <c r="BM7">
        <v>6.0040492712583706</v>
      </c>
      <c r="BN7">
        <v>709.78427584241945</v>
      </c>
      <c r="BO7">
        <v>0.42399999999999999</v>
      </c>
      <c r="BP7">
        <v>1E-4</v>
      </c>
      <c r="BQ7">
        <v>1.0009999999999764</v>
      </c>
      <c r="BR7">
        <v>1E-4</v>
      </c>
      <c r="BS7" s="2">
        <v>45681</v>
      </c>
      <c r="BT7" t="s">
        <v>1129</v>
      </c>
      <c r="BU7">
        <v>4</v>
      </c>
      <c r="BV7">
        <v>3.8999999999999998E-3</v>
      </c>
      <c r="BW7">
        <v>6.1936544207491124</v>
      </c>
      <c r="BX7">
        <v>727.77780452909076</v>
      </c>
      <c r="BY7">
        <v>0.42399999999999999</v>
      </c>
      <c r="BZ7">
        <v>3.0999999999999999E-3</v>
      </c>
      <c r="CA7">
        <v>1.0016999999999996</v>
      </c>
      <c r="CB7">
        <v>3.0999999999999999E-3</v>
      </c>
      <c r="CC7" s="2">
        <v>45681</v>
      </c>
      <c r="CD7" t="s">
        <v>1249</v>
      </c>
      <c r="CE7">
        <v>4</v>
      </c>
      <c r="CF7">
        <v>4.0000000000000001E-3</v>
      </c>
      <c r="CG7">
        <v>6.1934612950309038</v>
      </c>
      <c r="CH7">
        <v>727.75947689843281</v>
      </c>
      <c r="CI7">
        <v>0.42399999999999999</v>
      </c>
      <c r="CJ7">
        <v>3.0999999999999999E-3</v>
      </c>
      <c r="CK7">
        <v>1.0018000000000029</v>
      </c>
      <c r="CL7">
        <v>3.0999999999999999E-3</v>
      </c>
      <c r="CM7" s="2">
        <v>45681</v>
      </c>
      <c r="CN7" t="s">
        <v>1367</v>
      </c>
      <c r="CO7">
        <v>5</v>
      </c>
      <c r="CP7">
        <v>4.1999999999999997E-3</v>
      </c>
      <c r="CQ7">
        <v>6.192911355052729</v>
      </c>
      <c r="CR7">
        <v>727.70728759450401</v>
      </c>
      <c r="CS7">
        <v>0.42399999999999999</v>
      </c>
      <c r="CT7">
        <v>3.0999999999999999E-3</v>
      </c>
      <c r="CU7">
        <v>0.99880000000001701</v>
      </c>
      <c r="CV7">
        <v>3.0999999999999999E-3</v>
      </c>
      <c r="CW7" s="2">
        <v>45681</v>
      </c>
      <c r="CX7" t="s">
        <v>1527</v>
      </c>
      <c r="CY7">
        <v>5</v>
      </c>
      <c r="CZ7">
        <v>5.1000000000000004E-3</v>
      </c>
      <c r="DA7">
        <v>6.19394380522336</v>
      </c>
      <c r="DB7">
        <v>727.80526711569689</v>
      </c>
      <c r="DC7">
        <v>0.42399999999999999</v>
      </c>
      <c r="DD7">
        <v>3.0999999999999999E-3</v>
      </c>
      <c r="DE7">
        <v>1</v>
      </c>
      <c r="DF7">
        <v>3.0999999999999999E-3</v>
      </c>
      <c r="DG7" s="2">
        <v>45681</v>
      </c>
      <c r="DH7" t="s">
        <v>1685</v>
      </c>
      <c r="DI7">
        <v>6</v>
      </c>
      <c r="DJ7">
        <v>5.1999999999999998E-3</v>
      </c>
      <c r="DK7">
        <v>6.1943209335679006</v>
      </c>
      <c r="DL7">
        <v>727.84105659559384</v>
      </c>
      <c r="DM7">
        <v>0.42399999999999999</v>
      </c>
      <c r="DN7">
        <v>3.0999999999999999E-3</v>
      </c>
      <c r="DO7">
        <v>0.99780000000004065</v>
      </c>
      <c r="DP7">
        <v>3.0999999999999999E-3</v>
      </c>
    </row>
    <row r="8" spans="1:120" x14ac:dyDescent="0.3">
      <c r="A8" s="2">
        <v>45681</v>
      </c>
      <c r="B8" t="s">
        <v>194</v>
      </c>
      <c r="C8">
        <v>1</v>
      </c>
      <c r="D8">
        <v>1.8E-3</v>
      </c>
      <c r="E8">
        <v>6.2747134164276668</v>
      </c>
      <c r="F8">
        <v>735.47030321898558</v>
      </c>
      <c r="G8">
        <v>0.42399999999999999</v>
      </c>
      <c r="H8">
        <v>4.3E-3</v>
      </c>
      <c r="I8">
        <v>1.1995400000000007</v>
      </c>
      <c r="J8">
        <v>4.3E-3</v>
      </c>
      <c r="K8" s="2">
        <v>45681</v>
      </c>
      <c r="L8" t="s">
        <v>352</v>
      </c>
      <c r="M8">
        <v>1</v>
      </c>
      <c r="N8">
        <v>2.0999999999999999E-3</v>
      </c>
      <c r="O8">
        <v>6.1254687970052766</v>
      </c>
      <c r="P8">
        <v>721.30698883580078</v>
      </c>
      <c r="Q8">
        <v>0.42399999999999999</v>
      </c>
      <c r="R8">
        <v>2E-3</v>
      </c>
      <c r="S8">
        <v>1.2018199999999979</v>
      </c>
      <c r="T8">
        <v>2E-3</v>
      </c>
      <c r="U8" s="2">
        <v>45681</v>
      </c>
      <c r="V8" t="s">
        <v>605</v>
      </c>
      <c r="W8">
        <v>2</v>
      </c>
      <c r="X8">
        <v>2.5000000000000001E-3</v>
      </c>
      <c r="Y8">
        <v>6.0038954802576168</v>
      </c>
      <c r="Z8">
        <v>607.56305876000988</v>
      </c>
      <c r="AA8">
        <v>0.42399999999999999</v>
      </c>
      <c r="AB8">
        <v>1E-4</v>
      </c>
      <c r="AC8">
        <v>1.2010999999999967</v>
      </c>
      <c r="AD8">
        <v>1E-4</v>
      </c>
      <c r="AE8" s="2">
        <v>45681</v>
      </c>
      <c r="AF8" t="s">
        <v>732</v>
      </c>
      <c r="AG8">
        <v>3</v>
      </c>
      <c r="AH8">
        <v>2.5999999999999999E-3</v>
      </c>
      <c r="AI8">
        <v>6.2750307783836616</v>
      </c>
      <c r="AJ8">
        <v>735.50042086860958</v>
      </c>
      <c r="AK8">
        <v>0.42399999999999999</v>
      </c>
      <c r="AL8">
        <v>4.3E-3</v>
      </c>
      <c r="AM8">
        <v>1.191299999999984</v>
      </c>
      <c r="AN8">
        <v>4.3E-3</v>
      </c>
      <c r="AO8" s="2">
        <v>45681</v>
      </c>
      <c r="AP8" t="s">
        <v>802</v>
      </c>
      <c r="AQ8">
        <v>3</v>
      </c>
      <c r="AR8">
        <v>3.5000000000000001E-3</v>
      </c>
      <c r="AS8">
        <v>6.1243766615402526</v>
      </c>
      <c r="AT8">
        <v>618.79190485555159</v>
      </c>
      <c r="AU8">
        <v>0.42399999999999999</v>
      </c>
      <c r="AV8">
        <v>2E-3</v>
      </c>
      <c r="AW8">
        <v>1.1983999999999924</v>
      </c>
      <c r="AX8">
        <v>2E-3</v>
      </c>
      <c r="AY8" s="2">
        <v>45681</v>
      </c>
      <c r="AZ8" t="s">
        <v>932</v>
      </c>
      <c r="BA8">
        <v>3</v>
      </c>
      <c r="BB8">
        <v>3.5000000000000001E-3</v>
      </c>
      <c r="BC8">
        <v>6.2744368042820424</v>
      </c>
      <c r="BD8">
        <v>735.44405272636573</v>
      </c>
      <c r="BE8">
        <v>0.42399999999999999</v>
      </c>
      <c r="BF8">
        <v>4.3E-3</v>
      </c>
      <c r="BG8">
        <v>1.2007999999999868</v>
      </c>
      <c r="BH8">
        <v>4.3E-3</v>
      </c>
      <c r="BI8" s="2">
        <v>45681</v>
      </c>
      <c r="BJ8" t="s">
        <v>1006</v>
      </c>
      <c r="BK8">
        <v>4</v>
      </c>
      <c r="BL8">
        <v>3.2000000000000002E-3</v>
      </c>
      <c r="BM8">
        <v>6.0286845346533058</v>
      </c>
      <c r="BN8">
        <v>712.12216233859874</v>
      </c>
      <c r="BO8">
        <v>0.42399999999999999</v>
      </c>
      <c r="BP8">
        <v>5.0000000000000001E-4</v>
      </c>
      <c r="BQ8">
        <v>1.2001999999999953</v>
      </c>
      <c r="BR8">
        <v>5.0000000000000001E-4</v>
      </c>
      <c r="BS8" s="2">
        <v>45681</v>
      </c>
      <c r="BT8" t="s">
        <v>1130</v>
      </c>
      <c r="BU8">
        <v>4</v>
      </c>
      <c r="BV8">
        <v>3.8999999999999998E-3</v>
      </c>
      <c r="BW8">
        <v>5.9957334838115024</v>
      </c>
      <c r="BX8">
        <v>606.80236069123202</v>
      </c>
      <c r="BY8">
        <v>0.42399999999999999</v>
      </c>
      <c r="BZ8">
        <v>0</v>
      </c>
      <c r="CA8">
        <v>1.2013000000000034</v>
      </c>
      <c r="CB8">
        <v>0</v>
      </c>
      <c r="CC8" s="2">
        <v>45681</v>
      </c>
      <c r="CD8" t="s">
        <v>1250</v>
      </c>
      <c r="CE8">
        <v>4</v>
      </c>
      <c r="CF8">
        <v>4.1000000000000003E-3</v>
      </c>
      <c r="CG8">
        <v>6.2744062723345699</v>
      </c>
      <c r="CH8">
        <v>735.44115524455071</v>
      </c>
      <c r="CI8">
        <v>0.42399999999999999</v>
      </c>
      <c r="CJ8">
        <v>4.3E-3</v>
      </c>
      <c r="CK8">
        <v>1.2024999999999864</v>
      </c>
      <c r="CL8">
        <v>4.3E-3</v>
      </c>
      <c r="CM8" s="2">
        <v>45681</v>
      </c>
      <c r="CN8" t="s">
        <v>1368</v>
      </c>
      <c r="CO8">
        <v>5</v>
      </c>
      <c r="CP8">
        <v>4.3E-3</v>
      </c>
      <c r="CQ8">
        <v>6.2734099090606854</v>
      </c>
      <c r="CR8">
        <v>735.34660036985895</v>
      </c>
      <c r="CS8">
        <v>0.42399999999999999</v>
      </c>
      <c r="CT8">
        <v>4.3E-3</v>
      </c>
      <c r="CU8">
        <v>1.1987000000000307</v>
      </c>
      <c r="CV8">
        <v>4.3E-3</v>
      </c>
      <c r="CW8" s="2">
        <v>45681</v>
      </c>
      <c r="CX8" t="s">
        <v>1528</v>
      </c>
      <c r="CY8">
        <v>5</v>
      </c>
      <c r="CZ8">
        <v>5.1000000000000004E-3</v>
      </c>
      <c r="DA8">
        <v>6.27482504252513</v>
      </c>
      <c r="DB8">
        <v>735.48089653563488</v>
      </c>
      <c r="DC8">
        <v>0.42399999999999999</v>
      </c>
      <c r="DD8">
        <v>4.3E-3</v>
      </c>
      <c r="DE8">
        <v>1.2004999999999768</v>
      </c>
      <c r="DF8">
        <v>4.3E-3</v>
      </c>
      <c r="DG8" s="2">
        <v>45681</v>
      </c>
      <c r="DH8" t="s">
        <v>1686</v>
      </c>
      <c r="DI8">
        <v>6</v>
      </c>
      <c r="DJ8">
        <v>5.1999999999999998E-3</v>
      </c>
      <c r="DK8">
        <v>6.2761507696892096</v>
      </c>
      <c r="DL8">
        <v>735.60670804350605</v>
      </c>
      <c r="DM8">
        <v>0.42399999999999999</v>
      </c>
      <c r="DN8">
        <v>4.4000000000000003E-3</v>
      </c>
      <c r="DO8">
        <v>1.2004000000000019</v>
      </c>
      <c r="DP8">
        <v>4.4000000000000003E-3</v>
      </c>
    </row>
    <row r="9" spans="1:120" x14ac:dyDescent="0.3">
      <c r="A9" s="2">
        <v>45681</v>
      </c>
      <c r="B9" t="s">
        <v>195</v>
      </c>
      <c r="C9">
        <v>1</v>
      </c>
      <c r="D9">
        <v>2.3999999999999998E-3</v>
      </c>
      <c r="E9">
        <v>6.365497344214555</v>
      </c>
      <c r="F9">
        <v>744.08569796596134</v>
      </c>
      <c r="G9">
        <v>0.42399999999999999</v>
      </c>
      <c r="H9">
        <v>5.7000000000000002E-3</v>
      </c>
      <c r="I9">
        <v>1.4002300000000005</v>
      </c>
      <c r="J9">
        <v>5.7000000000000002E-3</v>
      </c>
      <c r="K9" s="2">
        <v>45681</v>
      </c>
      <c r="L9" t="s">
        <v>353</v>
      </c>
      <c r="M9">
        <v>1</v>
      </c>
      <c r="N9">
        <v>2.0999999999999999E-3</v>
      </c>
      <c r="O9">
        <v>6.1941174683455689</v>
      </c>
      <c r="P9">
        <v>727.82174774599457</v>
      </c>
      <c r="Q9">
        <v>0.42399999999999999</v>
      </c>
      <c r="R9">
        <v>3.0999999999999999E-3</v>
      </c>
      <c r="S9">
        <v>1.4008699999999976</v>
      </c>
      <c r="T9">
        <v>3.0999999999999999E-3</v>
      </c>
      <c r="U9" s="2">
        <v>45681</v>
      </c>
      <c r="V9" t="s">
        <v>606</v>
      </c>
      <c r="W9">
        <v>2</v>
      </c>
      <c r="X9">
        <v>2.3999999999999998E-3</v>
      </c>
      <c r="Y9">
        <v>5.9957335240914063</v>
      </c>
      <c r="Z9">
        <v>606.80236444531909</v>
      </c>
      <c r="AA9">
        <v>0.42399999999999999</v>
      </c>
      <c r="AB9">
        <v>0</v>
      </c>
      <c r="AC9">
        <v>1.3994999999999891</v>
      </c>
      <c r="AD9">
        <v>0</v>
      </c>
      <c r="AE9" s="2">
        <v>45681</v>
      </c>
      <c r="AF9" t="s">
        <v>733</v>
      </c>
      <c r="AG9">
        <v>3</v>
      </c>
      <c r="AH9">
        <v>2.8E-3</v>
      </c>
      <c r="AI9">
        <v>6.3643504701982856</v>
      </c>
      <c r="AJ9">
        <v>743.97685962181743</v>
      </c>
      <c r="AK9">
        <v>0.42399999999999999</v>
      </c>
      <c r="AL9">
        <v>5.7000000000000002E-3</v>
      </c>
      <c r="AM9">
        <v>1.3888000000000034</v>
      </c>
      <c r="AN9">
        <v>5.7000000000000002E-3</v>
      </c>
      <c r="AO9" s="2">
        <v>45681</v>
      </c>
      <c r="AP9" t="s">
        <v>803</v>
      </c>
      <c r="AQ9">
        <v>3</v>
      </c>
      <c r="AR9">
        <v>3.0999999999999999E-3</v>
      </c>
      <c r="AS9">
        <v>6.0691393001786604</v>
      </c>
      <c r="AT9">
        <v>613.64378277665105</v>
      </c>
      <c r="AU9">
        <v>0.42399999999999999</v>
      </c>
      <c r="AV9">
        <v>1.1000000000000001E-3</v>
      </c>
      <c r="AW9">
        <v>1.3980999999999995</v>
      </c>
      <c r="AX9">
        <v>1.1000000000000001E-3</v>
      </c>
      <c r="AY9" s="2">
        <v>45681</v>
      </c>
      <c r="AZ9" t="s">
        <v>933</v>
      </c>
      <c r="BA9">
        <v>3</v>
      </c>
      <c r="BB9">
        <v>3.5000000000000001E-3</v>
      </c>
      <c r="BC9">
        <v>6.3643306832256883</v>
      </c>
      <c r="BD9">
        <v>743.97498183811786</v>
      </c>
      <c r="BE9">
        <v>0.42399999999999999</v>
      </c>
      <c r="BF9">
        <v>5.7000000000000002E-3</v>
      </c>
      <c r="BG9">
        <v>1.3996999999999957</v>
      </c>
      <c r="BH9">
        <v>5.7000000000000002E-3</v>
      </c>
      <c r="BI9" s="2">
        <v>45681</v>
      </c>
      <c r="BJ9" t="s">
        <v>1007</v>
      </c>
      <c r="BK9">
        <v>4</v>
      </c>
      <c r="BL9">
        <v>3.2000000000000002E-3</v>
      </c>
      <c r="BM9">
        <v>6.0692755383506469</v>
      </c>
      <c r="BN9">
        <v>715.97424858947647</v>
      </c>
      <c r="BO9">
        <v>0.42399999999999999</v>
      </c>
      <c r="BP9">
        <v>1.1000000000000001E-3</v>
      </c>
      <c r="BQ9">
        <v>1.4004999999999939</v>
      </c>
      <c r="BR9">
        <v>1.1000000000000001E-3</v>
      </c>
      <c r="BS9" s="2">
        <v>45681</v>
      </c>
      <c r="BT9" t="s">
        <v>1131</v>
      </c>
      <c r="BU9">
        <v>4</v>
      </c>
      <c r="BV9">
        <v>3.8E-3</v>
      </c>
      <c r="BW9">
        <v>5.9957334838115024</v>
      </c>
      <c r="BX9">
        <v>606.80236069123202</v>
      </c>
      <c r="BY9">
        <v>0.42399999999999999</v>
      </c>
      <c r="BZ9">
        <v>0</v>
      </c>
      <c r="CA9">
        <v>1.4021999999999935</v>
      </c>
      <c r="CB9">
        <v>0</v>
      </c>
      <c r="CC9" s="2">
        <v>45681</v>
      </c>
      <c r="CD9" t="s">
        <v>1251</v>
      </c>
      <c r="CE9">
        <v>4</v>
      </c>
      <c r="CF9">
        <v>4.0000000000000001E-3</v>
      </c>
      <c r="CG9">
        <v>6.3640215523259158</v>
      </c>
      <c r="CH9">
        <v>743.94564531572939</v>
      </c>
      <c r="CI9">
        <v>0.42399999999999999</v>
      </c>
      <c r="CJ9">
        <v>5.7000000000000002E-3</v>
      </c>
      <c r="CK9">
        <v>1.4008000000000038</v>
      </c>
      <c r="CL9">
        <v>5.7000000000000002E-3</v>
      </c>
      <c r="CM9" s="2">
        <v>45681</v>
      </c>
      <c r="CN9" t="s">
        <v>1369</v>
      </c>
      <c r="CO9">
        <v>5</v>
      </c>
      <c r="CP9">
        <v>4.1999999999999997E-3</v>
      </c>
      <c r="CQ9">
        <v>6.3647334373216262</v>
      </c>
      <c r="CR9">
        <v>744.01320320182242</v>
      </c>
      <c r="CS9">
        <v>0.42399999999999999</v>
      </c>
      <c r="CT9">
        <v>5.7000000000000002E-3</v>
      </c>
      <c r="CU9">
        <v>1.4008000000000038</v>
      </c>
      <c r="CV9">
        <v>5.7000000000000002E-3</v>
      </c>
      <c r="CW9" s="2">
        <v>45681</v>
      </c>
      <c r="CX9" t="s">
        <v>1529</v>
      </c>
      <c r="CY9">
        <v>5</v>
      </c>
      <c r="CZ9">
        <v>5.1000000000000004E-3</v>
      </c>
      <c r="DA9">
        <v>6.3647671319409476</v>
      </c>
      <c r="DB9">
        <v>744.01640082119593</v>
      </c>
      <c r="DC9">
        <v>0.42399999999999999</v>
      </c>
      <c r="DD9">
        <v>5.7000000000000002E-3</v>
      </c>
      <c r="DE9">
        <v>1.3994000000000142</v>
      </c>
      <c r="DF9">
        <v>5.7000000000000002E-3</v>
      </c>
      <c r="DG9" s="2">
        <v>45681</v>
      </c>
      <c r="DH9" t="s">
        <v>1687</v>
      </c>
      <c r="DI9">
        <v>6</v>
      </c>
      <c r="DJ9">
        <v>5.1999999999999998E-3</v>
      </c>
      <c r="DK9">
        <v>6.366235138791188</v>
      </c>
      <c r="DL9">
        <v>744.15571467128382</v>
      </c>
      <c r="DM9">
        <v>0.42399999999999999</v>
      </c>
      <c r="DN9">
        <v>5.7999999999999996E-3</v>
      </c>
      <c r="DO9">
        <v>1.3993000000000393</v>
      </c>
      <c r="DP9">
        <v>5.7999999999999996E-3</v>
      </c>
    </row>
    <row r="10" spans="1:120" x14ac:dyDescent="0.3">
      <c r="A10" s="2">
        <v>45681</v>
      </c>
      <c r="B10" t="s">
        <v>196</v>
      </c>
      <c r="C10">
        <v>1</v>
      </c>
      <c r="D10">
        <v>3.5999999999999999E-3</v>
      </c>
      <c r="E10">
        <v>6.4628301111782456</v>
      </c>
      <c r="F10">
        <v>753.32257755081559</v>
      </c>
      <c r="G10">
        <v>0.42399999999999999</v>
      </c>
      <c r="H10">
        <v>7.3000000000000001E-3</v>
      </c>
      <c r="I10">
        <v>1.5988600000000002</v>
      </c>
      <c r="J10">
        <v>7.3000000000000001E-3</v>
      </c>
      <c r="K10" s="2">
        <v>45681</v>
      </c>
      <c r="L10" t="s">
        <v>354</v>
      </c>
      <c r="M10">
        <v>1</v>
      </c>
      <c r="N10">
        <v>2.0999999999999999E-3</v>
      </c>
      <c r="O10">
        <v>6.2753139591554374</v>
      </c>
      <c r="P10">
        <v>735.52729472385101</v>
      </c>
      <c r="Q10">
        <v>0.42399999999999999</v>
      </c>
      <c r="R10">
        <v>4.3E-3</v>
      </c>
      <c r="S10">
        <v>1.6020200000000031</v>
      </c>
      <c r="T10">
        <v>4.3E-3</v>
      </c>
      <c r="U10" s="2">
        <v>45681</v>
      </c>
      <c r="V10" t="s">
        <v>607</v>
      </c>
      <c r="W10">
        <v>2</v>
      </c>
      <c r="X10">
        <v>2.3999999999999998E-3</v>
      </c>
      <c r="Y10">
        <v>6.0041858175881266</v>
      </c>
      <c r="Z10">
        <v>709.7972340891132</v>
      </c>
      <c r="AA10">
        <v>0.42399999999999999</v>
      </c>
      <c r="AB10">
        <v>1E-4</v>
      </c>
      <c r="AC10">
        <v>1.6007999999999925</v>
      </c>
      <c r="AD10">
        <v>1E-4</v>
      </c>
      <c r="AE10" s="2">
        <v>45681</v>
      </c>
      <c r="AF10" t="s">
        <v>734</v>
      </c>
      <c r="AG10">
        <v>3</v>
      </c>
      <c r="AH10">
        <v>3.3E-3</v>
      </c>
      <c r="AI10">
        <v>6.4623025937325442</v>
      </c>
      <c r="AJ10">
        <v>753.27251614521845</v>
      </c>
      <c r="AK10">
        <v>0.42399999999999999</v>
      </c>
      <c r="AL10">
        <v>7.1999999999999998E-3</v>
      </c>
      <c r="AM10">
        <v>1.588799999999992</v>
      </c>
      <c r="AN10">
        <v>7.1999999999999998E-3</v>
      </c>
      <c r="AO10" s="2">
        <v>45681</v>
      </c>
      <c r="AP10" t="s">
        <v>804</v>
      </c>
      <c r="AQ10">
        <v>3</v>
      </c>
      <c r="AR10">
        <v>3.0999999999999999E-3</v>
      </c>
      <c r="AS10">
        <v>6.0289949752236014</v>
      </c>
      <c r="AT10">
        <v>609.90233169083967</v>
      </c>
      <c r="AU10">
        <v>0.42399999999999999</v>
      </c>
      <c r="AV10">
        <v>5.0000000000000001E-4</v>
      </c>
      <c r="AW10">
        <v>1.5959999999999752</v>
      </c>
      <c r="AX10">
        <v>5.0000000000000001E-4</v>
      </c>
      <c r="AY10" s="2">
        <v>45681</v>
      </c>
      <c r="AZ10" t="s">
        <v>934</v>
      </c>
      <c r="BA10">
        <v>3</v>
      </c>
      <c r="BB10">
        <v>3.5000000000000001E-3</v>
      </c>
      <c r="BC10">
        <v>6.4626346742767629</v>
      </c>
      <c r="BD10">
        <v>753.30403058886486</v>
      </c>
      <c r="BE10">
        <v>0.42399999999999999</v>
      </c>
      <c r="BF10">
        <v>7.3000000000000001E-3</v>
      </c>
      <c r="BG10">
        <v>1.6003999999999792</v>
      </c>
      <c r="BH10">
        <v>7.3000000000000001E-3</v>
      </c>
      <c r="BI10" s="2">
        <v>45681</v>
      </c>
      <c r="BJ10" t="s">
        <v>1008</v>
      </c>
      <c r="BK10">
        <v>4</v>
      </c>
      <c r="BL10">
        <v>3.2000000000000002E-3</v>
      </c>
      <c r="BM10">
        <v>6.1244712578662188</v>
      </c>
      <c r="BN10">
        <v>721.21232237150423</v>
      </c>
      <c r="BO10">
        <v>0.42399999999999999</v>
      </c>
      <c r="BP10">
        <v>2E-3</v>
      </c>
      <c r="BQ10">
        <v>1.5999999999999943</v>
      </c>
      <c r="BR10">
        <v>2E-3</v>
      </c>
      <c r="BS10" s="2">
        <v>45681</v>
      </c>
      <c r="BT10" t="s">
        <v>1132</v>
      </c>
      <c r="BU10">
        <v>4</v>
      </c>
      <c r="BV10">
        <v>3.3999999999999998E-3</v>
      </c>
      <c r="BW10">
        <v>5.9957334838115024</v>
      </c>
      <c r="BX10">
        <v>606.80236069123202</v>
      </c>
      <c r="BY10">
        <v>0.42399999999999999</v>
      </c>
      <c r="BZ10">
        <v>0</v>
      </c>
      <c r="CA10">
        <v>1.6005000000000109</v>
      </c>
      <c r="CB10">
        <v>0</v>
      </c>
      <c r="CC10" s="2">
        <v>45681</v>
      </c>
      <c r="CD10" t="s">
        <v>1252</v>
      </c>
      <c r="CE10">
        <v>4</v>
      </c>
      <c r="CF10">
        <v>4.1000000000000003E-3</v>
      </c>
      <c r="CG10">
        <v>6.4625203315252753</v>
      </c>
      <c r="CH10">
        <v>753.29317946174865</v>
      </c>
      <c r="CI10">
        <v>0.42399999999999999</v>
      </c>
      <c r="CJ10">
        <v>7.3000000000000001E-3</v>
      </c>
      <c r="CK10">
        <v>1.6020000000000039</v>
      </c>
      <c r="CL10">
        <v>7.3000000000000001E-3</v>
      </c>
      <c r="CM10" s="2">
        <v>45681</v>
      </c>
      <c r="CN10" t="s">
        <v>1370</v>
      </c>
      <c r="CO10">
        <v>5</v>
      </c>
      <c r="CP10">
        <v>4.3E-3</v>
      </c>
      <c r="CQ10">
        <v>6.4615545001988632</v>
      </c>
      <c r="CR10">
        <v>753.20152206887212</v>
      </c>
      <c r="CS10">
        <v>0.42399999999999999</v>
      </c>
      <c r="CT10">
        <v>7.1999999999999998E-3</v>
      </c>
      <c r="CU10">
        <v>1.5985000000000014</v>
      </c>
      <c r="CV10">
        <v>7.1999999999999998E-3</v>
      </c>
      <c r="CW10" s="2">
        <v>45681</v>
      </c>
      <c r="CX10" t="s">
        <v>1530</v>
      </c>
      <c r="CY10">
        <v>5</v>
      </c>
      <c r="CZ10">
        <v>5.1000000000000004E-3</v>
      </c>
      <c r="DA10">
        <v>6.4638559521756527</v>
      </c>
      <c r="DB10">
        <v>753.41992986146943</v>
      </c>
      <c r="DC10">
        <v>0.42399999999999999</v>
      </c>
      <c r="DD10">
        <v>7.3000000000000001E-3</v>
      </c>
      <c r="DE10">
        <v>1.601600000000019</v>
      </c>
      <c r="DF10">
        <v>7.3000000000000001E-3</v>
      </c>
      <c r="DG10" s="2">
        <v>45681</v>
      </c>
      <c r="DH10" t="s">
        <v>1688</v>
      </c>
      <c r="DI10">
        <v>6</v>
      </c>
      <c r="DJ10">
        <v>5.1999999999999998E-3</v>
      </c>
      <c r="DK10">
        <v>6.4650306009382943</v>
      </c>
      <c r="DL10">
        <v>753.53140402904421</v>
      </c>
      <c r="DM10">
        <v>0.42399999999999999</v>
      </c>
      <c r="DN10">
        <v>7.3000000000000001E-3</v>
      </c>
      <c r="DO10">
        <v>1.6007000000000176</v>
      </c>
      <c r="DP10">
        <v>7.3000000000000001E-3</v>
      </c>
    </row>
    <row r="11" spans="1:120" x14ac:dyDescent="0.3">
      <c r="A11" s="2">
        <v>45681</v>
      </c>
      <c r="B11" t="s">
        <v>197</v>
      </c>
      <c r="C11">
        <v>1</v>
      </c>
      <c r="D11">
        <v>5.1000000000000004E-3</v>
      </c>
      <c r="E11">
        <v>6.5666354888177443</v>
      </c>
      <c r="F11">
        <v>763.17370788880396</v>
      </c>
      <c r="G11">
        <v>0.42399999999999999</v>
      </c>
      <c r="H11">
        <v>8.8999999999999999E-3</v>
      </c>
      <c r="I11">
        <v>1.8001699999999996</v>
      </c>
      <c r="J11">
        <v>8.8999999999999999E-3</v>
      </c>
      <c r="K11" s="2">
        <v>45681</v>
      </c>
      <c r="L11" t="s">
        <v>355</v>
      </c>
      <c r="M11">
        <v>1</v>
      </c>
      <c r="N11">
        <v>2.0999999999999999E-3</v>
      </c>
      <c r="O11">
        <v>6.3653926111198391</v>
      </c>
      <c r="P11">
        <v>744.0757587952728</v>
      </c>
      <c r="Q11">
        <v>0.42399999999999999</v>
      </c>
      <c r="R11">
        <v>5.7000000000000002E-3</v>
      </c>
      <c r="S11">
        <v>1.8010900000000021</v>
      </c>
      <c r="T11">
        <v>5.7000000000000002E-3</v>
      </c>
      <c r="U11" s="2">
        <v>45681</v>
      </c>
      <c r="V11" t="s">
        <v>608</v>
      </c>
      <c r="W11">
        <v>2</v>
      </c>
      <c r="X11">
        <v>2.3999999999999998E-3</v>
      </c>
      <c r="Y11">
        <v>6.029167576012445</v>
      </c>
      <c r="Z11">
        <v>712.1680029635811</v>
      </c>
      <c r="AA11">
        <v>0.42399999999999999</v>
      </c>
      <c r="AB11">
        <v>5.0000000000000001E-4</v>
      </c>
      <c r="AC11">
        <v>1.8013999999999868</v>
      </c>
      <c r="AD11">
        <v>5.0000000000000001E-4</v>
      </c>
      <c r="AE11" s="2">
        <v>45681</v>
      </c>
      <c r="AF11" t="s">
        <v>735</v>
      </c>
      <c r="AG11">
        <v>3</v>
      </c>
      <c r="AH11">
        <v>4.4000000000000003E-3</v>
      </c>
      <c r="AI11">
        <v>6.5667413166834843</v>
      </c>
      <c r="AJ11">
        <v>763.18375095326269</v>
      </c>
      <c r="AK11">
        <v>0.42399999999999999</v>
      </c>
      <c r="AL11">
        <v>8.8999999999999999E-3</v>
      </c>
      <c r="AM11">
        <v>1.7913999999999817</v>
      </c>
      <c r="AN11">
        <v>8.8999999999999999E-3</v>
      </c>
      <c r="AO11" s="2">
        <v>45681</v>
      </c>
      <c r="AP11" t="s">
        <v>805</v>
      </c>
      <c r="AQ11">
        <v>3</v>
      </c>
      <c r="AR11">
        <v>2.5999999999999999E-3</v>
      </c>
      <c r="AS11">
        <v>6.0039654077431539</v>
      </c>
      <c r="AT11">
        <v>607.56957600166197</v>
      </c>
      <c r="AU11">
        <v>0.42399999999999999</v>
      </c>
      <c r="AV11">
        <v>1E-4</v>
      </c>
      <c r="AW11">
        <v>1.79819999999998</v>
      </c>
      <c r="AX11">
        <v>1E-4</v>
      </c>
      <c r="AY11" s="2">
        <v>45681</v>
      </c>
      <c r="AZ11" t="s">
        <v>935</v>
      </c>
      <c r="BA11">
        <v>3</v>
      </c>
      <c r="BB11">
        <v>3.5999999999999999E-3</v>
      </c>
      <c r="BC11">
        <v>6.5656193791183366</v>
      </c>
      <c r="BD11">
        <v>763.07727907833021</v>
      </c>
      <c r="BE11">
        <v>0.42399999999999999</v>
      </c>
      <c r="BF11">
        <v>8.8999999999999999E-3</v>
      </c>
      <c r="BG11">
        <v>1.8001999999999896</v>
      </c>
      <c r="BH11">
        <v>8.8999999999999999E-3</v>
      </c>
      <c r="BI11" s="2">
        <v>45681</v>
      </c>
      <c r="BJ11" t="s">
        <v>1009</v>
      </c>
      <c r="BK11">
        <v>4</v>
      </c>
      <c r="BL11">
        <v>3.2000000000000002E-3</v>
      </c>
      <c r="BM11">
        <v>6.1937746833735501</v>
      </c>
      <c r="BN11">
        <v>727.78921745214996</v>
      </c>
      <c r="BO11">
        <v>0.42399999999999999</v>
      </c>
      <c r="BP11">
        <v>3.0999999999999999E-3</v>
      </c>
      <c r="BQ11">
        <v>1.8012999999999977</v>
      </c>
      <c r="BR11">
        <v>3.0999999999999999E-3</v>
      </c>
      <c r="BS11" s="2">
        <v>45681</v>
      </c>
      <c r="BT11" t="s">
        <v>1133</v>
      </c>
      <c r="BU11">
        <v>4</v>
      </c>
      <c r="BV11">
        <v>3.3999999999999998E-3</v>
      </c>
      <c r="BW11">
        <v>5.9957334838115024</v>
      </c>
      <c r="BX11">
        <v>606.80236069123202</v>
      </c>
      <c r="BY11">
        <v>0.42399999999999999</v>
      </c>
      <c r="BZ11">
        <v>0</v>
      </c>
      <c r="CA11">
        <v>1.8021999999999991</v>
      </c>
      <c r="CB11">
        <v>0</v>
      </c>
      <c r="CC11" s="2">
        <v>45681</v>
      </c>
      <c r="CD11" t="s">
        <v>1253</v>
      </c>
      <c r="CE11">
        <v>4</v>
      </c>
      <c r="CF11">
        <v>4.1999999999999997E-3</v>
      </c>
      <c r="CG11">
        <v>6.5652868931033677</v>
      </c>
      <c r="CH11">
        <v>763.04572615550967</v>
      </c>
      <c r="CI11">
        <v>0.42399999999999999</v>
      </c>
      <c r="CJ11">
        <v>8.8000000000000005E-3</v>
      </c>
      <c r="CK11">
        <v>1.8012999999999977</v>
      </c>
      <c r="CL11">
        <v>8.8000000000000005E-3</v>
      </c>
      <c r="CM11" s="2">
        <v>45681</v>
      </c>
      <c r="CN11" t="s">
        <v>1371</v>
      </c>
      <c r="CO11">
        <v>5</v>
      </c>
      <c r="CP11">
        <v>4.3E-3</v>
      </c>
      <c r="CQ11">
        <v>6.5646503040259248</v>
      </c>
      <c r="CR11">
        <v>762.98531385206024</v>
      </c>
      <c r="CS11">
        <v>0.42399999999999999</v>
      </c>
      <c r="CT11">
        <v>8.8000000000000005E-3</v>
      </c>
      <c r="CU11">
        <v>1.7986000000000217</v>
      </c>
      <c r="CV11">
        <v>8.8000000000000005E-3</v>
      </c>
      <c r="CW11" s="2">
        <v>45681</v>
      </c>
      <c r="CX11" t="s">
        <v>1531</v>
      </c>
      <c r="CY11">
        <v>5</v>
      </c>
      <c r="CZ11">
        <v>5.1999999999999998E-3</v>
      </c>
      <c r="DA11">
        <v>6.5668572813179749</v>
      </c>
      <c r="DB11">
        <v>763.19475599707584</v>
      </c>
      <c r="DC11">
        <v>0.42399999999999999</v>
      </c>
      <c r="DD11">
        <v>8.8999999999999999E-3</v>
      </c>
      <c r="DE11">
        <v>1.8013000000000261</v>
      </c>
      <c r="DF11">
        <v>8.8999999999999999E-3</v>
      </c>
      <c r="DG11" s="2">
        <v>45681</v>
      </c>
      <c r="DH11" t="s">
        <v>1689</v>
      </c>
      <c r="DI11">
        <v>6</v>
      </c>
      <c r="DJ11">
        <v>5.1999999999999998E-3</v>
      </c>
      <c r="DK11">
        <v>6.567250993416188</v>
      </c>
      <c r="DL11">
        <v>763.23211927519628</v>
      </c>
      <c r="DM11">
        <v>0.42399999999999999</v>
      </c>
      <c r="DN11">
        <v>8.8999999999999999E-3</v>
      </c>
      <c r="DO11">
        <v>1.7989000000000033</v>
      </c>
      <c r="DP11">
        <v>8.8999999999999999E-3</v>
      </c>
    </row>
    <row r="12" spans="1:120" x14ac:dyDescent="0.3">
      <c r="A12" s="2">
        <v>45681</v>
      </c>
      <c r="B12" t="s">
        <v>198</v>
      </c>
      <c r="C12">
        <v>1</v>
      </c>
      <c r="D12">
        <v>6.7999999999999996E-3</v>
      </c>
      <c r="E12">
        <v>6.6728822058427673</v>
      </c>
      <c r="F12">
        <v>773.25652133447863</v>
      </c>
      <c r="G12">
        <v>0.42399999999999999</v>
      </c>
      <c r="H12">
        <v>1.0500000000000001E-2</v>
      </c>
      <c r="I12">
        <v>2.0011499999999991</v>
      </c>
      <c r="J12">
        <v>1.0500000000000001E-2</v>
      </c>
      <c r="K12" s="2">
        <v>45681</v>
      </c>
      <c r="L12" t="s">
        <v>356</v>
      </c>
      <c r="M12">
        <v>1</v>
      </c>
      <c r="N12">
        <v>2.7000000000000001E-3</v>
      </c>
      <c r="O12">
        <v>6.4638320294014049</v>
      </c>
      <c r="P12">
        <v>753.41765959019335</v>
      </c>
      <c r="Q12">
        <v>0.42399999999999999</v>
      </c>
      <c r="R12">
        <v>7.3000000000000001E-3</v>
      </c>
      <c r="S12">
        <v>2.0019300000000015</v>
      </c>
      <c r="T12">
        <v>7.3000000000000001E-3</v>
      </c>
      <c r="U12" s="2">
        <v>45681</v>
      </c>
      <c r="V12" t="s">
        <v>609</v>
      </c>
      <c r="W12">
        <v>2</v>
      </c>
      <c r="X12">
        <v>2.5000000000000001E-3</v>
      </c>
      <c r="Y12">
        <v>6.0696751703218093</v>
      </c>
      <c r="Z12">
        <v>716.01217366353978</v>
      </c>
      <c r="AA12">
        <v>0.42399999999999999</v>
      </c>
      <c r="AB12">
        <v>1.1000000000000001E-3</v>
      </c>
      <c r="AC12">
        <v>2.0003999999999991</v>
      </c>
      <c r="AD12">
        <v>1.1000000000000001E-3</v>
      </c>
      <c r="AE12" s="2">
        <v>45681</v>
      </c>
      <c r="AF12" t="s">
        <v>736</v>
      </c>
      <c r="AG12">
        <v>3</v>
      </c>
      <c r="AH12">
        <v>6.0000000000000001E-3</v>
      </c>
      <c r="AI12">
        <v>6.6721815523868324</v>
      </c>
      <c r="AJ12">
        <v>773.19002932151034</v>
      </c>
      <c r="AK12">
        <v>0.42399999999999999</v>
      </c>
      <c r="AL12">
        <v>1.0500000000000001E-2</v>
      </c>
      <c r="AM12">
        <v>1.9908999999999821</v>
      </c>
      <c r="AN12">
        <v>1.0500000000000001E-2</v>
      </c>
      <c r="AO12" s="2">
        <v>45681</v>
      </c>
      <c r="AP12" t="s">
        <v>806</v>
      </c>
      <c r="AQ12">
        <v>3</v>
      </c>
      <c r="AR12">
        <v>2.5999999999999999E-3</v>
      </c>
      <c r="AS12">
        <v>5.9957336449311036</v>
      </c>
      <c r="AT12">
        <v>606.8023757075789</v>
      </c>
      <c r="AU12">
        <v>0.42399999999999999</v>
      </c>
      <c r="AV12">
        <v>0</v>
      </c>
      <c r="AW12">
        <v>1.9978999999999871</v>
      </c>
      <c r="AX12">
        <v>0</v>
      </c>
      <c r="AY12" s="2">
        <v>45681</v>
      </c>
      <c r="AZ12" t="s">
        <v>936</v>
      </c>
      <c r="BA12">
        <v>3</v>
      </c>
      <c r="BB12">
        <v>3.7000000000000002E-3</v>
      </c>
      <c r="BC12">
        <v>6.6711334104981797</v>
      </c>
      <c r="BD12">
        <v>773.09056065627726</v>
      </c>
      <c r="BE12">
        <v>0.42399999999999999</v>
      </c>
      <c r="BF12">
        <v>1.0500000000000001E-2</v>
      </c>
      <c r="BG12">
        <v>1.9997999999999934</v>
      </c>
      <c r="BH12">
        <v>1.0500000000000001E-2</v>
      </c>
      <c r="BI12" s="2">
        <v>45681</v>
      </c>
      <c r="BJ12" t="s">
        <v>1010</v>
      </c>
      <c r="BK12">
        <v>4</v>
      </c>
      <c r="BL12">
        <v>3.2000000000000002E-3</v>
      </c>
      <c r="BM12">
        <v>6.2744896371207606</v>
      </c>
      <c r="BN12">
        <v>735.44906656276032</v>
      </c>
      <c r="BO12">
        <v>0.42399999999999999</v>
      </c>
      <c r="BP12">
        <v>4.3E-3</v>
      </c>
      <c r="BQ12">
        <v>2.0013999999999896</v>
      </c>
      <c r="BR12">
        <v>4.3E-3</v>
      </c>
      <c r="BS12" s="2">
        <v>45681</v>
      </c>
      <c r="BT12" t="s">
        <v>1134</v>
      </c>
      <c r="BU12">
        <v>4</v>
      </c>
      <c r="BV12">
        <v>3.3999999999999998E-3</v>
      </c>
      <c r="BW12">
        <v>5.9957334838115024</v>
      </c>
      <c r="BX12">
        <v>606.80236069123202</v>
      </c>
      <c r="BY12">
        <v>0.42399999999999999</v>
      </c>
      <c r="BZ12">
        <v>0</v>
      </c>
      <c r="CA12">
        <v>2.0082999999999913</v>
      </c>
      <c r="CB12">
        <v>0</v>
      </c>
      <c r="CC12" s="2">
        <v>45681</v>
      </c>
      <c r="CD12" t="s">
        <v>1254</v>
      </c>
      <c r="CE12">
        <v>4</v>
      </c>
      <c r="CF12">
        <v>4.4000000000000003E-3</v>
      </c>
      <c r="CG12">
        <v>6.6702089371882636</v>
      </c>
      <c r="CH12">
        <v>773.00282813916624</v>
      </c>
      <c r="CI12">
        <v>0.42399999999999999</v>
      </c>
      <c r="CJ12">
        <v>1.0500000000000001E-2</v>
      </c>
      <c r="CK12">
        <v>1.9997999999999934</v>
      </c>
      <c r="CL12">
        <v>1.0500000000000001E-2</v>
      </c>
      <c r="CM12" s="2">
        <v>45681</v>
      </c>
      <c r="CN12" t="s">
        <v>1372</v>
      </c>
      <c r="CO12">
        <v>5</v>
      </c>
      <c r="CP12">
        <v>4.4999999999999997E-3</v>
      </c>
      <c r="CQ12">
        <v>6.6704822244737372</v>
      </c>
      <c r="CR12">
        <v>773.02876310255772</v>
      </c>
      <c r="CS12">
        <v>0.42399999999999999</v>
      </c>
      <c r="CT12">
        <v>1.0500000000000001E-2</v>
      </c>
      <c r="CU12">
        <v>1.998800000000017</v>
      </c>
      <c r="CV12">
        <v>1.0500000000000001E-2</v>
      </c>
      <c r="CW12" s="2">
        <v>45681</v>
      </c>
      <c r="CX12" t="s">
        <v>1532</v>
      </c>
      <c r="CY12">
        <v>5</v>
      </c>
      <c r="CZ12">
        <v>5.1999999999999998E-3</v>
      </c>
      <c r="DA12">
        <v>6.6726750102895371</v>
      </c>
      <c r="DB12">
        <v>773.2368584764771</v>
      </c>
      <c r="DC12">
        <v>0.42399999999999999</v>
      </c>
      <c r="DD12">
        <v>1.0500000000000001E-2</v>
      </c>
      <c r="DE12">
        <v>2.0015000000000214</v>
      </c>
      <c r="DF12">
        <v>1.0500000000000001E-2</v>
      </c>
      <c r="DG12" s="2">
        <v>45681</v>
      </c>
      <c r="DH12" t="s">
        <v>1690</v>
      </c>
      <c r="DI12">
        <v>6</v>
      </c>
      <c r="DJ12">
        <v>5.1999999999999998E-3</v>
      </c>
      <c r="DK12">
        <v>6.675208391535306</v>
      </c>
      <c r="DL12">
        <v>773.4772763567006</v>
      </c>
      <c r="DM12">
        <v>0.42399999999999999</v>
      </c>
      <c r="DN12">
        <v>1.06E-2</v>
      </c>
      <c r="DO12">
        <v>2.0029999999999859</v>
      </c>
      <c r="DP12">
        <v>1.06E-2</v>
      </c>
    </row>
    <row r="13" spans="1:120" x14ac:dyDescent="0.3">
      <c r="A13" s="2">
        <v>45681</v>
      </c>
      <c r="B13" t="s">
        <v>199</v>
      </c>
      <c r="C13">
        <v>1</v>
      </c>
      <c r="D13">
        <v>8.0000000000000002E-3</v>
      </c>
      <c r="E13">
        <v>6.7778306055264119</v>
      </c>
      <c r="F13">
        <v>783.21612446445658</v>
      </c>
      <c r="G13">
        <v>0.42399999999999999</v>
      </c>
      <c r="H13">
        <v>1.2200000000000001E-2</v>
      </c>
      <c r="I13">
        <v>2.1997199999999992</v>
      </c>
      <c r="J13">
        <v>1.2200000000000001E-2</v>
      </c>
      <c r="K13" s="2">
        <v>45681</v>
      </c>
      <c r="L13" t="s">
        <v>357</v>
      </c>
      <c r="M13">
        <v>1</v>
      </c>
      <c r="N13">
        <v>4.1000000000000003E-3</v>
      </c>
      <c r="O13">
        <v>6.5659028031725608</v>
      </c>
      <c r="P13">
        <v>763.10417602107611</v>
      </c>
      <c r="Q13">
        <v>0.42399999999999999</v>
      </c>
      <c r="R13">
        <v>8.8999999999999999E-3</v>
      </c>
      <c r="S13">
        <v>2.199860000000001</v>
      </c>
      <c r="T13">
        <v>8.8999999999999999E-3</v>
      </c>
      <c r="U13" s="2">
        <v>45681</v>
      </c>
      <c r="V13" t="s">
        <v>610</v>
      </c>
      <c r="W13">
        <v>2</v>
      </c>
      <c r="X13">
        <v>2.5000000000000001E-3</v>
      </c>
      <c r="Y13">
        <v>6.1251976181677019</v>
      </c>
      <c r="Z13">
        <v>721.28125396411497</v>
      </c>
      <c r="AA13">
        <v>0.42399999999999999</v>
      </c>
      <c r="AB13">
        <v>2E-3</v>
      </c>
      <c r="AC13">
        <v>2.200499999999991</v>
      </c>
      <c r="AD13">
        <v>2E-3</v>
      </c>
      <c r="AE13" s="2">
        <v>45681</v>
      </c>
      <c r="AF13" t="s">
        <v>737</v>
      </c>
      <c r="AG13">
        <v>3</v>
      </c>
      <c r="AH13">
        <v>7.4999999999999997E-3</v>
      </c>
      <c r="AI13">
        <v>6.7768570702557502</v>
      </c>
      <c r="AJ13">
        <v>783.1237359672707</v>
      </c>
      <c r="AK13">
        <v>0.42399999999999999</v>
      </c>
      <c r="AL13">
        <v>1.21E-2</v>
      </c>
      <c r="AM13">
        <v>2.1888999999999896</v>
      </c>
      <c r="AN13">
        <v>1.21E-2</v>
      </c>
      <c r="AO13" s="2">
        <v>45681</v>
      </c>
      <c r="AP13" t="s">
        <v>807</v>
      </c>
      <c r="AQ13">
        <v>3</v>
      </c>
      <c r="AR13">
        <v>2.5000000000000001E-3</v>
      </c>
      <c r="AS13">
        <v>6.0040462869936491</v>
      </c>
      <c r="AT13">
        <v>709.78399263569736</v>
      </c>
      <c r="AU13">
        <v>0.42399999999999999</v>
      </c>
      <c r="AV13">
        <v>1E-4</v>
      </c>
      <c r="AW13">
        <v>2.1970000000000027</v>
      </c>
      <c r="AX13">
        <v>1E-4</v>
      </c>
      <c r="AY13" s="2">
        <v>45681</v>
      </c>
      <c r="AZ13" t="s">
        <v>937</v>
      </c>
      <c r="BA13">
        <v>3</v>
      </c>
      <c r="BB13">
        <v>5.4000000000000003E-3</v>
      </c>
      <c r="BC13">
        <v>6.7773801275232026</v>
      </c>
      <c r="BD13">
        <v>783.17337410195194</v>
      </c>
      <c r="BE13">
        <v>0.42399999999999999</v>
      </c>
      <c r="BF13">
        <v>1.21E-2</v>
      </c>
      <c r="BG13">
        <v>2.2007999999999868</v>
      </c>
      <c r="BH13">
        <v>1.21E-2</v>
      </c>
      <c r="BI13" s="2">
        <v>45681</v>
      </c>
      <c r="BJ13" t="s">
        <v>1011</v>
      </c>
      <c r="BK13">
        <v>4</v>
      </c>
      <c r="BL13">
        <v>3.2000000000000002E-3</v>
      </c>
      <c r="BM13">
        <v>6.364793082068946</v>
      </c>
      <c r="BN13">
        <v>744.01886348834296</v>
      </c>
      <c r="BO13">
        <v>0.42399999999999999</v>
      </c>
      <c r="BP13">
        <v>5.7000000000000002E-3</v>
      </c>
      <c r="BQ13">
        <v>2.2012</v>
      </c>
      <c r="BR13">
        <v>5.7000000000000002E-3</v>
      </c>
      <c r="BS13" s="2">
        <v>45681</v>
      </c>
      <c r="BT13" t="s">
        <v>1135</v>
      </c>
      <c r="BU13">
        <v>4</v>
      </c>
      <c r="BV13">
        <v>3.3999999999999998E-3</v>
      </c>
      <c r="BW13">
        <v>5.9957334838115024</v>
      </c>
      <c r="BX13">
        <v>606.80236069123202</v>
      </c>
      <c r="BY13">
        <v>0.42399999999999999</v>
      </c>
      <c r="BZ13">
        <v>0</v>
      </c>
      <c r="CA13">
        <v>2.2004000000000019</v>
      </c>
      <c r="CB13">
        <v>0</v>
      </c>
      <c r="CC13" s="2">
        <v>45681</v>
      </c>
      <c r="CD13" t="s">
        <v>1255</v>
      </c>
      <c r="CE13">
        <v>4</v>
      </c>
      <c r="CF13">
        <v>5.4999999999999997E-3</v>
      </c>
      <c r="CG13">
        <v>6.7761916927550612</v>
      </c>
      <c r="CH13">
        <v>783.06059164245539</v>
      </c>
      <c r="CI13">
        <v>0.42399999999999999</v>
      </c>
      <c r="CJ13">
        <v>1.21E-2</v>
      </c>
      <c r="CK13">
        <v>2.2002999999999986</v>
      </c>
      <c r="CL13">
        <v>1.21E-2</v>
      </c>
      <c r="CM13" s="2">
        <v>45681</v>
      </c>
      <c r="CN13" t="s">
        <v>1373</v>
      </c>
      <c r="CO13">
        <v>5</v>
      </c>
      <c r="CP13">
        <v>5.7000000000000002E-3</v>
      </c>
      <c r="CQ13">
        <v>6.7774802787984436</v>
      </c>
      <c r="CR13">
        <v>783.18287845797238</v>
      </c>
      <c r="CS13">
        <v>0.42399999999999999</v>
      </c>
      <c r="CT13">
        <v>1.21E-2</v>
      </c>
      <c r="CU13">
        <v>2.2013000000000034</v>
      </c>
      <c r="CV13">
        <v>1.21E-2</v>
      </c>
      <c r="CW13" s="2">
        <v>45681</v>
      </c>
      <c r="CX13" t="s">
        <v>1533</v>
      </c>
      <c r="CY13">
        <v>5</v>
      </c>
      <c r="CZ13">
        <v>6.0000000000000001E-3</v>
      </c>
      <c r="DA13">
        <v>6.7782202629171264</v>
      </c>
      <c r="DB13">
        <v>783.25310295083523</v>
      </c>
      <c r="DC13">
        <v>0.42399999999999999</v>
      </c>
      <c r="DD13">
        <v>1.2200000000000001E-2</v>
      </c>
      <c r="DE13">
        <v>2.2012000000000285</v>
      </c>
      <c r="DF13">
        <v>1.2200000000000001E-2</v>
      </c>
      <c r="DG13" s="2">
        <v>45681</v>
      </c>
      <c r="DH13" t="s">
        <v>1691</v>
      </c>
      <c r="DI13">
        <v>6</v>
      </c>
      <c r="DJ13">
        <v>5.3E-3</v>
      </c>
      <c r="DK13">
        <v>6.7781862033741289</v>
      </c>
      <c r="DL13">
        <v>783.24987070020484</v>
      </c>
      <c r="DM13">
        <v>0.42399999999999999</v>
      </c>
      <c r="DN13">
        <v>1.2200000000000001E-2</v>
      </c>
      <c r="DO13">
        <v>2.1979000000000042</v>
      </c>
      <c r="DP13">
        <v>1.2200000000000001E-2</v>
      </c>
    </row>
    <row r="14" spans="1:120" x14ac:dyDescent="0.3">
      <c r="A14" s="2">
        <v>45681</v>
      </c>
      <c r="B14" t="s">
        <v>200</v>
      </c>
      <c r="C14">
        <v>1</v>
      </c>
      <c r="D14">
        <v>9.7000000000000003E-3</v>
      </c>
      <c r="E14">
        <v>6.881661527823157</v>
      </c>
      <c r="F14">
        <v>793.06967899041763</v>
      </c>
      <c r="G14">
        <v>0.42399999999999999</v>
      </c>
      <c r="H14">
        <v>1.38E-2</v>
      </c>
      <c r="I14">
        <v>2.4011899999999997</v>
      </c>
      <c r="J14">
        <v>1.38E-2</v>
      </c>
      <c r="K14" s="2">
        <v>45681</v>
      </c>
      <c r="L14" t="s">
        <v>358</v>
      </c>
      <c r="M14">
        <v>1</v>
      </c>
      <c r="N14">
        <v>6.0000000000000001E-3</v>
      </c>
      <c r="O14">
        <v>6.6737430202449399</v>
      </c>
      <c r="P14">
        <v>773.33821262124479</v>
      </c>
      <c r="Q14">
        <v>0.42399999999999999</v>
      </c>
      <c r="R14">
        <v>1.0500000000000001E-2</v>
      </c>
      <c r="S14">
        <v>2.4038600000000017</v>
      </c>
      <c r="T14">
        <v>1.0500000000000001E-2</v>
      </c>
      <c r="U14" s="2">
        <v>45681</v>
      </c>
      <c r="V14" t="s">
        <v>611</v>
      </c>
      <c r="W14">
        <v>2</v>
      </c>
      <c r="X14">
        <v>2.5000000000000001E-3</v>
      </c>
      <c r="Y14">
        <v>6.1941929669992124</v>
      </c>
      <c r="Z14">
        <v>727.82891256822518</v>
      </c>
      <c r="AA14">
        <v>0.42399999999999999</v>
      </c>
      <c r="AB14">
        <v>3.0999999999999999E-3</v>
      </c>
      <c r="AC14">
        <v>2.4005999999999972</v>
      </c>
      <c r="AD14">
        <v>3.0999999999999999E-3</v>
      </c>
      <c r="AE14" s="2">
        <v>45681</v>
      </c>
      <c r="AF14" t="s">
        <v>738</v>
      </c>
      <c r="AG14">
        <v>3</v>
      </c>
      <c r="AH14">
        <v>8.8999999999999999E-3</v>
      </c>
      <c r="AI14">
        <v>6.8802010221817911</v>
      </c>
      <c r="AJ14">
        <v>792.93107700505197</v>
      </c>
      <c r="AK14">
        <v>0.42399999999999999</v>
      </c>
      <c r="AL14">
        <v>1.37E-2</v>
      </c>
      <c r="AM14">
        <v>2.3892999999999915</v>
      </c>
      <c r="AN14">
        <v>1.37E-2</v>
      </c>
      <c r="AO14" s="2">
        <v>45681</v>
      </c>
      <c r="AP14" t="s">
        <v>808</v>
      </c>
      <c r="AQ14">
        <v>3</v>
      </c>
      <c r="AR14">
        <v>2.5000000000000001E-3</v>
      </c>
      <c r="AS14">
        <v>6.0288363104644329</v>
      </c>
      <c r="AT14">
        <v>712.13656586307468</v>
      </c>
      <c r="AU14">
        <v>0.42399999999999999</v>
      </c>
      <c r="AV14">
        <v>5.0000000000000001E-4</v>
      </c>
      <c r="AW14">
        <v>2.3973000000000013</v>
      </c>
      <c r="AX14">
        <v>5.0000000000000001E-4</v>
      </c>
      <c r="AY14" s="2">
        <v>45681</v>
      </c>
      <c r="AZ14" t="s">
        <v>938</v>
      </c>
      <c r="BA14">
        <v>3</v>
      </c>
      <c r="BB14">
        <v>8.0999999999999996E-3</v>
      </c>
      <c r="BC14">
        <v>6.8807484076942416</v>
      </c>
      <c r="BD14">
        <v>792.98302389018352</v>
      </c>
      <c r="BE14">
        <v>0.42399999999999999</v>
      </c>
      <c r="BF14">
        <v>1.38E-2</v>
      </c>
      <c r="BG14">
        <v>2.401299999999992</v>
      </c>
      <c r="BH14">
        <v>1.38E-2</v>
      </c>
      <c r="BI14" s="2">
        <v>45681</v>
      </c>
      <c r="BJ14" t="s">
        <v>1012</v>
      </c>
      <c r="BK14">
        <v>4</v>
      </c>
      <c r="BL14">
        <v>3.3E-3</v>
      </c>
      <c r="BM14">
        <v>6.4634127726459436</v>
      </c>
      <c r="BN14">
        <v>753.37787212410012</v>
      </c>
      <c r="BO14">
        <v>0.42399999999999999</v>
      </c>
      <c r="BP14">
        <v>7.3000000000000001E-3</v>
      </c>
      <c r="BQ14">
        <v>2.4024000000000001</v>
      </c>
      <c r="BR14">
        <v>7.3000000000000001E-3</v>
      </c>
      <c r="BS14" s="2">
        <v>45681</v>
      </c>
      <c r="BT14" t="s">
        <v>1136</v>
      </c>
      <c r="BU14">
        <v>4</v>
      </c>
      <c r="BV14">
        <v>3.3999999999999998E-3</v>
      </c>
      <c r="BW14">
        <v>5.9957334838115024</v>
      </c>
      <c r="BX14">
        <v>606.80236069123202</v>
      </c>
      <c r="BY14">
        <v>0.42399999999999999</v>
      </c>
      <c r="BZ14">
        <v>0</v>
      </c>
      <c r="CA14">
        <v>2.4004999999999939</v>
      </c>
      <c r="CB14">
        <v>0</v>
      </c>
      <c r="CC14" s="2">
        <v>45681</v>
      </c>
      <c r="CD14" t="s">
        <v>1256</v>
      </c>
      <c r="CE14">
        <v>4</v>
      </c>
      <c r="CF14">
        <v>7.4000000000000003E-3</v>
      </c>
      <c r="CG14">
        <v>6.8793296655401202</v>
      </c>
      <c r="CH14">
        <v>792.84838525975749</v>
      </c>
      <c r="CI14">
        <v>0.42399999999999999</v>
      </c>
      <c r="CJ14">
        <v>1.37E-2</v>
      </c>
      <c r="CK14">
        <v>2.4002999999999872</v>
      </c>
      <c r="CL14">
        <v>1.37E-2</v>
      </c>
      <c r="CM14" s="2">
        <v>45681</v>
      </c>
      <c r="CN14" t="s">
        <v>1374</v>
      </c>
      <c r="CO14">
        <v>5</v>
      </c>
      <c r="CP14">
        <v>7.4999999999999997E-3</v>
      </c>
      <c r="CQ14">
        <v>6.8792854692283756</v>
      </c>
      <c r="CR14">
        <v>792.8441910297729</v>
      </c>
      <c r="CS14">
        <v>0.42399999999999999</v>
      </c>
      <c r="CT14">
        <v>1.37E-2</v>
      </c>
      <c r="CU14">
        <v>2.3987000000000194</v>
      </c>
      <c r="CV14">
        <v>1.37E-2</v>
      </c>
      <c r="CW14" s="2">
        <v>45681</v>
      </c>
      <c r="CX14" t="s">
        <v>1534</v>
      </c>
      <c r="CY14">
        <v>5</v>
      </c>
      <c r="CZ14">
        <v>7.1999999999999998E-3</v>
      </c>
      <c r="DA14">
        <v>6.8814397353229291</v>
      </c>
      <c r="DB14">
        <v>793.04863088214597</v>
      </c>
      <c r="DC14">
        <v>0.42399999999999999</v>
      </c>
      <c r="DD14">
        <v>1.38E-2</v>
      </c>
      <c r="DE14">
        <v>2.4014999999999986</v>
      </c>
      <c r="DF14">
        <v>1.38E-2</v>
      </c>
      <c r="DG14" s="2">
        <v>45681</v>
      </c>
      <c r="DH14" t="s">
        <v>1692</v>
      </c>
      <c r="DI14">
        <v>6</v>
      </c>
      <c r="DJ14">
        <v>6.1999999999999998E-3</v>
      </c>
      <c r="DK14">
        <v>6.8822401345833546</v>
      </c>
      <c r="DL14">
        <v>793.12458877196036</v>
      </c>
      <c r="DM14">
        <v>0.42399999999999999</v>
      </c>
      <c r="DN14">
        <v>1.38E-2</v>
      </c>
      <c r="DO14">
        <v>2.3998000000000275</v>
      </c>
      <c r="DP14">
        <v>1.38E-2</v>
      </c>
    </row>
    <row r="15" spans="1:120" x14ac:dyDescent="0.3">
      <c r="A15" s="2">
        <v>45681</v>
      </c>
      <c r="B15" t="s">
        <v>201</v>
      </c>
      <c r="C15">
        <v>1</v>
      </c>
      <c r="D15">
        <v>1.12E-2</v>
      </c>
      <c r="E15">
        <v>6.9783415679735574</v>
      </c>
      <c r="F15">
        <v>802.24461480069067</v>
      </c>
      <c r="G15">
        <v>0.42399999999999999</v>
      </c>
      <c r="H15">
        <v>1.5299999999999999E-2</v>
      </c>
      <c r="I15">
        <v>2.59863</v>
      </c>
      <c r="J15">
        <v>1.5299999999999999E-2</v>
      </c>
      <c r="K15" s="2">
        <v>45681</v>
      </c>
      <c r="L15" t="s">
        <v>359</v>
      </c>
      <c r="M15">
        <v>1</v>
      </c>
      <c r="N15">
        <v>7.7999999999999996E-3</v>
      </c>
      <c r="O15">
        <v>6.7783325783148669</v>
      </c>
      <c r="P15">
        <v>783.26376168208094</v>
      </c>
      <c r="Q15">
        <v>0.42399999999999999</v>
      </c>
      <c r="R15">
        <v>1.2200000000000001E-2</v>
      </c>
      <c r="S15">
        <v>2.6017700000000019</v>
      </c>
      <c r="T15">
        <v>1.2200000000000001E-2</v>
      </c>
      <c r="U15" s="2">
        <v>45681</v>
      </c>
      <c r="V15" t="s">
        <v>612</v>
      </c>
      <c r="W15">
        <v>2</v>
      </c>
      <c r="X15">
        <v>2.5000000000000001E-3</v>
      </c>
      <c r="Y15">
        <v>6.2751100884623554</v>
      </c>
      <c r="Z15">
        <v>735.50794739507751</v>
      </c>
      <c r="AA15">
        <v>0.42399999999999999</v>
      </c>
      <c r="AB15">
        <v>4.3E-3</v>
      </c>
      <c r="AC15">
        <v>2.6010999999999882</v>
      </c>
      <c r="AD15">
        <v>4.3E-3</v>
      </c>
      <c r="AE15" s="2">
        <v>45681</v>
      </c>
      <c r="AF15" t="s">
        <v>739</v>
      </c>
      <c r="AG15">
        <v>3</v>
      </c>
      <c r="AH15">
        <v>1.03E-2</v>
      </c>
      <c r="AI15">
        <v>6.9806742411980931</v>
      </c>
      <c r="AJ15">
        <v>802.46598548969905</v>
      </c>
      <c r="AK15">
        <v>0.42399999999999999</v>
      </c>
      <c r="AL15">
        <v>1.5299999999999999E-2</v>
      </c>
      <c r="AM15">
        <v>2.5945999999999856</v>
      </c>
      <c r="AN15">
        <v>1.5299999999999999E-2</v>
      </c>
      <c r="AO15" s="2">
        <v>45681</v>
      </c>
      <c r="AP15" t="s">
        <v>809</v>
      </c>
      <c r="AQ15">
        <v>3</v>
      </c>
      <c r="AR15">
        <v>2.5999999999999999E-3</v>
      </c>
      <c r="AS15">
        <v>6.0691827260959794</v>
      </c>
      <c r="AT15">
        <v>715.9654407065085</v>
      </c>
      <c r="AU15">
        <v>0.42399999999999999</v>
      </c>
      <c r="AV15">
        <v>1.1000000000000001E-3</v>
      </c>
      <c r="AW15">
        <v>2.5961999999999819</v>
      </c>
      <c r="AX15">
        <v>1.1000000000000001E-3</v>
      </c>
      <c r="AY15" s="2">
        <v>45681</v>
      </c>
      <c r="AZ15" t="s">
        <v>939</v>
      </c>
      <c r="BA15">
        <v>3</v>
      </c>
      <c r="BB15">
        <v>9.7999999999999997E-3</v>
      </c>
      <c r="BC15">
        <v>6.97799245765784</v>
      </c>
      <c r="BD15">
        <v>802.21148423172906</v>
      </c>
      <c r="BE15">
        <v>0.42399999999999999</v>
      </c>
      <c r="BF15">
        <v>1.5299999999999999E-2</v>
      </c>
      <c r="BG15">
        <v>2.5997999999999877</v>
      </c>
      <c r="BH15">
        <v>1.5299999999999999E-2</v>
      </c>
      <c r="BI15" s="2">
        <v>45681</v>
      </c>
      <c r="BJ15" t="s">
        <v>1013</v>
      </c>
      <c r="BK15">
        <v>4</v>
      </c>
      <c r="BL15">
        <v>3.5000000000000001E-3</v>
      </c>
      <c r="BM15">
        <v>6.5660710735337959</v>
      </c>
      <c r="BN15">
        <v>763.12014487835722</v>
      </c>
      <c r="BO15">
        <v>0.42399999999999999</v>
      </c>
      <c r="BP15">
        <v>8.8999999999999999E-3</v>
      </c>
      <c r="BQ15">
        <v>2.6014999999999873</v>
      </c>
      <c r="BR15">
        <v>8.8999999999999999E-3</v>
      </c>
      <c r="BS15" s="2">
        <v>45681</v>
      </c>
      <c r="BT15" t="s">
        <v>1137</v>
      </c>
      <c r="BU15">
        <v>4</v>
      </c>
      <c r="BV15">
        <v>3.3999999999999998E-3</v>
      </c>
      <c r="BW15">
        <v>5.9957334838115024</v>
      </c>
      <c r="BX15">
        <v>606.80236069123202</v>
      </c>
      <c r="BY15">
        <v>0.42399999999999999</v>
      </c>
      <c r="BZ15">
        <v>0</v>
      </c>
      <c r="CA15">
        <v>2.6000999999999976</v>
      </c>
      <c r="CB15">
        <v>0</v>
      </c>
      <c r="CC15" s="2">
        <v>45681</v>
      </c>
      <c r="CD15" t="s">
        <v>1257</v>
      </c>
      <c r="CE15">
        <v>4</v>
      </c>
      <c r="CF15">
        <v>9.2999999999999992E-3</v>
      </c>
      <c r="CG15">
        <v>6.9775541437771311</v>
      </c>
      <c r="CH15">
        <v>802.16988824444979</v>
      </c>
      <c r="CI15">
        <v>0.42399999999999999</v>
      </c>
      <c r="CJ15">
        <v>1.5299999999999999E-2</v>
      </c>
      <c r="CK15">
        <v>2.6006999999999891</v>
      </c>
      <c r="CL15">
        <v>1.5299999999999999E-2</v>
      </c>
      <c r="CM15" s="2">
        <v>45681</v>
      </c>
      <c r="CN15" t="s">
        <v>1375</v>
      </c>
      <c r="CO15">
        <v>5</v>
      </c>
      <c r="CP15">
        <v>9.4000000000000004E-3</v>
      </c>
      <c r="CQ15">
        <v>6.9783679235723044</v>
      </c>
      <c r="CR15">
        <v>802.24711594701171</v>
      </c>
      <c r="CS15">
        <v>0.42399999999999999</v>
      </c>
      <c r="CT15">
        <v>1.5299999999999999E-2</v>
      </c>
      <c r="CU15">
        <v>2.6009000000000242</v>
      </c>
      <c r="CV15">
        <v>1.5299999999999999E-2</v>
      </c>
      <c r="CW15" s="2">
        <v>45681</v>
      </c>
      <c r="CX15" t="s">
        <v>1535</v>
      </c>
      <c r="CY15">
        <v>5</v>
      </c>
      <c r="CZ15">
        <v>8.8000000000000005E-3</v>
      </c>
      <c r="DA15">
        <v>6.9784567216665474</v>
      </c>
      <c r="DB15">
        <v>802.25554288615535</v>
      </c>
      <c r="DC15">
        <v>0.42399999999999999</v>
      </c>
      <c r="DD15">
        <v>1.5299999999999999E-2</v>
      </c>
      <c r="DE15">
        <v>2.5996000000000095</v>
      </c>
      <c r="DF15">
        <v>1.5299999999999999E-2</v>
      </c>
      <c r="DG15" s="2">
        <v>45681</v>
      </c>
      <c r="DH15" t="s">
        <v>1693</v>
      </c>
      <c r="DI15">
        <v>6</v>
      </c>
      <c r="DJ15">
        <v>8.0999999999999996E-3</v>
      </c>
      <c r="DK15">
        <v>6.9801057712066452</v>
      </c>
      <c r="DL15">
        <v>802.41203768751063</v>
      </c>
      <c r="DM15">
        <v>0.42399999999999999</v>
      </c>
      <c r="DN15">
        <v>1.5299999999999999E-2</v>
      </c>
      <c r="DO15">
        <v>2.599899999999991</v>
      </c>
      <c r="DP15">
        <v>1.5299999999999999E-2</v>
      </c>
    </row>
    <row r="16" spans="1:120" x14ac:dyDescent="0.3">
      <c r="A16" s="2">
        <v>45681</v>
      </c>
      <c r="B16" t="s">
        <v>202</v>
      </c>
      <c r="C16">
        <v>1</v>
      </c>
      <c r="D16">
        <v>1.2800000000000001E-2</v>
      </c>
      <c r="E16">
        <v>7.0687891172262791</v>
      </c>
      <c r="F16">
        <v>810.82808722477398</v>
      </c>
      <c r="G16">
        <v>0.42399999999999999</v>
      </c>
      <c r="H16">
        <v>1.67E-2</v>
      </c>
      <c r="I16">
        <v>2.7987099999999998</v>
      </c>
      <c r="J16">
        <v>1.67E-2</v>
      </c>
      <c r="K16" s="2">
        <v>45681</v>
      </c>
      <c r="L16" t="s">
        <v>360</v>
      </c>
      <c r="M16">
        <v>1</v>
      </c>
      <c r="N16">
        <v>9.2999999999999992E-3</v>
      </c>
      <c r="O16">
        <v>6.8810164238599656</v>
      </c>
      <c r="P16">
        <v>793.00845862431083</v>
      </c>
      <c r="Q16">
        <v>0.42399999999999999</v>
      </c>
      <c r="R16">
        <v>1.38E-2</v>
      </c>
      <c r="S16">
        <v>2.8010000000000019</v>
      </c>
      <c r="T16">
        <v>1.38E-2</v>
      </c>
      <c r="U16" s="2">
        <v>45681</v>
      </c>
      <c r="V16" t="s">
        <v>613</v>
      </c>
      <c r="W16">
        <v>2</v>
      </c>
      <c r="X16">
        <v>2.5000000000000001E-3</v>
      </c>
      <c r="Y16">
        <v>6.3653336556727949</v>
      </c>
      <c r="Z16">
        <v>744.07016392334822</v>
      </c>
      <c r="AA16">
        <v>0.42399999999999999</v>
      </c>
      <c r="AB16">
        <v>5.7000000000000002E-3</v>
      </c>
      <c r="AC16">
        <v>2.8004999999999995</v>
      </c>
      <c r="AD16">
        <v>5.7000000000000002E-3</v>
      </c>
      <c r="AE16" s="2">
        <v>45681</v>
      </c>
      <c r="AF16" t="s">
        <v>740</v>
      </c>
      <c r="AG16">
        <v>3</v>
      </c>
      <c r="AH16">
        <v>1.1599999999999999E-2</v>
      </c>
      <c r="AI16">
        <v>7.0689541438215144</v>
      </c>
      <c r="AJ16">
        <v>810.84374824866165</v>
      </c>
      <c r="AK16">
        <v>0.42399999999999999</v>
      </c>
      <c r="AL16">
        <v>1.67E-2</v>
      </c>
      <c r="AM16">
        <v>2.7900999999999954</v>
      </c>
      <c r="AN16">
        <v>1.67E-2</v>
      </c>
      <c r="AO16" s="2">
        <v>45681</v>
      </c>
      <c r="AP16" t="s">
        <v>810</v>
      </c>
      <c r="AQ16">
        <v>3</v>
      </c>
      <c r="AR16">
        <v>2.5999999999999999E-3</v>
      </c>
      <c r="AS16">
        <v>6.1245570149298363</v>
      </c>
      <c r="AT16">
        <v>721.22046071684144</v>
      </c>
      <c r="AU16">
        <v>0.42399999999999999</v>
      </c>
      <c r="AV16">
        <v>2E-3</v>
      </c>
      <c r="AW16">
        <v>2.7963000000000022</v>
      </c>
      <c r="AX16">
        <v>2E-3</v>
      </c>
      <c r="AY16" s="2">
        <v>45681</v>
      </c>
      <c r="AZ16" t="s">
        <v>940</v>
      </c>
      <c r="BA16">
        <v>3</v>
      </c>
      <c r="BB16">
        <v>1.14E-2</v>
      </c>
      <c r="BC16">
        <v>7.0692529757642353</v>
      </c>
      <c r="BD16">
        <v>810.87210740002593</v>
      </c>
      <c r="BE16">
        <v>0.42399999999999999</v>
      </c>
      <c r="BF16">
        <v>1.67E-2</v>
      </c>
      <c r="BG16">
        <v>2.8016999999999825</v>
      </c>
      <c r="BH16">
        <v>1.67E-2</v>
      </c>
      <c r="BI16" s="2">
        <v>45681</v>
      </c>
      <c r="BJ16" t="s">
        <v>1014</v>
      </c>
      <c r="BK16">
        <v>4</v>
      </c>
      <c r="BL16">
        <v>4.3E-3</v>
      </c>
      <c r="BM16">
        <v>6.6710129856854401</v>
      </c>
      <c r="BN16">
        <v>773.0791323415483</v>
      </c>
      <c r="BO16">
        <v>0.42399999999999999</v>
      </c>
      <c r="BP16">
        <v>1.0500000000000001E-2</v>
      </c>
      <c r="BQ16">
        <v>2.7999999999999829</v>
      </c>
      <c r="BR16">
        <v>1.0500000000000001E-2</v>
      </c>
      <c r="BS16" s="2">
        <v>45681</v>
      </c>
      <c r="BT16" t="s">
        <v>1138</v>
      </c>
      <c r="BU16">
        <v>4</v>
      </c>
      <c r="BV16">
        <v>3.3999999999999998E-3</v>
      </c>
      <c r="BW16">
        <v>5.9957334838115024</v>
      </c>
      <c r="BX16">
        <v>606.80236069123202</v>
      </c>
      <c r="BY16">
        <v>0.42399999999999999</v>
      </c>
      <c r="BZ16">
        <v>0</v>
      </c>
      <c r="CA16">
        <v>2.8007000000000062</v>
      </c>
      <c r="CB16">
        <v>0</v>
      </c>
      <c r="CC16" s="2">
        <v>45681</v>
      </c>
      <c r="CD16" t="s">
        <v>1258</v>
      </c>
      <c r="CE16">
        <v>4</v>
      </c>
      <c r="CF16">
        <v>1.12E-2</v>
      </c>
      <c r="CG16">
        <v>7.0678455867911154</v>
      </c>
      <c r="CH16">
        <v>810.73854618647681</v>
      </c>
      <c r="CI16">
        <v>0.42399999999999999</v>
      </c>
      <c r="CJ16">
        <v>1.67E-2</v>
      </c>
      <c r="CK16">
        <v>2.8001999999999896</v>
      </c>
      <c r="CL16">
        <v>1.67E-2</v>
      </c>
      <c r="CM16" s="2">
        <v>45681</v>
      </c>
      <c r="CN16" t="s">
        <v>1376</v>
      </c>
      <c r="CO16">
        <v>5</v>
      </c>
      <c r="CP16">
        <v>1.1299999999999999E-2</v>
      </c>
      <c r="CQ16">
        <v>7.0678666712701128</v>
      </c>
      <c r="CR16">
        <v>810.7405471035338</v>
      </c>
      <c r="CS16">
        <v>0.42399999999999999</v>
      </c>
      <c r="CT16">
        <v>1.67E-2</v>
      </c>
      <c r="CU16">
        <v>2.7988000000000284</v>
      </c>
      <c r="CV16">
        <v>1.67E-2</v>
      </c>
      <c r="CW16" s="2">
        <v>45681</v>
      </c>
      <c r="CX16" t="s">
        <v>1536</v>
      </c>
      <c r="CY16">
        <v>5</v>
      </c>
      <c r="CZ16">
        <v>1.09E-2</v>
      </c>
      <c r="DA16">
        <v>7.0688904849137701</v>
      </c>
      <c r="DB16">
        <v>810.83770701831679</v>
      </c>
      <c r="DC16">
        <v>0.42399999999999999</v>
      </c>
      <c r="DD16">
        <v>1.67E-2</v>
      </c>
      <c r="DE16">
        <v>2.7997000000000298</v>
      </c>
      <c r="DF16">
        <v>1.67E-2</v>
      </c>
      <c r="DG16" s="2">
        <v>45681</v>
      </c>
      <c r="DH16" t="s">
        <v>1694</v>
      </c>
      <c r="DI16">
        <v>6</v>
      </c>
      <c r="DJ16">
        <v>1.0200000000000001E-2</v>
      </c>
      <c r="DK16">
        <v>7.0704876341978737</v>
      </c>
      <c r="DL16">
        <v>810.98927648537824</v>
      </c>
      <c r="DM16">
        <v>0.42399999999999999</v>
      </c>
      <c r="DN16">
        <v>1.67E-2</v>
      </c>
      <c r="DO16">
        <v>2.800200000000018</v>
      </c>
      <c r="DP16">
        <v>1.67E-2</v>
      </c>
    </row>
    <row r="17" spans="1:120" x14ac:dyDescent="0.3">
      <c r="A17" s="2">
        <v>45681</v>
      </c>
      <c r="B17" t="s">
        <v>203</v>
      </c>
      <c r="C17">
        <v>1</v>
      </c>
      <c r="D17">
        <v>1.37E-2</v>
      </c>
      <c r="E17">
        <v>7.1494117047366474</v>
      </c>
      <c r="F17">
        <v>818.47917077950785</v>
      </c>
      <c r="G17">
        <v>0.42399999999999999</v>
      </c>
      <c r="H17">
        <v>1.7899999999999999E-2</v>
      </c>
      <c r="I17">
        <v>2.9986899999999999</v>
      </c>
      <c r="J17">
        <v>1.7899999999999999E-2</v>
      </c>
      <c r="K17" s="2">
        <v>45681</v>
      </c>
      <c r="L17" t="s">
        <v>361</v>
      </c>
      <c r="M17">
        <v>1</v>
      </c>
      <c r="N17">
        <v>1.0800000000000001E-2</v>
      </c>
      <c r="O17">
        <v>6.9795725771704449</v>
      </c>
      <c r="P17">
        <v>802.36143757347531</v>
      </c>
      <c r="Q17">
        <v>0.42399999999999999</v>
      </c>
      <c r="R17">
        <v>1.5299999999999999E-2</v>
      </c>
      <c r="S17">
        <v>3.0023199999999974</v>
      </c>
      <c r="T17">
        <v>1.5299999999999999E-2</v>
      </c>
      <c r="U17" s="2">
        <v>45681</v>
      </c>
      <c r="V17" t="s">
        <v>614</v>
      </c>
      <c r="W17">
        <v>2</v>
      </c>
      <c r="X17">
        <v>2.5000000000000001E-3</v>
      </c>
      <c r="Y17">
        <v>6.463538468578431</v>
      </c>
      <c r="Z17">
        <v>753.38980066809313</v>
      </c>
      <c r="AA17">
        <v>0.42399999999999999</v>
      </c>
      <c r="AB17">
        <v>7.3000000000000001E-3</v>
      </c>
      <c r="AC17">
        <v>3.0008999999999872</v>
      </c>
      <c r="AD17">
        <v>7.3000000000000001E-3</v>
      </c>
      <c r="AE17" s="2">
        <v>45681</v>
      </c>
      <c r="AF17" t="s">
        <v>741</v>
      </c>
      <c r="AG17">
        <v>3</v>
      </c>
      <c r="AH17">
        <v>1.29E-2</v>
      </c>
      <c r="AI17">
        <v>7.149348045828904</v>
      </c>
      <c r="AJ17">
        <v>818.47312954916299</v>
      </c>
      <c r="AK17">
        <v>0.42399999999999999</v>
      </c>
      <c r="AL17">
        <v>1.7899999999999999E-2</v>
      </c>
      <c r="AM17">
        <v>2.9894999999999925</v>
      </c>
      <c r="AN17">
        <v>1.7899999999999999E-2</v>
      </c>
      <c r="AO17" s="2">
        <v>45681</v>
      </c>
      <c r="AP17" t="s">
        <v>811</v>
      </c>
      <c r="AQ17">
        <v>3</v>
      </c>
      <c r="AR17">
        <v>2.5999999999999999E-3</v>
      </c>
      <c r="AS17">
        <v>6.1941261048725416</v>
      </c>
      <c r="AT17">
        <v>727.82256735240435</v>
      </c>
      <c r="AU17">
        <v>0.42399999999999999</v>
      </c>
      <c r="AV17">
        <v>3.0999999999999999E-3</v>
      </c>
      <c r="AW17">
        <v>2.9983000000000004</v>
      </c>
      <c r="AX17">
        <v>3.0999999999999999E-3</v>
      </c>
      <c r="AY17" s="2">
        <v>45681</v>
      </c>
      <c r="AZ17" t="s">
        <v>941</v>
      </c>
      <c r="BA17">
        <v>3</v>
      </c>
      <c r="BB17">
        <v>1.2699999999999999E-2</v>
      </c>
      <c r="BC17">
        <v>7.1494636049926443</v>
      </c>
      <c r="BD17">
        <v>818.48409611380202</v>
      </c>
      <c r="BE17">
        <v>0.42399999999999999</v>
      </c>
      <c r="BF17">
        <v>1.7899999999999999E-2</v>
      </c>
      <c r="BG17">
        <v>3.0006999999999948</v>
      </c>
      <c r="BH17">
        <v>1.7899999999999999E-2</v>
      </c>
      <c r="BI17" s="2">
        <v>45681</v>
      </c>
      <c r="BJ17" t="s">
        <v>1015</v>
      </c>
      <c r="BK17">
        <v>4</v>
      </c>
      <c r="BL17">
        <v>6.1000000000000004E-3</v>
      </c>
      <c r="BM17">
        <v>6.7770066889624871</v>
      </c>
      <c r="BN17">
        <v>783.13793478254001</v>
      </c>
      <c r="BO17">
        <v>0.42399999999999999</v>
      </c>
      <c r="BP17">
        <v>1.21E-2</v>
      </c>
      <c r="BQ17">
        <v>3.0005999999999915</v>
      </c>
      <c r="BR17">
        <v>1.21E-2</v>
      </c>
      <c r="BS17" s="2">
        <v>45681</v>
      </c>
      <c r="BT17" t="s">
        <v>1139</v>
      </c>
      <c r="BU17">
        <v>4</v>
      </c>
      <c r="BV17">
        <v>3.3999999999999998E-3</v>
      </c>
      <c r="BW17">
        <v>5.9957334838115024</v>
      </c>
      <c r="BX17">
        <v>606.80236069123202</v>
      </c>
      <c r="BY17">
        <v>0.42399999999999999</v>
      </c>
      <c r="BZ17">
        <v>0</v>
      </c>
      <c r="CA17">
        <v>3.0020000000000095</v>
      </c>
      <c r="CB17">
        <v>0</v>
      </c>
      <c r="CC17" s="2">
        <v>45681</v>
      </c>
      <c r="CD17" t="s">
        <v>1259</v>
      </c>
      <c r="CE17">
        <v>4</v>
      </c>
      <c r="CF17">
        <v>1.23E-2</v>
      </c>
      <c r="CG17">
        <v>7.1486490142559687</v>
      </c>
      <c r="CH17">
        <v>818.40679145289141</v>
      </c>
      <c r="CI17">
        <v>0.42399999999999999</v>
      </c>
      <c r="CJ17">
        <v>1.7899999999999999E-2</v>
      </c>
      <c r="CK17">
        <v>3.0003999999999849</v>
      </c>
      <c r="CL17">
        <v>1.7899999999999999E-2</v>
      </c>
      <c r="CM17" s="2">
        <v>45681</v>
      </c>
      <c r="CN17" t="s">
        <v>1377</v>
      </c>
      <c r="CO17">
        <v>5</v>
      </c>
      <c r="CP17">
        <v>1.2999999999999999E-2</v>
      </c>
      <c r="CQ17">
        <v>7.1487986329627038</v>
      </c>
      <c r="CR17">
        <v>818.42099026816061</v>
      </c>
      <c r="CS17">
        <v>0.42399999999999999</v>
      </c>
      <c r="CT17">
        <v>1.7899999999999999E-2</v>
      </c>
      <c r="CU17">
        <v>2.9993000000000052</v>
      </c>
      <c r="CV17">
        <v>1.7899999999999999E-2</v>
      </c>
      <c r="CW17" s="2">
        <v>45681</v>
      </c>
      <c r="CX17" t="s">
        <v>1537</v>
      </c>
      <c r="CY17">
        <v>5</v>
      </c>
      <c r="CZ17">
        <v>1.23E-2</v>
      </c>
      <c r="DA17">
        <v>7.1497952800661126</v>
      </c>
      <c r="DB17">
        <v>818.51557207827409</v>
      </c>
      <c r="DC17">
        <v>0.42399999999999999</v>
      </c>
      <c r="DD17">
        <v>1.7899999999999999E-2</v>
      </c>
      <c r="DE17">
        <v>3.0004000000000133</v>
      </c>
      <c r="DF17">
        <v>1.7899999999999999E-2</v>
      </c>
      <c r="DG17" s="2">
        <v>45681</v>
      </c>
      <c r="DH17" t="s">
        <v>1695</v>
      </c>
      <c r="DI17">
        <v>6</v>
      </c>
      <c r="DJ17">
        <v>1.1900000000000001E-2</v>
      </c>
      <c r="DK17">
        <v>7.1521762043098951</v>
      </c>
      <c r="DL17">
        <v>818.74152178900908</v>
      </c>
      <c r="DM17">
        <v>0.42399999999999999</v>
      </c>
      <c r="DN17">
        <v>1.7999999999999999E-2</v>
      </c>
      <c r="DO17">
        <v>3.0036000000000058</v>
      </c>
      <c r="DP17">
        <v>1.7999999999999999E-2</v>
      </c>
    </row>
    <row r="18" spans="1:120" x14ac:dyDescent="0.3">
      <c r="A18" s="2">
        <v>45681</v>
      </c>
      <c r="B18" t="s">
        <v>204</v>
      </c>
      <c r="C18">
        <v>1</v>
      </c>
      <c r="D18">
        <v>1.5100000000000001E-2</v>
      </c>
      <c r="E18">
        <v>7.2186263726968116</v>
      </c>
      <c r="F18">
        <v>825.04764276892752</v>
      </c>
      <c r="G18">
        <v>0.42399999999999999</v>
      </c>
      <c r="H18">
        <v>1.9E-2</v>
      </c>
      <c r="I18">
        <v>3.199819999999999</v>
      </c>
      <c r="J18">
        <v>1.9E-2</v>
      </c>
      <c r="K18" s="2">
        <v>45681</v>
      </c>
      <c r="L18" t="s">
        <v>362</v>
      </c>
      <c r="M18">
        <v>1</v>
      </c>
      <c r="N18">
        <v>1.24E-2</v>
      </c>
      <c r="O18">
        <v>7.0696264143249508</v>
      </c>
      <c r="P18">
        <v>810.90754671943785</v>
      </c>
      <c r="Q18">
        <v>0.42399999999999999</v>
      </c>
      <c r="R18">
        <v>1.67E-2</v>
      </c>
      <c r="S18">
        <v>3.201749999999997</v>
      </c>
      <c r="T18">
        <v>1.67E-2</v>
      </c>
      <c r="U18" s="2">
        <v>45681</v>
      </c>
      <c r="V18" t="s">
        <v>615</v>
      </c>
      <c r="W18">
        <v>2</v>
      </c>
      <c r="X18">
        <v>3.7000000000000002E-3</v>
      </c>
      <c r="Y18">
        <v>6.5661505458007889</v>
      </c>
      <c r="Z18">
        <v>763.12768679649491</v>
      </c>
      <c r="AA18">
        <v>0.42399999999999999</v>
      </c>
      <c r="AB18">
        <v>8.8999999999999999E-3</v>
      </c>
      <c r="AC18">
        <v>3.1998999999999995</v>
      </c>
      <c r="AD18">
        <v>8.8999999999999999E-3</v>
      </c>
      <c r="AE18" s="2">
        <v>45681</v>
      </c>
      <c r="AF18" t="s">
        <v>742</v>
      </c>
      <c r="AG18">
        <v>3</v>
      </c>
      <c r="AH18">
        <v>1.4200000000000001E-2</v>
      </c>
      <c r="AI18">
        <v>7.2181158850226099</v>
      </c>
      <c r="AJ18">
        <v>824.99919748864568</v>
      </c>
      <c r="AK18">
        <v>0.42399999999999999</v>
      </c>
      <c r="AL18">
        <v>1.9E-2</v>
      </c>
      <c r="AM18">
        <v>3.1891999999999996</v>
      </c>
      <c r="AN18">
        <v>1.9E-2</v>
      </c>
      <c r="AO18" s="2">
        <v>45681</v>
      </c>
      <c r="AP18" t="s">
        <v>812</v>
      </c>
      <c r="AQ18">
        <v>3</v>
      </c>
      <c r="AR18">
        <v>2.5999999999999999E-3</v>
      </c>
      <c r="AS18">
        <v>6.2748874444735501</v>
      </c>
      <c r="AT18">
        <v>735.48681848053991</v>
      </c>
      <c r="AU18">
        <v>0.42399999999999999</v>
      </c>
      <c r="AV18">
        <v>4.3E-3</v>
      </c>
      <c r="AW18">
        <v>3.1984999999999957</v>
      </c>
      <c r="AX18">
        <v>4.3E-3</v>
      </c>
      <c r="AY18" s="2">
        <v>45681</v>
      </c>
      <c r="AZ18" t="s">
        <v>942</v>
      </c>
      <c r="BA18">
        <v>3</v>
      </c>
      <c r="BB18">
        <v>1.4E-2</v>
      </c>
      <c r="BC18">
        <v>7.2184844579343261</v>
      </c>
      <c r="BD18">
        <v>825.03417505796756</v>
      </c>
      <c r="BE18">
        <v>0.42399999999999999</v>
      </c>
      <c r="BF18">
        <v>1.9E-2</v>
      </c>
      <c r="BG18">
        <v>3.2012999999999749</v>
      </c>
      <c r="BH18">
        <v>1.9E-2</v>
      </c>
      <c r="BI18" s="2">
        <v>45681</v>
      </c>
      <c r="BJ18" t="s">
        <v>1016</v>
      </c>
      <c r="BK18">
        <v>4</v>
      </c>
      <c r="BL18">
        <v>8.0000000000000002E-3</v>
      </c>
      <c r="BM18">
        <v>6.8804970158292642</v>
      </c>
      <c r="BN18">
        <v>792.95916680219716</v>
      </c>
      <c r="BO18">
        <v>0.42399999999999999</v>
      </c>
      <c r="BP18">
        <v>1.37E-2</v>
      </c>
      <c r="BQ18">
        <v>3.2012999999999749</v>
      </c>
      <c r="BR18">
        <v>1.37E-2</v>
      </c>
      <c r="BS18" s="2">
        <v>45681</v>
      </c>
      <c r="BT18" t="s">
        <v>1140</v>
      </c>
      <c r="BU18">
        <v>4</v>
      </c>
      <c r="BV18">
        <v>3.3999999999999998E-3</v>
      </c>
      <c r="BW18">
        <v>5.9957334838115024</v>
      </c>
      <c r="BX18">
        <v>606.80236069123202</v>
      </c>
      <c r="BY18">
        <v>0.42399999999999999</v>
      </c>
      <c r="BZ18">
        <v>0</v>
      </c>
      <c r="CA18">
        <v>3.2010999999999967</v>
      </c>
      <c r="CB18">
        <v>0</v>
      </c>
      <c r="CC18" s="2">
        <v>45681</v>
      </c>
      <c r="CD18" t="s">
        <v>1260</v>
      </c>
      <c r="CE18">
        <v>4</v>
      </c>
      <c r="CF18">
        <v>1.34E-2</v>
      </c>
      <c r="CG18">
        <v>7.2174614552321676</v>
      </c>
      <c r="CH18">
        <v>824.9370921015327</v>
      </c>
      <c r="CI18">
        <v>0.42399999999999999</v>
      </c>
      <c r="CJ18">
        <v>1.9E-2</v>
      </c>
      <c r="CK18">
        <v>3.199799999999982</v>
      </c>
      <c r="CL18">
        <v>1.9E-2</v>
      </c>
      <c r="CM18" s="2">
        <v>45681</v>
      </c>
      <c r="CN18" t="s">
        <v>1378</v>
      </c>
      <c r="CO18">
        <v>5</v>
      </c>
      <c r="CP18">
        <v>1.41E-2</v>
      </c>
      <c r="CQ18">
        <v>7.2182655037293451</v>
      </c>
      <c r="CR18">
        <v>825.01339630391487</v>
      </c>
      <c r="CS18">
        <v>0.42399999999999999</v>
      </c>
      <c r="CT18">
        <v>1.9E-2</v>
      </c>
      <c r="CU18">
        <v>3.2009000000000469</v>
      </c>
      <c r="CV18">
        <v>1.9E-2</v>
      </c>
      <c r="CW18" s="2">
        <v>45681</v>
      </c>
      <c r="CX18" t="s">
        <v>1538</v>
      </c>
      <c r="CY18">
        <v>5</v>
      </c>
      <c r="CZ18">
        <v>1.37E-2</v>
      </c>
      <c r="DA18">
        <v>7.2186811112480571</v>
      </c>
      <c r="DB18">
        <v>825.05283745744066</v>
      </c>
      <c r="DC18">
        <v>0.42399999999999999</v>
      </c>
      <c r="DD18">
        <v>1.9E-2</v>
      </c>
      <c r="DE18">
        <v>3.2006999999999834</v>
      </c>
      <c r="DF18">
        <v>1.9E-2</v>
      </c>
      <c r="DG18" s="2">
        <v>45681</v>
      </c>
      <c r="DH18" t="s">
        <v>1696</v>
      </c>
      <c r="DI18">
        <v>6</v>
      </c>
      <c r="DJ18">
        <v>1.3599999999999999E-2</v>
      </c>
      <c r="DK18">
        <v>7.2192536359470054</v>
      </c>
      <c r="DL18">
        <v>825.10717005137076</v>
      </c>
      <c r="DM18">
        <v>0.42399999999999999</v>
      </c>
      <c r="DN18">
        <v>1.9E-2</v>
      </c>
      <c r="DO18">
        <v>3.1992999999999938</v>
      </c>
      <c r="DP18">
        <v>1.9E-2</v>
      </c>
    </row>
    <row r="19" spans="1:120" x14ac:dyDescent="0.3">
      <c r="A19" s="2">
        <v>45681</v>
      </c>
      <c r="B19" t="s">
        <v>205</v>
      </c>
      <c r="C19">
        <v>1</v>
      </c>
      <c r="D19">
        <v>1.6E-2</v>
      </c>
      <c r="E19">
        <v>7.2738068870592612</v>
      </c>
      <c r="F19">
        <v>830.28427358192391</v>
      </c>
      <c r="G19">
        <v>0.42399999999999999</v>
      </c>
      <c r="H19">
        <v>1.9900000000000001E-2</v>
      </c>
      <c r="I19">
        <v>3.3992500000000021</v>
      </c>
      <c r="J19">
        <v>1.9900000000000001E-2</v>
      </c>
      <c r="K19" s="2">
        <v>45681</v>
      </c>
      <c r="L19" t="s">
        <v>363</v>
      </c>
      <c r="M19">
        <v>1</v>
      </c>
      <c r="N19">
        <v>1.32E-2</v>
      </c>
      <c r="O19">
        <v>7.1497591931693663</v>
      </c>
      <c r="P19">
        <v>818.51214743177286</v>
      </c>
      <c r="Q19">
        <v>0.42399999999999999</v>
      </c>
      <c r="R19">
        <v>1.7899999999999999E-2</v>
      </c>
      <c r="S19">
        <v>3.4007000000000005</v>
      </c>
      <c r="T19">
        <v>1.7899999999999999E-2</v>
      </c>
      <c r="U19" s="2">
        <v>45681</v>
      </c>
      <c r="V19" t="s">
        <v>616</v>
      </c>
      <c r="W19">
        <v>2</v>
      </c>
      <c r="X19">
        <v>5.7000000000000002E-3</v>
      </c>
      <c r="Y19">
        <v>6.6719548942376026</v>
      </c>
      <c r="Z19">
        <v>773.16851946314853</v>
      </c>
      <c r="AA19">
        <v>0.42399999999999999</v>
      </c>
      <c r="AB19">
        <v>1.0500000000000001E-2</v>
      </c>
      <c r="AC19">
        <v>3.3999999999999915</v>
      </c>
      <c r="AD19">
        <v>1.0500000000000001E-2</v>
      </c>
      <c r="AE19" s="2">
        <v>45681</v>
      </c>
      <c r="AF19" t="s">
        <v>743</v>
      </c>
      <c r="AG19">
        <v>3</v>
      </c>
      <c r="AH19">
        <v>1.5299999999999999E-2</v>
      </c>
      <c r="AI19">
        <v>7.2736828130097733</v>
      </c>
      <c r="AJ19">
        <v>830.27249895462751</v>
      </c>
      <c r="AK19">
        <v>0.42399999999999999</v>
      </c>
      <c r="AL19">
        <v>1.9900000000000001E-2</v>
      </c>
      <c r="AM19">
        <v>3.3897000000000048</v>
      </c>
      <c r="AN19">
        <v>1.9900000000000001E-2</v>
      </c>
      <c r="AO19" s="2">
        <v>45681</v>
      </c>
      <c r="AP19" t="s">
        <v>813</v>
      </c>
      <c r="AQ19">
        <v>3</v>
      </c>
      <c r="AR19">
        <v>2.5999999999999999E-3</v>
      </c>
      <c r="AS19">
        <v>6.3646383138836846</v>
      </c>
      <c r="AT19">
        <v>744.00417598756167</v>
      </c>
      <c r="AU19">
        <v>0.42399999999999999</v>
      </c>
      <c r="AV19">
        <v>5.7000000000000002E-3</v>
      </c>
      <c r="AW19">
        <v>3.396899999999988</v>
      </c>
      <c r="AX19">
        <v>5.7000000000000002E-3</v>
      </c>
      <c r="AY19" s="2">
        <v>45681</v>
      </c>
      <c r="AZ19" t="s">
        <v>943</v>
      </c>
      <c r="BA19">
        <v>3</v>
      </c>
      <c r="BB19">
        <v>1.4800000000000001E-2</v>
      </c>
      <c r="BC19">
        <v>7.2734598040972926</v>
      </c>
      <c r="BD19">
        <v>830.25133540883314</v>
      </c>
      <c r="BE19">
        <v>0.42399999999999999</v>
      </c>
      <c r="BF19">
        <v>1.9900000000000001E-2</v>
      </c>
      <c r="BG19">
        <v>3.3996999999999957</v>
      </c>
      <c r="BH19">
        <v>1.9900000000000001E-2</v>
      </c>
      <c r="BI19" s="2">
        <v>45681</v>
      </c>
      <c r="BJ19" t="s">
        <v>1017</v>
      </c>
      <c r="BK19">
        <v>4</v>
      </c>
      <c r="BL19">
        <v>9.4000000000000004E-3</v>
      </c>
      <c r="BM19">
        <v>6.978335485912309</v>
      </c>
      <c r="BN19">
        <v>802.24403761307815</v>
      </c>
      <c r="BO19">
        <v>0.42399999999999999</v>
      </c>
      <c r="BP19">
        <v>1.5299999999999999E-2</v>
      </c>
      <c r="BQ19">
        <v>3.400999999999982</v>
      </c>
      <c r="BR19">
        <v>1.5299999999999999E-2</v>
      </c>
      <c r="BS19" s="2">
        <v>45681</v>
      </c>
      <c r="BT19" t="s">
        <v>1141</v>
      </c>
      <c r="BU19">
        <v>4</v>
      </c>
      <c r="BV19">
        <v>3.3999999999999998E-3</v>
      </c>
      <c r="BW19">
        <v>5.9957334838115024</v>
      </c>
      <c r="BX19">
        <v>606.80236069123202</v>
      </c>
      <c r="BY19">
        <v>0.42399999999999999</v>
      </c>
      <c r="BZ19">
        <v>0</v>
      </c>
      <c r="CA19">
        <v>3.4009000000000071</v>
      </c>
      <c r="CB19">
        <v>0</v>
      </c>
      <c r="CC19" s="2">
        <v>45681</v>
      </c>
      <c r="CD19" t="s">
        <v>1261</v>
      </c>
      <c r="CE19">
        <v>4</v>
      </c>
      <c r="CF19">
        <v>1.49E-2</v>
      </c>
      <c r="CG19">
        <v>7.2731094773693252</v>
      </c>
      <c r="CH19">
        <v>830.21808940234905</v>
      </c>
      <c r="CI19">
        <v>0.42399999999999999</v>
      </c>
      <c r="CJ19">
        <v>1.9800000000000002E-2</v>
      </c>
      <c r="CK19">
        <v>3.4000999999999806</v>
      </c>
      <c r="CL19">
        <v>1.9800000000000002E-2</v>
      </c>
      <c r="CM19" s="2">
        <v>45681</v>
      </c>
      <c r="CN19" t="s">
        <v>1379</v>
      </c>
      <c r="CO19">
        <v>5</v>
      </c>
      <c r="CP19">
        <v>1.5100000000000001E-2</v>
      </c>
      <c r="CQ19">
        <v>7.2733462722873039</v>
      </c>
      <c r="CR19">
        <v>830.24056124006518</v>
      </c>
      <c r="CS19">
        <v>0.42399999999999999</v>
      </c>
      <c r="CT19">
        <v>1.9900000000000001E-2</v>
      </c>
      <c r="CU19">
        <v>3.3995000000000459</v>
      </c>
      <c r="CV19">
        <v>1.9900000000000001E-2</v>
      </c>
      <c r="CW19" s="2">
        <v>45681</v>
      </c>
      <c r="CX19" t="s">
        <v>1539</v>
      </c>
      <c r="CY19">
        <v>5</v>
      </c>
      <c r="CZ19">
        <v>1.46E-2</v>
      </c>
      <c r="DA19">
        <v>7.273626047104778</v>
      </c>
      <c r="DB19">
        <v>830.26711187024353</v>
      </c>
      <c r="DC19">
        <v>0.42399999999999999</v>
      </c>
      <c r="DD19">
        <v>1.9900000000000001E-2</v>
      </c>
      <c r="DE19">
        <v>3.3992000000000075</v>
      </c>
      <c r="DF19">
        <v>1.9900000000000001E-2</v>
      </c>
      <c r="DG19" s="2">
        <v>45681</v>
      </c>
      <c r="DH19" t="s">
        <v>1697</v>
      </c>
      <c r="DI19">
        <v>6</v>
      </c>
      <c r="DJ19">
        <v>1.4999999999999999E-2</v>
      </c>
      <c r="DK19">
        <v>7.274297101195967</v>
      </c>
      <c r="DL19">
        <v>830.33079490349735</v>
      </c>
      <c r="DM19">
        <v>0.42399999999999999</v>
      </c>
      <c r="DN19">
        <v>1.9900000000000001E-2</v>
      </c>
      <c r="DO19">
        <v>3.3987999999999943</v>
      </c>
      <c r="DP19">
        <v>1.9900000000000001E-2</v>
      </c>
    </row>
    <row r="20" spans="1:120" x14ac:dyDescent="0.3">
      <c r="A20" s="2">
        <v>45681</v>
      </c>
      <c r="B20" t="s">
        <v>206</v>
      </c>
      <c r="C20">
        <v>1</v>
      </c>
      <c r="D20">
        <v>1.6400000000000001E-2</v>
      </c>
      <c r="E20">
        <v>7.3145502098985311</v>
      </c>
      <c r="F20">
        <v>834.15081491937065</v>
      </c>
      <c r="G20">
        <v>0.42399999999999999</v>
      </c>
      <c r="H20">
        <v>2.0500000000000001E-2</v>
      </c>
      <c r="I20">
        <v>3.6005500000000019</v>
      </c>
      <c r="J20">
        <v>2.0500000000000001E-2</v>
      </c>
      <c r="K20" s="2">
        <v>45681</v>
      </c>
      <c r="L20" t="s">
        <v>364</v>
      </c>
      <c r="M20">
        <v>1</v>
      </c>
      <c r="N20">
        <v>1.49E-2</v>
      </c>
      <c r="O20">
        <v>7.2188481651970422</v>
      </c>
      <c r="P20">
        <v>825.0686908771994</v>
      </c>
      <c r="Q20">
        <v>0.42399999999999999</v>
      </c>
      <c r="R20">
        <v>1.9E-2</v>
      </c>
      <c r="S20">
        <v>3.6016199999999969</v>
      </c>
      <c r="T20">
        <v>1.9E-2</v>
      </c>
      <c r="U20" s="2">
        <v>45681</v>
      </c>
      <c r="V20" t="s">
        <v>617</v>
      </c>
      <c r="W20">
        <v>2</v>
      </c>
      <c r="X20">
        <v>7.7000000000000002E-3</v>
      </c>
      <c r="Y20">
        <v>6.7790514779545514</v>
      </c>
      <c r="Z20">
        <v>783.33198525788691</v>
      </c>
      <c r="AA20">
        <v>0.42399999999999999</v>
      </c>
      <c r="AB20">
        <v>1.2200000000000001E-2</v>
      </c>
      <c r="AC20">
        <v>3.6026999999999987</v>
      </c>
      <c r="AD20">
        <v>1.2200000000000001E-2</v>
      </c>
      <c r="AE20" s="2">
        <v>45681</v>
      </c>
      <c r="AF20" t="s">
        <v>744</v>
      </c>
      <c r="AG20">
        <v>3</v>
      </c>
      <c r="AH20">
        <v>1.5699999999999999E-2</v>
      </c>
      <c r="AI20">
        <v>7.3143020617995536</v>
      </c>
      <c r="AJ20">
        <v>834.12726566477772</v>
      </c>
      <c r="AK20">
        <v>0.42399999999999999</v>
      </c>
      <c r="AL20">
        <v>2.0500000000000001E-2</v>
      </c>
      <c r="AM20">
        <v>3.5900000000000034</v>
      </c>
      <c r="AN20">
        <v>2.0500000000000001E-2</v>
      </c>
      <c r="AO20" s="2">
        <v>45681</v>
      </c>
      <c r="AP20" t="s">
        <v>814</v>
      </c>
      <c r="AQ20">
        <v>3</v>
      </c>
      <c r="AR20">
        <v>2.7000000000000001E-3</v>
      </c>
      <c r="AS20">
        <v>6.4624481577317807</v>
      </c>
      <c r="AT20">
        <v>753.28633016874608</v>
      </c>
      <c r="AU20">
        <v>0.42399999999999999</v>
      </c>
      <c r="AV20">
        <v>7.3000000000000001E-3</v>
      </c>
      <c r="AW20">
        <v>3.5965999999999951</v>
      </c>
      <c r="AX20">
        <v>7.3000000000000001E-3</v>
      </c>
      <c r="AY20" s="2">
        <v>45681</v>
      </c>
      <c r="AZ20" t="s">
        <v>944</v>
      </c>
      <c r="BA20">
        <v>3</v>
      </c>
      <c r="BB20">
        <v>1.61E-2</v>
      </c>
      <c r="BC20">
        <v>7.3142996289750561</v>
      </c>
      <c r="BD20">
        <v>834.12703478973287</v>
      </c>
      <c r="BE20">
        <v>0.42399999999999999</v>
      </c>
      <c r="BF20">
        <v>2.0500000000000001E-2</v>
      </c>
      <c r="BG20">
        <v>3.6008999999999958</v>
      </c>
      <c r="BH20">
        <v>2.0500000000000001E-2</v>
      </c>
      <c r="BI20" s="2">
        <v>45681</v>
      </c>
      <c r="BJ20" t="s">
        <v>1018</v>
      </c>
      <c r="BK20">
        <v>4</v>
      </c>
      <c r="BL20">
        <v>1.1299999999999999E-2</v>
      </c>
      <c r="BM20">
        <v>7.0693640747497257</v>
      </c>
      <c r="BN20">
        <v>810.88265069374904</v>
      </c>
      <c r="BO20">
        <v>0.42399999999999999</v>
      </c>
      <c r="BP20">
        <v>1.67E-2</v>
      </c>
      <c r="BQ20">
        <v>3.602499999999992</v>
      </c>
      <c r="BR20">
        <v>1.67E-2</v>
      </c>
      <c r="BS20" s="2">
        <v>45681</v>
      </c>
      <c r="BT20" t="s">
        <v>1142</v>
      </c>
      <c r="BU20">
        <v>4</v>
      </c>
      <c r="BV20">
        <v>3.3999999999999998E-3</v>
      </c>
      <c r="BW20">
        <v>5.9957334838115024</v>
      </c>
      <c r="BX20">
        <v>606.80236069123202</v>
      </c>
      <c r="BY20">
        <v>0.42399999999999999</v>
      </c>
      <c r="BZ20">
        <v>0</v>
      </c>
      <c r="CA20">
        <v>3.6020000000000039</v>
      </c>
      <c r="CB20">
        <v>0</v>
      </c>
      <c r="CC20" s="2">
        <v>45681</v>
      </c>
      <c r="CD20" t="s">
        <v>1262</v>
      </c>
      <c r="CE20">
        <v>4</v>
      </c>
      <c r="CF20">
        <v>1.54E-2</v>
      </c>
      <c r="CG20">
        <v>7.3138442853228458</v>
      </c>
      <c r="CH20">
        <v>834.08382267713807</v>
      </c>
      <c r="CI20">
        <v>0.42399999999999999</v>
      </c>
      <c r="CJ20">
        <v>2.0500000000000001E-2</v>
      </c>
      <c r="CK20">
        <v>3.5999999999999943</v>
      </c>
      <c r="CL20">
        <v>2.0500000000000001E-2</v>
      </c>
      <c r="CM20" s="2">
        <v>45681</v>
      </c>
      <c r="CN20" t="s">
        <v>1380</v>
      </c>
      <c r="CO20">
        <v>5</v>
      </c>
      <c r="CP20">
        <v>1.5599999999999999E-2</v>
      </c>
      <c r="CQ20">
        <v>7.3143884270692956</v>
      </c>
      <c r="CR20">
        <v>834.13546172887629</v>
      </c>
      <c r="CS20">
        <v>0.42399999999999999</v>
      </c>
      <c r="CT20">
        <v>2.0500000000000001E-2</v>
      </c>
      <c r="CU20">
        <v>3.6018000000000256</v>
      </c>
      <c r="CV20">
        <v>2.0500000000000001E-2</v>
      </c>
      <c r="CW20" s="2">
        <v>45681</v>
      </c>
      <c r="CX20" t="s">
        <v>1540</v>
      </c>
      <c r="CY20">
        <v>5</v>
      </c>
      <c r="CZ20">
        <v>1.54E-2</v>
      </c>
      <c r="DA20">
        <v>7.3143458526405496</v>
      </c>
      <c r="DB20">
        <v>834.13142141558819</v>
      </c>
      <c r="DC20">
        <v>0.42399999999999999</v>
      </c>
      <c r="DD20">
        <v>2.0500000000000001E-2</v>
      </c>
      <c r="DE20">
        <v>3.6000000000000227</v>
      </c>
      <c r="DF20">
        <v>2.0500000000000001E-2</v>
      </c>
      <c r="DG20" s="2">
        <v>45681</v>
      </c>
      <c r="DH20" t="s">
        <v>1698</v>
      </c>
      <c r="DI20">
        <v>6</v>
      </c>
      <c r="DJ20">
        <v>1.5900000000000001E-2</v>
      </c>
      <c r="DK20">
        <v>7.3147257787332647</v>
      </c>
      <c r="DL20">
        <v>834.16747640178687</v>
      </c>
      <c r="DM20">
        <v>0.42399999999999999</v>
      </c>
      <c r="DN20">
        <v>2.0500000000000001E-2</v>
      </c>
      <c r="DO20">
        <v>3.5991000000000213</v>
      </c>
      <c r="DP20">
        <v>2.0500000000000001E-2</v>
      </c>
    </row>
    <row r="21" spans="1:120" x14ac:dyDescent="0.3">
      <c r="A21" s="2">
        <v>45681</v>
      </c>
      <c r="B21" t="s">
        <v>207</v>
      </c>
      <c r="C21">
        <v>1</v>
      </c>
      <c r="D21">
        <v>1.67E-2</v>
      </c>
      <c r="E21">
        <v>7.3390268571907917</v>
      </c>
      <c r="F21">
        <v>836.47364874740617</v>
      </c>
      <c r="G21">
        <v>0.42399999999999999</v>
      </c>
      <c r="H21">
        <v>2.0899999999999998E-2</v>
      </c>
      <c r="I21">
        <v>3.7991099999999989</v>
      </c>
      <c r="J21">
        <v>2.0899999999999998E-2</v>
      </c>
      <c r="K21" s="2">
        <v>45681</v>
      </c>
      <c r="L21" t="s">
        <v>365</v>
      </c>
      <c r="M21">
        <v>1</v>
      </c>
      <c r="N21">
        <v>1.61E-2</v>
      </c>
      <c r="O21">
        <v>7.2737095740792714</v>
      </c>
      <c r="P21">
        <v>830.2750385801229</v>
      </c>
      <c r="Q21">
        <v>0.42399999999999999</v>
      </c>
      <c r="R21">
        <v>1.9900000000000001E-2</v>
      </c>
      <c r="S21">
        <v>3.7999300000000034</v>
      </c>
      <c r="T21">
        <v>1.9900000000000001E-2</v>
      </c>
      <c r="U21" s="2">
        <v>45681</v>
      </c>
      <c r="V21" t="s">
        <v>618</v>
      </c>
      <c r="W21">
        <v>2</v>
      </c>
      <c r="X21">
        <v>8.8999999999999999E-3</v>
      </c>
      <c r="Y21">
        <v>6.8808724817437286</v>
      </c>
      <c r="Z21">
        <v>792.99479851747992</v>
      </c>
      <c r="AA21">
        <v>0.42399999999999999</v>
      </c>
      <c r="AB21">
        <v>1.38E-2</v>
      </c>
      <c r="AC21">
        <v>3.8001999999999896</v>
      </c>
      <c r="AD21">
        <v>1.38E-2</v>
      </c>
      <c r="AE21" s="2">
        <v>45681</v>
      </c>
      <c r="AF21" t="s">
        <v>745</v>
      </c>
      <c r="AG21">
        <v>3</v>
      </c>
      <c r="AH21">
        <v>1.5800000000000002E-2</v>
      </c>
      <c r="AI21">
        <v>7.3390463197867879</v>
      </c>
      <c r="AJ21">
        <v>836.47549574776622</v>
      </c>
      <c r="AK21">
        <v>0.42399999999999999</v>
      </c>
      <c r="AL21">
        <v>2.0899999999999998E-2</v>
      </c>
      <c r="AM21">
        <v>3.7904000000000053</v>
      </c>
      <c r="AN21">
        <v>2.0899999999999998E-2</v>
      </c>
      <c r="AO21" s="2">
        <v>45681</v>
      </c>
      <c r="AP21" t="s">
        <v>815</v>
      </c>
      <c r="AQ21">
        <v>3</v>
      </c>
      <c r="AR21">
        <v>2.8E-3</v>
      </c>
      <c r="AS21">
        <v>6.5653189252926136</v>
      </c>
      <c r="AT21">
        <v>763.04876601026911</v>
      </c>
      <c r="AU21">
        <v>0.42399999999999999</v>
      </c>
      <c r="AV21">
        <v>8.8000000000000005E-3</v>
      </c>
      <c r="AW21">
        <v>3.7961999999999989</v>
      </c>
      <c r="AX21">
        <v>8.8000000000000005E-3</v>
      </c>
      <c r="AY21" s="2">
        <v>45681</v>
      </c>
      <c r="AZ21" t="s">
        <v>945</v>
      </c>
      <c r="BA21">
        <v>3</v>
      </c>
      <c r="BB21">
        <v>1.6799999999999999E-2</v>
      </c>
      <c r="BC21">
        <v>7.3389218402665497</v>
      </c>
      <c r="BD21">
        <v>836.46368264129558</v>
      </c>
      <c r="BE21">
        <v>0.42399999999999999</v>
      </c>
      <c r="BF21">
        <v>2.0899999999999998E-2</v>
      </c>
      <c r="BG21">
        <v>3.7997999999999763</v>
      </c>
      <c r="BH21">
        <v>2.0899999999999998E-2</v>
      </c>
      <c r="BI21" s="2">
        <v>45681</v>
      </c>
      <c r="BJ21" t="s">
        <v>1019</v>
      </c>
      <c r="BK21">
        <v>4</v>
      </c>
      <c r="BL21">
        <v>1.2500000000000001E-2</v>
      </c>
      <c r="BM21">
        <v>7.1487584913584588</v>
      </c>
      <c r="BN21">
        <v>818.41718082991781</v>
      </c>
      <c r="BO21">
        <v>0.42399999999999999</v>
      </c>
      <c r="BP21">
        <v>1.7899999999999999E-2</v>
      </c>
      <c r="BQ21">
        <v>3.7993999999999915</v>
      </c>
      <c r="BR21">
        <v>1.7899999999999999E-2</v>
      </c>
      <c r="BS21" s="2">
        <v>45681</v>
      </c>
      <c r="BT21" t="s">
        <v>1143</v>
      </c>
      <c r="BU21">
        <v>4</v>
      </c>
      <c r="BV21">
        <v>3.3999999999999998E-3</v>
      </c>
      <c r="BW21">
        <v>5.9957334838115024</v>
      </c>
      <c r="BX21">
        <v>606.80236069123202</v>
      </c>
      <c r="BY21">
        <v>0.42399999999999999</v>
      </c>
      <c r="BZ21">
        <v>0</v>
      </c>
      <c r="CA21">
        <v>3.8000999999999863</v>
      </c>
      <c r="CB21">
        <v>0</v>
      </c>
      <c r="CC21" s="2">
        <v>45681</v>
      </c>
      <c r="CD21" t="s">
        <v>1263</v>
      </c>
      <c r="CE21">
        <v>4</v>
      </c>
      <c r="CF21">
        <v>1.54E-2</v>
      </c>
      <c r="CG21">
        <v>7.3388849424283036</v>
      </c>
      <c r="CH21">
        <v>836.4601810364461</v>
      </c>
      <c r="CI21">
        <v>0.42399999999999999</v>
      </c>
      <c r="CJ21">
        <v>2.0899999999999998E-2</v>
      </c>
      <c r="CK21">
        <v>3.801099999999991</v>
      </c>
      <c r="CL21">
        <v>2.0899999999999998E-2</v>
      </c>
      <c r="CM21" s="2">
        <v>45681</v>
      </c>
      <c r="CN21" t="s">
        <v>1381</v>
      </c>
      <c r="CO21">
        <v>5</v>
      </c>
      <c r="CP21">
        <v>1.6299999999999999E-2</v>
      </c>
      <c r="CQ21">
        <v>7.3389003503168038</v>
      </c>
      <c r="CR21">
        <v>836.46164324506469</v>
      </c>
      <c r="CS21">
        <v>0.42399999999999999</v>
      </c>
      <c r="CT21">
        <v>2.0899999999999998E-2</v>
      </c>
      <c r="CU21">
        <v>3.7998000000000047</v>
      </c>
      <c r="CV21">
        <v>2.0899999999999998E-2</v>
      </c>
      <c r="CW21" s="2">
        <v>45681</v>
      </c>
      <c r="CX21" t="s">
        <v>1541</v>
      </c>
      <c r="CY21">
        <v>5</v>
      </c>
      <c r="CZ21">
        <v>1.6E-2</v>
      </c>
      <c r="DA21">
        <v>7.3392433785712701</v>
      </c>
      <c r="DB21">
        <v>836.49419662641355</v>
      </c>
      <c r="DC21">
        <v>0.42399999999999999</v>
      </c>
      <c r="DD21">
        <v>2.0899999999999998E-2</v>
      </c>
      <c r="DE21">
        <v>3.8025000000000091</v>
      </c>
      <c r="DF21">
        <v>2.0899999999999998E-2</v>
      </c>
      <c r="DG21" s="2">
        <v>45681</v>
      </c>
      <c r="DH21" t="s">
        <v>1699</v>
      </c>
      <c r="DI21">
        <v>6</v>
      </c>
      <c r="DJ21">
        <v>1.6199999999999999E-2</v>
      </c>
      <c r="DK21">
        <v>7.3394258404087536</v>
      </c>
      <c r="DL21">
        <v>836.51151225479089</v>
      </c>
      <c r="DM21">
        <v>0.42399999999999999</v>
      </c>
      <c r="DN21">
        <v>2.0899999999999998E-2</v>
      </c>
      <c r="DO21">
        <v>3.8015000000000327</v>
      </c>
      <c r="DP21">
        <v>2.0899999999999998E-2</v>
      </c>
    </row>
    <row r="22" spans="1:120" x14ac:dyDescent="0.3">
      <c r="A22" s="2">
        <v>45681</v>
      </c>
      <c r="B22" t="s">
        <v>208</v>
      </c>
      <c r="C22">
        <v>1</v>
      </c>
      <c r="D22">
        <v>1.67E-2</v>
      </c>
      <c r="E22">
        <v>7.3473025151975344</v>
      </c>
      <c r="F22">
        <v>837.25900869224608</v>
      </c>
      <c r="G22">
        <v>0.42399999999999999</v>
      </c>
      <c r="H22">
        <v>2.1000000000000001E-2</v>
      </c>
      <c r="I22">
        <v>3.9988099999999989</v>
      </c>
      <c r="J22">
        <v>2.1000000000000001E-2</v>
      </c>
      <c r="K22" s="2">
        <v>45681</v>
      </c>
      <c r="L22" t="s">
        <v>366</v>
      </c>
      <c r="M22">
        <v>1</v>
      </c>
      <c r="N22">
        <v>1.72E-2</v>
      </c>
      <c r="O22">
        <v>7.3143835614202972</v>
      </c>
      <c r="P22">
        <v>834.13499997878625</v>
      </c>
      <c r="Q22">
        <v>0.42399999999999999</v>
      </c>
      <c r="R22">
        <v>2.0500000000000001E-2</v>
      </c>
      <c r="S22">
        <v>4.0006199999999978</v>
      </c>
      <c r="T22">
        <v>2.0500000000000001E-2</v>
      </c>
      <c r="U22" s="2">
        <v>45681</v>
      </c>
      <c r="V22" t="s">
        <v>619</v>
      </c>
      <c r="W22">
        <v>2</v>
      </c>
      <c r="X22">
        <v>1.0500000000000001E-2</v>
      </c>
      <c r="Y22">
        <v>6.9788159687510127</v>
      </c>
      <c r="Z22">
        <v>802.28963543447117</v>
      </c>
      <c r="AA22">
        <v>0.42399999999999999</v>
      </c>
      <c r="AB22">
        <v>1.5299999999999999E-2</v>
      </c>
      <c r="AC22">
        <v>4.0002999999999957</v>
      </c>
      <c r="AD22">
        <v>1.5299999999999999E-2</v>
      </c>
      <c r="AE22" s="2">
        <v>45681</v>
      </c>
      <c r="AF22" t="s">
        <v>746</v>
      </c>
      <c r="AG22">
        <v>3</v>
      </c>
      <c r="AH22">
        <v>1.5800000000000002E-2</v>
      </c>
      <c r="AI22">
        <v>7.3473025151975344</v>
      </c>
      <c r="AJ22">
        <v>837.25900869224608</v>
      </c>
      <c r="AK22">
        <v>0.42399999999999999</v>
      </c>
      <c r="AL22">
        <v>2.1000000000000001E-2</v>
      </c>
      <c r="AM22">
        <v>3.9902999999999906</v>
      </c>
      <c r="AN22">
        <v>2.1000000000000001E-2</v>
      </c>
      <c r="AO22" s="2">
        <v>45681</v>
      </c>
      <c r="AP22" t="s">
        <v>816</v>
      </c>
      <c r="AQ22">
        <v>3</v>
      </c>
      <c r="AR22">
        <v>4.3E-3</v>
      </c>
      <c r="AS22">
        <v>6.6723396859793187</v>
      </c>
      <c r="AT22">
        <v>773.20503619943736</v>
      </c>
      <c r="AU22">
        <v>0.42399999999999999</v>
      </c>
      <c r="AV22">
        <v>1.0500000000000001E-2</v>
      </c>
      <c r="AW22">
        <v>3.9985999999999819</v>
      </c>
      <c r="AX22">
        <v>1.0500000000000001E-2</v>
      </c>
      <c r="AY22" s="2">
        <v>45681</v>
      </c>
      <c r="AZ22" t="s">
        <v>946</v>
      </c>
      <c r="BA22">
        <v>3</v>
      </c>
      <c r="BB22">
        <v>1.6899999999999998E-2</v>
      </c>
      <c r="BC22">
        <v>7.3473025151975344</v>
      </c>
      <c r="BD22">
        <v>837.25900869224608</v>
      </c>
      <c r="BE22">
        <v>0.42399999999999999</v>
      </c>
      <c r="BF22">
        <v>2.1000000000000001E-2</v>
      </c>
      <c r="BG22">
        <v>4</v>
      </c>
      <c r="BH22">
        <v>2.1000000000000001E-2</v>
      </c>
      <c r="BI22" s="2">
        <v>45681</v>
      </c>
      <c r="BJ22" t="s">
        <v>1020</v>
      </c>
      <c r="BK22">
        <v>4</v>
      </c>
      <c r="BL22">
        <v>1.3899999999999999E-2</v>
      </c>
      <c r="BM22">
        <v>7.2177647473531428</v>
      </c>
      <c r="BN22">
        <v>824.96587452381334</v>
      </c>
      <c r="BO22">
        <v>0.42399999999999999</v>
      </c>
      <c r="BP22">
        <v>1.9E-2</v>
      </c>
      <c r="BQ22">
        <v>3.9994999999999834</v>
      </c>
      <c r="BR22">
        <v>1.9E-2</v>
      </c>
      <c r="BS22" s="2">
        <v>45681</v>
      </c>
      <c r="BT22" t="s">
        <v>1144</v>
      </c>
      <c r="BU22">
        <v>4</v>
      </c>
      <c r="BV22">
        <v>3.3999999999999998E-3</v>
      </c>
      <c r="BW22">
        <v>5.9957334838115024</v>
      </c>
      <c r="BX22">
        <v>606.80236069123202</v>
      </c>
      <c r="BY22">
        <v>0.42399999999999999</v>
      </c>
      <c r="BZ22">
        <v>0</v>
      </c>
      <c r="CA22">
        <v>4.0020000000000095</v>
      </c>
      <c r="CB22">
        <v>0</v>
      </c>
      <c r="CC22" s="2">
        <v>45681</v>
      </c>
      <c r="CD22" t="s">
        <v>1264</v>
      </c>
      <c r="CE22">
        <v>4</v>
      </c>
      <c r="CF22">
        <v>1.54E-2</v>
      </c>
      <c r="CG22">
        <v>7.3473017042560347</v>
      </c>
      <c r="CH22">
        <v>837.25893173389773</v>
      </c>
      <c r="CI22">
        <v>0.42399999999999999</v>
      </c>
      <c r="CJ22">
        <v>2.1000000000000001E-2</v>
      </c>
      <c r="CK22">
        <v>4.0002999999999815</v>
      </c>
      <c r="CL22">
        <v>2.1000000000000001E-2</v>
      </c>
      <c r="CM22" s="2">
        <v>45681</v>
      </c>
      <c r="CN22" t="s">
        <v>1382</v>
      </c>
      <c r="CO22">
        <v>5</v>
      </c>
      <c r="CP22">
        <v>1.6500000000000001E-2</v>
      </c>
      <c r="CQ22">
        <v>7.3473025151975344</v>
      </c>
      <c r="CR22">
        <v>837.25900869224608</v>
      </c>
      <c r="CS22">
        <v>0.42399999999999999</v>
      </c>
      <c r="CT22">
        <v>2.1000000000000001E-2</v>
      </c>
      <c r="CU22">
        <v>4.0003000000000384</v>
      </c>
      <c r="CV22">
        <v>2.1000000000000001E-2</v>
      </c>
      <c r="CW22" s="2">
        <v>45681</v>
      </c>
      <c r="CX22" t="s">
        <v>1542</v>
      </c>
      <c r="CY22">
        <v>5</v>
      </c>
      <c r="CZ22">
        <v>1.61E-2</v>
      </c>
      <c r="DA22">
        <v>7.3473025151975344</v>
      </c>
      <c r="DB22">
        <v>837.25900869224608</v>
      </c>
      <c r="DC22">
        <v>0.42399999999999999</v>
      </c>
      <c r="DD22">
        <v>2.1000000000000001E-2</v>
      </c>
      <c r="DE22">
        <v>3.9995000000000118</v>
      </c>
      <c r="DF22">
        <v>2.1000000000000001E-2</v>
      </c>
      <c r="DG22" s="2">
        <v>45681</v>
      </c>
      <c r="DH22" t="s">
        <v>1700</v>
      </c>
      <c r="DI22">
        <v>6</v>
      </c>
      <c r="DJ22">
        <v>1.6500000000000001E-2</v>
      </c>
      <c r="DK22">
        <v>7.3472992714315346</v>
      </c>
      <c r="DL22">
        <v>837.25870085885265</v>
      </c>
      <c r="DM22">
        <v>0.42399999999999999</v>
      </c>
      <c r="DN22">
        <v>2.1000000000000001E-2</v>
      </c>
      <c r="DO22">
        <v>4.0001000000000317</v>
      </c>
      <c r="DP22">
        <v>2.1000000000000001E-2</v>
      </c>
    </row>
    <row r="23" spans="1:120" x14ac:dyDescent="0.3">
      <c r="A23" s="2">
        <v>45681</v>
      </c>
      <c r="B23" t="s">
        <v>209</v>
      </c>
      <c r="C23">
        <v>1</v>
      </c>
      <c r="D23">
        <v>1.67E-2</v>
      </c>
      <c r="E23">
        <v>7.3388999448460526</v>
      </c>
      <c r="F23">
        <v>731.98547485965219</v>
      </c>
      <c r="G23">
        <v>0.42399999999999999</v>
      </c>
      <c r="H23">
        <v>2.0899999999999998E-2</v>
      </c>
      <c r="I23">
        <v>4.1995700000000014</v>
      </c>
      <c r="J23">
        <v>2.0899999999999998E-2</v>
      </c>
      <c r="K23" s="2">
        <v>45681</v>
      </c>
      <c r="L23" t="s">
        <v>367</v>
      </c>
      <c r="M23">
        <v>1</v>
      </c>
      <c r="N23">
        <v>1.77E-2</v>
      </c>
      <c r="O23">
        <v>7.3391910728445273</v>
      </c>
      <c r="P23">
        <v>836.48923281294572</v>
      </c>
      <c r="Q23">
        <v>0.42399999999999999</v>
      </c>
      <c r="R23">
        <v>2.0899999999999998E-2</v>
      </c>
      <c r="S23">
        <v>4.2021900000000016</v>
      </c>
      <c r="T23">
        <v>2.0899999999999998E-2</v>
      </c>
      <c r="U23" s="2">
        <v>45681</v>
      </c>
      <c r="V23" t="s">
        <v>620</v>
      </c>
      <c r="W23">
        <v>2</v>
      </c>
      <c r="X23">
        <v>1.2E-2</v>
      </c>
      <c r="Y23">
        <v>7.0685539441913008</v>
      </c>
      <c r="Z23">
        <v>810.80576930375446</v>
      </c>
      <c r="AA23">
        <v>0.42399999999999999</v>
      </c>
      <c r="AB23">
        <v>1.67E-2</v>
      </c>
      <c r="AC23">
        <v>4.1987999999999914</v>
      </c>
      <c r="AD23">
        <v>1.67E-2</v>
      </c>
      <c r="AE23" s="2">
        <v>45681</v>
      </c>
      <c r="AF23" t="s">
        <v>747</v>
      </c>
      <c r="AG23">
        <v>3</v>
      </c>
      <c r="AH23">
        <v>1.5800000000000002E-2</v>
      </c>
      <c r="AI23">
        <v>7.3389173800883034</v>
      </c>
      <c r="AJ23">
        <v>731.98709982422986</v>
      </c>
      <c r="AK23">
        <v>0.42399999999999999</v>
      </c>
      <c r="AL23">
        <v>2.0899999999999998E-2</v>
      </c>
      <c r="AM23">
        <v>4.1903999999999826</v>
      </c>
      <c r="AN23">
        <v>2.0899999999999998E-2</v>
      </c>
      <c r="AO23" s="2">
        <v>45681</v>
      </c>
      <c r="AP23" t="s">
        <v>817</v>
      </c>
      <c r="AQ23">
        <v>3</v>
      </c>
      <c r="AR23">
        <v>6.3E-3</v>
      </c>
      <c r="AS23">
        <v>6.7766259519282714</v>
      </c>
      <c r="AT23">
        <v>783.10180283799286</v>
      </c>
      <c r="AU23">
        <v>0.42399999999999999</v>
      </c>
      <c r="AV23">
        <v>1.21E-2</v>
      </c>
      <c r="AW23">
        <v>4.1958999999999946</v>
      </c>
      <c r="AX23">
        <v>1.21E-2</v>
      </c>
      <c r="AY23" s="2">
        <v>45681</v>
      </c>
      <c r="AZ23" t="s">
        <v>947</v>
      </c>
      <c r="BA23">
        <v>3</v>
      </c>
      <c r="BB23">
        <v>1.6899999999999998E-2</v>
      </c>
      <c r="BC23">
        <v>7.3390187477757909</v>
      </c>
      <c r="BD23">
        <v>731.99654729270378</v>
      </c>
      <c r="BE23">
        <v>0.42399999999999999</v>
      </c>
      <c r="BF23">
        <v>2.0899999999999998E-2</v>
      </c>
      <c r="BG23">
        <v>4.200099999999992</v>
      </c>
      <c r="BH23">
        <v>2.0899999999999998E-2</v>
      </c>
      <c r="BI23" s="2">
        <v>45681</v>
      </c>
      <c r="BJ23" t="s">
        <v>1021</v>
      </c>
      <c r="BK23">
        <v>4</v>
      </c>
      <c r="BL23">
        <v>1.54E-2</v>
      </c>
      <c r="BM23">
        <v>7.2733487051118049</v>
      </c>
      <c r="BN23">
        <v>830.24079211511037</v>
      </c>
      <c r="BO23">
        <v>0.42399999999999999</v>
      </c>
      <c r="BP23">
        <v>1.9900000000000001E-2</v>
      </c>
      <c r="BQ23">
        <v>4.199799999999982</v>
      </c>
      <c r="BR23">
        <v>1.9900000000000001E-2</v>
      </c>
      <c r="BS23" s="2">
        <v>45681</v>
      </c>
      <c r="BT23" t="s">
        <v>1145</v>
      </c>
      <c r="BU23">
        <v>4</v>
      </c>
      <c r="BV23">
        <v>3.3999999999999998E-3</v>
      </c>
      <c r="BW23">
        <v>5.9957334838115024</v>
      </c>
      <c r="BX23">
        <v>606.80236069123202</v>
      </c>
      <c r="BY23">
        <v>0.42399999999999999</v>
      </c>
      <c r="BZ23">
        <v>0</v>
      </c>
      <c r="CA23">
        <v>4.2013000000000034</v>
      </c>
      <c r="CB23">
        <v>0</v>
      </c>
      <c r="CC23" s="2">
        <v>45681</v>
      </c>
      <c r="CD23" t="s">
        <v>1265</v>
      </c>
      <c r="CE23">
        <v>4</v>
      </c>
      <c r="CF23">
        <v>1.55E-2</v>
      </c>
      <c r="CG23">
        <v>7.3389615764000471</v>
      </c>
      <c r="CH23">
        <v>731.99121892048436</v>
      </c>
      <c r="CI23">
        <v>0.42399999999999999</v>
      </c>
      <c r="CJ23">
        <v>2.0899999999999998E-2</v>
      </c>
      <c r="CK23">
        <v>4.2024999999999864</v>
      </c>
      <c r="CL23">
        <v>2.0899999999999998E-2</v>
      </c>
      <c r="CM23" s="2">
        <v>45681</v>
      </c>
      <c r="CN23" t="s">
        <v>1383</v>
      </c>
      <c r="CO23">
        <v>5</v>
      </c>
      <c r="CP23">
        <v>1.6500000000000001E-2</v>
      </c>
      <c r="CQ23">
        <v>7.3391391725885304</v>
      </c>
      <c r="CR23">
        <v>732.00777088525103</v>
      </c>
      <c r="CS23">
        <v>0.42399999999999999</v>
      </c>
      <c r="CT23">
        <v>2.0899999999999998E-2</v>
      </c>
      <c r="CU23">
        <v>4.1989000000000374</v>
      </c>
      <c r="CV23">
        <v>2.0899999999999998E-2</v>
      </c>
      <c r="CW23" s="2">
        <v>45681</v>
      </c>
      <c r="CX23" t="s">
        <v>1543</v>
      </c>
      <c r="CY23">
        <v>5</v>
      </c>
      <c r="CZ23">
        <v>1.61E-2</v>
      </c>
      <c r="DA23">
        <v>7.3389680639320467</v>
      </c>
      <c r="DB23">
        <v>731.99182355846676</v>
      </c>
      <c r="DC23">
        <v>0.42399999999999999</v>
      </c>
      <c r="DD23">
        <v>2.0899999999999998E-2</v>
      </c>
      <c r="DE23">
        <v>4.1995000000000005</v>
      </c>
      <c r="DF23">
        <v>2.0899999999999998E-2</v>
      </c>
      <c r="DG23" s="2">
        <v>45681</v>
      </c>
      <c r="DH23" t="s">
        <v>1701</v>
      </c>
      <c r="DI23">
        <v>6</v>
      </c>
      <c r="DJ23">
        <v>1.6500000000000001E-2</v>
      </c>
      <c r="DK23">
        <v>7.33849528503759</v>
      </c>
      <c r="DL23">
        <v>731.94776056550336</v>
      </c>
      <c r="DM23">
        <v>0.42399999999999999</v>
      </c>
      <c r="DN23">
        <v>2.0899999999999998E-2</v>
      </c>
      <c r="DO23">
        <v>4.2019000000000233</v>
      </c>
      <c r="DP23">
        <v>2.0899999999999998E-2</v>
      </c>
    </row>
    <row r="24" spans="1:120" x14ac:dyDescent="0.3">
      <c r="A24" s="2">
        <v>45681</v>
      </c>
      <c r="B24" t="s">
        <v>210</v>
      </c>
      <c r="C24">
        <v>1</v>
      </c>
      <c r="D24">
        <v>1.67E-2</v>
      </c>
      <c r="E24">
        <v>7.3141419008533202</v>
      </c>
      <c r="F24">
        <v>729.67802515952951</v>
      </c>
      <c r="G24">
        <v>0.42399999999999999</v>
      </c>
      <c r="H24">
        <v>2.0500000000000001E-2</v>
      </c>
      <c r="I24">
        <v>4.3991000000000007</v>
      </c>
      <c r="J24">
        <v>2.0500000000000001E-2</v>
      </c>
      <c r="K24" s="2">
        <v>45681</v>
      </c>
      <c r="L24" t="s">
        <v>368</v>
      </c>
      <c r="M24">
        <v>1</v>
      </c>
      <c r="N24">
        <v>1.7899999999999999E-2</v>
      </c>
      <c r="O24">
        <v>7.3473025151975344</v>
      </c>
      <c r="P24">
        <v>837.25900869224608</v>
      </c>
      <c r="Q24">
        <v>0.42399999999999999</v>
      </c>
      <c r="R24">
        <v>2.1000000000000001E-2</v>
      </c>
      <c r="S24">
        <v>4.4003999999999976</v>
      </c>
      <c r="T24">
        <v>2.1000000000000001E-2</v>
      </c>
      <c r="U24" s="2">
        <v>45681</v>
      </c>
      <c r="V24" t="s">
        <v>621</v>
      </c>
      <c r="W24">
        <v>2</v>
      </c>
      <c r="X24">
        <v>1.35E-2</v>
      </c>
      <c r="Y24">
        <v>7.1494100828536489</v>
      </c>
      <c r="Z24">
        <v>818.47901686281136</v>
      </c>
      <c r="AA24">
        <v>0.42399999999999999</v>
      </c>
      <c r="AB24">
        <v>1.7899999999999999E-2</v>
      </c>
      <c r="AC24">
        <v>4.3992999999999967</v>
      </c>
      <c r="AD24">
        <v>1.7899999999999999E-2</v>
      </c>
      <c r="AE24" s="2">
        <v>45681</v>
      </c>
      <c r="AF24" t="s">
        <v>748</v>
      </c>
      <c r="AG24">
        <v>3</v>
      </c>
      <c r="AH24">
        <v>1.5800000000000002E-2</v>
      </c>
      <c r="AI24">
        <v>7.3139290287095893</v>
      </c>
      <c r="AJ24">
        <v>729.65818547573372</v>
      </c>
      <c r="AK24">
        <v>0.42399999999999999</v>
      </c>
      <c r="AL24">
        <v>2.0500000000000001E-2</v>
      </c>
      <c r="AM24">
        <v>4.3914000000000044</v>
      </c>
      <c r="AN24">
        <v>2.0500000000000001E-2</v>
      </c>
      <c r="AO24" s="2">
        <v>45681</v>
      </c>
      <c r="AP24" t="s">
        <v>818</v>
      </c>
      <c r="AQ24">
        <v>3</v>
      </c>
      <c r="AR24">
        <v>8.3999999999999995E-3</v>
      </c>
      <c r="AS24">
        <v>6.8808761309804796</v>
      </c>
      <c r="AT24">
        <v>792.99514483004759</v>
      </c>
      <c r="AU24">
        <v>0.42399999999999999</v>
      </c>
      <c r="AV24">
        <v>1.38E-2</v>
      </c>
      <c r="AW24">
        <v>4.3980999999999995</v>
      </c>
      <c r="AX24">
        <v>1.38E-2</v>
      </c>
      <c r="AY24" s="2">
        <v>45681</v>
      </c>
      <c r="AZ24" t="s">
        <v>948</v>
      </c>
      <c r="BA24">
        <v>3</v>
      </c>
      <c r="BB24">
        <v>1.6799999999999999E-2</v>
      </c>
      <c r="BC24">
        <v>7.3141216273158216</v>
      </c>
      <c r="BD24">
        <v>729.67613566583464</v>
      </c>
      <c r="BE24">
        <v>0.42399999999999999</v>
      </c>
      <c r="BF24">
        <v>2.0500000000000001E-2</v>
      </c>
      <c r="BG24">
        <v>4.4010999999999854</v>
      </c>
      <c r="BH24">
        <v>2.0500000000000001E-2</v>
      </c>
      <c r="BI24" s="2">
        <v>45681</v>
      </c>
      <c r="BJ24" t="s">
        <v>1022</v>
      </c>
      <c r="BK24">
        <v>4</v>
      </c>
      <c r="BL24">
        <v>1.6500000000000001E-2</v>
      </c>
      <c r="BM24">
        <v>7.313943625656588</v>
      </c>
      <c r="BN24">
        <v>834.09325007481027</v>
      </c>
      <c r="BO24">
        <v>0.42399999999999999</v>
      </c>
      <c r="BP24">
        <v>2.0500000000000001E-2</v>
      </c>
      <c r="BQ24">
        <v>4.3992999999999824</v>
      </c>
      <c r="BR24">
        <v>2.0500000000000001E-2</v>
      </c>
      <c r="BS24" s="2">
        <v>45681</v>
      </c>
      <c r="BT24" t="s">
        <v>1146</v>
      </c>
      <c r="BU24">
        <v>4</v>
      </c>
      <c r="BV24">
        <v>3.3999999999999998E-3</v>
      </c>
      <c r="BW24">
        <v>5.9957334838115024</v>
      </c>
      <c r="BX24">
        <v>606.80236069123202</v>
      </c>
      <c r="BY24">
        <v>0.42399999999999999</v>
      </c>
      <c r="BZ24">
        <v>0</v>
      </c>
      <c r="CA24">
        <v>4.3999000000000024</v>
      </c>
      <c r="CB24">
        <v>0</v>
      </c>
      <c r="CC24" s="2">
        <v>45681</v>
      </c>
      <c r="CD24" t="s">
        <v>1266</v>
      </c>
      <c r="CE24">
        <v>4</v>
      </c>
      <c r="CF24">
        <v>1.54E-2</v>
      </c>
      <c r="CG24">
        <v>7.3146130578647757</v>
      </c>
      <c r="CH24">
        <v>729.72193699299714</v>
      </c>
      <c r="CI24">
        <v>0.42399999999999999</v>
      </c>
      <c r="CJ24">
        <v>2.0500000000000001E-2</v>
      </c>
      <c r="CK24">
        <v>4.3999000000000024</v>
      </c>
      <c r="CL24">
        <v>2.0500000000000001E-2</v>
      </c>
      <c r="CM24" s="2">
        <v>45681</v>
      </c>
      <c r="CN24" t="s">
        <v>1384</v>
      </c>
      <c r="CO24">
        <v>5</v>
      </c>
      <c r="CP24">
        <v>1.6500000000000001E-2</v>
      </c>
      <c r="CQ24">
        <v>7.3143766684175473</v>
      </c>
      <c r="CR24">
        <v>729.69990549651538</v>
      </c>
      <c r="CS24">
        <v>0.42399999999999999</v>
      </c>
      <c r="CT24">
        <v>2.0500000000000001E-2</v>
      </c>
      <c r="CU24">
        <v>4.3999000000000024</v>
      </c>
      <c r="CV24">
        <v>2.0500000000000001E-2</v>
      </c>
      <c r="CW24" s="2">
        <v>45681</v>
      </c>
      <c r="CX24" t="s">
        <v>1544</v>
      </c>
      <c r="CY24">
        <v>5</v>
      </c>
      <c r="CZ24">
        <v>1.61E-2</v>
      </c>
      <c r="DA24">
        <v>7.3137838701811022</v>
      </c>
      <c r="DB24">
        <v>729.64465670087873</v>
      </c>
      <c r="DC24">
        <v>0.42399999999999999</v>
      </c>
      <c r="DD24">
        <v>2.0500000000000001E-2</v>
      </c>
      <c r="DE24">
        <v>4.4019999999999868</v>
      </c>
      <c r="DF24">
        <v>2.0500000000000001E-2</v>
      </c>
      <c r="DG24" s="2">
        <v>45681</v>
      </c>
      <c r="DH24" t="s">
        <v>1702</v>
      </c>
      <c r="DI24">
        <v>6</v>
      </c>
      <c r="DJ24">
        <v>1.6500000000000001E-2</v>
      </c>
      <c r="DK24">
        <v>7.3136918283208594</v>
      </c>
      <c r="DL24">
        <v>729.63607839950407</v>
      </c>
      <c r="DM24">
        <v>0.42399999999999999</v>
      </c>
      <c r="DN24">
        <v>2.0500000000000001E-2</v>
      </c>
      <c r="DO24">
        <v>4.3993000000000393</v>
      </c>
      <c r="DP24">
        <v>2.0500000000000001E-2</v>
      </c>
    </row>
    <row r="25" spans="1:120" x14ac:dyDescent="0.3">
      <c r="A25" s="2">
        <v>45681</v>
      </c>
      <c r="B25" t="s">
        <v>211</v>
      </c>
      <c r="C25">
        <v>1</v>
      </c>
      <c r="D25">
        <v>1.67E-2</v>
      </c>
      <c r="E25">
        <v>7.273523463005036</v>
      </c>
      <c r="F25">
        <v>725.89238675206934</v>
      </c>
      <c r="G25">
        <v>0.42399999999999999</v>
      </c>
      <c r="H25">
        <v>1.9900000000000001E-2</v>
      </c>
      <c r="I25">
        <v>4.5990900000000003</v>
      </c>
      <c r="J25">
        <v>1.9900000000000001E-2</v>
      </c>
      <c r="K25" s="2">
        <v>45681</v>
      </c>
      <c r="L25" t="s">
        <v>369</v>
      </c>
      <c r="M25">
        <v>1</v>
      </c>
      <c r="N25">
        <v>1.7899999999999999E-2</v>
      </c>
      <c r="O25">
        <v>7.3389554943387987</v>
      </c>
      <c r="P25">
        <v>731.99065207237607</v>
      </c>
      <c r="Q25">
        <v>0.42399999999999999</v>
      </c>
      <c r="R25">
        <v>2.0899999999999998E-2</v>
      </c>
      <c r="S25">
        <v>4.6000000000000014</v>
      </c>
      <c r="T25">
        <v>2.0899999999999998E-2</v>
      </c>
      <c r="U25" s="2">
        <v>45681</v>
      </c>
      <c r="V25" t="s">
        <v>622</v>
      </c>
      <c r="W25">
        <v>2</v>
      </c>
      <c r="X25">
        <v>1.43E-2</v>
      </c>
      <c r="Y25">
        <v>7.2180672285326146</v>
      </c>
      <c r="Z25">
        <v>824.99457998774517</v>
      </c>
      <c r="AA25">
        <v>0.42399999999999999</v>
      </c>
      <c r="AB25">
        <v>1.9E-2</v>
      </c>
      <c r="AC25">
        <v>4.5985999999999905</v>
      </c>
      <c r="AD25">
        <v>1.9E-2</v>
      </c>
      <c r="AE25" s="2">
        <v>45681</v>
      </c>
      <c r="AF25" t="s">
        <v>749</v>
      </c>
      <c r="AG25">
        <v>3</v>
      </c>
      <c r="AH25">
        <v>1.5800000000000002E-2</v>
      </c>
      <c r="AI25">
        <v>7.2737095740792714</v>
      </c>
      <c r="AJ25">
        <v>725.90973230418808</v>
      </c>
      <c r="AK25">
        <v>0.42399999999999999</v>
      </c>
      <c r="AL25">
        <v>1.9900000000000001E-2</v>
      </c>
      <c r="AM25">
        <v>4.5893000000000086</v>
      </c>
      <c r="AN25">
        <v>1.9900000000000001E-2</v>
      </c>
      <c r="AO25" s="2">
        <v>45681</v>
      </c>
      <c r="AP25" t="s">
        <v>819</v>
      </c>
      <c r="AQ25">
        <v>3</v>
      </c>
      <c r="AR25">
        <v>0.01</v>
      </c>
      <c r="AS25">
        <v>6.9778590577811013</v>
      </c>
      <c r="AT25">
        <v>802.19882458342659</v>
      </c>
      <c r="AU25">
        <v>0.42399999999999999</v>
      </c>
      <c r="AV25">
        <v>1.5299999999999999E-2</v>
      </c>
      <c r="AW25">
        <v>4.5960999999999785</v>
      </c>
      <c r="AX25">
        <v>1.5299999999999999E-2</v>
      </c>
      <c r="AY25" s="2">
        <v>45681</v>
      </c>
      <c r="AZ25" t="s">
        <v>949</v>
      </c>
      <c r="BA25">
        <v>3</v>
      </c>
      <c r="BB25">
        <v>1.6799999999999999E-2</v>
      </c>
      <c r="BC25">
        <v>7.2732299021820639</v>
      </c>
      <c r="BD25">
        <v>725.86502688336839</v>
      </c>
      <c r="BE25">
        <v>0.42399999999999999</v>
      </c>
      <c r="BF25">
        <v>1.9800000000000002E-2</v>
      </c>
      <c r="BG25">
        <v>4.6021999999999821</v>
      </c>
      <c r="BH25">
        <v>1.9800000000000002E-2</v>
      </c>
      <c r="BI25" s="2">
        <v>45681</v>
      </c>
      <c r="BJ25" t="s">
        <v>1023</v>
      </c>
      <c r="BK25">
        <v>4</v>
      </c>
      <c r="BL25">
        <v>1.7100000000000001E-2</v>
      </c>
      <c r="BM25">
        <v>7.3388541266513077</v>
      </c>
      <c r="BN25">
        <v>836.45725661920915</v>
      </c>
      <c r="BO25">
        <v>0.42399999999999999</v>
      </c>
      <c r="BP25">
        <v>2.0899999999999998E-2</v>
      </c>
      <c r="BQ25">
        <v>4.5994999999999777</v>
      </c>
      <c r="BR25">
        <v>2.0899999999999998E-2</v>
      </c>
      <c r="BS25" s="2">
        <v>45681</v>
      </c>
      <c r="BT25" t="s">
        <v>1147</v>
      </c>
      <c r="BU25">
        <v>4</v>
      </c>
      <c r="BV25">
        <v>3.3999999999999998E-3</v>
      </c>
      <c r="BW25">
        <v>5.9957334838115024</v>
      </c>
      <c r="BX25">
        <v>606.80236069123202</v>
      </c>
      <c r="BY25">
        <v>0.42399999999999999</v>
      </c>
      <c r="BZ25">
        <v>0</v>
      </c>
      <c r="CA25">
        <v>4.6009999999999991</v>
      </c>
      <c r="CB25">
        <v>0</v>
      </c>
      <c r="CC25" s="2">
        <v>45681</v>
      </c>
      <c r="CD25" t="s">
        <v>1267</v>
      </c>
      <c r="CE25">
        <v>4</v>
      </c>
      <c r="CF25">
        <v>1.54E-2</v>
      </c>
      <c r="CG25">
        <v>7.2734865651667908</v>
      </c>
      <c r="CH25">
        <v>725.88894787354491</v>
      </c>
      <c r="CI25">
        <v>0.42399999999999999</v>
      </c>
      <c r="CJ25">
        <v>1.9900000000000001E-2</v>
      </c>
      <c r="CK25">
        <v>4.6029999999999802</v>
      </c>
      <c r="CL25">
        <v>1.9900000000000001E-2</v>
      </c>
      <c r="CM25" s="2">
        <v>45681</v>
      </c>
      <c r="CN25" t="s">
        <v>1385</v>
      </c>
      <c r="CO25">
        <v>5</v>
      </c>
      <c r="CP25">
        <v>1.66E-2</v>
      </c>
      <c r="CQ25">
        <v>7.2738068870592612</v>
      </c>
      <c r="CR25">
        <v>725.91880187392314</v>
      </c>
      <c r="CS25">
        <v>0.42399999999999999</v>
      </c>
      <c r="CT25">
        <v>1.9900000000000001E-2</v>
      </c>
      <c r="CU25">
        <v>4.6001000000000545</v>
      </c>
      <c r="CV25">
        <v>1.9900000000000001E-2</v>
      </c>
      <c r="CW25" s="2">
        <v>45681</v>
      </c>
      <c r="CX25" t="s">
        <v>1545</v>
      </c>
      <c r="CY25">
        <v>5</v>
      </c>
      <c r="CZ25">
        <v>1.61E-2</v>
      </c>
      <c r="DA25">
        <v>7.2730020276205849</v>
      </c>
      <c r="DB25">
        <v>725.84378897423858</v>
      </c>
      <c r="DC25">
        <v>0.42399999999999999</v>
      </c>
      <c r="DD25">
        <v>1.9800000000000002E-2</v>
      </c>
      <c r="DE25">
        <v>4.6020000000000323</v>
      </c>
      <c r="DF25">
        <v>1.9800000000000002E-2</v>
      </c>
      <c r="DG25" s="2">
        <v>45681</v>
      </c>
      <c r="DH25" t="s">
        <v>1703</v>
      </c>
      <c r="DI25">
        <v>6</v>
      </c>
      <c r="DJ25">
        <v>1.6500000000000001E-2</v>
      </c>
      <c r="DK25">
        <v>7.272721441861612</v>
      </c>
      <c r="DL25">
        <v>725.81763838150221</v>
      </c>
      <c r="DM25">
        <v>0.42399999999999999</v>
      </c>
      <c r="DN25">
        <v>1.9800000000000002E-2</v>
      </c>
      <c r="DO25">
        <v>4.599899999999991</v>
      </c>
      <c r="DP25">
        <v>1.9800000000000002E-2</v>
      </c>
    </row>
    <row r="26" spans="1:120" x14ac:dyDescent="0.3">
      <c r="A26" s="2">
        <v>45681</v>
      </c>
      <c r="B26" t="s">
        <v>212</v>
      </c>
      <c r="C26">
        <v>1</v>
      </c>
      <c r="D26">
        <v>1.66E-2</v>
      </c>
      <c r="E26">
        <v>7.2171780311779461</v>
      </c>
      <c r="F26">
        <v>720.64099250578465</v>
      </c>
      <c r="G26">
        <v>0.42399999999999999</v>
      </c>
      <c r="H26">
        <v>1.9E-2</v>
      </c>
      <c r="I26">
        <v>4.8019700000000007</v>
      </c>
      <c r="J26">
        <v>1.9E-2</v>
      </c>
      <c r="K26" s="2">
        <v>45681</v>
      </c>
      <c r="L26" t="s">
        <v>370</v>
      </c>
      <c r="M26">
        <v>1</v>
      </c>
      <c r="N26">
        <v>1.7899999999999999E-2</v>
      </c>
      <c r="O26">
        <v>7.3141179780790706</v>
      </c>
      <c r="P26">
        <v>729.67579555696943</v>
      </c>
      <c r="Q26">
        <v>0.42399999999999999</v>
      </c>
      <c r="R26">
        <v>2.0500000000000001E-2</v>
      </c>
      <c r="S26">
        <v>4.8003399999999985</v>
      </c>
      <c r="T26">
        <v>2.0500000000000001E-2</v>
      </c>
      <c r="U26" s="2">
        <v>45681</v>
      </c>
      <c r="V26" t="s">
        <v>623</v>
      </c>
      <c r="W26">
        <v>2</v>
      </c>
      <c r="X26">
        <v>1.5599999999999999E-2</v>
      </c>
      <c r="Y26">
        <v>7.27448361774095</v>
      </c>
      <c r="Z26">
        <v>830.34849532361625</v>
      </c>
      <c r="AA26">
        <v>0.42399999999999999</v>
      </c>
      <c r="AB26">
        <v>1.9900000000000001E-2</v>
      </c>
      <c r="AC26">
        <v>4.8026999999999873</v>
      </c>
      <c r="AD26">
        <v>1.9900000000000001E-2</v>
      </c>
      <c r="AE26" s="2">
        <v>45681</v>
      </c>
      <c r="AF26" t="s">
        <v>750</v>
      </c>
      <c r="AG26">
        <v>3</v>
      </c>
      <c r="AH26">
        <v>1.5800000000000002E-2</v>
      </c>
      <c r="AI26">
        <v>7.2178288117316347</v>
      </c>
      <c r="AJ26">
        <v>720.70164525338839</v>
      </c>
      <c r="AK26">
        <v>0.42399999999999999</v>
      </c>
      <c r="AL26">
        <v>1.9E-2</v>
      </c>
      <c r="AM26">
        <v>4.7908999999999935</v>
      </c>
      <c r="AN26">
        <v>1.9E-2</v>
      </c>
      <c r="AO26" s="2">
        <v>45681</v>
      </c>
      <c r="AP26" t="s">
        <v>820</v>
      </c>
      <c r="AQ26">
        <v>3</v>
      </c>
      <c r="AR26">
        <v>1.14E-2</v>
      </c>
      <c r="AS26">
        <v>7.0693782662259759</v>
      </c>
      <c r="AT26">
        <v>810.88399746484515</v>
      </c>
      <c r="AU26">
        <v>0.42399999999999999</v>
      </c>
      <c r="AV26">
        <v>1.67E-2</v>
      </c>
      <c r="AW26">
        <v>4.7985999999999933</v>
      </c>
      <c r="AX26">
        <v>1.67E-2</v>
      </c>
      <c r="AY26" s="2">
        <v>45681</v>
      </c>
      <c r="AZ26" t="s">
        <v>950</v>
      </c>
      <c r="BA26">
        <v>3</v>
      </c>
      <c r="BB26">
        <v>1.6799999999999999E-2</v>
      </c>
      <c r="BC26">
        <v>7.2183636276508363</v>
      </c>
      <c r="BD26">
        <v>720.75149009705797</v>
      </c>
      <c r="BE26">
        <v>0.42399999999999999</v>
      </c>
      <c r="BF26">
        <v>1.9E-2</v>
      </c>
      <c r="BG26">
        <v>4.8000999999999863</v>
      </c>
      <c r="BH26">
        <v>1.9E-2</v>
      </c>
      <c r="BI26" s="2">
        <v>45681</v>
      </c>
      <c r="BJ26" t="s">
        <v>1024</v>
      </c>
      <c r="BK26">
        <v>4</v>
      </c>
      <c r="BL26">
        <v>1.7500000000000002E-2</v>
      </c>
      <c r="BM26">
        <v>7.3473021097267832</v>
      </c>
      <c r="BN26">
        <v>837.25897021307173</v>
      </c>
      <c r="BO26">
        <v>0.42399999999999999</v>
      </c>
      <c r="BP26">
        <v>2.1000000000000001E-2</v>
      </c>
      <c r="BQ26">
        <v>4.7991999999999848</v>
      </c>
      <c r="BR26">
        <v>2.1000000000000001E-2</v>
      </c>
      <c r="BS26" s="2">
        <v>45681</v>
      </c>
      <c r="BT26" t="s">
        <v>1148</v>
      </c>
      <c r="BU26">
        <v>4</v>
      </c>
      <c r="BV26">
        <v>3.3999999999999998E-3</v>
      </c>
      <c r="BW26">
        <v>5.9957334838115024</v>
      </c>
      <c r="BX26">
        <v>606.80236069123202</v>
      </c>
      <c r="BY26">
        <v>0.42399999999999999</v>
      </c>
      <c r="BZ26">
        <v>0</v>
      </c>
      <c r="CA26">
        <v>4.801400000000001</v>
      </c>
      <c r="CB26">
        <v>0</v>
      </c>
      <c r="CC26" s="2">
        <v>45681</v>
      </c>
      <c r="CD26" t="s">
        <v>1268</v>
      </c>
      <c r="CE26">
        <v>4</v>
      </c>
      <c r="CF26">
        <v>1.54E-2</v>
      </c>
      <c r="CG26">
        <v>7.2183372720520893</v>
      </c>
      <c r="CH26">
        <v>720.7490337552548</v>
      </c>
      <c r="CI26">
        <v>0.42399999999999999</v>
      </c>
      <c r="CJ26">
        <v>1.9E-2</v>
      </c>
      <c r="CK26">
        <v>4.8019999999999925</v>
      </c>
      <c r="CL26">
        <v>1.9E-2</v>
      </c>
      <c r="CM26" s="2">
        <v>45681</v>
      </c>
      <c r="CN26" t="s">
        <v>1386</v>
      </c>
      <c r="CO26">
        <v>5</v>
      </c>
      <c r="CP26">
        <v>1.6500000000000001E-2</v>
      </c>
      <c r="CQ26">
        <v>7.2185282487753222</v>
      </c>
      <c r="CR26">
        <v>720.76683278586006</v>
      </c>
      <c r="CS26">
        <v>0.42399999999999999</v>
      </c>
      <c r="CT26">
        <v>1.9E-2</v>
      </c>
      <c r="CU26">
        <v>4.7999000000000365</v>
      </c>
      <c r="CV26">
        <v>1.9E-2</v>
      </c>
      <c r="CW26" s="2">
        <v>45681</v>
      </c>
      <c r="CX26" t="s">
        <v>1546</v>
      </c>
      <c r="CY26">
        <v>5</v>
      </c>
      <c r="CZ26">
        <v>1.61E-2</v>
      </c>
      <c r="DA26">
        <v>7.2182148198856</v>
      </c>
      <c r="DB26">
        <v>720.73762121333789</v>
      </c>
      <c r="DC26">
        <v>0.42399999999999999</v>
      </c>
      <c r="DD26">
        <v>1.9E-2</v>
      </c>
      <c r="DE26">
        <v>4.7993999999999915</v>
      </c>
      <c r="DF26">
        <v>1.9E-2</v>
      </c>
      <c r="DG26" s="2">
        <v>45681</v>
      </c>
      <c r="DH26" t="s">
        <v>1704</v>
      </c>
      <c r="DI26">
        <v>6</v>
      </c>
      <c r="DJ26">
        <v>1.6500000000000001E-2</v>
      </c>
      <c r="DK26">
        <v>7.2172027648936918</v>
      </c>
      <c r="DL26">
        <v>720.64329768809205</v>
      </c>
      <c r="DM26">
        <v>0.42399999999999999</v>
      </c>
      <c r="DN26">
        <v>1.9E-2</v>
      </c>
      <c r="DO26">
        <v>4.7993999999999915</v>
      </c>
      <c r="DP26">
        <v>1.9E-2</v>
      </c>
    </row>
    <row r="27" spans="1:120" x14ac:dyDescent="0.3">
      <c r="A27" s="2">
        <v>45681</v>
      </c>
      <c r="B27" t="s">
        <v>213</v>
      </c>
      <c r="C27">
        <v>1</v>
      </c>
      <c r="D27">
        <v>1.67E-2</v>
      </c>
      <c r="E27">
        <v>7.149038266175932</v>
      </c>
      <c r="F27">
        <v>714.29036640759693</v>
      </c>
      <c r="G27">
        <v>0.42399999999999999</v>
      </c>
      <c r="H27">
        <v>1.7899999999999999E-2</v>
      </c>
      <c r="I27">
        <v>4.9994599999999991</v>
      </c>
      <c r="J27">
        <v>1.7899999999999999E-2</v>
      </c>
      <c r="K27" s="2">
        <v>45681</v>
      </c>
      <c r="L27" t="s">
        <v>371</v>
      </c>
      <c r="M27">
        <v>1</v>
      </c>
      <c r="N27">
        <v>1.7899999999999999E-2</v>
      </c>
      <c r="O27">
        <v>7.2727713147638573</v>
      </c>
      <c r="P27">
        <v>725.82228653599157</v>
      </c>
      <c r="Q27">
        <v>0.42399999999999999</v>
      </c>
      <c r="R27">
        <v>1.9800000000000002E-2</v>
      </c>
      <c r="S27">
        <v>5.0032899999999998</v>
      </c>
      <c r="T27">
        <v>1.9800000000000002E-2</v>
      </c>
      <c r="U27" s="2">
        <v>45681</v>
      </c>
      <c r="V27" t="s">
        <v>624</v>
      </c>
      <c r="W27">
        <v>2</v>
      </c>
      <c r="X27">
        <v>1.6199999999999999E-2</v>
      </c>
      <c r="Y27">
        <v>7.3142858429695572</v>
      </c>
      <c r="Z27">
        <v>834.125726497811</v>
      </c>
      <c r="AA27">
        <v>0.42399999999999999</v>
      </c>
      <c r="AB27">
        <v>2.0500000000000001E-2</v>
      </c>
      <c r="AC27">
        <v>4.9994999999999976</v>
      </c>
      <c r="AD27">
        <v>2.0500000000000001E-2</v>
      </c>
      <c r="AE27" s="2">
        <v>45681</v>
      </c>
      <c r="AF27" t="s">
        <v>751</v>
      </c>
      <c r="AG27">
        <v>3</v>
      </c>
      <c r="AH27">
        <v>1.5800000000000002E-2</v>
      </c>
      <c r="AI27">
        <v>7.1488168791464526</v>
      </c>
      <c r="AJ27">
        <v>714.26973313644942</v>
      </c>
      <c r="AK27">
        <v>0.42399999999999999</v>
      </c>
      <c r="AL27">
        <v>1.7899999999999999E-2</v>
      </c>
      <c r="AM27">
        <v>4.9910999999999888</v>
      </c>
      <c r="AN27">
        <v>1.7899999999999999E-2</v>
      </c>
      <c r="AO27" s="2">
        <v>45681</v>
      </c>
      <c r="AP27" t="s">
        <v>821</v>
      </c>
      <c r="AQ27">
        <v>3</v>
      </c>
      <c r="AR27">
        <v>1.2800000000000001E-2</v>
      </c>
      <c r="AS27">
        <v>7.1492665462081622</v>
      </c>
      <c r="AT27">
        <v>818.46539523515457</v>
      </c>
      <c r="AU27">
        <v>0.42399999999999999</v>
      </c>
      <c r="AV27">
        <v>1.7899999999999999E-2</v>
      </c>
      <c r="AW27">
        <v>4.996799999999979</v>
      </c>
      <c r="AX27">
        <v>1.7899999999999999E-2</v>
      </c>
      <c r="AY27" s="2">
        <v>45681</v>
      </c>
      <c r="AZ27" t="s">
        <v>951</v>
      </c>
      <c r="BA27">
        <v>3</v>
      </c>
      <c r="BB27">
        <v>1.6799999999999999E-2</v>
      </c>
      <c r="BC27">
        <v>7.1499011079318544</v>
      </c>
      <c r="BD27">
        <v>714.37078325924881</v>
      </c>
      <c r="BE27">
        <v>0.42399999999999999</v>
      </c>
      <c r="BF27">
        <v>1.7899999999999999E-2</v>
      </c>
      <c r="BG27">
        <v>4.9990999999999985</v>
      </c>
      <c r="BH27">
        <v>1.7899999999999999E-2</v>
      </c>
      <c r="BI27" s="2">
        <v>45681</v>
      </c>
      <c r="BJ27" t="s">
        <v>1025</v>
      </c>
      <c r="BK27">
        <v>4</v>
      </c>
      <c r="BL27">
        <v>1.7600000000000001E-2</v>
      </c>
      <c r="BM27">
        <v>7.3390730808562861</v>
      </c>
      <c r="BN27">
        <v>732.00161113580589</v>
      </c>
      <c r="BO27">
        <v>0.42399999999999999</v>
      </c>
      <c r="BP27">
        <v>2.0899999999999998E-2</v>
      </c>
      <c r="BQ27">
        <v>4.9998999999999967</v>
      </c>
      <c r="BR27">
        <v>2.0899999999999998E-2</v>
      </c>
      <c r="BS27" s="2">
        <v>45681</v>
      </c>
      <c r="BT27" t="s">
        <v>1149</v>
      </c>
      <c r="BU27">
        <v>4</v>
      </c>
      <c r="BV27">
        <v>3.3999999999999998E-3</v>
      </c>
      <c r="BW27">
        <v>5.9957334838115024</v>
      </c>
      <c r="BX27">
        <v>606.80236069123202</v>
      </c>
      <c r="BY27">
        <v>0.42399999999999999</v>
      </c>
      <c r="BZ27">
        <v>0</v>
      </c>
      <c r="CA27">
        <v>5.001499999999993</v>
      </c>
      <c r="CB27">
        <v>0</v>
      </c>
      <c r="CC27" s="2">
        <v>45681</v>
      </c>
      <c r="CD27" t="s">
        <v>1269</v>
      </c>
      <c r="CE27">
        <v>4</v>
      </c>
      <c r="CF27">
        <v>1.54E-2</v>
      </c>
      <c r="CG27">
        <v>7.1498694812133552</v>
      </c>
      <c r="CH27">
        <v>714.36783564908467</v>
      </c>
      <c r="CI27">
        <v>0.42399999999999999</v>
      </c>
      <c r="CJ27">
        <v>1.7899999999999999E-2</v>
      </c>
      <c r="CK27">
        <v>5.0010000000000048</v>
      </c>
      <c r="CL27">
        <v>1.7899999999999999E-2</v>
      </c>
      <c r="CM27" s="2">
        <v>45681</v>
      </c>
      <c r="CN27" t="s">
        <v>1387</v>
      </c>
      <c r="CO27">
        <v>5</v>
      </c>
      <c r="CP27">
        <v>1.6500000000000001E-2</v>
      </c>
      <c r="CQ27">
        <v>7.1491805864091686</v>
      </c>
      <c r="CR27">
        <v>714.30363065333449</v>
      </c>
      <c r="CS27">
        <v>0.42399999999999999</v>
      </c>
      <c r="CT27">
        <v>1.7899999999999999E-2</v>
      </c>
      <c r="CU27">
        <v>5.0013000000000147</v>
      </c>
      <c r="CV27">
        <v>1.7899999999999999E-2</v>
      </c>
      <c r="CW27" s="2">
        <v>45681</v>
      </c>
      <c r="CX27" t="s">
        <v>1547</v>
      </c>
      <c r="CY27">
        <v>5</v>
      </c>
      <c r="CZ27">
        <v>1.61E-2</v>
      </c>
      <c r="DA27">
        <v>7.1487013199827141</v>
      </c>
      <c r="DB27">
        <v>714.25896302238903</v>
      </c>
      <c r="DC27">
        <v>0.42399999999999999</v>
      </c>
      <c r="DD27">
        <v>1.7899999999999999E-2</v>
      </c>
      <c r="DE27">
        <v>5.0011000000000081</v>
      </c>
      <c r="DF27">
        <v>1.7899999999999999E-2</v>
      </c>
      <c r="DG27" s="2">
        <v>45681</v>
      </c>
      <c r="DH27" t="s">
        <v>1705</v>
      </c>
      <c r="DI27">
        <v>6</v>
      </c>
      <c r="DJ27">
        <v>1.6500000000000001E-2</v>
      </c>
      <c r="DK27">
        <v>7.1473069060735908</v>
      </c>
      <c r="DL27">
        <v>714.12900364605866</v>
      </c>
      <c r="DM27">
        <v>0.42399999999999999</v>
      </c>
      <c r="DN27">
        <v>1.7899999999999999E-2</v>
      </c>
      <c r="DO27">
        <v>5.0015999999999963</v>
      </c>
      <c r="DP27">
        <v>1.7899999999999999E-2</v>
      </c>
    </row>
    <row r="28" spans="1:120" x14ac:dyDescent="0.3">
      <c r="A28" s="2">
        <v>45681</v>
      </c>
      <c r="B28" t="s">
        <v>214</v>
      </c>
      <c r="C28">
        <v>1</v>
      </c>
      <c r="D28">
        <v>1.67E-2</v>
      </c>
      <c r="E28">
        <v>7.0680957622438418</v>
      </c>
      <c r="F28">
        <v>706.74652504112612</v>
      </c>
      <c r="G28">
        <v>0.42399999999999999</v>
      </c>
      <c r="H28">
        <v>1.67E-2</v>
      </c>
      <c r="I28">
        <v>5.2000700000000002</v>
      </c>
      <c r="J28">
        <v>1.67E-2</v>
      </c>
      <c r="K28" s="2">
        <v>45681</v>
      </c>
      <c r="L28" t="s">
        <v>372</v>
      </c>
      <c r="M28">
        <v>1</v>
      </c>
      <c r="N28">
        <v>1.78E-2</v>
      </c>
      <c r="O28">
        <v>7.2179204481211263</v>
      </c>
      <c r="P28">
        <v>720.71018576488905</v>
      </c>
      <c r="Q28">
        <v>0.42399999999999999</v>
      </c>
      <c r="R28">
        <v>1.9E-2</v>
      </c>
      <c r="S28">
        <v>5.2006900000000016</v>
      </c>
      <c r="T28">
        <v>1.9E-2</v>
      </c>
      <c r="U28" s="2">
        <v>45681</v>
      </c>
      <c r="V28" t="s">
        <v>625</v>
      </c>
      <c r="W28">
        <v>2</v>
      </c>
      <c r="X28">
        <v>1.66E-2</v>
      </c>
      <c r="Y28">
        <v>7.3391967494350254</v>
      </c>
      <c r="Z28">
        <v>836.489771521384</v>
      </c>
      <c r="AA28">
        <v>0.42399999999999999</v>
      </c>
      <c r="AB28">
        <v>2.0899999999999998E-2</v>
      </c>
      <c r="AC28">
        <v>5.2017999999999915</v>
      </c>
      <c r="AD28">
        <v>2.0899999999999998E-2</v>
      </c>
      <c r="AE28" s="2">
        <v>45681</v>
      </c>
      <c r="AF28" t="s">
        <v>752</v>
      </c>
      <c r="AG28">
        <v>3</v>
      </c>
      <c r="AH28">
        <v>1.5699999999999999E-2</v>
      </c>
      <c r="AI28">
        <v>7.0691520135474946</v>
      </c>
      <c r="AJ28">
        <v>706.84496766262657</v>
      </c>
      <c r="AK28">
        <v>0.42399999999999999</v>
      </c>
      <c r="AL28">
        <v>1.67E-2</v>
      </c>
      <c r="AM28">
        <v>5.1886000000000081</v>
      </c>
      <c r="AN28">
        <v>1.67E-2</v>
      </c>
      <c r="AO28" s="2">
        <v>45681</v>
      </c>
      <c r="AP28" t="s">
        <v>822</v>
      </c>
      <c r="AQ28">
        <v>3</v>
      </c>
      <c r="AR28">
        <v>1.44E-2</v>
      </c>
      <c r="AS28">
        <v>7.2181815712841031</v>
      </c>
      <c r="AT28">
        <v>825.00543111486138</v>
      </c>
      <c r="AU28">
        <v>0.42399999999999999</v>
      </c>
      <c r="AV28">
        <v>1.9E-2</v>
      </c>
      <c r="AW28">
        <v>5.1968999999999994</v>
      </c>
      <c r="AX28">
        <v>1.9E-2</v>
      </c>
      <c r="AY28" s="2">
        <v>45681</v>
      </c>
      <c r="AZ28" t="s">
        <v>952</v>
      </c>
      <c r="BA28">
        <v>3</v>
      </c>
      <c r="BB28">
        <v>1.6799999999999999E-2</v>
      </c>
      <c r="BC28">
        <v>7.0689533328800147</v>
      </c>
      <c r="BD28">
        <v>706.82645062441736</v>
      </c>
      <c r="BE28">
        <v>0.42399999999999999</v>
      </c>
      <c r="BF28">
        <v>1.67E-2</v>
      </c>
      <c r="BG28">
        <v>5.1999999999999886</v>
      </c>
      <c r="BH28">
        <v>1.67E-2</v>
      </c>
      <c r="BI28" s="2">
        <v>45681</v>
      </c>
      <c r="BJ28" t="s">
        <v>1026</v>
      </c>
      <c r="BK28">
        <v>4</v>
      </c>
      <c r="BL28">
        <v>1.7600000000000001E-2</v>
      </c>
      <c r="BM28">
        <v>7.3144387054422921</v>
      </c>
      <c r="BN28">
        <v>729.70568734722167</v>
      </c>
      <c r="BO28">
        <v>0.42399999999999999</v>
      </c>
      <c r="BP28">
        <v>2.0500000000000001E-2</v>
      </c>
      <c r="BQ28">
        <v>5.1996999999999787</v>
      </c>
      <c r="BR28">
        <v>2.0500000000000001E-2</v>
      </c>
      <c r="BS28" s="2">
        <v>45681</v>
      </c>
      <c r="BT28" t="s">
        <v>1150</v>
      </c>
      <c r="BU28">
        <v>4</v>
      </c>
      <c r="BV28">
        <v>3.3999999999999998E-3</v>
      </c>
      <c r="BW28">
        <v>5.9957334838115024</v>
      </c>
      <c r="BX28">
        <v>606.80236069123202</v>
      </c>
      <c r="BY28">
        <v>0.42399999999999999</v>
      </c>
      <c r="BZ28">
        <v>0</v>
      </c>
      <c r="CA28">
        <v>5.1995000000000005</v>
      </c>
      <c r="CB28">
        <v>0</v>
      </c>
      <c r="CC28" s="2">
        <v>45681</v>
      </c>
      <c r="CD28" t="s">
        <v>1270</v>
      </c>
      <c r="CE28">
        <v>4</v>
      </c>
      <c r="CF28">
        <v>1.54E-2</v>
      </c>
      <c r="CG28">
        <v>7.0685000165815541</v>
      </c>
      <c r="CH28">
        <v>706.78420154540083</v>
      </c>
      <c r="CI28">
        <v>0.42399999999999999</v>
      </c>
      <c r="CJ28">
        <v>1.67E-2</v>
      </c>
      <c r="CK28">
        <v>5.2027999999999963</v>
      </c>
      <c r="CL28">
        <v>1.67E-2</v>
      </c>
      <c r="CM28" s="2">
        <v>45681</v>
      </c>
      <c r="CN28" t="s">
        <v>1388</v>
      </c>
      <c r="CO28">
        <v>5</v>
      </c>
      <c r="CP28">
        <v>1.6500000000000001E-2</v>
      </c>
      <c r="CQ28">
        <v>7.0694630096127167</v>
      </c>
      <c r="CR28">
        <v>706.8739524959052</v>
      </c>
      <c r="CS28">
        <v>0.42399999999999999</v>
      </c>
      <c r="CT28">
        <v>1.67E-2</v>
      </c>
      <c r="CU28">
        <v>5.199100000000044</v>
      </c>
      <c r="CV28">
        <v>1.67E-2</v>
      </c>
      <c r="CW28" s="2">
        <v>45681</v>
      </c>
      <c r="CX28" t="s">
        <v>1548</v>
      </c>
      <c r="CY28">
        <v>5</v>
      </c>
      <c r="CZ28">
        <v>1.6E-2</v>
      </c>
      <c r="DA28">
        <v>7.0684902852835547</v>
      </c>
      <c r="DB28">
        <v>706.78329458842734</v>
      </c>
      <c r="DC28">
        <v>0.42399999999999999</v>
      </c>
      <c r="DD28">
        <v>1.67E-2</v>
      </c>
      <c r="DE28">
        <v>5.1999000000000137</v>
      </c>
      <c r="DF28">
        <v>1.67E-2</v>
      </c>
      <c r="DG28" s="2">
        <v>45681</v>
      </c>
      <c r="DH28" t="s">
        <v>1706</v>
      </c>
      <c r="DI28">
        <v>6</v>
      </c>
      <c r="DJ28">
        <v>1.6500000000000001E-2</v>
      </c>
      <c r="DK28">
        <v>7.0663449395455018</v>
      </c>
      <c r="DL28">
        <v>706.58334836564075</v>
      </c>
      <c r="DM28">
        <v>0.42399999999999999</v>
      </c>
      <c r="DN28">
        <v>1.66E-2</v>
      </c>
      <c r="DO28">
        <v>5.2015999999999849</v>
      </c>
      <c r="DP28">
        <v>1.66E-2</v>
      </c>
    </row>
    <row r="29" spans="1:120" x14ac:dyDescent="0.3">
      <c r="A29" s="2">
        <v>45681</v>
      </c>
      <c r="B29" t="s">
        <v>215</v>
      </c>
      <c r="C29">
        <v>1</v>
      </c>
      <c r="D29">
        <v>1.66E-2</v>
      </c>
      <c r="E29">
        <v>6.9779000103268487</v>
      </c>
      <c r="F29">
        <v>698.34028096246232</v>
      </c>
      <c r="G29">
        <v>0.42399999999999999</v>
      </c>
      <c r="H29">
        <v>1.5299999999999999E-2</v>
      </c>
      <c r="I29">
        <v>5.3994600000000013</v>
      </c>
      <c r="J29">
        <v>1.5299999999999999E-2</v>
      </c>
      <c r="K29" s="2">
        <v>45681</v>
      </c>
      <c r="L29" t="s">
        <v>373</v>
      </c>
      <c r="M29">
        <v>1</v>
      </c>
      <c r="N29">
        <v>1.7899999999999999E-2</v>
      </c>
      <c r="O29">
        <v>7.148822961207701</v>
      </c>
      <c r="P29">
        <v>714.27029998455771</v>
      </c>
      <c r="Q29">
        <v>0.42399999999999999</v>
      </c>
      <c r="R29">
        <v>1.7899999999999999E-2</v>
      </c>
      <c r="S29">
        <v>5.4011199999999988</v>
      </c>
      <c r="T29">
        <v>1.7899999999999999E-2</v>
      </c>
      <c r="U29" s="2">
        <v>45681</v>
      </c>
      <c r="V29" t="s">
        <v>626</v>
      </c>
      <c r="W29">
        <v>2</v>
      </c>
      <c r="X29">
        <v>1.7299999999999999E-2</v>
      </c>
      <c r="Y29">
        <v>7.3473021097267832</v>
      </c>
      <c r="Z29">
        <v>837.25897021307173</v>
      </c>
      <c r="AA29">
        <v>0.42399999999999999</v>
      </c>
      <c r="AB29">
        <v>2.1000000000000001E-2</v>
      </c>
      <c r="AC29">
        <v>5.4007999999999896</v>
      </c>
      <c r="AD29">
        <v>2.1000000000000001E-2</v>
      </c>
      <c r="AE29" s="2">
        <v>45681</v>
      </c>
      <c r="AF29" t="s">
        <v>753</v>
      </c>
      <c r="AG29">
        <v>3</v>
      </c>
      <c r="AH29">
        <v>1.5699999999999999E-2</v>
      </c>
      <c r="AI29">
        <v>6.9766807597817104</v>
      </c>
      <c r="AJ29">
        <v>698.22664681165543</v>
      </c>
      <c r="AK29">
        <v>0.42399999999999999</v>
      </c>
      <c r="AL29">
        <v>1.52E-2</v>
      </c>
      <c r="AM29">
        <v>5.393100000000004</v>
      </c>
      <c r="AN29">
        <v>1.52E-2</v>
      </c>
      <c r="AO29" s="2">
        <v>45681</v>
      </c>
      <c r="AP29" t="s">
        <v>823</v>
      </c>
      <c r="AQ29">
        <v>3</v>
      </c>
      <c r="AR29">
        <v>1.55E-2</v>
      </c>
      <c r="AS29">
        <v>7.2736491589375252</v>
      </c>
      <c r="AT29">
        <v>830.26930518317113</v>
      </c>
      <c r="AU29">
        <v>0.42399999999999999</v>
      </c>
      <c r="AV29">
        <v>1.9900000000000001E-2</v>
      </c>
      <c r="AW29">
        <v>5.3970999999999947</v>
      </c>
      <c r="AX29">
        <v>1.9900000000000001E-2</v>
      </c>
      <c r="AY29" s="2">
        <v>45681</v>
      </c>
      <c r="AZ29" t="s">
        <v>953</v>
      </c>
      <c r="BA29">
        <v>3</v>
      </c>
      <c r="BB29">
        <v>1.67E-2</v>
      </c>
      <c r="BC29">
        <v>6.9788196179877637</v>
      </c>
      <c r="BD29">
        <v>698.42598839645962</v>
      </c>
      <c r="BE29">
        <v>0.42399999999999999</v>
      </c>
      <c r="BF29">
        <v>1.5299999999999999E-2</v>
      </c>
      <c r="BG29">
        <v>5.3993999999999858</v>
      </c>
      <c r="BH29">
        <v>1.5299999999999999E-2</v>
      </c>
      <c r="BI29" s="2">
        <v>45681</v>
      </c>
      <c r="BJ29" t="s">
        <v>1027</v>
      </c>
      <c r="BK29">
        <v>4</v>
      </c>
      <c r="BL29">
        <v>1.7500000000000002E-2</v>
      </c>
      <c r="BM29">
        <v>7.2735425201302846</v>
      </c>
      <c r="BN29">
        <v>725.89416287614256</v>
      </c>
      <c r="BO29">
        <v>0.42399999999999999</v>
      </c>
      <c r="BP29">
        <v>1.9900000000000001E-2</v>
      </c>
      <c r="BQ29">
        <v>5.4013999999999953</v>
      </c>
      <c r="BR29">
        <v>1.9900000000000001E-2</v>
      </c>
      <c r="BS29" s="2">
        <v>45681</v>
      </c>
      <c r="BT29" t="s">
        <v>1151</v>
      </c>
      <c r="BU29">
        <v>4</v>
      </c>
      <c r="BV29">
        <v>3.3999999999999998E-3</v>
      </c>
      <c r="BW29">
        <v>5.9957334838115024</v>
      </c>
      <c r="BX29">
        <v>606.80236069123202</v>
      </c>
      <c r="BY29">
        <v>0.42399999999999999</v>
      </c>
      <c r="BZ29">
        <v>0</v>
      </c>
      <c r="CA29">
        <v>5.4011000000000138</v>
      </c>
      <c r="CB29">
        <v>0</v>
      </c>
      <c r="CC29" s="2">
        <v>45681</v>
      </c>
      <c r="CD29" t="s">
        <v>1271</v>
      </c>
      <c r="CE29">
        <v>4</v>
      </c>
      <c r="CF29">
        <v>1.54E-2</v>
      </c>
      <c r="CG29">
        <v>6.9789818062877496</v>
      </c>
      <c r="CH29">
        <v>698.44110434601828</v>
      </c>
      <c r="CI29">
        <v>0.42399999999999999</v>
      </c>
      <c r="CJ29">
        <v>1.5299999999999999E-2</v>
      </c>
      <c r="CK29">
        <v>5.4008999999999787</v>
      </c>
      <c r="CL29">
        <v>1.5299999999999999E-2</v>
      </c>
      <c r="CM29" s="2">
        <v>45681</v>
      </c>
      <c r="CN29" t="s">
        <v>1389</v>
      </c>
      <c r="CO29">
        <v>5</v>
      </c>
      <c r="CP29">
        <v>1.6500000000000001E-2</v>
      </c>
      <c r="CQ29">
        <v>6.9786464819775302</v>
      </c>
      <c r="CR29">
        <v>698.4098521203058</v>
      </c>
      <c r="CS29">
        <v>0.42399999999999999</v>
      </c>
      <c r="CT29">
        <v>1.5299999999999999E-2</v>
      </c>
      <c r="CU29">
        <v>5.400100000000009</v>
      </c>
      <c r="CV29">
        <v>1.5299999999999999E-2</v>
      </c>
      <c r="CW29" s="2">
        <v>45681</v>
      </c>
      <c r="CX29" t="s">
        <v>1549</v>
      </c>
      <c r="CY29">
        <v>5</v>
      </c>
      <c r="CZ29">
        <v>1.6E-2</v>
      </c>
      <c r="DA29">
        <v>6.9777949934026067</v>
      </c>
      <c r="DB29">
        <v>698.33049338512296</v>
      </c>
      <c r="DC29">
        <v>0.42399999999999999</v>
      </c>
      <c r="DD29">
        <v>1.5299999999999999E-2</v>
      </c>
      <c r="DE29">
        <v>5.4003999999999905</v>
      </c>
      <c r="DF29">
        <v>1.5299999999999999E-2</v>
      </c>
      <c r="DG29" s="2">
        <v>45681</v>
      </c>
      <c r="DH29" t="s">
        <v>1707</v>
      </c>
      <c r="DI29">
        <v>6</v>
      </c>
      <c r="DJ29">
        <v>1.6500000000000001E-2</v>
      </c>
      <c r="DK29">
        <v>6.9755989638208096</v>
      </c>
      <c r="DL29">
        <v>698.12582342809947</v>
      </c>
      <c r="DM29">
        <v>0.42399999999999999</v>
      </c>
      <c r="DN29">
        <v>1.52E-2</v>
      </c>
      <c r="DO29">
        <v>5.401800000000037</v>
      </c>
      <c r="DP29">
        <v>1.52E-2</v>
      </c>
    </row>
    <row r="30" spans="1:120" x14ac:dyDescent="0.3">
      <c r="A30" s="2">
        <v>45681</v>
      </c>
      <c r="B30" t="s">
        <v>216</v>
      </c>
      <c r="C30">
        <v>1</v>
      </c>
      <c r="D30">
        <v>1.6299999999999999E-2</v>
      </c>
      <c r="E30">
        <v>6.8798494790415736</v>
      </c>
      <c r="F30">
        <v>689.20197144667463</v>
      </c>
      <c r="G30">
        <v>0.42399999999999999</v>
      </c>
      <c r="H30">
        <v>1.37E-2</v>
      </c>
      <c r="I30">
        <v>5.5995600000000003</v>
      </c>
      <c r="J30">
        <v>1.37E-2</v>
      </c>
      <c r="K30" s="2">
        <v>45681</v>
      </c>
      <c r="L30" t="s">
        <v>374</v>
      </c>
      <c r="M30">
        <v>1</v>
      </c>
      <c r="N30">
        <v>1.7500000000000002E-2</v>
      </c>
      <c r="O30">
        <v>7.0679972328515994</v>
      </c>
      <c r="P30">
        <v>706.73734210176906</v>
      </c>
      <c r="Q30">
        <v>0.42399999999999999</v>
      </c>
      <c r="R30">
        <v>1.67E-2</v>
      </c>
      <c r="S30">
        <v>5.6013799999999989</v>
      </c>
      <c r="T30">
        <v>1.67E-2</v>
      </c>
      <c r="U30" s="2">
        <v>45681</v>
      </c>
      <c r="V30" t="s">
        <v>627</v>
      </c>
      <c r="W30">
        <v>2</v>
      </c>
      <c r="X30">
        <v>1.72E-2</v>
      </c>
      <c r="Y30">
        <v>7.3389023776705544</v>
      </c>
      <c r="Z30">
        <v>731.98570159889562</v>
      </c>
      <c r="AA30">
        <v>0.42399999999999999</v>
      </c>
      <c r="AB30">
        <v>2.0899999999999998E-2</v>
      </c>
      <c r="AC30">
        <v>5.6001999999999867</v>
      </c>
      <c r="AD30">
        <v>2.0899999999999998E-2</v>
      </c>
      <c r="AE30" s="2">
        <v>45681</v>
      </c>
      <c r="AF30" t="s">
        <v>754</v>
      </c>
      <c r="AG30">
        <v>3</v>
      </c>
      <c r="AH30">
        <v>1.5699999999999999E-2</v>
      </c>
      <c r="AI30">
        <v>6.8806490673604994</v>
      </c>
      <c r="AJ30">
        <v>689.27649307799857</v>
      </c>
      <c r="AK30">
        <v>0.42399999999999999</v>
      </c>
      <c r="AL30">
        <v>1.37E-2</v>
      </c>
      <c r="AM30">
        <v>5.5889999999999986</v>
      </c>
      <c r="AN30">
        <v>1.37E-2</v>
      </c>
      <c r="AO30" s="2">
        <v>45681</v>
      </c>
      <c r="AP30" t="s">
        <v>824</v>
      </c>
      <c r="AQ30">
        <v>3</v>
      </c>
      <c r="AR30">
        <v>1.66E-2</v>
      </c>
      <c r="AS30">
        <v>7.3141167616668206</v>
      </c>
      <c r="AT30">
        <v>834.10968068218131</v>
      </c>
      <c r="AU30">
        <v>0.42399999999999999</v>
      </c>
      <c r="AV30">
        <v>2.0500000000000001E-2</v>
      </c>
      <c r="AW30">
        <v>5.5963999999999885</v>
      </c>
      <c r="AX30">
        <v>2.0500000000000001E-2</v>
      </c>
      <c r="AY30" s="2">
        <v>45681</v>
      </c>
      <c r="AZ30" t="s">
        <v>954</v>
      </c>
      <c r="BA30">
        <v>3</v>
      </c>
      <c r="BB30">
        <v>1.67E-2</v>
      </c>
      <c r="BC30">
        <v>6.8806214953495024</v>
      </c>
      <c r="BD30">
        <v>689.27392336657363</v>
      </c>
      <c r="BE30">
        <v>0.42399999999999999</v>
      </c>
      <c r="BF30">
        <v>1.37E-2</v>
      </c>
      <c r="BG30">
        <v>5.5999999999999943</v>
      </c>
      <c r="BH30">
        <v>1.37E-2</v>
      </c>
      <c r="BI30" s="2">
        <v>45681</v>
      </c>
      <c r="BJ30" t="s">
        <v>1028</v>
      </c>
      <c r="BK30">
        <v>4</v>
      </c>
      <c r="BL30">
        <v>1.7500000000000002E-2</v>
      </c>
      <c r="BM30">
        <v>7.2185793380898184</v>
      </c>
      <c r="BN30">
        <v>720.77159430997096</v>
      </c>
      <c r="BO30">
        <v>0.42399999999999999</v>
      </c>
      <c r="BP30">
        <v>1.9E-2</v>
      </c>
      <c r="BQ30">
        <v>5.599899999999991</v>
      </c>
      <c r="BR30">
        <v>1.9E-2</v>
      </c>
      <c r="BS30" s="2">
        <v>45681</v>
      </c>
      <c r="BT30" t="s">
        <v>1152</v>
      </c>
      <c r="BU30">
        <v>4</v>
      </c>
      <c r="BV30">
        <v>3.3999999999999998E-3</v>
      </c>
      <c r="BW30">
        <v>5.9957334838115024</v>
      </c>
      <c r="BX30">
        <v>606.80236069123202</v>
      </c>
      <c r="BY30">
        <v>0.42399999999999999</v>
      </c>
      <c r="BZ30">
        <v>0</v>
      </c>
      <c r="CA30">
        <v>5.6007999999999925</v>
      </c>
      <c r="CB30">
        <v>0</v>
      </c>
      <c r="CC30" s="2">
        <v>45681</v>
      </c>
      <c r="CD30" t="s">
        <v>1272</v>
      </c>
      <c r="CE30">
        <v>4</v>
      </c>
      <c r="CF30">
        <v>1.54E-2</v>
      </c>
      <c r="CG30">
        <v>6.8809316804732248</v>
      </c>
      <c r="CH30">
        <v>689.3028326201046</v>
      </c>
      <c r="CI30">
        <v>0.42399999999999999</v>
      </c>
      <c r="CJ30">
        <v>1.38E-2</v>
      </c>
      <c r="CK30">
        <v>5.6011000000000024</v>
      </c>
      <c r="CL30">
        <v>1.38E-2</v>
      </c>
      <c r="CM30" s="2">
        <v>45681</v>
      </c>
      <c r="CN30" t="s">
        <v>1390</v>
      </c>
      <c r="CO30">
        <v>5</v>
      </c>
      <c r="CP30">
        <v>1.6400000000000001E-2</v>
      </c>
      <c r="CQ30">
        <v>6.8812994424434386</v>
      </c>
      <c r="CR30">
        <v>689.33710803572853</v>
      </c>
      <c r="CS30">
        <v>0.42399999999999999</v>
      </c>
      <c r="CT30">
        <v>1.38E-2</v>
      </c>
      <c r="CU30">
        <v>5.5989000000000146</v>
      </c>
      <c r="CV30">
        <v>1.38E-2</v>
      </c>
      <c r="CW30" s="2">
        <v>45681</v>
      </c>
      <c r="CX30" t="s">
        <v>1550</v>
      </c>
      <c r="CY30">
        <v>5</v>
      </c>
      <c r="CZ30">
        <v>1.6E-2</v>
      </c>
      <c r="DA30">
        <v>6.8798121757325763</v>
      </c>
      <c r="DB30">
        <v>689.19849477827609</v>
      </c>
      <c r="DC30">
        <v>0.42399999999999999</v>
      </c>
      <c r="DD30">
        <v>1.37E-2</v>
      </c>
      <c r="DE30">
        <v>5.6003000000000043</v>
      </c>
      <c r="DF30">
        <v>1.37E-2</v>
      </c>
      <c r="DG30" s="2">
        <v>45681</v>
      </c>
      <c r="DH30" t="s">
        <v>1708</v>
      </c>
      <c r="DI30">
        <v>6</v>
      </c>
      <c r="DJ30">
        <v>1.6500000000000001E-2</v>
      </c>
      <c r="DK30">
        <v>6.8781570441312274</v>
      </c>
      <c r="DL30">
        <v>689.04423651303046</v>
      </c>
      <c r="DM30">
        <v>0.42399999999999999</v>
      </c>
      <c r="DN30">
        <v>1.37E-2</v>
      </c>
      <c r="DO30">
        <v>5.600400000000036</v>
      </c>
      <c r="DP30">
        <v>1.37E-2</v>
      </c>
    </row>
    <row r="31" spans="1:120" x14ac:dyDescent="0.3">
      <c r="A31" s="2">
        <v>45681</v>
      </c>
      <c r="B31" t="s">
        <v>217</v>
      </c>
      <c r="C31">
        <v>1</v>
      </c>
      <c r="D31">
        <v>1.5699999999999999E-2</v>
      </c>
      <c r="E31">
        <v>6.7764130797845414</v>
      </c>
      <c r="F31">
        <v>679.56169903591922</v>
      </c>
      <c r="G31">
        <v>0.42399999999999999</v>
      </c>
      <c r="H31">
        <v>1.21E-2</v>
      </c>
      <c r="I31">
        <v>5.8001500000000021</v>
      </c>
      <c r="J31">
        <v>1.21E-2</v>
      </c>
      <c r="K31" s="2">
        <v>45681</v>
      </c>
      <c r="L31" t="s">
        <v>375</v>
      </c>
      <c r="M31">
        <v>1</v>
      </c>
      <c r="N31">
        <v>1.7500000000000002E-2</v>
      </c>
      <c r="O31">
        <v>6.9773510029313979</v>
      </c>
      <c r="P31">
        <v>698.28911347320627</v>
      </c>
      <c r="Q31">
        <v>0.42399999999999999</v>
      </c>
      <c r="R31">
        <v>1.5299999999999999E-2</v>
      </c>
      <c r="S31">
        <v>5.8017099999999999</v>
      </c>
      <c r="T31">
        <v>1.5299999999999999E-2</v>
      </c>
      <c r="U31" s="2">
        <v>45681</v>
      </c>
      <c r="V31" t="s">
        <v>628</v>
      </c>
      <c r="W31">
        <v>2</v>
      </c>
      <c r="X31">
        <v>1.72E-2</v>
      </c>
      <c r="Y31">
        <v>7.3138746956290941</v>
      </c>
      <c r="Z31">
        <v>729.65312163263161</v>
      </c>
      <c r="AA31">
        <v>0.42399999999999999</v>
      </c>
      <c r="AB31">
        <v>2.0500000000000001E-2</v>
      </c>
      <c r="AC31">
        <v>5.8012999999999977</v>
      </c>
      <c r="AD31">
        <v>2.0500000000000001E-2</v>
      </c>
      <c r="AE31" s="2">
        <v>45681</v>
      </c>
      <c r="AF31" t="s">
        <v>755</v>
      </c>
      <c r="AG31">
        <v>3</v>
      </c>
      <c r="AH31">
        <v>1.54E-2</v>
      </c>
      <c r="AI31">
        <v>6.7764621417452862</v>
      </c>
      <c r="AJ31">
        <v>679.56627161066069</v>
      </c>
      <c r="AK31">
        <v>0.42399999999999999</v>
      </c>
      <c r="AL31">
        <v>1.21E-2</v>
      </c>
      <c r="AM31">
        <v>5.7911000000000001</v>
      </c>
      <c r="AN31">
        <v>1.21E-2</v>
      </c>
      <c r="AO31" s="2">
        <v>45681</v>
      </c>
      <c r="AP31" t="s">
        <v>825</v>
      </c>
      <c r="AQ31">
        <v>3</v>
      </c>
      <c r="AR31">
        <v>1.7100000000000001E-2</v>
      </c>
      <c r="AS31">
        <v>7.3389806335252947</v>
      </c>
      <c r="AT31">
        <v>836.46926212155051</v>
      </c>
      <c r="AU31">
        <v>0.42399999999999999</v>
      </c>
      <c r="AV31">
        <v>2.0899999999999998E-2</v>
      </c>
      <c r="AW31">
        <v>5.7971000000000004</v>
      </c>
      <c r="AX31">
        <v>2.0899999999999998E-2</v>
      </c>
      <c r="AY31" s="2">
        <v>45681</v>
      </c>
      <c r="AZ31" t="s">
        <v>955</v>
      </c>
      <c r="BA31">
        <v>3</v>
      </c>
      <c r="BB31">
        <v>1.67E-2</v>
      </c>
      <c r="BC31">
        <v>6.7780118509516454</v>
      </c>
      <c r="BD31">
        <v>679.71070450869342</v>
      </c>
      <c r="BE31">
        <v>0.42399999999999999</v>
      </c>
      <c r="BF31">
        <v>1.2200000000000001E-2</v>
      </c>
      <c r="BG31">
        <v>5.7989999999999782</v>
      </c>
      <c r="BH31">
        <v>1.2200000000000001E-2</v>
      </c>
      <c r="BI31" s="2">
        <v>45681</v>
      </c>
      <c r="BJ31" t="s">
        <v>1029</v>
      </c>
      <c r="BK31">
        <v>4</v>
      </c>
      <c r="BL31">
        <v>1.7500000000000002E-2</v>
      </c>
      <c r="BM31">
        <v>7.1495122614826387</v>
      </c>
      <c r="BN31">
        <v>714.334542770182</v>
      </c>
      <c r="BO31">
        <v>0.42399999999999999</v>
      </c>
      <c r="BP31">
        <v>1.7899999999999999E-2</v>
      </c>
      <c r="BQ31">
        <v>5.8005999999999744</v>
      </c>
      <c r="BR31">
        <v>1.7899999999999999E-2</v>
      </c>
      <c r="BS31" s="2">
        <v>45681</v>
      </c>
      <c r="BT31" t="s">
        <v>1153</v>
      </c>
      <c r="BU31">
        <v>4</v>
      </c>
      <c r="BV31">
        <v>3.3999999999999998E-3</v>
      </c>
      <c r="BW31">
        <v>5.9957334838115024</v>
      </c>
      <c r="BX31">
        <v>606.80236069123202</v>
      </c>
      <c r="BY31">
        <v>0.42399999999999999</v>
      </c>
      <c r="BZ31">
        <v>0</v>
      </c>
      <c r="CA31">
        <v>5.801400000000001</v>
      </c>
      <c r="CB31">
        <v>0</v>
      </c>
      <c r="CC31" s="2">
        <v>45681</v>
      </c>
      <c r="CD31" t="s">
        <v>1273</v>
      </c>
      <c r="CE31">
        <v>4</v>
      </c>
      <c r="CF31">
        <v>1.54E-2</v>
      </c>
      <c r="CG31">
        <v>6.7771121113574777</v>
      </c>
      <c r="CH31">
        <v>679.62684877851689</v>
      </c>
      <c r="CI31">
        <v>0.42399999999999999</v>
      </c>
      <c r="CJ31">
        <v>1.21E-2</v>
      </c>
      <c r="CK31">
        <v>5.8024999999999807</v>
      </c>
      <c r="CL31">
        <v>1.21E-2</v>
      </c>
      <c r="CM31" s="2">
        <v>45681</v>
      </c>
      <c r="CN31" t="s">
        <v>1391</v>
      </c>
      <c r="CO31">
        <v>5</v>
      </c>
      <c r="CP31">
        <v>1.6400000000000001E-2</v>
      </c>
      <c r="CQ31">
        <v>6.7780029305951457</v>
      </c>
      <c r="CR31">
        <v>679.70987313146759</v>
      </c>
      <c r="CS31">
        <v>0.42399999999999999</v>
      </c>
      <c r="CT31">
        <v>1.2200000000000001E-2</v>
      </c>
      <c r="CU31">
        <v>5.7993000000000166</v>
      </c>
      <c r="CV31">
        <v>1.2200000000000001E-2</v>
      </c>
      <c r="CW31" s="2">
        <v>45681</v>
      </c>
      <c r="CX31" t="s">
        <v>1551</v>
      </c>
      <c r="CY31">
        <v>5</v>
      </c>
      <c r="CZ31">
        <v>1.5900000000000001E-2</v>
      </c>
      <c r="DA31">
        <v>6.7760201786278271</v>
      </c>
      <c r="DB31">
        <v>679.52508064811354</v>
      </c>
      <c r="DC31">
        <v>0.42399999999999999</v>
      </c>
      <c r="DD31">
        <v>1.21E-2</v>
      </c>
      <c r="DE31">
        <v>5.8016000000000076</v>
      </c>
      <c r="DF31">
        <v>1.21E-2</v>
      </c>
      <c r="DG31" s="2">
        <v>45681</v>
      </c>
      <c r="DH31" t="s">
        <v>1709</v>
      </c>
      <c r="DI31">
        <v>6</v>
      </c>
      <c r="DJ31">
        <v>1.61E-2</v>
      </c>
      <c r="DK31">
        <v>6.7757789235315986</v>
      </c>
      <c r="DL31">
        <v>679.50259567314504</v>
      </c>
      <c r="DM31">
        <v>0.42399999999999999</v>
      </c>
      <c r="DN31">
        <v>1.21E-2</v>
      </c>
      <c r="DO31">
        <v>5.7989000000000033</v>
      </c>
      <c r="DP31">
        <v>1.21E-2</v>
      </c>
    </row>
    <row r="32" spans="1:120" x14ac:dyDescent="0.3">
      <c r="A32" s="2">
        <v>45681</v>
      </c>
      <c r="B32" t="s">
        <v>218</v>
      </c>
      <c r="C32">
        <v>1</v>
      </c>
      <c r="D32">
        <v>1.4999999999999999E-2</v>
      </c>
      <c r="E32">
        <v>6.6707068552692173</v>
      </c>
      <c r="F32">
        <v>669.7098789110911</v>
      </c>
      <c r="G32">
        <v>0.42399999999999999</v>
      </c>
      <c r="H32">
        <v>1.0500000000000001E-2</v>
      </c>
      <c r="I32">
        <v>6.0001099999999994</v>
      </c>
      <c r="J32">
        <v>1.0500000000000001E-2</v>
      </c>
      <c r="K32" s="2">
        <v>45681</v>
      </c>
      <c r="L32" t="s">
        <v>376</v>
      </c>
      <c r="M32">
        <v>1</v>
      </c>
      <c r="N32">
        <v>1.7000000000000001E-2</v>
      </c>
      <c r="O32">
        <v>6.8792988497631233</v>
      </c>
      <c r="P32">
        <v>689.15065279792316</v>
      </c>
      <c r="Q32">
        <v>0.42399999999999999</v>
      </c>
      <c r="R32">
        <v>1.37E-2</v>
      </c>
      <c r="S32">
        <v>6.0017399999999981</v>
      </c>
      <c r="T32">
        <v>1.37E-2</v>
      </c>
      <c r="U32" s="2">
        <v>45681</v>
      </c>
      <c r="V32" t="s">
        <v>629</v>
      </c>
      <c r="W32">
        <v>2</v>
      </c>
      <c r="X32">
        <v>1.72E-2</v>
      </c>
      <c r="Y32">
        <v>7.2736933552492724</v>
      </c>
      <c r="Z32">
        <v>725.90822070923218</v>
      </c>
      <c r="AA32">
        <v>0.42399999999999999</v>
      </c>
      <c r="AB32">
        <v>1.9900000000000001E-2</v>
      </c>
      <c r="AC32">
        <v>5.9989999999999952</v>
      </c>
      <c r="AD32">
        <v>1.9900000000000001E-2</v>
      </c>
      <c r="AE32" s="2">
        <v>45681</v>
      </c>
      <c r="AF32" t="s">
        <v>756</v>
      </c>
      <c r="AG32">
        <v>3</v>
      </c>
      <c r="AH32">
        <v>1.5299999999999999E-2</v>
      </c>
      <c r="AI32">
        <v>6.671920834694606</v>
      </c>
      <c r="AJ32">
        <v>669.82302179353735</v>
      </c>
      <c r="AK32">
        <v>0.42399999999999999</v>
      </c>
      <c r="AL32">
        <v>1.0500000000000001E-2</v>
      </c>
      <c r="AM32">
        <v>5.9887999999999977</v>
      </c>
      <c r="AN32">
        <v>1.0500000000000001E-2</v>
      </c>
      <c r="AO32" s="2">
        <v>45681</v>
      </c>
      <c r="AP32" t="s">
        <v>826</v>
      </c>
      <c r="AQ32">
        <v>3</v>
      </c>
      <c r="AR32">
        <v>1.7100000000000001E-2</v>
      </c>
      <c r="AS32">
        <v>7.3473021097267832</v>
      </c>
      <c r="AT32">
        <v>837.25897021307173</v>
      </c>
      <c r="AU32">
        <v>0.42399999999999999</v>
      </c>
      <c r="AV32">
        <v>2.1000000000000001E-2</v>
      </c>
      <c r="AW32">
        <v>5.9989999999999952</v>
      </c>
      <c r="AX32">
        <v>2.1000000000000001E-2</v>
      </c>
      <c r="AY32" s="2">
        <v>45681</v>
      </c>
      <c r="AZ32" t="s">
        <v>956</v>
      </c>
      <c r="BA32">
        <v>3</v>
      </c>
      <c r="BB32">
        <v>1.6E-2</v>
      </c>
      <c r="BC32">
        <v>6.6719175909286061</v>
      </c>
      <c r="BD32">
        <v>669.82271947454615</v>
      </c>
      <c r="BE32">
        <v>0.42399999999999999</v>
      </c>
      <c r="BF32">
        <v>1.0500000000000001E-2</v>
      </c>
      <c r="BG32">
        <v>5.99969999999999</v>
      </c>
      <c r="BH32">
        <v>1.0500000000000001E-2</v>
      </c>
      <c r="BI32" s="2">
        <v>45681</v>
      </c>
      <c r="BJ32" t="s">
        <v>1030</v>
      </c>
      <c r="BK32">
        <v>4</v>
      </c>
      <c r="BL32">
        <v>1.7500000000000002E-2</v>
      </c>
      <c r="BM32">
        <v>7.0692006700374899</v>
      </c>
      <c r="BN32">
        <v>706.84950244749405</v>
      </c>
      <c r="BO32">
        <v>0.42399999999999999</v>
      </c>
      <c r="BP32">
        <v>1.67E-2</v>
      </c>
      <c r="BQ32">
        <v>5.9998999999999967</v>
      </c>
      <c r="BR32">
        <v>1.67E-2</v>
      </c>
      <c r="BS32" s="2">
        <v>45681</v>
      </c>
      <c r="BT32" t="s">
        <v>1154</v>
      </c>
      <c r="BU32">
        <v>4</v>
      </c>
      <c r="BV32">
        <v>3.3999999999999998E-3</v>
      </c>
      <c r="BW32">
        <v>5.9957334838115024</v>
      </c>
      <c r="BX32">
        <v>606.80236069123202</v>
      </c>
      <c r="BY32">
        <v>0.42399999999999999</v>
      </c>
      <c r="BZ32">
        <v>0</v>
      </c>
      <c r="CA32">
        <v>5.99969999999999</v>
      </c>
      <c r="CB32">
        <v>0</v>
      </c>
      <c r="CC32" s="2">
        <v>45681</v>
      </c>
      <c r="CD32" t="s">
        <v>1274</v>
      </c>
      <c r="CE32">
        <v>4</v>
      </c>
      <c r="CF32">
        <v>1.5299999999999999E-2</v>
      </c>
      <c r="CG32">
        <v>6.6723368476840692</v>
      </c>
      <c r="CH32">
        <v>669.86179420415522</v>
      </c>
      <c r="CI32">
        <v>0.42399999999999999</v>
      </c>
      <c r="CJ32">
        <v>1.0500000000000001E-2</v>
      </c>
      <c r="CK32">
        <v>6.0007999999999981</v>
      </c>
      <c r="CL32">
        <v>1.0500000000000001E-2</v>
      </c>
      <c r="CM32" s="2">
        <v>45681</v>
      </c>
      <c r="CN32" t="s">
        <v>1392</v>
      </c>
      <c r="CO32">
        <v>5</v>
      </c>
      <c r="CP32">
        <v>1.5699999999999999E-2</v>
      </c>
      <c r="CQ32">
        <v>6.6715583438441408</v>
      </c>
      <c r="CR32">
        <v>669.78923764627393</v>
      </c>
      <c r="CS32">
        <v>0.42399999999999999</v>
      </c>
      <c r="CT32">
        <v>1.0500000000000001E-2</v>
      </c>
      <c r="CU32">
        <v>6.0007000000000517</v>
      </c>
      <c r="CV32">
        <v>1.0500000000000001E-2</v>
      </c>
      <c r="CW32" s="2">
        <v>45681</v>
      </c>
      <c r="CX32" t="s">
        <v>1552</v>
      </c>
      <c r="CY32">
        <v>5</v>
      </c>
      <c r="CZ32">
        <v>1.5800000000000002E-2</v>
      </c>
      <c r="DA32">
        <v>6.6710251498079378</v>
      </c>
      <c r="DB32">
        <v>669.73954396209979</v>
      </c>
      <c r="DC32">
        <v>0.42399999999999999</v>
      </c>
      <c r="DD32">
        <v>1.0500000000000001E-2</v>
      </c>
      <c r="DE32">
        <v>6.0002000000000066</v>
      </c>
      <c r="DF32">
        <v>1.0500000000000001E-2</v>
      </c>
      <c r="DG32" s="2">
        <v>45681</v>
      </c>
      <c r="DH32" t="s">
        <v>1710</v>
      </c>
      <c r="DI32">
        <v>6</v>
      </c>
      <c r="DJ32">
        <v>1.5599999999999999E-2</v>
      </c>
      <c r="DK32">
        <v>6.6687289689508988</v>
      </c>
      <c r="DL32">
        <v>669.5255399062238</v>
      </c>
      <c r="DM32">
        <v>0.42399999999999999</v>
      </c>
      <c r="DN32">
        <v>1.0500000000000001E-2</v>
      </c>
      <c r="DO32">
        <v>6.0013000000000147</v>
      </c>
      <c r="DP32">
        <v>1.0500000000000001E-2</v>
      </c>
    </row>
    <row r="33" spans="1:120" x14ac:dyDescent="0.3">
      <c r="A33" s="2">
        <v>45681</v>
      </c>
      <c r="B33" t="s">
        <v>219</v>
      </c>
      <c r="C33">
        <v>1</v>
      </c>
      <c r="D33">
        <v>1.38E-2</v>
      </c>
      <c r="E33">
        <v>6.5655151731355961</v>
      </c>
      <c r="F33">
        <v>659.90601413623756</v>
      </c>
      <c r="G33">
        <v>0.42399999999999999</v>
      </c>
      <c r="H33">
        <v>8.8999999999999999E-3</v>
      </c>
      <c r="I33">
        <v>6.1991300000000003</v>
      </c>
      <c r="J33">
        <v>8.8999999999999999E-3</v>
      </c>
      <c r="K33" s="2">
        <v>45681</v>
      </c>
      <c r="L33" t="s">
        <v>377</v>
      </c>
      <c r="M33">
        <v>1</v>
      </c>
      <c r="N33">
        <v>1.6400000000000001E-2</v>
      </c>
      <c r="O33">
        <v>6.7758413660270929</v>
      </c>
      <c r="P33">
        <v>679.5084153137251</v>
      </c>
      <c r="Q33">
        <v>0.42399999999999999</v>
      </c>
      <c r="R33">
        <v>1.21E-2</v>
      </c>
      <c r="S33">
        <v>6.2023200000000003</v>
      </c>
      <c r="T33">
        <v>1.21E-2</v>
      </c>
      <c r="U33" s="2">
        <v>45681</v>
      </c>
      <c r="V33" t="s">
        <v>630</v>
      </c>
      <c r="W33">
        <v>2</v>
      </c>
      <c r="X33">
        <v>1.72E-2</v>
      </c>
      <c r="Y33">
        <v>7.217944370895375</v>
      </c>
      <c r="Z33">
        <v>720.71241536744901</v>
      </c>
      <c r="AA33">
        <v>0.42399999999999999</v>
      </c>
      <c r="AB33">
        <v>1.9E-2</v>
      </c>
      <c r="AC33">
        <v>6.200099999999992</v>
      </c>
      <c r="AD33">
        <v>1.9E-2</v>
      </c>
      <c r="AE33" s="2">
        <v>45681</v>
      </c>
      <c r="AF33" t="s">
        <v>757</v>
      </c>
      <c r="AG33">
        <v>3</v>
      </c>
      <c r="AH33">
        <v>1.4200000000000001E-2</v>
      </c>
      <c r="AI33">
        <v>6.5653533903063606</v>
      </c>
      <c r="AJ33">
        <v>659.8909359765529</v>
      </c>
      <c r="AK33">
        <v>0.42399999999999999</v>
      </c>
      <c r="AL33">
        <v>8.8999999999999999E-3</v>
      </c>
      <c r="AM33">
        <v>6.1904999999999859</v>
      </c>
      <c r="AN33">
        <v>8.8999999999999999E-3</v>
      </c>
      <c r="AO33" s="2">
        <v>45681</v>
      </c>
      <c r="AP33" t="s">
        <v>827</v>
      </c>
      <c r="AQ33">
        <v>3</v>
      </c>
      <c r="AR33">
        <v>1.72E-2</v>
      </c>
      <c r="AS33">
        <v>7.3389202183835511</v>
      </c>
      <c r="AT33">
        <v>731.98736435334695</v>
      </c>
      <c r="AU33">
        <v>0.42399999999999999</v>
      </c>
      <c r="AV33">
        <v>2.0899999999999998E-2</v>
      </c>
      <c r="AW33">
        <v>6.1978000000000009</v>
      </c>
      <c r="AX33">
        <v>2.0899999999999998E-2</v>
      </c>
      <c r="AY33" s="2">
        <v>45681</v>
      </c>
      <c r="AZ33" t="s">
        <v>957</v>
      </c>
      <c r="BA33">
        <v>3</v>
      </c>
      <c r="BB33">
        <v>1.47E-2</v>
      </c>
      <c r="BC33">
        <v>6.5662511025467794</v>
      </c>
      <c r="BD33">
        <v>659.97460275735989</v>
      </c>
      <c r="BE33">
        <v>0.42399999999999999</v>
      </c>
      <c r="BF33">
        <v>8.8999999999999999E-3</v>
      </c>
      <c r="BG33">
        <v>6.1995999999999754</v>
      </c>
      <c r="BH33">
        <v>8.8999999999999999E-3</v>
      </c>
      <c r="BI33" s="2">
        <v>45681</v>
      </c>
      <c r="BJ33" t="s">
        <v>1031</v>
      </c>
      <c r="BK33">
        <v>4</v>
      </c>
      <c r="BL33">
        <v>1.7399999999999999E-2</v>
      </c>
      <c r="BM33">
        <v>6.9777232250798651</v>
      </c>
      <c r="BN33">
        <v>698.32380457744341</v>
      </c>
      <c r="BO33">
        <v>0.42399999999999999</v>
      </c>
      <c r="BP33">
        <v>1.5299999999999999E-2</v>
      </c>
      <c r="BQ33">
        <v>6.2021999999999764</v>
      </c>
      <c r="BR33">
        <v>1.5299999999999999E-2</v>
      </c>
      <c r="BS33" s="2">
        <v>45681</v>
      </c>
      <c r="BT33" t="s">
        <v>1155</v>
      </c>
      <c r="BU33">
        <v>4</v>
      </c>
      <c r="BV33">
        <v>3.3999999999999998E-3</v>
      </c>
      <c r="BW33">
        <v>5.9957334838115024</v>
      </c>
      <c r="BX33">
        <v>606.80236069123202</v>
      </c>
      <c r="BY33">
        <v>0.42399999999999999</v>
      </c>
      <c r="BZ33">
        <v>0</v>
      </c>
      <c r="CA33">
        <v>6.2004000000000019</v>
      </c>
      <c r="CB33">
        <v>0</v>
      </c>
      <c r="CC33" s="2">
        <v>45681</v>
      </c>
      <c r="CD33" t="s">
        <v>1275</v>
      </c>
      <c r="CE33">
        <v>4</v>
      </c>
      <c r="CF33">
        <v>1.47E-2</v>
      </c>
      <c r="CG33">
        <v>6.5664615418660093</v>
      </c>
      <c r="CH33">
        <v>659.99421570191214</v>
      </c>
      <c r="CI33">
        <v>0.42399999999999999</v>
      </c>
      <c r="CJ33">
        <v>8.8999999999999999E-3</v>
      </c>
      <c r="CK33">
        <v>6.2009999999999934</v>
      </c>
      <c r="CL33">
        <v>8.8999999999999999E-3</v>
      </c>
      <c r="CM33" s="2">
        <v>45681</v>
      </c>
      <c r="CN33" t="s">
        <v>1393</v>
      </c>
      <c r="CO33">
        <v>5</v>
      </c>
      <c r="CP33">
        <v>1.4999999999999999E-2</v>
      </c>
      <c r="CQ33">
        <v>6.5668130850062276</v>
      </c>
      <c r="CR33">
        <v>660.0269795225804</v>
      </c>
      <c r="CS33">
        <v>0.42399999999999999</v>
      </c>
      <c r="CT33">
        <v>8.8999999999999999E-3</v>
      </c>
      <c r="CU33">
        <v>6.1989000000000374</v>
      </c>
      <c r="CV33">
        <v>8.8999999999999999E-3</v>
      </c>
      <c r="CW33" s="2">
        <v>45681</v>
      </c>
      <c r="CX33" t="s">
        <v>1553</v>
      </c>
      <c r="CY33">
        <v>5</v>
      </c>
      <c r="CZ33">
        <v>1.5100000000000001E-2</v>
      </c>
      <c r="DA33">
        <v>6.5654515142278527</v>
      </c>
      <c r="DB33">
        <v>659.90008112603584</v>
      </c>
      <c r="DC33">
        <v>0.42399999999999999</v>
      </c>
      <c r="DD33">
        <v>8.8999999999999999E-3</v>
      </c>
      <c r="DE33">
        <v>6.1999999999999886</v>
      </c>
      <c r="DF33">
        <v>8.8999999999999999E-3</v>
      </c>
      <c r="DG33" s="2">
        <v>45681</v>
      </c>
      <c r="DH33" t="s">
        <v>1711</v>
      </c>
      <c r="DI33">
        <v>6</v>
      </c>
      <c r="DJ33">
        <v>1.47E-2</v>
      </c>
      <c r="DK33">
        <v>6.5635612095915246</v>
      </c>
      <c r="DL33">
        <v>659.72390473393023</v>
      </c>
      <c r="DM33">
        <v>0.42399999999999999</v>
      </c>
      <c r="DN33">
        <v>8.8000000000000005E-3</v>
      </c>
      <c r="DO33">
        <v>6.2004000000000019</v>
      </c>
      <c r="DP33">
        <v>8.8000000000000005E-3</v>
      </c>
    </row>
    <row r="34" spans="1:120" x14ac:dyDescent="0.3">
      <c r="A34" s="2">
        <v>45681</v>
      </c>
      <c r="B34" t="s">
        <v>220</v>
      </c>
      <c r="C34">
        <v>1</v>
      </c>
      <c r="D34">
        <v>1.2E-2</v>
      </c>
      <c r="E34">
        <v>6.4619141527540798</v>
      </c>
      <c r="F34">
        <v>650.25039903668028</v>
      </c>
      <c r="G34">
        <v>0.42399999999999999</v>
      </c>
      <c r="H34">
        <v>7.1999999999999998E-3</v>
      </c>
      <c r="I34">
        <v>6.4001200000000011</v>
      </c>
      <c r="J34">
        <v>7.1999999999999998E-3</v>
      </c>
      <c r="K34" s="2">
        <v>45681</v>
      </c>
      <c r="L34" t="s">
        <v>378</v>
      </c>
      <c r="M34">
        <v>1</v>
      </c>
      <c r="N34">
        <v>1.5699999999999999E-2</v>
      </c>
      <c r="O34">
        <v>6.6702308326087607</v>
      </c>
      <c r="P34">
        <v>669.66551359913649</v>
      </c>
      <c r="Q34">
        <v>0.42399999999999999</v>
      </c>
      <c r="R34">
        <v>1.0500000000000001E-2</v>
      </c>
      <c r="S34">
        <v>6.4020900000000012</v>
      </c>
      <c r="T34">
        <v>1.0500000000000001E-2</v>
      </c>
      <c r="U34" s="2">
        <v>45681</v>
      </c>
      <c r="V34" t="s">
        <v>631</v>
      </c>
      <c r="W34">
        <v>2</v>
      </c>
      <c r="X34">
        <v>1.72E-2</v>
      </c>
      <c r="Y34">
        <v>7.1487475436482084</v>
      </c>
      <c r="Z34">
        <v>714.26327106801307</v>
      </c>
      <c r="AA34">
        <v>0.42399999999999999</v>
      </c>
      <c r="AB34">
        <v>1.7899999999999999E-2</v>
      </c>
      <c r="AC34">
        <v>6.4008999999999929</v>
      </c>
      <c r="AD34">
        <v>1.7899999999999999E-2</v>
      </c>
      <c r="AE34" s="2">
        <v>45681</v>
      </c>
      <c r="AF34" t="s">
        <v>758</v>
      </c>
      <c r="AG34">
        <v>3</v>
      </c>
      <c r="AH34">
        <v>1.2800000000000001E-2</v>
      </c>
      <c r="AI34">
        <v>6.4620889106473136</v>
      </c>
      <c r="AJ34">
        <v>650.26668647232975</v>
      </c>
      <c r="AK34">
        <v>0.42399999999999999</v>
      </c>
      <c r="AL34">
        <v>7.1999999999999998E-3</v>
      </c>
      <c r="AM34">
        <v>6.3907999999999845</v>
      </c>
      <c r="AN34">
        <v>7.1999999999999998E-3</v>
      </c>
      <c r="AO34" s="2">
        <v>45681</v>
      </c>
      <c r="AP34" t="s">
        <v>828</v>
      </c>
      <c r="AQ34">
        <v>3</v>
      </c>
      <c r="AR34">
        <v>1.7100000000000001E-2</v>
      </c>
      <c r="AS34">
        <v>7.3139967423248322</v>
      </c>
      <c r="AT34">
        <v>729.66449638467441</v>
      </c>
      <c r="AU34">
        <v>0.42399999999999999</v>
      </c>
      <c r="AV34">
        <v>2.0500000000000001E-2</v>
      </c>
      <c r="AW34">
        <v>6.3984999999999843</v>
      </c>
      <c r="AX34">
        <v>2.0500000000000001E-2</v>
      </c>
      <c r="AY34" s="2">
        <v>45681</v>
      </c>
      <c r="AZ34" t="s">
        <v>958</v>
      </c>
      <c r="BA34">
        <v>3</v>
      </c>
      <c r="BB34">
        <v>1.38E-2</v>
      </c>
      <c r="BC34">
        <v>6.4618111631835902</v>
      </c>
      <c r="BD34">
        <v>650.24080040871058</v>
      </c>
      <c r="BE34">
        <v>0.42399999999999999</v>
      </c>
      <c r="BF34">
        <v>7.1999999999999998E-3</v>
      </c>
      <c r="BG34">
        <v>6.4021999999999935</v>
      </c>
      <c r="BH34">
        <v>7.1999999999999998E-3</v>
      </c>
      <c r="BI34" s="2">
        <v>45681</v>
      </c>
      <c r="BJ34" t="s">
        <v>1032</v>
      </c>
      <c r="BK34">
        <v>4</v>
      </c>
      <c r="BL34">
        <v>1.7299999999999999E-2</v>
      </c>
      <c r="BM34">
        <v>6.8756698865509556</v>
      </c>
      <c r="BN34">
        <v>688.81243342654909</v>
      </c>
      <c r="BO34">
        <v>0.42399999999999999</v>
      </c>
      <c r="BP34">
        <v>1.37E-2</v>
      </c>
      <c r="BQ34">
        <v>6.4102999999999781</v>
      </c>
      <c r="BR34">
        <v>1.37E-2</v>
      </c>
      <c r="BS34" s="2">
        <v>45681</v>
      </c>
      <c r="BT34" t="s">
        <v>1156</v>
      </c>
      <c r="BU34">
        <v>4</v>
      </c>
      <c r="BV34">
        <v>3.3999999999999998E-3</v>
      </c>
      <c r="BW34">
        <v>5.9957334838115024</v>
      </c>
      <c r="BX34">
        <v>606.80236069123202</v>
      </c>
      <c r="BY34">
        <v>0.42399999999999999</v>
      </c>
      <c r="BZ34">
        <v>0</v>
      </c>
      <c r="CA34">
        <v>6.4019999999999868</v>
      </c>
      <c r="CB34">
        <v>0</v>
      </c>
      <c r="CC34" s="2">
        <v>45681</v>
      </c>
      <c r="CD34" t="s">
        <v>1276</v>
      </c>
      <c r="CE34">
        <v>4</v>
      </c>
      <c r="CF34">
        <v>1.35E-2</v>
      </c>
      <c r="CG34">
        <v>6.4626610298755116</v>
      </c>
      <c r="CH34">
        <v>650.32000798439776</v>
      </c>
      <c r="CI34">
        <v>0.42399999999999999</v>
      </c>
      <c r="CJ34">
        <v>7.3000000000000001E-3</v>
      </c>
      <c r="CK34">
        <v>6.4022999999999968</v>
      </c>
      <c r="CL34">
        <v>7.3000000000000001E-3</v>
      </c>
      <c r="CM34" s="2">
        <v>45681</v>
      </c>
      <c r="CN34" t="s">
        <v>1394</v>
      </c>
      <c r="CO34">
        <v>5</v>
      </c>
      <c r="CP34">
        <v>1.35E-2</v>
      </c>
      <c r="CQ34">
        <v>6.4624404537875328</v>
      </c>
      <c r="CR34">
        <v>650.29945029299813</v>
      </c>
      <c r="CS34">
        <v>0.42399999999999999</v>
      </c>
      <c r="CT34">
        <v>7.3000000000000001E-3</v>
      </c>
      <c r="CU34">
        <v>6.4013000000000488</v>
      </c>
      <c r="CV34">
        <v>7.3000000000000001E-3</v>
      </c>
      <c r="CW34" s="2">
        <v>45681</v>
      </c>
      <c r="CX34" t="s">
        <v>1554</v>
      </c>
      <c r="CY34">
        <v>5</v>
      </c>
      <c r="CZ34">
        <v>1.4E-2</v>
      </c>
      <c r="DA34">
        <v>6.4616887110171017</v>
      </c>
      <c r="DB34">
        <v>650.2293878667939</v>
      </c>
      <c r="DC34">
        <v>0.42399999999999999</v>
      </c>
      <c r="DD34">
        <v>7.1999999999999998E-3</v>
      </c>
      <c r="DE34">
        <v>6.401299999999992</v>
      </c>
      <c r="DF34">
        <v>7.1999999999999998E-3</v>
      </c>
      <c r="DG34" s="2">
        <v>45681</v>
      </c>
      <c r="DH34" t="s">
        <v>1712</v>
      </c>
      <c r="DI34">
        <v>6</v>
      </c>
      <c r="DJ34">
        <v>1.3599999999999999E-2</v>
      </c>
      <c r="DK34">
        <v>6.4606336761256973</v>
      </c>
      <c r="DL34">
        <v>650.13105861491499</v>
      </c>
      <c r="DM34">
        <v>0.42399999999999999</v>
      </c>
      <c r="DN34">
        <v>7.1999999999999998E-3</v>
      </c>
      <c r="DO34">
        <v>6.4002000000000407</v>
      </c>
      <c r="DP34">
        <v>7.1999999999999998E-3</v>
      </c>
    </row>
    <row r="35" spans="1:120" x14ac:dyDescent="0.3">
      <c r="A35" s="2">
        <v>45681</v>
      </c>
      <c r="B35" t="s">
        <v>221</v>
      </c>
      <c r="C35">
        <v>1</v>
      </c>
      <c r="D35">
        <v>1.0200000000000001E-2</v>
      </c>
      <c r="E35">
        <v>6.3643376978696624</v>
      </c>
      <c r="F35">
        <v>641.15627344145253</v>
      </c>
      <c r="G35">
        <v>0.42399999999999999</v>
      </c>
      <c r="H35">
        <v>5.7000000000000002E-3</v>
      </c>
      <c r="I35">
        <v>6.5993899999999996</v>
      </c>
      <c r="J35">
        <v>5.7000000000000002E-3</v>
      </c>
      <c r="K35" s="2">
        <v>45681</v>
      </c>
      <c r="L35" t="s">
        <v>379</v>
      </c>
      <c r="M35">
        <v>1</v>
      </c>
      <c r="N35">
        <v>1.4200000000000001E-2</v>
      </c>
      <c r="O35">
        <v>6.5646543587334252</v>
      </c>
      <c r="P35">
        <v>659.82578623395523</v>
      </c>
      <c r="Q35">
        <v>0.42399999999999999</v>
      </c>
      <c r="R35">
        <v>8.8000000000000005E-3</v>
      </c>
      <c r="S35">
        <v>6.6018600000000021</v>
      </c>
      <c r="T35">
        <v>8.8000000000000005E-3</v>
      </c>
      <c r="U35" s="2">
        <v>45681</v>
      </c>
      <c r="V35" t="s">
        <v>632</v>
      </c>
      <c r="W35">
        <v>2</v>
      </c>
      <c r="X35">
        <v>1.72E-2</v>
      </c>
      <c r="Y35">
        <v>7.0679420888296054</v>
      </c>
      <c r="Z35">
        <v>706.73220267891929</v>
      </c>
      <c r="AA35">
        <v>0.42399999999999999</v>
      </c>
      <c r="AB35">
        <v>1.67E-2</v>
      </c>
      <c r="AC35">
        <v>6.6009999999999991</v>
      </c>
      <c r="AD35">
        <v>1.67E-2</v>
      </c>
      <c r="AE35" s="2">
        <v>45681</v>
      </c>
      <c r="AF35" t="s">
        <v>759</v>
      </c>
      <c r="AG35">
        <v>3</v>
      </c>
      <c r="AH35">
        <v>1.12E-2</v>
      </c>
      <c r="AI35">
        <v>6.3638060851693856</v>
      </c>
      <c r="AJ35">
        <v>641.10672713778672</v>
      </c>
      <c r="AK35">
        <v>0.42399999999999999</v>
      </c>
      <c r="AL35">
        <v>5.7000000000000002E-3</v>
      </c>
      <c r="AM35">
        <v>6.5914999999999964</v>
      </c>
      <c r="AN35">
        <v>5.7000000000000002E-3</v>
      </c>
      <c r="AO35" s="2">
        <v>45681</v>
      </c>
      <c r="AP35" t="s">
        <v>829</v>
      </c>
      <c r="AQ35">
        <v>3</v>
      </c>
      <c r="AR35">
        <v>1.72E-2</v>
      </c>
      <c r="AS35">
        <v>7.2738835210310038</v>
      </c>
      <c r="AT35">
        <v>725.92594416008956</v>
      </c>
      <c r="AU35">
        <v>0.42399999999999999</v>
      </c>
      <c r="AV35">
        <v>1.9900000000000001E-2</v>
      </c>
      <c r="AW35">
        <v>6.5960999999999785</v>
      </c>
      <c r="AX35">
        <v>1.9900000000000001E-2</v>
      </c>
      <c r="AY35" s="2">
        <v>45681</v>
      </c>
      <c r="AZ35" t="s">
        <v>959</v>
      </c>
      <c r="BA35">
        <v>3</v>
      </c>
      <c r="BB35">
        <v>1.21E-2</v>
      </c>
      <c r="BC35">
        <v>6.3639085881749766</v>
      </c>
      <c r="BD35">
        <v>641.11628041790789</v>
      </c>
      <c r="BE35">
        <v>0.42399999999999999</v>
      </c>
      <c r="BF35">
        <v>5.7000000000000002E-3</v>
      </c>
      <c r="BG35">
        <v>6.6021999999999821</v>
      </c>
      <c r="BH35">
        <v>5.7000000000000002E-3</v>
      </c>
      <c r="BI35" s="2">
        <v>45681</v>
      </c>
      <c r="BJ35" t="s">
        <v>1033</v>
      </c>
      <c r="BK35">
        <v>4</v>
      </c>
      <c r="BL35">
        <v>1.6899999999999998E-2</v>
      </c>
      <c r="BM35">
        <v>6.7771936109782196</v>
      </c>
      <c r="BN35">
        <v>679.63444454317005</v>
      </c>
      <c r="BO35">
        <v>0.42399999999999999</v>
      </c>
      <c r="BP35">
        <v>1.21E-2</v>
      </c>
      <c r="BQ35">
        <v>6.601099999999974</v>
      </c>
      <c r="BR35">
        <v>1.21E-2</v>
      </c>
      <c r="BS35" s="2">
        <v>45681</v>
      </c>
      <c r="BT35" t="s">
        <v>1157</v>
      </c>
      <c r="BU35">
        <v>4</v>
      </c>
      <c r="BV35">
        <v>3.3999999999999998E-3</v>
      </c>
      <c r="BW35">
        <v>5.9957334838115024</v>
      </c>
      <c r="BX35">
        <v>606.80236069123202</v>
      </c>
      <c r="BY35">
        <v>0.42399999999999999</v>
      </c>
      <c r="BZ35">
        <v>0</v>
      </c>
      <c r="CA35">
        <v>6.6014000000000124</v>
      </c>
      <c r="CB35">
        <v>0</v>
      </c>
      <c r="CC35" s="2">
        <v>45681</v>
      </c>
      <c r="CD35" t="s">
        <v>1277</v>
      </c>
      <c r="CE35">
        <v>4</v>
      </c>
      <c r="CF35">
        <v>1.2E-2</v>
      </c>
      <c r="CG35">
        <v>6.3657155685721856</v>
      </c>
      <c r="CH35">
        <v>641.28469099092774</v>
      </c>
      <c r="CI35">
        <v>0.42399999999999999</v>
      </c>
      <c r="CJ35">
        <v>5.7000000000000002E-3</v>
      </c>
      <c r="CK35">
        <v>6.600200000000001</v>
      </c>
      <c r="CL35">
        <v>5.7000000000000002E-3</v>
      </c>
      <c r="CM35" s="2">
        <v>45681</v>
      </c>
      <c r="CN35" t="s">
        <v>1395</v>
      </c>
      <c r="CO35">
        <v>5</v>
      </c>
      <c r="CP35">
        <v>1.21E-2</v>
      </c>
      <c r="CQ35">
        <v>6.3651317312393143</v>
      </c>
      <c r="CR35">
        <v>641.23027735150413</v>
      </c>
      <c r="CS35">
        <v>0.42399999999999999</v>
      </c>
      <c r="CT35">
        <v>5.7000000000000002E-3</v>
      </c>
      <c r="CU35">
        <v>6.5999000000000478</v>
      </c>
      <c r="CV35">
        <v>5.7000000000000002E-3</v>
      </c>
      <c r="CW35" s="2">
        <v>45681</v>
      </c>
      <c r="CX35" t="s">
        <v>1555</v>
      </c>
      <c r="CY35">
        <v>5</v>
      </c>
      <c r="CZ35">
        <v>1.23E-2</v>
      </c>
      <c r="DA35">
        <v>6.3638028414033858</v>
      </c>
      <c r="DB35">
        <v>641.10642481879563</v>
      </c>
      <c r="DC35">
        <v>0.42399999999999999</v>
      </c>
      <c r="DD35">
        <v>5.7000000000000002E-3</v>
      </c>
      <c r="DE35">
        <v>6.6012000000000057</v>
      </c>
      <c r="DF35">
        <v>5.7000000000000002E-3</v>
      </c>
      <c r="DG35" s="2">
        <v>45681</v>
      </c>
      <c r="DH35" t="s">
        <v>1713</v>
      </c>
      <c r="DI35">
        <v>6</v>
      </c>
      <c r="DJ35">
        <v>1.1900000000000001E-2</v>
      </c>
      <c r="DK35">
        <v>6.3634203608449464</v>
      </c>
      <c r="DL35">
        <v>641.07077763074903</v>
      </c>
      <c r="DM35">
        <v>0.42399999999999999</v>
      </c>
      <c r="DN35">
        <v>5.7000000000000002E-3</v>
      </c>
      <c r="DO35">
        <v>6.5988000000000397</v>
      </c>
      <c r="DP35">
        <v>5.7000000000000002E-3</v>
      </c>
    </row>
    <row r="36" spans="1:120" x14ac:dyDescent="0.3">
      <c r="A36" s="2">
        <v>45681</v>
      </c>
      <c r="B36" t="s">
        <v>222</v>
      </c>
      <c r="C36">
        <v>1</v>
      </c>
      <c r="D36">
        <v>8.0999999999999996E-3</v>
      </c>
      <c r="E36">
        <v>6.2736988880641844</v>
      </c>
      <c r="F36">
        <v>632.70873636758188</v>
      </c>
      <c r="G36">
        <v>0.42399999999999999</v>
      </c>
      <c r="H36">
        <v>4.3E-3</v>
      </c>
      <c r="I36">
        <v>6.7999800000000015</v>
      </c>
      <c r="J36">
        <v>4.3E-3</v>
      </c>
      <c r="K36" s="2">
        <v>45681</v>
      </c>
      <c r="L36" t="s">
        <v>380</v>
      </c>
      <c r="M36">
        <v>1</v>
      </c>
      <c r="N36">
        <v>1.24E-2</v>
      </c>
      <c r="O36">
        <v>6.4624919485727776</v>
      </c>
      <c r="P36">
        <v>650.30424960698292</v>
      </c>
      <c r="Q36">
        <v>0.42399999999999999</v>
      </c>
      <c r="R36">
        <v>7.3000000000000001E-3</v>
      </c>
      <c r="S36">
        <v>6.800060000000002</v>
      </c>
      <c r="T36">
        <v>7.3000000000000001E-3</v>
      </c>
      <c r="U36" s="2">
        <v>45681</v>
      </c>
      <c r="V36" t="s">
        <v>633</v>
      </c>
      <c r="W36">
        <v>2</v>
      </c>
      <c r="X36">
        <v>1.72E-2</v>
      </c>
      <c r="Y36">
        <v>6.9783679235723044</v>
      </c>
      <c r="Z36">
        <v>698.38389047693875</v>
      </c>
      <c r="AA36">
        <v>0.42399999999999999</v>
      </c>
      <c r="AB36">
        <v>1.5299999999999999E-2</v>
      </c>
      <c r="AC36">
        <v>6.7990999999999957</v>
      </c>
      <c r="AD36">
        <v>1.5299999999999999E-2</v>
      </c>
      <c r="AE36" s="2">
        <v>45681</v>
      </c>
      <c r="AF36" t="s">
        <v>760</v>
      </c>
      <c r="AG36">
        <v>3</v>
      </c>
      <c r="AH36">
        <v>9.4000000000000004E-3</v>
      </c>
      <c r="AI36">
        <v>6.2736393649580888</v>
      </c>
      <c r="AJ36">
        <v>632.70318881409389</v>
      </c>
      <c r="AK36">
        <v>0.42399999999999999</v>
      </c>
      <c r="AL36">
        <v>4.3E-3</v>
      </c>
      <c r="AM36">
        <v>6.7911000000000001</v>
      </c>
      <c r="AN36">
        <v>4.3E-3</v>
      </c>
      <c r="AO36" s="2">
        <v>45681</v>
      </c>
      <c r="AP36" t="s">
        <v>830</v>
      </c>
      <c r="AQ36">
        <v>3</v>
      </c>
      <c r="AR36">
        <v>1.72E-2</v>
      </c>
      <c r="AS36">
        <v>7.2180364127556178</v>
      </c>
      <c r="AT36">
        <v>720.72099366882355</v>
      </c>
      <c r="AU36">
        <v>0.42399999999999999</v>
      </c>
      <c r="AV36">
        <v>1.9E-2</v>
      </c>
      <c r="AW36">
        <v>6.7976999999999919</v>
      </c>
      <c r="AX36">
        <v>1.9E-2</v>
      </c>
      <c r="AY36" s="2">
        <v>45681</v>
      </c>
      <c r="AZ36" t="s">
        <v>960</v>
      </c>
      <c r="BA36">
        <v>3</v>
      </c>
      <c r="BB36">
        <v>0.01</v>
      </c>
      <c r="BC36">
        <v>6.2743619949286726</v>
      </c>
      <c r="BD36">
        <v>632.77053792735228</v>
      </c>
      <c r="BE36">
        <v>0.42399999999999999</v>
      </c>
      <c r="BF36">
        <v>4.3E-3</v>
      </c>
      <c r="BG36">
        <v>6.8003999999999962</v>
      </c>
      <c r="BH36">
        <v>4.3E-3</v>
      </c>
      <c r="BI36" s="2">
        <v>45681</v>
      </c>
      <c r="BJ36" t="s">
        <v>1034</v>
      </c>
      <c r="BK36">
        <v>4</v>
      </c>
      <c r="BL36">
        <v>1.6E-2</v>
      </c>
      <c r="BM36">
        <v>6.6710373139304373</v>
      </c>
      <c r="BN36">
        <v>669.74067765831683</v>
      </c>
      <c r="BO36">
        <v>0.42399999999999999</v>
      </c>
      <c r="BP36">
        <v>1.0500000000000001E-2</v>
      </c>
      <c r="BQ36">
        <v>6.8018999999999892</v>
      </c>
      <c r="BR36">
        <v>1.0500000000000001E-2</v>
      </c>
      <c r="BS36" s="2">
        <v>45681</v>
      </c>
      <c r="BT36" t="s">
        <v>1158</v>
      </c>
      <c r="BU36">
        <v>4</v>
      </c>
      <c r="BV36">
        <v>3.3999999999999998E-3</v>
      </c>
      <c r="BW36">
        <v>5.9957334838115024</v>
      </c>
      <c r="BX36">
        <v>606.80236069123202</v>
      </c>
      <c r="BY36">
        <v>0.42399999999999999</v>
      </c>
      <c r="BZ36">
        <v>0</v>
      </c>
      <c r="CA36">
        <v>6.8025000000000091</v>
      </c>
      <c r="CB36">
        <v>0</v>
      </c>
      <c r="CC36" s="2">
        <v>45681</v>
      </c>
      <c r="CD36" t="s">
        <v>1278</v>
      </c>
      <c r="CE36">
        <v>4</v>
      </c>
      <c r="CF36">
        <v>1.12E-2</v>
      </c>
      <c r="CG36">
        <v>6.2752022925108966</v>
      </c>
      <c r="CH36">
        <v>632.84885366201559</v>
      </c>
      <c r="CI36">
        <v>0.42399999999999999</v>
      </c>
      <c r="CJ36">
        <v>4.3E-3</v>
      </c>
      <c r="CK36">
        <v>6.8001999999999896</v>
      </c>
      <c r="CL36">
        <v>4.3E-3</v>
      </c>
      <c r="CM36" s="2">
        <v>45681</v>
      </c>
      <c r="CN36" t="s">
        <v>1396</v>
      </c>
      <c r="CO36">
        <v>5</v>
      </c>
      <c r="CP36">
        <v>1.0699999999999999E-2</v>
      </c>
      <c r="CQ36">
        <v>6.2744717558606888</v>
      </c>
      <c r="CR36">
        <v>632.78076764621619</v>
      </c>
      <c r="CS36">
        <v>0.42399999999999999</v>
      </c>
      <c r="CT36">
        <v>4.3E-3</v>
      </c>
      <c r="CU36">
        <v>6.8004000000000246</v>
      </c>
      <c r="CV36">
        <v>4.3E-3</v>
      </c>
      <c r="CW36" s="2">
        <v>45681</v>
      </c>
      <c r="CX36" t="s">
        <v>1556</v>
      </c>
      <c r="CY36">
        <v>5</v>
      </c>
      <c r="CZ36">
        <v>1.06E-2</v>
      </c>
      <c r="DA36">
        <v>6.2735072220406769</v>
      </c>
      <c r="DB36">
        <v>632.69087309419115</v>
      </c>
      <c r="DC36">
        <v>0.42399999999999999</v>
      </c>
      <c r="DD36">
        <v>4.3E-3</v>
      </c>
      <c r="DE36">
        <v>6.8011000000000195</v>
      </c>
      <c r="DF36">
        <v>4.3E-3</v>
      </c>
      <c r="DG36" s="2">
        <v>45681</v>
      </c>
      <c r="DH36" t="s">
        <v>1714</v>
      </c>
      <c r="DI36">
        <v>6</v>
      </c>
      <c r="DJ36">
        <v>1.04E-2</v>
      </c>
      <c r="DK36">
        <v>6.2734599441512309</v>
      </c>
      <c r="DL36">
        <v>632.68646679489473</v>
      </c>
      <c r="DM36">
        <v>0.42399999999999999</v>
      </c>
      <c r="DN36">
        <v>4.3E-3</v>
      </c>
      <c r="DO36">
        <v>6.7981000000000336</v>
      </c>
      <c r="DP36">
        <v>4.3E-3</v>
      </c>
    </row>
    <row r="37" spans="1:120" x14ac:dyDescent="0.3">
      <c r="A37" s="2">
        <v>45681</v>
      </c>
      <c r="B37" t="s">
        <v>223</v>
      </c>
      <c r="C37">
        <v>1</v>
      </c>
      <c r="D37">
        <v>5.7999999999999996E-3</v>
      </c>
      <c r="E37">
        <v>6.1934543614810789</v>
      </c>
      <c r="F37">
        <v>625.22994649003658</v>
      </c>
      <c r="G37">
        <v>0.42399999999999999</v>
      </c>
      <c r="H37">
        <v>3.0999999999999999E-3</v>
      </c>
      <c r="I37">
        <v>6.9991400000000006</v>
      </c>
      <c r="J37">
        <v>3.0999999999999999E-3</v>
      </c>
      <c r="K37" s="2">
        <v>45681</v>
      </c>
      <c r="L37" t="s">
        <v>381</v>
      </c>
      <c r="M37">
        <v>1</v>
      </c>
      <c r="N37">
        <v>1.0500000000000001E-2</v>
      </c>
      <c r="O37">
        <v>6.3637587667328646</v>
      </c>
      <c r="P37">
        <v>641.10231705950298</v>
      </c>
      <c r="Q37">
        <v>0.42399999999999999</v>
      </c>
      <c r="R37">
        <v>5.7000000000000002E-3</v>
      </c>
      <c r="S37">
        <v>7.0016999999999996</v>
      </c>
      <c r="T37">
        <v>5.7000000000000002E-3</v>
      </c>
      <c r="U37" s="2">
        <v>45681</v>
      </c>
      <c r="V37" t="s">
        <v>634</v>
      </c>
      <c r="W37">
        <v>2</v>
      </c>
      <c r="X37">
        <v>1.6899999999999998E-2</v>
      </c>
      <c r="Y37">
        <v>6.8797225666968336</v>
      </c>
      <c r="Z37">
        <v>689.19014321614497</v>
      </c>
      <c r="AA37">
        <v>0.42399999999999999</v>
      </c>
      <c r="AB37">
        <v>1.37E-2</v>
      </c>
      <c r="AC37">
        <v>7.0003999999999991</v>
      </c>
      <c r="AD37">
        <v>1.37E-2</v>
      </c>
      <c r="AE37" s="2">
        <v>45681</v>
      </c>
      <c r="AF37" t="s">
        <v>761</v>
      </c>
      <c r="AG37">
        <v>3</v>
      </c>
      <c r="AH37">
        <v>7.6E-3</v>
      </c>
      <c r="AI37">
        <v>6.1934979090396256</v>
      </c>
      <c r="AJ37">
        <v>625.23400512249316</v>
      </c>
      <c r="AK37">
        <v>0.42399999999999999</v>
      </c>
      <c r="AL37">
        <v>3.0999999999999999E-3</v>
      </c>
      <c r="AM37">
        <v>6.9900000000000091</v>
      </c>
      <c r="AN37">
        <v>3.0999999999999999E-3</v>
      </c>
      <c r="AO37" s="2">
        <v>45681</v>
      </c>
      <c r="AP37" t="s">
        <v>831</v>
      </c>
      <c r="AQ37">
        <v>3</v>
      </c>
      <c r="AR37">
        <v>1.72E-2</v>
      </c>
      <c r="AS37">
        <v>7.1487998493749538</v>
      </c>
      <c r="AT37">
        <v>714.26814596174574</v>
      </c>
      <c r="AU37">
        <v>0.42399999999999999</v>
      </c>
      <c r="AV37">
        <v>1.7899999999999999E-2</v>
      </c>
      <c r="AW37">
        <v>6.9985999999999819</v>
      </c>
      <c r="AX37">
        <v>1.7899999999999999E-2</v>
      </c>
      <c r="AY37" s="2">
        <v>45681</v>
      </c>
      <c r="AZ37" t="s">
        <v>961</v>
      </c>
      <c r="BA37">
        <v>3</v>
      </c>
      <c r="BB37">
        <v>8.3999999999999995E-3</v>
      </c>
      <c r="BC37">
        <v>6.193918422754412</v>
      </c>
      <c r="BD37">
        <v>625.27319700071121</v>
      </c>
      <c r="BE37">
        <v>0.42399999999999999</v>
      </c>
      <c r="BF37">
        <v>3.0999999999999999E-3</v>
      </c>
      <c r="BG37">
        <v>6.9997999999999934</v>
      </c>
      <c r="BH37">
        <v>3.0999999999999999E-3</v>
      </c>
      <c r="BI37" s="2">
        <v>45681</v>
      </c>
      <c r="BJ37" t="s">
        <v>1035</v>
      </c>
      <c r="BK37">
        <v>4</v>
      </c>
      <c r="BL37">
        <v>1.49E-2</v>
      </c>
      <c r="BM37">
        <v>6.5650865905528857</v>
      </c>
      <c r="BN37">
        <v>659.86607023952899</v>
      </c>
      <c r="BO37">
        <v>0.42399999999999999</v>
      </c>
      <c r="BP37">
        <v>8.8000000000000005E-3</v>
      </c>
      <c r="BQ37">
        <v>7.0023999999999944</v>
      </c>
      <c r="BR37">
        <v>8.8000000000000005E-3</v>
      </c>
      <c r="BS37" s="2">
        <v>45681</v>
      </c>
      <c r="BT37" t="s">
        <v>1159</v>
      </c>
      <c r="BU37">
        <v>4</v>
      </c>
      <c r="BV37">
        <v>3.3999999999999998E-3</v>
      </c>
      <c r="BW37">
        <v>6.1934966520803014</v>
      </c>
      <c r="BX37">
        <v>727.7628322824205</v>
      </c>
      <c r="BY37">
        <v>0.42399999999999999</v>
      </c>
      <c r="BZ37">
        <v>3.0999999999999999E-3</v>
      </c>
      <c r="CA37">
        <v>7.0021000000000129</v>
      </c>
      <c r="CB37">
        <v>3.0999999999999999E-3</v>
      </c>
      <c r="CC37" s="2">
        <v>45681</v>
      </c>
      <c r="CD37" t="s">
        <v>1279</v>
      </c>
      <c r="CE37">
        <v>4</v>
      </c>
      <c r="CF37">
        <v>9.7999999999999997E-3</v>
      </c>
      <c r="CG37">
        <v>6.19443414100129</v>
      </c>
      <c r="CH37">
        <v>625.32126194132024</v>
      </c>
      <c r="CI37">
        <v>0.42399999999999999</v>
      </c>
      <c r="CJ37">
        <v>3.0999999999999999E-3</v>
      </c>
      <c r="CK37">
        <v>7.0002999999999815</v>
      </c>
      <c r="CL37">
        <v>3.0999999999999999E-3</v>
      </c>
      <c r="CM37" s="2">
        <v>45681</v>
      </c>
      <c r="CN37" t="s">
        <v>1397</v>
      </c>
      <c r="CO37">
        <v>5</v>
      </c>
      <c r="CP37">
        <v>8.8999999999999999E-3</v>
      </c>
      <c r="CQ37">
        <v>6.1935403212800706</v>
      </c>
      <c r="CR37">
        <v>625.23795794330272</v>
      </c>
      <c r="CS37">
        <v>0.42399999999999999</v>
      </c>
      <c r="CT37">
        <v>3.0999999999999999E-3</v>
      </c>
      <c r="CU37">
        <v>7.0011000000000081</v>
      </c>
      <c r="CV37">
        <v>3.0999999999999999E-3</v>
      </c>
      <c r="CW37" s="2">
        <v>45681</v>
      </c>
      <c r="CX37" t="s">
        <v>1557</v>
      </c>
      <c r="CY37">
        <v>5</v>
      </c>
      <c r="CZ37">
        <v>9.1000000000000004E-3</v>
      </c>
      <c r="DA37">
        <v>6.1931492852888059</v>
      </c>
      <c r="DB37">
        <v>625.20151338891674</v>
      </c>
      <c r="DC37">
        <v>0.42399999999999999</v>
      </c>
      <c r="DD37">
        <v>3.0999999999999999E-3</v>
      </c>
      <c r="DE37">
        <v>7.0006999999999948</v>
      </c>
      <c r="DF37">
        <v>3.0999999999999999E-3</v>
      </c>
      <c r="DG37" s="2">
        <v>45681</v>
      </c>
      <c r="DH37" t="s">
        <v>1715</v>
      </c>
      <c r="DI37">
        <v>6</v>
      </c>
      <c r="DJ37">
        <v>8.8999999999999999E-3</v>
      </c>
      <c r="DK37">
        <v>6.1916826570391166</v>
      </c>
      <c r="DL37">
        <v>625.06482363604573</v>
      </c>
      <c r="DM37">
        <v>0.42399999999999999</v>
      </c>
      <c r="DN37">
        <v>3.0000000000000001E-3</v>
      </c>
      <c r="DO37">
        <v>7.0013999999999896</v>
      </c>
      <c r="DP37">
        <v>3.0000000000000001E-3</v>
      </c>
    </row>
    <row r="38" spans="1:120" x14ac:dyDescent="0.3">
      <c r="A38" s="2">
        <v>45681</v>
      </c>
      <c r="B38" t="s">
        <v>224</v>
      </c>
      <c r="C38">
        <v>1</v>
      </c>
      <c r="D38">
        <v>4.5999999999999999E-3</v>
      </c>
      <c r="E38">
        <v>6.1247426394391686</v>
      </c>
      <c r="F38">
        <v>618.82601399573048</v>
      </c>
      <c r="G38">
        <v>0.42399999999999999</v>
      </c>
      <c r="H38">
        <v>2E-3</v>
      </c>
      <c r="I38">
        <v>7.1987500000000004</v>
      </c>
      <c r="J38">
        <v>2E-3</v>
      </c>
      <c r="K38" s="2">
        <v>45681</v>
      </c>
      <c r="L38" t="s">
        <v>382</v>
      </c>
      <c r="M38">
        <v>1</v>
      </c>
      <c r="N38">
        <v>8.3999999999999995E-3</v>
      </c>
      <c r="O38">
        <v>6.2735296851202236</v>
      </c>
      <c r="P38">
        <v>632.69296665320496</v>
      </c>
      <c r="Q38">
        <v>0.42399999999999999</v>
      </c>
      <c r="R38">
        <v>4.3E-3</v>
      </c>
      <c r="S38">
        <v>7.2014700000000005</v>
      </c>
      <c r="T38">
        <v>4.3E-3</v>
      </c>
      <c r="U38" s="2">
        <v>45681</v>
      </c>
      <c r="V38" t="s">
        <v>635</v>
      </c>
      <c r="W38">
        <v>2</v>
      </c>
      <c r="X38">
        <v>1.67E-2</v>
      </c>
      <c r="Y38">
        <v>6.7770630493967321</v>
      </c>
      <c r="Z38">
        <v>679.62227620377541</v>
      </c>
      <c r="AA38">
        <v>0.42399999999999999</v>
      </c>
      <c r="AB38">
        <v>1.21E-2</v>
      </c>
      <c r="AC38">
        <v>7.1994999999999862</v>
      </c>
      <c r="AD38">
        <v>1.21E-2</v>
      </c>
      <c r="AE38" s="2">
        <v>45681</v>
      </c>
      <c r="AF38" t="s">
        <v>762</v>
      </c>
      <c r="AG38">
        <v>3</v>
      </c>
      <c r="AH38">
        <v>5.5999999999999999E-3</v>
      </c>
      <c r="AI38">
        <v>6.1250957639153114</v>
      </c>
      <c r="AJ38">
        <v>618.85892519690708</v>
      </c>
      <c r="AK38">
        <v>0.42399999999999999</v>
      </c>
      <c r="AL38">
        <v>2E-3</v>
      </c>
      <c r="AM38">
        <v>7.1886000000000081</v>
      </c>
      <c r="AN38">
        <v>2E-3</v>
      </c>
      <c r="AO38" s="2">
        <v>45681</v>
      </c>
      <c r="AP38" t="s">
        <v>832</v>
      </c>
      <c r="AQ38">
        <v>3</v>
      </c>
      <c r="AR38">
        <v>1.7100000000000001E-2</v>
      </c>
      <c r="AS38">
        <v>7.0683147164488211</v>
      </c>
      <c r="AT38">
        <v>706.76693157303021</v>
      </c>
      <c r="AU38">
        <v>0.42399999999999999</v>
      </c>
      <c r="AV38">
        <v>1.67E-2</v>
      </c>
      <c r="AW38">
        <v>7.1980999999999824</v>
      </c>
      <c r="AX38">
        <v>1.67E-2</v>
      </c>
      <c r="AY38" s="2">
        <v>45681</v>
      </c>
      <c r="AZ38" t="s">
        <v>962</v>
      </c>
      <c r="BA38">
        <v>3</v>
      </c>
      <c r="BB38">
        <v>6.7000000000000002E-3</v>
      </c>
      <c r="BC38">
        <v>6.1248329377751851</v>
      </c>
      <c r="BD38">
        <v>618.83442980064729</v>
      </c>
      <c r="BE38">
        <v>0.42399999999999999</v>
      </c>
      <c r="BF38">
        <v>2E-3</v>
      </c>
      <c r="BG38">
        <v>7.2004000000000019</v>
      </c>
      <c r="BH38">
        <v>2E-3</v>
      </c>
      <c r="BI38" s="2">
        <v>45681</v>
      </c>
      <c r="BJ38" t="s">
        <v>1036</v>
      </c>
      <c r="BK38">
        <v>4</v>
      </c>
      <c r="BL38">
        <v>1.32E-2</v>
      </c>
      <c r="BM38">
        <v>6.4620921544133143</v>
      </c>
      <c r="BN38">
        <v>650.26698879132095</v>
      </c>
      <c r="BO38">
        <v>0.42399999999999999</v>
      </c>
      <c r="BP38">
        <v>7.1999999999999998E-3</v>
      </c>
      <c r="BQ38">
        <v>7.2021999999999764</v>
      </c>
      <c r="BR38">
        <v>7.1999999999999998E-3</v>
      </c>
      <c r="BS38" s="2">
        <v>45681</v>
      </c>
      <c r="BT38" t="s">
        <v>1160</v>
      </c>
      <c r="BU38">
        <v>4</v>
      </c>
      <c r="BV38">
        <v>3.3999999999999998E-3</v>
      </c>
      <c r="BW38">
        <v>6.1250036815079953</v>
      </c>
      <c r="BX38">
        <v>618.85034311654522</v>
      </c>
      <c r="BY38">
        <v>0.42399999999999999</v>
      </c>
      <c r="BZ38">
        <v>2E-3</v>
      </c>
      <c r="CA38">
        <v>7.2009999999999934</v>
      </c>
      <c r="CB38">
        <v>2E-3</v>
      </c>
      <c r="CC38" s="2">
        <v>45681</v>
      </c>
      <c r="CD38" t="s">
        <v>1280</v>
      </c>
      <c r="CE38">
        <v>4</v>
      </c>
      <c r="CF38">
        <v>6.6E-3</v>
      </c>
      <c r="CG38">
        <v>6.0292221523753904</v>
      </c>
      <c r="CH38">
        <v>609.92350460138641</v>
      </c>
      <c r="CI38">
        <v>0.42399999999999999</v>
      </c>
      <c r="CJ38">
        <v>5.0000000000000001E-4</v>
      </c>
      <c r="CK38">
        <v>7.5997999999999877</v>
      </c>
      <c r="CL38">
        <v>5.0000000000000001E-4</v>
      </c>
      <c r="CM38" s="2">
        <v>45681</v>
      </c>
      <c r="CN38" t="s">
        <v>1398</v>
      </c>
      <c r="CO38">
        <v>5</v>
      </c>
      <c r="CP38">
        <v>7.4999999999999997E-3</v>
      </c>
      <c r="CQ38">
        <v>6.1246096855802552</v>
      </c>
      <c r="CR38">
        <v>618.81362269607985</v>
      </c>
      <c r="CS38">
        <v>0.42399999999999999</v>
      </c>
      <c r="CT38">
        <v>2E-3</v>
      </c>
      <c r="CU38">
        <v>7.2014000000000351</v>
      </c>
      <c r="CV38">
        <v>2E-3</v>
      </c>
      <c r="CW38" s="2">
        <v>45681</v>
      </c>
      <c r="CX38" t="s">
        <v>1558</v>
      </c>
      <c r="CY38">
        <v>5</v>
      </c>
      <c r="CZ38">
        <v>7.7999999999999996E-3</v>
      </c>
      <c r="DA38">
        <v>6.1243997328259274</v>
      </c>
      <c r="DB38">
        <v>618.79405509937635</v>
      </c>
      <c r="DC38">
        <v>0.42399999999999999</v>
      </c>
      <c r="DD38">
        <v>2E-3</v>
      </c>
      <c r="DE38">
        <v>7.2006000000000085</v>
      </c>
      <c r="DF38">
        <v>2E-3</v>
      </c>
      <c r="DG38" s="2">
        <v>45681</v>
      </c>
      <c r="DH38" t="s">
        <v>1716</v>
      </c>
      <c r="DI38">
        <v>6</v>
      </c>
      <c r="DJ38">
        <v>8.0999999999999996E-3</v>
      </c>
      <c r="DK38">
        <v>6.1234168311809398</v>
      </c>
      <c r="DL38">
        <v>618.70244866606356</v>
      </c>
      <c r="DM38">
        <v>0.42399999999999999</v>
      </c>
      <c r="DN38">
        <v>2E-3</v>
      </c>
      <c r="DO38">
        <v>7.2005000000000337</v>
      </c>
      <c r="DP38">
        <v>2E-3</v>
      </c>
    </row>
    <row r="39" spans="1:120" x14ac:dyDescent="0.3">
      <c r="A39" s="2">
        <v>45681</v>
      </c>
      <c r="B39" t="s">
        <v>225</v>
      </c>
      <c r="C39">
        <v>1</v>
      </c>
      <c r="D39">
        <v>4.1000000000000003E-3</v>
      </c>
      <c r="E39">
        <v>6.0688104228533639</v>
      </c>
      <c r="F39">
        <v>613.61313140993354</v>
      </c>
      <c r="G39">
        <v>0.42399999999999999</v>
      </c>
      <c r="H39">
        <v>1.1000000000000001E-3</v>
      </c>
      <c r="I39">
        <v>7.4009900000000002</v>
      </c>
      <c r="J39">
        <v>1.1000000000000001E-3</v>
      </c>
      <c r="K39" s="2">
        <v>45681</v>
      </c>
      <c r="L39" t="s">
        <v>383</v>
      </c>
      <c r="M39">
        <v>1</v>
      </c>
      <c r="N39">
        <v>6.7999999999999996E-3</v>
      </c>
      <c r="O39">
        <v>6.1926265929450297</v>
      </c>
      <c r="P39">
        <v>625.15279846247677</v>
      </c>
      <c r="Q39">
        <v>0.42399999999999999</v>
      </c>
      <c r="R39">
        <v>3.0999999999999999E-3</v>
      </c>
      <c r="S39">
        <v>7.4024399999999986</v>
      </c>
      <c r="T39">
        <v>3.0999999999999999E-3</v>
      </c>
      <c r="U39" s="2">
        <v>45681</v>
      </c>
      <c r="V39" t="s">
        <v>636</v>
      </c>
      <c r="W39">
        <v>2</v>
      </c>
      <c r="X39">
        <v>1.6E-2</v>
      </c>
      <c r="Y39">
        <v>6.6706886090854676</v>
      </c>
      <c r="Z39">
        <v>669.70817836676565</v>
      </c>
      <c r="AA39">
        <v>0.42399999999999999</v>
      </c>
      <c r="AB39">
        <v>1.0500000000000001E-2</v>
      </c>
      <c r="AC39">
        <v>7.4007999999999896</v>
      </c>
      <c r="AD39">
        <v>1.0500000000000001E-2</v>
      </c>
      <c r="AE39" s="2">
        <v>45681</v>
      </c>
      <c r="AF39" t="s">
        <v>763</v>
      </c>
      <c r="AG39">
        <v>3</v>
      </c>
      <c r="AH39">
        <v>4.3E-3</v>
      </c>
      <c r="AI39">
        <v>6.0692616712509988</v>
      </c>
      <c r="AJ39">
        <v>613.65518776059309</v>
      </c>
      <c r="AK39">
        <v>0.42399999999999999</v>
      </c>
      <c r="AL39">
        <v>1.1000000000000001E-3</v>
      </c>
      <c r="AM39">
        <v>7.3900999999999897</v>
      </c>
      <c r="AN39">
        <v>1.1000000000000001E-3</v>
      </c>
      <c r="AO39" s="2">
        <v>45681</v>
      </c>
      <c r="AP39" t="s">
        <v>833</v>
      </c>
      <c r="AQ39">
        <v>3</v>
      </c>
      <c r="AR39">
        <v>1.7100000000000001E-2</v>
      </c>
      <c r="AS39">
        <v>6.9781445091890753</v>
      </c>
      <c r="AT39">
        <v>698.3630682564218</v>
      </c>
      <c r="AU39">
        <v>0.42399999999999999</v>
      </c>
      <c r="AV39">
        <v>1.5299999999999999E-2</v>
      </c>
      <c r="AW39">
        <v>7.3974999999999795</v>
      </c>
      <c r="AX39">
        <v>1.5299999999999999E-2</v>
      </c>
      <c r="AY39" s="2">
        <v>45681</v>
      </c>
      <c r="AZ39" t="s">
        <v>963</v>
      </c>
      <c r="BA39">
        <v>3</v>
      </c>
      <c r="BB39">
        <v>5.0000000000000001E-3</v>
      </c>
      <c r="BC39">
        <v>6.0693817311400613</v>
      </c>
      <c r="BD39">
        <v>613.66637734225378</v>
      </c>
      <c r="BE39">
        <v>0.42399999999999999</v>
      </c>
      <c r="BF39">
        <v>1.1000000000000001E-3</v>
      </c>
      <c r="BG39">
        <v>7.4004999999999939</v>
      </c>
      <c r="BH39">
        <v>1.1000000000000001E-3</v>
      </c>
      <c r="BI39" s="2">
        <v>45681</v>
      </c>
      <c r="BJ39" t="s">
        <v>1037</v>
      </c>
      <c r="BK39">
        <v>4</v>
      </c>
      <c r="BL39">
        <v>1.1900000000000001E-2</v>
      </c>
      <c r="BM39">
        <v>6.3648607551371139</v>
      </c>
      <c r="BN39">
        <v>641.20502237877906</v>
      </c>
      <c r="BO39">
        <v>0.42399999999999999</v>
      </c>
      <c r="BP39">
        <v>5.7000000000000002E-3</v>
      </c>
      <c r="BQ39">
        <v>7.4007000000000005</v>
      </c>
      <c r="BR39">
        <v>5.7000000000000002E-3</v>
      </c>
      <c r="BS39" s="2">
        <v>45681</v>
      </c>
      <c r="BT39" t="s">
        <v>1161</v>
      </c>
      <c r="BU39">
        <v>4</v>
      </c>
      <c r="BV39">
        <v>3.3999999999999998E-3</v>
      </c>
      <c r="BW39">
        <v>6.0694948980263774</v>
      </c>
      <c r="BX39">
        <v>613.67692449605829</v>
      </c>
      <c r="BY39">
        <v>0.42399999999999999</v>
      </c>
      <c r="BZ39">
        <v>1.1000000000000001E-3</v>
      </c>
      <c r="CA39">
        <v>7.401299999999992</v>
      </c>
      <c r="CB39">
        <v>1.1000000000000001E-3</v>
      </c>
      <c r="CC39" s="2">
        <v>45681</v>
      </c>
      <c r="CD39" t="s">
        <v>1281</v>
      </c>
      <c r="CE39">
        <v>4</v>
      </c>
      <c r="CF39">
        <v>5.4000000000000003E-3</v>
      </c>
      <c r="CG39">
        <v>6.0041436445754242</v>
      </c>
      <c r="CH39">
        <v>607.58618767442954</v>
      </c>
      <c r="CI39">
        <v>0.42399999999999999</v>
      </c>
      <c r="CJ39">
        <v>1E-4</v>
      </c>
      <c r="CK39">
        <v>7.8011999999999944</v>
      </c>
      <c r="CL39">
        <v>1E-4</v>
      </c>
      <c r="CM39" s="2">
        <v>45681</v>
      </c>
      <c r="CN39" t="s">
        <v>1399</v>
      </c>
      <c r="CO39">
        <v>5</v>
      </c>
      <c r="CP39">
        <v>6.4999999999999997E-3</v>
      </c>
      <c r="CQ39">
        <v>6.0693216403749162</v>
      </c>
      <c r="CR39">
        <v>613.66077688294217</v>
      </c>
      <c r="CS39">
        <v>0.42399999999999999</v>
      </c>
      <c r="CT39">
        <v>1.1000000000000001E-3</v>
      </c>
      <c r="CU39">
        <v>7.4011000000000422</v>
      </c>
      <c r="CV39">
        <v>1.1000000000000001E-3</v>
      </c>
      <c r="CW39" s="2">
        <v>45681</v>
      </c>
      <c r="CX39" t="s">
        <v>1559</v>
      </c>
      <c r="CY39">
        <v>5</v>
      </c>
      <c r="CZ39">
        <v>7.1000000000000004E-3</v>
      </c>
      <c r="DA39">
        <v>6.0688605795851336</v>
      </c>
      <c r="DB39">
        <v>613.61780601733449</v>
      </c>
      <c r="DC39">
        <v>0.42399999999999999</v>
      </c>
      <c r="DD39">
        <v>1.1000000000000001E-3</v>
      </c>
      <c r="DE39">
        <v>7.4014999999999986</v>
      </c>
      <c r="DF39">
        <v>1.1000000000000001E-3</v>
      </c>
      <c r="DG39" s="2">
        <v>45681</v>
      </c>
      <c r="DH39" t="s">
        <v>1717</v>
      </c>
      <c r="DI39">
        <v>6</v>
      </c>
      <c r="DJ39">
        <v>7.4999999999999997E-3</v>
      </c>
      <c r="DK39">
        <v>6.0684753418255948</v>
      </c>
      <c r="DL39">
        <v>613.58190185814544</v>
      </c>
      <c r="DM39">
        <v>0.42399999999999999</v>
      </c>
      <c r="DN39">
        <v>1.1000000000000001E-3</v>
      </c>
      <c r="DO39">
        <v>7.3999000000000024</v>
      </c>
      <c r="DP39">
        <v>1.1000000000000001E-3</v>
      </c>
    </row>
    <row r="40" spans="1:120" x14ac:dyDescent="0.3">
      <c r="A40" s="2">
        <v>45681</v>
      </c>
      <c r="B40" t="s">
        <v>226</v>
      </c>
      <c r="C40">
        <v>1</v>
      </c>
      <c r="D40">
        <v>2.5999999999999999E-3</v>
      </c>
      <c r="E40">
        <v>6.0286815584980022</v>
      </c>
      <c r="F40">
        <v>609.87312125201379</v>
      </c>
      <c r="G40">
        <v>0.42399999999999999</v>
      </c>
      <c r="H40">
        <v>5.0000000000000001E-4</v>
      </c>
      <c r="I40">
        <v>7.5993500000000012</v>
      </c>
      <c r="J40">
        <v>5.0000000000000001E-4</v>
      </c>
      <c r="K40" s="2">
        <v>45681</v>
      </c>
      <c r="L40" t="s">
        <v>384</v>
      </c>
      <c r="M40">
        <v>1</v>
      </c>
      <c r="N40">
        <v>5.0000000000000001E-3</v>
      </c>
      <c r="O40">
        <v>6.1241241749042512</v>
      </c>
      <c r="P40">
        <v>618.76837310107624</v>
      </c>
      <c r="Q40">
        <v>0.42399999999999999</v>
      </c>
      <c r="R40">
        <v>2E-3</v>
      </c>
      <c r="S40">
        <v>7.6018299999999996</v>
      </c>
      <c r="T40">
        <v>2E-3</v>
      </c>
      <c r="U40" s="2">
        <v>45681</v>
      </c>
      <c r="V40" t="s">
        <v>637</v>
      </c>
      <c r="W40">
        <v>2</v>
      </c>
      <c r="X40">
        <v>1.4800000000000001E-2</v>
      </c>
      <c r="Y40">
        <v>6.5658727983370637</v>
      </c>
      <c r="Z40">
        <v>659.93934480501434</v>
      </c>
      <c r="AA40">
        <v>0.42399999999999999</v>
      </c>
      <c r="AB40">
        <v>8.8999999999999999E-3</v>
      </c>
      <c r="AC40">
        <v>7.5990999999999929</v>
      </c>
      <c r="AD40">
        <v>8.8999999999999999E-3</v>
      </c>
      <c r="AE40" s="2">
        <v>45681</v>
      </c>
      <c r="AF40" t="s">
        <v>764</v>
      </c>
      <c r="AG40">
        <v>3</v>
      </c>
      <c r="AH40">
        <v>3.5999999999999999E-3</v>
      </c>
      <c r="AI40">
        <v>6.0286639935051136</v>
      </c>
      <c r="AJ40">
        <v>609.87148419467655</v>
      </c>
      <c r="AK40">
        <v>0.42399999999999999</v>
      </c>
      <c r="AL40">
        <v>5.0000000000000001E-4</v>
      </c>
      <c r="AM40">
        <v>7.5904999999999916</v>
      </c>
      <c r="AN40">
        <v>5.0000000000000001E-4</v>
      </c>
      <c r="AO40" s="2">
        <v>45681</v>
      </c>
      <c r="AP40" t="s">
        <v>834</v>
      </c>
      <c r="AQ40">
        <v>3</v>
      </c>
      <c r="AR40">
        <v>1.7000000000000001E-2</v>
      </c>
      <c r="AS40">
        <v>6.8805185057790128</v>
      </c>
      <c r="AT40">
        <v>689.26432473860405</v>
      </c>
      <c r="AU40">
        <v>0.42399999999999999</v>
      </c>
      <c r="AV40">
        <v>1.37E-2</v>
      </c>
      <c r="AW40">
        <v>7.5968000000000018</v>
      </c>
      <c r="AX40">
        <v>1.37E-2</v>
      </c>
      <c r="AY40" s="2">
        <v>45681</v>
      </c>
      <c r="AZ40" t="s">
        <v>964</v>
      </c>
      <c r="BA40">
        <v>3</v>
      </c>
      <c r="BB40">
        <v>4.5999999999999999E-3</v>
      </c>
      <c r="BC40">
        <v>6.0286581547263136</v>
      </c>
      <c r="BD40">
        <v>609.87094002049253</v>
      </c>
      <c r="BE40">
        <v>0.42399999999999999</v>
      </c>
      <c r="BF40">
        <v>5.0000000000000001E-4</v>
      </c>
      <c r="BG40">
        <v>7.6013999999999839</v>
      </c>
      <c r="BH40">
        <v>5.0000000000000001E-4</v>
      </c>
      <c r="BI40" s="2">
        <v>45681</v>
      </c>
      <c r="BJ40" t="s">
        <v>1038</v>
      </c>
      <c r="BK40">
        <v>4</v>
      </c>
      <c r="BL40">
        <v>1.04E-2</v>
      </c>
      <c r="BM40">
        <v>6.274526088941184</v>
      </c>
      <c r="BN40">
        <v>632.78583148931841</v>
      </c>
      <c r="BO40">
        <v>0.42399999999999999</v>
      </c>
      <c r="BP40">
        <v>4.3E-3</v>
      </c>
      <c r="BQ40">
        <v>7.6004999999999825</v>
      </c>
      <c r="BR40">
        <v>4.3E-3</v>
      </c>
      <c r="BS40" s="2">
        <v>45681</v>
      </c>
      <c r="BT40" t="s">
        <v>1162</v>
      </c>
      <c r="BU40">
        <v>4</v>
      </c>
      <c r="BV40">
        <v>3.3999999999999998E-3</v>
      </c>
      <c r="BW40">
        <v>6.028945430752664</v>
      </c>
      <c r="BX40">
        <v>609.89771414614825</v>
      </c>
      <c r="BY40">
        <v>0.42399999999999999</v>
      </c>
      <c r="BZ40">
        <v>5.0000000000000001E-4</v>
      </c>
      <c r="CA40">
        <v>7.6008999999999958</v>
      </c>
      <c r="CB40">
        <v>5.0000000000000001E-4</v>
      </c>
      <c r="CC40" s="2">
        <v>45681</v>
      </c>
      <c r="CD40" t="s">
        <v>1282</v>
      </c>
      <c r="CE40">
        <v>4</v>
      </c>
      <c r="CF40">
        <v>4.3E-3</v>
      </c>
      <c r="CG40">
        <v>5.9957345713687991</v>
      </c>
      <c r="CH40">
        <v>606.80246205157209</v>
      </c>
      <c r="CI40">
        <v>0.42399999999999999</v>
      </c>
      <c r="CJ40">
        <v>0</v>
      </c>
      <c r="CK40">
        <v>8</v>
      </c>
      <c r="CL40">
        <v>0</v>
      </c>
      <c r="CM40" s="2">
        <v>45681</v>
      </c>
      <c r="CN40" t="s">
        <v>1400</v>
      </c>
      <c r="CO40">
        <v>5</v>
      </c>
      <c r="CP40">
        <v>5.7000000000000002E-3</v>
      </c>
      <c r="CQ40">
        <v>6.0290764626802211</v>
      </c>
      <c r="CR40">
        <v>609.90992632179666</v>
      </c>
      <c r="CS40">
        <v>0.42399999999999999</v>
      </c>
      <c r="CT40">
        <v>5.0000000000000001E-4</v>
      </c>
      <c r="CU40">
        <v>7.599200000000053</v>
      </c>
      <c r="CV40">
        <v>5.0000000000000001E-4</v>
      </c>
      <c r="CW40" s="2">
        <v>45681</v>
      </c>
      <c r="CX40" t="s">
        <v>1560</v>
      </c>
      <c r="CY40">
        <v>5</v>
      </c>
      <c r="CZ40">
        <v>6.4000000000000003E-3</v>
      </c>
      <c r="DA40">
        <v>6.0286501791166627</v>
      </c>
      <c r="DB40">
        <v>609.87019669367294</v>
      </c>
      <c r="DC40">
        <v>0.42399999999999999</v>
      </c>
      <c r="DD40">
        <v>5.0000000000000001E-4</v>
      </c>
      <c r="DE40">
        <v>7.6003000000000043</v>
      </c>
      <c r="DF40">
        <v>5.0000000000000001E-4</v>
      </c>
      <c r="DG40" s="2">
        <v>45681</v>
      </c>
      <c r="DH40" t="s">
        <v>1718</v>
      </c>
      <c r="DI40">
        <v>6</v>
      </c>
      <c r="DJ40">
        <v>6.6E-3</v>
      </c>
      <c r="DK40">
        <v>6.0281507891768848</v>
      </c>
      <c r="DL40">
        <v>609.8236535512857</v>
      </c>
      <c r="DM40">
        <v>0.42399999999999999</v>
      </c>
      <c r="DN40">
        <v>5.0000000000000001E-4</v>
      </c>
      <c r="DO40">
        <v>7.6000999999999976</v>
      </c>
      <c r="DP40">
        <v>5.0000000000000001E-4</v>
      </c>
    </row>
    <row r="41" spans="1:120" x14ac:dyDescent="0.3">
      <c r="A41" s="2">
        <v>45681</v>
      </c>
      <c r="B41" t="s">
        <v>227</v>
      </c>
      <c r="C41">
        <v>1</v>
      </c>
      <c r="D41">
        <v>1.8E-3</v>
      </c>
      <c r="E41">
        <v>6.0038834783234174</v>
      </c>
      <c r="F41">
        <v>607.56194017974246</v>
      </c>
      <c r="G41">
        <v>0.42399999999999999</v>
      </c>
      <c r="H41">
        <v>1E-4</v>
      </c>
      <c r="I41">
        <v>7.8006400000000014</v>
      </c>
      <c r="J41">
        <v>1E-4</v>
      </c>
      <c r="K41" s="2">
        <v>45681</v>
      </c>
      <c r="L41" t="s">
        <v>385</v>
      </c>
      <c r="M41">
        <v>1</v>
      </c>
      <c r="N41">
        <v>4.3E-3</v>
      </c>
      <c r="O41">
        <v>6.0691744139456061</v>
      </c>
      <c r="P41">
        <v>613.64705537973055</v>
      </c>
      <c r="Q41">
        <v>0.42399999999999999</v>
      </c>
      <c r="R41">
        <v>1.1000000000000001E-3</v>
      </c>
      <c r="S41">
        <v>7.8005599999999973</v>
      </c>
      <c r="T41">
        <v>1.1000000000000001E-3</v>
      </c>
      <c r="U41" s="2">
        <v>45681</v>
      </c>
      <c r="V41" t="s">
        <v>638</v>
      </c>
      <c r="W41">
        <v>2</v>
      </c>
      <c r="X41">
        <v>1.32E-2</v>
      </c>
      <c r="Y41">
        <v>6.4619518615338274</v>
      </c>
      <c r="Z41">
        <v>650.2539134949526</v>
      </c>
      <c r="AA41">
        <v>0.42399999999999999</v>
      </c>
      <c r="AB41">
        <v>7.1999999999999998E-3</v>
      </c>
      <c r="AC41">
        <v>7.800699999999992</v>
      </c>
      <c r="AD41">
        <v>7.1999999999999998E-3</v>
      </c>
      <c r="AE41" s="2">
        <v>45681</v>
      </c>
      <c r="AF41" t="s">
        <v>765</v>
      </c>
      <c r="AG41">
        <v>3</v>
      </c>
      <c r="AH41">
        <v>2.8E-3</v>
      </c>
      <c r="AI41">
        <v>6.0041204435391107</v>
      </c>
      <c r="AJ41">
        <v>607.58402533784511</v>
      </c>
      <c r="AK41">
        <v>0.42399999999999999</v>
      </c>
      <c r="AL41">
        <v>1E-4</v>
      </c>
      <c r="AM41">
        <v>7.788800000000009</v>
      </c>
      <c r="AN41">
        <v>1E-4</v>
      </c>
      <c r="AO41" s="2">
        <v>45681</v>
      </c>
      <c r="AP41" t="s">
        <v>835</v>
      </c>
      <c r="AQ41">
        <v>3</v>
      </c>
      <c r="AR41">
        <v>1.6500000000000001E-2</v>
      </c>
      <c r="AS41">
        <v>6.7768761273810014</v>
      </c>
      <c r="AT41">
        <v>679.60485507190924</v>
      </c>
      <c r="AU41">
        <v>0.42399999999999999</v>
      </c>
      <c r="AV41">
        <v>1.21E-2</v>
      </c>
      <c r="AW41">
        <v>7.7977999999999952</v>
      </c>
      <c r="AX41">
        <v>1.21E-2</v>
      </c>
      <c r="AY41" s="2">
        <v>45681</v>
      </c>
      <c r="AZ41" t="s">
        <v>965</v>
      </c>
      <c r="BA41">
        <v>3</v>
      </c>
      <c r="BB41">
        <v>3.8E-3</v>
      </c>
      <c r="BC41">
        <v>6.0040294518481119</v>
      </c>
      <c r="BD41">
        <v>607.57554491224403</v>
      </c>
      <c r="BE41">
        <v>0.42399999999999999</v>
      </c>
      <c r="BF41">
        <v>1E-4</v>
      </c>
      <c r="BG41">
        <v>7.8007999999999811</v>
      </c>
      <c r="BH41">
        <v>1E-4</v>
      </c>
      <c r="BI41" s="2">
        <v>45681</v>
      </c>
      <c r="BJ41" t="s">
        <v>1039</v>
      </c>
      <c r="BK41">
        <v>4</v>
      </c>
      <c r="BL41">
        <v>8.6999999999999994E-3</v>
      </c>
      <c r="BM41">
        <v>6.1935805034313933</v>
      </c>
      <c r="BN41">
        <v>625.2417029198059</v>
      </c>
      <c r="BO41">
        <v>0.42399999999999999</v>
      </c>
      <c r="BP41">
        <v>3.0999999999999999E-3</v>
      </c>
      <c r="BQ41">
        <v>7.8011999999999944</v>
      </c>
      <c r="BR41">
        <v>3.0999999999999999E-3</v>
      </c>
      <c r="BS41" s="2">
        <v>45681</v>
      </c>
      <c r="BT41" t="s">
        <v>1163</v>
      </c>
      <c r="BU41">
        <v>4</v>
      </c>
      <c r="BV41">
        <v>3.3E-3</v>
      </c>
      <c r="BW41">
        <v>6.0040458044834573</v>
      </c>
      <c r="BX41">
        <v>607.57706897785829</v>
      </c>
      <c r="BY41">
        <v>0.42399999999999999</v>
      </c>
      <c r="BZ41">
        <v>1E-4</v>
      </c>
      <c r="CA41">
        <v>7.8017999999999859</v>
      </c>
      <c r="CB41">
        <v>1E-4</v>
      </c>
      <c r="CC41" s="2">
        <v>45681</v>
      </c>
      <c r="CD41" t="s">
        <v>1283</v>
      </c>
      <c r="CE41">
        <v>4</v>
      </c>
      <c r="CF41">
        <v>3.7000000000000002E-3</v>
      </c>
      <c r="CG41">
        <v>6.003860317834179</v>
      </c>
      <c r="CH41">
        <v>709.76634416246361</v>
      </c>
      <c r="CI41">
        <v>0.42399999999999999</v>
      </c>
      <c r="CJ41">
        <v>1E-4</v>
      </c>
      <c r="CK41">
        <v>8.1999999999999886</v>
      </c>
      <c r="CL41">
        <v>1E-4</v>
      </c>
      <c r="CM41" s="2">
        <v>45681</v>
      </c>
      <c r="CN41" t="s">
        <v>1401</v>
      </c>
      <c r="CO41">
        <v>5</v>
      </c>
      <c r="CP41">
        <v>5.1000000000000004E-3</v>
      </c>
      <c r="CQ41">
        <v>6.0042012862972376</v>
      </c>
      <c r="CR41">
        <v>607.59155988290263</v>
      </c>
      <c r="CS41">
        <v>0.42399999999999999</v>
      </c>
      <c r="CT41">
        <v>1E-4</v>
      </c>
      <c r="CU41">
        <v>7.799000000000035</v>
      </c>
      <c r="CV41">
        <v>1E-4</v>
      </c>
      <c r="CW41" s="2">
        <v>45681</v>
      </c>
      <c r="CX41" t="s">
        <v>1561</v>
      </c>
      <c r="CY41">
        <v>5</v>
      </c>
      <c r="CZ41">
        <v>5.7000000000000002E-3</v>
      </c>
      <c r="DA41">
        <v>6.0040028691857454</v>
      </c>
      <c r="DB41">
        <v>607.57306740811146</v>
      </c>
      <c r="DC41">
        <v>0.42399999999999999</v>
      </c>
      <c r="DD41">
        <v>1E-4</v>
      </c>
      <c r="DE41">
        <v>7.7998999999999796</v>
      </c>
      <c r="DF41">
        <v>1E-4</v>
      </c>
      <c r="DG41" s="2">
        <v>45681</v>
      </c>
      <c r="DH41" t="s">
        <v>1719</v>
      </c>
      <c r="DI41">
        <v>6</v>
      </c>
      <c r="DJ41">
        <v>6.0000000000000001E-3</v>
      </c>
      <c r="DK41">
        <v>6.0038592676649367</v>
      </c>
      <c r="DL41">
        <v>607.55968374637212</v>
      </c>
      <c r="DM41">
        <v>0.42399999999999999</v>
      </c>
      <c r="DN41">
        <v>1E-4</v>
      </c>
      <c r="DO41">
        <v>7.7984000000000151</v>
      </c>
      <c r="DP41">
        <v>1E-4</v>
      </c>
    </row>
    <row r="42" spans="1:120" x14ac:dyDescent="0.3">
      <c r="A42" s="2">
        <v>45681</v>
      </c>
      <c r="B42" t="s">
        <v>228</v>
      </c>
      <c r="C42">
        <v>1</v>
      </c>
      <c r="D42">
        <v>1.6999999999999999E-3</v>
      </c>
      <c r="E42">
        <v>5.9957342894097101</v>
      </c>
      <c r="F42">
        <v>606.80243577298495</v>
      </c>
      <c r="G42">
        <v>0.42399999999999999</v>
      </c>
      <c r="H42">
        <v>0</v>
      </c>
      <c r="I42">
        <v>8.0005400000000009</v>
      </c>
      <c r="J42">
        <v>0</v>
      </c>
      <c r="K42" s="2">
        <v>45681</v>
      </c>
      <c r="L42" t="s">
        <v>386</v>
      </c>
      <c r="M42">
        <v>1</v>
      </c>
      <c r="N42">
        <v>3.2000000000000002E-3</v>
      </c>
      <c r="O42">
        <v>6.0285920143375797</v>
      </c>
      <c r="P42">
        <v>609.86477573626246</v>
      </c>
      <c r="Q42">
        <v>0.42399999999999999</v>
      </c>
      <c r="R42">
        <v>5.0000000000000001E-4</v>
      </c>
      <c r="S42">
        <v>8.0009900000000016</v>
      </c>
      <c r="T42">
        <v>5.0000000000000001E-4</v>
      </c>
      <c r="U42" s="2">
        <v>45681</v>
      </c>
      <c r="V42" t="s">
        <v>639</v>
      </c>
      <c r="W42">
        <v>2</v>
      </c>
      <c r="X42">
        <v>1.0999999999999999E-2</v>
      </c>
      <c r="Y42">
        <v>6.3636087831024533</v>
      </c>
      <c r="Z42">
        <v>641.08833858514868</v>
      </c>
      <c r="AA42">
        <v>0.42399999999999999</v>
      </c>
      <c r="AB42">
        <v>5.7000000000000002E-3</v>
      </c>
      <c r="AC42">
        <v>8.001499999999993</v>
      </c>
      <c r="AD42">
        <v>5.7000000000000002E-3</v>
      </c>
      <c r="AE42" s="2">
        <v>45681</v>
      </c>
      <c r="AF42" t="s">
        <v>766</v>
      </c>
      <c r="AG42">
        <v>3</v>
      </c>
      <c r="AH42">
        <v>2.2000000000000001E-3</v>
      </c>
      <c r="AI42">
        <v>5.9957335240914063</v>
      </c>
      <c r="AJ42">
        <v>606.80236444531909</v>
      </c>
      <c r="AK42">
        <v>0.42399999999999999</v>
      </c>
      <c r="AL42">
        <v>0</v>
      </c>
      <c r="AM42">
        <v>7.9899000000000058</v>
      </c>
      <c r="AN42">
        <v>0</v>
      </c>
      <c r="AO42" s="2">
        <v>45681</v>
      </c>
      <c r="AP42" t="s">
        <v>836</v>
      </c>
      <c r="AQ42">
        <v>3</v>
      </c>
      <c r="AR42">
        <v>1.5699999999999999E-2</v>
      </c>
      <c r="AS42">
        <v>6.6718863696808608</v>
      </c>
      <c r="AT42">
        <v>669.81980965425623</v>
      </c>
      <c r="AU42">
        <v>0.42399999999999999</v>
      </c>
      <c r="AV42">
        <v>1.0500000000000001E-2</v>
      </c>
      <c r="AW42">
        <v>7.9963999999999942</v>
      </c>
      <c r="AX42">
        <v>1.0500000000000001E-2</v>
      </c>
      <c r="AY42" s="2">
        <v>45681</v>
      </c>
      <c r="AZ42" t="s">
        <v>966</v>
      </c>
      <c r="BA42">
        <v>3</v>
      </c>
      <c r="BB42">
        <v>3.5999999999999999E-3</v>
      </c>
      <c r="BC42">
        <v>5.9957334838115024</v>
      </c>
      <c r="BD42">
        <v>606.80236069123202</v>
      </c>
      <c r="BE42">
        <v>0.42399999999999999</v>
      </c>
      <c r="BF42">
        <v>0</v>
      </c>
      <c r="BG42">
        <v>8.0002999999999815</v>
      </c>
      <c r="BH42">
        <v>0</v>
      </c>
      <c r="BI42" s="2">
        <v>45681</v>
      </c>
      <c r="BJ42" t="s">
        <v>1040</v>
      </c>
      <c r="BK42">
        <v>4</v>
      </c>
      <c r="BL42">
        <v>7.3000000000000001E-3</v>
      </c>
      <c r="BM42">
        <v>6.1244492813515699</v>
      </c>
      <c r="BN42">
        <v>618.79867302196635</v>
      </c>
      <c r="BO42">
        <v>0.42399999999999999</v>
      </c>
      <c r="BP42">
        <v>2E-3</v>
      </c>
      <c r="BQ42">
        <v>8.0020999999999844</v>
      </c>
      <c r="BR42">
        <v>2E-3</v>
      </c>
      <c r="BS42" s="2">
        <v>45681</v>
      </c>
      <c r="BT42" t="s">
        <v>1164</v>
      </c>
      <c r="BU42">
        <v>4</v>
      </c>
      <c r="BV42">
        <v>3.3E-3</v>
      </c>
      <c r="BW42">
        <v>5.9957336449311036</v>
      </c>
      <c r="BX42">
        <v>606.8023757075789</v>
      </c>
      <c r="BY42">
        <v>0.42399999999999999</v>
      </c>
      <c r="BZ42">
        <v>0</v>
      </c>
      <c r="CA42">
        <v>8.002600000000001</v>
      </c>
      <c r="CB42">
        <v>0</v>
      </c>
      <c r="CC42" s="2">
        <v>45681</v>
      </c>
      <c r="CD42" t="s">
        <v>1284</v>
      </c>
      <c r="CE42">
        <v>4</v>
      </c>
      <c r="CF42">
        <v>3.7000000000000002E-3</v>
      </c>
      <c r="CG42">
        <v>6.0289144933344403</v>
      </c>
      <c r="CH42">
        <v>712.14398541743844</v>
      </c>
      <c r="CI42">
        <v>0.42399999999999999</v>
      </c>
      <c r="CJ42">
        <v>5.0000000000000001E-4</v>
      </c>
      <c r="CK42">
        <v>8.4028999999999883</v>
      </c>
      <c r="CL42">
        <v>5.0000000000000001E-4</v>
      </c>
      <c r="CM42" s="2">
        <v>45681</v>
      </c>
      <c r="CN42" t="s">
        <v>1402</v>
      </c>
      <c r="CO42">
        <v>5</v>
      </c>
      <c r="CP42">
        <v>5.1000000000000004E-3</v>
      </c>
      <c r="CQ42">
        <v>5.9957336046511944</v>
      </c>
      <c r="CR42">
        <v>606.80237195349127</v>
      </c>
      <c r="CS42">
        <v>0.42399999999999999</v>
      </c>
      <c r="CT42">
        <v>0</v>
      </c>
      <c r="CU42">
        <v>8.0001000000000317</v>
      </c>
      <c r="CV42">
        <v>0</v>
      </c>
      <c r="CW42" s="2">
        <v>45681</v>
      </c>
      <c r="CX42" t="s">
        <v>1562</v>
      </c>
      <c r="CY42">
        <v>5</v>
      </c>
      <c r="CZ42">
        <v>5.7000000000000002E-3</v>
      </c>
      <c r="DA42">
        <v>5.995734208849564</v>
      </c>
      <c r="DB42">
        <v>606.80242826477934</v>
      </c>
      <c r="DC42">
        <v>0.42399999999999999</v>
      </c>
      <c r="DD42">
        <v>0</v>
      </c>
      <c r="DE42">
        <v>8.001199999999983</v>
      </c>
      <c r="DF42">
        <v>0</v>
      </c>
      <c r="DG42" s="2">
        <v>45681</v>
      </c>
      <c r="DH42" t="s">
        <v>1720</v>
      </c>
      <c r="DI42">
        <v>6</v>
      </c>
      <c r="DJ42">
        <v>5.8999999999999999E-3</v>
      </c>
      <c r="DK42">
        <v>5.9957372298422298</v>
      </c>
      <c r="DL42">
        <v>606.80270982129582</v>
      </c>
      <c r="DM42">
        <v>0.42399999999999999</v>
      </c>
      <c r="DN42">
        <v>0</v>
      </c>
      <c r="DO42">
        <v>8.0003000000000384</v>
      </c>
      <c r="DP42">
        <v>0</v>
      </c>
    </row>
    <row r="43" spans="1:120" x14ac:dyDescent="0.3">
      <c r="A43" s="2">
        <v>45681</v>
      </c>
      <c r="B43" t="s">
        <v>229</v>
      </c>
      <c r="C43">
        <v>1</v>
      </c>
      <c r="D43">
        <v>1.2999999999999999E-3</v>
      </c>
      <c r="E43">
        <v>6.0040671930655174</v>
      </c>
      <c r="F43">
        <v>709.7859766219176</v>
      </c>
      <c r="G43">
        <v>0.42399999999999999</v>
      </c>
      <c r="H43">
        <v>1E-4</v>
      </c>
      <c r="I43">
        <v>8.1987400000000008</v>
      </c>
      <c r="J43">
        <v>1E-4</v>
      </c>
      <c r="K43" s="2">
        <v>45681</v>
      </c>
      <c r="L43" t="s">
        <v>387</v>
      </c>
      <c r="M43">
        <v>1</v>
      </c>
      <c r="N43">
        <v>2.8E-3</v>
      </c>
      <c r="O43">
        <v>6.0039193665394954</v>
      </c>
      <c r="P43">
        <v>607.56528496148098</v>
      </c>
      <c r="Q43">
        <v>0.42399999999999999</v>
      </c>
      <c r="R43">
        <v>1E-4</v>
      </c>
      <c r="S43">
        <v>8.2012900000000002</v>
      </c>
      <c r="T43">
        <v>1E-4</v>
      </c>
      <c r="U43" s="2">
        <v>45681</v>
      </c>
      <c r="V43" t="s">
        <v>640</v>
      </c>
      <c r="W43">
        <v>2</v>
      </c>
      <c r="X43">
        <v>9.1000000000000004E-3</v>
      </c>
      <c r="Y43">
        <v>6.2738852829679406</v>
      </c>
      <c r="Z43">
        <v>632.7261083726122</v>
      </c>
      <c r="AA43">
        <v>0.42399999999999999</v>
      </c>
      <c r="AB43">
        <v>4.3E-3</v>
      </c>
      <c r="AC43">
        <v>8.2001999999999953</v>
      </c>
      <c r="AD43">
        <v>4.3E-3</v>
      </c>
      <c r="AE43" s="2">
        <v>45681</v>
      </c>
      <c r="AF43" t="s">
        <v>767</v>
      </c>
      <c r="AG43">
        <v>3</v>
      </c>
      <c r="AH43">
        <v>2.2000000000000001E-3</v>
      </c>
      <c r="AI43">
        <v>6.0041999158061037</v>
      </c>
      <c r="AJ43">
        <v>709.79857200999925</v>
      </c>
      <c r="AK43">
        <v>0.42399999999999999</v>
      </c>
      <c r="AL43">
        <v>1E-4</v>
      </c>
      <c r="AM43">
        <v>8.1913999999999874</v>
      </c>
      <c r="AN43">
        <v>1E-4</v>
      </c>
      <c r="AO43" s="2">
        <v>45681</v>
      </c>
      <c r="AP43" t="s">
        <v>837</v>
      </c>
      <c r="AQ43">
        <v>3</v>
      </c>
      <c r="AR43">
        <v>1.49E-2</v>
      </c>
      <c r="AS43">
        <v>6.566185010814535</v>
      </c>
      <c r="AT43">
        <v>659.96844300791463</v>
      </c>
      <c r="AU43">
        <v>0.42399999999999999</v>
      </c>
      <c r="AV43">
        <v>8.8999999999999999E-3</v>
      </c>
      <c r="AW43">
        <v>8.1963999999999828</v>
      </c>
      <c r="AX43">
        <v>8.8999999999999999E-3</v>
      </c>
      <c r="AY43" s="2">
        <v>45681</v>
      </c>
      <c r="AZ43" t="s">
        <v>967</v>
      </c>
      <c r="BA43">
        <v>3</v>
      </c>
      <c r="BB43">
        <v>3.2000000000000002E-3</v>
      </c>
      <c r="BC43">
        <v>6.0039236766935691</v>
      </c>
      <c r="BD43">
        <v>709.77235691821977</v>
      </c>
      <c r="BE43">
        <v>0.42399999999999999</v>
      </c>
      <c r="BF43">
        <v>1E-4</v>
      </c>
      <c r="BG43">
        <v>8.1988999999999805</v>
      </c>
      <c r="BH43">
        <v>1E-4</v>
      </c>
      <c r="BI43" s="2">
        <v>45681</v>
      </c>
      <c r="BJ43" t="s">
        <v>1041</v>
      </c>
      <c r="BK43">
        <v>4</v>
      </c>
      <c r="BL43">
        <v>5.7000000000000002E-3</v>
      </c>
      <c r="BM43">
        <v>6.069244479291199</v>
      </c>
      <c r="BN43">
        <v>613.6535854699398</v>
      </c>
      <c r="BO43">
        <v>0.42399999999999999</v>
      </c>
      <c r="BP43">
        <v>1.1000000000000001E-3</v>
      </c>
      <c r="BQ43">
        <v>8.2015999999999849</v>
      </c>
      <c r="BR43">
        <v>1.1000000000000001E-3</v>
      </c>
      <c r="BS43" s="2">
        <v>45681</v>
      </c>
      <c r="BT43" t="s">
        <v>1165</v>
      </c>
      <c r="BU43">
        <v>4</v>
      </c>
      <c r="BV43">
        <v>3.3E-3</v>
      </c>
      <c r="BW43">
        <v>6.0038818645498324</v>
      </c>
      <c r="BX43">
        <v>709.76838894577918</v>
      </c>
      <c r="BY43">
        <v>0.42399999999999999</v>
      </c>
      <c r="BZ43">
        <v>1E-4</v>
      </c>
      <c r="CA43">
        <v>8.1996000000000038</v>
      </c>
      <c r="CB43">
        <v>1E-4</v>
      </c>
      <c r="CC43" s="2">
        <v>45681</v>
      </c>
      <c r="CD43" t="s">
        <v>1285</v>
      </c>
      <c r="CE43">
        <v>4</v>
      </c>
      <c r="CF43">
        <v>3.7000000000000002E-3</v>
      </c>
      <c r="CG43">
        <v>6.06907527634724</v>
      </c>
      <c r="CH43">
        <v>715.95524372535306</v>
      </c>
      <c r="CI43">
        <v>0.42399999999999999</v>
      </c>
      <c r="CJ43">
        <v>1.1000000000000001E-3</v>
      </c>
      <c r="CK43">
        <v>8.6009999999999991</v>
      </c>
      <c r="CL43">
        <v>1.1000000000000001E-3</v>
      </c>
      <c r="CM43" s="2">
        <v>45681</v>
      </c>
      <c r="CN43" t="s">
        <v>1403</v>
      </c>
      <c r="CO43">
        <v>5</v>
      </c>
      <c r="CP43">
        <v>4.7000000000000002E-3</v>
      </c>
      <c r="CQ43">
        <v>6.0039891723838101</v>
      </c>
      <c r="CR43">
        <v>709.7785724592236</v>
      </c>
      <c r="CS43">
        <v>0.42399999999999999</v>
      </c>
      <c r="CT43">
        <v>1E-4</v>
      </c>
      <c r="CU43">
        <v>8.2000000000000455</v>
      </c>
      <c r="CV43">
        <v>1E-4</v>
      </c>
      <c r="CW43" s="2">
        <v>45681</v>
      </c>
      <c r="CX43" t="s">
        <v>1563</v>
      </c>
      <c r="CY43">
        <v>5</v>
      </c>
      <c r="CZ43">
        <v>5.1999999999999998E-3</v>
      </c>
      <c r="DA43">
        <v>6.0043131435130306</v>
      </c>
      <c r="DB43">
        <v>709.80931731938676</v>
      </c>
      <c r="DC43">
        <v>0.42399999999999999</v>
      </c>
      <c r="DD43">
        <v>1E-4</v>
      </c>
      <c r="DE43">
        <v>8.2024000000000115</v>
      </c>
      <c r="DF43">
        <v>1E-4</v>
      </c>
      <c r="DG43" s="2">
        <v>45681</v>
      </c>
      <c r="DH43" t="s">
        <v>1721</v>
      </c>
      <c r="DI43">
        <v>6</v>
      </c>
      <c r="DJ43">
        <v>5.4000000000000003E-3</v>
      </c>
      <c r="DK43">
        <v>6.0043142301746393</v>
      </c>
      <c r="DL43">
        <v>709.80942044357334</v>
      </c>
      <c r="DM43">
        <v>0.42399999999999999</v>
      </c>
      <c r="DN43">
        <v>1E-4</v>
      </c>
      <c r="DO43">
        <v>8.1992000000000189</v>
      </c>
      <c r="DP43">
        <v>1E-4</v>
      </c>
    </row>
    <row r="44" spans="1:120" x14ac:dyDescent="0.3">
      <c r="A44" s="2">
        <v>45681</v>
      </c>
      <c r="B44" t="s">
        <v>230</v>
      </c>
      <c r="C44">
        <v>1</v>
      </c>
      <c r="D44">
        <v>1.1999999999999999E-3</v>
      </c>
      <c r="E44">
        <v>6.028887951219148</v>
      </c>
      <c r="F44">
        <v>712.14146657069716</v>
      </c>
      <c r="G44">
        <v>0.42399999999999999</v>
      </c>
      <c r="H44">
        <v>5.0000000000000001E-4</v>
      </c>
      <c r="I44">
        <v>8.3990600000000022</v>
      </c>
      <c r="J44">
        <v>5.0000000000000001E-4</v>
      </c>
      <c r="K44" s="2">
        <v>45681</v>
      </c>
      <c r="L44" t="s">
        <v>388</v>
      </c>
      <c r="M44">
        <v>1</v>
      </c>
      <c r="N44">
        <v>2.0999999999999999E-3</v>
      </c>
      <c r="O44">
        <v>5.9957358200459776</v>
      </c>
      <c r="P44">
        <v>606.80257842828507</v>
      </c>
      <c r="Q44">
        <v>0.42399999999999999</v>
      </c>
      <c r="R44">
        <v>0</v>
      </c>
      <c r="S44">
        <v>8.4030300000000011</v>
      </c>
      <c r="T44">
        <v>0</v>
      </c>
      <c r="U44" s="2">
        <v>45681</v>
      </c>
      <c r="V44" t="s">
        <v>641</v>
      </c>
      <c r="W44">
        <v>2</v>
      </c>
      <c r="X44">
        <v>7.1999999999999998E-3</v>
      </c>
      <c r="Y44">
        <v>6.192704118952423</v>
      </c>
      <c r="Z44">
        <v>625.16002388636582</v>
      </c>
      <c r="AA44">
        <v>0.42399999999999999</v>
      </c>
      <c r="AB44">
        <v>3.0999999999999999E-3</v>
      </c>
      <c r="AC44">
        <v>8.4017999999999944</v>
      </c>
      <c r="AD44">
        <v>3.0999999999999999E-3</v>
      </c>
      <c r="AE44" s="2">
        <v>45681</v>
      </c>
      <c r="AF44" t="s">
        <v>768</v>
      </c>
      <c r="AG44">
        <v>3</v>
      </c>
      <c r="AH44">
        <v>2.2000000000000001E-3</v>
      </c>
      <c r="AI44">
        <v>6.0290912826361316</v>
      </c>
      <c r="AJ44">
        <v>712.16076272216901</v>
      </c>
      <c r="AK44">
        <v>0.42399999999999999</v>
      </c>
      <c r="AL44">
        <v>5.0000000000000001E-4</v>
      </c>
      <c r="AM44">
        <v>8.3913000000000011</v>
      </c>
      <c r="AN44">
        <v>5.0000000000000001E-4</v>
      </c>
      <c r="AO44" s="2">
        <v>45681</v>
      </c>
      <c r="AP44" t="s">
        <v>838</v>
      </c>
      <c r="AQ44">
        <v>3</v>
      </c>
      <c r="AR44">
        <v>1.32E-2</v>
      </c>
      <c r="AS44">
        <v>6.463105831288221</v>
      </c>
      <c r="AT44">
        <v>650.36146347606223</v>
      </c>
      <c r="AU44">
        <v>0.42399999999999999</v>
      </c>
      <c r="AV44">
        <v>7.3000000000000001E-3</v>
      </c>
      <c r="AW44">
        <v>8.3962999999999965</v>
      </c>
      <c r="AX44">
        <v>7.3000000000000001E-3</v>
      </c>
      <c r="AY44" s="2">
        <v>45681</v>
      </c>
      <c r="AZ44" t="s">
        <v>968</v>
      </c>
      <c r="BA44">
        <v>3</v>
      </c>
      <c r="BB44">
        <v>3.0000000000000001E-3</v>
      </c>
      <c r="BC44">
        <v>6.0289900609181117</v>
      </c>
      <c r="BD44">
        <v>712.15115678112886</v>
      </c>
      <c r="BE44">
        <v>0.42399999999999999</v>
      </c>
      <c r="BF44">
        <v>5.0000000000000001E-4</v>
      </c>
      <c r="BG44">
        <v>8.401600000000002</v>
      </c>
      <c r="BH44">
        <v>5.0000000000000001E-4</v>
      </c>
      <c r="BI44" s="2">
        <v>45681</v>
      </c>
      <c r="BJ44" t="s">
        <v>1042</v>
      </c>
      <c r="BK44">
        <v>4</v>
      </c>
      <c r="BL44">
        <v>4.8999999999999998E-3</v>
      </c>
      <c r="BM44">
        <v>6.0286221448690096</v>
      </c>
      <c r="BN44">
        <v>609.8675839017917</v>
      </c>
      <c r="BO44">
        <v>0.42399999999999999</v>
      </c>
      <c r="BP44">
        <v>5.0000000000000001E-4</v>
      </c>
      <c r="BQ44">
        <v>8.4020999999999901</v>
      </c>
      <c r="BR44">
        <v>5.0000000000000001E-4</v>
      </c>
      <c r="BS44" s="2">
        <v>45681</v>
      </c>
      <c r="BT44" t="s">
        <v>1166</v>
      </c>
      <c r="BU44">
        <v>4</v>
      </c>
      <c r="BV44">
        <v>3.3999999999999998E-3</v>
      </c>
      <c r="BW44">
        <v>6.0285817843105587</v>
      </c>
      <c r="BX44">
        <v>712.11241133107205</v>
      </c>
      <c r="BY44">
        <v>0.42399999999999999</v>
      </c>
      <c r="BZ44">
        <v>5.0000000000000001E-4</v>
      </c>
      <c r="CA44">
        <v>8.4002999999999872</v>
      </c>
      <c r="CB44">
        <v>5.0000000000000001E-4</v>
      </c>
      <c r="CC44" s="2">
        <v>45681</v>
      </c>
      <c r="CD44" t="s">
        <v>1286</v>
      </c>
      <c r="CE44">
        <v>4</v>
      </c>
      <c r="CF44">
        <v>3.7000000000000002E-3</v>
      </c>
      <c r="CG44">
        <v>6.1240306733493091</v>
      </c>
      <c r="CH44">
        <v>721.17051090084942</v>
      </c>
      <c r="CI44">
        <v>0.42399999999999999</v>
      </c>
      <c r="CJ44">
        <v>2E-3</v>
      </c>
      <c r="CK44">
        <v>8.7998000000000047</v>
      </c>
      <c r="CL44">
        <v>2E-3</v>
      </c>
      <c r="CM44" s="2">
        <v>45681</v>
      </c>
      <c r="CN44" t="s">
        <v>1404</v>
      </c>
      <c r="CO44">
        <v>5</v>
      </c>
      <c r="CP44">
        <v>4.4000000000000003E-3</v>
      </c>
      <c r="CQ44">
        <v>6.028989537860844</v>
      </c>
      <c r="CR44">
        <v>712.15110714299408</v>
      </c>
      <c r="CS44">
        <v>0.42399999999999999</v>
      </c>
      <c r="CT44">
        <v>5.0000000000000001E-4</v>
      </c>
      <c r="CU44">
        <v>8.4019000000000119</v>
      </c>
      <c r="CV44">
        <v>5.0000000000000001E-4</v>
      </c>
      <c r="CW44" s="2">
        <v>45681</v>
      </c>
      <c r="CX44" t="s">
        <v>1564</v>
      </c>
      <c r="CY44">
        <v>5</v>
      </c>
      <c r="CZ44">
        <v>5.1999999999999998E-3</v>
      </c>
      <c r="DA44">
        <v>6.0290588206478901</v>
      </c>
      <c r="DB44">
        <v>712.15768207948486</v>
      </c>
      <c r="DC44">
        <v>0.42399999999999999</v>
      </c>
      <c r="DD44">
        <v>5.0000000000000001E-4</v>
      </c>
      <c r="DE44">
        <v>8.4008000000000038</v>
      </c>
      <c r="DF44">
        <v>5.0000000000000001E-4</v>
      </c>
      <c r="DG44" s="2">
        <v>45681</v>
      </c>
      <c r="DH44" t="s">
        <v>1722</v>
      </c>
      <c r="DI44">
        <v>6</v>
      </c>
      <c r="DJ44">
        <v>5.4000000000000003E-3</v>
      </c>
      <c r="DK44">
        <v>6.0291986310171852</v>
      </c>
      <c r="DL44">
        <v>712.1709500835309</v>
      </c>
      <c r="DM44">
        <v>0.42399999999999999</v>
      </c>
      <c r="DN44">
        <v>5.0000000000000001E-4</v>
      </c>
      <c r="DO44">
        <v>8.3985000000000127</v>
      </c>
      <c r="DP44">
        <v>5.0000000000000001E-4</v>
      </c>
    </row>
    <row r="45" spans="1:120" x14ac:dyDescent="0.3">
      <c r="A45" s="2">
        <v>45681</v>
      </c>
      <c r="B45" t="s">
        <v>231</v>
      </c>
      <c r="C45">
        <v>1</v>
      </c>
      <c r="D45">
        <v>1.2999999999999999E-3</v>
      </c>
      <c r="E45">
        <v>6.0698342364970204</v>
      </c>
      <c r="F45">
        <v>716.02726904356723</v>
      </c>
      <c r="G45">
        <v>0.42399999999999999</v>
      </c>
      <c r="H45">
        <v>1.1999999999999999E-3</v>
      </c>
      <c r="I45">
        <v>8.6004199999999997</v>
      </c>
      <c r="J45">
        <v>1.1999999999999999E-3</v>
      </c>
      <c r="K45" s="2">
        <v>45681</v>
      </c>
      <c r="L45" t="s">
        <v>389</v>
      </c>
      <c r="M45">
        <v>1</v>
      </c>
      <c r="N45">
        <v>2.0999999999999999E-3</v>
      </c>
      <c r="O45">
        <v>6.0042148209108719</v>
      </c>
      <c r="P45">
        <v>709.79998650444179</v>
      </c>
      <c r="Q45">
        <v>0.42399999999999999</v>
      </c>
      <c r="R45">
        <v>1E-4</v>
      </c>
      <c r="S45">
        <v>8.6015999999999977</v>
      </c>
      <c r="T45">
        <v>1E-4</v>
      </c>
      <c r="U45" s="2">
        <v>45681</v>
      </c>
      <c r="V45" t="s">
        <v>642</v>
      </c>
      <c r="W45">
        <v>2</v>
      </c>
      <c r="X45">
        <v>5.5999999999999999E-3</v>
      </c>
      <c r="Y45">
        <v>6.1244230879411221</v>
      </c>
      <c r="Z45">
        <v>618.79623179611258</v>
      </c>
      <c r="AA45">
        <v>0.42399999999999999</v>
      </c>
      <c r="AB45">
        <v>2E-3</v>
      </c>
      <c r="AC45">
        <v>8.6003999999999934</v>
      </c>
      <c r="AD45">
        <v>2E-3</v>
      </c>
      <c r="AE45" s="2">
        <v>45681</v>
      </c>
      <c r="AF45" t="s">
        <v>769</v>
      </c>
      <c r="AG45">
        <v>3</v>
      </c>
      <c r="AH45">
        <v>2.2000000000000001E-3</v>
      </c>
      <c r="AI45">
        <v>6.0700563128267744</v>
      </c>
      <c r="AJ45">
        <v>716.04834408726094</v>
      </c>
      <c r="AK45">
        <v>0.42399999999999999</v>
      </c>
      <c r="AL45">
        <v>1.1999999999999999E-3</v>
      </c>
      <c r="AM45">
        <v>8.5923999999999978</v>
      </c>
      <c r="AN45">
        <v>1.1999999999999999E-3</v>
      </c>
      <c r="AO45" s="2">
        <v>45681</v>
      </c>
      <c r="AP45" t="s">
        <v>839</v>
      </c>
      <c r="AQ45">
        <v>3</v>
      </c>
      <c r="AR45">
        <v>1.14E-2</v>
      </c>
      <c r="AS45">
        <v>6.3642804859468427</v>
      </c>
      <c r="AT45">
        <v>641.15094129024578</v>
      </c>
      <c r="AU45">
        <v>0.42399999999999999</v>
      </c>
      <c r="AV45">
        <v>5.7000000000000002E-3</v>
      </c>
      <c r="AW45">
        <v>8.5979999999999848</v>
      </c>
      <c r="AX45">
        <v>5.7000000000000002E-3</v>
      </c>
      <c r="AY45" s="2">
        <v>45681</v>
      </c>
      <c r="AZ45" t="s">
        <v>969</v>
      </c>
      <c r="BA45">
        <v>3</v>
      </c>
      <c r="BB45">
        <v>3.0000000000000001E-3</v>
      </c>
      <c r="BC45">
        <v>6.0693542807702876</v>
      </c>
      <c r="BD45">
        <v>715.9817212451004</v>
      </c>
      <c r="BE45">
        <v>0.42399999999999999</v>
      </c>
      <c r="BF45">
        <v>1.1000000000000001E-3</v>
      </c>
      <c r="BG45">
        <v>8.6003999999999792</v>
      </c>
      <c r="BH45">
        <v>1.1000000000000001E-3</v>
      </c>
      <c r="BI45" s="2">
        <v>45681</v>
      </c>
      <c r="BJ45" t="s">
        <v>1043</v>
      </c>
      <c r="BK45">
        <v>4</v>
      </c>
      <c r="BL45">
        <v>4.3E-3</v>
      </c>
      <c r="BM45">
        <v>6.004172846578836</v>
      </c>
      <c r="BN45">
        <v>607.58890930114751</v>
      </c>
      <c r="BO45">
        <v>0.42399999999999999</v>
      </c>
      <c r="BP45">
        <v>1E-4</v>
      </c>
      <c r="BQ45">
        <v>8.599599999999981</v>
      </c>
      <c r="BR45">
        <v>1E-4</v>
      </c>
      <c r="BS45" s="2">
        <v>45681</v>
      </c>
      <c r="BT45" t="s">
        <v>1167</v>
      </c>
      <c r="BU45">
        <v>4</v>
      </c>
      <c r="BV45">
        <v>3.3999999999999998E-3</v>
      </c>
      <c r="BW45">
        <v>6.0690075221849211</v>
      </c>
      <c r="BX45">
        <v>715.94881385534904</v>
      </c>
      <c r="BY45">
        <v>0.42399999999999999</v>
      </c>
      <c r="BZ45">
        <v>1.1000000000000001E-3</v>
      </c>
      <c r="CA45">
        <v>8.6000999999999976</v>
      </c>
      <c r="CB45">
        <v>1.1000000000000001E-3</v>
      </c>
      <c r="CC45" s="2">
        <v>45681</v>
      </c>
      <c r="CD45" t="s">
        <v>1287</v>
      </c>
      <c r="CE45">
        <v>4</v>
      </c>
      <c r="CF45">
        <v>3.7000000000000002E-3</v>
      </c>
      <c r="CG45">
        <v>6.192756059755494</v>
      </c>
      <c r="CH45">
        <v>727.69255007079641</v>
      </c>
      <c r="CI45">
        <v>0.42399999999999999</v>
      </c>
      <c r="CJ45">
        <v>3.0999999999999999E-3</v>
      </c>
      <c r="CK45">
        <v>8.9998999999999967</v>
      </c>
      <c r="CL45">
        <v>3.0999999999999999E-3</v>
      </c>
      <c r="CM45" s="2">
        <v>45681</v>
      </c>
      <c r="CN45" t="s">
        <v>1405</v>
      </c>
      <c r="CO45">
        <v>5</v>
      </c>
      <c r="CP45">
        <v>4.4999999999999997E-3</v>
      </c>
      <c r="CQ45">
        <v>6.0690122661926962</v>
      </c>
      <c r="CR45">
        <v>715.9492640616869</v>
      </c>
      <c r="CS45">
        <v>0.42399999999999999</v>
      </c>
      <c r="CT45">
        <v>1.1000000000000001E-3</v>
      </c>
      <c r="CU45">
        <v>8.599200000000053</v>
      </c>
      <c r="CV45">
        <v>1.1000000000000001E-3</v>
      </c>
      <c r="CW45" s="2">
        <v>45681</v>
      </c>
      <c r="CX45" t="s">
        <v>1565</v>
      </c>
      <c r="CY45">
        <v>5</v>
      </c>
      <c r="CZ45">
        <v>5.1999999999999998E-3</v>
      </c>
      <c r="DA45">
        <v>6.0695768031178687</v>
      </c>
      <c r="DB45">
        <v>716.00283861588582</v>
      </c>
      <c r="DC45">
        <v>0.42399999999999999</v>
      </c>
      <c r="DD45">
        <v>1.1000000000000001E-3</v>
      </c>
      <c r="DE45">
        <v>8.6000999999999976</v>
      </c>
      <c r="DF45">
        <v>1.1000000000000001E-3</v>
      </c>
      <c r="DG45" s="2">
        <v>45681</v>
      </c>
      <c r="DH45" t="s">
        <v>1723</v>
      </c>
      <c r="DI45">
        <v>6</v>
      </c>
      <c r="DJ45">
        <v>5.4000000000000003E-3</v>
      </c>
      <c r="DK45">
        <v>6.0699131005578879</v>
      </c>
      <c r="DL45">
        <v>716.03475324294357</v>
      </c>
      <c r="DM45">
        <v>0.42399999999999999</v>
      </c>
      <c r="DN45">
        <v>1.1999999999999999E-3</v>
      </c>
      <c r="DO45">
        <v>8.5982999999999947</v>
      </c>
      <c r="DP45">
        <v>1.1999999999999999E-3</v>
      </c>
    </row>
    <row r="46" spans="1:120" x14ac:dyDescent="0.3">
      <c r="A46" s="2">
        <v>45681</v>
      </c>
      <c r="B46" t="s">
        <v>232</v>
      </c>
      <c r="C46">
        <v>1</v>
      </c>
      <c r="D46">
        <v>1.2999999999999999E-3</v>
      </c>
      <c r="E46">
        <v>6.1253010132089427</v>
      </c>
      <c r="F46">
        <v>721.29106615352873</v>
      </c>
      <c r="G46">
        <v>0.42399999999999999</v>
      </c>
      <c r="H46">
        <v>2E-3</v>
      </c>
      <c r="I46">
        <v>8.8001900000000006</v>
      </c>
      <c r="J46">
        <v>2E-3</v>
      </c>
      <c r="K46" s="2">
        <v>45681</v>
      </c>
      <c r="L46" t="s">
        <v>390</v>
      </c>
      <c r="M46">
        <v>1</v>
      </c>
      <c r="N46">
        <v>2.0999999999999999E-3</v>
      </c>
      <c r="O46">
        <v>6.0289248085103191</v>
      </c>
      <c r="P46">
        <v>712.14496432762928</v>
      </c>
      <c r="Q46">
        <v>0.42399999999999999</v>
      </c>
      <c r="R46">
        <v>5.0000000000000001E-4</v>
      </c>
      <c r="S46">
        <v>8.8003700000000009</v>
      </c>
      <c r="T46">
        <v>5.0000000000000001E-4</v>
      </c>
      <c r="U46" s="2">
        <v>45681</v>
      </c>
      <c r="V46" t="s">
        <v>643</v>
      </c>
      <c r="W46">
        <v>2</v>
      </c>
      <c r="X46">
        <v>4.7999999999999996E-3</v>
      </c>
      <c r="Y46">
        <v>6.0695238486379237</v>
      </c>
      <c r="Z46">
        <v>613.67962269305451</v>
      </c>
      <c r="AA46">
        <v>0.42399999999999999</v>
      </c>
      <c r="AB46">
        <v>1.1000000000000001E-3</v>
      </c>
      <c r="AC46">
        <v>8.7985999999999933</v>
      </c>
      <c r="AD46">
        <v>1.1000000000000001E-3</v>
      </c>
      <c r="AE46" s="2">
        <v>45681</v>
      </c>
      <c r="AF46" t="s">
        <v>770</v>
      </c>
      <c r="AG46">
        <v>3</v>
      </c>
      <c r="AH46">
        <v>2.2000000000000001E-3</v>
      </c>
      <c r="AI46">
        <v>6.1252805774831449</v>
      </c>
      <c r="AJ46">
        <v>721.28912680315045</v>
      </c>
      <c r="AK46">
        <v>0.42399999999999999</v>
      </c>
      <c r="AL46">
        <v>2E-3</v>
      </c>
      <c r="AM46">
        <v>8.7911000000000001</v>
      </c>
      <c r="AN46">
        <v>2E-3</v>
      </c>
      <c r="AO46" s="2">
        <v>45681</v>
      </c>
      <c r="AP46" t="s">
        <v>840</v>
      </c>
      <c r="AQ46">
        <v>3</v>
      </c>
      <c r="AR46">
        <v>9.4999999999999998E-3</v>
      </c>
      <c r="AS46">
        <v>6.2731324454264854</v>
      </c>
      <c r="AT46">
        <v>632.6559439137485</v>
      </c>
      <c r="AU46">
        <v>0.42399999999999999</v>
      </c>
      <c r="AV46">
        <v>4.3E-3</v>
      </c>
      <c r="AW46">
        <v>8.7997999999999763</v>
      </c>
      <c r="AX46">
        <v>4.3E-3</v>
      </c>
      <c r="AY46" s="2">
        <v>45681</v>
      </c>
      <c r="AZ46" t="s">
        <v>970</v>
      </c>
      <c r="BA46">
        <v>3</v>
      </c>
      <c r="BB46">
        <v>3.0000000000000001E-3</v>
      </c>
      <c r="BC46">
        <v>6.1248458317450352</v>
      </c>
      <c r="BD46">
        <v>721.24786943260392</v>
      </c>
      <c r="BE46">
        <v>0.42399999999999999</v>
      </c>
      <c r="BF46">
        <v>2E-3</v>
      </c>
      <c r="BG46">
        <v>8.8006999999999778</v>
      </c>
      <c r="BH46">
        <v>2E-3</v>
      </c>
      <c r="BI46" s="2">
        <v>45681</v>
      </c>
      <c r="BJ46" t="s">
        <v>1044</v>
      </c>
      <c r="BK46">
        <v>4</v>
      </c>
      <c r="BL46">
        <v>4.1999999999999997E-3</v>
      </c>
      <c r="BM46">
        <v>5.9957336449311036</v>
      </c>
      <c r="BN46">
        <v>606.8023757075789</v>
      </c>
      <c r="BO46">
        <v>0.42399999999999999</v>
      </c>
      <c r="BP46">
        <v>0</v>
      </c>
      <c r="BQ46">
        <v>8.8017999999999859</v>
      </c>
      <c r="BR46">
        <v>0</v>
      </c>
      <c r="BS46" s="2">
        <v>45681</v>
      </c>
      <c r="BT46" t="s">
        <v>1168</v>
      </c>
      <c r="BU46">
        <v>4</v>
      </c>
      <c r="BV46">
        <v>3.3999999999999998E-3</v>
      </c>
      <c r="BW46">
        <v>6.1241122946112778</v>
      </c>
      <c r="BX46">
        <v>721.17825675861025</v>
      </c>
      <c r="BY46">
        <v>0.42399999999999999</v>
      </c>
      <c r="BZ46">
        <v>2E-3</v>
      </c>
      <c r="CA46">
        <v>8.7994999999999948</v>
      </c>
      <c r="CB46">
        <v>2E-3</v>
      </c>
      <c r="CC46" s="2">
        <v>45681</v>
      </c>
      <c r="CD46" t="s">
        <v>1288</v>
      </c>
      <c r="CE46">
        <v>4</v>
      </c>
      <c r="CF46">
        <v>3.7000000000000002E-3</v>
      </c>
      <c r="CG46">
        <v>6.2741240646925958</v>
      </c>
      <c r="CH46">
        <v>735.4143737393274</v>
      </c>
      <c r="CI46">
        <v>0.42399999999999999</v>
      </c>
      <c r="CJ46">
        <v>4.3E-3</v>
      </c>
      <c r="CK46">
        <v>9.2018999999999949</v>
      </c>
      <c r="CL46">
        <v>4.3E-3</v>
      </c>
      <c r="CM46" s="2">
        <v>45681</v>
      </c>
      <c r="CN46" t="s">
        <v>1406</v>
      </c>
      <c r="CO46">
        <v>5</v>
      </c>
      <c r="CP46">
        <v>4.4999999999999997E-3</v>
      </c>
      <c r="CQ46">
        <v>6.1243845682198774</v>
      </c>
      <c r="CR46">
        <v>721.20409552406636</v>
      </c>
      <c r="CS46">
        <v>0.42399999999999999</v>
      </c>
      <c r="CT46">
        <v>2E-3</v>
      </c>
      <c r="CU46">
        <v>8.7995000000000232</v>
      </c>
      <c r="CV46">
        <v>2E-3</v>
      </c>
      <c r="CW46" s="2">
        <v>45681</v>
      </c>
      <c r="CX46" t="s">
        <v>1566</v>
      </c>
      <c r="CY46">
        <v>5</v>
      </c>
      <c r="CZ46">
        <v>5.1999999999999998E-3</v>
      </c>
      <c r="DA46">
        <v>6.1253282608433413</v>
      </c>
      <c r="DB46">
        <v>721.29365195403307</v>
      </c>
      <c r="DC46">
        <v>0.42399999999999999</v>
      </c>
      <c r="DD46">
        <v>2E-3</v>
      </c>
      <c r="DE46">
        <v>8.8009999999999877</v>
      </c>
      <c r="DF46">
        <v>2E-3</v>
      </c>
      <c r="DG46" s="2">
        <v>45681</v>
      </c>
      <c r="DH46" t="s">
        <v>1724</v>
      </c>
      <c r="DI46">
        <v>6</v>
      </c>
      <c r="DJ46">
        <v>5.4000000000000003E-3</v>
      </c>
      <c r="DK46">
        <v>6.1259949763975046</v>
      </c>
      <c r="DL46">
        <v>721.35692326012327</v>
      </c>
      <c r="DM46">
        <v>0.42399999999999999</v>
      </c>
      <c r="DN46">
        <v>2E-3</v>
      </c>
      <c r="DO46">
        <v>8.7999000000000365</v>
      </c>
      <c r="DP46">
        <v>2E-3</v>
      </c>
    </row>
    <row r="47" spans="1:120" x14ac:dyDescent="0.3">
      <c r="A47" s="2">
        <v>45681</v>
      </c>
      <c r="B47" t="s">
        <v>233</v>
      </c>
      <c r="C47">
        <v>1</v>
      </c>
      <c r="D47">
        <v>1.2999999999999999E-3</v>
      </c>
      <c r="E47">
        <v>6.1936907103812322</v>
      </c>
      <c r="F47">
        <v>727.78124841517899</v>
      </c>
      <c r="G47">
        <v>0.42399999999999999</v>
      </c>
      <c r="H47">
        <v>3.0999999999999999E-3</v>
      </c>
      <c r="I47">
        <v>8.9986400000000017</v>
      </c>
      <c r="J47">
        <v>3.0999999999999999E-3</v>
      </c>
      <c r="K47" s="2">
        <v>45681</v>
      </c>
      <c r="L47" t="s">
        <v>391</v>
      </c>
      <c r="M47">
        <v>1</v>
      </c>
      <c r="N47">
        <v>2.0999999999999999E-3</v>
      </c>
      <c r="O47">
        <v>6.0699970735502058</v>
      </c>
      <c r="P47">
        <v>716.04272227991453</v>
      </c>
      <c r="Q47">
        <v>0.42399999999999999</v>
      </c>
      <c r="R47">
        <v>1.1999999999999999E-3</v>
      </c>
      <c r="S47">
        <v>9.0021899999999988</v>
      </c>
      <c r="T47">
        <v>1.1999999999999999E-3</v>
      </c>
      <c r="U47" s="2">
        <v>45681</v>
      </c>
      <c r="V47" t="s">
        <v>644</v>
      </c>
      <c r="W47">
        <v>2</v>
      </c>
      <c r="X47">
        <v>3.3999999999999998E-3</v>
      </c>
      <c r="Y47">
        <v>6.0284735114561956</v>
      </c>
      <c r="Z47">
        <v>609.85373126771742</v>
      </c>
      <c r="AA47">
        <v>0.42399999999999999</v>
      </c>
      <c r="AB47">
        <v>5.0000000000000001E-4</v>
      </c>
      <c r="AC47">
        <v>9.0011999999999972</v>
      </c>
      <c r="AD47">
        <v>5.0000000000000001E-4</v>
      </c>
      <c r="AE47" s="2">
        <v>45681</v>
      </c>
      <c r="AF47" t="s">
        <v>771</v>
      </c>
      <c r="AG47">
        <v>3</v>
      </c>
      <c r="AH47">
        <v>2.2000000000000001E-3</v>
      </c>
      <c r="AI47">
        <v>6.193858575271717</v>
      </c>
      <c r="AJ47">
        <v>727.79717879328598</v>
      </c>
      <c r="AK47">
        <v>0.42399999999999999</v>
      </c>
      <c r="AL47">
        <v>3.0999999999999999E-3</v>
      </c>
      <c r="AM47">
        <v>8.990099999999984</v>
      </c>
      <c r="AN47">
        <v>3.0999999999999999E-3</v>
      </c>
      <c r="AO47" s="2">
        <v>45681</v>
      </c>
      <c r="AP47" t="s">
        <v>841</v>
      </c>
      <c r="AQ47">
        <v>3</v>
      </c>
      <c r="AR47">
        <v>8.0000000000000002E-3</v>
      </c>
      <c r="AS47">
        <v>6.1931785602769542</v>
      </c>
      <c r="AT47">
        <v>625.2042418178122</v>
      </c>
      <c r="AU47">
        <v>0.42399999999999999</v>
      </c>
      <c r="AV47">
        <v>3.0999999999999999E-3</v>
      </c>
      <c r="AW47">
        <v>8.9983999999999753</v>
      </c>
      <c r="AX47">
        <v>3.0999999999999999E-3</v>
      </c>
      <c r="AY47" s="2">
        <v>45681</v>
      </c>
      <c r="AZ47" t="s">
        <v>971</v>
      </c>
      <c r="BA47">
        <v>3</v>
      </c>
      <c r="BB47">
        <v>3.0000000000000001E-3</v>
      </c>
      <c r="BC47">
        <v>6.1935766514592681</v>
      </c>
      <c r="BD47">
        <v>727.77042422348461</v>
      </c>
      <c r="BE47">
        <v>0.42399999999999999</v>
      </c>
      <c r="BF47">
        <v>3.0999999999999999E-3</v>
      </c>
      <c r="BG47">
        <v>9.0002999999999815</v>
      </c>
      <c r="BH47">
        <v>3.0999999999999999E-3</v>
      </c>
      <c r="BI47" s="2">
        <v>45681</v>
      </c>
      <c r="BJ47" t="s">
        <v>1045</v>
      </c>
      <c r="BK47">
        <v>4</v>
      </c>
      <c r="BL47">
        <v>4.1999999999999997E-3</v>
      </c>
      <c r="BM47">
        <v>6.0041336172837756</v>
      </c>
      <c r="BN47">
        <v>709.79228028023044</v>
      </c>
      <c r="BO47">
        <v>0.42399999999999999</v>
      </c>
      <c r="BP47">
        <v>1E-4</v>
      </c>
      <c r="BQ47">
        <v>9.0019999999999811</v>
      </c>
      <c r="BR47">
        <v>1E-4</v>
      </c>
      <c r="BS47" s="2">
        <v>45681</v>
      </c>
      <c r="BT47" t="s">
        <v>1169</v>
      </c>
      <c r="BU47">
        <v>4</v>
      </c>
      <c r="BV47">
        <v>3.3999999999999998E-3</v>
      </c>
      <c r="BW47">
        <v>6.1930144257173696</v>
      </c>
      <c r="BX47">
        <v>727.71706900057836</v>
      </c>
      <c r="BY47">
        <v>0.42399999999999999</v>
      </c>
      <c r="BZ47">
        <v>3.0999999999999999E-3</v>
      </c>
      <c r="CA47">
        <v>9</v>
      </c>
      <c r="CB47">
        <v>3.0999999999999999E-3</v>
      </c>
      <c r="CC47" s="2">
        <v>45681</v>
      </c>
      <c r="CD47" t="s">
        <v>1289</v>
      </c>
      <c r="CE47">
        <v>4</v>
      </c>
      <c r="CF47">
        <v>3.7000000000000002E-3</v>
      </c>
      <c r="CG47">
        <v>6.3635273240287864</v>
      </c>
      <c r="CH47">
        <v>743.89874305033186</v>
      </c>
      <c r="CI47">
        <v>0.42399999999999999</v>
      </c>
      <c r="CJ47">
        <v>5.7000000000000002E-3</v>
      </c>
      <c r="CK47">
        <v>9.399799999999999</v>
      </c>
      <c r="CL47">
        <v>5.7000000000000002E-3</v>
      </c>
      <c r="CM47" s="2">
        <v>45681</v>
      </c>
      <c r="CN47" t="s">
        <v>1407</v>
      </c>
      <c r="CO47">
        <v>5</v>
      </c>
      <c r="CP47">
        <v>4.4000000000000003E-3</v>
      </c>
      <c r="CQ47">
        <v>6.1948748471594239</v>
      </c>
      <c r="CR47">
        <v>727.89362299542938</v>
      </c>
      <c r="CS47">
        <v>0.42399999999999999</v>
      </c>
      <c r="CT47">
        <v>3.0999999999999999E-3</v>
      </c>
      <c r="CU47">
        <v>9.0040000000000191</v>
      </c>
      <c r="CV47">
        <v>3.0999999999999999E-3</v>
      </c>
      <c r="CW47" s="2">
        <v>45681</v>
      </c>
      <c r="CX47" t="s">
        <v>1567</v>
      </c>
      <c r="CY47">
        <v>5</v>
      </c>
      <c r="CZ47">
        <v>5.3E-3</v>
      </c>
      <c r="DA47">
        <v>6.1946751528150674</v>
      </c>
      <c r="DB47">
        <v>727.87467200214996</v>
      </c>
      <c r="DC47">
        <v>0.42399999999999999</v>
      </c>
      <c r="DD47">
        <v>3.0999999999999999E-3</v>
      </c>
      <c r="DE47">
        <v>9.0020000000000095</v>
      </c>
      <c r="DF47">
        <v>3.0999999999999999E-3</v>
      </c>
      <c r="DG47" s="2">
        <v>45681</v>
      </c>
      <c r="DH47" t="s">
        <v>1725</v>
      </c>
      <c r="DI47">
        <v>6</v>
      </c>
      <c r="DJ47">
        <v>5.4000000000000003E-3</v>
      </c>
      <c r="DK47">
        <v>6.19551374742014</v>
      </c>
      <c r="DL47">
        <v>727.95425463017136</v>
      </c>
      <c r="DM47">
        <v>0.42399999999999999</v>
      </c>
      <c r="DN47">
        <v>3.0999999999999999E-3</v>
      </c>
      <c r="DO47">
        <v>9.0010000000000332</v>
      </c>
      <c r="DP47">
        <v>3.0999999999999999E-3</v>
      </c>
    </row>
    <row r="48" spans="1:120" x14ac:dyDescent="0.3">
      <c r="A48" s="2">
        <v>45681</v>
      </c>
      <c r="B48" t="s">
        <v>234</v>
      </c>
      <c r="C48">
        <v>1</v>
      </c>
      <c r="D48">
        <v>1.4E-3</v>
      </c>
      <c r="E48">
        <v>6.2743090404487276</v>
      </c>
      <c r="F48">
        <v>735.43192793858429</v>
      </c>
      <c r="G48">
        <v>0.42399999999999999</v>
      </c>
      <c r="H48">
        <v>4.3E-3</v>
      </c>
      <c r="I48">
        <v>9.198599999999999</v>
      </c>
      <c r="J48">
        <v>4.3E-3</v>
      </c>
      <c r="K48" s="2">
        <v>45681</v>
      </c>
      <c r="L48" t="s">
        <v>392</v>
      </c>
      <c r="M48">
        <v>1</v>
      </c>
      <c r="N48">
        <v>2.2000000000000001E-3</v>
      </c>
      <c r="O48">
        <v>6.1249402253356262</v>
      </c>
      <c r="P48">
        <v>721.25682738435091</v>
      </c>
      <c r="Q48">
        <v>0.42399999999999999</v>
      </c>
      <c r="R48">
        <v>2E-3</v>
      </c>
      <c r="S48">
        <v>9.2001300000000015</v>
      </c>
      <c r="T48">
        <v>2E-3</v>
      </c>
      <c r="U48" s="2">
        <v>45681</v>
      </c>
      <c r="V48" t="s">
        <v>645</v>
      </c>
      <c r="W48">
        <v>2</v>
      </c>
      <c r="X48">
        <v>3.2000000000000002E-3</v>
      </c>
      <c r="Y48">
        <v>6.0039632709123012</v>
      </c>
      <c r="Z48">
        <v>607.56937684902653</v>
      </c>
      <c r="AA48">
        <v>0.42399999999999999</v>
      </c>
      <c r="AB48">
        <v>1E-4</v>
      </c>
      <c r="AC48">
        <v>9.2002999999999986</v>
      </c>
      <c r="AD48">
        <v>1E-4</v>
      </c>
      <c r="AE48" s="2">
        <v>45681</v>
      </c>
      <c r="AF48" t="s">
        <v>772</v>
      </c>
      <c r="AG48">
        <v>3</v>
      </c>
      <c r="AH48">
        <v>2.3E-3</v>
      </c>
      <c r="AI48">
        <v>6.2741850880404648</v>
      </c>
      <c r="AJ48">
        <v>735.42016485504018</v>
      </c>
      <c r="AK48">
        <v>0.42399999999999999</v>
      </c>
      <c r="AL48">
        <v>4.3E-3</v>
      </c>
      <c r="AM48">
        <v>9.1893000000000029</v>
      </c>
      <c r="AN48">
        <v>4.3E-3</v>
      </c>
      <c r="AO48" s="2">
        <v>45681</v>
      </c>
      <c r="AP48" t="s">
        <v>842</v>
      </c>
      <c r="AQ48">
        <v>3</v>
      </c>
      <c r="AR48">
        <v>6.3E-3</v>
      </c>
      <c r="AS48">
        <v>6.124620876572954</v>
      </c>
      <c r="AT48">
        <v>618.81466569659938</v>
      </c>
      <c r="AU48">
        <v>0.42399999999999999</v>
      </c>
      <c r="AV48">
        <v>2E-3</v>
      </c>
      <c r="AW48">
        <v>9.1976999999999975</v>
      </c>
      <c r="AX48">
        <v>2E-3</v>
      </c>
      <c r="AY48" s="2">
        <v>45681</v>
      </c>
      <c r="AZ48" t="s">
        <v>972</v>
      </c>
      <c r="BA48">
        <v>3</v>
      </c>
      <c r="BB48">
        <v>3.0000000000000001E-3</v>
      </c>
      <c r="BC48">
        <v>6.2748304758331797</v>
      </c>
      <c r="BD48">
        <v>735.48141215656881</v>
      </c>
      <c r="BE48">
        <v>0.42399999999999999</v>
      </c>
      <c r="BF48">
        <v>4.3E-3</v>
      </c>
      <c r="BG48">
        <v>9.2016999999999882</v>
      </c>
      <c r="BH48">
        <v>4.3E-3</v>
      </c>
      <c r="BI48" s="2">
        <v>45681</v>
      </c>
      <c r="BJ48" t="s">
        <v>1046</v>
      </c>
      <c r="BK48">
        <v>4</v>
      </c>
      <c r="BL48">
        <v>4.3E-3</v>
      </c>
      <c r="BM48">
        <v>6.0287296108365798</v>
      </c>
      <c r="BN48">
        <v>712.1264400683915</v>
      </c>
      <c r="BO48">
        <v>0.42399999999999999</v>
      </c>
      <c r="BP48">
        <v>5.0000000000000001E-4</v>
      </c>
      <c r="BQ48">
        <v>9.2004999999999768</v>
      </c>
      <c r="BR48">
        <v>5.0000000000000001E-4</v>
      </c>
      <c r="BS48" s="2">
        <v>45681</v>
      </c>
      <c r="BT48" t="s">
        <v>1170</v>
      </c>
      <c r="BU48">
        <v>4</v>
      </c>
      <c r="BV48">
        <v>3.3999999999999998E-3</v>
      </c>
      <c r="BW48">
        <v>6.2744368448291166</v>
      </c>
      <c r="BX48">
        <v>735.4440565742832</v>
      </c>
      <c r="BY48">
        <v>0.42399999999999999</v>
      </c>
      <c r="BZ48">
        <v>4.3E-3</v>
      </c>
      <c r="CA48">
        <v>9.2019999999999982</v>
      </c>
      <c r="CB48">
        <v>4.3E-3</v>
      </c>
      <c r="CC48" s="2">
        <v>45681</v>
      </c>
      <c r="CD48" t="s">
        <v>1290</v>
      </c>
      <c r="CE48">
        <v>4</v>
      </c>
      <c r="CF48">
        <v>3.7000000000000002E-3</v>
      </c>
      <c r="CG48">
        <v>6.4621395944910587</v>
      </c>
      <c r="CH48">
        <v>753.2570475172015</v>
      </c>
      <c r="CI48">
        <v>0.42399999999999999</v>
      </c>
      <c r="CJ48">
        <v>7.1999999999999998E-3</v>
      </c>
      <c r="CK48">
        <v>9.6011999999999773</v>
      </c>
      <c r="CL48">
        <v>7.1999999999999998E-3</v>
      </c>
      <c r="CM48" s="2">
        <v>45681</v>
      </c>
      <c r="CN48" t="s">
        <v>1408</v>
      </c>
      <c r="CO48">
        <v>5</v>
      </c>
      <c r="CP48">
        <v>4.4999999999999997E-3</v>
      </c>
      <c r="CQ48">
        <v>6.2745369961043584</v>
      </c>
      <c r="CR48">
        <v>735.45356093030352</v>
      </c>
      <c r="CS48">
        <v>0.42399999999999999</v>
      </c>
      <c r="CT48">
        <v>4.3E-3</v>
      </c>
      <c r="CU48">
        <v>9.2013000000000034</v>
      </c>
      <c r="CV48">
        <v>4.3E-3</v>
      </c>
      <c r="CW48" s="2">
        <v>45681</v>
      </c>
      <c r="CX48" t="s">
        <v>1568</v>
      </c>
      <c r="CY48">
        <v>5</v>
      </c>
      <c r="CZ48">
        <v>5.3E-3</v>
      </c>
      <c r="DA48">
        <v>6.27472626985044</v>
      </c>
      <c r="DB48">
        <v>735.4715230088068</v>
      </c>
      <c r="DC48">
        <v>0.42399999999999999</v>
      </c>
      <c r="DD48">
        <v>4.3E-3</v>
      </c>
      <c r="DE48">
        <v>9.200300000000027</v>
      </c>
      <c r="DF48">
        <v>4.3E-3</v>
      </c>
      <c r="DG48" s="2">
        <v>45681</v>
      </c>
      <c r="DH48" t="s">
        <v>1726</v>
      </c>
      <c r="DI48">
        <v>6</v>
      </c>
      <c r="DJ48">
        <v>5.4000000000000003E-3</v>
      </c>
      <c r="DK48">
        <v>6.2755920715428362</v>
      </c>
      <c r="DL48">
        <v>735.55368758941518</v>
      </c>
      <c r="DM48">
        <v>0.42399999999999999</v>
      </c>
      <c r="DN48">
        <v>4.3E-3</v>
      </c>
      <c r="DO48">
        <v>9.1990999999999872</v>
      </c>
      <c r="DP48">
        <v>4.3E-3</v>
      </c>
    </row>
    <row r="49" spans="1:120" x14ac:dyDescent="0.3">
      <c r="A49" s="2">
        <v>45681</v>
      </c>
      <c r="B49" t="s">
        <v>235</v>
      </c>
      <c r="C49">
        <v>1</v>
      </c>
      <c r="D49">
        <v>2E-3</v>
      </c>
      <c r="E49">
        <v>6.3651455172448133</v>
      </c>
      <c r="F49">
        <v>744.05230958653283</v>
      </c>
      <c r="G49">
        <v>0.42399999999999999</v>
      </c>
      <c r="H49">
        <v>5.7000000000000002E-3</v>
      </c>
      <c r="I49">
        <v>9.3994800000000005</v>
      </c>
      <c r="J49">
        <v>5.7000000000000002E-3</v>
      </c>
      <c r="K49" s="2">
        <v>45681</v>
      </c>
      <c r="L49" t="s">
        <v>393</v>
      </c>
      <c r="M49">
        <v>1</v>
      </c>
      <c r="N49">
        <v>2.2000000000000001E-3</v>
      </c>
      <c r="O49">
        <v>6.1944308161411401</v>
      </c>
      <c r="P49">
        <v>727.85148445179425</v>
      </c>
      <c r="Q49">
        <v>0.42399999999999999</v>
      </c>
      <c r="R49">
        <v>3.0999999999999999E-3</v>
      </c>
      <c r="S49">
        <v>9.4016999999999982</v>
      </c>
      <c r="T49">
        <v>3.0999999999999999E-3</v>
      </c>
      <c r="U49" s="2">
        <v>45681</v>
      </c>
      <c r="V49" t="s">
        <v>646</v>
      </c>
      <c r="W49">
        <v>2</v>
      </c>
      <c r="X49">
        <v>3.2000000000000002E-3</v>
      </c>
      <c r="Y49">
        <v>5.995734208849564</v>
      </c>
      <c r="Z49">
        <v>606.80242826477934</v>
      </c>
      <c r="AA49">
        <v>0.42399999999999999</v>
      </c>
      <c r="AB49">
        <v>0</v>
      </c>
      <c r="AC49">
        <v>9.4010999999999996</v>
      </c>
      <c r="AD49">
        <v>0</v>
      </c>
      <c r="AE49" s="2">
        <v>45681</v>
      </c>
      <c r="AF49" t="s">
        <v>773</v>
      </c>
      <c r="AG49">
        <v>3</v>
      </c>
      <c r="AH49">
        <v>2.3999999999999998E-3</v>
      </c>
      <c r="AI49">
        <v>6.3650548945321974</v>
      </c>
      <c r="AJ49">
        <v>744.04370949110557</v>
      </c>
      <c r="AK49">
        <v>0.42399999999999999</v>
      </c>
      <c r="AL49">
        <v>5.7000000000000002E-3</v>
      </c>
      <c r="AM49">
        <v>9.3902999999999963</v>
      </c>
      <c r="AN49">
        <v>5.7000000000000002E-3</v>
      </c>
      <c r="AO49" s="2">
        <v>45681</v>
      </c>
      <c r="AP49" t="s">
        <v>843</v>
      </c>
      <c r="AQ49">
        <v>3</v>
      </c>
      <c r="AR49">
        <v>4.4999999999999997E-3</v>
      </c>
      <c r="AS49">
        <v>6.0695995905740174</v>
      </c>
      <c r="AT49">
        <v>613.6866818414984</v>
      </c>
      <c r="AU49">
        <v>0.42399999999999999</v>
      </c>
      <c r="AV49">
        <v>1.1000000000000001E-3</v>
      </c>
      <c r="AW49">
        <v>9.3961999999999932</v>
      </c>
      <c r="AX49">
        <v>1.1000000000000001E-3</v>
      </c>
      <c r="AY49" s="2">
        <v>45681</v>
      </c>
      <c r="AZ49" t="s">
        <v>973</v>
      </c>
      <c r="BA49">
        <v>3</v>
      </c>
      <c r="BB49">
        <v>3.0000000000000001E-3</v>
      </c>
      <c r="BC49">
        <v>6.3654349017190617</v>
      </c>
      <c r="BD49">
        <v>744.07977217313896</v>
      </c>
      <c r="BE49">
        <v>0.42399999999999999</v>
      </c>
      <c r="BF49">
        <v>5.7000000000000002E-3</v>
      </c>
      <c r="BG49">
        <v>9.4019999999999868</v>
      </c>
      <c r="BH49">
        <v>5.7000000000000002E-3</v>
      </c>
      <c r="BI49" s="2">
        <v>45681</v>
      </c>
      <c r="BJ49" t="s">
        <v>1047</v>
      </c>
      <c r="BK49">
        <v>4</v>
      </c>
      <c r="BL49">
        <v>4.3E-3</v>
      </c>
      <c r="BM49">
        <v>6.0690191997425176</v>
      </c>
      <c r="BN49">
        <v>715.94992205556503</v>
      </c>
      <c r="BO49">
        <v>0.42399999999999999</v>
      </c>
      <c r="BP49">
        <v>1.1000000000000001E-3</v>
      </c>
      <c r="BQ49">
        <v>9.3994999999999891</v>
      </c>
      <c r="BR49">
        <v>1.1000000000000001E-3</v>
      </c>
      <c r="BS49" s="2">
        <v>45681</v>
      </c>
      <c r="BT49" t="s">
        <v>1171</v>
      </c>
      <c r="BU49">
        <v>4</v>
      </c>
      <c r="BV49">
        <v>3.3999999999999998E-3</v>
      </c>
      <c r="BW49">
        <v>6.3643398874117123</v>
      </c>
      <c r="BX49">
        <v>743.97585531537152</v>
      </c>
      <c r="BY49">
        <v>0.42399999999999999</v>
      </c>
      <c r="BZ49">
        <v>5.7000000000000002E-3</v>
      </c>
      <c r="CA49">
        <v>9.4009000000000071</v>
      </c>
      <c r="CB49">
        <v>5.7000000000000002E-3</v>
      </c>
      <c r="CC49" s="2">
        <v>45681</v>
      </c>
      <c r="CD49" t="s">
        <v>1291</v>
      </c>
      <c r="CE49">
        <v>4</v>
      </c>
      <c r="CF49">
        <v>3.8E-3</v>
      </c>
      <c r="CG49">
        <v>6.5657775127108238</v>
      </c>
      <c r="CH49">
        <v>763.09228595625723</v>
      </c>
      <c r="CI49">
        <v>0.42399999999999999</v>
      </c>
      <c r="CJ49">
        <v>8.8999999999999999E-3</v>
      </c>
      <c r="CK49">
        <v>9.8021999999999991</v>
      </c>
      <c r="CL49">
        <v>8.8999999999999999E-3</v>
      </c>
      <c r="CM49" s="2">
        <v>45681</v>
      </c>
      <c r="CN49" t="s">
        <v>1409</v>
      </c>
      <c r="CO49">
        <v>5</v>
      </c>
      <c r="CP49">
        <v>4.4999999999999997E-3</v>
      </c>
      <c r="CQ49">
        <v>6.3639083854396024</v>
      </c>
      <c r="CR49">
        <v>743.93490577821831</v>
      </c>
      <c r="CS49">
        <v>0.42399999999999999</v>
      </c>
      <c r="CT49">
        <v>5.7000000000000002E-3</v>
      </c>
      <c r="CU49">
        <v>9.3991000000000327</v>
      </c>
      <c r="CV49">
        <v>5.7000000000000002E-3</v>
      </c>
      <c r="CW49" s="2">
        <v>45681</v>
      </c>
      <c r="CX49" t="s">
        <v>1569</v>
      </c>
      <c r="CY49">
        <v>5</v>
      </c>
      <c r="CZ49">
        <v>5.3E-3</v>
      </c>
      <c r="DA49">
        <v>6.3658350202551253</v>
      </c>
      <c r="DB49">
        <v>744.11774342221145</v>
      </c>
      <c r="DC49">
        <v>0.42399999999999999</v>
      </c>
      <c r="DD49">
        <v>5.7999999999999996E-3</v>
      </c>
      <c r="DE49">
        <v>9.4016000000000304</v>
      </c>
      <c r="DF49">
        <v>5.7999999999999996E-3</v>
      </c>
      <c r="DG49" s="2">
        <v>45681</v>
      </c>
      <c r="DH49" t="s">
        <v>1727</v>
      </c>
      <c r="DI49">
        <v>6</v>
      </c>
      <c r="DJ49">
        <v>5.4000000000000003E-3</v>
      </c>
      <c r="DK49">
        <v>6.366724339251018</v>
      </c>
      <c r="DL49">
        <v>744.20213979492166</v>
      </c>
      <c r="DM49">
        <v>0.42399999999999999</v>
      </c>
      <c r="DN49">
        <v>5.7999999999999996E-3</v>
      </c>
      <c r="DO49">
        <v>9.4003000000000156</v>
      </c>
      <c r="DP49">
        <v>5.7999999999999996E-3</v>
      </c>
    </row>
    <row r="50" spans="1:120" x14ac:dyDescent="0.3">
      <c r="A50" s="2">
        <v>45681</v>
      </c>
      <c r="B50" t="s">
        <v>236</v>
      </c>
      <c r="C50">
        <v>1</v>
      </c>
      <c r="D50">
        <v>3.3E-3</v>
      </c>
      <c r="E50">
        <v>6.4633304620837002</v>
      </c>
      <c r="F50">
        <v>753.37006085174323</v>
      </c>
      <c r="G50">
        <v>0.42399999999999999</v>
      </c>
      <c r="H50">
        <v>7.3000000000000001E-3</v>
      </c>
      <c r="I50">
        <v>9.59985</v>
      </c>
      <c r="J50">
        <v>7.3000000000000001E-3</v>
      </c>
      <c r="K50" s="2">
        <v>45681</v>
      </c>
      <c r="L50" t="s">
        <v>394</v>
      </c>
      <c r="M50">
        <v>1</v>
      </c>
      <c r="N50">
        <v>2.2000000000000001E-3</v>
      </c>
      <c r="O50">
        <v>6.2744930025279846</v>
      </c>
      <c r="P50">
        <v>735.44938593990582</v>
      </c>
      <c r="Q50">
        <v>0.42399999999999999</v>
      </c>
      <c r="R50">
        <v>4.3E-3</v>
      </c>
      <c r="S50">
        <v>9.6001100000000008</v>
      </c>
      <c r="T50">
        <v>4.3E-3</v>
      </c>
      <c r="U50" s="2">
        <v>45681</v>
      </c>
      <c r="V50" t="s">
        <v>647</v>
      </c>
      <c r="W50">
        <v>2</v>
      </c>
      <c r="X50">
        <v>2.3999999999999998E-3</v>
      </c>
      <c r="Y50">
        <v>6.0040379505150314</v>
      </c>
      <c r="Z50">
        <v>709.7832015038764</v>
      </c>
      <c r="AA50">
        <v>0.42399999999999999</v>
      </c>
      <c r="AB50">
        <v>1E-4</v>
      </c>
      <c r="AC50">
        <v>9.5989999999999895</v>
      </c>
      <c r="AD50">
        <v>1E-4</v>
      </c>
      <c r="AE50" s="2">
        <v>45681</v>
      </c>
      <c r="AF50" t="s">
        <v>774</v>
      </c>
      <c r="AG50">
        <v>3</v>
      </c>
      <c r="AH50">
        <v>2.5000000000000001E-3</v>
      </c>
      <c r="AI50">
        <v>6.4632165248029612</v>
      </c>
      <c r="AJ50">
        <v>753.35924820380103</v>
      </c>
      <c r="AK50">
        <v>0.42399999999999999</v>
      </c>
      <c r="AL50">
        <v>7.3000000000000001E-3</v>
      </c>
      <c r="AM50">
        <v>9.5905999999999949</v>
      </c>
      <c r="AN50">
        <v>7.3000000000000001E-3</v>
      </c>
      <c r="AO50" s="2">
        <v>45681</v>
      </c>
      <c r="AP50" t="s">
        <v>844</v>
      </c>
      <c r="AQ50">
        <v>3</v>
      </c>
      <c r="AR50">
        <v>4.3E-3</v>
      </c>
      <c r="AS50">
        <v>6.0285168522246586</v>
      </c>
      <c r="AT50">
        <v>609.85777062733825</v>
      </c>
      <c r="AU50">
        <v>0.42399999999999999</v>
      </c>
      <c r="AV50">
        <v>5.0000000000000001E-4</v>
      </c>
      <c r="AW50">
        <v>9.5988999999999862</v>
      </c>
      <c r="AX50">
        <v>5.0000000000000001E-4</v>
      </c>
      <c r="AY50" s="2">
        <v>45681</v>
      </c>
      <c r="AZ50" t="s">
        <v>974</v>
      </c>
      <c r="BA50">
        <v>3</v>
      </c>
      <c r="BB50">
        <v>3.0999999999999999E-3</v>
      </c>
      <c r="BC50">
        <v>6.4630973164024716</v>
      </c>
      <c r="BD50">
        <v>753.34793532659455</v>
      </c>
      <c r="BE50">
        <v>0.42399999999999999</v>
      </c>
      <c r="BF50">
        <v>7.3000000000000001E-3</v>
      </c>
      <c r="BG50">
        <v>9.6012999999999806</v>
      </c>
      <c r="BH50">
        <v>7.3000000000000001E-3</v>
      </c>
      <c r="BI50" s="2">
        <v>45681</v>
      </c>
      <c r="BJ50" t="s">
        <v>1048</v>
      </c>
      <c r="BK50">
        <v>4</v>
      </c>
      <c r="BL50">
        <v>4.3E-3</v>
      </c>
      <c r="BM50">
        <v>6.1246479214719782</v>
      </c>
      <c r="BN50">
        <v>721.22908774769076</v>
      </c>
      <c r="BO50">
        <v>0.42399999999999999</v>
      </c>
      <c r="BP50">
        <v>2E-3</v>
      </c>
      <c r="BQ50">
        <v>9.6004999999999825</v>
      </c>
      <c r="BR50">
        <v>2E-3</v>
      </c>
      <c r="BS50" s="2">
        <v>45681</v>
      </c>
      <c r="BT50" t="s">
        <v>1172</v>
      </c>
      <c r="BU50">
        <v>4</v>
      </c>
      <c r="BV50">
        <v>3.3999999999999998E-3</v>
      </c>
      <c r="BW50">
        <v>6.4616542460033539</v>
      </c>
      <c r="BX50">
        <v>753.21098794571833</v>
      </c>
      <c r="BY50">
        <v>0.42399999999999999</v>
      </c>
      <c r="BZ50">
        <v>7.1999999999999998E-3</v>
      </c>
      <c r="CA50">
        <v>9.5996000000000095</v>
      </c>
      <c r="CB50">
        <v>7.1999999999999998E-3</v>
      </c>
      <c r="CC50" s="2">
        <v>45681</v>
      </c>
      <c r="CD50" t="s">
        <v>1292</v>
      </c>
      <c r="CE50">
        <v>4</v>
      </c>
      <c r="CF50">
        <v>4.7999999999999996E-3</v>
      </c>
      <c r="CG50">
        <v>6.6703034118730038</v>
      </c>
      <c r="CH50">
        <v>773.01179378674806</v>
      </c>
      <c r="CI50">
        <v>0.42399999999999999</v>
      </c>
      <c r="CJ50">
        <v>1.0500000000000001E-2</v>
      </c>
      <c r="CK50">
        <v>10</v>
      </c>
      <c r="CL50">
        <v>1.0500000000000001E-2</v>
      </c>
      <c r="CM50" s="2">
        <v>45681</v>
      </c>
      <c r="CN50" t="s">
        <v>1410</v>
      </c>
      <c r="CO50">
        <v>5</v>
      </c>
      <c r="CP50">
        <v>4.4999999999999997E-3</v>
      </c>
      <c r="CQ50">
        <v>6.4625758810180196</v>
      </c>
      <c r="CR50">
        <v>753.29845110861015</v>
      </c>
      <c r="CS50">
        <v>0.42399999999999999</v>
      </c>
      <c r="CT50">
        <v>7.3000000000000001E-3</v>
      </c>
      <c r="CU50">
        <v>9.6006000000000427</v>
      </c>
      <c r="CV50">
        <v>7.3000000000000001E-3</v>
      </c>
      <c r="CW50" s="2">
        <v>45681</v>
      </c>
      <c r="CX50" t="s">
        <v>1570</v>
      </c>
      <c r="CY50">
        <v>5</v>
      </c>
      <c r="CZ50">
        <v>5.3E-3</v>
      </c>
      <c r="DA50">
        <v>6.4631609753102159</v>
      </c>
      <c r="DB50">
        <v>753.35397655693953</v>
      </c>
      <c r="DC50">
        <v>0.42399999999999999</v>
      </c>
      <c r="DD50">
        <v>7.3000000000000001E-3</v>
      </c>
      <c r="DE50">
        <v>9.6002000000000294</v>
      </c>
      <c r="DF50">
        <v>7.3000000000000001E-3</v>
      </c>
      <c r="DG50" s="2">
        <v>45681</v>
      </c>
      <c r="DH50" t="s">
        <v>1728</v>
      </c>
      <c r="DI50">
        <v>6</v>
      </c>
      <c r="DJ50">
        <v>5.4000000000000003E-3</v>
      </c>
      <c r="DK50">
        <v>6.4638640615906517</v>
      </c>
      <c r="DL50">
        <v>753.4206994449529</v>
      </c>
      <c r="DM50">
        <v>0.42399999999999999</v>
      </c>
      <c r="DN50">
        <v>7.3000000000000001E-3</v>
      </c>
      <c r="DO50">
        <v>9.5984000000000265</v>
      </c>
      <c r="DP50">
        <v>7.3000000000000001E-3</v>
      </c>
    </row>
    <row r="51" spans="1:120" x14ac:dyDescent="0.3">
      <c r="A51" s="2">
        <v>45681</v>
      </c>
      <c r="B51" t="s">
        <v>237</v>
      </c>
      <c r="C51">
        <v>1</v>
      </c>
      <c r="D51">
        <v>4.5999999999999999E-3</v>
      </c>
      <c r="E51">
        <v>6.5664757333422594</v>
      </c>
      <c r="F51">
        <v>763.15854709418034</v>
      </c>
      <c r="G51">
        <v>0.42399999999999999</v>
      </c>
      <c r="H51">
        <v>8.8999999999999999E-3</v>
      </c>
      <c r="I51">
        <v>9.7998599999999989</v>
      </c>
      <c r="J51">
        <v>8.8999999999999999E-3</v>
      </c>
      <c r="K51" s="2">
        <v>45681</v>
      </c>
      <c r="L51" t="s">
        <v>395</v>
      </c>
      <c r="M51">
        <v>1</v>
      </c>
      <c r="N51">
        <v>2.2000000000000001E-3</v>
      </c>
      <c r="O51">
        <v>6.3659849227913874</v>
      </c>
      <c r="P51">
        <v>744.13196917290259</v>
      </c>
      <c r="Q51">
        <v>0.42399999999999999</v>
      </c>
      <c r="R51">
        <v>5.7999999999999996E-3</v>
      </c>
      <c r="S51">
        <v>9.802349999999997</v>
      </c>
      <c r="T51">
        <v>5.7999999999999996E-3</v>
      </c>
      <c r="U51" s="2">
        <v>45681</v>
      </c>
      <c r="V51" t="s">
        <v>648</v>
      </c>
      <c r="W51">
        <v>2</v>
      </c>
      <c r="X51">
        <v>2.3999999999999998E-3</v>
      </c>
      <c r="Y51">
        <v>6.0287529335141183</v>
      </c>
      <c r="Z51">
        <v>712.12865339048983</v>
      </c>
      <c r="AA51">
        <v>0.42399999999999999</v>
      </c>
      <c r="AB51">
        <v>5.0000000000000001E-4</v>
      </c>
      <c r="AC51">
        <v>9.7988999999999891</v>
      </c>
      <c r="AD51">
        <v>5.0000000000000001E-4</v>
      </c>
      <c r="AE51" s="2">
        <v>45681</v>
      </c>
      <c r="AF51" t="s">
        <v>775</v>
      </c>
      <c r="AG51">
        <v>3</v>
      </c>
      <c r="AH51">
        <v>3.7000000000000002E-3</v>
      </c>
      <c r="AI51">
        <v>6.5654596236428509</v>
      </c>
      <c r="AJ51">
        <v>763.06211828370658</v>
      </c>
      <c r="AK51">
        <v>0.42399999999999999</v>
      </c>
      <c r="AL51">
        <v>8.8999999999999999E-3</v>
      </c>
      <c r="AM51">
        <v>9.7888999999999839</v>
      </c>
      <c r="AN51">
        <v>8.8999999999999999E-3</v>
      </c>
      <c r="AO51" s="2">
        <v>45681</v>
      </c>
      <c r="AP51" t="s">
        <v>845</v>
      </c>
      <c r="AQ51">
        <v>3</v>
      </c>
      <c r="AR51">
        <v>3.5000000000000001E-3</v>
      </c>
      <c r="AS51">
        <v>6.0041166564423056</v>
      </c>
      <c r="AT51">
        <v>607.58367238042285</v>
      </c>
      <c r="AU51">
        <v>0.42399999999999999</v>
      </c>
      <c r="AV51">
        <v>1E-4</v>
      </c>
      <c r="AW51">
        <v>9.7963000000000022</v>
      </c>
      <c r="AX51">
        <v>1E-4</v>
      </c>
      <c r="AY51" s="2">
        <v>45681</v>
      </c>
      <c r="AZ51" t="s">
        <v>975</v>
      </c>
      <c r="BA51">
        <v>3</v>
      </c>
      <c r="BB51">
        <v>3.7000000000000002E-3</v>
      </c>
      <c r="BC51">
        <v>6.5660897251882941</v>
      </c>
      <c r="BD51">
        <v>763.12191492036914</v>
      </c>
      <c r="BE51">
        <v>0.42399999999999999</v>
      </c>
      <c r="BF51">
        <v>8.8999999999999999E-3</v>
      </c>
      <c r="BG51">
        <v>9.8009999999999877</v>
      </c>
      <c r="BH51">
        <v>8.8999999999999999E-3</v>
      </c>
      <c r="BI51" s="2">
        <v>45681</v>
      </c>
      <c r="BJ51" t="s">
        <v>1049</v>
      </c>
      <c r="BK51">
        <v>4</v>
      </c>
      <c r="BL51">
        <v>4.4000000000000003E-3</v>
      </c>
      <c r="BM51">
        <v>6.1933968251816589</v>
      </c>
      <c r="BN51">
        <v>727.75335870973947</v>
      </c>
      <c r="BO51">
        <v>0.42399999999999999</v>
      </c>
      <c r="BP51">
        <v>3.0999999999999999E-3</v>
      </c>
      <c r="BQ51">
        <v>9.8002999999999929</v>
      </c>
      <c r="BR51">
        <v>3.0999999999999999E-3</v>
      </c>
      <c r="BS51" s="2">
        <v>45681</v>
      </c>
      <c r="BT51" t="s">
        <v>1173</v>
      </c>
      <c r="BU51">
        <v>4</v>
      </c>
      <c r="BV51">
        <v>3.5000000000000001E-3</v>
      </c>
      <c r="BW51">
        <v>6.5650999710876343</v>
      </c>
      <c r="BX51">
        <v>763.02798725621653</v>
      </c>
      <c r="BY51">
        <v>0.42399999999999999</v>
      </c>
      <c r="BZ51">
        <v>8.8000000000000005E-3</v>
      </c>
      <c r="CA51">
        <v>9.8003999999999962</v>
      </c>
      <c r="CB51">
        <v>8.8000000000000005E-3</v>
      </c>
      <c r="CC51" s="2">
        <v>45681</v>
      </c>
      <c r="CD51" t="s">
        <v>1293</v>
      </c>
      <c r="CE51">
        <v>4</v>
      </c>
      <c r="CF51">
        <v>5.7000000000000002E-3</v>
      </c>
      <c r="CG51">
        <v>6.7767127226687647</v>
      </c>
      <c r="CH51">
        <v>783.11003738126578</v>
      </c>
      <c r="CI51">
        <v>0.42399999999999999</v>
      </c>
      <c r="CJ51">
        <v>1.21E-2</v>
      </c>
      <c r="CK51">
        <v>10.201300000000003</v>
      </c>
      <c r="CL51">
        <v>1.21E-2</v>
      </c>
      <c r="CM51" s="2">
        <v>45681</v>
      </c>
      <c r="CN51" t="s">
        <v>1411</v>
      </c>
      <c r="CO51">
        <v>5</v>
      </c>
      <c r="CP51">
        <v>4.4999999999999997E-3</v>
      </c>
      <c r="CQ51">
        <v>6.5654158328018557</v>
      </c>
      <c r="CR51">
        <v>763.05796253289611</v>
      </c>
      <c r="CS51">
        <v>0.42399999999999999</v>
      </c>
      <c r="CT51">
        <v>8.8999999999999999E-3</v>
      </c>
      <c r="CU51">
        <v>9.8001000000000431</v>
      </c>
      <c r="CV51">
        <v>8.8999999999999999E-3</v>
      </c>
      <c r="CW51" s="2">
        <v>45681</v>
      </c>
      <c r="CX51" t="s">
        <v>1571</v>
      </c>
      <c r="CY51">
        <v>5</v>
      </c>
      <c r="CZ51">
        <v>5.3E-3</v>
      </c>
      <c r="DA51">
        <v>6.5670827230549529</v>
      </c>
      <c r="DB51">
        <v>763.21615041791506</v>
      </c>
      <c r="DC51">
        <v>0.42399999999999999</v>
      </c>
      <c r="DD51">
        <v>8.8999999999999999E-3</v>
      </c>
      <c r="DE51">
        <v>9.8016999999999825</v>
      </c>
      <c r="DF51">
        <v>8.8999999999999999E-3</v>
      </c>
      <c r="DG51" s="2">
        <v>45681</v>
      </c>
      <c r="DH51" t="s">
        <v>1729</v>
      </c>
      <c r="DI51">
        <v>6</v>
      </c>
      <c r="DJ51">
        <v>5.4000000000000003E-3</v>
      </c>
      <c r="DK51">
        <v>6.5673037046136828</v>
      </c>
      <c r="DL51">
        <v>763.23712156783859</v>
      </c>
      <c r="DM51">
        <v>0.42399999999999999</v>
      </c>
      <c r="DN51">
        <v>8.8999999999999999E-3</v>
      </c>
      <c r="DO51">
        <v>9.799000000000035</v>
      </c>
      <c r="DP51">
        <v>8.8999999999999999E-3</v>
      </c>
    </row>
    <row r="52" spans="1:120" x14ac:dyDescent="0.3">
      <c r="A52" s="2">
        <v>45681</v>
      </c>
      <c r="B52" t="s">
        <v>238</v>
      </c>
      <c r="C52">
        <v>1</v>
      </c>
      <c r="D52">
        <v>6.6E-3</v>
      </c>
      <c r="E52">
        <v>6.6715555055488904</v>
      </c>
      <c r="F52">
        <v>773.13061747658969</v>
      </c>
      <c r="G52">
        <v>0.42399999999999999</v>
      </c>
      <c r="H52">
        <v>1.0500000000000001E-2</v>
      </c>
      <c r="I52">
        <v>9.9986500000000014</v>
      </c>
      <c r="J52">
        <v>1.0500000000000001E-2</v>
      </c>
      <c r="K52" s="2">
        <v>45681</v>
      </c>
      <c r="L52" t="s">
        <v>396</v>
      </c>
      <c r="M52">
        <v>1</v>
      </c>
      <c r="N52">
        <v>2.3E-3</v>
      </c>
      <c r="O52">
        <v>6.4639317752058947</v>
      </c>
      <c r="P52">
        <v>753.42712546703945</v>
      </c>
      <c r="Q52">
        <v>0.42399999999999999</v>
      </c>
      <c r="R52">
        <v>7.3000000000000001E-3</v>
      </c>
      <c r="S52">
        <v>10.002130000000001</v>
      </c>
      <c r="T52">
        <v>7.3000000000000001E-3</v>
      </c>
      <c r="U52" s="2">
        <v>45681</v>
      </c>
      <c r="V52" t="s">
        <v>649</v>
      </c>
      <c r="W52">
        <v>2</v>
      </c>
      <c r="X52">
        <v>2.3999999999999998E-3</v>
      </c>
      <c r="Y52">
        <v>6.069488451041452</v>
      </c>
      <c r="Z52">
        <v>715.99445400383388</v>
      </c>
      <c r="AA52">
        <v>0.42399999999999999</v>
      </c>
      <c r="AB52">
        <v>1.1000000000000001E-3</v>
      </c>
      <c r="AC52">
        <v>9.9995999999999867</v>
      </c>
      <c r="AD52">
        <v>1.1000000000000001E-3</v>
      </c>
      <c r="AE52" s="2">
        <v>45681</v>
      </c>
      <c r="AF52" t="s">
        <v>776</v>
      </c>
      <c r="AG52">
        <v>3</v>
      </c>
      <c r="AH52">
        <v>5.3E-3</v>
      </c>
      <c r="AI52">
        <v>6.6720080109058477</v>
      </c>
      <c r="AJ52">
        <v>773.17356023496495</v>
      </c>
      <c r="AK52">
        <v>0.42399999999999999</v>
      </c>
      <c r="AL52">
        <v>1.0500000000000001E-2</v>
      </c>
      <c r="AM52">
        <v>9.9904999999999973</v>
      </c>
      <c r="AN52">
        <v>1.0500000000000001E-2</v>
      </c>
      <c r="AO52" s="2">
        <v>45681</v>
      </c>
      <c r="AP52" t="s">
        <v>846</v>
      </c>
      <c r="AQ52">
        <v>3</v>
      </c>
      <c r="AR52">
        <v>2.8E-3</v>
      </c>
      <c r="AS52">
        <v>5.9957335240914063</v>
      </c>
      <c r="AT52">
        <v>606.80236444531909</v>
      </c>
      <c r="AU52">
        <v>0.42399999999999999</v>
      </c>
      <c r="AV52">
        <v>0</v>
      </c>
      <c r="AW52">
        <v>9.9975000000000023</v>
      </c>
      <c r="AX52">
        <v>0</v>
      </c>
      <c r="AY52" s="2">
        <v>45681</v>
      </c>
      <c r="AZ52" t="s">
        <v>976</v>
      </c>
      <c r="BA52">
        <v>3</v>
      </c>
      <c r="BB52">
        <v>4.7999999999999996E-3</v>
      </c>
      <c r="BC52">
        <v>6.6706504948349723</v>
      </c>
      <c r="BD52">
        <v>773.04473195983894</v>
      </c>
      <c r="BE52">
        <v>0.42399999999999999</v>
      </c>
      <c r="BF52">
        <v>1.0500000000000001E-2</v>
      </c>
      <c r="BG52">
        <v>9.9988999999999919</v>
      </c>
      <c r="BH52">
        <v>1.0500000000000001E-2</v>
      </c>
      <c r="BI52" s="2">
        <v>45681</v>
      </c>
      <c r="BJ52" t="s">
        <v>1050</v>
      </c>
      <c r="BK52">
        <v>4</v>
      </c>
      <c r="BL52">
        <v>4.3E-3</v>
      </c>
      <c r="BM52">
        <v>6.2736403786349637</v>
      </c>
      <c r="BN52">
        <v>735.36847193245808</v>
      </c>
      <c r="BO52">
        <v>0.42399999999999999</v>
      </c>
      <c r="BP52">
        <v>4.3E-3</v>
      </c>
      <c r="BQ52">
        <v>9.9994999999999834</v>
      </c>
      <c r="BR52">
        <v>4.3E-3</v>
      </c>
      <c r="BS52" s="2">
        <v>45681</v>
      </c>
      <c r="BT52" t="s">
        <v>1174</v>
      </c>
      <c r="BU52">
        <v>4</v>
      </c>
      <c r="BV52">
        <v>3.7000000000000002E-3</v>
      </c>
      <c r="BW52">
        <v>6.671525095242643</v>
      </c>
      <c r="BX52">
        <v>773.12773153852686</v>
      </c>
      <c r="BY52">
        <v>0.42399999999999999</v>
      </c>
      <c r="BZ52">
        <v>1.0500000000000001E-2</v>
      </c>
      <c r="CA52">
        <v>10.0017</v>
      </c>
      <c r="CB52">
        <v>1.0500000000000001E-2</v>
      </c>
      <c r="CC52" s="2">
        <v>45681</v>
      </c>
      <c r="CD52" t="s">
        <v>1294</v>
      </c>
      <c r="CE52">
        <v>4</v>
      </c>
      <c r="CF52">
        <v>7.4999999999999997E-3</v>
      </c>
      <c r="CG52">
        <v>6.8804593070495166</v>
      </c>
      <c r="CH52">
        <v>792.95558823899921</v>
      </c>
      <c r="CI52">
        <v>0.42399999999999999</v>
      </c>
      <c r="CJ52">
        <v>1.37E-2</v>
      </c>
      <c r="CK52">
        <v>10.402500000000003</v>
      </c>
      <c r="CL52">
        <v>1.37E-2</v>
      </c>
      <c r="CM52" s="2">
        <v>45681</v>
      </c>
      <c r="CN52" t="s">
        <v>1412</v>
      </c>
      <c r="CO52">
        <v>5</v>
      </c>
      <c r="CP52">
        <v>4.5999999999999999E-3</v>
      </c>
      <c r="CQ52">
        <v>6.670628193943724</v>
      </c>
      <c r="CR52">
        <v>773.04261560525947</v>
      </c>
      <c r="CS52">
        <v>0.42399999999999999</v>
      </c>
      <c r="CT52">
        <v>1.0500000000000001E-2</v>
      </c>
      <c r="CU52">
        <v>9.9990999999999985</v>
      </c>
      <c r="CV52">
        <v>1.0500000000000001E-2</v>
      </c>
      <c r="CW52" s="2">
        <v>45681</v>
      </c>
      <c r="CX52" t="s">
        <v>1572</v>
      </c>
      <c r="CY52">
        <v>5</v>
      </c>
      <c r="CZ52">
        <v>5.4000000000000003E-3</v>
      </c>
      <c r="DA52">
        <v>6.6735431231652091</v>
      </c>
      <c r="DB52">
        <v>773.31924238837837</v>
      </c>
      <c r="DC52">
        <v>0.42399999999999999</v>
      </c>
      <c r="DD52">
        <v>1.0500000000000001E-2</v>
      </c>
      <c r="DE52">
        <v>10.003100000000018</v>
      </c>
      <c r="DF52">
        <v>1.0500000000000001E-2</v>
      </c>
      <c r="DG52" s="2">
        <v>45681</v>
      </c>
      <c r="DH52" t="s">
        <v>1730</v>
      </c>
      <c r="DI52">
        <v>6</v>
      </c>
      <c r="DJ52">
        <v>5.4999999999999997E-3</v>
      </c>
      <c r="DK52">
        <v>6.6730549363822522</v>
      </c>
      <c r="DL52">
        <v>773.27291346267577</v>
      </c>
      <c r="DM52">
        <v>0.42399999999999999</v>
      </c>
      <c r="DN52">
        <v>1.0500000000000001E-2</v>
      </c>
      <c r="DO52">
        <v>9.9990000000000236</v>
      </c>
      <c r="DP52">
        <v>1.0500000000000001E-2</v>
      </c>
    </row>
    <row r="53" spans="1:120" x14ac:dyDescent="0.3">
      <c r="A53" s="2">
        <v>45681</v>
      </c>
      <c r="B53" t="s">
        <v>239</v>
      </c>
      <c r="C53">
        <v>1</v>
      </c>
      <c r="D53">
        <v>8.0000000000000002E-3</v>
      </c>
      <c r="E53">
        <v>6.7781480891236328</v>
      </c>
      <c r="F53">
        <v>783.24625365783277</v>
      </c>
      <c r="G53">
        <v>0.42399999999999999</v>
      </c>
      <c r="H53">
        <v>1.2200000000000001E-2</v>
      </c>
      <c r="I53">
        <v>10.200320000000001</v>
      </c>
      <c r="J53">
        <v>1.2200000000000001E-2</v>
      </c>
      <c r="K53" s="2">
        <v>45681</v>
      </c>
      <c r="L53" t="s">
        <v>397</v>
      </c>
      <c r="M53">
        <v>1</v>
      </c>
      <c r="N53">
        <v>3.5000000000000001E-3</v>
      </c>
      <c r="O53">
        <v>6.5666914437812389</v>
      </c>
      <c r="P53">
        <v>763.17901801483958</v>
      </c>
      <c r="Q53">
        <v>0.42399999999999999</v>
      </c>
      <c r="R53">
        <v>8.8999999999999999E-3</v>
      </c>
      <c r="S53">
        <v>10.201369999999997</v>
      </c>
      <c r="T53">
        <v>8.8999999999999999E-3</v>
      </c>
      <c r="U53" s="2">
        <v>45681</v>
      </c>
      <c r="V53" t="s">
        <v>650</v>
      </c>
      <c r="W53">
        <v>2</v>
      </c>
      <c r="X53">
        <v>2.3999999999999998E-3</v>
      </c>
      <c r="Y53">
        <v>6.1249468750559251</v>
      </c>
      <c r="Z53">
        <v>721.25745844280732</v>
      </c>
      <c r="AA53">
        <v>0.42399999999999999</v>
      </c>
      <c r="AB53">
        <v>2E-3</v>
      </c>
      <c r="AC53">
        <v>10.199699999999993</v>
      </c>
      <c r="AD53">
        <v>2E-3</v>
      </c>
      <c r="AE53" s="2">
        <v>45681</v>
      </c>
      <c r="AF53" t="s">
        <v>777</v>
      </c>
      <c r="AG53">
        <v>3</v>
      </c>
      <c r="AH53">
        <v>7.4999999999999997E-3</v>
      </c>
      <c r="AI53">
        <v>6.7780248260156446</v>
      </c>
      <c r="AJ53">
        <v>783.23455598888472</v>
      </c>
      <c r="AK53">
        <v>0.42399999999999999</v>
      </c>
      <c r="AL53">
        <v>1.2200000000000001E-2</v>
      </c>
      <c r="AM53">
        <v>10.191100000000006</v>
      </c>
      <c r="AN53">
        <v>1.2200000000000001E-2</v>
      </c>
      <c r="AO53" s="2">
        <v>45681</v>
      </c>
      <c r="AP53" t="s">
        <v>847</v>
      </c>
      <c r="AQ53">
        <v>3</v>
      </c>
      <c r="AR53">
        <v>2.8E-3</v>
      </c>
      <c r="AS53">
        <v>6.0039677432546741</v>
      </c>
      <c r="AT53">
        <v>709.77653883486857</v>
      </c>
      <c r="AU53">
        <v>0.42399999999999999</v>
      </c>
      <c r="AV53">
        <v>1E-4</v>
      </c>
      <c r="AW53">
        <v>10.196100000000001</v>
      </c>
      <c r="AX53">
        <v>1E-4</v>
      </c>
      <c r="AY53" s="2">
        <v>45681</v>
      </c>
      <c r="AZ53" t="s">
        <v>977</v>
      </c>
      <c r="BA53">
        <v>3</v>
      </c>
      <c r="BB53">
        <v>6.3E-3</v>
      </c>
      <c r="BC53">
        <v>6.7777584317329191</v>
      </c>
      <c r="BD53">
        <v>783.20927517145401</v>
      </c>
      <c r="BE53">
        <v>0.42399999999999999</v>
      </c>
      <c r="BF53">
        <v>1.2200000000000001E-2</v>
      </c>
      <c r="BG53">
        <v>10.201499999999982</v>
      </c>
      <c r="BH53">
        <v>1.2200000000000001E-2</v>
      </c>
      <c r="BI53" s="2">
        <v>45681</v>
      </c>
      <c r="BJ53" t="s">
        <v>1051</v>
      </c>
      <c r="BK53">
        <v>4</v>
      </c>
      <c r="BL53">
        <v>4.3E-3</v>
      </c>
      <c r="BM53">
        <v>6.36451898384197</v>
      </c>
      <c r="BN53">
        <v>743.99285156660301</v>
      </c>
      <c r="BO53">
        <v>0.42399999999999999</v>
      </c>
      <c r="BP53">
        <v>5.7000000000000002E-3</v>
      </c>
      <c r="BQ53">
        <v>10.20059999999998</v>
      </c>
      <c r="BR53">
        <v>5.7000000000000002E-3</v>
      </c>
      <c r="BS53" s="2">
        <v>45681</v>
      </c>
      <c r="BT53" t="s">
        <v>1175</v>
      </c>
      <c r="BU53">
        <v>4</v>
      </c>
      <c r="BV53">
        <v>5.0000000000000001E-3</v>
      </c>
      <c r="BW53">
        <v>6.7766770412427659</v>
      </c>
      <c r="BX53">
        <v>783.10665121393856</v>
      </c>
      <c r="BY53">
        <v>0.42399999999999999</v>
      </c>
      <c r="BZ53">
        <v>1.21E-2</v>
      </c>
      <c r="CA53">
        <v>10.200600000000009</v>
      </c>
      <c r="CB53">
        <v>1.21E-2</v>
      </c>
      <c r="CC53" s="2">
        <v>45681</v>
      </c>
      <c r="CD53" t="s">
        <v>1295</v>
      </c>
      <c r="CE53">
        <v>4</v>
      </c>
      <c r="CF53">
        <v>9.4000000000000004E-3</v>
      </c>
      <c r="CG53">
        <v>6.9778866297920983</v>
      </c>
      <c r="CH53">
        <v>802.20144116727022</v>
      </c>
      <c r="CI53">
        <v>0.42399999999999999</v>
      </c>
      <c r="CJ53">
        <v>1.5299999999999999E-2</v>
      </c>
      <c r="CK53">
        <v>10.601399999999984</v>
      </c>
      <c r="CL53">
        <v>1.5299999999999999E-2</v>
      </c>
      <c r="CM53" s="2">
        <v>45681</v>
      </c>
      <c r="CN53" t="s">
        <v>1413</v>
      </c>
      <c r="CO53">
        <v>5</v>
      </c>
      <c r="CP53">
        <v>5.0000000000000001E-3</v>
      </c>
      <c r="CQ53">
        <v>6.7767281305572613</v>
      </c>
      <c r="CR53">
        <v>783.11149958988415</v>
      </c>
      <c r="CS53">
        <v>0.42399999999999999</v>
      </c>
      <c r="CT53">
        <v>1.21E-2</v>
      </c>
      <c r="CU53">
        <v>10.199800000000039</v>
      </c>
      <c r="CV53">
        <v>1.21E-2</v>
      </c>
      <c r="CW53" s="2">
        <v>45681</v>
      </c>
      <c r="CX53" t="s">
        <v>1573</v>
      </c>
      <c r="CY53">
        <v>5</v>
      </c>
      <c r="CZ53">
        <v>5.5999999999999999E-3</v>
      </c>
      <c r="DA53">
        <v>6.7781201116418854</v>
      </c>
      <c r="DB53">
        <v>783.2435985948149</v>
      </c>
      <c r="DC53">
        <v>0.42399999999999999</v>
      </c>
      <c r="DD53">
        <v>1.2200000000000001E-2</v>
      </c>
      <c r="DE53">
        <v>10.201000000000022</v>
      </c>
      <c r="DF53">
        <v>1.2200000000000001E-2</v>
      </c>
      <c r="DG53" s="2">
        <v>45681</v>
      </c>
      <c r="DH53" t="s">
        <v>1731</v>
      </c>
      <c r="DI53">
        <v>6</v>
      </c>
      <c r="DJ53">
        <v>5.4999999999999997E-3</v>
      </c>
      <c r="DK53">
        <v>6.7789720056875566</v>
      </c>
      <c r="DL53">
        <v>783.32444333974911</v>
      </c>
      <c r="DM53">
        <v>0.42399999999999999</v>
      </c>
      <c r="DN53">
        <v>1.2200000000000001E-2</v>
      </c>
      <c r="DO53">
        <v>10.199400000000026</v>
      </c>
      <c r="DP53">
        <v>1.2200000000000001E-2</v>
      </c>
    </row>
    <row r="54" spans="1:120" x14ac:dyDescent="0.3">
      <c r="A54" s="2">
        <v>45681</v>
      </c>
      <c r="B54" t="s">
        <v>240</v>
      </c>
      <c r="C54">
        <v>1</v>
      </c>
      <c r="D54">
        <v>9.5999999999999992E-3</v>
      </c>
      <c r="E54">
        <v>6.8810727842942114</v>
      </c>
      <c r="F54">
        <v>793.01380722952058</v>
      </c>
      <c r="G54">
        <v>0.42399999999999999</v>
      </c>
      <c r="H54">
        <v>1.38E-2</v>
      </c>
      <c r="I54">
        <v>10.400020000000001</v>
      </c>
      <c r="J54">
        <v>1.38E-2</v>
      </c>
      <c r="K54" s="2">
        <v>45681</v>
      </c>
      <c r="L54" t="s">
        <v>398</v>
      </c>
      <c r="M54">
        <v>1</v>
      </c>
      <c r="N54">
        <v>5.4999999999999997E-3</v>
      </c>
      <c r="O54">
        <v>6.6718677180263608</v>
      </c>
      <c r="P54">
        <v>773.16024644070171</v>
      </c>
      <c r="Q54">
        <v>0.42399999999999999</v>
      </c>
      <c r="R54">
        <v>1.0500000000000001E-2</v>
      </c>
      <c r="S54">
        <v>10.400330000000004</v>
      </c>
      <c r="T54">
        <v>1.0500000000000001E-2</v>
      </c>
      <c r="U54" s="2">
        <v>45681</v>
      </c>
      <c r="V54" t="s">
        <v>651</v>
      </c>
      <c r="W54">
        <v>2</v>
      </c>
      <c r="X54">
        <v>2.5000000000000001E-3</v>
      </c>
      <c r="Y54">
        <v>6.1944643080250863</v>
      </c>
      <c r="Z54">
        <v>727.85466283158075</v>
      </c>
      <c r="AA54">
        <v>0.42399999999999999</v>
      </c>
      <c r="AB54">
        <v>3.0999999999999999E-3</v>
      </c>
      <c r="AC54">
        <v>10.401299999999992</v>
      </c>
      <c r="AD54">
        <v>3.0999999999999999E-3</v>
      </c>
      <c r="AE54" s="2">
        <v>45681</v>
      </c>
      <c r="AF54" t="s">
        <v>778</v>
      </c>
      <c r="AG54">
        <v>3</v>
      </c>
      <c r="AH54">
        <v>8.6999999999999994E-3</v>
      </c>
      <c r="AI54">
        <v>6.8801239827392973</v>
      </c>
      <c r="AJ54">
        <v>792.92376596195936</v>
      </c>
      <c r="AK54">
        <v>0.42399999999999999</v>
      </c>
      <c r="AL54">
        <v>1.37E-2</v>
      </c>
      <c r="AM54">
        <v>10.389199999999988</v>
      </c>
      <c r="AN54">
        <v>1.37E-2</v>
      </c>
      <c r="AO54" s="2">
        <v>45681</v>
      </c>
      <c r="AP54" t="s">
        <v>848</v>
      </c>
      <c r="AQ54">
        <v>3</v>
      </c>
      <c r="AR54">
        <v>2.8E-3</v>
      </c>
      <c r="AS54">
        <v>6.028747658339662</v>
      </c>
      <c r="AT54">
        <v>712.12815277643392</v>
      </c>
      <c r="AU54">
        <v>0.42399999999999999</v>
      </c>
      <c r="AV54">
        <v>5.0000000000000001E-4</v>
      </c>
      <c r="AW54">
        <v>10.396699999999981</v>
      </c>
      <c r="AX54">
        <v>5.0000000000000001E-4</v>
      </c>
      <c r="AY54" s="2">
        <v>45681</v>
      </c>
      <c r="AZ54" t="s">
        <v>978</v>
      </c>
      <c r="BA54">
        <v>3</v>
      </c>
      <c r="BB54">
        <v>8.3999999999999995E-3</v>
      </c>
      <c r="BC54">
        <v>6.8797987951978294</v>
      </c>
      <c r="BD54">
        <v>792.89290566427394</v>
      </c>
      <c r="BE54">
        <v>0.42399999999999999</v>
      </c>
      <c r="BF54">
        <v>1.37E-2</v>
      </c>
      <c r="BG54">
        <v>10.399399999999986</v>
      </c>
      <c r="BH54">
        <v>1.37E-2</v>
      </c>
      <c r="BI54" s="2">
        <v>45681</v>
      </c>
      <c r="BJ54" t="s">
        <v>1052</v>
      </c>
      <c r="BK54">
        <v>4</v>
      </c>
      <c r="BL54">
        <v>4.4000000000000003E-3</v>
      </c>
      <c r="BM54">
        <v>6.4619336153500786</v>
      </c>
      <c r="BN54">
        <v>753.23750009672244</v>
      </c>
      <c r="BO54">
        <v>0.42399999999999999</v>
      </c>
      <c r="BP54">
        <v>7.1999999999999998E-3</v>
      </c>
      <c r="BQ54">
        <v>10.399499999999989</v>
      </c>
      <c r="BR54">
        <v>7.1999999999999998E-3</v>
      </c>
      <c r="BS54" s="2">
        <v>45681</v>
      </c>
      <c r="BT54" t="s">
        <v>1176</v>
      </c>
      <c r="BU54">
        <v>4</v>
      </c>
      <c r="BV54">
        <v>7.1999999999999998E-3</v>
      </c>
      <c r="BW54">
        <v>6.8801211444440487</v>
      </c>
      <c r="BX54">
        <v>792.92349660774028</v>
      </c>
      <c r="BY54">
        <v>0.42399999999999999</v>
      </c>
      <c r="BZ54">
        <v>1.37E-2</v>
      </c>
      <c r="CA54">
        <v>10.401299999999992</v>
      </c>
      <c r="CB54">
        <v>1.37E-2</v>
      </c>
      <c r="CC54" s="2">
        <v>45681</v>
      </c>
      <c r="CD54" t="s">
        <v>1296</v>
      </c>
      <c r="CE54">
        <v>4</v>
      </c>
      <c r="CF54">
        <v>1.0800000000000001E-2</v>
      </c>
      <c r="CG54">
        <v>7.0690822725785027</v>
      </c>
      <c r="CH54">
        <v>810.85590766769997</v>
      </c>
      <c r="CI54">
        <v>0.42399999999999999</v>
      </c>
      <c r="CJ54">
        <v>1.67E-2</v>
      </c>
      <c r="CK54">
        <v>10.803100000000001</v>
      </c>
      <c r="CL54">
        <v>1.67E-2</v>
      </c>
      <c r="CM54" s="2">
        <v>45681</v>
      </c>
      <c r="CN54" t="s">
        <v>1414</v>
      </c>
      <c r="CO54">
        <v>5</v>
      </c>
      <c r="CP54">
        <v>6.7000000000000002E-3</v>
      </c>
      <c r="CQ54">
        <v>6.880238730961536</v>
      </c>
      <c r="CR54">
        <v>792.93465556824981</v>
      </c>
      <c r="CS54">
        <v>0.42399999999999999</v>
      </c>
      <c r="CT54">
        <v>1.37E-2</v>
      </c>
      <c r="CU54">
        <v>10.400600000000054</v>
      </c>
      <c r="CV54">
        <v>1.37E-2</v>
      </c>
      <c r="CW54" s="2">
        <v>45681</v>
      </c>
      <c r="CX54" t="s">
        <v>1574</v>
      </c>
      <c r="CY54">
        <v>5</v>
      </c>
      <c r="CZ54">
        <v>7.0000000000000001E-3</v>
      </c>
      <c r="DA54">
        <v>6.8812061841709493</v>
      </c>
      <c r="DB54">
        <v>793.02646687782317</v>
      </c>
      <c r="DC54">
        <v>0.42399999999999999</v>
      </c>
      <c r="DD54">
        <v>1.38E-2</v>
      </c>
      <c r="DE54">
        <v>10.40100000000001</v>
      </c>
      <c r="DF54">
        <v>1.38E-2</v>
      </c>
      <c r="DG54" s="2">
        <v>45681</v>
      </c>
      <c r="DH54" t="s">
        <v>1732</v>
      </c>
      <c r="DI54">
        <v>6</v>
      </c>
      <c r="DJ54">
        <v>6.0000000000000001E-3</v>
      </c>
      <c r="DK54">
        <v>6.8816440925809097</v>
      </c>
      <c r="DL54">
        <v>793.06802438592842</v>
      </c>
      <c r="DM54">
        <v>0.42399999999999999</v>
      </c>
      <c r="DN54">
        <v>1.38E-2</v>
      </c>
      <c r="DO54">
        <v>10.398700000000019</v>
      </c>
      <c r="DP54">
        <v>1.38E-2</v>
      </c>
    </row>
    <row r="55" spans="1:120" x14ac:dyDescent="0.3">
      <c r="A55" s="2">
        <v>45681</v>
      </c>
      <c r="B55" t="s">
        <v>241</v>
      </c>
      <c r="C55">
        <v>1</v>
      </c>
      <c r="D55">
        <v>1.11E-2</v>
      </c>
      <c r="E55">
        <v>6.978721088595524</v>
      </c>
      <c r="F55">
        <v>802.28063130771523</v>
      </c>
      <c r="G55">
        <v>0.42399999999999999</v>
      </c>
      <c r="H55">
        <v>1.5299999999999999E-2</v>
      </c>
      <c r="I55">
        <v>10.599430000000002</v>
      </c>
      <c r="J55">
        <v>1.5299999999999999E-2</v>
      </c>
      <c r="K55" s="2">
        <v>45681</v>
      </c>
      <c r="L55" t="s">
        <v>399</v>
      </c>
      <c r="M55">
        <v>1</v>
      </c>
      <c r="N55">
        <v>7.6E-3</v>
      </c>
      <c r="O55">
        <v>6.7784132669941091</v>
      </c>
      <c r="P55">
        <v>783.271419037741</v>
      </c>
      <c r="Q55">
        <v>0.42399999999999999</v>
      </c>
      <c r="R55">
        <v>1.2200000000000001E-2</v>
      </c>
      <c r="S55">
        <v>10.60192</v>
      </c>
      <c r="T55">
        <v>1.2200000000000001E-2</v>
      </c>
      <c r="U55" s="2">
        <v>45681</v>
      </c>
      <c r="V55" t="s">
        <v>652</v>
      </c>
      <c r="W55">
        <v>2</v>
      </c>
      <c r="X55">
        <v>2.3999999999999998E-3</v>
      </c>
      <c r="Y55">
        <v>6.2743268811617261</v>
      </c>
      <c r="Z55">
        <v>735.43362102224785</v>
      </c>
      <c r="AA55">
        <v>0.42399999999999999</v>
      </c>
      <c r="AB55">
        <v>4.3E-3</v>
      </c>
      <c r="AC55">
        <v>10.599299999999999</v>
      </c>
      <c r="AD55">
        <v>4.3E-3</v>
      </c>
      <c r="AE55" s="2">
        <v>45681</v>
      </c>
      <c r="AF55" t="s">
        <v>779</v>
      </c>
      <c r="AG55">
        <v>3</v>
      </c>
      <c r="AH55">
        <v>1.04E-2</v>
      </c>
      <c r="AI55">
        <v>6.9788407024667611</v>
      </c>
      <c r="AJ55">
        <v>802.29198266409571</v>
      </c>
      <c r="AK55">
        <v>0.42399999999999999</v>
      </c>
      <c r="AL55">
        <v>1.5299999999999999E-2</v>
      </c>
      <c r="AM55">
        <v>10.590699999999998</v>
      </c>
      <c r="AN55">
        <v>1.5299999999999999E-2</v>
      </c>
      <c r="AO55" s="2">
        <v>45681</v>
      </c>
      <c r="AP55" t="s">
        <v>849</v>
      </c>
      <c r="AQ55">
        <v>3</v>
      </c>
      <c r="AR55">
        <v>2.8999999999999998E-3</v>
      </c>
      <c r="AS55">
        <v>6.069525186691398</v>
      </c>
      <c r="AT55">
        <v>715.99794021701371</v>
      </c>
      <c r="AU55">
        <v>0.42399999999999999</v>
      </c>
      <c r="AV55">
        <v>1.1000000000000001E-3</v>
      </c>
      <c r="AW55">
        <v>10.597699999999975</v>
      </c>
      <c r="AX55">
        <v>1.1000000000000001E-3</v>
      </c>
      <c r="AY55" s="2">
        <v>45681</v>
      </c>
      <c r="AZ55" t="s">
        <v>979</v>
      </c>
      <c r="BA55">
        <v>3</v>
      </c>
      <c r="BB55">
        <v>1.0200000000000001E-2</v>
      </c>
      <c r="BC55">
        <v>6.9787198721832739</v>
      </c>
      <c r="BD55">
        <v>802.28051587019274</v>
      </c>
      <c r="BE55">
        <v>0.42399999999999999</v>
      </c>
      <c r="BF55">
        <v>1.5299999999999999E-2</v>
      </c>
      <c r="BG55">
        <v>10.601299999999981</v>
      </c>
      <c r="BH55">
        <v>1.5299999999999999E-2</v>
      </c>
      <c r="BI55" s="2">
        <v>45681</v>
      </c>
      <c r="BJ55" t="s">
        <v>1053</v>
      </c>
      <c r="BK55">
        <v>4</v>
      </c>
      <c r="BL55">
        <v>4.4000000000000003E-3</v>
      </c>
      <c r="BM55">
        <v>6.5650034690491443</v>
      </c>
      <c r="BN55">
        <v>763.01882921276388</v>
      </c>
      <c r="BO55">
        <v>0.42399999999999999</v>
      </c>
      <c r="BP55">
        <v>8.8000000000000005E-3</v>
      </c>
      <c r="BQ55">
        <v>10.599499999999978</v>
      </c>
      <c r="BR55">
        <v>8.8000000000000005E-3</v>
      </c>
      <c r="BS55" s="2">
        <v>45681</v>
      </c>
      <c r="BT55" t="s">
        <v>1177</v>
      </c>
      <c r="BU55">
        <v>4</v>
      </c>
      <c r="BV55">
        <v>9.2999999999999992E-3</v>
      </c>
      <c r="BW55">
        <v>6.9774223657833909</v>
      </c>
      <c r="BX55">
        <v>802.15738251284381</v>
      </c>
      <c r="BY55">
        <v>0.42399999999999999</v>
      </c>
      <c r="BZ55">
        <v>1.5299999999999999E-2</v>
      </c>
      <c r="CA55">
        <v>10.599799999999988</v>
      </c>
      <c r="CB55">
        <v>1.5299999999999999E-2</v>
      </c>
      <c r="CC55" s="2">
        <v>45681</v>
      </c>
      <c r="CD55" t="s">
        <v>1297</v>
      </c>
      <c r="CE55">
        <v>4</v>
      </c>
      <c r="CF55">
        <v>1.21E-2</v>
      </c>
      <c r="CG55">
        <v>7.1489859604491874</v>
      </c>
      <c r="CH55">
        <v>818.43876764662787</v>
      </c>
      <c r="CI55">
        <v>0.42399999999999999</v>
      </c>
      <c r="CJ55">
        <v>1.7899999999999999E-2</v>
      </c>
      <c r="CK55">
        <v>11.001299999999986</v>
      </c>
      <c r="CL55">
        <v>1.7899999999999999E-2</v>
      </c>
      <c r="CM55" s="2">
        <v>45681</v>
      </c>
      <c r="CN55" t="s">
        <v>1415</v>
      </c>
      <c r="CO55">
        <v>5</v>
      </c>
      <c r="CP55">
        <v>9.1000000000000004E-3</v>
      </c>
      <c r="CQ55">
        <v>6.9785714698887862</v>
      </c>
      <c r="CR55">
        <v>802.2664324924458</v>
      </c>
      <c r="CS55">
        <v>0.42399999999999999</v>
      </c>
      <c r="CT55">
        <v>1.5299999999999999E-2</v>
      </c>
      <c r="CU55">
        <v>10.601300000000037</v>
      </c>
      <c r="CV55">
        <v>1.5299999999999999E-2</v>
      </c>
      <c r="CW55" s="2">
        <v>45681</v>
      </c>
      <c r="CX55" t="s">
        <v>1575</v>
      </c>
      <c r="CY55">
        <v>5</v>
      </c>
      <c r="CZ55">
        <v>9.2999999999999992E-3</v>
      </c>
      <c r="DA55">
        <v>6.9788897644275067</v>
      </c>
      <c r="DB55">
        <v>802.29663864417046</v>
      </c>
      <c r="DC55">
        <v>0.42399999999999999</v>
      </c>
      <c r="DD55">
        <v>1.5299999999999999E-2</v>
      </c>
      <c r="DE55">
        <v>10.600500000000011</v>
      </c>
      <c r="DF55">
        <v>1.5299999999999999E-2</v>
      </c>
      <c r="DG55" s="2">
        <v>45681</v>
      </c>
      <c r="DH55" t="s">
        <v>1733</v>
      </c>
      <c r="DI55">
        <v>6</v>
      </c>
      <c r="DJ55">
        <v>7.7999999999999996E-3</v>
      </c>
      <c r="DK55">
        <v>6.9794375554107084</v>
      </c>
      <c r="DL55">
        <v>802.34862400847624</v>
      </c>
      <c r="DM55">
        <v>0.42399999999999999</v>
      </c>
      <c r="DN55">
        <v>1.5299999999999999E-2</v>
      </c>
      <c r="DO55">
        <v>10.598500000000001</v>
      </c>
      <c r="DP55">
        <v>1.5299999999999999E-2</v>
      </c>
    </row>
    <row r="56" spans="1:120" x14ac:dyDescent="0.3">
      <c r="A56" s="2">
        <v>45681</v>
      </c>
      <c r="B56" t="s">
        <v>242</v>
      </c>
      <c r="C56">
        <v>1</v>
      </c>
      <c r="D56">
        <v>1.23E-2</v>
      </c>
      <c r="E56">
        <v>7.069788197154188</v>
      </c>
      <c r="F56">
        <v>810.92289990993254</v>
      </c>
      <c r="G56">
        <v>0.42399999999999999</v>
      </c>
      <c r="H56">
        <v>1.67E-2</v>
      </c>
      <c r="I56">
        <v>10.80104</v>
      </c>
      <c r="J56">
        <v>1.67E-2</v>
      </c>
      <c r="K56" s="2">
        <v>45681</v>
      </c>
      <c r="L56" t="s">
        <v>400</v>
      </c>
      <c r="M56">
        <v>1</v>
      </c>
      <c r="N56">
        <v>9.1000000000000004E-3</v>
      </c>
      <c r="O56">
        <v>6.881878049203638</v>
      </c>
      <c r="P56">
        <v>793.09022686942524</v>
      </c>
      <c r="Q56">
        <v>0.42399999999999999</v>
      </c>
      <c r="R56">
        <v>1.38E-2</v>
      </c>
      <c r="S56">
        <v>10.802700000000002</v>
      </c>
      <c r="T56">
        <v>1.38E-2</v>
      </c>
      <c r="U56" s="2">
        <v>45681</v>
      </c>
      <c r="V56" t="s">
        <v>653</v>
      </c>
      <c r="W56">
        <v>2</v>
      </c>
      <c r="X56">
        <v>2.5000000000000001E-3</v>
      </c>
      <c r="Y56">
        <v>6.3644760039424746</v>
      </c>
      <c r="Z56">
        <v>743.9887727741409</v>
      </c>
      <c r="AA56">
        <v>0.42399999999999999</v>
      </c>
      <c r="AB56">
        <v>5.7000000000000002E-3</v>
      </c>
      <c r="AC56">
        <v>10.798699999999997</v>
      </c>
      <c r="AD56">
        <v>5.7000000000000002E-3</v>
      </c>
      <c r="AE56" s="2">
        <v>45681</v>
      </c>
      <c r="AF56" t="s">
        <v>780</v>
      </c>
      <c r="AG56">
        <v>3</v>
      </c>
      <c r="AH56">
        <v>1.17E-2</v>
      </c>
      <c r="AI56">
        <v>7.0692602742377346</v>
      </c>
      <c r="AJ56">
        <v>810.87280002516104</v>
      </c>
      <c r="AK56">
        <v>0.42399999999999999</v>
      </c>
      <c r="AL56">
        <v>1.67E-2</v>
      </c>
      <c r="AM56">
        <v>10.79079999999999</v>
      </c>
      <c r="AN56">
        <v>1.67E-2</v>
      </c>
      <c r="AO56" s="2">
        <v>45681</v>
      </c>
      <c r="AP56" t="s">
        <v>850</v>
      </c>
      <c r="AQ56">
        <v>3</v>
      </c>
      <c r="AR56">
        <v>2.8999999999999998E-3</v>
      </c>
      <c r="AS56">
        <v>6.1252098228372764</v>
      </c>
      <c r="AT56">
        <v>721.28241218725759</v>
      </c>
      <c r="AU56">
        <v>0.42399999999999999</v>
      </c>
      <c r="AV56">
        <v>2E-3</v>
      </c>
      <c r="AW56">
        <v>10.798399999999987</v>
      </c>
      <c r="AX56">
        <v>2E-3</v>
      </c>
      <c r="AY56" s="2">
        <v>45681</v>
      </c>
      <c r="AZ56" t="s">
        <v>980</v>
      </c>
      <c r="BA56">
        <v>3</v>
      </c>
      <c r="BB56">
        <v>1.1299999999999999E-2</v>
      </c>
      <c r="BC56">
        <v>7.0682368660648276</v>
      </c>
      <c r="BD56">
        <v>810.77567858955217</v>
      </c>
      <c r="BE56">
        <v>0.42399999999999999</v>
      </c>
      <c r="BF56">
        <v>1.67E-2</v>
      </c>
      <c r="BG56">
        <v>10.799299999999988</v>
      </c>
      <c r="BH56">
        <v>1.67E-2</v>
      </c>
      <c r="BI56" s="2">
        <v>45681</v>
      </c>
      <c r="BJ56" t="s">
        <v>1054</v>
      </c>
      <c r="BK56">
        <v>4</v>
      </c>
      <c r="BL56">
        <v>4.5999999999999999E-3</v>
      </c>
      <c r="BM56">
        <v>6.6705507490304834</v>
      </c>
      <c r="BN56">
        <v>773.03526608299285</v>
      </c>
      <c r="BO56">
        <v>0.42399999999999999</v>
      </c>
      <c r="BP56">
        <v>1.0500000000000001E-2</v>
      </c>
      <c r="BQ56">
        <v>10.799199999999985</v>
      </c>
      <c r="BR56">
        <v>1.0500000000000001E-2</v>
      </c>
      <c r="BS56" s="2">
        <v>45681</v>
      </c>
      <c r="BT56" t="s">
        <v>1178</v>
      </c>
      <c r="BU56">
        <v>4</v>
      </c>
      <c r="BV56">
        <v>1.09E-2</v>
      </c>
      <c r="BW56">
        <v>7.0677762512928712</v>
      </c>
      <c r="BX56">
        <v>810.73196624769355</v>
      </c>
      <c r="BY56">
        <v>0.42399999999999999</v>
      </c>
      <c r="BZ56">
        <v>1.67E-2</v>
      </c>
      <c r="CA56">
        <v>10.799499999999995</v>
      </c>
      <c r="CB56">
        <v>1.67E-2</v>
      </c>
      <c r="CC56" s="2">
        <v>45681</v>
      </c>
      <c r="CD56" t="s">
        <v>1298</v>
      </c>
      <c r="CE56">
        <v>4</v>
      </c>
      <c r="CF56">
        <v>1.35E-2</v>
      </c>
      <c r="CG56">
        <v>7.218033168989618</v>
      </c>
      <c r="CH56">
        <v>824.99134773711478</v>
      </c>
      <c r="CI56">
        <v>0.42399999999999999</v>
      </c>
      <c r="CJ56">
        <v>1.9E-2</v>
      </c>
      <c r="CK56">
        <v>11.201599999999985</v>
      </c>
      <c r="CL56">
        <v>1.9E-2</v>
      </c>
      <c r="CM56" s="2">
        <v>45681</v>
      </c>
      <c r="CN56" t="s">
        <v>1416</v>
      </c>
      <c r="CO56">
        <v>5</v>
      </c>
      <c r="CP56">
        <v>1.0999999999999999E-2</v>
      </c>
      <c r="CQ56">
        <v>7.0686026006812952</v>
      </c>
      <c r="CR56">
        <v>810.81038680465497</v>
      </c>
      <c r="CS56">
        <v>0.42399999999999999</v>
      </c>
      <c r="CT56">
        <v>1.67E-2</v>
      </c>
      <c r="CU56">
        <v>10.8005</v>
      </c>
      <c r="CV56">
        <v>1.67E-2</v>
      </c>
      <c r="CW56" s="2">
        <v>45681</v>
      </c>
      <c r="CX56" t="s">
        <v>1576</v>
      </c>
      <c r="CY56">
        <v>5</v>
      </c>
      <c r="CZ56">
        <v>1.09E-2</v>
      </c>
      <c r="DA56">
        <v>7.0688252041230264</v>
      </c>
      <c r="DB56">
        <v>810.83151187127521</v>
      </c>
      <c r="DC56">
        <v>0.42399999999999999</v>
      </c>
      <c r="DD56">
        <v>1.67E-2</v>
      </c>
      <c r="DE56">
        <v>10.799500000000023</v>
      </c>
      <c r="DF56">
        <v>1.67E-2</v>
      </c>
      <c r="DG56" s="2">
        <v>45681</v>
      </c>
      <c r="DH56" t="s">
        <v>1734</v>
      </c>
      <c r="DI56">
        <v>6</v>
      </c>
      <c r="DJ56">
        <v>1.01E-2</v>
      </c>
      <c r="DK56">
        <v>7.0703307170176366</v>
      </c>
      <c r="DL56">
        <v>810.9743850449737</v>
      </c>
      <c r="DM56">
        <v>0.42399999999999999</v>
      </c>
      <c r="DN56">
        <v>1.67E-2</v>
      </c>
      <c r="DO56">
        <v>10.799800000000005</v>
      </c>
      <c r="DP56">
        <v>1.67E-2</v>
      </c>
    </row>
    <row r="57" spans="1:120" x14ac:dyDescent="0.3">
      <c r="A57" s="2">
        <v>45681</v>
      </c>
      <c r="B57" t="s">
        <v>243</v>
      </c>
      <c r="C57">
        <v>1</v>
      </c>
      <c r="D57">
        <v>1.37E-2</v>
      </c>
      <c r="E57">
        <v>7.150443627795303</v>
      </c>
      <c r="F57">
        <v>818.57710027777432</v>
      </c>
      <c r="G57">
        <v>0.42399999999999999</v>
      </c>
      <c r="H57">
        <v>1.7899999999999999E-2</v>
      </c>
      <c r="I57">
        <v>11.001439999999999</v>
      </c>
      <c r="J57">
        <v>1.7899999999999999E-2</v>
      </c>
      <c r="K57" s="2">
        <v>45681</v>
      </c>
      <c r="L57" t="s">
        <v>401</v>
      </c>
      <c r="M57">
        <v>1</v>
      </c>
      <c r="N57">
        <v>1.06E-2</v>
      </c>
      <c r="O57">
        <v>6.9792530662194743</v>
      </c>
      <c r="P57">
        <v>802.33111598422818</v>
      </c>
      <c r="Q57">
        <v>0.42399999999999999</v>
      </c>
      <c r="R57">
        <v>1.5299999999999999E-2</v>
      </c>
      <c r="S57">
        <v>11.001640000000002</v>
      </c>
      <c r="T57">
        <v>1.5299999999999999E-2</v>
      </c>
      <c r="U57" s="2">
        <v>45681</v>
      </c>
      <c r="V57" t="s">
        <v>654</v>
      </c>
      <c r="W57">
        <v>2</v>
      </c>
      <c r="X57">
        <v>2.8E-3</v>
      </c>
      <c r="Y57">
        <v>6.4631869254382144</v>
      </c>
      <c r="Z57">
        <v>753.35643922408656</v>
      </c>
      <c r="AA57">
        <v>0.42399999999999999</v>
      </c>
      <c r="AB57">
        <v>7.3000000000000001E-3</v>
      </c>
      <c r="AC57">
        <v>11.000199999999992</v>
      </c>
      <c r="AD57">
        <v>7.3000000000000001E-3</v>
      </c>
      <c r="AE57" s="2">
        <v>45681</v>
      </c>
      <c r="AF57" t="s">
        <v>781</v>
      </c>
      <c r="AG57">
        <v>3</v>
      </c>
      <c r="AH57">
        <v>1.2800000000000001E-2</v>
      </c>
      <c r="AI57">
        <v>7.1490719202481783</v>
      </c>
      <c r="AJ57">
        <v>818.4469252315522</v>
      </c>
      <c r="AK57">
        <v>0.42399999999999999</v>
      </c>
      <c r="AL57">
        <v>1.7899999999999999E-2</v>
      </c>
      <c r="AM57">
        <v>10.988799999999998</v>
      </c>
      <c r="AN57">
        <v>1.7899999999999999E-2</v>
      </c>
      <c r="AO57" s="2">
        <v>45681</v>
      </c>
      <c r="AP57" t="s">
        <v>851</v>
      </c>
      <c r="AQ57">
        <v>3</v>
      </c>
      <c r="AR57">
        <v>2.8999999999999998E-3</v>
      </c>
      <c r="AS57">
        <v>6.1937661684878007</v>
      </c>
      <c r="AT57">
        <v>727.78840938949236</v>
      </c>
      <c r="AU57">
        <v>0.42399999999999999</v>
      </c>
      <c r="AV57">
        <v>3.0999999999999999E-3</v>
      </c>
      <c r="AW57">
        <v>10.997399999999999</v>
      </c>
      <c r="AX57">
        <v>3.0999999999999999E-3</v>
      </c>
      <c r="AY57" s="2">
        <v>45681</v>
      </c>
      <c r="AZ57" t="s">
        <v>981</v>
      </c>
      <c r="BA57">
        <v>3</v>
      </c>
      <c r="BB57">
        <v>1.23E-2</v>
      </c>
      <c r="BC57">
        <v>7.1489908260981876</v>
      </c>
      <c r="BD57">
        <v>818.43922939671802</v>
      </c>
      <c r="BE57">
        <v>0.42399999999999999</v>
      </c>
      <c r="BF57">
        <v>1.7899999999999999E-2</v>
      </c>
      <c r="BG57">
        <v>10.999499999999983</v>
      </c>
      <c r="BH57">
        <v>1.7899999999999999E-2</v>
      </c>
      <c r="BI57" s="2">
        <v>45681</v>
      </c>
      <c r="BJ57" t="s">
        <v>1055</v>
      </c>
      <c r="BK57">
        <v>4</v>
      </c>
      <c r="BL57">
        <v>6.1999999999999998E-3</v>
      </c>
      <c r="BM57">
        <v>6.7771915836244698</v>
      </c>
      <c r="BN57">
        <v>783.1554812859622</v>
      </c>
      <c r="BO57">
        <v>0.42399999999999999</v>
      </c>
      <c r="BP57">
        <v>1.21E-2</v>
      </c>
      <c r="BQ57">
        <v>11.000900000000001</v>
      </c>
      <c r="BR57">
        <v>1.21E-2</v>
      </c>
      <c r="BS57" s="2">
        <v>45681</v>
      </c>
      <c r="BT57" t="s">
        <v>1179</v>
      </c>
      <c r="BU57">
        <v>4</v>
      </c>
      <c r="BV57">
        <v>1.23E-2</v>
      </c>
      <c r="BW57">
        <v>7.1488874310569468</v>
      </c>
      <c r="BX57">
        <v>818.42941720730425</v>
      </c>
      <c r="BY57">
        <v>0.42399999999999999</v>
      </c>
      <c r="BZ57">
        <v>1.7899999999999999E-2</v>
      </c>
      <c r="CA57">
        <v>11.000400000000013</v>
      </c>
      <c r="CB57">
        <v>1.7899999999999999E-2</v>
      </c>
      <c r="CC57" s="2">
        <v>45681</v>
      </c>
      <c r="CD57" t="s">
        <v>1299</v>
      </c>
      <c r="CE57">
        <v>4</v>
      </c>
      <c r="CF57">
        <v>1.44E-2</v>
      </c>
      <c r="CG57">
        <v>7.2734618314510424</v>
      </c>
      <c r="CH57">
        <v>830.25152780470398</v>
      </c>
      <c r="CI57">
        <v>0.42399999999999999</v>
      </c>
      <c r="CJ57">
        <v>1.9900000000000001E-2</v>
      </c>
      <c r="CK57">
        <v>11.401499999999999</v>
      </c>
      <c r="CL57">
        <v>1.9900000000000001E-2</v>
      </c>
      <c r="CM57" s="2">
        <v>45681</v>
      </c>
      <c r="CN57" t="s">
        <v>1417</v>
      </c>
      <c r="CO57">
        <v>5</v>
      </c>
      <c r="CP57">
        <v>1.2200000000000001E-2</v>
      </c>
      <c r="CQ57">
        <v>7.1495438882011353</v>
      </c>
      <c r="CR57">
        <v>818.49171499028773</v>
      </c>
      <c r="CS57">
        <v>0.42399999999999999</v>
      </c>
      <c r="CT57">
        <v>1.7899999999999999E-2</v>
      </c>
      <c r="CU57">
        <v>11.001300000000015</v>
      </c>
      <c r="CV57">
        <v>1.7899999999999999E-2</v>
      </c>
      <c r="CW57" s="2">
        <v>45681</v>
      </c>
      <c r="CX57" t="s">
        <v>1577</v>
      </c>
      <c r="CY57">
        <v>5</v>
      </c>
      <c r="CZ57">
        <v>1.23E-2</v>
      </c>
      <c r="DA57">
        <v>7.1498183918988598</v>
      </c>
      <c r="DB57">
        <v>818.51776539120181</v>
      </c>
      <c r="DC57">
        <v>0.42399999999999999</v>
      </c>
      <c r="DD57">
        <v>1.7899999999999999E-2</v>
      </c>
      <c r="DE57">
        <v>11.000499999999988</v>
      </c>
      <c r="DF57">
        <v>1.7899999999999999E-2</v>
      </c>
      <c r="DG57" s="2">
        <v>45681</v>
      </c>
      <c r="DH57" t="s">
        <v>1735</v>
      </c>
      <c r="DI57">
        <v>6</v>
      </c>
      <c r="DJ57">
        <v>1.2200000000000001E-2</v>
      </c>
      <c r="DK57">
        <v>7.1503402327540622</v>
      </c>
      <c r="DL57">
        <v>818.56728808836056</v>
      </c>
      <c r="DM57">
        <v>0.42399999999999999</v>
      </c>
      <c r="DN57">
        <v>1.7899999999999999E-2</v>
      </c>
      <c r="DO57">
        <v>10.998699999999985</v>
      </c>
      <c r="DP57">
        <v>1.7899999999999999E-2</v>
      </c>
    </row>
    <row r="58" spans="1:120" x14ac:dyDescent="0.3">
      <c r="A58" s="2">
        <v>45681</v>
      </c>
      <c r="B58" t="s">
        <v>244</v>
      </c>
      <c r="C58">
        <v>1</v>
      </c>
      <c r="D58">
        <v>1.49E-2</v>
      </c>
      <c r="E58">
        <v>7.2186369149363134</v>
      </c>
      <c r="F58">
        <v>825.04864322745607</v>
      </c>
      <c r="G58">
        <v>0.42399999999999999</v>
      </c>
      <c r="H58">
        <v>1.9E-2</v>
      </c>
      <c r="I58">
        <v>11.199850000000001</v>
      </c>
      <c r="J58">
        <v>1.9E-2</v>
      </c>
      <c r="K58" s="2">
        <v>45681</v>
      </c>
      <c r="L58" t="s">
        <v>402</v>
      </c>
      <c r="M58">
        <v>1</v>
      </c>
      <c r="N58">
        <v>1.2500000000000001E-2</v>
      </c>
      <c r="O58">
        <v>7.0707167251716028</v>
      </c>
      <c r="P58">
        <v>811.01101721878513</v>
      </c>
      <c r="Q58">
        <v>0.42399999999999999</v>
      </c>
      <c r="R58">
        <v>1.67E-2</v>
      </c>
      <c r="S58">
        <v>11.20429</v>
      </c>
      <c r="T58">
        <v>1.67E-2</v>
      </c>
      <c r="U58" s="2">
        <v>45681</v>
      </c>
      <c r="V58" t="s">
        <v>655</v>
      </c>
      <c r="W58">
        <v>2</v>
      </c>
      <c r="X58">
        <v>3.8999999999999998E-3</v>
      </c>
      <c r="Y58">
        <v>6.5665649369072501</v>
      </c>
      <c r="Z58">
        <v>763.1670125124981</v>
      </c>
      <c r="AA58">
        <v>0.42399999999999999</v>
      </c>
      <c r="AB58">
        <v>8.8999999999999999E-3</v>
      </c>
      <c r="AC58">
        <v>11.200699999999998</v>
      </c>
      <c r="AD58">
        <v>8.8999999999999999E-3</v>
      </c>
      <c r="AE58" s="2">
        <v>45681</v>
      </c>
      <c r="AF58" t="s">
        <v>782</v>
      </c>
      <c r="AG58">
        <v>3</v>
      </c>
      <c r="AH58">
        <v>1.41E-2</v>
      </c>
      <c r="AI58">
        <v>7.2179074730571298</v>
      </c>
      <c r="AJ58">
        <v>824.97941919312166</v>
      </c>
      <c r="AK58">
        <v>0.42399999999999999</v>
      </c>
      <c r="AL58">
        <v>1.9E-2</v>
      </c>
      <c r="AM58">
        <v>11.188500000000005</v>
      </c>
      <c r="AN58">
        <v>1.9E-2</v>
      </c>
      <c r="AO58" s="2">
        <v>45681</v>
      </c>
      <c r="AP58" t="s">
        <v>852</v>
      </c>
      <c r="AQ58">
        <v>3</v>
      </c>
      <c r="AR58">
        <v>2.8999999999999998E-3</v>
      </c>
      <c r="AS58">
        <v>6.2742504904724337</v>
      </c>
      <c r="AT58">
        <v>735.42637154583394</v>
      </c>
      <c r="AU58">
        <v>0.42399999999999999</v>
      </c>
      <c r="AV58">
        <v>4.3E-3</v>
      </c>
      <c r="AW58">
        <v>11.197000000000003</v>
      </c>
      <c r="AX58">
        <v>4.3E-3</v>
      </c>
      <c r="AY58" s="2">
        <v>45681</v>
      </c>
      <c r="AZ58" t="s">
        <v>982</v>
      </c>
      <c r="BA58">
        <v>3</v>
      </c>
      <c r="BB58">
        <v>1.41E-2</v>
      </c>
      <c r="BC58">
        <v>7.3143450416990508</v>
      </c>
      <c r="BD58">
        <v>834.13134445723995</v>
      </c>
      <c r="BE58">
        <v>0.42399999999999999</v>
      </c>
      <c r="BF58">
        <v>2.0500000000000001E-2</v>
      </c>
      <c r="BG58">
        <v>11.601199999999977</v>
      </c>
      <c r="BH58">
        <v>2.0500000000000001E-2</v>
      </c>
      <c r="BI58" s="2">
        <v>45681</v>
      </c>
      <c r="BJ58" t="s">
        <v>1056</v>
      </c>
      <c r="BK58">
        <v>4</v>
      </c>
      <c r="BL58">
        <v>7.9000000000000008E-3</v>
      </c>
      <c r="BM58">
        <v>6.8799394935480667</v>
      </c>
      <c r="BN58">
        <v>792.90625793771153</v>
      </c>
      <c r="BO58">
        <v>0.42399999999999999</v>
      </c>
      <c r="BP58">
        <v>1.37E-2</v>
      </c>
      <c r="BQ58">
        <v>11.200199999999995</v>
      </c>
      <c r="BR58">
        <v>1.37E-2</v>
      </c>
      <c r="BS58" s="2">
        <v>45681</v>
      </c>
      <c r="BT58" t="s">
        <v>1180</v>
      </c>
      <c r="BU58">
        <v>4</v>
      </c>
      <c r="BV58">
        <v>1.38E-2</v>
      </c>
      <c r="BW58">
        <v>7.2182784787933443</v>
      </c>
      <c r="BX58">
        <v>825.01462763748839</v>
      </c>
      <c r="BY58">
        <v>0.42399999999999999</v>
      </c>
      <c r="BZ58">
        <v>1.9E-2</v>
      </c>
      <c r="CA58">
        <v>11.201799999999992</v>
      </c>
      <c r="CB58">
        <v>1.9E-2</v>
      </c>
      <c r="CC58" s="2">
        <v>45681</v>
      </c>
      <c r="CD58" t="s">
        <v>1300</v>
      </c>
      <c r="CE58">
        <v>4</v>
      </c>
      <c r="CF58">
        <v>1.55E-2</v>
      </c>
      <c r="CG58">
        <v>7.3141581196833174</v>
      </c>
      <c r="CH58">
        <v>834.11360555794681</v>
      </c>
      <c r="CI58">
        <v>0.42399999999999999</v>
      </c>
      <c r="CJ58">
        <v>2.0500000000000001E-2</v>
      </c>
      <c r="CK58">
        <v>11.601900000000001</v>
      </c>
      <c r="CL58">
        <v>2.0500000000000001E-2</v>
      </c>
      <c r="CM58" s="2">
        <v>45681</v>
      </c>
      <c r="CN58" t="s">
        <v>1418</v>
      </c>
      <c r="CO58">
        <v>5</v>
      </c>
      <c r="CP58">
        <v>1.38E-2</v>
      </c>
      <c r="CQ58">
        <v>7.2183814683638339</v>
      </c>
      <c r="CR58">
        <v>825.02440134772792</v>
      </c>
      <c r="CS58">
        <v>0.42399999999999999</v>
      </c>
      <c r="CT58">
        <v>1.9E-2</v>
      </c>
      <c r="CU58">
        <v>11.201200000000028</v>
      </c>
      <c r="CV58">
        <v>1.9E-2</v>
      </c>
      <c r="CW58" s="2">
        <v>45681</v>
      </c>
      <c r="CX58" t="s">
        <v>1578</v>
      </c>
      <c r="CY58">
        <v>5</v>
      </c>
      <c r="CZ58">
        <v>1.38E-2</v>
      </c>
      <c r="DA58">
        <v>7.3143782903005494</v>
      </c>
      <c r="DB58">
        <v>834.13449974952209</v>
      </c>
      <c r="DC58">
        <v>0.42399999999999999</v>
      </c>
      <c r="DD58">
        <v>2.0500000000000001E-2</v>
      </c>
      <c r="DE58">
        <v>11.600200000000029</v>
      </c>
      <c r="DF58">
        <v>2.0500000000000001E-2</v>
      </c>
      <c r="DG58" s="2">
        <v>45681</v>
      </c>
      <c r="DH58" t="s">
        <v>1736</v>
      </c>
      <c r="DI58">
        <v>6</v>
      </c>
      <c r="DJ58">
        <v>1.35E-2</v>
      </c>
      <c r="DK58">
        <v>7.2189584532410329</v>
      </c>
      <c r="DL58">
        <v>825.07915721257405</v>
      </c>
      <c r="DM58">
        <v>0.42399999999999999</v>
      </c>
      <c r="DN58">
        <v>1.9E-2</v>
      </c>
      <c r="DO58">
        <v>11.198399999999992</v>
      </c>
      <c r="DP58">
        <v>1.9E-2</v>
      </c>
    </row>
    <row r="59" spans="1:120" x14ac:dyDescent="0.3">
      <c r="A59" s="2">
        <v>45681</v>
      </c>
      <c r="B59" t="s">
        <v>245</v>
      </c>
      <c r="C59">
        <v>1</v>
      </c>
      <c r="D59">
        <v>1.5900000000000001E-2</v>
      </c>
      <c r="E59">
        <v>7.2741649177314791</v>
      </c>
      <c r="F59">
        <v>830.31825069271736</v>
      </c>
      <c r="G59">
        <v>0.42399999999999999</v>
      </c>
      <c r="H59">
        <v>1.9900000000000001E-2</v>
      </c>
      <c r="I59">
        <v>11.400729999999999</v>
      </c>
      <c r="J59">
        <v>1.9900000000000001E-2</v>
      </c>
      <c r="K59" s="2">
        <v>45681</v>
      </c>
      <c r="L59" t="s">
        <v>403</v>
      </c>
      <c r="M59">
        <v>1</v>
      </c>
      <c r="N59">
        <v>1.37E-2</v>
      </c>
      <c r="O59">
        <v>7.1503901056563102</v>
      </c>
      <c r="P59">
        <v>818.57202102678389</v>
      </c>
      <c r="Q59">
        <v>0.42399999999999999</v>
      </c>
      <c r="R59">
        <v>1.7899999999999999E-2</v>
      </c>
      <c r="S59">
        <v>11.402389999999997</v>
      </c>
      <c r="T59">
        <v>1.7899999999999999E-2</v>
      </c>
      <c r="U59" s="2">
        <v>45681</v>
      </c>
      <c r="V59" t="s">
        <v>656</v>
      </c>
      <c r="W59">
        <v>2</v>
      </c>
      <c r="X59">
        <v>5.4000000000000003E-3</v>
      </c>
      <c r="Y59">
        <v>6.6721268138355878</v>
      </c>
      <c r="Z59">
        <v>773.18483463299731</v>
      </c>
      <c r="AA59">
        <v>0.42399999999999999</v>
      </c>
      <c r="AB59">
        <v>1.0500000000000001E-2</v>
      </c>
      <c r="AC59">
        <v>11.400299999999987</v>
      </c>
      <c r="AD59">
        <v>1.0500000000000001E-2</v>
      </c>
      <c r="AE59" s="2">
        <v>45681</v>
      </c>
      <c r="AF59" t="s">
        <v>783</v>
      </c>
      <c r="AG59">
        <v>3</v>
      </c>
      <c r="AH59">
        <v>1.5100000000000001E-2</v>
      </c>
      <c r="AI59">
        <v>7.2737116014330212</v>
      </c>
      <c r="AJ59">
        <v>830.27523097599374</v>
      </c>
      <c r="AK59">
        <v>0.42399999999999999</v>
      </c>
      <c r="AL59">
        <v>1.9900000000000001E-2</v>
      </c>
      <c r="AM59">
        <v>11.389899999999983</v>
      </c>
      <c r="AN59">
        <v>1.9900000000000001E-2</v>
      </c>
      <c r="AO59" s="2">
        <v>45681</v>
      </c>
      <c r="AP59" t="s">
        <v>853</v>
      </c>
      <c r="AQ59">
        <v>3</v>
      </c>
      <c r="AR59">
        <v>2.8999999999999998E-3</v>
      </c>
      <c r="AS59">
        <v>6.3695467400473591</v>
      </c>
      <c r="AT59">
        <v>744.46998563049442</v>
      </c>
      <c r="AU59">
        <v>0.42399999999999999</v>
      </c>
      <c r="AV59">
        <v>5.7999999999999996E-3</v>
      </c>
      <c r="AW59">
        <v>11.407299999999992</v>
      </c>
      <c r="AX59">
        <v>5.7999999999999996E-3</v>
      </c>
      <c r="AY59" s="2">
        <v>45681</v>
      </c>
      <c r="AZ59" t="s">
        <v>983</v>
      </c>
      <c r="BA59">
        <v>3</v>
      </c>
      <c r="BB59">
        <v>1.55E-2</v>
      </c>
      <c r="BC59">
        <v>7.3390674042657889</v>
      </c>
      <c r="BD59">
        <v>836.47749666482343</v>
      </c>
      <c r="BE59">
        <v>0.42399999999999999</v>
      </c>
      <c r="BF59">
        <v>2.0899999999999998E-2</v>
      </c>
      <c r="BG59">
        <v>11.801499999999976</v>
      </c>
      <c r="BH59">
        <v>2.0899999999999998E-2</v>
      </c>
      <c r="BI59" s="2">
        <v>45681</v>
      </c>
      <c r="BJ59" t="s">
        <v>1057</v>
      </c>
      <c r="BK59">
        <v>4</v>
      </c>
      <c r="BL59">
        <v>9.7000000000000003E-3</v>
      </c>
      <c r="BM59">
        <v>6.9789526123937513</v>
      </c>
      <c r="BN59">
        <v>802.30260291616707</v>
      </c>
      <c r="BO59">
        <v>0.42399999999999999</v>
      </c>
      <c r="BP59">
        <v>1.5299999999999999E-2</v>
      </c>
      <c r="BQ59">
        <v>11.402299999999997</v>
      </c>
      <c r="BR59">
        <v>1.5299999999999999E-2</v>
      </c>
      <c r="BS59" s="2">
        <v>45681</v>
      </c>
      <c r="BT59" t="s">
        <v>1181</v>
      </c>
      <c r="BU59">
        <v>4</v>
      </c>
      <c r="BV59">
        <v>1.49E-2</v>
      </c>
      <c r="BW59">
        <v>7.2735112988825392</v>
      </c>
      <c r="BX59">
        <v>830.25622226395296</v>
      </c>
      <c r="BY59">
        <v>0.42399999999999999</v>
      </c>
      <c r="BZ59">
        <v>1.9900000000000001E-2</v>
      </c>
      <c r="CA59">
        <v>11.401100000000014</v>
      </c>
      <c r="CB59">
        <v>1.9900000000000001E-2</v>
      </c>
      <c r="CC59" s="2">
        <v>45681</v>
      </c>
      <c r="CD59" t="s">
        <v>1301</v>
      </c>
      <c r="CE59">
        <v>4</v>
      </c>
      <c r="CF59">
        <v>1.61E-2</v>
      </c>
      <c r="CG59">
        <v>7.3388415570580587</v>
      </c>
      <c r="CH59">
        <v>836.45606376480987</v>
      </c>
      <c r="CI59">
        <v>0.42399999999999999</v>
      </c>
      <c r="CJ59">
        <v>2.0899999999999998E-2</v>
      </c>
      <c r="CK59">
        <v>11.800600000000003</v>
      </c>
      <c r="CL59">
        <v>2.0899999999999998E-2</v>
      </c>
      <c r="CM59" s="2">
        <v>45681</v>
      </c>
      <c r="CN59" t="s">
        <v>1419</v>
      </c>
      <c r="CO59">
        <v>5</v>
      </c>
      <c r="CP59">
        <v>1.47E-2</v>
      </c>
      <c r="CQ59">
        <v>7.2734926472280392</v>
      </c>
      <c r="CR59">
        <v>830.25445222194094</v>
      </c>
      <c r="CS59">
        <v>0.42399999999999999</v>
      </c>
      <c r="CT59">
        <v>1.9900000000000001E-2</v>
      </c>
      <c r="CU59">
        <v>11.400200000000041</v>
      </c>
      <c r="CV59">
        <v>1.9900000000000001E-2</v>
      </c>
      <c r="CW59" s="2">
        <v>45681</v>
      </c>
      <c r="CX59" t="s">
        <v>1579</v>
      </c>
      <c r="CY59">
        <v>5</v>
      </c>
      <c r="CZ59">
        <v>1.54E-2</v>
      </c>
      <c r="DA59">
        <v>7.3390986255135342</v>
      </c>
      <c r="DB59">
        <v>836.4804595612344</v>
      </c>
      <c r="DC59">
        <v>0.42399999999999999</v>
      </c>
      <c r="DD59">
        <v>2.0899999999999998E-2</v>
      </c>
      <c r="DE59">
        <v>11.800700000000006</v>
      </c>
      <c r="DF59">
        <v>2.0899999999999998E-2</v>
      </c>
      <c r="DG59" s="2">
        <v>45681</v>
      </c>
      <c r="DH59" t="s">
        <v>1737</v>
      </c>
      <c r="DI59">
        <v>6</v>
      </c>
      <c r="DJ59">
        <v>1.49E-2</v>
      </c>
      <c r="DK59">
        <v>7.2746567537511826</v>
      </c>
      <c r="DL59">
        <v>830.3649259309874</v>
      </c>
      <c r="DM59">
        <v>0.42399999999999999</v>
      </c>
      <c r="DN59">
        <v>1.9900000000000001E-2</v>
      </c>
      <c r="DO59">
        <v>11.400300000000016</v>
      </c>
      <c r="DP59">
        <v>1.9900000000000001E-2</v>
      </c>
    </row>
    <row r="60" spans="1:120" x14ac:dyDescent="0.3">
      <c r="A60" s="2">
        <v>45681</v>
      </c>
      <c r="B60" t="s">
        <v>246</v>
      </c>
      <c r="C60">
        <v>1</v>
      </c>
      <c r="D60">
        <v>1.66E-2</v>
      </c>
      <c r="E60">
        <v>7.3142497560728081</v>
      </c>
      <c r="F60">
        <v>834.12230185130954</v>
      </c>
      <c r="G60">
        <v>0.42399999999999999</v>
      </c>
      <c r="H60">
        <v>2.0500000000000001E-2</v>
      </c>
      <c r="I60">
        <v>11.59872</v>
      </c>
      <c r="J60">
        <v>2.0500000000000001E-2</v>
      </c>
      <c r="K60" s="2">
        <v>45681</v>
      </c>
      <c r="L60" t="s">
        <v>404</v>
      </c>
      <c r="M60">
        <v>1</v>
      </c>
      <c r="N60">
        <v>1.5100000000000001E-2</v>
      </c>
      <c r="O60">
        <v>7.219352165339247</v>
      </c>
      <c r="P60">
        <v>825.1165204906946</v>
      </c>
      <c r="Q60">
        <v>0.42399999999999999</v>
      </c>
      <c r="R60">
        <v>1.9E-2</v>
      </c>
      <c r="S60">
        <v>11.60324</v>
      </c>
      <c r="T60">
        <v>1.9E-2</v>
      </c>
      <c r="U60" s="2">
        <v>45681</v>
      </c>
      <c r="V60" t="s">
        <v>657</v>
      </c>
      <c r="W60">
        <v>2</v>
      </c>
      <c r="X60">
        <v>7.6E-3</v>
      </c>
      <c r="Y60">
        <v>6.7782843272956201</v>
      </c>
      <c r="Z60">
        <v>783.25918266035444</v>
      </c>
      <c r="AA60">
        <v>0.42399999999999999</v>
      </c>
      <c r="AB60">
        <v>1.2200000000000001E-2</v>
      </c>
      <c r="AC60">
        <v>11.601199999999992</v>
      </c>
      <c r="AD60">
        <v>1.2200000000000001E-2</v>
      </c>
      <c r="AE60" s="2">
        <v>45681</v>
      </c>
      <c r="AF60" t="s">
        <v>784</v>
      </c>
      <c r="AG60">
        <v>3</v>
      </c>
      <c r="AH60">
        <v>1.6E-2</v>
      </c>
      <c r="AI60">
        <v>7.314071348942826</v>
      </c>
      <c r="AJ60">
        <v>834.10537101467423</v>
      </c>
      <c r="AK60">
        <v>0.42399999999999999</v>
      </c>
      <c r="AL60">
        <v>2.0500000000000001E-2</v>
      </c>
      <c r="AM60">
        <v>11.588599999999985</v>
      </c>
      <c r="AN60">
        <v>2.0500000000000001E-2</v>
      </c>
      <c r="AO60" s="2">
        <v>45681</v>
      </c>
      <c r="AP60" t="s">
        <v>854</v>
      </c>
      <c r="AQ60">
        <v>3</v>
      </c>
      <c r="AR60">
        <v>3.0000000000000001E-3</v>
      </c>
      <c r="AS60">
        <v>6.4625920998480169</v>
      </c>
      <c r="AT60">
        <v>753.29999027557687</v>
      </c>
      <c r="AU60">
        <v>0.42399999999999999</v>
      </c>
      <c r="AV60">
        <v>7.3000000000000001E-3</v>
      </c>
      <c r="AW60">
        <v>11.596899999999977</v>
      </c>
      <c r="AX60">
        <v>7.3000000000000001E-3</v>
      </c>
      <c r="AY60" s="2">
        <v>45681</v>
      </c>
      <c r="AZ60" t="s">
        <v>984</v>
      </c>
      <c r="BA60">
        <v>3</v>
      </c>
      <c r="BB60">
        <v>1.66E-2</v>
      </c>
      <c r="BC60">
        <v>7.3473025151975344</v>
      </c>
      <c r="BD60">
        <v>837.25900869224608</v>
      </c>
      <c r="BE60">
        <v>0.42399999999999999</v>
      </c>
      <c r="BF60">
        <v>2.1000000000000001E-2</v>
      </c>
      <c r="BG60">
        <v>12.000999999999976</v>
      </c>
      <c r="BH60">
        <v>2.1000000000000001E-2</v>
      </c>
      <c r="BI60" s="2">
        <v>45681</v>
      </c>
      <c r="BJ60" t="s">
        <v>1058</v>
      </c>
      <c r="BK60">
        <v>4</v>
      </c>
      <c r="BL60">
        <v>1.09E-2</v>
      </c>
      <c r="BM60">
        <v>7.068222674588581</v>
      </c>
      <c r="BN60">
        <v>810.7743318184564</v>
      </c>
      <c r="BO60">
        <v>0.42399999999999999</v>
      </c>
      <c r="BP60">
        <v>1.67E-2</v>
      </c>
      <c r="BQ60">
        <v>11.599799999999988</v>
      </c>
      <c r="BR60">
        <v>1.67E-2</v>
      </c>
      <c r="BS60" s="2">
        <v>45681</v>
      </c>
      <c r="BT60" t="s">
        <v>1182</v>
      </c>
      <c r="BU60">
        <v>4</v>
      </c>
      <c r="BV60">
        <v>1.5800000000000002E-2</v>
      </c>
      <c r="BW60">
        <v>7.3139934985588324</v>
      </c>
      <c r="BX60">
        <v>834.09798301323326</v>
      </c>
      <c r="BY60">
        <v>0.42399999999999999</v>
      </c>
      <c r="BZ60">
        <v>2.0500000000000001E-2</v>
      </c>
      <c r="CA60">
        <v>11.600300000000004</v>
      </c>
      <c r="CB60">
        <v>2.0500000000000001E-2</v>
      </c>
      <c r="CC60" s="2">
        <v>45681</v>
      </c>
      <c r="CD60" t="s">
        <v>1302</v>
      </c>
      <c r="CE60">
        <v>4</v>
      </c>
      <c r="CF60">
        <v>1.6199999999999999E-2</v>
      </c>
      <c r="CG60">
        <v>7.3473012987852826</v>
      </c>
      <c r="CH60">
        <v>837.25889325472349</v>
      </c>
      <c r="CI60">
        <v>0.42399999999999999</v>
      </c>
      <c r="CJ60">
        <v>2.1000000000000001E-2</v>
      </c>
      <c r="CK60">
        <v>11.999799999999993</v>
      </c>
      <c r="CL60">
        <v>2.1000000000000001E-2</v>
      </c>
      <c r="CM60" s="2">
        <v>45681</v>
      </c>
      <c r="CN60" t="s">
        <v>1420</v>
      </c>
      <c r="CO60">
        <v>5</v>
      </c>
      <c r="CP60">
        <v>1.5800000000000002E-2</v>
      </c>
      <c r="CQ60">
        <v>7.3143349049303028</v>
      </c>
      <c r="CR60">
        <v>834.13038247788575</v>
      </c>
      <c r="CS60">
        <v>0.42399999999999999</v>
      </c>
      <c r="CT60">
        <v>2.0500000000000001E-2</v>
      </c>
      <c r="CU60">
        <v>11.601400000000012</v>
      </c>
      <c r="CV60">
        <v>2.0500000000000001E-2</v>
      </c>
      <c r="CW60" s="2">
        <v>45681</v>
      </c>
      <c r="CX60" t="s">
        <v>1580</v>
      </c>
      <c r="CY60">
        <v>5</v>
      </c>
      <c r="CZ60">
        <v>1.6500000000000001E-2</v>
      </c>
      <c r="DA60">
        <v>7.3473012987852826</v>
      </c>
      <c r="DB60">
        <v>837.25889325472349</v>
      </c>
      <c r="DC60">
        <v>0.42399999999999999</v>
      </c>
      <c r="DD60">
        <v>2.1000000000000001E-2</v>
      </c>
      <c r="DE60">
        <v>12.001899999999978</v>
      </c>
      <c r="DF60">
        <v>2.1000000000000001E-2</v>
      </c>
      <c r="DG60" s="2">
        <v>45681</v>
      </c>
      <c r="DH60" t="s">
        <v>1738</v>
      </c>
      <c r="DI60">
        <v>6</v>
      </c>
      <c r="DJ60">
        <v>1.5699999999999999E-2</v>
      </c>
      <c r="DK60">
        <v>7.3148810740305024</v>
      </c>
      <c r="DL60">
        <v>834.18221392549469</v>
      </c>
      <c r="DM60">
        <v>0.42399999999999999</v>
      </c>
      <c r="DN60">
        <v>2.0500000000000001E-2</v>
      </c>
      <c r="DO60">
        <v>11.600099999999998</v>
      </c>
      <c r="DP60">
        <v>2.0500000000000001E-2</v>
      </c>
    </row>
    <row r="61" spans="1:120" x14ac:dyDescent="0.3">
      <c r="A61" s="2">
        <v>45681</v>
      </c>
      <c r="B61" t="s">
        <v>247</v>
      </c>
      <c r="C61">
        <v>1</v>
      </c>
      <c r="D61">
        <v>1.72E-2</v>
      </c>
      <c r="E61">
        <v>7.3391712047777773</v>
      </c>
      <c r="F61">
        <v>836.48734733341109</v>
      </c>
      <c r="G61">
        <v>0.42399999999999999</v>
      </c>
      <c r="H61">
        <v>2.0899999999999998E-2</v>
      </c>
      <c r="I61">
        <v>11.80086</v>
      </c>
      <c r="J61">
        <v>2.0899999999999998E-2</v>
      </c>
      <c r="K61" s="2">
        <v>45681</v>
      </c>
      <c r="L61" t="s">
        <v>405</v>
      </c>
      <c r="M61">
        <v>1</v>
      </c>
      <c r="N61">
        <v>1.6199999999999999E-2</v>
      </c>
      <c r="O61">
        <v>7.2738482450757562</v>
      </c>
      <c r="P61">
        <v>830.2881984576893</v>
      </c>
      <c r="Q61">
        <v>0.42399999999999999</v>
      </c>
      <c r="R61">
        <v>1.9900000000000001E-2</v>
      </c>
      <c r="S61">
        <v>11.800510000000003</v>
      </c>
      <c r="T61">
        <v>1.9900000000000001E-2</v>
      </c>
      <c r="U61" s="2">
        <v>45681</v>
      </c>
      <c r="V61" t="s">
        <v>658</v>
      </c>
      <c r="W61">
        <v>2</v>
      </c>
      <c r="X61">
        <v>8.5000000000000006E-3</v>
      </c>
      <c r="Y61">
        <v>6.8808254471367327</v>
      </c>
      <c r="Z61">
        <v>792.99033493327602</v>
      </c>
      <c r="AA61">
        <v>0.42399999999999999</v>
      </c>
      <c r="AB61">
        <v>1.38E-2</v>
      </c>
      <c r="AC61">
        <v>11.800099999999986</v>
      </c>
      <c r="AD61">
        <v>1.38E-2</v>
      </c>
      <c r="AE61" s="2">
        <v>45681</v>
      </c>
      <c r="AF61" t="s">
        <v>785</v>
      </c>
      <c r="AG61">
        <v>3</v>
      </c>
      <c r="AH61">
        <v>1.6299999999999999E-2</v>
      </c>
      <c r="AI61">
        <v>7.3391440382375306</v>
      </c>
      <c r="AJ61">
        <v>836.48476922874181</v>
      </c>
      <c r="AK61">
        <v>0.42399999999999999</v>
      </c>
      <c r="AL61">
        <v>2.0899999999999998E-2</v>
      </c>
      <c r="AM61">
        <v>11.791599999999988</v>
      </c>
      <c r="AN61">
        <v>2.0899999999999998E-2</v>
      </c>
      <c r="AO61" s="2">
        <v>45681</v>
      </c>
      <c r="AP61" t="s">
        <v>855</v>
      </c>
      <c r="AQ61">
        <v>3</v>
      </c>
      <c r="AR61">
        <v>3.5999999999999999E-3</v>
      </c>
      <c r="AS61">
        <v>6.5657483188168246</v>
      </c>
      <c r="AT61">
        <v>763.08951545571665</v>
      </c>
      <c r="AU61">
        <v>0.42399999999999999</v>
      </c>
      <c r="AV61">
        <v>8.8999999999999999E-3</v>
      </c>
      <c r="AW61">
        <v>11.796999999999997</v>
      </c>
      <c r="AX61">
        <v>8.8999999999999999E-3</v>
      </c>
      <c r="AY61" s="2">
        <v>45681</v>
      </c>
      <c r="AZ61" t="s">
        <v>985</v>
      </c>
      <c r="BA61">
        <v>3</v>
      </c>
      <c r="BB61">
        <v>1.7000000000000001E-2</v>
      </c>
      <c r="BC61">
        <v>7.3390426705500396</v>
      </c>
      <c r="BD61">
        <v>731.99877689526375</v>
      </c>
      <c r="BE61">
        <v>0.42399999999999999</v>
      </c>
      <c r="BF61">
        <v>2.0899999999999998E-2</v>
      </c>
      <c r="BG61">
        <v>12.199799999999982</v>
      </c>
      <c r="BH61">
        <v>2.0899999999999998E-2</v>
      </c>
      <c r="BI61" s="2">
        <v>45681</v>
      </c>
      <c r="BJ61" t="s">
        <v>1059</v>
      </c>
      <c r="BK61">
        <v>4</v>
      </c>
      <c r="BL61">
        <v>1.26E-2</v>
      </c>
      <c r="BM61">
        <v>7.1487013199827141</v>
      </c>
      <c r="BN61">
        <v>818.41175526635959</v>
      </c>
      <c r="BO61">
        <v>0.42399999999999999</v>
      </c>
      <c r="BP61">
        <v>1.7899999999999999E-2</v>
      </c>
      <c r="BQ61">
        <v>11.799199999999985</v>
      </c>
      <c r="BR61">
        <v>1.7899999999999999E-2</v>
      </c>
      <c r="BS61" s="2">
        <v>45681</v>
      </c>
      <c r="BT61" t="s">
        <v>1183</v>
      </c>
      <c r="BU61">
        <v>4</v>
      </c>
      <c r="BV61">
        <v>1.6400000000000001E-2</v>
      </c>
      <c r="BW61">
        <v>7.3388143905178103</v>
      </c>
      <c r="BX61">
        <v>836.45348566014025</v>
      </c>
      <c r="BY61">
        <v>0.42399999999999999</v>
      </c>
      <c r="BZ61">
        <v>2.0899999999999998E-2</v>
      </c>
      <c r="CA61">
        <v>11.799700000000001</v>
      </c>
      <c r="CB61">
        <v>2.0899999999999998E-2</v>
      </c>
      <c r="CC61" s="2">
        <v>45681</v>
      </c>
      <c r="CD61" t="s">
        <v>1303</v>
      </c>
      <c r="CE61">
        <v>4</v>
      </c>
      <c r="CF61">
        <v>1.6199999999999999E-2</v>
      </c>
      <c r="CG61">
        <v>7.3390901106277848</v>
      </c>
      <c r="CH61">
        <v>732.00319831050956</v>
      </c>
      <c r="CI61">
        <v>0.42399999999999999</v>
      </c>
      <c r="CJ61">
        <v>2.0899999999999998E-2</v>
      </c>
      <c r="CK61">
        <v>12.200999999999993</v>
      </c>
      <c r="CL61">
        <v>2.0899999999999998E-2</v>
      </c>
      <c r="CM61" s="2">
        <v>45681</v>
      </c>
      <c r="CN61" t="s">
        <v>1421</v>
      </c>
      <c r="CO61">
        <v>5</v>
      </c>
      <c r="CP61">
        <v>1.6199999999999999E-2</v>
      </c>
      <c r="CQ61">
        <v>7.3388472336485568</v>
      </c>
      <c r="CR61">
        <v>836.45660247324804</v>
      </c>
      <c r="CS61">
        <v>0.42399999999999999</v>
      </c>
      <c r="CT61">
        <v>2.0899999999999998E-2</v>
      </c>
      <c r="CU61">
        <v>11.799200000000042</v>
      </c>
      <c r="CV61">
        <v>2.0899999999999998E-2</v>
      </c>
      <c r="CW61" s="2">
        <v>45681</v>
      </c>
      <c r="CX61" t="s">
        <v>1581</v>
      </c>
      <c r="CY61">
        <v>5</v>
      </c>
      <c r="CZ61">
        <v>1.67E-2</v>
      </c>
      <c r="DA61">
        <v>7.3389206238543023</v>
      </c>
      <c r="DB61">
        <v>731.98740214322095</v>
      </c>
      <c r="DC61">
        <v>0.42399999999999999</v>
      </c>
      <c r="DD61">
        <v>2.0899999999999998E-2</v>
      </c>
      <c r="DE61">
        <v>12.199999999999989</v>
      </c>
      <c r="DF61">
        <v>2.0899999999999998E-2</v>
      </c>
      <c r="DG61" s="2">
        <v>45681</v>
      </c>
      <c r="DH61" t="s">
        <v>1739</v>
      </c>
      <c r="DI61">
        <v>6</v>
      </c>
      <c r="DJ61">
        <v>1.5900000000000001E-2</v>
      </c>
      <c r="DK61">
        <v>7.3398641542894634</v>
      </c>
      <c r="DL61">
        <v>836.55310824207015</v>
      </c>
      <c r="DM61">
        <v>0.42399999999999999</v>
      </c>
      <c r="DN61">
        <v>2.0899999999999998E-2</v>
      </c>
      <c r="DO61">
        <v>11.807000000000016</v>
      </c>
      <c r="DP61">
        <v>2.0899999999999998E-2</v>
      </c>
    </row>
    <row r="62" spans="1:120" x14ac:dyDescent="0.3">
      <c r="A62" s="2">
        <v>45681</v>
      </c>
      <c r="B62" t="s">
        <v>248</v>
      </c>
      <c r="C62">
        <v>1</v>
      </c>
      <c r="D62">
        <v>1.7399999999999999E-2</v>
      </c>
      <c r="E62">
        <v>7.3473025151975344</v>
      </c>
      <c r="F62">
        <v>837.25900869224608</v>
      </c>
      <c r="G62">
        <v>0.42399999999999999</v>
      </c>
      <c r="H62">
        <v>2.1000000000000001E-2</v>
      </c>
      <c r="I62">
        <v>11.99925</v>
      </c>
      <c r="J62">
        <v>2.1000000000000001E-2</v>
      </c>
      <c r="K62" s="2">
        <v>45681</v>
      </c>
      <c r="L62" t="s">
        <v>406</v>
      </c>
      <c r="M62">
        <v>1</v>
      </c>
      <c r="N62">
        <v>1.6899999999999998E-2</v>
      </c>
      <c r="O62">
        <v>7.3142663803735584</v>
      </c>
      <c r="P62">
        <v>834.12387949745073</v>
      </c>
      <c r="Q62">
        <v>0.42399999999999999</v>
      </c>
      <c r="R62">
        <v>2.0500000000000001E-2</v>
      </c>
      <c r="S62">
        <v>11.999900000000004</v>
      </c>
      <c r="T62">
        <v>2.0500000000000001E-2</v>
      </c>
      <c r="U62" s="2">
        <v>45681</v>
      </c>
      <c r="V62" t="s">
        <v>659</v>
      </c>
      <c r="W62">
        <v>2</v>
      </c>
      <c r="X62">
        <v>1.0500000000000001E-2</v>
      </c>
      <c r="Y62">
        <v>6.9789736968727487</v>
      </c>
      <c r="Z62">
        <v>802.30460383322384</v>
      </c>
      <c r="AA62">
        <v>0.42399999999999999</v>
      </c>
      <c r="AB62">
        <v>1.5299999999999999E-2</v>
      </c>
      <c r="AC62">
        <v>12.000599999999991</v>
      </c>
      <c r="AD62">
        <v>1.5299999999999999E-2</v>
      </c>
      <c r="AE62" s="2">
        <v>45681</v>
      </c>
      <c r="AF62" t="s">
        <v>786</v>
      </c>
      <c r="AG62">
        <v>3</v>
      </c>
      <c r="AH62">
        <v>1.6299999999999999E-2</v>
      </c>
      <c r="AI62">
        <v>7.3473025151975344</v>
      </c>
      <c r="AJ62">
        <v>837.25900869224608</v>
      </c>
      <c r="AK62">
        <v>0.42399999999999999</v>
      </c>
      <c r="AL62">
        <v>2.1000000000000001E-2</v>
      </c>
      <c r="AM62">
        <v>11.990199999999987</v>
      </c>
      <c r="AN62">
        <v>2.1000000000000001E-2</v>
      </c>
      <c r="AO62" s="2">
        <v>45681</v>
      </c>
      <c r="AP62" t="s">
        <v>856</v>
      </c>
      <c r="AQ62">
        <v>3</v>
      </c>
      <c r="AR62">
        <v>4.7999999999999996E-3</v>
      </c>
      <c r="AS62">
        <v>6.6720526126883426</v>
      </c>
      <c r="AT62">
        <v>773.17779294412378</v>
      </c>
      <c r="AU62">
        <v>0.42399999999999999</v>
      </c>
      <c r="AV62">
        <v>1.0500000000000001E-2</v>
      </c>
      <c r="AW62">
        <v>11.998099999999994</v>
      </c>
      <c r="AX62">
        <v>1.0500000000000001E-2</v>
      </c>
      <c r="AY62" s="2">
        <v>45681</v>
      </c>
      <c r="AZ62" t="s">
        <v>986</v>
      </c>
      <c r="BA62">
        <v>3</v>
      </c>
      <c r="BB62">
        <v>1.7000000000000001E-2</v>
      </c>
      <c r="BC62">
        <v>7.3143344994595516</v>
      </c>
      <c r="BD62">
        <v>729.6959753496302</v>
      </c>
      <c r="BE62">
        <v>0.42399999999999999</v>
      </c>
      <c r="BF62">
        <v>2.0500000000000001E-2</v>
      </c>
      <c r="BG62">
        <v>12.399799999999999</v>
      </c>
      <c r="BH62">
        <v>2.0500000000000001E-2</v>
      </c>
      <c r="BI62" s="2">
        <v>45681</v>
      </c>
      <c r="BJ62" t="s">
        <v>1060</v>
      </c>
      <c r="BK62">
        <v>4</v>
      </c>
      <c r="BL62">
        <v>1.41E-2</v>
      </c>
      <c r="BM62">
        <v>7.2176808149078981</v>
      </c>
      <c r="BN62">
        <v>824.95790933475962</v>
      </c>
      <c r="BO62">
        <v>0.42399999999999999</v>
      </c>
      <c r="BP62">
        <v>1.9E-2</v>
      </c>
      <c r="BQ62">
        <v>11.999200000000002</v>
      </c>
      <c r="BR62">
        <v>1.9E-2</v>
      </c>
      <c r="BS62" s="2">
        <v>45681</v>
      </c>
      <c r="BT62" t="s">
        <v>1184</v>
      </c>
      <c r="BU62">
        <v>4</v>
      </c>
      <c r="BV62">
        <v>1.66E-2</v>
      </c>
      <c r="BW62">
        <v>7.3473025151975344</v>
      </c>
      <c r="BX62">
        <v>837.25900869224608</v>
      </c>
      <c r="BY62">
        <v>0.42399999999999999</v>
      </c>
      <c r="BZ62">
        <v>2.1000000000000001E-2</v>
      </c>
      <c r="CA62">
        <v>12.002100000000013</v>
      </c>
      <c r="CB62">
        <v>2.1000000000000001E-2</v>
      </c>
      <c r="CC62" s="2">
        <v>45681</v>
      </c>
      <c r="CD62" t="s">
        <v>1304</v>
      </c>
      <c r="CE62">
        <v>5</v>
      </c>
      <c r="CF62">
        <v>1.6199999999999999E-2</v>
      </c>
      <c r="CG62">
        <v>7.3140559410543258</v>
      </c>
      <c r="CH62">
        <v>729.67001370626315</v>
      </c>
      <c r="CI62">
        <v>0.42399999999999999</v>
      </c>
      <c r="CJ62">
        <v>2.0500000000000001E-2</v>
      </c>
      <c r="CK62">
        <v>12.403300000000002</v>
      </c>
      <c r="CL62">
        <v>2.0500000000000001E-2</v>
      </c>
      <c r="CM62" s="2">
        <v>45681</v>
      </c>
      <c r="CN62" t="s">
        <v>1422</v>
      </c>
      <c r="CO62">
        <v>5</v>
      </c>
      <c r="CP62">
        <v>1.6400000000000001E-2</v>
      </c>
      <c r="CQ62">
        <v>7.3473025151975344</v>
      </c>
      <c r="CR62">
        <v>837.25900869224608</v>
      </c>
      <c r="CS62">
        <v>0.42399999999999999</v>
      </c>
      <c r="CT62">
        <v>2.1000000000000001E-2</v>
      </c>
      <c r="CU62">
        <v>11.999700000000018</v>
      </c>
      <c r="CV62">
        <v>2.1000000000000001E-2</v>
      </c>
      <c r="CW62" s="2">
        <v>45681</v>
      </c>
      <c r="CX62" t="s">
        <v>1582</v>
      </c>
      <c r="CY62">
        <v>5</v>
      </c>
      <c r="CZ62">
        <v>1.67E-2</v>
      </c>
      <c r="DA62">
        <v>7.3137992780695988</v>
      </c>
      <c r="DB62">
        <v>729.64609271608663</v>
      </c>
      <c r="DC62">
        <v>0.42399999999999999</v>
      </c>
      <c r="DD62">
        <v>2.0500000000000001E-2</v>
      </c>
      <c r="DE62">
        <v>12.401900000000012</v>
      </c>
      <c r="DF62">
        <v>2.0500000000000001E-2</v>
      </c>
      <c r="DG62" s="2">
        <v>45681</v>
      </c>
      <c r="DH62" t="s">
        <v>1740</v>
      </c>
      <c r="DI62">
        <v>6</v>
      </c>
      <c r="DJ62">
        <v>1.6199999999999999E-2</v>
      </c>
      <c r="DK62">
        <v>7.3472964331362851</v>
      </c>
      <c r="DL62">
        <v>837.25843150463345</v>
      </c>
      <c r="DM62">
        <v>0.42399999999999999</v>
      </c>
      <c r="DN62">
        <v>2.1000000000000001E-2</v>
      </c>
      <c r="DO62">
        <v>12.001700000000028</v>
      </c>
      <c r="DP62">
        <v>2.1000000000000001E-2</v>
      </c>
    </row>
    <row r="63" spans="1:120" x14ac:dyDescent="0.3">
      <c r="A63" s="2">
        <v>45681</v>
      </c>
      <c r="B63" t="s">
        <v>249</v>
      </c>
      <c r="C63">
        <v>1</v>
      </c>
      <c r="D63">
        <v>1.7399999999999999E-2</v>
      </c>
      <c r="E63">
        <v>7.3389619818707983</v>
      </c>
      <c r="F63">
        <v>731.99125671035847</v>
      </c>
      <c r="G63">
        <v>0.42399999999999999</v>
      </c>
      <c r="H63">
        <v>2.0899999999999998E-2</v>
      </c>
      <c r="I63">
        <v>12.198830000000001</v>
      </c>
      <c r="J63">
        <v>2.0899999999999998E-2</v>
      </c>
      <c r="K63" s="2">
        <v>45681</v>
      </c>
      <c r="L63" t="s">
        <v>407</v>
      </c>
      <c r="M63">
        <v>1</v>
      </c>
      <c r="N63">
        <v>1.77E-2</v>
      </c>
      <c r="O63">
        <v>7.3390365884887911</v>
      </c>
      <c r="P63">
        <v>836.47457224758637</v>
      </c>
      <c r="Q63">
        <v>0.42399999999999999</v>
      </c>
      <c r="R63">
        <v>2.0899999999999998E-2</v>
      </c>
      <c r="S63">
        <v>12.200319999999998</v>
      </c>
      <c r="T63">
        <v>2.0899999999999998E-2</v>
      </c>
      <c r="U63" s="2">
        <v>45681</v>
      </c>
      <c r="V63" t="s">
        <v>660</v>
      </c>
      <c r="W63">
        <v>2</v>
      </c>
      <c r="X63">
        <v>1.2E-2</v>
      </c>
      <c r="Y63">
        <v>7.0688888630307689</v>
      </c>
      <c r="Z63">
        <v>810.83755310161996</v>
      </c>
      <c r="AA63">
        <v>0.42399999999999999</v>
      </c>
      <c r="AB63">
        <v>1.67E-2</v>
      </c>
      <c r="AC63">
        <v>12.19959999999999</v>
      </c>
      <c r="AD63">
        <v>1.67E-2</v>
      </c>
      <c r="AO63" s="2">
        <v>45681</v>
      </c>
      <c r="AP63" t="s">
        <v>857</v>
      </c>
      <c r="AQ63">
        <v>3</v>
      </c>
      <c r="AR63">
        <v>6.4999999999999997E-3</v>
      </c>
      <c r="AS63">
        <v>6.7771218426554771</v>
      </c>
      <c r="AT63">
        <v>783.14886286800481</v>
      </c>
      <c r="AU63">
        <v>0.42399999999999999</v>
      </c>
      <c r="AV63">
        <v>1.21E-2</v>
      </c>
      <c r="AW63">
        <v>12.196899999999999</v>
      </c>
      <c r="AX63">
        <v>1.21E-2</v>
      </c>
      <c r="BI63" s="2">
        <v>45681</v>
      </c>
      <c r="BJ63" t="s">
        <v>1061</v>
      </c>
      <c r="BK63">
        <v>4</v>
      </c>
      <c r="BL63">
        <v>1.5299999999999999E-2</v>
      </c>
      <c r="BM63">
        <v>7.2734480454455426</v>
      </c>
      <c r="BN63">
        <v>830.25021951278211</v>
      </c>
      <c r="BO63">
        <v>0.42399999999999999</v>
      </c>
      <c r="BP63">
        <v>1.9900000000000001E-2</v>
      </c>
      <c r="BQ63">
        <v>12.200199999999995</v>
      </c>
      <c r="BR63">
        <v>1.9900000000000001E-2</v>
      </c>
      <c r="BS63" s="2">
        <v>45681</v>
      </c>
      <c r="BT63" t="s">
        <v>1185</v>
      </c>
      <c r="BU63">
        <v>4</v>
      </c>
      <c r="BV63">
        <v>1.66E-2</v>
      </c>
      <c r="BW63">
        <v>7.3389899593525438</v>
      </c>
      <c r="BX63">
        <v>731.99386421165707</v>
      </c>
      <c r="BY63">
        <v>0.42399999999999999</v>
      </c>
      <c r="BZ63">
        <v>2.0899999999999998E-2</v>
      </c>
      <c r="CA63">
        <v>12.201600000000013</v>
      </c>
      <c r="CB63">
        <v>2.0899999999999998E-2</v>
      </c>
      <c r="CC63" s="2">
        <v>45681</v>
      </c>
      <c r="CD63" t="s">
        <v>1305</v>
      </c>
      <c r="CE63">
        <v>5</v>
      </c>
      <c r="CF63">
        <v>1.6199999999999999E-2</v>
      </c>
      <c r="CG63">
        <v>7.2738271605967588</v>
      </c>
      <c r="CH63">
        <v>725.92069136761791</v>
      </c>
      <c r="CI63">
        <v>0.42399999999999999</v>
      </c>
      <c r="CJ63">
        <v>1.9900000000000001E-2</v>
      </c>
      <c r="CK63">
        <v>12.601499999999987</v>
      </c>
      <c r="CL63">
        <v>1.9900000000000001E-2</v>
      </c>
      <c r="CM63" s="2">
        <v>45681</v>
      </c>
      <c r="CN63" t="s">
        <v>1423</v>
      </c>
      <c r="CO63">
        <v>5</v>
      </c>
      <c r="CP63">
        <v>1.6500000000000001E-2</v>
      </c>
      <c r="CQ63">
        <v>7.3389023776705544</v>
      </c>
      <c r="CR63">
        <v>731.98570159889562</v>
      </c>
      <c r="CS63">
        <v>0.42399999999999999</v>
      </c>
      <c r="CT63">
        <v>2.0899999999999998E-2</v>
      </c>
      <c r="CU63">
        <v>12.201800000000048</v>
      </c>
      <c r="CV63">
        <v>2.0899999999999998E-2</v>
      </c>
      <c r="CW63" s="2">
        <v>45681</v>
      </c>
      <c r="CX63" t="s">
        <v>1583</v>
      </c>
      <c r="CY63">
        <v>5</v>
      </c>
      <c r="CZ63">
        <v>1.66E-2</v>
      </c>
      <c r="DA63">
        <v>7.2733207276300567</v>
      </c>
      <c r="DB63">
        <v>725.87349181512127</v>
      </c>
      <c r="DC63">
        <v>0.42399999999999999</v>
      </c>
      <c r="DD63">
        <v>1.9900000000000001E-2</v>
      </c>
      <c r="DE63">
        <v>12.600599999999986</v>
      </c>
      <c r="DF63">
        <v>1.9900000000000001E-2</v>
      </c>
      <c r="DG63" s="2">
        <v>45681</v>
      </c>
      <c r="DH63" t="s">
        <v>1741</v>
      </c>
      <c r="DI63">
        <v>6</v>
      </c>
      <c r="DJ63">
        <v>1.6299999999999999E-2</v>
      </c>
      <c r="DK63">
        <v>7.3385463743520853</v>
      </c>
      <c r="DL63">
        <v>731.95252208961438</v>
      </c>
      <c r="DM63">
        <v>0.42399999999999999</v>
      </c>
      <c r="DN63">
        <v>2.0899999999999998E-2</v>
      </c>
      <c r="DO63">
        <v>12.201300000000003</v>
      </c>
      <c r="DP63">
        <v>2.0899999999999998E-2</v>
      </c>
    </row>
    <row r="64" spans="1:120" x14ac:dyDescent="0.3">
      <c r="A64" s="2">
        <v>45681</v>
      </c>
      <c r="B64" t="s">
        <v>250</v>
      </c>
      <c r="C64">
        <v>1</v>
      </c>
      <c r="D64">
        <v>1.7399999999999999E-2</v>
      </c>
      <c r="E64">
        <v>7.3138763175120944</v>
      </c>
      <c r="F64">
        <v>729.65327279212715</v>
      </c>
      <c r="G64">
        <v>0.42399999999999999</v>
      </c>
      <c r="H64">
        <v>2.0500000000000001E-2</v>
      </c>
      <c r="I64">
        <v>12.40072</v>
      </c>
      <c r="J64">
        <v>2.0500000000000001E-2</v>
      </c>
      <c r="K64" s="2">
        <v>45681</v>
      </c>
      <c r="L64" t="s">
        <v>408</v>
      </c>
      <c r="M64">
        <v>1</v>
      </c>
      <c r="N64">
        <v>1.7999999999999999E-2</v>
      </c>
      <c r="O64">
        <v>7.3473017042560347</v>
      </c>
      <c r="P64">
        <v>837.25893173389773</v>
      </c>
      <c r="Q64">
        <v>0.42399999999999999</v>
      </c>
      <c r="R64">
        <v>2.1000000000000001E-2</v>
      </c>
      <c r="S64">
        <v>12.401609999999998</v>
      </c>
      <c r="T64">
        <v>2.1000000000000001E-2</v>
      </c>
      <c r="U64" s="2">
        <v>45681</v>
      </c>
      <c r="V64" t="s">
        <v>661</v>
      </c>
      <c r="W64">
        <v>2</v>
      </c>
      <c r="X64">
        <v>1.3100000000000001E-2</v>
      </c>
      <c r="Y64">
        <v>7.1493492622411541</v>
      </c>
      <c r="Z64">
        <v>818.47324498668559</v>
      </c>
      <c r="AA64">
        <v>0.42399999999999999</v>
      </c>
      <c r="AB64">
        <v>1.7899999999999999E-2</v>
      </c>
      <c r="AC64">
        <v>12.39909999999999</v>
      </c>
      <c r="AD64">
        <v>1.7899999999999999E-2</v>
      </c>
      <c r="AO64" s="2">
        <v>45681</v>
      </c>
      <c r="AP64" t="s">
        <v>858</v>
      </c>
      <c r="AQ64">
        <v>3</v>
      </c>
      <c r="AR64">
        <v>8.3000000000000001E-3</v>
      </c>
      <c r="AS64">
        <v>6.880956008718222</v>
      </c>
      <c r="AT64">
        <v>793.00272522735929</v>
      </c>
      <c r="AU64">
        <v>0.42399999999999999</v>
      </c>
      <c r="AV64">
        <v>1.38E-2</v>
      </c>
      <c r="AW64">
        <v>12.398299999999978</v>
      </c>
      <c r="AX64">
        <v>1.38E-2</v>
      </c>
      <c r="BI64" s="2">
        <v>45681</v>
      </c>
      <c r="BJ64" t="s">
        <v>1062</v>
      </c>
      <c r="BK64">
        <v>4</v>
      </c>
      <c r="BL64">
        <v>1.5900000000000001E-2</v>
      </c>
      <c r="BM64">
        <v>7.3141706892765672</v>
      </c>
      <c r="BN64">
        <v>834.11479841234632</v>
      </c>
      <c r="BO64">
        <v>0.42399999999999999</v>
      </c>
      <c r="BP64">
        <v>2.0500000000000001E-2</v>
      </c>
      <c r="BQ64">
        <v>12.400599999999997</v>
      </c>
      <c r="BR64">
        <v>2.0500000000000001E-2</v>
      </c>
      <c r="BS64" s="2">
        <v>45681</v>
      </c>
      <c r="BT64" t="s">
        <v>1186</v>
      </c>
      <c r="BU64">
        <v>4</v>
      </c>
      <c r="BV64">
        <v>1.66E-2</v>
      </c>
      <c r="BW64">
        <v>7.3142582709585584</v>
      </c>
      <c r="BX64">
        <v>729.68887085333756</v>
      </c>
      <c r="BY64">
        <v>0.42399999999999999</v>
      </c>
      <c r="BZ64">
        <v>2.0500000000000001E-2</v>
      </c>
      <c r="CA64">
        <v>12.401499999999999</v>
      </c>
      <c r="CB64">
        <v>2.0500000000000001E-2</v>
      </c>
      <c r="CC64" s="2">
        <v>45681</v>
      </c>
      <c r="CD64" t="s">
        <v>1306</v>
      </c>
      <c r="CE64">
        <v>5</v>
      </c>
      <c r="CF64">
        <v>1.6199999999999999E-2</v>
      </c>
      <c r="CG64">
        <v>7.2183238915173389</v>
      </c>
      <c r="CH64">
        <v>720.74778668941599</v>
      </c>
      <c r="CI64">
        <v>0.42399999999999999</v>
      </c>
      <c r="CJ64">
        <v>1.9E-2</v>
      </c>
      <c r="CK64">
        <v>12.801999999999992</v>
      </c>
      <c r="CL64">
        <v>1.9E-2</v>
      </c>
      <c r="CM64" s="2">
        <v>45681</v>
      </c>
      <c r="CN64" t="s">
        <v>1424</v>
      </c>
      <c r="CO64">
        <v>5</v>
      </c>
      <c r="CP64">
        <v>1.6400000000000001E-2</v>
      </c>
      <c r="CQ64">
        <v>7.3142234004740612</v>
      </c>
      <c r="CR64">
        <v>729.68562092418256</v>
      </c>
      <c r="CS64">
        <v>0.42399999999999999</v>
      </c>
      <c r="CT64">
        <v>2.0500000000000001E-2</v>
      </c>
      <c r="CU64">
        <v>12.400800000000004</v>
      </c>
      <c r="CV64">
        <v>2.0500000000000001E-2</v>
      </c>
      <c r="CW64" s="2">
        <v>45681</v>
      </c>
      <c r="CX64" t="s">
        <v>1584</v>
      </c>
      <c r="CY64">
        <v>5</v>
      </c>
      <c r="CZ64">
        <v>1.66E-2</v>
      </c>
      <c r="DA64">
        <v>7.2172789933946868</v>
      </c>
      <c r="DB64">
        <v>720.6504021843848</v>
      </c>
      <c r="DC64">
        <v>0.42399999999999999</v>
      </c>
      <c r="DD64">
        <v>1.9E-2</v>
      </c>
      <c r="DE64">
        <v>12.802399999999977</v>
      </c>
      <c r="DF64">
        <v>1.9E-2</v>
      </c>
      <c r="DG64" s="2">
        <v>45681</v>
      </c>
      <c r="DH64" t="s">
        <v>1742</v>
      </c>
      <c r="DI64">
        <v>6</v>
      </c>
      <c r="DJ64">
        <v>1.6299999999999999E-2</v>
      </c>
      <c r="DK64">
        <v>7.3136046521096176</v>
      </c>
      <c r="DL64">
        <v>729.62795357661639</v>
      </c>
      <c r="DM64">
        <v>0.42399999999999999</v>
      </c>
      <c r="DN64">
        <v>2.0500000000000001E-2</v>
      </c>
      <c r="DO64">
        <v>12.399900000000002</v>
      </c>
      <c r="DP64">
        <v>2.0500000000000001E-2</v>
      </c>
    </row>
    <row r="65" spans="1:120" x14ac:dyDescent="0.3">
      <c r="A65" s="2">
        <v>45681</v>
      </c>
      <c r="B65" t="s">
        <v>251</v>
      </c>
      <c r="C65">
        <v>1</v>
      </c>
      <c r="D65">
        <v>1.7399999999999999E-2</v>
      </c>
      <c r="E65">
        <v>7.2733600582928029</v>
      </c>
      <c r="F65">
        <v>725.87715743288925</v>
      </c>
      <c r="G65">
        <v>0.42399999999999999</v>
      </c>
      <c r="H65">
        <v>1.9900000000000001E-2</v>
      </c>
      <c r="I65">
        <v>12.599769999999999</v>
      </c>
      <c r="J65">
        <v>1.9900000000000001E-2</v>
      </c>
      <c r="K65" s="2">
        <v>45681</v>
      </c>
      <c r="L65" t="s">
        <v>409</v>
      </c>
      <c r="M65">
        <v>1</v>
      </c>
      <c r="N65">
        <v>1.8100000000000002E-2</v>
      </c>
      <c r="O65">
        <v>7.3386943711758219</v>
      </c>
      <c r="P65">
        <v>731.96631539358657</v>
      </c>
      <c r="Q65">
        <v>0.42399999999999999</v>
      </c>
      <c r="R65">
        <v>2.0899999999999998E-2</v>
      </c>
      <c r="S65">
        <v>12.603110000000001</v>
      </c>
      <c r="T65">
        <v>2.0899999999999998E-2</v>
      </c>
      <c r="U65" s="2">
        <v>45681</v>
      </c>
      <c r="V65" t="s">
        <v>662</v>
      </c>
      <c r="W65">
        <v>2</v>
      </c>
      <c r="X65">
        <v>1.46E-2</v>
      </c>
      <c r="Y65">
        <v>7.2187557178660509</v>
      </c>
      <c r="Z65">
        <v>825.05991762548831</v>
      </c>
      <c r="AA65">
        <v>0.42399999999999999</v>
      </c>
      <c r="AB65">
        <v>1.9E-2</v>
      </c>
      <c r="AC65">
        <v>12.600899999999996</v>
      </c>
      <c r="AD65">
        <v>1.9E-2</v>
      </c>
      <c r="AO65" s="2">
        <v>45681</v>
      </c>
      <c r="AP65" t="s">
        <v>859</v>
      </c>
      <c r="AQ65">
        <v>3</v>
      </c>
      <c r="AR65">
        <v>9.9000000000000008E-3</v>
      </c>
      <c r="AS65">
        <v>6.9778055356421058</v>
      </c>
      <c r="AT65">
        <v>802.19374533243592</v>
      </c>
      <c r="AU65">
        <v>0.42399999999999999</v>
      </c>
      <c r="AV65">
        <v>1.5299999999999999E-2</v>
      </c>
      <c r="AW65">
        <v>12.595999999999975</v>
      </c>
      <c r="AX65">
        <v>1.5299999999999999E-2</v>
      </c>
      <c r="BI65" s="2">
        <v>45681</v>
      </c>
      <c r="BJ65" t="s">
        <v>1063</v>
      </c>
      <c r="BK65">
        <v>4</v>
      </c>
      <c r="BL65">
        <v>1.7000000000000001E-2</v>
      </c>
      <c r="BM65">
        <v>7.3390146930682922</v>
      </c>
      <c r="BN65">
        <v>836.47249437218102</v>
      </c>
      <c r="BO65">
        <v>0.42399999999999999</v>
      </c>
      <c r="BP65">
        <v>2.0899999999999998E-2</v>
      </c>
      <c r="BQ65">
        <v>12.601399999999984</v>
      </c>
      <c r="BR65">
        <v>2.0899999999999998E-2</v>
      </c>
      <c r="BS65" s="2">
        <v>45681</v>
      </c>
      <c r="BT65" t="s">
        <v>1187</v>
      </c>
      <c r="BU65">
        <v>4</v>
      </c>
      <c r="BV65">
        <v>1.66E-2</v>
      </c>
      <c r="BW65">
        <v>7.2739512346462494</v>
      </c>
      <c r="BX65">
        <v>725.93225506903048</v>
      </c>
      <c r="BY65">
        <v>0.42399999999999999</v>
      </c>
      <c r="BZ65">
        <v>1.9900000000000001E-2</v>
      </c>
      <c r="CA65">
        <v>12.600400000000008</v>
      </c>
      <c r="CB65">
        <v>1.9900000000000001E-2</v>
      </c>
      <c r="CC65" s="2">
        <v>45681</v>
      </c>
      <c r="CD65" t="s">
        <v>1307</v>
      </c>
      <c r="CE65">
        <v>5</v>
      </c>
      <c r="CF65">
        <v>1.6199999999999999E-2</v>
      </c>
      <c r="CG65">
        <v>7.1497368922781188</v>
      </c>
      <c r="CH65">
        <v>714.35547836032072</v>
      </c>
      <c r="CI65">
        <v>0.42399999999999999</v>
      </c>
      <c r="CJ65">
        <v>1.7899999999999999E-2</v>
      </c>
      <c r="CK65">
        <v>13.001299999999986</v>
      </c>
      <c r="CL65">
        <v>1.7899999999999999E-2</v>
      </c>
      <c r="CM65" s="2">
        <v>45681</v>
      </c>
      <c r="CN65" t="s">
        <v>1425</v>
      </c>
      <c r="CO65">
        <v>5</v>
      </c>
      <c r="CP65">
        <v>1.6400000000000001E-2</v>
      </c>
      <c r="CQ65">
        <v>7.2738060761177614</v>
      </c>
      <c r="CR65">
        <v>725.91872629417537</v>
      </c>
      <c r="CS65">
        <v>0.42399999999999999</v>
      </c>
      <c r="CT65">
        <v>1.9900000000000001E-2</v>
      </c>
      <c r="CU65">
        <v>12.600100000000054</v>
      </c>
      <c r="CV65">
        <v>1.9900000000000001E-2</v>
      </c>
      <c r="CW65" s="2">
        <v>45681</v>
      </c>
      <c r="CX65" t="s">
        <v>1585</v>
      </c>
      <c r="CY65">
        <v>5</v>
      </c>
      <c r="CZ65">
        <v>1.67E-2</v>
      </c>
      <c r="DA65">
        <v>7.1485760295209744</v>
      </c>
      <c r="DB65">
        <v>714.2472859513548</v>
      </c>
      <c r="DC65">
        <v>0.42399999999999999</v>
      </c>
      <c r="DD65">
        <v>1.7899999999999999E-2</v>
      </c>
      <c r="DE65">
        <v>13.00139999999999</v>
      </c>
      <c r="DF65">
        <v>1.7899999999999999E-2</v>
      </c>
      <c r="DG65" s="2">
        <v>45681</v>
      </c>
      <c r="DH65" t="s">
        <v>1743</v>
      </c>
      <c r="DI65">
        <v>6</v>
      </c>
      <c r="DJ65">
        <v>1.6400000000000001E-2</v>
      </c>
      <c r="DK65">
        <v>7.2723670604261423</v>
      </c>
      <c r="DL65">
        <v>725.78461003171651</v>
      </c>
      <c r="DM65">
        <v>0.42399999999999999</v>
      </c>
      <c r="DN65">
        <v>1.9800000000000002E-2</v>
      </c>
      <c r="DO65">
        <v>12.601400000000012</v>
      </c>
      <c r="DP65">
        <v>1.9800000000000002E-2</v>
      </c>
    </row>
    <row r="66" spans="1:120" x14ac:dyDescent="0.3">
      <c r="A66" s="2">
        <v>45681</v>
      </c>
      <c r="B66" t="s">
        <v>252</v>
      </c>
      <c r="C66">
        <v>1</v>
      </c>
      <c r="D66">
        <v>1.7399999999999999E-2</v>
      </c>
      <c r="E66">
        <v>7.2180538479978651</v>
      </c>
      <c r="F66">
        <v>720.722618633401</v>
      </c>
      <c r="G66">
        <v>0.42399999999999999</v>
      </c>
      <c r="H66">
        <v>1.9E-2</v>
      </c>
      <c r="I66">
        <v>12.79917</v>
      </c>
      <c r="J66">
        <v>1.9E-2</v>
      </c>
      <c r="K66" s="2">
        <v>45681</v>
      </c>
      <c r="L66" t="s">
        <v>410</v>
      </c>
      <c r="M66">
        <v>1</v>
      </c>
      <c r="N66">
        <v>1.7999999999999999E-2</v>
      </c>
      <c r="O66">
        <v>7.3137656239973534</v>
      </c>
      <c r="P66">
        <v>729.6429561565534</v>
      </c>
      <c r="Q66">
        <v>0.42399999999999999</v>
      </c>
      <c r="R66">
        <v>2.0500000000000001E-2</v>
      </c>
      <c r="S66">
        <v>12.802480000000003</v>
      </c>
      <c r="T66">
        <v>2.0500000000000001E-2</v>
      </c>
      <c r="U66" s="2">
        <v>45681</v>
      </c>
      <c r="V66" t="s">
        <v>663</v>
      </c>
      <c r="W66">
        <v>2</v>
      </c>
      <c r="X66">
        <v>1.54E-2</v>
      </c>
      <c r="Y66">
        <v>7.2740132716709924</v>
      </c>
      <c r="Z66">
        <v>830.30385948157709</v>
      </c>
      <c r="AA66">
        <v>0.42399999999999999</v>
      </c>
      <c r="AB66">
        <v>1.9900000000000001E-2</v>
      </c>
      <c r="AC66">
        <v>12.800699999999992</v>
      </c>
      <c r="AD66">
        <v>1.9900000000000001E-2</v>
      </c>
      <c r="AO66" s="2">
        <v>45681</v>
      </c>
      <c r="AP66" t="s">
        <v>860</v>
      </c>
      <c r="AQ66">
        <v>3</v>
      </c>
      <c r="AR66">
        <v>1.15E-2</v>
      </c>
      <c r="AS66">
        <v>7.0683370173400686</v>
      </c>
      <c r="AT66">
        <v>810.7851829455725</v>
      </c>
      <c r="AU66">
        <v>0.42399999999999999</v>
      </c>
      <c r="AV66">
        <v>1.67E-2</v>
      </c>
      <c r="AW66">
        <v>12.796199999999999</v>
      </c>
      <c r="AX66">
        <v>1.67E-2</v>
      </c>
      <c r="BI66" s="2">
        <v>45681</v>
      </c>
      <c r="BJ66" t="s">
        <v>1064</v>
      </c>
      <c r="BK66">
        <v>4</v>
      </c>
      <c r="BL66">
        <v>1.7399999999999999E-2</v>
      </c>
      <c r="BM66">
        <v>7.3473025151975344</v>
      </c>
      <c r="BN66">
        <v>837.25900869224608</v>
      </c>
      <c r="BO66">
        <v>0.42399999999999999</v>
      </c>
      <c r="BP66">
        <v>2.1000000000000001E-2</v>
      </c>
      <c r="BQ66">
        <v>12.800699999999978</v>
      </c>
      <c r="BR66">
        <v>2.1000000000000001E-2</v>
      </c>
      <c r="BS66" s="2">
        <v>45681</v>
      </c>
      <c r="BT66" t="s">
        <v>1188</v>
      </c>
      <c r="BU66">
        <v>4</v>
      </c>
      <c r="BV66">
        <v>1.66E-2</v>
      </c>
      <c r="BW66">
        <v>7.2186604322398082</v>
      </c>
      <c r="BX66">
        <v>720.77915228475013</v>
      </c>
      <c r="BY66">
        <v>0.42399999999999999</v>
      </c>
      <c r="BZ66">
        <v>1.9E-2</v>
      </c>
      <c r="CA66">
        <v>12.800299999999993</v>
      </c>
      <c r="CB66">
        <v>1.9E-2</v>
      </c>
      <c r="CC66" s="2">
        <v>45681</v>
      </c>
      <c r="CD66" t="s">
        <v>1308</v>
      </c>
      <c r="CE66">
        <v>5</v>
      </c>
      <c r="CF66">
        <v>1.61E-2</v>
      </c>
      <c r="CG66">
        <v>7.0693324480312301</v>
      </c>
      <c r="CH66">
        <v>706.86178415651068</v>
      </c>
      <c r="CI66">
        <v>0.42399999999999999</v>
      </c>
      <c r="CJ66">
        <v>1.67E-2</v>
      </c>
      <c r="CK66">
        <v>13.20089999999999</v>
      </c>
      <c r="CL66">
        <v>1.67E-2</v>
      </c>
      <c r="CM66" s="2">
        <v>45681</v>
      </c>
      <c r="CN66" t="s">
        <v>1426</v>
      </c>
      <c r="CO66">
        <v>5</v>
      </c>
      <c r="CP66">
        <v>1.6400000000000001E-2</v>
      </c>
      <c r="CQ66">
        <v>7.2182423918965979</v>
      </c>
      <c r="CR66">
        <v>720.74019092476294</v>
      </c>
      <c r="CS66">
        <v>0.42399999999999999</v>
      </c>
      <c r="CT66">
        <v>1.9E-2</v>
      </c>
      <c r="CU66">
        <v>12.800800000000038</v>
      </c>
      <c r="CV66">
        <v>1.9E-2</v>
      </c>
      <c r="CW66" s="2">
        <v>45681</v>
      </c>
      <c r="CX66" t="s">
        <v>1586</v>
      </c>
      <c r="CY66">
        <v>5</v>
      </c>
      <c r="CZ66">
        <v>1.66E-2</v>
      </c>
      <c r="DA66">
        <v>7.0682133487613319</v>
      </c>
      <c r="DB66">
        <v>706.75748410455617</v>
      </c>
      <c r="DC66">
        <v>0.42399999999999999</v>
      </c>
      <c r="DD66">
        <v>1.67E-2</v>
      </c>
      <c r="DE66">
        <v>13.200499999999977</v>
      </c>
      <c r="DF66">
        <v>1.67E-2</v>
      </c>
      <c r="DG66" s="2">
        <v>45681</v>
      </c>
      <c r="DH66" t="s">
        <v>1744</v>
      </c>
      <c r="DI66">
        <v>6</v>
      </c>
      <c r="DJ66">
        <v>1.6299999999999999E-2</v>
      </c>
      <c r="DK66">
        <v>7.2167453938877353</v>
      </c>
      <c r="DL66">
        <v>720.600670710337</v>
      </c>
      <c r="DM66">
        <v>0.42399999999999999</v>
      </c>
      <c r="DN66">
        <v>1.9E-2</v>
      </c>
      <c r="DO66">
        <v>12.800900000000013</v>
      </c>
      <c r="DP66">
        <v>1.9E-2</v>
      </c>
    </row>
    <row r="67" spans="1:120" x14ac:dyDescent="0.3">
      <c r="A67" s="2">
        <v>45681</v>
      </c>
      <c r="B67" t="s">
        <v>253</v>
      </c>
      <c r="C67">
        <v>1</v>
      </c>
      <c r="D67">
        <v>1.7399999999999999E-2</v>
      </c>
      <c r="E67">
        <v>7.1485740021672246</v>
      </c>
      <c r="F67">
        <v>714.24709700198537</v>
      </c>
      <c r="G67">
        <v>0.42399999999999999</v>
      </c>
      <c r="H67">
        <v>1.7899999999999999E-2</v>
      </c>
      <c r="I67">
        <v>13.000700000000002</v>
      </c>
      <c r="J67">
        <v>1.7899999999999999E-2</v>
      </c>
      <c r="K67" s="2">
        <v>45681</v>
      </c>
      <c r="L67" t="s">
        <v>411</v>
      </c>
      <c r="M67">
        <v>1</v>
      </c>
      <c r="N67">
        <v>1.7999999999999999E-2</v>
      </c>
      <c r="O67">
        <v>7.2735465748377859</v>
      </c>
      <c r="P67">
        <v>725.89454077488165</v>
      </c>
      <c r="Q67">
        <v>0.42399999999999999</v>
      </c>
      <c r="R67">
        <v>1.9900000000000001E-2</v>
      </c>
      <c r="S67">
        <v>13.000079999999997</v>
      </c>
      <c r="T67">
        <v>1.9900000000000001E-2</v>
      </c>
      <c r="U67" s="2">
        <v>45681</v>
      </c>
      <c r="V67" t="s">
        <v>664</v>
      </c>
      <c r="W67">
        <v>2</v>
      </c>
      <c r="X67">
        <v>1.5699999999999999E-2</v>
      </c>
      <c r="Y67">
        <v>7.3141828533990649</v>
      </c>
      <c r="Z67">
        <v>834.11595278757136</v>
      </c>
      <c r="AA67">
        <v>0.42399999999999999</v>
      </c>
      <c r="AB67">
        <v>2.0500000000000001E-2</v>
      </c>
      <c r="AC67">
        <v>12.998899999999992</v>
      </c>
      <c r="AD67">
        <v>2.0500000000000001E-2</v>
      </c>
      <c r="AO67" s="2">
        <v>45681</v>
      </c>
      <c r="AP67" t="s">
        <v>861</v>
      </c>
      <c r="AQ67">
        <v>3</v>
      </c>
      <c r="AR67">
        <v>1.3100000000000001E-2</v>
      </c>
      <c r="AS67">
        <v>7.1492860088041583</v>
      </c>
      <c r="AT67">
        <v>818.46724223551462</v>
      </c>
      <c r="AU67">
        <v>0.42399999999999999</v>
      </c>
      <c r="AV67">
        <v>1.7899999999999999E-2</v>
      </c>
      <c r="AW67">
        <v>12.996899999999982</v>
      </c>
      <c r="AX67">
        <v>1.7899999999999999E-2</v>
      </c>
      <c r="BI67" s="2">
        <v>45681</v>
      </c>
      <c r="BJ67" t="s">
        <v>1065</v>
      </c>
      <c r="BK67">
        <v>4</v>
      </c>
      <c r="BL67">
        <v>1.7399999999999999E-2</v>
      </c>
      <c r="BM67">
        <v>7.3390422650792893</v>
      </c>
      <c r="BN67">
        <v>731.99873910538975</v>
      </c>
      <c r="BO67">
        <v>0.42399999999999999</v>
      </c>
      <c r="BP67">
        <v>2.0899999999999998E-2</v>
      </c>
      <c r="BQ67">
        <v>13.000299999999982</v>
      </c>
      <c r="BR67">
        <v>2.0899999999999998E-2</v>
      </c>
      <c r="BS67" s="2">
        <v>45681</v>
      </c>
      <c r="BT67" t="s">
        <v>1189</v>
      </c>
      <c r="BU67">
        <v>4</v>
      </c>
      <c r="BV67">
        <v>1.66E-2</v>
      </c>
      <c r="BW67">
        <v>7.1494567119898944</v>
      </c>
      <c r="BX67">
        <v>714.32936555745812</v>
      </c>
      <c r="BY67">
        <v>0.42399999999999999</v>
      </c>
      <c r="BZ67">
        <v>1.7899999999999999E-2</v>
      </c>
      <c r="CA67">
        <v>13.001499999999993</v>
      </c>
      <c r="CB67">
        <v>1.7899999999999999E-2</v>
      </c>
      <c r="CC67" s="2">
        <v>45681</v>
      </c>
      <c r="CD67" t="s">
        <v>1309</v>
      </c>
      <c r="CE67">
        <v>5</v>
      </c>
      <c r="CF67">
        <v>1.61E-2</v>
      </c>
      <c r="CG67">
        <v>6.9784842936775444</v>
      </c>
      <c r="CH67">
        <v>698.39473617074714</v>
      </c>
      <c r="CI67">
        <v>0.42399999999999999</v>
      </c>
      <c r="CJ67">
        <v>1.5299999999999999E-2</v>
      </c>
      <c r="CK67">
        <v>13.401899999999983</v>
      </c>
      <c r="CL67">
        <v>1.5299999999999999E-2</v>
      </c>
      <c r="CM67" s="2">
        <v>45681</v>
      </c>
      <c r="CN67" t="s">
        <v>1427</v>
      </c>
      <c r="CO67">
        <v>5</v>
      </c>
      <c r="CP67">
        <v>1.6400000000000001E-2</v>
      </c>
      <c r="CQ67">
        <v>7.1493180409934061</v>
      </c>
      <c r="CR67">
        <v>714.31644142058542</v>
      </c>
      <c r="CS67">
        <v>0.42399999999999999</v>
      </c>
      <c r="CT67">
        <v>1.7899999999999999E-2</v>
      </c>
      <c r="CU67">
        <v>13.000900000000001</v>
      </c>
      <c r="CV67">
        <v>1.7899999999999999E-2</v>
      </c>
      <c r="CW67" s="2">
        <v>45681</v>
      </c>
      <c r="CX67" t="s">
        <v>1587</v>
      </c>
      <c r="CY67">
        <v>5</v>
      </c>
      <c r="CZ67">
        <v>1.66E-2</v>
      </c>
      <c r="DA67">
        <v>6.973354683219763</v>
      </c>
      <c r="DB67">
        <v>697.91665647608193</v>
      </c>
      <c r="DC67">
        <v>0.42399999999999999</v>
      </c>
      <c r="DD67">
        <v>1.52E-2</v>
      </c>
      <c r="DE67">
        <v>13.409800000000018</v>
      </c>
      <c r="DF67">
        <v>1.52E-2</v>
      </c>
      <c r="DG67" s="2">
        <v>45681</v>
      </c>
      <c r="DH67" t="s">
        <v>1745</v>
      </c>
      <c r="DI67">
        <v>6</v>
      </c>
      <c r="DJ67">
        <v>1.6299999999999999E-2</v>
      </c>
      <c r="DK67">
        <v>7.1484981791369808</v>
      </c>
      <c r="DL67">
        <v>714.24003029556661</v>
      </c>
      <c r="DM67">
        <v>0.42399999999999999</v>
      </c>
      <c r="DN67">
        <v>1.7899999999999999E-2</v>
      </c>
      <c r="DO67">
        <v>12.998400000000004</v>
      </c>
      <c r="DP67">
        <v>1.7899999999999999E-2</v>
      </c>
    </row>
    <row r="68" spans="1:120" x14ac:dyDescent="0.3">
      <c r="A68" s="2">
        <v>45681</v>
      </c>
      <c r="B68" t="s">
        <v>254</v>
      </c>
      <c r="C68">
        <v>1</v>
      </c>
      <c r="D68">
        <v>1.7299999999999999E-2</v>
      </c>
      <c r="E68">
        <v>7.0674940436508971</v>
      </c>
      <c r="F68">
        <v>706.69044486826363</v>
      </c>
      <c r="G68">
        <v>0.42399999999999999</v>
      </c>
      <c r="H68">
        <v>1.67E-2</v>
      </c>
      <c r="I68">
        <v>13.201460000000001</v>
      </c>
      <c r="J68">
        <v>1.67E-2</v>
      </c>
      <c r="K68" s="2">
        <v>45681</v>
      </c>
      <c r="L68" t="s">
        <v>412</v>
      </c>
      <c r="M68">
        <v>1</v>
      </c>
      <c r="N68">
        <v>1.7999999999999999E-2</v>
      </c>
      <c r="O68">
        <v>7.217896930817628</v>
      </c>
      <c r="P68">
        <v>720.70799395220297</v>
      </c>
      <c r="Q68">
        <v>0.42399999999999999</v>
      </c>
      <c r="R68">
        <v>1.9E-2</v>
      </c>
      <c r="S68">
        <v>13.200769999999999</v>
      </c>
      <c r="T68">
        <v>1.9E-2</v>
      </c>
      <c r="U68" s="2">
        <v>45681</v>
      </c>
      <c r="V68" t="s">
        <v>665</v>
      </c>
      <c r="W68">
        <v>2</v>
      </c>
      <c r="X68">
        <v>1.6299999999999999E-2</v>
      </c>
      <c r="Y68">
        <v>7.3390191532465421</v>
      </c>
      <c r="Z68">
        <v>836.47291764309693</v>
      </c>
      <c r="AA68">
        <v>0.42399999999999999</v>
      </c>
      <c r="AB68">
        <v>2.0899999999999998E-2</v>
      </c>
      <c r="AC68">
        <v>13.19959999999999</v>
      </c>
      <c r="AD68">
        <v>2.0899999999999998E-2</v>
      </c>
      <c r="AO68" s="2">
        <v>45681</v>
      </c>
      <c r="AP68" t="s">
        <v>862</v>
      </c>
      <c r="AQ68">
        <v>3</v>
      </c>
      <c r="AR68">
        <v>1.43E-2</v>
      </c>
      <c r="AS68">
        <v>7.2181248053791069</v>
      </c>
      <c r="AT68">
        <v>825.00004403047728</v>
      </c>
      <c r="AU68">
        <v>0.42399999999999999</v>
      </c>
      <c r="AV68">
        <v>1.9E-2</v>
      </c>
      <c r="AW68">
        <v>13.196699999999993</v>
      </c>
      <c r="AX68">
        <v>1.9E-2</v>
      </c>
      <c r="BI68" s="2">
        <v>45681</v>
      </c>
      <c r="BJ68" t="s">
        <v>1066</v>
      </c>
      <c r="BK68">
        <v>4</v>
      </c>
      <c r="BL68">
        <v>1.7399999999999999E-2</v>
      </c>
      <c r="BM68">
        <v>7.3143332830473016</v>
      </c>
      <c r="BN68">
        <v>729.69586198000854</v>
      </c>
      <c r="BO68">
        <v>0.42399999999999999</v>
      </c>
      <c r="BP68">
        <v>2.0500000000000001E-2</v>
      </c>
      <c r="BQ68">
        <v>13.200400000000002</v>
      </c>
      <c r="BR68">
        <v>2.0500000000000001E-2</v>
      </c>
      <c r="BS68" s="2">
        <v>45681</v>
      </c>
      <c r="BT68" t="s">
        <v>1190</v>
      </c>
      <c r="BU68">
        <v>4</v>
      </c>
      <c r="BV68">
        <v>1.66E-2</v>
      </c>
      <c r="BW68">
        <v>7.0657103778218104</v>
      </c>
      <c r="BX68">
        <v>706.52420721299268</v>
      </c>
      <c r="BY68">
        <v>0.42399999999999999</v>
      </c>
      <c r="BZ68">
        <v>1.66E-2</v>
      </c>
      <c r="CA68">
        <v>13.208699999999993</v>
      </c>
      <c r="CB68">
        <v>1.66E-2</v>
      </c>
      <c r="CM68" s="2">
        <v>45681</v>
      </c>
      <c r="CN68" t="s">
        <v>1428</v>
      </c>
      <c r="CO68">
        <v>5</v>
      </c>
      <c r="CP68">
        <v>1.6400000000000001E-2</v>
      </c>
      <c r="CQ68">
        <v>7.0688280424182741</v>
      </c>
      <c r="CR68">
        <v>706.81477355338313</v>
      </c>
      <c r="CS68">
        <v>0.42399999999999999</v>
      </c>
      <c r="CT68">
        <v>1.67E-2</v>
      </c>
      <c r="CU68">
        <v>13.200600000000009</v>
      </c>
      <c r="CV68">
        <v>1.67E-2</v>
      </c>
      <c r="CW68" s="2">
        <v>45681</v>
      </c>
      <c r="CX68" t="s">
        <v>1588</v>
      </c>
      <c r="CY68">
        <v>5</v>
      </c>
      <c r="CZ68">
        <v>1.66E-2</v>
      </c>
      <c r="DA68">
        <v>6.8794768514223579</v>
      </c>
      <c r="DB68">
        <v>689.16724255256372</v>
      </c>
      <c r="DC68">
        <v>0.42399999999999999</v>
      </c>
      <c r="DD68">
        <v>1.37E-2</v>
      </c>
      <c r="DE68">
        <v>13.600999999999999</v>
      </c>
      <c r="DF68">
        <v>1.37E-2</v>
      </c>
      <c r="DG68" s="2">
        <v>45681</v>
      </c>
      <c r="DH68" t="s">
        <v>1746</v>
      </c>
      <c r="DI68">
        <v>6</v>
      </c>
      <c r="DJ68">
        <v>1.6299999999999999E-2</v>
      </c>
      <c r="DK68">
        <v>7.0676396076501327</v>
      </c>
      <c r="DL68">
        <v>706.70401143299239</v>
      </c>
      <c r="DM68">
        <v>0.42399999999999999</v>
      </c>
      <c r="DN68">
        <v>1.67E-2</v>
      </c>
      <c r="DO68">
        <v>13.198599999999999</v>
      </c>
      <c r="DP68">
        <v>1.67E-2</v>
      </c>
    </row>
    <row r="69" spans="1:120" x14ac:dyDescent="0.3">
      <c r="A69" s="2">
        <v>45681</v>
      </c>
      <c r="B69" t="s">
        <v>255</v>
      </c>
      <c r="C69">
        <v>1</v>
      </c>
      <c r="D69">
        <v>1.7299999999999999E-2</v>
      </c>
      <c r="E69">
        <v>6.9775188678218836</v>
      </c>
      <c r="F69">
        <v>698.30475848099957</v>
      </c>
      <c r="G69">
        <v>0.42399999999999999</v>
      </c>
      <c r="H69">
        <v>1.5299999999999999E-2</v>
      </c>
      <c r="I69">
        <v>13.400269999999999</v>
      </c>
      <c r="J69">
        <v>1.5299999999999999E-2</v>
      </c>
      <c r="K69" s="2">
        <v>45681</v>
      </c>
      <c r="L69" t="s">
        <v>413</v>
      </c>
      <c r="M69">
        <v>1</v>
      </c>
      <c r="N69">
        <v>1.7999999999999999E-2</v>
      </c>
      <c r="O69">
        <v>7.1469715817633714</v>
      </c>
      <c r="P69">
        <v>714.09775142034619</v>
      </c>
      <c r="Q69">
        <v>0.42399999999999999</v>
      </c>
      <c r="R69">
        <v>1.7899999999999999E-2</v>
      </c>
      <c r="S69">
        <v>13.406039999999997</v>
      </c>
      <c r="T69">
        <v>1.7899999999999999E-2</v>
      </c>
      <c r="U69" s="2">
        <v>45681</v>
      </c>
      <c r="V69" t="s">
        <v>666</v>
      </c>
      <c r="W69">
        <v>2</v>
      </c>
      <c r="X69">
        <v>1.7100000000000001E-2</v>
      </c>
      <c r="Y69">
        <v>7.3473025151975344</v>
      </c>
      <c r="Z69">
        <v>837.25900869224608</v>
      </c>
      <c r="AA69">
        <v>0.42399999999999999</v>
      </c>
      <c r="AB69">
        <v>2.1000000000000001E-2</v>
      </c>
      <c r="AC69">
        <v>13.400299999999987</v>
      </c>
      <c r="AD69">
        <v>2.1000000000000001E-2</v>
      </c>
      <c r="AO69" s="2">
        <v>45681</v>
      </c>
      <c r="AP69" t="s">
        <v>863</v>
      </c>
      <c r="AQ69">
        <v>3</v>
      </c>
      <c r="AR69">
        <v>1.5599999999999999E-2</v>
      </c>
      <c r="AS69">
        <v>7.2734816995177924</v>
      </c>
      <c r="AT69">
        <v>830.25341328423849</v>
      </c>
      <c r="AU69">
        <v>0.42399999999999999</v>
      </c>
      <c r="AV69">
        <v>1.9900000000000001E-2</v>
      </c>
      <c r="AW69">
        <v>13.3964</v>
      </c>
      <c r="AX69">
        <v>1.9900000000000001E-2</v>
      </c>
      <c r="BI69" s="2">
        <v>45681</v>
      </c>
      <c r="BJ69" t="s">
        <v>1067</v>
      </c>
      <c r="BK69">
        <v>4</v>
      </c>
      <c r="BL69">
        <v>1.7399999999999999E-2</v>
      </c>
      <c r="BM69">
        <v>7.2736730817117738</v>
      </c>
      <c r="BN69">
        <v>725.90633121553731</v>
      </c>
      <c r="BO69">
        <v>0.42399999999999999</v>
      </c>
      <c r="BP69">
        <v>1.9900000000000001E-2</v>
      </c>
      <c r="BQ69">
        <v>13.400899999999979</v>
      </c>
      <c r="BR69">
        <v>1.9900000000000001E-2</v>
      </c>
      <c r="BS69" s="2">
        <v>45681</v>
      </c>
      <c r="BT69" t="s">
        <v>1191</v>
      </c>
      <c r="BU69">
        <v>4</v>
      </c>
      <c r="BV69">
        <v>1.6500000000000001E-2</v>
      </c>
      <c r="BW69">
        <v>6.9792603646929727</v>
      </c>
      <c r="BX69">
        <v>698.46706598938511</v>
      </c>
      <c r="BY69">
        <v>0.42399999999999999</v>
      </c>
      <c r="BZ69">
        <v>1.5299999999999999E-2</v>
      </c>
      <c r="CA69">
        <v>13.399699999999996</v>
      </c>
      <c r="CB69">
        <v>1.5299999999999999E-2</v>
      </c>
      <c r="CM69" s="2">
        <v>45681</v>
      </c>
      <c r="CN69" t="s">
        <v>1429</v>
      </c>
      <c r="CO69">
        <v>5</v>
      </c>
      <c r="CP69">
        <v>1.6400000000000001E-2</v>
      </c>
      <c r="CQ69">
        <v>6.9783602196280574</v>
      </c>
      <c r="CR69">
        <v>698.38317246933502</v>
      </c>
      <c r="CS69">
        <v>0.42399999999999999</v>
      </c>
      <c r="CT69">
        <v>1.5299999999999999E-2</v>
      </c>
      <c r="CU69">
        <v>13.400700000000029</v>
      </c>
      <c r="CV69">
        <v>1.5299999999999999E-2</v>
      </c>
      <c r="CW69" s="2">
        <v>45681</v>
      </c>
      <c r="CX69" t="s">
        <v>1589</v>
      </c>
      <c r="CY69">
        <v>5</v>
      </c>
      <c r="CZ69">
        <v>1.6500000000000001E-2</v>
      </c>
      <c r="DA69">
        <v>6.7764872809317858</v>
      </c>
      <c r="DB69">
        <v>679.56861458284243</v>
      </c>
      <c r="DC69">
        <v>0.42399999999999999</v>
      </c>
      <c r="DD69">
        <v>1.21E-2</v>
      </c>
      <c r="DE69">
        <v>13.800700000000006</v>
      </c>
      <c r="DF69">
        <v>1.21E-2</v>
      </c>
      <c r="DG69" s="2">
        <v>45681</v>
      </c>
      <c r="DH69" t="s">
        <v>1747</v>
      </c>
      <c r="DI69">
        <v>6</v>
      </c>
      <c r="DJ69">
        <v>1.6299999999999999E-2</v>
      </c>
      <c r="DK69">
        <v>6.9770055418524306</v>
      </c>
      <c r="DL69">
        <v>698.25691650064653</v>
      </c>
      <c r="DM69">
        <v>0.42399999999999999</v>
      </c>
      <c r="DN69">
        <v>1.52E-2</v>
      </c>
      <c r="DO69">
        <v>13.398900000000026</v>
      </c>
      <c r="DP69">
        <v>1.52E-2</v>
      </c>
    </row>
    <row r="70" spans="1:120" x14ac:dyDescent="0.3">
      <c r="A70" s="2">
        <v>45681</v>
      </c>
      <c r="B70" t="s">
        <v>256</v>
      </c>
      <c r="C70">
        <v>1</v>
      </c>
      <c r="D70">
        <v>1.7299999999999999E-2</v>
      </c>
      <c r="E70">
        <v>6.8797821708970792</v>
      </c>
      <c r="F70">
        <v>689.19569832760783</v>
      </c>
      <c r="G70">
        <v>0.42399999999999999</v>
      </c>
      <c r="H70">
        <v>1.37E-2</v>
      </c>
      <c r="I70">
        <v>13.599700000000002</v>
      </c>
      <c r="J70">
        <v>1.37E-2</v>
      </c>
      <c r="K70" s="2">
        <v>45681</v>
      </c>
      <c r="L70" t="s">
        <v>414</v>
      </c>
      <c r="M70">
        <v>1</v>
      </c>
      <c r="N70">
        <v>1.7899999999999999E-2</v>
      </c>
      <c r="O70">
        <v>7.0677827388248708</v>
      </c>
      <c r="P70">
        <v>706.71735125847795</v>
      </c>
      <c r="Q70">
        <v>0.42399999999999999</v>
      </c>
      <c r="R70">
        <v>1.67E-2</v>
      </c>
      <c r="S70">
        <v>13.601880000000001</v>
      </c>
      <c r="T70">
        <v>1.67E-2</v>
      </c>
      <c r="U70" s="2">
        <v>45681</v>
      </c>
      <c r="V70" t="s">
        <v>667</v>
      </c>
      <c r="W70">
        <v>2</v>
      </c>
      <c r="X70">
        <v>1.7100000000000001E-2</v>
      </c>
      <c r="Y70">
        <v>7.3384421683693448</v>
      </c>
      <c r="Z70">
        <v>731.94281009202291</v>
      </c>
      <c r="AA70">
        <v>0.42399999999999999</v>
      </c>
      <c r="AB70">
        <v>2.0899999999999998E-2</v>
      </c>
      <c r="AC70">
        <v>13.605599999999995</v>
      </c>
      <c r="AD70">
        <v>2.0899999999999998E-2</v>
      </c>
      <c r="AO70" s="2">
        <v>45681</v>
      </c>
      <c r="AP70" t="s">
        <v>864</v>
      </c>
      <c r="AQ70">
        <v>3</v>
      </c>
      <c r="AR70">
        <v>1.6E-2</v>
      </c>
      <c r="AS70">
        <v>7.3142144801175633</v>
      </c>
      <c r="AT70">
        <v>834.11895416315679</v>
      </c>
      <c r="AU70">
        <v>0.42399999999999999</v>
      </c>
      <c r="AV70">
        <v>2.0500000000000001E-2</v>
      </c>
      <c r="AW70">
        <v>13.59699999999998</v>
      </c>
      <c r="AX70">
        <v>2.0500000000000001E-2</v>
      </c>
      <c r="BI70" s="2">
        <v>45681</v>
      </c>
      <c r="BJ70" t="s">
        <v>1068</v>
      </c>
      <c r="BK70">
        <v>4</v>
      </c>
      <c r="BL70">
        <v>1.7500000000000002E-2</v>
      </c>
      <c r="BM70">
        <v>7.2179484256028754</v>
      </c>
      <c r="BN70">
        <v>720.71279326618787</v>
      </c>
      <c r="BO70">
        <v>0.42399999999999999</v>
      </c>
      <c r="BP70">
        <v>1.9E-2</v>
      </c>
      <c r="BQ70">
        <v>13.601900000000001</v>
      </c>
      <c r="BR70">
        <v>1.9E-2</v>
      </c>
      <c r="BS70" s="2">
        <v>45681</v>
      </c>
      <c r="BT70" t="s">
        <v>1192</v>
      </c>
      <c r="BU70">
        <v>4</v>
      </c>
      <c r="BV70">
        <v>1.6500000000000001E-2</v>
      </c>
      <c r="BW70">
        <v>6.8814450064426786</v>
      </c>
      <c r="BX70">
        <v>689.35067460045764</v>
      </c>
      <c r="BY70">
        <v>0.42399999999999999</v>
      </c>
      <c r="BZ70">
        <v>1.38E-2</v>
      </c>
      <c r="CA70">
        <v>13.599500000000006</v>
      </c>
      <c r="CB70">
        <v>1.38E-2</v>
      </c>
      <c r="CM70" s="2">
        <v>45681</v>
      </c>
      <c r="CN70" t="s">
        <v>1430</v>
      </c>
      <c r="CO70">
        <v>5</v>
      </c>
      <c r="CP70">
        <v>1.6400000000000001E-2</v>
      </c>
      <c r="CQ70">
        <v>6.8799836898598112</v>
      </c>
      <c r="CR70">
        <v>689.21447989493447</v>
      </c>
      <c r="CS70">
        <v>0.42399999999999999</v>
      </c>
      <c r="CT70">
        <v>1.37E-2</v>
      </c>
      <c r="CU70">
        <v>13.601500000000044</v>
      </c>
      <c r="CV70">
        <v>1.37E-2</v>
      </c>
      <c r="CW70" s="2">
        <v>45681</v>
      </c>
      <c r="CX70" t="s">
        <v>1590</v>
      </c>
      <c r="CY70">
        <v>5</v>
      </c>
      <c r="CZ70">
        <v>1.6500000000000001E-2</v>
      </c>
      <c r="DA70">
        <v>6.6709099961149514</v>
      </c>
      <c r="DB70">
        <v>669.7288116379134</v>
      </c>
      <c r="DC70">
        <v>0.42399999999999999</v>
      </c>
      <c r="DD70">
        <v>1.0500000000000001E-2</v>
      </c>
      <c r="DE70">
        <v>14.000400000000013</v>
      </c>
      <c r="DF70">
        <v>1.0500000000000001E-2</v>
      </c>
      <c r="DG70" s="2">
        <v>45681</v>
      </c>
      <c r="DH70" t="s">
        <v>1748</v>
      </c>
      <c r="DI70">
        <v>6</v>
      </c>
      <c r="DJ70">
        <v>1.6400000000000001E-2</v>
      </c>
      <c r="DK70">
        <v>6.8783614013892107</v>
      </c>
      <c r="DL70">
        <v>689.06328260947441</v>
      </c>
      <c r="DM70">
        <v>0.42399999999999999</v>
      </c>
      <c r="DN70">
        <v>1.37E-2</v>
      </c>
      <c r="DO70">
        <v>13.600000000000023</v>
      </c>
      <c r="DP70">
        <v>1.37E-2</v>
      </c>
    </row>
    <row r="71" spans="1:120" x14ac:dyDescent="0.3">
      <c r="A71" s="2">
        <v>45681</v>
      </c>
      <c r="B71" t="s">
        <v>257</v>
      </c>
      <c r="C71">
        <v>1</v>
      </c>
      <c r="D71">
        <v>1.66E-2</v>
      </c>
      <c r="E71">
        <v>6.7757598664063519</v>
      </c>
      <c r="F71">
        <v>679.50081954907205</v>
      </c>
      <c r="G71">
        <v>0.42399999999999999</v>
      </c>
      <c r="H71">
        <v>1.21E-2</v>
      </c>
      <c r="I71">
        <v>13.801390000000001</v>
      </c>
      <c r="J71">
        <v>1.21E-2</v>
      </c>
      <c r="K71" s="2">
        <v>45681</v>
      </c>
      <c r="L71" t="s">
        <v>415</v>
      </c>
      <c r="M71">
        <v>1</v>
      </c>
      <c r="N71">
        <v>1.78E-2</v>
      </c>
      <c r="O71">
        <v>6.9778456772463544</v>
      </c>
      <c r="P71">
        <v>698.33521711936021</v>
      </c>
      <c r="Q71">
        <v>0.42399999999999999</v>
      </c>
      <c r="R71">
        <v>1.5299999999999999E-2</v>
      </c>
      <c r="S71">
        <v>13.800670000000004</v>
      </c>
      <c r="T71">
        <v>1.5299999999999999E-2</v>
      </c>
      <c r="U71" s="2">
        <v>45681</v>
      </c>
      <c r="V71" t="s">
        <v>668</v>
      </c>
      <c r="W71">
        <v>2</v>
      </c>
      <c r="X71">
        <v>1.7100000000000001E-2</v>
      </c>
      <c r="Y71">
        <v>7.313928623238839</v>
      </c>
      <c r="Z71">
        <v>729.65814768585983</v>
      </c>
      <c r="AA71">
        <v>0.42399999999999999</v>
      </c>
      <c r="AB71">
        <v>2.0500000000000001E-2</v>
      </c>
      <c r="AC71">
        <v>13.800999999999988</v>
      </c>
      <c r="AD71">
        <v>2.0500000000000001E-2</v>
      </c>
      <c r="AO71" s="2">
        <v>45681</v>
      </c>
      <c r="AP71" t="s">
        <v>865</v>
      </c>
      <c r="AQ71">
        <v>3</v>
      </c>
      <c r="AR71">
        <v>1.6199999999999999E-2</v>
      </c>
      <c r="AS71">
        <v>7.3390726753855384</v>
      </c>
      <c r="AT71">
        <v>836.4779968940876</v>
      </c>
      <c r="AU71">
        <v>0.42399999999999999</v>
      </c>
      <c r="AV71">
        <v>2.0899999999999998E-2</v>
      </c>
      <c r="AW71">
        <v>13.79819999999998</v>
      </c>
      <c r="AX71">
        <v>2.0899999999999998E-2</v>
      </c>
      <c r="BI71" s="2">
        <v>45681</v>
      </c>
      <c r="BJ71" t="s">
        <v>1069</v>
      </c>
      <c r="BK71">
        <v>4</v>
      </c>
      <c r="BL71">
        <v>1.7299999999999999E-2</v>
      </c>
      <c r="BM71">
        <v>7.1490005573961843</v>
      </c>
      <c r="BN71">
        <v>714.28685194932439</v>
      </c>
      <c r="BO71">
        <v>0.42399999999999999</v>
      </c>
      <c r="BP71">
        <v>1.7899999999999999E-2</v>
      </c>
      <c r="BQ71">
        <v>13.801999999999992</v>
      </c>
      <c r="BR71">
        <v>1.7899999999999999E-2</v>
      </c>
      <c r="BS71" s="2">
        <v>45681</v>
      </c>
      <c r="BT71" t="s">
        <v>1193</v>
      </c>
      <c r="BU71">
        <v>4</v>
      </c>
      <c r="BV71">
        <v>1.6500000000000001E-2</v>
      </c>
      <c r="BW71">
        <v>6.7771867179754706</v>
      </c>
      <c r="BX71">
        <v>679.63380211531398</v>
      </c>
      <c r="BY71">
        <v>0.42399999999999999</v>
      </c>
      <c r="BZ71">
        <v>1.21E-2</v>
      </c>
      <c r="CA71">
        <v>13.801799999999986</v>
      </c>
      <c r="CB71">
        <v>1.21E-2</v>
      </c>
      <c r="CM71" s="2">
        <v>45681</v>
      </c>
      <c r="CN71" t="s">
        <v>1431</v>
      </c>
      <c r="CO71">
        <v>5</v>
      </c>
      <c r="CP71">
        <v>1.61E-2</v>
      </c>
      <c r="CQ71">
        <v>6.7771867179754706</v>
      </c>
      <c r="CR71">
        <v>679.63380211531398</v>
      </c>
      <c r="CS71">
        <v>0.42399999999999999</v>
      </c>
      <c r="CT71">
        <v>1.21E-2</v>
      </c>
      <c r="CU71">
        <v>13.800900000000013</v>
      </c>
      <c r="CV71">
        <v>1.21E-2</v>
      </c>
      <c r="CW71" s="2">
        <v>45681</v>
      </c>
      <c r="CX71" t="s">
        <v>1591</v>
      </c>
      <c r="CY71">
        <v>5</v>
      </c>
      <c r="CZ71">
        <v>1.6E-2</v>
      </c>
      <c r="DA71">
        <v>6.5646859854519244</v>
      </c>
      <c r="DB71">
        <v>659.82873384411926</v>
      </c>
      <c r="DC71">
        <v>0.42399999999999999</v>
      </c>
      <c r="DD71">
        <v>8.8000000000000005E-3</v>
      </c>
      <c r="DE71">
        <v>14.201399999999978</v>
      </c>
      <c r="DF71">
        <v>8.8000000000000005E-3</v>
      </c>
      <c r="DG71" s="2">
        <v>45681</v>
      </c>
      <c r="DH71" t="s">
        <v>1749</v>
      </c>
      <c r="DI71">
        <v>6</v>
      </c>
      <c r="DJ71">
        <v>1.6199999999999999E-2</v>
      </c>
      <c r="DK71">
        <v>6.7751151679139099</v>
      </c>
      <c r="DL71">
        <v>679.44073364957637</v>
      </c>
      <c r="DM71">
        <v>0.42399999999999999</v>
      </c>
      <c r="DN71">
        <v>1.21E-2</v>
      </c>
      <c r="DO71">
        <v>13.800099999999986</v>
      </c>
      <c r="DP71">
        <v>1.21E-2</v>
      </c>
    </row>
    <row r="72" spans="1:120" x14ac:dyDescent="0.3">
      <c r="A72" s="2">
        <v>45681</v>
      </c>
      <c r="B72" t="s">
        <v>258</v>
      </c>
      <c r="C72">
        <v>1</v>
      </c>
      <c r="D72">
        <v>1.5900000000000001E-2</v>
      </c>
      <c r="E72">
        <v>6.6714796825186484</v>
      </c>
      <c r="F72">
        <v>669.78190641073809</v>
      </c>
      <c r="G72">
        <v>0.42399999999999999</v>
      </c>
      <c r="H72">
        <v>1.0500000000000001E-2</v>
      </c>
      <c r="I72">
        <v>13.998650000000001</v>
      </c>
      <c r="J72">
        <v>1.0500000000000001E-2</v>
      </c>
      <c r="K72" s="2">
        <v>45681</v>
      </c>
      <c r="L72" t="s">
        <v>416</v>
      </c>
      <c r="M72">
        <v>1</v>
      </c>
      <c r="N72">
        <v>1.78E-2</v>
      </c>
      <c r="O72">
        <v>6.8797266214043331</v>
      </c>
      <c r="P72">
        <v>689.19052111488384</v>
      </c>
      <c r="Q72">
        <v>0.42399999999999999</v>
      </c>
      <c r="R72">
        <v>1.37E-2</v>
      </c>
      <c r="S72">
        <v>14.000900000000001</v>
      </c>
      <c r="T72">
        <v>1.37E-2</v>
      </c>
      <c r="U72" s="2">
        <v>45681</v>
      </c>
      <c r="V72" t="s">
        <v>669</v>
      </c>
      <c r="W72">
        <v>2</v>
      </c>
      <c r="X72">
        <v>1.7100000000000001E-2</v>
      </c>
      <c r="Y72">
        <v>7.2735169754730391</v>
      </c>
      <c r="Z72">
        <v>725.89178211408728</v>
      </c>
      <c r="AA72">
        <v>0.42399999999999999</v>
      </c>
      <c r="AB72">
        <v>1.9900000000000001E-2</v>
      </c>
      <c r="AC72">
        <v>13.99969999999999</v>
      </c>
      <c r="AD72">
        <v>1.9900000000000001E-2</v>
      </c>
      <c r="AO72" s="2">
        <v>45681</v>
      </c>
      <c r="AP72" t="s">
        <v>866</v>
      </c>
      <c r="AQ72">
        <v>3</v>
      </c>
      <c r="AR72">
        <v>1.6199999999999999E-2</v>
      </c>
      <c r="AS72">
        <v>7.3473025151975344</v>
      </c>
      <c r="AT72">
        <v>837.25900869224608</v>
      </c>
      <c r="AU72">
        <v>0.42399999999999999</v>
      </c>
      <c r="AV72">
        <v>2.1000000000000001E-2</v>
      </c>
      <c r="AW72">
        <v>13.997500000000002</v>
      </c>
      <c r="AX72">
        <v>2.1000000000000001E-2</v>
      </c>
      <c r="BI72" s="2">
        <v>45681</v>
      </c>
      <c r="BJ72" t="s">
        <v>1070</v>
      </c>
      <c r="BK72">
        <v>4</v>
      </c>
      <c r="BL72">
        <v>1.7299999999999999E-2</v>
      </c>
      <c r="BM72">
        <v>7.0688657511980217</v>
      </c>
      <c r="BN72">
        <v>706.81828801165568</v>
      </c>
      <c r="BO72">
        <v>0.42399999999999999</v>
      </c>
      <c r="BP72">
        <v>1.67E-2</v>
      </c>
      <c r="BQ72">
        <v>14.000699999999995</v>
      </c>
      <c r="BR72">
        <v>1.67E-2</v>
      </c>
      <c r="BS72" s="2">
        <v>45681</v>
      </c>
      <c r="BT72" t="s">
        <v>1194</v>
      </c>
      <c r="BU72">
        <v>4</v>
      </c>
      <c r="BV72">
        <v>1.5800000000000002E-2</v>
      </c>
      <c r="BW72">
        <v>6.6719792224825998</v>
      </c>
      <c r="BX72">
        <v>669.82846353537832</v>
      </c>
      <c r="BY72">
        <v>0.42399999999999999</v>
      </c>
      <c r="BZ72">
        <v>1.0500000000000001E-2</v>
      </c>
      <c r="CA72">
        <v>14.000799999999998</v>
      </c>
      <c r="CB72">
        <v>1.0500000000000001E-2</v>
      </c>
      <c r="CM72" s="2">
        <v>45681</v>
      </c>
      <c r="CN72" t="s">
        <v>1432</v>
      </c>
      <c r="CO72">
        <v>5</v>
      </c>
      <c r="CP72">
        <v>1.55E-2</v>
      </c>
      <c r="CQ72">
        <v>6.6224440773718856</v>
      </c>
      <c r="CR72">
        <v>665.21178801105975</v>
      </c>
      <c r="CS72">
        <v>0.42399999999999999</v>
      </c>
      <c r="CT72">
        <v>9.7000000000000003E-3</v>
      </c>
      <c r="CU72">
        <v>14.093299999999999</v>
      </c>
      <c r="CV72">
        <v>9.7000000000000003E-3</v>
      </c>
      <c r="CW72" s="2">
        <v>45681</v>
      </c>
      <c r="CX72" t="s">
        <v>1592</v>
      </c>
      <c r="CY72">
        <v>5</v>
      </c>
      <c r="CZ72">
        <v>1.49E-2</v>
      </c>
      <c r="DA72">
        <v>6.4614223167343754</v>
      </c>
      <c r="DB72">
        <v>650.20455991964377</v>
      </c>
      <c r="DC72">
        <v>0.42399999999999999</v>
      </c>
      <c r="DD72">
        <v>7.1999999999999998E-3</v>
      </c>
      <c r="DE72">
        <v>14.40179999999998</v>
      </c>
      <c r="DF72">
        <v>7.1999999999999998E-3</v>
      </c>
      <c r="DG72" s="2">
        <v>45681</v>
      </c>
      <c r="DH72" t="s">
        <v>1750</v>
      </c>
      <c r="DI72">
        <v>6</v>
      </c>
      <c r="DJ72">
        <v>1.6199999999999999E-2</v>
      </c>
      <c r="DK72">
        <v>6.6702227231937616</v>
      </c>
      <c r="DL72">
        <v>669.66475780165865</v>
      </c>
      <c r="DM72">
        <v>0.42399999999999999</v>
      </c>
      <c r="DN72">
        <v>1.0500000000000001E-2</v>
      </c>
      <c r="DO72">
        <v>13.998500000000035</v>
      </c>
      <c r="DP72">
        <v>1.0500000000000001E-2</v>
      </c>
    </row>
    <row r="73" spans="1:120" x14ac:dyDescent="0.3">
      <c r="A73" s="2">
        <v>45681</v>
      </c>
      <c r="B73" t="s">
        <v>259</v>
      </c>
      <c r="C73">
        <v>1</v>
      </c>
      <c r="D73">
        <v>1.44E-2</v>
      </c>
      <c r="E73">
        <v>6.5657349382820778</v>
      </c>
      <c r="F73">
        <v>659.92649624788965</v>
      </c>
      <c r="G73">
        <v>0.42399999999999999</v>
      </c>
      <c r="H73">
        <v>8.8999999999999999E-3</v>
      </c>
      <c r="I73">
        <v>14.198710000000002</v>
      </c>
      <c r="J73">
        <v>8.8999999999999999E-3</v>
      </c>
      <c r="K73" s="2">
        <v>45681</v>
      </c>
      <c r="L73" t="s">
        <v>417</v>
      </c>
      <c r="M73">
        <v>1</v>
      </c>
      <c r="N73">
        <v>1.7299999999999999E-2</v>
      </c>
      <c r="O73">
        <v>6.7758932662830906</v>
      </c>
      <c r="P73">
        <v>679.51325241758411</v>
      </c>
      <c r="Q73">
        <v>0.42399999999999999</v>
      </c>
      <c r="R73">
        <v>1.21E-2</v>
      </c>
      <c r="S73">
        <v>14.20223</v>
      </c>
      <c r="T73">
        <v>1.21E-2</v>
      </c>
      <c r="U73" s="2">
        <v>45681</v>
      </c>
      <c r="V73" t="s">
        <v>670</v>
      </c>
      <c r="W73">
        <v>2</v>
      </c>
      <c r="X73">
        <v>1.7100000000000001E-2</v>
      </c>
      <c r="Y73">
        <v>7.2184313412660819</v>
      </c>
      <c r="Z73">
        <v>720.75780100599889</v>
      </c>
      <c r="AA73">
        <v>0.42399999999999999</v>
      </c>
      <c r="AB73">
        <v>1.9E-2</v>
      </c>
      <c r="AC73">
        <v>14.198599999999999</v>
      </c>
      <c r="AD73">
        <v>1.9E-2</v>
      </c>
      <c r="AO73" s="2">
        <v>45681</v>
      </c>
      <c r="AP73" t="s">
        <v>867</v>
      </c>
      <c r="AQ73">
        <v>3</v>
      </c>
      <c r="AR73">
        <v>1.6299999999999999E-2</v>
      </c>
      <c r="AS73">
        <v>7.3389927976477951</v>
      </c>
      <c r="AT73">
        <v>731.9941287407745</v>
      </c>
      <c r="AU73">
        <v>0.42399999999999999</v>
      </c>
      <c r="AV73">
        <v>2.0899999999999998E-2</v>
      </c>
      <c r="AW73">
        <v>14.197000000000003</v>
      </c>
      <c r="AX73">
        <v>2.0899999999999998E-2</v>
      </c>
      <c r="BI73" s="2">
        <v>45681</v>
      </c>
      <c r="BJ73" t="s">
        <v>1071</v>
      </c>
      <c r="BK73">
        <v>4</v>
      </c>
      <c r="BL73">
        <v>1.7299999999999999E-2</v>
      </c>
      <c r="BM73">
        <v>6.9782085735675699</v>
      </c>
      <c r="BN73">
        <v>698.36903905649751</v>
      </c>
      <c r="BO73">
        <v>0.42399999999999999</v>
      </c>
      <c r="BP73">
        <v>1.5299999999999999E-2</v>
      </c>
      <c r="BQ73">
        <v>14.2012</v>
      </c>
      <c r="BR73">
        <v>1.5299999999999999E-2</v>
      </c>
      <c r="BS73" s="2">
        <v>45681</v>
      </c>
      <c r="BT73" t="s">
        <v>1195</v>
      </c>
      <c r="BU73">
        <v>4</v>
      </c>
      <c r="BV73">
        <v>1.47E-2</v>
      </c>
      <c r="BW73">
        <v>6.5657012842098288</v>
      </c>
      <c r="BX73">
        <v>659.92335968835607</v>
      </c>
      <c r="BY73">
        <v>0.42399999999999999</v>
      </c>
      <c r="BZ73">
        <v>8.8999999999999999E-3</v>
      </c>
      <c r="CA73">
        <v>14.201899999999995</v>
      </c>
      <c r="CB73">
        <v>8.8999999999999999E-3</v>
      </c>
      <c r="CM73" s="2">
        <v>45681</v>
      </c>
      <c r="CN73" t="s">
        <v>1433</v>
      </c>
      <c r="CO73">
        <v>5</v>
      </c>
      <c r="CP73">
        <v>1.4800000000000001E-2</v>
      </c>
      <c r="CQ73">
        <v>6.565660331664084</v>
      </c>
      <c r="CR73">
        <v>659.91954291109266</v>
      </c>
      <c r="CS73">
        <v>0.42399999999999999</v>
      </c>
      <c r="CT73">
        <v>8.8999999999999999E-3</v>
      </c>
      <c r="CU73">
        <v>14.201100000000054</v>
      </c>
      <c r="CV73">
        <v>8.8999999999999999E-3</v>
      </c>
      <c r="CW73" s="2">
        <v>45681</v>
      </c>
      <c r="CX73" t="s">
        <v>1593</v>
      </c>
      <c r="CY73">
        <v>5</v>
      </c>
      <c r="CZ73">
        <v>1.37E-2</v>
      </c>
      <c r="DA73">
        <v>6.3638930991923264</v>
      </c>
      <c r="DB73">
        <v>641.11483684472489</v>
      </c>
      <c r="DC73">
        <v>0.42399999999999999</v>
      </c>
      <c r="DD73">
        <v>5.7000000000000002E-3</v>
      </c>
      <c r="DE73">
        <v>14.600999999999999</v>
      </c>
      <c r="DF73">
        <v>5.7000000000000002E-3</v>
      </c>
      <c r="DG73" s="2">
        <v>45681</v>
      </c>
      <c r="DH73" t="s">
        <v>1751</v>
      </c>
      <c r="DI73">
        <v>6</v>
      </c>
      <c r="DJ73">
        <v>1.5299999999999999E-2</v>
      </c>
      <c r="DK73">
        <v>6.5633049520775497</v>
      </c>
      <c r="DL73">
        <v>659.70002153362771</v>
      </c>
      <c r="DM73">
        <v>0.42399999999999999</v>
      </c>
      <c r="DN73">
        <v>8.8000000000000005E-3</v>
      </c>
      <c r="DO73">
        <v>14.20089999999999</v>
      </c>
      <c r="DP73">
        <v>8.8000000000000005E-3</v>
      </c>
    </row>
    <row r="74" spans="1:120" x14ac:dyDescent="0.3">
      <c r="A74" s="2">
        <v>45681</v>
      </c>
      <c r="B74" t="s">
        <v>260</v>
      </c>
      <c r="C74">
        <v>1</v>
      </c>
      <c r="D74">
        <v>1.2500000000000001E-2</v>
      </c>
      <c r="E74">
        <v>6.4625410105335206</v>
      </c>
      <c r="F74">
        <v>650.30882218172417</v>
      </c>
      <c r="G74">
        <v>0.42399999999999999</v>
      </c>
      <c r="H74">
        <v>7.3000000000000001E-3</v>
      </c>
      <c r="I74">
        <v>14.398869999999999</v>
      </c>
      <c r="J74">
        <v>7.3000000000000001E-3</v>
      </c>
      <c r="K74" s="2">
        <v>45681</v>
      </c>
      <c r="L74" t="s">
        <v>418</v>
      </c>
      <c r="M74">
        <v>1</v>
      </c>
      <c r="N74">
        <v>1.5900000000000001E-2</v>
      </c>
      <c r="O74">
        <v>6.6700564801862772</v>
      </c>
      <c r="P74">
        <v>669.64926395336101</v>
      </c>
      <c r="Q74">
        <v>0.42399999999999999</v>
      </c>
      <c r="R74">
        <v>1.0500000000000001E-2</v>
      </c>
      <c r="S74">
        <v>14.402419999999999</v>
      </c>
      <c r="T74">
        <v>1.0500000000000001E-2</v>
      </c>
      <c r="U74" s="2">
        <v>45681</v>
      </c>
      <c r="V74" t="s">
        <v>671</v>
      </c>
      <c r="W74">
        <v>2</v>
      </c>
      <c r="X74">
        <v>1.7000000000000001E-2</v>
      </c>
      <c r="Y74">
        <v>7.1487134841052118</v>
      </c>
      <c r="Z74">
        <v>714.26009671860572</v>
      </c>
      <c r="AA74">
        <v>0.42399999999999999</v>
      </c>
      <c r="AB74">
        <v>1.7899999999999999E-2</v>
      </c>
      <c r="AC74">
        <v>14.400899999999993</v>
      </c>
      <c r="AD74">
        <v>1.7899999999999999E-2</v>
      </c>
      <c r="AO74" s="2">
        <v>45681</v>
      </c>
      <c r="AP74" t="s">
        <v>868</v>
      </c>
      <c r="AQ74">
        <v>3</v>
      </c>
      <c r="AR74">
        <v>1.6299999999999999E-2</v>
      </c>
      <c r="AS74">
        <v>7.3140218815113291</v>
      </c>
      <c r="AT74">
        <v>729.66683935685592</v>
      </c>
      <c r="AU74">
        <v>0.42399999999999999</v>
      </c>
      <c r="AV74">
        <v>2.0500000000000001E-2</v>
      </c>
      <c r="AW74">
        <v>14.398299999999978</v>
      </c>
      <c r="AX74">
        <v>2.0500000000000001E-2</v>
      </c>
      <c r="BI74" s="2">
        <v>45681</v>
      </c>
      <c r="BJ74" t="s">
        <v>1072</v>
      </c>
      <c r="BK74">
        <v>4</v>
      </c>
      <c r="BL74">
        <v>1.72E-2</v>
      </c>
      <c r="BM74">
        <v>6.8800769481323014</v>
      </c>
      <c r="BN74">
        <v>689.22317156593056</v>
      </c>
      <c r="BO74">
        <v>0.42399999999999999</v>
      </c>
      <c r="BP74">
        <v>1.37E-2</v>
      </c>
      <c r="BQ74">
        <v>14.401499999999999</v>
      </c>
      <c r="BR74">
        <v>1.37E-2</v>
      </c>
      <c r="BS74" s="2">
        <v>45681</v>
      </c>
      <c r="BT74" t="s">
        <v>1196</v>
      </c>
      <c r="BU74">
        <v>4</v>
      </c>
      <c r="BV74">
        <v>1.34E-2</v>
      </c>
      <c r="BW74">
        <v>6.4630466325587266</v>
      </c>
      <c r="BX74">
        <v>650.35594615447337</v>
      </c>
      <c r="BY74">
        <v>0.42399999999999999</v>
      </c>
      <c r="BZ74">
        <v>7.3000000000000001E-3</v>
      </c>
      <c r="CA74">
        <v>14.40100000000001</v>
      </c>
      <c r="CB74">
        <v>7.3000000000000001E-3</v>
      </c>
      <c r="CM74" s="2">
        <v>45681</v>
      </c>
      <c r="CN74" t="s">
        <v>1434</v>
      </c>
      <c r="CO74">
        <v>5</v>
      </c>
      <c r="CP74">
        <v>1.3899999999999999E-2</v>
      </c>
      <c r="CQ74">
        <v>6.4629683767039836</v>
      </c>
      <c r="CR74">
        <v>650.3486527088113</v>
      </c>
      <c r="CS74">
        <v>0.42399999999999999</v>
      </c>
      <c r="CT74">
        <v>7.3000000000000001E-3</v>
      </c>
      <c r="CU74">
        <v>14.400200000000041</v>
      </c>
      <c r="CV74">
        <v>7.3000000000000001E-3</v>
      </c>
      <c r="CW74" s="2">
        <v>45681</v>
      </c>
      <c r="CX74" t="s">
        <v>1594</v>
      </c>
      <c r="CY74">
        <v>5</v>
      </c>
      <c r="CZ74">
        <v>1.1299999999999999E-2</v>
      </c>
      <c r="DA74">
        <v>6.2732725355705981</v>
      </c>
      <c r="DB74">
        <v>632.6690003151798</v>
      </c>
      <c r="DC74">
        <v>0.42399999999999999</v>
      </c>
      <c r="DD74">
        <v>4.3E-3</v>
      </c>
      <c r="DE74">
        <v>14.801699999999983</v>
      </c>
      <c r="DF74">
        <v>4.3E-3</v>
      </c>
      <c r="DG74" s="2">
        <v>45681</v>
      </c>
      <c r="DH74" t="s">
        <v>1752</v>
      </c>
      <c r="DI74">
        <v>6</v>
      </c>
      <c r="DJ74">
        <v>1.43E-2</v>
      </c>
      <c r="DK74">
        <v>6.4599561345025096</v>
      </c>
      <c r="DL74">
        <v>650.06791173563397</v>
      </c>
      <c r="DM74">
        <v>0.42399999999999999</v>
      </c>
      <c r="DN74">
        <v>7.1999999999999998E-3</v>
      </c>
      <c r="DO74">
        <v>14.401499999999999</v>
      </c>
      <c r="DP74">
        <v>7.1999999999999998E-3</v>
      </c>
    </row>
    <row r="75" spans="1:120" x14ac:dyDescent="0.3">
      <c r="A75" s="2">
        <v>45681</v>
      </c>
      <c r="B75" t="s">
        <v>261</v>
      </c>
      <c r="C75">
        <v>1</v>
      </c>
      <c r="D75">
        <v>1.06E-2</v>
      </c>
      <c r="E75">
        <v>6.3639595963953219</v>
      </c>
      <c r="F75">
        <v>641.12103438404404</v>
      </c>
      <c r="G75">
        <v>0.42399999999999999</v>
      </c>
      <c r="H75">
        <v>5.7000000000000002E-3</v>
      </c>
      <c r="I75">
        <v>14.600180000000002</v>
      </c>
      <c r="J75">
        <v>5.7000000000000002E-3</v>
      </c>
      <c r="K75" s="2">
        <v>45681</v>
      </c>
      <c r="L75" t="s">
        <v>419</v>
      </c>
      <c r="M75">
        <v>1</v>
      </c>
      <c r="N75">
        <v>1.43E-2</v>
      </c>
      <c r="O75">
        <v>6.5647873531394128</v>
      </c>
      <c r="P75">
        <v>659.83818131259329</v>
      </c>
      <c r="Q75">
        <v>0.42399999999999999</v>
      </c>
      <c r="R75">
        <v>8.8000000000000005E-3</v>
      </c>
      <c r="S75">
        <v>14.601599999999998</v>
      </c>
      <c r="T75">
        <v>8.8000000000000005E-3</v>
      </c>
      <c r="U75" s="2">
        <v>45681</v>
      </c>
      <c r="V75" t="s">
        <v>672</v>
      </c>
      <c r="W75">
        <v>2</v>
      </c>
      <c r="X75">
        <v>1.7000000000000001E-2</v>
      </c>
      <c r="Y75">
        <v>7.0672511666716691</v>
      </c>
      <c r="Z75">
        <v>706.66780873379957</v>
      </c>
      <c r="AA75">
        <v>0.42399999999999999</v>
      </c>
      <c r="AB75">
        <v>1.66E-2</v>
      </c>
      <c r="AC75">
        <v>14.602599999999995</v>
      </c>
      <c r="AD75">
        <v>1.66E-2</v>
      </c>
      <c r="AO75" s="2">
        <v>45681</v>
      </c>
      <c r="AP75" t="s">
        <v>869</v>
      </c>
      <c r="AQ75">
        <v>3</v>
      </c>
      <c r="AR75">
        <v>1.6199999999999999E-2</v>
      </c>
      <c r="AS75">
        <v>7.2733231604545541</v>
      </c>
      <c r="AT75">
        <v>725.87371855436447</v>
      </c>
      <c r="AU75">
        <v>0.42399999999999999</v>
      </c>
      <c r="AV75">
        <v>1.9900000000000001E-2</v>
      </c>
      <c r="AW75">
        <v>14.598399999999998</v>
      </c>
      <c r="AX75">
        <v>1.9900000000000001E-2</v>
      </c>
      <c r="BI75" s="2">
        <v>45681</v>
      </c>
      <c r="BJ75" t="s">
        <v>1073</v>
      </c>
      <c r="BK75">
        <v>4</v>
      </c>
      <c r="BL75">
        <v>1.7000000000000001E-2</v>
      </c>
      <c r="BM75">
        <v>6.7767642174540104</v>
      </c>
      <c r="BN75">
        <v>679.59442506671382</v>
      </c>
      <c r="BO75">
        <v>0.42399999999999999</v>
      </c>
      <c r="BP75">
        <v>1.21E-2</v>
      </c>
      <c r="BQ75">
        <v>14.601900000000001</v>
      </c>
      <c r="BR75">
        <v>1.21E-2</v>
      </c>
      <c r="BS75" s="2">
        <v>45681</v>
      </c>
      <c r="BT75" t="s">
        <v>1197</v>
      </c>
      <c r="BU75">
        <v>4</v>
      </c>
      <c r="BV75">
        <v>1.2E-2</v>
      </c>
      <c r="BW75">
        <v>6.3649648394786293</v>
      </c>
      <c r="BX75">
        <v>641.21472303940823</v>
      </c>
      <c r="BY75">
        <v>0.42399999999999999</v>
      </c>
      <c r="BZ75">
        <v>5.7000000000000002E-3</v>
      </c>
      <c r="CA75">
        <v>14.601200000000006</v>
      </c>
      <c r="CB75">
        <v>5.7000000000000002E-3</v>
      </c>
      <c r="CM75" s="2">
        <v>45681</v>
      </c>
      <c r="CN75" t="s">
        <v>1435</v>
      </c>
      <c r="CO75">
        <v>5</v>
      </c>
      <c r="CP75">
        <v>1.26E-2</v>
      </c>
      <c r="CQ75">
        <v>6.3647442633906488</v>
      </c>
      <c r="CR75">
        <v>641.19416534800848</v>
      </c>
      <c r="CS75">
        <v>0.42399999999999999</v>
      </c>
      <c r="CT75">
        <v>5.7000000000000002E-3</v>
      </c>
      <c r="CU75">
        <v>14.600700000000018</v>
      </c>
      <c r="CV75">
        <v>5.7000000000000002E-3</v>
      </c>
      <c r="CW75" s="2">
        <v>45681</v>
      </c>
      <c r="CX75" t="s">
        <v>1595</v>
      </c>
      <c r="CY75">
        <v>5</v>
      </c>
      <c r="CZ75">
        <v>9.2999999999999992E-3</v>
      </c>
      <c r="DA75">
        <v>6.19225303274309</v>
      </c>
      <c r="DB75">
        <v>625.11798265165601</v>
      </c>
      <c r="DC75">
        <v>0.42399999999999999</v>
      </c>
      <c r="DD75">
        <v>3.0999999999999999E-3</v>
      </c>
      <c r="DE75">
        <v>15.003100000000018</v>
      </c>
      <c r="DF75">
        <v>3.0999999999999999E-3</v>
      </c>
      <c r="DG75" s="2">
        <v>45681</v>
      </c>
      <c r="DH75" t="s">
        <v>1753</v>
      </c>
      <c r="DI75">
        <v>6</v>
      </c>
      <c r="DJ75">
        <v>1.26E-2</v>
      </c>
      <c r="DK75">
        <v>6.3627123683684346</v>
      </c>
      <c r="DL75">
        <v>641.00479273193821</v>
      </c>
      <c r="DM75">
        <v>0.42399999999999999</v>
      </c>
      <c r="DN75">
        <v>5.7000000000000002E-3</v>
      </c>
      <c r="DO75">
        <v>14.600300000000004</v>
      </c>
      <c r="DP75">
        <v>5.7000000000000002E-3</v>
      </c>
    </row>
    <row r="76" spans="1:120" x14ac:dyDescent="0.3">
      <c r="A76" s="2">
        <v>45681</v>
      </c>
      <c r="B76" t="s">
        <v>262</v>
      </c>
      <c r="C76">
        <v>1</v>
      </c>
      <c r="D76">
        <v>8.5000000000000006E-3</v>
      </c>
      <c r="E76">
        <v>6.2731027244205144</v>
      </c>
      <c r="F76">
        <v>632.65317391599183</v>
      </c>
      <c r="G76">
        <v>0.42399999999999999</v>
      </c>
      <c r="H76">
        <v>4.3E-3</v>
      </c>
      <c r="I76">
        <v>14.801370000000002</v>
      </c>
      <c r="J76">
        <v>4.3E-3</v>
      </c>
      <c r="K76" s="2">
        <v>45681</v>
      </c>
      <c r="L76" t="s">
        <v>420</v>
      </c>
      <c r="M76">
        <v>1</v>
      </c>
      <c r="N76">
        <v>1.2500000000000001E-2</v>
      </c>
      <c r="O76">
        <v>6.4617722379915934</v>
      </c>
      <c r="P76">
        <v>650.23717258081649</v>
      </c>
      <c r="Q76">
        <v>0.42399999999999999</v>
      </c>
      <c r="R76">
        <v>7.1999999999999998E-3</v>
      </c>
      <c r="S76">
        <v>14.801490000000001</v>
      </c>
      <c r="T76">
        <v>7.1999999999999998E-3</v>
      </c>
      <c r="U76" s="2">
        <v>45681</v>
      </c>
      <c r="V76" t="s">
        <v>673</v>
      </c>
      <c r="W76">
        <v>2</v>
      </c>
      <c r="X76">
        <v>1.7100000000000001E-2</v>
      </c>
      <c r="Y76">
        <v>6.9780723353955816</v>
      </c>
      <c r="Z76">
        <v>698.35634165886836</v>
      </c>
      <c r="AA76">
        <v>0.42399999999999999</v>
      </c>
      <c r="AB76">
        <v>1.5299999999999999E-2</v>
      </c>
      <c r="AC76">
        <v>14.799699999999987</v>
      </c>
      <c r="AD76">
        <v>1.5299999999999999E-2</v>
      </c>
      <c r="AO76" s="2">
        <v>45681</v>
      </c>
      <c r="AP76" t="s">
        <v>870</v>
      </c>
      <c r="AQ76">
        <v>3</v>
      </c>
      <c r="AR76">
        <v>1.6299999999999999E-2</v>
      </c>
      <c r="AS76">
        <v>7.2177501504061423</v>
      </c>
      <c r="AT76">
        <v>720.69431401785243</v>
      </c>
      <c r="AU76">
        <v>0.42399999999999999</v>
      </c>
      <c r="AV76">
        <v>1.9E-2</v>
      </c>
      <c r="AW76">
        <v>14.798699999999997</v>
      </c>
      <c r="AX76">
        <v>1.9E-2</v>
      </c>
      <c r="BI76" s="2">
        <v>45681</v>
      </c>
      <c r="BJ76" t="s">
        <v>1074</v>
      </c>
      <c r="BK76">
        <v>4</v>
      </c>
      <c r="BL76">
        <v>1.6400000000000001E-2</v>
      </c>
      <c r="BM76">
        <v>6.6722423729993263</v>
      </c>
      <c r="BN76">
        <v>669.85298916353725</v>
      </c>
      <c r="BO76">
        <v>0.42399999999999999</v>
      </c>
      <c r="BP76">
        <v>1.0500000000000001E-2</v>
      </c>
      <c r="BQ76">
        <v>14.799599999999998</v>
      </c>
      <c r="BR76">
        <v>1.0500000000000001E-2</v>
      </c>
      <c r="BS76" s="2">
        <v>45681</v>
      </c>
      <c r="BT76" t="s">
        <v>1198</v>
      </c>
      <c r="BU76">
        <v>4</v>
      </c>
      <c r="BV76">
        <v>1.0200000000000001E-2</v>
      </c>
      <c r="BW76">
        <v>6.27417012616979</v>
      </c>
      <c r="BX76">
        <v>632.75265575902449</v>
      </c>
      <c r="BY76">
        <v>0.42399999999999999</v>
      </c>
      <c r="BZ76">
        <v>4.3E-3</v>
      </c>
      <c r="CA76">
        <v>14.801999999999992</v>
      </c>
      <c r="CB76">
        <v>4.3E-3</v>
      </c>
      <c r="CM76" s="2">
        <v>45681</v>
      </c>
      <c r="CN76" t="s">
        <v>1436</v>
      </c>
      <c r="CO76">
        <v>5</v>
      </c>
      <c r="CP76">
        <v>1.0699999999999999E-2</v>
      </c>
      <c r="CQ76">
        <v>6.2748543175132783</v>
      </c>
      <c r="CR76">
        <v>632.81642239223754</v>
      </c>
      <c r="CS76">
        <v>0.42399999999999999</v>
      </c>
      <c r="CT76">
        <v>4.3E-3</v>
      </c>
      <c r="CU76">
        <v>14.799500000000023</v>
      </c>
      <c r="CV76">
        <v>4.3E-3</v>
      </c>
      <c r="CW76" s="2">
        <v>45681</v>
      </c>
      <c r="CX76" t="s">
        <v>1596</v>
      </c>
      <c r="CY76">
        <v>5</v>
      </c>
      <c r="CZ76">
        <v>8.3000000000000001E-3</v>
      </c>
      <c r="DA76">
        <v>6.1242474380122394</v>
      </c>
      <c r="DB76">
        <v>618.77986122274069</v>
      </c>
      <c r="DC76">
        <v>0.42399999999999999</v>
      </c>
      <c r="DD76">
        <v>2E-3</v>
      </c>
      <c r="DE76">
        <v>15.201099999999997</v>
      </c>
      <c r="DF76">
        <v>2E-3</v>
      </c>
      <c r="DG76" s="2">
        <v>45681</v>
      </c>
      <c r="DH76" t="s">
        <v>1754</v>
      </c>
      <c r="DI76">
        <v>6</v>
      </c>
      <c r="DJ76">
        <v>1.11E-2</v>
      </c>
      <c r="DK76">
        <v>6.2730337132988696</v>
      </c>
      <c r="DL76">
        <v>632.64674207945473</v>
      </c>
      <c r="DM76">
        <v>0.42399999999999999</v>
      </c>
      <c r="DN76">
        <v>4.3E-3</v>
      </c>
      <c r="DO76">
        <v>14.799000000000035</v>
      </c>
      <c r="DP76">
        <v>4.3E-3</v>
      </c>
    </row>
    <row r="77" spans="1:120" x14ac:dyDescent="0.3">
      <c r="A77" s="2">
        <v>45681</v>
      </c>
      <c r="B77" t="s">
        <v>263</v>
      </c>
      <c r="C77">
        <v>1</v>
      </c>
      <c r="D77">
        <v>6.3E-3</v>
      </c>
      <c r="E77">
        <v>6.1929659719627486</v>
      </c>
      <c r="F77">
        <v>625.18442858692822</v>
      </c>
      <c r="G77">
        <v>0.42399999999999999</v>
      </c>
      <c r="H77">
        <v>3.0999999999999999E-3</v>
      </c>
      <c r="I77">
        <v>15.000450000000001</v>
      </c>
      <c r="J77">
        <v>3.0999999999999999E-3</v>
      </c>
      <c r="K77" s="2">
        <v>45681</v>
      </c>
      <c r="L77" t="s">
        <v>421</v>
      </c>
      <c r="M77">
        <v>1</v>
      </c>
      <c r="N77">
        <v>1.09E-2</v>
      </c>
      <c r="O77">
        <v>6.3643747578962087</v>
      </c>
      <c r="P77">
        <v>641.1597274359267</v>
      </c>
      <c r="Q77">
        <v>0.42399999999999999</v>
      </c>
      <c r="R77">
        <v>5.7000000000000002E-3</v>
      </c>
      <c r="S77">
        <v>15.000390000000003</v>
      </c>
      <c r="T77">
        <v>5.7000000000000002E-3</v>
      </c>
      <c r="U77" s="2">
        <v>45681</v>
      </c>
      <c r="V77" t="s">
        <v>674</v>
      </c>
      <c r="W77">
        <v>2</v>
      </c>
      <c r="X77">
        <v>1.67E-2</v>
      </c>
      <c r="Y77">
        <v>6.8800493761213044</v>
      </c>
      <c r="Z77">
        <v>689.22060185450562</v>
      </c>
      <c r="AA77">
        <v>0.42399999999999999</v>
      </c>
      <c r="AB77">
        <v>1.37E-2</v>
      </c>
      <c r="AC77">
        <v>14.999799999999993</v>
      </c>
      <c r="AD77">
        <v>1.37E-2</v>
      </c>
      <c r="AO77" s="2">
        <v>45681</v>
      </c>
      <c r="AP77" t="s">
        <v>871</v>
      </c>
      <c r="AQ77">
        <v>3</v>
      </c>
      <c r="AR77">
        <v>1.6299999999999999E-2</v>
      </c>
      <c r="AS77">
        <v>7.1496120072871294</v>
      </c>
      <c r="AT77">
        <v>714.34383907916049</v>
      </c>
      <c r="AU77">
        <v>0.42399999999999999</v>
      </c>
      <c r="AV77">
        <v>1.7899999999999999E-2</v>
      </c>
      <c r="AW77">
        <v>14.996399999999994</v>
      </c>
      <c r="AX77">
        <v>1.7899999999999999E-2</v>
      </c>
      <c r="BI77" s="2">
        <v>45681</v>
      </c>
      <c r="BJ77" t="s">
        <v>1075</v>
      </c>
      <c r="BK77">
        <v>4</v>
      </c>
      <c r="BL77">
        <v>1.5100000000000001E-2</v>
      </c>
      <c r="BM77">
        <v>6.5664295096767633</v>
      </c>
      <c r="BN77">
        <v>659.99123030187434</v>
      </c>
      <c r="BO77">
        <v>0.42399999999999999</v>
      </c>
      <c r="BP77">
        <v>8.8999999999999999E-3</v>
      </c>
      <c r="BQ77">
        <v>14.999799999999993</v>
      </c>
      <c r="BR77">
        <v>8.8999999999999999E-3</v>
      </c>
      <c r="BS77" s="2">
        <v>45681</v>
      </c>
      <c r="BT77" t="s">
        <v>1199</v>
      </c>
      <c r="BU77">
        <v>4</v>
      </c>
      <c r="BV77">
        <v>9.1999999999999998E-3</v>
      </c>
      <c r="BW77">
        <v>6.1926943471073486</v>
      </c>
      <c r="BX77">
        <v>625.15911315040489</v>
      </c>
      <c r="BY77">
        <v>0.42399999999999999</v>
      </c>
      <c r="BZ77">
        <v>3.0999999999999999E-3</v>
      </c>
      <c r="CA77">
        <v>15.004300000000001</v>
      </c>
      <c r="CB77">
        <v>3.0999999999999999E-3</v>
      </c>
      <c r="CM77" s="2">
        <v>45681</v>
      </c>
      <c r="CN77" t="s">
        <v>1437</v>
      </c>
      <c r="CO77">
        <v>5</v>
      </c>
      <c r="CP77">
        <v>9.1999999999999998E-3</v>
      </c>
      <c r="CQ77">
        <v>6.1935245484678978</v>
      </c>
      <c r="CR77">
        <v>625.23648791720814</v>
      </c>
      <c r="CS77">
        <v>0.42399999999999999</v>
      </c>
      <c r="CT77">
        <v>3.0999999999999999E-3</v>
      </c>
      <c r="CU77">
        <v>15.00120000000004</v>
      </c>
      <c r="CV77">
        <v>3.0999999999999999E-3</v>
      </c>
      <c r="CW77" s="2">
        <v>45681</v>
      </c>
      <c r="CX77" t="s">
        <v>1597</v>
      </c>
      <c r="CY77">
        <v>5</v>
      </c>
      <c r="CZ77">
        <v>7.4000000000000003E-3</v>
      </c>
      <c r="DA77">
        <v>6.0688551462770848</v>
      </c>
      <c r="DB77">
        <v>613.61729963302434</v>
      </c>
      <c r="DC77">
        <v>0.42399999999999999</v>
      </c>
      <c r="DD77">
        <v>1.1000000000000001E-3</v>
      </c>
      <c r="DE77">
        <v>15.401499999999999</v>
      </c>
      <c r="DF77">
        <v>1.1000000000000001E-3</v>
      </c>
      <c r="DG77" s="2">
        <v>45681</v>
      </c>
      <c r="DH77" t="s">
        <v>1755</v>
      </c>
      <c r="DI77">
        <v>6</v>
      </c>
      <c r="DJ77">
        <v>9.4000000000000004E-3</v>
      </c>
      <c r="DK77">
        <v>6.1920955073567283</v>
      </c>
      <c r="DL77">
        <v>625.10330128564715</v>
      </c>
      <c r="DM77">
        <v>0.42399999999999999</v>
      </c>
      <c r="DN77">
        <v>3.0999999999999999E-3</v>
      </c>
      <c r="DO77">
        <v>15.000300000000038</v>
      </c>
      <c r="DP77">
        <v>3.0999999999999999E-3</v>
      </c>
    </row>
    <row r="78" spans="1:120" x14ac:dyDescent="0.3">
      <c r="A78" s="2">
        <v>45681</v>
      </c>
      <c r="B78" t="s">
        <v>264</v>
      </c>
      <c r="C78">
        <v>1</v>
      </c>
      <c r="D78">
        <v>4.4999999999999997E-3</v>
      </c>
      <c r="E78">
        <v>6.1236061454740991</v>
      </c>
      <c r="F78">
        <v>618.72009275818607</v>
      </c>
      <c r="G78">
        <v>0.42399999999999999</v>
      </c>
      <c r="H78">
        <v>2E-3</v>
      </c>
      <c r="I78">
        <v>15.202400000000001</v>
      </c>
      <c r="J78">
        <v>2E-3</v>
      </c>
      <c r="K78" s="2">
        <v>45681</v>
      </c>
      <c r="L78" t="s">
        <v>422</v>
      </c>
      <c r="M78">
        <v>1</v>
      </c>
      <c r="N78">
        <v>8.8999999999999999E-3</v>
      </c>
      <c r="O78">
        <v>6.273190873761556</v>
      </c>
      <c r="P78">
        <v>632.66138943457702</v>
      </c>
      <c r="Q78">
        <v>0.42399999999999999</v>
      </c>
      <c r="R78">
        <v>4.3E-3</v>
      </c>
      <c r="S78">
        <v>15.202260000000003</v>
      </c>
      <c r="T78">
        <v>4.3E-3</v>
      </c>
      <c r="U78" s="2">
        <v>45681</v>
      </c>
      <c r="V78" t="s">
        <v>675</v>
      </c>
      <c r="W78">
        <v>2</v>
      </c>
      <c r="X78">
        <v>1.67E-2</v>
      </c>
      <c r="Y78">
        <v>6.7762006131115617</v>
      </c>
      <c r="Z78">
        <v>679.54189714199754</v>
      </c>
      <c r="AA78">
        <v>0.42399999999999999</v>
      </c>
      <c r="AB78">
        <v>1.21E-2</v>
      </c>
      <c r="AC78">
        <v>15.2012</v>
      </c>
      <c r="AD78">
        <v>1.21E-2</v>
      </c>
      <c r="AO78" s="2">
        <v>45681</v>
      </c>
      <c r="AP78" t="s">
        <v>872</v>
      </c>
      <c r="AQ78">
        <v>3</v>
      </c>
      <c r="AR78">
        <v>1.6199999999999999E-2</v>
      </c>
      <c r="AS78">
        <v>7.0686390930487928</v>
      </c>
      <c r="AT78">
        <v>706.79716347214753</v>
      </c>
      <c r="AU78">
        <v>0.42399999999999999</v>
      </c>
      <c r="AV78">
        <v>1.67E-2</v>
      </c>
      <c r="AW78">
        <v>15.197299999999984</v>
      </c>
      <c r="AX78">
        <v>1.67E-2</v>
      </c>
      <c r="BI78" s="2">
        <v>45681</v>
      </c>
      <c r="BJ78" t="s">
        <v>1076</v>
      </c>
      <c r="BK78">
        <v>4</v>
      </c>
      <c r="BL78">
        <v>1.41E-2</v>
      </c>
      <c r="BM78">
        <v>6.4626691392905107</v>
      </c>
      <c r="BN78">
        <v>650.3207637818756</v>
      </c>
      <c r="BO78">
        <v>0.42399999999999999</v>
      </c>
      <c r="BP78">
        <v>7.3000000000000001E-3</v>
      </c>
      <c r="BQ78">
        <v>15.200999999999993</v>
      </c>
      <c r="BR78">
        <v>7.3000000000000001E-3</v>
      </c>
      <c r="BS78" s="2">
        <v>45681</v>
      </c>
      <c r="BT78" t="s">
        <v>1200</v>
      </c>
      <c r="BU78">
        <v>4</v>
      </c>
      <c r="BV78">
        <v>7.7999999999999996E-3</v>
      </c>
      <c r="BW78">
        <v>6.1249056386806533</v>
      </c>
      <c r="BX78">
        <v>618.84120552503691</v>
      </c>
      <c r="BY78">
        <v>0.42399999999999999</v>
      </c>
      <c r="BZ78">
        <v>2E-3</v>
      </c>
      <c r="CA78">
        <v>15.201300000000003</v>
      </c>
      <c r="CB78">
        <v>2E-3</v>
      </c>
      <c r="CM78" s="2">
        <v>45681</v>
      </c>
      <c r="CN78" t="s">
        <v>1438</v>
      </c>
      <c r="CO78">
        <v>5</v>
      </c>
      <c r="CP78">
        <v>7.6E-3</v>
      </c>
      <c r="CQ78">
        <v>6.1251361082549316</v>
      </c>
      <c r="CR78">
        <v>618.86268528935977</v>
      </c>
      <c r="CS78">
        <v>0.42399999999999999</v>
      </c>
      <c r="CT78">
        <v>2E-3</v>
      </c>
      <c r="CU78">
        <v>15.199700000000007</v>
      </c>
      <c r="CV78">
        <v>2E-3</v>
      </c>
      <c r="CW78" s="2">
        <v>45681</v>
      </c>
      <c r="CX78" t="s">
        <v>1598</v>
      </c>
      <c r="CY78">
        <v>5</v>
      </c>
      <c r="CZ78">
        <v>6.1999999999999998E-3</v>
      </c>
      <c r="DA78">
        <v>6.0286750750207103</v>
      </c>
      <c r="DB78">
        <v>609.87251699193018</v>
      </c>
      <c r="DC78">
        <v>0.42399999999999999</v>
      </c>
      <c r="DD78">
        <v>5.0000000000000001E-4</v>
      </c>
      <c r="DE78">
        <v>15.600099999999998</v>
      </c>
      <c r="DF78">
        <v>5.0000000000000001E-4</v>
      </c>
      <c r="DG78" s="2">
        <v>45681</v>
      </c>
      <c r="DH78" t="s">
        <v>1756</v>
      </c>
      <c r="DI78">
        <v>6</v>
      </c>
      <c r="DJ78">
        <v>7.7999999999999996E-3</v>
      </c>
      <c r="DK78">
        <v>6.1236632763027679</v>
      </c>
      <c r="DL78">
        <v>618.72541735141795</v>
      </c>
      <c r="DM78">
        <v>0.42399999999999999</v>
      </c>
      <c r="DN78">
        <v>2E-3</v>
      </c>
      <c r="DO78">
        <v>15.199700000000007</v>
      </c>
      <c r="DP78">
        <v>2E-3</v>
      </c>
    </row>
    <row r="79" spans="1:120" x14ac:dyDescent="0.3">
      <c r="A79" s="2">
        <v>45681</v>
      </c>
      <c r="B79" t="s">
        <v>265</v>
      </c>
      <c r="C79">
        <v>1</v>
      </c>
      <c r="D79">
        <v>3.5000000000000001E-3</v>
      </c>
      <c r="E79">
        <v>6.0690622607361657</v>
      </c>
      <c r="F79">
        <v>613.63660270061064</v>
      </c>
      <c r="G79">
        <v>0.42399999999999999</v>
      </c>
      <c r="H79">
        <v>1.1000000000000001E-3</v>
      </c>
      <c r="I79">
        <v>15.399940000000001</v>
      </c>
      <c r="J79">
        <v>1.1000000000000001E-3</v>
      </c>
      <c r="K79" s="2">
        <v>45681</v>
      </c>
      <c r="L79" t="s">
        <v>423</v>
      </c>
      <c r="M79">
        <v>1</v>
      </c>
      <c r="N79">
        <v>7.1999999999999998E-3</v>
      </c>
      <c r="O79">
        <v>6.1935411727686471</v>
      </c>
      <c r="P79">
        <v>625.23803730203792</v>
      </c>
      <c r="Q79">
        <v>0.42399999999999999</v>
      </c>
      <c r="R79">
        <v>3.0999999999999999E-3</v>
      </c>
      <c r="S79">
        <v>15.399999999999999</v>
      </c>
      <c r="T79">
        <v>3.0999999999999999E-3</v>
      </c>
      <c r="U79" s="2">
        <v>45681</v>
      </c>
      <c r="V79" t="s">
        <v>676</v>
      </c>
      <c r="W79">
        <v>2</v>
      </c>
      <c r="X79">
        <v>1.6E-2</v>
      </c>
      <c r="Y79">
        <v>6.6704291078054929</v>
      </c>
      <c r="Z79">
        <v>669.68399284747193</v>
      </c>
      <c r="AA79">
        <v>0.42399999999999999</v>
      </c>
      <c r="AB79">
        <v>1.0500000000000001E-2</v>
      </c>
      <c r="AC79">
        <v>15.401299999999992</v>
      </c>
      <c r="AD79">
        <v>1.0500000000000001E-2</v>
      </c>
      <c r="AO79" s="2">
        <v>45681</v>
      </c>
      <c r="AP79" t="s">
        <v>873</v>
      </c>
      <c r="AQ79">
        <v>3</v>
      </c>
      <c r="AR79">
        <v>1.6199999999999999E-2</v>
      </c>
      <c r="AS79">
        <v>6.9781793796735716</v>
      </c>
      <c r="AT79">
        <v>698.36631818557692</v>
      </c>
      <c r="AU79">
        <v>0.42399999999999999</v>
      </c>
      <c r="AV79">
        <v>1.5299999999999999E-2</v>
      </c>
      <c r="AW79">
        <v>15.397399999999976</v>
      </c>
      <c r="AX79">
        <v>1.5299999999999999E-2</v>
      </c>
      <c r="BI79" s="2">
        <v>45681</v>
      </c>
      <c r="BJ79" t="s">
        <v>1077</v>
      </c>
      <c r="BK79">
        <v>4</v>
      </c>
      <c r="BL79">
        <v>1.24E-2</v>
      </c>
      <c r="BM79">
        <v>6.3653371021741707</v>
      </c>
      <c r="BN79">
        <v>641.24941792263269</v>
      </c>
      <c r="BO79">
        <v>0.42399999999999999</v>
      </c>
      <c r="BP79">
        <v>5.7000000000000002E-3</v>
      </c>
      <c r="BQ79">
        <v>15.399699999999996</v>
      </c>
      <c r="BR79">
        <v>5.7000000000000002E-3</v>
      </c>
      <c r="BS79" s="2">
        <v>45681</v>
      </c>
      <c r="BT79" t="s">
        <v>1201</v>
      </c>
      <c r="BU79">
        <v>4</v>
      </c>
      <c r="BV79">
        <v>6.0000000000000001E-3</v>
      </c>
      <c r="BW79">
        <v>6.069428522464607</v>
      </c>
      <c r="BX79">
        <v>613.67073829370133</v>
      </c>
      <c r="BY79">
        <v>0.42399999999999999</v>
      </c>
      <c r="BZ79">
        <v>1.1000000000000001E-3</v>
      </c>
      <c r="CA79">
        <v>15.401499999999999</v>
      </c>
      <c r="CB79">
        <v>1.1000000000000001E-3</v>
      </c>
      <c r="CM79" s="2">
        <v>45681</v>
      </c>
      <c r="CN79" t="s">
        <v>1439</v>
      </c>
      <c r="CO79">
        <v>5</v>
      </c>
      <c r="CP79">
        <v>6.6E-3</v>
      </c>
      <c r="CQ79">
        <v>6.069372324218663</v>
      </c>
      <c r="CR79">
        <v>613.66550061717942</v>
      </c>
      <c r="CS79">
        <v>0.42399999999999999</v>
      </c>
      <c r="CT79">
        <v>1.1000000000000001E-3</v>
      </c>
      <c r="CU79">
        <v>15.400900000000036</v>
      </c>
      <c r="CV79">
        <v>1.1000000000000001E-3</v>
      </c>
      <c r="CW79" s="2">
        <v>45681</v>
      </c>
      <c r="CX79" t="s">
        <v>1599</v>
      </c>
      <c r="CY79">
        <v>5</v>
      </c>
      <c r="CZ79">
        <v>6.0000000000000001E-3</v>
      </c>
      <c r="DA79">
        <v>6.0040106420600212</v>
      </c>
      <c r="DB79">
        <v>607.57379183999399</v>
      </c>
      <c r="DC79">
        <v>0.42399999999999999</v>
      </c>
      <c r="DD79">
        <v>1E-4</v>
      </c>
      <c r="DE79">
        <v>15.799800000000005</v>
      </c>
      <c r="DF79">
        <v>1E-4</v>
      </c>
      <c r="DG79" s="2">
        <v>45681</v>
      </c>
      <c r="DH79" t="s">
        <v>1757</v>
      </c>
      <c r="DI79">
        <v>6</v>
      </c>
      <c r="DJ79">
        <v>7.1000000000000004E-3</v>
      </c>
      <c r="DK79">
        <v>6.0687587253327431</v>
      </c>
      <c r="DL79">
        <v>613.6083132010117</v>
      </c>
      <c r="DM79">
        <v>0.42399999999999999</v>
      </c>
      <c r="DN79">
        <v>1.1000000000000001E-3</v>
      </c>
      <c r="DO79">
        <v>15.398700000000019</v>
      </c>
      <c r="DP79">
        <v>1.1000000000000001E-3</v>
      </c>
    </row>
    <row r="80" spans="1:120" x14ac:dyDescent="0.3">
      <c r="A80" s="2">
        <v>45681</v>
      </c>
      <c r="B80" t="s">
        <v>266</v>
      </c>
      <c r="C80">
        <v>1</v>
      </c>
      <c r="D80">
        <v>3.3999999999999998E-3</v>
      </c>
      <c r="E80">
        <v>6.0284072494262384</v>
      </c>
      <c r="F80">
        <v>609.84755564652539</v>
      </c>
      <c r="G80">
        <v>0.42399999999999999</v>
      </c>
      <c r="H80">
        <v>5.0000000000000001E-4</v>
      </c>
      <c r="I80">
        <v>15.601030000000002</v>
      </c>
      <c r="J80">
        <v>5.0000000000000001E-4</v>
      </c>
      <c r="K80" s="2">
        <v>45681</v>
      </c>
      <c r="L80" t="s">
        <v>424</v>
      </c>
      <c r="M80">
        <v>1</v>
      </c>
      <c r="N80">
        <v>5.4000000000000003E-3</v>
      </c>
      <c r="O80">
        <v>6.1238224641192032</v>
      </c>
      <c r="P80">
        <v>618.74025365590978</v>
      </c>
      <c r="Q80">
        <v>0.42399999999999999</v>
      </c>
      <c r="R80">
        <v>2E-3</v>
      </c>
      <c r="S80">
        <v>15.602800000000002</v>
      </c>
      <c r="T80">
        <v>2E-3</v>
      </c>
      <c r="U80" s="2">
        <v>45681</v>
      </c>
      <c r="V80" t="s">
        <v>677</v>
      </c>
      <c r="W80">
        <v>2</v>
      </c>
      <c r="X80">
        <v>1.5100000000000001E-2</v>
      </c>
      <c r="Y80">
        <v>6.5661663591600368</v>
      </c>
      <c r="Z80">
        <v>659.96670467371541</v>
      </c>
      <c r="AA80">
        <v>0.42399999999999999</v>
      </c>
      <c r="AB80">
        <v>8.8999999999999999E-3</v>
      </c>
      <c r="AC80">
        <v>15.598499999999987</v>
      </c>
      <c r="AD80">
        <v>8.8999999999999999E-3</v>
      </c>
      <c r="AO80" s="2">
        <v>45681</v>
      </c>
      <c r="AP80" t="s">
        <v>874</v>
      </c>
      <c r="AQ80">
        <v>3</v>
      </c>
      <c r="AR80">
        <v>1.6199999999999999E-2</v>
      </c>
      <c r="AS80">
        <v>6.8809774986679706</v>
      </c>
      <c r="AT80">
        <v>689.30710287585487</v>
      </c>
      <c r="AU80">
        <v>0.42399999999999999</v>
      </c>
      <c r="AV80">
        <v>1.38E-2</v>
      </c>
      <c r="AW80">
        <v>15.595799999999997</v>
      </c>
      <c r="AX80">
        <v>1.38E-2</v>
      </c>
      <c r="BI80" s="2">
        <v>45681</v>
      </c>
      <c r="BJ80" t="s">
        <v>1078</v>
      </c>
      <c r="BK80">
        <v>4</v>
      </c>
      <c r="BL80">
        <v>1.06E-2</v>
      </c>
      <c r="BM80">
        <v>6.2750004897186393</v>
      </c>
      <c r="BN80">
        <v>632.83004564177725</v>
      </c>
      <c r="BO80">
        <v>0.42399999999999999</v>
      </c>
      <c r="BP80">
        <v>4.3E-3</v>
      </c>
      <c r="BQ80">
        <v>15.599399999999974</v>
      </c>
      <c r="BR80">
        <v>4.3E-3</v>
      </c>
      <c r="BS80" s="2">
        <v>45681</v>
      </c>
      <c r="BT80" t="s">
        <v>1202</v>
      </c>
      <c r="BU80">
        <v>4</v>
      </c>
      <c r="BV80">
        <v>5.3E-3</v>
      </c>
      <c r="BW80">
        <v>6.0287886230495289</v>
      </c>
      <c r="BX80">
        <v>609.88309966821612</v>
      </c>
      <c r="BY80">
        <v>0.42399999999999999</v>
      </c>
      <c r="BZ80">
        <v>5.0000000000000001E-4</v>
      </c>
      <c r="CA80">
        <v>15.601799999999997</v>
      </c>
      <c r="CB80">
        <v>5.0000000000000001E-4</v>
      </c>
      <c r="CM80" s="2">
        <v>45681</v>
      </c>
      <c r="CN80" t="s">
        <v>1440</v>
      </c>
      <c r="CO80">
        <v>5</v>
      </c>
      <c r="CP80">
        <v>5.7999999999999996E-3</v>
      </c>
      <c r="CQ80">
        <v>6.0286358781633114</v>
      </c>
      <c r="CR80">
        <v>609.86886384482068</v>
      </c>
      <c r="CS80">
        <v>0.42399999999999999</v>
      </c>
      <c r="CT80">
        <v>5.0000000000000001E-4</v>
      </c>
      <c r="CU80">
        <v>15.601800000000026</v>
      </c>
      <c r="CV80">
        <v>5.0000000000000001E-4</v>
      </c>
      <c r="CW80" s="2">
        <v>45681</v>
      </c>
      <c r="CX80" t="s">
        <v>1600</v>
      </c>
      <c r="CY80">
        <v>5</v>
      </c>
      <c r="CZ80">
        <v>5.4999999999999997E-3</v>
      </c>
      <c r="DA80">
        <v>5.995733926890475</v>
      </c>
      <c r="DB80">
        <v>606.80240198619231</v>
      </c>
      <c r="DC80">
        <v>0.42399999999999999</v>
      </c>
      <c r="DD80">
        <v>0</v>
      </c>
      <c r="DE80">
        <v>16.000800000000027</v>
      </c>
      <c r="DF80">
        <v>0</v>
      </c>
      <c r="DG80" s="2">
        <v>45681</v>
      </c>
      <c r="DH80" t="s">
        <v>1758</v>
      </c>
      <c r="DI80">
        <v>6</v>
      </c>
      <c r="DJ80">
        <v>6.4000000000000003E-3</v>
      </c>
      <c r="DK80">
        <v>6.0282481467586591</v>
      </c>
      <c r="DL80">
        <v>609.832727277907</v>
      </c>
      <c r="DM80">
        <v>0.42399999999999999</v>
      </c>
      <c r="DN80">
        <v>5.0000000000000001E-4</v>
      </c>
      <c r="DO80">
        <v>15.599500000000035</v>
      </c>
      <c r="DP80">
        <v>5.0000000000000001E-4</v>
      </c>
    </row>
    <row r="81" spans="1:120" x14ac:dyDescent="0.3">
      <c r="A81" s="2">
        <v>45681</v>
      </c>
      <c r="B81" t="s">
        <v>267</v>
      </c>
      <c r="C81">
        <v>1</v>
      </c>
      <c r="D81">
        <v>2.8E-3</v>
      </c>
      <c r="E81">
        <v>6.0040424228574016</v>
      </c>
      <c r="F81">
        <v>607.57675381030981</v>
      </c>
      <c r="G81">
        <v>0.42399999999999999</v>
      </c>
      <c r="H81">
        <v>1E-4</v>
      </c>
      <c r="I81">
        <v>15.79871</v>
      </c>
      <c r="J81">
        <v>1E-4</v>
      </c>
      <c r="K81" s="2">
        <v>45681</v>
      </c>
      <c r="L81" t="s">
        <v>425</v>
      </c>
      <c r="M81">
        <v>1</v>
      </c>
      <c r="N81">
        <v>4.4999999999999997E-3</v>
      </c>
      <c r="O81">
        <v>6.069139746196484</v>
      </c>
      <c r="P81">
        <v>613.64382434551237</v>
      </c>
      <c r="Q81">
        <v>0.42399999999999999</v>
      </c>
      <c r="R81">
        <v>1.1000000000000001E-3</v>
      </c>
      <c r="S81">
        <v>15.800710000000002</v>
      </c>
      <c r="T81">
        <v>1.1000000000000001E-3</v>
      </c>
      <c r="U81" s="2">
        <v>45681</v>
      </c>
      <c r="V81" t="s">
        <v>678</v>
      </c>
      <c r="W81">
        <v>2</v>
      </c>
      <c r="X81">
        <v>1.3599999999999999E-2</v>
      </c>
      <c r="Y81">
        <v>6.4630287918457272</v>
      </c>
      <c r="Z81">
        <v>650.35428340002181</v>
      </c>
      <c r="AA81">
        <v>0.42399999999999999</v>
      </c>
      <c r="AB81">
        <v>7.3000000000000001E-3</v>
      </c>
      <c r="AC81">
        <v>15.79849999999999</v>
      </c>
      <c r="AD81">
        <v>7.3000000000000001E-3</v>
      </c>
      <c r="AO81" s="2">
        <v>45681</v>
      </c>
      <c r="AP81" t="s">
        <v>875</v>
      </c>
      <c r="AQ81">
        <v>3</v>
      </c>
      <c r="AR81">
        <v>1.5599999999999999E-2</v>
      </c>
      <c r="AS81">
        <v>6.7773529609829568</v>
      </c>
      <c r="AT81">
        <v>679.64929596361162</v>
      </c>
      <c r="AU81">
        <v>0.42399999999999999</v>
      </c>
      <c r="AV81">
        <v>1.21E-2</v>
      </c>
      <c r="AW81">
        <v>15.796899999999994</v>
      </c>
      <c r="AX81">
        <v>1.21E-2</v>
      </c>
      <c r="BI81" s="2">
        <v>45681</v>
      </c>
      <c r="BJ81" t="s">
        <v>1079</v>
      </c>
      <c r="BK81">
        <v>4</v>
      </c>
      <c r="BL81">
        <v>8.9999999999999993E-3</v>
      </c>
      <c r="BM81">
        <v>6.1940387664730006</v>
      </c>
      <c r="BN81">
        <v>625.28441303528371</v>
      </c>
      <c r="BO81">
        <v>0.42399999999999999</v>
      </c>
      <c r="BP81">
        <v>3.0999999999999999E-3</v>
      </c>
      <c r="BQ81">
        <v>15.799999999999983</v>
      </c>
      <c r="BR81">
        <v>3.0999999999999999E-3</v>
      </c>
      <c r="BS81" s="2">
        <v>45681</v>
      </c>
      <c r="BT81" t="s">
        <v>1203</v>
      </c>
      <c r="BU81">
        <v>4</v>
      </c>
      <c r="BV81">
        <v>4.4000000000000003E-3</v>
      </c>
      <c r="BW81">
        <v>6.0042173186106904</v>
      </c>
      <c r="BX81">
        <v>607.59305409451633</v>
      </c>
      <c r="BY81">
        <v>0.42399999999999999</v>
      </c>
      <c r="BZ81">
        <v>1E-4</v>
      </c>
      <c r="CA81">
        <v>15.799700000000001</v>
      </c>
      <c r="CB81">
        <v>1E-4</v>
      </c>
      <c r="CM81" s="2">
        <v>45681</v>
      </c>
      <c r="CN81" t="s">
        <v>1441</v>
      </c>
      <c r="CO81">
        <v>5</v>
      </c>
      <c r="CP81">
        <v>5.0000000000000001E-3</v>
      </c>
      <c r="CQ81">
        <v>6.0041101324179396</v>
      </c>
      <c r="CR81">
        <v>607.58306434135193</v>
      </c>
      <c r="CS81">
        <v>0.42399999999999999</v>
      </c>
      <c r="CT81">
        <v>1E-4</v>
      </c>
      <c r="CU81">
        <v>15.800100000000043</v>
      </c>
      <c r="CV81">
        <v>1E-4</v>
      </c>
      <c r="CW81" s="2">
        <v>45681</v>
      </c>
      <c r="CX81" t="s">
        <v>1601</v>
      </c>
      <c r="CY81">
        <v>5</v>
      </c>
      <c r="CZ81">
        <v>5.4999999999999997E-3</v>
      </c>
      <c r="DA81">
        <v>6.0043642571557712</v>
      </c>
      <c r="DB81">
        <v>709.81416800408272</v>
      </c>
      <c r="DC81">
        <v>0.42399999999999999</v>
      </c>
      <c r="DD81">
        <v>1E-4</v>
      </c>
      <c r="DE81">
        <v>16.203000000000031</v>
      </c>
      <c r="DF81">
        <v>1E-4</v>
      </c>
      <c r="DG81" s="2">
        <v>45681</v>
      </c>
      <c r="DH81" t="s">
        <v>1759</v>
      </c>
      <c r="DI81">
        <v>6</v>
      </c>
      <c r="DJ81">
        <v>5.7999999999999996E-3</v>
      </c>
      <c r="DK81">
        <v>6.0035730012607544</v>
      </c>
      <c r="DL81">
        <v>607.53300371750231</v>
      </c>
      <c r="DM81">
        <v>0.42399999999999999</v>
      </c>
      <c r="DN81">
        <v>1E-4</v>
      </c>
      <c r="DO81">
        <v>15.802000000000021</v>
      </c>
      <c r="DP81">
        <v>1E-4</v>
      </c>
    </row>
    <row r="82" spans="1:120" x14ac:dyDescent="0.3">
      <c r="A82" s="2">
        <v>45681</v>
      </c>
      <c r="B82" t="s">
        <v>268</v>
      </c>
      <c r="C82">
        <v>1</v>
      </c>
      <c r="D82">
        <v>1.8E-3</v>
      </c>
      <c r="E82">
        <v>5.9957344102493186</v>
      </c>
      <c r="F82">
        <v>606.80244703523647</v>
      </c>
      <c r="G82">
        <v>0.42399999999999999</v>
      </c>
      <c r="H82">
        <v>0</v>
      </c>
      <c r="I82">
        <v>16.00067</v>
      </c>
      <c r="J82">
        <v>0</v>
      </c>
      <c r="K82" s="2">
        <v>45681</v>
      </c>
      <c r="L82" t="s">
        <v>426</v>
      </c>
      <c r="M82">
        <v>1</v>
      </c>
      <c r="N82">
        <v>3.3E-3</v>
      </c>
      <c r="O82">
        <v>6.0285057788184782</v>
      </c>
      <c r="P82">
        <v>609.85673858588223</v>
      </c>
      <c r="Q82">
        <v>0.42399999999999999</v>
      </c>
      <c r="R82">
        <v>5.0000000000000001E-4</v>
      </c>
      <c r="S82">
        <v>16.001519999999999</v>
      </c>
      <c r="T82">
        <v>5.0000000000000001E-4</v>
      </c>
      <c r="U82" s="2">
        <v>45681</v>
      </c>
      <c r="V82" t="s">
        <v>679</v>
      </c>
      <c r="W82">
        <v>2</v>
      </c>
      <c r="X82">
        <v>1.09E-2</v>
      </c>
      <c r="Y82">
        <v>6.364346374943711</v>
      </c>
      <c r="Z82">
        <v>641.15708214475387</v>
      </c>
      <c r="AA82">
        <v>0.42399999999999999</v>
      </c>
      <c r="AB82">
        <v>5.7000000000000002E-3</v>
      </c>
      <c r="AC82">
        <v>16</v>
      </c>
      <c r="AD82">
        <v>5.7000000000000002E-3</v>
      </c>
      <c r="AO82" s="2">
        <v>45681</v>
      </c>
      <c r="AP82" t="s">
        <v>876</v>
      </c>
      <c r="AQ82">
        <v>3</v>
      </c>
      <c r="AR82">
        <v>1.4999999999999999E-2</v>
      </c>
      <c r="AS82">
        <v>6.6712404547761679</v>
      </c>
      <c r="AT82">
        <v>669.7596103851389</v>
      </c>
      <c r="AU82">
        <v>0.42399999999999999</v>
      </c>
      <c r="AV82">
        <v>1.0500000000000001E-2</v>
      </c>
      <c r="AW82">
        <v>15.997599999999977</v>
      </c>
      <c r="AX82">
        <v>1.0500000000000001E-2</v>
      </c>
      <c r="BI82" s="2">
        <v>45681</v>
      </c>
      <c r="BJ82" t="s">
        <v>1080</v>
      </c>
      <c r="BK82">
        <v>4</v>
      </c>
      <c r="BL82">
        <v>7.3000000000000001E-3</v>
      </c>
      <c r="BM82">
        <v>6.124611712934005</v>
      </c>
      <c r="BN82">
        <v>618.81381164544928</v>
      </c>
      <c r="BO82">
        <v>0.42399999999999999</v>
      </c>
      <c r="BP82">
        <v>2E-3</v>
      </c>
      <c r="BQ82">
        <v>16.001599999999996</v>
      </c>
      <c r="BR82">
        <v>2E-3</v>
      </c>
      <c r="BS82" s="2">
        <v>45681</v>
      </c>
      <c r="BT82" t="s">
        <v>1204</v>
      </c>
      <c r="BU82">
        <v>4</v>
      </c>
      <c r="BV82">
        <v>3.8E-3</v>
      </c>
      <c r="BW82">
        <v>5.9957334838115024</v>
      </c>
      <c r="BX82">
        <v>606.80236069123202</v>
      </c>
      <c r="BY82">
        <v>0.42399999999999999</v>
      </c>
      <c r="BZ82">
        <v>0</v>
      </c>
      <c r="CA82">
        <v>16.0017</v>
      </c>
      <c r="CB82">
        <v>0</v>
      </c>
      <c r="CM82" s="2">
        <v>45681</v>
      </c>
      <c r="CN82" t="s">
        <v>1442</v>
      </c>
      <c r="CO82">
        <v>5</v>
      </c>
      <c r="CP82">
        <v>4.4000000000000003E-3</v>
      </c>
      <c r="CQ82">
        <v>5.9957336449311036</v>
      </c>
      <c r="CR82">
        <v>606.8023757075789</v>
      </c>
      <c r="CS82">
        <v>0.42399999999999999</v>
      </c>
      <c r="CT82">
        <v>0</v>
      </c>
      <c r="CU82">
        <v>16.001700000000028</v>
      </c>
      <c r="CV82">
        <v>0</v>
      </c>
      <c r="CW82" s="2">
        <v>45681</v>
      </c>
      <c r="CX82" t="s">
        <v>1602</v>
      </c>
      <c r="CY82">
        <v>6</v>
      </c>
      <c r="CZ82">
        <v>5.4999999999999997E-3</v>
      </c>
      <c r="DA82">
        <v>6.0292418906914982</v>
      </c>
      <c r="DB82">
        <v>712.1750554266232</v>
      </c>
      <c r="DC82">
        <v>0.42399999999999999</v>
      </c>
      <c r="DD82">
        <v>5.0000000000000001E-4</v>
      </c>
      <c r="DE82">
        <v>16.401900000000012</v>
      </c>
      <c r="DF82">
        <v>5.0000000000000001E-4</v>
      </c>
      <c r="DG82" s="2">
        <v>45681</v>
      </c>
      <c r="DH82" t="s">
        <v>1760</v>
      </c>
      <c r="DI82">
        <v>6</v>
      </c>
      <c r="DJ82">
        <v>5.7999999999999996E-3</v>
      </c>
      <c r="DK82">
        <v>5.995739807756328</v>
      </c>
      <c r="DL82">
        <v>606.80295008288977</v>
      </c>
      <c r="DM82">
        <v>0.42399999999999999</v>
      </c>
      <c r="DN82">
        <v>0</v>
      </c>
      <c r="DO82">
        <v>16.001599999999996</v>
      </c>
      <c r="DP82">
        <v>0</v>
      </c>
    </row>
    <row r="83" spans="1:120" x14ac:dyDescent="0.3">
      <c r="A83" s="2">
        <v>45681</v>
      </c>
      <c r="B83" t="s">
        <v>269</v>
      </c>
      <c r="C83">
        <v>1</v>
      </c>
      <c r="D83">
        <v>1.8E-3</v>
      </c>
      <c r="E83">
        <v>6.0040967194455286</v>
      </c>
      <c r="F83">
        <v>709.78877867538074</v>
      </c>
      <c r="G83">
        <v>0.42399999999999999</v>
      </c>
      <c r="H83">
        <v>1E-4</v>
      </c>
      <c r="I83">
        <v>16.199100000000001</v>
      </c>
      <c r="J83">
        <v>1E-4</v>
      </c>
      <c r="K83" s="2">
        <v>45681</v>
      </c>
      <c r="L83" t="s">
        <v>427</v>
      </c>
      <c r="M83">
        <v>1</v>
      </c>
      <c r="N83">
        <v>2.8E-3</v>
      </c>
      <c r="O83">
        <v>6.0040033111488613</v>
      </c>
      <c r="P83">
        <v>607.57310859907386</v>
      </c>
      <c r="Q83">
        <v>0.42399999999999999</v>
      </c>
      <c r="R83">
        <v>1E-4</v>
      </c>
      <c r="S83">
        <v>16.200279999999999</v>
      </c>
      <c r="T83">
        <v>1E-4</v>
      </c>
      <c r="U83" s="2">
        <v>45681</v>
      </c>
      <c r="V83" t="s">
        <v>680</v>
      </c>
      <c r="W83">
        <v>2</v>
      </c>
      <c r="X83">
        <v>9.2999999999999992E-3</v>
      </c>
      <c r="Y83">
        <v>6.2730339565813198</v>
      </c>
      <c r="Z83">
        <v>632.64676475337899</v>
      </c>
      <c r="AA83">
        <v>0.42399999999999999</v>
      </c>
      <c r="AB83">
        <v>4.3E-3</v>
      </c>
      <c r="AC83">
        <v>16.202099999999987</v>
      </c>
      <c r="AD83">
        <v>4.3E-3</v>
      </c>
      <c r="AO83" s="2">
        <v>45681</v>
      </c>
      <c r="AP83" t="s">
        <v>877</v>
      </c>
      <c r="AQ83">
        <v>3</v>
      </c>
      <c r="AR83">
        <v>1.43E-2</v>
      </c>
      <c r="AS83">
        <v>6.5652564827971203</v>
      </c>
      <c r="AT83">
        <v>659.88190419669161</v>
      </c>
      <c r="AU83">
        <v>0.42399999999999999</v>
      </c>
      <c r="AV83">
        <v>8.8000000000000005E-3</v>
      </c>
      <c r="AW83">
        <v>16.198099999999982</v>
      </c>
      <c r="AX83">
        <v>8.8000000000000005E-3</v>
      </c>
      <c r="BI83" s="2">
        <v>45681</v>
      </c>
      <c r="BJ83" t="s">
        <v>1081</v>
      </c>
      <c r="BK83">
        <v>4</v>
      </c>
      <c r="BL83">
        <v>5.7000000000000002E-3</v>
      </c>
      <c r="BM83">
        <v>6.069290459674245</v>
      </c>
      <c r="BN83">
        <v>613.65787084163969</v>
      </c>
      <c r="BO83">
        <v>0.42399999999999999</v>
      </c>
      <c r="BP83">
        <v>1.1000000000000001E-3</v>
      </c>
      <c r="BQ83">
        <v>16.201399999999978</v>
      </c>
      <c r="BR83">
        <v>1.1000000000000001E-3</v>
      </c>
      <c r="BS83" s="2">
        <v>45681</v>
      </c>
      <c r="BT83" t="s">
        <v>1205</v>
      </c>
      <c r="BU83">
        <v>4</v>
      </c>
      <c r="BV83">
        <v>3.8E-3</v>
      </c>
      <c r="BW83">
        <v>6.0039878424397504</v>
      </c>
      <c r="BX83">
        <v>709.77844624753232</v>
      </c>
      <c r="BY83">
        <v>0.42399999999999999</v>
      </c>
      <c r="BZ83">
        <v>1E-4</v>
      </c>
      <c r="CA83">
        <v>16.20089999999999</v>
      </c>
      <c r="CB83">
        <v>1E-4</v>
      </c>
      <c r="CM83" s="2">
        <v>45681</v>
      </c>
      <c r="CN83" t="s">
        <v>1443</v>
      </c>
      <c r="CO83">
        <v>5</v>
      </c>
      <c r="CP83">
        <v>4.3E-3</v>
      </c>
      <c r="CQ83">
        <v>6.0043697350656027</v>
      </c>
      <c r="CR83">
        <v>709.81468785772574</v>
      </c>
      <c r="CS83">
        <v>0.42399999999999999</v>
      </c>
      <c r="CT83">
        <v>1E-4</v>
      </c>
      <c r="CU83">
        <v>16.204600000000028</v>
      </c>
      <c r="CV83">
        <v>1E-4</v>
      </c>
      <c r="CW83" s="2">
        <v>45681</v>
      </c>
      <c r="CX83" t="s">
        <v>1603</v>
      </c>
      <c r="CY83">
        <v>6</v>
      </c>
      <c r="CZ83">
        <v>5.4999999999999997E-3</v>
      </c>
      <c r="DA83">
        <v>6.0721147256360366</v>
      </c>
      <c r="DB83">
        <v>716.24368746285995</v>
      </c>
      <c r="DC83">
        <v>0.42399999999999999</v>
      </c>
      <c r="DD83">
        <v>1.1999999999999999E-3</v>
      </c>
      <c r="DE83">
        <v>16.610500000000002</v>
      </c>
      <c r="DF83">
        <v>1.1999999999999999E-3</v>
      </c>
      <c r="DG83" s="2">
        <v>45681</v>
      </c>
      <c r="DH83" t="s">
        <v>1761</v>
      </c>
      <c r="DI83">
        <v>6</v>
      </c>
      <c r="DJ83">
        <v>5.7999999999999996E-3</v>
      </c>
      <c r="DK83">
        <v>6.0043095996986748</v>
      </c>
      <c r="DL83">
        <v>709.80898101140428</v>
      </c>
      <c r="DM83">
        <v>0.42399999999999999</v>
      </c>
      <c r="DN83">
        <v>1E-4</v>
      </c>
      <c r="DO83">
        <v>16.199099999999987</v>
      </c>
      <c r="DP83">
        <v>1E-4</v>
      </c>
    </row>
    <row r="84" spans="1:120" x14ac:dyDescent="0.3">
      <c r="A84" s="2">
        <v>45681</v>
      </c>
      <c r="B84" t="s">
        <v>270</v>
      </c>
      <c r="C84">
        <v>1</v>
      </c>
      <c r="D84">
        <v>1.8E-3</v>
      </c>
      <c r="E84">
        <v>6.0292038696992742</v>
      </c>
      <c r="F84">
        <v>712.1714472344612</v>
      </c>
      <c r="G84">
        <v>0.42399999999999999</v>
      </c>
      <c r="H84">
        <v>5.0000000000000001E-4</v>
      </c>
      <c r="I84">
        <v>16.400980000000001</v>
      </c>
      <c r="J84">
        <v>5.0000000000000001E-4</v>
      </c>
      <c r="K84" s="2">
        <v>45681</v>
      </c>
      <c r="L84" t="s">
        <v>428</v>
      </c>
      <c r="M84">
        <v>1</v>
      </c>
      <c r="N84">
        <v>2.3999999999999998E-3</v>
      </c>
      <c r="O84">
        <v>5.9957358200459776</v>
      </c>
      <c r="P84">
        <v>606.80257842828507</v>
      </c>
      <c r="Q84">
        <v>0.42399999999999999</v>
      </c>
      <c r="R84">
        <v>0</v>
      </c>
      <c r="S84">
        <v>16.403019999999998</v>
      </c>
      <c r="T84">
        <v>0</v>
      </c>
      <c r="U84" s="2">
        <v>45681</v>
      </c>
      <c r="V84" t="s">
        <v>681</v>
      </c>
      <c r="W84">
        <v>2</v>
      </c>
      <c r="X84">
        <v>6.4999999999999997E-3</v>
      </c>
      <c r="Y84">
        <v>6.1930450793060663</v>
      </c>
      <c r="Z84">
        <v>625.19180139132538</v>
      </c>
      <c r="AA84">
        <v>0.42399999999999999</v>
      </c>
      <c r="AB84">
        <v>3.0999999999999999E-3</v>
      </c>
      <c r="AC84">
        <v>16.40079999999999</v>
      </c>
      <c r="AD84">
        <v>3.0999999999999999E-3</v>
      </c>
      <c r="AO84" s="2">
        <v>45681</v>
      </c>
      <c r="AP84" t="s">
        <v>878</v>
      </c>
      <c r="AQ84">
        <v>3</v>
      </c>
      <c r="AR84">
        <v>1.29E-2</v>
      </c>
      <c r="AS84">
        <v>6.4621773032708063</v>
      </c>
      <c r="AT84">
        <v>650.2749246648392</v>
      </c>
      <c r="AU84">
        <v>0.42399999999999999</v>
      </c>
      <c r="AV84">
        <v>7.1999999999999998E-3</v>
      </c>
      <c r="AW84">
        <v>16.398099999999999</v>
      </c>
      <c r="AX84">
        <v>7.1999999999999998E-3</v>
      </c>
      <c r="BI84" s="2">
        <v>45681</v>
      </c>
      <c r="BJ84" t="s">
        <v>1082</v>
      </c>
      <c r="BK84">
        <v>4</v>
      </c>
      <c r="BL84">
        <v>4.8999999999999998E-3</v>
      </c>
      <c r="BM84">
        <v>6.0289752409621986</v>
      </c>
      <c r="BN84">
        <v>609.90049245767705</v>
      </c>
      <c r="BO84">
        <v>0.42399999999999999</v>
      </c>
      <c r="BP84">
        <v>5.0000000000000001E-4</v>
      </c>
      <c r="BQ84">
        <v>16.399999999999977</v>
      </c>
      <c r="BR84">
        <v>5.0000000000000001E-4</v>
      </c>
      <c r="BS84" s="2">
        <v>45681</v>
      </c>
      <c r="BT84" t="s">
        <v>1206</v>
      </c>
      <c r="BU84">
        <v>4</v>
      </c>
      <c r="BV84">
        <v>3.8E-3</v>
      </c>
      <c r="BW84">
        <v>6.0286426900719112</v>
      </c>
      <c r="BX84">
        <v>712.1181912878244</v>
      </c>
      <c r="BY84">
        <v>0.42399999999999999</v>
      </c>
      <c r="BZ84">
        <v>5.0000000000000001E-4</v>
      </c>
      <c r="CA84">
        <v>16.400700000000001</v>
      </c>
      <c r="CB84">
        <v>5.0000000000000001E-4</v>
      </c>
      <c r="CM84" s="2">
        <v>45681</v>
      </c>
      <c r="CN84" t="s">
        <v>1444</v>
      </c>
      <c r="CO84">
        <v>5</v>
      </c>
      <c r="CP84">
        <v>4.1000000000000003E-3</v>
      </c>
      <c r="CQ84">
        <v>6.0286299988374363</v>
      </c>
      <c r="CR84">
        <v>712.11698688967272</v>
      </c>
      <c r="CS84">
        <v>0.42399999999999999</v>
      </c>
      <c r="CT84">
        <v>5.0000000000000001E-4</v>
      </c>
      <c r="CU84">
        <v>16.399700000000053</v>
      </c>
      <c r="CV84">
        <v>5.0000000000000001E-4</v>
      </c>
      <c r="CW84" s="2">
        <v>45681</v>
      </c>
      <c r="CX84" t="s">
        <v>1604</v>
      </c>
      <c r="CY84">
        <v>6</v>
      </c>
      <c r="CZ84">
        <v>5.4999999999999997E-3</v>
      </c>
      <c r="DA84">
        <v>6.1254932874385766</v>
      </c>
      <c r="DB84">
        <v>721.30931297792097</v>
      </c>
      <c r="DC84">
        <v>0.42399999999999999</v>
      </c>
      <c r="DD84">
        <v>2E-3</v>
      </c>
      <c r="DE84">
        <v>16.801500000000033</v>
      </c>
      <c r="DF84">
        <v>2E-3</v>
      </c>
      <c r="DG84" s="2">
        <v>45681</v>
      </c>
      <c r="DH84" t="s">
        <v>1762</v>
      </c>
      <c r="DI84">
        <v>6</v>
      </c>
      <c r="DJ84">
        <v>5.7999999999999996E-3</v>
      </c>
      <c r="DK84">
        <v>6.029588053234864</v>
      </c>
      <c r="DL84">
        <v>712.20790625198867</v>
      </c>
      <c r="DM84">
        <v>0.42399999999999999</v>
      </c>
      <c r="DN84">
        <v>5.0000000000000001E-4</v>
      </c>
      <c r="DO84">
        <v>16.400800000000004</v>
      </c>
      <c r="DP84">
        <v>5.0000000000000001E-4</v>
      </c>
    </row>
    <row r="85" spans="1:120" x14ac:dyDescent="0.3">
      <c r="A85" s="2">
        <v>45681</v>
      </c>
      <c r="B85" t="s">
        <v>271</v>
      </c>
      <c r="C85">
        <v>1</v>
      </c>
      <c r="D85">
        <v>1.8E-3</v>
      </c>
      <c r="E85">
        <v>6.0699900589062308</v>
      </c>
      <c r="F85">
        <v>716.04205659020135</v>
      </c>
      <c r="G85">
        <v>0.42399999999999999</v>
      </c>
      <c r="H85">
        <v>1.1999999999999999E-3</v>
      </c>
      <c r="I85">
        <v>16.60107</v>
      </c>
      <c r="J85">
        <v>1.1999999999999999E-3</v>
      </c>
      <c r="K85" s="2">
        <v>45681</v>
      </c>
      <c r="L85" t="s">
        <v>429</v>
      </c>
      <c r="M85">
        <v>1</v>
      </c>
      <c r="N85">
        <v>2.3999999999999998E-3</v>
      </c>
      <c r="O85">
        <v>6.0043265970325139</v>
      </c>
      <c r="P85">
        <v>709.81059405838562</v>
      </c>
      <c r="Q85">
        <v>0.42399999999999999</v>
      </c>
      <c r="R85">
        <v>1E-4</v>
      </c>
      <c r="S85">
        <v>16.602930000000001</v>
      </c>
      <c r="T85">
        <v>1E-4</v>
      </c>
      <c r="U85" s="2">
        <v>45681</v>
      </c>
      <c r="V85" t="s">
        <v>682</v>
      </c>
      <c r="W85">
        <v>2</v>
      </c>
      <c r="X85">
        <v>6.1999999999999998E-3</v>
      </c>
      <c r="Y85">
        <v>6.1250280097529934</v>
      </c>
      <c r="Z85">
        <v>618.85261050897896</v>
      </c>
      <c r="AA85">
        <v>0.42399999999999999</v>
      </c>
      <c r="AB85">
        <v>2E-3</v>
      </c>
      <c r="AC85">
        <v>16.598499999999987</v>
      </c>
      <c r="AD85">
        <v>2E-3</v>
      </c>
      <c r="AO85" s="2">
        <v>45681</v>
      </c>
      <c r="AP85" t="s">
        <v>879</v>
      </c>
      <c r="AQ85">
        <v>3</v>
      </c>
      <c r="AR85">
        <v>1.17E-2</v>
      </c>
      <c r="AS85">
        <v>6.3640768990832859</v>
      </c>
      <c r="AT85">
        <v>641.13196699456228</v>
      </c>
      <c r="AU85">
        <v>0.42399999999999999</v>
      </c>
      <c r="AV85">
        <v>5.7000000000000002E-3</v>
      </c>
      <c r="AW85">
        <v>16.598399999999998</v>
      </c>
      <c r="AX85">
        <v>5.7000000000000002E-3</v>
      </c>
      <c r="BI85" s="2">
        <v>45681</v>
      </c>
      <c r="BJ85" t="s">
        <v>1083</v>
      </c>
      <c r="BK85">
        <v>4</v>
      </c>
      <c r="BL85">
        <v>4.8999999999999998E-3</v>
      </c>
      <c r="BM85">
        <v>6.0039386628924873</v>
      </c>
      <c r="BN85">
        <v>607.56708338157989</v>
      </c>
      <c r="BO85">
        <v>0.42399999999999999</v>
      </c>
      <c r="BP85">
        <v>1E-4</v>
      </c>
      <c r="BQ85">
        <v>16.602399999999989</v>
      </c>
      <c r="BR85">
        <v>1E-4</v>
      </c>
      <c r="BS85" s="2">
        <v>45681</v>
      </c>
      <c r="BT85" t="s">
        <v>1207</v>
      </c>
      <c r="BU85">
        <v>4</v>
      </c>
      <c r="BV85">
        <v>3.8E-3</v>
      </c>
      <c r="BW85">
        <v>6.0692700644955222</v>
      </c>
      <c r="BX85">
        <v>715.97372912062508</v>
      </c>
      <c r="BY85">
        <v>0.42399999999999999</v>
      </c>
      <c r="BZ85">
        <v>1.1000000000000001E-3</v>
      </c>
      <c r="CA85">
        <v>16.601200000000006</v>
      </c>
      <c r="CB85">
        <v>1.1000000000000001E-3</v>
      </c>
      <c r="CM85" s="2">
        <v>45681</v>
      </c>
      <c r="CN85" t="s">
        <v>1445</v>
      </c>
      <c r="CO85">
        <v>5</v>
      </c>
      <c r="CP85">
        <v>4.1000000000000003E-3</v>
      </c>
      <c r="CQ85">
        <v>6.0695463117174704</v>
      </c>
      <c r="CR85">
        <v>715.99994498198794</v>
      </c>
      <c r="CS85">
        <v>0.42399999999999999</v>
      </c>
      <c r="CT85">
        <v>1.1000000000000001E-3</v>
      </c>
      <c r="CU85">
        <v>16.601400000000012</v>
      </c>
      <c r="CV85">
        <v>1.1000000000000001E-3</v>
      </c>
      <c r="CW85" s="2">
        <v>45681</v>
      </c>
      <c r="CX85" t="s">
        <v>1605</v>
      </c>
      <c r="CY85">
        <v>6</v>
      </c>
      <c r="CZ85">
        <v>5.4999999999999997E-3</v>
      </c>
      <c r="DA85">
        <v>6.1945302781161047</v>
      </c>
      <c r="DB85">
        <v>727.8609233932184</v>
      </c>
      <c r="DC85">
        <v>0.42399999999999999</v>
      </c>
      <c r="DD85">
        <v>3.0999999999999999E-3</v>
      </c>
      <c r="DE85">
        <v>17.001599999999996</v>
      </c>
      <c r="DF85">
        <v>3.0999999999999999E-3</v>
      </c>
      <c r="DG85" s="2">
        <v>45681</v>
      </c>
      <c r="DH85" t="s">
        <v>1763</v>
      </c>
      <c r="DI85">
        <v>6</v>
      </c>
      <c r="DJ85">
        <v>5.7999999999999996E-3</v>
      </c>
      <c r="DK85">
        <v>6.0708230174678786</v>
      </c>
      <c r="DL85">
        <v>716.12110435770182</v>
      </c>
      <c r="DM85">
        <v>0.42399999999999999</v>
      </c>
      <c r="DN85">
        <v>1.1999999999999999E-3</v>
      </c>
      <c r="DO85">
        <v>16.602000000000032</v>
      </c>
      <c r="DP85">
        <v>1.1999999999999999E-3</v>
      </c>
    </row>
    <row r="86" spans="1:120" x14ac:dyDescent="0.3">
      <c r="A86" s="2">
        <v>45681</v>
      </c>
      <c r="B86" t="s">
        <v>272</v>
      </c>
      <c r="C86">
        <v>1</v>
      </c>
      <c r="D86">
        <v>1.9E-3</v>
      </c>
      <c r="E86">
        <v>6.1266675307304679</v>
      </c>
      <c r="F86">
        <v>721.4207486663214</v>
      </c>
      <c r="G86">
        <v>0.42399999999999999</v>
      </c>
      <c r="H86">
        <v>2E-3</v>
      </c>
      <c r="I86">
        <v>16.804560000000002</v>
      </c>
      <c r="J86">
        <v>2E-3</v>
      </c>
      <c r="K86" s="2">
        <v>45681</v>
      </c>
      <c r="L86" t="s">
        <v>430</v>
      </c>
      <c r="M86">
        <v>1</v>
      </c>
      <c r="N86">
        <v>2.3999999999999998E-3</v>
      </c>
      <c r="O86">
        <v>6.0290659082765998</v>
      </c>
      <c r="P86">
        <v>712.15835469544936</v>
      </c>
      <c r="Q86">
        <v>0.42399999999999999</v>
      </c>
      <c r="R86">
        <v>5.0000000000000001E-4</v>
      </c>
      <c r="S86">
        <v>16.80124</v>
      </c>
      <c r="T86">
        <v>5.0000000000000001E-4</v>
      </c>
      <c r="U86" s="2">
        <v>45681</v>
      </c>
      <c r="V86" t="s">
        <v>683</v>
      </c>
      <c r="W86">
        <v>2</v>
      </c>
      <c r="X86">
        <v>5.0000000000000001E-3</v>
      </c>
      <c r="Y86">
        <v>6.0689384705162022</v>
      </c>
      <c r="Z86">
        <v>613.62506545211011</v>
      </c>
      <c r="AA86">
        <v>0.42399999999999999</v>
      </c>
      <c r="AB86">
        <v>1.1000000000000001E-3</v>
      </c>
      <c r="AC86">
        <v>16.801099999999991</v>
      </c>
      <c r="AD86">
        <v>1.1000000000000001E-3</v>
      </c>
      <c r="AO86" s="2">
        <v>45681</v>
      </c>
      <c r="AP86" t="s">
        <v>880</v>
      </c>
      <c r="AQ86">
        <v>3</v>
      </c>
      <c r="AR86">
        <v>1.06E-2</v>
      </c>
      <c r="AS86">
        <v>6.2745066668922593</v>
      </c>
      <c r="AT86">
        <v>632.78402135435863</v>
      </c>
      <c r="AU86">
        <v>0.42399999999999999</v>
      </c>
      <c r="AV86">
        <v>4.3E-3</v>
      </c>
      <c r="AW86">
        <v>16.796599999999984</v>
      </c>
      <c r="AX86">
        <v>4.3E-3</v>
      </c>
      <c r="BI86" s="2">
        <v>45681</v>
      </c>
      <c r="BJ86" t="s">
        <v>1084</v>
      </c>
      <c r="BK86">
        <v>4</v>
      </c>
      <c r="BL86">
        <v>4.7999999999999996E-3</v>
      </c>
      <c r="BM86">
        <v>5.9957340074502161</v>
      </c>
      <c r="BN86">
        <v>606.80240949436018</v>
      </c>
      <c r="BO86">
        <v>0.42399999999999999</v>
      </c>
      <c r="BP86">
        <v>0</v>
      </c>
      <c r="BQ86">
        <v>16.799399999999991</v>
      </c>
      <c r="BR86">
        <v>0</v>
      </c>
      <c r="BS86" s="2">
        <v>45681</v>
      </c>
      <c r="BT86" t="s">
        <v>1208</v>
      </c>
      <c r="BU86">
        <v>4</v>
      </c>
      <c r="BV86">
        <v>3.8E-3</v>
      </c>
      <c r="BW86">
        <v>6.12444603758557</v>
      </c>
      <c r="BX86">
        <v>721.20992896687062</v>
      </c>
      <c r="BY86">
        <v>0.42399999999999999</v>
      </c>
      <c r="BZ86">
        <v>2E-3</v>
      </c>
      <c r="CA86">
        <v>16.800600000000003</v>
      </c>
      <c r="CB86">
        <v>2E-3</v>
      </c>
      <c r="CM86" s="2">
        <v>45681</v>
      </c>
      <c r="CN86" t="s">
        <v>1446</v>
      </c>
      <c r="CO86">
        <v>5</v>
      </c>
      <c r="CP86">
        <v>4.1000000000000003E-3</v>
      </c>
      <c r="CQ86">
        <v>6.1246035629719318</v>
      </c>
      <c r="CR86">
        <v>721.2248781260364</v>
      </c>
      <c r="CS86">
        <v>0.42399999999999999</v>
      </c>
      <c r="CT86">
        <v>2E-3</v>
      </c>
      <c r="CU86">
        <v>16.800200000000018</v>
      </c>
      <c r="CV86">
        <v>2E-3</v>
      </c>
      <c r="CW86" s="2">
        <v>45681</v>
      </c>
      <c r="CX86" t="s">
        <v>1606</v>
      </c>
      <c r="CY86">
        <v>6</v>
      </c>
      <c r="CZ86">
        <v>5.4999999999999997E-3</v>
      </c>
      <c r="DA86">
        <v>6.2746608674184703</v>
      </c>
      <c r="DB86">
        <v>735.46531631801281</v>
      </c>
      <c r="DC86">
        <v>0.42399999999999999</v>
      </c>
      <c r="DD86">
        <v>4.3E-3</v>
      </c>
      <c r="DE86">
        <v>17.20010000000002</v>
      </c>
      <c r="DF86">
        <v>4.3E-3</v>
      </c>
      <c r="DG86" s="2">
        <v>45681</v>
      </c>
      <c r="DH86" t="s">
        <v>1764</v>
      </c>
      <c r="DI86">
        <v>6</v>
      </c>
      <c r="DJ86">
        <v>5.7999999999999996E-3</v>
      </c>
      <c r="DK86">
        <v>6.1255885325177406</v>
      </c>
      <c r="DL86">
        <v>721.31835173593367</v>
      </c>
      <c r="DM86">
        <v>0.42399999999999999</v>
      </c>
      <c r="DN86">
        <v>2E-3</v>
      </c>
      <c r="DO86">
        <v>16.798600000000022</v>
      </c>
      <c r="DP86">
        <v>2E-3</v>
      </c>
    </row>
    <row r="87" spans="1:120" x14ac:dyDescent="0.3">
      <c r="A87" s="2">
        <v>45681</v>
      </c>
      <c r="B87" t="s">
        <v>273</v>
      </c>
      <c r="C87">
        <v>1</v>
      </c>
      <c r="D87">
        <v>1.9E-3</v>
      </c>
      <c r="E87">
        <v>6.194021979983952</v>
      </c>
      <c r="F87">
        <v>727.81268590047705</v>
      </c>
      <c r="G87">
        <v>0.42399999999999999</v>
      </c>
      <c r="H87">
        <v>3.0999999999999999E-3</v>
      </c>
      <c r="I87">
        <v>16.99953</v>
      </c>
      <c r="J87">
        <v>3.0999999999999999E-3</v>
      </c>
      <c r="K87" s="2">
        <v>45681</v>
      </c>
      <c r="L87" t="s">
        <v>431</v>
      </c>
      <c r="M87">
        <v>1</v>
      </c>
      <c r="N87">
        <v>2.3999999999999998E-3</v>
      </c>
      <c r="O87">
        <v>6.0695731538811186</v>
      </c>
      <c r="P87">
        <v>716.00249230331815</v>
      </c>
      <c r="Q87">
        <v>0.42399999999999999</v>
      </c>
      <c r="R87">
        <v>1.1000000000000001E-3</v>
      </c>
      <c r="S87">
        <v>17.000430000000001</v>
      </c>
      <c r="T87">
        <v>1.1000000000000001E-3</v>
      </c>
      <c r="U87" s="2">
        <v>45681</v>
      </c>
      <c r="V87" t="s">
        <v>684</v>
      </c>
      <c r="W87">
        <v>2</v>
      </c>
      <c r="X87">
        <v>3.8E-3</v>
      </c>
      <c r="Y87">
        <v>6.0284777405161183</v>
      </c>
      <c r="Z87">
        <v>609.85412541610219</v>
      </c>
      <c r="AA87">
        <v>0.42399999999999999</v>
      </c>
      <c r="AB87">
        <v>5.0000000000000001E-4</v>
      </c>
      <c r="AC87">
        <v>17.001199999999997</v>
      </c>
      <c r="AD87">
        <v>5.0000000000000001E-4</v>
      </c>
      <c r="AO87" s="2">
        <v>45681</v>
      </c>
      <c r="AP87" t="s">
        <v>881</v>
      </c>
      <c r="AQ87">
        <v>3</v>
      </c>
      <c r="AR87">
        <v>8.3999999999999995E-3</v>
      </c>
      <c r="AS87">
        <v>6.1941033174163938</v>
      </c>
      <c r="AT87">
        <v>625.29042918320795</v>
      </c>
      <c r="AU87">
        <v>0.42399999999999999</v>
      </c>
      <c r="AV87">
        <v>3.0999999999999999E-3</v>
      </c>
      <c r="AW87">
        <v>16.995899999999978</v>
      </c>
      <c r="AX87">
        <v>3.0999999999999999E-3</v>
      </c>
      <c r="BI87" s="2">
        <v>45681</v>
      </c>
      <c r="BJ87" t="s">
        <v>1085</v>
      </c>
      <c r="BK87">
        <v>4</v>
      </c>
      <c r="BL87">
        <v>4.0000000000000001E-3</v>
      </c>
      <c r="BM87">
        <v>6.0039420850656171</v>
      </c>
      <c r="BN87">
        <v>709.7741038727271</v>
      </c>
      <c r="BO87">
        <v>0.42399999999999999</v>
      </c>
      <c r="BP87">
        <v>1E-4</v>
      </c>
      <c r="BQ87">
        <v>16.99969999999999</v>
      </c>
      <c r="BR87">
        <v>1E-4</v>
      </c>
      <c r="BS87" s="2">
        <v>45681</v>
      </c>
      <c r="BT87" t="s">
        <v>1209</v>
      </c>
      <c r="BU87">
        <v>4</v>
      </c>
      <c r="BV87">
        <v>3.8E-3</v>
      </c>
      <c r="BW87">
        <v>6.1931394728966573</v>
      </c>
      <c r="BX87">
        <v>727.72893597789277</v>
      </c>
      <c r="BY87">
        <v>0.42399999999999999</v>
      </c>
      <c r="BZ87">
        <v>3.0999999999999999E-3</v>
      </c>
      <c r="CA87">
        <v>17.00030000000001</v>
      </c>
      <c r="CB87">
        <v>3.0999999999999999E-3</v>
      </c>
      <c r="CM87" s="2">
        <v>45681</v>
      </c>
      <c r="CN87" t="s">
        <v>1447</v>
      </c>
      <c r="CO87">
        <v>5</v>
      </c>
      <c r="CP87">
        <v>4.1000000000000003E-3</v>
      </c>
      <c r="CQ87">
        <v>6.1937297977615291</v>
      </c>
      <c r="CR87">
        <v>727.78495780756919</v>
      </c>
      <c r="CS87">
        <v>0.42399999999999999</v>
      </c>
      <c r="CT87">
        <v>3.0999999999999999E-3</v>
      </c>
      <c r="CU87">
        <v>17.001000000000033</v>
      </c>
      <c r="CV87">
        <v>3.0999999999999999E-3</v>
      </c>
      <c r="CW87" s="2">
        <v>45681</v>
      </c>
      <c r="CX87" t="s">
        <v>1607</v>
      </c>
      <c r="CY87">
        <v>6</v>
      </c>
      <c r="CZ87">
        <v>5.4999999999999997E-3</v>
      </c>
      <c r="DA87">
        <v>6.3661768726444183</v>
      </c>
      <c r="DB87">
        <v>744.1501852139553</v>
      </c>
      <c r="DC87">
        <v>0.42399999999999999</v>
      </c>
      <c r="DD87">
        <v>5.7999999999999996E-3</v>
      </c>
      <c r="DE87">
        <v>17.4024</v>
      </c>
      <c r="DF87">
        <v>5.7999999999999996E-3</v>
      </c>
      <c r="DG87" s="2">
        <v>45681</v>
      </c>
      <c r="DH87" t="s">
        <v>1765</v>
      </c>
      <c r="DI87">
        <v>6</v>
      </c>
      <c r="DJ87">
        <v>5.7999999999999996E-3</v>
      </c>
      <c r="DK87">
        <v>6.1959617115046992</v>
      </c>
      <c r="DL87">
        <v>727.996766421796</v>
      </c>
      <c r="DM87">
        <v>0.42399999999999999</v>
      </c>
      <c r="DN87">
        <v>3.0999999999999999E-3</v>
      </c>
      <c r="DO87">
        <v>17.002200000000016</v>
      </c>
      <c r="DP87">
        <v>3.0999999999999999E-3</v>
      </c>
    </row>
    <row r="88" spans="1:120" x14ac:dyDescent="0.3">
      <c r="A88" s="2">
        <v>45681</v>
      </c>
      <c r="B88" t="s">
        <v>274</v>
      </c>
      <c r="C88">
        <v>1</v>
      </c>
      <c r="D88">
        <v>1.9E-3</v>
      </c>
      <c r="E88">
        <v>6.2753143240791109</v>
      </c>
      <c r="F88">
        <v>735.52732935510767</v>
      </c>
      <c r="G88">
        <v>0.42399999999999999</v>
      </c>
      <c r="H88">
        <v>4.3E-3</v>
      </c>
      <c r="I88">
        <v>17.20093</v>
      </c>
      <c r="J88">
        <v>4.3E-3</v>
      </c>
      <c r="K88" s="2">
        <v>45681</v>
      </c>
      <c r="L88" t="s">
        <v>432</v>
      </c>
      <c r="M88">
        <v>1</v>
      </c>
      <c r="N88">
        <v>2.3999999999999998E-3</v>
      </c>
      <c r="O88">
        <v>6.1258979066999633</v>
      </c>
      <c r="P88">
        <v>721.3477113458265</v>
      </c>
      <c r="Q88">
        <v>0.42399999999999999</v>
      </c>
      <c r="R88">
        <v>2E-3</v>
      </c>
      <c r="S88">
        <v>17.203189999999999</v>
      </c>
      <c r="T88">
        <v>2E-3</v>
      </c>
      <c r="U88" s="2">
        <v>45681</v>
      </c>
      <c r="V88" t="s">
        <v>685</v>
      </c>
      <c r="W88">
        <v>2</v>
      </c>
      <c r="X88">
        <v>2.5999999999999999E-3</v>
      </c>
      <c r="Y88">
        <v>6.0039943259170423</v>
      </c>
      <c r="Z88">
        <v>607.57227117546836</v>
      </c>
      <c r="AA88">
        <v>0.42399999999999999</v>
      </c>
      <c r="AB88">
        <v>1E-4</v>
      </c>
      <c r="AC88">
        <v>17.1999</v>
      </c>
      <c r="AD88">
        <v>1E-4</v>
      </c>
      <c r="AO88" s="2">
        <v>45681</v>
      </c>
      <c r="AP88" t="s">
        <v>882</v>
      </c>
      <c r="AQ88">
        <v>3</v>
      </c>
      <c r="AR88">
        <v>6.1999999999999998E-3</v>
      </c>
      <c r="AS88">
        <v>6.1249804885810972</v>
      </c>
      <c r="AT88">
        <v>618.84818153575827</v>
      </c>
      <c r="AU88">
        <v>0.42399999999999999</v>
      </c>
      <c r="AV88">
        <v>2E-3</v>
      </c>
      <c r="AW88">
        <v>17.196499999999986</v>
      </c>
      <c r="AX88">
        <v>2E-3</v>
      </c>
      <c r="BI88" s="2">
        <v>45681</v>
      </c>
      <c r="BJ88" t="s">
        <v>1086</v>
      </c>
      <c r="BK88">
        <v>4</v>
      </c>
      <c r="BL88">
        <v>4.0000000000000001E-3</v>
      </c>
      <c r="BM88">
        <v>6.0288225366230561</v>
      </c>
      <c r="BN88">
        <v>712.13525872552805</v>
      </c>
      <c r="BO88">
        <v>0.42399999999999999</v>
      </c>
      <c r="BP88">
        <v>5.0000000000000001E-4</v>
      </c>
      <c r="BQ88">
        <v>17.201099999999997</v>
      </c>
      <c r="BR88">
        <v>5.0000000000000001E-4</v>
      </c>
      <c r="BS88" s="2">
        <v>45681</v>
      </c>
      <c r="BT88" t="s">
        <v>1210</v>
      </c>
      <c r="BU88">
        <v>4</v>
      </c>
      <c r="BV88">
        <v>3.8E-3</v>
      </c>
      <c r="BW88">
        <v>6.2741129142469712</v>
      </c>
      <c r="BX88">
        <v>735.41331556203761</v>
      </c>
      <c r="BY88">
        <v>0.42399999999999999</v>
      </c>
      <c r="BZ88">
        <v>4.3E-3</v>
      </c>
      <c r="CA88">
        <v>17.201300000000003</v>
      </c>
      <c r="CB88">
        <v>4.3E-3</v>
      </c>
      <c r="CM88" s="2">
        <v>45681</v>
      </c>
      <c r="CN88" t="s">
        <v>1448</v>
      </c>
      <c r="CO88">
        <v>5</v>
      </c>
      <c r="CP88">
        <v>4.1000000000000003E-3</v>
      </c>
      <c r="CQ88">
        <v>6.273762749707303</v>
      </c>
      <c r="CR88">
        <v>735.38008494722305</v>
      </c>
      <c r="CS88">
        <v>0.42399999999999999</v>
      </c>
      <c r="CT88">
        <v>4.3E-3</v>
      </c>
      <c r="CU88">
        <v>17.1995</v>
      </c>
      <c r="CV88">
        <v>4.3E-3</v>
      </c>
      <c r="CW88" s="2">
        <v>45681</v>
      </c>
      <c r="CX88" t="s">
        <v>1608</v>
      </c>
      <c r="CY88">
        <v>6</v>
      </c>
      <c r="CZ88">
        <v>5.4999999999999997E-3</v>
      </c>
      <c r="DA88">
        <v>6.4646543240823302</v>
      </c>
      <c r="DB88">
        <v>753.4956953554132</v>
      </c>
      <c r="DC88">
        <v>0.42399999999999999</v>
      </c>
      <c r="DD88">
        <v>7.3000000000000001E-3</v>
      </c>
      <c r="DE88">
        <v>17.603200000000015</v>
      </c>
      <c r="DF88">
        <v>7.3000000000000001E-3</v>
      </c>
      <c r="DG88" s="2">
        <v>45681</v>
      </c>
      <c r="DH88" t="s">
        <v>1766</v>
      </c>
      <c r="DI88">
        <v>6</v>
      </c>
      <c r="DJ88">
        <v>5.7999999999999996E-3</v>
      </c>
      <c r="DK88">
        <v>6.2756686649675046</v>
      </c>
      <c r="DL88">
        <v>735.5609563054162</v>
      </c>
      <c r="DM88">
        <v>0.42399999999999999</v>
      </c>
      <c r="DN88">
        <v>4.3E-3</v>
      </c>
      <c r="DO88">
        <v>17.199299999999994</v>
      </c>
      <c r="DP88">
        <v>4.3E-3</v>
      </c>
    </row>
    <row r="89" spans="1:120" x14ac:dyDescent="0.3">
      <c r="A89" s="2">
        <v>45681</v>
      </c>
      <c r="B89" t="s">
        <v>275</v>
      </c>
      <c r="C89">
        <v>1</v>
      </c>
      <c r="D89">
        <v>2.3E-3</v>
      </c>
      <c r="E89">
        <v>6.3651516398531367</v>
      </c>
      <c r="F89">
        <v>744.05289062206271</v>
      </c>
      <c r="G89">
        <v>0.42399999999999999</v>
      </c>
      <c r="H89">
        <v>5.7000000000000002E-3</v>
      </c>
      <c r="I89">
        <v>17.3995</v>
      </c>
      <c r="J89">
        <v>5.7000000000000002E-3</v>
      </c>
      <c r="K89" s="2">
        <v>45681</v>
      </c>
      <c r="L89" t="s">
        <v>433</v>
      </c>
      <c r="M89">
        <v>1</v>
      </c>
      <c r="N89">
        <v>2.3999999999999998E-3</v>
      </c>
      <c r="O89">
        <v>6.1939028526776134</v>
      </c>
      <c r="P89">
        <v>727.80138071910551</v>
      </c>
      <c r="Q89">
        <v>0.42399999999999999</v>
      </c>
      <c r="R89">
        <v>3.0999999999999999E-3</v>
      </c>
      <c r="S89">
        <v>17.400300000000001</v>
      </c>
      <c r="T89">
        <v>3.0999999999999999E-3</v>
      </c>
      <c r="U89" s="2">
        <v>45681</v>
      </c>
      <c r="V89" t="s">
        <v>686</v>
      </c>
      <c r="W89">
        <v>2</v>
      </c>
      <c r="X89">
        <v>2.2000000000000001E-3</v>
      </c>
      <c r="Y89">
        <v>5.9957336046511944</v>
      </c>
      <c r="Z89">
        <v>606.80237195349127</v>
      </c>
      <c r="AA89">
        <v>0.42399999999999999</v>
      </c>
      <c r="AB89">
        <v>0</v>
      </c>
      <c r="AC89">
        <v>17.399899999999988</v>
      </c>
      <c r="AD89">
        <v>0</v>
      </c>
      <c r="AO89" s="2">
        <v>45681</v>
      </c>
      <c r="AP89" t="s">
        <v>883</v>
      </c>
      <c r="AQ89">
        <v>3</v>
      </c>
      <c r="AR89">
        <v>5.0000000000000001E-3</v>
      </c>
      <c r="AS89">
        <v>6.0690980232563136</v>
      </c>
      <c r="AT89">
        <v>613.6399357674884</v>
      </c>
      <c r="AU89">
        <v>0.42399999999999999</v>
      </c>
      <c r="AV89">
        <v>1.1000000000000001E-3</v>
      </c>
      <c r="AW89">
        <v>17.398299999999978</v>
      </c>
      <c r="AX89">
        <v>1.1000000000000001E-3</v>
      </c>
      <c r="BI89" s="2">
        <v>45681</v>
      </c>
      <c r="BJ89" t="s">
        <v>1087</v>
      </c>
      <c r="BK89">
        <v>4</v>
      </c>
      <c r="BL89">
        <v>4.0000000000000001E-3</v>
      </c>
      <c r="BM89">
        <v>6.0692957713410696</v>
      </c>
      <c r="BN89">
        <v>715.97616870026764</v>
      </c>
      <c r="BO89">
        <v>0.42399999999999999</v>
      </c>
      <c r="BP89">
        <v>1.1000000000000001E-3</v>
      </c>
      <c r="BQ89">
        <v>17.400599999999997</v>
      </c>
      <c r="BR89">
        <v>1.1000000000000001E-3</v>
      </c>
      <c r="BS89" s="2">
        <v>45681</v>
      </c>
      <c r="BT89" t="s">
        <v>1211</v>
      </c>
      <c r="BU89">
        <v>4</v>
      </c>
      <c r="BV89">
        <v>3.8E-3</v>
      </c>
      <c r="BW89">
        <v>6.3647640098161729</v>
      </c>
      <c r="BX89">
        <v>744.01610453155479</v>
      </c>
      <c r="BY89">
        <v>0.42399999999999999</v>
      </c>
      <c r="BZ89">
        <v>5.7000000000000002E-3</v>
      </c>
      <c r="CA89">
        <v>17.401800000000009</v>
      </c>
      <c r="CB89">
        <v>5.7000000000000002E-3</v>
      </c>
      <c r="CM89" s="2">
        <v>45681</v>
      </c>
      <c r="CN89" t="s">
        <v>1449</v>
      </c>
      <c r="CO89">
        <v>5</v>
      </c>
      <c r="CP89">
        <v>4.1000000000000003E-3</v>
      </c>
      <c r="CQ89">
        <v>6.3644333484195794</v>
      </c>
      <c r="CR89">
        <v>743.98472476501809</v>
      </c>
      <c r="CS89">
        <v>0.42399999999999999</v>
      </c>
      <c r="CT89">
        <v>5.7000000000000002E-3</v>
      </c>
      <c r="CU89">
        <v>17.400200000000041</v>
      </c>
      <c r="CV89">
        <v>5.7000000000000002E-3</v>
      </c>
      <c r="CW89" s="2">
        <v>45681</v>
      </c>
      <c r="CX89" t="s">
        <v>1609</v>
      </c>
      <c r="CY89">
        <v>6</v>
      </c>
      <c r="CZ89">
        <v>5.4999999999999997E-3</v>
      </c>
      <c r="DA89">
        <v>6.5675636113644087</v>
      </c>
      <c r="DB89">
        <v>763.26178671848243</v>
      </c>
      <c r="DC89">
        <v>0.42399999999999999</v>
      </c>
      <c r="DD89">
        <v>8.8999999999999999E-3</v>
      </c>
      <c r="DE89">
        <v>17.802599999999984</v>
      </c>
      <c r="DF89">
        <v>8.8999999999999999E-3</v>
      </c>
      <c r="DG89" s="2">
        <v>45681</v>
      </c>
      <c r="DH89" t="s">
        <v>1767</v>
      </c>
      <c r="DI89">
        <v>6</v>
      </c>
      <c r="DJ89">
        <v>5.8999999999999999E-3</v>
      </c>
      <c r="DK89">
        <v>6.3675637042505171</v>
      </c>
      <c r="DL89">
        <v>744.28179553337407</v>
      </c>
      <c r="DM89">
        <v>0.42399999999999999</v>
      </c>
      <c r="DN89">
        <v>5.7999999999999996E-3</v>
      </c>
      <c r="DO89">
        <v>17.402100000000019</v>
      </c>
      <c r="DP89">
        <v>5.7999999999999996E-3</v>
      </c>
    </row>
    <row r="90" spans="1:120" x14ac:dyDescent="0.3">
      <c r="A90" s="2">
        <v>45681</v>
      </c>
      <c r="B90" t="s">
        <v>276</v>
      </c>
      <c r="C90">
        <v>1</v>
      </c>
      <c r="D90">
        <v>3.0000000000000001E-3</v>
      </c>
      <c r="E90">
        <v>6.4635550928791803</v>
      </c>
      <c r="F90">
        <v>753.3913783142342</v>
      </c>
      <c r="G90">
        <v>0.42399999999999999</v>
      </c>
      <c r="H90">
        <v>7.3000000000000001E-3</v>
      </c>
      <c r="I90">
        <v>17.600300000000001</v>
      </c>
      <c r="J90">
        <v>7.3000000000000001E-3</v>
      </c>
      <c r="K90" s="2">
        <v>45681</v>
      </c>
      <c r="L90" t="s">
        <v>434</v>
      </c>
      <c r="M90">
        <v>1</v>
      </c>
      <c r="N90">
        <v>2.5000000000000001E-3</v>
      </c>
      <c r="O90">
        <v>6.274567406410605</v>
      </c>
      <c r="P90">
        <v>735.45644686836647</v>
      </c>
      <c r="Q90">
        <v>0.42399999999999999</v>
      </c>
      <c r="R90">
        <v>4.3E-3</v>
      </c>
      <c r="S90">
        <v>17.600279999999998</v>
      </c>
      <c r="T90">
        <v>4.3E-3</v>
      </c>
      <c r="U90" s="2">
        <v>45681</v>
      </c>
      <c r="V90" t="s">
        <v>687</v>
      </c>
      <c r="W90">
        <v>2</v>
      </c>
      <c r="X90">
        <v>1.4E-3</v>
      </c>
      <c r="Y90">
        <v>6.004106065546317</v>
      </c>
      <c r="Z90">
        <v>709.78966562034554</v>
      </c>
      <c r="AA90">
        <v>0.42399999999999999</v>
      </c>
      <c r="AB90">
        <v>1E-4</v>
      </c>
      <c r="AC90">
        <v>17.599799999999988</v>
      </c>
      <c r="AD90">
        <v>1E-4</v>
      </c>
      <c r="AO90" s="2">
        <v>45681</v>
      </c>
      <c r="AP90" t="s">
        <v>884</v>
      </c>
      <c r="AQ90">
        <v>3</v>
      </c>
      <c r="AR90">
        <v>4.3E-3</v>
      </c>
      <c r="AS90">
        <v>6.0288981001520199</v>
      </c>
      <c r="AT90">
        <v>609.89330293416822</v>
      </c>
      <c r="AU90">
        <v>0.42399999999999999</v>
      </c>
      <c r="AV90">
        <v>5.0000000000000001E-4</v>
      </c>
      <c r="AW90">
        <v>17.596599999999995</v>
      </c>
      <c r="AX90">
        <v>5.0000000000000001E-4</v>
      </c>
      <c r="BI90" s="2">
        <v>45681</v>
      </c>
      <c r="BJ90" t="s">
        <v>1088</v>
      </c>
      <c r="BK90">
        <v>4</v>
      </c>
      <c r="BL90">
        <v>4.1000000000000003E-3</v>
      </c>
      <c r="BM90">
        <v>6.124982313199471</v>
      </c>
      <c r="BN90">
        <v>721.26082152262984</v>
      </c>
      <c r="BO90">
        <v>0.42399999999999999</v>
      </c>
      <c r="BP90">
        <v>2E-3</v>
      </c>
      <c r="BQ90">
        <v>17.601599999999991</v>
      </c>
      <c r="BR90">
        <v>2E-3</v>
      </c>
      <c r="BS90" s="2">
        <v>45681</v>
      </c>
      <c r="BT90" t="s">
        <v>1212</v>
      </c>
      <c r="BU90">
        <v>4</v>
      </c>
      <c r="BV90">
        <v>3.8999999999999998E-3</v>
      </c>
      <c r="BW90">
        <v>6.4622636685405483</v>
      </c>
      <c r="BX90">
        <v>753.26882214449813</v>
      </c>
      <c r="BY90">
        <v>0.42399999999999999</v>
      </c>
      <c r="BZ90">
        <v>7.1999999999999998E-3</v>
      </c>
      <c r="CA90">
        <v>17.600899999999996</v>
      </c>
      <c r="CB90">
        <v>7.1999999999999998E-3</v>
      </c>
      <c r="CM90" s="2">
        <v>45681</v>
      </c>
      <c r="CN90" t="s">
        <v>1450</v>
      </c>
      <c r="CO90">
        <v>5</v>
      </c>
      <c r="CP90">
        <v>4.1000000000000003E-3</v>
      </c>
      <c r="CQ90">
        <v>6.46323477098671</v>
      </c>
      <c r="CR90">
        <v>753.36097976663882</v>
      </c>
      <c r="CS90">
        <v>0.42399999999999999</v>
      </c>
      <c r="CT90">
        <v>7.3000000000000001E-3</v>
      </c>
      <c r="CU90">
        <v>17.601900000000001</v>
      </c>
      <c r="CV90">
        <v>7.3000000000000001E-3</v>
      </c>
      <c r="CW90" s="2">
        <v>45681</v>
      </c>
      <c r="CX90" t="s">
        <v>1610</v>
      </c>
      <c r="CY90">
        <v>6</v>
      </c>
      <c r="CZ90">
        <v>5.5999999999999999E-3</v>
      </c>
      <c r="DA90">
        <v>6.6726373015097904</v>
      </c>
      <c r="DB90">
        <v>773.23327991327903</v>
      </c>
      <c r="DC90">
        <v>0.42399999999999999</v>
      </c>
      <c r="DD90">
        <v>1.0500000000000001E-2</v>
      </c>
      <c r="DE90">
        <v>18.00139999999999</v>
      </c>
      <c r="DF90">
        <v>1.0500000000000001E-2</v>
      </c>
      <c r="DG90" s="2">
        <v>45681</v>
      </c>
      <c r="DH90" t="s">
        <v>1768</v>
      </c>
      <c r="DI90">
        <v>6</v>
      </c>
      <c r="DJ90">
        <v>5.7999999999999996E-3</v>
      </c>
      <c r="DK90">
        <v>6.4654068777942602</v>
      </c>
      <c r="DL90">
        <v>753.56711270267533</v>
      </c>
      <c r="DM90">
        <v>0.42399999999999999</v>
      </c>
      <c r="DN90">
        <v>7.3000000000000001E-3</v>
      </c>
      <c r="DO90">
        <v>17.601499999999987</v>
      </c>
      <c r="DP90">
        <v>7.3000000000000001E-3</v>
      </c>
    </row>
    <row r="91" spans="1:120" x14ac:dyDescent="0.3">
      <c r="A91" s="2">
        <v>45681</v>
      </c>
      <c r="B91" t="s">
        <v>277</v>
      </c>
      <c r="C91">
        <v>1</v>
      </c>
      <c r="D91">
        <v>4.4000000000000003E-3</v>
      </c>
      <c r="E91">
        <v>6.5669075596909696</v>
      </c>
      <c r="F91">
        <v>763.19952741467307</v>
      </c>
      <c r="G91">
        <v>0.42399999999999999</v>
      </c>
      <c r="H91">
        <v>8.8999999999999999E-3</v>
      </c>
      <c r="I91">
        <v>17.800689999999999</v>
      </c>
      <c r="J91">
        <v>8.8999999999999999E-3</v>
      </c>
      <c r="K91" s="2">
        <v>45681</v>
      </c>
      <c r="L91" t="s">
        <v>435</v>
      </c>
      <c r="M91">
        <v>1</v>
      </c>
      <c r="N91">
        <v>2.5000000000000001E-3</v>
      </c>
      <c r="O91">
        <v>6.3665683952005816</v>
      </c>
      <c r="P91">
        <v>744.18734070453536</v>
      </c>
      <c r="Q91">
        <v>0.42399999999999999</v>
      </c>
      <c r="R91">
        <v>5.7999999999999996E-3</v>
      </c>
      <c r="S91">
        <v>17.803580000000004</v>
      </c>
      <c r="T91">
        <v>5.7999999999999996E-3</v>
      </c>
      <c r="U91" s="2">
        <v>45681</v>
      </c>
      <c r="V91" t="s">
        <v>688</v>
      </c>
      <c r="W91">
        <v>2</v>
      </c>
      <c r="X91">
        <v>1.4E-3</v>
      </c>
      <c r="Y91">
        <v>6.0286898138824716</v>
      </c>
      <c r="Z91">
        <v>712.12266333744662</v>
      </c>
      <c r="AA91">
        <v>0.42399999999999999</v>
      </c>
      <c r="AB91">
        <v>5.0000000000000001E-4</v>
      </c>
      <c r="AC91">
        <v>17.79849999999999</v>
      </c>
      <c r="AD91">
        <v>5.0000000000000001E-4</v>
      </c>
      <c r="AO91" s="2">
        <v>45681</v>
      </c>
      <c r="AP91" t="s">
        <v>885</v>
      </c>
      <c r="AQ91">
        <v>3</v>
      </c>
      <c r="AR91">
        <v>3.5999999999999999E-3</v>
      </c>
      <c r="AS91">
        <v>6.0040476980318589</v>
      </c>
      <c r="AT91">
        <v>607.57724545656924</v>
      </c>
      <c r="AU91">
        <v>0.42399999999999999</v>
      </c>
      <c r="AV91">
        <v>1E-4</v>
      </c>
      <c r="AW91">
        <v>17.797199999999975</v>
      </c>
      <c r="AX91">
        <v>1E-4</v>
      </c>
      <c r="BI91" s="2">
        <v>45681</v>
      </c>
      <c r="BJ91" t="s">
        <v>1089</v>
      </c>
      <c r="BK91">
        <v>4</v>
      </c>
      <c r="BL91">
        <v>4.0000000000000001E-3</v>
      </c>
      <c r="BM91">
        <v>6.193551147349095</v>
      </c>
      <c r="BN91">
        <v>727.76800388342917</v>
      </c>
      <c r="BO91">
        <v>0.42399999999999999</v>
      </c>
      <c r="BP91">
        <v>3.0999999999999999E-3</v>
      </c>
      <c r="BQ91">
        <v>17.800699999999978</v>
      </c>
      <c r="BR91">
        <v>3.0999999999999999E-3</v>
      </c>
      <c r="BS91" s="2">
        <v>45681</v>
      </c>
      <c r="BT91" t="s">
        <v>1213</v>
      </c>
      <c r="BU91">
        <v>4</v>
      </c>
      <c r="BV91">
        <v>3.8999999999999998E-3</v>
      </c>
      <c r="BW91">
        <v>6.5659368627155583</v>
      </c>
      <c r="BX91">
        <v>763.1074082717065</v>
      </c>
      <c r="BY91">
        <v>0.42399999999999999</v>
      </c>
      <c r="BZ91">
        <v>8.8999999999999999E-3</v>
      </c>
      <c r="CA91">
        <v>17.801899999999989</v>
      </c>
      <c r="CB91">
        <v>8.8999999999999999E-3</v>
      </c>
      <c r="CM91" s="2">
        <v>45681</v>
      </c>
      <c r="CN91" t="s">
        <v>1451</v>
      </c>
      <c r="CO91">
        <v>5</v>
      </c>
      <c r="CP91">
        <v>4.1000000000000003E-3</v>
      </c>
      <c r="CQ91">
        <v>6.5654685439993514</v>
      </c>
      <c r="CR91">
        <v>763.06296482553853</v>
      </c>
      <c r="CS91">
        <v>0.42399999999999999</v>
      </c>
      <c r="CT91">
        <v>8.8999999999999999E-3</v>
      </c>
      <c r="CU91">
        <v>17.800100000000043</v>
      </c>
      <c r="CV91">
        <v>8.8999999999999999E-3</v>
      </c>
      <c r="CW91" s="2">
        <v>45681</v>
      </c>
      <c r="CX91" t="s">
        <v>1611</v>
      </c>
      <c r="CY91">
        <v>6</v>
      </c>
      <c r="CZ91">
        <v>5.5999999999999999E-3</v>
      </c>
      <c r="DA91">
        <v>6.7777450511981714</v>
      </c>
      <c r="DB91">
        <v>783.20800535870649</v>
      </c>
      <c r="DC91">
        <v>0.42399999999999999</v>
      </c>
      <c r="DD91">
        <v>1.2200000000000001E-2</v>
      </c>
      <c r="DE91">
        <v>18.200300000000027</v>
      </c>
      <c r="DF91">
        <v>1.2200000000000001E-2</v>
      </c>
      <c r="DG91" s="2">
        <v>45681</v>
      </c>
      <c r="DH91" t="s">
        <v>1769</v>
      </c>
      <c r="DI91">
        <v>6</v>
      </c>
      <c r="DJ91">
        <v>5.8999999999999999E-3</v>
      </c>
      <c r="DK91">
        <v>6.5677841874523883</v>
      </c>
      <c r="DL91">
        <v>763.28271938923172</v>
      </c>
      <c r="DM91">
        <v>0.42399999999999999</v>
      </c>
      <c r="DN91">
        <v>8.8999999999999999E-3</v>
      </c>
      <c r="DO91">
        <v>17.799900000000036</v>
      </c>
      <c r="DP91">
        <v>8.8999999999999999E-3</v>
      </c>
    </row>
    <row r="92" spans="1:120" x14ac:dyDescent="0.3">
      <c r="A92" s="2">
        <v>45681</v>
      </c>
      <c r="B92" t="s">
        <v>278</v>
      </c>
      <c r="C92">
        <v>1</v>
      </c>
      <c r="D92">
        <v>6.3E-3</v>
      </c>
      <c r="E92">
        <v>6.6723911807645644</v>
      </c>
      <c r="F92">
        <v>773.20992305455718</v>
      </c>
      <c r="G92">
        <v>0.42399999999999999</v>
      </c>
      <c r="H92">
        <v>1.0500000000000001E-2</v>
      </c>
      <c r="I92">
        <v>18.000220000000002</v>
      </c>
      <c r="J92">
        <v>1.0500000000000001E-2</v>
      </c>
      <c r="K92" s="2">
        <v>45681</v>
      </c>
      <c r="L92" t="s">
        <v>436</v>
      </c>
      <c r="M92">
        <v>1</v>
      </c>
      <c r="N92">
        <v>2.5999999999999999E-3</v>
      </c>
      <c r="O92">
        <v>6.4633519520334488</v>
      </c>
      <c r="P92">
        <v>753.37210024797434</v>
      </c>
      <c r="Q92">
        <v>0.42399999999999999</v>
      </c>
      <c r="R92">
        <v>7.3000000000000001E-3</v>
      </c>
      <c r="S92">
        <v>18.000979999999998</v>
      </c>
      <c r="T92">
        <v>7.3000000000000001E-3</v>
      </c>
      <c r="U92" s="2">
        <v>45681</v>
      </c>
      <c r="V92" t="s">
        <v>689</v>
      </c>
      <c r="W92">
        <v>2</v>
      </c>
      <c r="X92">
        <v>1.4E-3</v>
      </c>
      <c r="Y92">
        <v>6.0698573888768426</v>
      </c>
      <c r="Z92">
        <v>716.02946620441253</v>
      </c>
      <c r="AA92">
        <v>0.42399999999999999</v>
      </c>
      <c r="AB92">
        <v>1.1999999999999999E-3</v>
      </c>
      <c r="AC92">
        <v>18.001099999999994</v>
      </c>
      <c r="AD92">
        <v>1.1999999999999999E-3</v>
      </c>
      <c r="AO92" s="2">
        <v>45681</v>
      </c>
      <c r="AP92" t="s">
        <v>886</v>
      </c>
      <c r="AQ92">
        <v>3</v>
      </c>
      <c r="AR92">
        <v>3.5000000000000001E-3</v>
      </c>
      <c r="AS92">
        <v>5.9957334838115024</v>
      </c>
      <c r="AT92">
        <v>606.80236069123202</v>
      </c>
      <c r="AU92">
        <v>0.42399999999999999</v>
      </c>
      <c r="AV92">
        <v>0</v>
      </c>
      <c r="AW92">
        <v>17.997299999999996</v>
      </c>
      <c r="AX92">
        <v>0</v>
      </c>
      <c r="BI92" s="2">
        <v>45681</v>
      </c>
      <c r="BJ92" t="s">
        <v>1090</v>
      </c>
      <c r="BK92">
        <v>4</v>
      </c>
      <c r="BL92">
        <v>4.1000000000000003E-3</v>
      </c>
      <c r="BM92">
        <v>6.274692737419417</v>
      </c>
      <c r="BN92">
        <v>735.46834078110271</v>
      </c>
      <c r="BO92">
        <v>0.42399999999999999</v>
      </c>
      <c r="BP92">
        <v>4.3E-3</v>
      </c>
      <c r="BQ92">
        <v>18.001899999999978</v>
      </c>
      <c r="BR92">
        <v>4.3E-3</v>
      </c>
      <c r="BS92" s="2">
        <v>45681</v>
      </c>
      <c r="BT92" t="s">
        <v>1214</v>
      </c>
      <c r="BU92">
        <v>4</v>
      </c>
      <c r="BV92">
        <v>4.0000000000000001E-3</v>
      </c>
      <c r="BW92">
        <v>6.6713106012159118</v>
      </c>
      <c r="BX92">
        <v>773.10737605539009</v>
      </c>
      <c r="BY92">
        <v>0.42399999999999999</v>
      </c>
      <c r="BZ92">
        <v>1.0500000000000001E-2</v>
      </c>
      <c r="CA92">
        <v>18.001299999999986</v>
      </c>
      <c r="CB92">
        <v>1.0500000000000001E-2</v>
      </c>
      <c r="CM92" s="2">
        <v>45681</v>
      </c>
      <c r="CN92" t="s">
        <v>1452</v>
      </c>
      <c r="CO92">
        <v>5</v>
      </c>
      <c r="CP92">
        <v>4.5999999999999999E-3</v>
      </c>
      <c r="CQ92">
        <v>6.6715372593651407</v>
      </c>
      <c r="CR92">
        <v>773.1288859137519</v>
      </c>
      <c r="CS92">
        <v>0.42399999999999999</v>
      </c>
      <c r="CT92">
        <v>1.0500000000000001E-2</v>
      </c>
      <c r="CU92">
        <v>18.000800000000027</v>
      </c>
      <c r="CV92">
        <v>1.0500000000000001E-2</v>
      </c>
      <c r="CW92" s="2">
        <v>45681</v>
      </c>
      <c r="CX92" t="s">
        <v>1612</v>
      </c>
      <c r="CY92">
        <v>6</v>
      </c>
      <c r="CZ92">
        <v>5.7000000000000002E-3</v>
      </c>
      <c r="DA92">
        <v>6.8818841312648864</v>
      </c>
      <c r="DB92">
        <v>793.09080405703776</v>
      </c>
      <c r="DC92">
        <v>0.42399999999999999</v>
      </c>
      <c r="DD92">
        <v>1.38E-2</v>
      </c>
      <c r="DE92">
        <v>18.402300000000025</v>
      </c>
      <c r="DF92">
        <v>1.38E-2</v>
      </c>
      <c r="DG92" s="2">
        <v>45681</v>
      </c>
      <c r="DH92" t="s">
        <v>1770</v>
      </c>
      <c r="DI92">
        <v>6</v>
      </c>
      <c r="DJ92">
        <v>5.8999999999999999E-3</v>
      </c>
      <c r="DK92">
        <v>6.6746135659451094</v>
      </c>
      <c r="DL92">
        <v>773.42082740819092</v>
      </c>
      <c r="DM92">
        <v>0.42399999999999999</v>
      </c>
      <c r="DN92">
        <v>1.0500000000000001E-2</v>
      </c>
      <c r="DO92">
        <v>18.001900000000035</v>
      </c>
      <c r="DP92">
        <v>1.0500000000000001E-2</v>
      </c>
    </row>
    <row r="93" spans="1:120" x14ac:dyDescent="0.3">
      <c r="A93" s="2">
        <v>45681</v>
      </c>
      <c r="B93" t="s">
        <v>279</v>
      </c>
      <c r="C93">
        <v>1</v>
      </c>
      <c r="D93">
        <v>8.0000000000000002E-3</v>
      </c>
      <c r="E93">
        <v>6.7785507215783456</v>
      </c>
      <c r="F93">
        <v>783.28446347778515</v>
      </c>
      <c r="G93">
        <v>0.42399999999999999</v>
      </c>
      <c r="H93">
        <v>1.2200000000000001E-2</v>
      </c>
      <c r="I93">
        <v>18.201089999999997</v>
      </c>
      <c r="J93">
        <v>1.2200000000000001E-2</v>
      </c>
      <c r="K93" s="2">
        <v>45681</v>
      </c>
      <c r="L93" t="s">
        <v>437</v>
      </c>
      <c r="M93">
        <v>1</v>
      </c>
      <c r="N93">
        <v>3.8E-3</v>
      </c>
      <c r="O93">
        <v>6.5672684286584362</v>
      </c>
      <c r="P93">
        <v>763.2337738796856</v>
      </c>
      <c r="Q93">
        <v>0.42399999999999999</v>
      </c>
      <c r="R93">
        <v>8.8999999999999999E-3</v>
      </c>
      <c r="S93">
        <v>18.202469999999998</v>
      </c>
      <c r="T93">
        <v>8.8999999999999999E-3</v>
      </c>
      <c r="U93" s="2">
        <v>45681</v>
      </c>
      <c r="V93" t="s">
        <v>690</v>
      </c>
      <c r="W93">
        <v>2</v>
      </c>
      <c r="X93">
        <v>1.5E-3</v>
      </c>
      <c r="Y93">
        <v>6.1248690246719324</v>
      </c>
      <c r="Z93">
        <v>721.25007044136635</v>
      </c>
      <c r="AA93">
        <v>0.42399999999999999</v>
      </c>
      <c r="AB93">
        <v>2E-3</v>
      </c>
      <c r="AC93">
        <v>18.199399999999997</v>
      </c>
      <c r="AD93">
        <v>2E-3</v>
      </c>
      <c r="AO93" s="2">
        <v>45681</v>
      </c>
      <c r="AP93" t="s">
        <v>887</v>
      </c>
      <c r="AQ93">
        <v>3</v>
      </c>
      <c r="AR93">
        <v>2.8999999999999998E-3</v>
      </c>
      <c r="AS93">
        <v>6.0041211693317527</v>
      </c>
      <c r="AT93">
        <v>709.79109896958335</v>
      </c>
      <c r="AU93">
        <v>0.42399999999999999</v>
      </c>
      <c r="AV93">
        <v>1E-4</v>
      </c>
      <c r="AW93">
        <v>18.197899999999976</v>
      </c>
      <c r="AX93">
        <v>1E-4</v>
      </c>
      <c r="BI93" s="2">
        <v>45681</v>
      </c>
      <c r="BJ93" t="s">
        <v>1091</v>
      </c>
      <c r="BK93">
        <v>4</v>
      </c>
      <c r="BL93">
        <v>4.1000000000000003E-3</v>
      </c>
      <c r="BM93">
        <v>6.3642357625231218</v>
      </c>
      <c r="BN93">
        <v>743.96597386344433</v>
      </c>
      <c r="BO93">
        <v>0.42399999999999999</v>
      </c>
      <c r="BP93">
        <v>5.7000000000000002E-3</v>
      </c>
      <c r="BQ93">
        <v>18.199999999999989</v>
      </c>
      <c r="BR93">
        <v>5.7000000000000002E-3</v>
      </c>
      <c r="BS93" s="2">
        <v>45681</v>
      </c>
      <c r="BT93" t="s">
        <v>1215</v>
      </c>
      <c r="BU93">
        <v>4</v>
      </c>
      <c r="BV93">
        <v>5.3E-3</v>
      </c>
      <c r="BW93">
        <v>6.7768826149129966</v>
      </c>
      <c r="BX93">
        <v>783.1261601552435</v>
      </c>
      <c r="BY93">
        <v>0.42399999999999999</v>
      </c>
      <c r="BZ93">
        <v>1.21E-2</v>
      </c>
      <c r="CA93">
        <v>18.200999999999993</v>
      </c>
      <c r="CB93">
        <v>1.21E-2</v>
      </c>
      <c r="CM93" s="2">
        <v>45681</v>
      </c>
      <c r="CN93" t="s">
        <v>1453</v>
      </c>
      <c r="CO93">
        <v>5</v>
      </c>
      <c r="CP93">
        <v>5.7999999999999996E-3</v>
      </c>
      <c r="CQ93">
        <v>6.7773918861749518</v>
      </c>
      <c r="CR93">
        <v>783.17448999800297</v>
      </c>
      <c r="CS93">
        <v>0.42399999999999999</v>
      </c>
      <c r="CT93">
        <v>1.21E-2</v>
      </c>
      <c r="CU93">
        <v>18.201100000000054</v>
      </c>
      <c r="CV93">
        <v>1.21E-2</v>
      </c>
      <c r="CW93" s="2">
        <v>45681</v>
      </c>
      <c r="CX93" t="s">
        <v>1613</v>
      </c>
      <c r="CY93">
        <v>6</v>
      </c>
      <c r="CZ93">
        <v>7.1999999999999998E-3</v>
      </c>
      <c r="DA93">
        <v>6.9788269164612622</v>
      </c>
      <c r="DB93">
        <v>802.29067437217384</v>
      </c>
      <c r="DC93">
        <v>0.42399999999999999</v>
      </c>
      <c r="DD93">
        <v>1.5299999999999999E-2</v>
      </c>
      <c r="DE93">
        <v>18.600399999999979</v>
      </c>
      <c r="DF93">
        <v>1.5299999999999999E-2</v>
      </c>
      <c r="DG93" s="2">
        <v>45681</v>
      </c>
      <c r="DH93" t="s">
        <v>1771</v>
      </c>
      <c r="DI93">
        <v>6</v>
      </c>
      <c r="DJ93">
        <v>6.1999999999999998E-3</v>
      </c>
      <c r="DK93">
        <v>6.7794318095180142</v>
      </c>
      <c r="DL93">
        <v>783.3680787232596</v>
      </c>
      <c r="DM93">
        <v>0.42399999999999999</v>
      </c>
      <c r="DN93">
        <v>1.2200000000000001E-2</v>
      </c>
      <c r="DO93">
        <v>18.200300000000027</v>
      </c>
      <c r="DP93">
        <v>1.2200000000000001E-2</v>
      </c>
    </row>
    <row r="94" spans="1:120" x14ac:dyDescent="0.3">
      <c r="A94" s="2">
        <v>45681</v>
      </c>
      <c r="B94" t="s">
        <v>280</v>
      </c>
      <c r="C94">
        <v>1</v>
      </c>
      <c r="D94">
        <v>9.4000000000000004E-3</v>
      </c>
      <c r="E94">
        <v>6.880589057689507</v>
      </c>
      <c r="F94">
        <v>792.96790157473424</v>
      </c>
      <c r="G94">
        <v>0.42399999999999999</v>
      </c>
      <c r="H94">
        <v>1.37E-2</v>
      </c>
      <c r="I94">
        <v>18.399060000000002</v>
      </c>
      <c r="J94">
        <v>1.37E-2</v>
      </c>
      <c r="K94" s="2">
        <v>45681</v>
      </c>
      <c r="L94" t="s">
        <v>438</v>
      </c>
      <c r="M94">
        <v>1</v>
      </c>
      <c r="N94">
        <v>5.5999999999999999E-3</v>
      </c>
      <c r="O94">
        <v>6.6720217969113458</v>
      </c>
      <c r="P94">
        <v>773.17486852688671</v>
      </c>
      <c r="Q94">
        <v>0.42399999999999999</v>
      </c>
      <c r="R94">
        <v>1.0500000000000001E-2</v>
      </c>
      <c r="S94">
        <v>18.400620000000004</v>
      </c>
      <c r="T94">
        <v>1.0500000000000001E-2</v>
      </c>
      <c r="U94" s="2">
        <v>45681</v>
      </c>
      <c r="V94" t="s">
        <v>691</v>
      </c>
      <c r="W94">
        <v>2</v>
      </c>
      <c r="X94">
        <v>1.5E-3</v>
      </c>
      <c r="Y94">
        <v>6.1942501383749562</v>
      </c>
      <c r="Z94">
        <v>727.8343381317834</v>
      </c>
      <c r="AA94">
        <v>0.42399999999999999</v>
      </c>
      <c r="AB94">
        <v>3.0999999999999999E-3</v>
      </c>
      <c r="AC94">
        <v>18.400699999999986</v>
      </c>
      <c r="AD94">
        <v>3.0999999999999999E-3</v>
      </c>
      <c r="AO94" s="2">
        <v>45681</v>
      </c>
      <c r="AP94" t="s">
        <v>888</v>
      </c>
      <c r="AQ94">
        <v>3</v>
      </c>
      <c r="AR94">
        <v>2.8999999999999998E-3</v>
      </c>
      <c r="AS94">
        <v>6.0287688806787134</v>
      </c>
      <c r="AT94">
        <v>712.13016677640996</v>
      </c>
      <c r="AU94">
        <v>0.42399999999999999</v>
      </c>
      <c r="AV94">
        <v>5.0000000000000001E-4</v>
      </c>
      <c r="AW94">
        <v>18.396799999999985</v>
      </c>
      <c r="AX94">
        <v>5.0000000000000001E-4</v>
      </c>
      <c r="BI94" s="2">
        <v>45681</v>
      </c>
      <c r="BJ94" t="s">
        <v>1092</v>
      </c>
      <c r="BK94">
        <v>4</v>
      </c>
      <c r="BL94">
        <v>4.1000000000000003E-3</v>
      </c>
      <c r="BM94">
        <v>6.461729258092098</v>
      </c>
      <c r="BN94">
        <v>753.2181065929401</v>
      </c>
      <c r="BO94">
        <v>0.42399999999999999</v>
      </c>
      <c r="BP94">
        <v>7.1999999999999998E-3</v>
      </c>
      <c r="BQ94">
        <v>18.399099999999976</v>
      </c>
      <c r="BR94">
        <v>7.1999999999999998E-3</v>
      </c>
      <c r="BS94" s="2">
        <v>45681</v>
      </c>
      <c r="BT94" t="s">
        <v>1216</v>
      </c>
      <c r="BU94">
        <v>4</v>
      </c>
      <c r="BV94">
        <v>7.4000000000000003E-3</v>
      </c>
      <c r="BW94">
        <v>6.8794849608373561</v>
      </c>
      <c r="BX94">
        <v>792.86312278346509</v>
      </c>
      <c r="BY94">
        <v>0.42399999999999999</v>
      </c>
      <c r="BZ94">
        <v>1.37E-2</v>
      </c>
      <c r="CA94">
        <v>18.400000000000006</v>
      </c>
      <c r="CB94">
        <v>1.37E-2</v>
      </c>
      <c r="CM94" s="2">
        <v>45681</v>
      </c>
      <c r="CN94" t="s">
        <v>1454</v>
      </c>
      <c r="CO94">
        <v>5</v>
      </c>
      <c r="CP94">
        <v>7.4999999999999997E-3</v>
      </c>
      <c r="CQ94">
        <v>6.8809758767849694</v>
      </c>
      <c r="CR94">
        <v>793.00461070689369</v>
      </c>
      <c r="CS94">
        <v>0.42399999999999999</v>
      </c>
      <c r="CT94">
        <v>1.38E-2</v>
      </c>
      <c r="CU94">
        <v>18.402000000000044</v>
      </c>
      <c r="CV94">
        <v>1.38E-2</v>
      </c>
      <c r="CW94" s="2">
        <v>45681</v>
      </c>
      <c r="CX94" t="s">
        <v>1614</v>
      </c>
      <c r="CY94">
        <v>6</v>
      </c>
      <c r="CZ94">
        <v>0.01</v>
      </c>
      <c r="DA94">
        <v>7.0692935228392324</v>
      </c>
      <c r="DB94">
        <v>810.87595531744307</v>
      </c>
      <c r="DC94">
        <v>0.42399999999999999</v>
      </c>
      <c r="DD94">
        <v>1.67E-2</v>
      </c>
      <c r="DE94">
        <v>18.800600000000031</v>
      </c>
      <c r="DF94">
        <v>1.67E-2</v>
      </c>
      <c r="DG94" s="2">
        <v>45681</v>
      </c>
      <c r="DH94" t="s">
        <v>1772</v>
      </c>
      <c r="DI94">
        <v>6</v>
      </c>
      <c r="DJ94">
        <v>7.1000000000000004E-3</v>
      </c>
      <c r="DK94">
        <v>6.8822628409453532</v>
      </c>
      <c r="DL94">
        <v>793.12674360571407</v>
      </c>
      <c r="DM94">
        <v>0.42399999999999999</v>
      </c>
      <c r="DN94">
        <v>1.38E-2</v>
      </c>
      <c r="DO94">
        <v>18.399900000000002</v>
      </c>
      <c r="DP94">
        <v>1.38E-2</v>
      </c>
    </row>
    <row r="95" spans="1:120" x14ac:dyDescent="0.3">
      <c r="A95" s="2">
        <v>45681</v>
      </c>
      <c r="B95" t="s">
        <v>281</v>
      </c>
      <c r="C95">
        <v>1</v>
      </c>
      <c r="D95">
        <v>1.12E-2</v>
      </c>
      <c r="E95">
        <v>6.9788155632802642</v>
      </c>
      <c r="F95">
        <v>802.28959695529716</v>
      </c>
      <c r="G95">
        <v>0.42399999999999999</v>
      </c>
      <c r="H95">
        <v>1.5299999999999999E-2</v>
      </c>
      <c r="I95">
        <v>18.599630000000001</v>
      </c>
      <c r="J95">
        <v>1.5299999999999999E-2</v>
      </c>
      <c r="K95" s="2">
        <v>45681</v>
      </c>
      <c r="L95" t="s">
        <v>439</v>
      </c>
      <c r="M95">
        <v>1</v>
      </c>
      <c r="N95">
        <v>7.6E-3</v>
      </c>
      <c r="O95">
        <v>6.7774093214172009</v>
      </c>
      <c r="P95">
        <v>783.1761446024924</v>
      </c>
      <c r="Q95">
        <v>0.42399999999999999</v>
      </c>
      <c r="R95">
        <v>1.21E-2</v>
      </c>
      <c r="S95">
        <v>18.599999999999994</v>
      </c>
      <c r="T95">
        <v>1.21E-2</v>
      </c>
      <c r="U95" s="2">
        <v>45681</v>
      </c>
      <c r="V95" t="s">
        <v>692</v>
      </c>
      <c r="W95">
        <v>2</v>
      </c>
      <c r="X95">
        <v>1.5E-3</v>
      </c>
      <c r="Y95">
        <v>6.2751170625592536</v>
      </c>
      <c r="Z95">
        <v>735.50860923687321</v>
      </c>
      <c r="AA95">
        <v>0.42399999999999999</v>
      </c>
      <c r="AB95">
        <v>4.3E-3</v>
      </c>
      <c r="AC95">
        <v>18.601099999999988</v>
      </c>
      <c r="AD95">
        <v>4.3E-3</v>
      </c>
      <c r="AO95" s="2">
        <v>45681</v>
      </c>
      <c r="AP95" t="s">
        <v>889</v>
      </c>
      <c r="AQ95">
        <v>3</v>
      </c>
      <c r="AR95">
        <v>2.8999999999999998E-3</v>
      </c>
      <c r="AS95">
        <v>6.0693386701464149</v>
      </c>
      <c r="AT95">
        <v>715.98023979689481</v>
      </c>
      <c r="AU95">
        <v>0.42399999999999999</v>
      </c>
      <c r="AV95">
        <v>1.1000000000000001E-3</v>
      </c>
      <c r="AW95">
        <v>18.596899999999977</v>
      </c>
      <c r="AX95">
        <v>1.1000000000000001E-3</v>
      </c>
      <c r="BI95" s="2">
        <v>45681</v>
      </c>
      <c r="BJ95" t="s">
        <v>1093</v>
      </c>
      <c r="BK95">
        <v>4</v>
      </c>
      <c r="BL95">
        <v>4.1000000000000003E-3</v>
      </c>
      <c r="BM95">
        <v>6.5663699054765194</v>
      </c>
      <c r="BN95">
        <v>763.14850402972161</v>
      </c>
      <c r="BO95">
        <v>0.42399999999999999</v>
      </c>
      <c r="BP95">
        <v>8.8999999999999999E-3</v>
      </c>
      <c r="BQ95">
        <v>18.602099999999979</v>
      </c>
      <c r="BR95">
        <v>8.8999999999999999E-3</v>
      </c>
      <c r="BS95" s="2">
        <v>45681</v>
      </c>
      <c r="BT95" t="s">
        <v>1217</v>
      </c>
      <c r="BU95">
        <v>4</v>
      </c>
      <c r="BV95">
        <v>9.4000000000000004E-3</v>
      </c>
      <c r="BW95">
        <v>6.9785361939335404</v>
      </c>
      <c r="BX95">
        <v>802.26308480429293</v>
      </c>
      <c r="BY95">
        <v>0.42399999999999999</v>
      </c>
      <c r="BZ95">
        <v>1.5299999999999999E-2</v>
      </c>
      <c r="CA95">
        <v>18.602100000000007</v>
      </c>
      <c r="CB95">
        <v>1.5299999999999999E-2</v>
      </c>
      <c r="CM95" s="2">
        <v>45681</v>
      </c>
      <c r="CN95" t="s">
        <v>1455</v>
      </c>
      <c r="CO95">
        <v>5</v>
      </c>
      <c r="CP95">
        <v>9.4000000000000004E-3</v>
      </c>
      <c r="CQ95">
        <v>6.9785544401172874</v>
      </c>
      <c r="CR95">
        <v>802.26481636713061</v>
      </c>
      <c r="CS95">
        <v>0.42399999999999999</v>
      </c>
      <c r="CT95">
        <v>1.5299999999999999E-2</v>
      </c>
      <c r="CU95">
        <v>18.601300000000037</v>
      </c>
      <c r="CV95">
        <v>1.5299999999999999E-2</v>
      </c>
      <c r="CW95" s="2">
        <v>45681</v>
      </c>
      <c r="CX95" t="s">
        <v>1615</v>
      </c>
      <c r="CY95">
        <v>6</v>
      </c>
      <c r="CZ95">
        <v>1.2E-2</v>
      </c>
      <c r="DA95">
        <v>7.1507436761502774</v>
      </c>
      <c r="DB95">
        <v>818.60557486666141</v>
      </c>
      <c r="DC95">
        <v>0.42399999999999999</v>
      </c>
      <c r="DD95">
        <v>1.7899999999999999E-2</v>
      </c>
      <c r="DE95">
        <v>19.002999999999986</v>
      </c>
      <c r="DF95">
        <v>1.7899999999999999E-2</v>
      </c>
      <c r="DG95" s="2">
        <v>45681</v>
      </c>
      <c r="DH95" t="s">
        <v>1773</v>
      </c>
      <c r="DI95">
        <v>6</v>
      </c>
      <c r="DJ95">
        <v>8.6999999999999994E-3</v>
      </c>
      <c r="DK95">
        <v>6.9802375492003828</v>
      </c>
      <c r="DL95">
        <v>802.42454341911639</v>
      </c>
      <c r="DM95">
        <v>0.42399999999999999</v>
      </c>
      <c r="DN95">
        <v>1.5299999999999999E-2</v>
      </c>
      <c r="DO95">
        <v>18.600099999999998</v>
      </c>
      <c r="DP95">
        <v>1.5299999999999999E-2</v>
      </c>
    </row>
    <row r="96" spans="1:120" x14ac:dyDescent="0.3">
      <c r="A96" s="2">
        <v>45681</v>
      </c>
      <c r="B96" t="s">
        <v>282</v>
      </c>
      <c r="C96">
        <v>1</v>
      </c>
      <c r="D96">
        <v>1.2200000000000001E-2</v>
      </c>
      <c r="E96">
        <v>7.0693154182597313</v>
      </c>
      <c r="F96">
        <v>810.87803319284853</v>
      </c>
      <c r="G96">
        <v>0.42399999999999999</v>
      </c>
      <c r="H96">
        <v>1.67E-2</v>
      </c>
      <c r="I96">
        <v>18.79993</v>
      </c>
      <c r="J96">
        <v>1.67E-2</v>
      </c>
      <c r="K96" s="2">
        <v>45681</v>
      </c>
      <c r="L96" t="s">
        <v>440</v>
      </c>
      <c r="M96">
        <v>1</v>
      </c>
      <c r="N96">
        <v>9.1000000000000004E-3</v>
      </c>
      <c r="O96">
        <v>6.8817620845691483</v>
      </c>
      <c r="P96">
        <v>793.07922182561219</v>
      </c>
      <c r="Q96">
        <v>0.42399999999999999</v>
      </c>
      <c r="R96">
        <v>1.38E-2</v>
      </c>
      <c r="S96">
        <v>18.80247</v>
      </c>
      <c r="T96">
        <v>1.38E-2</v>
      </c>
      <c r="U96" s="2">
        <v>45681</v>
      </c>
      <c r="V96" t="s">
        <v>693</v>
      </c>
      <c r="W96">
        <v>2</v>
      </c>
      <c r="X96">
        <v>1.8E-3</v>
      </c>
      <c r="Y96">
        <v>6.3645464747588179</v>
      </c>
      <c r="Z96">
        <v>743.99546045461182</v>
      </c>
      <c r="AA96">
        <v>0.42399999999999999</v>
      </c>
      <c r="AB96">
        <v>5.7000000000000002E-3</v>
      </c>
      <c r="AC96">
        <v>18.7988</v>
      </c>
      <c r="AD96">
        <v>5.7000000000000002E-3</v>
      </c>
      <c r="AO96" s="2">
        <v>45681</v>
      </c>
      <c r="AP96" t="s">
        <v>890</v>
      </c>
      <c r="AQ96">
        <v>3</v>
      </c>
      <c r="AR96">
        <v>2.8999999999999998E-3</v>
      </c>
      <c r="AS96">
        <v>6.1252867000914684</v>
      </c>
      <c r="AT96">
        <v>721.28970783868033</v>
      </c>
      <c r="AU96">
        <v>0.42399999999999999</v>
      </c>
      <c r="AV96">
        <v>2E-3</v>
      </c>
      <c r="AW96">
        <v>18.798699999999997</v>
      </c>
      <c r="AX96">
        <v>2E-3</v>
      </c>
      <c r="BI96" s="2">
        <v>45681</v>
      </c>
      <c r="BJ96" t="s">
        <v>1094</v>
      </c>
      <c r="BK96">
        <v>4</v>
      </c>
      <c r="BL96">
        <v>4.1999999999999997E-3</v>
      </c>
      <c r="BM96">
        <v>6.6718413624276138</v>
      </c>
      <c r="BN96">
        <v>773.15774529438056</v>
      </c>
      <c r="BO96">
        <v>0.42399999999999999</v>
      </c>
      <c r="BP96">
        <v>1.0500000000000001E-2</v>
      </c>
      <c r="BQ96">
        <v>18.801599999999979</v>
      </c>
      <c r="BR96">
        <v>1.0500000000000001E-2</v>
      </c>
      <c r="BS96" s="2">
        <v>45681</v>
      </c>
      <c r="BT96" t="s">
        <v>1218</v>
      </c>
      <c r="BU96">
        <v>4</v>
      </c>
      <c r="BV96">
        <v>1.0999999999999999E-2</v>
      </c>
      <c r="BW96">
        <v>7.068195102577584</v>
      </c>
      <c r="BX96">
        <v>810.77171523461277</v>
      </c>
      <c r="BY96">
        <v>0.42399999999999999</v>
      </c>
      <c r="BZ96">
        <v>1.67E-2</v>
      </c>
      <c r="CA96">
        <v>18.800399999999996</v>
      </c>
      <c r="CB96">
        <v>1.67E-2</v>
      </c>
      <c r="CM96" s="2">
        <v>45681</v>
      </c>
      <c r="CN96" t="s">
        <v>1456</v>
      </c>
      <c r="CO96">
        <v>5</v>
      </c>
      <c r="CP96">
        <v>1.11E-2</v>
      </c>
      <c r="CQ96">
        <v>7.068445683501059</v>
      </c>
      <c r="CR96">
        <v>810.79549536425054</v>
      </c>
      <c r="CS96">
        <v>0.42399999999999999</v>
      </c>
      <c r="CT96">
        <v>1.67E-2</v>
      </c>
      <c r="CU96">
        <v>18.800100000000043</v>
      </c>
      <c r="CV96">
        <v>1.67E-2</v>
      </c>
      <c r="CW96" s="2">
        <v>45681</v>
      </c>
      <c r="CX96" t="s">
        <v>1616</v>
      </c>
      <c r="CY96">
        <v>6</v>
      </c>
      <c r="CZ96">
        <v>1.34E-2</v>
      </c>
      <c r="DA96">
        <v>7.2188043743560453</v>
      </c>
      <c r="DB96">
        <v>825.06453512638871</v>
      </c>
      <c r="DC96">
        <v>0.42399999999999999</v>
      </c>
      <c r="DD96">
        <v>1.9E-2</v>
      </c>
      <c r="DE96">
        <v>19.201099999999997</v>
      </c>
      <c r="DF96">
        <v>1.9E-2</v>
      </c>
      <c r="DG96" s="2">
        <v>45681</v>
      </c>
      <c r="DH96" t="s">
        <v>1774</v>
      </c>
      <c r="DI96">
        <v>6</v>
      </c>
      <c r="DJ96">
        <v>1.04E-2</v>
      </c>
      <c r="DK96">
        <v>7.0705399399246192</v>
      </c>
      <c r="DL96">
        <v>810.99424029884642</v>
      </c>
      <c r="DM96">
        <v>0.42399999999999999</v>
      </c>
      <c r="DN96">
        <v>1.67E-2</v>
      </c>
      <c r="DO96">
        <v>18.800299999999993</v>
      </c>
      <c r="DP96">
        <v>1.67E-2</v>
      </c>
    </row>
    <row r="97" spans="1:120" x14ac:dyDescent="0.3">
      <c r="A97" s="2">
        <v>45681</v>
      </c>
      <c r="B97" t="s">
        <v>283</v>
      </c>
      <c r="C97">
        <v>1</v>
      </c>
      <c r="D97">
        <v>1.37E-2</v>
      </c>
      <c r="E97">
        <v>7.1499671996640979</v>
      </c>
      <c r="F97">
        <v>818.53188724812298</v>
      </c>
      <c r="G97">
        <v>0.42399999999999999</v>
      </c>
      <c r="H97">
        <v>1.7899999999999999E-2</v>
      </c>
      <c r="I97">
        <v>19.000170000000001</v>
      </c>
      <c r="J97">
        <v>1.7899999999999999E-2</v>
      </c>
      <c r="K97" s="2">
        <v>45681</v>
      </c>
      <c r="L97" t="s">
        <v>441</v>
      </c>
      <c r="M97">
        <v>1</v>
      </c>
      <c r="N97">
        <v>1.0999999999999999E-2</v>
      </c>
      <c r="O97">
        <v>6.978574713654786</v>
      </c>
      <c r="P97">
        <v>802.26674032583924</v>
      </c>
      <c r="Q97">
        <v>0.42399999999999999</v>
      </c>
      <c r="R97">
        <v>1.5299999999999999E-2</v>
      </c>
      <c r="S97">
        <v>19.000209999999996</v>
      </c>
      <c r="T97">
        <v>1.5299999999999999E-2</v>
      </c>
      <c r="U97" s="2">
        <v>45681</v>
      </c>
      <c r="V97" t="s">
        <v>694</v>
      </c>
      <c r="W97">
        <v>2</v>
      </c>
      <c r="X97">
        <v>2.5999999999999999E-3</v>
      </c>
      <c r="Y97">
        <v>6.4630024362469802</v>
      </c>
      <c r="Z97">
        <v>753.3389311998385</v>
      </c>
      <c r="AA97">
        <v>0.42399999999999999</v>
      </c>
      <c r="AB97">
        <v>7.3000000000000001E-3</v>
      </c>
      <c r="AC97">
        <v>18.999799999999993</v>
      </c>
      <c r="AD97">
        <v>7.3000000000000001E-3</v>
      </c>
      <c r="AO97" s="2">
        <v>45681</v>
      </c>
      <c r="AP97" t="s">
        <v>891</v>
      </c>
      <c r="AQ97">
        <v>3</v>
      </c>
      <c r="AR97">
        <v>2.8999999999999998E-3</v>
      </c>
      <c r="AS97">
        <v>6.1936106299081164</v>
      </c>
      <c r="AT97">
        <v>727.77364877828018</v>
      </c>
      <c r="AU97">
        <v>0.42399999999999999</v>
      </c>
      <c r="AV97">
        <v>3.0999999999999999E-3</v>
      </c>
      <c r="AW97">
        <v>18.996899999999982</v>
      </c>
      <c r="AX97">
        <v>3.0999999999999999E-3</v>
      </c>
      <c r="BI97" s="2">
        <v>45681</v>
      </c>
      <c r="BJ97" t="s">
        <v>1095</v>
      </c>
      <c r="BK97">
        <v>4</v>
      </c>
      <c r="BL97">
        <v>5.4000000000000003E-3</v>
      </c>
      <c r="BM97">
        <v>6.7765513453102804</v>
      </c>
      <c r="BN97">
        <v>783.09472266994567</v>
      </c>
      <c r="BO97">
        <v>0.42399999999999999</v>
      </c>
      <c r="BP97">
        <v>1.21E-2</v>
      </c>
      <c r="BQ97">
        <v>18.99969999999999</v>
      </c>
      <c r="BR97">
        <v>1.21E-2</v>
      </c>
      <c r="BS97" s="2">
        <v>45681</v>
      </c>
      <c r="BT97" t="s">
        <v>1219</v>
      </c>
      <c r="BU97">
        <v>4</v>
      </c>
      <c r="BV97">
        <v>1.24E-2</v>
      </c>
      <c r="BW97">
        <v>7.1490492138861823</v>
      </c>
      <c r="BX97">
        <v>818.44477039779872</v>
      </c>
      <c r="BY97">
        <v>0.42399999999999999</v>
      </c>
      <c r="BZ97">
        <v>1.7899999999999999E-2</v>
      </c>
      <c r="CA97">
        <v>19.000799999999998</v>
      </c>
      <c r="CB97">
        <v>1.7899999999999999E-2</v>
      </c>
      <c r="CM97" s="2">
        <v>45681</v>
      </c>
      <c r="CN97" t="s">
        <v>1457</v>
      </c>
      <c r="CO97">
        <v>5</v>
      </c>
      <c r="CP97">
        <v>1.2200000000000001E-2</v>
      </c>
      <c r="CQ97">
        <v>7.1491805864091686</v>
      </c>
      <c r="CR97">
        <v>818.45723765023013</v>
      </c>
      <c r="CS97">
        <v>0.42399999999999999</v>
      </c>
      <c r="CT97">
        <v>1.7899999999999999E-2</v>
      </c>
      <c r="CU97">
        <v>19.000300000000038</v>
      </c>
      <c r="CV97">
        <v>1.7899999999999999E-2</v>
      </c>
      <c r="CW97" s="2">
        <v>45681</v>
      </c>
      <c r="CX97" t="s">
        <v>1617</v>
      </c>
      <c r="CY97">
        <v>6</v>
      </c>
      <c r="CZ97">
        <v>1.44E-2</v>
      </c>
      <c r="DA97">
        <v>7.2745939057849389</v>
      </c>
      <c r="DB97">
        <v>830.35896165899078</v>
      </c>
      <c r="DC97">
        <v>0.42399999999999999</v>
      </c>
      <c r="DD97">
        <v>1.9900000000000001E-2</v>
      </c>
      <c r="DE97">
        <v>19.403200000000027</v>
      </c>
      <c r="DF97">
        <v>1.9900000000000001E-2</v>
      </c>
      <c r="DG97" s="2">
        <v>45681</v>
      </c>
      <c r="DH97" t="s">
        <v>1775</v>
      </c>
      <c r="DI97">
        <v>6</v>
      </c>
      <c r="DJ97">
        <v>1.21E-2</v>
      </c>
      <c r="DK97">
        <v>7.1513664792222196</v>
      </c>
      <c r="DL97">
        <v>818.66467887818874</v>
      </c>
      <c r="DM97">
        <v>0.42399999999999999</v>
      </c>
      <c r="DN97">
        <v>1.7999999999999999E-2</v>
      </c>
      <c r="DO97">
        <v>19.00139999999999</v>
      </c>
      <c r="DP97">
        <v>1.7999999999999999E-2</v>
      </c>
    </row>
    <row r="98" spans="1:120" x14ac:dyDescent="0.3">
      <c r="A98" s="2">
        <v>45681</v>
      </c>
      <c r="B98" t="s">
        <v>284</v>
      </c>
      <c r="C98">
        <v>1</v>
      </c>
      <c r="D98">
        <v>1.4800000000000001E-2</v>
      </c>
      <c r="E98">
        <v>7.2185371691318201</v>
      </c>
      <c r="F98">
        <v>825.03917735060975</v>
      </c>
      <c r="G98">
        <v>0.42399999999999999</v>
      </c>
      <c r="H98">
        <v>1.9E-2</v>
      </c>
      <c r="I98">
        <v>19.199529999999999</v>
      </c>
      <c r="J98">
        <v>1.9E-2</v>
      </c>
      <c r="K98" s="2">
        <v>45681</v>
      </c>
      <c r="L98" t="s">
        <v>442</v>
      </c>
      <c r="M98">
        <v>1</v>
      </c>
      <c r="N98">
        <v>1.2200000000000001E-2</v>
      </c>
      <c r="O98">
        <v>7.0701624466564024</v>
      </c>
      <c r="P98">
        <v>810.95841618769259</v>
      </c>
      <c r="Q98">
        <v>0.42399999999999999</v>
      </c>
      <c r="R98">
        <v>1.67E-2</v>
      </c>
      <c r="S98">
        <v>19.203000000000003</v>
      </c>
      <c r="T98">
        <v>1.67E-2</v>
      </c>
      <c r="U98" s="2">
        <v>45681</v>
      </c>
      <c r="V98" t="s">
        <v>695</v>
      </c>
      <c r="W98">
        <v>2</v>
      </c>
      <c r="X98">
        <v>4.1000000000000003E-3</v>
      </c>
      <c r="Y98">
        <v>6.5659911957960526</v>
      </c>
      <c r="Z98">
        <v>763.11256448104541</v>
      </c>
      <c r="AA98">
        <v>0.42399999999999999</v>
      </c>
      <c r="AB98">
        <v>8.8999999999999999E-3</v>
      </c>
      <c r="AC98">
        <v>19.19959999999999</v>
      </c>
      <c r="AD98">
        <v>8.8999999999999999E-3</v>
      </c>
      <c r="AO98" s="2">
        <v>45681</v>
      </c>
      <c r="AP98" t="s">
        <v>892</v>
      </c>
      <c r="AQ98">
        <v>3</v>
      </c>
      <c r="AR98">
        <v>3.0000000000000001E-3</v>
      </c>
      <c r="AS98">
        <v>6.2738015532580738</v>
      </c>
      <c r="AT98">
        <v>735.38376740419119</v>
      </c>
      <c r="AU98">
        <v>0.42399999999999999</v>
      </c>
      <c r="AV98">
        <v>4.3E-3</v>
      </c>
      <c r="AW98">
        <v>19.195899999999995</v>
      </c>
      <c r="AX98">
        <v>4.3E-3</v>
      </c>
      <c r="BI98" s="2">
        <v>45681</v>
      </c>
      <c r="BJ98" t="s">
        <v>1096</v>
      </c>
      <c r="BK98">
        <v>4</v>
      </c>
      <c r="BL98">
        <v>7.7000000000000002E-3</v>
      </c>
      <c r="BM98">
        <v>6.8805197221912628</v>
      </c>
      <c r="BN98">
        <v>792.96132163595087</v>
      </c>
      <c r="BO98">
        <v>0.42399999999999999</v>
      </c>
      <c r="BP98">
        <v>1.37E-2</v>
      </c>
      <c r="BQ98">
        <v>19.201299999999975</v>
      </c>
      <c r="BR98">
        <v>1.37E-2</v>
      </c>
      <c r="BS98" s="2">
        <v>45681</v>
      </c>
      <c r="BT98" t="s">
        <v>1220</v>
      </c>
      <c r="BU98">
        <v>4</v>
      </c>
      <c r="BV98">
        <v>1.37E-2</v>
      </c>
      <c r="BW98">
        <v>7.2177517722891444</v>
      </c>
      <c r="BX98">
        <v>824.96464319023971</v>
      </c>
      <c r="BY98">
        <v>0.42399999999999999</v>
      </c>
      <c r="BZ98">
        <v>1.9E-2</v>
      </c>
      <c r="CA98">
        <v>19.200099999999992</v>
      </c>
      <c r="CB98">
        <v>1.9E-2</v>
      </c>
      <c r="CM98" s="2">
        <v>45681</v>
      </c>
      <c r="CN98" t="s">
        <v>1458</v>
      </c>
      <c r="CO98">
        <v>5</v>
      </c>
      <c r="CP98">
        <v>1.3599999999999999E-2</v>
      </c>
      <c r="CQ98">
        <v>7.2186673252425591</v>
      </c>
      <c r="CR98">
        <v>825.0515291655189</v>
      </c>
      <c r="CS98">
        <v>0.42399999999999999</v>
      </c>
      <c r="CT98">
        <v>1.9E-2</v>
      </c>
      <c r="CU98">
        <v>19.202200000000005</v>
      </c>
      <c r="CV98">
        <v>1.9E-2</v>
      </c>
      <c r="CW98" s="2">
        <v>45681</v>
      </c>
      <c r="CX98" t="s">
        <v>1618</v>
      </c>
      <c r="CY98">
        <v>6</v>
      </c>
      <c r="CZ98">
        <v>1.5299999999999999E-2</v>
      </c>
      <c r="DA98">
        <v>7.3147180747890177</v>
      </c>
      <c r="DB98">
        <v>834.16674529747786</v>
      </c>
      <c r="DC98">
        <v>0.42399999999999999</v>
      </c>
      <c r="DD98">
        <v>2.0500000000000001E-2</v>
      </c>
      <c r="DE98">
        <v>19.602300000000014</v>
      </c>
      <c r="DF98">
        <v>2.0500000000000001E-2</v>
      </c>
      <c r="DG98" s="2">
        <v>45681</v>
      </c>
      <c r="DH98" t="s">
        <v>1776</v>
      </c>
      <c r="DI98">
        <v>6</v>
      </c>
      <c r="DJ98">
        <v>1.3299999999999999E-2</v>
      </c>
      <c r="DK98">
        <v>7.2195334107644804</v>
      </c>
      <c r="DL98">
        <v>825.13372068154922</v>
      </c>
      <c r="DM98">
        <v>0.42399999999999999</v>
      </c>
      <c r="DN98">
        <v>1.9E-2</v>
      </c>
      <c r="DO98">
        <v>19.200300000000027</v>
      </c>
      <c r="DP98">
        <v>1.9E-2</v>
      </c>
    </row>
    <row r="99" spans="1:120" x14ac:dyDescent="0.3">
      <c r="A99" s="2">
        <v>45681</v>
      </c>
      <c r="B99" t="s">
        <v>285</v>
      </c>
      <c r="C99">
        <v>1</v>
      </c>
      <c r="D99">
        <v>1.5900000000000001E-2</v>
      </c>
      <c r="E99">
        <v>7.2743279169729638</v>
      </c>
      <c r="F99">
        <v>830.3337193207343</v>
      </c>
      <c r="G99">
        <v>0.42399999999999999</v>
      </c>
      <c r="H99">
        <v>1.9900000000000001E-2</v>
      </c>
      <c r="I99">
        <v>19.401410000000002</v>
      </c>
      <c r="J99">
        <v>1.9900000000000001E-2</v>
      </c>
      <c r="K99" s="2">
        <v>45681</v>
      </c>
      <c r="L99" t="s">
        <v>443</v>
      </c>
      <c r="M99">
        <v>1</v>
      </c>
      <c r="N99">
        <v>1.3299999999999999E-2</v>
      </c>
      <c r="O99">
        <v>7.1495248310758877</v>
      </c>
      <c r="P99">
        <v>818.48990646910181</v>
      </c>
      <c r="Q99">
        <v>0.42399999999999999</v>
      </c>
      <c r="R99">
        <v>1.7899999999999999E-2</v>
      </c>
      <c r="S99">
        <v>19.400080000000003</v>
      </c>
      <c r="T99">
        <v>1.7899999999999999E-2</v>
      </c>
      <c r="U99" s="2">
        <v>45681</v>
      </c>
      <c r="V99" t="s">
        <v>696</v>
      </c>
      <c r="W99">
        <v>2</v>
      </c>
      <c r="X99">
        <v>6.1000000000000004E-3</v>
      </c>
      <c r="Y99">
        <v>6.6710973236014333</v>
      </c>
      <c r="Z99">
        <v>773.08713600977603</v>
      </c>
      <c r="AA99">
        <v>0.42399999999999999</v>
      </c>
      <c r="AB99">
        <v>1.0500000000000001E-2</v>
      </c>
      <c r="AC99">
        <v>19.398399999999995</v>
      </c>
      <c r="AD99">
        <v>1.0500000000000001E-2</v>
      </c>
      <c r="AO99" s="2">
        <v>45681</v>
      </c>
      <c r="AP99" t="s">
        <v>893</v>
      </c>
      <c r="AQ99">
        <v>3</v>
      </c>
      <c r="AR99">
        <v>3.0000000000000001E-3</v>
      </c>
      <c r="AS99">
        <v>6.3651468147512134</v>
      </c>
      <c r="AT99">
        <v>744.05243271989013</v>
      </c>
      <c r="AU99">
        <v>0.42399999999999999</v>
      </c>
      <c r="AV99">
        <v>5.7000000000000002E-3</v>
      </c>
      <c r="AW99">
        <v>19.397999999999996</v>
      </c>
      <c r="AX99">
        <v>5.7000000000000002E-3</v>
      </c>
      <c r="BI99" s="2">
        <v>45681</v>
      </c>
      <c r="BJ99" t="s">
        <v>1097</v>
      </c>
      <c r="BK99">
        <v>4</v>
      </c>
      <c r="BL99">
        <v>9.4000000000000004E-3</v>
      </c>
      <c r="BM99">
        <v>6.9784210402405504</v>
      </c>
      <c r="BN99">
        <v>802.25215671882825</v>
      </c>
      <c r="BO99">
        <v>0.42399999999999999</v>
      </c>
      <c r="BP99">
        <v>1.5299999999999999E-2</v>
      </c>
      <c r="BQ99">
        <v>19.401199999999989</v>
      </c>
      <c r="BR99">
        <v>1.5299999999999999E-2</v>
      </c>
      <c r="BS99" s="2">
        <v>45681</v>
      </c>
      <c r="BT99" t="s">
        <v>1221</v>
      </c>
      <c r="BU99">
        <v>4</v>
      </c>
      <c r="BV99">
        <v>1.49E-2</v>
      </c>
      <c r="BW99">
        <v>7.2730944749515762</v>
      </c>
      <c r="BX99">
        <v>830.21666567290458</v>
      </c>
      <c r="BY99">
        <v>0.42399999999999999</v>
      </c>
      <c r="BZ99">
        <v>1.9800000000000002E-2</v>
      </c>
      <c r="CA99">
        <v>19.399399999999986</v>
      </c>
      <c r="CB99">
        <v>1.9800000000000002E-2</v>
      </c>
      <c r="CM99" s="2">
        <v>45681</v>
      </c>
      <c r="CN99" t="s">
        <v>1459</v>
      </c>
      <c r="CO99">
        <v>5</v>
      </c>
      <c r="CP99">
        <v>1.46E-2</v>
      </c>
      <c r="CQ99">
        <v>7.2738441903682576</v>
      </c>
      <c r="CR99">
        <v>830.28781366594774</v>
      </c>
      <c r="CS99">
        <v>0.42399999999999999</v>
      </c>
      <c r="CT99">
        <v>1.9900000000000001E-2</v>
      </c>
      <c r="CU99">
        <v>19.40160000000003</v>
      </c>
      <c r="CV99">
        <v>1.9900000000000001E-2</v>
      </c>
      <c r="CW99" s="2">
        <v>45681</v>
      </c>
      <c r="CX99" t="s">
        <v>1619</v>
      </c>
      <c r="CY99">
        <v>6</v>
      </c>
      <c r="CZ99">
        <v>1.6199999999999999E-2</v>
      </c>
      <c r="DA99">
        <v>7.3390536182602899</v>
      </c>
      <c r="DB99">
        <v>836.47618837290156</v>
      </c>
      <c r="DC99">
        <v>0.42399999999999999</v>
      </c>
      <c r="DD99">
        <v>2.0899999999999998E-2</v>
      </c>
      <c r="DE99">
        <v>19.800099999999986</v>
      </c>
      <c r="DF99">
        <v>2.0899999999999998E-2</v>
      </c>
      <c r="DG99" s="2">
        <v>45681</v>
      </c>
      <c r="DH99" t="s">
        <v>1777</v>
      </c>
      <c r="DI99">
        <v>6</v>
      </c>
      <c r="DJ99">
        <v>1.4500000000000001E-2</v>
      </c>
      <c r="DK99">
        <v>7.2744945654511977</v>
      </c>
      <c r="DL99">
        <v>830.34953426131869</v>
      </c>
      <c r="DM99">
        <v>0.42399999999999999</v>
      </c>
      <c r="DN99">
        <v>1.9900000000000001E-2</v>
      </c>
      <c r="DO99">
        <v>19.399600000000021</v>
      </c>
      <c r="DP99">
        <v>1.9900000000000001E-2</v>
      </c>
    </row>
    <row r="100" spans="1:120" x14ac:dyDescent="0.3">
      <c r="A100" s="2">
        <v>45681</v>
      </c>
      <c r="B100" t="s">
        <v>286</v>
      </c>
      <c r="C100">
        <v>1</v>
      </c>
      <c r="D100">
        <v>1.6400000000000001E-2</v>
      </c>
      <c r="E100">
        <v>7.3142481341898096</v>
      </c>
      <c r="F100">
        <v>834.12214793461294</v>
      </c>
      <c r="G100">
        <v>0.42399999999999999</v>
      </c>
      <c r="H100">
        <v>2.0500000000000001E-2</v>
      </c>
      <c r="I100">
        <v>19.598699999999997</v>
      </c>
      <c r="J100">
        <v>2.0500000000000001E-2</v>
      </c>
      <c r="K100" s="2">
        <v>45681</v>
      </c>
      <c r="L100" t="s">
        <v>444</v>
      </c>
      <c r="M100">
        <v>1</v>
      </c>
      <c r="N100">
        <v>1.52E-2</v>
      </c>
      <c r="O100">
        <v>7.3147002340760174</v>
      </c>
      <c r="P100">
        <v>834.16505221381408</v>
      </c>
      <c r="Q100">
        <v>0.42399999999999999</v>
      </c>
      <c r="R100">
        <v>2.0500000000000001E-2</v>
      </c>
      <c r="S100">
        <v>20.002560000000003</v>
      </c>
      <c r="T100">
        <v>2.0500000000000001E-2</v>
      </c>
      <c r="U100" s="2">
        <v>45681</v>
      </c>
      <c r="V100" t="s">
        <v>697</v>
      </c>
      <c r="W100">
        <v>2</v>
      </c>
      <c r="X100">
        <v>7.3000000000000001E-3</v>
      </c>
      <c r="Y100">
        <v>6.7776242209146806</v>
      </c>
      <c r="Z100">
        <v>783.19653856480318</v>
      </c>
      <c r="AA100">
        <v>0.42399999999999999</v>
      </c>
      <c r="AB100">
        <v>1.21E-2</v>
      </c>
      <c r="AC100">
        <v>19.599900000000005</v>
      </c>
      <c r="AD100">
        <v>1.21E-2</v>
      </c>
      <c r="AO100" s="2">
        <v>45681</v>
      </c>
      <c r="AP100" t="s">
        <v>894</v>
      </c>
      <c r="AQ100">
        <v>3</v>
      </c>
      <c r="AR100">
        <v>3.0999999999999999E-3</v>
      </c>
      <c r="AS100">
        <v>6.4623581432252886</v>
      </c>
      <c r="AT100">
        <v>753.27778779208006</v>
      </c>
      <c r="AU100">
        <v>0.42399999999999999</v>
      </c>
      <c r="AV100">
        <v>7.3000000000000001E-3</v>
      </c>
      <c r="AW100">
        <v>19.596399999999988</v>
      </c>
      <c r="AX100">
        <v>7.3000000000000001E-3</v>
      </c>
      <c r="BI100" s="2">
        <v>45681</v>
      </c>
      <c r="BJ100" t="s">
        <v>1098</v>
      </c>
      <c r="BK100">
        <v>4</v>
      </c>
      <c r="BL100">
        <v>1.0999999999999999E-2</v>
      </c>
      <c r="BM100">
        <v>7.0688166892372761</v>
      </c>
      <c r="BN100">
        <v>810.8307038086175</v>
      </c>
      <c r="BO100">
        <v>0.42399999999999999</v>
      </c>
      <c r="BP100">
        <v>1.67E-2</v>
      </c>
      <c r="BQ100">
        <v>19.601199999999977</v>
      </c>
      <c r="BR100">
        <v>1.67E-2</v>
      </c>
      <c r="BS100" s="2">
        <v>45681</v>
      </c>
      <c r="BT100" t="s">
        <v>1222</v>
      </c>
      <c r="BU100">
        <v>4</v>
      </c>
      <c r="BV100">
        <v>1.6E-2</v>
      </c>
      <c r="BW100">
        <v>7.3138755065705938</v>
      </c>
      <c r="BX100">
        <v>834.08678557354938</v>
      </c>
      <c r="BY100">
        <v>0.42399999999999999</v>
      </c>
      <c r="BZ100">
        <v>2.0500000000000001E-2</v>
      </c>
      <c r="CA100">
        <v>19.599600000000009</v>
      </c>
      <c r="CB100">
        <v>2.0500000000000001E-2</v>
      </c>
      <c r="CM100" s="2">
        <v>45681</v>
      </c>
      <c r="CN100" t="s">
        <v>1460</v>
      </c>
      <c r="CO100">
        <v>5</v>
      </c>
      <c r="CP100">
        <v>1.5599999999999999E-2</v>
      </c>
      <c r="CQ100">
        <v>7.3141443336778176</v>
      </c>
      <c r="CR100">
        <v>834.11229726602494</v>
      </c>
      <c r="CS100">
        <v>0.42399999999999999</v>
      </c>
      <c r="CT100">
        <v>2.0500000000000001E-2</v>
      </c>
      <c r="CU100">
        <v>19.600300000000004</v>
      </c>
      <c r="CV100">
        <v>2.0500000000000001E-2</v>
      </c>
      <c r="CW100" s="2">
        <v>45681</v>
      </c>
      <c r="CX100" t="s">
        <v>1620</v>
      </c>
      <c r="CY100">
        <v>6</v>
      </c>
      <c r="CZ100">
        <v>1.6199999999999999E-2</v>
      </c>
      <c r="DA100">
        <v>7.347297649548536</v>
      </c>
      <c r="DB100">
        <v>837.25854694215616</v>
      </c>
      <c r="DC100">
        <v>0.42399999999999999</v>
      </c>
      <c r="DD100">
        <v>2.1000000000000001E-2</v>
      </c>
      <c r="DE100">
        <v>20.004300000000001</v>
      </c>
      <c r="DF100">
        <v>2.1000000000000001E-2</v>
      </c>
      <c r="DG100" s="2">
        <v>45681</v>
      </c>
      <c r="DH100" t="s">
        <v>1778</v>
      </c>
      <c r="DI100">
        <v>6</v>
      </c>
      <c r="DJ100">
        <v>1.52E-2</v>
      </c>
      <c r="DK100">
        <v>7.3151681473214758</v>
      </c>
      <c r="DL100">
        <v>834.20945718080804</v>
      </c>
      <c r="DM100">
        <v>0.42399999999999999</v>
      </c>
      <c r="DN100">
        <v>2.0500000000000001E-2</v>
      </c>
      <c r="DO100">
        <v>19.601900000000001</v>
      </c>
      <c r="DP100">
        <v>2.0500000000000001E-2</v>
      </c>
    </row>
    <row r="101" spans="1:120" x14ac:dyDescent="0.3">
      <c r="A101" s="2">
        <v>45681</v>
      </c>
      <c r="B101" t="s">
        <v>287</v>
      </c>
      <c r="C101">
        <v>1</v>
      </c>
      <c r="D101">
        <v>1.7100000000000001E-2</v>
      </c>
      <c r="E101">
        <v>7.3391764758975269</v>
      </c>
      <c r="F101">
        <v>836.48784756267537</v>
      </c>
      <c r="G101">
        <v>0.42399999999999999</v>
      </c>
      <c r="H101">
        <v>2.0899999999999998E-2</v>
      </c>
      <c r="I101">
        <v>19.800929999999997</v>
      </c>
      <c r="J101">
        <v>2.0899999999999998E-2</v>
      </c>
      <c r="K101" s="2">
        <v>45681</v>
      </c>
      <c r="L101" t="s">
        <v>445</v>
      </c>
      <c r="M101">
        <v>1</v>
      </c>
      <c r="N101">
        <v>1.66E-2</v>
      </c>
      <c r="O101">
        <v>7.3391266029952824</v>
      </c>
      <c r="P101">
        <v>836.48311462425238</v>
      </c>
      <c r="Q101">
        <v>0.42399999999999999</v>
      </c>
      <c r="R101">
        <v>2.0899999999999998E-2</v>
      </c>
      <c r="S101">
        <v>20.201409999999996</v>
      </c>
      <c r="T101">
        <v>2.0899999999999998E-2</v>
      </c>
      <c r="U101" s="2">
        <v>45681</v>
      </c>
      <c r="V101" t="s">
        <v>698</v>
      </c>
      <c r="W101">
        <v>2</v>
      </c>
      <c r="X101">
        <v>8.6E-3</v>
      </c>
      <c r="Y101">
        <v>6.8809251929412252</v>
      </c>
      <c r="Z101">
        <v>792.99980081012234</v>
      </c>
      <c r="AA101">
        <v>0.42399999999999999</v>
      </c>
      <c r="AB101">
        <v>1.38E-2</v>
      </c>
      <c r="AC101">
        <v>19.800300000000007</v>
      </c>
      <c r="AD101">
        <v>1.38E-2</v>
      </c>
      <c r="AO101" s="2">
        <v>45681</v>
      </c>
      <c r="AP101" t="s">
        <v>895</v>
      </c>
      <c r="AQ101">
        <v>3</v>
      </c>
      <c r="AR101">
        <v>3.7000000000000002E-3</v>
      </c>
      <c r="AS101">
        <v>6.5663305748137706</v>
      </c>
      <c r="AT101">
        <v>763.14477154982694</v>
      </c>
      <c r="AU101">
        <v>0.42399999999999999</v>
      </c>
      <c r="AV101">
        <v>8.8999999999999999E-3</v>
      </c>
      <c r="AW101">
        <v>19.798099999999977</v>
      </c>
      <c r="AX101">
        <v>8.8999999999999999E-3</v>
      </c>
      <c r="BI101" s="2">
        <v>45681</v>
      </c>
      <c r="BJ101" t="s">
        <v>1099</v>
      </c>
      <c r="BK101">
        <v>4</v>
      </c>
      <c r="BL101">
        <v>1.2500000000000001E-2</v>
      </c>
      <c r="BM101">
        <v>7.1494684706416427</v>
      </c>
      <c r="BN101">
        <v>818.48455786389195</v>
      </c>
      <c r="BO101">
        <v>0.42399999999999999</v>
      </c>
      <c r="BP101">
        <v>1.7899999999999999E-2</v>
      </c>
      <c r="BQ101">
        <v>19.801299999999998</v>
      </c>
      <c r="BR101">
        <v>1.7899999999999999E-2</v>
      </c>
      <c r="BS101" s="2">
        <v>45681</v>
      </c>
      <c r="BT101" t="s">
        <v>1223</v>
      </c>
      <c r="BU101">
        <v>4</v>
      </c>
      <c r="BV101">
        <v>1.6400000000000001E-2</v>
      </c>
      <c r="BW101">
        <v>7.3388443953533073</v>
      </c>
      <c r="BX101">
        <v>836.45633311902895</v>
      </c>
      <c r="BY101">
        <v>0.42399999999999999</v>
      </c>
      <c r="BZ101">
        <v>2.0899999999999998E-2</v>
      </c>
      <c r="CA101">
        <v>19.800000000000011</v>
      </c>
      <c r="CB101">
        <v>2.0899999999999998E-2</v>
      </c>
      <c r="CM101" s="2">
        <v>45681</v>
      </c>
      <c r="CN101" t="s">
        <v>1461</v>
      </c>
      <c r="CO101">
        <v>5</v>
      </c>
      <c r="CP101">
        <v>1.6199999999999999E-2</v>
      </c>
      <c r="CQ101">
        <v>7.3389011612583026</v>
      </c>
      <c r="CR101">
        <v>836.46172020341305</v>
      </c>
      <c r="CS101">
        <v>0.42399999999999999</v>
      </c>
      <c r="CT101">
        <v>2.0899999999999998E-2</v>
      </c>
      <c r="CU101">
        <v>19.799800000000005</v>
      </c>
      <c r="CV101">
        <v>2.0899999999999998E-2</v>
      </c>
      <c r="CW101" s="2">
        <v>45681</v>
      </c>
      <c r="CX101" t="s">
        <v>1621</v>
      </c>
      <c r="CY101">
        <v>6</v>
      </c>
      <c r="CZ101">
        <v>1.6199999999999999E-2</v>
      </c>
      <c r="DA101">
        <v>7.3389027831413021</v>
      </c>
      <c r="DB101">
        <v>731.98573938876939</v>
      </c>
      <c r="DC101">
        <v>0.42399999999999999</v>
      </c>
      <c r="DD101">
        <v>2.0899999999999998E-2</v>
      </c>
      <c r="DE101">
        <v>20.200300000000027</v>
      </c>
      <c r="DF101">
        <v>2.0899999999999998E-2</v>
      </c>
      <c r="DG101" s="2">
        <v>45681</v>
      </c>
      <c r="DH101" t="s">
        <v>1779</v>
      </c>
      <c r="DI101">
        <v>6</v>
      </c>
      <c r="DJ101">
        <v>1.55E-2</v>
      </c>
      <c r="DK101">
        <v>7.3392527043985218</v>
      </c>
      <c r="DL101">
        <v>836.49508164741974</v>
      </c>
      <c r="DM101">
        <v>0.42399999999999999</v>
      </c>
      <c r="DN101">
        <v>2.0899999999999998E-2</v>
      </c>
      <c r="DO101">
        <v>19.799399999999991</v>
      </c>
      <c r="DP101">
        <v>2.0899999999999998E-2</v>
      </c>
    </row>
    <row r="102" spans="1:120" x14ac:dyDescent="0.3">
      <c r="A102" s="2">
        <v>45681</v>
      </c>
      <c r="B102" t="s">
        <v>288</v>
      </c>
      <c r="C102">
        <v>1</v>
      </c>
      <c r="D102">
        <v>1.7299999999999999E-2</v>
      </c>
      <c r="E102">
        <v>7.3473025151975344</v>
      </c>
      <c r="F102">
        <v>837.25900869224608</v>
      </c>
      <c r="G102">
        <v>0.42399999999999999</v>
      </c>
      <c r="H102">
        <v>2.1000000000000001E-2</v>
      </c>
      <c r="I102">
        <v>19.999170000000003</v>
      </c>
      <c r="J102">
        <v>2.1000000000000001E-2</v>
      </c>
      <c r="K102" s="2">
        <v>45681</v>
      </c>
      <c r="L102" t="s">
        <v>446</v>
      </c>
      <c r="M102">
        <v>1</v>
      </c>
      <c r="N102">
        <v>1.77E-2</v>
      </c>
      <c r="O102">
        <v>7.3473004878437846</v>
      </c>
      <c r="P102">
        <v>837.25881629637524</v>
      </c>
      <c r="Q102">
        <v>0.42399999999999999</v>
      </c>
      <c r="R102">
        <v>2.1000000000000001E-2</v>
      </c>
      <c r="S102">
        <v>20.402870000000007</v>
      </c>
      <c r="T102">
        <v>2.1000000000000001E-2</v>
      </c>
      <c r="U102" s="2">
        <v>45681</v>
      </c>
      <c r="V102" t="s">
        <v>699</v>
      </c>
      <c r="W102">
        <v>2</v>
      </c>
      <c r="X102">
        <v>1.03E-2</v>
      </c>
      <c r="Y102">
        <v>6.9782495261133146</v>
      </c>
      <c r="Z102">
        <v>802.23588002815359</v>
      </c>
      <c r="AA102">
        <v>0.42399999999999999</v>
      </c>
      <c r="AB102">
        <v>1.5299999999999999E-2</v>
      </c>
      <c r="AC102">
        <v>19.999099999999984</v>
      </c>
      <c r="AD102">
        <v>1.5299999999999999E-2</v>
      </c>
      <c r="AO102" s="2">
        <v>45681</v>
      </c>
      <c r="AP102" t="s">
        <v>896</v>
      </c>
      <c r="AQ102">
        <v>3</v>
      </c>
      <c r="AR102">
        <v>5.1000000000000004E-3</v>
      </c>
      <c r="AS102">
        <v>6.6720595056910934</v>
      </c>
      <c r="AT102">
        <v>773.17844709008477</v>
      </c>
      <c r="AU102">
        <v>0.42399999999999999</v>
      </c>
      <c r="AV102">
        <v>1.0500000000000001E-2</v>
      </c>
      <c r="AW102">
        <v>19.998099999999994</v>
      </c>
      <c r="AX102">
        <v>1.0500000000000001E-2</v>
      </c>
      <c r="BI102" s="2">
        <v>45681</v>
      </c>
      <c r="BJ102" t="s">
        <v>1100</v>
      </c>
      <c r="BK102">
        <v>4</v>
      </c>
      <c r="BL102">
        <v>1.41E-2</v>
      </c>
      <c r="BM102">
        <v>7.217742851932643</v>
      </c>
      <c r="BN102">
        <v>824.96379664840788</v>
      </c>
      <c r="BO102">
        <v>0.42399999999999999</v>
      </c>
      <c r="BP102">
        <v>1.9E-2</v>
      </c>
      <c r="BQ102">
        <v>19.99939999999998</v>
      </c>
      <c r="BR102">
        <v>1.9E-2</v>
      </c>
      <c r="BS102" s="2">
        <v>45681</v>
      </c>
      <c r="BT102" t="s">
        <v>1224</v>
      </c>
      <c r="BU102">
        <v>4</v>
      </c>
      <c r="BV102">
        <v>1.6299999999999999E-2</v>
      </c>
      <c r="BW102">
        <v>7.3473012987852826</v>
      </c>
      <c r="BX102">
        <v>837.25889325472349</v>
      </c>
      <c r="BY102">
        <v>0.42399999999999999</v>
      </c>
      <c r="BZ102">
        <v>2.1000000000000001E-2</v>
      </c>
      <c r="CA102">
        <v>20.004400000000004</v>
      </c>
      <c r="CB102">
        <v>2.1000000000000001E-2</v>
      </c>
      <c r="CM102" s="2">
        <v>45681</v>
      </c>
      <c r="CN102" t="s">
        <v>1462</v>
      </c>
      <c r="CO102">
        <v>5</v>
      </c>
      <c r="CP102">
        <v>1.6400000000000001E-2</v>
      </c>
      <c r="CQ102">
        <v>7.3473025151975344</v>
      </c>
      <c r="CR102">
        <v>837.25900869224608</v>
      </c>
      <c r="CS102">
        <v>0.42399999999999999</v>
      </c>
      <c r="CT102">
        <v>2.1000000000000001E-2</v>
      </c>
      <c r="CU102">
        <v>20.002100000000041</v>
      </c>
      <c r="CV102">
        <v>2.1000000000000001E-2</v>
      </c>
      <c r="CW102" s="2">
        <v>45681</v>
      </c>
      <c r="CX102" t="s">
        <v>1622</v>
      </c>
      <c r="CY102">
        <v>6</v>
      </c>
      <c r="CZ102">
        <v>1.6199999999999999E-2</v>
      </c>
      <c r="DA102">
        <v>7.3137794100028524</v>
      </c>
      <c r="DB102">
        <v>729.64424101226587</v>
      </c>
      <c r="DC102">
        <v>0.42399999999999999</v>
      </c>
      <c r="DD102">
        <v>2.0500000000000001E-2</v>
      </c>
      <c r="DE102">
        <v>20.401999999999987</v>
      </c>
      <c r="DF102">
        <v>2.0500000000000001E-2</v>
      </c>
      <c r="DG102" s="2">
        <v>45681</v>
      </c>
      <c r="DH102" t="s">
        <v>1780</v>
      </c>
      <c r="DI102">
        <v>6</v>
      </c>
      <c r="DJ102">
        <v>1.5699999999999999E-2</v>
      </c>
      <c r="DK102">
        <v>7.3472996769022849</v>
      </c>
      <c r="DL102">
        <v>837.25873933802688</v>
      </c>
      <c r="DM102">
        <v>0.42399999999999999</v>
      </c>
      <c r="DN102">
        <v>2.1000000000000001E-2</v>
      </c>
      <c r="DO102">
        <v>19.999900000000025</v>
      </c>
      <c r="DP102">
        <v>2.1000000000000001E-2</v>
      </c>
    </row>
    <row r="103" spans="1:120" x14ac:dyDescent="0.3">
      <c r="A103" s="2">
        <v>45681</v>
      </c>
      <c r="B103" t="s">
        <v>289</v>
      </c>
      <c r="C103">
        <v>1</v>
      </c>
      <c r="D103">
        <v>1.7399999999999999E-2</v>
      </c>
      <c r="E103">
        <v>7.3388172288130624</v>
      </c>
      <c r="F103">
        <v>731.97776572537737</v>
      </c>
      <c r="G103">
        <v>0.42399999999999999</v>
      </c>
      <c r="H103">
        <v>2.0899999999999998E-2</v>
      </c>
      <c r="I103">
        <v>20.200559999999999</v>
      </c>
      <c r="J103">
        <v>2.0899999999999998E-2</v>
      </c>
      <c r="K103" s="2">
        <v>45681</v>
      </c>
      <c r="L103" t="s">
        <v>447</v>
      </c>
      <c r="M103">
        <v>1</v>
      </c>
      <c r="N103">
        <v>1.7600000000000001E-2</v>
      </c>
      <c r="O103">
        <v>7.3389076487903031</v>
      </c>
      <c r="P103">
        <v>731.98619286725625</v>
      </c>
      <c r="Q103">
        <v>0.42399999999999999</v>
      </c>
      <c r="R103">
        <v>2.0899999999999998E-2</v>
      </c>
      <c r="S103">
        <v>20.600570000000005</v>
      </c>
      <c r="T103">
        <v>2.0899999999999998E-2</v>
      </c>
      <c r="U103" s="2">
        <v>45681</v>
      </c>
      <c r="V103" t="s">
        <v>700</v>
      </c>
      <c r="W103">
        <v>2</v>
      </c>
      <c r="X103">
        <v>1.1900000000000001E-2</v>
      </c>
      <c r="Y103">
        <v>7.0691824238537411</v>
      </c>
      <c r="Z103">
        <v>810.86541202372007</v>
      </c>
      <c r="AA103">
        <v>0.42399999999999999</v>
      </c>
      <c r="AB103">
        <v>1.67E-2</v>
      </c>
      <c r="AC103">
        <v>20.200199999999981</v>
      </c>
      <c r="AD103">
        <v>1.67E-2</v>
      </c>
      <c r="AO103" s="2">
        <v>45681</v>
      </c>
      <c r="AP103" t="s">
        <v>897</v>
      </c>
      <c r="AQ103">
        <v>3</v>
      </c>
      <c r="AR103">
        <v>6.8999999999999999E-3</v>
      </c>
      <c r="AS103">
        <v>6.7769503285282431</v>
      </c>
      <c r="AT103">
        <v>783.13258617733027</v>
      </c>
      <c r="AU103">
        <v>0.42399999999999999</v>
      </c>
      <c r="AV103">
        <v>1.21E-2</v>
      </c>
      <c r="AW103">
        <v>20.196599999999989</v>
      </c>
      <c r="AX103">
        <v>1.21E-2</v>
      </c>
      <c r="BI103" s="2">
        <v>45681</v>
      </c>
      <c r="BJ103" t="s">
        <v>1101</v>
      </c>
      <c r="BK103">
        <v>4</v>
      </c>
      <c r="BL103">
        <v>1.52E-2</v>
      </c>
      <c r="BM103">
        <v>7.2732096286445662</v>
      </c>
      <c r="BN103">
        <v>830.22759375836938</v>
      </c>
      <c r="BO103">
        <v>0.42399999999999999</v>
      </c>
      <c r="BP103">
        <v>1.9800000000000002E-2</v>
      </c>
      <c r="BQ103">
        <v>20.19919999999999</v>
      </c>
      <c r="BR103">
        <v>1.9800000000000002E-2</v>
      </c>
      <c r="BS103" s="2">
        <v>45681</v>
      </c>
      <c r="BT103" t="s">
        <v>1225</v>
      </c>
      <c r="BU103">
        <v>4</v>
      </c>
      <c r="BV103">
        <v>1.6299999999999999E-2</v>
      </c>
      <c r="BW103">
        <v>7.3389733350517963</v>
      </c>
      <c r="BX103">
        <v>731.9923148268274</v>
      </c>
      <c r="BY103">
        <v>0.42399999999999999</v>
      </c>
      <c r="BZ103">
        <v>2.0899999999999998E-2</v>
      </c>
      <c r="CA103">
        <v>20.201799999999992</v>
      </c>
      <c r="CB103">
        <v>2.0899999999999998E-2</v>
      </c>
      <c r="CM103" s="2">
        <v>45681</v>
      </c>
      <c r="CN103" t="s">
        <v>1463</v>
      </c>
      <c r="CO103">
        <v>5</v>
      </c>
      <c r="CP103">
        <v>1.6400000000000001E-2</v>
      </c>
      <c r="CQ103">
        <v>7.3388873752528054</v>
      </c>
      <c r="CR103">
        <v>731.98430337356137</v>
      </c>
      <c r="CS103">
        <v>0.42399999999999999</v>
      </c>
      <c r="CT103">
        <v>2.0899999999999998E-2</v>
      </c>
      <c r="CU103">
        <v>20.201900000000023</v>
      </c>
      <c r="CV103">
        <v>2.0899999999999998E-2</v>
      </c>
      <c r="CW103" s="2">
        <v>45681</v>
      </c>
      <c r="CX103" t="s">
        <v>1623</v>
      </c>
      <c r="CY103">
        <v>6</v>
      </c>
      <c r="CZ103">
        <v>1.61E-2</v>
      </c>
      <c r="DA103">
        <v>7.2729489109523398</v>
      </c>
      <c r="DB103">
        <v>725.83883850075813</v>
      </c>
      <c r="DC103">
        <v>0.42399999999999999</v>
      </c>
      <c r="DD103">
        <v>1.9800000000000002E-2</v>
      </c>
      <c r="DE103">
        <v>20.602199999999982</v>
      </c>
      <c r="DF103">
        <v>1.9800000000000002E-2</v>
      </c>
      <c r="DG103" s="2">
        <v>45681</v>
      </c>
      <c r="DH103" t="s">
        <v>1781</v>
      </c>
      <c r="DI103">
        <v>6</v>
      </c>
      <c r="DJ103">
        <v>1.5699999999999999E-2</v>
      </c>
      <c r="DK103">
        <v>7.3386039511985803</v>
      </c>
      <c r="DL103">
        <v>731.95788825170769</v>
      </c>
      <c r="DM103">
        <v>0.42399999999999999</v>
      </c>
      <c r="DN103">
        <v>2.0899999999999998E-2</v>
      </c>
      <c r="DO103">
        <v>20.200600000000009</v>
      </c>
      <c r="DP103">
        <v>2.0899999999999998E-2</v>
      </c>
    </row>
    <row r="104" spans="1:120" x14ac:dyDescent="0.3">
      <c r="A104" s="2">
        <v>45681</v>
      </c>
      <c r="B104" t="s">
        <v>290</v>
      </c>
      <c r="C104">
        <v>1</v>
      </c>
      <c r="D104">
        <v>1.7299999999999999E-2</v>
      </c>
      <c r="E104">
        <v>7.3138304993173469</v>
      </c>
      <c r="F104">
        <v>729.64900253637677</v>
      </c>
      <c r="G104">
        <v>0.42399999999999999</v>
      </c>
      <c r="H104">
        <v>2.0500000000000001E-2</v>
      </c>
      <c r="I104">
        <v>20.400990000000004</v>
      </c>
      <c r="J104">
        <v>2.0500000000000001E-2</v>
      </c>
      <c r="K104" s="2">
        <v>45681</v>
      </c>
      <c r="L104" t="s">
        <v>448</v>
      </c>
      <c r="M104">
        <v>1</v>
      </c>
      <c r="N104">
        <v>1.7600000000000001E-2</v>
      </c>
      <c r="O104">
        <v>7.313972414079835</v>
      </c>
      <c r="P104">
        <v>729.66222899224067</v>
      </c>
      <c r="Q104">
        <v>0.42399999999999999</v>
      </c>
      <c r="R104">
        <v>2.0500000000000001E-2</v>
      </c>
      <c r="S104">
        <v>20.801220000000001</v>
      </c>
      <c r="T104">
        <v>2.0500000000000001E-2</v>
      </c>
      <c r="U104" s="2">
        <v>45681</v>
      </c>
      <c r="V104" t="s">
        <v>701</v>
      </c>
      <c r="W104">
        <v>2</v>
      </c>
      <c r="X104">
        <v>1.3100000000000001E-2</v>
      </c>
      <c r="Y104">
        <v>7.1506650148247823</v>
      </c>
      <c r="Z104">
        <v>818.59810990687185</v>
      </c>
      <c r="AA104">
        <v>0.42399999999999999</v>
      </c>
      <c r="AB104">
        <v>1.7899999999999999E-2</v>
      </c>
      <c r="AC104">
        <v>20.402599999999993</v>
      </c>
      <c r="AD104">
        <v>1.7899999999999999E-2</v>
      </c>
      <c r="AO104" s="2">
        <v>45681</v>
      </c>
      <c r="AP104" t="s">
        <v>898</v>
      </c>
      <c r="AQ104">
        <v>3</v>
      </c>
      <c r="AR104">
        <v>8.8000000000000005E-3</v>
      </c>
      <c r="AS104">
        <v>6.8802172410117901</v>
      </c>
      <c r="AT104">
        <v>792.93261617201892</v>
      </c>
      <c r="AU104">
        <v>0.42399999999999999</v>
      </c>
      <c r="AV104">
        <v>1.37E-2</v>
      </c>
      <c r="AW104">
        <v>20.396799999999985</v>
      </c>
      <c r="AX104">
        <v>1.37E-2</v>
      </c>
      <c r="BI104" s="2">
        <v>45681</v>
      </c>
      <c r="BJ104" t="s">
        <v>1102</v>
      </c>
      <c r="BK104">
        <v>4</v>
      </c>
      <c r="BL104">
        <v>1.5800000000000002E-2</v>
      </c>
      <c r="BM104">
        <v>7.3143592331753</v>
      </c>
      <c r="BN104">
        <v>834.13269122833606</v>
      </c>
      <c r="BO104">
        <v>0.42399999999999999</v>
      </c>
      <c r="BP104">
        <v>2.0500000000000001E-2</v>
      </c>
      <c r="BQ104">
        <v>20.40179999999998</v>
      </c>
      <c r="BR104">
        <v>2.0500000000000001E-2</v>
      </c>
      <c r="BS104" s="2">
        <v>45681</v>
      </c>
      <c r="BT104" t="s">
        <v>1226</v>
      </c>
      <c r="BU104">
        <v>4</v>
      </c>
      <c r="BV104">
        <v>1.6400000000000001E-2</v>
      </c>
      <c r="BW104">
        <v>7.3143949146012961</v>
      </c>
      <c r="BX104">
        <v>729.70160604084083</v>
      </c>
      <c r="BY104">
        <v>0.42399999999999999</v>
      </c>
      <c r="BZ104">
        <v>2.0500000000000001E-2</v>
      </c>
      <c r="CA104">
        <v>20.400700000000001</v>
      </c>
      <c r="CB104">
        <v>2.0500000000000001E-2</v>
      </c>
      <c r="CM104" s="2">
        <v>45681</v>
      </c>
      <c r="CN104" t="s">
        <v>1464</v>
      </c>
      <c r="CO104">
        <v>5</v>
      </c>
      <c r="CP104">
        <v>1.6299999999999999E-2</v>
      </c>
      <c r="CQ104">
        <v>7.3143312556935518</v>
      </c>
      <c r="CR104">
        <v>729.695673030639</v>
      </c>
      <c r="CS104">
        <v>0.42399999999999999</v>
      </c>
      <c r="CT104">
        <v>2.0500000000000001E-2</v>
      </c>
      <c r="CU104">
        <v>20.400200000000041</v>
      </c>
      <c r="CV104">
        <v>2.0500000000000001E-2</v>
      </c>
      <c r="CW104" s="2">
        <v>45681</v>
      </c>
      <c r="CX104" t="s">
        <v>1624</v>
      </c>
      <c r="CY104">
        <v>6</v>
      </c>
      <c r="CZ104">
        <v>1.61E-2</v>
      </c>
      <c r="DA104">
        <v>7.2176183724124048</v>
      </c>
      <c r="DB104">
        <v>720.68203230883614</v>
      </c>
      <c r="DC104">
        <v>0.42399999999999999</v>
      </c>
      <c r="DD104">
        <v>1.9E-2</v>
      </c>
      <c r="DE104">
        <v>20.801300000000026</v>
      </c>
      <c r="DF104">
        <v>1.9E-2</v>
      </c>
      <c r="DG104" s="2">
        <v>45681</v>
      </c>
      <c r="DH104" t="s">
        <v>1782</v>
      </c>
      <c r="DI104">
        <v>6</v>
      </c>
      <c r="DJ104">
        <v>1.5699999999999999E-2</v>
      </c>
      <c r="DK104">
        <v>7.3132591910306504</v>
      </c>
      <c r="DL104">
        <v>729.59575660405665</v>
      </c>
      <c r="DM104">
        <v>0.42399999999999999</v>
      </c>
      <c r="DN104">
        <v>2.0500000000000001E-2</v>
      </c>
      <c r="DO104">
        <v>20.401999999999987</v>
      </c>
      <c r="DP104">
        <v>2.0500000000000001E-2</v>
      </c>
    </row>
    <row r="105" spans="1:120" x14ac:dyDescent="0.3">
      <c r="A105" s="2">
        <v>45681</v>
      </c>
      <c r="B105" t="s">
        <v>291</v>
      </c>
      <c r="C105">
        <v>1</v>
      </c>
      <c r="D105">
        <v>1.7399999999999999E-2</v>
      </c>
      <c r="E105">
        <v>7.2733097799198063</v>
      </c>
      <c r="F105">
        <v>725.872471488526</v>
      </c>
      <c r="G105">
        <v>0.42399999999999999</v>
      </c>
      <c r="H105">
        <v>1.9900000000000001E-2</v>
      </c>
      <c r="I105">
        <v>20.599970000000003</v>
      </c>
      <c r="J105">
        <v>1.9900000000000001E-2</v>
      </c>
      <c r="K105" s="2">
        <v>45681</v>
      </c>
      <c r="L105" t="s">
        <v>449</v>
      </c>
      <c r="M105">
        <v>1</v>
      </c>
      <c r="N105">
        <v>1.7600000000000001E-2</v>
      </c>
      <c r="O105">
        <v>7.2734439907380448</v>
      </c>
      <c r="P105">
        <v>725.88497993678584</v>
      </c>
      <c r="Q105">
        <v>0.42399999999999999</v>
      </c>
      <c r="R105">
        <v>1.9900000000000001E-2</v>
      </c>
      <c r="S105">
        <v>21.000510000000006</v>
      </c>
      <c r="T105">
        <v>1.9900000000000001E-2</v>
      </c>
      <c r="U105" s="2">
        <v>45681</v>
      </c>
      <c r="V105" t="s">
        <v>702</v>
      </c>
      <c r="W105">
        <v>2</v>
      </c>
      <c r="X105">
        <v>1.43E-2</v>
      </c>
      <c r="Y105">
        <v>7.21909550235452</v>
      </c>
      <c r="Z105">
        <v>825.09216317344396</v>
      </c>
      <c r="AA105">
        <v>0.42399999999999999</v>
      </c>
      <c r="AB105">
        <v>1.9E-2</v>
      </c>
      <c r="AC105">
        <v>20.601899999999986</v>
      </c>
      <c r="AD105">
        <v>1.9E-2</v>
      </c>
      <c r="AO105" s="2">
        <v>45681</v>
      </c>
      <c r="AP105" t="s">
        <v>899</v>
      </c>
      <c r="AQ105">
        <v>3</v>
      </c>
      <c r="AR105">
        <v>1.01E-2</v>
      </c>
      <c r="AS105">
        <v>6.9778712219036017</v>
      </c>
      <c r="AT105">
        <v>802.19997895865185</v>
      </c>
      <c r="AU105">
        <v>0.42399999999999999</v>
      </c>
      <c r="AV105">
        <v>1.5299999999999999E-2</v>
      </c>
      <c r="AW105">
        <v>20.596099999999979</v>
      </c>
      <c r="AX105">
        <v>1.5299999999999999E-2</v>
      </c>
      <c r="BI105" s="2">
        <v>45681</v>
      </c>
      <c r="BJ105" t="s">
        <v>1103</v>
      </c>
      <c r="BK105">
        <v>4</v>
      </c>
      <c r="BL105">
        <v>1.6899999999999998E-2</v>
      </c>
      <c r="BM105">
        <v>7.3391845853125277</v>
      </c>
      <c r="BN105">
        <v>836.48861714615896</v>
      </c>
      <c r="BO105">
        <v>0.42399999999999999</v>
      </c>
      <c r="BP105">
        <v>2.0899999999999998E-2</v>
      </c>
      <c r="BQ105">
        <v>20.603399999999993</v>
      </c>
      <c r="BR105">
        <v>2.0899999999999998E-2</v>
      </c>
      <c r="BS105" s="2">
        <v>45681</v>
      </c>
      <c r="BT105" t="s">
        <v>1227</v>
      </c>
      <c r="BU105">
        <v>4</v>
      </c>
      <c r="BV105">
        <v>1.6299999999999999E-2</v>
      </c>
      <c r="BW105">
        <v>7.2735433310717861</v>
      </c>
      <c r="BX105">
        <v>725.89423845589045</v>
      </c>
      <c r="BY105">
        <v>0.42399999999999999</v>
      </c>
      <c r="BZ105">
        <v>1.9900000000000001E-2</v>
      </c>
      <c r="CA105">
        <v>20.602100000000007</v>
      </c>
      <c r="CB105">
        <v>1.9900000000000001E-2</v>
      </c>
      <c r="CM105" s="2">
        <v>45681</v>
      </c>
      <c r="CN105" t="s">
        <v>1465</v>
      </c>
      <c r="CO105">
        <v>5</v>
      </c>
      <c r="CP105">
        <v>1.6400000000000001E-2</v>
      </c>
      <c r="CQ105">
        <v>7.2739224462230014</v>
      </c>
      <c r="CR105">
        <v>725.92957198798376</v>
      </c>
      <c r="CS105">
        <v>0.42399999999999999</v>
      </c>
      <c r="CT105">
        <v>1.9900000000000001E-2</v>
      </c>
      <c r="CU105">
        <v>20.599600000000009</v>
      </c>
      <c r="CV105">
        <v>1.9900000000000001E-2</v>
      </c>
      <c r="CW105" s="2">
        <v>45681</v>
      </c>
      <c r="CX105" t="s">
        <v>1625</v>
      </c>
      <c r="CY105">
        <v>6</v>
      </c>
      <c r="CZ105">
        <v>1.61E-2</v>
      </c>
      <c r="DA105">
        <v>7.1487937673137054</v>
      </c>
      <c r="DB105">
        <v>714.26757911363734</v>
      </c>
      <c r="DC105">
        <v>0.42399999999999999</v>
      </c>
      <c r="DD105">
        <v>1.7899999999999999E-2</v>
      </c>
      <c r="DE105">
        <v>21.000800000000027</v>
      </c>
      <c r="DF105">
        <v>1.7899999999999999E-2</v>
      </c>
      <c r="DG105" s="2">
        <v>45681</v>
      </c>
      <c r="DH105" t="s">
        <v>1783</v>
      </c>
      <c r="DI105">
        <v>6</v>
      </c>
      <c r="DJ105">
        <v>1.5699999999999999E-2</v>
      </c>
      <c r="DK105">
        <v>7.2728893067520959</v>
      </c>
      <c r="DL105">
        <v>725.83328338929539</v>
      </c>
      <c r="DM105">
        <v>0.42399999999999999</v>
      </c>
      <c r="DN105">
        <v>1.9800000000000002E-2</v>
      </c>
      <c r="DO105">
        <v>20.599199999999996</v>
      </c>
      <c r="DP105">
        <v>1.9800000000000002E-2</v>
      </c>
    </row>
    <row r="106" spans="1:120" x14ac:dyDescent="0.3">
      <c r="A106" s="2">
        <v>45681</v>
      </c>
      <c r="B106" t="s">
        <v>292</v>
      </c>
      <c r="C106">
        <v>1</v>
      </c>
      <c r="D106">
        <v>1.7299999999999999E-2</v>
      </c>
      <c r="E106">
        <v>7.2176743273759012</v>
      </c>
      <c r="F106">
        <v>720.68724731143402</v>
      </c>
      <c r="G106">
        <v>0.42399999999999999</v>
      </c>
      <c r="H106">
        <v>1.9E-2</v>
      </c>
      <c r="I106">
        <v>20.800390000000004</v>
      </c>
      <c r="J106">
        <v>1.9E-2</v>
      </c>
      <c r="K106" s="2">
        <v>45681</v>
      </c>
      <c r="L106" t="s">
        <v>450</v>
      </c>
      <c r="M106">
        <v>1</v>
      </c>
      <c r="N106">
        <v>1.7600000000000001E-2</v>
      </c>
      <c r="O106">
        <v>7.2173746844916771</v>
      </c>
      <c r="P106">
        <v>720.65932059462432</v>
      </c>
      <c r="Q106">
        <v>0.42399999999999999</v>
      </c>
      <c r="R106">
        <v>1.9E-2</v>
      </c>
      <c r="S106">
        <v>21.202430000000007</v>
      </c>
      <c r="T106">
        <v>1.9E-2</v>
      </c>
      <c r="U106" s="2">
        <v>45681</v>
      </c>
      <c r="V106" t="s">
        <v>703</v>
      </c>
      <c r="W106">
        <v>2</v>
      </c>
      <c r="X106">
        <v>1.5299999999999999E-2</v>
      </c>
      <c r="Y106">
        <v>7.2740793634032359</v>
      </c>
      <c r="Z106">
        <v>830.31013158696715</v>
      </c>
      <c r="AA106">
        <v>0.42399999999999999</v>
      </c>
      <c r="AB106">
        <v>1.9900000000000001E-2</v>
      </c>
      <c r="AC106">
        <v>20.801000000000002</v>
      </c>
      <c r="AD106">
        <v>1.9900000000000001E-2</v>
      </c>
      <c r="AO106" s="2">
        <v>45681</v>
      </c>
      <c r="AP106" t="s">
        <v>900</v>
      </c>
      <c r="AQ106">
        <v>3</v>
      </c>
      <c r="AR106">
        <v>1.18E-2</v>
      </c>
      <c r="AS106">
        <v>7.0694017835294707</v>
      </c>
      <c r="AT106">
        <v>810.88622925694676</v>
      </c>
      <c r="AU106">
        <v>0.42399999999999999</v>
      </c>
      <c r="AV106">
        <v>1.67E-2</v>
      </c>
      <c r="AW106">
        <v>20.798599999999993</v>
      </c>
      <c r="AX106">
        <v>1.67E-2</v>
      </c>
      <c r="BI106" s="2">
        <v>45681</v>
      </c>
      <c r="BJ106" t="s">
        <v>1104</v>
      </c>
      <c r="BK106">
        <v>4</v>
      </c>
      <c r="BL106">
        <v>1.7399999999999999E-2</v>
      </c>
      <c r="BM106">
        <v>7.3473021097267832</v>
      </c>
      <c r="BN106">
        <v>837.25897021307173</v>
      </c>
      <c r="BO106">
        <v>0.42399999999999999</v>
      </c>
      <c r="BP106">
        <v>2.1000000000000001E-2</v>
      </c>
      <c r="BQ106">
        <v>20.799199999999985</v>
      </c>
      <c r="BR106">
        <v>2.1000000000000001E-2</v>
      </c>
      <c r="BS106" s="2">
        <v>45681</v>
      </c>
      <c r="BT106" t="s">
        <v>1228</v>
      </c>
      <c r="BU106">
        <v>4</v>
      </c>
      <c r="BV106">
        <v>1.6299999999999999E-2</v>
      </c>
      <c r="BW106">
        <v>7.2181564320976062</v>
      </c>
      <c r="BX106">
        <v>720.73217947149692</v>
      </c>
      <c r="BY106">
        <v>0.42399999999999999</v>
      </c>
      <c r="BZ106">
        <v>1.9E-2</v>
      </c>
      <c r="CA106">
        <v>20.801999999999992</v>
      </c>
      <c r="CB106">
        <v>1.9E-2</v>
      </c>
      <c r="CM106" s="2">
        <v>45681</v>
      </c>
      <c r="CN106" t="s">
        <v>1466</v>
      </c>
      <c r="CO106">
        <v>5</v>
      </c>
      <c r="CP106">
        <v>1.6400000000000001E-2</v>
      </c>
      <c r="CQ106">
        <v>7.2180473604658646</v>
      </c>
      <c r="CR106">
        <v>720.72201399541859</v>
      </c>
      <c r="CS106">
        <v>0.42399999999999999</v>
      </c>
      <c r="CT106">
        <v>1.9E-2</v>
      </c>
      <c r="CU106">
        <v>20.801400000000001</v>
      </c>
      <c r="CV106">
        <v>1.9E-2</v>
      </c>
      <c r="CW106" s="2">
        <v>45681</v>
      </c>
      <c r="CX106" t="s">
        <v>1626</v>
      </c>
      <c r="CY106">
        <v>6</v>
      </c>
      <c r="CZ106">
        <v>1.61E-2</v>
      </c>
      <c r="DA106">
        <v>7.0670755978369364</v>
      </c>
      <c r="DB106">
        <v>706.65144571840244</v>
      </c>
      <c r="DC106">
        <v>0.42399999999999999</v>
      </c>
      <c r="DD106">
        <v>1.66E-2</v>
      </c>
      <c r="DE106">
        <v>21.203199999999981</v>
      </c>
      <c r="DF106">
        <v>1.66E-2</v>
      </c>
      <c r="DG106" s="2">
        <v>45681</v>
      </c>
      <c r="DH106" t="s">
        <v>1784</v>
      </c>
      <c r="DI106">
        <v>6</v>
      </c>
      <c r="DJ106">
        <v>1.5699999999999999E-2</v>
      </c>
      <c r="DK106">
        <v>7.2164088531652659</v>
      </c>
      <c r="DL106">
        <v>720.56930511500275</v>
      </c>
      <c r="DM106">
        <v>0.42399999999999999</v>
      </c>
      <c r="DN106">
        <v>1.9E-2</v>
      </c>
      <c r="DO106">
        <v>20.801899999999989</v>
      </c>
      <c r="DP106">
        <v>1.9E-2</v>
      </c>
    </row>
    <row r="107" spans="1:120" x14ac:dyDescent="0.3">
      <c r="A107" s="2">
        <v>45681</v>
      </c>
      <c r="B107" t="s">
        <v>293</v>
      </c>
      <c r="C107">
        <v>1</v>
      </c>
      <c r="D107">
        <v>1.7299999999999999E-2</v>
      </c>
      <c r="E107">
        <v>7.148614954712972</v>
      </c>
      <c r="F107">
        <v>714.250913779249</v>
      </c>
      <c r="G107">
        <v>0.42399999999999999</v>
      </c>
      <c r="H107">
        <v>1.7899999999999999E-2</v>
      </c>
      <c r="I107">
        <v>21.000589999999999</v>
      </c>
      <c r="J107">
        <v>1.7899999999999999E-2</v>
      </c>
      <c r="K107" s="2">
        <v>45681</v>
      </c>
      <c r="L107" t="s">
        <v>451</v>
      </c>
      <c r="M107">
        <v>1</v>
      </c>
      <c r="N107">
        <v>1.7600000000000001E-2</v>
      </c>
      <c r="O107">
        <v>7.1489596048504396</v>
      </c>
      <c r="P107">
        <v>714.28303517206098</v>
      </c>
      <c r="Q107">
        <v>0.42399999999999999</v>
      </c>
      <c r="R107">
        <v>1.7899999999999999E-2</v>
      </c>
      <c r="S107">
        <v>21.400760000000005</v>
      </c>
      <c r="T107">
        <v>1.7899999999999999E-2</v>
      </c>
      <c r="U107" s="2">
        <v>45681</v>
      </c>
      <c r="V107" t="s">
        <v>704</v>
      </c>
      <c r="W107">
        <v>2</v>
      </c>
      <c r="X107">
        <v>1.6E-2</v>
      </c>
      <c r="Y107">
        <v>7.3146426572295251</v>
      </c>
      <c r="Z107">
        <v>834.15958817108196</v>
      </c>
      <c r="AA107">
        <v>0.42399999999999999</v>
      </c>
      <c r="AB107">
        <v>2.0500000000000001E-2</v>
      </c>
      <c r="AC107">
        <v>21.001699999999985</v>
      </c>
      <c r="AD107">
        <v>2.0500000000000001E-2</v>
      </c>
      <c r="AO107" s="2">
        <v>45681</v>
      </c>
      <c r="AP107" t="s">
        <v>901</v>
      </c>
      <c r="AQ107">
        <v>3</v>
      </c>
      <c r="AR107">
        <v>1.26E-2</v>
      </c>
      <c r="AS107">
        <v>7.1488862146446968</v>
      </c>
      <c r="AT107">
        <v>818.42930176978177</v>
      </c>
      <c r="AU107">
        <v>0.42399999999999999</v>
      </c>
      <c r="AV107">
        <v>1.7899999999999999E-2</v>
      </c>
      <c r="AW107">
        <v>20.995800000000003</v>
      </c>
      <c r="AX107">
        <v>1.7899999999999999E-2</v>
      </c>
      <c r="BI107" s="2">
        <v>45681</v>
      </c>
      <c r="BJ107" t="s">
        <v>1105</v>
      </c>
      <c r="BK107">
        <v>4</v>
      </c>
      <c r="BL107">
        <v>1.7399999999999999E-2</v>
      </c>
      <c r="BM107">
        <v>7.3388557485343062</v>
      </c>
      <c r="BN107">
        <v>731.98135576339735</v>
      </c>
      <c r="BO107">
        <v>0.42399999999999999</v>
      </c>
      <c r="BP107">
        <v>2.0899999999999998E-2</v>
      </c>
      <c r="BQ107">
        <v>21.002499999999998</v>
      </c>
      <c r="BR107">
        <v>2.0899999999999998E-2</v>
      </c>
      <c r="BS107" s="2">
        <v>45681</v>
      </c>
      <c r="BT107" t="s">
        <v>1229</v>
      </c>
      <c r="BU107">
        <v>4</v>
      </c>
      <c r="BV107">
        <v>1.6299999999999999E-2</v>
      </c>
      <c r="BW107">
        <v>7.1488132299097016</v>
      </c>
      <c r="BX107">
        <v>714.26939302758421</v>
      </c>
      <c r="BY107">
        <v>0.42399999999999999</v>
      </c>
      <c r="BZ107">
        <v>1.7899999999999999E-2</v>
      </c>
      <c r="CA107">
        <v>21.003199999999993</v>
      </c>
      <c r="CB107">
        <v>1.7899999999999999E-2</v>
      </c>
      <c r="CM107" s="2">
        <v>45681</v>
      </c>
      <c r="CN107" t="s">
        <v>1467</v>
      </c>
      <c r="CO107">
        <v>5</v>
      </c>
      <c r="CP107">
        <v>1.6299999999999999E-2</v>
      </c>
      <c r="CQ107">
        <v>7.149644850417876</v>
      </c>
      <c r="CR107">
        <v>714.34690005894606</v>
      </c>
      <c r="CS107">
        <v>0.42399999999999999</v>
      </c>
      <c r="CT107">
        <v>1.7899999999999999E-2</v>
      </c>
      <c r="CU107">
        <v>21.000100000000032</v>
      </c>
      <c r="CV107">
        <v>1.7899999999999999E-2</v>
      </c>
      <c r="CW107" s="2">
        <v>45681</v>
      </c>
      <c r="CX107" t="s">
        <v>1627</v>
      </c>
      <c r="CY107">
        <v>6</v>
      </c>
      <c r="CZ107">
        <v>1.61E-2</v>
      </c>
      <c r="DA107">
        <v>6.9771482675564176</v>
      </c>
      <c r="DB107">
        <v>698.27021853625808</v>
      </c>
      <c r="DC107">
        <v>0.42399999999999999</v>
      </c>
      <c r="DD107">
        <v>1.52E-2</v>
      </c>
      <c r="DE107">
        <v>21.40179999999998</v>
      </c>
      <c r="DF107">
        <v>1.52E-2</v>
      </c>
      <c r="DG107" s="2">
        <v>45681</v>
      </c>
      <c r="DH107" t="s">
        <v>1785</v>
      </c>
      <c r="DI107">
        <v>6</v>
      </c>
      <c r="DJ107">
        <v>1.5699999999999999E-2</v>
      </c>
      <c r="DK107">
        <v>7.1480655418467727</v>
      </c>
      <c r="DL107">
        <v>714.19970850011919</v>
      </c>
      <c r="DM107">
        <v>0.42399999999999999</v>
      </c>
      <c r="DN107">
        <v>1.7899999999999999E-2</v>
      </c>
      <c r="DO107">
        <v>20.999500000000012</v>
      </c>
      <c r="DP107">
        <v>1.7899999999999999E-2</v>
      </c>
    </row>
    <row r="108" spans="1:120" x14ac:dyDescent="0.3">
      <c r="A108" s="2">
        <v>45681</v>
      </c>
      <c r="B108" t="s">
        <v>294</v>
      </c>
      <c r="C108">
        <v>1</v>
      </c>
      <c r="D108">
        <v>1.7299999999999999E-2</v>
      </c>
      <c r="E108">
        <v>7.0684027036015644</v>
      </c>
      <c r="F108">
        <v>706.77513197566577</v>
      </c>
      <c r="G108">
        <v>0.42399999999999999</v>
      </c>
      <c r="H108">
        <v>1.67E-2</v>
      </c>
      <c r="I108">
        <v>21.199349999999999</v>
      </c>
      <c r="J108">
        <v>1.67E-2</v>
      </c>
      <c r="K108" s="2">
        <v>45681</v>
      </c>
      <c r="L108" t="s">
        <v>452</v>
      </c>
      <c r="M108">
        <v>1</v>
      </c>
      <c r="N108">
        <v>1.7600000000000001E-2</v>
      </c>
      <c r="O108">
        <v>7.068574623199547</v>
      </c>
      <c r="P108">
        <v>706.79115488219782</v>
      </c>
      <c r="Q108">
        <v>0.42399999999999999</v>
      </c>
      <c r="R108">
        <v>1.67E-2</v>
      </c>
      <c r="S108">
        <v>21.600040000000007</v>
      </c>
      <c r="T108">
        <v>1.67E-2</v>
      </c>
      <c r="U108" s="2">
        <v>45681</v>
      </c>
      <c r="V108" t="s">
        <v>705</v>
      </c>
      <c r="W108">
        <v>2</v>
      </c>
      <c r="X108">
        <v>1.6400000000000001E-2</v>
      </c>
      <c r="Y108">
        <v>7.3390917325107861</v>
      </c>
      <c r="Z108">
        <v>836.47980541527363</v>
      </c>
      <c r="AA108">
        <v>0.42399999999999999</v>
      </c>
      <c r="AB108">
        <v>2.0899999999999998E-2</v>
      </c>
      <c r="AC108">
        <v>21.200499999999991</v>
      </c>
      <c r="AD108">
        <v>2.0899999999999998E-2</v>
      </c>
      <c r="AO108" s="2">
        <v>45681</v>
      </c>
      <c r="AP108" t="s">
        <v>902</v>
      </c>
      <c r="AQ108">
        <v>3</v>
      </c>
      <c r="AR108">
        <v>1.4E-2</v>
      </c>
      <c r="AS108">
        <v>7.2179378833633754</v>
      </c>
      <c r="AT108">
        <v>824.98230513118438</v>
      </c>
      <c r="AU108">
        <v>0.42399999999999999</v>
      </c>
      <c r="AV108">
        <v>1.9E-2</v>
      </c>
      <c r="AW108">
        <v>21.196100000000001</v>
      </c>
      <c r="AX108">
        <v>1.9E-2</v>
      </c>
      <c r="BI108" s="2">
        <v>45681</v>
      </c>
      <c r="BJ108" t="s">
        <v>1106</v>
      </c>
      <c r="BK108">
        <v>4</v>
      </c>
      <c r="BL108">
        <v>1.7399999999999999E-2</v>
      </c>
      <c r="BM108">
        <v>7.3141321695553208</v>
      </c>
      <c r="BN108">
        <v>729.6771182025559</v>
      </c>
      <c r="BO108">
        <v>0.42399999999999999</v>
      </c>
      <c r="BP108">
        <v>2.0500000000000001E-2</v>
      </c>
      <c r="BQ108">
        <v>21.201599999999985</v>
      </c>
      <c r="BR108">
        <v>2.0500000000000001E-2</v>
      </c>
      <c r="BS108" s="2">
        <v>45681</v>
      </c>
      <c r="BT108" t="s">
        <v>1230</v>
      </c>
      <c r="BU108">
        <v>4</v>
      </c>
      <c r="BV108">
        <v>1.6299999999999999E-2</v>
      </c>
      <c r="BW108">
        <v>7.0694601713174681</v>
      </c>
      <c r="BX108">
        <v>706.873687966788</v>
      </c>
      <c r="BY108">
        <v>0.42399999999999999</v>
      </c>
      <c r="BZ108">
        <v>1.67E-2</v>
      </c>
      <c r="CA108">
        <v>21.199999999999989</v>
      </c>
      <c r="CB108">
        <v>1.67E-2</v>
      </c>
      <c r="CM108" s="2">
        <v>45681</v>
      </c>
      <c r="CN108" t="s">
        <v>1468</v>
      </c>
      <c r="CO108">
        <v>5</v>
      </c>
      <c r="CP108">
        <v>1.6299999999999999E-2</v>
      </c>
      <c r="CQ108">
        <v>7.0683678331170654</v>
      </c>
      <c r="CR108">
        <v>706.77188204651054</v>
      </c>
      <c r="CS108">
        <v>0.42399999999999999</v>
      </c>
      <c r="CT108">
        <v>1.67E-2</v>
      </c>
      <c r="CU108">
        <v>21.201600000000042</v>
      </c>
      <c r="CV108">
        <v>1.67E-2</v>
      </c>
      <c r="CW108" s="2">
        <v>45681</v>
      </c>
      <c r="CX108" t="s">
        <v>1628</v>
      </c>
      <c r="CY108">
        <v>6</v>
      </c>
      <c r="CZ108">
        <v>1.61E-2</v>
      </c>
      <c r="DA108">
        <v>6.8795733534608479</v>
      </c>
      <c r="DB108">
        <v>689.17623654255101</v>
      </c>
      <c r="DC108">
        <v>0.42399999999999999</v>
      </c>
      <c r="DD108">
        <v>1.37E-2</v>
      </c>
      <c r="DE108">
        <v>21.600799999999992</v>
      </c>
      <c r="DF108">
        <v>1.37E-2</v>
      </c>
      <c r="DG108" s="2">
        <v>45681</v>
      </c>
      <c r="DH108" t="s">
        <v>1786</v>
      </c>
      <c r="DI108">
        <v>6</v>
      </c>
      <c r="DJ108">
        <v>1.5599999999999999E-2</v>
      </c>
      <c r="DK108">
        <v>7.0661077391567737</v>
      </c>
      <c r="DL108">
        <v>706.56124128941133</v>
      </c>
      <c r="DM108">
        <v>0.42399999999999999</v>
      </c>
      <c r="DN108">
        <v>1.66E-2</v>
      </c>
      <c r="DO108">
        <v>21.202200000000005</v>
      </c>
      <c r="DP108">
        <v>1.66E-2</v>
      </c>
    </row>
    <row r="109" spans="1:120" x14ac:dyDescent="0.3">
      <c r="A109" s="2">
        <v>45681</v>
      </c>
      <c r="B109" t="s">
        <v>295</v>
      </c>
      <c r="C109">
        <v>1</v>
      </c>
      <c r="D109">
        <v>1.72E-2</v>
      </c>
      <c r="E109">
        <v>6.9779125799200976</v>
      </c>
      <c r="F109">
        <v>698.34145244855313</v>
      </c>
      <c r="G109">
        <v>0.42399999999999999</v>
      </c>
      <c r="H109">
        <v>1.5299999999999999E-2</v>
      </c>
      <c r="I109">
        <v>21.399440000000002</v>
      </c>
      <c r="J109">
        <v>1.5299999999999999E-2</v>
      </c>
      <c r="K109" s="2">
        <v>45681</v>
      </c>
      <c r="L109" t="s">
        <v>453</v>
      </c>
      <c r="M109">
        <v>1</v>
      </c>
      <c r="N109">
        <v>1.7600000000000001E-2</v>
      </c>
      <c r="O109">
        <v>6.9769086343431894</v>
      </c>
      <c r="P109">
        <v>698.24788472078524</v>
      </c>
      <c r="Q109">
        <v>0.42399999999999999</v>
      </c>
      <c r="R109">
        <v>1.52E-2</v>
      </c>
      <c r="S109">
        <v>21.80265</v>
      </c>
      <c r="T109">
        <v>1.52E-2</v>
      </c>
      <c r="U109" s="2">
        <v>45681</v>
      </c>
      <c r="V109" t="s">
        <v>706</v>
      </c>
      <c r="W109">
        <v>2</v>
      </c>
      <c r="X109">
        <v>1.66E-2</v>
      </c>
      <c r="Y109">
        <v>7.3473025151975344</v>
      </c>
      <c r="Z109">
        <v>837.25900869224608</v>
      </c>
      <c r="AA109">
        <v>0.42399999999999999</v>
      </c>
      <c r="AB109">
        <v>2.1000000000000001E-2</v>
      </c>
      <c r="AC109">
        <v>21.399999999999991</v>
      </c>
      <c r="AD109">
        <v>2.1000000000000001E-2</v>
      </c>
      <c r="AO109" s="2">
        <v>45681</v>
      </c>
      <c r="AP109" t="s">
        <v>903</v>
      </c>
      <c r="AQ109">
        <v>3</v>
      </c>
      <c r="AR109">
        <v>1.5100000000000001E-2</v>
      </c>
      <c r="AS109">
        <v>7.2736556464695248</v>
      </c>
      <c r="AT109">
        <v>830.269920849958</v>
      </c>
      <c r="AU109">
        <v>0.42399999999999999</v>
      </c>
      <c r="AV109">
        <v>1.9900000000000001E-2</v>
      </c>
      <c r="AW109">
        <v>21.397099999999995</v>
      </c>
      <c r="AX109">
        <v>1.9900000000000001E-2</v>
      </c>
      <c r="BI109" s="2">
        <v>45681</v>
      </c>
      <c r="BJ109" t="s">
        <v>1107</v>
      </c>
      <c r="BK109">
        <v>4</v>
      </c>
      <c r="BL109">
        <v>1.7399999999999999E-2</v>
      </c>
      <c r="BM109">
        <v>7.2736301018122766</v>
      </c>
      <c r="BN109">
        <v>725.90232548890424</v>
      </c>
      <c r="BO109">
        <v>0.42399999999999999</v>
      </c>
      <c r="BP109">
        <v>1.9900000000000001E-2</v>
      </c>
      <c r="BQ109">
        <v>21.401099999999985</v>
      </c>
      <c r="BR109">
        <v>1.9900000000000001E-2</v>
      </c>
      <c r="BS109" s="2">
        <v>45681</v>
      </c>
      <c r="BT109" t="s">
        <v>1231</v>
      </c>
      <c r="BU109">
        <v>4</v>
      </c>
      <c r="BV109">
        <v>1.6299999999999999E-2</v>
      </c>
      <c r="BW109">
        <v>6.9790933107439894</v>
      </c>
      <c r="BX109">
        <v>698.4514965613397</v>
      </c>
      <c r="BY109">
        <v>0.42399999999999999</v>
      </c>
      <c r="BZ109">
        <v>1.5299999999999999E-2</v>
      </c>
      <c r="CA109">
        <v>21.400000000000006</v>
      </c>
      <c r="CB109">
        <v>1.5299999999999999E-2</v>
      </c>
      <c r="CM109" s="2">
        <v>45681</v>
      </c>
      <c r="CN109" t="s">
        <v>1469</v>
      </c>
      <c r="CO109">
        <v>5</v>
      </c>
      <c r="CP109">
        <v>1.6400000000000001E-2</v>
      </c>
      <c r="CQ109">
        <v>6.9777702596868609</v>
      </c>
      <c r="CR109">
        <v>698.32818820281545</v>
      </c>
      <c r="CS109">
        <v>0.42399999999999999</v>
      </c>
      <c r="CT109">
        <v>1.5299999999999999E-2</v>
      </c>
      <c r="CU109">
        <v>21.402000000000044</v>
      </c>
      <c r="CV109">
        <v>1.5299999999999999E-2</v>
      </c>
      <c r="CW109" s="2">
        <v>45681</v>
      </c>
      <c r="CX109" t="s">
        <v>1629</v>
      </c>
      <c r="CY109">
        <v>6</v>
      </c>
      <c r="CZ109">
        <v>1.61E-2</v>
      </c>
      <c r="DA109">
        <v>6.7764041594280444</v>
      </c>
      <c r="DB109">
        <v>679.56086765869372</v>
      </c>
      <c r="DC109">
        <v>0.42399999999999999</v>
      </c>
      <c r="DD109">
        <v>1.21E-2</v>
      </c>
      <c r="DE109">
        <v>21.800900000000013</v>
      </c>
      <c r="DF109">
        <v>1.21E-2</v>
      </c>
      <c r="DG109" s="2">
        <v>45681</v>
      </c>
      <c r="DH109" t="s">
        <v>1787</v>
      </c>
      <c r="DI109">
        <v>6</v>
      </c>
      <c r="DJ109">
        <v>1.5599999999999999E-2</v>
      </c>
      <c r="DK109">
        <v>6.9754302879888241</v>
      </c>
      <c r="DL109">
        <v>698.1101028405584</v>
      </c>
      <c r="DM109">
        <v>0.42399999999999999</v>
      </c>
      <c r="DN109">
        <v>1.52E-2</v>
      </c>
      <c r="DO109">
        <v>21.402199999999993</v>
      </c>
      <c r="DP109">
        <v>1.52E-2</v>
      </c>
    </row>
    <row r="110" spans="1:120" x14ac:dyDescent="0.3">
      <c r="A110" s="2">
        <v>45681</v>
      </c>
      <c r="B110" t="s">
        <v>296</v>
      </c>
      <c r="C110">
        <v>1</v>
      </c>
      <c r="D110">
        <v>1.6899999999999998E-2</v>
      </c>
      <c r="E110">
        <v>6.8795733534608479</v>
      </c>
      <c r="F110">
        <v>689.17623654255101</v>
      </c>
      <c r="G110">
        <v>0.42399999999999999</v>
      </c>
      <c r="H110">
        <v>1.37E-2</v>
      </c>
      <c r="I110">
        <v>21.600109999999997</v>
      </c>
      <c r="J110">
        <v>1.37E-2</v>
      </c>
      <c r="K110" s="2">
        <v>45681</v>
      </c>
      <c r="L110" t="s">
        <v>454</v>
      </c>
      <c r="M110">
        <v>1</v>
      </c>
      <c r="N110">
        <v>1.72E-2</v>
      </c>
      <c r="O110">
        <v>6.8800732988955531</v>
      </c>
      <c r="P110">
        <v>689.22283145706558</v>
      </c>
      <c r="Q110">
        <v>0.42399999999999999</v>
      </c>
      <c r="R110">
        <v>1.37E-2</v>
      </c>
      <c r="S110">
        <v>22.000209999999996</v>
      </c>
      <c r="T110">
        <v>1.37E-2</v>
      </c>
      <c r="U110" s="2">
        <v>45681</v>
      </c>
      <c r="V110" t="s">
        <v>707</v>
      </c>
      <c r="W110">
        <v>2</v>
      </c>
      <c r="X110">
        <v>1.67E-2</v>
      </c>
      <c r="Y110">
        <v>7.3389887429402956</v>
      </c>
      <c r="Z110">
        <v>731.99375084203552</v>
      </c>
      <c r="AA110">
        <v>0.42399999999999999</v>
      </c>
      <c r="AB110">
        <v>2.0899999999999998E-2</v>
      </c>
      <c r="AC110">
        <v>21.599100000000007</v>
      </c>
      <c r="AD110">
        <v>2.0899999999999998E-2</v>
      </c>
      <c r="AO110" s="2">
        <v>45681</v>
      </c>
      <c r="AP110" t="s">
        <v>904</v>
      </c>
      <c r="AQ110">
        <v>3</v>
      </c>
      <c r="AR110">
        <v>1.61E-2</v>
      </c>
      <c r="AS110">
        <v>7.3142834101450571</v>
      </c>
      <c r="AT110">
        <v>834.12549562276592</v>
      </c>
      <c r="AU110">
        <v>0.42399999999999999</v>
      </c>
      <c r="AV110">
        <v>2.0500000000000001E-2</v>
      </c>
      <c r="AW110">
        <v>21.597399999999993</v>
      </c>
      <c r="AX110">
        <v>2.0500000000000001E-2</v>
      </c>
      <c r="BI110" s="2">
        <v>45681</v>
      </c>
      <c r="BJ110" t="s">
        <v>1108</v>
      </c>
      <c r="BK110">
        <v>4</v>
      </c>
      <c r="BL110">
        <v>1.7399999999999999E-2</v>
      </c>
      <c r="BM110">
        <v>7.2185047314718247</v>
      </c>
      <c r="BN110">
        <v>720.7646409731741</v>
      </c>
      <c r="BO110">
        <v>0.42399999999999999</v>
      </c>
      <c r="BP110">
        <v>1.9E-2</v>
      </c>
      <c r="BQ110">
        <v>21.600099999999998</v>
      </c>
      <c r="BR110">
        <v>1.9E-2</v>
      </c>
      <c r="BS110" s="2">
        <v>45681</v>
      </c>
      <c r="BT110" t="s">
        <v>1232</v>
      </c>
      <c r="BU110">
        <v>4</v>
      </c>
      <c r="BV110">
        <v>1.6199999999999999E-2</v>
      </c>
      <c r="BW110">
        <v>6.8807767906467383</v>
      </c>
      <c r="BX110">
        <v>689.288396888276</v>
      </c>
      <c r="BY110">
        <v>0.42399999999999999</v>
      </c>
      <c r="BZ110">
        <v>1.38E-2</v>
      </c>
      <c r="CA110">
        <v>21.600799999999992</v>
      </c>
      <c r="CB110">
        <v>1.38E-2</v>
      </c>
      <c r="CM110" s="2">
        <v>45681</v>
      </c>
      <c r="CN110" t="s">
        <v>1470</v>
      </c>
      <c r="CO110">
        <v>5</v>
      </c>
      <c r="CP110">
        <v>1.6299999999999999E-2</v>
      </c>
      <c r="CQ110">
        <v>6.8805509434390082</v>
      </c>
      <c r="CR110">
        <v>689.26734792851562</v>
      </c>
      <c r="CS110">
        <v>0.42399999999999999</v>
      </c>
      <c r="CT110">
        <v>1.37E-2</v>
      </c>
      <c r="CU110">
        <v>21.600400000000036</v>
      </c>
      <c r="CV110">
        <v>1.37E-2</v>
      </c>
      <c r="CW110" s="2">
        <v>45681</v>
      </c>
      <c r="CX110" t="s">
        <v>1630</v>
      </c>
      <c r="CY110">
        <v>6</v>
      </c>
      <c r="CZ110">
        <v>1.5699999999999999E-2</v>
      </c>
      <c r="DA110">
        <v>6.6694855773703292</v>
      </c>
      <c r="DB110">
        <v>669.59605581091466</v>
      </c>
      <c r="DC110">
        <v>0.42399999999999999</v>
      </c>
      <c r="DD110">
        <v>1.0500000000000001E-2</v>
      </c>
      <c r="DE110">
        <v>22.003100000000018</v>
      </c>
      <c r="DF110">
        <v>1.0500000000000001E-2</v>
      </c>
      <c r="DG110" s="2">
        <v>45681</v>
      </c>
      <c r="DH110" t="s">
        <v>1788</v>
      </c>
      <c r="DI110">
        <v>6</v>
      </c>
      <c r="DJ110">
        <v>1.5599999999999999E-2</v>
      </c>
      <c r="DK110">
        <v>6.8775253207027864</v>
      </c>
      <c r="DL110">
        <v>688.9853598894997</v>
      </c>
      <c r="DM110">
        <v>0.42399999999999999</v>
      </c>
      <c r="DN110">
        <v>1.37E-2</v>
      </c>
      <c r="DO110">
        <v>21.601699999999994</v>
      </c>
      <c r="DP110">
        <v>1.37E-2</v>
      </c>
    </row>
    <row r="111" spans="1:120" x14ac:dyDescent="0.3">
      <c r="A111" s="2">
        <v>45681</v>
      </c>
      <c r="B111" t="s">
        <v>297</v>
      </c>
      <c r="C111">
        <v>1</v>
      </c>
      <c r="D111">
        <v>1.6299999999999999E-2</v>
      </c>
      <c r="E111">
        <v>6.7761401979698173</v>
      </c>
      <c r="F111">
        <v>679.53626645078702</v>
      </c>
      <c r="G111">
        <v>0.42399999999999999</v>
      </c>
      <c r="H111">
        <v>1.21E-2</v>
      </c>
      <c r="I111">
        <v>21.80067</v>
      </c>
      <c r="J111">
        <v>1.21E-2</v>
      </c>
      <c r="K111" s="2">
        <v>45681</v>
      </c>
      <c r="L111" t="s">
        <v>455</v>
      </c>
      <c r="M111">
        <v>1</v>
      </c>
      <c r="N111">
        <v>1.66E-2</v>
      </c>
      <c r="O111">
        <v>6.7760518053463246</v>
      </c>
      <c r="P111">
        <v>679.52802825827757</v>
      </c>
      <c r="Q111">
        <v>0.42399999999999999</v>
      </c>
      <c r="R111">
        <v>1.21E-2</v>
      </c>
      <c r="S111">
        <v>22.201920000000001</v>
      </c>
      <c r="T111">
        <v>1.21E-2</v>
      </c>
      <c r="U111" s="2">
        <v>45681</v>
      </c>
      <c r="V111" t="s">
        <v>708</v>
      </c>
      <c r="W111">
        <v>3</v>
      </c>
      <c r="X111">
        <v>1.66E-2</v>
      </c>
      <c r="Y111">
        <v>7.3139793070825831</v>
      </c>
      <c r="Z111">
        <v>729.66287142009674</v>
      </c>
      <c r="AA111">
        <v>0.42399999999999999</v>
      </c>
      <c r="AB111">
        <v>2.0500000000000001E-2</v>
      </c>
      <c r="AC111">
        <v>21.800699999999992</v>
      </c>
      <c r="AD111">
        <v>2.0500000000000001E-2</v>
      </c>
      <c r="AO111" s="2">
        <v>45681</v>
      </c>
      <c r="AP111" t="s">
        <v>905</v>
      </c>
      <c r="AQ111">
        <v>3</v>
      </c>
      <c r="AR111">
        <v>1.66E-2</v>
      </c>
      <c r="AS111">
        <v>7.3389668475197967</v>
      </c>
      <c r="AT111">
        <v>836.46795382962875</v>
      </c>
      <c r="AU111">
        <v>0.42399999999999999</v>
      </c>
      <c r="AV111">
        <v>2.0899999999999998E-2</v>
      </c>
      <c r="AW111">
        <v>21.796899999999994</v>
      </c>
      <c r="AX111">
        <v>2.0899999999999998E-2</v>
      </c>
      <c r="BI111" s="2">
        <v>45681</v>
      </c>
      <c r="BJ111" t="s">
        <v>1109</v>
      </c>
      <c r="BK111">
        <v>4</v>
      </c>
      <c r="BL111">
        <v>1.7399999999999999E-2</v>
      </c>
      <c r="BM111">
        <v>7.1493131753444077</v>
      </c>
      <c r="BN111">
        <v>714.31598794209879</v>
      </c>
      <c r="BO111">
        <v>0.42399999999999999</v>
      </c>
      <c r="BP111">
        <v>1.7899999999999999E-2</v>
      </c>
      <c r="BQ111">
        <v>21.801199999999994</v>
      </c>
      <c r="BR111">
        <v>1.7899999999999999E-2</v>
      </c>
      <c r="BS111" s="2">
        <v>45681</v>
      </c>
      <c r="BT111" t="s">
        <v>1233</v>
      </c>
      <c r="BU111">
        <v>4</v>
      </c>
      <c r="BV111">
        <v>1.6199999999999999E-2</v>
      </c>
      <c r="BW111">
        <v>6.7781115967561352</v>
      </c>
      <c r="BX111">
        <v>679.7200008176718</v>
      </c>
      <c r="BY111">
        <v>0.42399999999999999</v>
      </c>
      <c r="BZ111">
        <v>1.2200000000000001E-2</v>
      </c>
      <c r="CA111">
        <v>21.800000000000011</v>
      </c>
      <c r="CB111">
        <v>1.2200000000000001E-2</v>
      </c>
      <c r="CM111" s="2">
        <v>45681</v>
      </c>
      <c r="CN111" t="s">
        <v>1471</v>
      </c>
      <c r="CO111">
        <v>5</v>
      </c>
      <c r="CP111">
        <v>1.6299999999999999E-2</v>
      </c>
      <c r="CQ111">
        <v>6.7766450090535217</v>
      </c>
      <c r="CR111">
        <v>679.58331484378823</v>
      </c>
      <c r="CS111">
        <v>0.42399999999999999</v>
      </c>
      <c r="CT111">
        <v>1.21E-2</v>
      </c>
      <c r="CU111">
        <v>21.801900000000046</v>
      </c>
      <c r="CV111">
        <v>1.21E-2</v>
      </c>
      <c r="CW111" s="2">
        <v>45681</v>
      </c>
      <c r="CX111" t="s">
        <v>1631</v>
      </c>
      <c r="CY111">
        <v>6</v>
      </c>
      <c r="CZ111">
        <v>1.4999999999999999E-2</v>
      </c>
      <c r="DA111">
        <v>6.5652751344516176</v>
      </c>
      <c r="DB111">
        <v>659.88364253089082</v>
      </c>
      <c r="DC111">
        <v>0.42399999999999999</v>
      </c>
      <c r="DD111">
        <v>8.8000000000000005E-3</v>
      </c>
      <c r="DE111">
        <v>22.200300000000027</v>
      </c>
      <c r="DF111">
        <v>8.8000000000000005E-3</v>
      </c>
      <c r="DG111" s="2">
        <v>45681</v>
      </c>
      <c r="DH111" t="s">
        <v>1789</v>
      </c>
      <c r="DI111">
        <v>6</v>
      </c>
      <c r="DJ111">
        <v>1.55E-2</v>
      </c>
      <c r="DK111">
        <v>6.775327229116141</v>
      </c>
      <c r="DL111">
        <v>679.4604977536244</v>
      </c>
      <c r="DM111">
        <v>0.42399999999999999</v>
      </c>
      <c r="DN111">
        <v>1.21E-2</v>
      </c>
      <c r="DO111">
        <v>21.79970000000003</v>
      </c>
      <c r="DP111">
        <v>1.21E-2</v>
      </c>
    </row>
    <row r="112" spans="1:120" x14ac:dyDescent="0.3">
      <c r="A112" s="2">
        <v>45681</v>
      </c>
      <c r="B112" t="s">
        <v>298</v>
      </c>
      <c r="C112">
        <v>1</v>
      </c>
      <c r="D112">
        <v>1.5599999999999999E-2</v>
      </c>
      <c r="E112">
        <v>6.6711930146984244</v>
      </c>
      <c r="F112">
        <v>669.75518896989308</v>
      </c>
      <c r="G112">
        <v>0.42399999999999999</v>
      </c>
      <c r="H112">
        <v>1.0500000000000001E-2</v>
      </c>
      <c r="I112">
        <v>21.999190000000002</v>
      </c>
      <c r="J112">
        <v>1.0500000000000001E-2</v>
      </c>
      <c r="K112" s="2">
        <v>45681</v>
      </c>
      <c r="L112" t="s">
        <v>456</v>
      </c>
      <c r="M112">
        <v>1</v>
      </c>
      <c r="N112">
        <v>1.5900000000000001E-2</v>
      </c>
      <c r="O112">
        <v>6.671080699300683</v>
      </c>
      <c r="P112">
        <v>669.74472117482367</v>
      </c>
      <c r="Q112">
        <v>0.42399999999999999</v>
      </c>
      <c r="R112">
        <v>1.0500000000000001E-2</v>
      </c>
      <c r="S112">
        <v>22.400490000000005</v>
      </c>
      <c r="T112">
        <v>1.0500000000000001E-2</v>
      </c>
      <c r="U112" s="2">
        <v>45681</v>
      </c>
      <c r="V112" t="s">
        <v>709</v>
      </c>
      <c r="W112">
        <v>3</v>
      </c>
      <c r="X112">
        <v>1.67E-2</v>
      </c>
      <c r="Y112">
        <v>7.2732862626163088</v>
      </c>
      <c r="Z112">
        <v>725.87027967584004</v>
      </c>
      <c r="AA112">
        <v>0.42399999999999999</v>
      </c>
      <c r="AB112">
        <v>1.9800000000000002E-2</v>
      </c>
      <c r="AC112">
        <v>22.000699999999981</v>
      </c>
      <c r="AD112">
        <v>1.9800000000000002E-2</v>
      </c>
      <c r="AO112" s="2">
        <v>45681</v>
      </c>
      <c r="AP112" t="s">
        <v>906</v>
      </c>
      <c r="AQ112">
        <v>3</v>
      </c>
      <c r="AR112">
        <v>1.72E-2</v>
      </c>
      <c r="AS112">
        <v>7.3473025151975344</v>
      </c>
      <c r="AT112">
        <v>837.25900869224608</v>
      </c>
      <c r="AU112">
        <v>0.42399999999999999</v>
      </c>
      <c r="AV112">
        <v>2.1000000000000001E-2</v>
      </c>
      <c r="AW112">
        <v>21.998399999999975</v>
      </c>
      <c r="AX112">
        <v>2.1000000000000001E-2</v>
      </c>
      <c r="BI112" s="2">
        <v>45681</v>
      </c>
      <c r="BJ112" t="s">
        <v>1110</v>
      </c>
      <c r="BK112">
        <v>4</v>
      </c>
      <c r="BL112">
        <v>1.7299999999999999E-2</v>
      </c>
      <c r="BM112">
        <v>7.0690644318655016</v>
      </c>
      <c r="BN112">
        <v>706.83680504986489</v>
      </c>
      <c r="BO112">
        <v>0.42399999999999999</v>
      </c>
      <c r="BP112">
        <v>1.67E-2</v>
      </c>
      <c r="BQ112">
        <v>22.000199999999978</v>
      </c>
      <c r="BR112">
        <v>1.67E-2</v>
      </c>
      <c r="BS112" s="2">
        <v>45681</v>
      </c>
      <c r="BT112" t="s">
        <v>1234</v>
      </c>
      <c r="BU112">
        <v>4</v>
      </c>
      <c r="BV112">
        <v>1.6E-2</v>
      </c>
      <c r="BW112">
        <v>6.6715445578386419</v>
      </c>
      <c r="BX112">
        <v>669.78795279056146</v>
      </c>
      <c r="BY112">
        <v>0.42399999999999999</v>
      </c>
      <c r="BZ112">
        <v>1.0500000000000001E-2</v>
      </c>
      <c r="CA112">
        <v>22.001599999999996</v>
      </c>
      <c r="CB112">
        <v>1.0500000000000001E-2</v>
      </c>
      <c r="CM112" s="2">
        <v>45681</v>
      </c>
      <c r="CN112" t="s">
        <v>1472</v>
      </c>
      <c r="CO112">
        <v>5</v>
      </c>
      <c r="CP112">
        <v>1.5900000000000001E-2</v>
      </c>
      <c r="CQ112">
        <v>6.670461545465491</v>
      </c>
      <c r="CR112">
        <v>669.68701603738373</v>
      </c>
      <c r="CS112">
        <v>0.42399999999999999</v>
      </c>
      <c r="CT112">
        <v>1.0500000000000001E-2</v>
      </c>
      <c r="CU112">
        <v>22.002800000000036</v>
      </c>
      <c r="CV112">
        <v>1.0500000000000001E-2</v>
      </c>
      <c r="CW112" s="2">
        <v>45681</v>
      </c>
      <c r="CX112" t="s">
        <v>1632</v>
      </c>
      <c r="CY112">
        <v>6</v>
      </c>
      <c r="CZ112">
        <v>1.43E-2</v>
      </c>
      <c r="DA112">
        <v>6.4619011776900814</v>
      </c>
      <c r="DB112">
        <v>650.24918976071558</v>
      </c>
      <c r="DC112">
        <v>0.42399999999999999</v>
      </c>
      <c r="DD112">
        <v>7.1999999999999998E-3</v>
      </c>
      <c r="DE112">
        <v>22.400899999999979</v>
      </c>
      <c r="DF112">
        <v>7.1999999999999998E-3</v>
      </c>
      <c r="DG112" s="2">
        <v>45681</v>
      </c>
      <c r="DH112" t="s">
        <v>1790</v>
      </c>
      <c r="DI112">
        <v>6</v>
      </c>
      <c r="DJ112">
        <v>1.55E-2</v>
      </c>
      <c r="DK112">
        <v>6.6695918107068186</v>
      </c>
      <c r="DL112">
        <v>669.60595675787556</v>
      </c>
      <c r="DM112">
        <v>0.42399999999999999</v>
      </c>
      <c r="DN112">
        <v>1.0500000000000001E-2</v>
      </c>
      <c r="DO112">
        <v>21.999700000000018</v>
      </c>
      <c r="DP112">
        <v>1.0500000000000001E-2</v>
      </c>
    </row>
    <row r="113" spans="1:120" x14ac:dyDescent="0.3">
      <c r="A113" s="2">
        <v>45681</v>
      </c>
      <c r="B113" t="s">
        <v>299</v>
      </c>
      <c r="C113">
        <v>1</v>
      </c>
      <c r="D113">
        <v>1.43E-2</v>
      </c>
      <c r="E113">
        <v>6.565729261691577</v>
      </c>
      <c r="F113">
        <v>659.92596718965501</v>
      </c>
      <c r="G113">
        <v>0.42399999999999999</v>
      </c>
      <c r="H113">
        <v>8.8999999999999999E-3</v>
      </c>
      <c r="I113">
        <v>22.198719999999998</v>
      </c>
      <c r="J113">
        <v>8.8999999999999999E-3</v>
      </c>
      <c r="K113" s="2">
        <v>45681</v>
      </c>
      <c r="L113" t="s">
        <v>457</v>
      </c>
      <c r="M113">
        <v>1</v>
      </c>
      <c r="N113">
        <v>1.46E-2</v>
      </c>
      <c r="O113">
        <v>6.5647220723486699</v>
      </c>
      <c r="P113">
        <v>659.83209714289603</v>
      </c>
      <c r="Q113">
        <v>0.42399999999999999</v>
      </c>
      <c r="R113">
        <v>8.8000000000000005E-3</v>
      </c>
      <c r="S113">
        <v>22.601730000000003</v>
      </c>
      <c r="T113">
        <v>8.8000000000000005E-3</v>
      </c>
      <c r="U113" s="2">
        <v>45681</v>
      </c>
      <c r="V113" t="s">
        <v>710</v>
      </c>
      <c r="W113">
        <v>3</v>
      </c>
      <c r="X113">
        <v>1.66E-2</v>
      </c>
      <c r="Y113">
        <v>7.2180785817136126</v>
      </c>
      <c r="Z113">
        <v>720.72492381570873</v>
      </c>
      <c r="AA113">
        <v>0.42399999999999999</v>
      </c>
      <c r="AB113">
        <v>1.9E-2</v>
      </c>
      <c r="AC113">
        <v>22.199699999999993</v>
      </c>
      <c r="AD113">
        <v>1.9E-2</v>
      </c>
      <c r="AO113" s="2">
        <v>45681</v>
      </c>
      <c r="AP113" t="s">
        <v>907</v>
      </c>
      <c r="AQ113">
        <v>3</v>
      </c>
      <c r="AR113">
        <v>1.7299999999999999E-2</v>
      </c>
      <c r="AS113">
        <v>7.3390175313635408</v>
      </c>
      <c r="AT113">
        <v>731.99643392308201</v>
      </c>
      <c r="AU113">
        <v>0.42399999999999999</v>
      </c>
      <c r="AV113">
        <v>2.0899999999999998E-2</v>
      </c>
      <c r="AW113">
        <v>22.196699999999993</v>
      </c>
      <c r="AX113">
        <v>2.0899999999999998E-2</v>
      </c>
      <c r="BI113" s="2">
        <v>45681</v>
      </c>
      <c r="BJ113" t="s">
        <v>1111</v>
      </c>
      <c r="BK113">
        <v>4</v>
      </c>
      <c r="BL113">
        <v>1.7299999999999999E-2</v>
      </c>
      <c r="BM113">
        <v>6.9784368535998</v>
      </c>
      <c r="BN113">
        <v>698.39031475550144</v>
      </c>
      <c r="BO113">
        <v>0.42399999999999999</v>
      </c>
      <c r="BP113">
        <v>1.5299999999999999E-2</v>
      </c>
      <c r="BQ113">
        <v>22.200699999999983</v>
      </c>
      <c r="BR113">
        <v>1.5299999999999999E-2</v>
      </c>
      <c r="BS113" s="2">
        <v>45681</v>
      </c>
      <c r="BT113" t="s">
        <v>1235</v>
      </c>
      <c r="BU113">
        <v>4</v>
      </c>
      <c r="BV113">
        <v>1.4800000000000001E-2</v>
      </c>
      <c r="BW113">
        <v>6.5650987546753843</v>
      </c>
      <c r="BX113">
        <v>659.86720393574581</v>
      </c>
      <c r="BY113">
        <v>0.42399999999999999</v>
      </c>
      <c r="BZ113">
        <v>8.8000000000000005E-3</v>
      </c>
      <c r="CA113">
        <v>22.203000000000003</v>
      </c>
      <c r="CB113">
        <v>8.8000000000000005E-3</v>
      </c>
      <c r="CM113" s="2">
        <v>45681</v>
      </c>
      <c r="CN113" t="s">
        <v>1473</v>
      </c>
      <c r="CO113">
        <v>5</v>
      </c>
      <c r="CP113">
        <v>1.4999999999999999E-2</v>
      </c>
      <c r="CQ113">
        <v>6.5647524826549164</v>
      </c>
      <c r="CR113">
        <v>659.83493138343817</v>
      </c>
      <c r="CS113">
        <v>0.42399999999999999</v>
      </c>
      <c r="CT113">
        <v>8.8000000000000005E-3</v>
      </c>
      <c r="CU113">
        <v>22.202800000000025</v>
      </c>
      <c r="CV113">
        <v>8.8000000000000005E-3</v>
      </c>
      <c r="CW113" s="2">
        <v>45681</v>
      </c>
      <c r="CX113" t="s">
        <v>1633</v>
      </c>
      <c r="CY113">
        <v>6</v>
      </c>
      <c r="CZ113">
        <v>1.2999999999999999E-2</v>
      </c>
      <c r="DA113">
        <v>6.364231342891947</v>
      </c>
      <c r="DB113">
        <v>641.14636115752944</v>
      </c>
      <c r="DC113">
        <v>0.42399999999999999</v>
      </c>
      <c r="DD113">
        <v>5.7000000000000002E-3</v>
      </c>
      <c r="DE113">
        <v>22.600300000000004</v>
      </c>
      <c r="DF113">
        <v>5.7000000000000002E-3</v>
      </c>
      <c r="DG113" s="2">
        <v>45681</v>
      </c>
      <c r="DH113" t="s">
        <v>1791</v>
      </c>
      <c r="DI113">
        <v>6</v>
      </c>
      <c r="DJ113">
        <v>1.47E-2</v>
      </c>
      <c r="DK113">
        <v>6.564107378691725</v>
      </c>
      <c r="DL113">
        <v>659.77480769406884</v>
      </c>
      <c r="DM113">
        <v>0.42399999999999999</v>
      </c>
      <c r="DN113">
        <v>8.8000000000000005E-3</v>
      </c>
      <c r="DO113">
        <v>22.199299999999994</v>
      </c>
      <c r="DP113">
        <v>8.8000000000000005E-3</v>
      </c>
    </row>
    <row r="114" spans="1:120" x14ac:dyDescent="0.3">
      <c r="A114" s="2">
        <v>45681</v>
      </c>
      <c r="B114" t="s">
        <v>300</v>
      </c>
      <c r="C114">
        <v>1</v>
      </c>
      <c r="D114">
        <v>1.29E-2</v>
      </c>
      <c r="E114">
        <v>6.4612406658383916</v>
      </c>
      <c r="F114">
        <v>650.18763005613812</v>
      </c>
      <c r="G114">
        <v>0.42399999999999999</v>
      </c>
      <c r="H114">
        <v>7.1999999999999998E-3</v>
      </c>
      <c r="I114">
        <v>22.401450000000001</v>
      </c>
      <c r="J114">
        <v>7.1999999999999998E-3</v>
      </c>
      <c r="K114" s="2">
        <v>45681</v>
      </c>
      <c r="L114" t="s">
        <v>458</v>
      </c>
      <c r="M114">
        <v>1</v>
      </c>
      <c r="N114">
        <v>1.26E-2</v>
      </c>
      <c r="O114">
        <v>6.4618513047878361</v>
      </c>
      <c r="P114">
        <v>650.24454160622633</v>
      </c>
      <c r="Q114">
        <v>0.42399999999999999</v>
      </c>
      <c r="R114">
        <v>7.1999999999999998E-3</v>
      </c>
      <c r="S114">
        <v>22.801330000000007</v>
      </c>
      <c r="T114">
        <v>7.1999999999999998E-3</v>
      </c>
      <c r="U114" s="2">
        <v>45681</v>
      </c>
      <c r="V114" t="s">
        <v>711</v>
      </c>
      <c r="W114">
        <v>3</v>
      </c>
      <c r="X114">
        <v>1.66E-2</v>
      </c>
      <c r="Y114">
        <v>7.1493983242018997</v>
      </c>
      <c r="Z114">
        <v>714.32392381561704</v>
      </c>
      <c r="AA114">
        <v>0.42399999999999999</v>
      </c>
      <c r="AB114">
        <v>1.7899999999999999E-2</v>
      </c>
      <c r="AC114">
        <v>22.39909999999999</v>
      </c>
      <c r="AD114">
        <v>1.7899999999999999E-2</v>
      </c>
      <c r="AO114" s="2">
        <v>45681</v>
      </c>
      <c r="AP114" t="s">
        <v>908</v>
      </c>
      <c r="AQ114">
        <v>3</v>
      </c>
      <c r="AR114">
        <v>1.7299999999999999E-2</v>
      </c>
      <c r="AS114">
        <v>7.3140579684080782</v>
      </c>
      <c r="AT114">
        <v>729.67020265563292</v>
      </c>
      <c r="AU114">
        <v>0.42399999999999999</v>
      </c>
      <c r="AV114">
        <v>2.0500000000000001E-2</v>
      </c>
      <c r="AW114">
        <v>22.398099999999999</v>
      </c>
      <c r="AX114">
        <v>2.0500000000000001E-2</v>
      </c>
      <c r="BI114" s="2">
        <v>45681</v>
      </c>
      <c r="BJ114" t="s">
        <v>1112</v>
      </c>
      <c r="BK114">
        <v>4</v>
      </c>
      <c r="BL114">
        <v>1.7299999999999999E-2</v>
      </c>
      <c r="BM114">
        <v>6.8797910912535789</v>
      </c>
      <c r="BN114">
        <v>689.19652970483355</v>
      </c>
      <c r="BO114">
        <v>0.42399999999999999</v>
      </c>
      <c r="BP114">
        <v>1.37E-2</v>
      </c>
      <c r="BQ114">
        <v>22.40209999999999</v>
      </c>
      <c r="BR114">
        <v>1.37E-2</v>
      </c>
      <c r="BS114" s="2">
        <v>45681</v>
      </c>
      <c r="BT114" t="s">
        <v>1236</v>
      </c>
      <c r="BU114">
        <v>4</v>
      </c>
      <c r="BV114">
        <v>1.3899999999999999E-2</v>
      </c>
      <c r="BW114">
        <v>6.4635453615811809</v>
      </c>
      <c r="BX114">
        <v>650.40242769936606</v>
      </c>
      <c r="BY114">
        <v>0.42399999999999999</v>
      </c>
      <c r="BZ114">
        <v>7.3000000000000001E-3</v>
      </c>
      <c r="CA114">
        <v>22.400000000000006</v>
      </c>
      <c r="CB114">
        <v>7.3000000000000001E-3</v>
      </c>
      <c r="CM114" s="2">
        <v>45681</v>
      </c>
      <c r="CN114" t="s">
        <v>1474</v>
      </c>
      <c r="CO114">
        <v>5</v>
      </c>
      <c r="CP114">
        <v>1.43E-2</v>
      </c>
      <c r="CQ114">
        <v>6.4628098376407488</v>
      </c>
      <c r="CR114">
        <v>650.33387686811784</v>
      </c>
      <c r="CS114">
        <v>0.42399999999999999</v>
      </c>
      <c r="CT114">
        <v>7.3000000000000001E-3</v>
      </c>
      <c r="CU114">
        <v>22.400500000000022</v>
      </c>
      <c r="CV114">
        <v>7.3000000000000001E-3</v>
      </c>
      <c r="CW114" s="2">
        <v>45681</v>
      </c>
      <c r="CX114" t="s">
        <v>1634</v>
      </c>
      <c r="CY114">
        <v>6</v>
      </c>
      <c r="CZ114">
        <v>1.0999999999999999E-2</v>
      </c>
      <c r="DA114">
        <v>6.2738545077380197</v>
      </c>
      <c r="DB114">
        <v>632.72324012118349</v>
      </c>
      <c r="DC114">
        <v>0.42399999999999999</v>
      </c>
      <c r="DD114">
        <v>4.3E-3</v>
      </c>
      <c r="DE114">
        <v>22.800299999999993</v>
      </c>
      <c r="DF114">
        <v>4.3E-3</v>
      </c>
      <c r="DG114" s="2">
        <v>45681</v>
      </c>
      <c r="DH114" t="s">
        <v>1792</v>
      </c>
      <c r="DI114">
        <v>6</v>
      </c>
      <c r="DJ114">
        <v>1.37E-2</v>
      </c>
      <c r="DK114">
        <v>6.4611595716884</v>
      </c>
      <c r="DL114">
        <v>650.18007208135896</v>
      </c>
      <c r="DM114">
        <v>0.42399999999999999</v>
      </c>
      <c r="DN114">
        <v>7.1999999999999998E-3</v>
      </c>
      <c r="DO114">
        <v>22.399100000000033</v>
      </c>
      <c r="DP114">
        <v>7.1999999999999998E-3</v>
      </c>
    </row>
    <row r="115" spans="1:120" x14ac:dyDescent="0.3">
      <c r="A115" s="2">
        <v>45681</v>
      </c>
      <c r="B115" t="s">
        <v>301</v>
      </c>
      <c r="C115">
        <v>1</v>
      </c>
      <c r="D115">
        <v>1.0999999999999999E-2</v>
      </c>
      <c r="E115">
        <v>6.3639936964853936</v>
      </c>
      <c r="F115">
        <v>641.1242125124387</v>
      </c>
      <c r="G115">
        <v>0.42399999999999999</v>
      </c>
      <c r="H115">
        <v>5.7000000000000002E-3</v>
      </c>
      <c r="I115">
        <v>22.600109999999997</v>
      </c>
      <c r="J115">
        <v>5.7000000000000002E-3</v>
      </c>
      <c r="U115" s="2">
        <v>45681</v>
      </c>
      <c r="V115" t="s">
        <v>712</v>
      </c>
      <c r="W115">
        <v>3</v>
      </c>
      <c r="X115">
        <v>1.66E-2</v>
      </c>
      <c r="Y115">
        <v>7.0682482192458282</v>
      </c>
      <c r="Z115">
        <v>706.76073403371117</v>
      </c>
      <c r="AA115">
        <v>0.42399999999999999</v>
      </c>
      <c r="AB115">
        <v>1.67E-2</v>
      </c>
      <c r="AC115">
        <v>22.60029999999999</v>
      </c>
      <c r="AD115">
        <v>1.67E-2</v>
      </c>
      <c r="AO115" s="2">
        <v>45681</v>
      </c>
      <c r="AP115" t="s">
        <v>909</v>
      </c>
      <c r="AQ115">
        <v>3</v>
      </c>
      <c r="AR115">
        <v>1.72E-2</v>
      </c>
      <c r="AS115">
        <v>7.2735263013002882</v>
      </c>
      <c r="AT115">
        <v>725.89265128118689</v>
      </c>
      <c r="AU115">
        <v>0.42399999999999999</v>
      </c>
      <c r="AV115">
        <v>1.9900000000000001E-2</v>
      </c>
      <c r="AW115">
        <v>22.5976</v>
      </c>
      <c r="AX115">
        <v>1.9900000000000001E-2</v>
      </c>
      <c r="BI115" s="2">
        <v>45681</v>
      </c>
      <c r="BJ115" t="s">
        <v>1113</v>
      </c>
      <c r="BK115">
        <v>4</v>
      </c>
      <c r="BL115">
        <v>1.72E-2</v>
      </c>
      <c r="BM115">
        <v>6.7781679571903801</v>
      </c>
      <c r="BN115">
        <v>679.72525361014345</v>
      </c>
      <c r="BO115">
        <v>0.42399999999999999</v>
      </c>
      <c r="BP115">
        <v>1.2200000000000001E-2</v>
      </c>
      <c r="BQ115">
        <v>22.599199999999996</v>
      </c>
      <c r="BR115">
        <v>1.2200000000000001E-2</v>
      </c>
      <c r="BS115" s="2">
        <v>45681</v>
      </c>
      <c r="BT115" t="s">
        <v>1237</v>
      </c>
      <c r="BU115">
        <v>4</v>
      </c>
      <c r="BV115">
        <v>1.2200000000000001E-2</v>
      </c>
      <c r="BW115">
        <v>6.3645498807131169</v>
      </c>
      <c r="BX115">
        <v>641.17604888246251</v>
      </c>
      <c r="BY115">
        <v>0.42399999999999999</v>
      </c>
      <c r="BZ115">
        <v>5.7000000000000002E-3</v>
      </c>
      <c r="CA115">
        <v>22.602000000000004</v>
      </c>
      <c r="CB115">
        <v>5.7000000000000002E-3</v>
      </c>
      <c r="CM115" s="2">
        <v>45681</v>
      </c>
      <c r="CN115" t="s">
        <v>1475</v>
      </c>
      <c r="CO115">
        <v>5</v>
      </c>
      <c r="CP115">
        <v>1.29E-2</v>
      </c>
      <c r="CQ115">
        <v>6.3647151911378774</v>
      </c>
      <c r="CR115">
        <v>641.19145581405019</v>
      </c>
      <c r="CS115">
        <v>0.42399999999999999</v>
      </c>
      <c r="CT115">
        <v>5.7000000000000002E-3</v>
      </c>
      <c r="CU115">
        <v>22.600800000000049</v>
      </c>
      <c r="CV115">
        <v>5.7000000000000002E-3</v>
      </c>
      <c r="DG115" s="2">
        <v>45681</v>
      </c>
      <c r="DH115" t="s">
        <v>1793</v>
      </c>
      <c r="DI115">
        <v>6</v>
      </c>
      <c r="DJ115">
        <v>1.23E-2</v>
      </c>
      <c r="DK115">
        <v>6.3620231086405754</v>
      </c>
      <c r="DL115">
        <v>640.94055372530158</v>
      </c>
      <c r="DM115">
        <v>0.42399999999999999</v>
      </c>
      <c r="DN115">
        <v>5.7000000000000002E-3</v>
      </c>
      <c r="DO115">
        <v>22.601800000000026</v>
      </c>
      <c r="DP115">
        <v>5.7000000000000002E-3</v>
      </c>
    </row>
    <row r="116" spans="1:120" x14ac:dyDescent="0.3">
      <c r="A116" s="2">
        <v>45681</v>
      </c>
      <c r="B116" t="s">
        <v>302</v>
      </c>
      <c r="C116">
        <v>1</v>
      </c>
      <c r="D116">
        <v>8.3000000000000001E-3</v>
      </c>
      <c r="E116">
        <v>6.2697647675655936</v>
      </c>
      <c r="F116">
        <v>632.34207633711333</v>
      </c>
      <c r="G116">
        <v>0.42399999999999999</v>
      </c>
      <c r="H116">
        <v>4.3E-3</v>
      </c>
      <c r="I116">
        <v>22.809180000000001</v>
      </c>
      <c r="J116">
        <v>4.3E-3</v>
      </c>
      <c r="U116" s="2">
        <v>45681</v>
      </c>
      <c r="V116" t="s">
        <v>713</v>
      </c>
      <c r="W116">
        <v>3</v>
      </c>
      <c r="X116">
        <v>1.66E-2</v>
      </c>
      <c r="Y116">
        <v>6.9784611818447972</v>
      </c>
      <c r="Z116">
        <v>698.39258214793517</v>
      </c>
      <c r="AA116">
        <v>0.42399999999999999</v>
      </c>
      <c r="AB116">
        <v>1.5299999999999999E-2</v>
      </c>
      <c r="AC116">
        <v>22.798899999999989</v>
      </c>
      <c r="AD116">
        <v>1.5299999999999999E-2</v>
      </c>
      <c r="AO116" s="2">
        <v>45681</v>
      </c>
      <c r="AP116" t="s">
        <v>910</v>
      </c>
      <c r="AQ116">
        <v>3</v>
      </c>
      <c r="AR116">
        <v>1.72E-2</v>
      </c>
      <c r="AS116">
        <v>7.2182010338801019</v>
      </c>
      <c r="AT116">
        <v>720.73633635762553</v>
      </c>
      <c r="AU116">
        <v>0.42399999999999999</v>
      </c>
      <c r="AV116">
        <v>1.9E-2</v>
      </c>
      <c r="AW116">
        <v>22.797199999999975</v>
      </c>
      <c r="AX116">
        <v>1.9E-2</v>
      </c>
      <c r="BI116" s="2">
        <v>45681</v>
      </c>
      <c r="BJ116" t="s">
        <v>1114</v>
      </c>
      <c r="BK116">
        <v>4</v>
      </c>
      <c r="BL116">
        <v>1.6299999999999999E-2</v>
      </c>
      <c r="BM116">
        <v>6.6698071156750496</v>
      </c>
      <c r="BN116">
        <v>669.62602318091467</v>
      </c>
      <c r="BO116">
        <v>0.42399999999999999</v>
      </c>
      <c r="BP116">
        <v>1.0500000000000001E-2</v>
      </c>
      <c r="BQ116">
        <v>22.80419999999998</v>
      </c>
      <c r="BR116">
        <v>1.0500000000000001E-2</v>
      </c>
      <c r="BS116" s="2">
        <v>45681</v>
      </c>
      <c r="BT116" t="s">
        <v>1238</v>
      </c>
      <c r="BU116">
        <v>4</v>
      </c>
      <c r="BV116">
        <v>1.06E-2</v>
      </c>
      <c r="BW116">
        <v>6.2749698361299426</v>
      </c>
      <c r="BX116">
        <v>632.82718872731073</v>
      </c>
      <c r="BY116">
        <v>0.42399999999999999</v>
      </c>
      <c r="BZ116">
        <v>4.3E-3</v>
      </c>
      <c r="CA116">
        <v>22.800099999999986</v>
      </c>
      <c r="CB116">
        <v>4.3E-3</v>
      </c>
      <c r="CM116" s="2">
        <v>45681</v>
      </c>
      <c r="CN116" t="s">
        <v>1476</v>
      </c>
      <c r="CO116">
        <v>5</v>
      </c>
      <c r="CP116">
        <v>1.11E-2</v>
      </c>
      <c r="CQ116">
        <v>6.2740435787487279</v>
      </c>
      <c r="CR116">
        <v>632.7408615393814</v>
      </c>
      <c r="CS116">
        <v>0.42399999999999999</v>
      </c>
      <c r="CT116">
        <v>4.3E-3</v>
      </c>
      <c r="CU116">
        <v>22.801400000000001</v>
      </c>
      <c r="CV116">
        <v>4.3E-3</v>
      </c>
      <c r="DG116" s="2">
        <v>45681</v>
      </c>
      <c r="DH116" t="s">
        <v>1794</v>
      </c>
      <c r="DI116">
        <v>6</v>
      </c>
      <c r="DJ116">
        <v>1.1299999999999999E-2</v>
      </c>
      <c r="DK116">
        <v>6.2718755671957496</v>
      </c>
      <c r="DL116">
        <v>632.53880286264393</v>
      </c>
      <c r="DM116">
        <v>0.42399999999999999</v>
      </c>
      <c r="DN116">
        <v>4.3E-3</v>
      </c>
      <c r="DO116">
        <v>22.801700000000039</v>
      </c>
      <c r="DP116">
        <v>4.3E-3</v>
      </c>
    </row>
    <row r="117" spans="1:120" x14ac:dyDescent="0.3">
      <c r="AO117" s="2">
        <v>45681</v>
      </c>
      <c r="AP117" t="s">
        <v>911</v>
      </c>
      <c r="AQ117">
        <v>3</v>
      </c>
      <c r="AR117">
        <v>1.72E-2</v>
      </c>
      <c r="AS117">
        <v>7.1489762291511871</v>
      </c>
      <c r="AT117">
        <v>714.28458455689065</v>
      </c>
      <c r="AU117">
        <v>0.42399999999999999</v>
      </c>
      <c r="AV117">
        <v>1.7899999999999999E-2</v>
      </c>
      <c r="AW117">
        <v>171.00110000000001</v>
      </c>
      <c r="AX117">
        <v>1.7899999999999999E-2</v>
      </c>
      <c r="DG117" s="2">
        <v>45681</v>
      </c>
      <c r="DH117" t="s">
        <v>1795</v>
      </c>
      <c r="DI117">
        <v>6</v>
      </c>
      <c r="DJ117">
        <v>9.9000000000000008E-3</v>
      </c>
      <c r="DK117">
        <v>6.1923632396929289</v>
      </c>
      <c r="DL117">
        <v>625.12825393938101</v>
      </c>
      <c r="DM117">
        <v>0.42399999999999999</v>
      </c>
      <c r="DN117">
        <v>3.0999999999999999E-3</v>
      </c>
      <c r="DO117">
        <v>349.00349999999997</v>
      </c>
      <c r="DP117">
        <v>3.0999999999999999E-3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6"/>
  <sheetViews>
    <sheetView tabSelected="1" zoomScale="130" zoomScaleNormal="130" workbookViewId="0">
      <selection activeCell="N12" sqref="N12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IF(COUNT(Resultados!A2,Resultados!K2,Resultados!U2,Resultados!AE2,Resultados!AO2,Resultados!AY2,Resultados!BI2,Resultados!BS2,Resultados!CC2,Resultados!CM2,Resultados!CW2,Resultados!DG2)=0, "", AVERAGE(ABS(Resultados!A2),ABS(Resultados!K2),ABS(Resultados!U2),ABS(Resultados!AE2),ABS(Resultados!AO2),ABS(Resultados!AY2),ABS(Resultados!BI2),ABS(Resultados!BS2),ABS(Resultados!CC2),ABS(Resultados!CM2),ABS(Resultados!CW2),ABS(Resultados!DG2)))</f>
        <v>45681</v>
      </c>
      <c r="B2" t="str">
        <f>IF(COUNT(Resultados!B2,Resultados!L2,Resultados!V2,Resultados!AF2,Resultados!AP2,Resultados!AZ2,Resultados!BJ2,Resultados!BT2,Resultados!CD2,Resultados!CN2,Resultados!CX2,Resultados!DH2)=0, "", AVERAGE(ABS(Resultados!B2),ABS(Resultados!L2),ABS(Resultados!V2),ABS(Resultados!AF2),ABS(Resultados!AP2),ABS(Resultados!AZ2),ABS(Resultados!BJ2),ABS(Resultados!BT2),ABS(Resultados!CD2),ABS(Resultados!CN2),ABS(Resultados!CX2),ABS(Resultados!DH2)))</f>
        <v/>
      </c>
      <c r="C2">
        <f>IF(COUNT(Resultados!C2,Resultados!M2,Resultados!W2,Resultados!AG2,Resultados!AQ2,Resultados!BA2,Resultados!BK2,Resultados!BU2,Resultados!CE2,Resultados!CO2,Resultados!CY2,Resultados!DI2)=0, "", AVERAGE(ABS(Resultados!C2),ABS(Resultados!M2),ABS(Resultados!W2),ABS(Resultados!AG2),ABS(Resultados!AQ2),ABS(Resultados!BA2),ABS(Resultados!BK2),ABS(Resultados!BU2),ABS(Resultados!CE2),ABS(Resultados!CO2),ABS(Resultados!CY2),ABS(Resultados!DI2)))</f>
        <v>3.3333333333333335</v>
      </c>
      <c r="D2">
        <f>IF(COUNT(Resultados!D2,Resultados!N2,Resultados!X2,Resultados!AH2,Resultados!AR2,Resultados!BB2,Resultados!BL2,Resultados!BV2,Resultados!CF2,Resultados!CP2,Resultados!CZ2,Resultados!DJ2)=0, "", AVERAGE(ABS(Resultados!D2),ABS(Resultados!N2),ABS(Resultados!X2),ABS(Resultados!AH2),ABS(Resultados!AR2),ABS(Resultados!BB2),ABS(Resultados!BL2),ABS(Resultados!BV2),ABS(Resultados!CF2),ABS(Resultados!CP2),ABS(Resultados!CZ2),ABS(Resultados!DJ2)))</f>
        <v>3.7250000000000004E-3</v>
      </c>
      <c r="E2">
        <f>IF(COUNT(Resultados!E2,Resultados!O2,Resultados!Y2,Resultados!AI2,Resultados!AS2,Resultados!BC2,Resultados!BM2,Resultados!BW2,Resultados!CG2,Resultados!CQ2,Resultados!DA2,Resultados!DK2)=0, "", AVERAGE(ABS(Resultados!E2),ABS(Resultados!O2),ABS(Resultados!Y2),ABS(Resultados!AI2),ABS(Resultados!AS2),ABS(Resultados!BC2),ABS(Resultados!BM2),ABS(Resultados!BW2),ABS(Resultados!CG2),ABS(Resultados!CQ2),ABS(Resultados!DA2),ABS(Resultados!DK2)))</f>
        <v>5.9957355582265626</v>
      </c>
      <c r="F2">
        <f>IF(COUNT(Resultados!F2,Resultados!P2,Resultados!Z2,Resultados!AJ2,Resultados!AT2,Resultados!BD2,Resultados!BN2,Resultados!BX2,Resultados!CH2,Resultados!CR2,Resultados!DB2,Resultados!DL2)=0, "", AVERAGE(ABS(Resultados!F2),ABS(Resultados!P2),ABS(Resultados!Z2),ABS(Resultados!AJ2),ABS(Resultados!AT2),ABS(Resultados!BD2),ABS(Resultados!BN2),ABS(Resultados!BX2),ABS(Resultados!CH2),ABS(Resultados!CR2),ABS(Resultados!DB2),ABS(Resultados!DL2)))</f>
        <v>606.80255402671571</v>
      </c>
      <c r="G2">
        <f>IF(COUNT(Resultados!G2,Resultados!Q2,Resultados!AA2,Resultados!AK2,Resultados!AU2,Resultados!BE2,Resultados!BO2,Resultados!BY2,Resultados!CI2,Resultados!CS2,Resultados!DC2,Resultados!DM2)=0, "", AVERAGE(ABS(Resultados!G2),ABS(Resultados!Q2),ABS(Resultados!AA2),ABS(Resultados!AK2),ABS(Resultados!AU2),ABS(Resultados!BE2),ABS(Resultados!BO2),ABS(Resultados!BY2),ABS(Resultados!CI2),ABS(Resultados!CS2),ABS(Resultados!DC2),ABS(Resultados!DM2)))</f>
        <v>0.4240000000000001</v>
      </c>
      <c r="H2">
        <f>IF(COUNT(Resultados!H2,Resultados!R2,Resultados!AB2,Resultados!AL2,Resultados!AV2,Resultados!BF2,Resultados!BP2,Resultados!BZ2,Resultados!CJ2,Resultados!CT2,Resultados!DD2,Resultados!DN2)=0, "", AVERAGE(ABS(Resultados!H2),ABS(Resultados!R2),ABS(Resultados!AB2),ABS(Resultados!AL2),ABS(Resultados!AV2),ABS(Resultados!BF2),ABS(Resultados!BP2),ABS(Resultados!BZ2),ABS(Resultados!CJ2),ABS(Resultados!CT2),ABS(Resultados!DD2),ABS(Resultados!DN2)))</f>
        <v>0</v>
      </c>
      <c r="I2">
        <f>IF(COUNT(Resultados!I2,Resultados!S2,Resultados!AC2,Resultados!AM2,Resultados!AW2,Resultados!BG2,Resultados!BQ2,Resultados!CA2,Resultados!CK2,Resultados!CU2,Resultados!DE2,Resultados!DO2)=0, "", AVERAGE(ABS(Resultados!I2),ABS(Resultados!S2),ABS(Resultados!AC2),ABS(Resultados!AM2),ABS(Resultados!AW2),ABS(Resultados!BG2),ABS(Resultados!BQ2),ABS(Resultados!CA2),ABS(Resultados!CK2),ABS(Resultados!CU2),ABS(Resultados!DE2),ABS(Resultados!DO2)))</f>
        <v>0</v>
      </c>
      <c r="J2">
        <f>IF(COUNT(Resultados!J2,Resultados!T2,Resultados!AD2,Resultados!AN2,Resultados!AX2,Resultados!BH2,Resultados!BR2,Resultados!CB2,Resultados!CL2,Resultados!CV2,Resultados!DF2,Resultados!DP2)=0, "", AVERAGE(ABS(Resultados!J2),ABS(Resultados!T2),ABS(Resultados!AD2),ABS(Resultados!AN2),ABS(Resultados!AX2),ABS(Resultados!BH2),ABS(Resultados!BR2),ABS(Resultados!CB2),ABS(Resultados!CL2),ABS(Resultados!CV2),ABS(Resultados!DF2),ABS(Resultados!DP2)))</f>
        <v>0</v>
      </c>
      <c r="K2">
        <v>3.7250000000000004E-3</v>
      </c>
    </row>
    <row r="3" spans="1:11" x14ac:dyDescent="0.3">
      <c r="A3">
        <f>IF(COUNT(Resultados!A3,Resultados!K3,Resultados!U3,Resultados!AE3,Resultados!AO3,Resultados!AY3,Resultados!BI3,Resultados!BS3,Resultados!CC3,Resultados!CM3,Resultados!CW3,Resultados!DG3)=0, "", AVERAGE(ABS(Resultados!A3),ABS(Resultados!K3),ABS(Resultados!U3),ABS(Resultados!AE3),ABS(Resultados!AO3),ABS(Resultados!AY3),ABS(Resultados!BI3),ABS(Resultados!BS3),ABS(Resultados!CC3),ABS(Resultados!CM3),ABS(Resultados!CW3),ABS(Resultados!DG3)))</f>
        <v>45681</v>
      </c>
      <c r="B3" t="str">
        <f>IF(COUNT(Resultados!B3,Resultados!L3,Resultados!V3,Resultados!AF3,Resultados!AP3,Resultados!AZ3,Resultados!BJ3,Resultados!BT3,Resultados!CD3,Resultados!CN3,Resultados!CX3,Resultados!DH3)=0, "", AVERAGE(ABS(Resultados!B3),ABS(Resultados!L3),ABS(Resultados!V3),ABS(Resultados!AF3),ABS(Resultados!AP3),ABS(Resultados!AZ3),ABS(Resultados!BJ3),ABS(Resultados!BT3),ABS(Resultados!CD3),ABS(Resultados!CN3),ABS(Resultados!CX3),ABS(Resultados!DH3)))</f>
        <v/>
      </c>
      <c r="C3">
        <f>IF(COUNT(Resultados!C3,Resultados!M3,Resultados!W3,Resultados!AG3,Resultados!AQ3,Resultados!BA3,Resultados!BK3,Resultados!BU3,Resultados!CE3,Resultados!CO3,Resultados!CY3,Resultados!DI3)=0, "", AVERAGE(ABS(Resultados!C3),ABS(Resultados!M3),ABS(Resultados!W3),ABS(Resultados!AG3),ABS(Resultados!AQ3),ABS(Resultados!BA3),ABS(Resultados!BK3),ABS(Resultados!BU3),ABS(Resultados!CE3),ABS(Resultados!CO3),ABS(Resultados!CY3),ABS(Resultados!DI3)))</f>
        <v>3.3333333333333335</v>
      </c>
      <c r="D3">
        <f>IF(COUNT(Resultados!D3,Resultados!N3,Resultados!X3,Resultados!AH3,Resultados!AR3,Resultados!BB3,Resultados!BL3,Resultados!BV3,Resultados!CF3,Resultados!CP3,Resultados!CZ3,Resultados!DJ3)=0, "", AVERAGE(ABS(Resultados!D3),ABS(Resultados!N3),ABS(Resultados!X3),ABS(Resultados!AH3),ABS(Resultados!AR3),ABS(Resultados!BB3),ABS(Resultados!BL3),ABS(Resultados!BV3),ABS(Resultados!CF3),ABS(Resultados!CP3),ABS(Resultados!CZ3),ABS(Resultados!DJ3)))</f>
        <v>3.3999999999999998E-3</v>
      </c>
      <c r="E3">
        <f>IF(COUNT(Resultados!E3,Resultados!O3,Resultados!Y3,Resultados!AI3,Resultados!AS3,Resultados!BC3,Resultados!BM3,Resultados!BW3,Resultados!CG3,Resultados!CQ3,Resultados!DA3,Resultados!DK3)=0, "", AVERAGE(ABS(Resultados!E3),ABS(Resultados!O3),ABS(Resultados!Y3),ABS(Resultados!AI3),ABS(Resultados!AS3),ABS(Resultados!BC3),ABS(Resultados!BM3),ABS(Resultados!BW3),ABS(Resultados!CG3),ABS(Resultados!CQ3),ABS(Resultados!DA3),ABS(Resultados!DK3)))</f>
        <v>6.0788034718193265</v>
      </c>
      <c r="F3">
        <f>IF(COUNT(Resultados!F3,Resultados!P3,Resultados!Z3,Resultados!AJ3,Resultados!AT3,Resultados!BD3,Resultados!BN3,Resultados!BX3,Resultados!CH3,Resultados!CR3,Resultados!DB3,Resultados!DL3)=0, "", AVERAGE(ABS(Resultados!F3),ABS(Resultados!P3),ABS(Resultados!Z3),ABS(Resultados!AJ3),ABS(Resultados!AT3),ABS(Resultados!BD3),ABS(Resultados!BN3),ABS(Resultados!BX3),ABS(Resultados!CH3),ABS(Resultados!CR3),ABS(Resultados!DB3),ABS(Resultados!DL3)))</f>
        <v>716.87844947565418</v>
      </c>
      <c r="G3">
        <f>IF(COUNT(Resultados!G3,Resultados!Q3,Resultados!AA3,Resultados!AK3,Resultados!AU3,Resultados!BE3,Resultados!BO3,Resultados!BY3,Resultados!CI3,Resultados!CS3,Resultados!DC3,Resultados!DM3)=0, "", AVERAGE(ABS(Resultados!G3),ABS(Resultados!Q3),ABS(Resultados!AA3),ABS(Resultados!AK3),ABS(Resultados!AU3),ABS(Resultados!BE3),ABS(Resultados!BO3),ABS(Resultados!BY3),ABS(Resultados!CI3),ABS(Resultados!CS3),ABS(Resultados!DC3),ABS(Resultados!DM3)))</f>
        <v>0.4240000000000001</v>
      </c>
      <c r="H3">
        <f>IF(COUNT(Resultados!H3,Resultados!R3,Resultados!AB3,Resultados!AL3,Resultados!AV3,Resultados!BF3,Resultados!BP3,Resultados!BZ3,Resultados!CJ3,Resultados!CT3,Resultados!DD3,Resultados!DN3)=0, "", AVERAGE(ABS(Resultados!H3),ABS(Resultados!R3),ABS(Resultados!AB3),ABS(Resultados!AL3),ABS(Resultados!AV3),ABS(Resultados!BF3),ABS(Resultados!BP3),ABS(Resultados!BZ3),ABS(Resultados!CJ3),ABS(Resultados!CT3),ABS(Resultados!DD3),ABS(Resultados!DN3)))</f>
        <v>1.2666666666666664E-3</v>
      </c>
      <c r="I3">
        <f>IF(COUNT(Resultados!I3,Resultados!S3,Resultados!AC3,Resultados!AM3,Resultados!AW3,Resultados!BG3,Resultados!BQ3,Resultados!CA3,Resultados!CK3,Resultados!CU3,Resultados!DE3,Resultados!DO3)=0, "", AVERAGE(ABS(Resultados!I3),ABS(Resultados!S3),ABS(Resultados!AC3),ABS(Resultados!AM3),ABS(Resultados!AW3),ABS(Resultados!BG3),ABS(Resultados!BQ3),ABS(Resultados!CA3),ABS(Resultados!CK3),ABS(Resultados!CU3),ABS(Resultados!DE3),ABS(Resultados!DO3)))</f>
        <v>0.19886583333333721</v>
      </c>
      <c r="J3">
        <f>IF(COUNT(Resultados!J3,Resultados!T3,Resultados!AD3,Resultados!AN3,Resultados!AX3,Resultados!BH3,Resultados!BR3,Resultados!CB3,Resultados!CL3,Resultados!CV3,Resultados!DF3,Resultados!DP3)=0, "", AVERAGE(ABS(Resultados!J3),ABS(Resultados!T3),ABS(Resultados!AD3),ABS(Resultados!AN3),ABS(Resultados!AX3),ABS(Resultados!BH3),ABS(Resultados!BR3),ABS(Resultados!CB3),ABS(Resultados!CL3),ABS(Resultados!CV3),ABS(Resultados!DF3),ABS(Resultados!DP3)))</f>
        <v>1.2666666666666664E-3</v>
      </c>
      <c r="K3">
        <v>3.3999999999999998E-3</v>
      </c>
    </row>
    <row r="4" spans="1:11" x14ac:dyDescent="0.3">
      <c r="A4">
        <f>IF(COUNT(Resultados!A4,Resultados!K4,Resultados!U4,Resultados!AE4,Resultados!AO4,Resultados!AY4,Resultados!BI4,Resultados!BS4,Resultados!CC4,Resultados!CM4,Resultados!CW4,Resultados!DG4)=0, "", AVERAGE(ABS(Resultados!A4),ABS(Resultados!K4),ABS(Resultados!U4),ABS(Resultados!AE4),ABS(Resultados!AO4),ABS(Resultados!AY4),ABS(Resultados!BI4),ABS(Resultados!BS4),ABS(Resultados!CC4),ABS(Resultados!CM4),ABS(Resultados!CW4),ABS(Resultados!DG4)))</f>
        <v>45681</v>
      </c>
      <c r="B4" t="str">
        <f>IF(COUNT(Resultados!B4,Resultados!L4,Resultados!V4,Resultados!AF4,Resultados!AP4,Resultados!AZ4,Resultados!BJ4,Resultados!BT4,Resultados!CD4,Resultados!CN4,Resultados!CX4,Resultados!DH4)=0, "", AVERAGE(ABS(Resultados!B4),ABS(Resultados!L4),ABS(Resultados!V4),ABS(Resultados!AF4),ABS(Resultados!AP4),ABS(Resultados!AZ4),ABS(Resultados!BJ4),ABS(Resultados!BT4),ABS(Resultados!CD4),ABS(Resultados!CN4),ABS(Resultados!CX4),ABS(Resultados!DH4)))</f>
        <v/>
      </c>
      <c r="C4">
        <f>IF(COUNT(Resultados!C4,Resultados!M4,Resultados!W4,Resultados!AG4,Resultados!AQ4,Resultados!BA4,Resultados!BK4,Resultados!BU4,Resultados!CE4,Resultados!CO4,Resultados!CY4,Resultados!DI4)=0, "", AVERAGE(ABS(Resultados!C4),ABS(Resultados!M4),ABS(Resultados!W4),ABS(Resultados!AG4),ABS(Resultados!AQ4),ABS(Resultados!BA4),ABS(Resultados!BK4),ABS(Resultados!BU4),ABS(Resultados!CE4),ABS(Resultados!CO4),ABS(Resultados!CY4),ABS(Resultados!DI4)))</f>
        <v>3.3333333333333335</v>
      </c>
      <c r="D4">
        <f>IF(COUNT(Resultados!D4,Resultados!N4,Resultados!X4,Resultados!AH4,Resultados!AR4,Resultados!BB4,Resultados!BL4,Resultados!BV4,Resultados!CF4,Resultados!CP4,Resultados!CZ4,Resultados!DJ4)=0, "", AVERAGE(ABS(Resultados!D4),ABS(Resultados!N4),ABS(Resultados!X4),ABS(Resultados!AH4),ABS(Resultados!AR4),ABS(Resultados!BB4),ABS(Resultados!BL4),ABS(Resultados!BV4),ABS(Resultados!CF4),ABS(Resultados!CP4),ABS(Resultados!CZ4),ABS(Resultados!DJ4)))</f>
        <v>3.5166666666666666E-3</v>
      </c>
      <c r="E4">
        <f>IF(COUNT(Resultados!E4,Resultados!O4,Resultados!Y4,Resultados!AI4,Resultados!AS4,Resultados!BC4,Resultados!BM4,Resultados!BW4,Resultados!CG4,Resultados!CQ4,Resultados!DA4,Resultados!DK4)=0, "", AVERAGE(ABS(Resultados!E4),ABS(Resultados!O4),ABS(Resultados!Y4),ABS(Resultados!AI4),ABS(Resultados!AS4),ABS(Resultados!BC4),ABS(Resultados!BM4),ABS(Resultados!BW4),ABS(Resultados!CG4),ABS(Resultados!CQ4),ABS(Resultados!DA4),ABS(Resultados!DK4)))</f>
        <v>6.0759189656104091</v>
      </c>
      <c r="F4">
        <f>IF(COUNT(Resultados!F4,Resultados!P4,Resultados!Z4,Resultados!AJ4,Resultados!AT4,Resultados!BD4,Resultados!BN4,Resultados!BX4,Resultados!CH4,Resultados!CR4,Resultados!DB4,Resultados!DL4)=0, "", AVERAGE(ABS(Resultados!F4),ABS(Resultados!P4),ABS(Resultados!Z4),ABS(Resultados!AJ4),ABS(Resultados!AT4),ABS(Resultados!BD4),ABS(Resultados!BN4),ABS(Resultados!BX4),ABS(Resultados!CH4),ABS(Resultados!CR4),ABS(Resultados!DB4),ABS(Resultados!DL4)))</f>
        <v>682.44170599195729</v>
      </c>
      <c r="G4">
        <f>IF(COUNT(Resultados!G4,Resultados!Q4,Resultados!AA4,Resultados!AK4,Resultados!AU4,Resultados!BE4,Resultados!BO4,Resultados!BY4,Resultados!CI4,Resultados!CS4,Resultados!DC4,Resultados!DM4)=0, "", AVERAGE(ABS(Resultados!G4),ABS(Resultados!Q4),ABS(Resultados!AA4),ABS(Resultados!AK4),ABS(Resultados!AU4),ABS(Resultados!BE4),ABS(Resultados!BO4),ABS(Resultados!BY4),ABS(Resultados!CI4),ABS(Resultados!CS4),ABS(Resultados!DC4),ABS(Resultados!DM4)))</f>
        <v>0.4240000000000001</v>
      </c>
      <c r="H4">
        <f>IF(COUNT(Resultados!H4,Resultados!R4,Resultados!AB4,Resultados!AL4,Resultados!AV4,Resultados!BF4,Resultados!BP4,Resultados!BZ4,Resultados!CJ4,Resultados!CT4,Resultados!DD4,Resultados!DN4)=0, "", AVERAGE(ABS(Resultados!H4),ABS(Resultados!R4),ABS(Resultados!AB4),ABS(Resultados!AL4),ABS(Resultados!AV4),ABS(Resultados!BF4),ABS(Resultados!BP4),ABS(Resultados!BZ4),ABS(Resultados!CJ4),ABS(Resultados!CT4),ABS(Resultados!DD4),ABS(Resultados!DN4)))</f>
        <v>1.2333333333333335E-3</v>
      </c>
      <c r="I4">
        <f>IF(COUNT(Resultados!I4,Resultados!S4,Resultados!AC4,Resultados!AM4,Resultados!AW4,Resultados!BG4,Resultados!BQ4,Resultados!CA4,Resultados!CK4,Resultados!CU4,Resultados!DE4,Resultados!DO4)=0, "", AVERAGE(ABS(Resultados!I4),ABS(Resultados!S4),ABS(Resultados!AC4),ABS(Resultados!AM4),ABS(Resultados!AW4),ABS(Resultados!BG4),ABS(Resultados!BQ4),ABS(Resultados!CA4),ABS(Resultados!CK4),ABS(Resultados!CU4),ABS(Resultados!DE4),ABS(Resultados!DO4)))</f>
        <v>0.39930749999999904</v>
      </c>
      <c r="J4">
        <f>IF(COUNT(Resultados!J4,Resultados!T4,Resultados!AD4,Resultados!AN4,Resultados!AX4,Resultados!BH4,Resultados!BR4,Resultados!CB4,Resultados!CL4,Resultados!CV4,Resultados!DF4,Resultados!DP4)=0, "", AVERAGE(ABS(Resultados!J4),ABS(Resultados!T4),ABS(Resultados!AD4),ABS(Resultados!AN4),ABS(Resultados!AX4),ABS(Resultados!BH4),ABS(Resultados!BR4),ABS(Resultados!CB4),ABS(Resultados!CL4),ABS(Resultados!CV4),ABS(Resultados!DF4),ABS(Resultados!DP4)))</f>
        <v>1.2333333333333335E-3</v>
      </c>
      <c r="K4">
        <v>3.5166666666666666E-3</v>
      </c>
    </row>
    <row r="5" spans="1:11" x14ac:dyDescent="0.3">
      <c r="A5">
        <f>IF(COUNT(Resultados!A5,Resultados!K5,Resultados!U5,Resultados!AE5,Resultados!AO5,Resultados!AY5,Resultados!BI5,Resultados!BS5,Resultados!CC5,Resultados!CM5,Resultados!CW5,Resultados!DG5)=0, "", AVERAGE(ABS(Resultados!A5),ABS(Resultados!K5),ABS(Resultados!U5),ABS(Resultados!AE5),ABS(Resultados!AO5),ABS(Resultados!AY5),ABS(Resultados!BI5),ABS(Resultados!BS5),ABS(Resultados!CC5),ABS(Resultados!CM5),ABS(Resultados!CW5),ABS(Resultados!DG5)))</f>
        <v>45681</v>
      </c>
      <c r="B5" t="str">
        <f>IF(COUNT(Resultados!B5,Resultados!L5,Resultados!V5,Resultados!AF5,Resultados!AP5,Resultados!AZ5,Resultados!BJ5,Resultados!BT5,Resultados!CD5,Resultados!CN5,Resultados!CX5,Resultados!DH5)=0, "", AVERAGE(ABS(Resultados!B5),ABS(Resultados!L5),ABS(Resultados!V5),ABS(Resultados!AF5),ABS(Resultados!AP5),ABS(Resultados!AZ5),ABS(Resultados!BJ5),ABS(Resultados!BT5),ABS(Resultados!CD5),ABS(Resultados!CN5),ABS(Resultados!CX5),ABS(Resultados!DH5)))</f>
        <v/>
      </c>
      <c r="C5">
        <f>IF(COUNT(Resultados!C5,Resultados!M5,Resultados!W5,Resultados!AG5,Resultados!AQ5,Resultados!BA5,Resultados!BK5,Resultados!BU5,Resultados!CE5,Resultados!CO5,Resultados!CY5,Resultados!DI5)=0, "", AVERAGE(ABS(Resultados!C5),ABS(Resultados!M5),ABS(Resultados!W5),ABS(Resultados!AG5),ABS(Resultados!AQ5),ABS(Resultados!BA5),ABS(Resultados!BK5),ABS(Resultados!BU5),ABS(Resultados!CE5),ABS(Resultados!CO5),ABS(Resultados!CY5),ABS(Resultados!DI5)))</f>
        <v>3.3333333333333335</v>
      </c>
      <c r="D5">
        <f>IF(COUNT(Resultados!D5,Resultados!N5,Resultados!X5,Resultados!AH5,Resultados!AR5,Resultados!BB5,Resultados!BL5,Resultados!BV5,Resultados!CF5,Resultados!CP5,Resultados!CZ5,Resultados!DJ5)=0, "", AVERAGE(ABS(Resultados!D5),ABS(Resultados!N5),ABS(Resultados!X5),ABS(Resultados!AH5),ABS(Resultados!AR5),ABS(Resultados!BB5),ABS(Resultados!BL5),ABS(Resultados!BV5),ABS(Resultados!CF5),ABS(Resultados!CP5),ABS(Resultados!CZ5),ABS(Resultados!DJ5)))</f>
        <v>3.5333333333333341E-3</v>
      </c>
      <c r="E5">
        <f>IF(COUNT(Resultados!E5,Resultados!O5,Resultados!Y5,Resultados!AI5,Resultados!AS5,Resultados!BC5,Resultados!BM5,Resultados!BW5,Resultados!CG5,Resultados!CQ5,Resultados!DA5,Resultados!DK5)=0, "", AVERAGE(ABS(Resultados!E5),ABS(Resultados!O5),ABS(Resultados!Y5),ABS(Resultados!AI5),ABS(Resultados!AS5),ABS(Resultados!BC5),ABS(Resultados!BM5),ABS(Resultados!BW5),ABS(Resultados!CG5),ABS(Resultados!CQ5),ABS(Resultados!DA5),ABS(Resultados!DK5)))</f>
        <v>6.087778265469832</v>
      </c>
      <c r="F5">
        <f>IF(COUNT(Resultados!F5,Resultados!P5,Resultados!Z5,Resultados!AJ5,Resultados!AT5,Resultados!BD5,Resultados!BN5,Resultados!BX5,Resultados!CH5,Resultados!CR5,Resultados!DB5,Resultados!DL5)=0, "", AVERAGE(ABS(Resultados!F5),ABS(Resultados!P5),ABS(Resultados!Z5),ABS(Resultados!AJ5),ABS(Resultados!AT5),ABS(Resultados!BD5),ABS(Resultados!BN5),ABS(Resultados!BX5),ABS(Resultados!CH5),ABS(Resultados!CR5),ABS(Resultados!DB5),ABS(Resultados!DL5)))</f>
        <v>692.11022566476652</v>
      </c>
      <c r="G5">
        <f>IF(COUNT(Resultados!G5,Resultados!Q5,Resultados!AA5,Resultados!AK5,Resultados!AU5,Resultados!BE5,Resultados!BO5,Resultados!BY5,Resultados!CI5,Resultados!CS5,Resultados!DC5,Resultados!DM5)=0, "", AVERAGE(ABS(Resultados!G5),ABS(Resultados!Q5),ABS(Resultados!AA5),ABS(Resultados!AK5),ABS(Resultados!AU5),ABS(Resultados!BE5),ABS(Resultados!BO5),ABS(Resultados!BY5),ABS(Resultados!CI5),ABS(Resultados!CS5),ABS(Resultados!DC5),ABS(Resultados!DM5)))</f>
        <v>0.4240000000000001</v>
      </c>
      <c r="H5">
        <f>IF(COUNT(Resultados!H5,Resultados!R5,Resultados!AB5,Resultados!AL5,Resultados!AV5,Resultados!BF5,Resultados!BP5,Resultados!BZ5,Resultados!CJ5,Resultados!CT5,Resultados!DD5,Resultados!DN5)=0, "", AVERAGE(ABS(Resultados!H5),ABS(Resultados!R5),ABS(Resultados!AB5),ABS(Resultados!AL5),ABS(Resultados!AV5),ABS(Resultados!BF5),ABS(Resultados!BP5),ABS(Resultados!BZ5),ABS(Resultados!CJ5),ABS(Resultados!CT5),ABS(Resultados!DD5),ABS(Resultados!DN5)))</f>
        <v>1.4166666666666668E-3</v>
      </c>
      <c r="I5">
        <f>IF(COUNT(Resultados!I5,Resultados!S5,Resultados!AC5,Resultados!AM5,Resultados!AW5,Resultados!BG5,Resultados!BQ5,Resultados!CA5,Resultados!CK5,Resultados!CU5,Resultados!DE5,Resultados!DO5)=0, "", AVERAGE(ABS(Resultados!I5),ABS(Resultados!S5),ABS(Resultados!AC5),ABS(Resultados!AM5),ABS(Resultados!AW5),ABS(Resultados!BG5),ABS(Resultados!BQ5),ABS(Resultados!CA5),ABS(Resultados!CK5),ABS(Resultados!CU5),ABS(Resultados!DE5),ABS(Resultados!DO5)))</f>
        <v>0.59926833333332852</v>
      </c>
      <c r="J5">
        <f>IF(COUNT(Resultados!J5,Resultados!T5,Resultados!AD5,Resultados!AN5,Resultados!AX5,Resultados!BH5,Resultados!BR5,Resultados!CB5,Resultados!CL5,Resultados!CV5,Resultados!DF5,Resultados!DP5)=0, "", AVERAGE(ABS(Resultados!J5),ABS(Resultados!T5),ABS(Resultados!AD5),ABS(Resultados!AN5),ABS(Resultados!AX5),ABS(Resultados!BH5),ABS(Resultados!BR5),ABS(Resultados!CB5),ABS(Resultados!CL5),ABS(Resultados!CV5),ABS(Resultados!DF5),ABS(Resultados!DP5)))</f>
        <v>1.4166666666666668E-3</v>
      </c>
      <c r="K5">
        <v>3.5333333333333341E-3</v>
      </c>
    </row>
    <row r="6" spans="1:11" x14ac:dyDescent="0.3">
      <c r="A6">
        <f>IF(COUNT(Resultados!A6,Resultados!K6,Resultados!U6,Resultados!AE6,Resultados!AO6,Resultados!AY6,Resultados!BI6,Resultados!BS6,Resultados!CC6,Resultados!CM6,Resultados!CW6,Resultados!DG6)=0, "", AVERAGE(ABS(Resultados!A6),ABS(Resultados!K6),ABS(Resultados!U6),ABS(Resultados!AE6),ABS(Resultados!AO6),ABS(Resultados!AY6),ABS(Resultados!BI6),ABS(Resultados!BS6),ABS(Resultados!CC6),ABS(Resultados!CM6),ABS(Resultados!CW6),ABS(Resultados!DG6)))</f>
        <v>45681</v>
      </c>
      <c r="B6" t="str">
        <f>IF(COUNT(Resultados!B6,Resultados!L6,Resultados!V6,Resultados!AF6,Resultados!AP6,Resultados!AZ6,Resultados!BJ6,Resultados!BT6,Resultados!CD6,Resultados!CN6,Resultados!CX6,Resultados!DH6)=0, "", AVERAGE(ABS(Resultados!B6),ABS(Resultados!L6),ABS(Resultados!V6),ABS(Resultados!AF6),ABS(Resultados!AP6),ABS(Resultados!AZ6),ABS(Resultados!BJ6),ABS(Resultados!BT6),ABS(Resultados!CD6),ABS(Resultados!CN6),ABS(Resultados!CX6),ABS(Resultados!DH6)))</f>
        <v/>
      </c>
      <c r="C6">
        <f>IF(COUNT(Resultados!C6,Resultados!M6,Resultados!W6,Resultados!AG6,Resultados!AQ6,Resultados!BA6,Resultados!BK6,Resultados!BU6,Resultados!CE6,Resultados!CO6,Resultados!CY6,Resultados!DI6)=0, "", AVERAGE(ABS(Resultados!C6),ABS(Resultados!M6),ABS(Resultados!W6),ABS(Resultados!AG6),ABS(Resultados!AQ6),ABS(Resultados!BA6),ABS(Resultados!BK6),ABS(Resultados!BU6),ABS(Resultados!CE6),ABS(Resultados!CO6),ABS(Resultados!CY6),ABS(Resultados!DI6)))</f>
        <v>3.3333333333333335</v>
      </c>
      <c r="D6">
        <f>IF(COUNT(Resultados!D6,Resultados!N6,Resultados!X6,Resultados!AH6,Resultados!AR6,Resultados!BB6,Resultados!BL6,Resultados!BV6,Resultados!CF6,Resultados!CP6,Resultados!CZ6,Resultados!DJ6)=0, "", AVERAGE(ABS(Resultados!D6),ABS(Resultados!N6),ABS(Resultados!X6),ABS(Resultados!AH6),ABS(Resultados!AR6),ABS(Resultados!BB6),ABS(Resultados!BL6),ABS(Resultados!BV6),ABS(Resultados!CF6),ABS(Resultados!CP6),ABS(Resultados!CZ6),ABS(Resultados!DJ6)))</f>
        <v>3.4916666666666672E-3</v>
      </c>
      <c r="E6">
        <f>IF(COUNT(Resultados!E6,Resultados!O6,Resultados!Y6,Resultados!AI6,Resultados!AS6,Resultados!BC6,Resultados!BM6,Resultados!BW6,Resultados!CG6,Resultados!CQ6,Resultados!DA6,Resultados!DK6)=0, "", AVERAGE(ABS(Resultados!E6),ABS(Resultados!O6),ABS(Resultados!Y6),ABS(Resultados!AI6),ABS(Resultados!AS6),ABS(Resultados!BC6),ABS(Resultados!BM6),ABS(Resultados!BW6),ABS(Resultados!CG6),ABS(Resultados!CQ6),ABS(Resultados!DA6),ABS(Resultados!DK6)))</f>
        <v>6.1139748189954508</v>
      </c>
      <c r="F6">
        <f>IF(COUNT(Resultados!F6,Resultados!P6,Resultados!Z6,Resultados!AJ6,Resultados!AT6,Resultados!BD6,Resultados!BN6,Resultados!BX6,Resultados!CH6,Resultados!CR6,Resultados!DB6,Resultados!DL6)=0, "", AVERAGE(ABS(Resultados!F6),ABS(Resultados!P6),ABS(Resultados!Z6),ABS(Resultados!AJ6),ABS(Resultados!AT6),ABS(Resultados!BD6),ABS(Resultados!BN6),ABS(Resultados!BX6),ABS(Resultados!CH6),ABS(Resultados!CR6),ABS(Resultados!DB6),ABS(Resultados!DL6)))</f>
        <v>694.61807864666571</v>
      </c>
      <c r="G6">
        <f>IF(COUNT(Resultados!G6,Resultados!Q6,Resultados!AA6,Resultados!AK6,Resultados!AU6,Resultados!BE6,Resultados!BO6,Resultados!BY6,Resultados!CI6,Resultados!CS6,Resultados!DC6,Resultados!DM6)=0, "", AVERAGE(ABS(Resultados!G6),ABS(Resultados!Q6),ABS(Resultados!AA6),ABS(Resultados!AK6),ABS(Resultados!AU6),ABS(Resultados!BE6),ABS(Resultados!BO6),ABS(Resultados!BY6),ABS(Resultados!CI6),ABS(Resultados!CS6),ABS(Resultados!DC6),ABS(Resultados!DM6)))</f>
        <v>0.4240000000000001</v>
      </c>
      <c r="H6">
        <f>IF(COUNT(Resultados!H6,Resultados!R6,Resultados!AB6,Resultados!AL6,Resultados!AV6,Resultados!BF6,Resultados!BP6,Resultados!BZ6,Resultados!CJ6,Resultados!CT6,Resultados!DD6,Resultados!DN6)=0, "", AVERAGE(ABS(Resultados!H6),ABS(Resultados!R6),ABS(Resultados!AB6),ABS(Resultados!AL6),ABS(Resultados!AV6),ABS(Resultados!BF6),ABS(Resultados!BP6),ABS(Resultados!BZ6),ABS(Resultados!CJ6),ABS(Resultados!CT6),ABS(Resultados!DD6),ABS(Resultados!DN6)))</f>
        <v>1.8250000000000002E-3</v>
      </c>
      <c r="I6">
        <f>IF(COUNT(Resultados!I6,Resultados!S6,Resultados!AC6,Resultados!AM6,Resultados!AW6,Resultados!BG6,Resultados!BQ6,Resultados!CA6,Resultados!CK6,Resultados!CU6,Resultados!DE6,Resultados!DO6)=0, "", AVERAGE(ABS(Resultados!I6),ABS(Resultados!S6),ABS(Resultados!AC6),ABS(Resultados!AM6),ABS(Resultados!AW6),ABS(Resultados!BG6),ABS(Resultados!BQ6),ABS(Resultados!CA6),ABS(Resultados!CK6),ABS(Resultados!CU6),ABS(Resultados!DE6),ABS(Resultados!DO6)))</f>
        <v>0.79881916666666752</v>
      </c>
      <c r="J6">
        <f>IF(COUNT(Resultados!J6,Resultados!T6,Resultados!AD6,Resultados!AN6,Resultados!AX6,Resultados!BH6,Resultados!BR6,Resultados!CB6,Resultados!CL6,Resultados!CV6,Resultados!DF6,Resultados!DP6)=0, "", AVERAGE(ABS(Resultados!J6),ABS(Resultados!T6),ABS(Resultados!AD6),ABS(Resultados!AN6),ABS(Resultados!AX6),ABS(Resultados!BH6),ABS(Resultados!BR6),ABS(Resultados!CB6),ABS(Resultados!CL6),ABS(Resultados!CV6),ABS(Resultados!DF6),ABS(Resultados!DP6)))</f>
        <v>1.8250000000000002E-3</v>
      </c>
      <c r="K6">
        <v>3.4916666666666672E-3</v>
      </c>
    </row>
    <row r="7" spans="1:11" x14ac:dyDescent="0.3">
      <c r="A7">
        <f>IF(COUNT(Resultados!A7,Resultados!K7,Resultados!U7,Resultados!AE7,Resultados!AO7,Resultados!AY7,Resultados!BI7,Resultados!BS7,Resultados!CC7,Resultados!CM7,Resultados!CW7,Resultados!DG7)=0, "", AVERAGE(ABS(Resultados!A7),ABS(Resultados!K7),ABS(Resultados!U7),ABS(Resultados!AE7),ABS(Resultados!AO7),ABS(Resultados!AY7),ABS(Resultados!BI7),ABS(Resultados!BS7),ABS(Resultados!CC7),ABS(Resultados!CM7),ABS(Resultados!CW7),ABS(Resultados!DG7)))</f>
        <v>45681</v>
      </c>
      <c r="B7" t="str">
        <f>IF(COUNT(Resultados!B7,Resultados!L7,Resultados!V7,Resultados!AF7,Resultados!AP7,Resultados!AZ7,Resultados!BJ7,Resultados!BT7,Resultados!CD7,Resultados!CN7,Resultados!CX7,Resultados!DH7)=0, "", AVERAGE(ABS(Resultados!B7),ABS(Resultados!L7),ABS(Resultados!V7),ABS(Resultados!AF7),ABS(Resultados!AP7),ABS(Resultados!AZ7),ABS(Resultados!BJ7),ABS(Resultados!BT7),ABS(Resultados!CD7),ABS(Resultados!CN7),ABS(Resultados!CX7),ABS(Resultados!DH7)))</f>
        <v/>
      </c>
      <c r="C7">
        <f>IF(COUNT(Resultados!C7,Resultados!M7,Resultados!W7,Resultados!AG7,Resultados!AQ7,Resultados!BA7,Resultados!BK7,Resultados!BU7,Resultados!CE7,Resultados!CO7,Resultados!CY7,Resultados!DI7)=0, "", AVERAGE(ABS(Resultados!C7),ABS(Resultados!M7),ABS(Resultados!W7),ABS(Resultados!AG7),ABS(Resultados!AQ7),ABS(Resultados!BA7),ABS(Resultados!BK7),ABS(Resultados!BU7),ABS(Resultados!CE7),ABS(Resultados!CO7),ABS(Resultados!CY7),ABS(Resultados!DI7)))</f>
        <v>3.3333333333333335</v>
      </c>
      <c r="D7">
        <f>IF(COUNT(Resultados!D7,Resultados!N7,Resultados!X7,Resultados!AH7,Resultados!AR7,Resultados!BB7,Resultados!BL7,Resultados!BV7,Resultados!CF7,Resultados!CP7,Resultados!CZ7,Resultados!DJ7)=0, "", AVERAGE(ABS(Resultados!D7),ABS(Resultados!N7),ABS(Resultados!X7),ABS(Resultados!AH7),ABS(Resultados!AR7),ABS(Resultados!BB7),ABS(Resultados!BL7),ABS(Resultados!BV7),ABS(Resultados!CF7),ABS(Resultados!CP7),ABS(Resultados!CZ7),ABS(Resultados!DJ7)))</f>
        <v>3.5083333333333334E-3</v>
      </c>
      <c r="E7">
        <f>IF(COUNT(Resultados!E7,Resultados!O7,Resultados!Y7,Resultados!AI7,Resultados!AS7,Resultados!BC7,Resultados!BM7,Resultados!BW7,Resultados!CG7,Resultados!CQ7,Resultados!DA7,Resultados!DK7)=0, "", AVERAGE(ABS(Resultados!E7),ABS(Resultados!O7),ABS(Resultados!Y7),ABS(Resultados!AI7),ABS(Resultados!AS7),ABS(Resultados!BC7),ABS(Resultados!BM7),ABS(Resultados!BW7),ABS(Resultados!CG7),ABS(Resultados!CQ7),ABS(Resultados!DA7),ABS(Resultados!DK7)))</f>
        <v>6.1538349383474928</v>
      </c>
      <c r="F7">
        <f>IF(COUNT(Resultados!F7,Resultados!P7,Resultados!Z7,Resultados!AJ7,Resultados!AT7,Resultados!BD7,Resultados!BN7,Resultados!BX7,Resultados!CH7,Resultados!CR7,Resultados!DB7,Resultados!DL7)=0, "", AVERAGE(ABS(Resultados!F7),ABS(Resultados!P7),ABS(Resultados!Z7),ABS(Resultados!AJ7),ABS(Resultados!AT7),ABS(Resultados!BD7),ABS(Resultados!BN7),ABS(Resultados!BX7),ABS(Resultados!CH7),ABS(Resultados!CR7),ABS(Resultados!DB7),ABS(Resultados!DL7)))</f>
        <v>706.93415949632788</v>
      </c>
      <c r="G7">
        <f>IF(COUNT(Resultados!G7,Resultados!Q7,Resultados!AA7,Resultados!AK7,Resultados!AU7,Resultados!BE7,Resultados!BO7,Resultados!BY7,Resultados!CI7,Resultados!CS7,Resultados!DC7,Resultados!DM7)=0, "", AVERAGE(ABS(Resultados!G7),ABS(Resultados!Q7),ABS(Resultados!AA7),ABS(Resultados!AK7),ABS(Resultados!AU7),ABS(Resultados!BE7),ABS(Resultados!BO7),ABS(Resultados!BY7),ABS(Resultados!CI7),ABS(Resultados!CS7),ABS(Resultados!DC7),ABS(Resultados!DM7)))</f>
        <v>0.4240000000000001</v>
      </c>
      <c r="H7">
        <f>IF(COUNT(Resultados!H7,Resultados!R7,Resultados!AB7,Resultados!AL7,Resultados!AV7,Resultados!BF7,Resultados!BP7,Resultados!BZ7,Resultados!CJ7,Resultados!CT7,Resultados!DD7,Resultados!DN7)=0, "", AVERAGE(ABS(Resultados!H7),ABS(Resultados!R7),ABS(Resultados!AB7),ABS(Resultados!AL7),ABS(Resultados!AV7),ABS(Resultados!BF7),ABS(Resultados!BP7),ABS(Resultados!BZ7),ABS(Resultados!CJ7),ABS(Resultados!CT7),ABS(Resultados!DD7),ABS(Resultados!DN7)))</f>
        <v>2.4749999999999993E-3</v>
      </c>
      <c r="I7">
        <f>IF(COUNT(Resultados!I7,Resultados!S7,Resultados!AC7,Resultados!AM7,Resultados!AW7,Resultados!BG7,Resultados!BQ7,Resultados!CA7,Resultados!CK7,Resultados!CU7,Resultados!DE7,Resultados!DO7)=0, "", AVERAGE(ABS(Resultados!I7),ABS(Resultados!S7),ABS(Resultados!AC7),ABS(Resultados!AM7),ABS(Resultados!AW7),ABS(Resultados!BG7),ABS(Resultados!BQ7),ABS(Resultados!CA7),ABS(Resultados!CK7),ABS(Resultados!CU7),ABS(Resultados!DE7),ABS(Resultados!DO7)))</f>
        <v>0.99931250000000027</v>
      </c>
      <c r="J7">
        <f>IF(COUNT(Resultados!J7,Resultados!T7,Resultados!AD7,Resultados!AN7,Resultados!AX7,Resultados!BH7,Resultados!BR7,Resultados!CB7,Resultados!CL7,Resultados!CV7,Resultados!DF7,Resultados!DP7)=0, "", AVERAGE(ABS(Resultados!J7),ABS(Resultados!T7),ABS(Resultados!AD7),ABS(Resultados!AN7),ABS(Resultados!AX7),ABS(Resultados!BH7),ABS(Resultados!BR7),ABS(Resultados!CB7),ABS(Resultados!CL7),ABS(Resultados!CV7),ABS(Resultados!DF7),ABS(Resultados!DP7)))</f>
        <v>2.4749999999999993E-3</v>
      </c>
      <c r="K7">
        <v>3.5083333333333334E-3</v>
      </c>
    </row>
    <row r="8" spans="1:11" x14ac:dyDescent="0.3">
      <c r="A8">
        <f>IF(COUNT(Resultados!A8,Resultados!K8,Resultados!U8,Resultados!AE8,Resultados!AO8,Resultados!AY8,Resultados!BI8,Resultados!BS8,Resultados!CC8,Resultados!CM8,Resultados!CW8,Resultados!DG8)=0, "", AVERAGE(ABS(Resultados!A8),ABS(Resultados!K8),ABS(Resultados!U8),ABS(Resultados!AE8),ABS(Resultados!AO8),ABS(Resultados!AY8),ABS(Resultados!BI8),ABS(Resultados!BS8),ABS(Resultados!CC8),ABS(Resultados!CM8),ABS(Resultados!CW8),ABS(Resultados!DG8)))</f>
        <v>45681</v>
      </c>
      <c r="B8" t="str">
        <f>IF(COUNT(Resultados!B8,Resultados!L8,Resultados!V8,Resultados!AF8,Resultados!AP8,Resultados!AZ8,Resultados!BJ8,Resultados!BT8,Resultados!CD8,Resultados!CN8,Resultados!CX8,Resultados!DH8)=0, "", AVERAGE(ABS(Resultados!B8),ABS(Resultados!L8),ABS(Resultados!V8),ABS(Resultados!AF8),ABS(Resultados!AP8),ABS(Resultados!AZ8),ABS(Resultados!BJ8),ABS(Resultados!BT8),ABS(Resultados!CD8),ABS(Resultados!CN8),ABS(Resultados!CX8),ABS(Resultados!DH8)))</f>
        <v/>
      </c>
      <c r="C8">
        <f>IF(COUNT(Resultados!C8,Resultados!M8,Resultados!W8,Resultados!AG8,Resultados!AQ8,Resultados!BA8,Resultados!BK8,Resultados!BU8,Resultados!CE8,Resultados!CO8,Resultados!CY8,Resultados!DI8)=0, "", AVERAGE(ABS(Resultados!C8),ABS(Resultados!M8),ABS(Resultados!W8),ABS(Resultados!AG8),ABS(Resultados!AQ8),ABS(Resultados!BA8),ABS(Resultados!BK8),ABS(Resultados!BU8),ABS(Resultados!CE8),ABS(Resultados!CO8),ABS(Resultados!CY8),ABS(Resultados!DI8)))</f>
        <v>3.4166666666666665</v>
      </c>
      <c r="D8">
        <f>IF(COUNT(Resultados!D8,Resultados!N8,Resultados!X8,Resultados!AH8,Resultados!AR8,Resultados!BB8,Resultados!BL8,Resultados!BV8,Resultados!CF8,Resultados!CP8,Resultados!CZ8,Resultados!DJ8)=0, "", AVERAGE(ABS(Resultados!D8),ABS(Resultados!N8),ABS(Resultados!X8),ABS(Resultados!AH8),ABS(Resultados!AR8),ABS(Resultados!BB8),ABS(Resultados!BL8),ABS(Resultados!BV8),ABS(Resultados!CF8),ABS(Resultados!CP8),ABS(Resultados!CZ8),ABS(Resultados!DJ8)))</f>
        <v>3.4833333333333335E-3</v>
      </c>
      <c r="E8">
        <f>IF(COUNT(Resultados!E8,Resultados!O8,Resultados!Y8,Resultados!AI8,Resultados!AS8,Resultados!BC8,Resultados!BM8,Resultados!BW8,Resultados!CG8,Resultados!CQ8,Resultados!DA8,Resultados!DK8)=0, "", AVERAGE(ABS(Resultados!E8),ABS(Resultados!O8),ABS(Resultados!Y8),ABS(Resultados!AI8),ABS(Resultados!AS8),ABS(Resultados!BC8),ABS(Resultados!BM8),ABS(Resultados!BW8),ABS(Resultados!CG8),ABS(Resultados!CQ8),ABS(Resultados!DA8),ABS(Resultados!DK8)))</f>
        <v>6.1834276624975777</v>
      </c>
      <c r="F8">
        <f>IF(COUNT(Resultados!F8,Resultados!P8,Resultados!Z8,Resultados!AJ8,Resultados!AT8,Resultados!BD8,Resultados!BN8,Resultados!BX8,Resultados!CH8,Resultados!CR8,Resultados!DB8,Resultados!DL8)=0, "", AVERAGE(ABS(Resultados!F8),ABS(Resultados!P8),ABS(Resultados!Z8),ABS(Resultados!AJ8),ABS(Resultados!AT8),ABS(Resultados!BD8),ABS(Resultados!BN8),ABS(Resultados!BX8),ABS(Resultados!CH8),ABS(Resultados!CR8),ABS(Resultados!DB8),ABS(Resultados!DL8)))</f>
        <v>701.23971770739217</v>
      </c>
      <c r="G8">
        <f>IF(COUNT(Resultados!G8,Resultados!Q8,Resultados!AA8,Resultados!AK8,Resultados!AU8,Resultados!BE8,Resultados!BO8,Resultados!BY8,Resultados!CI8,Resultados!CS8,Resultados!DC8,Resultados!DM8)=0, "", AVERAGE(ABS(Resultados!G8),ABS(Resultados!Q8),ABS(Resultados!AA8),ABS(Resultados!AK8),ABS(Resultados!AU8),ABS(Resultados!BE8),ABS(Resultados!BO8),ABS(Resultados!BY8),ABS(Resultados!CI8),ABS(Resultados!CS8),ABS(Resultados!DC8),ABS(Resultados!DM8)))</f>
        <v>0.4240000000000001</v>
      </c>
      <c r="H8">
        <f>IF(COUNT(Resultados!H8,Resultados!R8,Resultados!AB8,Resultados!AL8,Resultados!AV8,Resultados!BF8,Resultados!BP8,Resultados!BZ8,Resultados!CJ8,Resultados!CT8,Resultados!DD8,Resultados!DN8)=0, "", AVERAGE(ABS(Resultados!H8),ABS(Resultados!R8),ABS(Resultados!AB8),ABS(Resultados!AL8),ABS(Resultados!AV8),ABS(Resultados!BF8),ABS(Resultados!BP8),ABS(Resultados!BZ8),ABS(Resultados!CJ8),ABS(Resultados!CT8),ABS(Resultados!DD8),ABS(Resultados!DN8)))</f>
        <v>2.8999999999999998E-3</v>
      </c>
      <c r="I8">
        <f>IF(COUNT(Resultados!I8,Resultados!S8,Resultados!AC8,Resultados!AM8,Resultados!AW8,Resultados!BG8,Resultados!BQ8,Resultados!CA8,Resultados!CK8,Resultados!CU8,Resultados!DE8,Resultados!DO8)=0, "", AVERAGE(ABS(Resultados!I8),ABS(Resultados!S8),ABS(Resultados!AC8),ABS(Resultados!AM8),ABS(Resultados!AW8),ABS(Resultados!BG8),ABS(Resultados!BQ8),ABS(Resultados!CA8),ABS(Resultados!CK8),ABS(Resultados!CU8),ABS(Resultados!DE8),ABS(Resultados!DO8)))</f>
        <v>1.1997133333333294</v>
      </c>
      <c r="J8">
        <f>IF(COUNT(Resultados!J8,Resultados!T8,Resultados!AD8,Resultados!AN8,Resultados!AX8,Resultados!BH8,Resultados!BR8,Resultados!CB8,Resultados!CL8,Resultados!CV8,Resultados!DF8,Resultados!DP8)=0, "", AVERAGE(ABS(Resultados!J8),ABS(Resultados!T8),ABS(Resultados!AD8),ABS(Resultados!AN8),ABS(Resultados!AX8),ABS(Resultados!BH8),ABS(Resultados!BR8),ABS(Resultados!CB8),ABS(Resultados!CL8),ABS(Resultados!CV8),ABS(Resultados!DF8),ABS(Resultados!DP8)))</f>
        <v>2.8999999999999998E-3</v>
      </c>
      <c r="K8">
        <v>3.4833333333333335E-3</v>
      </c>
    </row>
    <row r="9" spans="1:11" x14ac:dyDescent="0.3">
      <c r="A9">
        <f>IF(COUNT(Resultados!A9,Resultados!K9,Resultados!U9,Resultados!AE9,Resultados!AO9,Resultados!AY9,Resultados!BI9,Resultados!BS9,Resultados!CC9,Resultados!CM9,Resultados!CW9,Resultados!DG9)=0, "", AVERAGE(ABS(Resultados!A9),ABS(Resultados!K9),ABS(Resultados!U9),ABS(Resultados!AE9),ABS(Resultados!AO9),ABS(Resultados!AY9),ABS(Resultados!BI9),ABS(Resultados!BS9),ABS(Resultados!CC9),ABS(Resultados!CM9),ABS(Resultados!CW9),ABS(Resultados!DG9)))</f>
        <v>45681</v>
      </c>
      <c r="B9" t="str">
        <f>IF(COUNT(Resultados!B9,Resultados!L9,Resultados!V9,Resultados!AF9,Resultados!AP9,Resultados!AZ9,Resultados!BJ9,Resultados!BT9,Resultados!CD9,Resultados!CN9,Resultados!CX9,Resultados!DH9)=0, "", AVERAGE(ABS(Resultados!B9),ABS(Resultados!L9),ABS(Resultados!V9),ABS(Resultados!AF9),ABS(Resultados!AP9),ABS(Resultados!AZ9),ABS(Resultados!BJ9),ABS(Resultados!BT9),ABS(Resultados!CD9),ABS(Resultados!CN9),ABS(Resultados!CX9),ABS(Resultados!DH9)))</f>
        <v/>
      </c>
      <c r="C9">
        <f>IF(COUNT(Resultados!C9,Resultados!M9,Resultados!W9,Resultados!AG9,Resultados!AQ9,Resultados!BA9,Resultados!BK9,Resultados!BU9,Resultados!CE9,Resultados!CO9,Resultados!CY9,Resultados!DI9)=0, "", AVERAGE(ABS(Resultados!C9),ABS(Resultados!M9),ABS(Resultados!W9),ABS(Resultados!AG9),ABS(Resultados!AQ9),ABS(Resultados!BA9),ABS(Resultados!BK9),ABS(Resultados!BU9),ABS(Resultados!CE9),ABS(Resultados!CO9),ABS(Resultados!CY9),ABS(Resultados!DI9)))</f>
        <v>3.4166666666666665</v>
      </c>
      <c r="D9">
        <f>IF(COUNT(Resultados!D9,Resultados!N9,Resultados!X9,Resultados!AH9,Resultados!AR9,Resultados!BB9,Resultados!BL9,Resultados!BV9,Resultados!CF9,Resultados!CP9,Resultados!CZ9,Resultados!DJ9)=0, "", AVERAGE(ABS(Resultados!D9),ABS(Resultados!N9),ABS(Resultados!X9),ABS(Resultados!AH9),ABS(Resultados!AR9),ABS(Resultados!BB9),ABS(Resultados!BL9),ABS(Resultados!BV9),ABS(Resultados!CF9),ABS(Resultados!CP9),ABS(Resultados!CZ9),ABS(Resultados!DJ9)))</f>
        <v>3.4833333333333335E-3</v>
      </c>
      <c r="E9">
        <f>IF(COUNT(Resultados!E9,Resultados!O9,Resultados!Y9,Resultados!AI9,Resultados!AS9,Resultados!BC9,Resultados!BM9,Resultados!BW9,Resultados!CG9,Resultados!CQ9,Resultados!DA9,Resultados!DK9)=0, "", AVERAGE(ABS(Resultados!E9),ABS(Resultados!O9),ABS(Resultados!Y9),ABS(Resultados!AI9),ABS(Resultados!AS9),ABS(Resultados!BC9),ABS(Resultados!BM9),ABS(Resultados!BW9),ABS(Resultados!CG9),ABS(Resultados!CQ9),ABS(Resultados!DA9),ABS(Resultados!DK9)))</f>
        <v>6.2398279227329994</v>
      </c>
      <c r="F9">
        <f>IF(COUNT(Resultados!F9,Resultados!P9,Resultados!Z9,Resultados!AJ9,Resultados!AT9,Resultados!BD9,Resultados!BN9,Resultados!BX9,Resultados!CH9,Resultados!CR9,Resultados!DB9,Resultados!DL9)=0, "", AVERAGE(ABS(Resultados!F9),ABS(Resultados!P9),ABS(Resultados!Z9),ABS(Resultados!AJ9),ABS(Resultados!AT9),ABS(Resultados!BD9),ABS(Resultados!BN9),ABS(Resultados!BX9),ABS(Resultados!CH9),ABS(Resultados!CR9),ABS(Resultados!DB9),ABS(Resultados!DL9)))</f>
        <v>706.60108397371675</v>
      </c>
      <c r="G9">
        <f>IF(COUNT(Resultados!G9,Resultados!Q9,Resultados!AA9,Resultados!AK9,Resultados!AU9,Resultados!BE9,Resultados!BO9,Resultados!BY9,Resultados!CI9,Resultados!CS9,Resultados!DC9,Resultados!DM9)=0, "", AVERAGE(ABS(Resultados!G9),ABS(Resultados!Q9),ABS(Resultados!AA9),ABS(Resultados!AK9),ABS(Resultados!AU9),ABS(Resultados!BE9),ABS(Resultados!BO9),ABS(Resultados!BY9),ABS(Resultados!CI9),ABS(Resultados!CS9),ABS(Resultados!DC9),ABS(Resultados!DM9)))</f>
        <v>0.4240000000000001</v>
      </c>
      <c r="H9">
        <f>IF(COUNT(Resultados!H9,Resultados!R9,Resultados!AB9,Resultados!AL9,Resultados!AV9,Resultados!BF9,Resultados!BP9,Resultados!BZ9,Resultados!CJ9,Resultados!CT9,Resultados!DD9,Resultados!DN9)=0, "", AVERAGE(ABS(Resultados!H9),ABS(Resultados!R9),ABS(Resultados!AB9),ABS(Resultados!AL9),ABS(Resultados!AV9),ABS(Resultados!BF9),ABS(Resultados!BP9),ABS(Resultados!BZ9),ABS(Resultados!CJ9),ABS(Resultados!CT9),ABS(Resultados!DD9),ABS(Resultados!DN9)))</f>
        <v>3.7749999999999993E-3</v>
      </c>
      <c r="I9">
        <f>IF(COUNT(Resultados!I9,Resultados!S9,Resultados!AC9,Resultados!AM9,Resultados!AW9,Resultados!BG9,Resultados!BQ9,Resultados!CA9,Resultados!CK9,Resultados!CU9,Resultados!DE9,Resultados!DO9)=0, "", AVERAGE(ABS(Resultados!I9),ABS(Resultados!S9),ABS(Resultados!AC9),ABS(Resultados!AM9),ABS(Resultados!AW9),ABS(Resultados!BG9),ABS(Resultados!BQ9),ABS(Resultados!CA9),ABS(Resultados!CK9),ABS(Resultados!CU9),ABS(Resultados!DE9),ABS(Resultados!DO9)))</f>
        <v>1.3991833333333361</v>
      </c>
      <c r="J9">
        <f>IF(COUNT(Resultados!J9,Resultados!T9,Resultados!AD9,Resultados!AN9,Resultados!AX9,Resultados!BH9,Resultados!BR9,Resultados!CB9,Resultados!CL9,Resultados!CV9,Resultados!DF9,Resultados!DP9)=0, "", AVERAGE(ABS(Resultados!J9),ABS(Resultados!T9),ABS(Resultados!AD9),ABS(Resultados!AN9),ABS(Resultados!AX9),ABS(Resultados!BH9),ABS(Resultados!BR9),ABS(Resultados!CB9),ABS(Resultados!CL9),ABS(Resultados!CV9),ABS(Resultados!DF9),ABS(Resultados!DP9)))</f>
        <v>3.7749999999999993E-3</v>
      </c>
      <c r="K9">
        <v>3.4833333333333335E-3</v>
      </c>
    </row>
    <row r="10" spans="1:11" x14ac:dyDescent="0.3">
      <c r="A10">
        <f>IF(COUNT(Resultados!A10,Resultados!K10,Resultados!U10,Resultados!AE10,Resultados!AO10,Resultados!AY10,Resultados!BI10,Resultados!BS10,Resultados!CC10,Resultados!CM10,Resultados!CW10,Resultados!DG10)=0, "", AVERAGE(ABS(Resultados!A10),ABS(Resultados!K10),ABS(Resultados!U10),ABS(Resultados!AE10),ABS(Resultados!AO10),ABS(Resultados!AY10),ABS(Resultados!BI10),ABS(Resultados!BS10),ABS(Resultados!CC10),ABS(Resultados!CM10),ABS(Resultados!CW10),ABS(Resultados!DG10)))</f>
        <v>45681</v>
      </c>
      <c r="B10" t="str">
        <f>IF(COUNT(Resultados!B10,Resultados!L10,Resultados!V10,Resultados!AF10,Resultados!AP10,Resultados!AZ10,Resultados!BJ10,Resultados!BT10,Resultados!CD10,Resultados!CN10,Resultados!CX10,Resultados!DH10)=0, "", AVERAGE(ABS(Resultados!B10),ABS(Resultados!L10),ABS(Resultados!V10),ABS(Resultados!AF10),ABS(Resultados!AP10),ABS(Resultados!AZ10),ABS(Resultados!BJ10),ABS(Resultados!BT10),ABS(Resultados!CD10),ABS(Resultados!CN10),ABS(Resultados!CX10),ABS(Resultados!DH10)))</f>
        <v/>
      </c>
      <c r="C10">
        <f>IF(COUNT(Resultados!C10,Resultados!M10,Resultados!W10,Resultados!AG10,Resultados!AQ10,Resultados!BA10,Resultados!BK10,Resultados!BU10,Resultados!CE10,Resultados!CO10,Resultados!CY10,Resultados!DI10)=0, "", AVERAGE(ABS(Resultados!C10),ABS(Resultados!M10),ABS(Resultados!W10),ABS(Resultados!AG10),ABS(Resultados!AQ10),ABS(Resultados!BA10),ABS(Resultados!BK10),ABS(Resultados!BU10),ABS(Resultados!CE10),ABS(Resultados!CO10),ABS(Resultados!CY10),ABS(Resultados!DI10)))</f>
        <v>3.4166666666666665</v>
      </c>
      <c r="D10">
        <f>IF(COUNT(Resultados!D10,Resultados!N10,Resultados!X10,Resultados!AH10,Resultados!AR10,Resultados!BB10,Resultados!BL10,Resultados!BV10,Resultados!CF10,Resultados!CP10,Resultados!CZ10,Resultados!DJ10)=0, "", AVERAGE(ABS(Resultados!D10),ABS(Resultados!N10),ABS(Resultados!X10),ABS(Resultados!AH10),ABS(Resultados!AR10),ABS(Resultados!BB10),ABS(Resultados!BL10),ABS(Resultados!BV10),ABS(Resultados!CF10),ABS(Resultados!CP10),ABS(Resultados!CZ10),ABS(Resultados!DJ10)))</f>
        <v>3.6083333333333336E-3</v>
      </c>
      <c r="E10">
        <f>IF(COUNT(Resultados!E10,Resultados!O10,Resultados!Y10,Resultados!AI10,Resultados!AS10,Resultados!BC10,Resultados!BM10,Resultados!BW10,Resultados!CG10,Resultados!CQ10,Resultados!DA10,Resultados!DK10)=0, "", AVERAGE(ABS(Resultados!E10),ABS(Resultados!O10),ABS(Resultados!Y10),ABS(Resultados!AI10),ABS(Resultados!AS10),ABS(Resultados!BC10),ABS(Resultados!BM10),ABS(Resultados!BW10),ABS(Resultados!CG10),ABS(Resultados!CQ10),ABS(Resultados!DA10),ABS(Resultados!DK10)))</f>
        <v>6.3057856881392098</v>
      </c>
      <c r="F10">
        <f>IF(COUNT(Resultados!F10,Resultados!P10,Resultados!Z10,Resultados!AJ10,Resultados!AT10,Resultados!BD10,Resultados!BN10,Resultados!BX10,Resultados!CH10,Resultados!CR10,Resultados!DB10,Resultados!DL10)=0, "", AVERAGE(ABS(Resultados!F10),ABS(Resultados!P10),ABS(Resultados!Z10),ABS(Resultados!AJ10),ABS(Resultados!AT10),ABS(Resultados!BD10),ABS(Resultados!BN10),ABS(Resultados!BX10),ABS(Resultados!CH10),ABS(Resultados!CR10),ABS(Resultados!DB10),ABS(Resultados!DL10)))</f>
        <v>721.38222527271455</v>
      </c>
      <c r="G10">
        <f>IF(COUNT(Resultados!G10,Resultados!Q10,Resultados!AA10,Resultados!AK10,Resultados!AU10,Resultados!BE10,Resultados!BO10,Resultados!BY10,Resultados!CI10,Resultados!CS10,Resultados!DC10,Resultados!DM10)=0, "", AVERAGE(ABS(Resultados!G10),ABS(Resultados!Q10),ABS(Resultados!AA10),ABS(Resultados!AK10),ABS(Resultados!AU10),ABS(Resultados!BE10),ABS(Resultados!BO10),ABS(Resultados!BY10),ABS(Resultados!CI10),ABS(Resultados!CS10),ABS(Resultados!DC10),ABS(Resultados!DM10)))</f>
        <v>0.4240000000000001</v>
      </c>
      <c r="H10">
        <f>IF(COUNT(Resultados!H10,Resultados!R10,Resultados!AB10,Resultados!AL10,Resultados!AV10,Resultados!BF10,Resultados!BP10,Resultados!BZ10,Resultados!CJ10,Resultados!CT10,Resultados!DD10,Resultados!DN10)=0, "", AVERAGE(ABS(Resultados!H10),ABS(Resultados!R10),ABS(Resultados!AB10),ABS(Resultados!AL10),ABS(Resultados!AV10),ABS(Resultados!BF10),ABS(Resultados!BP10),ABS(Resultados!BZ10),ABS(Resultados!CJ10),ABS(Resultados!CT10),ABS(Resultados!DD10),ABS(Resultados!DN10)))</f>
        <v>4.816666666666667E-3</v>
      </c>
      <c r="I10">
        <f>IF(COUNT(Resultados!I10,Resultados!S10,Resultados!AC10,Resultados!AM10,Resultados!AW10,Resultados!BG10,Resultados!BQ10,Resultados!CA10,Resultados!CK10,Resultados!CU10,Resultados!DE10,Resultados!DO10)=0, "", AVERAGE(ABS(Resultados!I10),ABS(Resultados!S10),ABS(Resultados!AC10),ABS(Resultados!AM10),ABS(Resultados!AW10),ABS(Resultados!BG10),ABS(Resultados!BQ10),ABS(Resultados!CA10),ABS(Resultados!CK10),ABS(Resultados!CU10),ABS(Resultados!DE10),ABS(Resultados!DO10)))</f>
        <v>1.5991816666666658</v>
      </c>
      <c r="J10">
        <f>IF(COUNT(Resultados!J10,Resultados!T10,Resultados!AD10,Resultados!AN10,Resultados!AX10,Resultados!BH10,Resultados!BR10,Resultados!CB10,Resultados!CL10,Resultados!CV10,Resultados!DF10,Resultados!DP10)=0, "", AVERAGE(ABS(Resultados!J10),ABS(Resultados!T10),ABS(Resultados!AD10),ABS(Resultados!AN10),ABS(Resultados!AX10),ABS(Resultados!BH10),ABS(Resultados!BR10),ABS(Resultados!CB10),ABS(Resultados!CL10),ABS(Resultados!CV10),ABS(Resultados!DF10),ABS(Resultados!DP10)))</f>
        <v>4.816666666666667E-3</v>
      </c>
      <c r="K10">
        <v>3.6083333333333336E-3</v>
      </c>
    </row>
    <row r="11" spans="1:11" x14ac:dyDescent="0.3">
      <c r="A11">
        <f>IF(COUNT(Resultados!A11,Resultados!K11,Resultados!U11,Resultados!AE11,Resultados!AO11,Resultados!AY11,Resultados!BI11,Resultados!BS11,Resultados!CC11,Resultados!CM11,Resultados!CW11,Resultados!DG11)=0, "", AVERAGE(ABS(Resultados!A11),ABS(Resultados!K11),ABS(Resultados!U11),ABS(Resultados!AE11),ABS(Resultados!AO11),ABS(Resultados!AY11),ABS(Resultados!BI11),ABS(Resultados!BS11),ABS(Resultados!CC11),ABS(Resultados!CM11),ABS(Resultados!CW11),ABS(Resultados!DG11)))</f>
        <v>45681</v>
      </c>
      <c r="B11" t="str">
        <f>IF(COUNT(Resultados!B11,Resultados!L11,Resultados!V11,Resultados!AF11,Resultados!AP11,Resultados!AZ11,Resultados!BJ11,Resultados!BT11,Resultados!CD11,Resultados!CN11,Resultados!CX11,Resultados!DH11)=0, "", AVERAGE(ABS(Resultados!B11),ABS(Resultados!L11),ABS(Resultados!V11),ABS(Resultados!AF11),ABS(Resultados!AP11),ABS(Resultados!AZ11),ABS(Resultados!BJ11),ABS(Resultados!BT11),ABS(Resultados!CD11),ABS(Resultados!CN11),ABS(Resultados!CX11),ABS(Resultados!DH11)))</f>
        <v/>
      </c>
      <c r="C11">
        <f>IF(COUNT(Resultados!C11,Resultados!M11,Resultados!W11,Resultados!AG11,Resultados!AQ11,Resultados!BA11,Resultados!BK11,Resultados!BU11,Resultados!CE11,Resultados!CO11,Resultados!CY11,Resultados!DI11)=0, "", AVERAGE(ABS(Resultados!C11),ABS(Resultados!M11),ABS(Resultados!W11),ABS(Resultados!AG11),ABS(Resultados!AQ11),ABS(Resultados!BA11),ABS(Resultados!BK11),ABS(Resultados!BU11),ABS(Resultados!CE11),ABS(Resultados!CO11),ABS(Resultados!CY11),ABS(Resultados!DI11)))</f>
        <v>3.4166666666666665</v>
      </c>
      <c r="D11">
        <f>IF(COUNT(Resultados!D11,Resultados!N11,Resultados!X11,Resultados!AH11,Resultados!AR11,Resultados!BB11,Resultados!BL11,Resultados!BV11,Resultados!CF11,Resultados!CP11,Resultados!CZ11,Resultados!DJ11)=0, "", AVERAGE(ABS(Resultados!D11),ABS(Resultados!N11),ABS(Resultados!X11),ABS(Resultados!AH11),ABS(Resultados!AR11),ABS(Resultados!BB11),ABS(Resultados!BL11),ABS(Resultados!BV11),ABS(Resultados!CF11),ABS(Resultados!CP11),ABS(Resultados!CZ11),ABS(Resultados!DJ11)))</f>
        <v>3.8083333333333324E-3</v>
      </c>
      <c r="E11">
        <f>IF(COUNT(Resultados!E11,Resultados!O11,Resultados!Y11,Resultados!AI11,Resultados!AS11,Resultados!BC11,Resultados!BM11,Resultados!BW11,Resultados!CG11,Resultados!CQ11,Resultados!DA11,Resultados!DK11)=0, "", AVERAGE(ABS(Resultados!E11),ABS(Resultados!O11),ABS(Resultados!Y11),ABS(Resultados!AI11),ABS(Resultados!AS11),ABS(Resultados!BC11),ABS(Resultados!BM11),ABS(Resultados!BW11),ABS(Resultados!CG11),ABS(Resultados!CQ11),ABS(Resultados!DA11),ABS(Resultados!DK11)))</f>
        <v>6.3792562848786263</v>
      </c>
      <c r="F11">
        <f>IF(COUNT(Resultados!F11,Resultados!P11,Resultados!Z11,Resultados!AJ11,Resultados!AT11,Resultados!BD11,Resultados!BN11,Resultados!BX11,Resultados!CH11,Resultados!CR11,Resultados!DB11,Resultados!DL11)=0, "", AVERAGE(ABS(Resultados!F11),ABS(Resultados!P11),ABS(Resultados!Z11),ABS(Resultados!AJ11),ABS(Resultados!AT11),ABS(Resultados!BD11),ABS(Resultados!BN11),ABS(Resultados!BX11),ABS(Resultados!CH11),ABS(Resultados!CR11),ABS(Resultados!DB11),ABS(Resultados!DL11)))</f>
        <v>728.35813075867793</v>
      </c>
      <c r="G11">
        <f>IF(COUNT(Resultados!G11,Resultados!Q11,Resultados!AA11,Resultados!AK11,Resultados!AU11,Resultados!BE11,Resultados!BO11,Resultados!BY11,Resultados!CI11,Resultados!CS11,Resultados!DC11,Resultados!DM11)=0, "", AVERAGE(ABS(Resultados!G11),ABS(Resultados!Q11),ABS(Resultados!AA11),ABS(Resultados!AK11),ABS(Resultados!AU11),ABS(Resultados!BE11),ABS(Resultados!BO11),ABS(Resultados!BY11),ABS(Resultados!CI11),ABS(Resultados!CS11),ABS(Resultados!DC11),ABS(Resultados!DM11)))</f>
        <v>0.4240000000000001</v>
      </c>
      <c r="H11">
        <f>IF(COUNT(Resultados!H11,Resultados!R11,Resultados!AB11,Resultados!AL11,Resultados!AV11,Resultados!BF11,Resultados!BP11,Resultados!BZ11,Resultados!CJ11,Resultados!CT11,Resultados!DD11,Resultados!DN11)=0, "", AVERAGE(ABS(Resultados!H11),ABS(Resultados!R11),ABS(Resultados!AB11),ABS(Resultados!AL11),ABS(Resultados!AV11),ABS(Resultados!BF11),ABS(Resultados!BP11),ABS(Resultados!BZ11),ABS(Resultados!CJ11),ABS(Resultados!CT11),ABS(Resultados!DD11),ABS(Resultados!DN11)))</f>
        <v>5.9583333333333337E-3</v>
      </c>
      <c r="I11">
        <f>IF(COUNT(Resultados!I11,Resultados!S11,Resultados!AC11,Resultados!AM11,Resultados!AW11,Resultados!BG11,Resultados!BQ11,Resultados!CA11,Resultados!CK11,Resultados!CU11,Resultados!DE11,Resultados!DO11)=0, "", AVERAGE(ABS(Resultados!I11),ABS(Resultados!S11),ABS(Resultados!AC11),ABS(Resultados!AM11),ABS(Resultados!AW11),ABS(Resultados!BG11),ABS(Resultados!BQ11),ABS(Resultados!CA11),ABS(Resultados!CK11),ABS(Resultados!CU11),ABS(Resultados!DE11),ABS(Resultados!DO11)))</f>
        <v>1.7996716666666657</v>
      </c>
      <c r="J11">
        <f>IF(COUNT(Resultados!J11,Resultados!T11,Resultados!AD11,Resultados!AN11,Resultados!AX11,Resultados!BH11,Resultados!BR11,Resultados!CB11,Resultados!CL11,Resultados!CV11,Resultados!DF11,Resultados!DP11)=0, "", AVERAGE(ABS(Resultados!J11),ABS(Resultados!T11),ABS(Resultados!AD11),ABS(Resultados!AN11),ABS(Resultados!AX11),ABS(Resultados!BH11),ABS(Resultados!BR11),ABS(Resultados!CB11),ABS(Resultados!CL11),ABS(Resultados!CV11),ABS(Resultados!DF11),ABS(Resultados!DP11)))</f>
        <v>5.9583333333333337E-3</v>
      </c>
      <c r="K11">
        <v>3.8083333333333324E-3</v>
      </c>
    </row>
    <row r="12" spans="1:11" x14ac:dyDescent="0.3">
      <c r="A12">
        <f>IF(COUNT(Resultados!A12,Resultados!K12,Resultados!U12,Resultados!AE12,Resultados!AO12,Resultados!AY12,Resultados!BI12,Resultados!BS12,Resultados!CC12,Resultados!CM12,Resultados!CW12,Resultados!DG12)=0, "", AVERAGE(ABS(Resultados!A12),ABS(Resultados!K12),ABS(Resultados!U12),ABS(Resultados!AE12),ABS(Resultados!AO12),ABS(Resultados!AY12),ABS(Resultados!BI12),ABS(Resultados!BS12),ABS(Resultados!CC12),ABS(Resultados!CM12),ABS(Resultados!CW12),ABS(Resultados!DG12)))</f>
        <v>45681</v>
      </c>
      <c r="B12" t="str">
        <f>IF(COUNT(Resultados!B12,Resultados!L12,Resultados!V12,Resultados!AF12,Resultados!AP12,Resultados!AZ12,Resultados!BJ12,Resultados!BT12,Resultados!CD12,Resultados!CN12,Resultados!CX12,Resultados!DH12)=0, "", AVERAGE(ABS(Resultados!B12),ABS(Resultados!L12),ABS(Resultados!V12),ABS(Resultados!AF12),ABS(Resultados!AP12),ABS(Resultados!AZ12),ABS(Resultados!BJ12),ABS(Resultados!BT12),ABS(Resultados!CD12),ABS(Resultados!CN12),ABS(Resultados!CX12),ABS(Resultados!DH12)))</f>
        <v/>
      </c>
      <c r="C12">
        <f>IF(COUNT(Resultados!C12,Resultados!M12,Resultados!W12,Resultados!AG12,Resultados!AQ12,Resultados!BA12,Resultados!BK12,Resultados!BU12,Resultados!CE12,Resultados!CO12,Resultados!CY12,Resultados!DI12)=0, "", AVERAGE(ABS(Resultados!C12),ABS(Resultados!M12),ABS(Resultados!W12),ABS(Resultados!AG12),ABS(Resultados!AQ12),ABS(Resultados!BA12),ABS(Resultados!BK12),ABS(Resultados!BU12),ABS(Resultados!CE12),ABS(Resultados!CO12),ABS(Resultados!CY12),ABS(Resultados!DI12)))</f>
        <v>3.4166666666666665</v>
      </c>
      <c r="D12">
        <f>IF(COUNT(Resultados!D12,Resultados!N12,Resultados!X12,Resultados!AH12,Resultados!AR12,Resultados!BB12,Resultados!BL12,Resultados!BV12,Resultados!CF12,Resultados!CP12,Resultados!CZ12,Resultados!DJ12)=0, "", AVERAGE(ABS(Resultados!D12),ABS(Resultados!N12),ABS(Resultados!X12),ABS(Resultados!AH12),ABS(Resultados!AR12),ABS(Resultados!BB12),ABS(Resultados!BL12),ABS(Resultados!BV12),ABS(Resultados!CF12),ABS(Resultados!CP12),ABS(Resultados!CZ12),ABS(Resultados!DJ12)))</f>
        <v>4.1833333333333332E-3</v>
      </c>
      <c r="E12">
        <f>IF(COUNT(Resultados!E12,Resultados!O12,Resultados!Y12,Resultados!AI12,Resultados!AS12,Resultados!BC12,Resultados!BM12,Resultados!BW12,Resultados!CG12,Resultados!CQ12,Resultados!DA12,Resultados!DK12)=0, "", AVERAGE(ABS(Resultados!E12),ABS(Resultados!O12),ABS(Resultados!Y12),ABS(Resultados!AI12),ABS(Resultados!AS12),ABS(Resultados!BC12),ABS(Resultados!BM12),ABS(Resultados!BW12),ABS(Resultados!CG12),ABS(Resultados!CQ12),ABS(Resultados!DA12),ABS(Resultados!DK12)))</f>
        <v>6.4586863081500994</v>
      </c>
      <c r="F12">
        <f>IF(COUNT(Resultados!F12,Resultados!P12,Resultados!Z12,Resultados!AJ12,Resultados!AT12,Resultados!BD12,Resultados!BN12,Resultados!BX12,Resultados!CH12,Resultados!CR12,Resultados!DB12,Resultados!DL12)=0, "", AVERAGE(ABS(Resultados!F12),ABS(Resultados!P12),ABS(Resultados!Z12),ABS(Resultados!AJ12),ABS(Resultados!AT12),ABS(Resultados!BD12),ABS(Resultados!BN12),ABS(Resultados!BX12),ABS(Resultados!CH12),ABS(Resultados!CR12),ABS(Resultados!DB12),ABS(Resultados!DL12)))</f>
        <v>735.89720613353927</v>
      </c>
      <c r="G12">
        <f>IF(COUNT(Resultados!G12,Resultados!Q12,Resultados!AA12,Resultados!AK12,Resultados!AU12,Resultados!BE12,Resultados!BO12,Resultados!BY12,Resultados!CI12,Resultados!CS12,Resultados!DC12,Resultados!DM12)=0, "", AVERAGE(ABS(Resultados!G12),ABS(Resultados!Q12),ABS(Resultados!AA12),ABS(Resultados!AK12),ABS(Resultados!AU12),ABS(Resultados!BE12),ABS(Resultados!BO12),ABS(Resultados!BY12),ABS(Resultados!CI12),ABS(Resultados!CS12),ABS(Resultados!DC12),ABS(Resultados!DM12)))</f>
        <v>0.4240000000000001</v>
      </c>
      <c r="H12">
        <f>IF(COUNT(Resultados!H12,Resultados!R12,Resultados!AB12,Resultados!AL12,Resultados!AV12,Resultados!BF12,Resultados!BP12,Resultados!BZ12,Resultados!CJ12,Resultados!CT12,Resultados!DD12,Resultados!DN12)=0, "", AVERAGE(ABS(Resultados!H12),ABS(Resultados!R12),ABS(Resultados!AB12),ABS(Resultados!AL12),ABS(Resultados!AV12),ABS(Resultados!BF12),ABS(Resultados!BP12),ABS(Resultados!BZ12),ABS(Resultados!CJ12),ABS(Resultados!CT12),ABS(Resultados!DD12),ABS(Resultados!DN12)))</f>
        <v>7.1916666666666665E-3</v>
      </c>
      <c r="I12">
        <f>IF(COUNT(Resultados!I12,Resultados!S12,Resultados!AC12,Resultados!AM12,Resultados!AW12,Resultados!BG12,Resultados!BQ12,Resultados!CA12,Resultados!CK12,Resultados!CU12,Resultados!DE12,Resultados!DO12)=0, "", AVERAGE(ABS(Resultados!I12),ABS(Resultados!S12),ABS(Resultados!AC12),ABS(Resultados!AM12),ABS(Resultados!AW12),ABS(Resultados!BG12),ABS(Resultados!BQ12),ABS(Resultados!CA12),ABS(Resultados!CK12),ABS(Resultados!CU12),ABS(Resultados!DE12),ABS(Resultados!DO12)))</f>
        <v>2.0004066666666636</v>
      </c>
      <c r="J12">
        <f>IF(COUNT(Resultados!J12,Resultados!T12,Resultados!AD12,Resultados!AN12,Resultados!AX12,Resultados!BH12,Resultados!BR12,Resultados!CB12,Resultados!CL12,Resultados!CV12,Resultados!DF12,Resultados!DP12)=0, "", AVERAGE(ABS(Resultados!J12),ABS(Resultados!T12),ABS(Resultados!AD12),ABS(Resultados!AN12),ABS(Resultados!AX12),ABS(Resultados!BH12),ABS(Resultados!BR12),ABS(Resultados!CB12),ABS(Resultados!CL12),ABS(Resultados!CV12),ABS(Resultados!DF12),ABS(Resultados!DP12)))</f>
        <v>7.1916666666666665E-3</v>
      </c>
      <c r="K12">
        <v>4.1833333333333332E-3</v>
      </c>
    </row>
    <row r="13" spans="1:11" x14ac:dyDescent="0.3">
      <c r="A13">
        <f>IF(COUNT(Resultados!A13,Resultados!K13,Resultados!U13,Resultados!AE13,Resultados!AO13,Resultados!AY13,Resultados!BI13,Resultados!BS13,Resultados!CC13,Resultados!CM13,Resultados!CW13,Resultados!DG13)=0, "", AVERAGE(ABS(Resultados!A13),ABS(Resultados!K13),ABS(Resultados!U13),ABS(Resultados!AE13),ABS(Resultados!AO13),ABS(Resultados!AY13),ABS(Resultados!BI13),ABS(Resultados!BS13),ABS(Resultados!CC13),ABS(Resultados!CM13),ABS(Resultados!CW13),ABS(Resultados!DG13)))</f>
        <v>45681</v>
      </c>
      <c r="B13" t="str">
        <f>IF(COUNT(Resultados!B13,Resultados!L13,Resultados!V13,Resultados!AF13,Resultados!AP13,Resultados!AZ13,Resultados!BJ13,Resultados!BT13,Resultados!CD13,Resultados!CN13,Resultados!CX13,Resultados!DH13)=0, "", AVERAGE(ABS(Resultados!B13),ABS(Resultados!L13),ABS(Resultados!V13),ABS(Resultados!AF13),ABS(Resultados!AP13),ABS(Resultados!AZ13),ABS(Resultados!BJ13),ABS(Resultados!BT13),ABS(Resultados!CD13),ABS(Resultados!CN13),ABS(Resultados!CX13),ABS(Resultados!DH13)))</f>
        <v/>
      </c>
      <c r="C13">
        <f>IF(COUNT(Resultados!C13,Resultados!M13,Resultados!W13,Resultados!AG13,Resultados!AQ13,Resultados!BA13,Resultados!BK13,Resultados!BU13,Resultados!CE13,Resultados!CO13,Resultados!CY13,Resultados!DI13)=0, "", AVERAGE(ABS(Resultados!C13),ABS(Resultados!M13),ABS(Resultados!W13),ABS(Resultados!AG13),ABS(Resultados!AQ13),ABS(Resultados!BA13),ABS(Resultados!BK13),ABS(Resultados!BU13),ABS(Resultados!CE13),ABS(Resultados!CO13),ABS(Resultados!CY13),ABS(Resultados!DI13)))</f>
        <v>3.4166666666666665</v>
      </c>
      <c r="D13">
        <f>IF(COUNT(Resultados!D13,Resultados!N13,Resultados!X13,Resultados!AH13,Resultados!AR13,Resultados!BB13,Resultados!BL13,Resultados!BV13,Resultados!CF13,Resultados!CP13,Resultados!CZ13,Resultados!DJ13)=0, "", AVERAGE(ABS(Resultados!D13),ABS(Resultados!N13),ABS(Resultados!X13),ABS(Resultados!AH13),ABS(Resultados!AR13),ABS(Resultados!BB13),ABS(Resultados!BL13),ABS(Resultados!BV13),ABS(Resultados!CF13),ABS(Resultados!CP13),ABS(Resultados!CZ13),ABS(Resultados!DJ13)))</f>
        <v>4.9249999999999997E-3</v>
      </c>
      <c r="E13">
        <f>IF(COUNT(Resultados!E13,Resultados!O13,Resultados!Y13,Resultados!AI13,Resultados!AS13,Resultados!BC13,Resultados!BM13,Resultados!BW13,Resultados!CG13,Resultados!CQ13,Resultados!DA13,Resultados!DK13)=0, "", AVERAGE(ABS(Resultados!E13),ABS(Resultados!O13),ABS(Resultados!Y13),ABS(Resultados!AI13),ABS(Resultados!AS13),ABS(Resultados!BC13),ABS(Resultados!BM13),ABS(Resultados!BW13),ABS(Resultados!CG13),ABS(Resultados!CQ13),ABS(Resultados!DA13),ABS(Resultados!DK13)))</f>
        <v>6.541484959613709</v>
      </c>
      <c r="F13">
        <f>IF(COUNT(Resultados!F13,Resultados!P13,Resultados!Z13,Resultados!AJ13,Resultados!AT13,Resultados!BD13,Resultados!BN13,Resultados!BX13,Resultados!CH13,Resultados!CR13,Resultados!DB13,Resultados!DL13)=0, "", AVERAGE(ABS(Resultados!F13),ABS(Resultados!P13),ABS(Resultados!Z13),ABS(Resultados!AJ13),ABS(Resultados!AT13),ABS(Resultados!BD13),ABS(Resultados!BN13),ABS(Resultados!BX13),ABS(Resultados!CH13),ABS(Resultados!CR13),ABS(Resultados!DB13),ABS(Resultados!DL13)))</f>
        <v>752.27086042380085</v>
      </c>
      <c r="G13">
        <f>IF(COUNT(Resultados!G13,Resultados!Q13,Resultados!AA13,Resultados!AK13,Resultados!AU13,Resultados!BE13,Resultados!BO13,Resultados!BY13,Resultados!CI13,Resultados!CS13,Resultados!DC13,Resultados!DM13)=0, "", AVERAGE(ABS(Resultados!G13),ABS(Resultados!Q13),ABS(Resultados!AA13),ABS(Resultados!AK13),ABS(Resultados!AU13),ABS(Resultados!BE13),ABS(Resultados!BO13),ABS(Resultados!BY13),ABS(Resultados!CI13),ABS(Resultados!CS13),ABS(Resultados!DC13),ABS(Resultados!DM13)))</f>
        <v>0.4240000000000001</v>
      </c>
      <c r="H13">
        <f>IF(COUNT(Resultados!H13,Resultados!R13,Resultados!AB13,Resultados!AL13,Resultados!AV13,Resultados!BF13,Resultados!BP13,Resultados!BZ13,Resultados!CJ13,Resultados!CT13,Resultados!DD13,Resultados!DN13)=0, "", AVERAGE(ABS(Resultados!H13),ABS(Resultados!R13),ABS(Resultados!AB13),ABS(Resultados!AL13),ABS(Resultados!AV13),ABS(Resultados!BF13),ABS(Resultados!BP13),ABS(Resultados!BZ13),ABS(Resultados!CJ13),ABS(Resultados!CT13),ABS(Resultados!DD13),ABS(Resultados!DN13)))</f>
        <v>8.4750000000000016E-3</v>
      </c>
      <c r="I13">
        <f>IF(COUNT(Resultados!I13,Resultados!S13,Resultados!AC13,Resultados!AM13,Resultados!AW13,Resultados!BG13,Resultados!BQ13,Resultados!CA13,Resultados!CK13,Resultados!CU13,Resultados!DE13,Resultados!DO13)=0, "", AVERAGE(ABS(Resultados!I13),ABS(Resultados!S13),ABS(Resultados!AC13),ABS(Resultados!AM13),ABS(Resultados!AW13),ABS(Resultados!BG13),ABS(Resultados!BQ13),ABS(Resultados!CA13),ABS(Resultados!CK13),ABS(Resultados!CU13),ABS(Resultados!DE13),ABS(Resultados!DO13)))</f>
        <v>2.1990900000000004</v>
      </c>
      <c r="J13">
        <f>IF(COUNT(Resultados!J13,Resultados!T13,Resultados!AD13,Resultados!AN13,Resultados!AX13,Resultados!BH13,Resultados!BR13,Resultados!CB13,Resultados!CL13,Resultados!CV13,Resultados!DF13,Resultados!DP13)=0, "", AVERAGE(ABS(Resultados!J13),ABS(Resultados!T13),ABS(Resultados!AD13),ABS(Resultados!AN13),ABS(Resultados!AX13),ABS(Resultados!BH13),ABS(Resultados!BR13),ABS(Resultados!CB13),ABS(Resultados!CL13),ABS(Resultados!CV13),ABS(Resultados!DF13),ABS(Resultados!DP13)))</f>
        <v>8.4750000000000016E-3</v>
      </c>
      <c r="K13">
        <v>4.9249999999999997E-3</v>
      </c>
    </row>
    <row r="14" spans="1:11" x14ac:dyDescent="0.3">
      <c r="A14">
        <f>IF(COUNT(Resultados!A14,Resultados!K14,Resultados!U14,Resultados!AE14,Resultados!AO14,Resultados!AY14,Resultados!BI14,Resultados!BS14,Resultados!CC14,Resultados!CM14,Resultados!CW14,Resultados!DG14)=0, "", AVERAGE(ABS(Resultados!A14),ABS(Resultados!K14),ABS(Resultados!U14),ABS(Resultados!AE14),ABS(Resultados!AO14),ABS(Resultados!AY14),ABS(Resultados!BI14),ABS(Resultados!BS14),ABS(Resultados!CC14),ABS(Resultados!CM14),ABS(Resultados!CW14),ABS(Resultados!DG14)))</f>
        <v>45681</v>
      </c>
      <c r="B14" t="str">
        <f>IF(COUNT(Resultados!B14,Resultados!L14,Resultados!V14,Resultados!AF14,Resultados!AP14,Resultados!AZ14,Resultados!BJ14,Resultados!BT14,Resultados!CD14,Resultados!CN14,Resultados!CX14,Resultados!DH14)=0, "", AVERAGE(ABS(Resultados!B14),ABS(Resultados!L14),ABS(Resultados!V14),ABS(Resultados!AF14),ABS(Resultados!AP14),ABS(Resultados!AZ14),ABS(Resultados!BJ14),ABS(Resultados!BT14),ABS(Resultados!CD14),ABS(Resultados!CN14),ABS(Resultados!CX14),ABS(Resultados!DH14)))</f>
        <v/>
      </c>
      <c r="C14">
        <f>IF(COUNT(Resultados!C14,Resultados!M14,Resultados!W14,Resultados!AG14,Resultados!AQ14,Resultados!BA14,Resultados!BK14,Resultados!BU14,Resultados!CE14,Resultados!CO14,Resultados!CY14,Resultados!DI14)=0, "", AVERAGE(ABS(Resultados!C14),ABS(Resultados!M14),ABS(Resultados!W14),ABS(Resultados!AG14),ABS(Resultados!AQ14),ABS(Resultados!BA14),ABS(Resultados!BK14),ABS(Resultados!BU14),ABS(Resultados!CE14),ABS(Resultados!CO14),ABS(Resultados!CY14),ABS(Resultados!DI14)))</f>
        <v>3.4166666666666665</v>
      </c>
      <c r="D14">
        <f>IF(COUNT(Resultados!D14,Resultados!N14,Resultados!X14,Resultados!AH14,Resultados!AR14,Resultados!BB14,Resultados!BL14,Resultados!BV14,Resultados!CF14,Resultados!CP14,Resultados!CZ14,Resultados!DJ14)=0, "", AVERAGE(ABS(Resultados!D14),ABS(Resultados!N14),ABS(Resultados!X14),ABS(Resultados!AH14),ABS(Resultados!AR14),ABS(Resultados!BB14),ABS(Resultados!BL14),ABS(Resultados!BV14),ABS(Resultados!CF14),ABS(Resultados!CP14),ABS(Resultados!CZ14),ABS(Resultados!DJ14)))</f>
        <v>6.0583333333333331E-3</v>
      </c>
      <c r="E14">
        <f>IF(COUNT(Resultados!E14,Resultados!O14,Resultados!Y14,Resultados!AI14,Resultados!AS14,Resultados!BC14,Resultados!BM14,Resultados!BW14,Resultados!CG14,Resultados!CQ14,Resultados!DA14,Resultados!DK14)=0, "", AVERAGE(ABS(Resultados!E14),ABS(Resultados!O14),ABS(Resultados!Y14),ABS(Resultados!AI14),ABS(Resultados!AS14),ABS(Resultados!BC14),ABS(Resultados!BM14),ABS(Resultados!BW14),ABS(Resultados!CG14),ABS(Resultados!CQ14),ABS(Resultados!DA14),ABS(Resultados!DK14)))</f>
        <v>6.6267353763783321</v>
      </c>
      <c r="F14">
        <f>IF(COUNT(Resultados!F14,Resultados!P14,Resultados!Z14,Resultados!AJ14,Resultados!AT14,Resultados!BD14,Resultados!BN14,Resultados!BX14,Resultados!CH14,Resultados!CR14,Resultados!DB14,Resultados!DL14)=0, "", AVERAGE(ABS(Resultados!F14),ABS(Resultados!P14),ABS(Resultados!Z14),ABS(Resultados!AJ14),ABS(Resultados!AT14),ABS(Resultados!BD14),ABS(Resultados!BN14),ABS(Resultados!BX14),ABS(Resultados!CH14),ABS(Resultados!CR14),ABS(Resultados!DB14),ABS(Resultados!DL14)))</f>
        <v>760.3611249747637</v>
      </c>
      <c r="G14">
        <f>IF(COUNT(Resultados!G14,Resultados!Q14,Resultados!AA14,Resultados!AK14,Resultados!AU14,Resultados!BE14,Resultados!BO14,Resultados!BY14,Resultados!CI14,Resultados!CS14,Resultados!DC14,Resultados!DM14)=0, "", AVERAGE(ABS(Resultados!G14),ABS(Resultados!Q14),ABS(Resultados!AA14),ABS(Resultados!AK14),ABS(Resultados!AU14),ABS(Resultados!BE14),ABS(Resultados!BO14),ABS(Resultados!BY14),ABS(Resultados!CI14),ABS(Resultados!CS14),ABS(Resultados!DC14),ABS(Resultados!DM14)))</f>
        <v>0.4240000000000001</v>
      </c>
      <c r="H14">
        <f>IF(COUNT(Resultados!H14,Resultados!R14,Resultados!AB14,Resultados!AL14,Resultados!AV14,Resultados!BF14,Resultados!BP14,Resultados!BZ14,Resultados!CJ14,Resultados!CT14,Resultados!DD14,Resultados!DN14)=0, "", AVERAGE(ABS(Resultados!H14),ABS(Resultados!R14),ABS(Resultados!AB14),ABS(Resultados!AL14),ABS(Resultados!AV14),ABS(Resultados!BF14),ABS(Resultados!BP14),ABS(Resultados!BZ14),ABS(Resultados!CJ14),ABS(Resultados!CT14),ABS(Resultados!DD14),ABS(Resultados!DN14)))</f>
        <v>9.8083333333333338E-3</v>
      </c>
      <c r="I14">
        <f>IF(COUNT(Resultados!I14,Resultados!S14,Resultados!AC14,Resultados!AM14,Resultados!AW14,Resultados!BG14,Resultados!BQ14,Resultados!CA14,Resultados!CK14,Resultados!CU14,Resultados!DE14,Resultados!DO14)=0, "", AVERAGE(ABS(Resultados!I14),ABS(Resultados!S14),ABS(Resultados!AC14),ABS(Resultados!AM14),ABS(Resultados!AW14),ABS(Resultados!BG14),ABS(Resultados!BQ14),ABS(Resultados!CA14),ABS(Resultados!CK14),ABS(Resultados!CU14),ABS(Resultados!DE14),ABS(Resultados!DO14)))</f>
        <v>2.3997291666666674</v>
      </c>
      <c r="J14">
        <f>IF(COUNT(Resultados!J14,Resultados!T14,Resultados!AD14,Resultados!AN14,Resultados!AX14,Resultados!BH14,Resultados!BR14,Resultados!CB14,Resultados!CL14,Resultados!CV14,Resultados!DF14,Resultados!DP14)=0, "", AVERAGE(ABS(Resultados!J14),ABS(Resultados!T14),ABS(Resultados!AD14),ABS(Resultados!AN14),ABS(Resultados!AX14),ABS(Resultados!BH14),ABS(Resultados!BR14),ABS(Resultados!CB14),ABS(Resultados!CL14),ABS(Resultados!CV14),ABS(Resultados!DF14),ABS(Resultados!DP14)))</f>
        <v>9.8083333333333338E-3</v>
      </c>
      <c r="K14">
        <v>6.0583333333333331E-3</v>
      </c>
    </row>
    <row r="15" spans="1:11" x14ac:dyDescent="0.3">
      <c r="A15">
        <f>IF(COUNT(Resultados!A15,Resultados!K15,Resultados!U15,Resultados!AE15,Resultados!AO15,Resultados!AY15,Resultados!BI15,Resultados!BS15,Resultados!CC15,Resultados!CM15,Resultados!CW15,Resultados!DG15)=0, "", AVERAGE(ABS(Resultados!A15),ABS(Resultados!K15),ABS(Resultados!U15),ABS(Resultados!AE15),ABS(Resultados!AO15),ABS(Resultados!AY15),ABS(Resultados!BI15),ABS(Resultados!BS15),ABS(Resultados!CC15),ABS(Resultados!CM15),ABS(Resultados!CW15),ABS(Resultados!DG15)))</f>
        <v>45681</v>
      </c>
      <c r="B15" t="str">
        <f>IF(COUNT(Resultados!B15,Resultados!L15,Resultados!V15,Resultados!AF15,Resultados!AP15,Resultados!AZ15,Resultados!BJ15,Resultados!BT15,Resultados!CD15,Resultados!CN15,Resultados!CX15,Resultados!DH15)=0, "", AVERAGE(ABS(Resultados!B15),ABS(Resultados!L15),ABS(Resultados!V15),ABS(Resultados!AF15),ABS(Resultados!AP15),ABS(Resultados!AZ15),ABS(Resultados!BJ15),ABS(Resultados!BT15),ABS(Resultados!CD15),ABS(Resultados!CN15),ABS(Resultados!CX15),ABS(Resultados!DH15)))</f>
        <v/>
      </c>
      <c r="C15">
        <f>IF(COUNT(Resultados!C15,Resultados!M15,Resultados!W15,Resultados!AG15,Resultados!AQ15,Resultados!BA15,Resultados!BK15,Resultados!BU15,Resultados!CE15,Resultados!CO15,Resultados!CY15,Resultados!DI15)=0, "", AVERAGE(ABS(Resultados!C15),ABS(Resultados!M15),ABS(Resultados!W15),ABS(Resultados!AG15),ABS(Resultados!AQ15),ABS(Resultados!BA15),ABS(Resultados!BK15),ABS(Resultados!BU15),ABS(Resultados!CE15),ABS(Resultados!CO15),ABS(Resultados!CY15),ABS(Resultados!DI15)))</f>
        <v>3.4166666666666665</v>
      </c>
      <c r="D15">
        <f>IF(COUNT(Resultados!D15,Resultados!N15,Resultados!X15,Resultados!AH15,Resultados!AR15,Resultados!BB15,Resultados!BL15,Resultados!BV15,Resultados!CF15,Resultados!CP15,Resultados!CZ15,Resultados!DJ15)=0, "", AVERAGE(ABS(Resultados!D15),ABS(Resultados!N15),ABS(Resultados!X15),ABS(Resultados!AH15),ABS(Resultados!AR15),ABS(Resultados!BB15),ABS(Resultados!BL15),ABS(Resultados!BV15),ABS(Resultados!CF15),ABS(Resultados!CP15),ABS(Resultados!CZ15),ABS(Resultados!DJ15)))</f>
        <v>7.2249999999999997E-3</v>
      </c>
      <c r="E15">
        <f>IF(COUNT(Resultados!E15,Resultados!O15,Resultados!Y15,Resultados!AI15,Resultados!AS15,Resultados!BC15,Resultados!BM15,Resultados!BW15,Resultados!CG15,Resultados!CQ15,Resultados!DA15,Resultados!DK15)=0, "", AVERAGE(ABS(Resultados!E15),ABS(Resultados!O15),ABS(Resultados!Y15),ABS(Resultados!AI15),ABS(Resultados!AS15),ABS(Resultados!BC15),ABS(Resultados!BM15),ABS(Resultados!BW15),ABS(Resultados!CG15),ABS(Resultados!CQ15),ABS(Resultados!DA15),ABS(Resultados!DK15)))</f>
        <v>6.7113268981058853</v>
      </c>
      <c r="F15">
        <f>IF(COUNT(Resultados!F15,Resultados!P15,Resultados!Z15,Resultados!AJ15,Resultados!AT15,Resultados!BD15,Resultados!BN15,Resultados!BX15,Resultados!CH15,Resultados!CR15,Resultados!DB15,Resultados!DL15)=0, "", AVERAGE(ABS(Resultados!F15),ABS(Resultados!P15),ABS(Resultados!Z15),ABS(Resultados!AJ15),ABS(Resultados!AT15),ABS(Resultados!BD15),ABS(Resultados!BN15),ABS(Resultados!BX15),ABS(Resultados!CH15),ABS(Resultados!CR15),ABS(Resultados!DB15),ABS(Resultados!DL15)))</f>
        <v>768.38886038670853</v>
      </c>
      <c r="G15">
        <f>IF(COUNT(Resultados!G15,Resultados!Q15,Resultados!AA15,Resultados!AK15,Resultados!AU15,Resultados!BE15,Resultados!BO15,Resultados!BY15,Resultados!CI15,Resultados!CS15,Resultados!DC15,Resultados!DM15)=0, "", AVERAGE(ABS(Resultados!G15),ABS(Resultados!Q15),ABS(Resultados!AA15),ABS(Resultados!AK15),ABS(Resultados!AU15),ABS(Resultados!BE15),ABS(Resultados!BO15),ABS(Resultados!BY15),ABS(Resultados!CI15),ABS(Resultados!CS15),ABS(Resultados!DC15),ABS(Resultados!DM15)))</f>
        <v>0.4240000000000001</v>
      </c>
      <c r="H15">
        <f>IF(COUNT(Resultados!H15,Resultados!R15,Resultados!AB15,Resultados!AL15,Resultados!AV15,Resultados!BF15,Resultados!BP15,Resultados!BZ15,Resultados!CJ15,Resultados!CT15,Resultados!DD15,Resultados!DN15)=0, "", AVERAGE(ABS(Resultados!H15),ABS(Resultados!R15),ABS(Resultados!AB15),ABS(Resultados!AL15),ABS(Resultados!AV15),ABS(Resultados!BF15),ABS(Resultados!BP15),ABS(Resultados!BZ15),ABS(Resultados!CJ15),ABS(Resultados!CT15),ABS(Resultados!DD15),ABS(Resultados!DN15)))</f>
        <v>1.1133333333333334E-2</v>
      </c>
      <c r="I15">
        <f>IF(COUNT(Resultados!I15,Resultados!S15,Resultados!AC15,Resultados!AM15,Resultados!AW15,Resultados!BG15,Resultados!BQ15,Resultados!CA15,Resultados!CK15,Resultados!CU15,Resultados!DE15,Resultados!DO15)=0, "", AVERAGE(ABS(Resultados!I15),ABS(Resultados!S15),ABS(Resultados!AC15),ABS(Resultados!AM15),ABS(Resultados!AW15),ABS(Resultados!BG15),ABS(Resultados!BQ15),ABS(Resultados!CA15),ABS(Resultados!CK15),ABS(Resultados!CU15),ABS(Resultados!DE15),ABS(Resultados!DO15)))</f>
        <v>2.5995666666666621</v>
      </c>
      <c r="J15">
        <f>IF(COUNT(Resultados!J15,Resultados!T15,Resultados!AD15,Resultados!AN15,Resultados!AX15,Resultados!BH15,Resultados!BR15,Resultados!CB15,Resultados!CL15,Resultados!CV15,Resultados!DF15,Resultados!DP15)=0, "", AVERAGE(ABS(Resultados!J15),ABS(Resultados!T15),ABS(Resultados!AD15),ABS(Resultados!AN15),ABS(Resultados!AX15),ABS(Resultados!BH15),ABS(Resultados!BR15),ABS(Resultados!CB15),ABS(Resultados!CL15),ABS(Resultados!CV15),ABS(Resultados!DF15),ABS(Resultados!DP15)))</f>
        <v>1.1133333333333334E-2</v>
      </c>
      <c r="K15">
        <v>7.2249999999999997E-3</v>
      </c>
    </row>
    <row r="16" spans="1:11" x14ac:dyDescent="0.3">
      <c r="A16">
        <f>IF(COUNT(Resultados!A16,Resultados!K16,Resultados!U16,Resultados!AE16,Resultados!AO16,Resultados!AY16,Resultados!BI16,Resultados!BS16,Resultados!CC16,Resultados!CM16,Resultados!CW16,Resultados!DG16)=0, "", AVERAGE(ABS(Resultados!A16),ABS(Resultados!K16),ABS(Resultados!U16),ABS(Resultados!AE16),ABS(Resultados!AO16),ABS(Resultados!AY16),ABS(Resultados!BI16),ABS(Resultados!BS16),ABS(Resultados!CC16),ABS(Resultados!CM16),ABS(Resultados!CW16),ABS(Resultados!DG16)))</f>
        <v>45681</v>
      </c>
      <c r="B16" t="str">
        <f>IF(COUNT(Resultados!B16,Resultados!L16,Resultados!V16,Resultados!AF16,Resultados!AP16,Resultados!AZ16,Resultados!BJ16,Resultados!BT16,Resultados!CD16,Resultados!CN16,Resultados!CX16,Resultados!DH16)=0, "", AVERAGE(ABS(Resultados!B16),ABS(Resultados!L16),ABS(Resultados!V16),ABS(Resultados!AF16),ABS(Resultados!AP16),ABS(Resultados!AZ16),ABS(Resultados!BJ16),ABS(Resultados!BT16),ABS(Resultados!CD16),ABS(Resultados!CN16),ABS(Resultados!CX16),ABS(Resultados!DH16)))</f>
        <v/>
      </c>
      <c r="C16">
        <f>IF(COUNT(Resultados!C16,Resultados!M16,Resultados!W16,Resultados!AG16,Resultados!AQ16,Resultados!BA16,Resultados!BK16,Resultados!BU16,Resultados!CE16,Resultados!CO16,Resultados!CY16,Resultados!DI16)=0, "", AVERAGE(ABS(Resultados!C16),ABS(Resultados!M16),ABS(Resultados!W16),ABS(Resultados!AG16),ABS(Resultados!AQ16),ABS(Resultados!BA16),ABS(Resultados!BK16),ABS(Resultados!BU16),ABS(Resultados!CE16),ABS(Resultados!CO16),ABS(Resultados!CY16),ABS(Resultados!DI16)))</f>
        <v>3.4166666666666665</v>
      </c>
      <c r="D16">
        <f>IF(COUNT(Resultados!D16,Resultados!N16,Resultados!X16,Resultados!AH16,Resultados!AR16,Resultados!BB16,Resultados!BL16,Resultados!BV16,Resultados!CF16,Resultados!CP16,Resultados!CZ16,Resultados!DJ16)=0, "", AVERAGE(ABS(Resultados!D16),ABS(Resultados!N16),ABS(Resultados!X16),ABS(Resultados!AH16),ABS(Resultados!AR16),ABS(Resultados!BB16),ABS(Resultados!BL16),ABS(Resultados!BV16),ABS(Resultados!CF16),ABS(Resultados!CP16),ABS(Resultados!CZ16),ABS(Resultados!DJ16)))</f>
        <v>8.4583333333333333E-3</v>
      </c>
      <c r="E16">
        <f>IF(COUNT(Resultados!E16,Resultados!O16,Resultados!Y16,Resultados!AI16,Resultados!AS16,Resultados!BC16,Resultados!BM16,Resultados!BW16,Resultados!CG16,Resultados!CQ16,Resultados!DA16,Resultados!DK16)=0, "", AVERAGE(ABS(Resultados!E16),ABS(Resultados!O16),ABS(Resultados!Y16),ABS(Resultados!AI16),ABS(Resultados!AS16),ABS(Resultados!BC16),ABS(Resultados!BM16),ABS(Resultados!BW16),ABS(Resultados!CG16),ABS(Resultados!CQ16),ABS(Resultados!DA16),ABS(Resultados!DK16)))</f>
        <v>6.7933116814953705</v>
      </c>
      <c r="F16">
        <f>IF(COUNT(Resultados!F16,Resultados!P16,Resultados!Z16,Resultados!AJ16,Resultados!AT16,Resultados!BD16,Resultados!BN16,Resultados!BX16,Resultados!CH16,Resultados!CR16,Resultados!DB16,Resultados!DL16)=0, "", AVERAGE(ABS(Resultados!F16),ABS(Resultados!P16),ABS(Resultados!Z16),ABS(Resultados!AJ16),ABS(Resultados!AT16),ABS(Resultados!BD16),ABS(Resultados!BN16),ABS(Resultados!BX16),ABS(Resultados!CH16),ABS(Resultados!CR16),ABS(Resultados!DB16),ABS(Resultados!DL16)))</f>
        <v>776.16921633037055</v>
      </c>
      <c r="G16">
        <f>IF(COUNT(Resultados!G16,Resultados!Q16,Resultados!AA16,Resultados!AK16,Resultados!AU16,Resultados!BE16,Resultados!BO16,Resultados!BY16,Resultados!CI16,Resultados!CS16,Resultados!DC16,Resultados!DM16)=0, "", AVERAGE(ABS(Resultados!G16),ABS(Resultados!Q16),ABS(Resultados!AA16),ABS(Resultados!AK16),ABS(Resultados!AU16),ABS(Resultados!BE16),ABS(Resultados!BO16),ABS(Resultados!BY16),ABS(Resultados!CI16),ABS(Resultados!CS16),ABS(Resultados!DC16),ABS(Resultados!DM16)))</f>
        <v>0.4240000000000001</v>
      </c>
      <c r="H16">
        <f>IF(COUNT(Resultados!H16,Resultados!R16,Resultados!AB16,Resultados!AL16,Resultados!AV16,Resultados!BF16,Resultados!BP16,Resultados!BZ16,Resultados!CJ16,Resultados!CT16,Resultados!DD16,Resultados!DN16)=0, "", AVERAGE(ABS(Resultados!H16),ABS(Resultados!R16),ABS(Resultados!AB16),ABS(Resultados!AL16),ABS(Resultados!AV16),ABS(Resultados!BF16),ABS(Resultados!BP16),ABS(Resultados!BZ16),ABS(Resultados!CJ16),ABS(Resultados!CT16),ABS(Resultados!DD16),ABS(Resultados!DN16)))</f>
        <v>1.2408333333333332E-2</v>
      </c>
      <c r="I16">
        <f>IF(COUNT(Resultados!I16,Resultados!S16,Resultados!AC16,Resultados!AM16,Resultados!AW16,Resultados!BG16,Resultados!BQ16,Resultados!CA16,Resultados!CK16,Resultados!CU16,Resultados!DE16,Resultados!DO16)=0, "", AVERAGE(ABS(Resultados!I16),ABS(Resultados!S16),ABS(Resultados!AC16),ABS(Resultados!AM16),ABS(Resultados!AW16),ABS(Resultados!BG16),ABS(Resultados!BQ16),ABS(Resultados!CA16),ABS(Resultados!CK16),ABS(Resultados!CU16),ABS(Resultados!DE16),ABS(Resultados!DO16)))</f>
        <v>2.7989925000000029</v>
      </c>
      <c r="J16">
        <f>IF(COUNT(Resultados!J16,Resultados!T16,Resultados!AD16,Resultados!AN16,Resultados!AX16,Resultados!BH16,Resultados!BR16,Resultados!CB16,Resultados!CL16,Resultados!CV16,Resultados!DF16,Resultados!DP16)=0, "", AVERAGE(ABS(Resultados!J16),ABS(Resultados!T16),ABS(Resultados!AD16),ABS(Resultados!AN16),ABS(Resultados!AX16),ABS(Resultados!BH16),ABS(Resultados!BR16),ABS(Resultados!CB16),ABS(Resultados!CL16),ABS(Resultados!CV16),ABS(Resultados!DF16),ABS(Resultados!DP16)))</f>
        <v>1.2408333333333332E-2</v>
      </c>
      <c r="K16">
        <v>8.4583333333333333E-3</v>
      </c>
    </row>
    <row r="17" spans="1:11" x14ac:dyDescent="0.3">
      <c r="A17">
        <f>IF(COUNT(Resultados!A17,Resultados!K17,Resultados!U17,Resultados!AE17,Resultados!AO17,Resultados!AY17,Resultados!BI17,Resultados!BS17,Resultados!CC17,Resultados!CM17,Resultados!CW17,Resultados!DG17)=0, "", AVERAGE(ABS(Resultados!A17),ABS(Resultados!K17),ABS(Resultados!U17),ABS(Resultados!AE17),ABS(Resultados!AO17),ABS(Resultados!AY17),ABS(Resultados!BI17),ABS(Resultados!BS17),ABS(Resultados!CC17),ABS(Resultados!CM17),ABS(Resultados!CW17),ABS(Resultados!DG17)))</f>
        <v>45681</v>
      </c>
      <c r="B17" t="str">
        <f>IF(COUNT(Resultados!B17,Resultados!L17,Resultados!V17,Resultados!AF17,Resultados!AP17,Resultados!AZ17,Resultados!BJ17,Resultados!BT17,Resultados!CD17,Resultados!CN17,Resultados!CX17,Resultados!DH17)=0, "", AVERAGE(ABS(Resultados!B17),ABS(Resultados!L17),ABS(Resultados!V17),ABS(Resultados!AF17),ABS(Resultados!AP17),ABS(Resultados!AZ17),ABS(Resultados!BJ17),ABS(Resultados!BT17),ABS(Resultados!CD17),ABS(Resultados!CN17),ABS(Resultados!CX17),ABS(Resultados!DH17)))</f>
        <v/>
      </c>
      <c r="C17">
        <f>IF(COUNT(Resultados!C17,Resultados!M17,Resultados!W17,Resultados!AG17,Resultados!AQ17,Resultados!BA17,Resultados!BK17,Resultados!BU17,Resultados!CE17,Resultados!CO17,Resultados!CY17,Resultados!DI17)=0, "", AVERAGE(ABS(Resultados!C17),ABS(Resultados!M17),ABS(Resultados!W17),ABS(Resultados!AG17),ABS(Resultados!AQ17),ABS(Resultados!BA17),ABS(Resultados!BK17),ABS(Resultados!BU17),ABS(Resultados!CE17),ABS(Resultados!CO17),ABS(Resultados!CY17),ABS(Resultados!DI17)))</f>
        <v>3.4166666666666665</v>
      </c>
      <c r="D17">
        <f>IF(COUNT(Resultados!D17,Resultados!N17,Resultados!X17,Resultados!AH17,Resultados!AR17,Resultados!BB17,Resultados!BL17,Resultados!BV17,Resultados!CF17,Resultados!CP17,Resultados!CZ17,Resultados!DJ17)=0, "", AVERAGE(ABS(Resultados!D17),ABS(Resultados!N17),ABS(Resultados!X17),ABS(Resultados!AH17),ABS(Resultados!AR17),ABS(Resultados!BB17),ABS(Resultados!BL17),ABS(Resultados!BV17),ABS(Resultados!CF17),ABS(Resultados!CP17),ABS(Resultados!CZ17),ABS(Resultados!DJ17)))</f>
        <v>9.5166666666666663E-3</v>
      </c>
      <c r="E17">
        <f>IF(COUNT(Resultados!E17,Resultados!O17,Resultados!Y17,Resultados!AI17,Resultados!AS17,Resultados!BC17,Resultados!BM17,Resultados!BW17,Resultados!CG17,Resultados!CQ17,Resultados!DA17,Resultados!DK17)=0, "", AVERAGE(ABS(Resultados!E17),ABS(Resultados!O17),ABS(Resultados!Y17),ABS(Resultados!AI17),ABS(Resultados!AS17),ABS(Resultados!BC17),ABS(Resultados!BM17),ABS(Resultados!BW17),ABS(Resultados!CG17),ABS(Resultados!CQ17),ABS(Resultados!DA17),ABS(Resultados!DK17)))</f>
        <v>6.8714683175456912</v>
      </c>
      <c r="F17">
        <f>IF(COUNT(Resultados!F17,Resultados!P17,Resultados!Z17,Resultados!AJ17,Resultados!AT17,Resultados!BD17,Resultados!BN17,Resultados!BX17,Resultados!CH17,Resultados!CR17,Resultados!DB17,Resultados!DL17)=0, "", AVERAGE(ABS(Resultados!F17),ABS(Resultados!P17),ABS(Resultados!Z17),ABS(Resultados!AJ17),ABS(Resultados!AT17),ABS(Resultados!BD17),ABS(Resultados!BN17),ABS(Resultados!BX17),ABS(Resultados!CH17),ABS(Resultados!CR17),ABS(Resultados!DB17),ABS(Resultados!DL17)))</f>
        <v>783.58628109154597</v>
      </c>
      <c r="G17">
        <f>IF(COUNT(Resultados!G17,Resultados!Q17,Resultados!AA17,Resultados!AK17,Resultados!AU17,Resultados!BE17,Resultados!BO17,Resultados!BY17,Resultados!CI17,Resultados!CS17,Resultados!DC17,Resultados!DM17)=0, "", AVERAGE(ABS(Resultados!G17),ABS(Resultados!Q17),ABS(Resultados!AA17),ABS(Resultados!AK17),ABS(Resultados!AU17),ABS(Resultados!BE17),ABS(Resultados!BO17),ABS(Resultados!BY17),ABS(Resultados!CI17),ABS(Resultados!CS17),ABS(Resultados!DC17),ABS(Resultados!DM17)))</f>
        <v>0.4240000000000001</v>
      </c>
      <c r="H17">
        <f>IF(COUNT(Resultados!H17,Resultados!R17,Resultados!AB17,Resultados!AL17,Resultados!AV17,Resultados!BF17,Resultados!BP17,Resultados!BZ17,Resultados!CJ17,Resultados!CT17,Resultados!DD17,Resultados!DN17)=0, "", AVERAGE(ABS(Resultados!H17),ABS(Resultados!R17),ABS(Resultados!AB17),ABS(Resultados!AL17),ABS(Resultados!AV17),ABS(Resultados!BF17),ABS(Resultados!BP17),ABS(Resultados!BZ17),ABS(Resultados!CJ17),ABS(Resultados!CT17),ABS(Resultados!DD17),ABS(Resultados!DN17)))</f>
        <v>1.3599999999999999E-2</v>
      </c>
      <c r="I17">
        <f>IF(COUNT(Resultados!I17,Resultados!S17,Resultados!AC17,Resultados!AM17,Resultados!AW17,Resultados!BG17,Resultados!BQ17,Resultados!CA17,Resultados!CK17,Resultados!CU17,Resultados!DE17,Resultados!DO17)=0, "", AVERAGE(ABS(Resultados!I17),ABS(Resultados!S17),ABS(Resultados!AC17),ABS(Resultados!AM17),ABS(Resultados!AW17),ABS(Resultados!BG17),ABS(Resultados!BQ17),ABS(Resultados!CA17),ABS(Resultados!CK17),ABS(Resultados!CU17),ABS(Resultados!DE17),ABS(Resultados!DO17)))</f>
        <v>2.9997258333333314</v>
      </c>
      <c r="J17">
        <f>IF(COUNT(Resultados!J17,Resultados!T17,Resultados!AD17,Resultados!AN17,Resultados!AX17,Resultados!BH17,Resultados!BR17,Resultados!CB17,Resultados!CL17,Resultados!CV17,Resultados!DF17,Resultados!DP17)=0, "", AVERAGE(ABS(Resultados!J17),ABS(Resultados!T17),ABS(Resultados!AD17),ABS(Resultados!AN17),ABS(Resultados!AX17),ABS(Resultados!BH17),ABS(Resultados!BR17),ABS(Resultados!CB17),ABS(Resultados!CL17),ABS(Resultados!CV17),ABS(Resultados!DF17),ABS(Resultados!DP17)))</f>
        <v>1.3599999999999999E-2</v>
      </c>
      <c r="K17">
        <v>9.5166666666666663E-3</v>
      </c>
    </row>
    <row r="18" spans="1:11" x14ac:dyDescent="0.3">
      <c r="A18">
        <f>IF(COUNT(Resultados!A18,Resultados!K18,Resultados!U18,Resultados!AE18,Resultados!AO18,Resultados!AY18,Resultados!BI18,Resultados!BS18,Resultados!CC18,Resultados!CM18,Resultados!CW18,Resultados!DG18)=0, "", AVERAGE(ABS(Resultados!A18),ABS(Resultados!K18),ABS(Resultados!U18),ABS(Resultados!AE18),ABS(Resultados!AO18),ABS(Resultados!AY18),ABS(Resultados!BI18),ABS(Resultados!BS18),ABS(Resultados!CC18),ABS(Resultados!CM18),ABS(Resultados!CW18),ABS(Resultados!DG18)))</f>
        <v>45681</v>
      </c>
      <c r="B18" t="str">
        <f>IF(COUNT(Resultados!B18,Resultados!L18,Resultados!V18,Resultados!AF18,Resultados!AP18,Resultados!AZ18,Resultados!BJ18,Resultados!BT18,Resultados!CD18,Resultados!CN18,Resultados!CX18,Resultados!DH18)=0, "", AVERAGE(ABS(Resultados!B18),ABS(Resultados!L18),ABS(Resultados!V18),ABS(Resultados!AF18),ABS(Resultados!AP18),ABS(Resultados!AZ18),ABS(Resultados!BJ18),ABS(Resultados!BT18),ABS(Resultados!CD18),ABS(Resultados!CN18),ABS(Resultados!CX18),ABS(Resultados!DH18)))</f>
        <v/>
      </c>
      <c r="C18">
        <f>IF(COUNT(Resultados!C18,Resultados!M18,Resultados!W18,Resultados!AG18,Resultados!AQ18,Resultados!BA18,Resultados!BK18,Resultados!BU18,Resultados!CE18,Resultados!CO18,Resultados!CY18,Resultados!DI18)=0, "", AVERAGE(ABS(Resultados!C18),ABS(Resultados!M18),ABS(Resultados!W18),ABS(Resultados!AG18),ABS(Resultados!AQ18),ABS(Resultados!BA18),ABS(Resultados!BK18),ABS(Resultados!BU18),ABS(Resultados!CE18),ABS(Resultados!CO18),ABS(Resultados!CY18),ABS(Resultados!DI18)))</f>
        <v>3.4166666666666665</v>
      </c>
      <c r="D18">
        <f>IF(COUNT(Resultados!D18,Resultados!N18,Resultados!X18,Resultados!AH18,Resultados!AR18,Resultados!BB18,Resultados!BL18,Resultados!BV18,Resultados!CF18,Resultados!CP18,Resultados!CZ18,Resultados!DJ18)=0, "", AVERAGE(ABS(Resultados!D18),ABS(Resultados!N18),ABS(Resultados!X18),ABS(Resultados!AH18),ABS(Resultados!AR18),ABS(Resultados!BB18),ABS(Resultados!BL18),ABS(Resultados!BV18),ABS(Resultados!CF18),ABS(Resultados!CP18),ABS(Resultados!CZ18),ABS(Resultados!DJ18)))</f>
        <v>1.0683333333333331E-2</v>
      </c>
      <c r="E18">
        <f>IF(COUNT(Resultados!E18,Resultados!O18,Resultados!Y18,Resultados!AI18,Resultados!AS18,Resultados!BC18,Resultados!BM18,Resultados!BW18,Resultados!CG18,Resultados!CQ18,Resultados!DA18,Resultados!DK18)=0, "", AVERAGE(ABS(Resultados!E18),ABS(Resultados!O18),ABS(Resultados!Y18),ABS(Resultados!AI18),ABS(Resultados!AS18),ABS(Resultados!BC18),ABS(Resultados!BM18),ABS(Resultados!BW18),ABS(Resultados!CG18),ABS(Resultados!CQ18),ABS(Resultados!DA18),ABS(Resultados!DK18)))</f>
        <v>6.9429819438375304</v>
      </c>
      <c r="F18">
        <f>IF(COUNT(Resultados!F18,Resultados!P18,Resultados!Z18,Resultados!AJ18,Resultados!AT18,Resultados!BD18,Resultados!BN18,Resultados!BX18,Resultados!CH18,Resultados!CR18,Resultados!DB18,Resultados!DL18)=0, "", AVERAGE(ABS(Resultados!F18),ABS(Resultados!P18),ABS(Resultados!Z18),ABS(Resultados!AJ18),ABS(Resultados!AT18),ABS(Resultados!BD18),ABS(Resultados!BN18),ABS(Resultados!BX18),ABS(Resultados!CH18),ABS(Resultados!CR18),ABS(Resultados!DB18),ABS(Resultados!DL18)))</f>
        <v>790.37292422664177</v>
      </c>
      <c r="G18">
        <f>IF(COUNT(Resultados!G18,Resultados!Q18,Resultados!AA18,Resultados!AK18,Resultados!AU18,Resultados!BE18,Resultados!BO18,Resultados!BY18,Resultados!CI18,Resultados!CS18,Resultados!DC18,Resultados!DM18)=0, "", AVERAGE(ABS(Resultados!G18),ABS(Resultados!Q18),ABS(Resultados!AA18),ABS(Resultados!AK18),ABS(Resultados!AU18),ABS(Resultados!BE18),ABS(Resultados!BO18),ABS(Resultados!BY18),ABS(Resultados!CI18),ABS(Resultados!CS18),ABS(Resultados!DC18),ABS(Resultados!DM18)))</f>
        <v>0.4240000000000001</v>
      </c>
      <c r="H18">
        <f>IF(COUNT(Resultados!H18,Resultados!R18,Resultados!AB18,Resultados!AL18,Resultados!AV18,Resultados!BF18,Resultados!BP18,Resultados!BZ18,Resultados!CJ18,Resultados!CT18,Resultados!DD18,Resultados!DN18)=0, "", AVERAGE(ABS(Resultados!H18),ABS(Resultados!R18),ABS(Resultados!AB18),ABS(Resultados!AL18),ABS(Resultados!AV18),ABS(Resultados!BF18),ABS(Resultados!BP18),ABS(Resultados!BZ18),ABS(Resultados!CJ18),ABS(Resultados!CT18),ABS(Resultados!DD18),ABS(Resultados!DN18)))</f>
        <v>1.4716666666666664E-2</v>
      </c>
      <c r="I18">
        <f>IF(COUNT(Resultados!I18,Resultados!S18,Resultados!AC18,Resultados!AM18,Resultados!AW18,Resultados!BG18,Resultados!BQ18,Resultados!CA18,Resultados!CK18,Resultados!CU18,Resultados!DE18,Resultados!DO18)=0, "", AVERAGE(ABS(Resultados!I18),ABS(Resultados!S18),ABS(Resultados!AC18),ABS(Resultados!AM18),ABS(Resultados!AW18),ABS(Resultados!BG18),ABS(Resultados!BQ18),ABS(Resultados!CA18),ABS(Resultados!CK18),ABS(Resultados!CU18),ABS(Resultados!DE18),ABS(Resultados!DO18)))</f>
        <v>3.1994641666666617</v>
      </c>
      <c r="J18">
        <f>IF(COUNT(Resultados!J18,Resultados!T18,Resultados!AD18,Resultados!AN18,Resultados!AX18,Resultados!BH18,Resultados!BR18,Resultados!CB18,Resultados!CL18,Resultados!CV18,Resultados!DF18,Resultados!DP18)=0, "", AVERAGE(ABS(Resultados!J18),ABS(Resultados!T18),ABS(Resultados!AD18),ABS(Resultados!AN18),ABS(Resultados!AX18),ABS(Resultados!BH18),ABS(Resultados!BR18),ABS(Resultados!CB18),ABS(Resultados!CL18),ABS(Resultados!CV18),ABS(Resultados!DF18),ABS(Resultados!DP18)))</f>
        <v>1.4716666666666664E-2</v>
      </c>
      <c r="K18">
        <v>1.0683333333333331E-2</v>
      </c>
    </row>
    <row r="19" spans="1:11" x14ac:dyDescent="0.3">
      <c r="A19">
        <f>IF(COUNT(Resultados!A19,Resultados!K19,Resultados!U19,Resultados!AE19,Resultados!AO19,Resultados!AY19,Resultados!BI19,Resultados!BS19,Resultados!CC19,Resultados!CM19,Resultados!CW19,Resultados!DG19)=0, "", AVERAGE(ABS(Resultados!A19),ABS(Resultados!K19),ABS(Resultados!U19),ABS(Resultados!AE19),ABS(Resultados!AO19),ABS(Resultados!AY19),ABS(Resultados!BI19),ABS(Resultados!BS19),ABS(Resultados!CC19),ABS(Resultados!CM19),ABS(Resultados!CW19),ABS(Resultados!DG19)))</f>
        <v>45681</v>
      </c>
      <c r="B19" t="str">
        <f>IF(COUNT(Resultados!B19,Resultados!L19,Resultados!V19,Resultados!AF19,Resultados!AP19,Resultados!AZ19,Resultados!BJ19,Resultados!BT19,Resultados!CD19,Resultados!CN19,Resultados!CX19,Resultados!DH19)=0, "", AVERAGE(ABS(Resultados!B19),ABS(Resultados!L19),ABS(Resultados!V19),ABS(Resultados!AF19),ABS(Resultados!AP19),ABS(Resultados!AZ19),ABS(Resultados!BJ19),ABS(Resultados!BT19),ABS(Resultados!CD19),ABS(Resultados!CN19),ABS(Resultados!CX19),ABS(Resultados!DH19)))</f>
        <v/>
      </c>
      <c r="C19">
        <f>IF(COUNT(Resultados!C19,Resultados!M19,Resultados!W19,Resultados!AG19,Resultados!AQ19,Resultados!BA19,Resultados!BK19,Resultados!BU19,Resultados!CE19,Resultados!CO19,Resultados!CY19,Resultados!DI19)=0, "", AVERAGE(ABS(Resultados!C19),ABS(Resultados!M19),ABS(Resultados!W19),ABS(Resultados!AG19),ABS(Resultados!AQ19),ABS(Resultados!BA19),ABS(Resultados!BK19),ABS(Resultados!BU19),ABS(Resultados!CE19),ABS(Resultados!CO19),ABS(Resultados!CY19),ABS(Resultados!DI19)))</f>
        <v>3.4166666666666665</v>
      </c>
      <c r="D19">
        <f>IF(COUNT(Resultados!D19,Resultados!N19,Resultados!X19,Resultados!AH19,Resultados!AR19,Resultados!BB19,Resultados!BL19,Resultados!BV19,Resultados!CF19,Resultados!CP19,Resultados!CZ19,Resultados!DJ19)=0, "", AVERAGE(ABS(Resultados!D19),ABS(Resultados!N19),ABS(Resultados!X19),ABS(Resultados!AH19),ABS(Resultados!AR19),ABS(Resultados!BB19),ABS(Resultados!BL19),ABS(Resultados!BV19),ABS(Resultados!CF19),ABS(Resultados!CP19),ABS(Resultados!CZ19),ABS(Resultados!DJ19)))</f>
        <v>1.1666666666666667E-2</v>
      </c>
      <c r="E19">
        <f>IF(COUNT(Resultados!E19,Resultados!O19,Resultados!Y19,Resultados!AI19,Resultados!AS19,Resultados!BC19,Resultados!BM19,Resultados!BW19,Resultados!CG19,Resultados!CQ19,Resultados!DA19,Resultados!DK19)=0, "", AVERAGE(ABS(Resultados!E19),ABS(Resultados!O19),ABS(Resultados!Y19),ABS(Resultados!AI19),ABS(Resultados!AS19),ABS(Resultados!BC19),ABS(Resultados!BM19),ABS(Resultados!BW19),ABS(Resultados!CG19),ABS(Resultados!CQ19),ABS(Resultados!DA19),ABS(Resultados!DK19)))</f>
        <v>7.0063124810948487</v>
      </c>
      <c r="F19">
        <f>IF(COUNT(Resultados!F19,Resultados!P19,Resultados!Z19,Resultados!AJ19,Resultados!AT19,Resultados!BD19,Resultados!BN19,Resultados!BX19,Resultados!CH19,Resultados!CR19,Resultados!DB19,Resultados!DL19)=0, "", AVERAGE(ABS(Resultados!F19),ABS(Resultados!P19),ABS(Resultados!Z19),ABS(Resultados!AJ19),ABS(Resultados!AT19),ABS(Resultados!BD19),ABS(Resultados!BN19),ABS(Resultados!BX19),ABS(Resultados!CH19),ABS(Resultados!CR19),ABS(Resultados!DB19),ABS(Resultados!DL19)))</f>
        <v>796.38299221236105</v>
      </c>
      <c r="G19">
        <f>IF(COUNT(Resultados!G19,Resultados!Q19,Resultados!AA19,Resultados!AK19,Resultados!AU19,Resultados!BE19,Resultados!BO19,Resultados!BY19,Resultados!CI19,Resultados!CS19,Resultados!DC19,Resultados!DM19)=0, "", AVERAGE(ABS(Resultados!G19),ABS(Resultados!Q19),ABS(Resultados!AA19),ABS(Resultados!AK19),ABS(Resultados!AU19),ABS(Resultados!BE19),ABS(Resultados!BO19),ABS(Resultados!BY19),ABS(Resultados!CI19),ABS(Resultados!CS19),ABS(Resultados!DC19),ABS(Resultados!DM19)))</f>
        <v>0.4240000000000001</v>
      </c>
      <c r="H19">
        <f>IF(COUNT(Resultados!H19,Resultados!R19,Resultados!AB19,Resultados!AL19,Resultados!AV19,Resultados!BF19,Resultados!BP19,Resultados!BZ19,Resultados!CJ19,Resultados!CT19,Resultados!DD19,Resultados!DN19)=0, "", AVERAGE(ABS(Resultados!H19),ABS(Resultados!R19),ABS(Resultados!AB19),ABS(Resultados!AL19),ABS(Resultados!AV19),ABS(Resultados!BF19),ABS(Resultados!BP19),ABS(Resultados!BZ19),ABS(Resultados!CJ19),ABS(Resultados!CT19),ABS(Resultados!DD19),ABS(Resultados!DN19)))</f>
        <v>1.5716666666666667E-2</v>
      </c>
      <c r="I19">
        <f>IF(COUNT(Resultados!I19,Resultados!S19,Resultados!AC19,Resultados!AM19,Resultados!AW19,Resultados!BG19,Resultados!BQ19,Resultados!CA19,Resultados!CK19,Resultados!CU19,Resultados!DE19,Resultados!DO19)=0, "", AVERAGE(ABS(Resultados!I19),ABS(Resultados!S19),ABS(Resultados!AC19),ABS(Resultados!AM19),ABS(Resultados!AW19),ABS(Resultados!BG19),ABS(Resultados!BQ19),ABS(Resultados!CA19),ABS(Resultados!CK19),ABS(Resultados!CU19),ABS(Resultados!DE19),ABS(Resultados!DO19)))</f>
        <v>3.3988125</v>
      </c>
      <c r="J19">
        <f>IF(COUNT(Resultados!J19,Resultados!T19,Resultados!AD19,Resultados!AN19,Resultados!AX19,Resultados!BH19,Resultados!BR19,Resultados!CB19,Resultados!CL19,Resultados!CV19,Resultados!DF19,Resultados!DP19)=0, "", AVERAGE(ABS(Resultados!J19),ABS(Resultados!T19),ABS(Resultados!AD19),ABS(Resultados!AN19),ABS(Resultados!AX19),ABS(Resultados!BH19),ABS(Resultados!BR19),ABS(Resultados!CB19),ABS(Resultados!CL19),ABS(Resultados!CV19),ABS(Resultados!DF19),ABS(Resultados!DP19)))</f>
        <v>1.5716666666666667E-2</v>
      </c>
      <c r="K19">
        <v>1.1666666666666667E-2</v>
      </c>
    </row>
    <row r="20" spans="1:11" x14ac:dyDescent="0.3">
      <c r="A20">
        <f>IF(COUNT(Resultados!A20,Resultados!K20,Resultados!U20,Resultados!AE20,Resultados!AO20,Resultados!AY20,Resultados!BI20,Resultados!BS20,Resultados!CC20,Resultados!CM20,Resultados!CW20,Resultados!DG20)=0, "", AVERAGE(ABS(Resultados!A20),ABS(Resultados!K20),ABS(Resultados!U20),ABS(Resultados!AE20),ABS(Resultados!AO20),ABS(Resultados!AY20),ABS(Resultados!BI20),ABS(Resultados!BS20),ABS(Resultados!CC20),ABS(Resultados!CM20),ABS(Resultados!CW20),ABS(Resultados!DG20)))</f>
        <v>45681</v>
      </c>
      <c r="B20" t="str">
        <f>IF(COUNT(Resultados!B20,Resultados!L20,Resultados!V20,Resultados!AF20,Resultados!AP20,Resultados!AZ20,Resultados!BJ20,Resultados!BT20,Resultados!CD20,Resultados!CN20,Resultados!CX20,Resultados!DH20)=0, "", AVERAGE(ABS(Resultados!B20),ABS(Resultados!L20),ABS(Resultados!V20),ABS(Resultados!AF20),ABS(Resultados!AP20),ABS(Resultados!AZ20),ABS(Resultados!BJ20),ABS(Resultados!BT20),ABS(Resultados!CD20),ABS(Resultados!CN20),ABS(Resultados!CX20),ABS(Resultados!DH20)))</f>
        <v/>
      </c>
      <c r="C20">
        <f>IF(COUNT(Resultados!C20,Resultados!M20,Resultados!W20,Resultados!AG20,Resultados!AQ20,Resultados!BA20,Resultados!BK20,Resultados!BU20,Resultados!CE20,Resultados!CO20,Resultados!CY20,Resultados!DI20)=0, "", AVERAGE(ABS(Resultados!C20),ABS(Resultados!M20),ABS(Resultados!W20),ABS(Resultados!AG20),ABS(Resultados!AQ20),ABS(Resultados!BA20),ABS(Resultados!BK20),ABS(Resultados!BU20),ABS(Resultados!CE20),ABS(Resultados!CO20),ABS(Resultados!CY20),ABS(Resultados!DI20)))</f>
        <v>3.4166666666666665</v>
      </c>
      <c r="D20">
        <f>IF(COUNT(Resultados!D20,Resultados!N20,Resultados!X20,Resultados!AH20,Resultados!AR20,Resultados!BB20,Resultados!BL20,Resultados!BV20,Resultados!CF20,Resultados!CP20,Resultados!CZ20,Resultados!DJ20)=0, "", AVERAGE(ABS(Resultados!D20),ABS(Resultados!N20),ABS(Resultados!X20),ABS(Resultados!AH20),ABS(Resultados!AR20),ABS(Resultados!BB20),ABS(Resultados!BL20),ABS(Resultados!BV20),ABS(Resultados!CF20),ABS(Resultados!CP20),ABS(Resultados!CZ20),ABS(Resultados!DJ20)))</f>
        <v>1.2541666666666666E-2</v>
      </c>
      <c r="E20">
        <f>IF(COUNT(Resultados!E20,Resultados!O20,Resultados!Y20,Resultados!AI20,Resultados!AS20,Resultados!BC20,Resultados!BM20,Resultados!BW20,Resultados!CG20,Resultados!CQ20,Resultados!DA20,Resultados!DK20)=0, "", AVERAGE(ABS(Resultados!E20),ABS(Resultados!O20),ABS(Resultados!Y20),ABS(Resultados!AI20),ABS(Resultados!AS20),ABS(Resultados!BC20),ABS(Resultados!BM20),ABS(Resultados!BW20),ABS(Resultados!CG20),ABS(Resultados!CQ20),ABS(Resultados!DA20),ABS(Resultados!DK20)))</f>
        <v>7.0604918003236401</v>
      </c>
      <c r="F20">
        <f>IF(COUNT(Resultados!F20,Resultados!P20,Resultados!Z20,Resultados!AJ20,Resultados!AT20,Resultados!BD20,Resultados!BN20,Resultados!BX20,Resultados!CH20,Resultados!CR20,Resultados!DB20,Resultados!DL20)=0, "", AVERAGE(ABS(Resultados!F20),ABS(Resultados!P20),ABS(Resultados!Z20),ABS(Resultados!AJ20),ABS(Resultados!AT20),ABS(Resultados!BD20),ABS(Resultados!BN20),ABS(Resultados!BX20),ABS(Resultados!CH20),ABS(Resultados!CR20),ABS(Resultados!DB20),ABS(Resultados!DL20)))</f>
        <v>801.52460960717372</v>
      </c>
      <c r="G20">
        <f>IF(COUNT(Resultados!G20,Resultados!Q20,Resultados!AA20,Resultados!AK20,Resultados!AU20,Resultados!BE20,Resultados!BO20,Resultados!BY20,Resultados!CI20,Resultados!CS20,Resultados!DC20,Resultados!DM20)=0, "", AVERAGE(ABS(Resultados!G20),ABS(Resultados!Q20),ABS(Resultados!AA20),ABS(Resultados!AK20),ABS(Resultados!AU20),ABS(Resultados!BE20),ABS(Resultados!BO20),ABS(Resultados!BY20),ABS(Resultados!CI20),ABS(Resultados!CS20),ABS(Resultados!DC20),ABS(Resultados!DM20)))</f>
        <v>0.4240000000000001</v>
      </c>
      <c r="H20">
        <f>IF(COUNT(Resultados!H20,Resultados!R20,Resultados!AB20,Resultados!AL20,Resultados!AV20,Resultados!BF20,Resultados!BP20,Resultados!BZ20,Resultados!CJ20,Resultados!CT20,Resultados!DD20,Resultados!DN20)=0, "", AVERAGE(ABS(Resultados!H20),ABS(Resultados!R20),ABS(Resultados!AB20),ABS(Resultados!AL20),ABS(Resultados!AV20),ABS(Resultados!BF20),ABS(Resultados!BP20),ABS(Resultados!BZ20),ABS(Resultados!CJ20),ABS(Resultados!CT20),ABS(Resultados!DD20),ABS(Resultados!DN20)))</f>
        <v>1.6558333333333331E-2</v>
      </c>
      <c r="I20">
        <f>IF(COUNT(Resultados!I20,Resultados!S20,Resultados!AC20,Resultados!AM20,Resultados!AW20,Resultados!BG20,Resultados!BQ20,Resultados!CA20,Resultados!CK20,Resultados!CU20,Resultados!DE20,Resultados!DO20)=0, "", AVERAGE(ABS(Resultados!I20),ABS(Resultados!S20),ABS(Resultados!AC20),ABS(Resultados!AM20),ABS(Resultados!AW20),ABS(Resultados!BG20),ABS(Resultados!BQ20),ABS(Resultados!CA20),ABS(Resultados!CK20),ABS(Resultados!CU20),ABS(Resultados!DE20),ABS(Resultados!DO20)))</f>
        <v>3.5998141666666705</v>
      </c>
      <c r="J20">
        <f>IF(COUNT(Resultados!J20,Resultados!T20,Resultados!AD20,Resultados!AN20,Resultados!AX20,Resultados!BH20,Resultados!BR20,Resultados!CB20,Resultados!CL20,Resultados!CV20,Resultados!DF20,Resultados!DP20)=0, "", AVERAGE(ABS(Resultados!J20),ABS(Resultados!T20),ABS(Resultados!AD20),ABS(Resultados!AN20),ABS(Resultados!AX20),ABS(Resultados!BH20),ABS(Resultados!BR20),ABS(Resultados!CB20),ABS(Resultados!CL20),ABS(Resultados!CV20),ABS(Resultados!DF20),ABS(Resultados!DP20)))</f>
        <v>1.6558333333333331E-2</v>
      </c>
      <c r="K20">
        <v>1.2541666666666666E-2</v>
      </c>
    </row>
    <row r="21" spans="1:11" x14ac:dyDescent="0.3">
      <c r="A21">
        <f>IF(COUNT(Resultados!A21,Resultados!K21,Resultados!U21,Resultados!AE21,Resultados!AO21,Resultados!AY21,Resultados!BI21,Resultados!BS21,Resultados!CC21,Resultados!CM21,Resultados!CW21,Resultados!DG21)=0, "", AVERAGE(ABS(Resultados!A21),ABS(Resultados!K21),ABS(Resultados!U21),ABS(Resultados!AE21),ABS(Resultados!AO21),ABS(Resultados!AY21),ABS(Resultados!BI21),ABS(Resultados!BS21),ABS(Resultados!CC21),ABS(Resultados!CM21),ABS(Resultados!CW21),ABS(Resultados!DG21)))</f>
        <v>45681</v>
      </c>
      <c r="B21" t="str">
        <f>IF(COUNT(Resultados!B21,Resultados!L21,Resultados!V21,Resultados!AF21,Resultados!AP21,Resultados!AZ21,Resultados!BJ21,Resultados!BT21,Resultados!CD21,Resultados!CN21,Resultados!CX21,Resultados!DH21)=0, "", AVERAGE(ABS(Resultados!B21),ABS(Resultados!L21),ABS(Resultados!V21),ABS(Resultados!AF21),ABS(Resultados!AP21),ABS(Resultados!AZ21),ABS(Resultados!BJ21),ABS(Resultados!BT21),ABS(Resultados!CD21),ABS(Resultados!CN21),ABS(Resultados!CX21),ABS(Resultados!DH21)))</f>
        <v/>
      </c>
      <c r="C21">
        <f>IF(COUNT(Resultados!C21,Resultados!M21,Resultados!W21,Resultados!AG21,Resultados!AQ21,Resultados!BA21,Resultados!BK21,Resultados!BU21,Resultados!CE21,Resultados!CO21,Resultados!CY21,Resultados!DI21)=0, "", AVERAGE(ABS(Resultados!C21),ABS(Resultados!M21),ABS(Resultados!W21),ABS(Resultados!AG21),ABS(Resultados!AQ21),ABS(Resultados!BA21),ABS(Resultados!BK21),ABS(Resultados!BU21),ABS(Resultados!CE21),ABS(Resultados!CO21),ABS(Resultados!CY21),ABS(Resultados!DI21)))</f>
        <v>3.4166666666666665</v>
      </c>
      <c r="D21">
        <f>IF(COUNT(Resultados!D21,Resultados!N21,Resultados!X21,Resultados!AH21,Resultados!AR21,Resultados!BB21,Resultados!BL21,Resultados!BV21,Resultados!CF21,Resultados!CP21,Resultados!CZ21,Resultados!DJ21)=0, "", AVERAGE(ABS(Resultados!D21),ABS(Resultados!N21),ABS(Resultados!X21),ABS(Resultados!AH21),ABS(Resultados!AR21),ABS(Resultados!BB21),ABS(Resultados!BL21),ABS(Resultados!BV21),ABS(Resultados!CF21),ABS(Resultados!CP21),ABS(Resultados!CZ21),ABS(Resultados!DJ21)))</f>
        <v>1.3074999999999998E-2</v>
      </c>
      <c r="E21">
        <f>IF(COUNT(Resultados!E21,Resultados!O21,Resultados!Y21,Resultados!AI21,Resultados!AS21,Resultados!BC21,Resultados!BM21,Resultados!BW21,Resultados!CG21,Resultados!CQ21,Resultados!DA21,Resultados!DK21)=0, "", AVERAGE(ABS(Resultados!E21),ABS(Resultados!O21),ABS(Resultados!Y21),ABS(Resultados!AI21),ABS(Resultados!AS21),ABS(Resultados!BC21),ABS(Resultados!BM21),ABS(Resultados!BW21),ABS(Resultados!CG21),ABS(Resultados!CQ21),ABS(Resultados!DA21),ABS(Resultados!DK21)))</f>
        <v>7.1031535404379014</v>
      </c>
      <c r="F21">
        <f>IF(COUNT(Resultados!F21,Resultados!P21,Resultados!Z21,Resultados!AJ21,Resultados!AT21,Resultados!BD21,Resultados!BN21,Resultados!BX21,Resultados!CH21,Resultados!CR21,Resultados!DB21,Resultados!DL21)=0, "", AVERAGE(ABS(Resultados!F21),ABS(Resultados!P21),ABS(Resultados!Z21),ABS(Resultados!AJ21),ABS(Resultados!AT21),ABS(Resultados!BD21),ABS(Resultados!BN21),ABS(Resultados!BX21),ABS(Resultados!CH21),ABS(Resultados!CR21),ABS(Resultados!DB21),ABS(Resultados!DL21)))</f>
        <v>805.57320874401694</v>
      </c>
      <c r="G21">
        <f>IF(COUNT(Resultados!G21,Resultados!Q21,Resultados!AA21,Resultados!AK21,Resultados!AU21,Resultados!BE21,Resultados!BO21,Resultados!BY21,Resultados!CI21,Resultados!CS21,Resultados!DC21,Resultados!DM21)=0, "", AVERAGE(ABS(Resultados!G21),ABS(Resultados!Q21),ABS(Resultados!AA21),ABS(Resultados!AK21),ABS(Resultados!AU21),ABS(Resultados!BE21),ABS(Resultados!BO21),ABS(Resultados!BY21),ABS(Resultados!CI21),ABS(Resultados!CS21),ABS(Resultados!DC21),ABS(Resultados!DM21)))</f>
        <v>0.4240000000000001</v>
      </c>
      <c r="H21">
        <f>IF(COUNT(Resultados!H21,Resultados!R21,Resultados!AB21,Resultados!AL21,Resultados!AV21,Resultados!BF21,Resultados!BP21,Resultados!BZ21,Resultados!CJ21,Resultados!CT21,Resultados!DD21,Resultados!DN21)=0, "", AVERAGE(ABS(Resultados!H21),ABS(Resultados!R21),ABS(Resultados!AB21),ABS(Resultados!AL21),ABS(Resultados!AV21),ABS(Resultados!BF21),ABS(Resultados!BP21),ABS(Resultados!BZ21),ABS(Resultados!CJ21),ABS(Resultados!CT21),ABS(Resultados!DD21),ABS(Resultados!DN21)))</f>
        <v>1.7225000000000001E-2</v>
      </c>
      <c r="I21">
        <f>IF(COUNT(Resultados!I21,Resultados!S21,Resultados!AC21,Resultados!AM21,Resultados!AW21,Resultados!BG21,Resultados!BQ21,Resultados!CA21,Resultados!CK21,Resultados!CU21,Resultados!DE21,Resultados!DO21)=0, "", AVERAGE(ABS(Resultados!I21),ABS(Resultados!S21),ABS(Resultados!AC21),ABS(Resultados!AM21),ABS(Resultados!AW21),ABS(Resultados!BG21),ABS(Resultados!BQ21),ABS(Resultados!CA21),ABS(Resultados!CK21),ABS(Resultados!CU21),ABS(Resultados!DE21),ABS(Resultados!DO21)))</f>
        <v>3.7991699999999988</v>
      </c>
      <c r="J21">
        <f>IF(COUNT(Resultados!J21,Resultados!T21,Resultados!AD21,Resultados!AN21,Resultados!AX21,Resultados!BH21,Resultados!BR21,Resultados!CB21,Resultados!CL21,Resultados!CV21,Resultados!DF21,Resultados!DP21)=0, "", AVERAGE(ABS(Resultados!J21),ABS(Resultados!T21),ABS(Resultados!AD21),ABS(Resultados!AN21),ABS(Resultados!AX21),ABS(Resultados!BH21),ABS(Resultados!BR21),ABS(Resultados!CB21),ABS(Resultados!CL21),ABS(Resultados!CV21),ABS(Resultados!DF21),ABS(Resultados!DP21)))</f>
        <v>1.7225000000000001E-2</v>
      </c>
      <c r="K21">
        <v>1.3074999999999998E-2</v>
      </c>
    </row>
    <row r="22" spans="1:11" x14ac:dyDescent="0.3">
      <c r="A22">
        <f>IF(COUNT(Resultados!A22,Resultados!K22,Resultados!U22,Resultados!AE22,Resultados!AO22,Resultados!AY22,Resultados!BI22,Resultados!BS22,Resultados!CC22,Resultados!CM22,Resultados!CW22,Resultados!DG22)=0, "", AVERAGE(ABS(Resultados!A22),ABS(Resultados!K22),ABS(Resultados!U22),ABS(Resultados!AE22),ABS(Resultados!AO22),ABS(Resultados!AY22),ABS(Resultados!BI22),ABS(Resultados!BS22),ABS(Resultados!CC22),ABS(Resultados!CM22),ABS(Resultados!CW22),ABS(Resultados!DG22)))</f>
        <v>45681</v>
      </c>
      <c r="B22" t="str">
        <f>IF(COUNT(Resultados!B22,Resultados!L22,Resultados!V22,Resultados!AF22,Resultados!AP22,Resultados!AZ22,Resultados!BJ22,Resultados!BT22,Resultados!CD22,Resultados!CN22,Resultados!CX22,Resultados!DH22)=0, "", AVERAGE(ABS(Resultados!B22),ABS(Resultados!L22),ABS(Resultados!V22),ABS(Resultados!AF22),ABS(Resultados!AP22),ABS(Resultados!AZ22),ABS(Resultados!BJ22),ABS(Resultados!BT22),ABS(Resultados!CD22),ABS(Resultados!CN22),ABS(Resultados!CX22),ABS(Resultados!DH22)))</f>
        <v/>
      </c>
      <c r="C22">
        <f>IF(COUNT(Resultados!C22,Resultados!M22,Resultados!W22,Resultados!AG22,Resultados!AQ22,Resultados!BA22,Resultados!BK22,Resultados!BU22,Resultados!CE22,Resultados!CO22,Resultados!CY22,Resultados!DI22)=0, "", AVERAGE(ABS(Resultados!C22),ABS(Resultados!M22),ABS(Resultados!W22),ABS(Resultados!AG22),ABS(Resultados!AQ22),ABS(Resultados!BA22),ABS(Resultados!BK22),ABS(Resultados!BU22),ABS(Resultados!CE22),ABS(Resultados!CO22),ABS(Resultados!CY22),ABS(Resultados!DI22)))</f>
        <v>3.4166666666666665</v>
      </c>
      <c r="D22">
        <f>IF(COUNT(Resultados!D22,Resultados!N22,Resultados!X22,Resultados!AH22,Resultados!AR22,Resultados!BB22,Resultados!BL22,Resultados!BV22,Resultados!CF22,Resultados!CP22,Resultados!CZ22,Resultados!DJ22)=0, "", AVERAGE(ABS(Resultados!D22),ABS(Resultados!N22),ABS(Resultados!X22),ABS(Resultados!AH22),ABS(Resultados!AR22),ABS(Resultados!BB22),ABS(Resultados!BL22),ABS(Resultados!BV22),ABS(Resultados!CF22),ABS(Resultados!CP22),ABS(Resultados!CZ22),ABS(Resultados!DJ22)))</f>
        <v>1.3600000000000001E-2</v>
      </c>
      <c r="E22">
        <f>IF(COUNT(Resultados!E22,Resultados!O22,Resultados!Y22,Resultados!AI22,Resultados!AS22,Resultados!BC22,Resultados!BM22,Resultados!BW22,Resultados!CG22,Resultados!CQ22,Resultados!DA22,Resultados!DK22)=0, "", AVERAGE(ABS(Resultados!E22),ABS(Resultados!O22),ABS(Resultados!Y22),ABS(Resultados!AI22),ABS(Resultados!AS22),ABS(Resultados!BC22),ABS(Resultados!BM22),ABS(Resultados!BW22),ABS(Resultados!CG22),ABS(Resultados!CQ22),ABS(Resultados!DA22),ABS(Resultados!DK22)))</f>
        <v>7.1341792499158769</v>
      </c>
      <c r="F22">
        <f>IF(COUNT(Resultados!F22,Resultados!P22,Resultados!Z22,Resultados!AJ22,Resultados!AT22,Resultados!BD22,Resultados!BN22,Resultados!BX22,Resultados!CH22,Resultados!CR22,Resultados!DB22,Resultados!DL22)=0, "", AVERAGE(ABS(Resultados!F22),ABS(Resultados!P22),ABS(Resultados!Z22),ABS(Resultados!AJ22),ABS(Resultados!AT22),ABS(Resultados!BD22),ABS(Resultados!BN22),ABS(Resultados!BX22),ABS(Resultados!CH22),ABS(Resultados!CR22),ABS(Resultados!DB22),ABS(Resultados!DL22)))</f>
        <v>808.51754857347669</v>
      </c>
      <c r="G22">
        <f>IF(COUNT(Resultados!G22,Resultados!Q22,Resultados!AA22,Resultados!AK22,Resultados!AU22,Resultados!BE22,Resultados!BO22,Resultados!BY22,Resultados!CI22,Resultados!CS22,Resultados!DC22,Resultados!DM22)=0, "", AVERAGE(ABS(Resultados!G22),ABS(Resultados!Q22),ABS(Resultados!AA22),ABS(Resultados!AK22),ABS(Resultados!AU22),ABS(Resultados!BE22),ABS(Resultados!BO22),ABS(Resultados!BY22),ABS(Resultados!CI22),ABS(Resultados!CS22),ABS(Resultados!DC22),ABS(Resultados!DM22)))</f>
        <v>0.4240000000000001</v>
      </c>
      <c r="H22">
        <f>IF(COUNT(Resultados!H22,Resultados!R22,Resultados!AB22,Resultados!AL22,Resultados!AV22,Resultados!BF22,Resultados!BP22,Resultados!BZ22,Resultados!CJ22,Resultados!CT22,Resultados!DD22,Resultados!DN22)=0, "", AVERAGE(ABS(Resultados!H22),ABS(Resultados!R22),ABS(Resultados!AB22),ABS(Resultados!AL22),ABS(Resultados!AV22),ABS(Resultados!BF22),ABS(Resultados!BP22),ABS(Resultados!BZ22),ABS(Resultados!CJ22),ABS(Resultados!CT22),ABS(Resultados!DD22),ABS(Resultados!DN22)))</f>
        <v>1.7691666666666665E-2</v>
      </c>
      <c r="I22">
        <f>IF(COUNT(Resultados!I22,Resultados!S22,Resultados!AC22,Resultados!AM22,Resultados!AW22,Resultados!BG22,Resultados!BQ22,Resultados!CA22,Resultados!CK22,Resultados!CU22,Resultados!DE22,Resultados!DO22)=0, "", AVERAGE(ABS(Resultados!I22),ABS(Resultados!S22),ABS(Resultados!AC22),ABS(Resultados!AM22),ABS(Resultados!AW22),ABS(Resultados!BG22),ABS(Resultados!BQ22),ABS(Resultados!CA22),ABS(Resultados!CK22),ABS(Resultados!CU22),ABS(Resultados!DE22),ABS(Resultados!DO22)))</f>
        <v>3.9991941666666686</v>
      </c>
      <c r="J22">
        <f>IF(COUNT(Resultados!J22,Resultados!T22,Resultados!AD22,Resultados!AN22,Resultados!AX22,Resultados!BH22,Resultados!BR22,Resultados!CB22,Resultados!CL22,Resultados!CV22,Resultados!DF22,Resultados!DP22)=0, "", AVERAGE(ABS(Resultados!J22),ABS(Resultados!T22),ABS(Resultados!AD22),ABS(Resultados!AN22),ABS(Resultados!AX22),ABS(Resultados!BH22),ABS(Resultados!BR22),ABS(Resultados!CB22),ABS(Resultados!CL22),ABS(Resultados!CV22),ABS(Resultados!DF22),ABS(Resultados!DP22)))</f>
        <v>1.7691666666666665E-2</v>
      </c>
      <c r="K22">
        <v>1.3600000000000001E-2</v>
      </c>
    </row>
    <row r="23" spans="1:11" x14ac:dyDescent="0.3">
      <c r="A23">
        <f>IF(COUNT(Resultados!A23,Resultados!K23,Resultados!U23,Resultados!AE23,Resultados!AO23,Resultados!AY23,Resultados!BI23,Resultados!BS23,Resultados!CC23,Resultados!CM23,Resultados!CW23,Resultados!DG23)=0, "", AVERAGE(ABS(Resultados!A23),ABS(Resultados!K23),ABS(Resultados!U23),ABS(Resultados!AE23),ABS(Resultados!AO23),ABS(Resultados!AY23),ABS(Resultados!BI23),ABS(Resultados!BS23),ABS(Resultados!CC23),ABS(Resultados!CM23),ABS(Resultados!CW23),ABS(Resultados!DG23)))</f>
        <v>45681</v>
      </c>
      <c r="B23" t="str">
        <f>IF(COUNT(Resultados!B23,Resultados!L23,Resultados!V23,Resultados!AF23,Resultados!AP23,Resultados!AZ23,Resultados!BJ23,Resultados!BT23,Resultados!CD23,Resultados!CN23,Resultados!CX23,Resultados!DH23)=0, "", AVERAGE(ABS(Resultados!B23),ABS(Resultados!L23),ABS(Resultados!V23),ABS(Resultados!AF23),ABS(Resultados!AP23),ABS(Resultados!AZ23),ABS(Resultados!BJ23),ABS(Resultados!BT23),ABS(Resultados!CD23),ABS(Resultados!CN23),ABS(Resultados!CX23),ABS(Resultados!DH23)))</f>
        <v/>
      </c>
      <c r="C23">
        <f>IF(COUNT(Resultados!C23,Resultados!M23,Resultados!W23,Resultados!AG23,Resultados!AQ23,Resultados!BA23,Resultados!BK23,Resultados!BU23,Resultados!CE23,Resultados!CO23,Resultados!CY23,Resultados!DI23)=0, "", AVERAGE(ABS(Resultados!C23),ABS(Resultados!M23),ABS(Resultados!W23),ABS(Resultados!AG23),ABS(Resultados!AQ23),ABS(Resultados!BA23),ABS(Resultados!BK23),ABS(Resultados!BU23),ABS(Resultados!CE23),ABS(Resultados!CO23),ABS(Resultados!CY23),ABS(Resultados!DI23)))</f>
        <v>3.4166666666666665</v>
      </c>
      <c r="D23">
        <f>IF(COUNT(Resultados!D23,Resultados!N23,Resultados!X23,Resultados!AH23,Resultados!AR23,Resultados!BB23,Resultados!BL23,Resultados!BV23,Resultados!CF23,Resultados!CP23,Resultados!CZ23,Resultados!DJ23)=0, "", AVERAGE(ABS(Resultados!D23),ABS(Resultados!N23),ABS(Resultados!X23),ABS(Resultados!AH23),ABS(Resultados!AR23),ABS(Resultados!BB23),ABS(Resultados!BL23),ABS(Resultados!BV23),ABS(Resultados!CF23),ABS(Resultados!CP23),ABS(Resultados!CZ23),ABS(Resultados!DJ23)))</f>
        <v>1.4066666666666667E-2</v>
      </c>
      <c r="E23">
        <f>IF(COUNT(Resultados!E23,Resultados!O23,Resultados!Y23,Resultados!AI23,Resultados!AS23,Resultados!BC23,Resultados!BM23,Resultados!BW23,Resultados!CG23,Resultados!CQ23,Resultados!DA23,Resultados!DK23)=0, "", AVERAGE(ABS(Resultados!E23),ABS(Resultados!O23),ABS(Resultados!Y23),ABS(Resultados!AI23),ABS(Resultados!AS23),ABS(Resultados!BC23),ABS(Resultados!BM23),ABS(Resultados!BW23),ABS(Resultados!CG23),ABS(Resultados!CQ23),ABS(Resultados!DA23),ABS(Resultados!DK23)))</f>
        <v>7.1521544440463138</v>
      </c>
      <c r="F23">
        <f>IF(COUNT(Resultados!F23,Resultados!P23,Resultados!Z23,Resultados!AJ23,Resultados!AT23,Resultados!BD23,Resultados!BN23,Resultados!BX23,Resultados!CH23,Resultados!CR23,Resultados!DB23,Resultados!DL23)=0, "", AVERAGE(ABS(Resultados!F23),ABS(Resultados!P23),ABS(Resultados!Z23),ABS(Resultados!AJ23),ABS(Resultados!AT23),ABS(Resultados!BD23),ABS(Resultados!BN23),ABS(Resultados!BX23),ABS(Resultados!CH23),ABS(Resultados!CR23),ABS(Resultados!DB23),ABS(Resultados!DL23)))</f>
        <v>749.27897113894403</v>
      </c>
      <c r="G23">
        <f>IF(COUNT(Resultados!G23,Resultados!Q23,Resultados!AA23,Resultados!AK23,Resultados!AU23,Resultados!BE23,Resultados!BO23,Resultados!BY23,Resultados!CI23,Resultados!CS23,Resultados!DC23,Resultados!DM23)=0, "", AVERAGE(ABS(Resultados!G23),ABS(Resultados!Q23),ABS(Resultados!AA23),ABS(Resultados!AK23),ABS(Resultados!AU23),ABS(Resultados!BE23),ABS(Resultados!BO23),ABS(Resultados!BY23),ABS(Resultados!CI23),ABS(Resultados!CS23),ABS(Resultados!DC23),ABS(Resultados!DM23)))</f>
        <v>0.4240000000000001</v>
      </c>
      <c r="H23">
        <f>IF(COUNT(Resultados!H23,Resultados!R23,Resultados!AB23,Resultados!AL23,Resultados!AV23,Resultados!BF23,Resultados!BP23,Resultados!BZ23,Resultados!CJ23,Resultados!CT23,Resultados!DD23,Resultados!DN23)=0, "", AVERAGE(ABS(Resultados!H23),ABS(Resultados!R23),ABS(Resultados!AB23),ABS(Resultados!AL23),ABS(Resultados!AV23),ABS(Resultados!BF23),ABS(Resultados!BP23),ABS(Resultados!BZ23),ABS(Resultados!CJ23),ABS(Resultados!CT23),ABS(Resultados!DD23),ABS(Resultados!DN23)))</f>
        <v>1.7991666666666666E-2</v>
      </c>
      <c r="I23">
        <f>IF(COUNT(Resultados!I23,Resultados!S23,Resultados!AC23,Resultados!AM23,Resultados!AW23,Resultados!BG23,Resultados!BQ23,Resultados!CA23,Resultados!CK23,Resultados!CU23,Resultados!DE23,Resultados!DO23)=0, "", AVERAGE(ABS(Resultados!I23),ABS(Resultados!S23),ABS(Resultados!AC23),ABS(Resultados!AM23),ABS(Resultados!AW23),ABS(Resultados!BG23),ABS(Resultados!BQ23),ABS(Resultados!CA23),ABS(Resultados!CK23),ABS(Resultados!CU23),ABS(Resultados!DE23),ABS(Resultados!DO23)))</f>
        <v>4.1992383333333327</v>
      </c>
      <c r="J23">
        <f>IF(COUNT(Resultados!J23,Resultados!T23,Resultados!AD23,Resultados!AN23,Resultados!AX23,Resultados!BH23,Resultados!BR23,Resultados!CB23,Resultados!CL23,Resultados!CV23,Resultados!DF23,Resultados!DP23)=0, "", AVERAGE(ABS(Resultados!J23),ABS(Resultados!T23),ABS(Resultados!AD23),ABS(Resultados!AN23),ABS(Resultados!AX23),ABS(Resultados!BH23),ABS(Resultados!BR23),ABS(Resultados!CB23),ABS(Resultados!CL23),ABS(Resultados!CV23),ABS(Resultados!DF23),ABS(Resultados!DP23)))</f>
        <v>1.7991666666666666E-2</v>
      </c>
      <c r="K23">
        <v>1.4066666666666667E-2</v>
      </c>
    </row>
    <row r="24" spans="1:11" x14ac:dyDescent="0.3">
      <c r="A24">
        <f>IF(COUNT(Resultados!A24,Resultados!K24,Resultados!U24,Resultados!AE24,Resultados!AO24,Resultados!AY24,Resultados!BI24,Resultados!BS24,Resultados!CC24,Resultados!CM24,Resultados!CW24,Resultados!DG24)=0, "", AVERAGE(ABS(Resultados!A24),ABS(Resultados!K24),ABS(Resultados!U24),ABS(Resultados!AE24),ABS(Resultados!AO24),ABS(Resultados!AY24),ABS(Resultados!BI24),ABS(Resultados!BS24),ABS(Resultados!CC24),ABS(Resultados!CM24),ABS(Resultados!CW24),ABS(Resultados!DG24)))</f>
        <v>45681</v>
      </c>
      <c r="B24" t="str">
        <f>IF(COUNT(Resultados!B24,Resultados!L24,Resultados!V24,Resultados!AF24,Resultados!AP24,Resultados!AZ24,Resultados!BJ24,Resultados!BT24,Resultados!CD24,Resultados!CN24,Resultados!CX24,Resultados!DH24)=0, "", AVERAGE(ABS(Resultados!B24),ABS(Resultados!L24),ABS(Resultados!V24),ABS(Resultados!AF24),ABS(Resultados!AP24),ABS(Resultados!AZ24),ABS(Resultados!BJ24),ABS(Resultados!BT24),ABS(Resultados!CD24),ABS(Resultados!CN24),ABS(Resultados!CX24),ABS(Resultados!DH24)))</f>
        <v/>
      </c>
      <c r="C24">
        <f>IF(COUNT(Resultados!C24,Resultados!M24,Resultados!W24,Resultados!AG24,Resultados!AQ24,Resultados!BA24,Resultados!BK24,Resultados!BU24,Resultados!CE24,Resultados!CO24,Resultados!CY24,Resultados!DI24)=0, "", AVERAGE(ABS(Resultados!C24),ABS(Resultados!M24),ABS(Resultados!W24),ABS(Resultados!AG24),ABS(Resultados!AQ24),ABS(Resultados!BA24),ABS(Resultados!BK24),ABS(Resultados!BU24),ABS(Resultados!CE24),ABS(Resultados!CO24),ABS(Resultados!CY24),ABS(Resultados!DI24)))</f>
        <v>3.4166666666666665</v>
      </c>
      <c r="D24">
        <f>IF(COUNT(Resultados!D24,Resultados!N24,Resultados!X24,Resultados!AH24,Resultados!AR24,Resultados!BB24,Resultados!BL24,Resultados!BV24,Resultados!CF24,Resultados!CP24,Resultados!CZ24,Resultados!DJ24)=0, "", AVERAGE(ABS(Resultados!D24),ABS(Resultados!N24),ABS(Resultados!X24),ABS(Resultados!AH24),ABS(Resultados!AR24),ABS(Resultados!BB24),ABS(Resultados!BL24),ABS(Resultados!BV24),ABS(Resultados!CF24),ABS(Resultados!CP24),ABS(Resultados!CZ24),ABS(Resultados!DJ24)))</f>
        <v>1.4458333333333332E-2</v>
      </c>
      <c r="E24">
        <f>IF(COUNT(Resultados!E24,Resultados!O24,Resultados!Y24,Resultados!AI24,Resultados!AS24,Resultados!BC24,Resultados!BM24,Resultados!BW24,Resultados!CG24,Resultados!CQ24,Resultados!DA24,Resultados!DK24)=0, "", AVERAGE(ABS(Resultados!E24),ABS(Resultados!O24),ABS(Resultados!Y24),ABS(Resultados!AI24),ABS(Resultados!AS24),ABS(Resultados!BC24),ABS(Resultados!BM24),ABS(Resultados!BW24),ABS(Resultados!CG24),ABS(Resultados!CQ24),ABS(Resultados!DA24),ABS(Resultados!DK24)))</f>
        <v>7.1571603183468975</v>
      </c>
      <c r="F24">
        <f>IF(COUNT(Resultados!F24,Resultados!P24,Resultados!Z24,Resultados!AJ24,Resultados!AT24,Resultados!BD24,Resultados!BN24,Resultados!BX24,Resultados!CH24,Resultados!CR24,Resultados!DB24,Resultados!DL24)=0, "", AVERAGE(ABS(Resultados!F24),ABS(Resultados!P24),ABS(Resultados!Z24),ABS(Resultados!AJ24),ABS(Resultados!AT24),ABS(Resultados!BD24),ABS(Resultados!BN24),ABS(Resultados!BX24),ABS(Resultados!CH24),ABS(Resultados!CR24),ABS(Resultados!DB24),ABS(Resultados!DL24)))</f>
        <v>749.77864208684503</v>
      </c>
      <c r="G24">
        <f>IF(COUNT(Resultados!G24,Resultados!Q24,Resultados!AA24,Resultados!AK24,Resultados!AU24,Resultados!BE24,Resultados!BO24,Resultados!BY24,Resultados!CI24,Resultados!CS24,Resultados!DC24,Resultados!DM24)=0, "", AVERAGE(ABS(Resultados!G24),ABS(Resultados!Q24),ABS(Resultados!AA24),ABS(Resultados!AK24),ABS(Resultados!AU24),ABS(Resultados!BE24),ABS(Resultados!BO24),ABS(Resultados!BY24),ABS(Resultados!CI24),ABS(Resultados!CS24),ABS(Resultados!DC24),ABS(Resultados!DM24)))</f>
        <v>0.4240000000000001</v>
      </c>
      <c r="H24">
        <f>IF(COUNT(Resultados!H24,Resultados!R24,Resultados!AB24,Resultados!AL24,Resultados!AV24,Resultados!BF24,Resultados!BP24,Resultados!BZ24,Resultados!CJ24,Resultados!CT24,Resultados!DD24,Resultados!DN24)=0, "", AVERAGE(ABS(Resultados!H24),ABS(Resultados!R24),ABS(Resultados!AB24),ABS(Resultados!AL24),ABS(Resultados!AV24),ABS(Resultados!BF24),ABS(Resultados!BP24),ABS(Resultados!BZ24),ABS(Resultados!CJ24),ABS(Resultados!CT24),ABS(Resultados!DD24),ABS(Resultados!DN24)))</f>
        <v>1.8058333333333332E-2</v>
      </c>
      <c r="I24">
        <f>IF(COUNT(Resultados!I24,Resultados!S24,Resultados!AC24,Resultados!AM24,Resultados!AW24,Resultados!BG24,Resultados!BQ24,Resultados!CA24,Resultados!CK24,Resultados!CU24,Resultados!DE24,Resultados!DO24)=0, "", AVERAGE(ABS(Resultados!I24),ABS(Resultados!S24),ABS(Resultados!AC24),ABS(Resultados!AM24),ABS(Resultados!AW24),ABS(Resultados!BG24),ABS(Resultados!BQ24),ABS(Resultados!CA24),ABS(Resultados!CK24),ABS(Resultados!CU24),ABS(Resultados!DE24),ABS(Resultados!DO24)))</f>
        <v>4.3991416666666661</v>
      </c>
      <c r="J24">
        <f>IF(COUNT(Resultados!J24,Resultados!T24,Resultados!AD24,Resultados!AN24,Resultados!AX24,Resultados!BH24,Resultados!BR24,Resultados!CB24,Resultados!CL24,Resultados!CV24,Resultados!DF24,Resultados!DP24)=0, "", AVERAGE(ABS(Resultados!J24),ABS(Resultados!T24),ABS(Resultados!AD24),ABS(Resultados!AN24),ABS(Resultados!AX24),ABS(Resultados!BH24),ABS(Resultados!BR24),ABS(Resultados!CB24),ABS(Resultados!CL24),ABS(Resultados!CV24),ABS(Resultados!DF24),ABS(Resultados!DP24)))</f>
        <v>1.8058333333333332E-2</v>
      </c>
      <c r="K24">
        <v>1.4458333333333332E-2</v>
      </c>
    </row>
    <row r="25" spans="1:11" x14ac:dyDescent="0.3">
      <c r="A25">
        <f>IF(COUNT(Resultados!A25,Resultados!K25,Resultados!U25,Resultados!AE25,Resultados!AO25,Resultados!AY25,Resultados!BI25,Resultados!BS25,Resultados!CC25,Resultados!CM25,Resultados!CW25,Resultados!DG25)=0, "", AVERAGE(ABS(Resultados!A25),ABS(Resultados!K25),ABS(Resultados!U25),ABS(Resultados!AE25),ABS(Resultados!AO25),ABS(Resultados!AY25),ABS(Resultados!BI25),ABS(Resultados!BS25),ABS(Resultados!CC25),ABS(Resultados!CM25),ABS(Resultados!CW25),ABS(Resultados!DG25)))</f>
        <v>45681</v>
      </c>
      <c r="B25" t="str">
        <f>IF(COUNT(Resultados!B25,Resultados!L25,Resultados!V25,Resultados!AF25,Resultados!AP25,Resultados!AZ25,Resultados!BJ25,Resultados!BT25,Resultados!CD25,Resultados!CN25,Resultados!CX25,Resultados!DH25)=0, "", AVERAGE(ABS(Resultados!B25),ABS(Resultados!L25),ABS(Resultados!V25),ABS(Resultados!AF25),ABS(Resultados!AP25),ABS(Resultados!AZ25),ABS(Resultados!BJ25),ABS(Resultados!BT25),ABS(Resultados!CD25),ABS(Resultados!CN25),ABS(Resultados!CX25),ABS(Resultados!DH25)))</f>
        <v/>
      </c>
      <c r="C25">
        <f>IF(COUNT(Resultados!C25,Resultados!M25,Resultados!W25,Resultados!AG25,Resultados!AQ25,Resultados!BA25,Resultados!BK25,Resultados!BU25,Resultados!CE25,Resultados!CO25,Resultados!CY25,Resultados!DI25)=0, "", AVERAGE(ABS(Resultados!C25),ABS(Resultados!M25),ABS(Resultados!W25),ABS(Resultados!AG25),ABS(Resultados!AQ25),ABS(Resultados!BA25),ABS(Resultados!BK25),ABS(Resultados!BU25),ABS(Resultados!CE25),ABS(Resultados!CO25),ABS(Resultados!CY25),ABS(Resultados!DI25)))</f>
        <v>3.4166666666666665</v>
      </c>
      <c r="D25">
        <f>IF(COUNT(Resultados!D25,Resultados!N25,Resultados!X25,Resultados!AH25,Resultados!AR25,Resultados!BB25,Resultados!BL25,Resultados!BV25,Resultados!CF25,Resultados!CP25,Resultados!CZ25,Resultados!DJ25)=0, "", AVERAGE(ABS(Resultados!D25),ABS(Resultados!N25),ABS(Resultados!X25),ABS(Resultados!AH25),ABS(Resultados!AR25),ABS(Resultados!BB25),ABS(Resultados!BL25),ABS(Resultados!BV25),ABS(Resultados!CF25),ABS(Resultados!CP25),ABS(Resultados!CZ25),ABS(Resultados!DJ25)))</f>
        <v>1.471666666666667E-2</v>
      </c>
      <c r="E25">
        <f>IF(COUNT(Resultados!E25,Resultados!O25,Resultados!Y25,Resultados!AI25,Resultados!AS25,Resultados!BC25,Resultados!BM25,Resultados!BW25,Resultados!CG25,Resultados!CQ25,Resultados!DA25,Resultados!DK25)=0, "", AVERAGE(ABS(Resultados!E25),ABS(Resultados!O25),ABS(Resultados!Y25),ABS(Resultados!AI25),ABS(Resultados!AS25),ABS(Resultados!BC25),ABS(Resultados!BM25),ABS(Resultados!BW25),ABS(Resultados!CG25),ABS(Resultados!CQ25),ABS(Resultados!DA25),ABS(Resultados!DK25)))</f>
        <v>7.1485791043408291</v>
      </c>
      <c r="F25">
        <f>IF(COUNT(Resultados!F25,Resultados!P25,Resultados!Z25,Resultados!AJ25,Resultados!AT25,Resultados!BD25,Resultados!BN25,Resultados!BX25,Resultados!CH25,Resultados!CR25,Resultados!DB25,Resultados!DL25)=0, "", AVERAGE(ABS(Resultados!F25),ABS(Resultados!P25),ABS(Resultados!Z25),ABS(Resultados!AJ25),ABS(Resultados!AT25),ABS(Resultados!BD25),ABS(Resultados!BN25),ABS(Resultados!BX25),ABS(Resultados!CH25),ABS(Resultados!CR25),ABS(Resultados!DB25),ABS(Resultados!DL25)))</f>
        <v>740.29833308306854</v>
      </c>
      <c r="G25">
        <f>IF(COUNT(Resultados!G25,Resultados!Q25,Resultados!AA25,Resultados!AK25,Resultados!AU25,Resultados!BE25,Resultados!BO25,Resultados!BY25,Resultados!CI25,Resultados!CS25,Resultados!DC25,Resultados!DM25)=0, "", AVERAGE(ABS(Resultados!G25),ABS(Resultados!Q25),ABS(Resultados!AA25),ABS(Resultados!AK25),ABS(Resultados!AU25),ABS(Resultados!BE25),ABS(Resultados!BO25),ABS(Resultados!BY25),ABS(Resultados!CI25),ABS(Resultados!CS25),ABS(Resultados!DC25),ABS(Resultados!DM25)))</f>
        <v>0.4240000000000001</v>
      </c>
      <c r="H25">
        <f>IF(COUNT(Resultados!H25,Resultados!R25,Resultados!AB25,Resultados!AL25,Resultados!AV25,Resultados!BF25,Resultados!BP25,Resultados!BZ25,Resultados!CJ25,Resultados!CT25,Resultados!DD25,Resultados!DN25)=0, "", AVERAGE(ABS(Resultados!H25),ABS(Resultados!R25),ABS(Resultados!AB25),ABS(Resultados!AL25),ABS(Resultados!AV25),ABS(Resultados!BF25),ABS(Resultados!BP25),ABS(Resultados!BZ25),ABS(Resultados!CJ25),ABS(Resultados!CT25),ABS(Resultados!DD25),ABS(Resultados!DN25)))</f>
        <v>1.7925E-2</v>
      </c>
      <c r="I25">
        <f>IF(COUNT(Resultados!I25,Resultados!S25,Resultados!AC25,Resultados!AM25,Resultados!AW25,Resultados!BG25,Resultados!BQ25,Resultados!CA25,Resultados!CK25,Resultados!CU25,Resultados!DE25,Resultados!DO25)=0, "", AVERAGE(ABS(Resultados!I25),ABS(Resultados!S25),ABS(Resultados!AC25),ABS(Resultados!AM25),ABS(Resultados!AW25),ABS(Resultados!BG25),ABS(Resultados!BQ25),ABS(Resultados!CA25),ABS(Resultados!CK25),ABS(Resultados!CU25),ABS(Resultados!DE25),ABS(Resultados!DO25)))</f>
        <v>4.5992324999999994</v>
      </c>
      <c r="J25">
        <f>IF(COUNT(Resultados!J25,Resultados!T25,Resultados!AD25,Resultados!AN25,Resultados!AX25,Resultados!BH25,Resultados!BR25,Resultados!CB25,Resultados!CL25,Resultados!CV25,Resultados!DF25,Resultados!DP25)=0, "", AVERAGE(ABS(Resultados!J25),ABS(Resultados!T25),ABS(Resultados!AD25),ABS(Resultados!AN25),ABS(Resultados!AX25),ABS(Resultados!BH25),ABS(Resultados!BR25),ABS(Resultados!CB25),ABS(Resultados!CL25),ABS(Resultados!CV25),ABS(Resultados!DF25),ABS(Resultados!DP25)))</f>
        <v>1.7925E-2</v>
      </c>
      <c r="K25">
        <v>1.471666666666667E-2</v>
      </c>
    </row>
    <row r="26" spans="1:11" x14ac:dyDescent="0.3">
      <c r="A26">
        <f>IF(COUNT(Resultados!A26,Resultados!K26,Resultados!U26,Resultados!AE26,Resultados!AO26,Resultados!AY26,Resultados!BI26,Resultados!BS26,Resultados!CC26,Resultados!CM26,Resultados!CW26,Resultados!DG26)=0, "", AVERAGE(ABS(Resultados!A26),ABS(Resultados!K26),ABS(Resultados!U26),ABS(Resultados!AE26),ABS(Resultados!AO26),ABS(Resultados!AY26),ABS(Resultados!BI26),ABS(Resultados!BS26),ABS(Resultados!CC26),ABS(Resultados!CM26),ABS(Resultados!CW26),ABS(Resultados!DG26)))</f>
        <v>45681</v>
      </c>
      <c r="B26" t="str">
        <f>IF(COUNT(Resultados!B26,Resultados!L26,Resultados!V26,Resultados!AF26,Resultados!AP26,Resultados!AZ26,Resultados!BJ26,Resultados!BT26,Resultados!CD26,Resultados!CN26,Resultados!CX26,Resultados!DH26)=0, "", AVERAGE(ABS(Resultados!B26),ABS(Resultados!L26),ABS(Resultados!V26),ABS(Resultados!AF26),ABS(Resultados!AP26),ABS(Resultados!AZ26),ABS(Resultados!BJ26),ABS(Resultados!BT26),ABS(Resultados!CD26),ABS(Resultados!CN26),ABS(Resultados!CX26),ABS(Resultados!DH26)))</f>
        <v/>
      </c>
      <c r="C26">
        <f>IF(COUNT(Resultados!C26,Resultados!M26,Resultados!W26,Resultados!AG26,Resultados!AQ26,Resultados!BA26,Resultados!BK26,Resultados!BU26,Resultados!CE26,Resultados!CO26,Resultados!CY26,Resultados!DI26)=0, "", AVERAGE(ABS(Resultados!C26),ABS(Resultados!M26),ABS(Resultados!W26),ABS(Resultados!AG26),ABS(Resultados!AQ26),ABS(Resultados!BA26),ABS(Resultados!BK26),ABS(Resultados!BU26),ABS(Resultados!CE26),ABS(Resultados!CO26),ABS(Resultados!CY26),ABS(Resultados!DI26)))</f>
        <v>3.4166666666666665</v>
      </c>
      <c r="D26">
        <f>IF(COUNT(Resultados!D26,Resultados!N26,Resultados!X26,Resultados!AH26,Resultados!AR26,Resultados!BB26,Resultados!BL26,Resultados!BV26,Resultados!CF26,Resultados!CP26,Resultados!CZ26,Resultados!DJ26)=0, "", AVERAGE(ABS(Resultados!D26),ABS(Resultados!N26),ABS(Resultados!X26),ABS(Resultados!AH26),ABS(Resultados!AR26),ABS(Resultados!BB26),ABS(Resultados!BL26),ABS(Resultados!BV26),ABS(Resultados!CF26),ABS(Resultados!CP26),ABS(Resultados!CZ26),ABS(Resultados!DJ26)))</f>
        <v>1.4958333333333337E-2</v>
      </c>
      <c r="E26">
        <f>IF(COUNT(Resultados!E26,Resultados!O26,Resultados!Y26,Resultados!AI26,Resultados!AS26,Resultados!BC26,Resultados!BM26,Resultados!BW26,Resultados!CG26,Resultados!CQ26,Resultados!DA26,Resultados!DK26)=0, "", AVERAGE(ABS(Resultados!E26),ABS(Resultados!O26),ABS(Resultados!Y26),ABS(Resultados!AI26),ABS(Resultados!AS26),ABS(Resultados!BC26),ABS(Resultados!BM26),ABS(Resultados!BW26),ABS(Resultados!CG26),ABS(Resultados!CQ26),ABS(Resultados!DA26),ABS(Resultados!DK26)))</f>
        <v>7.1272224193126164</v>
      </c>
      <c r="F26">
        <f>IF(COUNT(Resultados!F26,Resultados!P26,Resultados!Z26,Resultados!AJ26,Resultados!AT26,Resultados!BD26,Resultados!BN26,Resultados!BX26,Resultados!CH26,Resultados!CR26,Resultados!DB26,Resultados!DL26)=0, "", AVERAGE(ABS(Resultados!F26),ABS(Resultados!P26),ABS(Resultados!Z26),ABS(Resultados!AJ26),ABS(Resultados!AT26),ABS(Resultados!BD26),ABS(Resultados!BN26),ABS(Resultados!BX26),ABS(Resultados!CH26),ABS(Resultados!CR26),ABS(Resultados!DB26),ABS(Resultados!DL26)))</f>
        <v>738.33004437904253</v>
      </c>
      <c r="G26">
        <f>IF(COUNT(Resultados!G26,Resultados!Q26,Resultados!AA26,Resultados!AK26,Resultados!AU26,Resultados!BE26,Resultados!BO26,Resultados!BY26,Resultados!CI26,Resultados!CS26,Resultados!DC26,Resultados!DM26)=0, "", AVERAGE(ABS(Resultados!G26),ABS(Resultados!Q26),ABS(Resultados!AA26),ABS(Resultados!AK26),ABS(Resultados!AU26),ABS(Resultados!BE26),ABS(Resultados!BO26),ABS(Resultados!BY26),ABS(Resultados!CI26),ABS(Resultados!CS26),ABS(Resultados!DC26),ABS(Resultados!DM26)))</f>
        <v>0.4240000000000001</v>
      </c>
      <c r="H26">
        <f>IF(COUNT(Resultados!H26,Resultados!R26,Resultados!AB26,Resultados!AL26,Resultados!AV26,Resultados!BF26,Resultados!BP26,Resultados!BZ26,Resultados!CJ26,Resultados!CT26,Resultados!DD26,Resultados!DN26)=0, "", AVERAGE(ABS(Resultados!H26),ABS(Resultados!R26),ABS(Resultados!AB26),ABS(Resultados!AL26),ABS(Resultados!AV26),ABS(Resultados!BF26),ABS(Resultados!BP26),ABS(Resultados!BZ26),ABS(Resultados!CJ26),ABS(Resultados!CT26),ABS(Resultados!DD26),ABS(Resultados!DN26)))</f>
        <v>1.7591666666666662E-2</v>
      </c>
      <c r="I26">
        <f>IF(COUNT(Resultados!I26,Resultados!S26,Resultados!AC26,Resultados!AM26,Resultados!AW26,Resultados!BG26,Resultados!BQ26,Resultados!CA26,Resultados!CK26,Resultados!CU26,Resultados!DE26,Resultados!DO26)=0, "", AVERAGE(ABS(Resultados!I26),ABS(Resultados!S26),ABS(Resultados!AC26),ABS(Resultados!AM26),ABS(Resultados!AW26),ABS(Resultados!BG26),ABS(Resultados!BQ26),ABS(Resultados!CA26),ABS(Resultados!CK26),ABS(Resultados!CU26),ABS(Resultados!DE26),ABS(Resultados!DO26)))</f>
        <v>4.7996591666666637</v>
      </c>
      <c r="J26">
        <f>IF(COUNT(Resultados!J26,Resultados!T26,Resultados!AD26,Resultados!AN26,Resultados!AX26,Resultados!BH26,Resultados!BR26,Resultados!CB26,Resultados!CL26,Resultados!CV26,Resultados!DF26,Resultados!DP26)=0, "", AVERAGE(ABS(Resultados!J26),ABS(Resultados!T26),ABS(Resultados!AD26),ABS(Resultados!AN26),ABS(Resultados!AX26),ABS(Resultados!BH26),ABS(Resultados!BR26),ABS(Resultados!CB26),ABS(Resultados!CL26),ABS(Resultados!CV26),ABS(Resultados!DF26),ABS(Resultados!DP26)))</f>
        <v>1.7591666666666662E-2</v>
      </c>
      <c r="K26">
        <v>1.4958333333333337E-2</v>
      </c>
    </row>
    <row r="27" spans="1:11" x14ac:dyDescent="0.3">
      <c r="A27">
        <f>IF(COUNT(Resultados!A27,Resultados!K27,Resultados!U27,Resultados!AE27,Resultados!AO27,Resultados!AY27,Resultados!BI27,Resultados!BS27,Resultados!CC27,Resultados!CM27,Resultados!CW27,Resultados!DG27)=0, "", AVERAGE(ABS(Resultados!A27),ABS(Resultados!K27),ABS(Resultados!U27),ABS(Resultados!AE27),ABS(Resultados!AO27),ABS(Resultados!AY27),ABS(Resultados!BI27),ABS(Resultados!BS27),ABS(Resultados!CC27),ABS(Resultados!CM27),ABS(Resultados!CW27),ABS(Resultados!DG27)))</f>
        <v>45681</v>
      </c>
      <c r="B27" t="str">
        <f>IF(COUNT(Resultados!B27,Resultados!L27,Resultados!V27,Resultados!AF27,Resultados!AP27,Resultados!AZ27,Resultados!BJ27,Resultados!BT27,Resultados!CD27,Resultados!CN27,Resultados!CX27,Resultados!DH27)=0, "", AVERAGE(ABS(Resultados!B27),ABS(Resultados!L27),ABS(Resultados!V27),ABS(Resultados!AF27),ABS(Resultados!AP27),ABS(Resultados!AZ27),ABS(Resultados!BJ27),ABS(Resultados!BT27),ABS(Resultados!CD27),ABS(Resultados!CN27),ABS(Resultados!CX27),ABS(Resultados!DH27)))</f>
        <v/>
      </c>
      <c r="C27">
        <f>IF(COUNT(Resultados!C27,Resultados!M27,Resultados!W27,Resultados!AG27,Resultados!AQ27,Resultados!BA27,Resultados!BK27,Resultados!BU27,Resultados!CE27,Resultados!CO27,Resultados!CY27,Resultados!DI27)=0, "", AVERAGE(ABS(Resultados!C27),ABS(Resultados!M27),ABS(Resultados!W27),ABS(Resultados!AG27),ABS(Resultados!AQ27),ABS(Resultados!BA27),ABS(Resultados!BK27),ABS(Resultados!BU27),ABS(Resultados!CE27),ABS(Resultados!CO27),ABS(Resultados!CY27),ABS(Resultados!DI27)))</f>
        <v>3.4166666666666665</v>
      </c>
      <c r="D27">
        <f>IF(COUNT(Resultados!D27,Resultados!N27,Resultados!X27,Resultados!AH27,Resultados!AR27,Resultados!BB27,Resultados!BL27,Resultados!BV27,Resultados!CF27,Resultados!CP27,Resultados!CZ27,Resultados!DJ27)=0, "", AVERAGE(ABS(Resultados!D27),ABS(Resultados!N27),ABS(Resultados!X27),ABS(Resultados!AH27),ABS(Resultados!AR27),ABS(Resultados!BB27),ABS(Resultados!BL27),ABS(Resultados!BV27),ABS(Resultados!CF27),ABS(Resultados!CP27),ABS(Resultados!CZ27),ABS(Resultados!DJ27)))</f>
        <v>1.514166666666667E-2</v>
      </c>
      <c r="E27">
        <f>IF(COUNT(Resultados!E27,Resultados!O27,Resultados!Y27,Resultados!AI27,Resultados!AS27,Resultados!BC27,Resultados!BM27,Resultados!BW27,Resultados!CG27,Resultados!CQ27,Resultados!DA27,Resultados!DK27)=0, "", AVERAGE(ABS(Resultados!E27),ABS(Resultados!O27),ABS(Resultados!Y27),ABS(Resultados!AI27),ABS(Resultados!AS27),ABS(Resultados!BC27),ABS(Resultados!BM27),ABS(Resultados!BW27),ABS(Resultados!CG27),ABS(Resultados!CQ27),ABS(Resultados!DA27),ABS(Resultados!DK27)))</f>
        <v>7.0928287346285375</v>
      </c>
      <c r="F27">
        <f>IF(COUNT(Resultados!F27,Resultados!P27,Resultados!Z27,Resultados!AJ27,Resultados!AT27,Resultados!BD27,Resultados!BN27,Resultados!BX27,Resultados!CH27,Resultados!CR27,Resultados!DB27,Resultados!DL27)=0, "", AVERAGE(ABS(Resultados!F27),ABS(Resultados!P27),ABS(Resultados!Z27),ABS(Resultados!AJ27),ABS(Resultados!AT27),ABS(Resultados!BD27),ABS(Resultados!BN27),ABS(Resultados!BX27),ABS(Resultados!CH27),ABS(Resultados!CR27),ABS(Resultados!DB27),ABS(Resultados!DL27)))</f>
        <v>726.43397465584655</v>
      </c>
      <c r="G27">
        <f>IF(COUNT(Resultados!G27,Resultados!Q27,Resultados!AA27,Resultados!AK27,Resultados!AU27,Resultados!BE27,Resultados!BO27,Resultados!BY27,Resultados!CI27,Resultados!CS27,Resultados!DC27,Resultados!DM27)=0, "", AVERAGE(ABS(Resultados!G27),ABS(Resultados!Q27),ABS(Resultados!AA27),ABS(Resultados!AK27),ABS(Resultados!AU27),ABS(Resultados!BE27),ABS(Resultados!BO27),ABS(Resultados!BY27),ABS(Resultados!CI27),ABS(Resultados!CS27),ABS(Resultados!DC27),ABS(Resultados!DM27)))</f>
        <v>0.4240000000000001</v>
      </c>
      <c r="H27">
        <f>IF(COUNT(Resultados!H27,Resultados!R27,Resultados!AB27,Resultados!AL27,Resultados!AV27,Resultados!BF27,Resultados!BP27,Resultados!BZ27,Resultados!CJ27,Resultados!CT27,Resultados!DD27,Resultados!DN27)=0, "", AVERAGE(ABS(Resultados!H27),ABS(Resultados!R27),ABS(Resultados!AB27),ABS(Resultados!AL27),ABS(Resultados!AV27),ABS(Resultados!BF27),ABS(Resultados!BP27),ABS(Resultados!BZ27),ABS(Resultados!CJ27),ABS(Resultados!CT27),ABS(Resultados!DD27),ABS(Resultados!DN27)))</f>
        <v>1.7033333333333334E-2</v>
      </c>
      <c r="I27">
        <f>IF(COUNT(Resultados!I27,Resultados!S27,Resultados!AC27,Resultados!AM27,Resultados!AW27,Resultados!BG27,Resultados!BQ27,Resultados!CA27,Resultados!CK27,Resultados!CU27,Resultados!DE27,Resultados!DO27)=0, "", AVERAGE(ABS(Resultados!I27),ABS(Resultados!S27),ABS(Resultados!AC27),ABS(Resultados!AM27),ABS(Resultados!AW27),ABS(Resultados!BG27),ABS(Resultados!BQ27),ABS(Resultados!CA27),ABS(Resultados!CK27),ABS(Resultados!CU27),ABS(Resultados!DE27),ABS(Resultados!DO27)))</f>
        <v>4.9996374999999977</v>
      </c>
      <c r="J27">
        <f>IF(COUNT(Resultados!J27,Resultados!T27,Resultados!AD27,Resultados!AN27,Resultados!AX27,Resultados!BH27,Resultados!BR27,Resultados!CB27,Resultados!CL27,Resultados!CV27,Resultados!DF27,Resultados!DP27)=0, "", AVERAGE(ABS(Resultados!J27),ABS(Resultados!T27),ABS(Resultados!AD27),ABS(Resultados!AN27),ABS(Resultados!AX27),ABS(Resultados!BH27),ABS(Resultados!BR27),ABS(Resultados!CB27),ABS(Resultados!CL27),ABS(Resultados!CV27),ABS(Resultados!DF27),ABS(Resultados!DP27)))</f>
        <v>1.7033333333333334E-2</v>
      </c>
      <c r="K27">
        <v>1.514166666666667E-2</v>
      </c>
    </row>
    <row r="28" spans="1:11" x14ac:dyDescent="0.3">
      <c r="A28">
        <f>IF(COUNT(Resultados!A28,Resultados!K28,Resultados!U28,Resultados!AE28,Resultados!AO28,Resultados!AY28,Resultados!BI28,Resultados!BS28,Resultados!CC28,Resultados!CM28,Resultados!CW28,Resultados!DG28)=0, "", AVERAGE(ABS(Resultados!A28),ABS(Resultados!K28),ABS(Resultados!U28),ABS(Resultados!AE28),ABS(Resultados!AO28),ABS(Resultados!AY28),ABS(Resultados!BI28),ABS(Resultados!BS28),ABS(Resultados!CC28),ABS(Resultados!CM28),ABS(Resultados!CW28),ABS(Resultados!DG28)))</f>
        <v>45681</v>
      </c>
      <c r="B28" t="str">
        <f>IF(COUNT(Resultados!B28,Resultados!L28,Resultados!V28,Resultados!AF28,Resultados!AP28,Resultados!AZ28,Resultados!BJ28,Resultados!BT28,Resultados!CD28,Resultados!CN28,Resultados!CX28,Resultados!DH28)=0, "", AVERAGE(ABS(Resultados!B28),ABS(Resultados!L28),ABS(Resultados!V28),ABS(Resultados!AF28),ABS(Resultados!AP28),ABS(Resultados!AZ28),ABS(Resultados!BJ28),ABS(Resultados!BT28),ABS(Resultados!CD28),ABS(Resultados!CN28),ABS(Resultados!CX28),ABS(Resultados!DH28)))</f>
        <v/>
      </c>
      <c r="C28">
        <f>IF(COUNT(Resultados!C28,Resultados!M28,Resultados!W28,Resultados!AG28,Resultados!AQ28,Resultados!BA28,Resultados!BK28,Resultados!BU28,Resultados!CE28,Resultados!CO28,Resultados!CY28,Resultados!DI28)=0, "", AVERAGE(ABS(Resultados!C28),ABS(Resultados!M28),ABS(Resultados!W28),ABS(Resultados!AG28),ABS(Resultados!AQ28),ABS(Resultados!BA28),ABS(Resultados!BK28),ABS(Resultados!BU28),ABS(Resultados!CE28),ABS(Resultados!CO28),ABS(Resultados!CY28),ABS(Resultados!DI28)))</f>
        <v>3.4166666666666665</v>
      </c>
      <c r="D28">
        <f>IF(COUNT(Resultados!D28,Resultados!N28,Resultados!X28,Resultados!AH28,Resultados!AR28,Resultados!BB28,Resultados!BL28,Resultados!BV28,Resultados!CF28,Resultados!CP28,Resultados!CZ28,Resultados!DJ28)=0, "", AVERAGE(ABS(Resultados!D28),ABS(Resultados!N28),ABS(Resultados!X28),ABS(Resultados!AH28),ABS(Resultados!AR28),ABS(Resultados!BB28),ABS(Resultados!BL28),ABS(Resultados!BV28),ABS(Resultados!CF28),ABS(Resultados!CP28),ABS(Resultados!CZ28),ABS(Resultados!DJ28)))</f>
        <v>1.5283333333333335E-2</v>
      </c>
      <c r="E28">
        <f>IF(COUNT(Resultados!E28,Resultados!O28,Resultados!Y28,Resultados!AI28,Resultados!AS28,Resultados!BC28,Resultados!BM28,Resultados!BW28,Resultados!CG28,Resultados!CQ28,Resultados!DA28,Resultados!DK28)=0, "", AVERAGE(ABS(Resultados!E28),ABS(Resultados!O28),ABS(Resultados!Y28),ABS(Resultados!AI28),ABS(Resultados!AS28),ABS(Resultados!BC28),ABS(Resultados!BM28),ABS(Resultados!BW28),ABS(Resultados!CG28),ABS(Resultados!CQ28),ABS(Resultados!DA28),ABS(Resultados!DK28)))</f>
        <v>7.047039193149061</v>
      </c>
      <c r="F28">
        <f>IF(COUNT(Resultados!F28,Resultados!P28,Resultados!Z28,Resultados!AJ28,Resultados!AT28,Resultados!BD28,Resultados!BN28,Resultados!BX28,Resultados!CH28,Resultados!CR28,Resultados!DB28,Resultados!DL28)=0, "", AVERAGE(ABS(Resultados!F28),ABS(Resultados!P28),ABS(Resultados!Z28),ABS(Resultados!AJ28),ABS(Resultados!AT28),ABS(Resultados!BD28),ABS(Resultados!BN28),ABS(Resultados!BX28),ABS(Resultados!CH28),ABS(Resultados!CR28),ABS(Resultados!DB28),ABS(Resultados!DL28)))</f>
        <v>722.17968139692778</v>
      </c>
      <c r="G28">
        <f>IF(COUNT(Resultados!G28,Resultados!Q28,Resultados!AA28,Resultados!AK28,Resultados!AU28,Resultados!BE28,Resultados!BO28,Resultados!BY28,Resultados!CI28,Resultados!CS28,Resultados!DC28,Resultados!DM28)=0, "", AVERAGE(ABS(Resultados!G28),ABS(Resultados!Q28),ABS(Resultados!AA28),ABS(Resultados!AK28),ABS(Resultados!AU28),ABS(Resultados!BE28),ABS(Resultados!BO28),ABS(Resultados!BY28),ABS(Resultados!CI28),ABS(Resultados!CS28),ABS(Resultados!DC28),ABS(Resultados!DM28)))</f>
        <v>0.4240000000000001</v>
      </c>
      <c r="H28">
        <f>IF(COUNT(Resultados!H28,Resultados!R28,Resultados!AB28,Resultados!AL28,Resultados!AV28,Resultados!BF28,Resultados!BP28,Resultados!BZ28,Resultados!CJ28,Resultados!CT28,Resultados!DD28,Resultados!DN28)=0, "", AVERAGE(ABS(Resultados!H28),ABS(Resultados!R28),ABS(Resultados!AB28),ABS(Resultados!AL28),ABS(Resultados!AV28),ABS(Resultados!BF28),ABS(Resultados!BP28),ABS(Resultados!BZ28),ABS(Resultados!CJ28),ABS(Resultados!CT28),ABS(Resultados!DD28),ABS(Resultados!DN28)))</f>
        <v>1.635E-2</v>
      </c>
      <c r="I28">
        <f>IF(COUNT(Resultados!I28,Resultados!S28,Resultados!AC28,Resultados!AM28,Resultados!AW28,Resultados!BG28,Resultados!BQ28,Resultados!CA28,Resultados!CK28,Resultados!CU28,Resultados!DE28,Resultados!DO28)=0, "", AVERAGE(ABS(Resultados!I28),ABS(Resultados!S28),ABS(Resultados!AC28),ABS(Resultados!AM28),ABS(Resultados!AW28),ABS(Resultados!BG28),ABS(Resultados!BQ28),ABS(Resultados!CA28),ABS(Resultados!CK28),ABS(Resultados!CU28),ABS(Resultados!DE28),ABS(Resultados!DO28)))</f>
        <v>5.1992216666666673</v>
      </c>
      <c r="J28">
        <f>IF(COUNT(Resultados!J28,Resultados!T28,Resultados!AD28,Resultados!AN28,Resultados!AX28,Resultados!BH28,Resultados!BR28,Resultados!CB28,Resultados!CL28,Resultados!CV28,Resultados!DF28,Resultados!DP28)=0, "", AVERAGE(ABS(Resultados!J28),ABS(Resultados!T28),ABS(Resultados!AD28),ABS(Resultados!AN28),ABS(Resultados!AX28),ABS(Resultados!BH28),ABS(Resultados!BR28),ABS(Resultados!CB28),ABS(Resultados!CL28),ABS(Resultados!CV28),ABS(Resultados!DF28),ABS(Resultados!DP28)))</f>
        <v>1.635E-2</v>
      </c>
      <c r="K28">
        <v>1.5283333333333335E-2</v>
      </c>
    </row>
    <row r="29" spans="1:11" x14ac:dyDescent="0.3">
      <c r="A29">
        <f>IF(COUNT(Resultados!A29,Resultados!K29,Resultados!U29,Resultados!AE29,Resultados!AO29,Resultados!AY29,Resultados!BI29,Resultados!BS29,Resultados!CC29,Resultados!CM29,Resultados!CW29,Resultados!DG29)=0, "", AVERAGE(ABS(Resultados!A29),ABS(Resultados!K29),ABS(Resultados!U29),ABS(Resultados!AE29),ABS(Resultados!AO29),ABS(Resultados!AY29),ABS(Resultados!BI29),ABS(Resultados!BS29),ABS(Resultados!CC29),ABS(Resultados!CM29),ABS(Resultados!CW29),ABS(Resultados!DG29)))</f>
        <v>45681</v>
      </c>
      <c r="B29" t="str">
        <f>IF(COUNT(Resultados!B29,Resultados!L29,Resultados!V29,Resultados!AF29,Resultados!AP29,Resultados!AZ29,Resultados!BJ29,Resultados!BT29,Resultados!CD29,Resultados!CN29,Resultados!CX29,Resultados!DH29)=0, "", AVERAGE(ABS(Resultados!B29),ABS(Resultados!L29),ABS(Resultados!V29),ABS(Resultados!AF29),ABS(Resultados!AP29),ABS(Resultados!AZ29),ABS(Resultados!BJ29),ABS(Resultados!BT29),ABS(Resultados!CD29),ABS(Resultados!CN29),ABS(Resultados!CX29),ABS(Resultados!DH29)))</f>
        <v/>
      </c>
      <c r="C29">
        <f>IF(COUNT(Resultados!C29,Resultados!M29,Resultados!W29,Resultados!AG29,Resultados!AQ29,Resultados!BA29,Resultados!BK29,Resultados!BU29,Resultados!CE29,Resultados!CO29,Resultados!CY29,Resultados!DI29)=0, "", AVERAGE(ABS(Resultados!C29),ABS(Resultados!M29),ABS(Resultados!W29),ABS(Resultados!AG29),ABS(Resultados!AQ29),ABS(Resultados!BA29),ABS(Resultados!BK29),ABS(Resultados!BU29),ABS(Resultados!CE29),ABS(Resultados!CO29),ABS(Resultados!CY29),ABS(Resultados!DI29)))</f>
        <v>3.4166666666666665</v>
      </c>
      <c r="D29">
        <f>IF(COUNT(Resultados!D29,Resultados!N29,Resultados!X29,Resultados!AH29,Resultados!AR29,Resultados!BB29,Resultados!BL29,Resultados!BV29,Resultados!CF29,Resultados!CP29,Resultados!CZ29,Resultados!DJ29)=0, "", AVERAGE(ABS(Resultados!D29),ABS(Resultados!N29),ABS(Resultados!X29),ABS(Resultados!AH29),ABS(Resultados!AR29),ABS(Resultados!BB29),ABS(Resultados!BL29),ABS(Resultados!BV29),ABS(Resultados!CF29),ABS(Resultados!CP29),ABS(Resultados!CZ29),ABS(Resultados!DJ29)))</f>
        <v>1.5416666666666671E-2</v>
      </c>
      <c r="E29">
        <f>IF(COUNT(Resultados!E29,Resultados!O29,Resultados!Y29,Resultados!AI29,Resultados!AS29,Resultados!BC29,Resultados!BM29,Resultados!BW29,Resultados!CG29,Resultados!CQ29,Resultados!DA29,Resultados!DK29)=0, "", AVERAGE(ABS(Resultados!E29),ABS(Resultados!O29),ABS(Resultados!Y29),ABS(Resultados!AI29),ABS(Resultados!AS29),ABS(Resultados!BC29),ABS(Resultados!BM29),ABS(Resultados!BW29),ABS(Resultados!CG29),ABS(Resultados!CQ29),ABS(Resultados!DA29),ABS(Resultados!DK29)))</f>
        <v>6.9902894056165685</v>
      </c>
      <c r="F29">
        <f>IF(COUNT(Resultados!F29,Resultados!P29,Resultados!Z29,Resultados!AJ29,Resultados!AT29,Resultados!BD29,Resultados!BN29,Resultados!BX29,Resultados!CH29,Resultados!CR29,Resultados!DB29,Resultados!DL29)=0, "", AVERAGE(ABS(Resultados!F29),ABS(Resultados!P29),ABS(Resultados!Z29),ABS(Resultados!AJ29),ABS(Resultados!AT29),ABS(Resultados!BD29),ABS(Resultados!BN29),ABS(Resultados!BX29),ABS(Resultados!CH29),ABS(Resultados!CR29),ABS(Resultados!DB29),ABS(Resultados!DL29)))</f>
        <v>716.89960736652483</v>
      </c>
      <c r="G29">
        <f>IF(COUNT(Resultados!G29,Resultados!Q29,Resultados!AA29,Resultados!AK29,Resultados!AU29,Resultados!BE29,Resultados!BO29,Resultados!BY29,Resultados!CI29,Resultados!CS29,Resultados!DC29,Resultados!DM29)=0, "", AVERAGE(ABS(Resultados!G29),ABS(Resultados!Q29),ABS(Resultados!AA29),ABS(Resultados!AK29),ABS(Resultados!AU29),ABS(Resultados!BE29),ABS(Resultados!BO29),ABS(Resultados!BY29),ABS(Resultados!CI29),ABS(Resultados!CS29),ABS(Resultados!DC29),ABS(Resultados!DM29)))</f>
        <v>0.4240000000000001</v>
      </c>
      <c r="H29">
        <f>IF(COUNT(Resultados!H29,Resultados!R29,Resultados!AB29,Resultados!AL29,Resultados!AV29,Resultados!BF29,Resultados!BP29,Resultados!BZ29,Resultados!CJ29,Resultados!CT29,Resultados!DD29,Resultados!DN29)=0, "", AVERAGE(ABS(Resultados!H29),ABS(Resultados!R29),ABS(Resultados!AB29),ABS(Resultados!AL29),ABS(Resultados!AV29),ABS(Resultados!BF29),ABS(Resultados!BP29),ABS(Resultados!BZ29),ABS(Resultados!CJ29),ABS(Resultados!CT29),ABS(Resultados!DD29),ABS(Resultados!DN29)))</f>
        <v>1.5466666666666668E-2</v>
      </c>
      <c r="I29">
        <f>IF(COUNT(Resultados!I29,Resultados!S29,Resultados!AC29,Resultados!AM29,Resultados!AW29,Resultados!BG29,Resultados!BQ29,Resultados!CA29,Resultados!CK29,Resultados!CU29,Resultados!DE29,Resultados!DO29)=0, "", AVERAGE(ABS(Resultados!I29),ABS(Resultados!S29),ABS(Resultados!AC29),ABS(Resultados!AM29),ABS(Resultados!AW29),ABS(Resultados!BG29),ABS(Resultados!BQ29),ABS(Resultados!CA29),ABS(Resultados!CK29),ABS(Resultados!CU29),ABS(Resultados!DE29),ABS(Resultados!DO29)))</f>
        <v>5.3997233333333332</v>
      </c>
      <c r="J29">
        <f>IF(COUNT(Resultados!J29,Resultados!T29,Resultados!AD29,Resultados!AN29,Resultados!AX29,Resultados!BH29,Resultados!BR29,Resultados!CB29,Resultados!CL29,Resultados!CV29,Resultados!DF29,Resultados!DP29)=0, "", AVERAGE(ABS(Resultados!J29),ABS(Resultados!T29),ABS(Resultados!AD29),ABS(Resultados!AN29),ABS(Resultados!AX29),ABS(Resultados!BH29),ABS(Resultados!BR29),ABS(Resultados!CB29),ABS(Resultados!CL29),ABS(Resultados!CV29),ABS(Resultados!DF29),ABS(Resultados!DP29)))</f>
        <v>1.5466666666666668E-2</v>
      </c>
      <c r="K29">
        <v>1.5416666666666671E-2</v>
      </c>
    </row>
    <row r="30" spans="1:11" x14ac:dyDescent="0.3">
      <c r="A30">
        <f>IF(COUNT(Resultados!A30,Resultados!K30,Resultados!U30,Resultados!AE30,Resultados!AO30,Resultados!AY30,Resultados!BI30,Resultados!BS30,Resultados!CC30,Resultados!CM30,Resultados!CW30,Resultados!DG30)=0, "", AVERAGE(ABS(Resultados!A30),ABS(Resultados!K30),ABS(Resultados!U30),ABS(Resultados!AE30),ABS(Resultados!AO30),ABS(Resultados!AY30),ABS(Resultados!BI30),ABS(Resultados!BS30),ABS(Resultados!CC30),ABS(Resultados!CM30),ABS(Resultados!CW30),ABS(Resultados!DG30)))</f>
        <v>45681</v>
      </c>
      <c r="B30" t="str">
        <f>IF(COUNT(Resultados!B30,Resultados!L30,Resultados!V30,Resultados!AF30,Resultados!AP30,Resultados!AZ30,Resultados!BJ30,Resultados!BT30,Resultados!CD30,Resultados!CN30,Resultados!CX30,Resultados!DH30)=0, "", AVERAGE(ABS(Resultados!B30),ABS(Resultados!L30),ABS(Resultados!V30),ABS(Resultados!AF30),ABS(Resultados!AP30),ABS(Resultados!AZ30),ABS(Resultados!BJ30),ABS(Resultados!BT30),ABS(Resultados!CD30),ABS(Resultados!CN30),ABS(Resultados!CX30),ABS(Resultados!DH30)))</f>
        <v/>
      </c>
      <c r="C30">
        <f>IF(COUNT(Resultados!C30,Resultados!M30,Resultados!W30,Resultados!AG30,Resultados!AQ30,Resultados!BA30,Resultados!BK30,Resultados!BU30,Resultados!CE30,Resultados!CO30,Resultados!CY30,Resultados!DI30)=0, "", AVERAGE(ABS(Resultados!C30),ABS(Resultados!M30),ABS(Resultados!W30),ABS(Resultados!AG30),ABS(Resultados!AQ30),ABS(Resultados!BA30),ABS(Resultados!BK30),ABS(Resultados!BU30),ABS(Resultados!CE30),ABS(Resultados!CO30),ABS(Resultados!CY30),ABS(Resultados!DI30)))</f>
        <v>3.4166666666666665</v>
      </c>
      <c r="D30">
        <f>IF(COUNT(Resultados!D30,Resultados!N30,Resultados!X30,Resultados!AH30,Resultados!AR30,Resultados!BB30,Resultados!BL30,Resultados!BV30,Resultados!CF30,Resultados!CP30,Resultados!CZ30,Resultados!DJ30)=0, "", AVERAGE(ABS(Resultados!D30),ABS(Resultados!N30),ABS(Resultados!X30),ABS(Resultados!AH30),ABS(Resultados!AR30),ABS(Resultados!BB30),ABS(Resultados!BL30),ABS(Resultados!BV30),ABS(Resultados!CF30),ABS(Resultados!CP30),ABS(Resultados!CZ30),ABS(Resultados!DJ30)))</f>
        <v>1.5433333333333335E-2</v>
      </c>
      <c r="E30">
        <f>IF(COUNT(Resultados!E30,Resultados!O30,Resultados!Y30,Resultados!AI30,Resultados!AS30,Resultados!BC30,Resultados!BM30,Resultados!BW30,Resultados!CG30,Resultados!CQ30,Resultados!DA30,Resultados!DK30)=0, "", AVERAGE(ABS(Resultados!E30),ABS(Resultados!O30),ABS(Resultados!Y30),ABS(Resultados!AI30),ABS(Resultados!AS30),ABS(Resultados!BC30),ABS(Resultados!BM30),ABS(Resultados!BW30),ABS(Resultados!CG30),ABS(Resultados!CQ30),ABS(Resultados!DA30),ABS(Resultados!DK30)))</f>
        <v>6.9247207982185275</v>
      </c>
      <c r="F30">
        <f>IF(COUNT(Resultados!F30,Resultados!P30,Resultados!Z30,Resultados!AJ30,Resultados!AT30,Resultados!BD30,Resultados!BN30,Resultados!BX30,Resultados!CH30,Resultados!CR30,Resultados!DB30,Resultados!DL30)=0, "", AVERAGE(ABS(Resultados!F30),ABS(Resultados!P30),ABS(Resultados!Z30),ABS(Resultados!AJ30),ABS(Resultados!AT30),ABS(Resultados!BD30),ABS(Resultados!BN30),ABS(Resultados!BX30),ABS(Resultados!CH30),ABS(Resultados!CR30),ABS(Resultados!DB30),ABS(Resultados!DL30)))</f>
        <v>702.08681160186961</v>
      </c>
      <c r="G30">
        <f>IF(COUNT(Resultados!G30,Resultados!Q30,Resultados!AA30,Resultados!AK30,Resultados!AU30,Resultados!BE30,Resultados!BO30,Resultados!BY30,Resultados!CI30,Resultados!CS30,Resultados!DC30,Resultados!DM30)=0, "", AVERAGE(ABS(Resultados!G30),ABS(Resultados!Q30),ABS(Resultados!AA30),ABS(Resultados!AK30),ABS(Resultados!AU30),ABS(Resultados!BE30),ABS(Resultados!BO30),ABS(Resultados!BY30),ABS(Resultados!CI30),ABS(Resultados!CS30),ABS(Resultados!DC30),ABS(Resultados!DM30)))</f>
        <v>0.4240000000000001</v>
      </c>
      <c r="H30">
        <f>IF(COUNT(Resultados!H30,Resultados!R30,Resultados!AB30,Resultados!AL30,Resultados!AV30,Resultados!BF30,Resultados!BP30,Resultados!BZ30,Resultados!CJ30,Resultados!CT30,Resultados!DD30,Resultados!DN30)=0, "", AVERAGE(ABS(Resultados!H30),ABS(Resultados!R30),ABS(Resultados!AB30),ABS(Resultados!AL30),ABS(Resultados!AV30),ABS(Resultados!BF30),ABS(Resultados!BP30),ABS(Resultados!BZ30),ABS(Resultados!CJ30),ABS(Resultados!CT30),ABS(Resultados!DD30),ABS(Resultados!DN30)))</f>
        <v>1.4433333333333333E-2</v>
      </c>
      <c r="I30">
        <f>IF(COUNT(Resultados!I30,Resultados!S30,Resultados!AC30,Resultados!AM30,Resultados!AW30,Resultados!BG30,Resultados!BQ30,Resultados!CA30,Resultados!CK30,Resultados!CU30,Resultados!DE30,Resultados!DO30)=0, "", AVERAGE(ABS(Resultados!I30),ABS(Resultados!S30),ABS(Resultados!AC30),ABS(Resultados!AM30),ABS(Resultados!AW30),ABS(Resultados!BG30),ABS(Resultados!BQ30),ABS(Resultados!CA30),ABS(Resultados!CK30),ABS(Resultados!CU30),ABS(Resultados!DE30),ABS(Resultados!DO30)))</f>
        <v>5.5989950000000013</v>
      </c>
      <c r="J30">
        <f>IF(COUNT(Resultados!J30,Resultados!T30,Resultados!AD30,Resultados!AN30,Resultados!AX30,Resultados!BH30,Resultados!BR30,Resultados!CB30,Resultados!CL30,Resultados!CV30,Resultados!DF30,Resultados!DP30)=0, "", AVERAGE(ABS(Resultados!J30),ABS(Resultados!T30),ABS(Resultados!AD30),ABS(Resultados!AN30),ABS(Resultados!AX30),ABS(Resultados!BH30),ABS(Resultados!BR30),ABS(Resultados!CB30),ABS(Resultados!CL30),ABS(Resultados!CV30),ABS(Resultados!DF30),ABS(Resultados!DP30)))</f>
        <v>1.4433333333333333E-2</v>
      </c>
      <c r="K30">
        <v>1.5433333333333335E-2</v>
      </c>
    </row>
    <row r="31" spans="1:11" x14ac:dyDescent="0.3">
      <c r="A31">
        <f>IF(COUNT(Resultados!A31,Resultados!K31,Resultados!U31,Resultados!AE31,Resultados!AO31,Resultados!AY31,Resultados!BI31,Resultados!BS31,Resultados!CC31,Resultados!CM31,Resultados!CW31,Resultados!DG31)=0, "", AVERAGE(ABS(Resultados!A31),ABS(Resultados!K31),ABS(Resultados!U31),ABS(Resultados!AE31),ABS(Resultados!AO31),ABS(Resultados!AY31),ABS(Resultados!BI31),ABS(Resultados!BS31),ABS(Resultados!CC31),ABS(Resultados!CM31),ABS(Resultados!CW31),ABS(Resultados!DG31)))</f>
        <v>45681</v>
      </c>
      <c r="B31" t="str">
        <f>IF(COUNT(Resultados!B31,Resultados!L31,Resultados!V31,Resultados!AF31,Resultados!AP31,Resultados!AZ31,Resultados!BJ31,Resultados!BT31,Resultados!CD31,Resultados!CN31,Resultados!CX31,Resultados!DH31)=0, "", AVERAGE(ABS(Resultados!B31),ABS(Resultados!L31),ABS(Resultados!V31),ABS(Resultados!AF31),ABS(Resultados!AP31),ABS(Resultados!AZ31),ABS(Resultados!BJ31),ABS(Resultados!BT31),ABS(Resultados!CD31),ABS(Resultados!CN31),ABS(Resultados!CX31),ABS(Resultados!DH31)))</f>
        <v/>
      </c>
      <c r="C31">
        <f>IF(COUNT(Resultados!C31,Resultados!M31,Resultados!W31,Resultados!AG31,Resultados!AQ31,Resultados!BA31,Resultados!BK31,Resultados!BU31,Resultados!CE31,Resultados!CO31,Resultados!CY31,Resultados!DI31)=0, "", AVERAGE(ABS(Resultados!C31),ABS(Resultados!M31),ABS(Resultados!W31),ABS(Resultados!AG31),ABS(Resultados!AQ31),ABS(Resultados!BA31),ABS(Resultados!BK31),ABS(Resultados!BU31),ABS(Resultados!CE31),ABS(Resultados!CO31),ABS(Resultados!CY31),ABS(Resultados!DI31)))</f>
        <v>3.4166666666666665</v>
      </c>
      <c r="D31">
        <f>IF(COUNT(Resultados!D31,Resultados!N31,Resultados!X31,Resultados!AH31,Resultados!AR31,Resultados!BB31,Resultados!BL31,Resultados!BV31,Resultados!CF31,Resultados!CP31,Resultados!CZ31,Resultados!DJ31)=0, "", AVERAGE(ABS(Resultados!D31),ABS(Resultados!N31),ABS(Resultados!X31),ABS(Resultados!AH31),ABS(Resultados!AR31),ABS(Resultados!BB31),ABS(Resultados!BL31),ABS(Resultados!BV31),ABS(Resultados!CF31),ABS(Resultados!CP31),ABS(Resultados!CZ31),ABS(Resultados!DJ31)))</f>
        <v>1.5358333333333333E-2</v>
      </c>
      <c r="E31">
        <f>IF(COUNT(Resultados!E31,Resultados!O31,Resultados!Y31,Resultados!AI31,Resultados!AS31,Resultados!BC31,Resultados!BM31,Resultados!BW31,Resultados!CG31,Resultados!CQ31,Resultados!DA31,Resultados!DK31)=0, "", AVERAGE(ABS(Resultados!E31),ABS(Resultados!O31),ABS(Resultados!Y31),ABS(Resultados!AI31),ABS(Resultados!AS31),ABS(Resultados!BC31),ABS(Resultados!BM31),ABS(Resultados!BW31),ABS(Resultados!CG31),ABS(Resultados!CQ31),ABS(Resultados!DA31),ABS(Resultados!DK31)))</f>
        <v>6.8511044411644546</v>
      </c>
      <c r="F31">
        <f>IF(COUNT(Resultados!F31,Resultados!P31,Resultados!Z31,Resultados!AJ31,Resultados!AT31,Resultados!BD31,Resultados!BN31,Resultados!BX31,Resultados!CH31,Resultados!CR31,Resultados!DB31,Resultados!DL31)=0, "", AVERAGE(ABS(Resultados!F31),ABS(Resultados!P31),ABS(Resultados!Z31),ABS(Resultados!AJ31),ABS(Resultados!AT31),ABS(Resultados!BD31),ABS(Resultados!BN31),ABS(Resultados!BX31),ABS(Resultados!CH31),ABS(Resultados!CR31),ABS(Resultados!DB31),ABS(Resultados!DL31)))</f>
        <v>695.22928950627647</v>
      </c>
      <c r="G31">
        <f>IF(COUNT(Resultados!G31,Resultados!Q31,Resultados!AA31,Resultados!AK31,Resultados!AU31,Resultados!BE31,Resultados!BO31,Resultados!BY31,Resultados!CI31,Resultados!CS31,Resultados!DC31,Resultados!DM31)=0, "", AVERAGE(ABS(Resultados!G31),ABS(Resultados!Q31),ABS(Resultados!AA31),ABS(Resultados!AK31),ABS(Resultados!AU31),ABS(Resultados!BE31),ABS(Resultados!BO31),ABS(Resultados!BY31),ABS(Resultados!CI31),ABS(Resultados!CS31),ABS(Resultados!DC31),ABS(Resultados!DM31)))</f>
        <v>0.4240000000000001</v>
      </c>
      <c r="H31">
        <f>IF(COUNT(Resultados!H31,Resultados!R31,Resultados!AB31,Resultados!AL31,Resultados!AV31,Resultados!BF31,Resultados!BP31,Resultados!BZ31,Resultados!CJ31,Resultados!CT31,Resultados!DD31,Resultados!DN31)=0, "", AVERAGE(ABS(Resultados!H31),ABS(Resultados!R31),ABS(Resultados!AB31),ABS(Resultados!AL31),ABS(Resultados!AV31),ABS(Resultados!BF31),ABS(Resultados!BP31),ABS(Resultados!BZ31),ABS(Resultados!CJ31),ABS(Resultados!CT31),ABS(Resultados!DD31),ABS(Resultados!DN31)))</f>
        <v>1.3291666666666667E-2</v>
      </c>
      <c r="I31">
        <f>IF(COUNT(Resultados!I31,Resultados!S31,Resultados!AC31,Resultados!AM31,Resultados!AW31,Resultados!BG31,Resultados!BQ31,Resultados!CA31,Resultados!CK31,Resultados!CU31,Resultados!DE31,Resultados!DO31)=0, "", AVERAGE(ABS(Resultados!I31),ABS(Resultados!S31),ABS(Resultados!AC31),ABS(Resultados!AM31),ABS(Resultados!AW31),ABS(Resultados!BG31),ABS(Resultados!BQ31),ABS(Resultados!CA31),ABS(Resultados!CK31),ABS(Resultados!CU31),ABS(Resultados!DE31),ABS(Resultados!DO31)))</f>
        <v>5.7995549999999971</v>
      </c>
      <c r="J31">
        <f>IF(COUNT(Resultados!J31,Resultados!T31,Resultados!AD31,Resultados!AN31,Resultados!AX31,Resultados!BH31,Resultados!BR31,Resultados!CB31,Resultados!CL31,Resultados!CV31,Resultados!DF31,Resultados!DP31)=0, "", AVERAGE(ABS(Resultados!J31),ABS(Resultados!T31),ABS(Resultados!AD31),ABS(Resultados!AN31),ABS(Resultados!AX31),ABS(Resultados!BH31),ABS(Resultados!BR31),ABS(Resultados!CB31),ABS(Resultados!CL31),ABS(Resultados!CV31),ABS(Resultados!DF31),ABS(Resultados!DP31)))</f>
        <v>1.3291666666666667E-2</v>
      </c>
      <c r="K31">
        <v>1.5358333333333333E-2</v>
      </c>
    </row>
    <row r="32" spans="1:11" x14ac:dyDescent="0.3">
      <c r="A32">
        <f>IF(COUNT(Resultados!A32,Resultados!K32,Resultados!U32,Resultados!AE32,Resultados!AO32,Resultados!AY32,Resultados!BI32,Resultados!BS32,Resultados!CC32,Resultados!CM32,Resultados!CW32,Resultados!DG32)=0, "", AVERAGE(ABS(Resultados!A32),ABS(Resultados!K32),ABS(Resultados!U32),ABS(Resultados!AE32),ABS(Resultados!AO32),ABS(Resultados!AY32),ABS(Resultados!BI32),ABS(Resultados!BS32),ABS(Resultados!CC32),ABS(Resultados!CM32),ABS(Resultados!CW32),ABS(Resultados!DG32)))</f>
        <v>45681</v>
      </c>
      <c r="B32" t="str">
        <f>IF(COUNT(Resultados!B32,Resultados!L32,Resultados!V32,Resultados!AF32,Resultados!AP32,Resultados!AZ32,Resultados!BJ32,Resultados!BT32,Resultados!CD32,Resultados!CN32,Resultados!CX32,Resultados!DH32)=0, "", AVERAGE(ABS(Resultados!B32),ABS(Resultados!L32),ABS(Resultados!V32),ABS(Resultados!AF32),ABS(Resultados!AP32),ABS(Resultados!AZ32),ABS(Resultados!BJ32),ABS(Resultados!BT32),ABS(Resultados!CD32),ABS(Resultados!CN32),ABS(Resultados!CX32),ABS(Resultados!DH32)))</f>
        <v/>
      </c>
      <c r="C32">
        <f>IF(COUNT(Resultados!C32,Resultados!M32,Resultados!W32,Resultados!AG32,Resultados!AQ32,Resultados!BA32,Resultados!BK32,Resultados!BU32,Resultados!CE32,Resultados!CO32,Resultados!CY32,Resultados!DI32)=0, "", AVERAGE(ABS(Resultados!C32),ABS(Resultados!M32),ABS(Resultados!W32),ABS(Resultados!AG32),ABS(Resultados!AQ32),ABS(Resultados!BA32),ABS(Resultados!BK32),ABS(Resultados!BU32),ABS(Resultados!CE32),ABS(Resultados!CO32),ABS(Resultados!CY32),ABS(Resultados!DI32)))</f>
        <v>3.4166666666666665</v>
      </c>
      <c r="D32">
        <f>IF(COUNT(Resultados!D32,Resultados!N32,Resultados!X32,Resultados!AH32,Resultados!AR32,Resultados!BB32,Resultados!BL32,Resultados!BV32,Resultados!CF32,Resultados!CP32,Resultados!CZ32,Resultados!DJ32)=0, "", AVERAGE(ABS(Resultados!D32),ABS(Resultados!N32),ABS(Resultados!X32),ABS(Resultados!AH32),ABS(Resultados!AR32),ABS(Resultados!BB32),ABS(Resultados!BL32),ABS(Resultados!BV32),ABS(Resultados!CF32),ABS(Resultados!CP32),ABS(Resultados!CZ32),ABS(Resultados!DJ32)))</f>
        <v>1.5075E-2</v>
      </c>
      <c r="E32">
        <f>IF(COUNT(Resultados!E32,Resultados!O32,Resultados!Y32,Resultados!AI32,Resultados!AS32,Resultados!BC32,Resultados!BM32,Resultados!BW32,Resultados!CG32,Resultados!CQ32,Resultados!DA32,Resultados!DK32)=0, "", AVERAGE(ABS(Resultados!E32),ABS(Resultados!O32),ABS(Resultados!Y32),ABS(Resultados!AI32),ABS(Resultados!AS32),ABS(Resultados!BC32),ABS(Resultados!BM32),ABS(Resultados!BW32),ABS(Resultados!CG32),ABS(Resultados!CQ32),ABS(Resultados!DA32),ABS(Resultados!DK32)))</f>
        <v>6.7719519216473039</v>
      </c>
      <c r="F32">
        <f>IF(COUNT(Resultados!F32,Resultados!P32,Resultados!Z32,Resultados!AJ32,Resultados!AT32,Resultados!BD32,Resultados!BN32,Resultados!BX32,Resultados!CH32,Resultados!CR32,Resultados!DB32,Resultados!DL32)=0, "", AVERAGE(ABS(Resultados!F32),ABS(Resultados!P32),ABS(Resultados!Z32),ABS(Resultados!AJ32),ABS(Resultados!AT32),ABS(Resultados!BD32),ABS(Resultados!BN32),ABS(Resultados!BX32),ABS(Resultados!CH32),ABS(Resultados!CR32),ABS(Resultados!DB32),ABS(Resultados!DL32)))</f>
        <v>687.85345356307346</v>
      </c>
      <c r="G32">
        <f>IF(COUNT(Resultados!G32,Resultados!Q32,Resultados!AA32,Resultados!AK32,Resultados!AU32,Resultados!BE32,Resultados!BO32,Resultados!BY32,Resultados!CI32,Resultados!CS32,Resultados!DC32,Resultados!DM32)=0, "", AVERAGE(ABS(Resultados!G32),ABS(Resultados!Q32),ABS(Resultados!AA32),ABS(Resultados!AK32),ABS(Resultados!AU32),ABS(Resultados!BE32),ABS(Resultados!BO32),ABS(Resultados!BY32),ABS(Resultados!CI32),ABS(Resultados!CS32),ABS(Resultados!DC32),ABS(Resultados!DM32)))</f>
        <v>0.4240000000000001</v>
      </c>
      <c r="H32">
        <f>IF(COUNT(Resultados!H32,Resultados!R32,Resultados!AB32,Resultados!AL32,Resultados!AV32,Resultados!BF32,Resultados!BP32,Resultados!BZ32,Resultados!CJ32,Resultados!CT32,Resultados!DD32,Resultados!DN32)=0, "", AVERAGE(ABS(Resultados!H32),ABS(Resultados!R32),ABS(Resultados!AB32),ABS(Resultados!AL32),ABS(Resultados!AV32),ABS(Resultados!BF32),ABS(Resultados!BP32),ABS(Resultados!BZ32),ABS(Resultados!CJ32),ABS(Resultados!CT32),ABS(Resultados!DD32),ABS(Resultados!DN32)))</f>
        <v>1.2066666666666668E-2</v>
      </c>
      <c r="I32">
        <f>IF(COUNT(Resultados!I32,Resultados!S32,Resultados!AC32,Resultados!AM32,Resultados!AW32,Resultados!BG32,Resultados!BQ32,Resultados!CA32,Resultados!CK32,Resultados!CU32,Resultados!DE32,Resultados!DO32)=0, "", AVERAGE(ABS(Resultados!I32),ABS(Resultados!S32),ABS(Resultados!AC32),ABS(Resultados!AM32),ABS(Resultados!AW32),ABS(Resultados!BG32),ABS(Resultados!BQ32),ABS(Resultados!CA32),ABS(Resultados!CK32),ABS(Resultados!CU32),ABS(Resultados!DE32),ABS(Resultados!DO32)))</f>
        <v>5.9992458333333358</v>
      </c>
      <c r="J32">
        <f>IF(COUNT(Resultados!J32,Resultados!T32,Resultados!AD32,Resultados!AN32,Resultados!AX32,Resultados!BH32,Resultados!BR32,Resultados!CB32,Resultados!CL32,Resultados!CV32,Resultados!DF32,Resultados!DP32)=0, "", AVERAGE(ABS(Resultados!J32),ABS(Resultados!T32),ABS(Resultados!AD32),ABS(Resultados!AN32),ABS(Resultados!AX32),ABS(Resultados!BH32),ABS(Resultados!BR32),ABS(Resultados!CB32),ABS(Resultados!CL32),ABS(Resultados!CV32),ABS(Resultados!DF32),ABS(Resultados!DP32)))</f>
        <v>1.2066666666666668E-2</v>
      </c>
      <c r="K32">
        <v>1.5075E-2</v>
      </c>
    </row>
    <row r="33" spans="1:11" x14ac:dyDescent="0.3">
      <c r="A33">
        <f>IF(COUNT(Resultados!A33,Resultados!K33,Resultados!U33,Resultados!AE33,Resultados!AO33,Resultados!AY33,Resultados!BI33,Resultados!BS33,Resultados!CC33,Resultados!CM33,Resultados!CW33,Resultados!DG33)=0, "", AVERAGE(ABS(Resultados!A33),ABS(Resultados!K33),ABS(Resultados!U33),ABS(Resultados!AE33),ABS(Resultados!AO33),ABS(Resultados!AY33),ABS(Resultados!BI33),ABS(Resultados!BS33),ABS(Resultados!CC33),ABS(Resultados!CM33),ABS(Resultados!CW33),ABS(Resultados!DG33)))</f>
        <v>45681</v>
      </c>
      <c r="B33" t="str">
        <f>IF(COUNT(Resultados!B33,Resultados!L33,Resultados!V33,Resultados!AF33,Resultados!AP33,Resultados!AZ33,Resultados!BJ33,Resultados!BT33,Resultados!CD33,Resultados!CN33,Resultados!CX33,Resultados!DH33)=0, "", AVERAGE(ABS(Resultados!B33),ABS(Resultados!L33),ABS(Resultados!V33),ABS(Resultados!AF33),ABS(Resultados!AP33),ABS(Resultados!AZ33),ABS(Resultados!BJ33),ABS(Resultados!BT33),ABS(Resultados!CD33),ABS(Resultados!CN33),ABS(Resultados!CX33),ABS(Resultados!DH33)))</f>
        <v/>
      </c>
      <c r="C33">
        <f>IF(COUNT(Resultados!C33,Resultados!M33,Resultados!W33,Resultados!AG33,Resultados!AQ33,Resultados!BA33,Resultados!BK33,Resultados!BU33,Resultados!CE33,Resultados!CO33,Resultados!CY33,Resultados!DI33)=0, "", AVERAGE(ABS(Resultados!C33),ABS(Resultados!M33),ABS(Resultados!W33),ABS(Resultados!AG33),ABS(Resultados!AQ33),ABS(Resultados!BA33),ABS(Resultados!BK33),ABS(Resultados!BU33),ABS(Resultados!CE33),ABS(Resultados!CO33),ABS(Resultados!CY33),ABS(Resultados!DI33)))</f>
        <v>3.4166666666666665</v>
      </c>
      <c r="D33">
        <f>IF(COUNT(Resultados!D33,Resultados!N33,Resultados!X33,Resultados!AH33,Resultados!AR33,Resultados!BB33,Resultados!BL33,Resultados!BV33,Resultados!CF33,Resultados!CP33,Resultados!CZ33,Resultados!DJ33)=0, "", AVERAGE(ABS(Resultados!D33),ABS(Resultados!N33),ABS(Resultados!X33),ABS(Resultados!AH33),ABS(Resultados!AR33),ABS(Resultados!BB33),ABS(Resultados!BL33),ABS(Resultados!BV33),ABS(Resultados!CF33),ABS(Resultados!CP33),ABS(Resultados!CZ33),ABS(Resultados!DJ33)))</f>
        <v>1.4483333333333334E-2</v>
      </c>
      <c r="E33">
        <f>IF(COUNT(Resultados!E33,Resultados!O33,Resultados!Y33,Resultados!AI33,Resultados!AS33,Resultados!BC33,Resultados!BM33,Resultados!BW33,Resultados!CG33,Resultados!CQ33,Resultados!DA33,Resultados!DK33)=0, "", AVERAGE(ABS(Resultados!E33),ABS(Resultados!O33),ABS(Resultados!Y33),ABS(Resultados!AI33),ABS(Resultados!AS33),ABS(Resultados!BC33),ABS(Resultados!BM33),ABS(Resultados!BW33),ABS(Resultados!CG33),ABS(Resultados!CQ33),ABS(Resultados!DA33),ABS(Resultados!DK33)))</f>
        <v>6.6887974734064777</v>
      </c>
      <c r="F33">
        <f>IF(COUNT(Resultados!F33,Resultados!P33,Resultados!Z33,Resultados!AJ33,Resultados!AT33,Resultados!BD33,Resultados!BN33,Resultados!BX33,Resultados!CH33,Resultados!CR33,Resultados!DB33,Resultados!DL33)=0, "", AVERAGE(ABS(Resultados!F33),ABS(Resultados!P33),ABS(Resultados!Z33),ABS(Resultados!AJ33),ABS(Resultados!AT33),ABS(Resultados!BD33),ABS(Resultados!BN33),ABS(Resultados!BX33),ABS(Resultados!CH33),ABS(Resultados!CR33),ABS(Resultados!DB33),ABS(Resultados!DL33)))</f>
        <v>671.39592452148372</v>
      </c>
      <c r="G33">
        <f>IF(COUNT(Resultados!G33,Resultados!Q33,Resultados!AA33,Resultados!AK33,Resultados!AU33,Resultados!BE33,Resultados!BO33,Resultados!BY33,Resultados!CI33,Resultados!CS33,Resultados!DC33,Resultados!DM33)=0, "", AVERAGE(ABS(Resultados!G33),ABS(Resultados!Q33),ABS(Resultados!AA33),ABS(Resultados!AK33),ABS(Resultados!AU33),ABS(Resultados!BE33),ABS(Resultados!BO33),ABS(Resultados!BY33),ABS(Resultados!CI33),ABS(Resultados!CS33),ABS(Resultados!DC33),ABS(Resultados!DM33)))</f>
        <v>0.4240000000000001</v>
      </c>
      <c r="H33">
        <f>IF(COUNT(Resultados!H33,Resultados!R33,Resultados!AB33,Resultados!AL33,Resultados!AV33,Resultados!BF33,Resultados!BP33,Resultados!BZ33,Resultados!CJ33,Resultados!CT33,Resultados!DD33,Resultados!DN33)=0, "", AVERAGE(ABS(Resultados!H33),ABS(Resultados!R33),ABS(Resultados!AB33),ABS(Resultados!AL33),ABS(Resultados!AV33),ABS(Resultados!BF33),ABS(Resultados!BP33),ABS(Resultados!BZ33),ABS(Resultados!CJ33),ABS(Resultados!CT33),ABS(Resultados!DD33),ABS(Resultados!DN33)))</f>
        <v>1.0791666666666666E-2</v>
      </c>
      <c r="I33">
        <f>IF(COUNT(Resultados!I33,Resultados!S33,Resultados!AC33,Resultados!AM33,Resultados!AW33,Resultados!BG33,Resultados!BQ33,Resultados!CA33,Resultados!CK33,Resultados!CU33,Resultados!DE33,Resultados!DO33)=0, "", AVERAGE(ABS(Resultados!I33),ABS(Resultados!S33),ABS(Resultados!AC33),ABS(Resultados!AM33),ABS(Resultados!AW33),ABS(Resultados!BG33),ABS(Resultados!BQ33),ABS(Resultados!CA33),ABS(Resultados!CK33),ABS(Resultados!CU33),ABS(Resultados!DE33),ABS(Resultados!DO33)))</f>
        <v>6.1993624999999959</v>
      </c>
      <c r="J33">
        <f>IF(COUNT(Resultados!J33,Resultados!T33,Resultados!AD33,Resultados!AN33,Resultados!AX33,Resultados!BH33,Resultados!BR33,Resultados!CB33,Resultados!CL33,Resultados!CV33,Resultados!DF33,Resultados!DP33)=0, "", AVERAGE(ABS(Resultados!J33),ABS(Resultados!T33),ABS(Resultados!AD33),ABS(Resultados!AN33),ABS(Resultados!AX33),ABS(Resultados!BH33),ABS(Resultados!BR33),ABS(Resultados!CB33),ABS(Resultados!CL33),ABS(Resultados!CV33),ABS(Resultados!DF33),ABS(Resultados!DP33)))</f>
        <v>1.0791666666666666E-2</v>
      </c>
      <c r="K33">
        <v>1.4483333333333334E-2</v>
      </c>
    </row>
    <row r="34" spans="1:11" x14ac:dyDescent="0.3">
      <c r="A34">
        <f>IF(COUNT(Resultados!A34,Resultados!K34,Resultados!U34,Resultados!AE34,Resultados!AO34,Resultados!AY34,Resultados!BI34,Resultados!BS34,Resultados!CC34,Resultados!CM34,Resultados!CW34,Resultados!DG34)=0, "", AVERAGE(ABS(Resultados!A34),ABS(Resultados!K34),ABS(Resultados!U34),ABS(Resultados!AE34),ABS(Resultados!AO34),ABS(Resultados!AY34),ABS(Resultados!BI34),ABS(Resultados!BS34),ABS(Resultados!CC34),ABS(Resultados!CM34),ABS(Resultados!CW34),ABS(Resultados!DG34)))</f>
        <v>45681</v>
      </c>
      <c r="B34" t="str">
        <f>IF(COUNT(Resultados!B34,Resultados!L34,Resultados!V34,Resultados!AF34,Resultados!AP34,Resultados!AZ34,Resultados!BJ34,Resultados!BT34,Resultados!CD34,Resultados!CN34,Resultados!CX34,Resultados!DH34)=0, "", AVERAGE(ABS(Resultados!B34),ABS(Resultados!L34),ABS(Resultados!V34),ABS(Resultados!AF34),ABS(Resultados!AP34),ABS(Resultados!AZ34),ABS(Resultados!BJ34),ABS(Resultados!BT34),ABS(Resultados!CD34),ABS(Resultados!CN34),ABS(Resultados!CX34),ABS(Resultados!DH34)))</f>
        <v/>
      </c>
      <c r="C34">
        <f>IF(COUNT(Resultados!C34,Resultados!M34,Resultados!W34,Resultados!AG34,Resultados!AQ34,Resultados!BA34,Resultados!BK34,Resultados!BU34,Resultados!CE34,Resultados!CO34,Resultados!CY34,Resultados!DI34)=0, "", AVERAGE(ABS(Resultados!C34),ABS(Resultados!M34),ABS(Resultados!W34),ABS(Resultados!AG34),ABS(Resultados!AQ34),ABS(Resultados!BA34),ABS(Resultados!BK34),ABS(Resultados!BU34),ABS(Resultados!CE34),ABS(Resultados!CO34),ABS(Resultados!CY34),ABS(Resultados!DI34)))</f>
        <v>3.4166666666666665</v>
      </c>
      <c r="D34">
        <f>IF(COUNT(Resultados!D34,Resultados!N34,Resultados!X34,Resultados!AH34,Resultados!AR34,Resultados!BB34,Resultados!BL34,Resultados!BV34,Resultados!CF34,Resultados!CP34,Resultados!CZ34,Resultados!DJ34)=0, "", AVERAGE(ABS(Resultados!D34),ABS(Resultados!N34),ABS(Resultados!X34),ABS(Resultados!AH34),ABS(Resultados!AR34),ABS(Resultados!BB34),ABS(Resultados!BL34),ABS(Resultados!BV34),ABS(Resultados!CF34),ABS(Resultados!CP34),ABS(Resultados!CZ34),ABS(Resultados!DJ34)))</f>
        <v>1.3658333333333333E-2</v>
      </c>
      <c r="E34">
        <f>IF(COUNT(Resultados!E34,Resultados!O34,Resultados!Y34,Resultados!AI34,Resultados!AS34,Resultados!BC34,Resultados!BM34,Resultados!BW34,Resultados!CG34,Resultados!CQ34,Resultados!DA34,Resultados!DK34)=0, "", AVERAGE(ABS(Resultados!E34),ABS(Resultados!O34),ABS(Resultados!Y34),ABS(Resultados!AI34),ABS(Resultados!AS34),ABS(Resultados!BC34),ABS(Resultados!BM34),ABS(Resultados!BW34),ABS(Resultados!CG34),ABS(Resultados!CQ34),ABS(Resultados!DA34),ABS(Resultados!DK34)))</f>
        <v>6.6031347155279247</v>
      </c>
      <c r="F34">
        <f>IF(COUNT(Resultados!F34,Resultados!P34,Resultados!Z34,Resultados!AJ34,Resultados!AT34,Resultados!BD34,Resultados!BN34,Resultados!BX34,Resultados!CH34,Resultados!CR34,Resultados!DB34,Resultados!DL34)=0, "", AVERAGE(ABS(Resultados!F34),ABS(Resultados!P34),ABS(Resultados!Z34),ABS(Resultados!AJ34),ABS(Resultados!AT34),ABS(Resultados!BD34),ABS(Resultados!BN34),ABS(Resultados!BX34),ABS(Resultados!CH34),ABS(Resultados!CR34),ABS(Resultados!DB34),ABS(Resultados!DL34)))</f>
        <v>663.41215548720254</v>
      </c>
      <c r="G34">
        <f>IF(COUNT(Resultados!G34,Resultados!Q34,Resultados!AA34,Resultados!AK34,Resultados!AU34,Resultados!BE34,Resultados!BO34,Resultados!BY34,Resultados!CI34,Resultados!CS34,Resultados!DC34,Resultados!DM34)=0, "", AVERAGE(ABS(Resultados!G34),ABS(Resultados!Q34),ABS(Resultados!AA34),ABS(Resultados!AK34),ABS(Resultados!AU34),ABS(Resultados!BE34),ABS(Resultados!BO34),ABS(Resultados!BY34),ABS(Resultados!CI34),ABS(Resultados!CS34),ABS(Resultados!DC34),ABS(Resultados!DM34)))</f>
        <v>0.4240000000000001</v>
      </c>
      <c r="H34">
        <f>IF(COUNT(Resultados!H34,Resultados!R34,Resultados!AB34,Resultados!AL34,Resultados!AV34,Resultados!BF34,Resultados!BP34,Resultados!BZ34,Resultados!CJ34,Resultados!CT34,Resultados!DD34,Resultados!DN34)=0, "", AVERAGE(ABS(Resultados!H34),ABS(Resultados!R34),ABS(Resultados!AB34),ABS(Resultados!AL34),ABS(Resultados!AV34),ABS(Resultados!BF34),ABS(Resultados!BP34),ABS(Resultados!BZ34),ABS(Resultados!CJ34),ABS(Resultados!CT34),ABS(Resultados!DD34),ABS(Resultados!DN34)))</f>
        <v>9.4333333333333335E-3</v>
      </c>
      <c r="I34">
        <f>IF(COUNT(Resultados!I34,Resultados!S34,Resultados!AC34,Resultados!AM34,Resultados!AW34,Resultados!BG34,Resultados!BQ34,Resultados!CA34,Resultados!CK34,Resultados!CU34,Resultados!DE34,Resultados!DO34)=0, "", AVERAGE(ABS(Resultados!I34),ABS(Resultados!S34),ABS(Resultados!AC34),ABS(Resultados!AM34),ABS(Resultados!AW34),ABS(Resultados!BG34),ABS(Resultados!BQ34),ABS(Resultados!CA34),ABS(Resultados!CK34),ABS(Resultados!CU34),ABS(Resultados!DE34),ABS(Resultados!DO34)))</f>
        <v>6.4010008333333337</v>
      </c>
      <c r="J34">
        <f>IF(COUNT(Resultados!J34,Resultados!T34,Resultados!AD34,Resultados!AN34,Resultados!AX34,Resultados!BH34,Resultados!BR34,Resultados!CB34,Resultados!CL34,Resultados!CV34,Resultados!DF34,Resultados!DP34)=0, "", AVERAGE(ABS(Resultados!J34),ABS(Resultados!T34),ABS(Resultados!AD34),ABS(Resultados!AN34),ABS(Resultados!AX34),ABS(Resultados!BH34),ABS(Resultados!BR34),ABS(Resultados!CB34),ABS(Resultados!CL34),ABS(Resultados!CV34),ABS(Resultados!DF34),ABS(Resultados!DP34)))</f>
        <v>9.4333333333333335E-3</v>
      </c>
      <c r="K34">
        <v>1.3658333333333333E-2</v>
      </c>
    </row>
    <row r="35" spans="1:11" x14ac:dyDescent="0.3">
      <c r="A35">
        <f>IF(COUNT(Resultados!A35,Resultados!K35,Resultados!U35,Resultados!AE35,Resultados!AO35,Resultados!AY35,Resultados!BI35,Resultados!BS35,Resultados!CC35,Resultados!CM35,Resultados!CW35,Resultados!DG35)=0, "", AVERAGE(ABS(Resultados!A35),ABS(Resultados!K35),ABS(Resultados!U35),ABS(Resultados!AE35),ABS(Resultados!AO35),ABS(Resultados!AY35),ABS(Resultados!BI35),ABS(Resultados!BS35),ABS(Resultados!CC35),ABS(Resultados!CM35),ABS(Resultados!CW35),ABS(Resultados!DG35)))</f>
        <v>45681</v>
      </c>
      <c r="B35" t="str">
        <f>IF(COUNT(Resultados!B35,Resultados!L35,Resultados!V35,Resultados!AF35,Resultados!AP35,Resultados!AZ35,Resultados!BJ35,Resultados!BT35,Resultados!CD35,Resultados!CN35,Resultados!CX35,Resultados!DH35)=0, "", AVERAGE(ABS(Resultados!B35),ABS(Resultados!L35),ABS(Resultados!V35),ABS(Resultados!AF35),ABS(Resultados!AP35),ABS(Resultados!AZ35),ABS(Resultados!BJ35),ABS(Resultados!BT35),ABS(Resultados!CD35),ABS(Resultados!CN35),ABS(Resultados!CX35),ABS(Resultados!DH35)))</f>
        <v/>
      </c>
      <c r="C35">
        <f>IF(COUNT(Resultados!C35,Resultados!M35,Resultados!W35,Resultados!AG35,Resultados!AQ35,Resultados!BA35,Resultados!BK35,Resultados!BU35,Resultados!CE35,Resultados!CO35,Resultados!CY35,Resultados!DI35)=0, "", AVERAGE(ABS(Resultados!C35),ABS(Resultados!M35),ABS(Resultados!W35),ABS(Resultados!AG35),ABS(Resultados!AQ35),ABS(Resultados!BA35),ABS(Resultados!BK35),ABS(Resultados!BU35),ABS(Resultados!CE35),ABS(Resultados!CO35),ABS(Resultados!CY35),ABS(Resultados!DI35)))</f>
        <v>3.4166666666666665</v>
      </c>
      <c r="D35">
        <f>IF(COUNT(Resultados!D35,Resultados!N35,Resultados!X35,Resultados!AH35,Resultados!AR35,Resultados!BB35,Resultados!BL35,Resultados!BV35,Resultados!CF35,Resultados!CP35,Resultados!CZ35,Resultados!DJ35)=0, "", AVERAGE(ABS(Resultados!D35),ABS(Resultados!N35),ABS(Resultados!X35),ABS(Resultados!AH35),ABS(Resultados!AR35),ABS(Resultados!BB35),ABS(Resultados!BL35),ABS(Resultados!BV35),ABS(Resultados!CF35),ABS(Resultados!CP35),ABS(Resultados!CZ35),ABS(Resultados!DJ35)))</f>
        <v>1.2558333333333333E-2</v>
      </c>
      <c r="E35">
        <f>IF(COUNT(Resultados!E35,Resultados!O35,Resultados!Y35,Resultados!AI35,Resultados!AS35,Resultados!BC35,Resultados!BM35,Resultados!BW35,Resultados!CG35,Resultados!CQ35,Resultados!DA35,Resultados!DK35)=0, "", AVERAGE(ABS(Resultados!E35),ABS(Resultados!O35),ABS(Resultados!Y35),ABS(Resultados!AI35),ABS(Resultados!AS35),ABS(Resultados!BC35),ABS(Resultados!BM35),ABS(Resultados!BW35),ABS(Resultados!CG35),ABS(Resultados!CQ35),ABS(Resultados!DA35),ABS(Resultados!DK35)))</f>
        <v>6.5191274947214675</v>
      </c>
      <c r="F35">
        <f>IF(COUNT(Resultados!F35,Resultados!P35,Resultados!Z35,Resultados!AJ35,Resultados!AT35,Resultados!BD35,Resultados!BN35,Resultados!BX35,Resultados!CH35,Resultados!CR35,Resultados!DB35,Resultados!DL35)=0, "", AVERAGE(ABS(Resultados!F35),ABS(Resultados!P35),ABS(Resultados!Z35),ABS(Resultados!AJ35),ABS(Resultados!AT35),ABS(Resultados!BD35),ABS(Resultados!BN35),ABS(Resultados!BX35),ABS(Resultados!CH35),ABS(Resultados!CR35),ABS(Resultados!DB35),ABS(Resultados!DL35)))</f>
        <v>655.58268250804088</v>
      </c>
      <c r="G35">
        <f>IF(COUNT(Resultados!G35,Resultados!Q35,Resultados!AA35,Resultados!AK35,Resultados!AU35,Resultados!BE35,Resultados!BO35,Resultados!BY35,Resultados!CI35,Resultados!CS35,Resultados!DC35,Resultados!DM35)=0, "", AVERAGE(ABS(Resultados!G35),ABS(Resultados!Q35),ABS(Resultados!AA35),ABS(Resultados!AK35),ABS(Resultados!AU35),ABS(Resultados!BE35),ABS(Resultados!BO35),ABS(Resultados!BY35),ABS(Resultados!CI35),ABS(Resultados!CS35),ABS(Resultados!DC35),ABS(Resultados!DM35)))</f>
        <v>0.4240000000000001</v>
      </c>
      <c r="H35">
        <f>IF(COUNT(Resultados!H35,Resultados!R35,Resultados!AB35,Resultados!AL35,Resultados!AV35,Resultados!BF35,Resultados!BP35,Resultados!BZ35,Resultados!CJ35,Resultados!CT35,Resultados!DD35,Resultados!DN35)=0, "", AVERAGE(ABS(Resultados!H35),ABS(Resultados!R35),ABS(Resultados!AB35),ABS(Resultados!AL35),ABS(Resultados!AV35),ABS(Resultados!BF35),ABS(Resultados!BP35),ABS(Resultados!BZ35),ABS(Resultados!CJ35),ABS(Resultados!CT35),ABS(Resultados!DD35),ABS(Resultados!DN35)))</f>
        <v>8.1166666666666661E-3</v>
      </c>
      <c r="I35">
        <f>IF(COUNT(Resultados!I35,Resultados!S35,Resultados!AC35,Resultados!AM35,Resultados!AW35,Resultados!BG35,Resultados!BQ35,Resultados!CA35,Resultados!CK35,Resultados!CU35,Resultados!DE35,Resultados!DO35)=0, "", AVERAGE(ABS(Resultados!I35),ABS(Resultados!S35),ABS(Resultados!AC35),ABS(Resultados!AM35),ABS(Resultados!AW35),ABS(Resultados!BG35),ABS(Resultados!BQ35),ABS(Resultados!CA35),ABS(Resultados!CK35),ABS(Resultados!CU35),ABS(Resultados!DE35),ABS(Resultados!DO35)))</f>
        <v>6.5995541666666702</v>
      </c>
      <c r="J35">
        <f>IF(COUNT(Resultados!J35,Resultados!T35,Resultados!AD35,Resultados!AN35,Resultados!AX35,Resultados!BH35,Resultados!BR35,Resultados!CB35,Resultados!CL35,Resultados!CV35,Resultados!DF35,Resultados!DP35)=0, "", AVERAGE(ABS(Resultados!J35),ABS(Resultados!T35),ABS(Resultados!AD35),ABS(Resultados!AN35),ABS(Resultados!AX35),ABS(Resultados!BH35),ABS(Resultados!BR35),ABS(Resultados!CB35),ABS(Resultados!CL35),ABS(Resultados!CV35),ABS(Resultados!DF35),ABS(Resultados!DP35)))</f>
        <v>8.1166666666666661E-3</v>
      </c>
      <c r="K35">
        <v>1.2558333333333333E-2</v>
      </c>
    </row>
    <row r="36" spans="1:11" x14ac:dyDescent="0.3">
      <c r="A36">
        <f>IF(COUNT(Resultados!A36,Resultados!K36,Resultados!U36,Resultados!AE36,Resultados!AO36,Resultados!AY36,Resultados!BI36,Resultados!BS36,Resultados!CC36,Resultados!CM36,Resultados!CW36,Resultados!DG36)=0, "", AVERAGE(ABS(Resultados!A36),ABS(Resultados!K36),ABS(Resultados!U36),ABS(Resultados!AE36),ABS(Resultados!AO36),ABS(Resultados!AY36),ABS(Resultados!BI36),ABS(Resultados!BS36),ABS(Resultados!CC36),ABS(Resultados!CM36),ABS(Resultados!CW36),ABS(Resultados!DG36)))</f>
        <v>45681</v>
      </c>
      <c r="B36" t="str">
        <f>IF(COUNT(Resultados!B36,Resultados!L36,Resultados!V36,Resultados!AF36,Resultados!AP36,Resultados!AZ36,Resultados!BJ36,Resultados!BT36,Resultados!CD36,Resultados!CN36,Resultados!CX36,Resultados!DH36)=0, "", AVERAGE(ABS(Resultados!B36),ABS(Resultados!L36),ABS(Resultados!V36),ABS(Resultados!AF36),ABS(Resultados!AP36),ABS(Resultados!AZ36),ABS(Resultados!BJ36),ABS(Resultados!BT36),ABS(Resultados!CD36),ABS(Resultados!CN36),ABS(Resultados!CX36),ABS(Resultados!DH36)))</f>
        <v/>
      </c>
      <c r="C36">
        <f>IF(COUNT(Resultados!C36,Resultados!M36,Resultados!W36,Resultados!AG36,Resultados!AQ36,Resultados!BA36,Resultados!BK36,Resultados!BU36,Resultados!CE36,Resultados!CO36,Resultados!CY36,Resultados!DI36)=0, "", AVERAGE(ABS(Resultados!C36),ABS(Resultados!M36),ABS(Resultados!W36),ABS(Resultados!AG36),ABS(Resultados!AQ36),ABS(Resultados!BA36),ABS(Resultados!BK36),ABS(Resultados!BU36),ABS(Resultados!CE36),ABS(Resultados!CO36),ABS(Resultados!CY36),ABS(Resultados!DI36)))</f>
        <v>3.4166666666666665</v>
      </c>
      <c r="D36">
        <f>IF(COUNT(Resultados!D36,Resultados!N36,Resultados!X36,Resultados!AH36,Resultados!AR36,Resultados!BB36,Resultados!BL36,Resultados!BV36,Resultados!CF36,Resultados!CP36,Resultados!CZ36,Resultados!DJ36)=0, "", AVERAGE(ABS(Resultados!D36),ABS(Resultados!N36),ABS(Resultados!X36),ABS(Resultados!AH36),ABS(Resultados!AR36),ABS(Resultados!BB36),ABS(Resultados!BL36),ABS(Resultados!BV36),ABS(Resultados!CF36),ABS(Resultados!CP36),ABS(Resultados!CZ36),ABS(Resultados!DJ36)))</f>
        <v>1.1383333333333334E-2</v>
      </c>
      <c r="E36">
        <f>IF(COUNT(Resultados!E36,Resultados!O36,Resultados!Y36,Resultados!AI36,Resultados!AS36,Resultados!BC36,Resultados!BM36,Resultados!BW36,Resultados!CG36,Resultados!CQ36,Resultados!DA36,Resultados!DK36)=0, "", AVERAGE(ABS(Resultados!E36),ABS(Resultados!O36),ABS(Resultados!Y36),ABS(Resultados!AI36),ABS(Resultados!AS36),ABS(Resultados!BC36),ABS(Resultados!BM36),ABS(Resultados!BW36),ABS(Resultados!CG36),ABS(Resultados!CQ36),ABS(Resultados!DA36),ABS(Resultados!DK36)))</f>
        <v>6.4370007120964239</v>
      </c>
      <c r="F36">
        <f>IF(COUNT(Resultados!F36,Resultados!P36,Resultados!Z36,Resultados!AJ36,Resultados!AT36,Resultados!BD36,Resultados!BN36,Resultados!BX36,Resultados!CH36,Resultados!CR36,Resultados!DB36,Resultados!DL36)=0, "", AVERAGE(ABS(Resultados!F36),ABS(Resultados!P36),ABS(Resultados!Z36),ABS(Resultados!AJ36),ABS(Resultados!AT36),ABS(Resultados!BD36),ABS(Resultados!BN36),ABS(Resultados!BX36),ABS(Resultados!CH36),ABS(Resultados!CR36),ABS(Resultados!DB36),ABS(Resultados!DL36)))</f>
        <v>647.9284663673867</v>
      </c>
      <c r="G36">
        <f>IF(COUNT(Resultados!G36,Resultados!Q36,Resultados!AA36,Resultados!AK36,Resultados!AU36,Resultados!BE36,Resultados!BO36,Resultados!BY36,Resultados!CI36,Resultados!CS36,Resultados!DC36,Resultados!DM36)=0, "", AVERAGE(ABS(Resultados!G36),ABS(Resultados!Q36),ABS(Resultados!AA36),ABS(Resultados!AK36),ABS(Resultados!AU36),ABS(Resultados!BE36),ABS(Resultados!BO36),ABS(Resultados!BY36),ABS(Resultados!CI36),ABS(Resultados!CS36),ABS(Resultados!DC36),ABS(Resultados!DM36)))</f>
        <v>0.4240000000000001</v>
      </c>
      <c r="H36">
        <f>IF(COUNT(Resultados!H36,Resultados!R36,Resultados!AB36,Resultados!AL36,Resultados!AV36,Resultados!BF36,Resultados!BP36,Resultados!BZ36,Resultados!CJ36,Resultados!CT36,Resultados!DD36,Resultados!DN36)=0, "", AVERAGE(ABS(Resultados!H36),ABS(Resultados!R36),ABS(Resultados!AB36),ABS(Resultados!AL36),ABS(Resultados!AV36),ABS(Resultados!BF36),ABS(Resultados!BP36),ABS(Resultados!BZ36),ABS(Resultados!CJ36),ABS(Resultados!CT36),ABS(Resultados!DD36),ABS(Resultados!DN36)))</f>
        <v>6.8499999999999985E-3</v>
      </c>
      <c r="I36">
        <f>IF(COUNT(Resultados!I36,Resultados!S36,Resultados!AC36,Resultados!AM36,Resultados!AW36,Resultados!BG36,Resultados!BQ36,Resultados!CA36,Resultados!CK36,Resultados!CU36,Resultados!DE36,Resultados!DO36)=0, "", AVERAGE(ABS(Resultados!I36),ABS(Resultados!S36),ABS(Resultados!AC36),ABS(Resultados!AM36),ABS(Resultados!AW36),ABS(Resultados!BG36),ABS(Resultados!BQ36),ABS(Resultados!CA36),ABS(Resultados!CK36),ABS(Resultados!CU36),ABS(Resultados!DE36),ABS(Resultados!DO36)))</f>
        <v>6.7993783333333377</v>
      </c>
      <c r="J36">
        <f>IF(COUNT(Resultados!J36,Resultados!T36,Resultados!AD36,Resultados!AN36,Resultados!AX36,Resultados!BH36,Resultados!BR36,Resultados!CB36,Resultados!CL36,Resultados!CV36,Resultados!DF36,Resultados!DP36)=0, "", AVERAGE(ABS(Resultados!J36),ABS(Resultados!T36),ABS(Resultados!AD36),ABS(Resultados!AN36),ABS(Resultados!AX36),ABS(Resultados!BH36),ABS(Resultados!BR36),ABS(Resultados!CB36),ABS(Resultados!CL36),ABS(Resultados!CV36),ABS(Resultados!DF36),ABS(Resultados!DP36)))</f>
        <v>6.8499999999999985E-3</v>
      </c>
      <c r="K36">
        <v>1.1383333333333334E-2</v>
      </c>
    </row>
    <row r="37" spans="1:11" x14ac:dyDescent="0.3">
      <c r="A37">
        <f>IF(COUNT(Resultados!A37,Resultados!K37,Resultados!U37,Resultados!AE37,Resultados!AO37,Resultados!AY37,Resultados!BI37,Resultados!BS37,Resultados!CC37,Resultados!CM37,Resultados!CW37,Resultados!DG37)=0, "", AVERAGE(ABS(Resultados!A37),ABS(Resultados!K37),ABS(Resultados!U37),ABS(Resultados!AE37),ABS(Resultados!AO37),ABS(Resultados!AY37),ABS(Resultados!BI37),ABS(Resultados!BS37),ABS(Resultados!CC37),ABS(Resultados!CM37),ABS(Resultados!CW37),ABS(Resultados!DG37)))</f>
        <v>45681</v>
      </c>
      <c r="B37" t="str">
        <f>IF(COUNT(Resultados!B37,Resultados!L37,Resultados!V37,Resultados!AF37,Resultados!AP37,Resultados!AZ37,Resultados!BJ37,Resultados!BT37,Resultados!CD37,Resultados!CN37,Resultados!CX37,Resultados!DH37)=0, "", AVERAGE(ABS(Resultados!B37),ABS(Resultados!L37),ABS(Resultados!V37),ABS(Resultados!AF37),ABS(Resultados!AP37),ABS(Resultados!AZ37),ABS(Resultados!BJ37),ABS(Resultados!BT37),ABS(Resultados!CD37),ABS(Resultados!CN37),ABS(Resultados!CX37),ABS(Resultados!DH37)))</f>
        <v/>
      </c>
      <c r="C37">
        <f>IF(COUNT(Resultados!C37,Resultados!M37,Resultados!W37,Resultados!AG37,Resultados!AQ37,Resultados!BA37,Resultados!BK37,Resultados!BU37,Resultados!CE37,Resultados!CO37,Resultados!CY37,Resultados!DI37)=0, "", AVERAGE(ABS(Resultados!C37),ABS(Resultados!M37),ABS(Resultados!W37),ABS(Resultados!AG37),ABS(Resultados!AQ37),ABS(Resultados!BA37),ABS(Resultados!BK37),ABS(Resultados!BU37),ABS(Resultados!CE37),ABS(Resultados!CO37),ABS(Resultados!CY37),ABS(Resultados!DI37)))</f>
        <v>3.4166666666666665</v>
      </c>
      <c r="D37">
        <f>IF(COUNT(Resultados!D37,Resultados!N37,Resultados!X37,Resultados!AH37,Resultados!AR37,Resultados!BB37,Resultados!BL37,Resultados!BV37,Resultados!CF37,Resultados!CP37,Resultados!CZ37,Resultados!DJ37)=0, "", AVERAGE(ABS(Resultados!D37),ABS(Resultados!N37),ABS(Resultados!X37),ABS(Resultados!AH37),ABS(Resultados!AR37),ABS(Resultados!BB37),ABS(Resultados!BL37),ABS(Resultados!BV37),ABS(Resultados!CF37),ABS(Resultados!CP37),ABS(Resultados!CZ37),ABS(Resultados!DJ37)))</f>
        <v>1.0116666666666668E-2</v>
      </c>
      <c r="E37">
        <f>IF(COUNT(Resultados!E37,Resultados!O37,Resultados!Y37,Resultados!AI37,Resultados!AS37,Resultados!BC37,Resultados!BM37,Resultados!BW37,Resultados!CG37,Resultados!CQ37,Resultados!DA37,Resultados!DK37)=0, "", AVERAGE(ABS(Resultados!E37),ABS(Resultados!O37),ABS(Resultados!Y37),ABS(Resultados!AI37),ABS(Resultados!AS37),ABS(Resultados!BC37),ABS(Resultados!BM37),ABS(Resultados!BW37),ABS(Resultados!CG37),ABS(Resultados!CQ37),ABS(Resultados!DA37),ABS(Resultados!DK37)))</f>
        <v>6.3753784602768535</v>
      </c>
      <c r="F37">
        <f>IF(COUNT(Resultados!F37,Resultados!P37,Resultados!Z37,Resultados!AJ37,Resultados!AT37,Resultados!BD37,Resultados!BN37,Resultados!BX37,Resultados!CH37,Resultados!CR37,Resultados!DB37,Resultados!DL37)=0, "", AVERAGE(ABS(Resultados!F37),ABS(Resultados!P37),ABS(Resultados!Z37),ABS(Resultados!AJ37),ABS(Resultados!AT37),ABS(Resultados!BD37),ABS(Resultados!BN37),ABS(Resultados!BX37),ABS(Resultados!CH37),ABS(Resultados!CR37),ABS(Resultados!DB37),ABS(Resultados!DL37)))</f>
        <v>650.72935119018086</v>
      </c>
      <c r="G37">
        <f>IF(COUNT(Resultados!G37,Resultados!Q37,Resultados!AA37,Resultados!AK37,Resultados!AU37,Resultados!BE37,Resultados!BO37,Resultados!BY37,Resultados!CI37,Resultados!CS37,Resultados!DC37,Resultados!DM37)=0, "", AVERAGE(ABS(Resultados!G37),ABS(Resultados!Q37),ABS(Resultados!AA37),ABS(Resultados!AK37),ABS(Resultados!AU37),ABS(Resultados!BE37),ABS(Resultados!BO37),ABS(Resultados!BY37),ABS(Resultados!CI37),ABS(Resultados!CS37),ABS(Resultados!DC37),ABS(Resultados!DM37)))</f>
        <v>0.4240000000000001</v>
      </c>
      <c r="H37">
        <f>IF(COUNT(Resultados!H37,Resultados!R37,Resultados!AB37,Resultados!AL37,Resultados!AV37,Resultados!BF37,Resultados!BP37,Resultados!BZ37,Resultados!CJ37,Resultados!CT37,Resultados!DD37,Resultados!DN37)=0, "", AVERAGE(ABS(Resultados!H37),ABS(Resultados!R37),ABS(Resultados!AB37),ABS(Resultados!AL37),ABS(Resultados!AV37),ABS(Resultados!BF37),ABS(Resultados!BP37),ABS(Resultados!BZ37),ABS(Resultados!CJ37),ABS(Resultados!CT37),ABS(Resultados!DD37),ABS(Resultados!DN37)))</f>
        <v>5.8999999999999999E-3</v>
      </c>
      <c r="I37">
        <f>IF(COUNT(Resultados!I37,Resultados!S37,Resultados!AC37,Resultados!AM37,Resultados!AW37,Resultados!BG37,Resultados!BQ37,Resultados!CA37,Resultados!CK37,Resultados!CU37,Resultados!DE37,Resultados!DO37)=0, "", AVERAGE(ABS(Resultados!I37),ABS(Resultados!S37),ABS(Resultados!AC37),ABS(Resultados!AM37),ABS(Resultados!AW37),ABS(Resultados!BG37),ABS(Resultados!BQ37),ABS(Resultados!CA37),ABS(Resultados!CK37),ABS(Resultados!CU37),ABS(Resultados!DE37),ABS(Resultados!DO37)))</f>
        <v>6.9998033333333298</v>
      </c>
      <c r="J37">
        <f>IF(COUNT(Resultados!J37,Resultados!T37,Resultados!AD37,Resultados!AN37,Resultados!AX37,Resultados!BH37,Resultados!BR37,Resultados!CB37,Resultados!CL37,Resultados!CV37,Resultados!DF37,Resultados!DP37)=0, "", AVERAGE(ABS(Resultados!J37),ABS(Resultados!T37),ABS(Resultados!AD37),ABS(Resultados!AN37),ABS(Resultados!AX37),ABS(Resultados!BH37),ABS(Resultados!BR37),ABS(Resultados!CB37),ABS(Resultados!CL37),ABS(Resultados!CV37),ABS(Resultados!DF37),ABS(Resultados!DP37)))</f>
        <v>5.8999999999999999E-3</v>
      </c>
      <c r="K37">
        <v>1.0116666666666668E-2</v>
      </c>
    </row>
    <row r="38" spans="1:11" x14ac:dyDescent="0.3">
      <c r="A38">
        <f>IF(COUNT(Resultados!A38,Resultados!K38,Resultados!U38,Resultados!AE38,Resultados!AO38,Resultados!AY38,Resultados!BI38,Resultados!BS38,Resultados!CC38,Resultados!CM38,Resultados!CW38,Resultados!DG38)=0, "", AVERAGE(ABS(Resultados!A38),ABS(Resultados!K38),ABS(Resultados!U38),ABS(Resultados!AE38),ABS(Resultados!AO38),ABS(Resultados!AY38),ABS(Resultados!BI38),ABS(Resultados!BS38),ABS(Resultados!CC38),ABS(Resultados!CM38),ABS(Resultados!CW38),ABS(Resultados!DG38)))</f>
        <v>45681</v>
      </c>
      <c r="B38" t="str">
        <f>IF(COUNT(Resultados!B38,Resultados!L38,Resultados!V38,Resultados!AF38,Resultados!AP38,Resultados!AZ38,Resultados!BJ38,Resultados!BT38,Resultados!CD38,Resultados!CN38,Resultados!CX38,Resultados!DH38)=0, "", AVERAGE(ABS(Resultados!B38),ABS(Resultados!L38),ABS(Resultados!V38),ABS(Resultados!AF38),ABS(Resultados!AP38),ABS(Resultados!AZ38),ABS(Resultados!BJ38),ABS(Resultados!BT38),ABS(Resultados!CD38),ABS(Resultados!CN38),ABS(Resultados!CX38),ABS(Resultados!DH38)))</f>
        <v/>
      </c>
      <c r="C38">
        <f>IF(COUNT(Resultados!C38,Resultados!M38,Resultados!W38,Resultados!AG38,Resultados!AQ38,Resultados!BA38,Resultados!BK38,Resultados!BU38,Resultados!CE38,Resultados!CO38,Resultados!CY38,Resultados!DI38)=0, "", AVERAGE(ABS(Resultados!C38),ABS(Resultados!M38),ABS(Resultados!W38),ABS(Resultados!AG38),ABS(Resultados!AQ38),ABS(Resultados!BA38),ABS(Resultados!BK38),ABS(Resultados!BU38),ABS(Resultados!CE38),ABS(Resultados!CO38),ABS(Resultados!CY38),ABS(Resultados!DI38)))</f>
        <v>3.4166666666666665</v>
      </c>
      <c r="D38">
        <f>IF(COUNT(Resultados!D38,Resultados!N38,Resultados!X38,Resultados!AH38,Resultados!AR38,Resultados!BB38,Resultados!BL38,Resultados!BV38,Resultados!CF38,Resultados!CP38,Resultados!CZ38,Resultados!DJ38)=0, "", AVERAGE(ABS(Resultados!D38),ABS(Resultados!N38),ABS(Resultados!X38),ABS(Resultados!AH38),ABS(Resultados!AR38),ABS(Resultados!BB38),ABS(Resultados!BL38),ABS(Resultados!BV38),ABS(Resultados!CF38),ABS(Resultados!CP38),ABS(Resultados!CZ38),ABS(Resultados!DJ38)))</f>
        <v>8.8083333333333329E-3</v>
      </c>
      <c r="E38">
        <f>IF(COUNT(Resultados!E38,Resultados!O38,Resultados!Y38,Resultados!AI38,Resultados!AS38,Resultados!BC38,Resultados!BM38,Resultados!BW38,Resultados!CG38,Resultados!CQ38,Resultados!DA38,Resultados!DK38)=0, "", AVERAGE(ABS(Resultados!E38),ABS(Resultados!O38),ABS(Resultados!Y38),ABS(Resultados!AI38),ABS(Resultados!AS38),ABS(Resultados!BC38),ABS(Resultados!BM38),ABS(Resultados!BW38),ABS(Resultados!CG38),ABS(Resultados!CQ38),ABS(Resultados!DA38),ABS(Resultados!DK38)))</f>
        <v>6.2901935858316049</v>
      </c>
      <c r="F38">
        <f>IF(COUNT(Resultados!F38,Resultados!P38,Resultados!Z38,Resultados!AJ38,Resultados!AT38,Resultados!BD38,Resultados!BN38,Resultados!BX38,Resultados!CH38,Resultados!CR38,Resultados!DB38,Resultados!DL38)=0, "", AVERAGE(ABS(Resultados!F38),ABS(Resultados!P38),ABS(Resultados!Z38),ABS(Resultados!AJ38),ABS(Resultados!AT38),ABS(Resultados!BD38),ABS(Resultados!BN38),ABS(Resultados!BX38),ABS(Resultados!CH38),ABS(Resultados!CR38),ABS(Resultados!DB38),ABS(Resultados!DL38)))</f>
        <v>634.24604219950572</v>
      </c>
      <c r="G38">
        <f>IF(COUNT(Resultados!G38,Resultados!Q38,Resultados!AA38,Resultados!AK38,Resultados!AU38,Resultados!BE38,Resultados!BO38,Resultados!BY38,Resultados!CI38,Resultados!CS38,Resultados!DC38,Resultados!DM38)=0, "", AVERAGE(ABS(Resultados!G38),ABS(Resultados!Q38),ABS(Resultados!AA38),ABS(Resultados!AK38),ABS(Resultados!AU38),ABS(Resultados!BE38),ABS(Resultados!BO38),ABS(Resultados!BY38),ABS(Resultados!CI38),ABS(Resultados!CS38),ABS(Resultados!DC38),ABS(Resultados!DM38)))</f>
        <v>0.4240000000000001</v>
      </c>
      <c r="H38">
        <f>IF(COUNT(Resultados!H38,Resultados!R38,Resultados!AB38,Resultados!AL38,Resultados!AV38,Resultados!BF38,Resultados!BP38,Resultados!BZ38,Resultados!CJ38,Resultados!CT38,Resultados!DD38,Resultados!DN38)=0, "", AVERAGE(ABS(Resultados!H38),ABS(Resultados!R38),ABS(Resultados!AB38),ABS(Resultados!AL38),ABS(Resultados!AV38),ABS(Resultados!BF38),ABS(Resultados!BP38),ABS(Resultados!BZ38),ABS(Resultados!CJ38),ABS(Resultados!CT38),ABS(Resultados!DD38),ABS(Resultados!DN38)))</f>
        <v>4.5666666666666677E-3</v>
      </c>
      <c r="I38">
        <f>IF(COUNT(Resultados!I38,Resultados!S38,Resultados!AC38,Resultados!AM38,Resultados!AW38,Resultados!BG38,Resultados!BQ38,Resultados!CA38,Resultados!CK38,Resultados!CU38,Resultados!DE38,Resultados!DO38)=0, "", AVERAGE(ABS(Resultados!I38),ABS(Resultados!S38),ABS(Resultados!AC38),ABS(Resultados!AM38),ABS(Resultados!AW38),ABS(Resultados!BG38),ABS(Resultados!BQ38),ABS(Resultados!CA38),ABS(Resultados!CK38),ABS(Resultados!CU38),ABS(Resultados!DE38),ABS(Resultados!DO38)))</f>
        <v>7.2326933333333345</v>
      </c>
      <c r="J38">
        <f>IF(COUNT(Resultados!J38,Resultados!T38,Resultados!AD38,Resultados!AN38,Resultados!AX38,Resultados!BH38,Resultados!BR38,Resultados!CB38,Resultados!CL38,Resultados!CV38,Resultados!DF38,Resultados!DP38)=0, "", AVERAGE(ABS(Resultados!J38),ABS(Resultados!T38),ABS(Resultados!AD38),ABS(Resultados!AN38),ABS(Resultados!AX38),ABS(Resultados!BH38),ABS(Resultados!BR38),ABS(Resultados!CB38),ABS(Resultados!CL38),ABS(Resultados!CV38),ABS(Resultados!DF38),ABS(Resultados!DP38)))</f>
        <v>4.5666666666666677E-3</v>
      </c>
      <c r="K38">
        <v>8.8083333333333329E-3</v>
      </c>
    </row>
    <row r="39" spans="1:11" x14ac:dyDescent="0.3">
      <c r="A39">
        <f>IF(COUNT(Resultados!A39,Resultados!K39,Resultados!U39,Resultados!AE39,Resultados!AO39,Resultados!AY39,Resultados!BI39,Resultados!BS39,Resultados!CC39,Resultados!CM39,Resultados!CW39,Resultados!DG39)=0, "", AVERAGE(ABS(Resultados!A39),ABS(Resultados!K39),ABS(Resultados!U39),ABS(Resultados!AE39),ABS(Resultados!AO39),ABS(Resultados!AY39),ABS(Resultados!BI39),ABS(Resultados!BS39),ABS(Resultados!CC39),ABS(Resultados!CM39),ABS(Resultados!CW39),ABS(Resultados!DG39)))</f>
        <v>45681</v>
      </c>
      <c r="B39" t="str">
        <f>IF(COUNT(Resultados!B39,Resultados!L39,Resultados!V39,Resultados!AF39,Resultados!AP39,Resultados!AZ39,Resultados!BJ39,Resultados!BT39,Resultados!CD39,Resultados!CN39,Resultados!CX39,Resultados!DH39)=0, "", AVERAGE(ABS(Resultados!B39),ABS(Resultados!L39),ABS(Resultados!V39),ABS(Resultados!AF39),ABS(Resultados!AP39),ABS(Resultados!AZ39),ABS(Resultados!BJ39),ABS(Resultados!BT39),ABS(Resultados!CD39),ABS(Resultados!CN39),ABS(Resultados!CX39),ABS(Resultados!DH39)))</f>
        <v/>
      </c>
      <c r="C39">
        <f>IF(COUNT(Resultados!C39,Resultados!M39,Resultados!W39,Resultados!AG39,Resultados!AQ39,Resultados!BA39,Resultados!BK39,Resultados!BU39,Resultados!CE39,Resultados!CO39,Resultados!CY39,Resultados!DI39)=0, "", AVERAGE(ABS(Resultados!C39),ABS(Resultados!M39),ABS(Resultados!W39),ABS(Resultados!AG39),ABS(Resultados!AQ39),ABS(Resultados!BA39),ABS(Resultados!BK39),ABS(Resultados!BU39),ABS(Resultados!CE39),ABS(Resultados!CO39),ABS(Resultados!CY39),ABS(Resultados!DI39)))</f>
        <v>3.4166666666666665</v>
      </c>
      <c r="D39">
        <f>IF(COUNT(Resultados!D39,Resultados!N39,Resultados!X39,Resultados!AH39,Resultados!AR39,Resultados!BB39,Resultados!BL39,Resultados!BV39,Resultados!CF39,Resultados!CP39,Resultados!CZ39,Resultados!DJ39)=0, "", AVERAGE(ABS(Resultados!D39),ABS(Resultados!N39),ABS(Resultados!X39),ABS(Resultados!AH39),ABS(Resultados!AR39),ABS(Resultados!BB39),ABS(Resultados!BL39),ABS(Resultados!BV39),ABS(Resultados!CF39),ABS(Resultados!CP39),ABS(Resultados!CZ39),ABS(Resultados!DJ39)))</f>
        <v>7.9249999999999998E-3</v>
      </c>
      <c r="E39">
        <f>IF(COUNT(Resultados!E39,Resultados!O39,Resultados!Y39,Resultados!AI39,Resultados!AS39,Resultados!BC39,Resultados!BM39,Resultados!BW39,Resultados!CG39,Resultados!CQ39,Resultados!DA39,Resultados!DK39)=0, "", AVERAGE(ABS(Resultados!E39),ABS(Resultados!O39),ABS(Resultados!Y39),ABS(Resultados!AI39),ABS(Resultados!AS39),ABS(Resultados!BC39),ABS(Resultados!BM39),ABS(Resultados!BW39),ABS(Resultados!CG39),ABS(Resultados!CQ39),ABS(Resultados!DA39),ABS(Resultados!DK39)))</f>
        <v>6.2245058663323789</v>
      </c>
      <c r="F39">
        <f>IF(COUNT(Resultados!F39,Resultados!P39,Resultados!Z39,Resultados!AJ39,Resultados!AT39,Resultados!BD39,Resultados!BN39,Resultados!BX39,Resultados!CH39,Resultados!CR39,Resultados!DB39,Resultados!DL39)=0, "", AVERAGE(ABS(Resultados!F39),ABS(Resultados!P39),ABS(Resultados!Z39),ABS(Resultados!AJ39),ABS(Resultados!AT39),ABS(Resultados!BD39),ABS(Resultados!BN39),ABS(Resultados!BX39),ABS(Resultados!CH39),ABS(Resultados!CR39),ABS(Resultados!DB39),ABS(Resultados!DL39)))</f>
        <v>628.12394674217774</v>
      </c>
      <c r="G39">
        <f>IF(COUNT(Resultados!G39,Resultados!Q39,Resultados!AA39,Resultados!AK39,Resultados!AU39,Resultados!BE39,Resultados!BO39,Resultados!BY39,Resultados!CI39,Resultados!CS39,Resultados!DC39,Resultados!DM39)=0, "", AVERAGE(ABS(Resultados!G39),ABS(Resultados!Q39),ABS(Resultados!AA39),ABS(Resultados!AK39),ABS(Resultados!AU39),ABS(Resultados!BE39),ABS(Resultados!BO39),ABS(Resultados!BY39),ABS(Resultados!CI39),ABS(Resultados!CS39),ABS(Resultados!DC39),ABS(Resultados!DM39)))</f>
        <v>0.4240000000000001</v>
      </c>
      <c r="H39">
        <f>IF(COUNT(Resultados!H39,Resultados!R39,Resultados!AB39,Resultados!AL39,Resultados!AV39,Resultados!BF39,Resultados!BP39,Resultados!BZ39,Resultados!CJ39,Resultados!CT39,Resultados!DD39,Resultados!DN39)=0, "", AVERAGE(ABS(Resultados!H39),ABS(Resultados!R39),ABS(Resultados!AB39),ABS(Resultados!AL39),ABS(Resultados!AV39),ABS(Resultados!BF39),ABS(Resultados!BP39),ABS(Resultados!BZ39),ABS(Resultados!CJ39),ABS(Resultados!CT39),ABS(Resultados!DD39),ABS(Resultados!DN39)))</f>
        <v>3.5333333333333328E-3</v>
      </c>
      <c r="I39">
        <f>IF(COUNT(Resultados!I39,Resultados!S39,Resultados!AC39,Resultados!AM39,Resultados!AW39,Resultados!BG39,Resultados!BQ39,Resultados!CA39,Resultados!CK39,Resultados!CU39,Resultados!DE39,Resultados!DO39)=0, "", AVERAGE(ABS(Resultados!I39),ABS(Resultados!S39),ABS(Resultados!AC39),ABS(Resultados!AM39),ABS(Resultados!AW39),ABS(Resultados!BG39),ABS(Resultados!BQ39),ABS(Resultados!CA39),ABS(Resultados!CK39),ABS(Resultados!CU39),ABS(Resultados!DE39),ABS(Resultados!DO39)))</f>
        <v>7.4331691666666657</v>
      </c>
      <c r="J39">
        <f>IF(COUNT(Resultados!J39,Resultados!T39,Resultados!AD39,Resultados!AN39,Resultados!AX39,Resultados!BH39,Resultados!BR39,Resultados!CB39,Resultados!CL39,Resultados!CV39,Resultados!DF39,Resultados!DP39)=0, "", AVERAGE(ABS(Resultados!J39),ABS(Resultados!T39),ABS(Resultados!AD39),ABS(Resultados!AN39),ABS(Resultados!AX39),ABS(Resultados!BH39),ABS(Resultados!BR39),ABS(Resultados!CB39),ABS(Resultados!CL39),ABS(Resultados!CV39),ABS(Resultados!DF39),ABS(Resultados!DP39)))</f>
        <v>3.5333333333333328E-3</v>
      </c>
      <c r="K39">
        <v>7.9249999999999998E-3</v>
      </c>
    </row>
    <row r="40" spans="1:11" x14ac:dyDescent="0.3">
      <c r="A40">
        <f>IF(COUNT(Resultados!A40,Resultados!K40,Resultados!U40,Resultados!AE40,Resultados!AO40,Resultados!AY40,Resultados!BI40,Resultados!BS40,Resultados!CC40,Resultados!CM40,Resultados!CW40,Resultados!DG40)=0, "", AVERAGE(ABS(Resultados!A40),ABS(Resultados!K40),ABS(Resultados!U40),ABS(Resultados!AE40),ABS(Resultados!AO40),ABS(Resultados!AY40),ABS(Resultados!BI40),ABS(Resultados!BS40),ABS(Resultados!CC40),ABS(Resultados!CM40),ABS(Resultados!CW40),ABS(Resultados!DG40)))</f>
        <v>45681</v>
      </c>
      <c r="B40" t="str">
        <f>IF(COUNT(Resultados!B40,Resultados!L40,Resultados!V40,Resultados!AF40,Resultados!AP40,Resultados!AZ40,Resultados!BJ40,Resultados!BT40,Resultados!CD40,Resultados!CN40,Resultados!CX40,Resultados!DH40)=0, "", AVERAGE(ABS(Resultados!B40),ABS(Resultados!L40),ABS(Resultados!V40),ABS(Resultados!AF40),ABS(Resultados!AP40),ABS(Resultados!AZ40),ABS(Resultados!BJ40),ABS(Resultados!BT40),ABS(Resultados!CD40),ABS(Resultados!CN40),ABS(Resultados!CX40),ABS(Resultados!DH40)))</f>
        <v/>
      </c>
      <c r="C40">
        <f>IF(COUNT(Resultados!C40,Resultados!M40,Resultados!W40,Resultados!AG40,Resultados!AQ40,Resultados!BA40,Resultados!BK40,Resultados!BU40,Resultados!CE40,Resultados!CO40,Resultados!CY40,Resultados!DI40)=0, "", AVERAGE(ABS(Resultados!C40),ABS(Resultados!M40),ABS(Resultados!W40),ABS(Resultados!AG40),ABS(Resultados!AQ40),ABS(Resultados!BA40),ABS(Resultados!BK40),ABS(Resultados!BU40),ABS(Resultados!CE40),ABS(Resultados!CO40),ABS(Resultados!CY40),ABS(Resultados!DI40)))</f>
        <v>3.4166666666666665</v>
      </c>
      <c r="D40">
        <f>IF(COUNT(Resultados!D40,Resultados!N40,Resultados!X40,Resultados!AH40,Resultados!AR40,Resultados!BB40,Resultados!BL40,Resultados!BV40,Resultados!CF40,Resultados!CP40,Resultados!CZ40,Resultados!DJ40)=0, "", AVERAGE(ABS(Resultados!D40),ABS(Resultados!N40),ABS(Resultados!X40),ABS(Resultados!AH40),ABS(Resultados!AR40),ABS(Resultados!BB40),ABS(Resultados!BL40),ABS(Resultados!BV40),ABS(Resultados!CF40),ABS(Resultados!CP40),ABS(Resultados!CZ40),ABS(Resultados!DJ40)))</f>
        <v>7.0333333333333324E-3</v>
      </c>
      <c r="E40">
        <f>IF(COUNT(Resultados!E40,Resultados!O40,Resultados!Y40,Resultados!AI40,Resultados!AS40,Resultados!BC40,Resultados!BM40,Resultados!BW40,Resultados!CG40,Resultados!CQ40,Resultados!DA40,Resultados!DK40)=0, "", AVERAGE(ABS(Resultados!E40),ABS(Resultados!O40),ABS(Resultados!Y40),ABS(Resultados!AI40),ABS(Resultados!AS40),ABS(Resultados!BC40),ABS(Resultados!BM40),ABS(Resultados!BW40),ABS(Resultados!CG40),ABS(Resultados!CQ40),ABS(Resultados!DA40),ABS(Resultados!DK40)))</f>
        <v>6.1701335589821822</v>
      </c>
      <c r="F40">
        <f>IF(COUNT(Resultados!F40,Resultados!P40,Resultados!Z40,Resultados!AJ40,Resultados!AT40,Resultados!BD40,Resultados!BN40,Resultados!BX40,Resultados!CH40,Resultados!CR40,Resultados!DB40,Resultados!DL40)=0, "", AVERAGE(ABS(Resultados!F40),ABS(Resultados!P40),ABS(Resultados!Z40),ABS(Resultados!AJ40),ABS(Resultados!AT40),ABS(Resultados!BD40),ABS(Resultados!BN40),ABS(Resultados!BX40),ABS(Resultados!CH40),ABS(Resultados!CR40),ABS(Resultados!DB40),ABS(Resultados!DL40)))</f>
        <v>623.05644769713933</v>
      </c>
      <c r="G40">
        <f>IF(COUNT(Resultados!G40,Resultados!Q40,Resultados!AA40,Resultados!AK40,Resultados!AU40,Resultados!BE40,Resultados!BO40,Resultados!BY40,Resultados!CI40,Resultados!CS40,Resultados!DC40,Resultados!DM40)=0, "", AVERAGE(ABS(Resultados!G40),ABS(Resultados!Q40),ABS(Resultados!AA40),ABS(Resultados!AK40),ABS(Resultados!AU40),ABS(Resultados!BE40),ABS(Resultados!BO40),ABS(Resultados!BY40),ABS(Resultados!CI40),ABS(Resultados!CS40),ABS(Resultados!DC40),ABS(Resultados!DM40)))</f>
        <v>0.4240000000000001</v>
      </c>
      <c r="H40">
        <f>IF(COUNT(Resultados!H40,Resultados!R40,Resultados!AB40,Resultados!AL40,Resultados!AV40,Resultados!BF40,Resultados!BP40,Resultados!BZ40,Resultados!CJ40,Resultados!CT40,Resultados!DD40,Resultados!DN40)=0, "", AVERAGE(ABS(Resultados!H40),ABS(Resultados!R40),ABS(Resultados!AB40),ABS(Resultados!AL40),ABS(Resultados!AV40),ABS(Resultados!BF40),ABS(Resultados!BP40),ABS(Resultados!BZ40),ABS(Resultados!CJ40),ABS(Resultados!CT40),ABS(Resultados!DD40),ABS(Resultados!DN40)))</f>
        <v>2.7000000000000006E-3</v>
      </c>
      <c r="I40">
        <f>IF(COUNT(Resultados!I40,Resultados!S40,Resultados!AC40,Resultados!AM40,Resultados!AW40,Resultados!BG40,Resultados!BQ40,Resultados!CA40,Resultados!CK40,Resultados!CU40,Resultados!DE40,Resultados!DO40)=0, "", AVERAGE(ABS(Resultados!I40),ABS(Resultados!S40),ABS(Resultados!AC40),ABS(Resultados!AM40),ABS(Resultados!AW40),ABS(Resultados!BG40),ABS(Resultados!BQ40),ABS(Resultados!CA40),ABS(Resultados!CK40),ABS(Resultados!CU40),ABS(Resultados!DE40),ABS(Resultados!DO40)))</f>
        <v>7.6324983333333334</v>
      </c>
      <c r="J40">
        <f>IF(COUNT(Resultados!J40,Resultados!T40,Resultados!AD40,Resultados!AN40,Resultados!AX40,Resultados!BH40,Resultados!BR40,Resultados!CB40,Resultados!CL40,Resultados!CV40,Resultados!DF40,Resultados!DP40)=0, "", AVERAGE(ABS(Resultados!J40),ABS(Resultados!T40),ABS(Resultados!AD40),ABS(Resultados!AN40),ABS(Resultados!AX40),ABS(Resultados!BH40),ABS(Resultados!BR40),ABS(Resultados!CB40),ABS(Resultados!CL40),ABS(Resultados!CV40),ABS(Resultados!DF40),ABS(Resultados!DP40)))</f>
        <v>2.7000000000000006E-3</v>
      </c>
      <c r="K40">
        <v>7.0333333333333324E-3</v>
      </c>
    </row>
    <row r="41" spans="1:11" x14ac:dyDescent="0.3">
      <c r="A41">
        <f>IF(COUNT(Resultados!A41,Resultados!K41,Resultados!U41,Resultados!AE41,Resultados!AO41,Resultados!AY41,Resultados!BI41,Resultados!BS41,Resultados!CC41,Resultados!CM41,Resultados!CW41,Resultados!DG41)=0, "", AVERAGE(ABS(Resultados!A41),ABS(Resultados!K41),ABS(Resultados!U41),ABS(Resultados!AE41),ABS(Resultados!AO41),ABS(Resultados!AY41),ABS(Resultados!BI41),ABS(Resultados!BS41),ABS(Resultados!CC41),ABS(Resultados!CM41),ABS(Resultados!CW41),ABS(Resultados!DG41)))</f>
        <v>45681</v>
      </c>
      <c r="B41" t="str">
        <f>IF(COUNT(Resultados!B41,Resultados!L41,Resultados!V41,Resultados!AF41,Resultados!AP41,Resultados!AZ41,Resultados!BJ41,Resultados!BT41,Resultados!CD41,Resultados!CN41,Resultados!CX41,Resultados!DH41)=0, "", AVERAGE(ABS(Resultados!B41),ABS(Resultados!L41),ABS(Resultados!V41),ABS(Resultados!AF41),ABS(Resultados!AP41),ABS(Resultados!AZ41),ABS(Resultados!BJ41),ABS(Resultados!BT41),ABS(Resultados!CD41),ABS(Resultados!CN41),ABS(Resultados!CX41),ABS(Resultados!DH41)))</f>
        <v/>
      </c>
      <c r="C41">
        <f>IF(COUNT(Resultados!C41,Resultados!M41,Resultados!W41,Resultados!AG41,Resultados!AQ41,Resultados!BA41,Resultados!BK41,Resultados!BU41,Resultados!CE41,Resultados!CO41,Resultados!CY41,Resultados!DI41)=0, "", AVERAGE(ABS(Resultados!C41),ABS(Resultados!M41),ABS(Resultados!W41),ABS(Resultados!AG41),ABS(Resultados!AQ41),ABS(Resultados!BA41),ABS(Resultados!BK41),ABS(Resultados!BU41),ABS(Resultados!CE41),ABS(Resultados!CO41),ABS(Resultados!CY41),ABS(Resultados!DI41)))</f>
        <v>3.4166666666666665</v>
      </c>
      <c r="D41">
        <f>IF(COUNT(Resultados!D41,Resultados!N41,Resultados!X41,Resultados!AH41,Resultados!AR41,Resultados!BB41,Resultados!BL41,Resultados!BV41,Resultados!CF41,Resultados!CP41,Resultados!CZ41,Resultados!DJ41)=0, "", AVERAGE(ABS(Resultados!D41),ABS(Resultados!N41),ABS(Resultados!X41),ABS(Resultados!AH41),ABS(Resultados!AR41),ABS(Resultados!BB41),ABS(Resultados!BL41),ABS(Resultados!BV41),ABS(Resultados!CF41),ABS(Resultados!CP41),ABS(Resultados!CZ41),ABS(Resultados!DJ41)))</f>
        <v>6.2416666666666662E-3</v>
      </c>
      <c r="E41">
        <f>IF(COUNT(Resultados!E41,Resultados!O41,Resultados!Y41,Resultados!AI41,Resultados!AS41,Resultados!BC41,Resultados!BM41,Resultados!BW41,Resultados!CG41,Resultados!CQ41,Resultados!DA41,Resultados!DK41)=0, "", AVERAGE(ABS(Resultados!E41),ABS(Resultados!O41),ABS(Resultados!Y41),ABS(Resultados!AI41),ABS(Resultados!AS41),ABS(Resultados!BC41),ABS(Resultados!BM41),ABS(Resultados!BW41),ABS(Resultados!CG41),ABS(Resultados!CQ41),ABS(Resultados!DA41),ABS(Resultados!DK41)))</f>
        <v>6.1277988187890022</v>
      </c>
      <c r="F41">
        <f>IF(COUNT(Resultados!F41,Resultados!P41,Resultados!Z41,Resultados!AJ41,Resultados!AT41,Resultados!BD41,Resultados!BN41,Resultados!BX41,Resultados!CH41,Resultados!CR41,Resultados!DB41,Resultados!DL41)=0, "", AVERAGE(ABS(Resultados!F41),ABS(Resultados!P41),ABS(Resultados!Z41),ABS(Resultados!AJ41),ABS(Resultados!AT41),ABS(Resultados!BD41),ABS(Resultados!BN41),ABS(Resultados!BX41),ABS(Resultados!CH41),ABS(Resultados!CR41),ABS(Resultados!DB41),ABS(Resultados!DL41)))</f>
        <v>627.62806345616139</v>
      </c>
      <c r="G41">
        <f>IF(COUNT(Resultados!G41,Resultados!Q41,Resultados!AA41,Resultados!AK41,Resultados!AU41,Resultados!BE41,Resultados!BO41,Resultados!BY41,Resultados!CI41,Resultados!CS41,Resultados!DC41,Resultados!DM41)=0, "", AVERAGE(ABS(Resultados!G41),ABS(Resultados!Q41),ABS(Resultados!AA41),ABS(Resultados!AK41),ABS(Resultados!AU41),ABS(Resultados!BE41),ABS(Resultados!BO41),ABS(Resultados!BY41),ABS(Resultados!CI41),ABS(Resultados!CS41),ABS(Resultados!DC41),ABS(Resultados!DM41)))</f>
        <v>0.4240000000000001</v>
      </c>
      <c r="H41">
        <f>IF(COUNT(Resultados!H41,Resultados!R41,Resultados!AB41,Resultados!AL41,Resultados!AV41,Resultados!BF41,Resultados!BP41,Resultados!BZ41,Resultados!CJ41,Resultados!CT41,Resultados!DD41,Resultados!DN41)=0, "", AVERAGE(ABS(Resultados!H41),ABS(Resultados!R41),ABS(Resultados!AB41),ABS(Resultados!AL41),ABS(Resultados!AV41),ABS(Resultados!BF41),ABS(Resultados!BP41),ABS(Resultados!BZ41),ABS(Resultados!CJ41),ABS(Resultados!CT41),ABS(Resultados!DD41),ABS(Resultados!DN41)))</f>
        <v>2.0249999999999995E-3</v>
      </c>
      <c r="I41">
        <f>IF(COUNT(Resultados!I41,Resultados!S41,Resultados!AC41,Resultados!AM41,Resultados!AW41,Resultados!BG41,Resultados!BQ41,Resultados!CA41,Resultados!CK41,Resultados!CU41,Resultados!DE41,Resultados!DO41)=0, "", AVERAGE(ABS(Resultados!I41),ABS(Resultados!S41),ABS(Resultados!AC41),ABS(Resultados!AM41),ABS(Resultados!AW41),ABS(Resultados!BG41),ABS(Resultados!BQ41),ABS(Resultados!CA41),ABS(Resultados!CK41),ABS(Resultados!CU41),ABS(Resultados!DE41),ABS(Resultados!DO41)))</f>
        <v>7.8324666666666642</v>
      </c>
      <c r="J41">
        <f>IF(COUNT(Resultados!J41,Resultados!T41,Resultados!AD41,Resultados!AN41,Resultados!AX41,Resultados!BH41,Resultados!BR41,Resultados!CB41,Resultados!CL41,Resultados!CV41,Resultados!DF41,Resultados!DP41)=0, "", AVERAGE(ABS(Resultados!J41),ABS(Resultados!T41),ABS(Resultados!AD41),ABS(Resultados!AN41),ABS(Resultados!AX41),ABS(Resultados!BH41),ABS(Resultados!BR41),ABS(Resultados!CB41),ABS(Resultados!CL41),ABS(Resultados!CV41),ABS(Resultados!DF41),ABS(Resultados!DP41)))</f>
        <v>2.0249999999999995E-3</v>
      </c>
      <c r="K41">
        <v>6.2416666666666662E-3</v>
      </c>
    </row>
    <row r="42" spans="1:11" x14ac:dyDescent="0.3">
      <c r="A42">
        <f>IF(COUNT(Resultados!A42,Resultados!K42,Resultados!U42,Resultados!AE42,Resultados!AO42,Resultados!AY42,Resultados!BI42,Resultados!BS42,Resultados!CC42,Resultados!CM42,Resultados!CW42,Resultados!DG42)=0, "", AVERAGE(ABS(Resultados!A42),ABS(Resultados!K42),ABS(Resultados!U42),ABS(Resultados!AE42),ABS(Resultados!AO42),ABS(Resultados!AY42),ABS(Resultados!BI42),ABS(Resultados!BS42),ABS(Resultados!CC42),ABS(Resultados!CM42),ABS(Resultados!CW42),ABS(Resultados!DG42)))</f>
        <v>45681</v>
      </c>
      <c r="B42" t="str">
        <f>IF(COUNT(Resultados!B42,Resultados!L42,Resultados!V42,Resultados!AF42,Resultados!AP42,Resultados!AZ42,Resultados!BJ42,Resultados!BT42,Resultados!CD42,Resultados!CN42,Resultados!CX42,Resultados!DH42)=0, "", AVERAGE(ABS(Resultados!B42),ABS(Resultados!L42),ABS(Resultados!V42),ABS(Resultados!AF42),ABS(Resultados!AP42),ABS(Resultados!AZ42),ABS(Resultados!BJ42),ABS(Resultados!BT42),ABS(Resultados!CD42),ABS(Resultados!CN42),ABS(Resultados!CX42),ABS(Resultados!DH42)))</f>
        <v/>
      </c>
      <c r="C42">
        <f>IF(COUNT(Resultados!C42,Resultados!M42,Resultados!W42,Resultados!AG42,Resultados!AQ42,Resultados!BA42,Resultados!BK42,Resultados!BU42,Resultados!CE42,Resultados!CO42,Resultados!CY42,Resultados!DI42)=0, "", AVERAGE(ABS(Resultados!C42),ABS(Resultados!M42),ABS(Resultados!W42),ABS(Resultados!AG42),ABS(Resultados!AQ42),ABS(Resultados!BA42),ABS(Resultados!BK42),ABS(Resultados!BU42),ABS(Resultados!CE42),ABS(Resultados!CO42),ABS(Resultados!CY42),ABS(Resultados!DI42)))</f>
        <v>3.4166666666666665</v>
      </c>
      <c r="D42">
        <f>IF(COUNT(Resultados!D42,Resultados!N42,Resultados!X42,Resultados!AH42,Resultados!AR42,Resultados!BB42,Resultados!BL42,Resultados!BV42,Resultados!CF42,Resultados!CP42,Resultados!CZ42,Resultados!DJ42)=0, "", AVERAGE(ABS(Resultados!D42),ABS(Resultados!N42),ABS(Resultados!X42),ABS(Resultados!AH42),ABS(Resultados!AR42),ABS(Resultados!BB42),ABS(Resultados!BL42),ABS(Resultados!BV42),ABS(Resultados!CF42),ABS(Resultados!CP42),ABS(Resultados!CZ42),ABS(Resultados!DJ42)))</f>
        <v>5.7000000000000002E-3</v>
      </c>
      <c r="E42">
        <f>IF(COUNT(Resultados!E42,Resultados!O42,Resultados!Y42,Resultados!AI42,Resultados!AS42,Resultados!BC42,Resultados!BM42,Resultados!BW42,Resultados!CG42,Resultados!CQ42,Resultados!DA42,Resultados!DK42)=0, "", AVERAGE(ABS(Resultados!E42),ABS(Resultados!O42),ABS(Resultados!Y42),ABS(Resultados!AI42),ABS(Resultados!AS42),ABS(Resultados!BC42),ABS(Resultados!BM42),ABS(Resultados!BW42),ABS(Resultados!CG42),ABS(Resultados!CQ42),ABS(Resultados!DA42),ABS(Resultados!DK42)))</f>
        <v>6.098965910616136</v>
      </c>
      <c r="F42">
        <f>IF(COUNT(Resultados!F42,Resultados!P42,Resultados!Z42,Resultados!AJ42,Resultados!AT42,Resultados!BD42,Resultados!BN42,Resultados!BX42,Resultados!CH42,Resultados!CR42,Resultados!DB42,Resultados!DL42)=0, "", AVERAGE(ABS(Resultados!F42),ABS(Resultados!P42),ABS(Resultados!Z42),ABS(Resultados!AJ42),ABS(Resultados!AT42),ABS(Resultados!BD42),ABS(Resultados!BN42),ABS(Resultados!BX42),ABS(Resultados!CH42),ABS(Resultados!CR42),ABS(Resultados!DB42),ABS(Resultados!DL42)))</f>
        <v>624.94438575597951</v>
      </c>
      <c r="G42">
        <f>IF(COUNT(Resultados!G42,Resultados!Q42,Resultados!AA42,Resultados!AK42,Resultados!AU42,Resultados!BE42,Resultados!BO42,Resultados!BY42,Resultados!CI42,Resultados!CS42,Resultados!DC42,Resultados!DM42)=0, "", AVERAGE(ABS(Resultados!G42),ABS(Resultados!Q42),ABS(Resultados!AA42),ABS(Resultados!AK42),ABS(Resultados!AU42),ABS(Resultados!BE42),ABS(Resultados!BO42),ABS(Resultados!BY42),ABS(Resultados!CI42),ABS(Resultados!CS42),ABS(Resultados!DC42),ABS(Resultados!DM42)))</f>
        <v>0.4240000000000001</v>
      </c>
      <c r="H42">
        <f>IF(COUNT(Resultados!H42,Resultados!R42,Resultados!AB42,Resultados!AL42,Resultados!AV42,Resultados!BF42,Resultados!BP42,Resultados!BZ42,Resultados!CJ42,Resultados!CT42,Resultados!DD42,Resultados!DN42)=0, "", AVERAGE(ABS(Resultados!H42),ABS(Resultados!R42),ABS(Resultados!AB42),ABS(Resultados!AL42),ABS(Resultados!AV42),ABS(Resultados!BF42),ABS(Resultados!BP42),ABS(Resultados!BZ42),ABS(Resultados!CJ42),ABS(Resultados!CT42),ABS(Resultados!DD42),ABS(Resultados!DN42)))</f>
        <v>1.6000000000000001E-3</v>
      </c>
      <c r="I42">
        <f>IF(COUNT(Resultados!I42,Resultados!S42,Resultados!AC42,Resultados!AM42,Resultados!AW42,Resultados!BG42,Resultados!BQ42,Resultados!CA42,Resultados!CK42,Resultados!CU42,Resultados!DE42,Resultados!DO42)=0, "", AVERAGE(ABS(Resultados!I42),ABS(Resultados!S42),ABS(Resultados!AC42),ABS(Resultados!AM42),ABS(Resultados!AW42),ABS(Resultados!BG42),ABS(Resultados!BQ42),ABS(Resultados!CA42),ABS(Resultados!CK42),ABS(Resultados!CU42),ABS(Resultados!DE42),ABS(Resultados!DO42)))</f>
        <v>8.0332358333333342</v>
      </c>
      <c r="J42">
        <f>IF(COUNT(Resultados!J42,Resultados!T42,Resultados!AD42,Resultados!AN42,Resultados!AX42,Resultados!BH42,Resultados!BR42,Resultados!CB42,Resultados!CL42,Resultados!CV42,Resultados!DF42,Resultados!DP42)=0, "", AVERAGE(ABS(Resultados!J42),ABS(Resultados!T42),ABS(Resultados!AD42),ABS(Resultados!AN42),ABS(Resultados!AX42),ABS(Resultados!BH42),ABS(Resultados!BR42),ABS(Resultados!CB42),ABS(Resultados!CL42),ABS(Resultados!CV42),ABS(Resultados!DF42),ABS(Resultados!DP42)))</f>
        <v>1.6000000000000001E-3</v>
      </c>
      <c r="K42">
        <v>5.7000000000000002E-3</v>
      </c>
    </row>
    <row r="43" spans="1:11" x14ac:dyDescent="0.3">
      <c r="A43">
        <f>IF(COUNT(Resultados!A43,Resultados!K43,Resultados!U43,Resultados!AE43,Resultados!AO43,Resultados!AY43,Resultados!BI43,Resultados!BS43,Resultados!CC43,Resultados!CM43,Resultados!CW43,Resultados!DG43)=0, "", AVERAGE(ABS(Resultados!A43),ABS(Resultados!K43),ABS(Resultados!U43),ABS(Resultados!AE43),ABS(Resultados!AO43),ABS(Resultados!AY43),ABS(Resultados!BI43),ABS(Resultados!BS43),ABS(Resultados!CC43),ABS(Resultados!CM43),ABS(Resultados!CW43),ABS(Resultados!DG43)))</f>
        <v>45681</v>
      </c>
      <c r="B43" t="str">
        <f>IF(COUNT(Resultados!B43,Resultados!L43,Resultados!V43,Resultados!AF43,Resultados!AP43,Resultados!AZ43,Resultados!BJ43,Resultados!BT43,Resultados!CD43,Resultados!CN43,Resultados!CX43,Resultados!DH43)=0, "", AVERAGE(ABS(Resultados!B43),ABS(Resultados!L43),ABS(Resultados!V43),ABS(Resultados!AF43),ABS(Resultados!AP43),ABS(Resultados!AZ43),ABS(Resultados!BJ43),ABS(Resultados!BT43),ABS(Resultados!CD43),ABS(Resultados!CN43),ABS(Resultados!CX43),ABS(Resultados!DH43)))</f>
        <v/>
      </c>
      <c r="C43">
        <f>IF(COUNT(Resultados!C43,Resultados!M43,Resultados!W43,Resultados!AG43,Resultados!AQ43,Resultados!BA43,Resultados!BK43,Resultados!BU43,Resultados!CE43,Resultados!CO43,Resultados!CY43,Resultados!DI43)=0, "", AVERAGE(ABS(Resultados!C43),ABS(Resultados!M43),ABS(Resultados!W43),ABS(Resultados!AG43),ABS(Resultados!AQ43),ABS(Resultados!BA43),ABS(Resultados!BK43),ABS(Resultados!BU43),ABS(Resultados!CE43),ABS(Resultados!CO43),ABS(Resultados!CY43),ABS(Resultados!DI43)))</f>
        <v>3.4166666666666665</v>
      </c>
      <c r="D43">
        <f>IF(COUNT(Resultados!D43,Resultados!N43,Resultados!X43,Resultados!AH43,Resultados!AR43,Resultados!BB43,Resultados!BL43,Resultados!BV43,Resultados!CF43,Resultados!CP43,Resultados!CZ43,Resultados!DJ43)=0, "", AVERAGE(ABS(Resultados!D43),ABS(Resultados!N43),ABS(Resultados!X43),ABS(Resultados!AH43),ABS(Resultados!AR43),ABS(Resultados!BB43),ABS(Resultados!BL43),ABS(Resultados!BV43),ABS(Resultados!CF43),ABS(Resultados!CP43),ABS(Resultados!CZ43),ABS(Resultados!DJ43)))</f>
        <v>5.1250000000000002E-3</v>
      </c>
      <c r="E43">
        <f>IF(COUNT(Resultados!E43,Resultados!O43,Resultados!Y43,Resultados!AI43,Resultados!AS43,Resultados!BC43,Resultados!BM43,Resultados!BW43,Resultados!CG43,Resultados!CQ43,Resultados!DA43,Resultados!DK43)=0, "", AVERAGE(ABS(Resultados!E43),ABS(Resultados!O43),ABS(Resultados!Y43),ABS(Resultados!AI43),ABS(Resultados!AS43),ABS(Resultados!BC43),ABS(Resultados!BM43),ABS(Resultados!BW43),ABS(Resultados!CG43),ABS(Resultados!CQ43),ABS(Resultados!DA43),ABS(Resultados!DK43)))</f>
        <v>6.084249884345577</v>
      </c>
      <c r="F43">
        <f>IF(COUNT(Resultados!F43,Resultados!P43,Resultados!Z43,Resultados!AJ43,Resultados!AT43,Resultados!BD43,Resultados!BN43,Resultados!BX43,Resultados!CH43,Resultados!CR43,Resultados!DB43,Resultados!DL43)=0, "", AVERAGE(ABS(Resultados!F43),ABS(Resultados!P43),ABS(Resultados!Z43),ABS(Resultados!AJ43),ABS(Resultados!AT43),ABS(Resultados!BD43),ABS(Resultados!BN43),ABS(Resultados!BX43),ABS(Resultados!CH43),ABS(Resultados!CR43),ABS(Resultados!DB43),ABS(Resultados!DL43)))</f>
        <v>683.19927252128343</v>
      </c>
      <c r="G43">
        <f>IF(COUNT(Resultados!G43,Resultados!Q43,Resultados!AA43,Resultados!AK43,Resultados!AU43,Resultados!BE43,Resultados!BO43,Resultados!BY43,Resultados!CI43,Resultados!CS43,Resultados!DC43,Resultados!DM43)=0, "", AVERAGE(ABS(Resultados!G43),ABS(Resultados!Q43),ABS(Resultados!AA43),ABS(Resultados!AK43),ABS(Resultados!AU43),ABS(Resultados!BE43),ABS(Resultados!BO43),ABS(Resultados!BY43),ABS(Resultados!CI43),ABS(Resultados!CS43),ABS(Resultados!DC43),ABS(Resultados!DM43)))</f>
        <v>0.4240000000000001</v>
      </c>
      <c r="H43">
        <f>IF(COUNT(Resultados!H43,Resultados!R43,Resultados!AB43,Resultados!AL43,Resultados!AV43,Resultados!BF43,Resultados!BP43,Resultados!BZ43,Resultados!CJ43,Resultados!CT43,Resultados!DD43,Resultados!DN43)=0, "", AVERAGE(ABS(Resultados!H43),ABS(Resultados!R43),ABS(Resultados!AB43),ABS(Resultados!AL43),ABS(Resultados!AV43),ABS(Resultados!BF43),ABS(Resultados!BP43),ABS(Resultados!BZ43),ABS(Resultados!CJ43),ABS(Resultados!CT43),ABS(Resultados!DD43),ABS(Resultados!DN43)))</f>
        <v>1.3499999999999996E-3</v>
      </c>
      <c r="I43">
        <f>IF(COUNT(Resultados!I43,Resultados!S43,Resultados!AC43,Resultados!AM43,Resultados!AW43,Resultados!BG43,Resultados!BQ43,Resultados!CA43,Resultados!CK43,Resultados!CU43,Resultados!DE43,Resultados!DO43)=0, "", AVERAGE(ABS(Resultados!I43),ABS(Resultados!S43),ABS(Resultados!AC43),ABS(Resultados!AM43),ABS(Resultados!AW43),ABS(Resultados!BG43),ABS(Resultados!BQ43),ABS(Resultados!CA43),ABS(Resultados!CK43),ABS(Resultados!CU43),ABS(Resultados!DE43),ABS(Resultados!DO43)))</f>
        <v>8.2325608333333342</v>
      </c>
      <c r="J43">
        <f>IF(COUNT(Resultados!J43,Resultados!T43,Resultados!AD43,Resultados!AN43,Resultados!AX43,Resultados!BH43,Resultados!BR43,Resultados!CB43,Resultados!CL43,Resultados!CV43,Resultados!DF43,Resultados!DP43)=0, "", AVERAGE(ABS(Resultados!J43),ABS(Resultados!T43),ABS(Resultados!AD43),ABS(Resultados!AN43),ABS(Resultados!AX43),ABS(Resultados!BH43),ABS(Resultados!BR43),ABS(Resultados!CB43),ABS(Resultados!CL43),ABS(Resultados!CV43),ABS(Resultados!DF43),ABS(Resultados!DP43)))</f>
        <v>1.3499999999999996E-3</v>
      </c>
      <c r="K43">
        <v>5.1250000000000002E-3</v>
      </c>
    </row>
    <row r="44" spans="1:11" x14ac:dyDescent="0.3">
      <c r="A44">
        <f>IF(COUNT(Resultados!A44,Resultados!K44,Resultados!U44,Resultados!AE44,Resultados!AO44,Resultados!AY44,Resultados!BI44,Resultados!BS44,Resultados!CC44,Resultados!CM44,Resultados!CW44,Resultados!DG44)=0, "", AVERAGE(ABS(Resultados!A44),ABS(Resultados!K44),ABS(Resultados!U44),ABS(Resultados!AE44),ABS(Resultados!AO44),ABS(Resultados!AY44),ABS(Resultados!BI44),ABS(Resultados!BS44),ABS(Resultados!CC44),ABS(Resultados!CM44),ABS(Resultados!CW44),ABS(Resultados!DG44)))</f>
        <v>45681</v>
      </c>
      <c r="B44" t="str">
        <f>IF(COUNT(Resultados!B44,Resultados!L44,Resultados!V44,Resultados!AF44,Resultados!AP44,Resultados!AZ44,Resultados!BJ44,Resultados!BT44,Resultados!CD44,Resultados!CN44,Resultados!CX44,Resultados!DH44)=0, "", AVERAGE(ABS(Resultados!B44),ABS(Resultados!L44),ABS(Resultados!V44),ABS(Resultados!AF44),ABS(Resultados!AP44),ABS(Resultados!AZ44),ABS(Resultados!BJ44),ABS(Resultados!BT44),ABS(Resultados!CD44),ABS(Resultados!CN44),ABS(Resultados!CX44),ABS(Resultados!DH44)))</f>
        <v/>
      </c>
      <c r="C44">
        <f>IF(COUNT(Resultados!C44,Resultados!M44,Resultados!W44,Resultados!AG44,Resultados!AQ44,Resultados!BA44,Resultados!BK44,Resultados!BU44,Resultados!CE44,Resultados!CO44,Resultados!CY44,Resultados!DI44)=0, "", AVERAGE(ABS(Resultados!C44),ABS(Resultados!M44),ABS(Resultados!W44),ABS(Resultados!AG44),ABS(Resultados!AQ44),ABS(Resultados!BA44),ABS(Resultados!BK44),ABS(Resultados!BU44),ABS(Resultados!CE44),ABS(Resultados!CO44),ABS(Resultados!CY44),ABS(Resultados!DI44)))</f>
        <v>3.4166666666666665</v>
      </c>
      <c r="D44">
        <f>IF(COUNT(Resultados!D44,Resultados!N44,Resultados!X44,Resultados!AH44,Resultados!AR44,Resultados!BB44,Resultados!BL44,Resultados!BV44,Resultados!CF44,Resultados!CP44,Resultados!CZ44,Resultados!DJ44)=0, "", AVERAGE(ABS(Resultados!D44),ABS(Resultados!N44),ABS(Resultados!X44),ABS(Resultados!AH44),ABS(Resultados!AR44),ABS(Resultados!BB44),ABS(Resultados!BL44),ABS(Resultados!BV44),ABS(Resultados!CF44),ABS(Resultados!CP44),ABS(Resultados!CZ44),ABS(Resultados!DJ44)))</f>
        <v>4.6583333333333338E-3</v>
      </c>
      <c r="E44">
        <f>IF(COUNT(Resultados!E44,Resultados!O44,Resultados!Y44,Resultados!AI44,Resultados!AS44,Resultados!BC44,Resultados!BM44,Resultados!BW44,Resultados!CG44,Resultados!CQ44,Resultados!DA44,Resultados!DK44)=0, "", AVERAGE(ABS(Resultados!E44),ABS(Resultados!O44),ABS(Resultados!Y44),ABS(Resultados!AI44),ABS(Resultados!AS44),ABS(Resultados!BC44),ABS(Resultados!BM44),ABS(Resultados!BW44),ABS(Resultados!CG44),ABS(Resultados!CQ44),ABS(Resultados!DA44),ABS(Resultados!DK44)))</f>
        <v>6.0839163880929013</v>
      </c>
      <c r="F44">
        <f>IF(COUNT(Resultados!F44,Resultados!P44,Resultados!Z44,Resultados!AJ44,Resultados!AT44,Resultados!BD44,Resultados!BN44,Resultados!BX44,Resultados!CH44,Resultados!CR44,Resultados!DB44,Resultados!DL44)=0, "", AVERAGE(ABS(Resultados!F44),ABS(Resultados!P44),ABS(Resultados!Z44),ABS(Resultados!AJ44),ABS(Resultados!AT44),ABS(Resultados!BD44),ABS(Resultados!BN44),ABS(Resultados!BX44),ABS(Resultados!CH44),ABS(Resultados!CR44),ABS(Resultados!DB44),ABS(Resultados!DL44)))</f>
        <v>683.20064144203604</v>
      </c>
      <c r="G44">
        <f>IF(COUNT(Resultados!G44,Resultados!Q44,Resultados!AA44,Resultados!AK44,Resultados!AU44,Resultados!BE44,Resultados!BO44,Resultados!BY44,Resultados!CI44,Resultados!CS44,Resultados!DC44,Resultados!DM44)=0, "", AVERAGE(ABS(Resultados!G44),ABS(Resultados!Q44),ABS(Resultados!AA44),ABS(Resultados!AK44),ABS(Resultados!AU44),ABS(Resultados!BE44),ABS(Resultados!BO44),ABS(Resultados!BY44),ABS(Resultados!CI44),ABS(Resultados!CS44),ABS(Resultados!DC44),ABS(Resultados!DM44)))</f>
        <v>0.4240000000000001</v>
      </c>
      <c r="H44">
        <f>IF(COUNT(Resultados!H44,Resultados!R44,Resultados!AB44,Resultados!AL44,Resultados!AV44,Resultados!BF44,Resultados!BP44,Resultados!BZ44,Resultados!CJ44,Resultados!CT44,Resultados!DD44,Resultados!DN44)=0, "", AVERAGE(ABS(Resultados!H44),ABS(Resultados!R44),ABS(Resultados!AB44),ABS(Resultados!AL44),ABS(Resultados!AV44),ABS(Resultados!BF44),ABS(Resultados!BP44),ABS(Resultados!BZ44),ABS(Resultados!CJ44),ABS(Resultados!CT44),ABS(Resultados!DD44),ABS(Resultados!DN44)))</f>
        <v>1.3666666666666669E-3</v>
      </c>
      <c r="I44">
        <f>IF(COUNT(Resultados!I44,Resultados!S44,Resultados!AC44,Resultados!AM44,Resultados!AW44,Resultados!BG44,Resultados!BQ44,Resultados!CA44,Resultados!CK44,Resultados!CU44,Resultados!DE44,Resultados!DO44)=0, "", AVERAGE(ABS(Resultados!I44),ABS(Resultados!S44),ABS(Resultados!AC44),ABS(Resultados!AM44),ABS(Resultados!AW44),ABS(Resultados!BG44),ABS(Resultados!BQ44),ABS(Resultados!CA44),ABS(Resultados!CK44),ABS(Resultados!CU44),ABS(Resultados!DE44),ABS(Resultados!DO44)))</f>
        <v>8.4330408333333349</v>
      </c>
      <c r="J44">
        <f>IF(COUNT(Resultados!J44,Resultados!T44,Resultados!AD44,Resultados!AN44,Resultados!AX44,Resultados!BH44,Resultados!BR44,Resultados!CB44,Resultados!CL44,Resultados!CV44,Resultados!DF44,Resultados!DP44)=0, "", AVERAGE(ABS(Resultados!J44),ABS(Resultados!T44),ABS(Resultados!AD44),ABS(Resultados!AN44),ABS(Resultados!AX44),ABS(Resultados!BH44),ABS(Resultados!BR44),ABS(Resultados!CB44),ABS(Resultados!CL44),ABS(Resultados!CV44),ABS(Resultados!DF44),ABS(Resultados!DP44)))</f>
        <v>1.3666666666666669E-3</v>
      </c>
      <c r="K44">
        <v>4.6583333333333338E-3</v>
      </c>
    </row>
    <row r="45" spans="1:11" x14ac:dyDescent="0.3">
      <c r="A45">
        <f>IF(COUNT(Resultados!A45,Resultados!K45,Resultados!U45,Resultados!AE45,Resultados!AO45,Resultados!AY45,Resultados!BI45,Resultados!BS45,Resultados!CC45,Resultados!CM45,Resultados!CW45,Resultados!DG45)=0, "", AVERAGE(ABS(Resultados!A45),ABS(Resultados!K45),ABS(Resultados!U45),ABS(Resultados!AE45),ABS(Resultados!AO45),ABS(Resultados!AY45),ABS(Resultados!BI45),ABS(Resultados!BS45),ABS(Resultados!CC45),ABS(Resultados!CM45),ABS(Resultados!CW45),ABS(Resultados!DG45)))</f>
        <v>45681</v>
      </c>
      <c r="B45" t="str">
        <f>IF(COUNT(Resultados!B45,Resultados!L45,Resultados!V45,Resultados!AF45,Resultados!AP45,Resultados!AZ45,Resultados!BJ45,Resultados!BT45,Resultados!CD45,Resultados!CN45,Resultados!CX45,Resultados!DH45)=0, "", AVERAGE(ABS(Resultados!B45),ABS(Resultados!L45),ABS(Resultados!V45),ABS(Resultados!AF45),ABS(Resultados!AP45),ABS(Resultados!AZ45),ABS(Resultados!BJ45),ABS(Resultados!BT45),ABS(Resultados!CD45),ABS(Resultados!CN45),ABS(Resultados!CX45),ABS(Resultados!DH45)))</f>
        <v/>
      </c>
      <c r="C45">
        <f>IF(COUNT(Resultados!C45,Resultados!M45,Resultados!W45,Resultados!AG45,Resultados!AQ45,Resultados!BA45,Resultados!BK45,Resultados!BU45,Resultados!CE45,Resultados!CO45,Resultados!CY45,Resultados!DI45)=0, "", AVERAGE(ABS(Resultados!C45),ABS(Resultados!M45),ABS(Resultados!W45),ABS(Resultados!AG45),ABS(Resultados!AQ45),ABS(Resultados!BA45),ABS(Resultados!BK45),ABS(Resultados!BU45),ABS(Resultados!CE45),ABS(Resultados!CO45),ABS(Resultados!CY45),ABS(Resultados!DI45)))</f>
        <v>3.4166666666666665</v>
      </c>
      <c r="D45">
        <f>IF(COUNT(Resultados!D45,Resultados!N45,Resultados!X45,Resultados!AH45,Resultados!AR45,Resultados!BB45,Resultados!BL45,Resultados!BV45,Resultados!CF45,Resultados!CP45,Resultados!CZ45,Resultados!DJ45)=0, "", AVERAGE(ABS(Resultados!D45),ABS(Resultados!N45),ABS(Resultados!X45),ABS(Resultados!AH45),ABS(Resultados!AR45),ABS(Resultados!BB45),ABS(Resultados!BL45),ABS(Resultados!BV45),ABS(Resultados!CF45),ABS(Resultados!CP45),ABS(Resultados!CZ45),ABS(Resultados!DJ45)))</f>
        <v>4.3416666666666673E-3</v>
      </c>
      <c r="E45">
        <f>IF(COUNT(Resultados!E45,Resultados!O45,Resultados!Y45,Resultados!AI45,Resultados!AS45,Resultados!BC45,Resultados!BM45,Resultados!BW45,Resultados!CG45,Resultados!CQ45,Resultados!DA45,Resultados!DK45)=0, "", AVERAGE(ABS(Resultados!E45),ABS(Resultados!O45),ABS(Resultados!Y45),ABS(Resultados!AI45),ABS(Resultados!AS45),ABS(Resultados!BC45),ABS(Resultados!BM45),ABS(Resultados!BW45),ABS(Resultados!CG45),ABS(Resultados!CQ45),ABS(Resultados!DA45),ABS(Resultados!DK45)))</f>
        <v>6.0980501519400514</v>
      </c>
      <c r="F45">
        <f>IF(COUNT(Resultados!F45,Resultados!P45,Resultados!Z45,Resultados!AJ45,Resultados!AT45,Resultados!BD45,Resultados!BN45,Resultados!BX45,Resultados!CH45,Resultados!CR45,Resultados!DB45,Resultados!DL45)=0, "", AVERAGE(ABS(Resultados!F45),ABS(Resultados!P45),ABS(Resultados!Z45),ABS(Resultados!AJ45),ABS(Resultados!AT45),ABS(Resultados!BD45),ABS(Resultados!BN45),ABS(Resultados!BX45),ABS(Resultados!CH45),ABS(Resultados!CR45),ABS(Resultados!DB45),ABS(Resultados!DL45)))</f>
        <v>693.08513525954493</v>
      </c>
      <c r="G45">
        <f>IF(COUNT(Resultados!G45,Resultados!Q45,Resultados!AA45,Resultados!AK45,Resultados!AU45,Resultados!BE45,Resultados!BO45,Resultados!BY45,Resultados!CI45,Resultados!CS45,Resultados!DC45,Resultados!DM45)=0, "", AVERAGE(ABS(Resultados!G45),ABS(Resultados!Q45),ABS(Resultados!AA45),ABS(Resultados!AK45),ABS(Resultados!AU45),ABS(Resultados!BE45),ABS(Resultados!BO45),ABS(Resultados!BY45),ABS(Resultados!CI45),ABS(Resultados!CS45),ABS(Resultados!DC45),ABS(Resultados!DM45)))</f>
        <v>0.4240000000000001</v>
      </c>
      <c r="H45">
        <f>IF(COUNT(Resultados!H45,Resultados!R45,Resultados!AB45,Resultados!AL45,Resultados!AV45,Resultados!BF45,Resultados!BP45,Resultados!BZ45,Resultados!CJ45,Resultados!CT45,Resultados!DD45,Resultados!DN45)=0, "", AVERAGE(ABS(Resultados!H45),ABS(Resultados!R45),ABS(Resultados!AB45),ABS(Resultados!AL45),ABS(Resultados!AV45),ABS(Resultados!BF45),ABS(Resultados!BP45),ABS(Resultados!BZ45),ABS(Resultados!CJ45),ABS(Resultados!CT45),ABS(Resultados!DD45),ABS(Resultados!DN45)))</f>
        <v>1.5833333333333333E-3</v>
      </c>
      <c r="I45">
        <f>IF(COUNT(Resultados!I45,Resultados!S45,Resultados!AC45,Resultados!AM45,Resultados!AW45,Resultados!BG45,Resultados!BQ45,Resultados!CA45,Resultados!CK45,Resultados!CU45,Resultados!DE45,Resultados!DO45)=0, "", AVERAGE(ABS(Resultados!I45),ABS(Resultados!S45),ABS(Resultados!AC45),ABS(Resultados!AM45),ABS(Resultados!AW45),ABS(Resultados!BG45),ABS(Resultados!BQ45),ABS(Resultados!CA45),ABS(Resultados!CK45),ABS(Resultados!CU45),ABS(Resultados!DE45),ABS(Resultados!DO45)))</f>
        <v>8.6325349999999972</v>
      </c>
      <c r="J45">
        <f>IF(COUNT(Resultados!J45,Resultados!T45,Resultados!AD45,Resultados!AN45,Resultados!AX45,Resultados!BH45,Resultados!BR45,Resultados!CB45,Resultados!CL45,Resultados!CV45,Resultados!DF45,Resultados!DP45)=0, "", AVERAGE(ABS(Resultados!J45),ABS(Resultados!T45),ABS(Resultados!AD45),ABS(Resultados!AN45),ABS(Resultados!AX45),ABS(Resultados!BH45),ABS(Resultados!BR45),ABS(Resultados!CB45),ABS(Resultados!CL45),ABS(Resultados!CV45),ABS(Resultados!DF45),ABS(Resultados!DP45)))</f>
        <v>1.5833333333333333E-3</v>
      </c>
      <c r="K45">
        <v>4.3416666666666673E-3</v>
      </c>
    </row>
    <row r="46" spans="1:11" x14ac:dyDescent="0.3">
      <c r="A46">
        <f>IF(COUNT(Resultados!A46,Resultados!K46,Resultados!U46,Resultados!AE46,Resultados!AO46,Resultados!AY46,Resultados!BI46,Resultados!BS46,Resultados!CC46,Resultados!CM46,Resultados!CW46,Resultados!DG46)=0, "", AVERAGE(ABS(Resultados!A46),ABS(Resultados!K46),ABS(Resultados!U46),ABS(Resultados!AE46),ABS(Resultados!AO46),ABS(Resultados!AY46),ABS(Resultados!BI46),ABS(Resultados!BS46),ABS(Resultados!CC46),ABS(Resultados!CM46),ABS(Resultados!CW46),ABS(Resultados!DG46)))</f>
        <v>45681</v>
      </c>
      <c r="B46" t="str">
        <f>IF(COUNT(Resultados!B46,Resultados!L46,Resultados!V46,Resultados!AF46,Resultados!AP46,Resultados!AZ46,Resultados!BJ46,Resultados!BT46,Resultados!CD46,Resultados!CN46,Resultados!CX46,Resultados!DH46)=0, "", AVERAGE(ABS(Resultados!B46),ABS(Resultados!L46),ABS(Resultados!V46),ABS(Resultados!AF46),ABS(Resultados!AP46),ABS(Resultados!AZ46),ABS(Resultados!BJ46),ABS(Resultados!BT46),ABS(Resultados!CD46),ABS(Resultados!CN46),ABS(Resultados!CX46),ABS(Resultados!DH46)))</f>
        <v/>
      </c>
      <c r="C46">
        <f>IF(COUNT(Resultados!C46,Resultados!M46,Resultados!W46,Resultados!AG46,Resultados!AQ46,Resultados!BA46,Resultados!BK46,Resultados!BU46,Resultados!CE46,Resultados!CO46,Resultados!CY46,Resultados!DI46)=0, "", AVERAGE(ABS(Resultados!C46),ABS(Resultados!M46),ABS(Resultados!W46),ABS(Resultados!AG46),ABS(Resultados!AQ46),ABS(Resultados!BA46),ABS(Resultados!BK46),ABS(Resultados!BU46),ABS(Resultados!CE46),ABS(Resultados!CO46),ABS(Resultados!CY46),ABS(Resultados!DI46)))</f>
        <v>3.4166666666666665</v>
      </c>
      <c r="D46">
        <f>IF(COUNT(Resultados!D46,Resultados!N46,Resultados!X46,Resultados!AH46,Resultados!AR46,Resultados!BB46,Resultados!BL46,Resultados!BV46,Resultados!CF46,Resultados!CP46,Resultados!CZ46,Resultados!DJ46)=0, "", AVERAGE(ABS(Resultados!D46),ABS(Resultados!N46),ABS(Resultados!X46),ABS(Resultados!AH46),ABS(Resultados!AR46),ABS(Resultados!BB46),ABS(Resultados!BL46),ABS(Resultados!BV46),ABS(Resultados!CF46),ABS(Resultados!CP46),ABS(Resultados!CZ46),ABS(Resultados!DJ46)))</f>
        <v>4.1083333333333328E-3</v>
      </c>
      <c r="E46">
        <f>IF(COUNT(Resultados!E46,Resultados!O46,Resultados!Y46,Resultados!AI46,Resultados!AS46,Resultados!BC46,Resultados!BM46,Resultados!BW46,Resultados!CG46,Resultados!CQ46,Resultados!DA46,Resultados!DK46)=0, "", AVERAGE(ABS(Resultados!E46),ABS(Resultados!O46),ABS(Resultados!Y46),ABS(Resultados!AI46),ABS(Resultados!AS46),ABS(Resultados!BC46),ABS(Resultados!BM46),ABS(Resultados!BW46),ABS(Resultados!CG46),ABS(Resultados!CQ46),ABS(Resultados!DA46),ABS(Resultados!DK46)))</f>
        <v>6.1263905278922968</v>
      </c>
      <c r="F46">
        <f>IF(COUNT(Resultados!F46,Resultados!P46,Resultados!Z46,Resultados!AJ46,Resultados!AT46,Resultados!BD46,Resultados!BN46,Resultados!BX46,Resultados!CH46,Resultados!CR46,Resultados!DB46,Resultados!DL46)=0, "", AVERAGE(ABS(Resultados!F46),ABS(Resultados!P46),ABS(Resultados!Z46),ABS(Resultados!AJ46),ABS(Resultados!AT46),ABS(Resultados!BD46),ABS(Resultados!BN46),ABS(Resultados!BX46),ABS(Resultados!CH46),ABS(Resultados!CR46),ABS(Resultados!DB46),ABS(Resultados!DL46)))</f>
        <v>695.79652252228789</v>
      </c>
      <c r="G46">
        <f>IF(COUNT(Resultados!G46,Resultados!Q46,Resultados!AA46,Resultados!AK46,Resultados!AU46,Resultados!BE46,Resultados!BO46,Resultados!BY46,Resultados!CI46,Resultados!CS46,Resultados!DC46,Resultados!DM46)=0, "", AVERAGE(ABS(Resultados!G46),ABS(Resultados!Q46),ABS(Resultados!AA46),ABS(Resultados!AK46),ABS(Resultados!AU46),ABS(Resultados!BE46),ABS(Resultados!BO46),ABS(Resultados!BY46),ABS(Resultados!CI46),ABS(Resultados!CS46),ABS(Resultados!DC46),ABS(Resultados!DM46)))</f>
        <v>0.4240000000000001</v>
      </c>
      <c r="H46">
        <f>IF(COUNT(Resultados!H46,Resultados!R46,Resultados!AB46,Resultados!AL46,Resultados!AV46,Resultados!BF46,Resultados!BP46,Resultados!BZ46,Resultados!CJ46,Resultados!CT46,Resultados!DD46,Resultados!DN46)=0, "", AVERAGE(ABS(Resultados!H46),ABS(Resultados!R46),ABS(Resultados!AB46),ABS(Resultados!AL46),ABS(Resultados!AV46),ABS(Resultados!BF46),ABS(Resultados!BP46),ABS(Resultados!BZ46),ABS(Resultados!CJ46),ABS(Resultados!CT46),ABS(Resultados!DD46),ABS(Resultados!DN46)))</f>
        <v>2.016666666666667E-3</v>
      </c>
      <c r="I46">
        <f>IF(COUNT(Resultados!I46,Resultados!S46,Resultados!AC46,Resultados!AM46,Resultados!AW46,Resultados!BG46,Resultados!BQ46,Resultados!CA46,Resultados!CK46,Resultados!CU46,Resultados!DE46,Resultados!DO46)=0, "", AVERAGE(ABS(Resultados!I46),ABS(Resultados!S46),ABS(Resultados!AC46),ABS(Resultados!AM46),ABS(Resultados!AW46),ABS(Resultados!BG46),ABS(Resultados!BQ46),ABS(Resultados!CA46),ABS(Resultados!CK46),ABS(Resultados!CU46),ABS(Resultados!DE46),ABS(Resultados!DO46)))</f>
        <v>8.8328633333333304</v>
      </c>
      <c r="J46">
        <f>IF(COUNT(Resultados!J46,Resultados!T46,Resultados!AD46,Resultados!AN46,Resultados!AX46,Resultados!BH46,Resultados!BR46,Resultados!CB46,Resultados!CL46,Resultados!CV46,Resultados!DF46,Resultados!DP46)=0, "", AVERAGE(ABS(Resultados!J46),ABS(Resultados!T46),ABS(Resultados!AD46),ABS(Resultados!AN46),ABS(Resultados!AX46),ABS(Resultados!BH46),ABS(Resultados!BR46),ABS(Resultados!CB46),ABS(Resultados!CL46),ABS(Resultados!CV46),ABS(Resultados!DF46),ABS(Resultados!DP46)))</f>
        <v>2.016666666666667E-3</v>
      </c>
      <c r="K46">
        <v>4.1083333333333328E-3</v>
      </c>
    </row>
    <row r="47" spans="1:11" x14ac:dyDescent="0.3">
      <c r="A47">
        <f>IF(COUNT(Resultados!A47,Resultados!K47,Resultados!U47,Resultados!AE47,Resultados!AO47,Resultados!AY47,Resultados!BI47,Resultados!BS47,Resultados!CC47,Resultados!CM47,Resultados!CW47,Resultados!DG47)=0, "", AVERAGE(ABS(Resultados!A47),ABS(Resultados!K47),ABS(Resultados!U47),ABS(Resultados!AE47),ABS(Resultados!AO47),ABS(Resultados!AY47),ABS(Resultados!BI47),ABS(Resultados!BS47),ABS(Resultados!CC47),ABS(Resultados!CM47),ABS(Resultados!CW47),ABS(Resultados!DG47)))</f>
        <v>45681</v>
      </c>
      <c r="B47" t="str">
        <f>IF(COUNT(Resultados!B47,Resultados!L47,Resultados!V47,Resultados!AF47,Resultados!AP47,Resultados!AZ47,Resultados!BJ47,Resultados!BT47,Resultados!CD47,Resultados!CN47,Resultados!CX47,Resultados!DH47)=0, "", AVERAGE(ABS(Resultados!B47),ABS(Resultados!L47),ABS(Resultados!V47),ABS(Resultados!AF47),ABS(Resultados!AP47),ABS(Resultados!AZ47),ABS(Resultados!BJ47),ABS(Resultados!BT47),ABS(Resultados!CD47),ABS(Resultados!CN47),ABS(Resultados!CX47),ABS(Resultados!DH47)))</f>
        <v/>
      </c>
      <c r="C47">
        <f>IF(COUNT(Resultados!C47,Resultados!M47,Resultados!W47,Resultados!AG47,Resultados!AQ47,Resultados!BA47,Resultados!BK47,Resultados!BU47,Resultados!CE47,Resultados!CO47,Resultados!CY47,Resultados!DI47)=0, "", AVERAGE(ABS(Resultados!C47),ABS(Resultados!M47),ABS(Resultados!W47),ABS(Resultados!AG47),ABS(Resultados!AQ47),ABS(Resultados!BA47),ABS(Resultados!BK47),ABS(Resultados!BU47),ABS(Resultados!CE47),ABS(Resultados!CO47),ABS(Resultados!CY47),ABS(Resultados!DI47)))</f>
        <v>3.4166666666666665</v>
      </c>
      <c r="D47">
        <f>IF(COUNT(Resultados!D47,Resultados!N47,Resultados!X47,Resultados!AH47,Resultados!AR47,Resultados!BB47,Resultados!BL47,Resultados!BV47,Resultados!CF47,Resultados!CP47,Resultados!CZ47,Resultados!DJ47)=0, "", AVERAGE(ABS(Resultados!D47),ABS(Resultados!N47),ABS(Resultados!X47),ABS(Resultados!AH47),ABS(Resultados!AR47),ABS(Resultados!BB47),ABS(Resultados!BL47),ABS(Resultados!BV47),ABS(Resultados!CF47),ABS(Resultados!CP47),ABS(Resultados!CZ47),ABS(Resultados!DJ47)))</f>
        <v>3.8666666666666671E-3</v>
      </c>
      <c r="E47">
        <f>IF(COUNT(Resultados!E47,Resultados!O47,Resultados!Y47,Resultados!AI47,Resultados!AS47,Resultados!BC47,Resultados!BM47,Resultados!BW47,Resultados!CG47,Resultados!CQ47,Resultados!DA47,Resultados!DK47)=0, "", AVERAGE(ABS(Resultados!E47),ABS(Resultados!O47),ABS(Resultados!Y47),ABS(Resultados!AI47),ABS(Resultados!AS47),ABS(Resultados!BC47),ABS(Resultados!BM47),ABS(Resultados!BW47),ABS(Resultados!CG47),ABS(Resultados!CQ47),ABS(Resultados!DA47),ABS(Resultados!DK47)))</f>
        <v>6.1682095164016779</v>
      </c>
      <c r="F47">
        <f>IF(COUNT(Resultados!F47,Resultados!P47,Resultados!Z47,Resultados!AJ47,Resultados!AT47,Resultados!BD47,Resultados!BN47,Resultados!BX47,Resultados!CH47,Resultados!CR47,Resultados!DB47,Resultados!DL47)=0, "", AVERAGE(ABS(Resultados!F47),ABS(Resultados!P47),ABS(Resultados!Z47),ABS(Resultados!AJ47),ABS(Resultados!AT47),ABS(Resultados!BD47),ABS(Resultados!BN47),ABS(Resultados!BX47),ABS(Resultados!CH47),ABS(Resultados!CR47),ABS(Resultados!DB47),ABS(Resultados!DL47)))</f>
        <v>708.29834906302392</v>
      </c>
      <c r="G47">
        <f>IF(COUNT(Resultados!G47,Resultados!Q47,Resultados!AA47,Resultados!AK47,Resultados!AU47,Resultados!BE47,Resultados!BO47,Resultados!BY47,Resultados!CI47,Resultados!CS47,Resultados!DC47,Resultados!DM47)=0, "", AVERAGE(ABS(Resultados!G47),ABS(Resultados!Q47),ABS(Resultados!AA47),ABS(Resultados!AK47),ABS(Resultados!AU47),ABS(Resultados!BE47),ABS(Resultados!BO47),ABS(Resultados!BY47),ABS(Resultados!CI47),ABS(Resultados!CS47),ABS(Resultados!DC47),ABS(Resultados!DM47)))</f>
        <v>0.4240000000000001</v>
      </c>
      <c r="H47">
        <f>IF(COUNT(Resultados!H47,Resultados!R47,Resultados!AB47,Resultados!AL47,Resultados!AV47,Resultados!BF47,Resultados!BP47,Resultados!BZ47,Resultados!CJ47,Resultados!CT47,Resultados!DD47,Resultados!DN47)=0, "", AVERAGE(ABS(Resultados!H47),ABS(Resultados!R47),ABS(Resultados!AB47),ABS(Resultados!AL47),ABS(Resultados!AV47),ABS(Resultados!BF47),ABS(Resultados!BP47),ABS(Resultados!BZ47),ABS(Resultados!CJ47),ABS(Resultados!CT47),ABS(Resultados!DD47),ABS(Resultados!DN47)))</f>
        <v>2.6916666666666664E-3</v>
      </c>
      <c r="I47">
        <f>IF(COUNT(Resultados!I47,Resultados!S47,Resultados!AC47,Resultados!AM47,Resultados!AW47,Resultados!BG47,Resultados!BQ47,Resultados!CA47,Resultados!CK47,Resultados!CU47,Resultados!DE47,Resultados!DO47)=0, "", AVERAGE(ABS(Resultados!I47),ABS(Resultados!S47),ABS(Resultados!AC47),ABS(Resultados!AM47),ABS(Resultados!AW47),ABS(Resultados!BG47),ABS(Resultados!BQ47),ABS(Resultados!CA47),ABS(Resultados!CK47),ABS(Resultados!CU47),ABS(Resultados!DE47),ABS(Resultados!DO47)))</f>
        <v>9.0333024999999978</v>
      </c>
      <c r="J47">
        <f>IF(COUNT(Resultados!J47,Resultados!T47,Resultados!AD47,Resultados!AN47,Resultados!AX47,Resultados!BH47,Resultados!BR47,Resultados!CB47,Resultados!CL47,Resultados!CV47,Resultados!DF47,Resultados!DP47)=0, "", AVERAGE(ABS(Resultados!J47),ABS(Resultados!T47),ABS(Resultados!AD47),ABS(Resultados!AN47),ABS(Resultados!AX47),ABS(Resultados!BH47),ABS(Resultados!BR47),ABS(Resultados!CB47),ABS(Resultados!CL47),ABS(Resultados!CV47),ABS(Resultados!DF47),ABS(Resultados!DP47)))</f>
        <v>2.6916666666666664E-3</v>
      </c>
      <c r="K47">
        <v>3.8666666666666671E-3</v>
      </c>
    </row>
    <row r="48" spans="1:11" x14ac:dyDescent="0.3">
      <c r="A48">
        <f>IF(COUNT(Resultados!A48,Resultados!K48,Resultados!U48,Resultados!AE48,Resultados!AO48,Resultados!AY48,Resultados!BI48,Resultados!BS48,Resultados!CC48,Resultados!CM48,Resultados!CW48,Resultados!DG48)=0, "", AVERAGE(ABS(Resultados!A48),ABS(Resultados!K48),ABS(Resultados!U48),ABS(Resultados!AE48),ABS(Resultados!AO48),ABS(Resultados!AY48),ABS(Resultados!BI48),ABS(Resultados!BS48),ABS(Resultados!CC48),ABS(Resultados!CM48),ABS(Resultados!CW48),ABS(Resultados!DG48)))</f>
        <v>45681</v>
      </c>
      <c r="B48" t="str">
        <f>IF(COUNT(Resultados!B48,Resultados!L48,Resultados!V48,Resultados!AF48,Resultados!AP48,Resultados!AZ48,Resultados!BJ48,Resultados!BT48,Resultados!CD48,Resultados!CN48,Resultados!CX48,Resultados!DH48)=0, "", AVERAGE(ABS(Resultados!B48),ABS(Resultados!L48),ABS(Resultados!V48),ABS(Resultados!AF48),ABS(Resultados!AP48),ABS(Resultados!AZ48),ABS(Resultados!BJ48),ABS(Resultados!BT48),ABS(Resultados!CD48),ABS(Resultados!CN48),ABS(Resultados!CX48),ABS(Resultados!DH48)))</f>
        <v/>
      </c>
      <c r="C48">
        <f>IF(COUNT(Resultados!C48,Resultados!M48,Resultados!W48,Resultados!AG48,Resultados!AQ48,Resultados!BA48,Resultados!BK48,Resultados!BU48,Resultados!CE48,Resultados!CO48,Resultados!CY48,Resultados!DI48)=0, "", AVERAGE(ABS(Resultados!C48),ABS(Resultados!M48),ABS(Resultados!W48),ABS(Resultados!AG48),ABS(Resultados!AQ48),ABS(Resultados!BA48),ABS(Resultados!BK48),ABS(Resultados!BU48),ABS(Resultados!CE48),ABS(Resultados!CO48),ABS(Resultados!CY48),ABS(Resultados!DI48)))</f>
        <v>3.4166666666666665</v>
      </c>
      <c r="D48">
        <f>IF(COUNT(Resultados!D48,Resultados!N48,Resultados!X48,Resultados!AH48,Resultados!AR48,Resultados!BB48,Resultados!BL48,Resultados!BV48,Resultados!CF48,Resultados!CP48,Resultados!CZ48,Resultados!DJ48)=0, "", AVERAGE(ABS(Resultados!D48),ABS(Resultados!N48),ABS(Resultados!X48),ABS(Resultados!AH48),ABS(Resultados!AR48),ABS(Resultados!BB48),ABS(Resultados!BL48),ABS(Resultados!BV48),ABS(Resultados!CF48),ABS(Resultados!CP48),ABS(Resultados!CZ48),ABS(Resultados!DJ48)))</f>
        <v>3.7499999999999999E-3</v>
      </c>
      <c r="E48">
        <f>IF(COUNT(Resultados!E48,Resultados!O48,Resultados!Y48,Resultados!AI48,Resultados!AS48,Resultados!BC48,Resultados!BM48,Resultados!BW48,Resultados!CG48,Resultados!CQ48,Resultados!DA48,Resultados!DK48)=0, "", AVERAGE(ABS(Resultados!E48),ABS(Resultados!O48),ABS(Resultados!Y48),ABS(Resultados!AI48),ABS(Resultados!AS48),ABS(Resultados!BC48),ABS(Resultados!BM48),ABS(Resultados!BW48),ABS(Resultados!CG48),ABS(Resultados!CQ48),ABS(Resultados!DA48),ABS(Resultados!DK48)))</f>
        <v>6.2222508637331373</v>
      </c>
      <c r="F48">
        <f>IF(COUNT(Resultados!F48,Resultados!P48,Resultados!Z48,Resultados!AJ48,Resultados!AT48,Resultados!BD48,Resultados!BN48,Resultados!BX48,Resultados!CH48,Resultados!CR48,Resultados!DB48,Resultados!DL48)=0, "", AVERAGE(ABS(Resultados!F48),ABS(Resultados!P48),ABS(Resultados!Z48),ABS(Resultados!AJ48),ABS(Resultados!AT48),ABS(Resultados!BD48),ABS(Resultados!BN48),ABS(Resultados!BX48),ABS(Resultados!CH48),ABS(Resultados!CR48),ABS(Resultados!DB48),ABS(Resultados!DL48)))</f>
        <v>713.440057547381</v>
      </c>
      <c r="G48">
        <f>IF(COUNT(Resultados!G48,Resultados!Q48,Resultados!AA48,Resultados!AK48,Resultados!AU48,Resultados!BE48,Resultados!BO48,Resultados!BY48,Resultados!CI48,Resultados!CS48,Resultados!DC48,Resultados!DM48)=0, "", AVERAGE(ABS(Resultados!G48),ABS(Resultados!Q48),ABS(Resultados!AA48),ABS(Resultados!AK48),ABS(Resultados!AU48),ABS(Resultados!BE48),ABS(Resultados!BO48),ABS(Resultados!BY48),ABS(Resultados!CI48),ABS(Resultados!CS48),ABS(Resultados!DC48),ABS(Resultados!DM48)))</f>
        <v>0.4240000000000001</v>
      </c>
      <c r="H48">
        <f>IF(COUNT(Resultados!H48,Resultados!R48,Resultados!AB48,Resultados!AL48,Resultados!AV48,Resultados!BF48,Resultados!BP48,Resultados!BZ48,Resultados!CJ48,Resultados!CT48,Resultados!DD48,Resultados!DN48)=0, "", AVERAGE(ABS(Resultados!H48),ABS(Resultados!R48),ABS(Resultados!AB48),ABS(Resultados!AL48),ABS(Resultados!AV48),ABS(Resultados!BF48),ABS(Resultados!BP48),ABS(Resultados!BZ48),ABS(Resultados!CJ48),ABS(Resultados!CT48),ABS(Resultados!DD48),ABS(Resultados!DN48)))</f>
        <v>3.4916666666666659E-3</v>
      </c>
      <c r="I48">
        <f>IF(COUNT(Resultados!I48,Resultados!S48,Resultados!AC48,Resultados!AM48,Resultados!AW48,Resultados!BG48,Resultados!BQ48,Resultados!CA48,Resultados!CK48,Resultados!CU48,Resultados!DE48,Resultados!DO48)=0, "", AVERAGE(ABS(Resultados!I48),ABS(Resultados!S48),ABS(Resultados!AC48),ABS(Resultados!AM48),ABS(Resultados!AW48),ABS(Resultados!BG48),ABS(Resultados!BQ48),ABS(Resultados!CA48),ABS(Resultados!CK48),ABS(Resultados!CU48),ABS(Resultados!DE48),ABS(Resultados!DO48)))</f>
        <v>9.2326774999999959</v>
      </c>
      <c r="J48">
        <f>IF(COUNT(Resultados!J48,Resultados!T48,Resultados!AD48,Resultados!AN48,Resultados!AX48,Resultados!BH48,Resultados!BR48,Resultados!CB48,Resultados!CL48,Resultados!CV48,Resultados!DF48,Resultados!DP48)=0, "", AVERAGE(ABS(Resultados!J48),ABS(Resultados!T48),ABS(Resultados!AD48),ABS(Resultados!AN48),ABS(Resultados!AX48),ABS(Resultados!BH48),ABS(Resultados!BR48),ABS(Resultados!CB48),ABS(Resultados!CL48),ABS(Resultados!CV48),ABS(Resultados!DF48),ABS(Resultados!DP48)))</f>
        <v>3.4916666666666659E-3</v>
      </c>
      <c r="K48">
        <v>3.7499999999999999E-3</v>
      </c>
    </row>
    <row r="49" spans="1:11" x14ac:dyDescent="0.3">
      <c r="A49">
        <f>IF(COUNT(Resultados!A49,Resultados!K49,Resultados!U49,Resultados!AE49,Resultados!AO49,Resultados!AY49,Resultados!BI49,Resultados!BS49,Resultados!CC49,Resultados!CM49,Resultados!CW49,Resultados!DG49)=0, "", AVERAGE(ABS(Resultados!A49),ABS(Resultados!K49),ABS(Resultados!U49),ABS(Resultados!AE49),ABS(Resultados!AO49),ABS(Resultados!AY49),ABS(Resultados!BI49),ABS(Resultados!BS49),ABS(Resultados!CC49),ABS(Resultados!CM49),ABS(Resultados!CW49),ABS(Resultados!DG49)))</f>
        <v>45681</v>
      </c>
      <c r="B49" t="str">
        <f>IF(COUNT(Resultados!B49,Resultados!L49,Resultados!V49,Resultados!AF49,Resultados!AP49,Resultados!AZ49,Resultados!BJ49,Resultados!BT49,Resultados!CD49,Resultados!CN49,Resultados!CX49,Resultados!DH49)=0, "", AVERAGE(ABS(Resultados!B49),ABS(Resultados!L49),ABS(Resultados!V49),ABS(Resultados!AF49),ABS(Resultados!AP49),ABS(Resultados!AZ49),ABS(Resultados!BJ49),ABS(Resultados!BT49),ABS(Resultados!CD49),ABS(Resultados!CN49),ABS(Resultados!CX49),ABS(Resultados!DH49)))</f>
        <v/>
      </c>
      <c r="C49">
        <f>IF(COUNT(Resultados!C49,Resultados!M49,Resultados!W49,Resultados!AG49,Resultados!AQ49,Resultados!BA49,Resultados!BK49,Resultados!BU49,Resultados!CE49,Resultados!CO49,Resultados!CY49,Resultados!DI49)=0, "", AVERAGE(ABS(Resultados!C49),ABS(Resultados!M49),ABS(Resultados!W49),ABS(Resultados!AG49),ABS(Resultados!AQ49),ABS(Resultados!BA49),ABS(Resultados!BK49),ABS(Resultados!BU49),ABS(Resultados!CE49),ABS(Resultados!CO49),ABS(Resultados!CY49),ABS(Resultados!DI49)))</f>
        <v>3.4166666666666665</v>
      </c>
      <c r="D49">
        <f>IF(COUNT(Resultados!D49,Resultados!N49,Resultados!X49,Resultados!AH49,Resultados!AR49,Resultados!BB49,Resultados!BL49,Resultados!BV49,Resultados!CF49,Resultados!CP49,Resultados!CZ49,Resultados!DJ49)=0, "", AVERAGE(ABS(Resultados!D49),ABS(Resultados!N49),ABS(Resultados!X49),ABS(Resultados!AH49),ABS(Resultados!AR49),ABS(Resultados!BB49),ABS(Resultados!BL49),ABS(Resultados!BV49),ABS(Resultados!CF49),ABS(Resultados!CP49),ABS(Resultados!CZ49),ABS(Resultados!DJ49)))</f>
        <v>3.666666666666667E-3</v>
      </c>
      <c r="E49">
        <f>IF(COUNT(Resultados!E49,Resultados!O49,Resultados!Y49,Resultados!AI49,Resultados!AS49,Resultados!BC49,Resultados!BM49,Resultados!BW49,Resultados!CG49,Resultados!CQ49,Resultados!DA49,Resultados!DK49)=0, "", AVERAGE(ABS(Resultados!E49),ABS(Resultados!O49),ABS(Resultados!Y49),ABS(Resultados!AI49),ABS(Resultados!AS49),ABS(Resultados!BC49),ABS(Resultados!BM49),ABS(Resultados!BW49),ABS(Resultados!CG49),ABS(Resultados!CQ49),ABS(Resultados!DA49),ABS(Resultados!DK49)))</f>
        <v>6.2875836894892991</v>
      </c>
      <c r="F49">
        <f>IF(COUNT(Resultados!F49,Resultados!P49,Resultados!Z49,Resultados!AJ49,Resultados!AT49,Resultados!BD49,Resultados!BN49,Resultados!BX49,Resultados!CH49,Resultados!CR49,Resultados!DB49,Resultados!DL49)=0, "", AVERAGE(ABS(Resultados!F49),ABS(Resultados!P49),ABS(Resultados!Z49),ABS(Resultados!AJ49),ABS(Resultados!AT49),ABS(Resultados!BD49),ABS(Resultados!BN49),ABS(Resultados!BX49),ABS(Resultados!CH49),ABS(Resultados!CR49),ABS(Resultados!DB49),ABS(Resultados!DL49)))</f>
        <v>719.64910317761621</v>
      </c>
      <c r="G49">
        <f>IF(COUNT(Resultados!G49,Resultados!Q49,Resultados!AA49,Resultados!AK49,Resultados!AU49,Resultados!BE49,Resultados!BO49,Resultados!BY49,Resultados!CI49,Resultados!CS49,Resultados!DC49,Resultados!DM49)=0, "", AVERAGE(ABS(Resultados!G49),ABS(Resultados!Q49),ABS(Resultados!AA49),ABS(Resultados!AK49),ABS(Resultados!AU49),ABS(Resultados!BE49),ABS(Resultados!BO49),ABS(Resultados!BY49),ABS(Resultados!CI49),ABS(Resultados!CS49),ABS(Resultados!DC49),ABS(Resultados!DM49)))</f>
        <v>0.4240000000000001</v>
      </c>
      <c r="H49">
        <f>IF(COUNT(Resultados!H49,Resultados!R49,Resultados!AB49,Resultados!AL49,Resultados!AV49,Resultados!BF49,Resultados!BP49,Resultados!BZ49,Resultados!CJ49,Resultados!CT49,Resultados!DD49,Resultados!DN49)=0, "", AVERAGE(ABS(Resultados!H49),ABS(Resultados!R49),ABS(Resultados!AB49),ABS(Resultados!AL49),ABS(Resultados!AV49),ABS(Resultados!BF49),ABS(Resultados!BP49),ABS(Resultados!BZ49),ABS(Resultados!CJ49),ABS(Resultados!CT49),ABS(Resultados!DD49),ABS(Resultados!DN49)))</f>
        <v>4.5250000000000004E-3</v>
      </c>
      <c r="I49">
        <f>IF(COUNT(Resultados!I49,Resultados!S49,Resultados!AC49,Resultados!AM49,Resultados!AW49,Resultados!BG49,Resultados!BQ49,Resultados!CA49,Resultados!CK49,Resultados!CU49,Resultados!DE49,Resultados!DO49)=0, "", AVERAGE(ABS(Resultados!I49),ABS(Resultados!S49),ABS(Resultados!AC49),ABS(Resultados!AM49),ABS(Resultados!AW49),ABS(Resultados!BG49),ABS(Resultados!BQ49),ABS(Resultados!CA49),ABS(Resultados!CK49),ABS(Resultados!CU49),ABS(Resultados!DE49),ABS(Resultados!DO49)))</f>
        <v>9.4328650000000049</v>
      </c>
      <c r="J49">
        <f>IF(COUNT(Resultados!J49,Resultados!T49,Resultados!AD49,Resultados!AN49,Resultados!AX49,Resultados!BH49,Resultados!BR49,Resultados!CB49,Resultados!CL49,Resultados!CV49,Resultados!DF49,Resultados!DP49)=0, "", AVERAGE(ABS(Resultados!J49),ABS(Resultados!T49),ABS(Resultados!AD49),ABS(Resultados!AN49),ABS(Resultados!AX49),ABS(Resultados!BH49),ABS(Resultados!BR49),ABS(Resultados!CB49),ABS(Resultados!CL49),ABS(Resultados!CV49),ABS(Resultados!DF49),ABS(Resultados!DP49)))</f>
        <v>4.5250000000000004E-3</v>
      </c>
      <c r="K49">
        <v>3.666666666666667E-3</v>
      </c>
    </row>
    <row r="50" spans="1:11" x14ac:dyDescent="0.3">
      <c r="A50">
        <f>IF(COUNT(Resultados!A50,Resultados!K50,Resultados!U50,Resultados!AE50,Resultados!AO50,Resultados!AY50,Resultados!BI50,Resultados!BS50,Resultados!CC50,Resultados!CM50,Resultados!CW50,Resultados!DG50)=0, "", AVERAGE(ABS(Resultados!A50),ABS(Resultados!K50),ABS(Resultados!U50),ABS(Resultados!AE50),ABS(Resultados!AO50),ABS(Resultados!AY50),ABS(Resultados!BI50),ABS(Resultados!BS50),ABS(Resultados!CC50),ABS(Resultados!CM50),ABS(Resultados!CW50),ABS(Resultados!DG50)))</f>
        <v>45681</v>
      </c>
      <c r="B50" t="str">
        <f>IF(COUNT(Resultados!B50,Resultados!L50,Resultados!V50,Resultados!AF50,Resultados!AP50,Resultados!AZ50,Resultados!BJ50,Resultados!BT50,Resultados!CD50,Resultados!CN50,Resultados!CX50,Resultados!DH50)=0, "", AVERAGE(ABS(Resultados!B50),ABS(Resultados!L50),ABS(Resultados!V50),ABS(Resultados!AF50),ABS(Resultados!AP50),ABS(Resultados!AZ50),ABS(Resultados!BJ50),ABS(Resultados!BT50),ABS(Resultados!CD50),ABS(Resultados!CN50),ABS(Resultados!CX50),ABS(Resultados!DH50)))</f>
        <v/>
      </c>
      <c r="C50">
        <f>IF(COUNT(Resultados!C50,Resultados!M50,Resultados!W50,Resultados!AG50,Resultados!AQ50,Resultados!BA50,Resultados!BK50,Resultados!BU50,Resultados!CE50,Resultados!CO50,Resultados!CY50,Resultados!DI50)=0, "", AVERAGE(ABS(Resultados!C50),ABS(Resultados!M50),ABS(Resultados!W50),ABS(Resultados!AG50),ABS(Resultados!AQ50),ABS(Resultados!BA50),ABS(Resultados!BK50),ABS(Resultados!BU50),ABS(Resultados!CE50),ABS(Resultados!CO50),ABS(Resultados!CY50),ABS(Resultados!DI50)))</f>
        <v>3.4166666666666665</v>
      </c>
      <c r="D50">
        <f>IF(COUNT(Resultados!D50,Resultados!N50,Resultados!X50,Resultados!AH50,Resultados!AR50,Resultados!BB50,Resultados!BL50,Resultados!BV50,Resultados!CF50,Resultados!CP50,Resultados!CZ50,Resultados!DJ50)=0, "", AVERAGE(ABS(Resultados!D50),ABS(Resultados!N50),ABS(Resultados!X50),ABS(Resultados!AH50),ABS(Resultados!AR50),ABS(Resultados!BB50),ABS(Resultados!BL50),ABS(Resultados!BV50),ABS(Resultados!CF50),ABS(Resultados!CP50),ABS(Resultados!CZ50),ABS(Resultados!DJ50)))</f>
        <v>3.7916666666666667E-3</v>
      </c>
      <c r="E50">
        <f>IF(COUNT(Resultados!E50,Resultados!O50,Resultados!Y50,Resultados!AI50,Resultados!AS50,Resultados!BC50,Resultados!BM50,Resultados!BW50,Resultados!CG50,Resultados!CQ50,Resultados!DA50,Resultados!DK50)=0, "", AVERAGE(ABS(Resultados!E50),ABS(Resultados!O50),ABS(Resultados!Y50),ABS(Resultados!AI50),ABS(Resultados!AS50),ABS(Resultados!BC50),ABS(Resultados!BM50),ABS(Resultados!BW50),ABS(Resultados!CG50),ABS(Resultados!CQ50),ABS(Resultados!DA50),ABS(Resultados!DK50)))</f>
        <v>6.3619082171520027</v>
      </c>
      <c r="F50">
        <f>IF(COUNT(Resultados!F50,Resultados!P50,Resultados!Z50,Resultados!AJ50,Resultados!AT50,Resultados!BD50,Resultados!BN50,Resultados!BX50,Resultados!CH50,Resultados!CR50,Resultados!DB50,Resultados!DL50)=0, "", AVERAGE(ABS(Resultados!F50),ABS(Resultados!P50),ABS(Resultados!Z50),ABS(Resultados!AJ50),ABS(Resultados!AT50),ABS(Resultados!BD50),ABS(Resultados!BN50),ABS(Resultados!BX50),ABS(Resultados!CH50),ABS(Resultados!CR50),ABS(Resultados!DB50),ABS(Resultados!DL50)))</f>
        <v>735.22438325365999</v>
      </c>
      <c r="G50">
        <f>IF(COUNT(Resultados!G50,Resultados!Q50,Resultados!AA50,Resultados!AK50,Resultados!AU50,Resultados!BE50,Resultados!BO50,Resultados!BY50,Resultados!CI50,Resultados!CS50,Resultados!DC50,Resultados!DM50)=0, "", AVERAGE(ABS(Resultados!G50),ABS(Resultados!Q50),ABS(Resultados!AA50),ABS(Resultados!AK50),ABS(Resultados!AU50),ABS(Resultados!BE50),ABS(Resultados!BO50),ABS(Resultados!BY50),ABS(Resultados!CI50),ABS(Resultados!CS50),ABS(Resultados!DC50),ABS(Resultados!DM50)))</f>
        <v>0.4240000000000001</v>
      </c>
      <c r="H50">
        <f>IF(COUNT(Resultados!H50,Resultados!R50,Resultados!AB50,Resultados!AL50,Resultados!AV50,Resultados!BF50,Resultados!BP50,Resultados!BZ50,Resultados!CJ50,Resultados!CT50,Resultados!DD50,Resultados!DN50)=0, "", AVERAGE(ABS(Resultados!H50),ABS(Resultados!R50),ABS(Resultados!AB50),ABS(Resultados!AL50),ABS(Resultados!AV50),ABS(Resultados!BF50),ABS(Resultados!BP50),ABS(Resultados!BZ50),ABS(Resultados!CJ50),ABS(Resultados!CT50),ABS(Resultados!DD50),ABS(Resultados!DN50)))</f>
        <v>5.7000000000000002E-3</v>
      </c>
      <c r="I50">
        <f>IF(COUNT(Resultados!I50,Resultados!S50,Resultados!AC50,Resultados!AM50,Resultados!AW50,Resultados!BG50,Resultados!BQ50,Resultados!CA50,Resultados!CK50,Resultados!CU50,Resultados!DE50,Resultados!DO50)=0, "", AVERAGE(ABS(Resultados!I50),ABS(Resultados!S50),ABS(Resultados!AC50),ABS(Resultados!AM50),ABS(Resultados!AW50),ABS(Resultados!BG50),ABS(Resultados!BQ50),ABS(Resultados!CA50),ABS(Resultados!CK50),ABS(Resultados!CU50),ABS(Resultados!DE50),ABS(Resultados!DO50)))</f>
        <v>9.6324216666666711</v>
      </c>
      <c r="J50">
        <f>IF(COUNT(Resultados!J50,Resultados!T50,Resultados!AD50,Resultados!AN50,Resultados!AX50,Resultados!BH50,Resultados!BR50,Resultados!CB50,Resultados!CL50,Resultados!CV50,Resultados!DF50,Resultados!DP50)=0, "", AVERAGE(ABS(Resultados!J50),ABS(Resultados!T50),ABS(Resultados!AD50),ABS(Resultados!AN50),ABS(Resultados!AX50),ABS(Resultados!BH50),ABS(Resultados!BR50),ABS(Resultados!CB50),ABS(Resultados!CL50),ABS(Resultados!CV50),ABS(Resultados!DF50),ABS(Resultados!DP50)))</f>
        <v>5.7000000000000002E-3</v>
      </c>
      <c r="K50">
        <v>3.7916666666666667E-3</v>
      </c>
    </row>
    <row r="51" spans="1:11" x14ac:dyDescent="0.3">
      <c r="A51">
        <f>IF(COUNT(Resultados!A51,Resultados!K51,Resultados!U51,Resultados!AE51,Resultados!AO51,Resultados!AY51,Resultados!BI51,Resultados!BS51,Resultados!CC51,Resultados!CM51,Resultados!CW51,Resultados!DG51)=0, "", AVERAGE(ABS(Resultados!A51),ABS(Resultados!K51),ABS(Resultados!U51),ABS(Resultados!AE51),ABS(Resultados!AO51),ABS(Resultados!AY51),ABS(Resultados!BI51),ABS(Resultados!BS51),ABS(Resultados!CC51),ABS(Resultados!CM51),ABS(Resultados!CW51),ABS(Resultados!DG51)))</f>
        <v>45681</v>
      </c>
      <c r="B51" t="str">
        <f>IF(COUNT(Resultados!B51,Resultados!L51,Resultados!V51,Resultados!AF51,Resultados!AP51,Resultados!AZ51,Resultados!BJ51,Resultados!BT51,Resultados!CD51,Resultados!CN51,Resultados!CX51,Resultados!DH51)=0, "", AVERAGE(ABS(Resultados!B51),ABS(Resultados!L51),ABS(Resultados!V51),ABS(Resultados!AF51),ABS(Resultados!AP51),ABS(Resultados!AZ51),ABS(Resultados!BJ51),ABS(Resultados!BT51),ABS(Resultados!CD51),ABS(Resultados!CN51),ABS(Resultados!CX51),ABS(Resultados!DH51)))</f>
        <v/>
      </c>
      <c r="C51">
        <f>IF(COUNT(Resultados!C51,Resultados!M51,Resultados!W51,Resultados!AG51,Resultados!AQ51,Resultados!BA51,Resultados!BK51,Resultados!BU51,Resultados!CE51,Resultados!CO51,Resultados!CY51,Resultados!DI51)=0, "", AVERAGE(ABS(Resultados!C51),ABS(Resultados!M51),ABS(Resultados!W51),ABS(Resultados!AG51),ABS(Resultados!AQ51),ABS(Resultados!BA51),ABS(Resultados!BK51),ABS(Resultados!BU51),ABS(Resultados!CE51),ABS(Resultados!CO51),ABS(Resultados!CY51),ABS(Resultados!DI51)))</f>
        <v>3.4166666666666665</v>
      </c>
      <c r="D51">
        <f>IF(COUNT(Resultados!D51,Resultados!N51,Resultados!X51,Resultados!AH51,Resultados!AR51,Resultados!BB51,Resultados!BL51,Resultados!BV51,Resultados!CF51,Resultados!CP51,Resultados!CZ51,Resultados!DJ51)=0, "", AVERAGE(ABS(Resultados!D51),ABS(Resultados!N51),ABS(Resultados!X51),ABS(Resultados!AH51),ABS(Resultados!AR51),ABS(Resultados!BB51),ABS(Resultados!BL51),ABS(Resultados!BV51),ABS(Resultados!CF51),ABS(Resultados!CP51),ABS(Resultados!CZ51),ABS(Resultados!DJ51)))</f>
        <v>4.0749999999999996E-3</v>
      </c>
      <c r="E51">
        <f>IF(COUNT(Resultados!E51,Resultados!O51,Resultados!Y51,Resultados!AI51,Resultados!AS51,Resultados!BC51,Resultados!BM51,Resultados!BW51,Resultados!CG51,Resultados!CQ51,Resultados!DA51,Resultados!DK51)=0, "", AVERAGE(ABS(Resultados!E51),ABS(Resultados!O51),ABS(Resultados!Y51),ABS(Resultados!AI51),ABS(Resultados!AS51),ABS(Resultados!BC51),ABS(Resultados!BM51),ABS(Resultados!BW51),ABS(Resultados!CG51),ABS(Resultados!CQ51),ABS(Resultados!DA51),ABS(Resultados!DK51)))</f>
        <v>6.4443242811941461</v>
      </c>
      <c r="F51">
        <f>IF(COUNT(Resultados!F51,Resultados!P51,Resultados!Z51,Resultados!AJ51,Resultados!AT51,Resultados!BD51,Resultados!BN51,Resultados!BX51,Resultados!CH51,Resultados!CR51,Resultados!DB51,Resultados!DL51)=0, "", AVERAGE(ABS(Resultados!F51),ABS(Resultados!P51),ABS(Resultados!Z51),ABS(Resultados!AJ51),ABS(Resultados!AT51),ABS(Resultados!BD51),ABS(Resultados!BN51),ABS(Resultados!BX51),ABS(Resultados!CH51),ABS(Resultados!CR51),ABS(Resultados!DB51),ABS(Resultados!DL51)))</f>
        <v>743.04912442566194</v>
      </c>
      <c r="G51">
        <f>IF(COUNT(Resultados!G51,Resultados!Q51,Resultados!AA51,Resultados!AK51,Resultados!AU51,Resultados!BE51,Resultados!BO51,Resultados!BY51,Resultados!CI51,Resultados!CS51,Resultados!DC51,Resultados!DM51)=0, "", AVERAGE(ABS(Resultados!G51),ABS(Resultados!Q51),ABS(Resultados!AA51),ABS(Resultados!AK51),ABS(Resultados!AU51),ABS(Resultados!BE51),ABS(Resultados!BO51),ABS(Resultados!BY51),ABS(Resultados!CI51),ABS(Resultados!CS51),ABS(Resultados!DC51),ABS(Resultados!DM51)))</f>
        <v>0.4240000000000001</v>
      </c>
      <c r="H51">
        <f>IF(COUNT(Resultados!H51,Resultados!R51,Resultados!AB51,Resultados!AL51,Resultados!AV51,Resultados!BF51,Resultados!BP51,Resultados!BZ51,Resultados!CJ51,Resultados!CT51,Resultados!DD51,Resultados!DN51)=0, "", AVERAGE(ABS(Resultados!H51),ABS(Resultados!R51),ABS(Resultados!AB51),ABS(Resultados!AL51),ABS(Resultados!AV51),ABS(Resultados!BF51),ABS(Resultados!BP51),ABS(Resultados!BZ51),ABS(Resultados!CJ51),ABS(Resultados!CT51),ABS(Resultados!DD51),ABS(Resultados!DN51)))</f>
        <v>6.9833333333333344E-3</v>
      </c>
      <c r="I51">
        <f>IF(COUNT(Resultados!I51,Resultados!S51,Resultados!AC51,Resultados!AM51,Resultados!AW51,Resultados!BG51,Resultados!BQ51,Resultados!CA51,Resultados!CK51,Resultados!CU51,Resultados!DE51,Resultados!DO51)=0, "", AVERAGE(ABS(Resultados!I51),ABS(Resultados!S51),ABS(Resultados!AC51),ABS(Resultados!AM51),ABS(Resultados!AW51),ABS(Resultados!BG51),ABS(Resultados!BQ51),ABS(Resultados!CA51),ABS(Resultados!CK51),ABS(Resultados!CU51),ABS(Resultados!DE51),ABS(Resultados!DO51)))</f>
        <v>9.832509166666668</v>
      </c>
      <c r="J51">
        <f>IF(COUNT(Resultados!J51,Resultados!T51,Resultados!AD51,Resultados!AN51,Resultados!AX51,Resultados!BH51,Resultados!BR51,Resultados!CB51,Resultados!CL51,Resultados!CV51,Resultados!DF51,Resultados!DP51)=0, "", AVERAGE(ABS(Resultados!J51),ABS(Resultados!T51),ABS(Resultados!AD51),ABS(Resultados!AN51),ABS(Resultados!AX51),ABS(Resultados!BH51),ABS(Resultados!BR51),ABS(Resultados!CB51),ABS(Resultados!CL51),ABS(Resultados!CV51),ABS(Resultados!DF51),ABS(Resultados!DP51)))</f>
        <v>6.9833333333333344E-3</v>
      </c>
      <c r="K51">
        <v>4.0749999999999996E-3</v>
      </c>
    </row>
    <row r="52" spans="1:11" x14ac:dyDescent="0.3">
      <c r="A52">
        <f>IF(COUNT(Resultados!A52,Resultados!K52,Resultados!U52,Resultados!AE52,Resultados!AO52,Resultados!AY52,Resultados!BI52,Resultados!BS52,Resultados!CC52,Resultados!CM52,Resultados!CW52,Resultados!DG52)=0, "", AVERAGE(ABS(Resultados!A52),ABS(Resultados!K52),ABS(Resultados!U52),ABS(Resultados!AE52),ABS(Resultados!AO52),ABS(Resultados!AY52),ABS(Resultados!BI52),ABS(Resultados!BS52),ABS(Resultados!CC52),ABS(Resultados!CM52),ABS(Resultados!CW52),ABS(Resultados!DG52)))</f>
        <v>45681</v>
      </c>
      <c r="B52" t="str">
        <f>IF(COUNT(Resultados!B52,Resultados!L52,Resultados!V52,Resultados!AF52,Resultados!AP52,Resultados!AZ52,Resultados!BJ52,Resultados!BT52,Resultados!CD52,Resultados!CN52,Resultados!CX52,Resultados!DH52)=0, "", AVERAGE(ABS(Resultados!B52),ABS(Resultados!L52),ABS(Resultados!V52),ABS(Resultados!AF52),ABS(Resultados!AP52),ABS(Resultados!AZ52),ABS(Resultados!BJ52),ABS(Resultados!BT52),ABS(Resultados!CD52),ABS(Resultados!CN52),ABS(Resultados!CX52),ABS(Resultados!DH52)))</f>
        <v/>
      </c>
      <c r="C52">
        <f>IF(COUNT(Resultados!C52,Resultados!M52,Resultados!W52,Resultados!AG52,Resultados!AQ52,Resultados!BA52,Resultados!BK52,Resultados!BU52,Resultados!CE52,Resultados!CO52,Resultados!CY52,Resultados!DI52)=0, "", AVERAGE(ABS(Resultados!C52),ABS(Resultados!M52),ABS(Resultados!W52),ABS(Resultados!AG52),ABS(Resultados!AQ52),ABS(Resultados!BA52),ABS(Resultados!BK52),ABS(Resultados!BU52),ABS(Resultados!CE52),ABS(Resultados!CO52),ABS(Resultados!CY52),ABS(Resultados!DI52)))</f>
        <v>3.4166666666666665</v>
      </c>
      <c r="D52">
        <f>IF(COUNT(Resultados!D52,Resultados!N52,Resultados!X52,Resultados!AH52,Resultados!AR52,Resultados!BB52,Resultados!BL52,Resultados!BV52,Resultados!CF52,Resultados!CP52,Resultados!CZ52,Resultados!DJ52)=0, "", AVERAGE(ABS(Resultados!D52),ABS(Resultados!N52),ABS(Resultados!X52),ABS(Resultados!AH52),ABS(Resultados!AR52),ABS(Resultados!BB52),ABS(Resultados!BL52),ABS(Resultados!BV52),ABS(Resultados!CF52),ABS(Resultados!CP52),ABS(Resultados!CZ52),ABS(Resultados!DJ52)))</f>
        <v>4.5999999999999999E-3</v>
      </c>
      <c r="E52">
        <f>IF(COUNT(Resultados!E52,Resultados!O52,Resultados!Y52,Resultados!AI52,Resultados!AS52,Resultados!BC52,Resultados!BM52,Resultados!BW52,Resultados!CG52,Resultados!CQ52,Resultados!DA52,Resultados!DK52)=0, "", AVERAGE(ABS(Resultados!E52),ABS(Resultados!O52),ABS(Resultados!Y52),ABS(Resultados!AI52),ABS(Resultados!AS52),ABS(Resultados!BC52),ABS(Resultados!BM52),ABS(Resultados!BW52),ABS(Resultados!CG52),ABS(Resultados!CQ52),ABS(Resultados!DA52),ABS(Resultados!DK52)))</f>
        <v>6.5321848996705647</v>
      </c>
      <c r="F52">
        <f>IF(COUNT(Resultados!F52,Resultados!P52,Resultados!Z52,Resultados!AJ52,Resultados!AT52,Resultados!BD52,Resultados!BN52,Resultados!BX52,Resultados!CH52,Resultados!CR52,Resultados!DB52,Resultados!DL52)=0, "", AVERAGE(ABS(Resultados!F52),ABS(Resultados!P52),ABS(Resultados!Z52),ABS(Resultados!AJ52),ABS(Resultados!AT52),ABS(Resultados!BD52),ABS(Resultados!BN52),ABS(Resultados!BX52),ABS(Resultados!CH52),ABS(Resultados!CR52),ABS(Resultados!DB52),ABS(Resultados!DL52)))</f>
        <v>751.38828472949024</v>
      </c>
      <c r="G52">
        <f>IF(COUNT(Resultados!G52,Resultados!Q52,Resultados!AA52,Resultados!AK52,Resultados!AU52,Resultados!BE52,Resultados!BO52,Resultados!BY52,Resultados!CI52,Resultados!CS52,Resultados!DC52,Resultados!DM52)=0, "", AVERAGE(ABS(Resultados!G52),ABS(Resultados!Q52),ABS(Resultados!AA52),ABS(Resultados!AK52),ABS(Resultados!AU52),ABS(Resultados!BE52),ABS(Resultados!BO52),ABS(Resultados!BY52),ABS(Resultados!CI52),ABS(Resultados!CS52),ABS(Resultados!DC52),ABS(Resultados!DM52)))</f>
        <v>0.4240000000000001</v>
      </c>
      <c r="H52">
        <f>IF(COUNT(Resultados!H52,Resultados!R52,Resultados!AB52,Resultados!AL52,Resultados!AV52,Resultados!BF52,Resultados!BP52,Resultados!BZ52,Resultados!CJ52,Resultados!CT52,Resultados!DD52,Resultados!DN52)=0, "", AVERAGE(ABS(Resultados!H52),ABS(Resultados!R52),ABS(Resultados!AB52),ABS(Resultados!AL52),ABS(Resultados!AV52),ABS(Resultados!BF52),ABS(Resultados!BP52),ABS(Resultados!BZ52),ABS(Resultados!CJ52),ABS(Resultados!CT52),ABS(Resultados!DD52),ABS(Resultados!DN52)))</f>
        <v>8.3249999999999991E-3</v>
      </c>
      <c r="I52">
        <f>IF(COUNT(Resultados!I52,Resultados!S52,Resultados!AC52,Resultados!AM52,Resultados!AW52,Resultados!BG52,Resultados!BQ52,Resultados!CA52,Resultados!CK52,Resultados!CU52,Resultados!DE52,Resultados!DO52)=0, "", AVERAGE(ABS(Resultados!I52),ABS(Resultados!S52),ABS(Resultados!AC52),ABS(Resultados!AM52),ABS(Resultados!AW52),ABS(Resultados!BG52),ABS(Resultados!BQ52),ABS(Resultados!CA52),ABS(Resultados!CK52),ABS(Resultados!CU52),ABS(Resultados!DE52),ABS(Resultados!DO52)))</f>
        <v>10.032681666666667</v>
      </c>
      <c r="J52">
        <f>IF(COUNT(Resultados!J52,Resultados!T52,Resultados!AD52,Resultados!AN52,Resultados!AX52,Resultados!BH52,Resultados!BR52,Resultados!CB52,Resultados!CL52,Resultados!CV52,Resultados!DF52,Resultados!DP52)=0, "", AVERAGE(ABS(Resultados!J52),ABS(Resultados!T52),ABS(Resultados!AD52),ABS(Resultados!AN52),ABS(Resultados!AX52),ABS(Resultados!BH52),ABS(Resultados!BR52),ABS(Resultados!CB52),ABS(Resultados!CL52),ABS(Resultados!CV52),ABS(Resultados!DF52),ABS(Resultados!DP52)))</f>
        <v>8.3249999999999991E-3</v>
      </c>
      <c r="K52">
        <v>4.5999999999999999E-3</v>
      </c>
    </row>
    <row r="53" spans="1:11" x14ac:dyDescent="0.3">
      <c r="A53">
        <f>IF(COUNT(Resultados!A53,Resultados!K53,Resultados!U53,Resultados!AE53,Resultados!AO53,Resultados!AY53,Resultados!BI53,Resultados!BS53,Resultados!CC53,Resultados!CM53,Resultados!CW53,Resultados!DG53)=0, "", AVERAGE(ABS(Resultados!A53),ABS(Resultados!K53),ABS(Resultados!U53),ABS(Resultados!AE53),ABS(Resultados!AO53),ABS(Resultados!AY53),ABS(Resultados!BI53),ABS(Resultados!BS53),ABS(Resultados!CC53),ABS(Resultados!CM53),ABS(Resultados!CW53),ABS(Resultados!DG53)))</f>
        <v>45681</v>
      </c>
      <c r="B53" t="str">
        <f>IF(COUNT(Resultados!B53,Resultados!L53,Resultados!V53,Resultados!AF53,Resultados!AP53,Resultados!AZ53,Resultados!BJ53,Resultados!BT53,Resultados!CD53,Resultados!CN53,Resultados!CX53,Resultados!DH53)=0, "", AVERAGE(ABS(Resultados!B53),ABS(Resultados!L53),ABS(Resultados!V53),ABS(Resultados!AF53),ABS(Resultados!AP53),ABS(Resultados!AZ53),ABS(Resultados!BJ53),ABS(Resultados!BT53),ABS(Resultados!CD53),ABS(Resultados!CN53),ABS(Resultados!CX53),ABS(Resultados!DH53)))</f>
        <v/>
      </c>
      <c r="C53">
        <f>IF(COUNT(Resultados!C53,Resultados!M53,Resultados!W53,Resultados!AG53,Resultados!AQ53,Resultados!BA53,Resultados!BK53,Resultados!BU53,Resultados!CE53,Resultados!CO53,Resultados!CY53,Resultados!DI53)=0, "", AVERAGE(ABS(Resultados!C53),ABS(Resultados!M53),ABS(Resultados!W53),ABS(Resultados!AG53),ABS(Resultados!AQ53),ABS(Resultados!BA53),ABS(Resultados!BK53),ABS(Resultados!BU53),ABS(Resultados!CE53),ABS(Resultados!CO53),ABS(Resultados!CY53),ABS(Resultados!DI53)))</f>
        <v>3.4166666666666665</v>
      </c>
      <c r="D53">
        <f>IF(COUNT(Resultados!D53,Resultados!N53,Resultados!X53,Resultados!AH53,Resultados!AR53,Resultados!BB53,Resultados!BL53,Resultados!BV53,Resultados!CF53,Resultados!CP53,Resultados!CZ53,Resultados!DJ53)=0, "", AVERAGE(ABS(Resultados!D53),ABS(Resultados!N53),ABS(Resultados!X53),ABS(Resultados!AH53),ABS(Resultados!AR53),ABS(Resultados!BB53),ABS(Resultados!BL53),ABS(Resultados!BV53),ABS(Resultados!CF53),ABS(Resultados!CP53),ABS(Resultados!CZ53),ABS(Resultados!DJ53)))</f>
        <v>5.4416666666666667E-3</v>
      </c>
      <c r="E53">
        <f>IF(COUNT(Resultados!E53,Resultados!O53,Resultados!Y53,Resultados!AI53,Resultados!AS53,Resultados!BC53,Resultados!BM53,Resultados!BW53,Resultados!CG53,Resultados!CQ53,Resultados!DA53,Resultados!DK53)=0, "", AVERAGE(ABS(Resultados!E53),ABS(Resultados!O53),ABS(Resultados!Y53),ABS(Resultados!AI53),ABS(Resultados!AS53),ABS(Resultados!BC53),ABS(Resultados!BM53),ABS(Resultados!BW53),ABS(Resultados!CG53),ABS(Resultados!CQ53),ABS(Resultados!DA53),ABS(Resultados!DK53)))</f>
        <v>6.6235366926439641</v>
      </c>
      <c r="F53">
        <f>IF(COUNT(Resultados!F53,Resultados!P53,Resultados!Z53,Resultados!AJ53,Resultados!AT53,Resultados!BD53,Resultados!BN53,Resultados!BX53,Resultados!CH53,Resultados!CR53,Resultados!DB53,Resultados!DL53)=0, "", AVERAGE(ABS(Resultados!F53),ABS(Resultados!P53),ABS(Resultados!Z53),ABS(Resultados!AJ53),ABS(Resultados!AT53),ABS(Resultados!BD53),ABS(Resultados!BN53),ABS(Resultados!BX53),ABS(Resultados!CH53),ABS(Resultados!CR53),ABS(Resultados!DB53),ABS(Resultados!DL53)))</f>
        <v>768.57363213191218</v>
      </c>
      <c r="G53">
        <f>IF(COUNT(Resultados!G53,Resultados!Q53,Resultados!AA53,Resultados!AK53,Resultados!AU53,Resultados!BE53,Resultados!BO53,Resultados!BY53,Resultados!CI53,Resultados!CS53,Resultados!DC53,Resultados!DM53)=0, "", AVERAGE(ABS(Resultados!G53),ABS(Resultados!Q53),ABS(Resultados!AA53),ABS(Resultados!AK53),ABS(Resultados!AU53),ABS(Resultados!BE53),ABS(Resultados!BO53),ABS(Resultados!BY53),ABS(Resultados!CI53),ABS(Resultados!CS53),ABS(Resultados!DC53),ABS(Resultados!DM53)))</f>
        <v>0.4240000000000001</v>
      </c>
      <c r="H53">
        <f>IF(COUNT(Resultados!H53,Resultados!R53,Resultados!AB53,Resultados!AL53,Resultados!AV53,Resultados!BF53,Resultados!BP53,Resultados!BZ53,Resultados!CJ53,Resultados!CT53,Resultados!DD53,Resultados!DN53)=0, "", AVERAGE(ABS(Resultados!H53),ABS(Resultados!R53),ABS(Resultados!AB53),ABS(Resultados!AL53),ABS(Resultados!AV53),ABS(Resultados!BF53),ABS(Resultados!BP53),ABS(Resultados!BZ53),ABS(Resultados!CJ53),ABS(Resultados!CT53),ABS(Resultados!DD53),ABS(Resultados!DN53)))</f>
        <v>9.7666666666666683E-3</v>
      </c>
      <c r="I53">
        <f>IF(COUNT(Resultados!I53,Resultados!S53,Resultados!AC53,Resultados!AM53,Resultados!AW53,Resultados!BG53,Resultados!BQ53,Resultados!CA53,Resultados!CK53,Resultados!CU53,Resultados!DE53,Resultados!DO53)=0, "", AVERAGE(ABS(Resultados!I53),ABS(Resultados!S53),ABS(Resultados!AC53),ABS(Resultados!AM53),ABS(Resultados!AW53),ABS(Resultados!BG53),ABS(Resultados!BQ53),ABS(Resultados!CA53),ABS(Resultados!CK53),ABS(Resultados!CU53),ABS(Resultados!DE53),ABS(Resultados!DO53)))</f>
        <v>10.232740833333336</v>
      </c>
      <c r="J53">
        <f>IF(COUNT(Resultados!J53,Resultados!T53,Resultados!AD53,Resultados!AN53,Resultados!AX53,Resultados!BH53,Resultados!BR53,Resultados!CB53,Resultados!CL53,Resultados!CV53,Resultados!DF53,Resultados!DP53)=0, "", AVERAGE(ABS(Resultados!J53),ABS(Resultados!T53),ABS(Resultados!AD53),ABS(Resultados!AN53),ABS(Resultados!AX53),ABS(Resultados!BH53),ABS(Resultados!BR53),ABS(Resultados!CB53),ABS(Resultados!CL53),ABS(Resultados!CV53),ABS(Resultados!DF53),ABS(Resultados!DP53)))</f>
        <v>9.7666666666666683E-3</v>
      </c>
      <c r="K53">
        <v>5.4416666666666667E-3</v>
      </c>
    </row>
    <row r="54" spans="1:11" x14ac:dyDescent="0.3">
      <c r="A54">
        <f>IF(COUNT(Resultados!A54,Resultados!K54,Resultados!U54,Resultados!AE54,Resultados!AO54,Resultados!AY54,Resultados!BI54,Resultados!BS54,Resultados!CC54,Resultados!CM54,Resultados!CW54,Resultados!DG54)=0, "", AVERAGE(ABS(Resultados!A54),ABS(Resultados!K54),ABS(Resultados!U54),ABS(Resultados!AE54),ABS(Resultados!AO54),ABS(Resultados!AY54),ABS(Resultados!BI54),ABS(Resultados!BS54),ABS(Resultados!CC54),ABS(Resultados!CM54),ABS(Resultados!CW54),ABS(Resultados!DG54)))</f>
        <v>45681</v>
      </c>
      <c r="B54" t="str">
        <f>IF(COUNT(Resultados!B54,Resultados!L54,Resultados!V54,Resultados!AF54,Resultados!AP54,Resultados!AZ54,Resultados!BJ54,Resultados!BT54,Resultados!CD54,Resultados!CN54,Resultados!CX54,Resultados!DH54)=0, "", AVERAGE(ABS(Resultados!B54),ABS(Resultados!L54),ABS(Resultados!V54),ABS(Resultados!AF54),ABS(Resultados!AP54),ABS(Resultados!AZ54),ABS(Resultados!BJ54),ABS(Resultados!BT54),ABS(Resultados!CD54),ABS(Resultados!CN54),ABS(Resultados!CX54),ABS(Resultados!DH54)))</f>
        <v/>
      </c>
      <c r="C54">
        <f>IF(COUNT(Resultados!C54,Resultados!M54,Resultados!W54,Resultados!AG54,Resultados!AQ54,Resultados!BA54,Resultados!BK54,Resultados!BU54,Resultados!CE54,Resultados!CO54,Resultados!CY54,Resultados!DI54)=0, "", AVERAGE(ABS(Resultados!C54),ABS(Resultados!M54),ABS(Resultados!W54),ABS(Resultados!AG54),ABS(Resultados!AQ54),ABS(Resultados!BA54),ABS(Resultados!BK54),ABS(Resultados!BU54),ABS(Resultados!CE54),ABS(Resultados!CO54),ABS(Resultados!CY54),ABS(Resultados!DI54)))</f>
        <v>3.4166666666666665</v>
      </c>
      <c r="D54">
        <f>IF(COUNT(Resultados!D54,Resultados!N54,Resultados!X54,Resultados!AH54,Resultados!AR54,Resultados!BB54,Resultados!BL54,Resultados!BV54,Resultados!CF54,Resultados!CP54,Resultados!CZ54,Resultados!DJ54)=0, "", AVERAGE(ABS(Resultados!D54),ABS(Resultados!N54),ABS(Resultados!X54),ABS(Resultados!AH54),ABS(Resultados!AR54),ABS(Resultados!BB54),ABS(Resultados!BL54),ABS(Resultados!BV54),ABS(Resultados!CF54),ABS(Resultados!CP54),ABS(Resultados!CZ54),ABS(Resultados!DJ54)))</f>
        <v>6.633333333333334E-3</v>
      </c>
      <c r="E54">
        <f>IF(COUNT(Resultados!E54,Resultados!O54,Resultados!Y54,Resultados!AI54,Resultados!AS54,Resultados!BC54,Resultados!BM54,Resultados!BW54,Resultados!CG54,Resultados!CQ54,Resultados!DA54,Resultados!DK54)=0, "", AVERAGE(ABS(Resultados!E54),ABS(Resultados!O54),ABS(Resultados!Y54),ABS(Resultados!AI54),ABS(Resultados!AS54),ABS(Resultados!BC54),ABS(Resultados!BM54),ABS(Resultados!BW54),ABS(Resultados!CG54),ABS(Resultados!CQ54),ABS(Resultados!DA54),ABS(Resultados!DK54)))</f>
        <v>6.7158584405590389</v>
      </c>
      <c r="F54">
        <f>IF(COUNT(Resultados!F54,Resultados!P54,Resultados!Z54,Resultados!AJ54,Resultados!AT54,Resultados!BD54,Resultados!BN54,Resultados!BX54,Resultados!CH54,Resultados!CR54,Resultados!DB54,Resultados!DL54)=0, "", AVERAGE(ABS(Resultados!F54),ABS(Resultados!P54),ABS(Resultados!Z54),ABS(Resultados!AJ54),ABS(Resultados!AT54),ABS(Resultados!BD54),ABS(Resultados!BN54),ABS(Resultados!BX54),ABS(Resultados!CH54),ABS(Resultados!CR54),ABS(Resultados!DB54),ABS(Resultados!DL54)))</f>
        <v>777.33496600905289</v>
      </c>
      <c r="G54">
        <f>IF(COUNT(Resultados!G54,Resultados!Q54,Resultados!AA54,Resultados!AK54,Resultados!AU54,Resultados!BE54,Resultados!BO54,Resultados!BY54,Resultados!CI54,Resultados!CS54,Resultados!DC54,Resultados!DM54)=0, "", AVERAGE(ABS(Resultados!G54),ABS(Resultados!Q54),ABS(Resultados!AA54),ABS(Resultados!AK54),ABS(Resultados!AU54),ABS(Resultados!BE54),ABS(Resultados!BO54),ABS(Resultados!BY54),ABS(Resultados!CI54),ABS(Resultados!CS54),ABS(Resultados!DC54),ABS(Resultados!DM54)))</f>
        <v>0.4240000000000001</v>
      </c>
      <c r="H54">
        <f>IF(COUNT(Resultados!H54,Resultados!R54,Resultados!AB54,Resultados!AL54,Resultados!AV54,Resultados!BF54,Resultados!BP54,Resultados!BZ54,Resultados!CJ54,Resultados!CT54,Resultados!DD54,Resultados!DN54)=0, "", AVERAGE(ABS(Resultados!H54),ABS(Resultados!R54),ABS(Resultados!AB54),ABS(Resultados!AL54),ABS(Resultados!AV54),ABS(Resultados!BF54),ABS(Resultados!BP54),ABS(Resultados!BZ54),ABS(Resultados!CJ54),ABS(Resultados!CT54),ABS(Resultados!DD54),ABS(Resultados!DN54)))</f>
        <v>1.1183333333333335E-2</v>
      </c>
      <c r="I54">
        <f>IF(COUNT(Resultados!I54,Resultados!S54,Resultados!AC54,Resultados!AM54,Resultados!AW54,Resultados!BG54,Resultados!BQ54,Resultados!CA54,Resultados!CK54,Resultados!CU54,Resultados!DE54,Resultados!DO54)=0, "", AVERAGE(ABS(Resultados!I54),ABS(Resultados!S54),ABS(Resultados!AC54),ABS(Resultados!AM54),ABS(Resultados!AW54),ABS(Resultados!BG54),ABS(Resultados!BQ54),ABS(Resultados!CA54),ABS(Resultados!CK54),ABS(Resultados!CU54),ABS(Resultados!DE54),ABS(Resultados!DO54)))</f>
        <v>10.432595833333336</v>
      </c>
      <c r="J54">
        <f>IF(COUNT(Resultados!J54,Resultados!T54,Resultados!AD54,Resultados!AN54,Resultados!AX54,Resultados!BH54,Resultados!BR54,Resultados!CB54,Resultados!CL54,Resultados!CV54,Resultados!DF54,Resultados!DP54)=0, "", AVERAGE(ABS(Resultados!J54),ABS(Resultados!T54),ABS(Resultados!AD54),ABS(Resultados!AN54),ABS(Resultados!AX54),ABS(Resultados!BH54),ABS(Resultados!BR54),ABS(Resultados!CB54),ABS(Resultados!CL54),ABS(Resultados!CV54),ABS(Resultados!DF54),ABS(Resultados!DP54)))</f>
        <v>1.1183333333333335E-2</v>
      </c>
      <c r="K54">
        <v>6.633333333333334E-3</v>
      </c>
    </row>
    <row r="55" spans="1:11" x14ac:dyDescent="0.3">
      <c r="A55">
        <f>IF(COUNT(Resultados!A55,Resultados!K55,Resultados!U55,Resultados!AE55,Resultados!AO55,Resultados!AY55,Resultados!BI55,Resultados!BS55,Resultados!CC55,Resultados!CM55,Resultados!CW55,Resultados!DG55)=0, "", AVERAGE(ABS(Resultados!A55),ABS(Resultados!K55),ABS(Resultados!U55),ABS(Resultados!AE55),ABS(Resultados!AO55),ABS(Resultados!AY55),ABS(Resultados!BI55),ABS(Resultados!BS55),ABS(Resultados!CC55),ABS(Resultados!CM55),ABS(Resultados!CW55),ABS(Resultados!DG55)))</f>
        <v>45681</v>
      </c>
      <c r="B55" t="str">
        <f>IF(COUNT(Resultados!B55,Resultados!L55,Resultados!V55,Resultados!AF55,Resultados!AP55,Resultados!AZ55,Resultados!BJ55,Resultados!BT55,Resultados!CD55,Resultados!CN55,Resultados!CX55,Resultados!DH55)=0, "", AVERAGE(ABS(Resultados!B55),ABS(Resultados!L55),ABS(Resultados!V55),ABS(Resultados!AF55),ABS(Resultados!AP55),ABS(Resultados!AZ55),ABS(Resultados!BJ55),ABS(Resultados!BT55),ABS(Resultados!CD55),ABS(Resultados!CN55),ABS(Resultados!CX55),ABS(Resultados!DH55)))</f>
        <v/>
      </c>
      <c r="C55">
        <f>IF(COUNT(Resultados!C55,Resultados!M55,Resultados!W55,Resultados!AG55,Resultados!AQ55,Resultados!BA55,Resultados!BK55,Resultados!BU55,Resultados!CE55,Resultados!CO55,Resultados!CY55,Resultados!DI55)=0, "", AVERAGE(ABS(Resultados!C55),ABS(Resultados!M55),ABS(Resultados!W55),ABS(Resultados!AG55),ABS(Resultados!AQ55),ABS(Resultados!BA55),ABS(Resultados!BK55),ABS(Resultados!BU55),ABS(Resultados!CE55),ABS(Resultados!CO55),ABS(Resultados!CY55),ABS(Resultados!DI55)))</f>
        <v>3.4166666666666665</v>
      </c>
      <c r="D55">
        <f>IF(COUNT(Resultados!D55,Resultados!N55,Resultados!X55,Resultados!AH55,Resultados!AR55,Resultados!BB55,Resultados!BL55,Resultados!BV55,Resultados!CF55,Resultados!CP55,Resultados!CZ55,Resultados!DJ55)=0, "", AVERAGE(ABS(Resultados!D55),ABS(Resultados!N55),ABS(Resultados!X55),ABS(Resultados!AH55),ABS(Resultados!AR55),ABS(Resultados!BB55),ABS(Resultados!BL55),ABS(Resultados!BV55),ABS(Resultados!CF55),ABS(Resultados!CP55),ABS(Resultados!CZ55),ABS(Resultados!DJ55)))</f>
        <v>8.0499999999999999E-3</v>
      </c>
      <c r="E55">
        <f>IF(COUNT(Resultados!E55,Resultados!O55,Resultados!Y55,Resultados!AI55,Resultados!AS55,Resultados!BC55,Resultados!BM55,Resultados!BW55,Resultados!CG55,Resultados!CQ55,Resultados!DA55,Resultados!DK55)=0, "", AVERAGE(ABS(Resultados!E55),ABS(Resultados!O55),ABS(Resultados!Y55),ABS(Resultados!AI55),ABS(Resultados!AS55),ABS(Resultados!BC55),ABS(Resultados!BM55),ABS(Resultados!BW55),ABS(Resultados!CG55),ABS(Resultados!CQ55),ABS(Resultados!DA55),ABS(Resultados!DK55)))</f>
        <v>6.8072381319251276</v>
      </c>
      <c r="F55">
        <f>IF(COUNT(Resultados!F55,Resultados!P55,Resultados!Z55,Resultados!AJ55,Resultados!AT55,Resultados!BD55,Resultados!BN55,Resultados!BX55,Resultados!CH55,Resultados!CR55,Resultados!DB55,Resultados!DL55)=0, "", AVERAGE(ABS(Resultados!F55),ABS(Resultados!P55),ABS(Resultados!Z55),ABS(Resultados!AJ55),ABS(Resultados!AT55),ABS(Resultados!BD55),ABS(Resultados!BN55),ABS(Resultados!BX55),ABS(Resultados!CH55),ABS(Resultados!CR55),ABS(Resultados!DB55),ABS(Resultados!DL55)))</f>
        <v>786.00689871969462</v>
      </c>
      <c r="G55">
        <f>IF(COUNT(Resultados!G55,Resultados!Q55,Resultados!AA55,Resultados!AK55,Resultados!AU55,Resultados!BE55,Resultados!BO55,Resultados!BY55,Resultados!CI55,Resultados!CS55,Resultados!DC55,Resultados!DM55)=0, "", AVERAGE(ABS(Resultados!G55),ABS(Resultados!Q55),ABS(Resultados!AA55),ABS(Resultados!AK55),ABS(Resultados!AU55),ABS(Resultados!BE55),ABS(Resultados!BO55),ABS(Resultados!BY55),ABS(Resultados!CI55),ABS(Resultados!CS55),ABS(Resultados!DC55),ABS(Resultados!DM55)))</f>
        <v>0.4240000000000001</v>
      </c>
      <c r="H55">
        <f>IF(COUNT(Resultados!H55,Resultados!R55,Resultados!AB55,Resultados!AL55,Resultados!AV55,Resultados!BF55,Resultados!BP55,Resultados!BZ55,Resultados!CJ55,Resultados!CT55,Resultados!DD55,Resultados!DN55)=0, "", AVERAGE(ABS(Resultados!H55),ABS(Resultados!R55),ABS(Resultados!AB55),ABS(Resultados!AL55),ABS(Resultados!AV55),ABS(Resultados!BF55),ABS(Resultados!BP55),ABS(Resultados!BZ55),ABS(Resultados!CJ55),ABS(Resultados!CT55),ABS(Resultados!DD55),ABS(Resultados!DN55)))</f>
        <v>1.2616666666666667E-2</v>
      </c>
      <c r="I55">
        <f>IF(COUNT(Resultados!I55,Resultados!S55,Resultados!AC55,Resultados!AM55,Resultados!AW55,Resultados!BG55,Resultados!BQ55,Resultados!CA55,Resultados!CK55,Resultados!CU55,Resultados!DE55,Resultados!DO55)=0, "", AVERAGE(ABS(Resultados!I55),ABS(Resultados!S55),ABS(Resultados!AC55),ABS(Resultados!AM55),ABS(Resultados!AW55),ABS(Resultados!BG55),ABS(Resultados!BQ55),ABS(Resultados!CA55),ABS(Resultados!CK55),ABS(Resultados!CU55),ABS(Resultados!DE55),ABS(Resultados!DO55)))</f>
        <v>10.632604166666663</v>
      </c>
      <c r="J55">
        <f>IF(COUNT(Resultados!J55,Resultados!T55,Resultados!AD55,Resultados!AN55,Resultados!AX55,Resultados!BH55,Resultados!BR55,Resultados!CB55,Resultados!CL55,Resultados!CV55,Resultados!DF55,Resultados!DP55)=0, "", AVERAGE(ABS(Resultados!J55),ABS(Resultados!T55),ABS(Resultados!AD55),ABS(Resultados!AN55),ABS(Resultados!AX55),ABS(Resultados!BH55),ABS(Resultados!BR55),ABS(Resultados!CB55),ABS(Resultados!CL55),ABS(Resultados!CV55),ABS(Resultados!DF55),ABS(Resultados!DP55)))</f>
        <v>1.2616666666666667E-2</v>
      </c>
      <c r="K55">
        <v>8.0499999999999999E-3</v>
      </c>
    </row>
    <row r="56" spans="1:11" x14ac:dyDescent="0.3">
      <c r="A56">
        <f>IF(COUNT(Resultados!A56,Resultados!K56,Resultados!U56,Resultados!AE56,Resultados!AO56,Resultados!AY56,Resultados!BI56,Resultados!BS56,Resultados!CC56,Resultados!CM56,Resultados!CW56,Resultados!DG56)=0, "", AVERAGE(ABS(Resultados!A56),ABS(Resultados!K56),ABS(Resultados!U56),ABS(Resultados!AE56),ABS(Resultados!AO56),ABS(Resultados!AY56),ABS(Resultados!BI56),ABS(Resultados!BS56),ABS(Resultados!CC56),ABS(Resultados!CM56),ABS(Resultados!CW56),ABS(Resultados!DG56)))</f>
        <v>45681</v>
      </c>
      <c r="B56" t="str">
        <f>IF(COUNT(Resultados!B56,Resultados!L56,Resultados!V56,Resultados!AF56,Resultados!AP56,Resultados!AZ56,Resultados!BJ56,Resultados!BT56,Resultados!CD56,Resultados!CN56,Resultados!CX56,Resultados!DH56)=0, "", AVERAGE(ABS(Resultados!B56),ABS(Resultados!L56),ABS(Resultados!V56),ABS(Resultados!AF56),ABS(Resultados!AP56),ABS(Resultados!AZ56),ABS(Resultados!BJ56),ABS(Resultados!BT56),ABS(Resultados!CD56),ABS(Resultados!CN56),ABS(Resultados!CX56),ABS(Resultados!DH56)))</f>
        <v/>
      </c>
      <c r="C56">
        <f>IF(COUNT(Resultados!C56,Resultados!M56,Resultados!W56,Resultados!AG56,Resultados!AQ56,Resultados!BA56,Resultados!BK56,Resultados!BU56,Resultados!CE56,Resultados!CO56,Resultados!CY56,Resultados!DI56)=0, "", AVERAGE(ABS(Resultados!C56),ABS(Resultados!M56),ABS(Resultados!W56),ABS(Resultados!AG56),ABS(Resultados!AQ56),ABS(Resultados!BA56),ABS(Resultados!BK56),ABS(Resultados!BU56),ABS(Resultados!CE56),ABS(Resultados!CO56),ABS(Resultados!CY56),ABS(Resultados!DI56)))</f>
        <v>3.4166666666666665</v>
      </c>
      <c r="D56">
        <f>IF(COUNT(Resultados!D56,Resultados!N56,Resultados!X56,Resultados!AH56,Resultados!AR56,Resultados!BB56,Resultados!BL56,Resultados!BV56,Resultados!CF56,Resultados!CP56,Resultados!CZ56,Resultados!DJ56)=0, "", AVERAGE(ABS(Resultados!D56),ABS(Resultados!N56),ABS(Resultados!X56),ABS(Resultados!AH56),ABS(Resultados!AR56),ABS(Resultados!BB56),ABS(Resultados!BL56),ABS(Resultados!BV56),ABS(Resultados!CF56),ABS(Resultados!CP56),ABS(Resultados!CZ56),ABS(Resultados!DJ56)))</f>
        <v>9.2333333333333312E-3</v>
      </c>
      <c r="E56">
        <f>IF(COUNT(Resultados!E56,Resultados!O56,Resultados!Y56,Resultados!AI56,Resultados!AS56,Resultados!BC56,Resultados!BM56,Resultados!BW56,Resultados!CG56,Resultados!CQ56,Resultados!DA56,Resultados!DK56)=0, "", AVERAGE(ABS(Resultados!E56),ABS(Resultados!O56),ABS(Resultados!Y56),ABS(Resultados!AI56),ABS(Resultados!AS56),ABS(Resultados!BC56),ABS(Resultados!BM56),ABS(Resultados!BW56),ABS(Resultados!CG56),ABS(Resultados!CQ56),ABS(Resultados!DA56),ABS(Resultados!DK56)))</f>
        <v>6.8952473253812565</v>
      </c>
      <c r="F56">
        <f>IF(COUNT(Resultados!F56,Resultados!P56,Resultados!Z56,Resultados!AJ56,Resultados!AT56,Resultados!BD56,Resultados!BN56,Resultados!BX56,Resultados!CH56,Resultados!CR56,Resultados!DB56,Resultados!DL56)=0, "", AVERAGE(ABS(Resultados!F56),ABS(Resultados!P56),ABS(Resultados!Z56),ABS(Resultados!AJ56),ABS(Resultados!AT56),ABS(Resultados!BD56),ABS(Resultados!BN56),ABS(Resultados!BX56),ABS(Resultados!CH56),ABS(Resultados!CR56),ABS(Resultados!DB56),ABS(Resultados!DL56)))</f>
        <v>794.35897117868126</v>
      </c>
      <c r="G56">
        <f>IF(COUNT(Resultados!G56,Resultados!Q56,Resultados!AA56,Resultados!AK56,Resultados!AU56,Resultados!BE56,Resultados!BO56,Resultados!BY56,Resultados!CI56,Resultados!CS56,Resultados!DC56,Resultados!DM56)=0, "", AVERAGE(ABS(Resultados!G56),ABS(Resultados!Q56),ABS(Resultados!AA56),ABS(Resultados!AK56),ABS(Resultados!AU56),ABS(Resultados!BE56),ABS(Resultados!BO56),ABS(Resultados!BY56),ABS(Resultados!CI56),ABS(Resultados!CS56),ABS(Resultados!DC56),ABS(Resultados!DM56)))</f>
        <v>0.4240000000000001</v>
      </c>
      <c r="H56">
        <f>IF(COUNT(Resultados!H56,Resultados!R56,Resultados!AB56,Resultados!AL56,Resultados!AV56,Resultados!BF56,Resultados!BP56,Resultados!BZ56,Resultados!CJ56,Resultados!CT56,Resultados!DD56,Resultados!DN56)=0, "", AVERAGE(ABS(Resultados!H56),ABS(Resultados!R56),ABS(Resultados!AB56),ABS(Resultados!AL56),ABS(Resultados!AV56),ABS(Resultados!BF56),ABS(Resultados!BP56),ABS(Resultados!BZ56),ABS(Resultados!CJ56),ABS(Resultados!CT56),ABS(Resultados!DD56),ABS(Resultados!DN56)))</f>
        <v>1.3991666666666666E-2</v>
      </c>
      <c r="I56">
        <f>IF(COUNT(Resultados!I56,Resultados!S56,Resultados!AC56,Resultados!AM56,Resultados!AW56,Resultados!BG56,Resultados!BQ56,Resultados!CA56,Resultados!CK56,Resultados!CU56,Resultados!DE56,Resultados!DO56)=0, "", AVERAGE(ABS(Resultados!I56),ABS(Resultados!S56),ABS(Resultados!AC56),ABS(Resultados!AM56),ABS(Resultados!AW56),ABS(Resultados!BG56),ABS(Resultados!BQ56),ABS(Resultados!CA56),ABS(Resultados!CK56),ABS(Resultados!CU56),ABS(Resultados!DE56),ABS(Resultados!DO56)))</f>
        <v>10.832586666666662</v>
      </c>
      <c r="J56">
        <f>IF(COUNT(Resultados!J56,Resultados!T56,Resultados!AD56,Resultados!AN56,Resultados!AX56,Resultados!BH56,Resultados!BR56,Resultados!CB56,Resultados!CL56,Resultados!CV56,Resultados!DF56,Resultados!DP56)=0, "", AVERAGE(ABS(Resultados!J56),ABS(Resultados!T56),ABS(Resultados!AD56),ABS(Resultados!AN56),ABS(Resultados!AX56),ABS(Resultados!BH56),ABS(Resultados!BR56),ABS(Resultados!CB56),ABS(Resultados!CL56),ABS(Resultados!CV56),ABS(Resultados!DF56),ABS(Resultados!DP56)))</f>
        <v>1.3991666666666666E-2</v>
      </c>
      <c r="K56">
        <v>9.2333333333333312E-3</v>
      </c>
    </row>
    <row r="57" spans="1:11" x14ac:dyDescent="0.3">
      <c r="A57">
        <f>IF(COUNT(Resultados!A57,Resultados!K57,Resultados!U57,Resultados!AE57,Resultados!AO57,Resultados!AY57,Resultados!BI57,Resultados!BS57,Resultados!CC57,Resultados!CM57,Resultados!CW57,Resultados!DG57)=0, "", AVERAGE(ABS(Resultados!A57),ABS(Resultados!K57),ABS(Resultados!U57),ABS(Resultados!AE57),ABS(Resultados!AO57),ABS(Resultados!AY57),ABS(Resultados!BI57),ABS(Resultados!BS57),ABS(Resultados!CC57),ABS(Resultados!CM57),ABS(Resultados!CW57),ABS(Resultados!DG57)))</f>
        <v>45681</v>
      </c>
      <c r="B57" t="str">
        <f>IF(COUNT(Resultados!B57,Resultados!L57,Resultados!V57,Resultados!AF57,Resultados!AP57,Resultados!AZ57,Resultados!BJ57,Resultados!BT57,Resultados!CD57,Resultados!CN57,Resultados!CX57,Resultados!DH57)=0, "", AVERAGE(ABS(Resultados!B57),ABS(Resultados!L57),ABS(Resultados!V57),ABS(Resultados!AF57),ABS(Resultados!AP57),ABS(Resultados!AZ57),ABS(Resultados!BJ57),ABS(Resultados!BT57),ABS(Resultados!CD57),ABS(Resultados!CN57),ABS(Resultados!CX57),ABS(Resultados!DH57)))</f>
        <v/>
      </c>
      <c r="C57">
        <f>IF(COUNT(Resultados!C57,Resultados!M57,Resultados!W57,Resultados!AG57,Resultados!AQ57,Resultados!BA57,Resultados!BK57,Resultados!BU57,Resultados!CE57,Resultados!CO57,Resultados!CY57,Resultados!DI57)=0, "", AVERAGE(ABS(Resultados!C57),ABS(Resultados!M57),ABS(Resultados!W57),ABS(Resultados!AG57),ABS(Resultados!AQ57),ABS(Resultados!BA57),ABS(Resultados!BK57),ABS(Resultados!BU57),ABS(Resultados!CE57),ABS(Resultados!CO57),ABS(Resultados!CY57),ABS(Resultados!DI57)))</f>
        <v>3.4166666666666665</v>
      </c>
      <c r="D57">
        <f>IF(COUNT(Resultados!D57,Resultados!N57,Resultados!X57,Resultados!AH57,Resultados!AR57,Resultados!BB57,Resultados!BL57,Resultados!BV57,Resultados!CF57,Resultados!CP57,Resultados!CZ57,Resultados!DJ57)=0, "", AVERAGE(ABS(Resultados!D57),ABS(Resultados!N57),ABS(Resultados!X57),ABS(Resultados!AH57),ABS(Resultados!AR57),ABS(Resultados!BB57),ABS(Resultados!BL57),ABS(Resultados!BV57),ABS(Resultados!CF57),ABS(Resultados!CP57),ABS(Resultados!CZ57),ABS(Resultados!DJ57)))</f>
        <v>1.0391666666666667E-2</v>
      </c>
      <c r="E57">
        <f>IF(COUNT(Resultados!E57,Resultados!O57,Resultados!Y57,Resultados!AI57,Resultados!AS57,Resultados!BC57,Resultados!BM57,Resultados!BW57,Resultados!CG57,Resultados!CQ57,Resultados!DA57,Resultados!DK57)=0, "", AVERAGE(ABS(Resultados!E57),ABS(Resultados!O57),ABS(Resultados!Y57),ABS(Resultados!AI57),ABS(Resultados!AS57),ABS(Resultados!BC57),ABS(Resultados!BM57),ABS(Resultados!BW57),ABS(Resultados!CG57),ABS(Resultados!CQ57),ABS(Resultados!DA57),ABS(Resultados!DK57)))</f>
        <v>6.9778296577728058</v>
      </c>
      <c r="F57">
        <f>IF(COUNT(Resultados!F57,Resultados!P57,Resultados!Z57,Resultados!AJ57,Resultados!AT57,Resultados!BD57,Resultados!BN57,Resultados!BX57,Resultados!CH57,Resultados!CR57,Resultados!DB57,Resultados!DL57)=0, "", AVERAGE(ABS(Resultados!F57),ABS(Resultados!P57),ABS(Resultados!Z57),ABS(Resultados!AJ57),ABS(Resultados!AT57),ABS(Resultados!BD57),ABS(Resultados!BN57),ABS(Resultados!BX57),ABS(Resultados!CH57),ABS(Resultados!CR57),ABS(Resultados!DB57),ABS(Resultados!DL57)))</f>
        <v>802.19603452263937</v>
      </c>
      <c r="G57">
        <f>IF(COUNT(Resultados!G57,Resultados!Q57,Resultados!AA57,Resultados!AK57,Resultados!AU57,Resultados!BE57,Resultados!BO57,Resultados!BY57,Resultados!CI57,Resultados!CS57,Resultados!DC57,Resultados!DM57)=0, "", AVERAGE(ABS(Resultados!G57),ABS(Resultados!Q57),ABS(Resultados!AA57),ABS(Resultados!AK57),ABS(Resultados!AU57),ABS(Resultados!BE57),ABS(Resultados!BO57),ABS(Resultados!BY57),ABS(Resultados!CI57),ABS(Resultados!CS57),ABS(Resultados!DC57),ABS(Resultados!DM57)))</f>
        <v>0.4240000000000001</v>
      </c>
      <c r="H57">
        <f>IF(COUNT(Resultados!H57,Resultados!R57,Resultados!AB57,Resultados!AL57,Resultados!AV57,Resultados!BF57,Resultados!BP57,Resultados!BZ57,Resultados!CJ57,Resultados!CT57,Resultados!DD57,Resultados!DN57)=0, "", AVERAGE(ABS(Resultados!H57),ABS(Resultados!R57),ABS(Resultados!AB57),ABS(Resultados!AL57),ABS(Resultados!AV57),ABS(Resultados!BF57),ABS(Resultados!BP57),ABS(Resultados!BZ57),ABS(Resultados!CJ57),ABS(Resultados!CT57),ABS(Resultados!DD57),ABS(Resultados!DN57)))</f>
        <v>1.525E-2</v>
      </c>
      <c r="I57">
        <f>IF(COUNT(Resultados!I57,Resultados!S57,Resultados!AC57,Resultados!AM57,Resultados!AW57,Resultados!BG57,Resultados!BQ57,Resultados!CA57,Resultados!CK57,Resultados!CU57,Resultados!DE57,Resultados!DO57)=0, "", AVERAGE(ABS(Resultados!I57),ABS(Resultados!S57),ABS(Resultados!AC57),ABS(Resultados!AM57),ABS(Resultados!AW57),ABS(Resultados!BG57),ABS(Resultados!BQ57),ABS(Resultados!CA57),ABS(Resultados!CK57),ABS(Resultados!CU57),ABS(Resultados!DE57),ABS(Resultados!DO57)))</f>
        <v>11.032689999999997</v>
      </c>
      <c r="J57">
        <f>IF(COUNT(Resultados!J57,Resultados!T57,Resultados!AD57,Resultados!AN57,Resultados!AX57,Resultados!BH57,Resultados!BR57,Resultados!CB57,Resultados!CL57,Resultados!CV57,Resultados!DF57,Resultados!DP57)=0, "", AVERAGE(ABS(Resultados!J57),ABS(Resultados!T57),ABS(Resultados!AD57),ABS(Resultados!AN57),ABS(Resultados!AX57),ABS(Resultados!BH57),ABS(Resultados!BR57),ABS(Resultados!CB57),ABS(Resultados!CL57),ABS(Resultados!CV57),ABS(Resultados!DF57),ABS(Resultados!DP57)))</f>
        <v>1.525E-2</v>
      </c>
      <c r="K57">
        <v>1.0391666666666667E-2</v>
      </c>
    </row>
    <row r="58" spans="1:11" x14ac:dyDescent="0.3">
      <c r="A58">
        <f>IF(COUNT(Resultados!A58,Resultados!K58,Resultados!U58,Resultados!AE58,Resultados!AO58,Resultados!AY58,Resultados!BI58,Resultados!BS58,Resultados!CC58,Resultados!CM58,Resultados!CW58,Resultados!DG58)=0, "", AVERAGE(ABS(Resultados!A58),ABS(Resultados!K58),ABS(Resultados!U58),ABS(Resultados!AE58),ABS(Resultados!AO58),ABS(Resultados!AY58),ABS(Resultados!BI58),ABS(Resultados!BS58),ABS(Resultados!CC58),ABS(Resultados!CM58),ABS(Resultados!CW58),ABS(Resultados!DG58)))</f>
        <v>45681</v>
      </c>
      <c r="B58" t="str">
        <f>IF(COUNT(Resultados!B58,Resultados!L58,Resultados!V58,Resultados!AF58,Resultados!AP58,Resultados!AZ58,Resultados!BJ58,Resultados!BT58,Resultados!CD58,Resultados!CN58,Resultados!CX58,Resultados!DH58)=0, "", AVERAGE(ABS(Resultados!B58),ABS(Resultados!L58),ABS(Resultados!V58),ABS(Resultados!AF58),ABS(Resultados!AP58),ABS(Resultados!AZ58),ABS(Resultados!BJ58),ABS(Resultados!BT58),ABS(Resultados!CD58),ABS(Resultados!CN58),ABS(Resultados!CX58),ABS(Resultados!DH58)))</f>
        <v/>
      </c>
      <c r="C58">
        <f>IF(COUNT(Resultados!C58,Resultados!M58,Resultados!W58,Resultados!AG58,Resultados!AQ58,Resultados!BA58,Resultados!BK58,Resultados!BU58,Resultados!CE58,Resultados!CO58,Resultados!CY58,Resultados!DI58)=0, "", AVERAGE(ABS(Resultados!C58),ABS(Resultados!M58),ABS(Resultados!W58),ABS(Resultados!AG58),ABS(Resultados!AQ58),ABS(Resultados!BA58),ABS(Resultados!BK58),ABS(Resultados!BU58),ABS(Resultados!CE58),ABS(Resultados!CO58),ABS(Resultados!CY58),ABS(Resultados!DI58)))</f>
        <v>3.4166666666666665</v>
      </c>
      <c r="D58">
        <f>IF(COUNT(Resultados!D58,Resultados!N58,Resultados!X58,Resultados!AH58,Resultados!AR58,Resultados!BB58,Resultados!BL58,Resultados!BV58,Resultados!CF58,Resultados!CP58,Resultados!CZ58,Resultados!DJ58)=0, "", AVERAGE(ABS(Resultados!D58),ABS(Resultados!N58),ABS(Resultados!X58),ABS(Resultados!AH58),ABS(Resultados!AR58),ABS(Resultados!BB58),ABS(Resultados!BL58),ABS(Resultados!BV58),ABS(Resultados!CF58),ABS(Resultados!CP58),ABS(Resultados!CZ58),ABS(Resultados!DJ58)))</f>
        <v>1.1725000000000001E-2</v>
      </c>
      <c r="E58">
        <f>IF(COUNT(Resultados!E58,Resultados!O58,Resultados!Y58,Resultados!AI58,Resultados!AS58,Resultados!BC58,Resultados!BM58,Resultados!BW58,Resultados!CG58,Resultados!CQ58,Resultados!DA58,Resultados!DK58)=0, "", AVERAGE(ABS(Resultados!E58),ABS(Resultados!O58),ABS(Resultados!Y58),ABS(Resultados!AI58),ABS(Resultados!AS58),ABS(Resultados!BC58),ABS(Resultados!BM58),ABS(Resultados!BW58),ABS(Resultados!CG58),ABS(Resultados!CQ58),ABS(Resultados!DA58),ABS(Resultados!DK58)))</f>
        <v>7.0688763238478272</v>
      </c>
      <c r="F58">
        <f>IF(COUNT(Resultados!F58,Resultados!P58,Resultados!Z58,Resultados!AJ58,Resultados!AT58,Resultados!BD58,Resultados!BN58,Resultados!BX58,Resultados!CH58,Resultados!CR58,Resultados!DB58,Resultados!DL58)=0, "", AVERAGE(ABS(Resultados!F58),ABS(Resultados!P58),ABS(Resultados!Z58),ABS(Resultados!AJ58),ABS(Resultados!AT58),ABS(Resultados!BD58),ABS(Resultados!BN58),ABS(Resultados!BX58),ABS(Resultados!CH58),ABS(Resultados!CR58),ABS(Resultados!DB58),ABS(Resultados!DL58)))</f>
        <v>810.83636313315867</v>
      </c>
      <c r="G58">
        <f>IF(COUNT(Resultados!G58,Resultados!Q58,Resultados!AA58,Resultados!AK58,Resultados!AU58,Resultados!BE58,Resultados!BO58,Resultados!BY58,Resultados!CI58,Resultados!CS58,Resultados!DC58,Resultados!DM58)=0, "", AVERAGE(ABS(Resultados!G58),ABS(Resultados!Q58),ABS(Resultados!AA58),ABS(Resultados!AK58),ABS(Resultados!AU58),ABS(Resultados!BE58),ABS(Resultados!BO58),ABS(Resultados!BY58),ABS(Resultados!CI58),ABS(Resultados!CS58),ABS(Resultados!DC58),ABS(Resultados!DM58)))</f>
        <v>0.4240000000000001</v>
      </c>
      <c r="H58">
        <f>IF(COUNT(Resultados!H58,Resultados!R58,Resultados!AB58,Resultados!AL58,Resultados!AV58,Resultados!BF58,Resultados!BP58,Resultados!BZ58,Resultados!CJ58,Resultados!CT58,Resultados!DD58,Resultados!DN58)=0, "", AVERAGE(ABS(Resultados!H58),ABS(Resultados!R58),ABS(Resultados!AB58),ABS(Resultados!AL58),ABS(Resultados!AV58),ABS(Resultados!BF58),ABS(Resultados!BP58),ABS(Resultados!BZ58),ABS(Resultados!CJ58),ABS(Resultados!CT58),ABS(Resultados!DD58),ABS(Resultados!DN58)))</f>
        <v>1.6674999999999999E-2</v>
      </c>
      <c r="I58">
        <f>IF(COUNT(Resultados!I58,Resultados!S58,Resultados!AC58,Resultados!AM58,Resultados!AW58,Resultados!BG58,Resultados!BQ58,Resultados!CA58,Resultados!CK58,Resultados!CU58,Resultados!DE58,Resultados!DO58)=0, "", AVERAGE(ABS(Resultados!I58),ABS(Resultados!S58),ABS(Resultados!AC58),ABS(Resultados!AM58),ABS(Resultados!AW58),ABS(Resultados!BG58),ABS(Resultados!BQ58),ABS(Resultados!CA58),ABS(Resultados!CK58),ABS(Resultados!CU58),ABS(Resultados!DE58),ABS(Resultados!DO58)))</f>
        <v>11.299603333333335</v>
      </c>
      <c r="J58">
        <f>IF(COUNT(Resultados!J58,Resultados!T58,Resultados!AD58,Resultados!AN58,Resultados!AX58,Resultados!BH58,Resultados!BR58,Resultados!CB58,Resultados!CL58,Resultados!CV58,Resultados!DF58,Resultados!DP58)=0, "", AVERAGE(ABS(Resultados!J58),ABS(Resultados!T58),ABS(Resultados!AD58),ABS(Resultados!AN58),ABS(Resultados!AX58),ABS(Resultados!BH58),ABS(Resultados!BR58),ABS(Resultados!CB58),ABS(Resultados!CL58),ABS(Resultados!CV58),ABS(Resultados!DF58),ABS(Resultados!DP58)))</f>
        <v>1.6674999999999999E-2</v>
      </c>
      <c r="K58">
        <v>1.1725000000000001E-2</v>
      </c>
    </row>
    <row r="59" spans="1:11" x14ac:dyDescent="0.3">
      <c r="A59">
        <f>IF(COUNT(Resultados!A59,Resultados!K59,Resultados!U59,Resultados!AE59,Resultados!AO59,Resultados!AY59,Resultados!BI59,Resultados!BS59,Resultados!CC59,Resultados!CM59,Resultados!CW59,Resultados!DG59)=0, "", AVERAGE(ABS(Resultados!A59),ABS(Resultados!K59),ABS(Resultados!U59),ABS(Resultados!AE59),ABS(Resultados!AO59),ABS(Resultados!AY59),ABS(Resultados!BI59),ABS(Resultados!BS59),ABS(Resultados!CC59),ABS(Resultados!CM59),ABS(Resultados!CW59),ABS(Resultados!DG59)))</f>
        <v>45681</v>
      </c>
      <c r="B59" t="str">
        <f>IF(COUNT(Resultados!B59,Resultados!L59,Resultados!V59,Resultados!AF59,Resultados!AP59,Resultados!AZ59,Resultados!BJ59,Resultados!BT59,Resultados!CD59,Resultados!CN59,Resultados!CX59,Resultados!DH59)=0, "", AVERAGE(ABS(Resultados!B59),ABS(Resultados!L59),ABS(Resultados!V59),ABS(Resultados!AF59),ABS(Resultados!AP59),ABS(Resultados!AZ59),ABS(Resultados!BJ59),ABS(Resultados!BT59),ABS(Resultados!CD59),ABS(Resultados!CN59),ABS(Resultados!CX59),ABS(Resultados!DH59)))</f>
        <v/>
      </c>
      <c r="C59">
        <f>IF(COUNT(Resultados!C59,Resultados!M59,Resultados!W59,Resultados!AG59,Resultados!AQ59,Resultados!BA59,Resultados!BK59,Resultados!BU59,Resultados!CE59,Resultados!CO59,Resultados!CY59,Resultados!DI59)=0, "", AVERAGE(ABS(Resultados!C59),ABS(Resultados!M59),ABS(Resultados!W59),ABS(Resultados!AG59),ABS(Resultados!AQ59),ABS(Resultados!BA59),ABS(Resultados!BK59),ABS(Resultados!BU59),ABS(Resultados!CE59),ABS(Resultados!CO59),ABS(Resultados!CY59),ABS(Resultados!DI59)))</f>
        <v>3.4166666666666665</v>
      </c>
      <c r="D59">
        <f>IF(COUNT(Resultados!D59,Resultados!N59,Resultados!X59,Resultados!AH59,Resultados!AR59,Resultados!BB59,Resultados!BL59,Resultados!BV59,Resultados!CF59,Resultados!CP59,Resultados!CZ59,Resultados!DJ59)=0, "", AVERAGE(ABS(Resultados!D59),ABS(Resultados!N59),ABS(Resultados!X59),ABS(Resultados!AH59),ABS(Resultados!AR59),ABS(Resultados!BB59),ABS(Resultados!BL59),ABS(Resultados!BV59),ABS(Resultados!CF59),ABS(Resultados!CP59),ABS(Resultados!CZ59),ABS(Resultados!DJ59)))</f>
        <v>1.285E-2</v>
      </c>
      <c r="E59">
        <f>IF(COUNT(Resultados!E59,Resultados!O59,Resultados!Y59,Resultados!AI59,Resultados!AS59,Resultados!BC59,Resultados!BM59,Resultados!BW59,Resultados!CG59,Resultados!CQ59,Resultados!DA59,Resultados!DK59)=0, "", AVERAGE(ABS(Resultados!E59),ABS(Resultados!O59),ABS(Resultados!Y59),ABS(Resultados!AI59),ABS(Resultados!AS59),ABS(Resultados!BC59),ABS(Resultados!BM59),ABS(Resultados!BW59),ABS(Resultados!CG59),ABS(Resultados!CQ59),ABS(Resultados!DA59),ABS(Resultados!DK59)))</f>
        <v>7.1297967564830556</v>
      </c>
      <c r="F59">
        <f>IF(COUNT(Resultados!F59,Resultados!P59,Resultados!Z59,Resultados!AJ59,Resultados!AT59,Resultados!BD59,Resultados!BN59,Resultados!BX59,Resultados!CH59,Resultados!CR59,Resultados!DB59,Resultados!DL59)=0, "", AVERAGE(ABS(Resultados!F59),ABS(Resultados!P59),ABS(Resultados!Z59),ABS(Resultados!AJ59),ABS(Resultados!AT59),ABS(Resultados!BD59),ABS(Resultados!BN59),ABS(Resultados!BX59),ABS(Resultados!CH59),ABS(Resultados!CR59),ABS(Resultados!DB59),ABS(Resultados!DL59)))</f>
        <v>816.61771219024195</v>
      </c>
      <c r="G59">
        <f>IF(COUNT(Resultados!G59,Resultados!Q59,Resultados!AA59,Resultados!AK59,Resultados!AU59,Resultados!BE59,Resultados!BO59,Resultados!BY59,Resultados!CI59,Resultados!CS59,Resultados!DC59,Resultados!DM59)=0, "", AVERAGE(ABS(Resultados!G59),ABS(Resultados!Q59),ABS(Resultados!AA59),ABS(Resultados!AK59),ABS(Resultados!AU59),ABS(Resultados!BE59),ABS(Resultados!BO59),ABS(Resultados!BY59),ABS(Resultados!CI59),ABS(Resultados!CS59),ABS(Resultados!DC59),ABS(Resultados!DM59)))</f>
        <v>0.4240000000000001</v>
      </c>
      <c r="H59">
        <f>IF(COUNT(Resultados!H59,Resultados!R59,Resultados!AB59,Resultados!AL59,Resultados!AV59,Resultados!BF59,Resultados!BP59,Resultados!BZ59,Resultados!CJ59,Resultados!CT59,Resultados!DD59,Resultados!DN59)=0, "", AVERAGE(ABS(Resultados!H59),ABS(Resultados!R59),ABS(Resultados!AB59),ABS(Resultados!AL59),ABS(Resultados!AV59),ABS(Resultados!BF59),ABS(Resultados!BP59),ABS(Resultados!BZ59),ABS(Resultados!CJ59),ABS(Resultados!CT59),ABS(Resultados!DD59),ABS(Resultados!DN59)))</f>
        <v>1.7641666666666667E-2</v>
      </c>
      <c r="I59">
        <f>IF(COUNT(Resultados!I59,Resultados!S59,Resultados!AC59,Resultados!AM59,Resultados!AW59,Resultados!BG59,Resultados!BQ59,Resultados!CA59,Resultados!CK59,Resultados!CU59,Resultados!DE59,Resultados!DO59)=0, "", AVERAGE(ABS(Resultados!I59),ABS(Resultados!S59),ABS(Resultados!AC59),ABS(Resultados!AM59),ABS(Resultados!AW59),ABS(Resultados!BG59),ABS(Resultados!BQ59),ABS(Resultados!CA59),ABS(Resultados!CK59),ABS(Resultados!CU59),ABS(Resultados!DE59),ABS(Resultados!DO59)))</f>
        <v>11.50061</v>
      </c>
      <c r="J59">
        <f>IF(COUNT(Resultados!J59,Resultados!T59,Resultados!AD59,Resultados!AN59,Resultados!AX59,Resultados!BH59,Resultados!BR59,Resultados!CB59,Resultados!CL59,Resultados!CV59,Resultados!DF59,Resultados!DP59)=0, "", AVERAGE(ABS(Resultados!J59),ABS(Resultados!T59),ABS(Resultados!AD59),ABS(Resultados!AN59),ABS(Resultados!AX59),ABS(Resultados!BH59),ABS(Resultados!BR59),ABS(Resultados!CB59),ABS(Resultados!CL59),ABS(Resultados!CV59),ABS(Resultados!DF59),ABS(Resultados!DP59)))</f>
        <v>1.7641666666666667E-2</v>
      </c>
      <c r="K59">
        <v>1.285E-2</v>
      </c>
    </row>
    <row r="60" spans="1:11" x14ac:dyDescent="0.3">
      <c r="A60">
        <f>IF(COUNT(Resultados!A60,Resultados!K60,Resultados!U60,Resultados!AE60,Resultados!AO60,Resultados!AY60,Resultados!BI60,Resultados!BS60,Resultados!CC60,Resultados!CM60,Resultados!CW60,Resultados!DG60)=0, "", AVERAGE(ABS(Resultados!A60),ABS(Resultados!K60),ABS(Resultados!U60),ABS(Resultados!AE60),ABS(Resultados!AO60),ABS(Resultados!AY60),ABS(Resultados!BI60),ABS(Resultados!BS60),ABS(Resultados!CC60),ABS(Resultados!CM60),ABS(Resultados!CW60),ABS(Resultados!DG60)))</f>
        <v>45681</v>
      </c>
      <c r="B60" t="str">
        <f>IF(COUNT(Resultados!B60,Resultados!L60,Resultados!V60,Resultados!AF60,Resultados!AP60,Resultados!AZ60,Resultados!BJ60,Resultados!BT60,Resultados!CD60,Resultados!CN60,Resultados!CX60,Resultados!DH60)=0, "", AVERAGE(ABS(Resultados!B60),ABS(Resultados!L60),ABS(Resultados!V60),ABS(Resultados!AF60),ABS(Resultados!AP60),ABS(Resultados!AZ60),ABS(Resultados!BJ60),ABS(Resultados!BT60),ABS(Resultados!CD60),ABS(Resultados!CN60),ABS(Resultados!CX60),ABS(Resultados!DH60)))</f>
        <v/>
      </c>
      <c r="C60">
        <f>IF(COUNT(Resultados!C60,Resultados!M60,Resultados!W60,Resultados!AG60,Resultados!AQ60,Resultados!BA60,Resultados!BK60,Resultados!BU60,Resultados!CE60,Resultados!CO60,Resultados!CY60,Resultados!DI60)=0, "", AVERAGE(ABS(Resultados!C60),ABS(Resultados!M60),ABS(Resultados!W60),ABS(Resultados!AG60),ABS(Resultados!AQ60),ABS(Resultados!BA60),ABS(Resultados!BK60),ABS(Resultados!BU60),ABS(Resultados!CE60),ABS(Resultados!CO60),ABS(Resultados!CY60),ABS(Resultados!DI60)))</f>
        <v>3.4166666666666665</v>
      </c>
      <c r="D60">
        <f>IF(COUNT(Resultados!D60,Resultados!N60,Resultados!X60,Resultados!AH60,Resultados!AR60,Resultados!BB60,Resultados!BL60,Resultados!BV60,Resultados!CF60,Resultados!CP60,Resultados!CZ60,Resultados!DJ60)=0, "", AVERAGE(ABS(Resultados!D60),ABS(Resultados!N60),ABS(Resultados!X60),ABS(Resultados!AH60),ABS(Resultados!AR60),ABS(Resultados!BB60),ABS(Resultados!BL60),ABS(Resultados!BV60),ABS(Resultados!CF60),ABS(Resultados!CP60),ABS(Resultados!CZ60),ABS(Resultados!DJ60)))</f>
        <v>1.3816666666666666E-2</v>
      </c>
      <c r="E60">
        <f>IF(COUNT(Resultados!E60,Resultados!O60,Resultados!Y60,Resultados!AI60,Resultados!AS60,Resultados!BC60,Resultados!BM60,Resultados!BW60,Resultados!CG60,Resultados!CQ60,Resultados!DA60,Resultados!DK60)=0, "", AVERAGE(ABS(Resultados!E60),ABS(Resultados!O60),ABS(Resultados!Y60),ABS(Resultados!AI60),ABS(Resultados!AS60),ABS(Resultados!BC60),ABS(Resultados!BM60),ABS(Resultados!BW60),ABS(Resultados!CG60),ABS(Resultados!CQ60),ABS(Resultados!DA60),ABS(Resultados!DK60)))</f>
        <v>7.1784905801979049</v>
      </c>
      <c r="F60">
        <f>IF(COUNT(Resultados!F60,Resultados!P60,Resultados!Z60,Resultados!AJ60,Resultados!AT60,Resultados!BD60,Resultados!BN60,Resultados!BX60,Resultados!CH60,Resultados!CR60,Resultados!DB60,Resultados!DL60)=0, "", AVERAGE(ABS(Resultados!F60),ABS(Resultados!P60),ABS(Resultados!Z60),ABS(Resultados!AJ60),ABS(Resultados!AT60),ABS(Resultados!BD60),ABS(Resultados!BN60),ABS(Resultados!BX60),ABS(Resultados!CH60),ABS(Resultados!CR60),ABS(Resultados!DB60),ABS(Resultados!DL60)))</f>
        <v>821.23875606078116</v>
      </c>
      <c r="G60">
        <f>IF(COUNT(Resultados!G60,Resultados!Q60,Resultados!AA60,Resultados!AK60,Resultados!AU60,Resultados!BE60,Resultados!BO60,Resultados!BY60,Resultados!CI60,Resultados!CS60,Resultados!DC60,Resultados!DM60)=0, "", AVERAGE(ABS(Resultados!G60),ABS(Resultados!Q60),ABS(Resultados!AA60),ABS(Resultados!AK60),ABS(Resultados!AU60),ABS(Resultados!BE60),ABS(Resultados!BO60),ABS(Resultados!BY60),ABS(Resultados!CI60),ABS(Resultados!CS60),ABS(Resultados!DC60),ABS(Resultados!DM60)))</f>
        <v>0.4240000000000001</v>
      </c>
      <c r="H60">
        <f>IF(COUNT(Resultados!H60,Resultados!R60,Resultados!AB60,Resultados!AL60,Resultados!AV60,Resultados!BF60,Resultados!BP60,Resultados!BZ60,Resultados!CJ60,Resultados!CT60,Resultados!DD60,Resultados!DN60)=0, "", AVERAGE(ABS(Resultados!H60),ABS(Resultados!R60),ABS(Resultados!AB60),ABS(Resultados!AL60),ABS(Resultados!AV60),ABS(Resultados!BF60),ABS(Resultados!BP60),ABS(Resultados!BZ60),ABS(Resultados!CJ60),ABS(Resultados!CT60),ABS(Resultados!DD60),ABS(Resultados!DN60)))</f>
        <v>1.8391666666666664E-2</v>
      </c>
      <c r="I60">
        <f>IF(COUNT(Resultados!I60,Resultados!S60,Resultados!AC60,Resultados!AM60,Resultados!AW60,Resultados!BG60,Resultados!BQ60,Resultados!CA60,Resultados!CK60,Resultados!CU60,Resultados!DE60,Resultados!DO60)=0, "", AVERAGE(ABS(Resultados!I60),ABS(Resultados!S60),ABS(Resultados!AC60),ABS(Resultados!AM60),ABS(Resultados!AW60),ABS(Resultados!BG60),ABS(Resultados!BQ60),ABS(Resultados!CA60),ABS(Resultados!CK60),ABS(Resultados!CU60),ABS(Resultados!DE60),ABS(Resultados!DO60)))</f>
        <v>11.699413333333325</v>
      </c>
      <c r="J60">
        <f>IF(COUNT(Resultados!J60,Resultados!T60,Resultados!AD60,Resultados!AN60,Resultados!AX60,Resultados!BH60,Resultados!BR60,Resultados!CB60,Resultados!CL60,Resultados!CV60,Resultados!DF60,Resultados!DP60)=0, "", AVERAGE(ABS(Resultados!J60),ABS(Resultados!T60),ABS(Resultados!AD60),ABS(Resultados!AN60),ABS(Resultados!AX60),ABS(Resultados!BH60),ABS(Resultados!BR60),ABS(Resultados!CB60),ABS(Resultados!CL60),ABS(Resultados!CV60),ABS(Resultados!DF60),ABS(Resultados!DP60)))</f>
        <v>1.8391666666666664E-2</v>
      </c>
      <c r="K60">
        <v>1.3816666666666666E-2</v>
      </c>
    </row>
    <row r="61" spans="1:11" x14ac:dyDescent="0.3">
      <c r="A61">
        <f>IF(COUNT(Resultados!A61,Resultados!K61,Resultados!U61,Resultados!AE61,Resultados!AO61,Resultados!AY61,Resultados!BI61,Resultados!BS61,Resultados!CC61,Resultados!CM61,Resultados!CW61,Resultados!DG61)=0, "", AVERAGE(ABS(Resultados!A61),ABS(Resultados!K61),ABS(Resultados!U61),ABS(Resultados!AE61),ABS(Resultados!AO61),ABS(Resultados!AY61),ABS(Resultados!BI61),ABS(Resultados!BS61),ABS(Resultados!CC61),ABS(Resultados!CM61),ABS(Resultados!CW61),ABS(Resultados!DG61)))</f>
        <v>45681</v>
      </c>
      <c r="B61" t="str">
        <f>IF(COUNT(Resultados!B61,Resultados!L61,Resultados!V61,Resultados!AF61,Resultados!AP61,Resultados!AZ61,Resultados!BJ61,Resultados!BT61,Resultados!CD61,Resultados!CN61,Resultados!CX61,Resultados!DH61)=0, "", AVERAGE(ABS(Resultados!B61),ABS(Resultados!L61),ABS(Resultados!V61),ABS(Resultados!AF61),ABS(Resultados!AP61),ABS(Resultados!AZ61),ABS(Resultados!BJ61),ABS(Resultados!BT61),ABS(Resultados!CD61),ABS(Resultados!CN61),ABS(Resultados!CX61),ABS(Resultados!DH61)))</f>
        <v/>
      </c>
      <c r="C61">
        <f>IF(COUNT(Resultados!C61,Resultados!M61,Resultados!W61,Resultados!AG61,Resultados!AQ61,Resultados!BA61,Resultados!BK61,Resultados!BU61,Resultados!CE61,Resultados!CO61,Resultados!CY61,Resultados!DI61)=0, "", AVERAGE(ABS(Resultados!C61),ABS(Resultados!M61),ABS(Resultados!W61),ABS(Resultados!AG61),ABS(Resultados!AQ61),ABS(Resultados!BA61),ABS(Resultados!BK61),ABS(Resultados!BU61),ABS(Resultados!CE61),ABS(Resultados!CO61),ABS(Resultados!CY61),ABS(Resultados!DI61)))</f>
        <v>3.4166666666666665</v>
      </c>
      <c r="D61">
        <f>IF(COUNT(Resultados!D61,Resultados!N61,Resultados!X61,Resultados!AH61,Resultados!AR61,Resultados!BB61,Resultados!BL61,Resultados!BV61,Resultados!CF61,Resultados!CP61,Resultados!CZ61,Resultados!DJ61)=0, "", AVERAGE(ABS(Resultados!D61),ABS(Resultados!N61),ABS(Resultados!X61),ABS(Resultados!AH61),ABS(Resultados!AR61),ABS(Resultados!BB61),ABS(Resultados!BL61),ABS(Resultados!BV61),ABS(Resultados!CF61),ABS(Resultados!CP61),ABS(Resultados!CZ61),ABS(Resultados!DJ61)))</f>
        <v>1.4399999999999998E-2</v>
      </c>
      <c r="E61">
        <f>IF(COUNT(Resultados!E61,Resultados!O61,Resultados!Y61,Resultados!AI61,Resultados!AS61,Resultados!BC61,Resultados!BM61,Resultados!BW61,Resultados!CG61,Resultados!CQ61,Resultados!DA61,Resultados!DK61)=0, "", AVERAGE(ABS(Resultados!E61),ABS(Resultados!O61),ABS(Resultados!Y61),ABS(Resultados!AI61),ABS(Resultados!AS61),ABS(Resultados!BC61),ABS(Resultados!BM61),ABS(Resultados!BW61),ABS(Resultados!CG61),ABS(Resultados!CQ61),ABS(Resultados!DA61),ABS(Resultados!DK61)))</f>
        <v>7.2151681464596074</v>
      </c>
      <c r="F61">
        <f>IF(COUNT(Resultados!F61,Resultados!P61,Resultados!Z61,Resultados!AJ61,Resultados!AT61,Resultados!BD61,Resultados!BN61,Resultados!BX61,Resultados!CH61,Resultados!CR61,Resultados!DB61,Resultados!DL61)=0, "", AVERAGE(ABS(Resultados!F61),ABS(Resultados!P61),ABS(Resultados!Z61),ABS(Resultados!AJ61),ABS(Resultados!AT61),ABS(Resultados!BD61),ABS(Resultados!BN61),ABS(Resultados!BX61),ABS(Resultados!CH61),ABS(Resultados!CR61),ABS(Resultados!DB61),ABS(Resultados!DL61)))</f>
        <v>798.60037453330381</v>
      </c>
      <c r="G61">
        <f>IF(COUNT(Resultados!G61,Resultados!Q61,Resultados!AA61,Resultados!AK61,Resultados!AU61,Resultados!BE61,Resultados!BO61,Resultados!BY61,Resultados!CI61,Resultados!CS61,Resultados!DC61,Resultados!DM61)=0, "", AVERAGE(ABS(Resultados!G61),ABS(Resultados!Q61),ABS(Resultados!AA61),ABS(Resultados!AK61),ABS(Resultados!AU61),ABS(Resultados!BE61),ABS(Resultados!BO61),ABS(Resultados!BY61),ABS(Resultados!CI61),ABS(Resultados!CS61),ABS(Resultados!DC61),ABS(Resultados!DM61)))</f>
        <v>0.4240000000000001</v>
      </c>
      <c r="H61">
        <f>IF(COUNT(Resultados!H61,Resultados!R61,Resultados!AB61,Resultados!AL61,Resultados!AV61,Resultados!BF61,Resultados!BP61,Resultados!BZ61,Resultados!CJ61,Resultados!CT61,Resultados!DD61,Resultados!DN61)=0, "", AVERAGE(ABS(Resultados!H61),ABS(Resultados!R61),ABS(Resultados!AB61),ABS(Resultados!AL61),ABS(Resultados!AV61),ABS(Resultados!BF61),ABS(Resultados!BP61),ABS(Resultados!BZ61),ABS(Resultados!CJ61),ABS(Resultados!CT61),ABS(Resultados!DD61),ABS(Resultados!DN61)))</f>
        <v>1.8975000000000002E-2</v>
      </c>
      <c r="I61">
        <f>IF(COUNT(Resultados!I61,Resultados!S61,Resultados!AC61,Resultados!AM61,Resultados!AW61,Resultados!BG61,Resultados!BQ61,Resultados!CA61,Resultados!CK61,Resultados!CU61,Resultados!DE61,Resultados!DO61)=0, "", AVERAGE(ABS(Resultados!I61),ABS(Resultados!S61),ABS(Resultados!AC61),ABS(Resultados!AM61),ABS(Resultados!AW61),ABS(Resultados!BG61),ABS(Resultados!BQ61),ABS(Resultados!CA61),ABS(Resultados!CK61),ABS(Resultados!CU61),ABS(Resultados!DE61),ABS(Resultados!DO61)))</f>
        <v>11.899664166666666</v>
      </c>
      <c r="J61">
        <f>IF(COUNT(Resultados!J61,Resultados!T61,Resultados!AD61,Resultados!AN61,Resultados!AX61,Resultados!BH61,Resultados!BR61,Resultados!CB61,Resultados!CL61,Resultados!CV61,Resultados!DF61,Resultados!DP61)=0, "", AVERAGE(ABS(Resultados!J61),ABS(Resultados!T61),ABS(Resultados!AD61),ABS(Resultados!AN61),ABS(Resultados!AX61),ABS(Resultados!BH61),ABS(Resultados!BR61),ABS(Resultados!CB61),ABS(Resultados!CL61),ABS(Resultados!CV61),ABS(Resultados!DF61),ABS(Resultados!DP61)))</f>
        <v>1.8975000000000002E-2</v>
      </c>
      <c r="K61">
        <v>1.4399999999999998E-2</v>
      </c>
    </row>
    <row r="62" spans="1:11" x14ac:dyDescent="0.3">
      <c r="A62">
        <f>IF(COUNT(Resultados!A62,Resultados!K62,Resultados!U62,Resultados!AE62,Resultados!AO62,Resultados!AY62,Resultados!BI62,Resultados!BS62,Resultados!CC62,Resultados!CM62,Resultados!CW62,Resultados!DG62)=0, "", AVERAGE(ABS(Resultados!A62),ABS(Resultados!K62),ABS(Resultados!U62),ABS(Resultados!AE62),ABS(Resultados!AO62),ABS(Resultados!AY62),ABS(Resultados!BI62),ABS(Resultados!BS62),ABS(Resultados!CC62),ABS(Resultados!CM62),ABS(Resultados!CW62),ABS(Resultados!DG62)))</f>
        <v>45681</v>
      </c>
      <c r="B62" t="str">
        <f>IF(COUNT(Resultados!B62,Resultados!L62,Resultados!V62,Resultados!AF62,Resultados!AP62,Resultados!AZ62,Resultados!BJ62,Resultados!BT62,Resultados!CD62,Resultados!CN62,Resultados!CX62,Resultados!DH62)=0, "", AVERAGE(ABS(Resultados!B62),ABS(Resultados!L62),ABS(Resultados!V62),ABS(Resultados!AF62),ABS(Resultados!AP62),ABS(Resultados!AZ62),ABS(Resultados!BJ62),ABS(Resultados!BT62),ABS(Resultados!CD62),ABS(Resultados!CN62),ABS(Resultados!CX62),ABS(Resultados!DH62)))</f>
        <v/>
      </c>
      <c r="C62">
        <f>IF(COUNT(Resultados!C62,Resultados!M62,Resultados!W62,Resultados!AG62,Resultados!AQ62,Resultados!BA62,Resultados!BK62,Resultados!BU62,Resultados!CE62,Resultados!CO62,Resultados!CY62,Resultados!DI62)=0, "", AVERAGE(ABS(Resultados!C62),ABS(Resultados!M62),ABS(Resultados!W62),ABS(Resultados!AG62),ABS(Resultados!AQ62),ABS(Resultados!BA62),ABS(Resultados!BK62),ABS(Resultados!BU62),ABS(Resultados!CE62),ABS(Resultados!CO62),ABS(Resultados!CY62),ABS(Resultados!DI62)))</f>
        <v>3.5</v>
      </c>
      <c r="D62">
        <f>IF(COUNT(Resultados!D62,Resultados!N62,Resultados!X62,Resultados!AH62,Resultados!AR62,Resultados!BB62,Resultados!BL62,Resultados!BV62,Resultados!CF62,Resultados!CP62,Resultados!CZ62,Resultados!DJ62)=0, "", AVERAGE(ABS(Resultados!D62),ABS(Resultados!N62),ABS(Resultados!X62),ABS(Resultados!AH62),ABS(Resultados!AR62),ABS(Resultados!BB62),ABS(Resultados!BL62),ABS(Resultados!BV62),ABS(Resultados!CF62),ABS(Resultados!CP62),ABS(Resultados!CZ62),ABS(Resultados!DJ62)))</f>
        <v>1.4924999999999999E-2</v>
      </c>
      <c r="E62">
        <f>IF(COUNT(Resultados!E62,Resultados!O62,Resultados!Y62,Resultados!AI62,Resultados!AS62,Resultados!BC62,Resultados!BM62,Resultados!BW62,Resultados!CG62,Resultados!CQ62,Resultados!DA62,Resultados!DK62)=0, "", AVERAGE(ABS(Resultados!E62),ABS(Resultados!O62),ABS(Resultados!Y62),ABS(Resultados!AI62),ABS(Resultados!AS62),ABS(Resultados!BC62),ABS(Resultados!BM62),ABS(Resultados!BW62),ABS(Resultados!CG62),ABS(Resultados!CQ62),ABS(Resultados!DA62),ABS(Resultados!DK62)))</f>
        <v>7.2384724764460371</v>
      </c>
      <c r="F62">
        <f>IF(COUNT(Resultados!F62,Resultados!P62,Resultados!Z62,Resultados!AJ62,Resultados!AT62,Resultados!BD62,Resultados!BN62,Resultados!BX62,Resultados!CH62,Resultados!CR62,Resultados!DB62,Resultados!DL62)=0, "", AVERAGE(ABS(Resultados!F62),ABS(Resultados!P62),ABS(Resultados!Z62),ABS(Resultados!AJ62),ABS(Resultados!AT62),ABS(Resultados!BD62),ABS(Resultados!BN62),ABS(Resultados!BX62),ABS(Resultados!CH62),ABS(Resultados!CR62),ABS(Resultados!DB62),ABS(Resultados!DL62)))</f>
        <v>800.82256113792971</v>
      </c>
      <c r="G62">
        <f>IF(COUNT(Resultados!G62,Resultados!Q62,Resultados!AA62,Resultados!AK62,Resultados!AU62,Resultados!BE62,Resultados!BO62,Resultados!BY62,Resultados!CI62,Resultados!CS62,Resultados!DC62,Resultados!DM62)=0, "", AVERAGE(ABS(Resultados!G62),ABS(Resultados!Q62),ABS(Resultados!AA62),ABS(Resultados!AK62),ABS(Resultados!AU62),ABS(Resultados!BE62),ABS(Resultados!BO62),ABS(Resultados!BY62),ABS(Resultados!CI62),ABS(Resultados!CS62),ABS(Resultados!DC62),ABS(Resultados!DM62)))</f>
        <v>0.4240000000000001</v>
      </c>
      <c r="H62">
        <f>IF(COUNT(Resultados!H62,Resultados!R62,Resultados!AB62,Resultados!AL62,Resultados!AV62,Resultados!BF62,Resultados!BP62,Resultados!BZ62,Resultados!CJ62,Resultados!CT62,Resultados!DD62,Resultados!DN62)=0, "", AVERAGE(ABS(Resultados!H62),ABS(Resultados!R62),ABS(Resultados!AB62),ABS(Resultados!AL62),ABS(Resultados!AV62),ABS(Resultados!BF62),ABS(Resultados!BP62),ABS(Resultados!BZ62),ABS(Resultados!CJ62),ABS(Resultados!CT62),ABS(Resultados!DD62),ABS(Resultados!DN62)))</f>
        <v>1.9316666666666663E-2</v>
      </c>
      <c r="I62">
        <f>IF(COUNT(Resultados!I62,Resultados!S62,Resultados!AC62,Resultados!AM62,Resultados!AW62,Resultados!BG62,Resultados!BQ62,Resultados!CA62,Resultados!CK62,Resultados!CU62,Resultados!DE62,Resultados!DO62)=0, "", AVERAGE(ABS(Resultados!I62),ABS(Resultados!S62),ABS(Resultados!AC62),ABS(Resultados!AM62),ABS(Resultados!AW62),ABS(Resultados!BG62),ABS(Resultados!BQ62),ABS(Resultados!CA62),ABS(Resultados!CK62),ABS(Resultados!CU62),ABS(Resultados!DE62),ABS(Resultados!DO62)))</f>
        <v>12.099645833333335</v>
      </c>
      <c r="J62">
        <f>IF(COUNT(Resultados!J62,Resultados!T62,Resultados!AD62,Resultados!AN62,Resultados!AX62,Resultados!BH62,Resultados!BR62,Resultados!CB62,Resultados!CL62,Resultados!CV62,Resultados!DF62,Resultados!DP62)=0, "", AVERAGE(ABS(Resultados!J62),ABS(Resultados!T62),ABS(Resultados!AD62),ABS(Resultados!AN62),ABS(Resultados!AX62),ABS(Resultados!BH62),ABS(Resultados!BR62),ABS(Resultados!CB62),ABS(Resultados!CL62),ABS(Resultados!CV62),ABS(Resultados!DF62),ABS(Resultados!DP62)))</f>
        <v>1.9316666666666663E-2</v>
      </c>
      <c r="K62">
        <v>1.4924999999999999E-2</v>
      </c>
    </row>
    <row r="63" spans="1:11" x14ac:dyDescent="0.3">
      <c r="A63">
        <f>IF(COUNT(Resultados!A63,Resultados!K63,Resultados!U63,Resultados!AO63,Resultados!BI63,Resultados!BS63,Resultados!CC63,Resultados!CM63,Resultados!CW63,Resultados!DG63)=0, "", AVERAGE(ABS(Resultados!A63),ABS(Resultados!K63),ABS(Resultados!U63),ABS(Resultados!AO63),ABS(Resultados!BI63),ABS(Resultados!BS63),ABS(Resultados!CC63),ABS(Resultados!CM63),ABS(Resultados!CW63),ABS(Resultados!DG63)))</f>
        <v>45681</v>
      </c>
      <c r="B63" t="str">
        <f>IF(COUNT(Resultados!B63,Resultados!L63,Resultados!V63,Resultados!AP63,Resultados!BJ63,Resultados!BT63,Resultados!CD63,Resultados!CN63,Resultados!CX63,Resultados!DH63)=0, "", AVERAGE(ABS(Resultados!B63),ABS(Resultados!L63),ABS(Resultados!V63),ABS(Resultados!AP63),ABS(Resultados!BJ63),ABS(Resultados!BT63),ABS(Resultados!CD63),ABS(Resultados!CN63),ABS(Resultados!CX63),ABS(Resultados!DH63)))</f>
        <v/>
      </c>
      <c r="C63">
        <f>IF(COUNT(Resultados!C63,Resultados!M63,Resultados!W63,Resultados!AQ63,Resultados!BK63,Resultados!BU63,Resultados!CE63,Resultados!CO63,Resultados!CY63,Resultados!DI63)=0, "", AVERAGE(ABS(Resultados!C63),ABS(Resultados!M63),ABS(Resultados!W63),ABS(Resultados!AQ63),ABS(Resultados!BK63),ABS(Resultados!BU63),ABS(Resultados!CE63),ABS(Resultados!CO63),ABS(Resultados!CY63),ABS(Resultados!DI63)))</f>
        <v>3.6</v>
      </c>
      <c r="D63">
        <f>IF(COUNT(Resultados!D63,Resultados!N63,Resultados!X63,Resultados!AR63,Resultados!BL63,Resultados!BV63,Resultados!CF63,Resultados!CP63,Resultados!CZ63,Resultados!DJ63)=0, "", AVERAGE(ABS(Resultados!D63),ABS(Resultados!N63),ABS(Resultados!X63),ABS(Resultados!AR63),ABS(Resultados!BL63),ABS(Resultados!BV63),ABS(Resultados!CF63),ABS(Resultados!CP63),ABS(Resultados!CZ63),ABS(Resultados!DJ63)))</f>
        <v>1.5110000000000002E-2</v>
      </c>
      <c r="E63">
        <f>IF(COUNT(Resultados!E63,Resultados!O63,Resultados!Y63,Resultados!AS63,Resultados!BM63,Resultados!BW63,Resultados!CG63,Resultados!CQ63,Resultados!DA63,Resultados!DK63)=0, "", AVERAGE(ABS(Resultados!E63),ABS(Resultados!O63),ABS(Resultados!Y63),ABS(Resultados!AS63),ABS(Resultados!BM63),ABS(Resultados!BW63),ABS(Resultados!CG63),ABS(Resultados!CQ63),ABS(Resultados!DA63),ABS(Resultados!DK63)))</f>
        <v>7.236104392109338</v>
      </c>
      <c r="F63">
        <f>IF(COUNT(Resultados!F63,Resultados!P63,Resultados!Z63,Resultados!AT63,Resultados!BN63,Resultados!BX63,Resultados!CH63,Resultados!CR63,Resultados!DB63,Resultados!DL63)=0, "", AVERAGE(ABS(Resultados!F63),ABS(Resultados!P63),ABS(Resultados!Z63),ABS(Resultados!AT63),ABS(Resultados!BN63),ABS(Resultados!BX63),ABS(Resultados!CH63),ABS(Resultados!CR63),ABS(Resultados!DB63),ABS(Resultados!DL63)))</f>
        <v>764.04287355232577</v>
      </c>
      <c r="G63">
        <f>IF(COUNT(Resultados!G63,Resultados!Q63,Resultados!AA63,Resultados!AU63,Resultados!BO63,Resultados!BY63,Resultados!CI63,Resultados!CS63,Resultados!DC63,Resultados!DM63)=0, "", AVERAGE(ABS(Resultados!G63),ABS(Resultados!Q63),ABS(Resultados!AA63),ABS(Resultados!AU63),ABS(Resultados!BO63),ABS(Resultados!BY63),ABS(Resultados!CI63),ABS(Resultados!CS63),ABS(Resultados!DC63),ABS(Resultados!DM63)))</f>
        <v>0.42400000000000004</v>
      </c>
      <c r="H63">
        <f>IF(COUNT(Resultados!H63,Resultados!R63,Resultados!AB63,Resultados!AV63,Resultados!BP63,Resultados!BZ63,Resultados!CJ63,Resultados!CT63,Resultados!DD63,Resultados!DN63)=0, "", AVERAGE(ABS(Resultados!H63),ABS(Resultados!R63),ABS(Resultados!AB63),ABS(Resultados!AV63),ABS(Resultados!BP63),ABS(Resultados!BZ63),ABS(Resultados!CJ63),ABS(Resultados!CT63),ABS(Resultados!DD63),ABS(Resultados!DN63)))</f>
        <v>1.9300000000000001E-2</v>
      </c>
      <c r="I63">
        <f>IF(COUNT(Resultados!I63,Resultados!S63,Resultados!AC63,Resultados!AW63,Resultados!BQ63,Resultados!CA63,Resultados!CK63,Resultados!CU63,Resultados!DE63,Resultados!DO63)=0, "", AVERAGE(ABS(Resultados!I63),ABS(Resultados!S63),ABS(Resultados!AC63),ABS(Resultados!AW63),ABS(Resultados!BQ63),ABS(Resultados!CA63),ABS(Resultados!CK63),ABS(Resultados!CU63),ABS(Resultados!DE63),ABS(Resultados!DO63)))</f>
        <v>12.280265000000004</v>
      </c>
      <c r="J63">
        <f>IF(COUNT(Resultados!J63,Resultados!T63,Resultados!AD63,Resultados!AX63,Resultados!BR63,Resultados!CB63,Resultados!CL63,Resultados!CV63,Resultados!DF63,Resultados!DP63)=0, "", AVERAGE(ABS(Resultados!J63),ABS(Resultados!T63),ABS(Resultados!AD63),ABS(Resultados!AX63),ABS(Resultados!BR63),ABS(Resultados!CB63),ABS(Resultados!CL63),ABS(Resultados!CV63),ABS(Resultados!DF63),ABS(Resultados!DP63)))</f>
        <v>1.9300000000000001E-2</v>
      </c>
      <c r="K63">
        <v>1.5110000000000002E-2</v>
      </c>
    </row>
    <row r="64" spans="1:11" x14ac:dyDescent="0.3">
      <c r="A64">
        <f>IF(COUNT(Resultados!A64,Resultados!K64,Resultados!U64,Resultados!AO64,Resultados!BI64,Resultados!BS64,Resultados!CC64,Resultados!CM64,Resultados!CW64,Resultados!DG64)=0, "", AVERAGE(ABS(Resultados!A64),ABS(Resultados!K64),ABS(Resultados!U64),ABS(Resultados!AO64),ABS(Resultados!BI64),ABS(Resultados!BS64),ABS(Resultados!CC64),ABS(Resultados!CM64),ABS(Resultados!CW64),ABS(Resultados!DG64)))</f>
        <v>45681</v>
      </c>
      <c r="B64" t="str">
        <f>IF(COUNT(Resultados!B64,Resultados!L64,Resultados!V64,Resultados!AP64,Resultados!BJ64,Resultados!BT64,Resultados!CD64,Resultados!CN64,Resultados!CX64,Resultados!DH64)=0, "", AVERAGE(ABS(Resultados!B64),ABS(Resultados!L64),ABS(Resultados!V64),ABS(Resultados!AP64),ABS(Resultados!BJ64),ABS(Resultados!BT64),ABS(Resultados!CD64),ABS(Resultados!CN64),ABS(Resultados!CX64),ABS(Resultados!DH64)))</f>
        <v/>
      </c>
      <c r="C64">
        <f>IF(COUNT(Resultados!C64,Resultados!M64,Resultados!W64,Resultados!AQ64,Resultados!BK64,Resultados!BU64,Resultados!CE64,Resultados!CO64,Resultados!CY64,Resultados!DI64)=0, "", AVERAGE(ABS(Resultados!C64),ABS(Resultados!M64),ABS(Resultados!W64),ABS(Resultados!AQ64),ABS(Resultados!BK64),ABS(Resultados!BU64),ABS(Resultados!CE64),ABS(Resultados!CO64),ABS(Resultados!CY64),ABS(Resultados!DI64)))</f>
        <v>3.6</v>
      </c>
      <c r="D64">
        <f>IF(COUNT(Resultados!D64,Resultados!N64,Resultados!X64,Resultados!AR64,Resultados!BL64,Resultados!BV64,Resultados!CF64,Resultados!CP64,Resultados!CZ64,Resultados!DJ64)=0, "", AVERAGE(ABS(Resultados!D64),ABS(Resultados!N64),ABS(Resultados!X64),ABS(Resultados!AR64),ABS(Resultados!BL64),ABS(Resultados!BV64),ABS(Resultados!CF64),ABS(Resultados!CP64),ABS(Resultados!CZ64),ABS(Resultados!DJ64)))</f>
        <v>1.5480000000000002E-2</v>
      </c>
      <c r="E64">
        <f>IF(COUNT(Resultados!E64,Resultados!O64,Resultados!Y64,Resultados!AS64,Resultados!BM64,Resultados!BW64,Resultados!CG64,Resultados!CQ64,Resultados!DA64,Resultados!DK64)=0, "", AVERAGE(ABS(Resultados!E64),ABS(Resultados!O64),ABS(Resultados!Y64),ABS(Resultados!AS64),ABS(Resultados!BM64),ABS(Resultados!BW64),ABS(Resultados!CG64),ABS(Resultados!CQ64),ABS(Resultados!DA64),ABS(Resultados!DK64)))</f>
        <v>7.2383343190458334</v>
      </c>
      <c r="F64">
        <f>IF(COUNT(Resultados!F64,Resultados!P64,Resultados!Z64,Resultados!AT64,Resultados!BN64,Resultados!BX64,Resultados!CH64,Resultados!CR64,Resultados!DB64,Resultados!DL64)=0, "", AVERAGE(ABS(Resultados!F64),ABS(Resultados!P64),ABS(Resultados!Z64),ABS(Resultados!AT64),ABS(Resultados!BN64),ABS(Resultados!BX64),ABS(Resultados!CH64),ABS(Resultados!CR64),ABS(Resultados!DB64),ABS(Resultados!DL64)))</f>
        <v>764.29036073803536</v>
      </c>
      <c r="G64">
        <f>IF(COUNT(Resultados!G64,Resultados!Q64,Resultados!AA64,Resultados!AU64,Resultados!BO64,Resultados!BY64,Resultados!CI64,Resultados!CS64,Resultados!DC64,Resultados!DM64)=0, "", AVERAGE(ABS(Resultados!G64),ABS(Resultados!Q64),ABS(Resultados!AA64),ABS(Resultados!AU64),ABS(Resultados!BO64),ABS(Resultados!BY64),ABS(Resultados!CI64),ABS(Resultados!CS64),ABS(Resultados!DC64),ABS(Resultados!DM64)))</f>
        <v>0.42400000000000004</v>
      </c>
      <c r="H64">
        <f>IF(COUNT(Resultados!H64,Resultados!R64,Resultados!AB64,Resultados!AV64,Resultados!BP64,Resultados!BZ64,Resultados!CJ64,Resultados!CT64,Resultados!DD64,Resultados!DN64)=0, "", AVERAGE(ABS(Resultados!H64),ABS(Resultados!R64),ABS(Resultados!AB64),ABS(Resultados!AV64),ABS(Resultados!BP64),ABS(Resultados!BZ64),ABS(Resultados!CJ64),ABS(Resultados!CT64),ABS(Resultados!DD64),ABS(Resultados!DN64)))</f>
        <v>1.9319999999999997E-2</v>
      </c>
      <c r="I64">
        <f>IF(COUNT(Resultados!I64,Resultados!S64,Resultados!AC64,Resultados!AW64,Resultados!BQ64,Resultados!CA64,Resultados!CK64,Resultados!CU64,Resultados!DE64,Resultados!DO64)=0, "", AVERAGE(ABS(Resultados!I64),ABS(Resultados!S64),ABS(Resultados!AC64),ABS(Resultados!AW64),ABS(Resultados!BQ64),ABS(Resultados!CA64),ABS(Resultados!CK64),ABS(Resultados!CU64),ABS(Resultados!DE64),ABS(Resultados!DO64)))</f>
        <v>12.480692999999993</v>
      </c>
      <c r="J64">
        <f>IF(COUNT(Resultados!J64,Resultados!T64,Resultados!AD64,Resultados!AX64,Resultados!BR64,Resultados!CB64,Resultados!CL64,Resultados!CV64,Resultados!DF64,Resultados!DP64)=0, "", AVERAGE(ABS(Resultados!J64),ABS(Resultados!T64),ABS(Resultados!AD64),ABS(Resultados!AX64),ABS(Resultados!BR64),ABS(Resultados!CB64),ABS(Resultados!CL64),ABS(Resultados!CV64),ABS(Resultados!DF64),ABS(Resultados!DP64)))</f>
        <v>1.9319999999999997E-2</v>
      </c>
      <c r="K64">
        <v>1.5480000000000002E-2</v>
      </c>
    </row>
    <row r="65" spans="1:11" x14ac:dyDescent="0.3">
      <c r="A65">
        <f>IF(COUNT(Resultados!A65,Resultados!K65,Resultados!U65,Resultados!AO65,Resultados!BI65,Resultados!BS65,Resultados!CC65,Resultados!CM65,Resultados!CW65,Resultados!DG65)=0, "", AVERAGE(ABS(Resultados!A65),ABS(Resultados!K65),ABS(Resultados!U65),ABS(Resultados!AO65),ABS(Resultados!BI65),ABS(Resultados!BS65),ABS(Resultados!CC65),ABS(Resultados!CM65),ABS(Resultados!CW65),ABS(Resultados!DG65)))</f>
        <v>45681</v>
      </c>
      <c r="B65" t="str">
        <f>IF(COUNT(Resultados!B65,Resultados!L65,Resultados!V65,Resultados!AP65,Resultados!BJ65,Resultados!BT65,Resultados!CD65,Resultados!CN65,Resultados!CX65,Resultados!DH65)=0, "", AVERAGE(ABS(Resultados!B65),ABS(Resultados!L65),ABS(Resultados!V65),ABS(Resultados!AP65),ABS(Resultados!BJ65),ABS(Resultados!BT65),ABS(Resultados!CD65),ABS(Resultados!CN65),ABS(Resultados!CX65),ABS(Resultados!DH65)))</f>
        <v/>
      </c>
      <c r="C65">
        <f>IF(COUNT(Resultados!C65,Resultados!M65,Resultados!W65,Resultados!AQ65,Resultados!BK65,Resultados!BU65,Resultados!CE65,Resultados!CO65,Resultados!CY65,Resultados!DI65)=0, "", AVERAGE(ABS(Resultados!C65),ABS(Resultados!M65),ABS(Resultados!W65),ABS(Resultados!AQ65),ABS(Resultados!BK65),ABS(Resultados!BU65),ABS(Resultados!CE65),ABS(Resultados!CO65),ABS(Resultados!CY65),ABS(Resultados!DI65)))</f>
        <v>3.6</v>
      </c>
      <c r="D65">
        <f>IF(COUNT(Resultados!D65,Resultados!N65,Resultados!X65,Resultados!AR65,Resultados!BL65,Resultados!BV65,Resultados!CF65,Resultados!CP65,Resultados!CZ65,Resultados!DJ65)=0, "", AVERAGE(ABS(Resultados!D65),ABS(Resultados!N65),ABS(Resultados!X65),ABS(Resultados!AR65),ABS(Resultados!BL65),ABS(Resultados!BV65),ABS(Resultados!CF65),ABS(Resultados!CP65),ABS(Resultados!CZ65),ABS(Resultados!DJ65)))</f>
        <v>1.593E-2</v>
      </c>
      <c r="E65">
        <f>IF(COUNT(Resultados!E65,Resultados!O65,Resultados!Y65,Resultados!AS65,Resultados!BM65,Resultados!BW65,Resultados!CG65,Resultados!CQ65,Resultados!DA65,Resultados!DK65)=0, "", AVERAGE(ABS(Resultados!E65),ABS(Resultados!O65),ABS(Resultados!Y65),ABS(Resultados!AS65),ABS(Resultados!BM65),ABS(Resultados!BW65),ABS(Resultados!CG65),ABS(Resultados!CQ65),ABS(Resultados!DA65),ABS(Resultados!DK65)))</f>
        <v>7.2266067669034326</v>
      </c>
      <c r="F65">
        <f>IF(COUNT(Resultados!F65,Resultados!P65,Resultados!Z65,Resultados!AT65,Resultados!BN65,Resultados!BX65,Resultados!CH65,Resultados!CR65,Resultados!DB65,Resultados!DL65)=0, "", AVERAGE(ABS(Resultados!F65),ABS(Resultados!P65),ABS(Resultados!Z65),ABS(Resultados!AT65),ABS(Resultados!BN65),ABS(Resultados!BX65),ABS(Resultados!CH65),ABS(Resultados!CR65),ABS(Resultados!DB65),ABS(Resultados!DL65)))</f>
        <v>752.78079858631781</v>
      </c>
      <c r="G65">
        <f>IF(COUNT(Resultados!G65,Resultados!Q65,Resultados!AA65,Resultados!AU65,Resultados!BO65,Resultados!BY65,Resultados!CI65,Resultados!CS65,Resultados!DC65,Resultados!DM65)=0, "", AVERAGE(ABS(Resultados!G65),ABS(Resultados!Q65),ABS(Resultados!AA65),ABS(Resultados!AU65),ABS(Resultados!BO65),ABS(Resultados!BY65),ABS(Resultados!CI65),ABS(Resultados!CS65),ABS(Resultados!DC65),ABS(Resultados!DM65)))</f>
        <v>0.42400000000000004</v>
      </c>
      <c r="H65">
        <f>IF(COUNT(Resultados!H65,Resultados!R65,Resultados!AB65,Resultados!AV65,Resultados!BP65,Resultados!BZ65,Resultados!CJ65,Resultados!CT65,Resultados!DD65,Resultados!DN65)=0, "", AVERAGE(ABS(Resultados!H65),ABS(Resultados!R65),ABS(Resultados!AB65),ABS(Resultados!AV65),ABS(Resultados!BP65),ABS(Resultados!BZ65),ABS(Resultados!CJ65),ABS(Resultados!CT65),ABS(Resultados!DD65),ABS(Resultados!DN65)))</f>
        <v>1.9140000000000001E-2</v>
      </c>
      <c r="I65">
        <f>IF(COUNT(Resultados!I65,Resultados!S65,Resultados!AC65,Resultados!AW65,Resultados!BQ65,Resultados!CA65,Resultados!CK65,Resultados!CU65,Resultados!DE65,Resultados!DO65)=0, "", AVERAGE(ABS(Resultados!I65),ABS(Resultados!S65),ABS(Resultados!AC65),ABS(Resultados!AW65),ABS(Resultados!BQ65),ABS(Resultados!CA65),ABS(Resultados!CK65),ABS(Resultados!CU65),ABS(Resultados!DE65),ABS(Resultados!DO65)))</f>
        <v>12.680578000000001</v>
      </c>
      <c r="J65">
        <f>IF(COUNT(Resultados!J65,Resultados!T65,Resultados!AD65,Resultados!AX65,Resultados!BR65,Resultados!CB65,Resultados!CL65,Resultados!CV65,Resultados!DF65,Resultados!DP65)=0, "", AVERAGE(ABS(Resultados!J65),ABS(Resultados!T65),ABS(Resultados!AD65),ABS(Resultados!AX65),ABS(Resultados!BR65),ABS(Resultados!CB65),ABS(Resultados!CL65),ABS(Resultados!CV65),ABS(Resultados!DF65),ABS(Resultados!DP65)))</f>
        <v>1.9140000000000001E-2</v>
      </c>
      <c r="K65">
        <v>1.593E-2</v>
      </c>
    </row>
    <row r="66" spans="1:11" x14ac:dyDescent="0.3">
      <c r="A66">
        <f>IF(COUNT(Resultados!A66,Resultados!K66,Resultados!U66,Resultados!AO66,Resultados!BI66,Resultados!BS66,Resultados!CC66,Resultados!CM66,Resultados!CW66,Resultados!DG66)=0, "", AVERAGE(ABS(Resultados!A66),ABS(Resultados!K66),ABS(Resultados!U66),ABS(Resultados!AO66),ABS(Resultados!BI66),ABS(Resultados!BS66),ABS(Resultados!CC66),ABS(Resultados!CM66),ABS(Resultados!CW66),ABS(Resultados!DG66)))</f>
        <v>45681</v>
      </c>
      <c r="B66" t="str">
        <f>IF(COUNT(Resultados!B66,Resultados!L66,Resultados!V66,Resultados!AP66,Resultados!BJ66,Resultados!BT66,Resultados!CD66,Resultados!CN66,Resultados!CX66,Resultados!DH66)=0, "", AVERAGE(ABS(Resultados!B66),ABS(Resultados!L66),ABS(Resultados!V66),ABS(Resultados!AP66),ABS(Resultados!BJ66),ABS(Resultados!BT66),ABS(Resultados!CD66),ABS(Resultados!CN66),ABS(Resultados!CX66),ABS(Resultados!DH66)))</f>
        <v/>
      </c>
      <c r="C66">
        <f>IF(COUNT(Resultados!C66,Resultados!M66,Resultados!W66,Resultados!AQ66,Resultados!BK66,Resultados!BU66,Resultados!CE66,Resultados!CO66,Resultados!CY66,Resultados!DI66)=0, "", AVERAGE(ABS(Resultados!C66),ABS(Resultados!M66),ABS(Resultados!W66),ABS(Resultados!AQ66),ABS(Resultados!BK66),ABS(Resultados!BU66),ABS(Resultados!CE66),ABS(Resultados!CO66),ABS(Resultados!CY66),ABS(Resultados!DI66)))</f>
        <v>3.6</v>
      </c>
      <c r="D66">
        <f>IF(COUNT(Resultados!D66,Resultados!N66,Resultados!X66,Resultados!AR66,Resultados!BL66,Resultados!BV66,Resultados!CF66,Resultados!CP66,Resultados!CZ66,Resultados!DJ66)=0, "", AVERAGE(ABS(Resultados!D66),ABS(Resultados!N66),ABS(Resultados!X66),ABS(Resultados!AR66),ABS(Resultados!BL66),ABS(Resultados!BV66),ABS(Resultados!CF66),ABS(Resultados!CP66),ABS(Resultados!CZ66),ABS(Resultados!DJ66)))</f>
        <v>1.617E-2</v>
      </c>
      <c r="E66">
        <f>IF(COUNT(Resultados!E66,Resultados!O66,Resultados!Y66,Resultados!AS66,Resultados!BM66,Resultados!BW66,Resultados!CG66,Resultados!CQ66,Resultados!DA66,Resultados!DK66)=0, "", AVERAGE(ABS(Resultados!E66),ABS(Resultados!O66),ABS(Resultados!Y66),ABS(Resultados!AS66),ABS(Resultados!BM66),ABS(Resultados!BW66),ABS(Resultados!CG66),ABS(Resultados!CQ66),ABS(Resultados!DA66),ABS(Resultados!DK66)))</f>
        <v>7.2012666291020508</v>
      </c>
      <c r="F66">
        <f>IF(COUNT(Resultados!F66,Resultados!P66,Resultados!Z66,Resultados!AT66,Resultados!BN66,Resultados!BX66,Resultados!CH66,Resultados!CR66,Resultados!DB66,Resultados!DL66)=0, "", AVERAGE(ABS(Resultados!F66),ABS(Resultados!P66),ABS(Resultados!Z66),ABS(Resultados!AT66),ABS(Resultados!BN66),ABS(Resultados!BX66),ABS(Resultados!CH66),ABS(Resultados!CR66),ABS(Resultados!DB66),ABS(Resultados!DL66)))</f>
        <v>750.4452908090268</v>
      </c>
      <c r="G66">
        <f>IF(COUNT(Resultados!G66,Resultados!Q66,Resultados!AA66,Resultados!AU66,Resultados!BO66,Resultados!BY66,Resultados!CI66,Resultados!CS66,Resultados!DC66,Resultados!DM66)=0, "", AVERAGE(ABS(Resultados!G66),ABS(Resultados!Q66),ABS(Resultados!AA66),ABS(Resultados!AU66),ABS(Resultados!BO66),ABS(Resultados!BY66),ABS(Resultados!CI66),ABS(Resultados!CS66),ABS(Resultados!DC66),ABS(Resultados!DM66)))</f>
        <v>0.42400000000000004</v>
      </c>
      <c r="H66">
        <f>IF(COUNT(Resultados!H66,Resultados!R66,Resultados!AB66,Resultados!AV66,Resultados!BP66,Resultados!BZ66,Resultados!CJ66,Resultados!CT66,Resultados!DD66,Resultados!DN66)=0, "", AVERAGE(ABS(Resultados!H66),ABS(Resultados!R66),ABS(Resultados!AB66),ABS(Resultados!AV66),ABS(Resultados!BP66),ABS(Resultados!BZ66),ABS(Resultados!CJ66),ABS(Resultados!CT66),ABS(Resultados!DD66),ABS(Resultados!DN66)))</f>
        <v>1.8749999999999996E-2</v>
      </c>
      <c r="I66">
        <f>IF(COUNT(Resultados!I66,Resultados!S66,Resultados!AC66,Resultados!AW66,Resultados!BQ66,Resultados!CA66,Resultados!CK66,Resultados!CU66,Resultados!DE66,Resultados!DO66)=0, "", AVERAGE(ABS(Resultados!I66),ABS(Resultados!S66),ABS(Resultados!AC66),ABS(Resultados!AW66),ABS(Resultados!BQ66),ABS(Resultados!CA66),ABS(Resultados!CK66),ABS(Resultados!CU66),ABS(Resultados!DE66),ABS(Resultados!DO66)))</f>
        <v>12.880264999999998</v>
      </c>
      <c r="J66">
        <f>IF(COUNT(Resultados!J66,Resultados!T66,Resultados!AD66,Resultados!AX66,Resultados!BR66,Resultados!CB66,Resultados!CL66,Resultados!CV66,Resultados!DF66,Resultados!DP66)=0, "", AVERAGE(ABS(Resultados!J66),ABS(Resultados!T66),ABS(Resultados!AD66),ABS(Resultados!AX66),ABS(Resultados!BR66),ABS(Resultados!CB66),ABS(Resultados!CL66),ABS(Resultados!CV66),ABS(Resultados!DF66),ABS(Resultados!DP66)))</f>
        <v>1.8749999999999996E-2</v>
      </c>
      <c r="K66">
        <v>1.617E-2</v>
      </c>
    </row>
    <row r="67" spans="1:11" x14ac:dyDescent="0.3">
      <c r="A67">
        <f>IF(COUNT(Resultados!A67,Resultados!K67,Resultados!U67,Resultados!AO67,Resultados!BI67,Resultados!BS67,Resultados!CC67,Resultados!CM67,Resultados!CW67,Resultados!DG67)=0, "", AVERAGE(ABS(Resultados!A67),ABS(Resultados!K67),ABS(Resultados!U67),ABS(Resultados!AO67),ABS(Resultados!BI67),ABS(Resultados!BS67),ABS(Resultados!CC67),ABS(Resultados!CM67),ABS(Resultados!CW67),ABS(Resultados!DG67)))</f>
        <v>45681</v>
      </c>
      <c r="B67" t="str">
        <f>IF(COUNT(Resultados!B67,Resultados!L67,Resultados!V67,Resultados!AP67,Resultados!BJ67,Resultados!BT67,Resultados!CD67,Resultados!CN67,Resultados!CX67,Resultados!DH67)=0, "", AVERAGE(ABS(Resultados!B67),ABS(Resultados!L67),ABS(Resultados!V67),ABS(Resultados!AP67),ABS(Resultados!BJ67),ABS(Resultados!BT67),ABS(Resultados!CD67),ABS(Resultados!CN67),ABS(Resultados!CX67),ABS(Resultados!DH67)))</f>
        <v/>
      </c>
      <c r="C67">
        <f>IF(COUNT(Resultados!C67,Resultados!M67,Resultados!W67,Resultados!AQ67,Resultados!BK67,Resultados!BU67,Resultados!CE67,Resultados!CO67,Resultados!CY67,Resultados!DI67)=0, "", AVERAGE(ABS(Resultados!C67),ABS(Resultados!M67),ABS(Resultados!W67),ABS(Resultados!AQ67),ABS(Resultados!BK67),ABS(Resultados!BU67),ABS(Resultados!CE67),ABS(Resultados!CO67),ABS(Resultados!CY67),ABS(Resultados!DI67)))</f>
        <v>3.6</v>
      </c>
      <c r="D67">
        <f>IF(COUNT(Resultados!D67,Resultados!N67,Resultados!X67,Resultados!AR67,Resultados!BL67,Resultados!BV67,Resultados!CF67,Resultados!CP67,Resultados!CZ67,Resultados!DJ67)=0, "", AVERAGE(ABS(Resultados!D67),ABS(Resultados!N67),ABS(Resultados!X67),ABS(Resultados!AR67),ABS(Resultados!BL67),ABS(Resultados!BV67),ABS(Resultados!CF67),ABS(Resultados!CP67),ABS(Resultados!CZ67),ABS(Resultados!DJ67)))</f>
        <v>1.6360000000000003E-2</v>
      </c>
      <c r="E67">
        <f>IF(COUNT(Resultados!E67,Resultados!O67,Resultados!Y67,Resultados!AS67,Resultados!BM67,Resultados!BW67,Resultados!CG67,Resultados!CQ67,Resultados!DA67,Resultados!DK67)=0, "", AVERAGE(ABS(Resultados!E67),ABS(Resultados!O67),ABS(Resultados!Y67),ABS(Resultados!AS67),ABS(Resultados!BM67),ABS(Resultados!BW67),ABS(Resultados!CG67),ABS(Resultados!CQ67),ABS(Resultados!DA67),ABS(Resultados!DK67)))</f>
        <v>7.1623743613305111</v>
      </c>
      <c r="F67">
        <f>IF(COUNT(Resultados!F67,Resultados!P67,Resultados!Z67,Resultados!AT67,Resultados!BN67,Resultados!BX67,Resultados!CH67,Resultados!CR67,Resultados!DB67,Resultados!DL67)=0, "", AVERAGE(ABS(Resultados!F67),ABS(Resultados!P67),ABS(Resultados!Z67),ABS(Resultados!AT67),ABS(Resultados!BN67),ABS(Resultados!BX67),ABS(Resultados!CH67),ABS(Resultados!CR67),ABS(Resultados!DB67),ABS(Resultados!DL67)))</f>
        <v>736.39208018257818</v>
      </c>
      <c r="G67">
        <f>IF(COUNT(Resultados!G67,Resultados!Q67,Resultados!AA67,Resultados!AU67,Resultados!BO67,Resultados!BY67,Resultados!CI67,Resultados!CS67,Resultados!DC67,Resultados!DM67)=0, "", AVERAGE(ABS(Resultados!G67),ABS(Resultados!Q67),ABS(Resultados!AA67),ABS(Resultados!AU67),ABS(Resultados!BO67),ABS(Resultados!BY67),ABS(Resultados!CI67),ABS(Resultados!CS67),ABS(Resultados!DC67),ABS(Resultados!DM67)))</f>
        <v>0.42400000000000004</v>
      </c>
      <c r="H67">
        <f>IF(COUNT(Resultados!H67,Resultados!R67,Resultados!AB67,Resultados!AV67,Resultados!BP67,Resultados!BZ67,Resultados!CJ67,Resultados!CT67,Resultados!DD67,Resultados!DN67)=0, "", AVERAGE(ABS(Resultados!H67),ABS(Resultados!R67),ABS(Resultados!AB67),ABS(Resultados!AV67),ABS(Resultados!BP67),ABS(Resultados!BZ67),ABS(Resultados!CJ67),ABS(Resultados!CT67),ABS(Resultados!DD67),ABS(Resultados!DN67)))</f>
        <v>1.813E-2</v>
      </c>
      <c r="I67">
        <f>IF(COUNT(Resultados!I67,Resultados!S67,Resultados!AC67,Resultados!AW67,Resultados!BQ67,Resultados!CA67,Resultados!CK67,Resultados!CU67,Resultados!DE67,Resultados!DO67)=0, "", AVERAGE(ABS(Resultados!I67),ABS(Resultados!S67),ABS(Resultados!AC67),ABS(Resultados!AW67),ABS(Resultados!BQ67),ABS(Resultados!CA67),ABS(Resultados!CK67),ABS(Resultados!CU67),ABS(Resultados!DE67),ABS(Resultados!DO67)))</f>
        <v>13.080937999999994</v>
      </c>
      <c r="J67">
        <f>IF(COUNT(Resultados!J67,Resultados!T67,Resultados!AD67,Resultados!AX67,Resultados!BR67,Resultados!CB67,Resultados!CL67,Resultados!CV67,Resultados!DF67,Resultados!DP67)=0, "", AVERAGE(ABS(Resultados!J67),ABS(Resultados!T67),ABS(Resultados!AD67),ABS(Resultados!AX67),ABS(Resultados!BR67),ABS(Resultados!CB67),ABS(Resultados!CL67),ABS(Resultados!CV67),ABS(Resultados!DF67),ABS(Resultados!DP67)))</f>
        <v>1.813E-2</v>
      </c>
      <c r="K67">
        <v>1.6360000000000003E-2</v>
      </c>
    </row>
    <row r="68" spans="1:11" x14ac:dyDescent="0.3">
      <c r="A68">
        <f>IF(COUNT(Resultados!A68,Resultados!K68,Resultados!U68,Resultados!AO68,Resultados!BI68,Resultados!BS68,Resultados!CM68,Resultados!CW68,Resultados!DG68)=0, "", AVERAGE(ABS(Resultados!A68),ABS(Resultados!K68),ABS(Resultados!U68),ABS(Resultados!AO68),ABS(Resultados!BI68),ABS(Resultados!BS68),ABS(Resultados!CM68),ABS(Resultados!CW68),ABS(Resultados!DG68)))</f>
        <v>45681</v>
      </c>
      <c r="B68" t="str">
        <f>IF(COUNT(Resultados!B68,Resultados!L68,Resultados!V68,Resultados!AP68,Resultados!BJ68,Resultados!BT68,Resultados!CN68,Resultados!CX68,Resultados!DH68)=0, "", AVERAGE(ABS(Resultados!B68),ABS(Resultados!L68),ABS(Resultados!V68),ABS(Resultados!AP68),ABS(Resultados!BJ68),ABS(Resultados!BT68),ABS(Resultados!CN68),ABS(Resultados!CX68),ABS(Resultados!DH68)))</f>
        <v/>
      </c>
      <c r="C68">
        <f>IF(COUNT(Resultados!C68,Resultados!M68,Resultados!W68,Resultados!AQ68,Resultados!BK68,Resultados!BU68,Resultados!CO68,Resultados!CY68,Resultados!DI68)=0, "", AVERAGE(ABS(Resultados!C68),ABS(Resultados!M68),ABS(Resultados!W68),ABS(Resultados!AQ68),ABS(Resultados!BK68),ABS(Resultados!BU68),ABS(Resultados!CO68),ABS(Resultados!CY68),ABS(Resultados!DI68)))</f>
        <v>3.4444444444444446</v>
      </c>
      <c r="D68">
        <f>IF(COUNT(Resultados!D68,Resultados!N68,Resultados!X68,Resultados!AR68,Resultados!BL68,Resultados!BV68,Resultados!CP68,Resultados!CZ68,Resultados!DJ68)=0, "", AVERAGE(ABS(Resultados!D68),ABS(Resultados!N68),ABS(Resultados!X68),ABS(Resultados!AR68),ABS(Resultados!BL68),ABS(Resultados!BV68),ABS(Resultados!CP68),ABS(Resultados!CZ68),ABS(Resultados!DJ68)))</f>
        <v>1.6577777777777778E-2</v>
      </c>
      <c r="E68">
        <f>IF(COUNT(Resultados!E68,Resultados!O68,Resultados!Y68,Resultados!AS68,Resultados!BM68,Resultados!BW68,Resultados!CQ68,Resultados!DA68,Resultados!DK68)=0, "", AVERAGE(ABS(Resultados!E68),ABS(Resultados!O68),ABS(Resultados!Y68),ABS(Resultados!AS68),ABS(Resultados!BM68),ABS(Resultados!BW68),ABS(Resultados!CQ68),ABS(Resultados!DA68),ABS(Resultados!DK68)))</f>
        <v>7.1376136772726726</v>
      </c>
      <c r="F68">
        <f>IF(COUNT(Resultados!F68,Resultados!P68,Resultados!Z68,Resultados!AT68,Resultados!BN68,Resultados!BX68,Resultados!CR68,Resultados!DB68,Resultados!DL68)=0, "", AVERAGE(ABS(Resultados!F68),ABS(Resultados!P68),ABS(Resultados!Z68),ABS(Resultados!AT68),ABS(Resultados!BN68),ABS(Resultados!BX68),ABS(Resultados!CR68),ABS(Resultados!DB68),ABS(Resultados!DL68)))</f>
        <v>736.41972191399793</v>
      </c>
      <c r="G68">
        <f>IF(COUNT(Resultados!G68,Resultados!Q68,Resultados!AA68,Resultados!AU68,Resultados!BO68,Resultados!BY68,Resultados!CS68,Resultados!DC68,Resultados!DM68)=0, "", AVERAGE(ABS(Resultados!G68),ABS(Resultados!Q68),ABS(Resultados!AA68),ABS(Resultados!AU68),ABS(Resultados!BO68),ABS(Resultados!BY68),ABS(Resultados!CS68),ABS(Resultados!DC68),ABS(Resultados!DM68)))</f>
        <v>0.42399999999999999</v>
      </c>
      <c r="H68">
        <f>IF(COUNT(Resultados!H68,Resultados!R68,Resultados!AB68,Resultados!AV68,Resultados!BP68,Resultados!BZ68,Resultados!CT68,Resultados!DD68,Resultados!DN68)=0, "", AVERAGE(ABS(Resultados!H68),ABS(Resultados!R68),ABS(Resultados!AB68),ABS(Resultados!AV68),ABS(Resultados!BP68),ABS(Resultados!BZ68),ABS(Resultados!CT68),ABS(Resultados!DD68),ABS(Resultados!DN68)))</f>
        <v>1.7755555555555556E-2</v>
      </c>
      <c r="I68">
        <f>IF(COUNT(Resultados!I68,Resultados!S68,Resultados!AC68,Resultados!AW68,Resultados!BQ68,Resultados!CA68,Resultados!CU68,Resultados!DE68,Resultados!DO68)=0, "", AVERAGE(ABS(Resultados!I68),ABS(Resultados!S68),ABS(Resultados!AC68),ABS(Resultados!AW68),ABS(Resultados!BQ68),ABS(Resultados!CA68),ABS(Resultados!CU68),ABS(Resultados!DE68),ABS(Resultados!DO68)))</f>
        <v>13.245314444444443</v>
      </c>
      <c r="J68">
        <f>IF(COUNT(Resultados!J68,Resultados!T68,Resultados!AD68,Resultados!AX68,Resultados!BR68,Resultados!CB68,Resultados!CV68,Resultados!DF68,Resultados!DP68)=0, "", AVERAGE(ABS(Resultados!J68),ABS(Resultados!T68),ABS(Resultados!AD68),ABS(Resultados!AX68),ABS(Resultados!BR68),ABS(Resultados!CB68),ABS(Resultados!CV68),ABS(Resultados!DF68),ABS(Resultados!DP68)))</f>
        <v>1.7755555555555556E-2</v>
      </c>
      <c r="K68">
        <v>1.6577777777777778E-2</v>
      </c>
    </row>
    <row r="69" spans="1:11" x14ac:dyDescent="0.3">
      <c r="A69">
        <f>IF(COUNT(Resultados!A69,Resultados!K69,Resultados!U69,Resultados!AO69,Resultados!BI69,Resultados!BS69,Resultados!CM69,Resultados!CW69,Resultados!DG69)=0, "", AVERAGE(ABS(Resultados!A69),ABS(Resultados!K69),ABS(Resultados!U69),ABS(Resultados!AO69),ABS(Resultados!BI69),ABS(Resultados!BS69),ABS(Resultados!CM69),ABS(Resultados!CW69),ABS(Resultados!DG69)))</f>
        <v>45681</v>
      </c>
      <c r="B69" t="str">
        <f>IF(COUNT(Resultados!B69,Resultados!L69,Resultados!V69,Resultados!AP69,Resultados!BJ69,Resultados!BT69,Resultados!CN69,Resultados!CX69,Resultados!DH69)=0, "", AVERAGE(ABS(Resultados!B69),ABS(Resultados!L69),ABS(Resultados!V69),ABS(Resultados!AP69),ABS(Resultados!BJ69),ABS(Resultados!BT69),ABS(Resultados!CN69),ABS(Resultados!CX69),ABS(Resultados!DH69)))</f>
        <v/>
      </c>
      <c r="C69">
        <f>IF(COUNT(Resultados!C69,Resultados!M69,Resultados!W69,Resultados!AQ69,Resultados!BK69,Resultados!BU69,Resultados!CO69,Resultados!CY69,Resultados!DI69)=0, "", AVERAGE(ABS(Resultados!C69),ABS(Resultados!M69),ABS(Resultados!W69),ABS(Resultados!AQ69),ABS(Resultados!BK69),ABS(Resultados!BU69),ABS(Resultados!CO69),ABS(Resultados!CY69),ABS(Resultados!DI69)))</f>
        <v>3.4444444444444446</v>
      </c>
      <c r="D69">
        <f>IF(COUNT(Resultados!D69,Resultados!N69,Resultados!X69,Resultados!AR69,Resultados!BL69,Resultados!BV69,Resultados!CP69,Resultados!CZ69,Resultados!DJ69)=0, "", AVERAGE(ABS(Resultados!D69),ABS(Resultados!N69),ABS(Resultados!X69),ABS(Resultados!AR69),ABS(Resultados!BL69),ABS(Resultados!BV69),ABS(Resultados!CP69),ABS(Resultados!CZ69),ABS(Resultados!DJ69)))</f>
        <v>1.6788888888888891E-2</v>
      </c>
      <c r="E69">
        <f>IF(COUNT(Resultados!E69,Resultados!O69,Resultados!Y69,Resultados!AS69,Resultados!BM69,Resultados!BW69,Resultados!CQ69,Resultados!DA69,Resultados!DK69)=0, "", AVERAGE(ABS(Resultados!E69),ABS(Resultados!O69),ABS(Resultados!Y69),ABS(Resultados!AS69),ABS(Resultados!BM69),ABS(Resultados!BW69),ABS(Resultados!CQ69),ABS(Resultados!DA69),ABS(Resultados!DK69)))</f>
        <v>7.0811179059019569</v>
      </c>
      <c r="F69">
        <f>IF(COUNT(Resultados!F69,Resultados!P69,Resultados!Z69,Resultados!AT69,Resultados!BN69,Resultados!BX69,Resultados!CR69,Resultados!DB69,Resultados!DL69)=0, "", AVERAGE(ABS(Resultados!F69),ABS(Resultados!P69),ABS(Resultados!Z69),ABS(Resultados!AT69),ABS(Resultados!BN69),ABS(Resultados!BX69),ABS(Resultados!CR69),ABS(Resultados!DB69),ABS(Resultados!DL69)))</f>
        <v>731.1663369595085</v>
      </c>
      <c r="G69">
        <f>IF(COUNT(Resultados!G69,Resultados!Q69,Resultados!AA69,Resultados!AU69,Resultados!BO69,Resultados!BY69,Resultados!CS69,Resultados!DC69,Resultados!DM69)=0, "", AVERAGE(ABS(Resultados!G69),ABS(Resultados!Q69),ABS(Resultados!AA69),ABS(Resultados!AU69),ABS(Resultados!BO69),ABS(Resultados!BY69),ABS(Resultados!CS69),ABS(Resultados!DC69),ABS(Resultados!DM69)))</f>
        <v>0.42399999999999999</v>
      </c>
      <c r="H69">
        <f>IF(COUNT(Resultados!H69,Resultados!R69,Resultados!AB69,Resultados!AV69,Resultados!BP69,Resultados!BZ69,Resultados!CT69,Resultados!DD69,Resultados!DN69)=0, "", AVERAGE(ABS(Resultados!H69),ABS(Resultados!R69),ABS(Resultados!AB69),ABS(Resultados!AV69),ABS(Resultados!BP69),ABS(Resultados!BZ69),ABS(Resultados!CT69),ABS(Resultados!DD69),ABS(Resultados!DN69)))</f>
        <v>1.6877777777777776E-2</v>
      </c>
      <c r="I69">
        <f>IF(COUNT(Resultados!I69,Resultados!S69,Resultados!AC69,Resultados!AW69,Resultados!BQ69,Resultados!CA69,Resultados!CU69,Resultados!DE69,Resultados!DO69)=0, "", AVERAGE(ABS(Resultados!I69),ABS(Resultados!S69),ABS(Resultados!AC69),ABS(Resultados!AW69),ABS(Resultados!BQ69),ABS(Resultados!CA69),ABS(Resultados!CU69),ABS(Resultados!DE69),ABS(Resultados!DO69)))</f>
        <v>13.444878888888891</v>
      </c>
      <c r="J69">
        <f>IF(COUNT(Resultados!J69,Resultados!T69,Resultados!AD69,Resultados!AX69,Resultados!BR69,Resultados!CB69,Resultados!CV69,Resultados!DF69,Resultados!DP69)=0, "", AVERAGE(ABS(Resultados!J69),ABS(Resultados!T69),ABS(Resultados!AD69),ABS(Resultados!AX69),ABS(Resultados!BR69),ABS(Resultados!CB69),ABS(Resultados!CV69),ABS(Resultados!DF69),ABS(Resultados!DP69)))</f>
        <v>1.6877777777777776E-2</v>
      </c>
      <c r="K69">
        <v>1.6788888888888891E-2</v>
      </c>
    </row>
    <row r="70" spans="1:11" x14ac:dyDescent="0.3">
      <c r="A70">
        <f>IF(COUNT(Resultados!A70,Resultados!K70,Resultados!U70,Resultados!AO70,Resultados!BI70,Resultados!BS70,Resultados!CM70,Resultados!CW70,Resultados!DG70)=0, "", AVERAGE(ABS(Resultados!A70),ABS(Resultados!K70),ABS(Resultados!U70),ABS(Resultados!AO70),ABS(Resultados!BI70),ABS(Resultados!BS70),ABS(Resultados!CM70),ABS(Resultados!CW70),ABS(Resultados!DG70)))</f>
        <v>45681</v>
      </c>
      <c r="B70" t="str">
        <f>IF(COUNT(Resultados!B70,Resultados!L70,Resultados!V70,Resultados!AP70,Resultados!BJ70,Resultados!BT70,Resultados!CN70,Resultados!CX70,Resultados!DH70)=0, "", AVERAGE(ABS(Resultados!B70),ABS(Resultados!L70),ABS(Resultados!V70),ABS(Resultados!AP70),ABS(Resultados!BJ70),ABS(Resultados!BT70),ABS(Resultados!CN70),ABS(Resultados!CX70),ABS(Resultados!DH70)))</f>
        <v/>
      </c>
      <c r="C70">
        <f>IF(COUNT(Resultados!C70,Resultados!M70,Resultados!W70,Resultados!AQ70,Resultados!BK70,Resultados!BU70,Resultados!CO70,Resultados!CY70,Resultados!DI70)=0, "", AVERAGE(ABS(Resultados!C70),ABS(Resultados!M70),ABS(Resultados!W70),ABS(Resultados!AQ70),ABS(Resultados!BK70),ABS(Resultados!BU70),ABS(Resultados!CO70),ABS(Resultados!CY70),ABS(Resultados!DI70)))</f>
        <v>3.4444444444444446</v>
      </c>
      <c r="D70">
        <f>IF(COUNT(Resultados!D70,Resultados!N70,Resultados!X70,Resultados!AR70,Resultados!BL70,Resultados!BV70,Resultados!CP70,Resultados!CZ70,Resultados!DJ70)=0, "", AVERAGE(ABS(Resultados!D70),ABS(Resultados!N70),ABS(Resultados!X70),ABS(Resultados!AR70),ABS(Resultados!BL70),ABS(Resultados!BV70),ABS(Resultados!CP70),ABS(Resultados!CZ70),ABS(Resultados!DJ70)))</f>
        <v>1.6844444444444443E-2</v>
      </c>
      <c r="E70">
        <f>IF(COUNT(Resultados!E70,Resultados!O70,Resultados!Y70,Resultados!AS70,Resultados!BM70,Resultados!BW70,Resultados!CQ70,Resultados!DA70,Resultados!DK70)=0, "", AVERAGE(ABS(Resultados!E70),ABS(Resultados!O70),ABS(Resultados!Y70),ABS(Resultados!AS70),ABS(Resultados!BM70),ABS(Resultados!BW70),ABS(Resultados!CQ70),ABS(Resultados!DA70),ABS(Resultados!DK70)))</f>
        <v>7.0143188975131547</v>
      </c>
      <c r="F70">
        <f>IF(COUNT(Resultados!F70,Resultados!P70,Resultados!Z70,Resultados!AT70,Resultados!BN70,Resultados!BX70,Resultados!CR70,Resultados!DB70,Resultados!DL70)=0, "", AVERAGE(ABS(Resultados!F70),ABS(Resultados!P70),ABS(Resultados!Z70),ABS(Resultados!AT70),ABS(Resultados!BN70),ABS(Resultados!BX70),ABS(Resultados!CR70),ABS(Resultados!DB70),ABS(Resultados!DL70)))</f>
        <v>713.33831731669261</v>
      </c>
      <c r="G70">
        <f>IF(COUNT(Resultados!G70,Resultados!Q70,Resultados!AA70,Resultados!AU70,Resultados!BO70,Resultados!BY70,Resultados!CS70,Resultados!DC70,Resultados!DM70)=0, "", AVERAGE(ABS(Resultados!G70),ABS(Resultados!Q70),ABS(Resultados!AA70),ABS(Resultados!AU70),ABS(Resultados!BO70),ABS(Resultados!BY70),ABS(Resultados!CS70),ABS(Resultados!DC70),ABS(Resultados!DM70)))</f>
        <v>0.42399999999999999</v>
      </c>
      <c r="H70">
        <f>IF(COUNT(Resultados!H70,Resultados!R70,Resultados!AB70,Resultados!AV70,Resultados!BP70,Resultados!BZ70,Resultados!CT70,Resultados!DD70,Resultados!DN70)=0, "", AVERAGE(ABS(Resultados!H70),ABS(Resultados!R70),ABS(Resultados!AB70),ABS(Resultados!AV70),ABS(Resultados!BP70),ABS(Resultados!BZ70),ABS(Resultados!CT70),ABS(Resultados!DD70),ABS(Resultados!DN70)))</f>
        <v>1.5833333333333331E-2</v>
      </c>
      <c r="I70">
        <f>IF(COUNT(Resultados!I70,Resultados!S70,Resultados!AC70,Resultados!AW70,Resultados!BQ70,Resultados!CA70,Resultados!CU70,Resultados!DE70,Resultados!DO70)=0, "", AVERAGE(ABS(Resultados!I70),ABS(Resultados!S70),ABS(Resultados!AC70),ABS(Resultados!AW70),ABS(Resultados!BQ70),ABS(Resultados!CA70),ABS(Resultados!CU70),ABS(Resultados!DE70),ABS(Resultados!DO70)))</f>
        <v>13.645275555555564</v>
      </c>
      <c r="J70">
        <f>IF(COUNT(Resultados!J70,Resultados!T70,Resultados!AD70,Resultados!AX70,Resultados!BR70,Resultados!CB70,Resultados!CV70,Resultados!DF70,Resultados!DP70)=0, "", AVERAGE(ABS(Resultados!J70),ABS(Resultados!T70),ABS(Resultados!AD70),ABS(Resultados!AX70),ABS(Resultados!BR70),ABS(Resultados!CB70),ABS(Resultados!CV70),ABS(Resultados!DF70),ABS(Resultados!DP70)))</f>
        <v>1.5833333333333331E-2</v>
      </c>
      <c r="K70">
        <v>1.6844444444444443E-2</v>
      </c>
    </row>
    <row r="71" spans="1:11" x14ac:dyDescent="0.3">
      <c r="A71">
        <f>IF(COUNT(Resultados!A71,Resultados!K71,Resultados!U71,Resultados!AO71,Resultados!BI71,Resultados!BS71,Resultados!CM71,Resultados!CW71,Resultados!DG71)=0, "", AVERAGE(ABS(Resultados!A71),ABS(Resultados!K71),ABS(Resultados!U71),ABS(Resultados!AO71),ABS(Resultados!BI71),ABS(Resultados!BS71),ABS(Resultados!CM71),ABS(Resultados!CW71),ABS(Resultados!DG71)))</f>
        <v>45681</v>
      </c>
      <c r="B71" t="str">
        <f>IF(COUNT(Resultados!B71,Resultados!L71,Resultados!V71,Resultados!AP71,Resultados!BJ71,Resultados!BT71,Resultados!CN71,Resultados!CX71,Resultados!DH71)=0, "", AVERAGE(ABS(Resultados!B71),ABS(Resultados!L71),ABS(Resultados!V71),ABS(Resultados!AP71),ABS(Resultados!BJ71),ABS(Resultados!BT71),ABS(Resultados!CN71),ABS(Resultados!CX71),ABS(Resultados!DH71)))</f>
        <v/>
      </c>
      <c r="C71">
        <f>IF(COUNT(Resultados!C71,Resultados!M71,Resultados!W71,Resultados!AQ71,Resultados!BK71,Resultados!BU71,Resultados!CO71,Resultados!CY71,Resultados!DI71)=0, "", AVERAGE(ABS(Resultados!C71),ABS(Resultados!M71),ABS(Resultados!W71),ABS(Resultados!AQ71),ABS(Resultados!BK71),ABS(Resultados!BU71),ABS(Resultados!CO71),ABS(Resultados!CY71),ABS(Resultados!DI71)))</f>
        <v>3.4444444444444446</v>
      </c>
      <c r="D71">
        <f>IF(COUNT(Resultados!D71,Resultados!N71,Resultados!X71,Resultados!AR71,Resultados!BL71,Resultados!BV71,Resultados!CP71,Resultados!CZ71,Resultados!DJ71)=0, "", AVERAGE(ABS(Resultados!D71),ABS(Resultados!N71),ABS(Resultados!X71),ABS(Resultados!AR71),ABS(Resultados!BL71),ABS(Resultados!BV71),ABS(Resultados!CP71),ABS(Resultados!CZ71),ABS(Resultados!DJ71)))</f>
        <v>1.6644444444444444E-2</v>
      </c>
      <c r="E71">
        <f>IF(COUNT(Resultados!E71,Resultados!O71,Resultados!Y71,Resultados!AS71,Resultados!BM71,Resultados!BW71,Resultados!CQ71,Resultados!DA71,Resultados!DK71)=0, "", AVERAGE(ABS(Resultados!E71),ABS(Resultados!O71),ABS(Resultados!Y71),ABS(Resultados!AS71),ABS(Resultados!BM71),ABS(Resultados!BW71),ABS(Resultados!CQ71),ABS(Resultados!DA71),ABS(Resultados!DK71)))</f>
        <v>6.9388646654433375</v>
      </c>
      <c r="F71">
        <f>IF(COUNT(Resultados!F71,Resultados!P71,Resultados!Z71,Resultados!AT71,Resultados!BN71,Resultados!BX71,Resultados!CR71,Resultados!DB71,Resultados!DL71)=0, "", AVERAGE(ABS(Resultados!F71),ABS(Resultados!P71),ABS(Resultados!Z71),ABS(Resultados!AT71),ABS(Resultados!BN71),ABS(Resultados!BX71),ABS(Resultados!CR71),ABS(Resultados!DB71),ABS(Resultados!DL71)))</f>
        <v>706.31067832466977</v>
      </c>
      <c r="G71">
        <f>IF(COUNT(Resultados!G71,Resultados!Q71,Resultados!AA71,Resultados!AU71,Resultados!BO71,Resultados!BY71,Resultados!CS71,Resultados!DC71,Resultados!DM71)=0, "", AVERAGE(ABS(Resultados!G71),ABS(Resultados!Q71),ABS(Resultados!AA71),ABS(Resultados!AU71),ABS(Resultados!BO71),ABS(Resultados!BY71),ABS(Resultados!CS71),ABS(Resultados!DC71),ABS(Resultados!DM71)))</f>
        <v>0.42399999999999999</v>
      </c>
      <c r="H71">
        <f>IF(COUNT(Resultados!H71,Resultados!R71,Resultados!AB71,Resultados!AV71,Resultados!BP71,Resultados!BZ71,Resultados!CT71,Resultados!DD71,Resultados!DN71)=0, "", AVERAGE(ABS(Resultados!H71),ABS(Resultados!R71),ABS(Resultados!AB71),ABS(Resultados!AV71),ABS(Resultados!BP71),ABS(Resultados!BZ71),ABS(Resultados!CT71),ABS(Resultados!DD71),ABS(Resultados!DN71)))</f>
        <v>1.4644444444444444E-2</v>
      </c>
      <c r="I71">
        <f>IF(COUNT(Resultados!I71,Resultados!S71,Resultados!AC71,Resultados!AW71,Resultados!BQ71,Resultados!CA71,Resultados!CU71,Resultados!DE71,Resultados!DO71)=0, "", AVERAGE(ABS(Resultados!I71),ABS(Resultados!S71),ABS(Resultados!AC71),ABS(Resultados!AW71),ABS(Resultados!BQ71),ABS(Resultados!CA71),ABS(Resultados!CU71),ABS(Resultados!DE71),ABS(Resultados!DO71)))</f>
        <v>13.845273333333326</v>
      </c>
      <c r="J71">
        <f>IF(COUNT(Resultados!J71,Resultados!T71,Resultados!AD71,Resultados!AX71,Resultados!BR71,Resultados!CB71,Resultados!CV71,Resultados!DF71,Resultados!DP71)=0, "", AVERAGE(ABS(Resultados!J71),ABS(Resultados!T71),ABS(Resultados!AD71),ABS(Resultados!AX71),ABS(Resultados!BR71),ABS(Resultados!CB71),ABS(Resultados!CV71),ABS(Resultados!DF71),ABS(Resultados!DP71)))</f>
        <v>1.4644444444444444E-2</v>
      </c>
      <c r="K71">
        <v>1.6644444444444444E-2</v>
      </c>
    </row>
    <row r="72" spans="1:11" x14ac:dyDescent="0.3">
      <c r="A72">
        <f>IF(COUNT(Resultados!A72,Resultados!K72,Resultados!U72,Resultados!AO72,Resultados!BI72,Resultados!BS72,Resultados!CM72,Resultados!CW72,Resultados!DG72)=0, "", AVERAGE(ABS(Resultados!A72),ABS(Resultados!K72),ABS(Resultados!U72),ABS(Resultados!AO72),ABS(Resultados!BI72),ABS(Resultados!BS72),ABS(Resultados!CM72),ABS(Resultados!CW72),ABS(Resultados!DG72)))</f>
        <v>45681</v>
      </c>
      <c r="B72" t="str">
        <f>IF(COUNT(Resultados!B72,Resultados!L72,Resultados!V72,Resultados!AP72,Resultados!BJ72,Resultados!BT72,Resultados!CN72,Resultados!CX72,Resultados!DH72)=0, "", AVERAGE(ABS(Resultados!B72),ABS(Resultados!L72),ABS(Resultados!V72),ABS(Resultados!AP72),ABS(Resultados!BJ72),ABS(Resultados!BT72),ABS(Resultados!CN72),ABS(Resultados!CX72),ABS(Resultados!DH72)))</f>
        <v/>
      </c>
      <c r="C72">
        <f>IF(COUNT(Resultados!C72,Resultados!M72,Resultados!W72,Resultados!AQ72,Resultados!BK72,Resultados!BU72,Resultados!CO72,Resultados!CY72,Resultados!DI72)=0, "", AVERAGE(ABS(Resultados!C72),ABS(Resultados!M72),ABS(Resultados!W72),ABS(Resultados!AQ72),ABS(Resultados!BK72),ABS(Resultados!BU72),ABS(Resultados!CO72),ABS(Resultados!CY72),ABS(Resultados!DI72)))</f>
        <v>3.4444444444444446</v>
      </c>
      <c r="D72">
        <f>IF(COUNT(Resultados!D72,Resultados!N72,Resultados!X72,Resultados!AR72,Resultados!BL72,Resultados!BV72,Resultados!CP72,Resultados!CZ72,Resultados!DJ72)=0, "", AVERAGE(ABS(Resultados!D72),ABS(Resultados!N72),ABS(Resultados!X72),ABS(Resultados!AR72),ABS(Resultados!BL72),ABS(Resultados!BV72),ABS(Resultados!CP72),ABS(Resultados!CZ72),ABS(Resultados!DJ72)))</f>
        <v>1.6299999999999999E-2</v>
      </c>
      <c r="E72">
        <f>IF(COUNT(Resultados!E72,Resultados!O72,Resultados!Y72,Resultados!AS72,Resultados!BM72,Resultados!BW72,Resultados!CQ72,Resultados!DA72,Resultados!DK72)=0, "", AVERAGE(ABS(Resultados!E72),ABS(Resultados!O72),ABS(Resultados!Y72),ABS(Resultados!AS72),ABS(Resultados!BM72),ABS(Resultados!BW72),ABS(Resultados!CQ72),ABS(Resultados!DA72),ABS(Resultados!DK72)))</f>
        <v>6.8518844317304666</v>
      </c>
      <c r="F72">
        <f>IF(COUNT(Resultados!F72,Resultados!P72,Resultados!Z72,Resultados!AT72,Resultados!BN72,Resultados!BX72,Resultados!CR72,Resultados!DB72,Resultados!DL72)=0, "", AVERAGE(ABS(Resultados!F72),ABS(Resultados!P72),ABS(Resultados!Z72),ABS(Resultados!AT72),ABS(Resultados!BN72),ABS(Resultados!BX72),ABS(Resultados!CR72),ABS(Resultados!DB72),ABS(Resultados!DL72)))</f>
        <v>698.20567506792804</v>
      </c>
      <c r="G72">
        <f>IF(COUNT(Resultados!G72,Resultados!Q72,Resultados!AA72,Resultados!AU72,Resultados!BO72,Resultados!BY72,Resultados!CS72,Resultados!DC72,Resultados!DM72)=0, "", AVERAGE(ABS(Resultados!G72),ABS(Resultados!Q72),ABS(Resultados!AA72),ABS(Resultados!AU72),ABS(Resultados!BO72),ABS(Resultados!BY72),ABS(Resultados!CS72),ABS(Resultados!DC72),ABS(Resultados!DM72)))</f>
        <v>0.42399999999999999</v>
      </c>
      <c r="H72">
        <f>IF(COUNT(Resultados!H72,Resultados!R72,Resultados!AB72,Resultados!AV72,Resultados!BP72,Resultados!BZ72,Resultados!CT72,Resultados!DD72,Resultados!DN72)=0, "", AVERAGE(ABS(Resultados!H72),ABS(Resultados!R72),ABS(Resultados!AB72),ABS(Resultados!AV72),ABS(Resultados!BP72),ABS(Resultados!BZ72),ABS(Resultados!CT72),ABS(Resultados!DD72),ABS(Resultados!DN72)))</f>
        <v>1.3299999999999999E-2</v>
      </c>
      <c r="I72">
        <f>IF(COUNT(Resultados!I72,Resultados!S72,Resultados!AC72,Resultados!AW72,Resultados!BQ72,Resultados!CA72,Resultados!CU72,Resultados!DE72,Resultados!DO72)=0, "", AVERAGE(ABS(Resultados!I72),ABS(Resultados!S72),ABS(Resultados!AC72),ABS(Resultados!AW72),ABS(Resultados!BQ72),ABS(Resultados!CA72),ABS(Resultados!CU72),ABS(Resultados!DE72),ABS(Resultados!DO72)))</f>
        <v>14.054650000000001</v>
      </c>
      <c r="J72">
        <f>IF(COUNT(Resultados!J72,Resultados!T72,Resultados!AD72,Resultados!AX72,Resultados!BR72,Resultados!CB72,Resultados!CV72,Resultados!DF72,Resultados!DP72)=0, "", AVERAGE(ABS(Resultados!J72),ABS(Resultados!T72),ABS(Resultados!AD72),ABS(Resultados!AX72),ABS(Resultados!BR72),ABS(Resultados!CB72),ABS(Resultados!CV72),ABS(Resultados!DF72),ABS(Resultados!DP72)))</f>
        <v>1.3299999999999999E-2</v>
      </c>
      <c r="K72">
        <v>1.6299999999999999E-2</v>
      </c>
    </row>
    <row r="73" spans="1:11" x14ac:dyDescent="0.3">
      <c r="A73">
        <f>IF(COUNT(Resultados!A73,Resultados!K73,Resultados!U73,Resultados!AO73,Resultados!BI73,Resultados!BS73,Resultados!CM73,Resultados!CW73,Resultados!DG73)=0, "", AVERAGE(ABS(Resultados!A73),ABS(Resultados!K73),ABS(Resultados!U73),ABS(Resultados!AO73),ABS(Resultados!BI73),ABS(Resultados!BS73),ABS(Resultados!CM73),ABS(Resultados!CW73),ABS(Resultados!DG73)))</f>
        <v>45681</v>
      </c>
      <c r="B73" t="str">
        <f>IF(COUNT(Resultados!B73,Resultados!L73,Resultados!V73,Resultados!AP73,Resultados!BJ73,Resultados!BT73,Resultados!CN73,Resultados!CX73,Resultados!DH73)=0, "", AVERAGE(ABS(Resultados!B73),ABS(Resultados!L73),ABS(Resultados!V73),ABS(Resultados!AP73),ABS(Resultados!BJ73),ABS(Resultados!BT73),ABS(Resultados!CN73),ABS(Resultados!CX73),ABS(Resultados!DH73)))</f>
        <v/>
      </c>
      <c r="C73">
        <f>IF(COUNT(Resultados!C73,Resultados!M73,Resultados!W73,Resultados!AQ73,Resultados!BK73,Resultados!BU73,Resultados!CO73,Resultados!CY73,Resultados!DI73)=0, "", AVERAGE(ABS(Resultados!C73),ABS(Resultados!M73),ABS(Resultados!W73),ABS(Resultados!AQ73),ABS(Resultados!BK73),ABS(Resultados!BU73),ABS(Resultados!CO73),ABS(Resultados!CY73),ABS(Resultados!DI73)))</f>
        <v>3.4444444444444446</v>
      </c>
      <c r="D73">
        <f>IF(COUNT(Resultados!D73,Resultados!N73,Resultados!X73,Resultados!AR73,Resultados!BL73,Resultados!BV73,Resultados!CP73,Resultados!CZ73,Resultados!DJ73)=0, "", AVERAGE(ABS(Resultados!D73),ABS(Resultados!N73),ABS(Resultados!X73),ABS(Resultados!AR73),ABS(Resultados!BL73),ABS(Resultados!BV73),ABS(Resultados!CP73),ABS(Resultados!CZ73),ABS(Resultados!DJ73)))</f>
        <v>1.5655555555555555E-2</v>
      </c>
      <c r="E73">
        <f>IF(COUNT(Resultados!E73,Resultados!O73,Resultados!Y73,Resultados!AS73,Resultados!BM73,Resultados!BW73,Resultados!CQ73,Resultados!DA73,Resultados!DK73)=0, "", AVERAGE(ABS(Resultados!E73),ABS(Resultados!O73),ABS(Resultados!Y73),ABS(Resultados!AS73),ABS(Resultados!BM73),ABS(Resultados!BW73),ABS(Resultados!CQ73),ABS(Resultados!DA73),ABS(Resultados!DK73)))</f>
        <v>6.7706467315767114</v>
      </c>
      <c r="F73">
        <f>IF(COUNT(Resultados!F73,Resultados!P73,Resultados!Z73,Resultados!AT73,Resultados!BN73,Resultados!BX73,Resultados!CR73,Resultados!DB73,Resultados!DL73)=0, "", AVERAGE(ABS(Resultados!F73),ABS(Resultados!P73),ABS(Resultados!Z73),ABS(Resultados!AT73),ABS(Resultados!BN73),ABS(Resultados!BX73),ABS(Resultados!CR73),ABS(Resultados!DB73),ABS(Resultados!DL73)))</f>
        <v>679.02427538294944</v>
      </c>
      <c r="G73">
        <f>IF(COUNT(Resultados!G73,Resultados!Q73,Resultados!AA73,Resultados!AU73,Resultados!BO73,Resultados!BY73,Resultados!CS73,Resultados!DC73,Resultados!DM73)=0, "", AVERAGE(ABS(Resultados!G73),ABS(Resultados!Q73),ABS(Resultados!AA73),ABS(Resultados!AU73),ABS(Resultados!BO73),ABS(Resultados!BY73),ABS(Resultados!CS73),ABS(Resultados!DC73),ABS(Resultados!DM73)))</f>
        <v>0.42399999999999999</v>
      </c>
      <c r="H73">
        <f>IF(COUNT(Resultados!H73,Resultados!R73,Resultados!AB73,Resultados!AV73,Resultados!BP73,Resultados!BZ73,Resultados!CT73,Resultados!DD73,Resultados!DN73)=0, "", AVERAGE(ABS(Resultados!H73),ABS(Resultados!R73),ABS(Resultados!AB73),ABS(Resultados!AV73),ABS(Resultados!BP73),ABS(Resultados!BZ73),ABS(Resultados!CT73),ABS(Resultados!DD73),ABS(Resultados!DN73)))</f>
        <v>1.2055555555555555E-2</v>
      </c>
      <c r="I73">
        <f>IF(COUNT(Resultados!I73,Resultados!S73,Resultados!AC73,Resultados!AW73,Resultados!BQ73,Resultados!CA73,Resultados!CU73,Resultados!DE73,Resultados!DO73)=0, "", AVERAGE(ABS(Resultados!I73),ABS(Resultados!S73),ABS(Resultados!AC73),ABS(Resultados!AW73),ABS(Resultados!BQ73),ABS(Resultados!CA73),ABS(Resultados!CU73),ABS(Resultados!DE73),ABS(Resultados!DO73)))</f>
        <v>14.244737777777781</v>
      </c>
      <c r="J73">
        <f>IF(COUNT(Resultados!J73,Resultados!T73,Resultados!AD73,Resultados!AX73,Resultados!BR73,Resultados!CB73,Resultados!CV73,Resultados!DF73,Resultados!DP73)=0, "", AVERAGE(ABS(Resultados!J73),ABS(Resultados!T73),ABS(Resultados!AD73),ABS(Resultados!AX73),ABS(Resultados!BR73),ABS(Resultados!CB73),ABS(Resultados!CV73),ABS(Resultados!DF73),ABS(Resultados!DP73)))</f>
        <v>1.2055555555555555E-2</v>
      </c>
      <c r="K73">
        <v>1.5655555555555555E-2</v>
      </c>
    </row>
    <row r="74" spans="1:11" x14ac:dyDescent="0.3">
      <c r="A74">
        <f>IF(COUNT(Resultados!A74,Resultados!K74,Resultados!U74,Resultados!AO74,Resultados!BI74,Resultados!BS74,Resultados!CM74,Resultados!CW74,Resultados!DG74)=0, "", AVERAGE(ABS(Resultados!A74),ABS(Resultados!K74),ABS(Resultados!U74),ABS(Resultados!AO74),ABS(Resultados!BI74),ABS(Resultados!BS74),ABS(Resultados!CM74),ABS(Resultados!CW74),ABS(Resultados!DG74)))</f>
        <v>45681</v>
      </c>
      <c r="B74" t="str">
        <f>IF(COUNT(Resultados!B74,Resultados!L74,Resultados!V74,Resultados!AP74,Resultados!BJ74,Resultados!BT74,Resultados!CN74,Resultados!CX74,Resultados!DH74)=0, "", AVERAGE(ABS(Resultados!B74),ABS(Resultados!L74),ABS(Resultados!V74),ABS(Resultados!AP74),ABS(Resultados!BJ74),ABS(Resultados!BT74),ABS(Resultados!CN74),ABS(Resultados!CX74),ABS(Resultados!DH74)))</f>
        <v/>
      </c>
      <c r="C74">
        <f>IF(COUNT(Resultados!C74,Resultados!M74,Resultados!W74,Resultados!AQ74,Resultados!BK74,Resultados!BU74,Resultados!CO74,Resultados!CY74,Resultados!DI74)=0, "", AVERAGE(ABS(Resultados!C74),ABS(Resultados!M74),ABS(Resultados!W74),ABS(Resultados!AQ74),ABS(Resultados!BK74),ABS(Resultados!BU74),ABS(Resultados!CO74),ABS(Resultados!CY74),ABS(Resultados!DI74)))</f>
        <v>3.4444444444444446</v>
      </c>
      <c r="D74">
        <f>IF(COUNT(Resultados!D74,Resultados!N74,Resultados!X74,Resultados!AR74,Resultados!BL74,Resultados!BV74,Resultados!CP74,Resultados!CZ74,Resultados!DJ74)=0, "", AVERAGE(ABS(Resultados!D74),ABS(Resultados!N74),ABS(Resultados!X74),ABS(Resultados!AR74),ABS(Resultados!BL74),ABS(Resultados!BV74),ABS(Resultados!CP74),ABS(Resultados!CZ74),ABS(Resultados!DJ74)))</f>
        <v>1.4644444444444444E-2</v>
      </c>
      <c r="E74">
        <f>IF(COUNT(Resultados!E74,Resultados!O74,Resultados!Y74,Resultados!AS74,Resultados!BM74,Resultados!BW74,Resultados!CQ74,Resultados!DA74,Resultados!DK74)=0, "", AVERAGE(ABS(Resultados!E74),ABS(Resultados!O74),ABS(Resultados!Y74),ABS(Resultados!AS74),ABS(Resultados!BM74),ABS(Resultados!BW74),ABS(Resultados!CQ74),ABS(Resultados!DA74),ABS(Resultados!DK74)))</f>
        <v>6.6816281648671625</v>
      </c>
      <c r="F74">
        <f>IF(COUNT(Resultados!F74,Resultados!P74,Resultados!Z74,Resultados!AT74,Resultados!BN74,Resultados!BX74,Resultados!CR74,Resultados!DB74,Resultados!DL74)=0, "", AVERAGE(ABS(Resultados!F74),ABS(Resultados!P74),ABS(Resultados!Z74),ABS(Resultados!AT74),ABS(Resultados!BN74),ABS(Resultados!BX74),ABS(Resultados!CR74),ABS(Resultados!DB74),ABS(Resultados!DL74)))</f>
        <v>670.72774496561954</v>
      </c>
      <c r="G74">
        <f>IF(COUNT(Resultados!G74,Resultados!Q74,Resultados!AA74,Resultados!AU74,Resultados!BO74,Resultados!BY74,Resultados!CS74,Resultados!DC74,Resultados!DM74)=0, "", AVERAGE(ABS(Resultados!G74),ABS(Resultados!Q74),ABS(Resultados!AA74),ABS(Resultados!AU74),ABS(Resultados!BO74),ABS(Resultados!BY74),ABS(Resultados!CS74),ABS(Resultados!DC74),ABS(Resultados!DM74)))</f>
        <v>0.42399999999999999</v>
      </c>
      <c r="H74">
        <f>IF(COUNT(Resultados!H74,Resultados!R74,Resultados!AB74,Resultados!AV74,Resultados!BP74,Resultados!BZ74,Resultados!CT74,Resultados!DD74,Resultados!DN74)=0, "", AVERAGE(ABS(Resultados!H74),ABS(Resultados!R74),ABS(Resultados!AB74),ABS(Resultados!AV74),ABS(Resultados!BP74),ABS(Resultados!BZ74),ABS(Resultados!CT74),ABS(Resultados!DD74),ABS(Resultados!DN74)))</f>
        <v>1.0666666666666666E-2</v>
      </c>
      <c r="I74">
        <f>IF(COUNT(Resultados!I74,Resultados!S74,Resultados!AC74,Resultados!AW74,Resultados!BQ74,Resultados!CA74,Resultados!CU74,Resultados!DE74,Resultados!DO74)=0, "", AVERAGE(ABS(Resultados!I74),ABS(Resultados!S74),ABS(Resultados!AC74),ABS(Resultados!AW74),ABS(Resultados!BQ74),ABS(Resultados!CA74),ABS(Resultados!CU74),ABS(Resultados!DE74),ABS(Resultados!DO74)))</f>
        <v>14.445154444444446</v>
      </c>
      <c r="J74">
        <f>IF(COUNT(Resultados!J74,Resultados!T74,Resultados!AD74,Resultados!AX74,Resultados!BR74,Resultados!CB74,Resultados!CV74,Resultados!DF74,Resultados!DP74)=0, "", AVERAGE(ABS(Resultados!J74),ABS(Resultados!T74),ABS(Resultados!AD74),ABS(Resultados!AX74),ABS(Resultados!BR74),ABS(Resultados!CB74),ABS(Resultados!CV74),ABS(Resultados!DF74),ABS(Resultados!DP74)))</f>
        <v>1.0666666666666666E-2</v>
      </c>
      <c r="K74">
        <v>1.4644444444444444E-2</v>
      </c>
    </row>
    <row r="75" spans="1:11" x14ac:dyDescent="0.3">
      <c r="A75">
        <f>IF(COUNT(Resultados!A75,Resultados!K75,Resultados!U75,Resultados!AO75,Resultados!BI75,Resultados!BS75,Resultados!CM75,Resultados!CW75,Resultados!DG75)=0, "", AVERAGE(ABS(Resultados!A75),ABS(Resultados!K75),ABS(Resultados!U75),ABS(Resultados!AO75),ABS(Resultados!BI75),ABS(Resultados!BS75),ABS(Resultados!CM75),ABS(Resultados!CW75),ABS(Resultados!DG75)))</f>
        <v>45681</v>
      </c>
      <c r="B75" t="str">
        <f>IF(COUNT(Resultados!B75,Resultados!L75,Resultados!V75,Resultados!AP75,Resultados!BJ75,Resultados!BT75,Resultados!CN75,Resultados!CX75,Resultados!DH75)=0, "", AVERAGE(ABS(Resultados!B75),ABS(Resultados!L75),ABS(Resultados!V75),ABS(Resultados!AP75),ABS(Resultados!BJ75),ABS(Resultados!BT75),ABS(Resultados!CN75),ABS(Resultados!CX75),ABS(Resultados!DH75)))</f>
        <v/>
      </c>
      <c r="C75">
        <f>IF(COUNT(Resultados!C75,Resultados!M75,Resultados!W75,Resultados!AQ75,Resultados!BK75,Resultados!BU75,Resultados!CO75,Resultados!CY75,Resultados!DI75)=0, "", AVERAGE(ABS(Resultados!C75),ABS(Resultados!M75),ABS(Resultados!W75),ABS(Resultados!AQ75),ABS(Resultados!BK75),ABS(Resultados!BU75),ABS(Resultados!CO75),ABS(Resultados!CY75),ABS(Resultados!DI75)))</f>
        <v>3.4444444444444446</v>
      </c>
      <c r="D75">
        <f>IF(COUNT(Resultados!D75,Resultados!N75,Resultados!X75,Resultados!AR75,Resultados!BL75,Resultados!BV75,Resultados!CP75,Resultados!CZ75,Resultados!DJ75)=0, "", AVERAGE(ABS(Resultados!D75),ABS(Resultados!N75),ABS(Resultados!X75),ABS(Resultados!AR75),ABS(Resultados!BL75),ABS(Resultados!BV75),ABS(Resultados!CP75),ABS(Resultados!CZ75),ABS(Resultados!DJ75)))</f>
        <v>1.3511111111111111E-2</v>
      </c>
      <c r="E75">
        <f>IF(COUNT(Resultados!E75,Resultados!O75,Resultados!Y75,Resultados!AS75,Resultados!BM75,Resultados!BW75,Resultados!CQ75,Resultados!DA75,Resultados!DK75)=0, "", AVERAGE(ABS(Resultados!E75),ABS(Resultados!O75),ABS(Resultados!Y75),ABS(Resultados!AS75),ABS(Resultados!BM75),ABS(Resultados!BW75),ABS(Resultados!CQ75),ABS(Resultados!DA75),ABS(Resultados!DK75)))</f>
        <v>6.5923066664550847</v>
      </c>
      <c r="F75">
        <f>IF(COUNT(Resultados!F75,Resultados!P75,Resultados!Z75,Resultados!AT75,Resultados!BN75,Resultados!BX75,Resultados!CR75,Resultados!DB75,Resultados!DL75)=0, "", AVERAGE(ABS(Resultados!F75),ABS(Resultados!P75),ABS(Resultados!Z75),ABS(Resultados!AT75),ABS(Resultados!BN75),ABS(Resultados!BX75),ABS(Resultados!CR75),ABS(Resultados!DB75),ABS(Resultados!DL75)))</f>
        <v>662.40298131361419</v>
      </c>
      <c r="G75">
        <f>IF(COUNT(Resultados!G75,Resultados!Q75,Resultados!AA75,Resultados!AU75,Resultados!BO75,Resultados!BY75,Resultados!CS75,Resultados!DC75,Resultados!DM75)=0, "", AVERAGE(ABS(Resultados!G75),ABS(Resultados!Q75),ABS(Resultados!AA75),ABS(Resultados!AU75),ABS(Resultados!BO75),ABS(Resultados!BY75),ABS(Resultados!CS75),ABS(Resultados!DC75),ABS(Resultados!DM75)))</f>
        <v>0.42399999999999999</v>
      </c>
      <c r="H75">
        <f>IF(COUNT(Resultados!H75,Resultados!R75,Resultados!AB75,Resultados!AV75,Resultados!BP75,Resultados!BZ75,Resultados!CT75,Resultados!DD75,Resultados!DN75)=0, "", AVERAGE(ABS(Resultados!H75),ABS(Resultados!R75),ABS(Resultados!AB75),ABS(Resultados!AV75),ABS(Resultados!BP75),ABS(Resultados!BZ75),ABS(Resultados!CT75),ABS(Resultados!DD75),ABS(Resultados!DN75)))</f>
        <v>9.2555555555555551E-3</v>
      </c>
      <c r="I75">
        <f>IF(COUNT(Resultados!I75,Resultados!S75,Resultados!AC75,Resultados!AW75,Resultados!BQ75,Resultados!CA75,Resultados!CU75,Resultados!DE75,Resultados!DO75)=0, "", AVERAGE(ABS(Resultados!I75),ABS(Resultados!S75),ABS(Resultados!AC75),ABS(Resultados!AW75),ABS(Resultados!BQ75),ABS(Resultados!CA75),ABS(Resultados!CU75),ABS(Resultados!DE75),ABS(Resultados!DO75)))</f>
        <v>14.645553333333339</v>
      </c>
      <c r="J75">
        <f>IF(COUNT(Resultados!J75,Resultados!T75,Resultados!AD75,Resultados!AX75,Resultados!BR75,Resultados!CB75,Resultados!CV75,Resultados!DF75,Resultados!DP75)=0, "", AVERAGE(ABS(Resultados!J75),ABS(Resultados!T75),ABS(Resultados!AD75),ABS(Resultados!AX75),ABS(Resultados!BR75),ABS(Resultados!CB75),ABS(Resultados!CV75),ABS(Resultados!DF75),ABS(Resultados!DP75)))</f>
        <v>9.2555555555555551E-3</v>
      </c>
      <c r="K75">
        <v>1.3511111111111111E-2</v>
      </c>
    </row>
    <row r="76" spans="1:11" x14ac:dyDescent="0.3">
      <c r="A76">
        <f>IF(COUNT(Resultados!A76,Resultados!K76,Resultados!U76,Resultados!AO76,Resultados!BI76,Resultados!BS76,Resultados!CM76,Resultados!CW76,Resultados!DG76)=0, "", AVERAGE(ABS(Resultados!A76),ABS(Resultados!K76),ABS(Resultados!U76),ABS(Resultados!AO76),ABS(Resultados!BI76),ABS(Resultados!BS76),ABS(Resultados!CM76),ABS(Resultados!CW76),ABS(Resultados!DG76)))</f>
        <v>45681</v>
      </c>
      <c r="B76" t="str">
        <f>IF(COUNT(Resultados!B76,Resultados!L76,Resultados!V76,Resultados!AP76,Resultados!BJ76,Resultados!BT76,Resultados!CN76,Resultados!CX76,Resultados!DH76)=0, "", AVERAGE(ABS(Resultados!B76),ABS(Resultados!L76),ABS(Resultados!V76),ABS(Resultados!AP76),ABS(Resultados!BJ76),ABS(Resultados!BT76),ABS(Resultados!CN76),ABS(Resultados!CX76),ABS(Resultados!DH76)))</f>
        <v/>
      </c>
      <c r="C76">
        <f>IF(COUNT(Resultados!C76,Resultados!M76,Resultados!W76,Resultados!AQ76,Resultados!BK76,Resultados!BU76,Resultados!CO76,Resultados!CY76,Resultados!DI76)=0, "", AVERAGE(ABS(Resultados!C76),ABS(Resultados!M76),ABS(Resultados!W76),ABS(Resultados!AQ76),ABS(Resultados!BK76),ABS(Resultados!BU76),ABS(Resultados!CO76),ABS(Resultados!CY76),ABS(Resultados!DI76)))</f>
        <v>3.4444444444444446</v>
      </c>
      <c r="D76">
        <f>IF(COUNT(Resultados!D76,Resultados!N76,Resultados!X76,Resultados!AR76,Resultados!BL76,Resultados!BV76,Resultados!CP76,Resultados!CZ76,Resultados!DJ76)=0, "", AVERAGE(ABS(Resultados!D76),ABS(Resultados!N76),ABS(Resultados!X76),ABS(Resultados!AR76),ABS(Resultados!BL76),ABS(Resultados!BV76),ABS(Resultados!CP76),ABS(Resultados!CZ76),ABS(Resultados!DJ76)))</f>
        <v>1.2344444444444444E-2</v>
      </c>
      <c r="E76">
        <f>IF(COUNT(Resultados!E76,Resultados!O76,Resultados!Y76,Resultados!AS76,Resultados!BM76,Resultados!BW76,Resultados!CQ76,Resultados!DA76,Resultados!DK76)=0, "", AVERAGE(ABS(Resultados!E76),ABS(Resultados!O76),ABS(Resultados!Y76),ABS(Resultados!AS76),ABS(Resultados!BM76),ABS(Resultados!BW76),ABS(Resultados!CQ76),ABS(Resultados!DA76),ABS(Resultados!DK76)))</f>
        <v>6.5054717129119268</v>
      </c>
      <c r="F76">
        <f>IF(COUNT(Resultados!F76,Resultados!P76,Resultados!Z76,Resultados!AT76,Resultados!BN76,Resultados!BX76,Resultados!CR76,Resultados!DB76,Resultados!DL76)=0, "", AVERAGE(ABS(Resultados!F76),ABS(Resultados!P76),ABS(Resultados!Z76),ABS(Resultados!AT76),ABS(Resultados!BN76),ABS(Resultados!BX76),ABS(Resultados!CR76),ABS(Resultados!DB76),ABS(Resultados!DL76)))</f>
        <v>654.3099636433916</v>
      </c>
      <c r="G76">
        <f>IF(COUNT(Resultados!G76,Resultados!Q76,Resultados!AA76,Resultados!AU76,Resultados!BO76,Resultados!BY76,Resultados!CS76,Resultados!DC76,Resultados!DM76)=0, "", AVERAGE(ABS(Resultados!G76),ABS(Resultados!Q76),ABS(Resultados!AA76),ABS(Resultados!AU76),ABS(Resultados!BO76),ABS(Resultados!BY76),ABS(Resultados!CS76),ABS(Resultados!DC76),ABS(Resultados!DM76)))</f>
        <v>0.42399999999999999</v>
      </c>
      <c r="H76">
        <f>IF(COUNT(Resultados!H76,Resultados!R76,Resultados!AB76,Resultados!AV76,Resultados!BP76,Resultados!BZ76,Resultados!CT76,Resultados!DD76,Resultados!DN76)=0, "", AVERAGE(ABS(Resultados!H76),ABS(Resultados!R76),ABS(Resultados!AB76),ABS(Resultados!AV76),ABS(Resultados!BP76),ABS(Resultados!BZ76),ABS(Resultados!CT76),ABS(Resultados!DD76),ABS(Resultados!DN76)))</f>
        <v>7.9111111111111118E-3</v>
      </c>
      <c r="I76">
        <f>IF(COUNT(Resultados!I76,Resultados!S76,Resultados!AC76,Resultados!AW76,Resultados!BQ76,Resultados!CA76,Resultados!CU76,Resultados!DE76,Resultados!DO76)=0, "", AVERAGE(ABS(Resultados!I76),ABS(Resultados!S76),ABS(Resultados!AC76),ABS(Resultados!AW76),ABS(Resultados!BQ76),ABS(Resultados!CA76),ABS(Resultados!CU76),ABS(Resultados!DE76),ABS(Resultados!DO76)))</f>
        <v>14.844717777777781</v>
      </c>
      <c r="J76">
        <f>IF(COUNT(Resultados!J76,Resultados!T76,Resultados!AD76,Resultados!AX76,Resultados!BR76,Resultados!CB76,Resultados!CV76,Resultados!DF76,Resultados!DP76)=0, "", AVERAGE(ABS(Resultados!J76),ABS(Resultados!T76),ABS(Resultados!AD76),ABS(Resultados!AX76),ABS(Resultados!BR76),ABS(Resultados!CB76),ABS(Resultados!CV76),ABS(Resultados!DF76),ABS(Resultados!DP76)))</f>
        <v>7.9111111111111118E-3</v>
      </c>
      <c r="K76">
        <v>1.2344444444444444E-2</v>
      </c>
    </row>
    <row r="77" spans="1:11" x14ac:dyDescent="0.3">
      <c r="A77">
        <f>IF(COUNT(Resultados!A77,Resultados!K77,Resultados!U77,Resultados!AO77,Resultados!BI77,Resultados!BS77,Resultados!CM77,Resultados!CW77,Resultados!DG77)=0, "", AVERAGE(ABS(Resultados!A77),ABS(Resultados!K77),ABS(Resultados!U77),ABS(Resultados!AO77),ABS(Resultados!BI77),ABS(Resultados!BS77),ABS(Resultados!CM77),ABS(Resultados!CW77),ABS(Resultados!DG77)))</f>
        <v>45681</v>
      </c>
      <c r="B77" t="str">
        <f>IF(COUNT(Resultados!B77,Resultados!L77,Resultados!V77,Resultados!AP77,Resultados!BJ77,Resultados!BT77,Resultados!CN77,Resultados!CX77,Resultados!DH77)=0, "", AVERAGE(ABS(Resultados!B77),ABS(Resultados!L77),ABS(Resultados!V77),ABS(Resultados!AP77),ABS(Resultados!BJ77),ABS(Resultados!BT77),ABS(Resultados!CN77),ABS(Resultados!CX77),ABS(Resultados!DH77)))</f>
        <v/>
      </c>
      <c r="C77">
        <f>IF(COUNT(Resultados!C77,Resultados!M77,Resultados!W77,Resultados!AQ77,Resultados!BK77,Resultados!BU77,Resultados!CO77,Resultados!CY77,Resultados!DI77)=0, "", AVERAGE(ABS(Resultados!C77),ABS(Resultados!M77),ABS(Resultados!W77),ABS(Resultados!AQ77),ABS(Resultados!BK77),ABS(Resultados!BU77),ABS(Resultados!CO77),ABS(Resultados!CY77),ABS(Resultados!DI77)))</f>
        <v>3.4444444444444446</v>
      </c>
      <c r="D77">
        <f>IF(COUNT(Resultados!D77,Resultados!N77,Resultados!X77,Resultados!AR77,Resultados!BL77,Resultados!BV77,Resultados!CP77,Resultados!CZ77,Resultados!DJ77)=0, "", AVERAGE(ABS(Resultados!D77),ABS(Resultados!N77),ABS(Resultados!X77),ABS(Resultados!AR77),ABS(Resultados!BL77),ABS(Resultados!BV77),ABS(Resultados!CP77),ABS(Resultados!CZ77),ABS(Resultados!DJ77)))</f>
        <v>1.1166666666666667E-2</v>
      </c>
      <c r="E77">
        <f>IF(COUNT(Resultados!E77,Resultados!O77,Resultados!Y77,Resultados!AS77,Resultados!BM77,Resultados!BW77,Resultados!CQ77,Resultados!DA77,Resultados!DK77)=0, "", AVERAGE(ABS(Resultados!E77),ABS(Resultados!O77),ABS(Resultados!Y77),ABS(Resultados!AS77),ABS(Resultados!BM77),ABS(Resultados!BW77),ABS(Resultados!CQ77),ABS(Resultados!DA77),ABS(Resultados!DK77)))</f>
        <v>6.4222890191281348</v>
      </c>
      <c r="F77">
        <f>IF(COUNT(Resultados!F77,Resultados!P77,Resultados!Z77,Resultados!AT77,Resultados!BN77,Resultados!BX77,Resultados!CR77,Resultados!DB77,Resultados!DL77)=0, "", AVERAGE(ABS(Resultados!F77),ABS(Resultados!P77),ABS(Resultados!Z77),ABS(Resultados!AT77),ABS(Resultados!BN77),ABS(Resultados!BX77),ABS(Resultados!CR77),ABS(Resultados!DB77),ABS(Resultados!DL77)))</f>
        <v>646.55733658274221</v>
      </c>
      <c r="G77">
        <f>IF(COUNT(Resultados!G77,Resultados!Q77,Resultados!AA77,Resultados!AU77,Resultados!BO77,Resultados!BY77,Resultados!CS77,Resultados!DC77,Resultados!DM77)=0, "", AVERAGE(ABS(Resultados!G77),ABS(Resultados!Q77),ABS(Resultados!AA77),ABS(Resultados!AU77),ABS(Resultados!BO77),ABS(Resultados!BY77),ABS(Resultados!CS77),ABS(Resultados!DC77),ABS(Resultados!DM77)))</f>
        <v>0.42399999999999999</v>
      </c>
      <c r="H77">
        <f>IF(COUNT(Resultados!H77,Resultados!R77,Resultados!AB77,Resultados!AV77,Resultados!BP77,Resultados!BZ77,Resultados!CT77,Resultados!DD77,Resultados!DN77)=0, "", AVERAGE(ABS(Resultados!H77),ABS(Resultados!R77),ABS(Resultados!AB77),ABS(Resultados!AV77),ABS(Resultados!BP77),ABS(Resultados!BZ77),ABS(Resultados!CT77),ABS(Resultados!DD77),ABS(Resultados!DN77)))</f>
        <v>6.6333333333333322E-3</v>
      </c>
      <c r="I77">
        <f>IF(COUNT(Resultados!I77,Resultados!S77,Resultados!AC77,Resultados!AW77,Resultados!BQ77,Resultados!CA77,Resultados!CU77,Resultados!DE77,Resultados!DO77)=0, "", AVERAGE(ABS(Resultados!I77),ABS(Resultados!S77),ABS(Resultados!AC77),ABS(Resultados!AW77),ABS(Resultados!BQ77),ABS(Resultados!CA77),ABS(Resultados!CU77),ABS(Resultados!DE77),ABS(Resultados!DO77)))</f>
        <v>15.044904444444452</v>
      </c>
      <c r="J77">
        <f>IF(COUNT(Resultados!J77,Resultados!T77,Resultados!AD77,Resultados!AX77,Resultados!BR77,Resultados!CB77,Resultados!CV77,Resultados!DF77,Resultados!DP77)=0, "", AVERAGE(ABS(Resultados!J77),ABS(Resultados!T77),ABS(Resultados!AD77),ABS(Resultados!AX77),ABS(Resultados!BR77),ABS(Resultados!CB77),ABS(Resultados!CV77),ABS(Resultados!DF77),ABS(Resultados!DP77)))</f>
        <v>6.6333333333333322E-3</v>
      </c>
      <c r="K77">
        <v>1.1166666666666667E-2</v>
      </c>
    </row>
    <row r="78" spans="1:11" x14ac:dyDescent="0.3">
      <c r="A78">
        <f>IF(COUNT(Resultados!A78,Resultados!K78,Resultados!U78,Resultados!AO78,Resultados!BI78,Resultados!BS78,Resultados!CM78,Resultados!CW78,Resultados!DG78)=0, "", AVERAGE(ABS(Resultados!A78),ABS(Resultados!K78),ABS(Resultados!U78),ABS(Resultados!AO78),ABS(Resultados!BI78),ABS(Resultados!BS78),ABS(Resultados!CM78),ABS(Resultados!CW78),ABS(Resultados!DG78)))</f>
        <v>45681</v>
      </c>
      <c r="B78" t="str">
        <f>IF(COUNT(Resultados!B78,Resultados!L78,Resultados!V78,Resultados!AP78,Resultados!BJ78,Resultados!BT78,Resultados!CN78,Resultados!CX78,Resultados!DH78)=0, "", AVERAGE(ABS(Resultados!B78),ABS(Resultados!L78),ABS(Resultados!V78),ABS(Resultados!AP78),ABS(Resultados!BJ78),ABS(Resultados!BT78),ABS(Resultados!CN78),ABS(Resultados!CX78),ABS(Resultados!DH78)))</f>
        <v/>
      </c>
      <c r="C78">
        <f>IF(COUNT(Resultados!C78,Resultados!M78,Resultados!W78,Resultados!AQ78,Resultados!BK78,Resultados!BU78,Resultados!CO78,Resultados!CY78,Resultados!DI78)=0, "", AVERAGE(ABS(Resultados!C78),ABS(Resultados!M78),ABS(Resultados!W78),ABS(Resultados!AQ78),ABS(Resultados!BK78),ABS(Resultados!BU78),ABS(Resultados!CO78),ABS(Resultados!CY78),ABS(Resultados!DI78)))</f>
        <v>3.4444444444444446</v>
      </c>
      <c r="D78">
        <f>IF(COUNT(Resultados!D78,Resultados!N78,Resultados!X78,Resultados!AR78,Resultados!BL78,Resultados!BV78,Resultados!CP78,Resultados!CZ78,Resultados!DJ78)=0, "", AVERAGE(ABS(Resultados!D78),ABS(Resultados!N78),ABS(Resultados!X78),ABS(Resultados!AR78),ABS(Resultados!BL78),ABS(Resultados!BV78),ABS(Resultados!CP78),ABS(Resultados!CZ78),ABS(Resultados!DJ78)))</f>
        <v>9.9777777777777764E-3</v>
      </c>
      <c r="E78">
        <f>IF(COUNT(Resultados!E78,Resultados!O78,Resultados!Y78,Resultados!AS78,Resultados!BM78,Resultados!BW78,Resultados!CQ78,Resultados!DA78,Resultados!DK78)=0, "", AVERAGE(ABS(Resultados!E78),ABS(Resultados!O78),ABS(Resultados!Y78),ABS(Resultados!AS78),ABS(Resultados!BM78),ABS(Resultados!BW78),ABS(Resultados!CQ78),ABS(Resultados!DA78),ABS(Resultados!DK78)))</f>
        <v>6.3451873292161771</v>
      </c>
      <c r="F78">
        <f>IF(COUNT(Resultados!F78,Resultados!P78,Resultados!Z78,Resultados!AT78,Resultados!BN78,Resultados!BX78,Resultados!CR78,Resultados!DB78,Resultados!DL78)=0, "", AVERAGE(ABS(Resultados!F78),ABS(Resultados!P78),ABS(Resultados!Z78),ABS(Resultados!AT78),ABS(Resultados!BN78),ABS(Resultados!BX78),ABS(Resultados!CR78),ABS(Resultados!DB78),ABS(Resultados!DL78)))</f>
        <v>639.37145908294747</v>
      </c>
      <c r="G78">
        <f>IF(COUNT(Resultados!G78,Resultados!Q78,Resultados!AA78,Resultados!AU78,Resultados!BO78,Resultados!BY78,Resultados!CS78,Resultados!DC78,Resultados!DM78)=0, "", AVERAGE(ABS(Resultados!G78),ABS(Resultados!Q78),ABS(Resultados!AA78),ABS(Resultados!AU78),ABS(Resultados!BO78),ABS(Resultados!BY78),ABS(Resultados!CS78),ABS(Resultados!DC78),ABS(Resultados!DM78)))</f>
        <v>0.42399999999999999</v>
      </c>
      <c r="H78">
        <f>IF(COUNT(Resultados!H78,Resultados!R78,Resultados!AB78,Resultados!AV78,Resultados!BP78,Resultados!BZ78,Resultados!CT78,Resultados!DD78,Resultados!DN78)=0, "", AVERAGE(ABS(Resultados!H78),ABS(Resultados!R78),ABS(Resultados!AB78),ABS(Resultados!AV78),ABS(Resultados!BP78),ABS(Resultados!BZ78),ABS(Resultados!CT78),ABS(Resultados!DD78),ABS(Resultados!DN78)))</f>
        <v>5.4333333333333343E-3</v>
      </c>
      <c r="I78">
        <f>IF(COUNT(Resultados!I78,Resultados!S78,Resultados!AC78,Resultados!AW78,Resultados!BQ78,Resultados!CA78,Resultados!CU78,Resultados!DE78,Resultados!DO78)=0, "", AVERAGE(ABS(Resultados!I78),ABS(Resultados!S78),ABS(Resultados!AC78),ABS(Resultados!AW78),ABS(Resultados!BQ78),ABS(Resultados!CA78),ABS(Resultados!CU78),ABS(Resultados!DE78),ABS(Resultados!DO78)))</f>
        <v>15.244995555555555</v>
      </c>
      <c r="J78">
        <f>IF(COUNT(Resultados!J78,Resultados!T78,Resultados!AD78,Resultados!AX78,Resultados!BR78,Resultados!CB78,Resultados!CV78,Resultados!DF78,Resultados!DP78)=0, "", AVERAGE(ABS(Resultados!J78),ABS(Resultados!T78),ABS(Resultados!AD78),ABS(Resultados!AX78),ABS(Resultados!BR78),ABS(Resultados!CB78),ABS(Resultados!CV78),ABS(Resultados!DF78),ABS(Resultados!DP78)))</f>
        <v>5.4333333333333343E-3</v>
      </c>
      <c r="K78">
        <v>9.9777777777777764E-3</v>
      </c>
    </row>
    <row r="79" spans="1:11" x14ac:dyDescent="0.3">
      <c r="A79">
        <f>IF(COUNT(Resultados!A79,Resultados!K79,Resultados!U79,Resultados!AO79,Resultados!BI79,Resultados!BS79,Resultados!CM79,Resultados!CW79,Resultados!DG79)=0, "", AVERAGE(ABS(Resultados!A79),ABS(Resultados!K79),ABS(Resultados!U79),ABS(Resultados!AO79),ABS(Resultados!BI79),ABS(Resultados!BS79),ABS(Resultados!CM79),ABS(Resultados!CW79),ABS(Resultados!DG79)))</f>
        <v>45681</v>
      </c>
      <c r="B79" t="str">
        <f>IF(COUNT(Resultados!B79,Resultados!L79,Resultados!V79,Resultados!AP79,Resultados!BJ79,Resultados!BT79,Resultados!CN79,Resultados!CX79,Resultados!DH79)=0, "", AVERAGE(ABS(Resultados!B79),ABS(Resultados!L79),ABS(Resultados!V79),ABS(Resultados!AP79),ABS(Resultados!BJ79),ABS(Resultados!BT79),ABS(Resultados!CN79),ABS(Resultados!CX79),ABS(Resultados!DH79)))</f>
        <v/>
      </c>
      <c r="C79">
        <f>IF(COUNT(Resultados!C79,Resultados!M79,Resultados!W79,Resultados!AQ79,Resultados!BK79,Resultados!BU79,Resultados!CO79,Resultados!CY79,Resultados!DI79)=0, "", AVERAGE(ABS(Resultados!C79),ABS(Resultados!M79),ABS(Resultados!W79),ABS(Resultados!AQ79),ABS(Resultados!BK79),ABS(Resultados!BU79),ABS(Resultados!CO79),ABS(Resultados!CY79),ABS(Resultados!DI79)))</f>
        <v>3.4444444444444446</v>
      </c>
      <c r="D79">
        <f>IF(COUNT(Resultados!D79,Resultados!N79,Resultados!X79,Resultados!AR79,Resultados!BL79,Resultados!BV79,Resultados!CP79,Resultados!CZ79,Resultados!DJ79)=0, "", AVERAGE(ABS(Resultados!D79),ABS(Resultados!N79),ABS(Resultados!X79),ABS(Resultados!AR79),ABS(Resultados!BL79),ABS(Resultados!BV79),ABS(Resultados!CP79),ABS(Resultados!CZ79),ABS(Resultados!DJ79)))</f>
        <v>9.0000000000000011E-3</v>
      </c>
      <c r="E79">
        <f>IF(COUNT(Resultados!E79,Resultados!O79,Resultados!Y79,Resultados!AS79,Resultados!BM79,Resultados!BW79,Resultados!CQ79,Resultados!DA79,Resultados!DK79)=0, "", AVERAGE(ABS(Resultados!E79),ABS(Resultados!O79),ABS(Resultados!Y79),ABS(Resultados!AS79),ABS(Resultados!BM79),ABS(Resultados!BW79),ABS(Resultados!CQ79),ABS(Resultados!DA79),ABS(Resultados!DK79)))</f>
        <v>6.2764576930260088</v>
      </c>
      <c r="F79">
        <f>IF(COUNT(Resultados!F79,Resultados!P79,Resultados!Z79,Resultados!AT79,Resultados!BN79,Resultados!BX79,Resultados!CR79,Resultados!DB79,Resultados!DL79)=0, "", AVERAGE(ABS(Resultados!F79),ABS(Resultados!P79),ABS(Resultados!Z79),ABS(Resultados!AT79),ABS(Resultados!BN79),ABS(Resultados!BX79),ABS(Resultados!CR79),ABS(Resultados!DB79),ABS(Resultados!DL79)))</f>
        <v>632.96585699002401</v>
      </c>
      <c r="G79">
        <f>IF(COUNT(Resultados!G79,Resultados!Q79,Resultados!AA79,Resultados!AU79,Resultados!BO79,Resultados!BY79,Resultados!CS79,Resultados!DC79,Resultados!DM79)=0, "", AVERAGE(ABS(Resultados!G79),ABS(Resultados!Q79),ABS(Resultados!AA79),ABS(Resultados!AU79),ABS(Resultados!BO79),ABS(Resultados!BY79),ABS(Resultados!CS79),ABS(Resultados!DC79),ABS(Resultados!DM79)))</f>
        <v>0.42399999999999999</v>
      </c>
      <c r="H79">
        <f>IF(COUNT(Resultados!H79,Resultados!R79,Resultados!AB79,Resultados!AV79,Resultados!BP79,Resultados!BZ79,Resultados!CT79,Resultados!DD79,Resultados!DN79)=0, "", AVERAGE(ABS(Resultados!H79),ABS(Resultados!R79),ABS(Resultados!AB79),ABS(Resultados!AV79),ABS(Resultados!BP79),ABS(Resultados!BZ79),ABS(Resultados!CT79),ABS(Resultados!DD79),ABS(Resultados!DN79)))</f>
        <v>4.3444444444444433E-3</v>
      </c>
      <c r="I79">
        <f>IF(COUNT(Resultados!I79,Resultados!S79,Resultados!AC79,Resultados!AW79,Resultados!BQ79,Resultados!CA79,Resultados!CU79,Resultados!DE79,Resultados!DO79)=0, "", AVERAGE(ABS(Resultados!I79),ABS(Resultados!S79),ABS(Resultados!AC79),ABS(Resultados!AW79),ABS(Resultados!BQ79),ABS(Resultados!CA79),ABS(Resultados!CU79),ABS(Resultados!DE79),ABS(Resultados!DO79)))</f>
        <v>15.444360000000001</v>
      </c>
      <c r="J79">
        <f>IF(COUNT(Resultados!J79,Resultados!T79,Resultados!AD79,Resultados!AX79,Resultados!BR79,Resultados!CB79,Resultados!CV79,Resultados!DF79,Resultados!DP79)=0, "", AVERAGE(ABS(Resultados!J79),ABS(Resultados!T79),ABS(Resultados!AD79),ABS(Resultados!AX79),ABS(Resultados!BR79),ABS(Resultados!CB79),ABS(Resultados!CV79),ABS(Resultados!DF79),ABS(Resultados!DP79)))</f>
        <v>4.3444444444444433E-3</v>
      </c>
      <c r="K79">
        <v>9.0000000000000011E-3</v>
      </c>
    </row>
    <row r="80" spans="1:11" x14ac:dyDescent="0.3">
      <c r="A80">
        <f>IF(COUNT(Resultados!A80,Resultados!K80,Resultados!U80,Resultados!AO80,Resultados!BI80,Resultados!BS80,Resultados!CM80,Resultados!CW80,Resultados!DG80)=0, "", AVERAGE(ABS(Resultados!A80),ABS(Resultados!K80),ABS(Resultados!U80),ABS(Resultados!AO80),ABS(Resultados!BI80),ABS(Resultados!BS80),ABS(Resultados!CM80),ABS(Resultados!CW80),ABS(Resultados!DG80)))</f>
        <v>45681</v>
      </c>
      <c r="B80" t="str">
        <f>IF(COUNT(Resultados!B80,Resultados!L80,Resultados!V80,Resultados!AP80,Resultados!BJ80,Resultados!BT80,Resultados!CN80,Resultados!CX80,Resultados!DH80)=0, "", AVERAGE(ABS(Resultados!B80),ABS(Resultados!L80),ABS(Resultados!V80),ABS(Resultados!AP80),ABS(Resultados!BJ80),ABS(Resultados!BT80),ABS(Resultados!CN80),ABS(Resultados!CX80),ABS(Resultados!DH80)))</f>
        <v/>
      </c>
      <c r="C80">
        <f>IF(COUNT(Resultados!C80,Resultados!M80,Resultados!W80,Resultados!AQ80,Resultados!BK80,Resultados!BU80,Resultados!CO80,Resultados!CY80,Resultados!DI80)=0, "", AVERAGE(ABS(Resultados!C80),ABS(Resultados!M80),ABS(Resultados!W80),ABS(Resultados!AQ80),ABS(Resultados!BK80),ABS(Resultados!BU80),ABS(Resultados!CO80),ABS(Resultados!CY80),ABS(Resultados!DI80)))</f>
        <v>3.4444444444444446</v>
      </c>
      <c r="D80">
        <f>IF(COUNT(Resultados!D80,Resultados!N80,Resultados!X80,Resultados!AR80,Resultados!BL80,Resultados!BV80,Resultados!CP80,Resultados!CZ80,Resultados!DJ80)=0, "", AVERAGE(ABS(Resultados!D80),ABS(Resultados!N80),ABS(Resultados!X80),ABS(Resultados!AR80),ABS(Resultados!BL80),ABS(Resultados!BV80),ABS(Resultados!CP80),ABS(Resultados!CZ80),ABS(Resultados!DJ80)))</f>
        <v>8.1888888888888896E-3</v>
      </c>
      <c r="E80">
        <f>IF(COUNT(Resultados!E80,Resultados!O80,Resultados!Y80,Resultados!AS80,Resultados!BM80,Resultados!BW80,Resultados!CQ80,Resultados!DA80,Resultados!DK80)=0, "", AVERAGE(ABS(Resultados!E80),ABS(Resultados!O80),ABS(Resultados!Y80),ABS(Resultados!AS80),ABS(Resultados!BM80),ABS(Resultados!BW80),ABS(Resultados!CQ80),ABS(Resultados!DA80),ABS(Resultados!DK80)))</f>
        <v>6.2173089595504516</v>
      </c>
      <c r="F80">
        <f>IF(COUNT(Resultados!F80,Resultados!P80,Resultados!Z80,Resultados!AT80,Resultados!BN80,Resultados!BX80,Resultados!CR80,Resultados!DB80,Resultados!DL80)=0, "", AVERAGE(ABS(Resultados!F80),ABS(Resultados!P80),ABS(Resultados!Z80),ABS(Resultados!AT80),ABS(Resultados!BN80),ABS(Resultados!BX80),ABS(Resultados!CR80),ABS(Resultados!DB80),ABS(Resultados!DL80)))</f>
        <v>627.45319503010205</v>
      </c>
      <c r="G80">
        <f>IF(COUNT(Resultados!G80,Resultados!Q80,Resultados!AA80,Resultados!AU80,Resultados!BO80,Resultados!BY80,Resultados!CS80,Resultados!DC80,Resultados!DM80)=0, "", AVERAGE(ABS(Resultados!G80),ABS(Resultados!Q80),ABS(Resultados!AA80),ABS(Resultados!AU80),ABS(Resultados!BO80),ABS(Resultados!BY80),ABS(Resultados!CS80),ABS(Resultados!DC80),ABS(Resultados!DM80)))</f>
        <v>0.42399999999999999</v>
      </c>
      <c r="H80">
        <f>IF(COUNT(Resultados!H80,Resultados!R80,Resultados!AB80,Resultados!AV80,Resultados!BP80,Resultados!BZ80,Resultados!CT80,Resultados!DD80,Resultados!DN80)=0, "", AVERAGE(ABS(Resultados!H80),ABS(Resultados!R80),ABS(Resultados!AB80),ABS(Resultados!AV80),ABS(Resultados!BP80),ABS(Resultados!BZ80),ABS(Resultados!CT80),ABS(Resultados!DD80),ABS(Resultados!DN80)))</f>
        <v>3.4444444444444444E-3</v>
      </c>
      <c r="I80">
        <f>IF(COUNT(Resultados!I80,Resultados!S80,Resultados!AC80,Resultados!AW80,Resultados!BQ80,Resultados!CA80,Resultados!CU80,Resultados!DE80,Resultados!DO80)=0, "", AVERAGE(ABS(Resultados!I80),ABS(Resultados!S80),ABS(Resultados!AC80),ABS(Resultados!AW80),ABS(Resultados!BQ80),ABS(Resultados!CA80),ABS(Resultados!CU80),ABS(Resultados!DE80),ABS(Resultados!DO80)))</f>
        <v>15.644603333333338</v>
      </c>
      <c r="J80">
        <f>IF(COUNT(Resultados!J80,Resultados!T80,Resultados!AD80,Resultados!AX80,Resultados!BR80,Resultados!CB80,Resultados!CV80,Resultados!DF80,Resultados!DP80)=0, "", AVERAGE(ABS(Resultados!J80),ABS(Resultados!T80),ABS(Resultados!AD80),ABS(Resultados!AX80),ABS(Resultados!BR80),ABS(Resultados!CB80),ABS(Resultados!CV80),ABS(Resultados!DF80),ABS(Resultados!DP80)))</f>
        <v>3.4444444444444444E-3</v>
      </c>
      <c r="K80">
        <v>8.1888888888888896E-3</v>
      </c>
    </row>
    <row r="81" spans="1:11" x14ac:dyDescent="0.3">
      <c r="A81">
        <f>IF(COUNT(Resultados!A81,Resultados!K81,Resultados!U81,Resultados!AO81,Resultados!BI81,Resultados!BS81,Resultados!CM81,Resultados!CW81,Resultados!DG81)=0, "", AVERAGE(ABS(Resultados!A81),ABS(Resultados!K81),ABS(Resultados!U81),ABS(Resultados!AO81),ABS(Resultados!BI81),ABS(Resultados!BS81),ABS(Resultados!CM81),ABS(Resultados!CW81),ABS(Resultados!DG81)))</f>
        <v>45681</v>
      </c>
      <c r="B81" t="str">
        <f>IF(COUNT(Resultados!B81,Resultados!L81,Resultados!V81,Resultados!AP81,Resultados!BJ81,Resultados!BT81,Resultados!CN81,Resultados!CX81,Resultados!DH81)=0, "", AVERAGE(ABS(Resultados!B81),ABS(Resultados!L81),ABS(Resultados!V81),ABS(Resultados!AP81),ABS(Resultados!BJ81),ABS(Resultados!BT81),ABS(Resultados!CN81),ABS(Resultados!CX81),ABS(Resultados!DH81)))</f>
        <v/>
      </c>
      <c r="C81">
        <f>IF(COUNT(Resultados!C81,Resultados!M81,Resultados!W81,Resultados!AQ81,Resultados!BK81,Resultados!BU81,Resultados!CO81,Resultados!CY81,Resultados!DI81)=0, "", AVERAGE(ABS(Resultados!C81),ABS(Resultados!M81),ABS(Resultados!W81),ABS(Resultados!AQ81),ABS(Resultados!BK81),ABS(Resultados!BU81),ABS(Resultados!CO81),ABS(Resultados!CY81),ABS(Resultados!DI81)))</f>
        <v>3.4444444444444446</v>
      </c>
      <c r="D81">
        <f>IF(COUNT(Resultados!D81,Resultados!N81,Resultados!X81,Resultados!AR81,Resultados!BL81,Resultados!BV81,Resultados!CP81,Resultados!CZ81,Resultados!DJ81)=0, "", AVERAGE(ABS(Resultados!D81),ABS(Resultados!N81),ABS(Resultados!X81),ABS(Resultados!AR81),ABS(Resultados!BL81),ABS(Resultados!BV81),ABS(Resultados!CP81),ABS(Resultados!CZ81),ABS(Resultados!DJ81)))</f>
        <v>7.3555555555555553E-3</v>
      </c>
      <c r="E81">
        <f>IF(COUNT(Resultados!E81,Resultados!O81,Resultados!Y81,Resultados!AS81,Resultados!BM81,Resultados!BW81,Resultados!CQ81,Resultados!DA81,Resultados!DK81)=0, "", AVERAGE(ABS(Resultados!E81),ABS(Resultados!O81),ABS(Resultados!Y81),ABS(Resultados!AS81),ABS(Resultados!BM81),ABS(Resultados!BW81),ABS(Resultados!CQ81),ABS(Resultados!DA81),ABS(Resultados!DK81)))</f>
        <v>6.1693185997556368</v>
      </c>
      <c r="F81">
        <f>IF(COUNT(Resultados!F81,Resultados!P81,Resultados!Z81,Resultados!AT81,Resultados!BN81,Resultados!BX81,Resultados!CR81,Resultados!DB81,Resultados!DL81)=0, "", AVERAGE(ABS(Resultados!F81),ABS(Resultados!P81),ABS(Resultados!Z81),ABS(Resultados!AT81),ABS(Resultados!BN81),ABS(Resultados!BX81),ABS(Resultados!CR81),ABS(Resultados!DB81),ABS(Resultados!DL81)))</f>
        <v>634.33687341246593</v>
      </c>
      <c r="G81">
        <f>IF(COUNT(Resultados!G81,Resultados!Q81,Resultados!AA81,Resultados!AU81,Resultados!BO81,Resultados!BY81,Resultados!CS81,Resultados!DC81,Resultados!DM81)=0, "", AVERAGE(ABS(Resultados!G81),ABS(Resultados!Q81),ABS(Resultados!AA81),ABS(Resultados!AU81),ABS(Resultados!BO81),ABS(Resultados!BY81),ABS(Resultados!CS81),ABS(Resultados!DC81),ABS(Resultados!DM81)))</f>
        <v>0.42399999999999999</v>
      </c>
      <c r="H81">
        <f>IF(COUNT(Resultados!H81,Resultados!R81,Resultados!AB81,Resultados!AV81,Resultados!BP81,Resultados!BZ81,Resultados!CT81,Resultados!DD81,Resultados!DN81)=0, "", AVERAGE(ABS(Resultados!H81),ABS(Resultados!R81),ABS(Resultados!AB81),ABS(Resultados!AV81),ABS(Resultados!BP81),ABS(Resultados!BZ81),ABS(Resultados!CT81),ABS(Resultados!DD81),ABS(Resultados!DN81)))</f>
        <v>2.6777777777777772E-3</v>
      </c>
      <c r="I81">
        <f>IF(COUNT(Resultados!I81,Resultados!S81,Resultados!AC81,Resultados!AW81,Resultados!BQ81,Resultados!CA81,Resultados!CU81,Resultados!DE81,Resultados!DO81)=0, "", AVERAGE(ABS(Resultados!I81),ABS(Resultados!S81),ABS(Resultados!AC81),ABS(Resultados!AW81),ABS(Resultados!BQ81),ABS(Resultados!CA81),ABS(Resultados!CU81),ABS(Resultados!DE81),ABS(Resultados!DO81)))</f>
        <v>15.84440222222223</v>
      </c>
      <c r="J81">
        <f>IF(COUNT(Resultados!J81,Resultados!T81,Resultados!AD81,Resultados!AX81,Resultados!BR81,Resultados!CB81,Resultados!CV81,Resultados!DF81,Resultados!DP81)=0, "", AVERAGE(ABS(Resultados!J81),ABS(Resultados!T81),ABS(Resultados!AD81),ABS(Resultados!AX81),ABS(Resultados!BR81),ABS(Resultados!CB81),ABS(Resultados!CV81),ABS(Resultados!DF81),ABS(Resultados!DP81)))</f>
        <v>2.6777777777777772E-3</v>
      </c>
      <c r="K81">
        <v>7.3555555555555553E-3</v>
      </c>
    </row>
    <row r="82" spans="1:11" x14ac:dyDescent="0.3">
      <c r="A82">
        <f>IF(COUNT(Resultados!A82,Resultados!K82,Resultados!U82,Resultados!AO82,Resultados!BI82,Resultados!BS82,Resultados!CM82,Resultados!CW82,Resultados!DG82)=0, "", AVERAGE(ABS(Resultados!A82),ABS(Resultados!K82),ABS(Resultados!U82),ABS(Resultados!AO82),ABS(Resultados!BI82),ABS(Resultados!BS82),ABS(Resultados!CM82),ABS(Resultados!CW82),ABS(Resultados!DG82)))</f>
        <v>45681</v>
      </c>
      <c r="B82" t="str">
        <f>IF(COUNT(Resultados!B82,Resultados!L82,Resultados!V82,Resultados!AP82,Resultados!BJ82,Resultados!BT82,Resultados!CN82,Resultados!CX82,Resultados!DH82)=0, "", AVERAGE(ABS(Resultados!B82),ABS(Resultados!L82),ABS(Resultados!V82),ABS(Resultados!AP82),ABS(Resultados!BJ82),ABS(Resultados!BT82),ABS(Resultados!CN82),ABS(Resultados!CX82),ABS(Resultados!DH82)))</f>
        <v/>
      </c>
      <c r="C82">
        <f>IF(COUNT(Resultados!C82,Resultados!M82,Resultados!W82,Resultados!AQ82,Resultados!BK82,Resultados!BU82,Resultados!CO82,Resultados!CY82,Resultados!DI82)=0, "", AVERAGE(ABS(Resultados!C82),ABS(Resultados!M82),ABS(Resultados!W82),ABS(Resultados!AQ82),ABS(Resultados!BK82),ABS(Resultados!BU82),ABS(Resultados!CO82),ABS(Resultados!CY82),ABS(Resultados!DI82)))</f>
        <v>3.5555555555555554</v>
      </c>
      <c r="D82">
        <f>IF(COUNT(Resultados!D82,Resultados!N82,Resultados!X82,Resultados!AR82,Resultados!BL82,Resultados!BV82,Resultados!CP82,Resultados!CZ82,Resultados!DJ82)=0, "", AVERAGE(ABS(Resultados!D82),ABS(Resultados!N82),ABS(Resultados!X82),ABS(Resultados!AR82),ABS(Resultados!BL82),ABS(Resultados!BV82),ABS(Resultados!CP82),ABS(Resultados!CZ82),ABS(Resultados!DJ82)))</f>
        <v>6.4222222222222215E-3</v>
      </c>
      <c r="E82">
        <f>IF(COUNT(Resultados!E82,Resultados!O82,Resultados!Y82,Resultados!AS82,Resultados!BM82,Resultados!BW82,Resultados!CQ82,Resultados!DA82,Resultados!DK82)=0, "", AVERAGE(ABS(Resultados!E82),ABS(Resultados!O82),ABS(Resultados!Y82),ABS(Resultados!AS82),ABS(Resultados!BM82),ABS(Resultados!BW82),ABS(Resultados!CQ82),ABS(Resultados!DA82),ABS(Resultados!DK82)))</f>
        <v>6.133431950990234</v>
      </c>
      <c r="F82">
        <f>IF(COUNT(Resultados!F82,Resultados!P82,Resultados!Z82,Resultados!AT82,Resultados!BN82,Resultados!BX82,Resultados!CR82,Resultados!DB82,Resultados!DL82)=0, "", AVERAGE(ABS(Resultados!F82),ABS(Resultados!P82),ABS(Resultados!Z82),ABS(Resultados!AT82),ABS(Resultados!BN82),ABS(Resultados!BX82),ABS(Resultados!CR82),ABS(Resultados!DB82),ABS(Resultados!DL82)))</f>
        <v>630.99693685608725</v>
      </c>
      <c r="G82">
        <f>IF(COUNT(Resultados!G82,Resultados!Q82,Resultados!AA82,Resultados!AU82,Resultados!BO82,Resultados!BY82,Resultados!CS82,Resultados!DC82,Resultados!DM82)=0, "", AVERAGE(ABS(Resultados!G82),ABS(Resultados!Q82),ABS(Resultados!AA82),ABS(Resultados!AU82),ABS(Resultados!BO82),ABS(Resultados!BY82),ABS(Resultados!CS82),ABS(Resultados!DC82),ABS(Resultados!DM82)))</f>
        <v>0.42399999999999999</v>
      </c>
      <c r="H82">
        <f>IF(COUNT(Resultados!H82,Resultados!R82,Resultados!AB82,Resultados!AV82,Resultados!BP82,Resultados!BZ82,Resultados!CT82,Resultados!DD82,Resultados!DN82)=0, "", AVERAGE(ABS(Resultados!H82),ABS(Resultados!R82),ABS(Resultados!AB82),ABS(Resultados!AV82),ABS(Resultados!BP82),ABS(Resultados!BZ82),ABS(Resultados!CT82),ABS(Resultados!DD82),ABS(Resultados!DN82)))</f>
        <v>2.1333333333333334E-3</v>
      </c>
      <c r="I82">
        <f>IF(COUNT(Resultados!I82,Resultados!S82,Resultados!AC82,Resultados!AW82,Resultados!BQ82,Resultados!CA82,Resultados!CU82,Resultados!DE82,Resultados!DO82)=0, "", AVERAGE(ABS(Resultados!I82),ABS(Resultados!S82),ABS(Resultados!AC82),ABS(Resultados!AW82),ABS(Resultados!BQ82),ABS(Resultados!CA82),ABS(Resultados!CU82),ABS(Resultados!DE82),ABS(Resultados!DO82)))</f>
        <v>16.045365555555559</v>
      </c>
      <c r="J82">
        <f>IF(COUNT(Resultados!J82,Resultados!T82,Resultados!AD82,Resultados!AX82,Resultados!BR82,Resultados!CB82,Resultados!CV82,Resultados!DF82,Resultados!DP82)=0, "", AVERAGE(ABS(Resultados!J82),ABS(Resultados!T82),ABS(Resultados!AD82),ABS(Resultados!AX82),ABS(Resultados!BR82),ABS(Resultados!CB82),ABS(Resultados!CV82),ABS(Resultados!DF82),ABS(Resultados!DP82)))</f>
        <v>2.1333333333333334E-3</v>
      </c>
      <c r="K82">
        <v>6.4222222222222215E-3</v>
      </c>
    </row>
    <row r="83" spans="1:11" x14ac:dyDescent="0.3">
      <c r="A83">
        <f>IF(COUNT(Resultados!A83,Resultados!K83,Resultados!U83,Resultados!AO83,Resultados!BI83,Resultados!BS83,Resultados!CM83,Resultados!CW83,Resultados!DG83)=0, "", AVERAGE(ABS(Resultados!A83),ABS(Resultados!K83),ABS(Resultados!U83),ABS(Resultados!AO83),ABS(Resultados!BI83),ABS(Resultados!BS83),ABS(Resultados!CM83),ABS(Resultados!CW83),ABS(Resultados!DG83)))</f>
        <v>45681</v>
      </c>
      <c r="B83" t="str">
        <f>IF(COUNT(Resultados!B83,Resultados!L83,Resultados!V83,Resultados!AP83,Resultados!BJ83,Resultados!BT83,Resultados!CN83,Resultados!CX83,Resultados!DH83)=0, "", AVERAGE(ABS(Resultados!B83),ABS(Resultados!L83),ABS(Resultados!V83),ABS(Resultados!AP83),ABS(Resultados!BJ83),ABS(Resultados!BT83),ABS(Resultados!CN83),ABS(Resultados!CX83),ABS(Resultados!DH83)))</f>
        <v/>
      </c>
      <c r="C83">
        <f>IF(COUNT(Resultados!C83,Resultados!M83,Resultados!W83,Resultados!AQ83,Resultados!BK83,Resultados!BU83,Resultados!CO83,Resultados!CY83,Resultados!DI83)=0, "", AVERAGE(ABS(Resultados!C83),ABS(Resultados!M83),ABS(Resultados!W83),ABS(Resultados!AQ83),ABS(Resultados!BK83),ABS(Resultados!BU83),ABS(Resultados!CO83),ABS(Resultados!CY83),ABS(Resultados!DI83)))</f>
        <v>3.5555555555555554</v>
      </c>
      <c r="D83">
        <f>IF(COUNT(Resultados!D83,Resultados!N83,Resultados!X83,Resultados!AR83,Resultados!BL83,Resultados!BV83,Resultados!CP83,Resultados!CZ83,Resultados!DJ83)=0, "", AVERAGE(ABS(Resultados!D83),ABS(Resultados!N83),ABS(Resultados!X83),ABS(Resultados!AR83),ABS(Resultados!BL83),ABS(Resultados!BV83),ABS(Resultados!CP83),ABS(Resultados!CZ83),ABS(Resultados!DJ83)))</f>
        <v>5.9222222222222211E-3</v>
      </c>
      <c r="E83">
        <f>IF(COUNT(Resultados!E83,Resultados!O83,Resultados!Y83,Resultados!AS83,Resultados!BM83,Resultados!BW83,Resultados!CQ83,Resultados!DA83,Resultados!DK83)=0, "", AVERAGE(ABS(Resultados!E83),ABS(Resultados!O83),ABS(Resultados!Y83),ABS(Resultados!AS83),ABS(Resultados!BM83),ABS(Resultados!BW83),ABS(Resultados!CQ83),ABS(Resultados!DA83),ABS(Resultados!DK83)))</f>
        <v>6.1111625369430156</v>
      </c>
      <c r="F83">
        <f>IF(COUNT(Resultados!F83,Resultados!P83,Resultados!Z83,Resultados!AT83,Resultados!BN83,Resultados!BX83,Resultados!CR83,Resultados!DB83,Resultados!DL83)=0, "", AVERAGE(ABS(Resultados!F83),ABS(Resultados!P83),ABS(Resultados!Z83),ABS(Resultados!AT83),ABS(Resultados!BN83),ABS(Resultados!BX83),ABS(Resultados!CR83),ABS(Resultados!DB83),ABS(Resultados!DL83)))</f>
        <v>674.35491440507633</v>
      </c>
      <c r="G83">
        <f>IF(COUNT(Resultados!G83,Resultados!Q83,Resultados!AA83,Resultados!AU83,Resultados!BO83,Resultados!BY83,Resultados!CS83,Resultados!DC83,Resultados!DM83)=0, "", AVERAGE(ABS(Resultados!G83),ABS(Resultados!Q83),ABS(Resultados!AA83),ABS(Resultados!AU83),ABS(Resultados!BO83),ABS(Resultados!BY83),ABS(Resultados!CS83),ABS(Resultados!DC83),ABS(Resultados!DM83)))</f>
        <v>0.42399999999999999</v>
      </c>
      <c r="H83">
        <f>IF(COUNT(Resultados!H83,Resultados!R83,Resultados!AB83,Resultados!AV83,Resultados!BP83,Resultados!BZ83,Resultados!CT83,Resultados!DD83,Resultados!DN83)=0, "", AVERAGE(ABS(Resultados!H83),ABS(Resultados!R83),ABS(Resultados!AB83),ABS(Resultados!AV83),ABS(Resultados!BP83),ABS(Resultados!BZ83),ABS(Resultados!CT83),ABS(Resultados!DD83),ABS(Resultados!DN83)))</f>
        <v>1.7666666666666664E-3</v>
      </c>
      <c r="I83">
        <f>IF(COUNT(Resultados!I83,Resultados!S83,Resultados!AC83,Resultados!AW83,Resultados!BQ83,Resultados!CA83,Resultados!CU83,Resultados!DE83,Resultados!DO83)=0, "", AVERAGE(ABS(Resultados!I83),ABS(Resultados!S83),ABS(Resultados!AC83),ABS(Resultados!AW83),ABS(Resultados!BQ83),ABS(Resultados!CA83),ABS(Resultados!CU83),ABS(Resultados!DE83),ABS(Resultados!DO83)))</f>
        <v>16.246231111111104</v>
      </c>
      <c r="J83">
        <f>IF(COUNT(Resultados!J83,Resultados!T83,Resultados!AD83,Resultados!AX83,Resultados!BR83,Resultados!CB83,Resultados!CV83,Resultados!DF83,Resultados!DP83)=0, "", AVERAGE(ABS(Resultados!J83),ABS(Resultados!T83),ABS(Resultados!AD83),ABS(Resultados!AX83),ABS(Resultados!BR83),ABS(Resultados!CB83),ABS(Resultados!CV83),ABS(Resultados!DF83),ABS(Resultados!DP83)))</f>
        <v>1.7666666666666664E-3</v>
      </c>
      <c r="K83">
        <v>5.9222222222222211E-3</v>
      </c>
    </row>
    <row r="84" spans="1:11" x14ac:dyDescent="0.3">
      <c r="A84">
        <f>IF(COUNT(Resultados!A84,Resultados!K84,Resultados!U84,Resultados!AO84,Resultados!BI84,Resultados!BS84,Resultados!CM84,Resultados!CW84,Resultados!DG84)=0, "", AVERAGE(ABS(Resultados!A84),ABS(Resultados!K84),ABS(Resultados!U84),ABS(Resultados!AO84),ABS(Resultados!BI84),ABS(Resultados!BS84),ABS(Resultados!CM84),ABS(Resultados!CW84),ABS(Resultados!DG84)))</f>
        <v>45681</v>
      </c>
      <c r="B84" t="str">
        <f>IF(COUNT(Resultados!B84,Resultados!L84,Resultados!V84,Resultados!AP84,Resultados!BJ84,Resultados!BT84,Resultados!CN84,Resultados!CX84,Resultados!DH84)=0, "", AVERAGE(ABS(Resultados!B84),ABS(Resultados!L84),ABS(Resultados!V84),ABS(Resultados!AP84),ABS(Resultados!BJ84),ABS(Resultados!BT84),ABS(Resultados!CN84),ABS(Resultados!CX84),ABS(Resultados!DH84)))</f>
        <v/>
      </c>
      <c r="C84">
        <f>IF(COUNT(Resultados!C84,Resultados!M84,Resultados!W84,Resultados!AQ84,Resultados!BK84,Resultados!BU84,Resultados!CO84,Resultados!CY84,Resultados!DI84)=0, "", AVERAGE(ABS(Resultados!C84),ABS(Resultados!M84),ABS(Resultados!W84),ABS(Resultados!AQ84),ABS(Resultados!BK84),ABS(Resultados!BU84),ABS(Resultados!CO84),ABS(Resultados!CY84),ABS(Resultados!DI84)))</f>
        <v>3.5555555555555554</v>
      </c>
      <c r="D84">
        <f>IF(COUNT(Resultados!D84,Resultados!N84,Resultados!X84,Resultados!AR84,Resultados!BL84,Resultados!BV84,Resultados!CP84,Resultados!CZ84,Resultados!DJ84)=0, "", AVERAGE(ABS(Resultados!D84),ABS(Resultados!N84),ABS(Resultados!X84),ABS(Resultados!AR84),ABS(Resultados!BL84),ABS(Resultados!BV84),ABS(Resultados!CP84),ABS(Resultados!CZ84),ABS(Resultados!DJ84)))</f>
        <v>5.2999999999999992E-3</v>
      </c>
      <c r="E84">
        <f>IF(COUNT(Resultados!E84,Resultados!O84,Resultados!Y84,Resultados!AS84,Resultados!BM84,Resultados!BW84,Resultados!CQ84,Resultados!DA84,Resultados!DK84)=0, "", AVERAGE(ABS(Resultados!E84),ABS(Resultados!O84),ABS(Resultados!Y84),ABS(Resultados!AS84),ABS(Resultados!BM84),ABS(Resultados!BW84),ABS(Resultados!CQ84),ABS(Resultados!DA84),ABS(Resultados!DK84)))</f>
        <v>6.1023879269852346</v>
      </c>
      <c r="F84">
        <f>IF(COUNT(Resultados!F84,Resultados!P84,Resultados!Z84,Resultados!AT84,Resultados!BN84,Resultados!BX84,Resultados!CR84,Resultados!DB84,Resultados!DL84)=0, "", AVERAGE(ABS(Resultados!F84),ABS(Resultados!P84),ABS(Resultados!Z84),ABS(Resultados!AT84),ABS(Resultados!BN84),ABS(Resultados!BX84),ABS(Resultados!CR84),ABS(Resultados!DB84),ABS(Resultados!DL84)))</f>
        <v>673.56596017599941</v>
      </c>
      <c r="G84">
        <f>IF(COUNT(Resultados!G84,Resultados!Q84,Resultados!AA84,Resultados!AU84,Resultados!BO84,Resultados!BY84,Resultados!CS84,Resultados!DC84,Resultados!DM84)=0, "", AVERAGE(ABS(Resultados!G84),ABS(Resultados!Q84),ABS(Resultados!AA84),ABS(Resultados!AU84),ABS(Resultados!BO84),ABS(Resultados!BY84),ABS(Resultados!CS84),ABS(Resultados!DC84),ABS(Resultados!DM84)))</f>
        <v>0.42399999999999999</v>
      </c>
      <c r="H84">
        <f>IF(COUNT(Resultados!H84,Resultados!R84,Resultados!AB84,Resultados!AV84,Resultados!BP84,Resultados!BZ84,Resultados!CT84,Resultados!DD84,Resultados!DN84)=0, "", AVERAGE(ABS(Resultados!H84),ABS(Resultados!R84),ABS(Resultados!AB84),ABS(Resultados!AV84),ABS(Resultados!BP84),ABS(Resultados!BZ84),ABS(Resultados!CT84),ABS(Resultados!DD84),ABS(Resultados!DN84)))</f>
        <v>1.6444444444444447E-3</v>
      </c>
      <c r="I84">
        <f>IF(COUNT(Resultados!I84,Resultados!S84,Resultados!AC84,Resultados!AW84,Resultados!BQ84,Resultados!CA84,Resultados!CU84,Resultados!DE84,Resultados!DO84)=0, "", AVERAGE(ABS(Resultados!I84),ABS(Resultados!S84),ABS(Resultados!AC84),ABS(Resultados!AW84),ABS(Resultados!BQ84),ABS(Resultados!CA84),ABS(Resultados!CU84),ABS(Resultados!DE84),ABS(Resultados!DO84)))</f>
        <v>16.445066666666676</v>
      </c>
      <c r="J84">
        <f>IF(COUNT(Resultados!J84,Resultados!T84,Resultados!AD84,Resultados!AX84,Resultados!BR84,Resultados!CB84,Resultados!CV84,Resultados!DF84,Resultados!DP84)=0, "", AVERAGE(ABS(Resultados!J84),ABS(Resultados!T84),ABS(Resultados!AD84),ABS(Resultados!AX84),ABS(Resultados!BR84),ABS(Resultados!CB84),ABS(Resultados!CV84),ABS(Resultados!DF84),ABS(Resultados!DP84)))</f>
        <v>1.6444444444444447E-3</v>
      </c>
      <c r="K84">
        <v>5.2999999999999992E-3</v>
      </c>
    </row>
    <row r="85" spans="1:11" x14ac:dyDescent="0.3">
      <c r="A85">
        <f>IF(COUNT(Resultados!A85,Resultados!K85,Resultados!U85,Resultados!AO85,Resultados!BI85,Resultados!BS85,Resultados!CM85,Resultados!CW85,Resultados!DG85)=0, "", AVERAGE(ABS(Resultados!A85),ABS(Resultados!K85),ABS(Resultados!U85),ABS(Resultados!AO85),ABS(Resultados!BI85),ABS(Resultados!BS85),ABS(Resultados!CM85),ABS(Resultados!CW85),ABS(Resultados!DG85)))</f>
        <v>45681</v>
      </c>
      <c r="B85" t="str">
        <f>IF(COUNT(Resultados!B85,Resultados!L85,Resultados!V85,Resultados!AP85,Resultados!BJ85,Resultados!BT85,Resultados!CN85,Resultados!CX85,Resultados!DH85)=0, "", AVERAGE(ABS(Resultados!B85),ABS(Resultados!L85),ABS(Resultados!V85),ABS(Resultados!AP85),ABS(Resultados!BJ85),ABS(Resultados!BT85),ABS(Resultados!CN85),ABS(Resultados!CX85),ABS(Resultados!DH85)))</f>
        <v/>
      </c>
      <c r="C85">
        <f>IF(COUNT(Resultados!C85,Resultados!M85,Resultados!W85,Resultados!AQ85,Resultados!BK85,Resultados!BU85,Resultados!CO85,Resultados!CY85,Resultados!DI85)=0, "", AVERAGE(ABS(Resultados!C85),ABS(Resultados!M85),ABS(Resultados!W85),ABS(Resultados!AQ85),ABS(Resultados!BK85),ABS(Resultados!BU85),ABS(Resultados!CO85),ABS(Resultados!CY85),ABS(Resultados!DI85)))</f>
        <v>3.5555555555555554</v>
      </c>
      <c r="D85">
        <f>IF(COUNT(Resultados!D85,Resultados!N85,Resultados!X85,Resultados!AR85,Resultados!BL85,Resultados!BV85,Resultados!CP85,Resultados!CZ85,Resultados!DJ85)=0, "", AVERAGE(ABS(Resultados!D85),ABS(Resultados!N85),ABS(Resultados!X85),ABS(Resultados!AR85),ABS(Resultados!BL85),ABS(Resultados!BV85),ABS(Resultados!CP85),ABS(Resultados!CZ85),ABS(Resultados!DJ85)))</f>
        <v>5.1333333333333335E-3</v>
      </c>
      <c r="E85">
        <f>IF(COUNT(Resultados!E85,Resultados!O85,Resultados!Y85,Resultados!AS85,Resultados!BM85,Resultados!BW85,Resultados!CQ85,Resultados!DA85,Resultados!DK85)=0, "", AVERAGE(ABS(Resultados!E85),ABS(Resultados!O85),ABS(Resultados!Y85),ABS(Resultados!AS85),ABS(Resultados!BM85),ABS(Resultados!BW85),ABS(Resultados!CQ85),ABS(Resultados!DA85),ABS(Resultados!DK85)))</f>
        <v>6.1079477666071655</v>
      </c>
      <c r="F85">
        <f>IF(COUNT(Resultados!F85,Resultados!P85,Resultados!Z85,Resultados!AT85,Resultados!BN85,Resultados!BX85,Resultados!CR85,Resultados!DB85,Resultados!DL85)=0, "", AVERAGE(ABS(Resultados!F85),ABS(Resultados!P85),ABS(Resultados!Z85),ABS(Resultados!AT85),ABS(Resultados!BN85),ABS(Resultados!BX85),ABS(Resultados!CR85),ABS(Resultados!DB85),ABS(Resultados!DL85)))</f>
        <v>685.48444593191584</v>
      </c>
      <c r="G85">
        <f>IF(COUNT(Resultados!G85,Resultados!Q85,Resultados!AA85,Resultados!AU85,Resultados!BO85,Resultados!BY85,Resultados!CS85,Resultados!DC85,Resultados!DM85)=0, "", AVERAGE(ABS(Resultados!G85),ABS(Resultados!Q85),ABS(Resultados!AA85),ABS(Resultados!AU85),ABS(Resultados!BO85),ABS(Resultados!BY85),ABS(Resultados!CS85),ABS(Resultados!DC85),ABS(Resultados!DM85)))</f>
        <v>0.42399999999999999</v>
      </c>
      <c r="H85">
        <f>IF(COUNT(Resultados!H85,Resultados!R85,Resultados!AB85,Resultados!AV85,Resultados!BP85,Resultados!BZ85,Resultados!CT85,Resultados!DD85,Resultados!DN85)=0, "", AVERAGE(ABS(Resultados!H85),ABS(Resultados!R85),ABS(Resultados!AB85),ABS(Resultados!AV85),ABS(Resultados!BP85),ABS(Resultados!BZ85),ABS(Resultados!CT85),ABS(Resultados!DD85),ABS(Resultados!DN85)))</f>
        <v>1.7333333333333335E-3</v>
      </c>
      <c r="I85">
        <f>IF(COUNT(Resultados!I85,Resultados!S85,Resultados!AC85,Resultados!AW85,Resultados!BQ85,Resultados!CA85,Resultados!CU85,Resultados!DE85,Resultados!DO85)=0, "", AVERAGE(ABS(Resultados!I85),ABS(Resultados!S85),ABS(Resultados!AC85),ABS(Resultados!AW85),ABS(Resultados!BQ85),ABS(Resultados!CA85),ABS(Resultados!CU85),ABS(Resultados!DE85),ABS(Resultados!DO85)))</f>
        <v>16.645500000000002</v>
      </c>
      <c r="J85">
        <f>IF(COUNT(Resultados!J85,Resultados!T85,Resultados!AD85,Resultados!AX85,Resultados!BR85,Resultados!CB85,Resultados!CV85,Resultados!DF85,Resultados!DP85)=0, "", AVERAGE(ABS(Resultados!J85),ABS(Resultados!T85),ABS(Resultados!AD85),ABS(Resultados!AX85),ABS(Resultados!BR85),ABS(Resultados!CB85),ABS(Resultados!CV85),ABS(Resultados!DF85),ABS(Resultados!DP85)))</f>
        <v>1.7333333333333335E-3</v>
      </c>
      <c r="K85">
        <v>5.1333333333333335E-3</v>
      </c>
    </row>
    <row r="86" spans="1:11" x14ac:dyDescent="0.3">
      <c r="A86">
        <f>IF(COUNT(Resultados!A86,Resultados!K86,Resultados!U86,Resultados!AO86,Resultados!BI86,Resultados!BS86,Resultados!CM86,Resultados!CW86,Resultados!DG86)=0, "", AVERAGE(ABS(Resultados!A86),ABS(Resultados!K86),ABS(Resultados!U86),ABS(Resultados!AO86),ABS(Resultados!BI86),ABS(Resultados!BS86),ABS(Resultados!CM86),ABS(Resultados!CW86),ABS(Resultados!DG86)))</f>
        <v>45681</v>
      </c>
      <c r="B86" t="str">
        <f>IF(COUNT(Resultados!B86,Resultados!L86,Resultados!V86,Resultados!AP86,Resultados!BJ86,Resultados!BT86,Resultados!CN86,Resultados!CX86,Resultados!DH86)=0, "", AVERAGE(ABS(Resultados!B86),ABS(Resultados!L86),ABS(Resultados!V86),ABS(Resultados!AP86),ABS(Resultados!BJ86),ABS(Resultados!BT86),ABS(Resultados!CN86),ABS(Resultados!CX86),ABS(Resultados!DH86)))</f>
        <v/>
      </c>
      <c r="C86">
        <f>IF(COUNT(Resultados!C86,Resultados!M86,Resultados!W86,Resultados!AQ86,Resultados!BK86,Resultados!BU86,Resultados!CO86,Resultados!CY86,Resultados!DI86)=0, "", AVERAGE(ABS(Resultados!C86),ABS(Resultados!M86),ABS(Resultados!W86),ABS(Resultados!AQ86),ABS(Resultados!BK86),ABS(Resultados!BU86),ABS(Resultados!CO86),ABS(Resultados!CY86),ABS(Resultados!DI86)))</f>
        <v>3.5555555555555554</v>
      </c>
      <c r="D86">
        <f>IF(COUNT(Resultados!D86,Resultados!N86,Resultados!X86,Resultados!AR86,Resultados!BL86,Resultados!BV86,Resultados!CP86,Resultados!CZ86,Resultados!DJ86)=0, "", AVERAGE(ABS(Resultados!D86),ABS(Resultados!N86),ABS(Resultados!X86),ABS(Resultados!AR86),ABS(Resultados!BL86),ABS(Resultados!BV86),ABS(Resultados!CP86),ABS(Resultados!CZ86),ABS(Resultados!DJ86)))</f>
        <v>4.8777777777777778E-3</v>
      </c>
      <c r="E86">
        <f>IF(COUNT(Resultados!E86,Resultados!O86,Resultados!Y86,Resultados!AS86,Resultados!BM86,Resultados!BW86,Resultados!CQ86,Resultados!DA86,Resultados!DK86)=0, "", AVERAGE(ABS(Resultados!E86),ABS(Resultados!O86),ABS(Resultados!Y86),ABS(Resultados!AS86),ABS(Resultados!BM86),ABS(Resultados!BW86),ABS(Resultados!CQ86),ABS(Resultados!DA86),ABS(Resultados!DK86)))</f>
        <v>6.1271346204843846</v>
      </c>
      <c r="F86">
        <f>IF(COUNT(Resultados!F86,Resultados!P86,Resultados!Z86,Resultados!AT86,Resultados!BN86,Resultados!BX86,Resultados!CR86,Resultados!DB86,Resultados!DL86)=0, "", AVERAGE(ABS(Resultados!F86),ABS(Resultados!P86),ABS(Resultados!Z86),ABS(Resultados!AT86),ABS(Resultados!BN86),ABS(Resultados!BX86),ABS(Resultados!CR86),ABS(Resultados!DB86),ABS(Resultados!DL86)))</f>
        <v>687.33434164549476</v>
      </c>
      <c r="G86">
        <f>IF(COUNT(Resultados!G86,Resultados!Q86,Resultados!AA86,Resultados!AU86,Resultados!BO86,Resultados!BY86,Resultados!CS86,Resultados!DC86,Resultados!DM86)=0, "", AVERAGE(ABS(Resultados!G86),ABS(Resultados!Q86),ABS(Resultados!AA86),ABS(Resultados!AU86),ABS(Resultados!BO86),ABS(Resultados!BY86),ABS(Resultados!CS86),ABS(Resultados!DC86),ABS(Resultados!DM86)))</f>
        <v>0.42399999999999999</v>
      </c>
      <c r="H86">
        <f>IF(COUNT(Resultados!H86,Resultados!R86,Resultados!AB86,Resultados!AV86,Resultados!BP86,Resultados!BZ86,Resultados!CT86,Resultados!DD86,Resultados!DN86)=0, "", AVERAGE(ABS(Resultados!H86),ABS(Resultados!R86),ABS(Resultados!AB86),ABS(Resultados!AV86),ABS(Resultados!BP86),ABS(Resultados!BZ86),ABS(Resultados!CT86),ABS(Resultados!DD86),ABS(Resultados!DN86)))</f>
        <v>2.0222222222222221E-3</v>
      </c>
      <c r="I86">
        <f>IF(COUNT(Resultados!I86,Resultados!S86,Resultados!AC86,Resultados!AW86,Resultados!BQ86,Resultados!CA86,Resultados!CU86,Resultados!DE86,Resultados!DO86)=0, "", AVERAGE(ABS(Resultados!I86),ABS(Resultados!S86),ABS(Resultados!AC86),ABS(Resultados!AW86),ABS(Resultados!BQ86),ABS(Resultados!CA86),ABS(Resultados!CU86),ABS(Resultados!DE86),ABS(Resultados!DO86)))</f>
        <v>16.844711111111117</v>
      </c>
      <c r="J86">
        <f>IF(COUNT(Resultados!J86,Resultados!T86,Resultados!AD86,Resultados!AX86,Resultados!BR86,Resultados!CB86,Resultados!CV86,Resultados!DF86,Resultados!DP86)=0, "", AVERAGE(ABS(Resultados!J86),ABS(Resultados!T86),ABS(Resultados!AD86),ABS(Resultados!AX86),ABS(Resultados!BR86),ABS(Resultados!CB86),ABS(Resultados!CV86),ABS(Resultados!DF86),ABS(Resultados!DP86)))</f>
        <v>2.0222222222222221E-3</v>
      </c>
      <c r="K86">
        <v>4.8777777777777778E-3</v>
      </c>
    </row>
    <row r="87" spans="1:11" x14ac:dyDescent="0.3">
      <c r="A87">
        <f>IF(COUNT(Resultados!A87,Resultados!K87,Resultados!U87,Resultados!AO87,Resultados!BI87,Resultados!BS87,Resultados!CM87,Resultados!CW87,Resultados!DG87)=0, "", AVERAGE(ABS(Resultados!A87),ABS(Resultados!K87),ABS(Resultados!U87),ABS(Resultados!AO87),ABS(Resultados!BI87),ABS(Resultados!BS87),ABS(Resultados!CM87),ABS(Resultados!CW87),ABS(Resultados!DG87)))</f>
        <v>45681</v>
      </c>
      <c r="B87" t="str">
        <f>IF(COUNT(Resultados!B87,Resultados!L87,Resultados!V87,Resultados!AP87,Resultados!BJ87,Resultados!BT87,Resultados!CN87,Resultados!CX87,Resultados!DH87)=0, "", AVERAGE(ABS(Resultados!B87),ABS(Resultados!L87),ABS(Resultados!V87),ABS(Resultados!AP87),ABS(Resultados!BJ87),ABS(Resultados!BT87),ABS(Resultados!CN87),ABS(Resultados!CX87),ABS(Resultados!DH87)))</f>
        <v/>
      </c>
      <c r="C87">
        <f>IF(COUNT(Resultados!C87,Resultados!M87,Resultados!W87,Resultados!AQ87,Resultados!BK87,Resultados!BU87,Resultados!CO87,Resultados!CY87,Resultados!DI87)=0, "", AVERAGE(ABS(Resultados!C87),ABS(Resultados!M87),ABS(Resultados!W87),ABS(Resultados!AQ87),ABS(Resultados!BK87),ABS(Resultados!BU87),ABS(Resultados!CO87),ABS(Resultados!CY87),ABS(Resultados!DI87)))</f>
        <v>3.5555555555555554</v>
      </c>
      <c r="D87">
        <f>IF(COUNT(Resultados!D87,Resultados!N87,Resultados!X87,Resultados!AR87,Resultados!BL87,Resultados!BV87,Resultados!CP87,Resultados!CZ87,Resultados!DJ87)=0, "", AVERAGE(ABS(Resultados!D87),ABS(Resultados!N87),ABS(Resultados!X87),ABS(Resultados!AR87),ABS(Resultados!BL87),ABS(Resultados!BV87),ABS(Resultados!CP87),ABS(Resultados!CZ87),ABS(Resultados!DJ87)))</f>
        <v>4.4111111111111113E-3</v>
      </c>
      <c r="E87">
        <f>IF(COUNT(Resultados!E87,Resultados!O87,Resultados!Y87,Resultados!AS87,Resultados!BM87,Resultados!BW87,Resultados!CQ87,Resultados!DA87,Resultados!DK87)=0, "", AVERAGE(ABS(Resultados!E87),ABS(Resultados!O87),ABS(Resultados!Y87),ABS(Resultados!AS87),ABS(Resultados!BM87),ABS(Resultados!BW87),ABS(Resultados!CQ87),ABS(Resultados!DA87),ABS(Resultados!DK87)))</f>
        <v>6.1599029035189448</v>
      </c>
      <c r="F87">
        <f>IF(COUNT(Resultados!F87,Resultados!P87,Resultados!Z87,Resultados!AT87,Resultados!BN87,Resultados!BX87,Resultados!CR87,Resultados!DB87,Resultados!DL87)=0, "", AVERAGE(ABS(Resultados!F87),ABS(Resultados!P87),ABS(Resultados!Z87),ABS(Resultados!AT87),ABS(Resultados!BN87),ABS(Resultados!BX87),ABS(Resultados!CR87),ABS(Resultados!DB87),ABS(Resultados!DL87)))</f>
        <v>701.82163134411621</v>
      </c>
      <c r="G87">
        <f>IF(COUNT(Resultados!G87,Resultados!Q87,Resultados!AA87,Resultados!AU87,Resultados!BO87,Resultados!BY87,Resultados!CS87,Resultados!DC87,Resultados!DM87)=0, "", AVERAGE(ABS(Resultados!G87),ABS(Resultados!Q87),ABS(Resultados!AA87),ABS(Resultados!AU87),ABS(Resultados!BO87),ABS(Resultados!BY87),ABS(Resultados!CS87),ABS(Resultados!DC87),ABS(Resultados!DM87)))</f>
        <v>0.42399999999999999</v>
      </c>
      <c r="H87">
        <f>IF(COUNT(Resultados!H87,Resultados!R87,Resultados!AB87,Resultados!AV87,Resultados!BP87,Resultados!BZ87,Resultados!CT87,Resultados!DD87,Resultados!DN87)=0, "", AVERAGE(ABS(Resultados!H87),ABS(Resultados!R87),ABS(Resultados!AB87),ABS(Resultados!AV87),ABS(Resultados!BP87),ABS(Resultados!BZ87),ABS(Resultados!CT87),ABS(Resultados!DD87),ABS(Resultados!DN87)))</f>
        <v>2.5555555555555557E-3</v>
      </c>
      <c r="I87">
        <f>IF(COUNT(Resultados!I87,Resultados!S87,Resultados!AC87,Resultados!AW87,Resultados!BQ87,Resultados!CA87,Resultados!CU87,Resultados!DE87,Resultados!DO87)=0, "", AVERAGE(ABS(Resultados!I87),ABS(Resultados!S87),ABS(Resultados!AC87),ABS(Resultados!AW87),ABS(Resultados!BQ87),ABS(Resultados!CA87),ABS(Resultados!CU87),ABS(Resultados!DE87),ABS(Resultados!DO87)))</f>
        <v>17.044740000000004</v>
      </c>
      <c r="J87">
        <f>IF(COUNT(Resultados!J87,Resultados!T87,Resultados!AD87,Resultados!AX87,Resultados!BR87,Resultados!CB87,Resultados!CV87,Resultados!DF87,Resultados!DP87)=0, "", AVERAGE(ABS(Resultados!J87),ABS(Resultados!T87),ABS(Resultados!AD87),ABS(Resultados!AX87),ABS(Resultados!BR87),ABS(Resultados!CB87),ABS(Resultados!CV87),ABS(Resultados!DF87),ABS(Resultados!DP87)))</f>
        <v>2.5555555555555557E-3</v>
      </c>
      <c r="K87">
        <v>4.4111111111111113E-3</v>
      </c>
    </row>
    <row r="88" spans="1:11" x14ac:dyDescent="0.3">
      <c r="A88">
        <f>IF(COUNT(Resultados!A88,Resultados!K88,Resultados!U88,Resultados!AO88,Resultados!BI88,Resultados!BS88,Resultados!CM88,Resultados!CW88,Resultados!DG88)=0, "", AVERAGE(ABS(Resultados!A88),ABS(Resultados!K88),ABS(Resultados!U88),ABS(Resultados!AO88),ABS(Resultados!BI88),ABS(Resultados!BS88),ABS(Resultados!CM88),ABS(Resultados!CW88),ABS(Resultados!DG88)))</f>
        <v>45681</v>
      </c>
      <c r="B88" t="str">
        <f>IF(COUNT(Resultados!B88,Resultados!L88,Resultados!V88,Resultados!AP88,Resultados!BJ88,Resultados!BT88,Resultados!CN88,Resultados!CX88,Resultados!DH88)=0, "", AVERAGE(ABS(Resultados!B88),ABS(Resultados!L88),ABS(Resultados!V88),ABS(Resultados!AP88),ABS(Resultados!BJ88),ABS(Resultados!BT88),ABS(Resultados!CN88),ABS(Resultados!CX88),ABS(Resultados!DH88)))</f>
        <v/>
      </c>
      <c r="C88">
        <f>IF(COUNT(Resultados!C88,Resultados!M88,Resultados!W88,Resultados!AQ88,Resultados!BK88,Resultados!BU88,Resultados!CO88,Resultados!CY88,Resultados!DI88)=0, "", AVERAGE(ABS(Resultados!C88),ABS(Resultados!M88),ABS(Resultados!W88),ABS(Resultados!AQ88),ABS(Resultados!BK88),ABS(Resultados!BU88),ABS(Resultados!CO88),ABS(Resultados!CY88),ABS(Resultados!DI88)))</f>
        <v>3.5555555555555554</v>
      </c>
      <c r="D88">
        <f>IF(COUNT(Resultados!D88,Resultados!N88,Resultados!X88,Resultados!AR88,Resultados!BL88,Resultados!BV88,Resultados!CP88,Resultados!CZ88,Resultados!DJ88)=0, "", AVERAGE(ABS(Resultados!D88),ABS(Resultados!N88),ABS(Resultados!X88),ABS(Resultados!AR88),ABS(Resultados!BL88),ABS(Resultados!BV88),ABS(Resultados!CP88),ABS(Resultados!CZ88),ABS(Resultados!DJ88)))</f>
        <v>4.0333333333333332E-3</v>
      </c>
      <c r="E88">
        <f>IF(COUNT(Resultados!E88,Resultados!O88,Resultados!Y88,Resultados!AS88,Resultados!BM88,Resultados!BW88,Resultados!CQ88,Resultados!DA88,Resultados!DK88)=0, "", AVERAGE(ABS(Resultados!E88),ABS(Resultados!O88),ABS(Resultados!Y88),ABS(Resultados!AS88),ABS(Resultados!BM88),ABS(Resultados!BW88),ABS(Resultados!CQ88),ABS(Resultados!DA88),ABS(Resultados!DK88)))</f>
        <v>6.2052453594338202</v>
      </c>
      <c r="F88">
        <f>IF(COUNT(Resultados!F88,Resultados!P88,Resultados!Z88,Resultados!AT88,Resultados!BN88,Resultados!BX88,Resultados!CR88,Resultados!DB88,Resultados!DL88)=0, "", AVERAGE(ABS(Resultados!F88),ABS(Resultados!P88),ABS(Resultados!Z88),ABS(Resultados!AT88),ABS(Resultados!BN88),ABS(Resultados!BX88),ABS(Resultados!CR88),ABS(Resultados!DB88),ABS(Resultados!DL88)))</f>
        <v>706.14231158975304</v>
      </c>
      <c r="G88">
        <f>IF(COUNT(Resultados!G88,Resultados!Q88,Resultados!AA88,Resultados!AU88,Resultados!BO88,Resultados!BY88,Resultados!CS88,Resultados!DC88,Resultados!DM88)=0, "", AVERAGE(ABS(Resultados!G88),ABS(Resultados!Q88),ABS(Resultados!AA88),ABS(Resultados!AU88),ABS(Resultados!BO88),ABS(Resultados!BY88),ABS(Resultados!CS88),ABS(Resultados!DC88),ABS(Resultados!DM88)))</f>
        <v>0.42399999999999999</v>
      </c>
      <c r="H88">
        <f>IF(COUNT(Resultados!H88,Resultados!R88,Resultados!AB88,Resultados!AV88,Resultados!BP88,Resultados!BZ88,Resultados!CT88,Resultados!DD88,Resultados!DN88)=0, "", AVERAGE(ABS(Resultados!H88),ABS(Resultados!R88),ABS(Resultados!AB88),ABS(Resultados!AV88),ABS(Resultados!BP88),ABS(Resultados!BZ88),ABS(Resultados!CT88),ABS(Resultados!DD88),ABS(Resultados!DN88)))</f>
        <v>3.2333333333333333E-3</v>
      </c>
      <c r="I88">
        <f>IF(COUNT(Resultados!I88,Resultados!S88,Resultados!AC88,Resultados!AW88,Resultados!BQ88,Resultados!CA88,Resultados!CU88,Resultados!DE88,Resultados!DO88)=0, "", AVERAGE(ABS(Resultados!I88),ABS(Resultados!S88),ABS(Resultados!AC88),ABS(Resultados!AW88),ABS(Resultados!BQ88),ABS(Resultados!CA88),ABS(Resultados!CU88),ABS(Resultados!DE88),ABS(Resultados!DO88)))</f>
        <v>17.244991111111108</v>
      </c>
      <c r="J88">
        <f>IF(COUNT(Resultados!J88,Resultados!T88,Resultados!AD88,Resultados!AX88,Resultados!BR88,Resultados!CB88,Resultados!CV88,Resultados!DF88,Resultados!DP88)=0, "", AVERAGE(ABS(Resultados!J88),ABS(Resultados!T88),ABS(Resultados!AD88),ABS(Resultados!AX88),ABS(Resultados!BR88),ABS(Resultados!CB88),ABS(Resultados!CV88),ABS(Resultados!DF88),ABS(Resultados!DP88)))</f>
        <v>3.2333333333333333E-3</v>
      </c>
      <c r="K88">
        <v>4.0333333333333332E-3</v>
      </c>
    </row>
    <row r="89" spans="1:11" x14ac:dyDescent="0.3">
      <c r="A89">
        <f>IF(COUNT(Resultados!A89,Resultados!K89,Resultados!U89,Resultados!AO89,Resultados!BI89,Resultados!BS89,Resultados!CM89,Resultados!CW89,Resultados!DG89)=0, "", AVERAGE(ABS(Resultados!A89),ABS(Resultados!K89),ABS(Resultados!U89),ABS(Resultados!AO89),ABS(Resultados!BI89),ABS(Resultados!BS89),ABS(Resultados!CM89),ABS(Resultados!CW89),ABS(Resultados!DG89)))</f>
        <v>45681</v>
      </c>
      <c r="B89" t="str">
        <f>IF(COUNT(Resultados!B89,Resultados!L89,Resultados!V89,Resultados!AP89,Resultados!BJ89,Resultados!BT89,Resultados!CN89,Resultados!CX89,Resultados!DH89)=0, "", AVERAGE(ABS(Resultados!B89),ABS(Resultados!L89),ABS(Resultados!V89),ABS(Resultados!AP89),ABS(Resultados!BJ89),ABS(Resultados!BT89),ABS(Resultados!CN89),ABS(Resultados!CX89),ABS(Resultados!DH89)))</f>
        <v/>
      </c>
      <c r="C89">
        <f>IF(COUNT(Resultados!C89,Resultados!M89,Resultados!W89,Resultados!AQ89,Resultados!BK89,Resultados!BU89,Resultados!CO89,Resultados!CY89,Resultados!DI89)=0, "", AVERAGE(ABS(Resultados!C89),ABS(Resultados!M89),ABS(Resultados!W89),ABS(Resultados!AQ89),ABS(Resultados!BK89),ABS(Resultados!BU89),ABS(Resultados!CO89),ABS(Resultados!CY89),ABS(Resultados!DI89)))</f>
        <v>3.5555555555555554</v>
      </c>
      <c r="D89">
        <f>IF(COUNT(Resultados!D89,Resultados!N89,Resultados!X89,Resultados!AR89,Resultados!BL89,Resultados!BV89,Resultados!CP89,Resultados!CZ89,Resultados!DJ89)=0, "", AVERAGE(ABS(Resultados!D89),ABS(Resultados!N89),ABS(Resultados!X89),ABS(Resultados!AR89),ABS(Resultados!BL89),ABS(Resultados!BV89),ABS(Resultados!CP89),ABS(Resultados!CZ89),ABS(Resultados!DJ89)))</f>
        <v>3.9111111111111117E-3</v>
      </c>
      <c r="E89">
        <f>IF(COUNT(Resultados!E89,Resultados!O89,Resultados!Y89,Resultados!AS89,Resultados!BM89,Resultados!BW89,Resultados!CQ89,Resultados!DA89,Resultados!DK89)=0, "", AVERAGE(ABS(Resultados!E89),ABS(Resultados!O89),ABS(Resultados!Y89),ABS(Resultados!AS89),ABS(Resultados!BM89),ABS(Resultados!BW89),ABS(Resultados!CQ89),ABS(Resultados!DA89),ABS(Resultados!DK89)))</f>
        <v>6.2619451739588889</v>
      </c>
      <c r="F89">
        <f>IF(COUNT(Resultados!F89,Resultados!P89,Resultados!Z89,Resultados!AT89,Resultados!BN89,Resultados!BX89,Resultados!CR89,Resultados!DB89,Resultados!DL89)=0, "", AVERAGE(ABS(Resultados!F89),ABS(Resultados!P89),ABS(Resultados!Z89),ABS(Resultados!AT89),ABS(Resultados!BN89),ABS(Resultados!BX89),ABS(Resultados!CR89),ABS(Resultados!DB89),ABS(Resultados!DL89)))</f>
        <v>711.53523992342707</v>
      </c>
      <c r="G89">
        <f>IF(COUNT(Resultados!G89,Resultados!Q89,Resultados!AA89,Resultados!AU89,Resultados!BO89,Resultados!BY89,Resultados!CS89,Resultados!DC89,Resultados!DM89)=0, "", AVERAGE(ABS(Resultados!G89),ABS(Resultados!Q89),ABS(Resultados!AA89),ABS(Resultados!AU89),ABS(Resultados!BO89),ABS(Resultados!BY89),ABS(Resultados!CS89),ABS(Resultados!DC89),ABS(Resultados!DM89)))</f>
        <v>0.42399999999999999</v>
      </c>
      <c r="H89">
        <f>IF(COUNT(Resultados!H89,Resultados!R89,Resultados!AB89,Resultados!AV89,Resultados!BP89,Resultados!BZ89,Resultados!CT89,Resultados!DD89,Resultados!DN89)=0, "", AVERAGE(ABS(Resultados!H89),ABS(Resultados!R89),ABS(Resultados!AB89),ABS(Resultados!AV89),ABS(Resultados!BP89),ABS(Resultados!BZ89),ABS(Resultados!CT89),ABS(Resultados!DD89),ABS(Resultados!DN89)))</f>
        <v>4.1222222222222224E-3</v>
      </c>
      <c r="I89">
        <f>IF(COUNT(Resultados!I89,Resultados!S89,Resultados!AC89,Resultados!AW89,Resultados!BQ89,Resultados!CA89,Resultados!CU89,Resultados!DE89,Resultados!DO89)=0, "", AVERAGE(ABS(Resultados!I89),ABS(Resultados!S89),ABS(Resultados!AC89),ABS(Resultados!AW89),ABS(Resultados!BQ89),ABS(Resultados!CA89),ABS(Resultados!CU89),ABS(Resultados!DE89),ABS(Resultados!DO89)))</f>
        <v>17.445033333333338</v>
      </c>
      <c r="J89">
        <f>IF(COUNT(Resultados!J89,Resultados!T89,Resultados!AD89,Resultados!AX89,Resultados!BR89,Resultados!CB89,Resultados!CV89,Resultados!DF89,Resultados!DP89)=0, "", AVERAGE(ABS(Resultados!J89),ABS(Resultados!T89),ABS(Resultados!AD89),ABS(Resultados!AX89),ABS(Resultados!BR89),ABS(Resultados!CB89),ABS(Resultados!CV89),ABS(Resultados!DF89),ABS(Resultados!DP89)))</f>
        <v>4.1222222222222224E-3</v>
      </c>
      <c r="K89">
        <v>3.9111111111111117E-3</v>
      </c>
    </row>
    <row r="90" spans="1:11" x14ac:dyDescent="0.3">
      <c r="A90">
        <f>IF(COUNT(Resultados!A90,Resultados!K90,Resultados!U90,Resultados!AO90,Resultados!BI90,Resultados!BS90,Resultados!CM90,Resultados!CW90,Resultados!DG90)=0, "", AVERAGE(ABS(Resultados!A90),ABS(Resultados!K90),ABS(Resultados!U90),ABS(Resultados!AO90),ABS(Resultados!BI90),ABS(Resultados!BS90),ABS(Resultados!CM90),ABS(Resultados!CW90),ABS(Resultados!DG90)))</f>
        <v>45681</v>
      </c>
      <c r="B90" t="str">
        <f>IF(COUNT(Resultados!B90,Resultados!L90,Resultados!V90,Resultados!AP90,Resultados!BJ90,Resultados!BT90,Resultados!CN90,Resultados!CX90,Resultados!DH90)=0, "", AVERAGE(ABS(Resultados!B90),ABS(Resultados!L90),ABS(Resultados!V90),ABS(Resultados!AP90),ABS(Resultados!BJ90),ABS(Resultados!BT90),ABS(Resultados!CN90),ABS(Resultados!CX90),ABS(Resultados!DH90)))</f>
        <v/>
      </c>
      <c r="C90">
        <f>IF(COUNT(Resultados!C90,Resultados!M90,Resultados!W90,Resultados!AQ90,Resultados!BK90,Resultados!BU90,Resultados!CO90,Resultados!CY90,Resultados!DI90)=0, "", AVERAGE(ABS(Resultados!C90),ABS(Resultados!M90),ABS(Resultados!W90),ABS(Resultados!AQ90),ABS(Resultados!BK90),ABS(Resultados!BU90),ABS(Resultados!CO90),ABS(Resultados!CY90),ABS(Resultados!DI90)))</f>
        <v>3.5555555555555554</v>
      </c>
      <c r="D90">
        <f>IF(COUNT(Resultados!D90,Resultados!N90,Resultados!X90,Resultados!AR90,Resultados!BL90,Resultados!BV90,Resultados!CP90,Resultados!CZ90,Resultados!DJ90)=0, "", AVERAGE(ABS(Resultados!D90),ABS(Resultados!N90),ABS(Resultados!X90),ABS(Resultados!AR90),ABS(Resultados!BL90),ABS(Resultados!BV90),ABS(Resultados!CP90),ABS(Resultados!CZ90),ABS(Resultados!DJ90)))</f>
        <v>3.8555555555555556E-3</v>
      </c>
      <c r="E90">
        <f>IF(COUNT(Resultados!E90,Resultados!O90,Resultados!Y90,Resultados!AS90,Resultados!BM90,Resultados!BW90,Resultados!CQ90,Resultados!DA90,Resultados!DK90)=0, "", AVERAGE(ABS(Resultados!E90),ABS(Resultados!O90),ABS(Resultados!Y90),ABS(Resultados!AS90),ABS(Resultados!BM90),ABS(Resultados!BW90),ABS(Resultados!CQ90),ABS(Resultados!DA90),ABS(Resultados!DK90)))</f>
        <v>6.3288501774465438</v>
      </c>
      <c r="F90">
        <f>IF(COUNT(Resultados!F90,Resultados!P90,Resultados!Z90,Resultados!AT90,Resultados!BN90,Resultados!BX90,Resultados!CR90,Resultados!DB90,Resultados!DL90)=0, "", AVERAGE(ABS(Resultados!F90),ABS(Resultados!P90),ABS(Resultados!Z90),ABS(Resultados!AT90),ABS(Resultados!BN90),ABS(Resultados!BX90),ABS(Resultados!CR90),ABS(Resultados!DB90),ABS(Resultados!DL90)))</f>
        <v>729.24686775409282</v>
      </c>
      <c r="G90">
        <f>IF(COUNT(Resultados!G90,Resultados!Q90,Resultados!AA90,Resultados!AU90,Resultados!BO90,Resultados!BY90,Resultados!CS90,Resultados!DC90,Resultados!DM90)=0, "", AVERAGE(ABS(Resultados!G90),ABS(Resultados!Q90),ABS(Resultados!AA90),ABS(Resultados!AU90),ABS(Resultados!BO90),ABS(Resultados!BY90),ABS(Resultados!CS90),ABS(Resultados!DC90),ABS(Resultados!DM90)))</f>
        <v>0.42399999999999999</v>
      </c>
      <c r="H90">
        <f>IF(COUNT(Resultados!H90,Resultados!R90,Resultados!AB90,Resultados!AV90,Resultados!BP90,Resultados!BZ90,Resultados!CT90,Resultados!DD90,Resultados!DN90)=0, "", AVERAGE(ABS(Resultados!H90),ABS(Resultados!R90),ABS(Resultados!AB90),ABS(Resultados!AV90),ABS(Resultados!BP90),ABS(Resultados!BZ90),ABS(Resultados!CT90),ABS(Resultados!DD90),ABS(Resultados!DN90)))</f>
        <v>5.1666666666666666E-3</v>
      </c>
      <c r="I90">
        <f>IF(COUNT(Resultados!I90,Resultados!S90,Resultados!AC90,Resultados!AW90,Resultados!BQ90,Resultados!CA90,Resultados!CU90,Resultados!DE90,Resultados!DO90)=0, "", AVERAGE(ABS(Resultados!I90),ABS(Resultados!S90),ABS(Resultados!AC90),ABS(Resultados!AW90),ABS(Resultados!BQ90),ABS(Resultados!CA90),ABS(Resultados!CU90),ABS(Resultados!DE90),ABS(Resultados!DO90)))</f>
        <v>17.644919999999995</v>
      </c>
      <c r="J90">
        <f>IF(COUNT(Resultados!J90,Resultados!T90,Resultados!AD90,Resultados!AX90,Resultados!BR90,Resultados!CB90,Resultados!CV90,Resultados!DF90,Resultados!DP90)=0, "", AVERAGE(ABS(Resultados!J90),ABS(Resultados!T90),ABS(Resultados!AD90),ABS(Resultados!AX90),ABS(Resultados!BR90),ABS(Resultados!CB90),ABS(Resultados!CV90),ABS(Resultados!DF90),ABS(Resultados!DP90)))</f>
        <v>5.1666666666666666E-3</v>
      </c>
      <c r="K90">
        <v>3.8555555555555556E-3</v>
      </c>
    </row>
    <row r="91" spans="1:11" x14ac:dyDescent="0.3">
      <c r="A91">
        <f>IF(COUNT(Resultados!A91,Resultados!K91,Resultados!U91,Resultados!AO91,Resultados!BI91,Resultados!BS91,Resultados!CM91,Resultados!CW91,Resultados!DG91)=0, "", AVERAGE(ABS(Resultados!A91),ABS(Resultados!K91),ABS(Resultados!U91),ABS(Resultados!AO91),ABS(Resultados!BI91),ABS(Resultados!BS91),ABS(Resultados!CM91),ABS(Resultados!CW91),ABS(Resultados!DG91)))</f>
        <v>45681</v>
      </c>
      <c r="B91" t="str">
        <f>IF(COUNT(Resultados!B91,Resultados!L91,Resultados!V91,Resultados!AP91,Resultados!BJ91,Resultados!BT91,Resultados!CN91,Resultados!CX91,Resultados!DH91)=0, "", AVERAGE(ABS(Resultados!B91),ABS(Resultados!L91),ABS(Resultados!V91),ABS(Resultados!AP91),ABS(Resultados!BJ91),ABS(Resultados!BT91),ABS(Resultados!CN91),ABS(Resultados!CX91),ABS(Resultados!DH91)))</f>
        <v/>
      </c>
      <c r="C91">
        <f>IF(COUNT(Resultados!C91,Resultados!M91,Resultados!W91,Resultados!AQ91,Resultados!BK91,Resultados!BU91,Resultados!CO91,Resultados!CY91,Resultados!DI91)=0, "", AVERAGE(ABS(Resultados!C91),ABS(Resultados!M91),ABS(Resultados!W91),ABS(Resultados!AQ91),ABS(Resultados!BK91),ABS(Resultados!BU91),ABS(Resultados!CO91),ABS(Resultados!CY91),ABS(Resultados!DI91)))</f>
        <v>3.5555555555555554</v>
      </c>
      <c r="D91">
        <f>IF(COUNT(Resultados!D91,Resultados!N91,Resultados!X91,Resultados!AR91,Resultados!BL91,Resultados!BV91,Resultados!CP91,Resultados!CZ91,Resultados!DJ91)=0, "", AVERAGE(ABS(Resultados!D91),ABS(Resultados!N91),ABS(Resultados!X91),ABS(Resultados!AR91),ABS(Resultados!BL91),ABS(Resultados!BV91),ABS(Resultados!CP91),ABS(Resultados!CZ91),ABS(Resultados!DJ91)))</f>
        <v>3.9333333333333338E-3</v>
      </c>
      <c r="E91">
        <f>IF(COUNT(Resultados!E91,Resultados!O91,Resultados!Y91,Resultados!AS91,Resultados!BM91,Resultados!BW91,Resultados!CQ91,Resultados!DA91,Resultados!DK91)=0, "", AVERAGE(ABS(Resultados!E91),ABS(Resultados!O91),ABS(Resultados!Y91),ABS(Resultados!AS91),ABS(Resultados!BM91),ABS(Resultados!BW91),ABS(Resultados!CQ91),ABS(Resultados!DA91),ABS(Resultados!DK91)))</f>
        <v>6.4040776955022718</v>
      </c>
      <c r="F91">
        <f>IF(COUNT(Resultados!F91,Resultados!P91,Resultados!Z91,Resultados!AT91,Resultados!BN91,Resultados!BX91,Resultados!CR91,Resultados!DB91,Resultados!DL91)=0, "", AVERAGE(ABS(Resultados!F91),ABS(Resultados!P91),ABS(Resultados!Z91),ABS(Resultados!AT91),ABS(Resultados!BN91),ABS(Resultados!BX91),ABS(Resultados!CR91),ABS(Resultados!DB91),ABS(Resultados!DL91)))</f>
        <v>736.39065318242638</v>
      </c>
      <c r="G91">
        <f>IF(COUNT(Resultados!G91,Resultados!Q91,Resultados!AA91,Resultados!AU91,Resultados!BO91,Resultados!BY91,Resultados!CS91,Resultados!DC91,Resultados!DM91)=0, "", AVERAGE(ABS(Resultados!G91),ABS(Resultados!Q91),ABS(Resultados!AA91),ABS(Resultados!AU91),ABS(Resultados!BO91),ABS(Resultados!BY91),ABS(Resultados!CS91),ABS(Resultados!DC91),ABS(Resultados!DM91)))</f>
        <v>0.42399999999999999</v>
      </c>
      <c r="H91">
        <f>IF(COUNT(Resultados!H91,Resultados!R91,Resultados!AB91,Resultados!AV91,Resultados!BP91,Resultados!BZ91,Resultados!CT91,Resultados!DD91,Resultados!DN91)=0, "", AVERAGE(ABS(Resultados!H91),ABS(Resultados!R91),ABS(Resultados!AB91),ABS(Resultados!AV91),ABS(Resultados!BP91),ABS(Resultados!BZ91),ABS(Resultados!CT91),ABS(Resultados!DD91),ABS(Resultados!DN91)))</f>
        <v>6.3666666666666663E-3</v>
      </c>
      <c r="I91">
        <f>IF(COUNT(Resultados!I91,Resultados!S91,Resultados!AC91,Resultados!AW91,Resultados!BQ91,Resultados!CA91,Resultados!CU91,Resultados!DE91,Resultados!DO91)=0, "", AVERAGE(ABS(Resultados!I91),ABS(Resultados!S91),ABS(Resultados!AC91),ABS(Resultados!AW91),ABS(Resultados!BQ91),ABS(Resultados!CA91),ABS(Resultados!CU91),ABS(Resultados!DE91),ABS(Resultados!DO91)))</f>
        <v>17.84476333333334</v>
      </c>
      <c r="J91">
        <f>IF(COUNT(Resultados!J91,Resultados!T91,Resultados!AD91,Resultados!AX91,Resultados!BR91,Resultados!CB91,Resultados!CV91,Resultados!DF91,Resultados!DP91)=0, "", AVERAGE(ABS(Resultados!J91),ABS(Resultados!T91),ABS(Resultados!AD91),ABS(Resultados!AX91),ABS(Resultados!BR91),ABS(Resultados!CB91),ABS(Resultados!CV91),ABS(Resultados!DF91),ABS(Resultados!DP91)))</f>
        <v>6.3666666666666663E-3</v>
      </c>
      <c r="K91">
        <v>3.9333333333333338E-3</v>
      </c>
    </row>
    <row r="92" spans="1:11" x14ac:dyDescent="0.3">
      <c r="A92">
        <f>IF(COUNT(Resultados!A92,Resultados!K92,Resultados!U92,Resultados!AO92,Resultados!BI92,Resultados!BS92,Resultados!CM92,Resultados!CW92,Resultados!DG92)=0, "", AVERAGE(ABS(Resultados!A92),ABS(Resultados!K92),ABS(Resultados!U92),ABS(Resultados!AO92),ABS(Resultados!BI92),ABS(Resultados!BS92),ABS(Resultados!CM92),ABS(Resultados!CW92),ABS(Resultados!DG92)))</f>
        <v>45681</v>
      </c>
      <c r="B92" t="str">
        <f>IF(COUNT(Resultados!B92,Resultados!L92,Resultados!V92,Resultados!AP92,Resultados!BJ92,Resultados!BT92,Resultados!CN92,Resultados!CX92,Resultados!DH92)=0, "", AVERAGE(ABS(Resultados!B92),ABS(Resultados!L92),ABS(Resultados!V92),ABS(Resultados!AP92),ABS(Resultados!BJ92),ABS(Resultados!BT92),ABS(Resultados!CN92),ABS(Resultados!CX92),ABS(Resultados!DH92)))</f>
        <v/>
      </c>
      <c r="C92">
        <f>IF(COUNT(Resultados!C92,Resultados!M92,Resultados!W92,Resultados!AQ92,Resultados!BK92,Resultados!BU92,Resultados!CO92,Resultados!CY92,Resultados!DI92)=0, "", AVERAGE(ABS(Resultados!C92),ABS(Resultados!M92),ABS(Resultados!W92),ABS(Resultados!AQ92),ABS(Resultados!BK92),ABS(Resultados!BU92),ABS(Resultados!CO92),ABS(Resultados!CY92),ABS(Resultados!DI92)))</f>
        <v>3.5555555555555554</v>
      </c>
      <c r="D92">
        <f>IF(COUNT(Resultados!D92,Resultados!N92,Resultados!X92,Resultados!AR92,Resultados!BL92,Resultados!BV92,Resultados!CP92,Resultados!CZ92,Resultados!DJ92)=0, "", AVERAGE(ABS(Resultados!D92),ABS(Resultados!N92),ABS(Resultados!X92),ABS(Resultados!AR92),ABS(Resultados!BL92),ABS(Resultados!BV92),ABS(Resultados!CP92),ABS(Resultados!CZ92),ABS(Resultados!DJ92)))</f>
        <v>4.2333333333333337E-3</v>
      </c>
      <c r="E92">
        <f>IF(COUNT(Resultados!E92,Resultados!O92,Resultados!Y92,Resultados!AS92,Resultados!BM92,Resultados!BW92,Resultados!CQ92,Resultados!DA92,Resultados!DK92)=0, "", AVERAGE(ABS(Resultados!E92),ABS(Resultados!O92),ABS(Resultados!Y92),ABS(Resultados!AS92),ABS(Resultados!BM92),ABS(Resultados!BW92),ABS(Resultados!CQ92),ABS(Resultados!DA92),ABS(Resultados!DK92)))</f>
        <v>6.4861524778552031</v>
      </c>
      <c r="F92">
        <f>IF(COUNT(Resultados!F92,Resultados!P92,Resultados!Z92,Resultados!AT92,Resultados!BN92,Resultados!BX92,Resultados!CR92,Resultados!DB92,Resultados!DL92)=0, "", AVERAGE(ABS(Resultados!F92),ABS(Resultados!P92),ABS(Resultados!Z92),ABS(Resultados!AT92),ABS(Resultados!BN92),ABS(Resultados!BX92),ABS(Resultados!CR92),ABS(Resultados!DB92),ABS(Resultados!DL92)))</f>
        <v>744.18112049040553</v>
      </c>
      <c r="G92">
        <f>IF(COUNT(Resultados!G92,Resultados!Q92,Resultados!AA92,Resultados!AU92,Resultados!BO92,Resultados!BY92,Resultados!CS92,Resultados!DC92,Resultados!DM92)=0, "", AVERAGE(ABS(Resultados!G92),ABS(Resultados!Q92),ABS(Resultados!AA92),ABS(Resultados!AU92),ABS(Resultados!BO92),ABS(Resultados!BY92),ABS(Resultados!CS92),ABS(Resultados!DC92),ABS(Resultados!DM92)))</f>
        <v>0.42399999999999999</v>
      </c>
      <c r="H92">
        <f>IF(COUNT(Resultados!H92,Resultados!R92,Resultados!AB92,Resultados!AV92,Resultados!BP92,Resultados!BZ92,Resultados!CT92,Resultados!DD92,Resultados!DN92)=0, "", AVERAGE(ABS(Resultados!H92),ABS(Resultados!R92),ABS(Resultados!AB92),ABS(Resultados!AV92),ABS(Resultados!BP92),ABS(Resultados!BZ92),ABS(Resultados!CT92),ABS(Resultados!DD92),ABS(Resultados!DN92)))</f>
        <v>7.6222222222222229E-3</v>
      </c>
      <c r="I92">
        <f>IF(COUNT(Resultados!I92,Resultados!S92,Resultados!AC92,Resultados!AW92,Resultados!BQ92,Resultados!CA92,Resultados!CU92,Resultados!DE92,Resultados!DO92)=0, "", AVERAGE(ABS(Resultados!I92),ABS(Resultados!S92),ABS(Resultados!AC92),ABS(Resultados!AW92),ABS(Resultados!BQ92),ABS(Resultados!CA92),ABS(Resultados!CU92),ABS(Resultados!DE92),ABS(Resultados!DO92)))</f>
        <v>18.045311111111115</v>
      </c>
      <c r="J92">
        <f>IF(COUNT(Resultados!J92,Resultados!T92,Resultados!AD92,Resultados!AX92,Resultados!BR92,Resultados!CB92,Resultados!CV92,Resultados!DF92,Resultados!DP92)=0, "", AVERAGE(ABS(Resultados!J92),ABS(Resultados!T92),ABS(Resultados!AD92),ABS(Resultados!AX92),ABS(Resultados!BR92),ABS(Resultados!CB92),ABS(Resultados!CV92),ABS(Resultados!DF92),ABS(Resultados!DP92)))</f>
        <v>7.6222222222222229E-3</v>
      </c>
      <c r="K92">
        <v>4.2333333333333337E-3</v>
      </c>
    </row>
    <row r="93" spans="1:11" x14ac:dyDescent="0.3">
      <c r="A93">
        <f>IF(COUNT(Resultados!A93,Resultados!K93,Resultados!U93,Resultados!AO93,Resultados!BI93,Resultados!BS93,Resultados!CM93,Resultados!CW93,Resultados!DG93)=0, "", AVERAGE(ABS(Resultados!A93),ABS(Resultados!K93),ABS(Resultados!U93),ABS(Resultados!AO93),ABS(Resultados!BI93),ABS(Resultados!BS93),ABS(Resultados!CM93),ABS(Resultados!CW93),ABS(Resultados!DG93)))</f>
        <v>45681</v>
      </c>
      <c r="B93" t="str">
        <f>IF(COUNT(Resultados!B93,Resultados!L93,Resultados!V93,Resultados!AP93,Resultados!BJ93,Resultados!BT93,Resultados!CN93,Resultados!CX93,Resultados!DH93)=0, "", AVERAGE(ABS(Resultados!B93),ABS(Resultados!L93),ABS(Resultados!V93),ABS(Resultados!AP93),ABS(Resultados!BJ93),ABS(Resultados!BT93),ABS(Resultados!CN93),ABS(Resultados!CX93),ABS(Resultados!DH93)))</f>
        <v/>
      </c>
      <c r="C93">
        <f>IF(COUNT(Resultados!C93,Resultados!M93,Resultados!W93,Resultados!AQ93,Resultados!BK93,Resultados!BU93,Resultados!CO93,Resultados!CY93,Resultados!DI93)=0, "", AVERAGE(ABS(Resultados!C93),ABS(Resultados!M93),ABS(Resultados!W93),ABS(Resultados!AQ93),ABS(Resultados!BK93),ABS(Resultados!BU93),ABS(Resultados!CO93),ABS(Resultados!CY93),ABS(Resultados!DI93)))</f>
        <v>3.5555555555555554</v>
      </c>
      <c r="D93">
        <f>IF(COUNT(Resultados!D93,Resultados!N93,Resultados!X93,Resultados!AR93,Resultados!BL93,Resultados!BV93,Resultados!CP93,Resultados!CZ93,Resultados!DJ93)=0, "", AVERAGE(ABS(Resultados!D93),ABS(Resultados!N93),ABS(Resultados!X93),ABS(Resultados!AR93),ABS(Resultados!BL93),ABS(Resultados!BV93),ABS(Resultados!CP93),ABS(Resultados!CZ93),ABS(Resultados!DJ93)))</f>
        <v>4.9777777777777771E-3</v>
      </c>
      <c r="E93">
        <f>IF(COUNT(Resultados!E93,Resultados!O93,Resultados!Y93,Resultados!AS93,Resultados!BM93,Resultados!BW93,Resultados!CQ93,Resultados!DA93,Resultados!DK93)=0, "", AVERAGE(ABS(Resultados!E93),ABS(Resultados!O93),ABS(Resultados!Y93),ABS(Resultados!AS93),ABS(Resultados!BM93),ABS(Resultados!BW93),ABS(Resultados!CQ93),ABS(Resultados!DA93),ABS(Resultados!DK93)))</f>
        <v>6.5723975926478699</v>
      </c>
      <c r="F93">
        <f>IF(COUNT(Resultados!F93,Resultados!P93,Resultados!Z93,Resultados!AT93,Resultados!BN93,Resultados!BX93,Resultados!CR93,Resultados!DB93,Resultados!DL93)=0, "", AVERAGE(ABS(Resultados!F93),ABS(Resultados!P93),ABS(Resultados!Z93),ABS(Resultados!AT93),ABS(Resultados!BN93),ABS(Resultados!BX93),ABS(Resultados!CR93),ABS(Resultados!DB93),ABS(Resultados!DL93)))</f>
        <v>763.72053154228286</v>
      </c>
      <c r="G93">
        <f>IF(COUNT(Resultados!G93,Resultados!Q93,Resultados!AA93,Resultados!AU93,Resultados!BO93,Resultados!BY93,Resultados!CS93,Resultados!DC93,Resultados!DM93)=0, "", AVERAGE(ABS(Resultados!G93),ABS(Resultados!Q93),ABS(Resultados!AA93),ABS(Resultados!AU93),ABS(Resultados!BO93),ABS(Resultados!BY93),ABS(Resultados!CS93),ABS(Resultados!DC93),ABS(Resultados!DM93)))</f>
        <v>0.42399999999999999</v>
      </c>
      <c r="H93">
        <f>IF(COUNT(Resultados!H93,Resultados!R93,Resultados!AB93,Resultados!AV93,Resultados!BP93,Resultados!BZ93,Resultados!CT93,Resultados!DD93,Resultados!DN93)=0, "", AVERAGE(ABS(Resultados!H93),ABS(Resultados!R93),ABS(Resultados!AB93),ABS(Resultados!AV93),ABS(Resultados!BP93),ABS(Resultados!BZ93),ABS(Resultados!CT93),ABS(Resultados!DD93),ABS(Resultados!DN93)))</f>
        <v>8.9555555555555569E-3</v>
      </c>
      <c r="I93">
        <f>IF(COUNT(Resultados!I93,Resultados!S93,Resultados!AC93,Resultados!AW93,Resultados!BQ93,Resultados!CA93,Resultados!CU93,Resultados!DE93,Resultados!DO93)=0, "", AVERAGE(ABS(Resultados!I93),ABS(Resultados!S93),ABS(Resultados!AC93),ABS(Resultados!AW93),ABS(Resultados!BQ93),ABS(Resultados!CA93),ABS(Resultados!CU93),ABS(Resultados!DE93),ABS(Resultados!DO93)))</f>
        <v>18.244851111111114</v>
      </c>
      <c r="J93">
        <f>IF(COUNT(Resultados!J93,Resultados!T93,Resultados!AD93,Resultados!AX93,Resultados!BR93,Resultados!CB93,Resultados!CV93,Resultados!DF93,Resultados!DP93)=0, "", AVERAGE(ABS(Resultados!J93),ABS(Resultados!T93),ABS(Resultados!AD93),ABS(Resultados!AX93),ABS(Resultados!BR93),ABS(Resultados!CB93),ABS(Resultados!CV93),ABS(Resultados!DF93),ABS(Resultados!DP93)))</f>
        <v>8.9555555555555569E-3</v>
      </c>
      <c r="K93">
        <v>4.9777777777777771E-3</v>
      </c>
    </row>
    <row r="94" spans="1:11" x14ac:dyDescent="0.3">
      <c r="A94">
        <f>IF(COUNT(Resultados!A94,Resultados!K94,Resultados!U94,Resultados!AO94,Resultados!BI94,Resultados!BS94,Resultados!CM94,Resultados!CW94,Resultados!DG94)=0, "", AVERAGE(ABS(Resultados!A94),ABS(Resultados!K94),ABS(Resultados!U94),ABS(Resultados!AO94),ABS(Resultados!BI94),ABS(Resultados!BS94),ABS(Resultados!CM94),ABS(Resultados!CW94),ABS(Resultados!DG94)))</f>
        <v>45681</v>
      </c>
      <c r="B94" t="str">
        <f>IF(COUNT(Resultados!B94,Resultados!L94,Resultados!V94,Resultados!AP94,Resultados!BJ94,Resultados!BT94,Resultados!CN94,Resultados!CX94,Resultados!DH94)=0, "", AVERAGE(ABS(Resultados!B94),ABS(Resultados!L94),ABS(Resultados!V94),ABS(Resultados!AP94),ABS(Resultados!BJ94),ABS(Resultados!BT94),ABS(Resultados!CN94),ABS(Resultados!CX94),ABS(Resultados!DH94)))</f>
        <v/>
      </c>
      <c r="C94">
        <f>IF(COUNT(Resultados!C94,Resultados!M94,Resultados!W94,Resultados!AQ94,Resultados!BK94,Resultados!BU94,Resultados!CO94,Resultados!CY94,Resultados!DI94)=0, "", AVERAGE(ABS(Resultados!C94),ABS(Resultados!M94),ABS(Resultados!W94),ABS(Resultados!AQ94),ABS(Resultados!BK94),ABS(Resultados!BU94),ABS(Resultados!CO94),ABS(Resultados!CY94),ABS(Resultados!DI94)))</f>
        <v>3.5555555555555554</v>
      </c>
      <c r="D94">
        <f>IF(COUNT(Resultados!D94,Resultados!N94,Resultados!X94,Resultados!AR94,Resultados!BL94,Resultados!BV94,Resultados!CP94,Resultados!CZ94,Resultados!DJ94)=0, "", AVERAGE(ABS(Resultados!D94),ABS(Resultados!N94),ABS(Resultados!X94),ABS(Resultados!AR94),ABS(Resultados!BL94),ABS(Resultados!BV94),ABS(Resultados!CP94),ABS(Resultados!CZ94),ABS(Resultados!DJ94)))</f>
        <v>6.1666666666666675E-3</v>
      </c>
      <c r="E94">
        <f>IF(COUNT(Resultados!E94,Resultados!O94,Resultados!Y94,Resultados!AS94,Resultados!BM94,Resultados!BW94,Resultados!CQ94,Resultados!DA94,Resultados!DK94)=0, "", AVERAGE(ABS(Resultados!E94),ABS(Resultados!O94),ABS(Resultados!Y94),ABS(Resultados!AS94),ABS(Resultados!BM94),ABS(Resultados!BW94),ABS(Resultados!CQ94),ABS(Resultados!DA94),ABS(Resultados!DK94)))</f>
        <v>6.6610418147948369</v>
      </c>
      <c r="F94">
        <f>IF(COUNT(Resultados!F94,Resultados!P94,Resultados!Z94,Resultados!AT94,Resultados!BN94,Resultados!BX94,Resultados!CR94,Resultados!DB94,Resultados!DL94)=0, "", AVERAGE(ABS(Resultados!F94),ABS(Resultados!P94),ABS(Resultados!Z94),ABS(Resultados!AT94),ABS(Resultados!BN94),ABS(Resultados!BX94),ABS(Resultados!CR94),ABS(Resultados!DB94),ABS(Resultados!DL94)))</f>
        <v>772.13286822403006</v>
      </c>
      <c r="G94">
        <f>IF(COUNT(Resultados!G94,Resultados!Q94,Resultados!AA94,Resultados!AU94,Resultados!BO94,Resultados!BY94,Resultados!CS94,Resultados!DC94,Resultados!DM94)=0, "", AVERAGE(ABS(Resultados!G94),ABS(Resultados!Q94),ABS(Resultados!AA94),ABS(Resultados!AU94),ABS(Resultados!BO94),ABS(Resultados!BY94),ABS(Resultados!CS94),ABS(Resultados!DC94),ABS(Resultados!DM94)))</f>
        <v>0.42399999999999999</v>
      </c>
      <c r="H94">
        <f>IF(COUNT(Resultados!H94,Resultados!R94,Resultados!AB94,Resultados!AV94,Resultados!BP94,Resultados!BZ94,Resultados!CT94,Resultados!DD94,Resultados!DN94)=0, "", AVERAGE(ABS(Resultados!H94),ABS(Resultados!R94),ABS(Resultados!AB94),ABS(Resultados!AV94),ABS(Resultados!BP94),ABS(Resultados!BZ94),ABS(Resultados!CT94),ABS(Resultados!DD94),ABS(Resultados!DN94)))</f>
        <v>1.0333333333333333E-2</v>
      </c>
      <c r="I94">
        <f>IF(COUNT(Resultados!I94,Resultados!S94,Resultados!AC94,Resultados!AW94,Resultados!BQ94,Resultados!CA94,Resultados!CU94,Resultados!DE94,Resultados!DO94)=0, "", AVERAGE(ABS(Resultados!I94),ABS(Resultados!S94),ABS(Resultados!AC94),ABS(Resultados!AW94),ABS(Resultados!BQ94),ABS(Resultados!CA94),ABS(Resultados!CU94),ABS(Resultados!DE94),ABS(Resultados!DO94)))</f>
        <v>18.444308888888894</v>
      </c>
      <c r="J94">
        <f>IF(COUNT(Resultados!J94,Resultados!T94,Resultados!AD94,Resultados!AX94,Resultados!BR94,Resultados!CB94,Resultados!CV94,Resultados!DF94,Resultados!DP94)=0, "", AVERAGE(ABS(Resultados!J94),ABS(Resultados!T94),ABS(Resultados!AD94),ABS(Resultados!AX94),ABS(Resultados!BR94),ABS(Resultados!CB94),ABS(Resultados!CV94),ABS(Resultados!DF94),ABS(Resultados!DP94)))</f>
        <v>1.0333333333333333E-2</v>
      </c>
      <c r="K94">
        <v>6.1666666666666675E-3</v>
      </c>
    </row>
    <row r="95" spans="1:11" x14ac:dyDescent="0.3">
      <c r="A95">
        <f>IF(COUNT(Resultados!A95,Resultados!K95,Resultados!U95,Resultados!AO95,Resultados!BI95,Resultados!BS95,Resultados!CM95,Resultados!CW95,Resultados!DG95)=0, "", AVERAGE(ABS(Resultados!A95),ABS(Resultados!K95),ABS(Resultados!U95),ABS(Resultados!AO95),ABS(Resultados!BI95),ABS(Resultados!BS95),ABS(Resultados!CM95),ABS(Resultados!CW95),ABS(Resultados!DG95)))</f>
        <v>45681</v>
      </c>
      <c r="B95" t="str">
        <f>IF(COUNT(Resultados!B95,Resultados!L95,Resultados!V95,Resultados!AP95,Resultados!BJ95,Resultados!BT95,Resultados!CN95,Resultados!CX95,Resultados!DH95)=0, "", AVERAGE(ABS(Resultados!B95),ABS(Resultados!L95),ABS(Resultados!V95),ABS(Resultados!AP95),ABS(Resultados!BJ95),ABS(Resultados!BT95),ABS(Resultados!CN95),ABS(Resultados!CX95),ABS(Resultados!DH95)))</f>
        <v/>
      </c>
      <c r="C95">
        <f>IF(COUNT(Resultados!C95,Resultados!M95,Resultados!W95,Resultados!AQ95,Resultados!BK95,Resultados!BU95,Resultados!CO95,Resultados!CY95,Resultados!DI95)=0, "", AVERAGE(ABS(Resultados!C95),ABS(Resultados!M95),ABS(Resultados!W95),ABS(Resultados!AQ95),ABS(Resultados!BK95),ABS(Resultados!BU95),ABS(Resultados!CO95),ABS(Resultados!CY95),ABS(Resultados!DI95)))</f>
        <v>3.5555555555555554</v>
      </c>
      <c r="D95">
        <f>IF(COUNT(Resultados!D95,Resultados!N95,Resultados!X95,Resultados!AR95,Resultados!BL95,Resultados!BV95,Resultados!CP95,Resultados!CZ95,Resultados!DJ95)=0, "", AVERAGE(ABS(Resultados!D95),ABS(Resultados!N95),ABS(Resultados!X95),ABS(Resultados!AR95),ABS(Resultados!BL95),ABS(Resultados!BV95),ABS(Resultados!CP95),ABS(Resultados!CZ95),ABS(Resultados!DJ95)))</f>
        <v>7.4222222222222224E-3</v>
      </c>
      <c r="E95">
        <f>IF(COUNT(Resultados!E95,Resultados!O95,Resultados!Y95,Resultados!AS95,Resultados!BM95,Resultados!BW95,Resultados!CQ95,Resultados!DA95,Resultados!DK95)=0, "", AVERAGE(ABS(Resultados!E95),ABS(Resultados!O95),ABS(Resultados!Y95),ABS(Resultados!AS95),ABS(Resultados!BM95),ABS(Resultados!BW95),ABS(Resultados!CQ95),ABS(Resultados!DA95),ABS(Resultados!DK95)))</f>
        <v>6.7505691535867935</v>
      </c>
      <c r="F95">
        <f>IF(COUNT(Resultados!F95,Resultados!P95,Resultados!Z95,Resultados!AT95,Resultados!BN95,Resultados!BX95,Resultados!CR95,Resultados!DB95,Resultados!DL95)=0, "", AVERAGE(ABS(Resultados!F95),ABS(Resultados!P95),ABS(Resultados!Z95),ABS(Resultados!AT95),ABS(Resultados!BN95),ABS(Resultados!BX95),ABS(Resultados!CR95),ABS(Resultados!DB95),ABS(Resultados!DL95)))</f>
        <v>780.62901267538666</v>
      </c>
      <c r="G95">
        <f>IF(COUNT(Resultados!G95,Resultados!Q95,Resultados!AA95,Resultados!AU95,Resultados!BO95,Resultados!BY95,Resultados!CS95,Resultados!DC95,Resultados!DM95)=0, "", AVERAGE(ABS(Resultados!G95),ABS(Resultados!Q95),ABS(Resultados!AA95),ABS(Resultados!AU95),ABS(Resultados!BO95),ABS(Resultados!BY95),ABS(Resultados!CS95),ABS(Resultados!DC95),ABS(Resultados!DM95)))</f>
        <v>0.42399999999999999</v>
      </c>
      <c r="H95">
        <f>IF(COUNT(Resultados!H95,Resultados!R95,Resultados!AB95,Resultados!AV95,Resultados!BP95,Resultados!BZ95,Resultados!CT95,Resultados!DD95,Resultados!DN95)=0, "", AVERAGE(ABS(Resultados!H95),ABS(Resultados!R95),ABS(Resultados!AB95),ABS(Resultados!AV95),ABS(Resultados!BP95),ABS(Resultados!BZ95),ABS(Resultados!CT95),ABS(Resultados!DD95),ABS(Resultados!DN95)))</f>
        <v>1.1722222222222221E-2</v>
      </c>
      <c r="I95">
        <f>IF(COUNT(Resultados!I95,Resultados!S95,Resultados!AC95,Resultados!AW95,Resultados!BQ95,Resultados!CA95,Resultados!CU95,Resultados!DE95,Resultados!DO95)=0, "", AVERAGE(ABS(Resultados!I95),ABS(Resultados!S95),ABS(Resultados!AC95),ABS(Resultados!AW95),ABS(Resultados!BQ95),ABS(Resultados!CA95),ABS(Resultados!CU95),ABS(Resultados!DE95),ABS(Resultados!DO95)))</f>
        <v>18.645136666666662</v>
      </c>
      <c r="J95">
        <f>IF(COUNT(Resultados!J95,Resultados!T95,Resultados!AD95,Resultados!AX95,Resultados!BR95,Resultados!CB95,Resultados!CV95,Resultados!DF95,Resultados!DP95)=0, "", AVERAGE(ABS(Resultados!J95),ABS(Resultados!T95),ABS(Resultados!AD95),ABS(Resultados!AX95),ABS(Resultados!BR95),ABS(Resultados!CB95),ABS(Resultados!CV95),ABS(Resultados!DF95),ABS(Resultados!DP95)))</f>
        <v>1.1722222222222221E-2</v>
      </c>
      <c r="K95">
        <v>7.4222222222222224E-3</v>
      </c>
    </row>
    <row r="96" spans="1:11" x14ac:dyDescent="0.3">
      <c r="A96">
        <f>IF(COUNT(Resultados!A96,Resultados!K96,Resultados!U96,Resultados!AO96,Resultados!BI96,Resultados!BS96,Resultados!CM96,Resultados!CW96,Resultados!DG96)=0, "", AVERAGE(ABS(Resultados!A96),ABS(Resultados!K96),ABS(Resultados!U96),ABS(Resultados!AO96),ABS(Resultados!BI96),ABS(Resultados!BS96),ABS(Resultados!CM96),ABS(Resultados!CW96),ABS(Resultados!DG96)))</f>
        <v>45681</v>
      </c>
      <c r="B96" t="str">
        <f>IF(COUNT(Resultados!B96,Resultados!L96,Resultados!V96,Resultados!AP96,Resultados!BJ96,Resultados!BT96,Resultados!CN96,Resultados!CX96,Resultados!DH96)=0, "", AVERAGE(ABS(Resultados!B96),ABS(Resultados!L96),ABS(Resultados!V96),ABS(Resultados!AP96),ABS(Resultados!BJ96),ABS(Resultados!BT96),ABS(Resultados!CN96),ABS(Resultados!CX96),ABS(Resultados!DH96)))</f>
        <v/>
      </c>
      <c r="C96">
        <f>IF(COUNT(Resultados!C96,Resultados!M96,Resultados!W96,Resultados!AQ96,Resultados!BK96,Resultados!BU96,Resultados!CO96,Resultados!CY96,Resultados!DI96)=0, "", AVERAGE(ABS(Resultados!C96),ABS(Resultados!M96),ABS(Resultados!W96),ABS(Resultados!AQ96),ABS(Resultados!BK96),ABS(Resultados!BU96),ABS(Resultados!CO96),ABS(Resultados!CY96),ABS(Resultados!DI96)))</f>
        <v>3.5555555555555554</v>
      </c>
      <c r="D96">
        <f>IF(COUNT(Resultados!D96,Resultados!N96,Resultados!X96,Resultados!AR96,Resultados!BL96,Resultados!BV96,Resultados!CP96,Resultados!CZ96,Resultados!DJ96)=0, "", AVERAGE(ABS(Resultados!D96),ABS(Resultados!N96),ABS(Resultados!X96),ABS(Resultados!AR96),ABS(Resultados!BL96),ABS(Resultados!BV96),ABS(Resultados!CP96),ABS(Resultados!CZ96),ABS(Resultados!DJ96)))</f>
        <v>8.4555555555555564E-3</v>
      </c>
      <c r="E96">
        <f>IF(COUNT(Resultados!E96,Resultados!O96,Resultados!Y96,Resultados!AS96,Resultados!BM96,Resultados!BW96,Resultados!CQ96,Resultados!DA96,Resultados!DK96)=0, "", AVERAGE(ABS(Resultados!E96),ABS(Resultados!O96),ABS(Resultados!Y96),ABS(Resultados!AS96),ABS(Resultados!BM96),ABS(Resultados!BW96),ABS(Resultados!CQ96),ABS(Resultados!DA96),ABS(Resultados!DK96)))</f>
        <v>6.8376374600517886</v>
      </c>
      <c r="F96">
        <f>IF(COUNT(Resultados!F96,Resultados!P96,Resultados!Z96,Resultados!AT96,Resultados!BN96,Resultados!BX96,Resultados!CR96,Resultados!DB96,Resultados!DL96)=0, "", AVERAGE(ABS(Resultados!F96),ABS(Resultados!P96),ABS(Resultados!Z96),ABS(Resultados!AT96),ABS(Resultados!BN96),ABS(Resultados!BX96),ABS(Resultados!CR96),ABS(Resultados!DB96),ABS(Resultados!DL96)))</f>
        <v>788.8917949589146</v>
      </c>
      <c r="G96">
        <f>IF(COUNT(Resultados!G96,Resultados!Q96,Resultados!AA96,Resultados!AU96,Resultados!BO96,Resultados!BY96,Resultados!CS96,Resultados!DC96,Resultados!DM96)=0, "", AVERAGE(ABS(Resultados!G96),ABS(Resultados!Q96),ABS(Resultados!AA96),ABS(Resultados!AU96),ABS(Resultados!BO96),ABS(Resultados!BY96),ABS(Resultados!CS96),ABS(Resultados!DC96),ABS(Resultados!DM96)))</f>
        <v>0.42399999999999999</v>
      </c>
      <c r="H96">
        <f>IF(COUNT(Resultados!H96,Resultados!R96,Resultados!AB96,Resultados!AV96,Resultados!BP96,Resultados!BZ96,Resultados!CT96,Resultados!DD96,Resultados!DN96)=0, "", AVERAGE(ABS(Resultados!H96),ABS(Resultados!R96),ABS(Resultados!AB96),ABS(Resultados!AV96),ABS(Resultados!BP96),ABS(Resultados!BZ96),ABS(Resultados!CT96),ABS(Resultados!DD96),ABS(Resultados!DN96)))</f>
        <v>1.3088888888888891E-2</v>
      </c>
      <c r="I96">
        <f>IF(COUNT(Resultados!I96,Resultados!S96,Resultados!AC96,Resultados!AW96,Resultados!BQ96,Resultados!CA96,Resultados!CU96,Resultados!DE96,Resultados!DO96)=0, "", AVERAGE(ABS(Resultados!I96),ABS(Resultados!S96),ABS(Resultados!AC96),ABS(Resultados!AW96),ABS(Resultados!BQ96),ABS(Resultados!CA96),ABS(Resultados!CU96),ABS(Resultados!DE96),ABS(Resultados!DO96)))</f>
        <v>18.844822222222223</v>
      </c>
      <c r="J96">
        <f>IF(COUNT(Resultados!J96,Resultados!T96,Resultados!AD96,Resultados!AX96,Resultados!BR96,Resultados!CB96,Resultados!CV96,Resultados!DF96,Resultados!DP96)=0, "", AVERAGE(ABS(Resultados!J96),ABS(Resultados!T96),ABS(Resultados!AD96),ABS(Resultados!AX96),ABS(Resultados!BR96),ABS(Resultados!CB96),ABS(Resultados!CV96),ABS(Resultados!DF96),ABS(Resultados!DP96)))</f>
        <v>1.3088888888888891E-2</v>
      </c>
      <c r="K96">
        <v>8.4555555555555564E-3</v>
      </c>
    </row>
    <row r="97" spans="1:11" x14ac:dyDescent="0.3">
      <c r="A97">
        <f>IF(COUNT(Resultados!A97,Resultados!K97,Resultados!U97,Resultados!AO97,Resultados!BI97,Resultados!BS97,Resultados!CM97,Resultados!CW97,Resultados!DG97)=0, "", AVERAGE(ABS(Resultados!A97),ABS(Resultados!K97),ABS(Resultados!U97),ABS(Resultados!AO97),ABS(Resultados!BI97),ABS(Resultados!BS97),ABS(Resultados!CM97),ABS(Resultados!CW97),ABS(Resultados!DG97)))</f>
        <v>45681</v>
      </c>
      <c r="B97" t="str">
        <f>IF(COUNT(Resultados!B97,Resultados!L97,Resultados!V97,Resultados!AP97,Resultados!BJ97,Resultados!BT97,Resultados!CN97,Resultados!CX97,Resultados!DH97)=0, "", AVERAGE(ABS(Resultados!B97),ABS(Resultados!L97),ABS(Resultados!V97),ABS(Resultados!AP97),ABS(Resultados!BJ97),ABS(Resultados!BT97),ABS(Resultados!CN97),ABS(Resultados!CX97),ABS(Resultados!DH97)))</f>
        <v/>
      </c>
      <c r="C97">
        <f>IF(COUNT(Resultados!C97,Resultados!M97,Resultados!W97,Resultados!AQ97,Resultados!BK97,Resultados!BU97,Resultados!CO97,Resultados!CY97,Resultados!DI97)=0, "", AVERAGE(ABS(Resultados!C97),ABS(Resultados!M97),ABS(Resultados!W97),ABS(Resultados!AQ97),ABS(Resultados!BK97),ABS(Resultados!BU97),ABS(Resultados!CO97),ABS(Resultados!CY97),ABS(Resultados!DI97)))</f>
        <v>3.5555555555555554</v>
      </c>
      <c r="D97">
        <f>IF(COUNT(Resultados!D97,Resultados!N97,Resultados!X97,Resultados!AR97,Resultados!BL97,Resultados!BV97,Resultados!CP97,Resultados!CZ97,Resultados!DJ97)=0, "", AVERAGE(ABS(Resultados!D97),ABS(Resultados!N97),ABS(Resultados!X97),ABS(Resultados!AR97),ABS(Resultados!BL97),ABS(Resultados!BV97),ABS(Resultados!CP97),ABS(Resultados!CZ97),ABS(Resultados!DJ97)))</f>
        <v>9.633333333333334E-3</v>
      </c>
      <c r="E97">
        <f>IF(COUNT(Resultados!E97,Resultados!O97,Resultados!Y97,Resultados!AS97,Resultados!BM97,Resultados!BW97,Resultados!CQ97,Resultados!DA97,Resultados!DK97)=0, "", AVERAGE(ABS(Resultados!E97),ABS(Resultados!O97),ABS(Resultados!Y97),ABS(Resultados!AS97),ABS(Resultados!BM97),ABS(Resultados!BW97),ABS(Resultados!CQ97),ABS(Resultados!DA97),ABS(Resultados!DK97)))</f>
        <v>6.9206551677874186</v>
      </c>
      <c r="F97">
        <f>IF(COUNT(Resultados!F97,Resultados!P97,Resultados!Z97,Resultados!AT97,Resultados!BN97,Resultados!BX97,Resultados!CR97,Resultados!DB97,Resultados!DL97)=0, "", AVERAGE(ABS(Resultados!F97),ABS(Resultados!P97),ABS(Resultados!Z97),ABS(Resultados!AT97),ABS(Resultados!BN97),ABS(Resultados!BX97),ABS(Resultados!CR97),ABS(Resultados!DB97),ABS(Resultados!DL97)))</f>
        <v>796.7701754230261</v>
      </c>
      <c r="G97">
        <f>IF(COUNT(Resultados!G97,Resultados!Q97,Resultados!AA97,Resultados!AU97,Resultados!BO97,Resultados!BY97,Resultados!CS97,Resultados!DC97,Resultados!DM97)=0, "", AVERAGE(ABS(Resultados!G97),ABS(Resultados!Q97),ABS(Resultados!AA97),ABS(Resultados!AU97),ABS(Resultados!BO97),ABS(Resultados!BY97),ABS(Resultados!CS97),ABS(Resultados!DC97),ABS(Resultados!DM97)))</f>
        <v>0.42399999999999999</v>
      </c>
      <c r="H97">
        <f>IF(COUNT(Resultados!H97,Resultados!R97,Resultados!AB97,Resultados!AV97,Resultados!BP97,Resultados!BZ97,Resultados!CT97,Resultados!DD97,Resultados!DN97)=0, "", AVERAGE(ABS(Resultados!H97),ABS(Resultados!R97),ABS(Resultados!AB97),ABS(Resultados!AV97),ABS(Resultados!BP97),ABS(Resultados!BZ97),ABS(Resultados!CT97),ABS(Resultados!DD97),ABS(Resultados!DN97)))</f>
        <v>1.4377777777777776E-2</v>
      </c>
      <c r="I97">
        <f>IF(COUNT(Resultados!I97,Resultados!S97,Resultados!AC97,Resultados!AW97,Resultados!BQ97,Resultados!CA97,Resultados!CU97,Resultados!DE97,Resultados!DO97)=0, "", AVERAGE(ABS(Resultados!I97),ABS(Resultados!S97),ABS(Resultados!AC97),ABS(Resultados!AW97),ABS(Resultados!BQ97),ABS(Resultados!CA97),ABS(Resultados!CU97),ABS(Resultados!DE97),ABS(Resultados!DO97)))</f>
        <v>19.044720000000002</v>
      </c>
      <c r="J97">
        <f>IF(COUNT(Resultados!J97,Resultados!T97,Resultados!AD97,Resultados!AX97,Resultados!BR97,Resultados!CB97,Resultados!CV97,Resultados!DF97,Resultados!DP97)=0, "", AVERAGE(ABS(Resultados!J97),ABS(Resultados!T97),ABS(Resultados!AD97),ABS(Resultados!AX97),ABS(Resultados!BR97),ABS(Resultados!CB97),ABS(Resultados!CV97),ABS(Resultados!DF97),ABS(Resultados!DP97)))</f>
        <v>1.4377777777777776E-2</v>
      </c>
      <c r="K97">
        <v>9.633333333333334E-3</v>
      </c>
    </row>
    <row r="98" spans="1:11" x14ac:dyDescent="0.3">
      <c r="A98">
        <f>IF(COUNT(Resultados!A98,Resultados!K98,Resultados!U98,Resultados!AO98,Resultados!BI98,Resultados!BS98,Resultados!CM98,Resultados!CW98,Resultados!DG98)=0, "", AVERAGE(ABS(Resultados!A98),ABS(Resultados!K98),ABS(Resultados!U98),ABS(Resultados!AO98),ABS(Resultados!BI98),ABS(Resultados!BS98),ABS(Resultados!CM98),ABS(Resultados!CW98),ABS(Resultados!DG98)))</f>
        <v>45681</v>
      </c>
      <c r="B98" t="str">
        <f>IF(COUNT(Resultados!B98,Resultados!L98,Resultados!V98,Resultados!AP98,Resultados!BJ98,Resultados!BT98,Resultados!CN98,Resultados!CX98,Resultados!DH98)=0, "", AVERAGE(ABS(Resultados!B98),ABS(Resultados!L98),ABS(Resultados!V98),ABS(Resultados!AP98),ABS(Resultados!BJ98),ABS(Resultados!BT98),ABS(Resultados!CN98),ABS(Resultados!CX98),ABS(Resultados!DH98)))</f>
        <v/>
      </c>
      <c r="C98">
        <f>IF(COUNT(Resultados!C98,Resultados!M98,Resultados!W98,Resultados!AQ98,Resultados!BK98,Resultados!BU98,Resultados!CO98,Resultados!CY98,Resultados!DI98)=0, "", AVERAGE(ABS(Resultados!C98),ABS(Resultados!M98),ABS(Resultados!W98),ABS(Resultados!AQ98),ABS(Resultados!BK98),ABS(Resultados!BU98),ABS(Resultados!CO98),ABS(Resultados!CY98),ABS(Resultados!DI98)))</f>
        <v>3.5555555555555554</v>
      </c>
      <c r="D98">
        <f>IF(COUNT(Resultados!D98,Resultados!N98,Resultados!X98,Resultados!AR98,Resultados!BL98,Resultados!BV98,Resultados!CP98,Resultados!CZ98,Resultados!DJ98)=0, "", AVERAGE(ABS(Resultados!D98),ABS(Resultados!N98),ABS(Resultados!X98),ABS(Resultados!AR98),ABS(Resultados!BL98),ABS(Resultados!BV98),ABS(Resultados!CP98),ABS(Resultados!CZ98),ABS(Resultados!DJ98)))</f>
        <v>1.0855555555555556E-2</v>
      </c>
      <c r="E98">
        <f>IF(COUNT(Resultados!E98,Resultados!O98,Resultados!Y98,Resultados!AS98,Resultados!BM98,Resultados!BW98,Resultados!CQ98,Resultados!DA98,Resultados!DK98)=0, "", AVERAGE(ABS(Resultados!E98),ABS(Resultados!O98),ABS(Resultados!Y98),ABS(Resultados!AS98),ABS(Resultados!BM98),ABS(Resultados!BW98),ABS(Resultados!CQ98),ABS(Resultados!DA98),ABS(Resultados!DK98)))</f>
        <v>6.9977425189020908</v>
      </c>
      <c r="F98">
        <f>IF(COUNT(Resultados!F98,Resultados!P98,Resultados!Z98,Resultados!AT98,Resultados!BN98,Resultados!BX98,Resultados!CR98,Resultados!DB98,Resultados!DL98)=0, "", AVERAGE(ABS(Resultados!F98),ABS(Resultados!P98),ABS(Resultados!Z98),ABS(Resultados!AT98),ABS(Resultados!BN98),ABS(Resultados!BX98),ABS(Resultados!CR98),ABS(Resultados!DB98),ABS(Resultados!DL98)))</f>
        <v>804.08576504380835</v>
      </c>
      <c r="G98">
        <f>IF(COUNT(Resultados!G98,Resultados!Q98,Resultados!AA98,Resultados!AU98,Resultados!BO98,Resultados!BY98,Resultados!CS98,Resultados!DC98,Resultados!DM98)=0, "", AVERAGE(ABS(Resultados!G98),ABS(Resultados!Q98),ABS(Resultados!AA98),ABS(Resultados!AU98),ABS(Resultados!BO98),ABS(Resultados!BY98),ABS(Resultados!CS98),ABS(Resultados!DC98),ABS(Resultados!DM98)))</f>
        <v>0.42399999999999999</v>
      </c>
      <c r="H98">
        <f>IF(COUNT(Resultados!H98,Resultados!R98,Resultados!AB98,Resultados!AV98,Resultados!BP98,Resultados!BZ98,Resultados!CT98,Resultados!DD98,Resultados!DN98)=0, "", AVERAGE(ABS(Resultados!H98),ABS(Resultados!R98),ABS(Resultados!AB98),ABS(Resultados!AV98),ABS(Resultados!BP98),ABS(Resultados!BZ98),ABS(Resultados!CT98),ABS(Resultados!DD98),ABS(Resultados!DN98)))</f>
        <v>1.5566666666666666E-2</v>
      </c>
      <c r="I98">
        <f>IF(COUNT(Resultados!I98,Resultados!S98,Resultados!AC98,Resultados!AW98,Resultados!BQ98,Resultados!CA98,Resultados!CU98,Resultados!DE98,Resultados!DO98)=0, "", AVERAGE(ABS(Resultados!I98),ABS(Resultados!S98),ABS(Resultados!AC98),ABS(Resultados!AW98),ABS(Resultados!BQ98),ABS(Resultados!CA98),ABS(Resultados!CU98),ABS(Resultados!DE98),ABS(Resultados!DO98)))</f>
        <v>19.244914444444444</v>
      </c>
      <c r="J98">
        <f>IF(COUNT(Resultados!J98,Resultados!T98,Resultados!AD98,Resultados!AX98,Resultados!BR98,Resultados!CB98,Resultados!CV98,Resultados!DF98,Resultados!DP98)=0, "", AVERAGE(ABS(Resultados!J98),ABS(Resultados!T98),ABS(Resultados!AD98),ABS(Resultados!AX98),ABS(Resultados!BR98),ABS(Resultados!CB98),ABS(Resultados!CV98),ABS(Resultados!DF98),ABS(Resultados!DP98)))</f>
        <v>1.5566666666666666E-2</v>
      </c>
      <c r="K98">
        <v>1.0855555555555556E-2</v>
      </c>
    </row>
    <row r="99" spans="1:11" x14ac:dyDescent="0.3">
      <c r="A99">
        <f>IF(COUNT(Resultados!A99,Resultados!K99,Resultados!U99,Resultados!AO99,Resultados!BI99,Resultados!BS99,Resultados!CM99,Resultados!CW99,Resultados!DG99)=0, "", AVERAGE(ABS(Resultados!A99),ABS(Resultados!K99),ABS(Resultados!U99),ABS(Resultados!AO99),ABS(Resultados!BI99),ABS(Resultados!BS99),ABS(Resultados!CM99),ABS(Resultados!CW99),ABS(Resultados!DG99)))</f>
        <v>45681</v>
      </c>
      <c r="B99" t="str">
        <f>IF(COUNT(Resultados!B99,Resultados!L99,Resultados!V99,Resultados!AP99,Resultados!BJ99,Resultados!BT99,Resultados!CN99,Resultados!CX99,Resultados!DH99)=0, "", AVERAGE(ABS(Resultados!B99),ABS(Resultados!L99),ABS(Resultados!V99),ABS(Resultados!AP99),ABS(Resultados!BJ99),ABS(Resultados!BT99),ABS(Resultados!CN99),ABS(Resultados!CX99),ABS(Resultados!DH99)))</f>
        <v/>
      </c>
      <c r="C99">
        <f>IF(COUNT(Resultados!C99,Resultados!M99,Resultados!W99,Resultados!AQ99,Resultados!BK99,Resultados!BU99,Resultados!CO99,Resultados!CY99,Resultados!DI99)=0, "", AVERAGE(ABS(Resultados!C99),ABS(Resultados!M99),ABS(Resultados!W99),ABS(Resultados!AQ99),ABS(Resultados!BK99),ABS(Resultados!BU99),ABS(Resultados!CO99),ABS(Resultados!CY99),ABS(Resultados!DI99)))</f>
        <v>3.5555555555555554</v>
      </c>
      <c r="D99">
        <f>IF(COUNT(Resultados!D99,Resultados!N99,Resultados!X99,Resultados!AR99,Resultados!BL99,Resultados!BV99,Resultados!CP99,Resultados!CZ99,Resultados!DJ99)=0, "", AVERAGE(ABS(Resultados!D99),ABS(Resultados!N99),ABS(Resultados!X99),ABS(Resultados!AR99),ABS(Resultados!BL99),ABS(Resultados!BV99),ABS(Resultados!CP99),ABS(Resultados!CZ99),ABS(Resultados!DJ99)))</f>
        <v>1.1988888888888889E-2</v>
      </c>
      <c r="E99">
        <f>IF(COUNT(Resultados!E99,Resultados!O99,Resultados!Y99,Resultados!AS99,Resultados!BM99,Resultados!BW99,Resultados!CQ99,Resultados!DA99,Resultados!DK99)=0, "", AVERAGE(ABS(Resultados!E99),ABS(Resultados!O99),ABS(Resultados!Y99),ABS(Resultados!AS99),ABS(Resultados!BM99),ABS(Resultados!BW99),ABS(Resultados!CQ99),ABS(Resultados!DA99),ABS(Resultados!DK99)))</f>
        <v>7.0665560861859298</v>
      </c>
      <c r="F99">
        <f>IF(COUNT(Resultados!F99,Resultados!P99,Resultados!Z99,Resultados!AT99,Resultados!BN99,Resultados!BX99,Resultados!CR99,Resultados!DB99,Resultados!DL99)=0, "", AVERAGE(ABS(Resultados!F99),ABS(Resultados!P99),ABS(Resultados!Z99),ABS(Resultados!AT99),ABS(Resultados!BN99),ABS(Resultados!BX99),ABS(Resultados!CR99),ABS(Resultados!DB99),ABS(Resultados!DL99)))</f>
        <v>810.61617257904481</v>
      </c>
      <c r="G99">
        <f>IF(COUNT(Resultados!G99,Resultados!Q99,Resultados!AA99,Resultados!AU99,Resultados!BO99,Resultados!BY99,Resultados!CS99,Resultados!DC99,Resultados!DM99)=0, "", AVERAGE(ABS(Resultados!G99),ABS(Resultados!Q99),ABS(Resultados!AA99),ABS(Resultados!AU99),ABS(Resultados!BO99),ABS(Resultados!BY99),ABS(Resultados!CS99),ABS(Resultados!DC99),ABS(Resultados!DM99)))</f>
        <v>0.42399999999999999</v>
      </c>
      <c r="H99">
        <f>IF(COUNT(Resultados!H99,Resultados!R99,Resultados!AB99,Resultados!AV99,Resultados!BP99,Resultados!BZ99,Resultados!CT99,Resultados!DD99,Resultados!DN99)=0, "", AVERAGE(ABS(Resultados!H99),ABS(Resultados!R99),ABS(Resultados!AB99),ABS(Resultados!AV99),ABS(Resultados!BP99),ABS(Resultados!BZ99),ABS(Resultados!CT99),ABS(Resultados!DD99),ABS(Resultados!DN99)))</f>
        <v>1.6644444444444444E-2</v>
      </c>
      <c r="I99">
        <f>IF(COUNT(Resultados!I99,Resultados!S99,Resultados!AC99,Resultados!AW99,Resultados!BQ99,Resultados!CA99,Resultados!CU99,Resultados!DE99,Resultados!DO99)=0, "", AVERAGE(ABS(Resultados!I99),ABS(Resultados!S99),ABS(Resultados!AC99),ABS(Resultados!AW99),ABS(Resultados!BQ99),ABS(Resultados!CA99),ABS(Resultados!CU99),ABS(Resultados!DE99),ABS(Resultados!DO99)))</f>
        <v>19.444421111111112</v>
      </c>
      <c r="J99">
        <f>IF(COUNT(Resultados!J99,Resultados!T99,Resultados!AD99,Resultados!AX99,Resultados!BR99,Resultados!CB99,Resultados!CV99,Resultados!DF99,Resultados!DP99)=0, "", AVERAGE(ABS(Resultados!J99),ABS(Resultados!T99),ABS(Resultados!AD99),ABS(Resultados!AX99),ABS(Resultados!BR99),ABS(Resultados!CB99),ABS(Resultados!CV99),ABS(Resultados!DF99),ABS(Resultados!DP99)))</f>
        <v>1.6644444444444444E-2</v>
      </c>
      <c r="K99">
        <v>1.1988888888888889E-2</v>
      </c>
    </row>
    <row r="100" spans="1:11" x14ac:dyDescent="0.3">
      <c r="A100">
        <f>IF(COUNT(Resultados!A100,Resultados!K100,Resultados!U100,Resultados!AO100,Resultados!BI100,Resultados!BS100,Resultados!CM100,Resultados!CW100,Resultados!DG100)=0, "", AVERAGE(ABS(Resultados!A100),ABS(Resultados!K100),ABS(Resultados!U100),ABS(Resultados!AO100),ABS(Resultados!BI100),ABS(Resultados!BS100),ABS(Resultados!CM100),ABS(Resultados!CW100),ABS(Resultados!DG100)))</f>
        <v>45681</v>
      </c>
      <c r="B100" t="str">
        <f>IF(COUNT(Resultados!B100,Resultados!L100,Resultados!V100,Resultados!AP100,Resultados!BJ100,Resultados!BT100,Resultados!CN100,Resultados!CX100,Resultados!DH100)=0, "", AVERAGE(ABS(Resultados!B100),ABS(Resultados!L100),ABS(Resultados!V100),ABS(Resultados!AP100),ABS(Resultados!BJ100),ABS(Resultados!BT100),ABS(Resultados!CN100),ABS(Resultados!CX100),ABS(Resultados!DH100)))</f>
        <v/>
      </c>
      <c r="C100">
        <f>IF(COUNT(Resultados!C100,Resultados!M100,Resultados!W100,Resultados!AQ100,Resultados!BK100,Resultados!BU100,Resultados!CO100,Resultados!CY100,Resultados!DI100)=0, "", AVERAGE(ABS(Resultados!C100),ABS(Resultados!M100),ABS(Resultados!W100),ABS(Resultados!AQ100),ABS(Resultados!BK100),ABS(Resultados!BU100),ABS(Resultados!CO100),ABS(Resultados!CY100),ABS(Resultados!DI100)))</f>
        <v>3.5555555555555554</v>
      </c>
      <c r="D100">
        <f>IF(COUNT(Resultados!D100,Resultados!N100,Resultados!X100,Resultados!AR100,Resultados!BL100,Resultados!BV100,Resultados!CP100,Resultados!CZ100,Resultados!DJ100)=0, "", AVERAGE(ABS(Resultados!D100),ABS(Resultados!N100),ABS(Resultados!X100),ABS(Resultados!AR100),ABS(Resultados!BL100),ABS(Resultados!BV100),ABS(Resultados!CP100),ABS(Resultados!CZ100),ABS(Resultados!DJ100)))</f>
        <v>1.2888888888888889E-2</v>
      </c>
      <c r="E100">
        <f>IF(COUNT(Resultados!E100,Resultados!O100,Resultados!Y100,Resultados!AS100,Resultados!BM100,Resultados!BW100,Resultados!CQ100,Resultados!DA100,Resultados!DK100)=0, "", AVERAGE(ABS(Resultados!E100),ABS(Resultados!O100),ABS(Resultados!Y100),ABS(Resultados!AS100),ABS(Resultados!BM100),ABS(Resultados!BW100),ABS(Resultados!CQ100),ABS(Resultados!DA100),ABS(Resultados!DK100)))</f>
        <v>7.136470339862389</v>
      </c>
      <c r="F100">
        <f>IF(COUNT(Resultados!F100,Resultados!P100,Resultados!Z100,Resultados!AT100,Resultados!BN100,Resultados!BX100,Resultados!CR100,Resultados!DB100,Resultados!DL100)=0, "", AVERAGE(ABS(Resultados!F100),ABS(Resultados!P100),ABS(Resultados!Z100),ABS(Resultados!AT100),ABS(Resultados!BN100),ABS(Resultados!BX100),ABS(Resultados!CR100),ABS(Resultados!DB100),ABS(Resultados!DL100)))</f>
        <v>817.25103525294082</v>
      </c>
      <c r="G100">
        <f>IF(COUNT(Resultados!G100,Resultados!Q100,Resultados!AA100,Resultados!AU100,Resultados!BO100,Resultados!BY100,Resultados!CS100,Resultados!DC100,Resultados!DM100)=0, "", AVERAGE(ABS(Resultados!G100),ABS(Resultados!Q100),ABS(Resultados!AA100),ABS(Resultados!AU100),ABS(Resultados!BO100),ABS(Resultados!BY100),ABS(Resultados!CS100),ABS(Resultados!DC100),ABS(Resultados!DM100)))</f>
        <v>0.42399999999999999</v>
      </c>
      <c r="H100">
        <f>IF(COUNT(Resultados!H100,Resultados!R100,Resultados!AB100,Resultados!AV100,Resultados!BP100,Resultados!BZ100,Resultados!CT100,Resultados!DD100,Resultados!DN100)=0, "", AVERAGE(ABS(Resultados!H100),ABS(Resultados!R100),ABS(Resultados!AB100),ABS(Resultados!AV100),ABS(Resultados!BP100),ABS(Resultados!BZ100),ABS(Resultados!CT100),ABS(Resultados!DD100),ABS(Resultados!DN100)))</f>
        <v>1.7733333333333334E-2</v>
      </c>
      <c r="I100">
        <f>IF(COUNT(Resultados!I100,Resultados!S100,Resultados!AC100,Resultados!AW100,Resultados!BQ100,Resultados!CA100,Resultados!CU100,Resultados!DE100,Resultados!DO100)=0, "", AVERAGE(ABS(Resultados!I100),ABS(Resultados!S100),ABS(Resultados!AC100),ABS(Resultados!AW100),ABS(Resultados!BQ100),ABS(Resultados!CA100),ABS(Resultados!CU100),ABS(Resultados!DE100),ABS(Resultados!DO100)))</f>
        <v>19.689428888888887</v>
      </c>
      <c r="J100">
        <f>IF(COUNT(Resultados!J100,Resultados!T100,Resultados!AD100,Resultados!AX100,Resultados!BR100,Resultados!CB100,Resultados!CV100,Resultados!DF100,Resultados!DP100)=0, "", AVERAGE(ABS(Resultados!J100),ABS(Resultados!T100),ABS(Resultados!AD100),ABS(Resultados!AX100),ABS(Resultados!BR100),ABS(Resultados!CB100),ABS(Resultados!CV100),ABS(Resultados!DF100),ABS(Resultados!DP100)))</f>
        <v>1.7733333333333334E-2</v>
      </c>
      <c r="K100">
        <v>1.2888888888888889E-2</v>
      </c>
    </row>
    <row r="101" spans="1:11" x14ac:dyDescent="0.3">
      <c r="A101">
        <f>IF(COUNT(Resultados!A101,Resultados!K101,Resultados!U101,Resultados!AO101,Resultados!BI101,Resultados!BS101,Resultados!CM101,Resultados!CW101,Resultados!DG101)=0, "", AVERAGE(ABS(Resultados!A101),ABS(Resultados!K101),ABS(Resultados!U101),ABS(Resultados!AO101),ABS(Resultados!BI101),ABS(Resultados!BS101),ABS(Resultados!CM101),ABS(Resultados!CW101),ABS(Resultados!DG101)))</f>
        <v>45681</v>
      </c>
      <c r="B101" t="str">
        <f>IF(COUNT(Resultados!B101,Resultados!L101,Resultados!V101,Resultados!AP101,Resultados!BJ101,Resultados!BT101,Resultados!CN101,Resultados!CX101,Resultados!DH101)=0, "", AVERAGE(ABS(Resultados!B101),ABS(Resultados!L101),ABS(Resultados!V101),ABS(Resultados!AP101),ABS(Resultados!BJ101),ABS(Resultados!BT101),ABS(Resultados!CN101),ABS(Resultados!CX101),ABS(Resultados!DH101)))</f>
        <v/>
      </c>
      <c r="C101">
        <f>IF(COUNT(Resultados!C101,Resultados!M101,Resultados!W101,Resultados!AQ101,Resultados!BK101,Resultados!BU101,Resultados!CO101,Resultados!CY101,Resultados!DI101)=0, "", AVERAGE(ABS(Resultados!C101),ABS(Resultados!M101),ABS(Resultados!W101),ABS(Resultados!AQ101),ABS(Resultados!BK101),ABS(Resultados!BU101),ABS(Resultados!CO101),ABS(Resultados!CY101),ABS(Resultados!DI101)))</f>
        <v>3.5555555555555554</v>
      </c>
      <c r="D101">
        <f>IF(COUNT(Resultados!D101,Resultados!N101,Resultados!X101,Resultados!AR101,Resultados!BL101,Resultados!BV101,Resultados!CP101,Resultados!CZ101,Resultados!DJ101)=0, "", AVERAGE(ABS(Resultados!D101),ABS(Resultados!N101),ABS(Resultados!X101),ABS(Resultados!AR101),ABS(Resultados!BL101),ABS(Resultados!BV101),ABS(Resultados!CP101),ABS(Resultados!CZ101),ABS(Resultados!DJ101)))</f>
        <v>1.3644444444444445E-2</v>
      </c>
      <c r="E101">
        <f>IF(COUNT(Resultados!E101,Resultados!O101,Resultados!Y101,Resultados!AS101,Resultados!BM101,Resultados!BW101,Resultados!CQ101,Resultados!DA101,Resultados!DK101)=0, "", AVERAGE(ABS(Resultados!E101),ABS(Resultados!O101),ABS(Resultados!Y101),ABS(Resultados!AS101),ABS(Resultados!BM101),ABS(Resultados!BW101),ABS(Resultados!CQ101),ABS(Resultados!DA101),ABS(Resultados!DK101)))</f>
        <v>7.1812142623823201</v>
      </c>
      <c r="F101">
        <f>IF(COUNT(Resultados!F101,Resultados!P101,Resultados!Z101,Resultados!AT101,Resultados!BN101,Resultados!BX101,Resultados!CR101,Resultados!DB101,Resultados!DL101)=0, "", AVERAGE(ABS(Resultados!F101),ABS(Resultados!P101),ABS(Resultados!Z101),ABS(Resultados!AT101),ABS(Resultados!BN101),ABS(Resultados!BX101),ABS(Resultados!CR101),ABS(Resultados!DB101),ABS(Resultados!DL101)))</f>
        <v>809.88877408548899</v>
      </c>
      <c r="G101">
        <f>IF(COUNT(Resultados!G101,Resultados!Q101,Resultados!AA101,Resultados!AU101,Resultados!BO101,Resultados!BY101,Resultados!CS101,Resultados!DC101,Resultados!DM101)=0, "", AVERAGE(ABS(Resultados!G101),ABS(Resultados!Q101),ABS(Resultados!AA101),ABS(Resultados!AU101),ABS(Resultados!BO101),ABS(Resultados!BY101),ABS(Resultados!CS101),ABS(Resultados!DC101),ABS(Resultados!DM101)))</f>
        <v>0.42399999999999999</v>
      </c>
      <c r="H101">
        <f>IF(COUNT(Resultados!H101,Resultados!R101,Resultados!AB101,Resultados!AV101,Resultados!BP101,Resultados!BZ101,Resultados!CT101,Resultados!DD101,Resultados!DN101)=0, "", AVERAGE(ABS(Resultados!H101),ABS(Resultados!R101),ABS(Resultados!AB101),ABS(Resultados!AV101),ABS(Resultados!BP101),ABS(Resultados!BZ101),ABS(Resultados!CT101),ABS(Resultados!DD101),ABS(Resultados!DN101)))</f>
        <v>1.8444444444444444E-2</v>
      </c>
      <c r="I101">
        <f>IF(COUNT(Resultados!I101,Resultados!S101,Resultados!AC101,Resultados!AW101,Resultados!BQ101,Resultados!CA101,Resultados!CU101,Resultados!DE101,Resultados!DO101)=0, "", AVERAGE(ABS(Resultados!I101),ABS(Resultados!S101),ABS(Resultados!AC101),ABS(Resultados!AW101),ABS(Resultados!BQ101),ABS(Resultados!CA101),ABS(Resultados!CU101),ABS(Resultados!DE101),ABS(Resultados!DO101)))</f>
        <v>19.889060000000001</v>
      </c>
      <c r="J101">
        <f>IF(COUNT(Resultados!J101,Resultados!T101,Resultados!AD101,Resultados!AX101,Resultados!BR101,Resultados!CB101,Resultados!CV101,Resultados!DF101,Resultados!DP101)=0, "", AVERAGE(ABS(Resultados!J101),ABS(Resultados!T101),ABS(Resultados!AD101),ABS(Resultados!AX101),ABS(Resultados!BR101),ABS(Resultados!CB101),ABS(Resultados!CV101),ABS(Resultados!DF101),ABS(Resultados!DP101)))</f>
        <v>1.8444444444444444E-2</v>
      </c>
      <c r="K101">
        <v>1.3644444444444445E-2</v>
      </c>
    </row>
    <row r="102" spans="1:11" x14ac:dyDescent="0.3">
      <c r="A102">
        <f>IF(COUNT(Resultados!A102,Resultados!K102,Resultados!U102,Resultados!AO102,Resultados!BI102,Resultados!BS102,Resultados!CM102,Resultados!CW102,Resultados!DG102)=0, "", AVERAGE(ABS(Resultados!A102),ABS(Resultados!K102),ABS(Resultados!U102),ABS(Resultados!AO102),ABS(Resultados!BI102),ABS(Resultados!BS102),ABS(Resultados!CM102),ABS(Resultados!CW102),ABS(Resultados!DG102)))</f>
        <v>45681</v>
      </c>
      <c r="B102" t="str">
        <f>IF(COUNT(Resultados!B102,Resultados!L102,Resultados!V102,Resultados!AP102,Resultados!BJ102,Resultados!BT102,Resultados!CN102,Resultados!CX102,Resultados!DH102)=0, "", AVERAGE(ABS(Resultados!B102),ABS(Resultados!L102),ABS(Resultados!V102),ABS(Resultados!AP102),ABS(Resultados!BJ102),ABS(Resultados!BT102),ABS(Resultados!CN102),ABS(Resultados!CX102),ABS(Resultados!DH102)))</f>
        <v/>
      </c>
      <c r="C102">
        <f>IF(COUNT(Resultados!C102,Resultados!M102,Resultados!W102,Resultados!AQ102,Resultados!BK102,Resultados!BU102,Resultados!CO102,Resultados!CY102,Resultados!DI102)=0, "", AVERAGE(ABS(Resultados!C102),ABS(Resultados!M102),ABS(Resultados!W102),ABS(Resultados!AQ102),ABS(Resultados!BK102),ABS(Resultados!BU102),ABS(Resultados!CO102),ABS(Resultados!CY102),ABS(Resultados!DI102)))</f>
        <v>3.5555555555555554</v>
      </c>
      <c r="D102">
        <f>IF(COUNT(Resultados!D102,Resultados!N102,Resultados!X102,Resultados!AR102,Resultados!BL102,Resultados!BV102,Resultados!CP102,Resultados!CZ102,Resultados!DJ102)=0, "", AVERAGE(ABS(Resultados!D102),ABS(Resultados!N102),ABS(Resultados!X102),ABS(Resultados!AR102),ABS(Resultados!BL102),ABS(Resultados!BV102),ABS(Resultados!CP102),ABS(Resultados!CZ102),ABS(Resultados!DJ102)))</f>
        <v>1.4344444444444444E-2</v>
      </c>
      <c r="E102">
        <f>IF(COUNT(Resultados!E102,Resultados!O102,Resultados!Y102,Resultados!AS102,Resultados!BM102,Resultados!BW102,Resultados!CQ102,Resultados!DA102,Resultados!DK102)=0, "", AVERAGE(ABS(Resultados!E102),ABS(Resultados!O102),ABS(Resultados!Y102),ABS(Resultados!AS102),ABS(Resultados!BM102),ABS(Resultados!BW102),ABS(Resultados!CQ102),ABS(Resultados!DA102),ABS(Resultados!DK102)))</f>
        <v>7.2131486430740352</v>
      </c>
      <c r="F102">
        <f>IF(COUNT(Resultados!F102,Resultados!P102,Resultados!Z102,Resultados!AT102,Resultados!BN102,Resultados!BX102,Resultados!CR102,Resultados!DB102,Resultados!DL102)=0, "", AVERAGE(ABS(Resultados!F102),ABS(Resultados!P102),ABS(Resultados!Z102),ABS(Resultados!AT102),ABS(Resultados!BN102),ABS(Resultados!BX102),ABS(Resultados!CR102),ABS(Resultados!DB102),ABS(Resultados!DL102)))</f>
        <v>812.9240923391701</v>
      </c>
      <c r="G102">
        <f>IF(COUNT(Resultados!G102,Resultados!Q102,Resultados!AA102,Resultados!AU102,Resultados!BO102,Resultados!BY102,Resultados!CS102,Resultados!DC102,Resultados!DM102)=0, "", AVERAGE(ABS(Resultados!G102),ABS(Resultados!Q102),ABS(Resultados!AA102),ABS(Resultados!AU102),ABS(Resultados!BO102),ABS(Resultados!BY102),ABS(Resultados!CS102),ABS(Resultados!DC102),ABS(Resultados!DM102)))</f>
        <v>0.42399999999999999</v>
      </c>
      <c r="H102">
        <f>IF(COUNT(Resultados!H102,Resultados!R102,Resultados!AB102,Resultados!AV102,Resultados!BP102,Resultados!BZ102,Resultados!CT102,Resultados!DD102,Resultados!DN102)=0, "", AVERAGE(ABS(Resultados!H102),ABS(Resultados!R102),ABS(Resultados!AB102),ABS(Resultados!AV102),ABS(Resultados!BP102),ABS(Resultados!BZ102),ABS(Resultados!CT102),ABS(Resultados!DD102),ABS(Resultados!DN102)))</f>
        <v>1.8922222222222219E-2</v>
      </c>
      <c r="I102">
        <f>IF(COUNT(Resultados!I102,Resultados!S102,Resultados!AC102,Resultados!AW102,Resultados!BQ102,Resultados!CA102,Resultados!CU102,Resultados!DE102,Resultados!DO102)=0, "", AVERAGE(ABS(Resultados!I102),ABS(Resultados!S102),ABS(Resultados!AC102),ABS(Resultados!AW102),ABS(Resultados!BQ102),ABS(Resultados!CA102),ABS(Resultados!CU102),ABS(Resultados!DE102),ABS(Resultados!DO102)))</f>
        <v>20.089671111111116</v>
      </c>
      <c r="J102">
        <f>IF(COUNT(Resultados!J102,Resultados!T102,Resultados!AD102,Resultados!AX102,Resultados!BR102,Resultados!CB102,Resultados!CV102,Resultados!DF102,Resultados!DP102)=0, "", AVERAGE(ABS(Resultados!J102),ABS(Resultados!T102),ABS(Resultados!AD102),ABS(Resultados!AX102),ABS(Resultados!BR102),ABS(Resultados!CB102),ABS(Resultados!CV102),ABS(Resultados!DF102),ABS(Resultados!DP102)))</f>
        <v>1.8922222222222219E-2</v>
      </c>
      <c r="K102">
        <v>1.4344444444444444E-2</v>
      </c>
    </row>
    <row r="103" spans="1:11" x14ac:dyDescent="0.3">
      <c r="A103">
        <f>IF(COUNT(Resultados!A103,Resultados!K103,Resultados!U103,Resultados!AO103,Resultados!BI103,Resultados!BS103,Resultados!CM103,Resultados!CW103,Resultados!DG103)=0, "", AVERAGE(ABS(Resultados!A103),ABS(Resultados!K103),ABS(Resultados!U103),ABS(Resultados!AO103),ABS(Resultados!BI103),ABS(Resultados!BS103),ABS(Resultados!CM103),ABS(Resultados!CW103),ABS(Resultados!DG103)))</f>
        <v>45681</v>
      </c>
      <c r="B103" t="str">
        <f>IF(COUNT(Resultados!B103,Resultados!L103,Resultados!V103,Resultados!AP103,Resultados!BJ103,Resultados!BT103,Resultados!CN103,Resultados!CX103,Resultados!DH103)=0, "", AVERAGE(ABS(Resultados!B103),ABS(Resultados!L103),ABS(Resultados!V103),ABS(Resultados!AP103),ABS(Resultados!BJ103),ABS(Resultados!BT103),ABS(Resultados!CN103),ABS(Resultados!CX103),ABS(Resultados!DH103)))</f>
        <v/>
      </c>
      <c r="C103">
        <f>IF(COUNT(Resultados!C103,Resultados!M103,Resultados!W103,Resultados!AQ103,Resultados!BK103,Resultados!BU103,Resultados!CO103,Resultados!CY103,Resultados!DI103)=0, "", AVERAGE(ABS(Resultados!C103),ABS(Resultados!M103),ABS(Resultados!W103),ABS(Resultados!AQ103),ABS(Resultados!BK103),ABS(Resultados!BU103),ABS(Resultados!CO103),ABS(Resultados!CY103),ABS(Resultados!DI103)))</f>
        <v>3.5555555555555554</v>
      </c>
      <c r="D103">
        <f>IF(COUNT(Resultados!D103,Resultados!N103,Resultados!X103,Resultados!AR103,Resultados!BL103,Resultados!BV103,Resultados!CP103,Resultados!CZ103,Resultados!DJ103)=0, "", AVERAGE(ABS(Resultados!D103),ABS(Resultados!N103),ABS(Resultados!X103),ABS(Resultados!AR103),ABS(Resultados!BL103),ABS(Resultados!BV103),ABS(Resultados!CP103),ABS(Resultados!CZ103),ABS(Resultados!DJ103)))</f>
        <v>1.4833333333333334E-2</v>
      </c>
      <c r="E103">
        <f>IF(COUNT(Resultados!E103,Resultados!O103,Resultados!Y103,Resultados!AS103,Resultados!BM103,Resultados!BW103,Resultados!CQ103,Resultados!DA103,Resultados!DK103)=0, "", AVERAGE(ABS(Resultados!E103),ABS(Resultados!O103),ABS(Resultados!Y103),ABS(Resultados!AS103),ABS(Resultados!BM103),ABS(Resultados!BW103),ABS(Resultados!CQ103),ABS(Resultados!DA103),ABS(Resultados!DK103)))</f>
        <v>7.2318312034539378</v>
      </c>
      <c r="F103">
        <f>IF(COUNT(Resultados!F103,Resultados!P103,Resultados!Z103,Resultados!AT103,Resultados!BN103,Resultados!BX103,Resultados!CR103,Resultados!DB103,Resultados!DL103)=0, "", AVERAGE(ABS(Resultados!F103),ABS(Resultados!P103),ABS(Resultados!Z103),ABS(Resultados!AT103),ABS(Resultados!BN103),ABS(Resultados!BX103),ABS(Resultados!CR103),ABS(Resultados!DB103),ABS(Resultados!DL103)))</f>
        <v>756.66254394498981</v>
      </c>
      <c r="G103">
        <f>IF(COUNT(Resultados!G103,Resultados!Q103,Resultados!AA103,Resultados!AU103,Resultados!BO103,Resultados!BY103,Resultados!CS103,Resultados!DC103,Resultados!DM103)=0, "", AVERAGE(ABS(Resultados!G103),ABS(Resultados!Q103),ABS(Resultados!AA103),ABS(Resultados!AU103),ABS(Resultados!BO103),ABS(Resultados!BY103),ABS(Resultados!CS103),ABS(Resultados!DC103),ABS(Resultados!DM103)))</f>
        <v>0.42399999999999999</v>
      </c>
      <c r="H103">
        <f>IF(COUNT(Resultados!H103,Resultados!R103,Resultados!AB103,Resultados!AV103,Resultados!BP103,Resultados!BZ103,Resultados!CT103,Resultados!DD103,Resultados!DN103)=0, "", AVERAGE(ABS(Resultados!H103),ABS(Resultados!R103),ABS(Resultados!AB103),ABS(Resultados!AV103),ABS(Resultados!BP103),ABS(Resultados!BZ103),ABS(Resultados!CT103),ABS(Resultados!DD103),ABS(Resultados!DN103)))</f>
        <v>1.9211111111111109E-2</v>
      </c>
      <c r="I103">
        <f>IF(COUNT(Resultados!I103,Resultados!S103,Resultados!AC103,Resultados!AW103,Resultados!BQ103,Resultados!CA103,Resultados!CU103,Resultados!DE103,Resultados!DO103)=0, "", AVERAGE(ABS(Resultados!I103),ABS(Resultados!S103),ABS(Resultados!AC103),ABS(Resultados!AW103),ABS(Resultados!BQ103),ABS(Resultados!CA103),ABS(Resultados!CU103),ABS(Resultados!DE103),ABS(Resultados!DO103)))</f>
        <v>20.289292222222215</v>
      </c>
      <c r="J103">
        <f>IF(COUNT(Resultados!J103,Resultados!T103,Resultados!AD103,Resultados!AX103,Resultados!BR103,Resultados!CB103,Resultados!CV103,Resultados!DF103,Resultados!DP103)=0, "", AVERAGE(ABS(Resultados!J103),ABS(Resultados!T103),ABS(Resultados!AD103),ABS(Resultados!AX103),ABS(Resultados!BR103),ABS(Resultados!CB103),ABS(Resultados!CV103),ABS(Resultados!DF103),ABS(Resultados!DP103)))</f>
        <v>1.9211111111111109E-2</v>
      </c>
      <c r="K103">
        <v>1.4833333333333334E-2</v>
      </c>
    </row>
    <row r="104" spans="1:11" x14ac:dyDescent="0.3">
      <c r="A104">
        <f>IF(COUNT(Resultados!A104,Resultados!K104,Resultados!U104,Resultados!AO104,Resultados!BI104,Resultados!BS104,Resultados!CM104,Resultados!CW104,Resultados!DG104)=0, "", AVERAGE(ABS(Resultados!A104),ABS(Resultados!K104),ABS(Resultados!U104),ABS(Resultados!AO104),ABS(Resultados!BI104),ABS(Resultados!BS104),ABS(Resultados!CM104),ABS(Resultados!CW104),ABS(Resultados!DG104)))</f>
        <v>45681</v>
      </c>
      <c r="B104" t="str">
        <f>IF(COUNT(Resultados!B104,Resultados!L104,Resultados!V104,Resultados!AP104,Resultados!BJ104,Resultados!BT104,Resultados!CN104,Resultados!CX104,Resultados!DH104)=0, "", AVERAGE(ABS(Resultados!B104),ABS(Resultados!L104),ABS(Resultados!V104),ABS(Resultados!AP104),ABS(Resultados!BJ104),ABS(Resultados!BT104),ABS(Resultados!CN104),ABS(Resultados!CX104),ABS(Resultados!DH104)))</f>
        <v/>
      </c>
      <c r="C104">
        <f>IF(COUNT(Resultados!C104,Resultados!M104,Resultados!W104,Resultados!AQ104,Resultados!BK104,Resultados!BU104,Resultados!CO104,Resultados!CY104,Resultados!DI104)=0, "", AVERAGE(ABS(Resultados!C104),ABS(Resultados!M104),ABS(Resultados!W104),ABS(Resultados!AQ104),ABS(Resultados!BK104),ABS(Resultados!BU104),ABS(Resultados!CO104),ABS(Resultados!CY104),ABS(Resultados!DI104)))</f>
        <v>3.5555555555555554</v>
      </c>
      <c r="D104">
        <f>IF(COUNT(Resultados!D104,Resultados!N104,Resultados!X104,Resultados!AR104,Resultados!BL104,Resultados!BV104,Resultados!CP104,Resultados!CZ104,Resultados!DJ104)=0, "", AVERAGE(ABS(Resultados!D104),ABS(Resultados!N104),ABS(Resultados!X104),ABS(Resultados!AR104),ABS(Resultados!BL104),ABS(Resultados!BV104),ABS(Resultados!CP104),ABS(Resultados!CZ104),ABS(Resultados!DJ104)))</f>
        <v>1.5233333333333333E-2</v>
      </c>
      <c r="E104">
        <f>IF(COUNT(Resultados!E104,Resultados!O104,Resultados!Y104,Resultados!AS104,Resultados!BM104,Resultados!BW104,Resultados!CQ104,Resultados!DA104,Resultados!DK104)=0, "", AVERAGE(ABS(Resultados!E104),ABS(Resultados!O104),ABS(Resultados!Y104),ABS(Resultados!AS104),ABS(Resultados!BM104),ABS(Resultados!BW104),ABS(Resultados!CQ104),ABS(Resultados!DA104),ABS(Resultados!DK104)))</f>
        <v>7.2369609040163283</v>
      </c>
      <c r="F104">
        <f>IF(COUNT(Resultados!F104,Resultados!P104,Resultados!Z104,Resultados!AT104,Resultados!BN104,Resultados!BX104,Resultados!CR104,Resultados!DB104,Resultados!DL104)=0, "", AVERAGE(ABS(Resultados!F104),ABS(Resultados!P104),ABS(Resultados!Z104),ABS(Resultados!AT104),ABS(Resultados!BN104),ABS(Resultados!BX104),ABS(Resultados!CR104),ABS(Resultados!DB104),ABS(Resultados!DL104)))</f>
        <v>757.18330186891308</v>
      </c>
      <c r="G104">
        <f>IF(COUNT(Resultados!G104,Resultados!Q104,Resultados!AA104,Resultados!AU104,Resultados!BO104,Resultados!BY104,Resultados!CS104,Resultados!DC104,Resultados!DM104)=0, "", AVERAGE(ABS(Resultados!G104),ABS(Resultados!Q104),ABS(Resultados!AA104),ABS(Resultados!AU104),ABS(Resultados!BO104),ABS(Resultados!BY104),ABS(Resultados!CS104),ABS(Resultados!DC104),ABS(Resultados!DM104)))</f>
        <v>0.42399999999999999</v>
      </c>
      <c r="H104">
        <f>IF(COUNT(Resultados!H104,Resultados!R104,Resultados!AB104,Resultados!AV104,Resultados!BP104,Resultados!BZ104,Resultados!CT104,Resultados!DD104,Resultados!DN104)=0, "", AVERAGE(ABS(Resultados!H104),ABS(Resultados!R104),ABS(Resultados!AB104),ABS(Resultados!AV104),ABS(Resultados!BP104),ABS(Resultados!BZ104),ABS(Resultados!CT104),ABS(Resultados!DD104),ABS(Resultados!DN104)))</f>
        <v>1.9288888888888887E-2</v>
      </c>
      <c r="I104">
        <f>IF(COUNT(Resultados!I104,Resultados!S104,Resultados!AC104,Resultados!AW104,Resultados!BQ104,Resultados!CA104,Resultados!CU104,Resultados!DE104,Resultados!DO104)=0, "", AVERAGE(ABS(Resultados!I104),ABS(Resultados!S104),ABS(Resultados!AC104),ABS(Resultados!AW104),ABS(Resultados!BQ104),ABS(Resultados!CA104),ABS(Resultados!CU104),ABS(Resultados!DE104),ABS(Resultados!DO104)))</f>
        <v>20.489734444444448</v>
      </c>
      <c r="J104">
        <f>IF(COUNT(Resultados!J104,Resultados!T104,Resultados!AD104,Resultados!AX104,Resultados!BR104,Resultados!CB104,Resultados!CV104,Resultados!DF104,Resultados!DP104)=0, "", AVERAGE(ABS(Resultados!J104),ABS(Resultados!T104),ABS(Resultados!AD104),ABS(Resultados!AX104),ABS(Resultados!BR104),ABS(Resultados!CB104),ABS(Resultados!CV104),ABS(Resultados!DF104),ABS(Resultados!DP104)))</f>
        <v>1.9288888888888887E-2</v>
      </c>
      <c r="K104">
        <v>1.5233333333333333E-2</v>
      </c>
    </row>
    <row r="105" spans="1:11" x14ac:dyDescent="0.3">
      <c r="A105">
        <f>IF(COUNT(Resultados!A105,Resultados!K105,Resultados!U105,Resultados!AO105,Resultados!BI105,Resultados!BS105,Resultados!CM105,Resultados!CW105,Resultados!DG105)=0, "", AVERAGE(ABS(Resultados!A105),ABS(Resultados!K105),ABS(Resultados!U105),ABS(Resultados!AO105),ABS(Resultados!BI105),ABS(Resultados!BS105),ABS(Resultados!CM105),ABS(Resultados!CW105),ABS(Resultados!DG105)))</f>
        <v>45681</v>
      </c>
      <c r="B105" t="str">
        <f>IF(COUNT(Resultados!B105,Resultados!L105,Resultados!V105,Resultados!AP105,Resultados!BJ105,Resultados!BT105,Resultados!CN105,Resultados!CX105,Resultados!DH105)=0, "", AVERAGE(ABS(Resultados!B105),ABS(Resultados!L105),ABS(Resultados!V105),ABS(Resultados!AP105),ABS(Resultados!BJ105),ABS(Resultados!BT105),ABS(Resultados!CN105),ABS(Resultados!CX105),ABS(Resultados!DH105)))</f>
        <v/>
      </c>
      <c r="C105">
        <f>IF(COUNT(Resultados!C105,Resultados!M105,Resultados!W105,Resultados!AQ105,Resultados!BK105,Resultados!BU105,Resultados!CO105,Resultados!CY105,Resultados!DI105)=0, "", AVERAGE(ABS(Resultados!C105),ABS(Resultados!M105),ABS(Resultados!W105),ABS(Resultados!AQ105),ABS(Resultados!BK105),ABS(Resultados!BU105),ABS(Resultados!CO105),ABS(Resultados!CY105),ABS(Resultados!DI105)))</f>
        <v>3.5555555555555554</v>
      </c>
      <c r="D105">
        <f>IF(COUNT(Resultados!D105,Resultados!N105,Resultados!X105,Resultados!AR105,Resultados!BL105,Resultados!BV105,Resultados!CP105,Resultados!CZ105,Resultados!DJ105)=0, "", AVERAGE(ABS(Resultados!D105),ABS(Resultados!N105),ABS(Resultados!X105),ABS(Resultados!AR105),ABS(Resultados!BL105),ABS(Resultados!BV105),ABS(Resultados!CP105),ABS(Resultados!CZ105),ABS(Resultados!DJ105)))</f>
        <v>1.5644444444444443E-2</v>
      </c>
      <c r="E105">
        <f>IF(COUNT(Resultados!E105,Resultados!O105,Resultados!Y105,Resultados!AS105,Resultados!BM105,Resultados!BW105,Resultados!CQ105,Resultados!DA105,Resultados!DK105)=0, "", AVERAGE(ABS(Resultados!E105),ABS(Resultados!O105),ABS(Resultados!Y105),ABS(Resultados!AS105),ABS(Resultados!BM105),ABS(Resultados!BW105),ABS(Resultados!CQ105),ABS(Resultados!DA105),ABS(Resultados!DK105)))</f>
        <v>7.2280059923987876</v>
      </c>
      <c r="F105">
        <f>IF(COUNT(Resultados!F105,Resultados!P105,Resultados!Z105,Resultados!AT105,Resultados!BN105,Resultados!BX105,Resultados!CR105,Resultados!DB105,Resultados!DL105)=0, "", AVERAGE(ABS(Resultados!F105),ABS(Resultados!P105),ABS(Resultados!Z105),ABS(Resultados!AT105),ABS(Resultados!BN105),ABS(Resultados!BX105),ABS(Resultados!CR105),ABS(Resultados!DB105),ABS(Resultados!DL105)))</f>
        <v>756.38476485004162</v>
      </c>
      <c r="G105">
        <f>IF(COUNT(Resultados!G105,Resultados!Q105,Resultados!AA105,Resultados!AU105,Resultados!BO105,Resultados!BY105,Resultados!CS105,Resultados!DC105,Resultados!DM105)=0, "", AVERAGE(ABS(Resultados!G105),ABS(Resultados!Q105),ABS(Resultados!AA105),ABS(Resultados!AU105),ABS(Resultados!BO105),ABS(Resultados!BY105),ABS(Resultados!CS105),ABS(Resultados!DC105),ABS(Resultados!DM105)))</f>
        <v>0.42399999999999999</v>
      </c>
      <c r="H105">
        <f>IF(COUNT(Resultados!H105,Resultados!R105,Resultados!AB105,Resultados!AV105,Resultados!BP105,Resultados!BZ105,Resultados!CT105,Resultados!DD105,Resultados!DN105)=0, "", AVERAGE(ABS(Resultados!H105),ABS(Resultados!R105),ABS(Resultados!AB105),ABS(Resultados!AV105),ABS(Resultados!BP105),ABS(Resultados!BZ105),ABS(Resultados!CT105),ABS(Resultados!DD105),ABS(Resultados!DN105)))</f>
        <v>1.9166666666666669E-2</v>
      </c>
      <c r="I105">
        <f>IF(COUNT(Resultados!I105,Resultados!S105,Resultados!AC105,Resultados!AW105,Resultados!BQ105,Resultados!CA105,Resultados!CU105,Resultados!DE105,Resultados!DO105)=0, "", AVERAGE(ABS(Resultados!I105),ABS(Resultados!S105),ABS(Resultados!AC105),ABS(Resultados!AW105),ABS(Resultados!BQ105),ABS(Resultados!CA105),ABS(Resultados!CU105),ABS(Resultados!DE105),ABS(Resultados!DO105)))</f>
        <v>20.689286666666664</v>
      </c>
      <c r="J105">
        <f>IF(COUNT(Resultados!J105,Resultados!T105,Resultados!AD105,Resultados!AX105,Resultados!BR105,Resultados!CB105,Resultados!CV105,Resultados!DF105,Resultados!DP105)=0, "", AVERAGE(ABS(Resultados!J105),ABS(Resultados!T105),ABS(Resultados!AD105),ABS(Resultados!AX105),ABS(Resultados!BR105),ABS(Resultados!CB105),ABS(Resultados!CV105),ABS(Resultados!DF105),ABS(Resultados!DP105)))</f>
        <v>1.9166666666666669E-2</v>
      </c>
      <c r="K105">
        <v>1.5644444444444443E-2</v>
      </c>
    </row>
    <row r="106" spans="1:11" x14ac:dyDescent="0.3">
      <c r="A106">
        <f>IF(COUNT(Resultados!A106,Resultados!K106,Resultados!U106,Resultados!AO106,Resultados!BI106,Resultados!BS106,Resultados!CM106,Resultados!CW106,Resultados!DG106)=0, "", AVERAGE(ABS(Resultados!A106),ABS(Resultados!K106),ABS(Resultados!U106),ABS(Resultados!AO106),ABS(Resultados!BI106),ABS(Resultados!BS106),ABS(Resultados!CM106),ABS(Resultados!CW106),ABS(Resultados!DG106)))</f>
        <v>45681</v>
      </c>
      <c r="B106" t="str">
        <f>IF(COUNT(Resultados!B106,Resultados!L106,Resultados!V106,Resultados!AP106,Resultados!BJ106,Resultados!BT106,Resultados!CN106,Resultados!CX106,Resultados!DH106)=0, "", AVERAGE(ABS(Resultados!B106),ABS(Resultados!L106),ABS(Resultados!V106),ABS(Resultados!AP106),ABS(Resultados!BJ106),ABS(Resultados!BT106),ABS(Resultados!CN106),ABS(Resultados!CX106),ABS(Resultados!DH106)))</f>
        <v/>
      </c>
      <c r="C106">
        <f>IF(COUNT(Resultados!C106,Resultados!M106,Resultados!W106,Resultados!AQ106,Resultados!BK106,Resultados!BU106,Resultados!CO106,Resultados!CY106,Resultados!DI106)=0, "", AVERAGE(ABS(Resultados!C106),ABS(Resultados!M106),ABS(Resultados!W106),ABS(Resultados!AQ106),ABS(Resultados!BK106),ABS(Resultados!BU106),ABS(Resultados!CO106),ABS(Resultados!CY106),ABS(Resultados!DI106)))</f>
        <v>3.5555555555555554</v>
      </c>
      <c r="D106">
        <f>IF(COUNT(Resultados!D106,Resultados!N106,Resultados!X106,Resultados!AR106,Resultados!BL106,Resultados!BV106,Resultados!CP106,Resultados!CZ106,Resultados!DJ106)=0, "", AVERAGE(ABS(Resultados!D106),ABS(Resultados!N106),ABS(Resultados!X106),ABS(Resultados!AR106),ABS(Resultados!BL106),ABS(Resultados!BV106),ABS(Resultados!CP106),ABS(Resultados!CZ106),ABS(Resultados!DJ106)))</f>
        <v>1.5988888888888886E-2</v>
      </c>
      <c r="E106">
        <f>IF(COUNT(Resultados!E106,Resultados!O106,Resultados!Y106,Resultados!AS106,Resultados!BM106,Resultados!BW106,Resultados!CQ106,Resultados!DA106,Resultados!DK106)=0, "", AVERAGE(ABS(Resultados!E106),ABS(Resultados!O106),ABS(Resultados!Y106),ABS(Resultados!AS106),ABS(Resultados!BM106),ABS(Resultados!BW106),ABS(Resultados!CQ106),ABS(Resultados!DA106),ABS(Resultados!DK106)))</f>
        <v>7.205057834676972</v>
      </c>
      <c r="F106">
        <f>IF(COUNT(Resultados!F106,Resultados!P106,Resultados!Z106,Resultados!AT106,Resultados!BN106,Resultados!BX106,Resultados!CR106,Resultados!DB106,Resultados!DL106)=0, "", AVERAGE(ABS(Resultados!F106),ABS(Resultados!P106),ABS(Resultados!Z106),ABS(Resultados!AT106),ABS(Resultados!BN106),ABS(Resultados!BX106),ABS(Resultados!CR106),ABS(Resultados!DB106),ABS(Resultados!DL106)))</f>
        <v>754.2752048070405</v>
      </c>
      <c r="G106">
        <f>IF(COUNT(Resultados!G106,Resultados!Q106,Resultados!AA106,Resultados!AU106,Resultados!BO106,Resultados!BY106,Resultados!CS106,Resultados!DC106,Resultados!DM106)=0, "", AVERAGE(ABS(Resultados!G106),ABS(Resultados!Q106),ABS(Resultados!AA106),ABS(Resultados!AU106),ABS(Resultados!BO106),ABS(Resultados!BY106),ABS(Resultados!CS106),ABS(Resultados!DC106),ABS(Resultados!DM106)))</f>
        <v>0.42399999999999999</v>
      </c>
      <c r="H106">
        <f>IF(COUNT(Resultados!H106,Resultados!R106,Resultados!AB106,Resultados!AV106,Resultados!BP106,Resultados!BZ106,Resultados!CT106,Resultados!DD106,Resultados!DN106)=0, "", AVERAGE(ABS(Resultados!H106),ABS(Resultados!R106),ABS(Resultados!AB106),ABS(Resultados!AV106),ABS(Resultados!BP106),ABS(Resultados!BZ106),ABS(Resultados!CT106),ABS(Resultados!DD106),ABS(Resultados!DN106)))</f>
        <v>1.8799999999999997E-2</v>
      </c>
      <c r="I106">
        <f>IF(COUNT(Resultados!I106,Resultados!S106,Resultados!AC106,Resultados!AW106,Resultados!BQ106,Resultados!CA106,Resultados!CU106,Resultados!DE106,Resultados!DO106)=0, "", AVERAGE(ABS(Resultados!I106),ABS(Resultados!S106),ABS(Resultados!AC106),ABS(Resultados!AW106),ABS(Resultados!BQ106),ABS(Resultados!CA106),ABS(Resultados!CU106),ABS(Resultados!DE106),ABS(Resultados!DO106)))</f>
        <v>20.890013333333329</v>
      </c>
      <c r="J106">
        <f>IF(COUNT(Resultados!J106,Resultados!T106,Resultados!AD106,Resultados!AX106,Resultados!BR106,Resultados!CB106,Resultados!CV106,Resultados!DF106,Resultados!DP106)=0, "", AVERAGE(ABS(Resultados!J106),ABS(Resultados!T106),ABS(Resultados!AD106),ABS(Resultados!AX106),ABS(Resultados!BR106),ABS(Resultados!CB106),ABS(Resultados!CV106),ABS(Resultados!DF106),ABS(Resultados!DP106)))</f>
        <v>1.8799999999999997E-2</v>
      </c>
      <c r="K106">
        <v>1.5988888888888886E-2</v>
      </c>
    </row>
    <row r="107" spans="1:11" x14ac:dyDescent="0.3">
      <c r="A107">
        <f>IF(COUNT(Resultados!A107,Resultados!K107,Resultados!U107,Resultados!AO107,Resultados!BI107,Resultados!BS107,Resultados!CM107,Resultados!CW107,Resultados!DG107)=0, "", AVERAGE(ABS(Resultados!A107),ABS(Resultados!K107),ABS(Resultados!U107),ABS(Resultados!AO107),ABS(Resultados!BI107),ABS(Resultados!BS107),ABS(Resultados!CM107),ABS(Resultados!CW107),ABS(Resultados!DG107)))</f>
        <v>45681</v>
      </c>
      <c r="B107" t="str">
        <f>IF(COUNT(Resultados!B107,Resultados!L107,Resultados!V107,Resultados!AP107,Resultados!BJ107,Resultados!BT107,Resultados!CN107,Resultados!CX107,Resultados!DH107)=0, "", AVERAGE(ABS(Resultados!B107),ABS(Resultados!L107),ABS(Resultados!V107),ABS(Resultados!AP107),ABS(Resultados!BJ107),ABS(Resultados!BT107),ABS(Resultados!CN107),ABS(Resultados!CX107),ABS(Resultados!DH107)))</f>
        <v/>
      </c>
      <c r="C107">
        <f>IF(COUNT(Resultados!C107,Resultados!M107,Resultados!W107,Resultados!AQ107,Resultados!BK107,Resultados!BU107,Resultados!CO107,Resultados!CY107,Resultados!DI107)=0, "", AVERAGE(ABS(Resultados!C107),ABS(Resultados!M107),ABS(Resultados!W107),ABS(Resultados!AQ107),ABS(Resultados!BK107),ABS(Resultados!BU107),ABS(Resultados!CO107),ABS(Resultados!CY107),ABS(Resultados!DI107)))</f>
        <v>3.5555555555555554</v>
      </c>
      <c r="D107">
        <f>IF(COUNT(Resultados!D107,Resultados!N107,Resultados!X107,Resultados!AR107,Resultados!BL107,Resultados!BV107,Resultados!CP107,Resultados!CZ107,Resultados!DJ107)=0, "", AVERAGE(ABS(Resultados!D107),ABS(Resultados!N107),ABS(Resultados!X107),ABS(Resultados!AR107),ABS(Resultados!BL107),ABS(Resultados!BV107),ABS(Resultados!CP107),ABS(Resultados!CZ107),ABS(Resultados!DJ107)))</f>
        <v>1.6144444444444444E-2</v>
      </c>
      <c r="E107">
        <f>IF(COUNT(Resultados!E107,Resultados!O107,Resultados!Y107,Resultados!AS107,Resultados!BM107,Resultados!BW107,Resultados!CQ107,Resultados!DA107,Resultados!DK107)=0, "", AVERAGE(ABS(Resultados!E107),ABS(Resultados!O107),ABS(Resultados!Y107),ABS(Resultados!AS107),ABS(Resultados!BM107),ABS(Resultados!BW107),ABS(Resultados!CQ107),ABS(Resultados!DA107),ABS(Resultados!DK107)))</f>
        <v>7.1692923410780782</v>
      </c>
      <c r="F107">
        <f>IF(COUNT(Resultados!F107,Resultados!P107,Resultados!Z107,Resultados!AT107,Resultados!BN107,Resultados!BX107,Resultados!CR107,Resultados!DB107,Resultados!DL107)=0, "", AVERAGE(ABS(Resultados!F107),ABS(Resultados!P107),ABS(Resultados!Z107),ABS(Resultados!AT107),ABS(Resultados!BN107),ABS(Resultados!BX107),ABS(Resultados!CR107),ABS(Resultados!DB107),ABS(Resultados!DL107)))</f>
        <v>739.35449053094203</v>
      </c>
      <c r="G107">
        <f>IF(COUNT(Resultados!G107,Resultados!Q107,Resultados!AA107,Resultados!AU107,Resultados!BO107,Resultados!BY107,Resultados!CS107,Resultados!DC107,Resultados!DM107)=0, "", AVERAGE(ABS(Resultados!G107),ABS(Resultados!Q107),ABS(Resultados!AA107),ABS(Resultados!AU107),ABS(Resultados!BO107),ABS(Resultados!BY107),ABS(Resultados!CS107),ABS(Resultados!DC107),ABS(Resultados!DM107)))</f>
        <v>0.42399999999999999</v>
      </c>
      <c r="H107">
        <f>IF(COUNT(Resultados!H107,Resultados!R107,Resultados!AB107,Resultados!AV107,Resultados!BP107,Resultados!BZ107,Resultados!CT107,Resultados!DD107,Resultados!DN107)=0, "", AVERAGE(ABS(Resultados!H107),ABS(Resultados!R107),ABS(Resultados!AB107),ABS(Resultados!AV107),ABS(Resultados!BP107),ABS(Resultados!BZ107),ABS(Resultados!CT107),ABS(Resultados!DD107),ABS(Resultados!DN107)))</f>
        <v>1.8222222222222223E-2</v>
      </c>
      <c r="I107">
        <f>IF(COUNT(Resultados!I107,Resultados!S107,Resultados!AC107,Resultados!AW107,Resultados!BQ107,Resultados!CA107,Resultados!CU107,Resultados!DE107,Resultados!DO107)=0, "", AVERAGE(ABS(Resultados!I107),ABS(Resultados!S107),ABS(Resultados!AC107),ABS(Resultados!AW107),ABS(Resultados!BQ107),ABS(Resultados!CA107),ABS(Resultados!CU107),ABS(Resultados!DE107),ABS(Resultados!DO107)))</f>
        <v>21.089549999999999</v>
      </c>
      <c r="J107">
        <f>IF(COUNT(Resultados!J107,Resultados!T107,Resultados!AD107,Resultados!AX107,Resultados!BR107,Resultados!CB107,Resultados!CV107,Resultados!DF107,Resultados!DP107)=0, "", AVERAGE(ABS(Resultados!J107),ABS(Resultados!T107),ABS(Resultados!AD107),ABS(Resultados!AX107),ABS(Resultados!BR107),ABS(Resultados!CB107),ABS(Resultados!CV107),ABS(Resultados!DF107),ABS(Resultados!DP107)))</f>
        <v>1.8222222222222223E-2</v>
      </c>
      <c r="K107">
        <v>1.6144444444444444E-2</v>
      </c>
    </row>
    <row r="108" spans="1:11" x14ac:dyDescent="0.3">
      <c r="A108">
        <f>IF(COUNT(Resultados!A108,Resultados!K108,Resultados!U108,Resultados!AO108,Resultados!BI108,Resultados!BS108,Resultados!CM108,Resultados!CW108,Resultados!DG108)=0, "", AVERAGE(ABS(Resultados!A108),ABS(Resultados!K108),ABS(Resultados!U108),ABS(Resultados!AO108),ABS(Resultados!BI108),ABS(Resultados!BS108),ABS(Resultados!CM108),ABS(Resultados!CW108),ABS(Resultados!DG108)))</f>
        <v>45681</v>
      </c>
      <c r="B108" t="str">
        <f>IF(COUNT(Resultados!B108,Resultados!L108,Resultados!V108,Resultados!AP108,Resultados!BJ108,Resultados!BT108,Resultados!CN108,Resultados!CX108,Resultados!DH108)=0, "", AVERAGE(ABS(Resultados!B108),ABS(Resultados!L108),ABS(Resultados!V108),ABS(Resultados!AP108),ABS(Resultados!BJ108),ABS(Resultados!BT108),ABS(Resultados!CN108),ABS(Resultados!CX108),ABS(Resultados!DH108)))</f>
        <v/>
      </c>
      <c r="C108">
        <f>IF(COUNT(Resultados!C108,Resultados!M108,Resultados!W108,Resultados!AQ108,Resultados!BK108,Resultados!BU108,Resultados!CO108,Resultados!CY108,Resultados!DI108)=0, "", AVERAGE(ABS(Resultados!C108),ABS(Resultados!M108),ABS(Resultados!W108),ABS(Resultados!AQ108),ABS(Resultados!BK108),ABS(Resultados!BU108),ABS(Resultados!CO108),ABS(Resultados!CY108),ABS(Resultados!DI108)))</f>
        <v>3.5555555555555554</v>
      </c>
      <c r="D108">
        <f>IF(COUNT(Resultados!D108,Resultados!N108,Resultados!X108,Resultados!AR108,Resultados!BL108,Resultados!BV108,Resultados!CP108,Resultados!CZ108,Resultados!DJ108)=0, "", AVERAGE(ABS(Resultados!D108),ABS(Resultados!N108),ABS(Resultados!X108),ABS(Resultados!AR108),ABS(Resultados!BL108),ABS(Resultados!BV108),ABS(Resultados!CP108),ABS(Resultados!CZ108),ABS(Resultados!DJ108)))</f>
        <v>1.6333333333333332E-2</v>
      </c>
      <c r="E108">
        <f>IF(COUNT(Resultados!E108,Resultados!O108,Resultados!Y108,Resultados!AS108,Resultados!BM108,Resultados!BW108,Resultados!CQ108,Resultados!DA108,Resultados!DK108)=0, "", AVERAGE(ABS(Resultados!E108),ABS(Resultados!O108),ABS(Resultados!Y108),ABS(Resultados!AS108),ABS(Resultados!BM108),ABS(Resultados!BW108),ABS(Resultados!CQ108),ABS(Resultados!DA108),ABS(Resultados!DK108)))</f>
        <v>7.1212942454758617</v>
      </c>
      <c r="F108">
        <f>IF(COUNT(Resultados!F108,Resultados!P108,Resultados!Z108,Resultados!AT108,Resultados!BN108,Resultados!BX108,Resultados!CR108,Resultados!DB108,Resultados!DL108)=0, "", AVERAGE(ABS(Resultados!F108),ABS(Resultados!P108),ABS(Resultados!Z108),ABS(Resultados!AT108),ABS(Resultados!BN108),ABS(Resultados!BX108),ABS(Resultados!CR108),ABS(Resultados!DB108),ABS(Resultados!DL108)))</f>
        <v>734.89872927245983</v>
      </c>
      <c r="G108">
        <f>IF(COUNT(Resultados!G108,Resultados!Q108,Resultados!AA108,Resultados!AU108,Resultados!BO108,Resultados!BY108,Resultados!CS108,Resultados!DC108,Resultados!DM108)=0, "", AVERAGE(ABS(Resultados!G108),ABS(Resultados!Q108),ABS(Resultados!AA108),ABS(Resultados!AU108),ABS(Resultados!BO108),ABS(Resultados!BY108),ABS(Resultados!CS108),ABS(Resultados!DC108),ABS(Resultados!DM108)))</f>
        <v>0.42399999999999999</v>
      </c>
      <c r="H108">
        <f>IF(COUNT(Resultados!H108,Resultados!R108,Resultados!AB108,Resultados!AV108,Resultados!BP108,Resultados!BZ108,Resultados!CT108,Resultados!DD108,Resultados!DN108)=0, "", AVERAGE(ABS(Resultados!H108),ABS(Resultados!R108),ABS(Resultados!AB108),ABS(Resultados!AV108),ABS(Resultados!BP108),ABS(Resultados!BZ108),ABS(Resultados!CT108),ABS(Resultados!DD108),ABS(Resultados!DN108)))</f>
        <v>1.7500000000000002E-2</v>
      </c>
      <c r="I108">
        <f>IF(COUNT(Resultados!I108,Resultados!S108,Resultados!AC108,Resultados!AW108,Resultados!BQ108,Resultados!CA108,Resultados!CU108,Resultados!DE108,Resultados!DO108)=0, "", AVERAGE(ABS(Resultados!I108),ABS(Resultados!S108),ABS(Resultados!AC108),ABS(Resultados!AW108),ABS(Resultados!BQ108),ABS(Resultados!CA108),ABS(Resultados!CU108),ABS(Resultados!DE108),ABS(Resultados!DO108)))</f>
        <v>21.289132222222221</v>
      </c>
      <c r="J108">
        <f>IF(COUNT(Resultados!J108,Resultados!T108,Resultados!AD108,Resultados!AX108,Resultados!BR108,Resultados!CB108,Resultados!CV108,Resultados!DF108,Resultados!DP108)=0, "", AVERAGE(ABS(Resultados!J108),ABS(Resultados!T108),ABS(Resultados!AD108),ABS(Resultados!AX108),ABS(Resultados!BR108),ABS(Resultados!CB108),ABS(Resultados!CV108),ABS(Resultados!DF108),ABS(Resultados!DP108)))</f>
        <v>1.7500000000000002E-2</v>
      </c>
      <c r="K108">
        <v>1.6333333333333332E-2</v>
      </c>
    </row>
    <row r="109" spans="1:11" x14ac:dyDescent="0.3">
      <c r="A109">
        <f>IF(COUNT(Resultados!A109,Resultados!K109,Resultados!U109,Resultados!AO109,Resultados!BI109,Resultados!BS109,Resultados!CM109,Resultados!CW109,Resultados!DG109)=0, "", AVERAGE(ABS(Resultados!A109),ABS(Resultados!K109),ABS(Resultados!U109),ABS(Resultados!AO109),ABS(Resultados!BI109),ABS(Resultados!BS109),ABS(Resultados!CM109),ABS(Resultados!CW109),ABS(Resultados!DG109)))</f>
        <v>45681</v>
      </c>
      <c r="B109" t="str">
        <f>IF(COUNT(Resultados!B109,Resultados!L109,Resultados!V109,Resultados!AP109,Resultados!BJ109,Resultados!BT109,Resultados!CN109,Resultados!CX109,Resultados!DH109)=0, "", AVERAGE(ABS(Resultados!B109),ABS(Resultados!L109),ABS(Resultados!V109),ABS(Resultados!AP109),ABS(Resultados!BJ109),ABS(Resultados!BT109),ABS(Resultados!CN109),ABS(Resultados!CX109),ABS(Resultados!DH109)))</f>
        <v/>
      </c>
      <c r="C109">
        <f>IF(COUNT(Resultados!C109,Resultados!M109,Resultados!W109,Resultados!AQ109,Resultados!BK109,Resultados!BU109,Resultados!CO109,Resultados!CY109,Resultados!DI109)=0, "", AVERAGE(ABS(Resultados!C109),ABS(Resultados!M109),ABS(Resultados!W109),ABS(Resultados!AQ109),ABS(Resultados!BK109),ABS(Resultados!BU109),ABS(Resultados!CO109),ABS(Resultados!CY109),ABS(Resultados!DI109)))</f>
        <v>3.5555555555555554</v>
      </c>
      <c r="D109">
        <f>IF(COUNT(Resultados!D109,Resultados!N109,Resultados!X109,Resultados!AR109,Resultados!BL109,Resultados!BV109,Resultados!CP109,Resultados!CZ109,Resultados!DJ109)=0, "", AVERAGE(ABS(Resultados!D109),ABS(Resultados!N109),ABS(Resultados!X109),ABS(Resultados!AR109),ABS(Resultados!BL109),ABS(Resultados!BV109),ABS(Resultados!CP109),ABS(Resultados!CZ109),ABS(Resultados!DJ109)))</f>
        <v>1.6477777777777775E-2</v>
      </c>
      <c r="E109">
        <f>IF(COUNT(Resultados!E109,Resultados!O109,Resultados!Y109,Resultados!AS109,Resultados!BM109,Resultados!BW109,Resultados!CQ109,Resultados!DA109,Resultados!DK109)=0, "", AVERAGE(ABS(Resultados!E109),ABS(Resultados!O109),ABS(Resultados!Y109),ABS(Resultados!AS109),ABS(Resultados!BM109),ABS(Resultados!BW109),ABS(Resultados!CQ109),ABS(Resultados!DA109),ABS(Resultados!DK109)))</f>
        <v>7.0620119439544835</v>
      </c>
      <c r="F109">
        <f>IF(COUNT(Resultados!F109,Resultados!P109,Resultados!Z109,Resultados!AT109,Resultados!BN109,Resultados!BX109,Resultados!CR109,Resultados!DB109,Resultados!DL109)=0, "", AVERAGE(ABS(Resultados!F109),ABS(Resultados!P109),ABS(Resultados!Z109),ABS(Resultados!AT109),ABS(Resultados!BN109),ABS(Resultados!BX109),ABS(Resultados!CR109),ABS(Resultados!DB109),ABS(Resultados!DL109)))</f>
        <v>729.38569416265034</v>
      </c>
      <c r="G109">
        <f>IF(COUNT(Resultados!G109,Resultados!Q109,Resultados!AA109,Resultados!AU109,Resultados!BO109,Resultados!BY109,Resultados!CS109,Resultados!DC109,Resultados!DM109)=0, "", AVERAGE(ABS(Resultados!G109),ABS(Resultados!Q109),ABS(Resultados!AA109),ABS(Resultados!AU109),ABS(Resultados!BO109),ABS(Resultados!BY109),ABS(Resultados!CS109),ABS(Resultados!DC109),ABS(Resultados!DM109)))</f>
        <v>0.42399999999999999</v>
      </c>
      <c r="H109">
        <f>IF(COUNT(Resultados!H109,Resultados!R109,Resultados!AB109,Resultados!AV109,Resultados!BP109,Resultados!BZ109,Resultados!CT109,Resultados!DD109,Resultados!DN109)=0, "", AVERAGE(ABS(Resultados!H109),ABS(Resultados!R109),ABS(Resultados!AB109),ABS(Resultados!AV109),ABS(Resultados!BP109),ABS(Resultados!BZ109),ABS(Resultados!CT109),ABS(Resultados!DD109),ABS(Resultados!DN109)))</f>
        <v>1.6577777777777778E-2</v>
      </c>
      <c r="I109">
        <f>IF(COUNT(Resultados!I109,Resultados!S109,Resultados!AC109,Resultados!AW109,Resultados!BQ109,Resultados!CA109,Resultados!CU109,Resultados!DE109,Resultados!DO109)=0, "", AVERAGE(ABS(Resultados!I109),ABS(Resultados!S109),ABS(Resultados!AC109),ABS(Resultados!AW109),ABS(Resultados!BQ109),ABS(Resultados!CA109),ABS(Resultados!CU109),ABS(Resultados!DE109),ABS(Resultados!DO109)))</f>
        <v>21.489487777777779</v>
      </c>
      <c r="J109">
        <f>IF(COUNT(Resultados!J109,Resultados!T109,Resultados!AD109,Resultados!AX109,Resultados!BR109,Resultados!CB109,Resultados!CV109,Resultados!DF109,Resultados!DP109)=0, "", AVERAGE(ABS(Resultados!J109),ABS(Resultados!T109),ABS(Resultados!AD109),ABS(Resultados!AX109),ABS(Resultados!BR109),ABS(Resultados!CB109),ABS(Resultados!CV109),ABS(Resultados!DF109),ABS(Resultados!DP109)))</f>
        <v>1.6577777777777778E-2</v>
      </c>
      <c r="K109">
        <v>1.6477777777777775E-2</v>
      </c>
    </row>
    <row r="110" spans="1:11" x14ac:dyDescent="0.3">
      <c r="A110">
        <f>IF(COUNT(Resultados!A110,Resultados!K110,Resultados!U110,Resultados!AO110,Resultados!BI110,Resultados!BS110,Resultados!CM110,Resultados!CW110,Resultados!DG110)=0, "", AVERAGE(ABS(Resultados!A110),ABS(Resultados!K110),ABS(Resultados!U110),ABS(Resultados!AO110),ABS(Resultados!BI110),ABS(Resultados!BS110),ABS(Resultados!CM110),ABS(Resultados!CW110),ABS(Resultados!DG110)))</f>
        <v>45681</v>
      </c>
      <c r="B110" t="str">
        <f>IF(COUNT(Resultados!B110,Resultados!L110,Resultados!V110,Resultados!AP110,Resultados!BJ110,Resultados!BT110,Resultados!CN110,Resultados!CX110,Resultados!DH110)=0, "", AVERAGE(ABS(Resultados!B110),ABS(Resultados!L110),ABS(Resultados!V110),ABS(Resultados!AP110),ABS(Resultados!BJ110),ABS(Resultados!BT110),ABS(Resultados!CN110),ABS(Resultados!CX110),ABS(Resultados!DH110)))</f>
        <v/>
      </c>
      <c r="C110">
        <f>IF(COUNT(Resultados!C110,Resultados!M110,Resultados!W110,Resultados!AQ110,Resultados!BK110,Resultados!BU110,Resultados!CO110,Resultados!CY110,Resultados!DI110)=0, "", AVERAGE(ABS(Resultados!C110),ABS(Resultados!M110),ABS(Resultados!W110),ABS(Resultados!AQ110),ABS(Resultados!BK110),ABS(Resultados!BU110),ABS(Resultados!CO110),ABS(Resultados!CY110),ABS(Resultados!DI110)))</f>
        <v>3.5555555555555554</v>
      </c>
      <c r="D110">
        <f>IF(COUNT(Resultados!D110,Resultados!N110,Resultados!X110,Resultados!AR110,Resultados!BL110,Resultados!BV110,Resultados!CP110,Resultados!CZ110,Resultados!DJ110)=0, "", AVERAGE(ABS(Resultados!D110),ABS(Resultados!N110),ABS(Resultados!X110),ABS(Resultados!AR110),ABS(Resultados!BL110),ABS(Resultados!BV110),ABS(Resultados!CP110),ABS(Resultados!CZ110),ABS(Resultados!DJ110)))</f>
        <v>1.6455555555555557E-2</v>
      </c>
      <c r="E110">
        <f>IF(COUNT(Resultados!E110,Resultados!O110,Resultados!Y110,Resultados!AS110,Resultados!BM110,Resultados!BW110,Resultados!CQ110,Resultados!DA110,Resultados!DK110)=0, "", AVERAGE(ABS(Resultados!E110),ABS(Resultados!O110),ABS(Resultados!Y110),ABS(Resultados!AS110),ABS(Resultados!BM110),ABS(Resultados!BW110),ABS(Resultados!CQ110),ABS(Resultados!DA110),ABS(Resultados!DK110)))</f>
        <v>6.9933069076747163</v>
      </c>
      <c r="F110">
        <f>IF(COUNT(Resultados!F110,Resultados!P110,Resultados!Z110,Resultados!AT110,Resultados!BN110,Resultados!BX110,Resultados!CR110,Resultados!DB110,Resultados!DL110)=0, "", AVERAGE(ABS(Resultados!F110),ABS(Resultados!P110),ABS(Resultados!Z110),ABS(Resultados!AT110),ABS(Resultados!BN110),ABS(Resultados!BX110),ABS(Resultados!CR110),ABS(Resultados!DB110),ABS(Resultados!DL110)))</f>
        <v>711.38001288386647</v>
      </c>
      <c r="G110">
        <f>IF(COUNT(Resultados!G110,Resultados!Q110,Resultados!AA110,Resultados!AU110,Resultados!BO110,Resultados!BY110,Resultados!CS110,Resultados!DC110,Resultados!DM110)=0, "", AVERAGE(ABS(Resultados!G110),ABS(Resultados!Q110),ABS(Resultados!AA110),ABS(Resultados!AU110),ABS(Resultados!BO110),ABS(Resultados!BY110),ABS(Resultados!CS110),ABS(Resultados!DC110),ABS(Resultados!DM110)))</f>
        <v>0.42399999999999999</v>
      </c>
      <c r="H110">
        <f>IF(COUNT(Resultados!H110,Resultados!R110,Resultados!AB110,Resultados!AV110,Resultados!BP110,Resultados!BZ110,Resultados!CT110,Resultados!DD110,Resultados!DN110)=0, "", AVERAGE(ABS(Resultados!H110),ABS(Resultados!R110),ABS(Resultados!AB110),ABS(Resultados!AV110),ABS(Resultados!BP110),ABS(Resultados!BZ110),ABS(Resultados!CT110),ABS(Resultados!DD110),ABS(Resultados!DN110)))</f>
        <v>1.5499999999999998E-2</v>
      </c>
      <c r="I110">
        <f>IF(COUNT(Resultados!I110,Resultados!S110,Resultados!AC110,Resultados!AW110,Resultados!BQ110,Resultados!CA110,Resultados!CU110,Resultados!DE110,Resultados!DO110)=0, "", AVERAGE(ABS(Resultados!I110),ABS(Resultados!S110),ABS(Resultados!AC110),ABS(Resultados!AW110),ABS(Resultados!BQ110),ABS(Resultados!CA110),ABS(Resultados!CU110),ABS(Resultados!DE110),ABS(Resultados!DO110)))</f>
        <v>21.689213333333338</v>
      </c>
      <c r="J110">
        <f>IF(COUNT(Resultados!J110,Resultados!T110,Resultados!AD110,Resultados!AX110,Resultados!BR110,Resultados!CB110,Resultados!CV110,Resultados!DF110,Resultados!DP110)=0, "", AVERAGE(ABS(Resultados!J110),ABS(Resultados!T110),ABS(Resultados!AD110),ABS(Resultados!AX110),ABS(Resultados!BR110),ABS(Resultados!CB110),ABS(Resultados!CV110),ABS(Resultados!DF110),ABS(Resultados!DP110)))</f>
        <v>1.5499999999999998E-2</v>
      </c>
      <c r="K110">
        <v>1.6455555555555557E-2</v>
      </c>
    </row>
    <row r="111" spans="1:11" x14ac:dyDescent="0.3">
      <c r="A111">
        <f>IF(COUNT(Resultados!A111,Resultados!K111,Resultados!U111,Resultados!AO111,Resultados!BI111,Resultados!BS111,Resultados!CM111,Resultados!CW111,Resultados!DG111)=0, "", AVERAGE(ABS(Resultados!A111),ABS(Resultados!K111),ABS(Resultados!U111),ABS(Resultados!AO111),ABS(Resultados!BI111),ABS(Resultados!BS111),ABS(Resultados!CM111),ABS(Resultados!CW111),ABS(Resultados!DG111)))</f>
        <v>45681</v>
      </c>
      <c r="B111" t="str">
        <f>IF(COUNT(Resultados!B111,Resultados!L111,Resultados!V111,Resultados!AP111,Resultados!BJ111,Resultados!BT111,Resultados!CN111,Resultados!CX111,Resultados!DH111)=0, "", AVERAGE(ABS(Resultados!B111),ABS(Resultados!L111),ABS(Resultados!V111),ABS(Resultados!AP111),ABS(Resultados!BJ111),ABS(Resultados!BT111),ABS(Resultados!CN111),ABS(Resultados!CX111),ABS(Resultados!DH111)))</f>
        <v/>
      </c>
      <c r="C111">
        <f>IF(COUNT(Resultados!C111,Resultados!M111,Resultados!W111,Resultados!AQ111,Resultados!BK111,Resultados!BU111,Resultados!CO111,Resultados!CY111,Resultados!DI111)=0, "", AVERAGE(ABS(Resultados!C111),ABS(Resultados!M111),ABS(Resultados!W111),ABS(Resultados!AQ111),ABS(Resultados!BK111),ABS(Resultados!BU111),ABS(Resultados!CO111),ABS(Resultados!CY111),ABS(Resultados!DI111)))</f>
        <v>3.6666666666666665</v>
      </c>
      <c r="D111">
        <f>IF(COUNT(Resultados!D111,Resultados!N111,Resultados!X111,Resultados!AR111,Resultados!BL111,Resultados!BV111,Resultados!CP111,Resultados!CZ111,Resultados!DJ111)=0, "", AVERAGE(ABS(Resultados!D111),ABS(Resultados!N111),ABS(Resultados!X111),ABS(Resultados!AR111),ABS(Resultados!BL111),ABS(Resultados!BV111),ABS(Resultados!CP111),ABS(Resultados!CZ111),ABS(Resultados!DJ111)))</f>
        <v>1.627777777777778E-2</v>
      </c>
      <c r="E111">
        <f>IF(COUNT(Resultados!E111,Resultados!O111,Resultados!Y111,Resultados!AS111,Resultados!BM111,Resultados!BW111,Resultados!CQ111,Resultados!DA111,Resultados!DK111)=0, "", AVERAGE(ABS(Resultados!E111),ABS(Resultados!O111),ABS(Resultados!Y111),ABS(Resultados!AS111),ABS(Resultados!BM111),ABS(Resultados!BW111),ABS(Resultados!CQ111),ABS(Resultados!DA111),ABS(Resultados!DK111)))</f>
        <v>6.9166455891822611</v>
      </c>
      <c r="F111">
        <f>IF(COUNT(Resultados!F111,Resultados!P111,Resultados!Z111,Resultados!AT111,Resultados!BN111,Resultados!BX111,Resultados!CR111,Resultados!DB111,Resultados!DL111)=0, "", AVERAGE(ABS(Resultados!F111),ABS(Resultados!P111),ABS(Resultados!Z111),ABS(Resultados!AT111),ABS(Resultados!BN111),ABS(Resultados!BX111),ABS(Resultados!CR111),ABS(Resultados!DB111),ABS(Resultados!DL111)))</f>
        <v>704.2398404274295</v>
      </c>
      <c r="G111">
        <f>IF(COUNT(Resultados!G111,Resultados!Q111,Resultados!AA111,Resultados!AU111,Resultados!BO111,Resultados!BY111,Resultados!CS111,Resultados!DC111,Resultados!DM111)=0, "", AVERAGE(ABS(Resultados!G111),ABS(Resultados!Q111),ABS(Resultados!AA111),ABS(Resultados!AU111),ABS(Resultados!BO111),ABS(Resultados!BY111),ABS(Resultados!CS111),ABS(Resultados!DC111),ABS(Resultados!DM111)))</f>
        <v>0.42399999999999999</v>
      </c>
      <c r="H111">
        <f>IF(COUNT(Resultados!H111,Resultados!R111,Resultados!AB111,Resultados!AV111,Resultados!BP111,Resultados!BZ111,Resultados!CT111,Resultados!DD111,Resultados!DN111)=0, "", AVERAGE(ABS(Resultados!H111),ABS(Resultados!R111),ABS(Resultados!AB111),ABS(Resultados!AV111),ABS(Resultados!BP111),ABS(Resultados!BZ111),ABS(Resultados!CT111),ABS(Resultados!DD111),ABS(Resultados!DN111)))</f>
        <v>1.43E-2</v>
      </c>
      <c r="I111">
        <f>IF(COUNT(Resultados!I111,Resultados!S111,Resultados!AC111,Resultados!AW111,Resultados!BQ111,Resultados!CA111,Resultados!CU111,Resultados!DE111,Resultados!DO111)=0, "", AVERAGE(ABS(Resultados!I111),ABS(Resultados!S111),ABS(Resultados!AC111),ABS(Resultados!AW111),ABS(Resultados!BQ111),ABS(Resultados!CA111),ABS(Resultados!CU111),ABS(Resultados!DE111),ABS(Resultados!DO111)))</f>
        <v>21.889254444444457</v>
      </c>
      <c r="J111">
        <f>IF(COUNT(Resultados!J111,Resultados!T111,Resultados!AD111,Resultados!AX111,Resultados!BR111,Resultados!CB111,Resultados!CV111,Resultados!DF111,Resultados!DP111)=0, "", AVERAGE(ABS(Resultados!J111),ABS(Resultados!T111),ABS(Resultados!AD111),ABS(Resultados!AX111),ABS(Resultados!BR111),ABS(Resultados!CB111),ABS(Resultados!CV111),ABS(Resultados!DF111),ABS(Resultados!DP111)))</f>
        <v>1.43E-2</v>
      </c>
      <c r="K111">
        <v>1.627777777777778E-2</v>
      </c>
    </row>
    <row r="112" spans="1:11" x14ac:dyDescent="0.3">
      <c r="A112">
        <f>IF(COUNT(Resultados!A112,Resultados!K112,Resultados!U112,Resultados!AO112,Resultados!BI112,Resultados!BS112,Resultados!CM112,Resultados!CW112,Resultados!DG112)=0, "", AVERAGE(ABS(Resultados!A112),ABS(Resultados!K112),ABS(Resultados!U112),ABS(Resultados!AO112),ABS(Resultados!BI112),ABS(Resultados!BS112),ABS(Resultados!CM112),ABS(Resultados!CW112),ABS(Resultados!DG112)))</f>
        <v>45681</v>
      </c>
      <c r="B112" t="str">
        <f>IF(COUNT(Resultados!B112,Resultados!L112,Resultados!V112,Resultados!AP112,Resultados!BJ112,Resultados!BT112,Resultados!CN112,Resultados!CX112,Resultados!DH112)=0, "", AVERAGE(ABS(Resultados!B112),ABS(Resultados!L112),ABS(Resultados!V112),ABS(Resultados!AP112),ABS(Resultados!BJ112),ABS(Resultados!BT112),ABS(Resultados!CN112),ABS(Resultados!CX112),ABS(Resultados!DH112)))</f>
        <v/>
      </c>
      <c r="C112">
        <f>IF(COUNT(Resultados!C112,Resultados!M112,Resultados!W112,Resultados!AQ112,Resultados!BK112,Resultados!BU112,Resultados!CO112,Resultados!CY112,Resultados!DI112)=0, "", AVERAGE(ABS(Resultados!C112),ABS(Resultados!M112),ABS(Resultados!W112),ABS(Resultados!AQ112),ABS(Resultados!BK112),ABS(Resultados!BU112),ABS(Resultados!CO112),ABS(Resultados!CY112),ABS(Resultados!DI112)))</f>
        <v>3.6666666666666665</v>
      </c>
      <c r="D112">
        <f>IF(COUNT(Resultados!D112,Resultados!N112,Resultados!X112,Resultados!AR112,Resultados!BL112,Resultados!BV112,Resultados!CP112,Resultados!CZ112,Resultados!DJ112)=0, "", AVERAGE(ABS(Resultados!D112),ABS(Resultados!N112),ABS(Resultados!X112),ABS(Resultados!AR112),ABS(Resultados!BL112),ABS(Resultados!BV112),ABS(Resultados!CP112),ABS(Resultados!CZ112),ABS(Resultados!DJ112)))</f>
        <v>1.6044444444444441E-2</v>
      </c>
      <c r="E112">
        <f>IF(COUNT(Resultados!E112,Resultados!O112,Resultados!Y112,Resultados!AS112,Resultados!BM112,Resultados!BW112,Resultados!CQ112,Resultados!DA112,Resultados!DK112)=0, "", AVERAGE(ABS(Resultados!E112),ABS(Resultados!O112),ABS(Resultados!Y112),ABS(Resultados!AS112),ABS(Resultados!BM112),ABS(Resultados!BW112),ABS(Resultados!CQ112),ABS(Resultados!DA112),ABS(Resultados!DK112)))</f>
        <v>6.8339362239310537</v>
      </c>
      <c r="F112">
        <f>IF(COUNT(Resultados!F112,Resultados!P112,Resultados!Z112,Resultados!AT112,Resultados!BN112,Resultados!BX112,Resultados!CR112,Resultados!DB112,Resultados!DL112)=0, "", AVERAGE(ABS(Resultados!F112),ABS(Resultados!P112),ABS(Resultados!Z112),ABS(Resultados!AT112),ABS(Resultados!BN112),ABS(Resultados!BX112),ABS(Resultados!CR112),ABS(Resultados!DB112),ABS(Resultados!DL112)))</f>
        <v>696.53290210102261</v>
      </c>
      <c r="G112">
        <f>IF(COUNT(Resultados!G112,Resultados!Q112,Resultados!AA112,Resultados!AU112,Resultados!BO112,Resultados!BY112,Resultados!CS112,Resultados!DC112,Resultados!DM112)=0, "", AVERAGE(ABS(Resultados!G112),ABS(Resultados!Q112),ABS(Resultados!AA112),ABS(Resultados!AU112),ABS(Resultados!BO112),ABS(Resultados!BY112),ABS(Resultados!CS112),ABS(Resultados!DC112),ABS(Resultados!DM112)))</f>
        <v>0.42399999999999999</v>
      </c>
      <c r="H112">
        <f>IF(COUNT(Resultados!H112,Resultados!R112,Resultados!AB112,Resultados!AV112,Resultados!BP112,Resultados!BZ112,Resultados!CT112,Resultados!DD112,Resultados!DN112)=0, "", AVERAGE(ABS(Resultados!H112),ABS(Resultados!R112),ABS(Resultados!AB112),ABS(Resultados!AV112),ABS(Resultados!BP112),ABS(Resultados!BZ112),ABS(Resultados!CT112),ABS(Resultados!DD112),ABS(Resultados!DN112)))</f>
        <v>1.3022222222222221E-2</v>
      </c>
      <c r="I112">
        <f>IF(COUNT(Resultados!I112,Resultados!S112,Resultados!AC112,Resultados!AW112,Resultados!BQ112,Resultados!CA112,Resultados!CU112,Resultados!DE112,Resultados!DO112)=0, "", AVERAGE(ABS(Resultados!I112),ABS(Resultados!S112),ABS(Resultados!AC112),ABS(Resultados!AW112),ABS(Resultados!BQ112),ABS(Resultados!CA112),ABS(Resultados!CU112),ABS(Resultados!DE112),ABS(Resultados!DO112)))</f>
        <v>22.089331111111107</v>
      </c>
      <c r="J112">
        <f>IF(COUNT(Resultados!J112,Resultados!T112,Resultados!AD112,Resultados!AX112,Resultados!BR112,Resultados!CB112,Resultados!CV112,Resultados!DF112,Resultados!DP112)=0, "", AVERAGE(ABS(Resultados!J112),ABS(Resultados!T112),ABS(Resultados!AD112),ABS(Resultados!AX112),ABS(Resultados!BR112),ABS(Resultados!CB112),ABS(Resultados!CV112),ABS(Resultados!DF112),ABS(Resultados!DP112)))</f>
        <v>1.3022222222222221E-2</v>
      </c>
      <c r="K112">
        <v>1.6044444444444441E-2</v>
      </c>
    </row>
    <row r="113" spans="1:11" x14ac:dyDescent="0.3">
      <c r="A113">
        <f>IF(COUNT(Resultados!A113,Resultados!K113,Resultados!U113,Resultados!AO113,Resultados!BI113,Resultados!BS113,Resultados!CM113,Resultados!CW113,Resultados!DG113)=0, "", AVERAGE(ABS(Resultados!A113),ABS(Resultados!K113),ABS(Resultados!U113),ABS(Resultados!AO113),ABS(Resultados!BI113),ABS(Resultados!BS113),ABS(Resultados!CM113),ABS(Resultados!CW113),ABS(Resultados!DG113)))</f>
        <v>45681</v>
      </c>
      <c r="B113" t="str">
        <f>IF(COUNT(Resultados!B113,Resultados!L113,Resultados!V113,Resultados!AP113,Resultados!BJ113,Resultados!BT113,Resultados!CN113,Resultados!CX113,Resultados!DH113)=0, "", AVERAGE(ABS(Resultados!B113),ABS(Resultados!L113),ABS(Resultados!V113),ABS(Resultados!AP113),ABS(Resultados!BJ113),ABS(Resultados!BT113),ABS(Resultados!CN113),ABS(Resultados!CX113),ABS(Resultados!DH113)))</f>
        <v/>
      </c>
      <c r="C113">
        <f>IF(COUNT(Resultados!C113,Resultados!M113,Resultados!W113,Resultados!AQ113,Resultados!BK113,Resultados!BU113,Resultados!CO113,Resultados!CY113,Resultados!DI113)=0, "", AVERAGE(ABS(Resultados!C113),ABS(Resultados!M113),ABS(Resultados!W113),ABS(Resultados!AQ113),ABS(Resultados!BK113),ABS(Resultados!BU113),ABS(Resultados!CO113),ABS(Resultados!CY113),ABS(Resultados!DI113)))</f>
        <v>3.6666666666666665</v>
      </c>
      <c r="D113">
        <f>IF(COUNT(Resultados!D113,Resultados!N113,Resultados!X113,Resultados!AR113,Resultados!BL113,Resultados!BV113,Resultados!CP113,Resultados!CZ113,Resultados!DJ113)=0, "", AVERAGE(ABS(Resultados!D113),ABS(Resultados!N113),ABS(Resultados!X113),ABS(Resultados!AR113),ABS(Resultados!BL113),ABS(Resultados!BV113),ABS(Resultados!CP113),ABS(Resultados!CZ113),ABS(Resultados!DJ113)))</f>
        <v>1.5288888888888887E-2</v>
      </c>
      <c r="E113">
        <f>IF(COUNT(Resultados!E113,Resultados!O113,Resultados!Y113,Resultados!AS113,Resultados!BM113,Resultados!BW113,Resultados!CQ113,Resultados!DA113,Resultados!DK113)=0, "", AVERAGE(ABS(Resultados!E113),ABS(Resultados!O113),ABS(Resultados!Y113),ABS(Resultados!AS113),ABS(Resultados!BM113),ABS(Resultados!BW113),ABS(Resultados!CQ113),ABS(Resultados!DA113),ABS(Resultados!DK113)))</f>
        <v>6.7471304732923523</v>
      </c>
      <c r="F113">
        <f>IF(COUNT(Resultados!F113,Resultados!P113,Resultados!Z113,Resultados!AT113,Resultados!BN113,Resultados!BX113,Resultados!CR113,Resultados!DB113,Resultados!DL113)=0, "", AVERAGE(ABS(Resultados!F113),ABS(Resultados!P113),ABS(Resultados!Z113),ABS(Resultados!AT113),ABS(Resultados!BN113),ABS(Resultados!BX113),ABS(Resultados!CR113),ABS(Resultados!DB113),ABS(Resultados!DL113)))</f>
        <v>676.83256011084723</v>
      </c>
      <c r="G113">
        <f>IF(COUNT(Resultados!G113,Resultados!Q113,Resultados!AA113,Resultados!AU113,Resultados!BO113,Resultados!BY113,Resultados!CS113,Resultados!DC113,Resultados!DM113)=0, "", AVERAGE(ABS(Resultados!G113),ABS(Resultados!Q113),ABS(Resultados!AA113),ABS(Resultados!AU113),ABS(Resultados!BO113),ABS(Resultados!BY113),ABS(Resultados!CS113),ABS(Resultados!DC113),ABS(Resultados!DM113)))</f>
        <v>0.42399999999999999</v>
      </c>
      <c r="H113">
        <f>IF(COUNT(Resultados!H113,Resultados!R113,Resultados!AB113,Resultados!AV113,Resultados!BP113,Resultados!BZ113,Resultados!CT113,Resultados!DD113,Resultados!DN113)=0, "", AVERAGE(ABS(Resultados!H113),ABS(Resultados!R113),ABS(Resultados!AB113),ABS(Resultados!AV113),ABS(Resultados!BP113),ABS(Resultados!BZ113),ABS(Resultados!CT113),ABS(Resultados!DD113),ABS(Resultados!DN113)))</f>
        <v>1.1666666666666665E-2</v>
      </c>
      <c r="I113">
        <f>IF(COUNT(Resultados!I113,Resultados!S113,Resultados!AC113,Resultados!AW113,Resultados!BQ113,Resultados!CA113,Resultados!CU113,Resultados!DE113,Resultados!DO113)=0, "", AVERAGE(ABS(Resultados!I113),ABS(Resultados!S113),ABS(Resultados!AC113),ABS(Resultados!AW113),ABS(Resultados!BQ113),ABS(Resultados!CA113),ABS(Resultados!CU113),ABS(Resultados!DE113),ABS(Resultados!DO113)))</f>
        <v>22.289216666666665</v>
      </c>
      <c r="J113">
        <f>IF(COUNT(Resultados!J113,Resultados!T113,Resultados!AD113,Resultados!AX113,Resultados!BR113,Resultados!CB113,Resultados!CV113,Resultados!DF113,Resultados!DP113)=0, "", AVERAGE(ABS(Resultados!J113),ABS(Resultados!T113),ABS(Resultados!AD113),ABS(Resultados!AX113),ABS(Resultados!BR113),ABS(Resultados!CB113),ABS(Resultados!CV113),ABS(Resultados!DF113),ABS(Resultados!DP113)))</f>
        <v>1.1666666666666665E-2</v>
      </c>
      <c r="K113">
        <v>1.5288888888888887E-2</v>
      </c>
    </row>
    <row r="114" spans="1:11" x14ac:dyDescent="0.3">
      <c r="A114">
        <f>IF(COUNT(Resultados!A114,Resultados!K114,Resultados!U114,Resultados!AO114,Resultados!BI114,Resultados!BS114,Resultados!CM114,Resultados!CW114,Resultados!DG114)=0, "", AVERAGE(ABS(Resultados!A114),ABS(Resultados!K114),ABS(Resultados!U114),ABS(Resultados!AO114),ABS(Resultados!BI114),ABS(Resultados!BS114),ABS(Resultados!CM114),ABS(Resultados!CW114),ABS(Resultados!DG114)))</f>
        <v>45681</v>
      </c>
      <c r="B114" t="str">
        <f>IF(COUNT(Resultados!B114,Resultados!L114,Resultados!V114,Resultados!AP114,Resultados!BJ114,Resultados!BT114,Resultados!CN114,Resultados!CX114,Resultados!DH114)=0, "", AVERAGE(ABS(Resultados!B114),ABS(Resultados!L114),ABS(Resultados!V114),ABS(Resultados!AP114),ABS(Resultados!BJ114),ABS(Resultados!BT114),ABS(Resultados!CN114),ABS(Resultados!CX114),ABS(Resultados!DH114)))</f>
        <v/>
      </c>
      <c r="C114">
        <f>IF(COUNT(Resultados!C114,Resultados!M114,Resultados!W114,Resultados!AQ114,Resultados!BK114,Resultados!BU114,Resultados!CO114,Resultados!CY114,Resultados!DI114)=0, "", AVERAGE(ABS(Resultados!C114),ABS(Resultados!M114),ABS(Resultados!W114),ABS(Resultados!AQ114),ABS(Resultados!BK114),ABS(Resultados!BU114),ABS(Resultados!CO114),ABS(Resultados!CY114),ABS(Resultados!DI114)))</f>
        <v>3.6666666666666665</v>
      </c>
      <c r="D114">
        <f>IF(COUNT(Resultados!D114,Resultados!N114,Resultados!X114,Resultados!AR114,Resultados!BL114,Resultados!BV114,Resultados!CP114,Resultados!CZ114,Resultados!DJ114)=0, "", AVERAGE(ABS(Resultados!D114),ABS(Resultados!N114),ABS(Resultados!X114),ABS(Resultados!AR114),ABS(Resultados!BL114),ABS(Resultados!BV114),ABS(Resultados!CP114),ABS(Resultados!CZ114),ABS(Resultados!DJ114)))</f>
        <v>1.44E-2</v>
      </c>
      <c r="E114">
        <f>IF(COUNT(Resultados!E114,Resultados!O114,Resultados!Y114,Resultados!AS114,Resultados!BM114,Resultados!BW114,Resultados!CQ114,Resultados!DA114,Resultados!DK114)=0, "", AVERAGE(ABS(Resultados!E114),ABS(Resultados!O114),ABS(Resultados!Y114),ABS(Resultados!AS114),ABS(Resultados!BM114),ABS(Resultados!BW114),ABS(Resultados!CQ114),ABS(Resultados!DA114),ABS(Resultados!DK114)))</f>
        <v>6.6586342925709046</v>
      </c>
      <c r="F114">
        <f>IF(COUNT(Resultados!F114,Resultados!P114,Resultados!Z114,Resultados!AT114,Resultados!BN114,Resultados!BX114,Resultados!CR114,Resultados!DB114,Resultados!DL114)=0, "", AVERAGE(ABS(Resultados!F114),ABS(Resultados!P114),ABS(Resultados!Z114),ABS(Resultados!AT114),ABS(Resultados!BN114),ABS(Resultados!BX114),ABS(Resultados!CR114),ABS(Resultados!DB114),ABS(Resultados!DL114)))</f>
        <v>668.58471606760816</v>
      </c>
      <c r="G114">
        <f>IF(COUNT(Resultados!G114,Resultados!Q114,Resultados!AA114,Resultados!AU114,Resultados!BO114,Resultados!BY114,Resultados!CS114,Resultados!DC114,Resultados!DM114)=0, "", AVERAGE(ABS(Resultados!G114),ABS(Resultados!Q114),ABS(Resultados!AA114),ABS(Resultados!AU114),ABS(Resultados!BO114),ABS(Resultados!BY114),ABS(Resultados!CS114),ABS(Resultados!DC114),ABS(Resultados!DM114)))</f>
        <v>0.42399999999999999</v>
      </c>
      <c r="H114">
        <f>IF(COUNT(Resultados!H114,Resultados!R114,Resultados!AB114,Resultados!AV114,Resultados!BP114,Resultados!BZ114,Resultados!CT114,Resultados!DD114,Resultados!DN114)=0, "", AVERAGE(ABS(Resultados!H114),ABS(Resultados!R114),ABS(Resultados!AB114),ABS(Resultados!AV114),ABS(Resultados!BP114),ABS(Resultados!BZ114),ABS(Resultados!CT114),ABS(Resultados!DD114),ABS(Resultados!DN114)))</f>
        <v>1.0288888888888889E-2</v>
      </c>
      <c r="I114">
        <f>IF(COUNT(Resultados!I114,Resultados!S114,Resultados!AC114,Resultados!AW114,Resultados!BQ114,Resultados!CA114,Resultados!CU114,Resultados!DE114,Resultados!DO114)=0, "", AVERAGE(ABS(Resultados!I114),ABS(Resultados!S114),ABS(Resultados!AC114),ABS(Resultados!AW114),ABS(Resultados!BQ114),ABS(Resultados!CA114),ABS(Resultados!CU114),ABS(Resultados!DE114),ABS(Resultados!DO114)))</f>
        <v>22.489108888888893</v>
      </c>
      <c r="J114">
        <f>IF(COUNT(Resultados!J114,Resultados!T114,Resultados!AD114,Resultados!AX114,Resultados!BR114,Resultados!CB114,Resultados!CV114,Resultados!DF114,Resultados!DP114)=0, "", AVERAGE(ABS(Resultados!J114),ABS(Resultados!T114),ABS(Resultados!AD114),ABS(Resultados!AX114),ABS(Resultados!BR114),ABS(Resultados!CB114),ABS(Resultados!CV114),ABS(Resultados!DF114),ABS(Resultados!DP114)))</f>
        <v>1.0288888888888889E-2</v>
      </c>
      <c r="K114">
        <v>1.44E-2</v>
      </c>
    </row>
    <row r="115" spans="1:11" x14ac:dyDescent="0.3">
      <c r="A115">
        <f>IF(COUNT(Resultados!A115,Resultados!U115,Resultados!AO115,Resultados!BI115,Resultados!BS115,Resultados!CM115,Resultados!DG115)=0, "", AVERAGE(ABS(Resultados!A115),ABS(Resultados!U115),ABS(Resultados!AO115),ABS(Resultados!BI115),ABS(Resultados!BS115),ABS(Resultados!CM115),ABS(Resultados!DG115)))</f>
        <v>45681</v>
      </c>
      <c r="B115" t="str">
        <f>IF(COUNT(Resultados!B115,Resultados!V115,Resultados!AP115,Resultados!BJ115,Resultados!BT115,Resultados!CN115,Resultados!DH115)=0, "", AVERAGE(ABS(Resultados!B115),ABS(Resultados!V115),ABS(Resultados!AP115),ABS(Resultados!BJ115),ABS(Resultados!BT115),ABS(Resultados!CN115),ABS(Resultados!DH115)))</f>
        <v/>
      </c>
      <c r="C115">
        <f>IF(COUNT(Resultados!C115,Resultados!W115,Resultados!AQ115,Resultados!BK115,Resultados!BU115,Resultados!CO115,Resultados!DI115)=0, "", AVERAGE(ABS(Resultados!C115),ABS(Resultados!W115),ABS(Resultados!AQ115),ABS(Resultados!BK115),ABS(Resultados!BU115),ABS(Resultados!CO115),ABS(Resultados!DI115)))</f>
        <v>3.7142857142857144</v>
      </c>
      <c r="D115">
        <f>IF(COUNT(Resultados!D115,Resultados!X115,Resultados!AR115,Resultados!BL115,Resultados!BV115,Resultados!CP115,Resultados!DJ115)=0, "", AVERAGE(ABS(Resultados!D115),ABS(Resultados!X115),ABS(Resultados!AR115),ABS(Resultados!BL115),ABS(Resultados!BV115),ABS(Resultados!CP115),ABS(Resultados!DJ115)))</f>
        <v>1.4200000000000001E-2</v>
      </c>
      <c r="E115">
        <f>IF(COUNT(Resultados!E115,Resultados!Y115,Resultados!AS115,Resultados!BM115,Resultados!BW115,Resultados!CQ115,Resultados!DK115)=0, "", AVERAGE(ABS(Resultados!E115),ABS(Resultados!Y115),ABS(Resultados!AS115),ABS(Resultados!BM115),ABS(Resultados!BW115),ABS(Resultados!CQ115),ABS(Resultados!DK115)))</f>
        <v>6.6536034792447802</v>
      </c>
      <c r="F115">
        <f>IF(COUNT(Resultados!F115,Resultados!Z115,Resultados!AT115,Resultados!BN115,Resultados!BX115,Resultados!CR115,Resultados!DL115)=0, "", AVERAGE(ABS(Resultados!F115),ABS(Resultados!Z115),ABS(Resultados!AT115),ABS(Resultados!BN115),ABS(Resultados!BX115),ABS(Resultados!CR115),ABS(Resultados!DL115)))</f>
        <v>668.11584426561342</v>
      </c>
      <c r="G115">
        <f>IF(COUNT(Resultados!G115,Resultados!AA115,Resultados!AU115,Resultados!BO115,Resultados!BY115,Resultados!CS115,Resultados!DM115)=0, "", AVERAGE(ABS(Resultados!G115),ABS(Resultados!AA115),ABS(Resultados!AU115),ABS(Resultados!BO115),ABS(Resultados!BY115),ABS(Resultados!CS115),ABS(Resultados!DM115)))</f>
        <v>0.42399999999999999</v>
      </c>
      <c r="H115">
        <f>IF(COUNT(Resultados!H115,Resultados!AB115,Resultados!AV115,Resultados!BP115,Resultados!BZ115,Resultados!CT115,Resultados!DN115)=0, "", AVERAGE(ABS(Resultados!H115),ABS(Resultados!AB115),ABS(Resultados!AV115),ABS(Resultados!BP115),ABS(Resultados!BZ115),ABS(Resultados!CT115),ABS(Resultados!DN115)))</f>
        <v>1.0228571428571429E-2</v>
      </c>
      <c r="I115">
        <f>IF(COUNT(Resultados!I115,Resultados!AC115,Resultados!AW115,Resultados!BQ115,Resultados!CA115,Resultados!CU115,Resultados!DO115)=0, "", AVERAGE(ABS(Resultados!I115),ABS(Resultados!AC115),ABS(Resultados!AW115),ABS(Resultados!BQ115),ABS(Resultados!CA115),ABS(Resultados!CU115),ABS(Resultados!DO115)))</f>
        <v>22.600258571428583</v>
      </c>
      <c r="J115">
        <f>IF(COUNT(Resultados!J115,Resultados!AD115,Resultados!AX115,Resultados!BR115,Resultados!CB115,Resultados!CV115,Resultados!DP115)=0, "", AVERAGE(ABS(Resultados!J115),ABS(Resultados!AD115),ABS(Resultados!AX115),ABS(Resultados!BR115),ABS(Resultados!CB115),ABS(Resultados!CV115),ABS(Resultados!DP115)))</f>
        <v>1.0228571428571429E-2</v>
      </c>
      <c r="K115">
        <v>1.4200000000000001E-2</v>
      </c>
    </row>
    <row r="116" spans="1:11" x14ac:dyDescent="0.3">
      <c r="A116">
        <f>IF(COUNT(Resultados!A116,Resultados!U116,Resultados!AO116,Resultados!BI116,Resultados!BS116,Resultados!CM116,Resultados!DG116)=0, "", AVERAGE(ABS(Resultados!A116),ABS(Resultados!U116),ABS(Resultados!AO116),ABS(Resultados!BI116),ABS(Resultados!BS116),ABS(Resultados!CM116),ABS(Resultados!DG116)))</f>
        <v>45681</v>
      </c>
      <c r="B116" t="str">
        <f>IF(COUNT(Resultados!B116,Resultados!V116,Resultados!AP116,Resultados!BJ116,Resultados!BT116,Resultados!CN116,Resultados!DH116)=0, "", AVERAGE(ABS(Resultados!B116),ABS(Resultados!V116),ABS(Resultados!AP116),ABS(Resultados!BJ116),ABS(Resultados!BT116),ABS(Resultados!CN116),ABS(Resultados!DH116)))</f>
        <v/>
      </c>
      <c r="C116">
        <f>IF(COUNT(Resultados!C116,Resultados!W116,Resultados!AQ116,Resultados!BK116,Resultados!BU116,Resultados!CO116,Resultados!DI116)=0, "", AVERAGE(ABS(Resultados!C116),ABS(Resultados!W116),ABS(Resultados!AQ116),ABS(Resultados!BK116),ABS(Resultados!BU116),ABS(Resultados!CO116),ABS(Resultados!DI116)))</f>
        <v>3.7142857142857144</v>
      </c>
      <c r="D116">
        <f>IF(COUNT(Resultados!D116,Resultados!X116,Resultados!AR116,Resultados!BL116,Resultados!BV116,Resultados!CP116,Resultados!DJ116)=0, "", AVERAGE(ABS(Resultados!D116),ABS(Resultados!X116),ABS(Resultados!AR116),ABS(Resultados!BL116),ABS(Resultados!BV116),ABS(Resultados!CP116),ABS(Resultados!DJ116)))</f>
        <v>1.3057142857142856E-2</v>
      </c>
      <c r="E116">
        <f>IF(COUNT(Resultados!E116,Resultados!Y116,Resultados!AS116,Resultados!BM116,Resultados!BW116,Resultados!CQ116,Resultados!DK116)=0, "", AVERAGE(ABS(Resultados!E116),ABS(Resultados!Y116),ABS(Resultados!AS116),ABS(Resultados!BM116),ABS(Resultados!BW116),ABS(Resultados!CQ116),ABS(Resultados!DK116)))</f>
        <v>6.5653032972914236</v>
      </c>
      <c r="F116">
        <f>IF(COUNT(Resultados!F116,Resultados!Z116,Resultados!AT116,Resultados!BN116,Resultados!BX116,Resultados!CR116,Resultados!DL116)=0, "", AVERAGE(ABS(Resultados!F116),ABS(Resultados!Z116),ABS(Resultados!AT116),ABS(Resultados!BN116),ABS(Resultados!BX116),ABS(Resultados!CR116),ABS(Resultados!DL116)))</f>
        <v>659.88626730756073</v>
      </c>
      <c r="G116">
        <f>IF(COUNT(Resultados!G116,Resultados!AA116,Resultados!AU116,Resultados!BO116,Resultados!BY116,Resultados!CS116,Resultados!DM116)=0, "", AVERAGE(ABS(Resultados!G116),ABS(Resultados!AA116),ABS(Resultados!AU116),ABS(Resultados!BO116),ABS(Resultados!BY116),ABS(Resultados!CS116),ABS(Resultados!DM116)))</f>
        <v>0.42399999999999999</v>
      </c>
      <c r="H116">
        <f>IF(COUNT(Resultados!H116,Resultados!AB116,Resultados!AV116,Resultados!BP116,Resultados!BZ116,Resultados!CT116,Resultados!DN116)=0, "", AVERAGE(ABS(Resultados!H116),ABS(Resultados!AB116),ABS(Resultados!AV116),ABS(Resultados!BP116),ABS(Resultados!BZ116),ABS(Resultados!CT116),ABS(Resultados!DN116)))</f>
        <v>8.8571428571428568E-3</v>
      </c>
      <c r="I116">
        <f>IF(COUNT(Resultados!I116,Resultados!AC116,Resultados!AW116,Resultados!BQ116,Resultados!CA116,Resultados!CU116,Resultados!DO116)=0, "", AVERAGE(ABS(Resultados!I116),ABS(Resultados!AC116),ABS(Resultados!AW116),ABS(Resultados!BQ116),ABS(Resultados!CA116),ABS(Resultados!CU116),ABS(Resultados!DO116)))</f>
        <v>22.801811428571423</v>
      </c>
      <c r="J116">
        <f>IF(COUNT(Resultados!J116,Resultados!AD116,Resultados!AX116,Resultados!BR116,Resultados!CB116,Resultados!CV116,Resultados!DP116)=0, "", AVERAGE(ABS(Resultados!J116),ABS(Resultados!AD116),ABS(Resultados!AX116),ABS(Resultados!BR116),ABS(Resultados!CB116),ABS(Resultados!CV116),ABS(Resultados!DP116)))</f>
        <v>8.8571428571428568E-3</v>
      </c>
      <c r="K116">
        <v>1.3057142857142856E-2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J116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</row>
    <row r="2" spans="1:10" x14ac:dyDescent="0.3">
      <c r="A2">
        <f>IF(COUNT(Resultados!A2,Resultados!K2,Resultados!U2,Resultados!AE2,Resultados!AO2,Resultados!AY2,Resultados!BI2,Resultados!BS2,Resultados!CC2,Resultados!CM2,Resultados!CW2,Resultados!DG2)&lt;=1, "", _xlfn.STDEV.S(ABS(Resultados!A2),ABS(Resultados!K2),ABS(Resultados!U2),ABS(Resultados!AE2),ABS(Resultados!AO2),ABS(Resultados!AY2),ABS(Resultados!BI2),ABS(Resultados!BS2),ABS(Resultados!CC2),ABS(Resultados!CM2),ABS(Resultados!CW2),ABS(Resultados!DG2))/SQRT(COUNT(Resultados!A2,Resultados!K2,Resultados!U2,Resultados!AE2,Resultados!AO2,Resultados!AY2,Resultados!BI2,Resultados!BS2,Resultados!CC2,Resultados!CM2,Resultados!CW2,Resultados!DG2)))</f>
        <v>0</v>
      </c>
      <c r="B2" t="str">
        <f>IF(COUNT(Resultados!B2,Resultados!L2,Resultados!V2,Resultados!AF2,Resultados!AP2,Resultados!AZ2,Resultados!BJ2,Resultados!BT2,Resultados!CD2,Resultados!CN2,Resultados!CX2,Resultados!DH2)&lt;=1, "", _xlfn.STDEV.S(ABS(Resultados!B2),ABS(Resultados!L2),ABS(Resultados!V2),ABS(Resultados!AF2),ABS(Resultados!AP2),ABS(Resultados!AZ2),ABS(Resultados!BJ2),ABS(Resultados!BT2),ABS(Resultados!CD2),ABS(Resultados!CN2),ABS(Resultados!CX2),ABS(Resultados!DH2))/SQRT(COUNT(Resultados!B2,Resultados!L2,Resultados!V2,Resultados!AF2,Resultados!AP2,Resultados!AZ2,Resultados!BJ2,Resultados!BT2,Resultados!CD2,Resultados!CN2,Resultados!CX2,Resultados!DH2)))</f>
        <v/>
      </c>
      <c r="C2">
        <f>IF(COUNT(Resultados!C2,Resultados!M2,Resultados!W2,Resultados!AG2,Resultados!AQ2,Resultados!BA2,Resultados!BK2,Resultados!BU2,Resultados!CE2,Resultados!CO2,Resultados!CY2,Resultados!DI2)&lt;=1, "", _xlfn.STDEV.S(ABS(Resultados!C2),ABS(Resultados!M2),ABS(Resultados!W2),ABS(Resultados!AG2),ABS(Resultados!AQ2),ABS(Resultados!BA2),ABS(Resultados!BK2),ABS(Resultados!BU2),ABS(Resultados!CE2),ABS(Resultados!CO2),ABS(Resultados!CY2),ABS(Resultados!DI2))/SQRT(COUNT(Resultados!C2,Resultados!M2,Resultados!W2,Resultados!AG2,Resultados!AQ2,Resultados!BA2,Resultados!BK2,Resultados!BU2,Resultados!CE2,Resultados!CO2,Resultados!CY2,Resultados!DI2)))</f>
        <v>0.44946657497549469</v>
      </c>
      <c r="D2">
        <f>IF(COUNT(Resultados!D2,Resultados!N2,Resultados!X2,Resultados!AH2,Resultados!AR2,Resultados!BB2,Resultados!BL2,Resultados!BV2,Resultados!CF2,Resultados!CP2,Resultados!CZ2,Resultados!DJ2)&lt;=1, "", _xlfn.STDEV.S(ABS(Resultados!D2),ABS(Resultados!N2),ABS(Resultados!X2),ABS(Resultados!AH2),ABS(Resultados!AR2),ABS(Resultados!BB2),ABS(Resultados!BL2),ABS(Resultados!BV2),ABS(Resultados!CF2),ABS(Resultados!CP2),ABS(Resultados!CZ2),ABS(Resultados!DJ2))/SQRT(COUNT(Resultados!D2,Resultados!N2,Resultados!X2,Resultados!AH2,Resultados!AR2,Resultados!BB2,Resultados!BL2,Resultados!BV2,Resultados!CF2,Resultados!CP2,Resultados!CZ2,Resultados!DJ2)))</f>
        <v>3.929540415721396E-4</v>
      </c>
      <c r="E2">
        <f>IF(COUNT(Resultados!E2,Resultados!O2,Resultados!Y2,Resultados!AI2,Resultados!AS2,Resultados!BC2,Resultados!BM2,Resultados!BW2,Resultados!CG2,Resultados!CQ2,Resultados!DA2,Resultados!DK2)&lt;=1, "", _xlfn.STDEV.S(ABS(Resultados!E2),ABS(Resultados!O2),ABS(Resultados!Y2),ABS(Resultados!AI2),ABS(Resultados!AS2),ABS(Resultados!BC2),ABS(Resultados!BM2),ABS(Resultados!BW2),ABS(Resultados!CG2),ABS(Resultados!CQ2),ABS(Resultados!DA2),ABS(Resultados!DK2))/SQRT(COUNT(Resultados!E2,Resultados!O2,Resultados!Y2,Resultados!AI2,Resultados!AS2,Resultados!BC2,Resultados!BM2,Resultados!BW2,Resultados!CG2,Resultados!CQ2,Resultados!DA2,Resultados!DK2)))</f>
        <v>1.8716566497500801E-6</v>
      </c>
      <c r="F2">
        <f>IF(COUNT(Resultados!F2,Resultados!P2,Resultados!Z2,Resultados!AJ2,Resultados!AT2,Resultados!BD2,Resultados!BN2,Resultados!BX2,Resultados!CH2,Resultados!CR2,Resultados!DB2,Resultados!DL2)&lt;=1, "", _xlfn.STDEV.S(ABS(Resultados!F2),ABS(Resultados!P2),ABS(Resultados!Z2),ABS(Resultados!AJ2),ABS(Resultados!AT2),ABS(Resultados!BD2),ABS(Resultados!BN2),ABS(Resultados!BX2),ABS(Resultados!CH2),ABS(Resultados!CR2),ABS(Resultados!DB2),ABS(Resultados!DL2))/SQRT(COUNT(Resultados!F2,Resultados!P2,Resultados!Z2,Resultados!AJ2,Resultados!AT2,Resultados!BD2,Resultados!BN2,Resultados!BX2,Resultados!CH2,Resultados!CR2,Resultados!DB2,Resultados!DL2)))</f>
        <v>1.7443839975455347E-4</v>
      </c>
      <c r="G2">
        <f>IF(COUNT(Resultados!G2,Resultados!Q2,Resultados!AA2,Resultados!AK2,Resultados!AU2,Resultados!BE2,Resultados!BO2,Resultados!BY2,Resultados!CI2,Resultados!CS2,Resultados!DC2,Resultados!DM2)&lt;=1, "", _xlfn.STDEV.S(ABS(Resultados!G2),ABS(Resultados!Q2),ABS(Resultados!AA2),ABS(Resultados!AK2),ABS(Resultados!AU2),ABS(Resultados!BE2),ABS(Resultados!BO2),ABS(Resultados!BY2),ABS(Resultados!CI2),ABS(Resultados!CS2),ABS(Resultados!DC2),ABS(Resultados!DM2))/SQRT(COUNT(Resultados!G2,Resultados!Q2,Resultados!AA2,Resultados!AK2,Resultados!AU2,Resultados!BE2,Resultados!BO2,Resultados!BY2,Resultados!CI2,Resultados!CS2,Resultados!DC2,Resultados!DM2)))</f>
        <v>3.3474483693592253E-17</v>
      </c>
      <c r="H2">
        <f>IF(COUNT(Resultados!H2,Resultados!R2,Resultados!AB2,Resultados!AL2,Resultados!AV2,Resultados!BF2,Resultados!BP2,Resultados!BZ2,Resultados!CJ2,Resultados!CT2,Resultados!DD2,Resultados!DN2)&lt;=1, "", _xlfn.STDEV.S(ABS(Resultados!H2),ABS(Resultados!R2),ABS(Resultados!AB2),ABS(Resultados!AL2),ABS(Resultados!AV2),ABS(Resultados!BF2),ABS(Resultados!BP2),ABS(Resultados!BZ2),ABS(Resultados!CJ2),ABS(Resultados!CT2),ABS(Resultados!DD2),ABS(Resultados!DN2))/SQRT(COUNT(Resultados!H2,Resultados!R2,Resultados!AB2,Resultados!AL2,Resultados!AV2,Resultados!BF2,Resultados!BP2,Resultados!BZ2,Resultados!CJ2,Resultados!CT2,Resultados!DD2,Resultados!DN2)))</f>
        <v>0</v>
      </c>
      <c r="I2">
        <f>IF(COUNT(Resultados!I2,Resultados!S2,Resultados!AC2,Resultados!AM2,Resultados!AW2,Resultados!BG2,Resultados!BQ2,Resultados!CA2,Resultados!CK2,Resultados!CU2,Resultados!DE2,Resultados!DO2)&lt;=1, "", _xlfn.STDEV.S(ABS(Resultados!I2),ABS(Resultados!S2),ABS(Resultados!AC2),ABS(Resultados!AM2),ABS(Resultados!AW2),ABS(Resultados!BG2),ABS(Resultados!BQ2),ABS(Resultados!CA2),ABS(Resultados!CK2),ABS(Resultados!CU2),ABS(Resultados!DE2),ABS(Resultados!DO2))/SQRT(COUNT(Resultados!I2,Resultados!S2,Resultados!AC2,Resultados!AM2,Resultados!AW2,Resultados!BG2,Resultados!BQ2,Resultados!CA2,Resultados!CK2,Resultados!CU2,Resultados!DE2,Resultados!DO2)))</f>
        <v>0</v>
      </c>
      <c r="J2">
        <f>IF(COUNT(Resultados!J2,Resultados!T2,Resultados!AD2,Resultados!AN2,Resultados!AX2,Resultados!BH2,Resultados!BR2,Resultados!CB2,Resultados!CL2,Resultados!CV2,Resultados!DF2,Resultados!DP2)&lt;=1, "", _xlfn.STDEV.S(ABS(Resultados!J2),ABS(Resultados!T2),ABS(Resultados!AD2),ABS(Resultados!AN2),ABS(Resultados!AX2),ABS(Resultados!BH2),ABS(Resultados!BR2),ABS(Resultados!CB2),ABS(Resultados!CL2),ABS(Resultados!CV2),ABS(Resultados!DF2),ABS(Resultados!DP2))/SQRT(COUNT(Resultados!J2,Resultados!T2,Resultados!AD2,Resultados!AN2,Resultados!AX2,Resultados!BH2,Resultados!BR2,Resultados!CB2,Resultados!CL2,Resultados!CV2,Resultados!DF2,Resultados!DP2)))</f>
        <v>0</v>
      </c>
    </row>
    <row r="3" spans="1:10" x14ac:dyDescent="0.3">
      <c r="A3">
        <f>IF(COUNT(Resultados!A3,Resultados!K3,Resultados!U3,Resultados!AE3,Resultados!AO3,Resultados!AY3,Resultados!BI3,Resultados!BS3,Resultados!CC3,Resultados!CM3,Resultados!CW3,Resultados!DG3)&lt;=1, "", _xlfn.STDEV.S(ABS(Resultados!A3),ABS(Resultados!K3),ABS(Resultados!U3),ABS(Resultados!AE3),ABS(Resultados!AO3),ABS(Resultados!AY3),ABS(Resultados!BI3),ABS(Resultados!BS3),ABS(Resultados!CC3),ABS(Resultados!CM3),ABS(Resultados!CW3),ABS(Resultados!DG3))/SQRT(COUNT(Resultados!A3,Resultados!K3,Resultados!U3,Resultados!AE3,Resultados!AO3,Resultados!AY3,Resultados!BI3,Resultados!BS3,Resultados!CC3,Resultados!CM3,Resultados!CW3,Resultados!DG3)))</f>
        <v>0</v>
      </c>
      <c r="B3" t="str">
        <f>IF(COUNT(Resultados!B3,Resultados!L3,Resultados!V3,Resultados!AF3,Resultados!AP3,Resultados!AZ3,Resultados!BJ3,Resultados!BT3,Resultados!CD3,Resultados!CN3,Resultados!CX3,Resultados!DH3)&lt;=1, "", _xlfn.STDEV.S(ABS(Resultados!B3),ABS(Resultados!L3),ABS(Resultados!V3),ABS(Resultados!AF3),ABS(Resultados!AP3),ABS(Resultados!AZ3),ABS(Resultados!BJ3),ABS(Resultados!BT3),ABS(Resultados!CD3),ABS(Resultados!CN3),ABS(Resultados!CX3),ABS(Resultados!DH3))/SQRT(COUNT(Resultados!B3,Resultados!L3,Resultados!V3,Resultados!AF3,Resultados!AP3,Resultados!AZ3,Resultados!BJ3,Resultados!BT3,Resultados!CD3,Resultados!CN3,Resultados!CX3,Resultados!DH3)))</f>
        <v/>
      </c>
      <c r="C3">
        <f>IF(COUNT(Resultados!C3,Resultados!M3,Resultados!W3,Resultados!AG3,Resultados!AQ3,Resultados!BA3,Resultados!BK3,Resultados!BU3,Resultados!CE3,Resultados!CO3,Resultados!CY3,Resultados!DI3)&lt;=1, "", _xlfn.STDEV.S(ABS(Resultados!C3),ABS(Resultados!M3),ABS(Resultados!W3),ABS(Resultados!AG3),ABS(Resultados!AQ3),ABS(Resultados!BA3),ABS(Resultados!BK3),ABS(Resultados!BU3),ABS(Resultados!CE3),ABS(Resultados!CO3),ABS(Resultados!CY3),ABS(Resultados!DI3))/SQRT(COUNT(Resultados!C3,Resultados!M3,Resultados!W3,Resultados!AG3,Resultados!AQ3,Resultados!BA3,Resultados!BK3,Resultados!BU3,Resultados!CE3,Resultados!CO3,Resultados!CY3,Resultados!DI3)))</f>
        <v>0.44946657497549469</v>
      </c>
      <c r="D3">
        <f>IF(COUNT(Resultados!D3,Resultados!N3,Resultados!X3,Resultados!AH3,Resultados!AR3,Resultados!BB3,Resultados!BL3,Resultados!BV3,Resultados!CF3,Resultados!CP3,Resultados!CZ3,Resultados!DJ3)&lt;=1, "", _xlfn.STDEV.S(ABS(Resultados!D3),ABS(Resultados!N3),ABS(Resultados!X3),ABS(Resultados!AH3),ABS(Resultados!AR3),ABS(Resultados!BB3),ABS(Resultados!BL3),ABS(Resultados!BV3),ABS(Resultados!CF3),ABS(Resultados!CP3),ABS(Resultados!CZ3),ABS(Resultados!DJ3))/SQRT(COUNT(Resultados!D3,Resultados!N3,Resultados!X3,Resultados!AH3,Resultados!AR3,Resultados!BB3,Resultados!BL3,Resultados!BV3,Resultados!CF3,Resultados!CP3,Resultados!CZ3,Resultados!DJ3)))</f>
        <v>3.2683050931359186E-4</v>
      </c>
      <c r="E3">
        <f>IF(COUNT(Resultados!E3,Resultados!O3,Resultados!Y3,Resultados!AI3,Resultados!AS3,Resultados!BC3,Resultados!BM3,Resultados!BW3,Resultados!CG3,Resultados!CQ3,Resultados!DA3,Resultados!DK3)&lt;=1, "", _xlfn.STDEV.S(ABS(Resultados!E3),ABS(Resultados!O3),ABS(Resultados!Y3),ABS(Resultados!AI3),ABS(Resultados!AS3),ABS(Resultados!BC3),ABS(Resultados!BM3),ABS(Resultados!BW3),ABS(Resultados!CG3),ABS(Resultados!CQ3),ABS(Resultados!DA3),ABS(Resultados!DK3))/SQRT(COUNT(Resultados!E3,Resultados!O3,Resultados!Y3,Resultados!AI3,Resultados!AS3,Resultados!BC3,Resultados!BM3,Resultados!BW3,Resultados!CG3,Resultados!CQ3,Resultados!DA3,Resultados!DK3)))</f>
        <v>4.9688325512804499E-2</v>
      </c>
      <c r="F3">
        <f>IF(COUNT(Resultados!F3,Resultados!P3,Resultados!Z3,Resultados!AJ3,Resultados!AT3,Resultados!BD3,Resultados!BN3,Resultados!BX3,Resultados!CH3,Resultados!CR3,Resultados!DB3,Resultados!DL3)&lt;=1, "", _xlfn.STDEV.S(ABS(Resultados!F3),ABS(Resultados!P3),ABS(Resultados!Z3),ABS(Resultados!AJ3),ABS(Resultados!AT3),ABS(Resultados!BD3),ABS(Resultados!BN3),ABS(Resultados!BX3),ABS(Resultados!CH3),ABS(Resultados!CR3),ABS(Resultados!DB3),ABS(Resultados!DL3))/SQRT(COUNT(Resultados!F3,Resultados!P3,Resultados!Z3,Resultados!AJ3,Resultados!AT3,Resultados!BD3,Resultados!BN3,Resultados!BX3,Resultados!CH3,Resultados!CR3,Resultados!DB3,Resultados!DL3)))</f>
        <v>4.7154220911651494</v>
      </c>
      <c r="G3">
        <f>IF(COUNT(Resultados!G3,Resultados!Q3,Resultados!AA3,Resultados!AK3,Resultados!AU3,Resultados!BE3,Resultados!BO3,Resultados!BY3,Resultados!CI3,Resultados!CS3,Resultados!DC3,Resultados!DM3)&lt;=1, "", _xlfn.STDEV.S(ABS(Resultados!G3),ABS(Resultados!Q3),ABS(Resultados!AA3),ABS(Resultados!AK3),ABS(Resultados!AU3),ABS(Resultados!BE3),ABS(Resultados!BO3),ABS(Resultados!BY3),ABS(Resultados!CI3),ABS(Resultados!CS3),ABS(Resultados!DC3),ABS(Resultados!DM3))/SQRT(COUNT(Resultados!G3,Resultados!Q3,Resultados!AA3,Resultados!AK3,Resultados!AU3,Resultados!BE3,Resultados!BO3,Resultados!BY3,Resultados!CI3,Resultados!CS3,Resultados!DC3,Resultados!DM3)))</f>
        <v>3.3474483693592253E-17</v>
      </c>
      <c r="H3">
        <f>IF(COUNT(Resultados!H3,Resultados!R3,Resultados!AB3,Resultados!AL3,Resultados!AV3,Resultados!BF3,Resultados!BP3,Resultados!BZ3,Resultados!CJ3,Resultados!CT3,Resultados!DD3,Resultados!DN3)&lt;=1, "", _xlfn.STDEV.S(ABS(Resultados!H3),ABS(Resultados!R3),ABS(Resultados!AB3),ABS(Resultados!AL3),ABS(Resultados!AV3),ABS(Resultados!BF3),ABS(Resultados!BP3),ABS(Resultados!BZ3),ABS(Resultados!CJ3),ABS(Resultados!CT3),ABS(Resultados!DD3),ABS(Resultados!DN3))/SQRT(COUNT(Resultados!H3,Resultados!R3,Resultados!AB3,Resultados!AL3,Resultados!AV3,Resultados!BF3,Resultados!BP3,Resultados!BZ3,Resultados!CJ3,Resultados!CT3,Resultados!DD3,Resultados!DN3)))</f>
        <v>7.7726534345834181E-4</v>
      </c>
      <c r="I3">
        <f>IF(COUNT(Resultados!I3,Resultados!S3,Resultados!AC3,Resultados!AM3,Resultados!AW3,Resultados!BG3,Resultados!BQ3,Resultados!CA3,Resultados!CK3,Resultados!CU3,Resultados!DE3,Resultados!DO3)&lt;=1, "", _xlfn.STDEV.S(ABS(Resultados!I3),ABS(Resultados!S3),ABS(Resultados!AC3),ABS(Resultados!AM3),ABS(Resultados!AW3),ABS(Resultados!BG3),ABS(Resultados!BQ3),ABS(Resultados!CA3),ABS(Resultados!CK3),ABS(Resultados!CU3),ABS(Resultados!DE3),ABS(Resultados!DO3))/SQRT(COUNT(Resultados!I3,Resultados!S3,Resultados!AC3,Resultados!AM3,Resultados!AW3,Resultados!BG3,Resultados!BQ3,Resultados!CA3,Resultados!CK3,Resultados!CU3,Resultados!DE3,Resultados!DO3)))</f>
        <v>8.6489836356377263E-4</v>
      </c>
      <c r="J3">
        <f>IF(COUNT(Resultados!J3,Resultados!T3,Resultados!AD3,Resultados!AN3,Resultados!AX3,Resultados!BH3,Resultados!BR3,Resultados!CB3,Resultados!CL3,Resultados!CV3,Resultados!DF3,Resultados!DP3)&lt;=1, "", _xlfn.STDEV.S(ABS(Resultados!J3),ABS(Resultados!T3),ABS(Resultados!AD3),ABS(Resultados!AN3),ABS(Resultados!AX3),ABS(Resultados!BH3),ABS(Resultados!BR3),ABS(Resultados!CB3),ABS(Resultados!CL3),ABS(Resultados!CV3),ABS(Resultados!DF3),ABS(Resultados!DP3))/SQRT(COUNT(Resultados!J3,Resultados!T3,Resultados!AD3,Resultados!AN3,Resultados!AX3,Resultados!BH3,Resultados!BR3,Resultados!CB3,Resultados!CL3,Resultados!CV3,Resultados!DF3,Resultados!DP3)))</f>
        <v>7.7726534345834181E-4</v>
      </c>
    </row>
    <row r="4" spans="1:10" x14ac:dyDescent="0.3">
      <c r="A4">
        <f>IF(COUNT(Resultados!A4,Resultados!K4,Resultados!U4,Resultados!AE4,Resultados!AO4,Resultados!AY4,Resultados!BI4,Resultados!BS4,Resultados!CC4,Resultados!CM4,Resultados!CW4,Resultados!DG4)&lt;=1, "", _xlfn.STDEV.S(ABS(Resultados!A4),ABS(Resultados!K4),ABS(Resultados!U4),ABS(Resultados!AE4),ABS(Resultados!AO4),ABS(Resultados!AY4),ABS(Resultados!BI4),ABS(Resultados!BS4),ABS(Resultados!CC4),ABS(Resultados!CM4),ABS(Resultados!CW4),ABS(Resultados!DG4))/SQRT(COUNT(Resultados!A4,Resultados!K4,Resultados!U4,Resultados!AE4,Resultados!AO4,Resultados!AY4,Resultados!BI4,Resultados!BS4,Resultados!CC4,Resultados!CM4,Resultados!CW4,Resultados!DG4)))</f>
        <v>0</v>
      </c>
      <c r="B4" t="str">
        <f>IF(COUNT(Resultados!B4,Resultados!L4,Resultados!V4,Resultados!AF4,Resultados!AP4,Resultados!AZ4,Resultados!BJ4,Resultados!BT4,Resultados!CD4,Resultados!CN4,Resultados!CX4,Resultados!DH4)&lt;=1, "", _xlfn.STDEV.S(ABS(Resultados!B4),ABS(Resultados!L4),ABS(Resultados!V4),ABS(Resultados!AF4),ABS(Resultados!AP4),ABS(Resultados!AZ4),ABS(Resultados!BJ4),ABS(Resultados!BT4),ABS(Resultados!CD4),ABS(Resultados!CN4),ABS(Resultados!CX4),ABS(Resultados!DH4))/SQRT(COUNT(Resultados!B4,Resultados!L4,Resultados!V4,Resultados!AF4,Resultados!AP4,Resultados!AZ4,Resultados!BJ4,Resultados!BT4,Resultados!CD4,Resultados!CN4,Resultados!CX4,Resultados!DH4)))</f>
        <v/>
      </c>
      <c r="C4">
        <f>IF(COUNT(Resultados!C4,Resultados!M4,Resultados!W4,Resultados!AG4,Resultados!AQ4,Resultados!BA4,Resultados!BK4,Resultados!BU4,Resultados!CE4,Resultados!CO4,Resultados!CY4,Resultados!DI4)&lt;=1, "", _xlfn.STDEV.S(ABS(Resultados!C4),ABS(Resultados!M4),ABS(Resultados!W4),ABS(Resultados!AG4),ABS(Resultados!AQ4),ABS(Resultados!BA4),ABS(Resultados!BK4),ABS(Resultados!BU4),ABS(Resultados!CE4),ABS(Resultados!CO4),ABS(Resultados!CY4),ABS(Resultados!DI4))/SQRT(COUNT(Resultados!C4,Resultados!M4,Resultados!W4,Resultados!AG4,Resultados!AQ4,Resultados!BA4,Resultados!BK4,Resultados!BU4,Resultados!CE4,Resultados!CO4,Resultados!CY4,Resultados!DI4)))</f>
        <v>0.44946657497549469</v>
      </c>
      <c r="D4">
        <f>IF(COUNT(Resultados!D4,Resultados!N4,Resultados!X4,Resultados!AH4,Resultados!AR4,Resultados!BB4,Resultados!BL4,Resultados!BV4,Resultados!CF4,Resultados!CP4,Resultados!CZ4,Resultados!DJ4)&lt;=1, "", _xlfn.STDEV.S(ABS(Resultados!D4),ABS(Resultados!N4),ABS(Resultados!X4),ABS(Resultados!AH4),ABS(Resultados!AR4),ABS(Resultados!BB4),ABS(Resultados!BL4),ABS(Resultados!BV4),ABS(Resultados!CF4),ABS(Resultados!CP4),ABS(Resultados!CZ4),ABS(Resultados!DJ4))/SQRT(COUNT(Resultados!D4,Resultados!N4,Resultados!X4,Resultados!AH4,Resultados!AR4,Resultados!BB4,Resultados!BL4,Resultados!BV4,Resultados!CF4,Resultados!CP4,Resultados!CZ4,Resultados!DJ4)))</f>
        <v>3.0719486790746828E-4</v>
      </c>
      <c r="E4">
        <f>IF(COUNT(Resultados!E4,Resultados!O4,Resultados!Y4,Resultados!AI4,Resultados!AS4,Resultados!BC4,Resultados!BM4,Resultados!BW4,Resultados!CG4,Resultados!CQ4,Resultados!DA4,Resultados!DK4)&lt;=1, "", _xlfn.STDEV.S(ABS(Resultados!E4),ABS(Resultados!O4),ABS(Resultados!Y4),ABS(Resultados!AI4),ABS(Resultados!AS4),ABS(Resultados!BC4),ABS(Resultados!BM4),ABS(Resultados!BW4),ABS(Resultados!CG4),ABS(Resultados!CQ4),ABS(Resultados!DA4),ABS(Resultados!DK4))/SQRT(COUNT(Resultados!E4,Resultados!O4,Resultados!Y4,Resultados!AI4,Resultados!AS4,Resultados!BC4,Resultados!BM4,Resultados!BW4,Resultados!CG4,Resultados!CQ4,Resultados!DA4,Resultados!DK4)))</f>
        <v>3.78600595539441E-2</v>
      </c>
      <c r="F4">
        <f>IF(COUNT(Resultados!F4,Resultados!P4,Resultados!Z4,Resultados!AJ4,Resultados!AT4,Resultados!BD4,Resultados!BN4,Resultados!BX4,Resultados!CH4,Resultados!CR4,Resultados!DB4,Resultados!DL4)&lt;=1, "", _xlfn.STDEV.S(ABS(Resultados!F4),ABS(Resultados!P4),ABS(Resultados!Z4),ABS(Resultados!AJ4),ABS(Resultados!AT4),ABS(Resultados!BD4),ABS(Resultados!BN4),ABS(Resultados!BX4),ABS(Resultados!CH4),ABS(Resultados!CR4),ABS(Resultados!DB4),ABS(Resultados!DL4))/SQRT(COUNT(Resultados!F4,Resultados!P4,Resultados!Z4,Resultados!AJ4,Resultados!AT4,Resultados!BD4,Resultados!BN4,Resultados!BX4,Resultados!CH4,Resultados!CR4,Resultados!DB4,Resultados!DL4)))</f>
        <v>13.012289829335177</v>
      </c>
      <c r="G4">
        <f>IF(COUNT(Resultados!G4,Resultados!Q4,Resultados!AA4,Resultados!AK4,Resultados!AU4,Resultados!BE4,Resultados!BO4,Resultados!BY4,Resultados!CI4,Resultados!CS4,Resultados!DC4,Resultados!DM4)&lt;=1, "", _xlfn.STDEV.S(ABS(Resultados!G4),ABS(Resultados!Q4),ABS(Resultados!AA4),ABS(Resultados!AK4),ABS(Resultados!AU4),ABS(Resultados!BE4),ABS(Resultados!BO4),ABS(Resultados!BY4),ABS(Resultados!CI4),ABS(Resultados!CS4),ABS(Resultados!DC4),ABS(Resultados!DM4))/SQRT(COUNT(Resultados!G4,Resultados!Q4,Resultados!AA4,Resultados!AK4,Resultados!AU4,Resultados!BE4,Resultados!BO4,Resultados!BY4,Resultados!CI4,Resultados!CS4,Resultados!DC4,Resultados!DM4)))</f>
        <v>3.3474483693592253E-17</v>
      </c>
      <c r="H4">
        <f>IF(COUNT(Resultados!H4,Resultados!R4,Resultados!AB4,Resultados!AL4,Resultados!AV4,Resultados!BF4,Resultados!BP4,Resultados!BZ4,Resultados!CJ4,Resultados!CT4,Resultados!DD4,Resultados!DN4)&lt;=1, "", _xlfn.STDEV.S(ABS(Resultados!H4),ABS(Resultados!R4),ABS(Resultados!AB4),ABS(Resultados!AL4),ABS(Resultados!AV4),ABS(Resultados!BF4),ABS(Resultados!BP4),ABS(Resultados!BZ4),ABS(Resultados!CJ4),ABS(Resultados!CT4),ABS(Resultados!DD4),ABS(Resultados!DN4))/SQRT(COUNT(Resultados!H4,Resultados!R4,Resultados!AB4,Resultados!AL4,Resultados!AV4,Resultados!BF4,Resultados!BP4,Resultados!BZ4,Resultados!CJ4,Resultados!CT4,Resultados!DD4,Resultados!DN4)))</f>
        <v>5.8676479895519436E-4</v>
      </c>
      <c r="I4">
        <f>IF(COUNT(Resultados!I4,Resultados!S4,Resultados!AC4,Resultados!AM4,Resultados!AW4,Resultados!BG4,Resultados!BQ4,Resultados!CA4,Resultados!CK4,Resultados!CU4,Resultados!DE4,Resultados!DO4)&lt;=1, "", _xlfn.STDEV.S(ABS(Resultados!I4),ABS(Resultados!S4),ABS(Resultados!AC4),ABS(Resultados!AM4),ABS(Resultados!AW4),ABS(Resultados!BG4),ABS(Resultados!BQ4),ABS(Resultados!CA4),ABS(Resultados!CK4),ABS(Resultados!CU4),ABS(Resultados!DE4),ABS(Resultados!DO4))/SQRT(COUNT(Resultados!I4,Resultados!S4,Resultados!AC4,Resultados!AM4,Resultados!AW4,Resultados!BG4,Resultados!BQ4,Resultados!CA4,Resultados!CK4,Resultados!CU4,Resultados!DE4,Resultados!DO4)))</f>
        <v>6.8990461022774418E-4</v>
      </c>
      <c r="J4">
        <f>IF(COUNT(Resultados!J4,Resultados!T4,Resultados!AD4,Resultados!AN4,Resultados!AX4,Resultados!BH4,Resultados!BR4,Resultados!CB4,Resultados!CL4,Resultados!CV4,Resultados!DF4,Resultados!DP4)&lt;=1, "", _xlfn.STDEV.S(ABS(Resultados!J4),ABS(Resultados!T4),ABS(Resultados!AD4),ABS(Resultados!AN4),ABS(Resultados!AX4),ABS(Resultados!BH4),ABS(Resultados!BR4),ABS(Resultados!CB4),ABS(Resultados!CL4),ABS(Resultados!CV4),ABS(Resultados!DF4),ABS(Resultados!DP4))/SQRT(COUNT(Resultados!J4,Resultados!T4,Resultados!AD4,Resultados!AN4,Resultados!AX4,Resultados!BH4,Resultados!BR4,Resultados!CB4,Resultados!CL4,Resultados!CV4,Resultados!DF4,Resultados!DP4)))</f>
        <v>5.8676479895519436E-4</v>
      </c>
    </row>
    <row r="5" spans="1:10" x14ac:dyDescent="0.3">
      <c r="A5">
        <f>IF(COUNT(Resultados!A5,Resultados!K5,Resultados!U5,Resultados!AE5,Resultados!AO5,Resultados!AY5,Resultados!BI5,Resultados!BS5,Resultados!CC5,Resultados!CM5,Resultados!CW5,Resultados!DG5)&lt;=1, "", _xlfn.STDEV.S(ABS(Resultados!A5),ABS(Resultados!K5),ABS(Resultados!U5),ABS(Resultados!AE5),ABS(Resultados!AO5),ABS(Resultados!AY5),ABS(Resultados!BI5),ABS(Resultados!BS5),ABS(Resultados!CC5),ABS(Resultados!CM5),ABS(Resultados!CW5),ABS(Resultados!DG5))/SQRT(COUNT(Resultados!A5,Resultados!K5,Resultados!U5,Resultados!AE5,Resultados!AO5,Resultados!AY5,Resultados!BI5,Resultados!BS5,Resultados!CC5,Resultados!CM5,Resultados!CW5,Resultados!DG5)))</f>
        <v>0</v>
      </c>
      <c r="B5" t="str">
        <f>IF(COUNT(Resultados!B5,Resultados!L5,Resultados!V5,Resultados!AF5,Resultados!AP5,Resultados!AZ5,Resultados!BJ5,Resultados!BT5,Resultados!CD5,Resultados!CN5,Resultados!CX5,Resultados!DH5)&lt;=1, "", _xlfn.STDEV.S(ABS(Resultados!B5),ABS(Resultados!L5),ABS(Resultados!V5),ABS(Resultados!AF5),ABS(Resultados!AP5),ABS(Resultados!AZ5),ABS(Resultados!BJ5),ABS(Resultados!BT5),ABS(Resultados!CD5),ABS(Resultados!CN5),ABS(Resultados!CX5),ABS(Resultados!DH5))/SQRT(COUNT(Resultados!B5,Resultados!L5,Resultados!V5,Resultados!AF5,Resultados!AP5,Resultados!AZ5,Resultados!BJ5,Resultados!BT5,Resultados!CD5,Resultados!CN5,Resultados!CX5,Resultados!DH5)))</f>
        <v/>
      </c>
      <c r="C5">
        <f>IF(COUNT(Resultados!C5,Resultados!M5,Resultados!W5,Resultados!AG5,Resultados!AQ5,Resultados!BA5,Resultados!BK5,Resultados!BU5,Resultados!CE5,Resultados!CO5,Resultados!CY5,Resultados!DI5)&lt;=1, "", _xlfn.STDEV.S(ABS(Resultados!C5),ABS(Resultados!M5),ABS(Resultados!W5),ABS(Resultados!AG5),ABS(Resultados!AQ5),ABS(Resultados!BA5),ABS(Resultados!BK5),ABS(Resultados!BU5),ABS(Resultados!CE5),ABS(Resultados!CO5),ABS(Resultados!CY5),ABS(Resultados!DI5))/SQRT(COUNT(Resultados!C5,Resultados!M5,Resultados!W5,Resultados!AG5,Resultados!AQ5,Resultados!BA5,Resultados!BK5,Resultados!BU5,Resultados!CE5,Resultados!CO5,Resultados!CY5,Resultados!DI5)))</f>
        <v>0.44946657497549469</v>
      </c>
      <c r="D5">
        <f>IF(COUNT(Resultados!D5,Resultados!N5,Resultados!X5,Resultados!AH5,Resultados!AR5,Resultados!BB5,Resultados!BL5,Resultados!BV5,Resultados!CF5,Resultados!CP5,Resultados!CZ5,Resultados!DJ5)&lt;=1, "", _xlfn.STDEV.S(ABS(Resultados!D5),ABS(Resultados!N5),ABS(Resultados!X5),ABS(Resultados!AH5),ABS(Resultados!AR5),ABS(Resultados!BB5),ABS(Resultados!BL5),ABS(Resultados!BV5),ABS(Resultados!CF5),ABS(Resultados!CP5),ABS(Resultados!CZ5),ABS(Resultados!DJ5))/SQRT(COUNT(Resultados!D5,Resultados!N5,Resultados!X5,Resultados!AH5,Resultados!AR5,Resultados!BB5,Resultados!BL5,Resultados!BV5,Resultados!CF5,Resultados!CP5,Resultados!CZ5,Resultados!DJ5)))</f>
        <v>3.0756456167113855E-4</v>
      </c>
      <c r="E5">
        <f>IF(COUNT(Resultados!E5,Resultados!O5,Resultados!Y5,Resultados!AI5,Resultados!AS5,Resultados!BC5,Resultados!BM5,Resultados!BW5,Resultados!CG5,Resultados!CQ5,Resultados!DA5,Resultados!DK5)&lt;=1, "", _xlfn.STDEV.S(ABS(Resultados!E5),ABS(Resultados!O5),ABS(Resultados!Y5),ABS(Resultados!AI5),ABS(Resultados!AS5),ABS(Resultados!BC5),ABS(Resultados!BM5),ABS(Resultados!BW5),ABS(Resultados!CG5),ABS(Resultados!CQ5),ABS(Resultados!DA5),ABS(Resultados!DK5))/SQRT(COUNT(Resultados!E5,Resultados!O5,Resultados!Y5,Resultados!AI5,Resultados!AS5,Resultados!BC5,Resultados!BM5,Resultados!BW5,Resultados!CG5,Resultados!CQ5,Resultados!DA5,Resultados!DK5)))</f>
        <v>2.6820280117723815E-2</v>
      </c>
      <c r="F5">
        <f>IF(COUNT(Resultados!F5,Resultados!P5,Resultados!Z5,Resultados!AJ5,Resultados!AT5,Resultados!BD5,Resultados!BN5,Resultados!BX5,Resultados!CH5,Resultados!CR5,Resultados!DB5,Resultados!DL5)&lt;=1, "", _xlfn.STDEV.S(ABS(Resultados!F5),ABS(Resultados!P5),ABS(Resultados!Z5),ABS(Resultados!AJ5),ABS(Resultados!AT5),ABS(Resultados!BD5),ABS(Resultados!BN5),ABS(Resultados!BX5),ABS(Resultados!CH5),ABS(Resultados!CR5),ABS(Resultados!DB5),ABS(Resultados!DL5))/SQRT(COUNT(Resultados!F5,Resultados!P5,Resultados!Z5,Resultados!AJ5,Resultados!AT5,Resultados!BD5,Resultados!BN5,Resultados!BX5,Resultados!CH5,Resultados!CR5,Resultados!DB5,Resultados!DL5)))</f>
        <v>12.304140410116284</v>
      </c>
      <c r="G5">
        <f>IF(COUNT(Resultados!G5,Resultados!Q5,Resultados!AA5,Resultados!AK5,Resultados!AU5,Resultados!BE5,Resultados!BO5,Resultados!BY5,Resultados!CI5,Resultados!CS5,Resultados!DC5,Resultados!DM5)&lt;=1, "", _xlfn.STDEV.S(ABS(Resultados!G5),ABS(Resultados!Q5),ABS(Resultados!AA5),ABS(Resultados!AK5),ABS(Resultados!AU5),ABS(Resultados!BE5),ABS(Resultados!BO5),ABS(Resultados!BY5),ABS(Resultados!CI5),ABS(Resultados!CS5),ABS(Resultados!DC5),ABS(Resultados!DM5))/SQRT(COUNT(Resultados!G5,Resultados!Q5,Resultados!AA5,Resultados!AK5,Resultados!AU5,Resultados!BE5,Resultados!BO5,Resultados!BY5,Resultados!CI5,Resultados!CS5,Resultados!DC5,Resultados!DM5)))</f>
        <v>3.3474483693592253E-17</v>
      </c>
      <c r="H5">
        <f>IF(COUNT(Resultados!H5,Resultados!R5,Resultados!AB5,Resultados!AL5,Resultados!AV5,Resultados!BF5,Resultados!BP5,Resultados!BZ5,Resultados!CJ5,Resultados!CT5,Resultados!DD5,Resultados!DN5)&lt;=1, "", _xlfn.STDEV.S(ABS(Resultados!H5),ABS(Resultados!R5),ABS(Resultados!AB5),ABS(Resultados!AL5),ABS(Resultados!AV5),ABS(Resultados!BF5),ABS(Resultados!BP5),ABS(Resultados!BZ5),ABS(Resultados!CJ5),ABS(Resultados!CT5),ABS(Resultados!DD5),ABS(Resultados!DN5))/SQRT(COUNT(Resultados!H5,Resultados!R5,Resultados!AB5,Resultados!AL5,Resultados!AV5,Resultados!BF5,Resultados!BP5,Resultados!BZ5,Resultados!CJ5,Resultados!CT5,Resultados!DD5,Resultados!DN5)))</f>
        <v>4.1557432572527882E-4</v>
      </c>
      <c r="I5">
        <f>IF(COUNT(Resultados!I5,Resultados!S5,Resultados!AC5,Resultados!AM5,Resultados!AW5,Resultados!BG5,Resultados!BQ5,Resultados!CA5,Resultados!CK5,Resultados!CU5,Resultados!DE5,Resultados!DO5)&lt;=1, "", _xlfn.STDEV.S(ABS(Resultados!I5),ABS(Resultados!S5),ABS(Resultados!AC5),ABS(Resultados!AM5),ABS(Resultados!AW5),ABS(Resultados!BG5),ABS(Resultados!BQ5),ABS(Resultados!CA5),ABS(Resultados!CK5),ABS(Resultados!CU5),ABS(Resultados!DE5),ABS(Resultados!DO5))/SQRT(COUNT(Resultados!I5,Resultados!S5,Resultados!AC5,Resultados!AM5,Resultados!AW5,Resultados!BG5,Resultados!BQ5,Resultados!CA5,Resultados!CK5,Resultados!CU5,Resultados!DE5,Resultados!DO5)))</f>
        <v>9.6515490461276834E-4</v>
      </c>
      <c r="J5">
        <f>IF(COUNT(Resultados!J5,Resultados!T5,Resultados!AD5,Resultados!AN5,Resultados!AX5,Resultados!BH5,Resultados!BR5,Resultados!CB5,Resultados!CL5,Resultados!CV5,Resultados!DF5,Resultados!DP5)&lt;=1, "", _xlfn.STDEV.S(ABS(Resultados!J5),ABS(Resultados!T5),ABS(Resultados!AD5),ABS(Resultados!AN5),ABS(Resultados!AX5),ABS(Resultados!BH5),ABS(Resultados!BR5),ABS(Resultados!CB5),ABS(Resultados!CL5),ABS(Resultados!CV5),ABS(Resultados!DF5),ABS(Resultados!DP5))/SQRT(COUNT(Resultados!J5,Resultados!T5,Resultados!AD5,Resultados!AN5,Resultados!AX5,Resultados!BH5,Resultados!BR5,Resultados!CB5,Resultados!CL5,Resultados!CV5,Resultados!DF5,Resultados!DP5)))</f>
        <v>4.1557432572527882E-4</v>
      </c>
    </row>
    <row r="6" spans="1:10" x14ac:dyDescent="0.3">
      <c r="A6">
        <f>IF(COUNT(Resultados!A6,Resultados!K6,Resultados!U6,Resultados!AE6,Resultados!AO6,Resultados!AY6,Resultados!BI6,Resultados!BS6,Resultados!CC6,Resultados!CM6,Resultados!CW6,Resultados!DG6)&lt;=1, "", _xlfn.STDEV.S(ABS(Resultados!A6),ABS(Resultados!K6),ABS(Resultados!U6),ABS(Resultados!AE6),ABS(Resultados!AO6),ABS(Resultados!AY6),ABS(Resultados!BI6),ABS(Resultados!BS6),ABS(Resultados!CC6),ABS(Resultados!CM6),ABS(Resultados!CW6),ABS(Resultados!DG6))/SQRT(COUNT(Resultados!A6,Resultados!K6,Resultados!U6,Resultados!AE6,Resultados!AO6,Resultados!AY6,Resultados!BI6,Resultados!BS6,Resultados!CC6,Resultados!CM6,Resultados!CW6,Resultados!DG6)))</f>
        <v>0</v>
      </c>
      <c r="B6" t="str">
        <f>IF(COUNT(Resultados!B6,Resultados!L6,Resultados!V6,Resultados!AF6,Resultados!AP6,Resultados!AZ6,Resultados!BJ6,Resultados!BT6,Resultados!CD6,Resultados!CN6,Resultados!CX6,Resultados!DH6)&lt;=1, "", _xlfn.STDEV.S(ABS(Resultados!B6),ABS(Resultados!L6),ABS(Resultados!V6),ABS(Resultados!AF6),ABS(Resultados!AP6),ABS(Resultados!AZ6),ABS(Resultados!BJ6),ABS(Resultados!BT6),ABS(Resultados!CD6),ABS(Resultados!CN6),ABS(Resultados!CX6),ABS(Resultados!DH6))/SQRT(COUNT(Resultados!B6,Resultados!L6,Resultados!V6,Resultados!AF6,Resultados!AP6,Resultados!AZ6,Resultados!BJ6,Resultados!BT6,Resultados!CD6,Resultados!CN6,Resultados!CX6,Resultados!DH6)))</f>
        <v/>
      </c>
      <c r="C6">
        <f>IF(COUNT(Resultados!C6,Resultados!M6,Resultados!W6,Resultados!AG6,Resultados!AQ6,Resultados!BA6,Resultados!BK6,Resultados!BU6,Resultados!CE6,Resultados!CO6,Resultados!CY6,Resultados!DI6)&lt;=1, "", _xlfn.STDEV.S(ABS(Resultados!C6),ABS(Resultados!M6),ABS(Resultados!W6),ABS(Resultados!AG6),ABS(Resultados!AQ6),ABS(Resultados!BA6),ABS(Resultados!BK6),ABS(Resultados!BU6),ABS(Resultados!CE6),ABS(Resultados!CO6),ABS(Resultados!CY6),ABS(Resultados!DI6))/SQRT(COUNT(Resultados!C6,Resultados!M6,Resultados!W6,Resultados!AG6,Resultados!AQ6,Resultados!BA6,Resultados!BK6,Resultados!BU6,Resultados!CE6,Resultados!CO6,Resultados!CY6,Resultados!DI6)))</f>
        <v>0.44946657497549469</v>
      </c>
      <c r="D6">
        <f>IF(COUNT(Resultados!D6,Resultados!N6,Resultados!X6,Resultados!AH6,Resultados!AR6,Resultados!BB6,Resultados!BL6,Resultados!BV6,Resultados!CF6,Resultados!CP6,Resultados!CZ6,Resultados!DJ6)&lt;=1, "", _xlfn.STDEV.S(ABS(Resultados!D6),ABS(Resultados!N6),ABS(Resultados!X6),ABS(Resultados!AH6),ABS(Resultados!AR6),ABS(Resultados!BB6),ABS(Resultados!BL6),ABS(Resultados!BV6),ABS(Resultados!CF6),ABS(Resultados!CP6),ABS(Resultados!CZ6),ABS(Resultados!DJ6))/SQRT(COUNT(Resultados!D6,Resultados!N6,Resultados!X6,Resultados!AH6,Resultados!AR6,Resultados!BB6,Resultados!BL6,Resultados!BV6,Resultados!CF6,Resultados!CP6,Resultados!CZ6,Resultados!DJ6)))</f>
        <v>3.0931457296820829E-4</v>
      </c>
      <c r="E6">
        <f>IF(COUNT(Resultados!E6,Resultados!O6,Resultados!Y6,Resultados!AI6,Resultados!AS6,Resultados!BC6,Resultados!BM6,Resultados!BW6,Resultados!CG6,Resultados!CQ6,Resultados!DA6,Resultados!DK6)&lt;=1, "", _xlfn.STDEV.S(ABS(Resultados!E6),ABS(Resultados!O6),ABS(Resultados!Y6),ABS(Resultados!AI6),ABS(Resultados!AS6),ABS(Resultados!BC6),ABS(Resultados!BM6),ABS(Resultados!BW6),ABS(Resultados!CG6),ABS(Resultados!CQ6),ABS(Resultados!DA6),ABS(Resultados!DK6))/SQRT(COUNT(Resultados!E6,Resultados!O6,Resultados!Y6,Resultados!AI6,Resultados!AS6,Resultados!BC6,Resultados!BM6,Resultados!BW6,Resultados!CG6,Resultados!CQ6,Resultados!DA6,Resultados!DK6)))</f>
        <v>1.9457397244971475E-2</v>
      </c>
      <c r="F6">
        <f>IF(COUNT(Resultados!F6,Resultados!P6,Resultados!Z6,Resultados!AJ6,Resultados!AT6,Resultados!BD6,Resultados!BN6,Resultados!BX6,Resultados!CH6,Resultados!CR6,Resultados!DB6,Resultados!DL6)&lt;=1, "", _xlfn.STDEV.S(ABS(Resultados!F6),ABS(Resultados!P6),ABS(Resultados!Z6),ABS(Resultados!AJ6),ABS(Resultados!AT6),ABS(Resultados!BD6),ABS(Resultados!BN6),ABS(Resultados!BX6),ABS(Resultados!CH6),ABS(Resultados!CR6),ABS(Resultados!DB6),ABS(Resultados!DL6))/SQRT(COUNT(Resultados!F6,Resultados!P6,Resultados!Z6,Resultados!AJ6,Resultados!AT6,Resultados!BD6,Resultados!BN6,Resultados!BX6,Resultados!CH6,Resultados!CR6,Resultados!DB6,Resultados!DL6)))</f>
        <v>13.503205356469762</v>
      </c>
      <c r="G6">
        <f>IF(COUNT(Resultados!G6,Resultados!Q6,Resultados!AA6,Resultados!AK6,Resultados!AU6,Resultados!BE6,Resultados!BO6,Resultados!BY6,Resultados!CI6,Resultados!CS6,Resultados!DC6,Resultados!DM6)&lt;=1, "", _xlfn.STDEV.S(ABS(Resultados!G6),ABS(Resultados!Q6),ABS(Resultados!AA6),ABS(Resultados!AK6),ABS(Resultados!AU6),ABS(Resultados!BE6),ABS(Resultados!BO6),ABS(Resultados!BY6),ABS(Resultados!CI6),ABS(Resultados!CS6),ABS(Resultados!DC6),ABS(Resultados!DM6))/SQRT(COUNT(Resultados!G6,Resultados!Q6,Resultados!AA6,Resultados!AK6,Resultados!AU6,Resultados!BE6,Resultados!BO6,Resultados!BY6,Resultados!CI6,Resultados!CS6,Resultados!DC6,Resultados!DM6)))</f>
        <v>3.3474483693592253E-17</v>
      </c>
      <c r="H6">
        <f>IF(COUNT(Resultados!H6,Resultados!R6,Resultados!AB6,Resultados!AL6,Resultados!AV6,Resultados!BF6,Resultados!BP6,Resultados!BZ6,Resultados!CJ6,Resultados!CT6,Resultados!DD6,Resultados!DN6)&lt;=1, "", _xlfn.STDEV.S(ABS(Resultados!H6),ABS(Resultados!R6),ABS(Resultados!AB6),ABS(Resultados!AL6),ABS(Resultados!AV6),ABS(Resultados!BF6),ABS(Resultados!BP6),ABS(Resultados!BZ6),ABS(Resultados!CJ6),ABS(Resultados!CT6),ABS(Resultados!DD6),ABS(Resultados!DN6))/SQRT(COUNT(Resultados!H6,Resultados!R6,Resultados!AB6,Resultados!AL6,Resultados!AV6,Resultados!BF6,Resultados!BP6,Resultados!BZ6,Resultados!CJ6,Resultados!CT6,Resultados!DD6,Resultados!DN6)))</f>
        <v>3.012914123427934E-4</v>
      </c>
      <c r="I6">
        <f>IF(COUNT(Resultados!I6,Resultados!S6,Resultados!AC6,Resultados!AM6,Resultados!AW6,Resultados!BG6,Resultados!BQ6,Resultados!CA6,Resultados!CK6,Resultados!CU6,Resultados!DE6,Resultados!DO6)&lt;=1, "", _xlfn.STDEV.S(ABS(Resultados!I6),ABS(Resultados!S6),ABS(Resultados!AC6),ABS(Resultados!AM6),ABS(Resultados!AW6),ABS(Resultados!BG6),ABS(Resultados!BQ6),ABS(Resultados!CA6),ABS(Resultados!CK6),ABS(Resultados!CU6),ABS(Resultados!DE6),ABS(Resultados!DO6))/SQRT(COUNT(Resultados!I6,Resultados!S6,Resultados!AC6,Resultados!AM6,Resultados!AW6,Resultados!BG6,Resultados!BQ6,Resultados!CA6,Resultados!CK6,Resultados!CU6,Resultados!DE6,Resultados!DO6)))</f>
        <v>9.5854250023106821E-4</v>
      </c>
      <c r="J6">
        <f>IF(COUNT(Resultados!J6,Resultados!T6,Resultados!AD6,Resultados!AN6,Resultados!AX6,Resultados!BH6,Resultados!BR6,Resultados!CB6,Resultados!CL6,Resultados!CV6,Resultados!DF6,Resultados!DP6)&lt;=1, "", _xlfn.STDEV.S(ABS(Resultados!J6),ABS(Resultados!T6),ABS(Resultados!AD6),ABS(Resultados!AN6),ABS(Resultados!AX6),ABS(Resultados!BH6),ABS(Resultados!BR6),ABS(Resultados!CB6),ABS(Resultados!CL6),ABS(Resultados!CV6),ABS(Resultados!DF6),ABS(Resultados!DP6))/SQRT(COUNT(Resultados!J6,Resultados!T6,Resultados!AD6,Resultados!AN6,Resultados!AX6,Resultados!BH6,Resultados!BR6,Resultados!CB6,Resultados!CL6,Resultados!CV6,Resultados!DF6,Resultados!DP6)))</f>
        <v>3.012914123427934E-4</v>
      </c>
    </row>
    <row r="7" spans="1:10" x14ac:dyDescent="0.3">
      <c r="A7">
        <f>IF(COUNT(Resultados!A7,Resultados!K7,Resultados!U7,Resultados!AE7,Resultados!AO7,Resultados!AY7,Resultados!BI7,Resultados!BS7,Resultados!CC7,Resultados!CM7,Resultados!CW7,Resultados!DG7)&lt;=1, "", _xlfn.STDEV.S(ABS(Resultados!A7),ABS(Resultados!K7),ABS(Resultados!U7),ABS(Resultados!AE7),ABS(Resultados!AO7),ABS(Resultados!AY7),ABS(Resultados!BI7),ABS(Resultados!BS7),ABS(Resultados!CC7),ABS(Resultados!CM7),ABS(Resultados!CW7),ABS(Resultados!DG7))/SQRT(COUNT(Resultados!A7,Resultados!K7,Resultados!U7,Resultados!AE7,Resultados!AO7,Resultados!AY7,Resultados!BI7,Resultados!BS7,Resultados!CC7,Resultados!CM7,Resultados!CW7,Resultados!DG7)))</f>
        <v>0</v>
      </c>
      <c r="B7" t="str">
        <f>IF(COUNT(Resultados!B7,Resultados!L7,Resultados!V7,Resultados!AF7,Resultados!AP7,Resultados!AZ7,Resultados!BJ7,Resultados!BT7,Resultados!CD7,Resultados!CN7,Resultados!CX7,Resultados!DH7)&lt;=1, "", _xlfn.STDEV.S(ABS(Resultados!B7),ABS(Resultados!L7),ABS(Resultados!V7),ABS(Resultados!AF7),ABS(Resultados!AP7),ABS(Resultados!AZ7),ABS(Resultados!BJ7),ABS(Resultados!BT7),ABS(Resultados!CD7),ABS(Resultados!CN7),ABS(Resultados!CX7),ABS(Resultados!DH7))/SQRT(COUNT(Resultados!B7,Resultados!L7,Resultados!V7,Resultados!AF7,Resultados!AP7,Resultados!AZ7,Resultados!BJ7,Resultados!BT7,Resultados!CD7,Resultados!CN7,Resultados!CX7,Resultados!DH7)))</f>
        <v/>
      </c>
      <c r="C7">
        <f>IF(COUNT(Resultados!C7,Resultados!M7,Resultados!W7,Resultados!AG7,Resultados!AQ7,Resultados!BA7,Resultados!BK7,Resultados!BU7,Resultados!CE7,Resultados!CO7,Resultados!CY7,Resultados!DI7)&lt;=1, "", _xlfn.STDEV.S(ABS(Resultados!C7),ABS(Resultados!M7),ABS(Resultados!W7),ABS(Resultados!AG7),ABS(Resultados!AQ7),ABS(Resultados!BA7),ABS(Resultados!BK7),ABS(Resultados!BU7),ABS(Resultados!CE7),ABS(Resultados!CO7),ABS(Resultados!CY7),ABS(Resultados!DI7))/SQRT(COUNT(Resultados!C7,Resultados!M7,Resultados!W7,Resultados!AG7,Resultados!AQ7,Resultados!BA7,Resultados!BK7,Resultados!BU7,Resultados!CE7,Resultados!CO7,Resultados!CY7,Resultados!DI7)))</f>
        <v>0.44946657497549469</v>
      </c>
      <c r="D7">
        <f>IF(COUNT(Resultados!D7,Resultados!N7,Resultados!X7,Resultados!AH7,Resultados!AR7,Resultados!BB7,Resultados!BL7,Resultados!BV7,Resultados!CF7,Resultados!CP7,Resultados!CZ7,Resultados!DJ7)&lt;=1, "", _xlfn.STDEV.S(ABS(Resultados!D7),ABS(Resultados!N7),ABS(Resultados!X7),ABS(Resultados!AH7),ABS(Resultados!AR7),ABS(Resultados!BB7),ABS(Resultados!BL7),ABS(Resultados!BV7),ABS(Resultados!CF7),ABS(Resultados!CP7),ABS(Resultados!CZ7),ABS(Resultados!DJ7))/SQRT(COUNT(Resultados!D7,Resultados!N7,Resultados!X7,Resultados!AH7,Resultados!AR7,Resultados!BB7,Resultados!BL7,Resultados!BV7,Resultados!CF7,Resultados!CP7,Resultados!CZ7,Resultados!DJ7)))</f>
        <v>3.0586646257687835E-4</v>
      </c>
      <c r="E7">
        <f>IF(COUNT(Resultados!E7,Resultados!O7,Resultados!Y7,Resultados!AI7,Resultados!AS7,Resultados!BC7,Resultados!BM7,Resultados!BW7,Resultados!CG7,Resultados!CQ7,Resultados!DA7,Resultados!DK7)&lt;=1, "", _xlfn.STDEV.S(ABS(Resultados!E7),ABS(Resultados!O7),ABS(Resultados!Y7),ABS(Resultados!AI7),ABS(Resultados!AS7),ABS(Resultados!BC7),ABS(Resultados!BM7),ABS(Resultados!BW7),ABS(Resultados!CG7),ABS(Resultados!CQ7),ABS(Resultados!DA7),ABS(Resultados!DK7))/SQRT(COUNT(Resultados!E7,Resultados!O7,Resultados!Y7,Resultados!AI7,Resultados!AS7,Resultados!BC7,Resultados!BM7,Resultados!BW7,Resultados!CG7,Resultados!CQ7,Resultados!DA7,Resultados!DK7)))</f>
        <v>2.121665373403455E-2</v>
      </c>
      <c r="F7">
        <f>IF(COUNT(Resultados!F7,Resultados!P7,Resultados!Z7,Resultados!AJ7,Resultados!AT7,Resultados!BD7,Resultados!BN7,Resultados!BX7,Resultados!CH7,Resultados!CR7,Resultados!DB7,Resultados!DL7)&lt;=1, "", _xlfn.STDEV.S(ABS(Resultados!F7),ABS(Resultados!P7),ABS(Resultados!Z7),ABS(Resultados!AJ7),ABS(Resultados!AT7),ABS(Resultados!BD7),ABS(Resultados!BN7),ABS(Resultados!BX7),ABS(Resultados!CH7),ABS(Resultados!CR7),ABS(Resultados!DB7),ABS(Resultados!DL7))/SQRT(COUNT(Resultados!F7,Resultados!P7,Resultados!Z7,Resultados!AJ7,Resultados!AT7,Resultados!BD7,Resultados!BN7,Resultados!BX7,Resultados!CH7,Resultados!CR7,Resultados!DB7,Resultados!DL7)))</f>
        <v>12.206878590031288</v>
      </c>
      <c r="G7">
        <f>IF(COUNT(Resultados!G7,Resultados!Q7,Resultados!AA7,Resultados!AK7,Resultados!AU7,Resultados!BE7,Resultados!BO7,Resultados!BY7,Resultados!CI7,Resultados!CS7,Resultados!DC7,Resultados!DM7)&lt;=1, "", _xlfn.STDEV.S(ABS(Resultados!G7),ABS(Resultados!Q7),ABS(Resultados!AA7),ABS(Resultados!AK7),ABS(Resultados!AU7),ABS(Resultados!BE7),ABS(Resultados!BO7),ABS(Resultados!BY7),ABS(Resultados!CI7),ABS(Resultados!CS7),ABS(Resultados!DC7),ABS(Resultados!DM7))/SQRT(COUNT(Resultados!G7,Resultados!Q7,Resultados!AA7,Resultados!AK7,Resultados!AU7,Resultados!BE7,Resultados!BO7,Resultados!BY7,Resultados!CI7,Resultados!CS7,Resultados!DC7,Resultados!DM7)))</f>
        <v>3.3474483693592253E-17</v>
      </c>
      <c r="H7">
        <f>IF(COUNT(Resultados!H7,Resultados!R7,Resultados!AB7,Resultados!AL7,Resultados!AV7,Resultados!BF7,Resultados!BP7,Resultados!BZ7,Resultados!CJ7,Resultados!CT7,Resultados!DD7,Resultados!DN7)&lt;=1, "", _xlfn.STDEV.S(ABS(Resultados!H7),ABS(Resultados!R7),ABS(Resultados!AB7),ABS(Resultados!AL7),ABS(Resultados!AV7),ABS(Resultados!BF7),ABS(Resultados!BP7),ABS(Resultados!BZ7),ABS(Resultados!CJ7),ABS(Resultados!CT7),ABS(Resultados!DD7),ABS(Resultados!DN7))/SQRT(COUNT(Resultados!H7,Resultados!R7,Resultados!AB7,Resultados!AL7,Resultados!AV7,Resultados!BF7,Resultados!BP7,Resultados!BZ7,Resultados!CJ7,Resultados!CT7,Resultados!DD7,Resultados!DN7)))</f>
        <v>3.335132090428513E-4</v>
      </c>
      <c r="I7">
        <f>IF(COUNT(Resultados!I7,Resultados!S7,Resultados!AC7,Resultados!AM7,Resultados!AW7,Resultados!BG7,Resultados!BQ7,Resultados!CA7,Resultados!CK7,Resultados!CU7,Resultados!DE7,Resultados!DO7)&lt;=1, "", _xlfn.STDEV.S(ABS(Resultados!I7),ABS(Resultados!S7),ABS(Resultados!AC7),ABS(Resultados!AM7),ABS(Resultados!AW7),ABS(Resultados!BG7),ABS(Resultados!BQ7),ABS(Resultados!CA7),ABS(Resultados!CK7),ABS(Resultados!CU7),ABS(Resultados!DE7),ABS(Resultados!DO7))/SQRT(COUNT(Resultados!I7,Resultados!S7,Resultados!AC7,Resultados!AM7,Resultados!AW7,Resultados!BG7,Resultados!BQ7,Resultados!CA7,Resultados!CK7,Resultados!CU7,Resultados!DE7,Resultados!DO7)))</f>
        <v>8.4541465977909991E-4</v>
      </c>
      <c r="J7">
        <f>IF(COUNT(Resultados!J7,Resultados!T7,Resultados!AD7,Resultados!AN7,Resultados!AX7,Resultados!BH7,Resultados!BR7,Resultados!CB7,Resultados!CL7,Resultados!CV7,Resultados!DF7,Resultados!DP7)&lt;=1, "", _xlfn.STDEV.S(ABS(Resultados!J7),ABS(Resultados!T7),ABS(Resultados!AD7),ABS(Resultados!AN7),ABS(Resultados!AX7),ABS(Resultados!BH7),ABS(Resultados!BR7),ABS(Resultados!CB7),ABS(Resultados!CL7),ABS(Resultados!CV7),ABS(Resultados!DF7),ABS(Resultados!DP7))/SQRT(COUNT(Resultados!J7,Resultados!T7,Resultados!AD7,Resultados!AN7,Resultados!AX7,Resultados!BH7,Resultados!BR7,Resultados!CB7,Resultados!CL7,Resultados!CV7,Resultados!DF7,Resultados!DP7)))</f>
        <v>3.335132090428513E-4</v>
      </c>
    </row>
    <row r="8" spans="1:10" x14ac:dyDescent="0.3">
      <c r="A8">
        <f>IF(COUNT(Resultados!A8,Resultados!K8,Resultados!U8,Resultados!AE8,Resultados!AO8,Resultados!AY8,Resultados!BI8,Resultados!BS8,Resultados!CC8,Resultados!CM8,Resultados!CW8,Resultados!DG8)&lt;=1, "", _xlfn.STDEV.S(ABS(Resultados!A8),ABS(Resultados!K8),ABS(Resultados!U8),ABS(Resultados!AE8),ABS(Resultados!AO8),ABS(Resultados!AY8),ABS(Resultados!BI8),ABS(Resultados!BS8),ABS(Resultados!CC8),ABS(Resultados!CM8),ABS(Resultados!CW8),ABS(Resultados!DG8))/SQRT(COUNT(Resultados!A8,Resultados!K8,Resultados!U8,Resultados!AE8,Resultados!AO8,Resultados!AY8,Resultados!BI8,Resultados!BS8,Resultados!CC8,Resultados!CM8,Resultados!CW8,Resultados!DG8)))</f>
        <v>0</v>
      </c>
      <c r="B8" t="str">
        <f>IF(COUNT(Resultados!B8,Resultados!L8,Resultados!V8,Resultados!AF8,Resultados!AP8,Resultados!AZ8,Resultados!BJ8,Resultados!BT8,Resultados!CD8,Resultados!CN8,Resultados!CX8,Resultados!DH8)&lt;=1, "", _xlfn.STDEV.S(ABS(Resultados!B8),ABS(Resultados!L8),ABS(Resultados!V8),ABS(Resultados!AF8),ABS(Resultados!AP8),ABS(Resultados!AZ8),ABS(Resultados!BJ8),ABS(Resultados!BT8),ABS(Resultados!CD8),ABS(Resultados!CN8),ABS(Resultados!CX8),ABS(Resultados!DH8))/SQRT(COUNT(Resultados!B8,Resultados!L8,Resultados!V8,Resultados!AF8,Resultados!AP8,Resultados!AZ8,Resultados!BJ8,Resultados!BT8,Resultados!CD8,Resultados!CN8,Resultados!CX8,Resultados!DH8)))</f>
        <v/>
      </c>
      <c r="C8">
        <f>IF(COUNT(Resultados!C8,Resultados!M8,Resultados!W8,Resultados!AG8,Resultados!AQ8,Resultados!BA8,Resultados!BK8,Resultados!BU8,Resultados!CE8,Resultados!CO8,Resultados!CY8,Resultados!DI8)&lt;=1, "", _xlfn.STDEV.S(ABS(Resultados!C8),ABS(Resultados!M8),ABS(Resultados!W8),ABS(Resultados!AG8),ABS(Resultados!AQ8),ABS(Resultados!BA8),ABS(Resultados!BK8),ABS(Resultados!BU8),ABS(Resultados!CE8),ABS(Resultados!CO8),ABS(Resultados!CY8),ABS(Resultados!DI8))/SQRT(COUNT(Resultados!C8,Resultados!M8,Resultados!W8,Resultados!AG8,Resultados!AQ8,Resultados!BA8,Resultados!BK8,Resultados!BU8,Resultados!CE8,Resultados!CO8,Resultados!CY8,Resultados!DI8)))</f>
        <v>0.45156853457049168</v>
      </c>
      <c r="D8">
        <f>IF(COUNT(Resultados!D8,Resultados!N8,Resultados!X8,Resultados!AH8,Resultados!AR8,Resultados!BB8,Resultados!BL8,Resultados!BV8,Resultados!CF8,Resultados!CP8,Resultados!CZ8,Resultados!DJ8)&lt;=1, "", _xlfn.STDEV.S(ABS(Resultados!D8),ABS(Resultados!N8),ABS(Resultados!X8),ABS(Resultados!AH8),ABS(Resultados!AR8),ABS(Resultados!BB8),ABS(Resultados!BL8),ABS(Resultados!BV8),ABS(Resultados!CF8),ABS(Resultados!CP8),ABS(Resultados!CZ8),ABS(Resultados!DJ8))/SQRT(COUNT(Resultados!D8,Resultados!N8,Resultados!X8,Resultados!AH8,Resultados!AR8,Resultados!BB8,Resultados!BL8,Resultados!BV8,Resultados!CF8,Resultados!CP8,Resultados!CZ8,Resultados!DJ8)))</f>
        <v>3.1809883477760289E-4</v>
      </c>
      <c r="E8">
        <f>IF(COUNT(Resultados!E8,Resultados!O8,Resultados!Y8,Resultados!AI8,Resultados!AS8,Resultados!BC8,Resultados!BM8,Resultados!BW8,Resultados!CG8,Resultados!CQ8,Resultados!DA8,Resultados!DK8)&lt;=1, "", _xlfn.STDEV.S(ABS(Resultados!E8),ABS(Resultados!O8),ABS(Resultados!Y8),ABS(Resultados!AI8),ABS(Resultados!AS8),ABS(Resultados!BC8),ABS(Resultados!BM8),ABS(Resultados!BW8),ABS(Resultados!CG8),ABS(Resultados!CQ8),ABS(Resultados!DA8),ABS(Resultados!DK8))/SQRT(COUNT(Resultados!E8,Resultados!O8,Resultados!Y8,Resultados!AI8,Resultados!AS8,Resultados!BC8,Resultados!BM8,Resultados!BW8,Resultados!CG8,Resultados!CQ8,Resultados!DA8,Resultados!DK8)))</f>
        <v>3.4441919382302191E-2</v>
      </c>
      <c r="F8">
        <f>IF(COUNT(Resultados!F8,Resultados!P8,Resultados!Z8,Resultados!AJ8,Resultados!AT8,Resultados!BD8,Resultados!BN8,Resultados!BX8,Resultados!CH8,Resultados!CR8,Resultados!DB8,Resultados!DL8)&lt;=1, "", _xlfn.STDEV.S(ABS(Resultados!F8),ABS(Resultados!P8),ABS(Resultados!Z8),ABS(Resultados!AJ8),ABS(Resultados!AT8),ABS(Resultados!BD8),ABS(Resultados!BN8),ABS(Resultados!BX8),ABS(Resultados!CH8),ABS(Resultados!CR8),ABS(Resultados!DB8),ABS(Resultados!DL8))/SQRT(COUNT(Resultados!F8,Resultados!P8,Resultados!Z8,Resultados!AJ8,Resultados!AT8,Resultados!BD8,Resultados!BN8,Resultados!BX8,Resultados!CH8,Resultados!CR8,Resultados!DB8,Resultados!DL8)))</f>
        <v>15.862698544263043</v>
      </c>
      <c r="G8">
        <f>IF(COUNT(Resultados!G8,Resultados!Q8,Resultados!AA8,Resultados!AK8,Resultados!AU8,Resultados!BE8,Resultados!BO8,Resultados!BY8,Resultados!CI8,Resultados!CS8,Resultados!DC8,Resultados!DM8)&lt;=1, "", _xlfn.STDEV.S(ABS(Resultados!G8),ABS(Resultados!Q8),ABS(Resultados!AA8),ABS(Resultados!AK8),ABS(Resultados!AU8),ABS(Resultados!BE8),ABS(Resultados!BO8),ABS(Resultados!BY8),ABS(Resultados!CI8),ABS(Resultados!CS8),ABS(Resultados!DC8),ABS(Resultados!DM8))/SQRT(COUNT(Resultados!G8,Resultados!Q8,Resultados!AA8,Resultados!AK8,Resultados!AU8,Resultados!BE8,Resultados!BO8,Resultados!BY8,Resultados!CI8,Resultados!CS8,Resultados!DC8,Resultados!DM8)))</f>
        <v>3.3474483693592253E-17</v>
      </c>
      <c r="H8">
        <f>IF(COUNT(Resultados!H8,Resultados!R8,Resultados!AB8,Resultados!AL8,Resultados!AV8,Resultados!BF8,Resultados!BP8,Resultados!BZ8,Resultados!CJ8,Resultados!CT8,Resultados!DD8,Resultados!DN8)&lt;=1, "", _xlfn.STDEV.S(ABS(Resultados!H8),ABS(Resultados!R8),ABS(Resultados!AB8),ABS(Resultados!AL8),ABS(Resultados!AV8),ABS(Resultados!BF8),ABS(Resultados!BP8),ABS(Resultados!BZ8),ABS(Resultados!CJ8),ABS(Resultados!CT8),ABS(Resultados!DD8),ABS(Resultados!DN8))/SQRT(COUNT(Resultados!H8,Resultados!R8,Resultados!AB8,Resultados!AL8,Resultados!AV8,Resultados!BF8,Resultados!BP8,Resultados!BZ8,Resultados!CJ8,Resultados!CT8,Resultados!DD8,Resultados!DN8)))</f>
        <v>5.3399580068715449E-4</v>
      </c>
      <c r="I8">
        <f>IF(COUNT(Resultados!I8,Resultados!S8,Resultados!AC8,Resultados!AM8,Resultados!AW8,Resultados!BG8,Resultados!BQ8,Resultados!CA8,Resultados!CK8,Resultados!CU8,Resultados!DE8,Resultados!DO8)&lt;=1, "", _xlfn.STDEV.S(ABS(Resultados!I8),ABS(Resultados!S8),ABS(Resultados!AC8),ABS(Resultados!AM8),ABS(Resultados!AW8),ABS(Resultados!BG8),ABS(Resultados!BQ8),ABS(Resultados!CA8),ABS(Resultados!CK8),ABS(Resultados!CU8),ABS(Resultados!DE8),ABS(Resultados!DO8))/SQRT(COUNT(Resultados!I8,Resultados!S8,Resultados!AC8,Resultados!AM8,Resultados!AW8,Resultados!BG8,Resultados!BQ8,Resultados!CA8,Resultados!CK8,Resultados!CU8,Resultados!DE8,Resultados!DO8)))</f>
        <v>8.3809789452584423E-4</v>
      </c>
      <c r="J8">
        <f>IF(COUNT(Resultados!J8,Resultados!T8,Resultados!AD8,Resultados!AN8,Resultados!AX8,Resultados!BH8,Resultados!BR8,Resultados!CB8,Resultados!CL8,Resultados!CV8,Resultados!DF8,Resultados!DP8)&lt;=1, "", _xlfn.STDEV.S(ABS(Resultados!J8),ABS(Resultados!T8),ABS(Resultados!AD8),ABS(Resultados!AN8),ABS(Resultados!AX8),ABS(Resultados!BH8),ABS(Resultados!BR8),ABS(Resultados!CB8),ABS(Resultados!CL8),ABS(Resultados!CV8),ABS(Resultados!DF8),ABS(Resultados!DP8))/SQRT(COUNT(Resultados!J8,Resultados!T8,Resultados!AD8,Resultados!AN8,Resultados!AX8,Resultados!BH8,Resultados!BR8,Resultados!CB8,Resultados!CL8,Resultados!CV8,Resultados!DF8,Resultados!DP8)))</f>
        <v>5.3399580068715449E-4</v>
      </c>
    </row>
    <row r="9" spans="1:10" x14ac:dyDescent="0.3">
      <c r="A9">
        <f>IF(COUNT(Resultados!A9,Resultados!K9,Resultados!U9,Resultados!AE9,Resultados!AO9,Resultados!AY9,Resultados!BI9,Resultados!BS9,Resultados!CC9,Resultados!CM9,Resultados!CW9,Resultados!DG9)&lt;=1, "", _xlfn.STDEV.S(ABS(Resultados!A9),ABS(Resultados!K9),ABS(Resultados!U9),ABS(Resultados!AE9),ABS(Resultados!AO9),ABS(Resultados!AY9),ABS(Resultados!BI9),ABS(Resultados!BS9),ABS(Resultados!CC9),ABS(Resultados!CM9),ABS(Resultados!CW9),ABS(Resultados!DG9))/SQRT(COUNT(Resultados!A9,Resultados!K9,Resultados!U9,Resultados!AE9,Resultados!AO9,Resultados!AY9,Resultados!BI9,Resultados!BS9,Resultados!CC9,Resultados!CM9,Resultados!CW9,Resultados!DG9)))</f>
        <v>0</v>
      </c>
      <c r="B9" t="str">
        <f>IF(COUNT(Resultados!B9,Resultados!L9,Resultados!V9,Resultados!AF9,Resultados!AP9,Resultados!AZ9,Resultados!BJ9,Resultados!BT9,Resultados!CD9,Resultados!CN9,Resultados!CX9,Resultados!DH9)&lt;=1, "", _xlfn.STDEV.S(ABS(Resultados!B9),ABS(Resultados!L9),ABS(Resultados!V9),ABS(Resultados!AF9),ABS(Resultados!AP9),ABS(Resultados!AZ9),ABS(Resultados!BJ9),ABS(Resultados!BT9),ABS(Resultados!CD9),ABS(Resultados!CN9),ABS(Resultados!CX9),ABS(Resultados!DH9))/SQRT(COUNT(Resultados!B9,Resultados!L9,Resultados!V9,Resultados!AF9,Resultados!AP9,Resultados!AZ9,Resultados!BJ9,Resultados!BT9,Resultados!CD9,Resultados!CN9,Resultados!CX9,Resultados!DH9)))</f>
        <v/>
      </c>
      <c r="C9">
        <f>IF(COUNT(Resultados!C9,Resultados!M9,Resultados!W9,Resultados!AG9,Resultados!AQ9,Resultados!BA9,Resultados!BK9,Resultados!BU9,Resultados!CE9,Resultados!CO9,Resultados!CY9,Resultados!DI9)&lt;=1, "", _xlfn.STDEV.S(ABS(Resultados!C9),ABS(Resultados!M9),ABS(Resultados!W9),ABS(Resultados!AG9),ABS(Resultados!AQ9),ABS(Resultados!BA9),ABS(Resultados!BK9),ABS(Resultados!BU9),ABS(Resultados!CE9),ABS(Resultados!CO9),ABS(Resultados!CY9),ABS(Resultados!DI9))/SQRT(COUNT(Resultados!C9,Resultados!M9,Resultados!W9,Resultados!AG9,Resultados!AQ9,Resultados!BA9,Resultados!BK9,Resultados!BU9,Resultados!CE9,Resultados!CO9,Resultados!CY9,Resultados!DI9)))</f>
        <v>0.45156853457049168</v>
      </c>
      <c r="D9">
        <f>IF(COUNT(Resultados!D9,Resultados!N9,Resultados!X9,Resultados!AH9,Resultados!AR9,Resultados!BB9,Resultados!BL9,Resultados!BV9,Resultados!CF9,Resultados!CP9,Resultados!CZ9,Resultados!DJ9)&lt;=1, "", _xlfn.STDEV.S(ABS(Resultados!D9),ABS(Resultados!N9),ABS(Resultados!X9),ABS(Resultados!AH9),ABS(Resultados!AR9),ABS(Resultados!BB9),ABS(Resultados!BL9),ABS(Resultados!BV9),ABS(Resultados!CF9),ABS(Resultados!CP9),ABS(Resultados!CZ9),ABS(Resultados!DJ9))/SQRT(COUNT(Resultados!D9,Resultados!N9,Resultados!X9,Resultados!AH9,Resultados!AR9,Resultados!BB9,Resultados!BL9,Resultados!BV9,Resultados!CF9,Resultados!CP9,Resultados!CZ9,Resultados!DJ9)))</f>
        <v>2.9383393922143144E-4</v>
      </c>
      <c r="E9">
        <f>IF(COUNT(Resultados!E9,Resultados!O9,Resultados!Y9,Resultados!AI9,Resultados!AS9,Resultados!BC9,Resultados!BM9,Resultados!BW9,Resultados!CG9,Resultados!CQ9,Resultados!DA9,Resultados!DK9)&lt;=1, "", _xlfn.STDEV.S(ABS(Resultados!E9),ABS(Resultados!O9),ABS(Resultados!Y9),ABS(Resultados!AI9),ABS(Resultados!AS9),ABS(Resultados!BC9),ABS(Resultados!BM9),ABS(Resultados!BW9),ABS(Resultados!CG9),ABS(Resultados!CQ9),ABS(Resultados!DA9),ABS(Resultados!DK9))/SQRT(COUNT(Resultados!E9,Resultados!O9,Resultados!Y9,Resultados!AI9,Resultados!AS9,Resultados!BC9,Resultados!BM9,Resultados!BW9,Resultados!CG9,Resultados!CQ9,Resultados!DA9,Resultados!DK9)))</f>
        <v>4.6782052620665988E-2</v>
      </c>
      <c r="F9">
        <f>IF(COUNT(Resultados!F9,Resultados!P9,Resultados!Z9,Resultados!AJ9,Resultados!AT9,Resultados!BD9,Resultados!BN9,Resultados!BX9,Resultados!CH9,Resultados!CR9,Resultados!DB9,Resultados!DL9)&lt;=1, "", _xlfn.STDEV.S(ABS(Resultados!F9),ABS(Resultados!P9),ABS(Resultados!Z9),ABS(Resultados!AJ9),ABS(Resultados!AT9),ABS(Resultados!BD9),ABS(Resultados!BN9),ABS(Resultados!BX9),ABS(Resultados!CH9),ABS(Resultados!CR9),ABS(Resultados!DB9),ABS(Resultados!DL9))/SQRT(COUNT(Resultados!F9,Resultados!P9,Resultados!Z9,Resultados!AJ9,Resultados!AT9,Resultados!BD9,Resultados!BN9,Resultados!BX9,Resultados!CH9,Resultados!CR9,Resultados!DB9,Resultados!DL9)))</f>
        <v>17.167224432310618</v>
      </c>
      <c r="G9">
        <f>IF(COUNT(Resultados!G9,Resultados!Q9,Resultados!AA9,Resultados!AK9,Resultados!AU9,Resultados!BE9,Resultados!BO9,Resultados!BY9,Resultados!CI9,Resultados!CS9,Resultados!DC9,Resultados!DM9)&lt;=1, "", _xlfn.STDEV.S(ABS(Resultados!G9),ABS(Resultados!Q9),ABS(Resultados!AA9),ABS(Resultados!AK9),ABS(Resultados!AU9),ABS(Resultados!BE9),ABS(Resultados!BO9),ABS(Resultados!BY9),ABS(Resultados!CI9),ABS(Resultados!CS9),ABS(Resultados!DC9),ABS(Resultados!DM9))/SQRT(COUNT(Resultados!G9,Resultados!Q9,Resultados!AA9,Resultados!AK9,Resultados!AU9,Resultados!BE9,Resultados!BO9,Resultados!BY9,Resultados!CI9,Resultados!CS9,Resultados!DC9,Resultados!DM9)))</f>
        <v>3.3474483693592253E-17</v>
      </c>
      <c r="H9">
        <f>IF(COUNT(Resultados!H9,Resultados!R9,Resultados!AB9,Resultados!AL9,Resultados!AV9,Resultados!BF9,Resultados!BP9,Resultados!BZ9,Resultados!CJ9,Resultados!CT9,Resultados!DD9,Resultados!DN9)&lt;=1, "", _xlfn.STDEV.S(ABS(Resultados!H9),ABS(Resultados!R9),ABS(Resultados!AB9),ABS(Resultados!AL9),ABS(Resultados!AV9),ABS(Resultados!BF9),ABS(Resultados!BP9),ABS(Resultados!BZ9),ABS(Resultados!CJ9),ABS(Resultados!CT9),ABS(Resultados!DD9),ABS(Resultados!DN9))/SQRT(COUNT(Resultados!H9,Resultados!R9,Resultados!AB9,Resultados!AL9,Resultados!AV9,Resultados!BF9,Resultados!BP9,Resultados!BZ9,Resultados!CJ9,Resultados!CT9,Resultados!DD9,Resultados!DN9)))</f>
        <v>7.2614851557148234E-4</v>
      </c>
      <c r="I9">
        <f>IF(COUNT(Resultados!I9,Resultados!S9,Resultados!AC9,Resultados!AM9,Resultados!AW9,Resultados!BG9,Resultados!BQ9,Resultados!CA9,Resultados!CK9,Resultados!CU9,Resultados!DE9,Resultados!DO9)&lt;=1, "", _xlfn.STDEV.S(ABS(Resultados!I9),ABS(Resultados!S9),ABS(Resultados!AC9),ABS(Resultados!AM9),ABS(Resultados!AW9),ABS(Resultados!BG9),ABS(Resultados!BQ9),ABS(Resultados!CA9),ABS(Resultados!CK9),ABS(Resultados!CU9),ABS(Resultados!DE9),ABS(Resultados!DO9))/SQRT(COUNT(Resultados!I9,Resultados!S9,Resultados!AC9,Resultados!AM9,Resultados!AW9,Resultados!BG9,Resultados!BQ9,Resultados!CA9,Resultados!CK9,Resultados!CU9,Resultados!DE9,Resultados!DO9)))</f>
        <v>9.9016553049326075E-4</v>
      </c>
      <c r="J9">
        <f>IF(COUNT(Resultados!J9,Resultados!T9,Resultados!AD9,Resultados!AN9,Resultados!AX9,Resultados!BH9,Resultados!BR9,Resultados!CB9,Resultados!CL9,Resultados!CV9,Resultados!DF9,Resultados!DP9)&lt;=1, "", _xlfn.STDEV.S(ABS(Resultados!J9),ABS(Resultados!T9),ABS(Resultados!AD9),ABS(Resultados!AN9),ABS(Resultados!AX9),ABS(Resultados!BH9),ABS(Resultados!BR9),ABS(Resultados!CB9),ABS(Resultados!CL9),ABS(Resultados!CV9),ABS(Resultados!DF9),ABS(Resultados!DP9))/SQRT(COUNT(Resultados!J9,Resultados!T9,Resultados!AD9,Resultados!AN9,Resultados!AX9,Resultados!BH9,Resultados!BR9,Resultados!CB9,Resultados!CL9,Resultados!CV9,Resultados!DF9,Resultados!DP9)))</f>
        <v>7.2614851557148234E-4</v>
      </c>
    </row>
    <row r="10" spans="1:10" x14ac:dyDescent="0.3">
      <c r="A10">
        <f>IF(COUNT(Resultados!A10,Resultados!K10,Resultados!U10,Resultados!AE10,Resultados!AO10,Resultados!AY10,Resultados!BI10,Resultados!BS10,Resultados!CC10,Resultados!CM10,Resultados!CW10,Resultados!DG10)&lt;=1, "", _xlfn.STDEV.S(ABS(Resultados!A10),ABS(Resultados!K10),ABS(Resultados!U10),ABS(Resultados!AE10),ABS(Resultados!AO10),ABS(Resultados!AY10),ABS(Resultados!BI10),ABS(Resultados!BS10),ABS(Resultados!CC10),ABS(Resultados!CM10),ABS(Resultados!CW10),ABS(Resultados!DG10))/SQRT(COUNT(Resultados!A10,Resultados!K10,Resultados!U10,Resultados!AE10,Resultados!AO10,Resultados!AY10,Resultados!BI10,Resultados!BS10,Resultados!CC10,Resultados!CM10,Resultados!CW10,Resultados!DG10)))</f>
        <v>0</v>
      </c>
      <c r="B10" t="str">
        <f>IF(COUNT(Resultados!B10,Resultados!L10,Resultados!V10,Resultados!AF10,Resultados!AP10,Resultados!AZ10,Resultados!BJ10,Resultados!BT10,Resultados!CD10,Resultados!CN10,Resultados!CX10,Resultados!DH10)&lt;=1, "", _xlfn.STDEV.S(ABS(Resultados!B10),ABS(Resultados!L10),ABS(Resultados!V10),ABS(Resultados!AF10),ABS(Resultados!AP10),ABS(Resultados!AZ10),ABS(Resultados!BJ10),ABS(Resultados!BT10),ABS(Resultados!CD10),ABS(Resultados!CN10),ABS(Resultados!CX10),ABS(Resultados!DH10))/SQRT(COUNT(Resultados!B10,Resultados!L10,Resultados!V10,Resultados!AF10,Resultados!AP10,Resultados!AZ10,Resultados!BJ10,Resultados!BT10,Resultados!CD10,Resultados!CN10,Resultados!CX10,Resultados!DH10)))</f>
        <v/>
      </c>
      <c r="C10">
        <f>IF(COUNT(Resultados!C10,Resultados!M10,Resultados!W10,Resultados!AG10,Resultados!AQ10,Resultados!BA10,Resultados!BK10,Resultados!BU10,Resultados!CE10,Resultados!CO10,Resultados!CY10,Resultados!DI10)&lt;=1, "", _xlfn.STDEV.S(ABS(Resultados!C10),ABS(Resultados!M10),ABS(Resultados!W10),ABS(Resultados!AG10),ABS(Resultados!AQ10),ABS(Resultados!BA10),ABS(Resultados!BK10),ABS(Resultados!BU10),ABS(Resultados!CE10),ABS(Resultados!CO10),ABS(Resultados!CY10),ABS(Resultados!DI10))/SQRT(COUNT(Resultados!C10,Resultados!M10,Resultados!W10,Resultados!AG10,Resultados!AQ10,Resultados!BA10,Resultados!BK10,Resultados!BU10,Resultados!CE10,Resultados!CO10,Resultados!CY10,Resultados!DI10)))</f>
        <v>0.45156853457049168</v>
      </c>
      <c r="D10">
        <f>IF(COUNT(Resultados!D10,Resultados!N10,Resultados!X10,Resultados!AH10,Resultados!AR10,Resultados!BB10,Resultados!BL10,Resultados!BV10,Resultados!CF10,Resultados!CP10,Resultados!CZ10,Resultados!DJ10)&lt;=1, "", _xlfn.STDEV.S(ABS(Resultados!D10),ABS(Resultados!N10),ABS(Resultados!X10),ABS(Resultados!AH10),ABS(Resultados!AR10),ABS(Resultados!BB10),ABS(Resultados!BL10),ABS(Resultados!BV10),ABS(Resultados!CF10),ABS(Resultados!CP10),ABS(Resultados!CZ10),ABS(Resultados!DJ10))/SQRT(COUNT(Resultados!D10,Resultados!N10,Resultados!X10,Resultados!AH10,Resultados!AR10,Resultados!BB10,Resultados!BL10,Resultados!BV10,Resultados!CF10,Resultados!CP10,Resultados!CZ10,Resultados!DJ10)))</f>
        <v>2.7232398633861385E-4</v>
      </c>
      <c r="E10">
        <f>IF(COUNT(Resultados!E10,Resultados!O10,Resultados!Y10,Resultados!AI10,Resultados!AS10,Resultados!BC10,Resultados!BM10,Resultados!BW10,Resultados!CG10,Resultados!CQ10,Resultados!DA10,Resultados!DK10)&lt;=1, "", _xlfn.STDEV.S(ABS(Resultados!E10),ABS(Resultados!O10),ABS(Resultados!Y10),ABS(Resultados!AI10),ABS(Resultados!AS10),ABS(Resultados!BC10),ABS(Resultados!BM10),ABS(Resultados!BW10),ABS(Resultados!CG10),ABS(Resultados!CQ10),ABS(Resultados!DA10),ABS(Resultados!DK10))/SQRT(COUNT(Resultados!E10,Resultados!O10,Resultados!Y10,Resultados!AI10,Resultados!AS10,Resultados!BC10,Resultados!BM10,Resultados!BW10,Resultados!CG10,Resultados!CQ10,Resultados!DA10,Resultados!DK10)))</f>
        <v>5.969926639333014E-2</v>
      </c>
      <c r="F10">
        <f>IF(COUNT(Resultados!F10,Resultados!P10,Resultados!Z10,Resultados!AJ10,Resultados!AT10,Resultados!BD10,Resultados!BN10,Resultados!BX10,Resultados!CH10,Resultados!CR10,Resultados!DB10,Resultados!DL10)&lt;=1, "", _xlfn.STDEV.S(ABS(Resultados!F10),ABS(Resultados!P10),ABS(Resultados!Z10),ABS(Resultados!AJ10),ABS(Resultados!AT10),ABS(Resultados!BD10),ABS(Resultados!BN10),ABS(Resultados!BX10),ABS(Resultados!CH10),ABS(Resultados!CR10),ABS(Resultados!DB10),ABS(Resultados!DL10))/SQRT(COUNT(Resultados!F10,Resultados!P10,Resultados!Z10,Resultados!AJ10,Resultados!AT10,Resultados!BD10,Resultados!BN10,Resultados!BX10,Resultados!CH10,Resultados!CR10,Resultados!DB10,Resultados!DL10)))</f>
        <v>15.820387494808553</v>
      </c>
      <c r="G10">
        <f>IF(COUNT(Resultados!G10,Resultados!Q10,Resultados!AA10,Resultados!AK10,Resultados!AU10,Resultados!BE10,Resultados!BO10,Resultados!BY10,Resultados!CI10,Resultados!CS10,Resultados!DC10,Resultados!DM10)&lt;=1, "", _xlfn.STDEV.S(ABS(Resultados!G10),ABS(Resultados!Q10),ABS(Resultados!AA10),ABS(Resultados!AK10),ABS(Resultados!AU10),ABS(Resultados!BE10),ABS(Resultados!BO10),ABS(Resultados!BY10),ABS(Resultados!CI10),ABS(Resultados!CS10),ABS(Resultados!DC10),ABS(Resultados!DM10))/SQRT(COUNT(Resultados!G10,Resultados!Q10,Resultados!AA10,Resultados!AK10,Resultados!AU10,Resultados!BE10,Resultados!BO10,Resultados!BY10,Resultados!CI10,Resultados!CS10,Resultados!DC10,Resultados!DM10)))</f>
        <v>3.3474483693592253E-17</v>
      </c>
      <c r="H10">
        <f>IF(COUNT(Resultados!H10,Resultados!R10,Resultados!AB10,Resultados!AL10,Resultados!AV10,Resultados!BF10,Resultados!BP10,Resultados!BZ10,Resultados!CJ10,Resultados!CT10,Resultados!DD10,Resultados!DN10)&lt;=1, "", _xlfn.STDEV.S(ABS(Resultados!H10),ABS(Resultados!R10),ABS(Resultados!AB10),ABS(Resultados!AL10),ABS(Resultados!AV10),ABS(Resultados!BF10),ABS(Resultados!BP10),ABS(Resultados!BZ10),ABS(Resultados!CJ10),ABS(Resultados!CT10),ABS(Resultados!DD10),ABS(Resultados!DN10))/SQRT(COUNT(Resultados!H10,Resultados!R10,Resultados!AB10,Resultados!AL10,Resultados!AV10,Resultados!BF10,Resultados!BP10,Resultados!BZ10,Resultados!CJ10,Resultados!CT10,Resultados!DD10,Resultados!DN10)))</f>
        <v>9.3126122798464794E-4</v>
      </c>
      <c r="I10">
        <f>IF(COUNT(Resultados!I10,Resultados!S10,Resultados!AC10,Resultados!AM10,Resultados!AW10,Resultados!BG10,Resultados!BQ10,Resultados!CA10,Resultados!CK10,Resultados!CU10,Resultados!DE10,Resultados!DO10)&lt;=1, "", _xlfn.STDEV.S(ABS(Resultados!I10),ABS(Resultados!S10),ABS(Resultados!AC10),ABS(Resultados!AM10),ABS(Resultados!AW10),ABS(Resultados!BG10),ABS(Resultados!BQ10),ABS(Resultados!CA10),ABS(Resultados!CK10),ABS(Resultados!CU10),ABS(Resultados!DE10),ABS(Resultados!DO10))/SQRT(COUNT(Resultados!I10,Resultados!S10,Resultados!AC10,Resultados!AM10,Resultados!AW10,Resultados!BG10,Resultados!BQ10,Resultados!CA10,Resultados!CK10,Resultados!CU10,Resultados!DE10,Resultados!DO10)))</f>
        <v>1.0629218116969814E-3</v>
      </c>
      <c r="J10">
        <f>IF(COUNT(Resultados!J10,Resultados!T10,Resultados!AD10,Resultados!AN10,Resultados!AX10,Resultados!BH10,Resultados!BR10,Resultados!CB10,Resultados!CL10,Resultados!CV10,Resultados!DF10,Resultados!DP10)&lt;=1, "", _xlfn.STDEV.S(ABS(Resultados!J10),ABS(Resultados!T10),ABS(Resultados!AD10),ABS(Resultados!AN10),ABS(Resultados!AX10),ABS(Resultados!BH10),ABS(Resultados!BR10),ABS(Resultados!CB10),ABS(Resultados!CL10),ABS(Resultados!CV10),ABS(Resultados!DF10),ABS(Resultados!DP10))/SQRT(COUNT(Resultados!J10,Resultados!T10,Resultados!AD10,Resultados!AN10,Resultados!AX10,Resultados!BH10,Resultados!BR10,Resultados!CB10,Resultados!CL10,Resultados!CV10,Resultados!DF10,Resultados!DP10)))</f>
        <v>9.3126122798464794E-4</v>
      </c>
    </row>
    <row r="11" spans="1:10" x14ac:dyDescent="0.3">
      <c r="A11">
        <f>IF(COUNT(Resultados!A11,Resultados!K11,Resultados!U11,Resultados!AE11,Resultados!AO11,Resultados!AY11,Resultados!BI11,Resultados!BS11,Resultados!CC11,Resultados!CM11,Resultados!CW11,Resultados!DG11)&lt;=1, "", _xlfn.STDEV.S(ABS(Resultados!A11),ABS(Resultados!K11),ABS(Resultados!U11),ABS(Resultados!AE11),ABS(Resultados!AO11),ABS(Resultados!AY11),ABS(Resultados!BI11),ABS(Resultados!BS11),ABS(Resultados!CC11),ABS(Resultados!CM11),ABS(Resultados!CW11),ABS(Resultados!DG11))/SQRT(COUNT(Resultados!A11,Resultados!K11,Resultados!U11,Resultados!AE11,Resultados!AO11,Resultados!AY11,Resultados!BI11,Resultados!BS11,Resultados!CC11,Resultados!CM11,Resultados!CW11,Resultados!DG11)))</f>
        <v>0</v>
      </c>
      <c r="B11" t="str">
        <f>IF(COUNT(Resultados!B11,Resultados!L11,Resultados!V11,Resultados!AF11,Resultados!AP11,Resultados!AZ11,Resultados!BJ11,Resultados!BT11,Resultados!CD11,Resultados!CN11,Resultados!CX11,Resultados!DH11)&lt;=1, "", _xlfn.STDEV.S(ABS(Resultados!B11),ABS(Resultados!L11),ABS(Resultados!V11),ABS(Resultados!AF11),ABS(Resultados!AP11),ABS(Resultados!AZ11),ABS(Resultados!BJ11),ABS(Resultados!BT11),ABS(Resultados!CD11),ABS(Resultados!CN11),ABS(Resultados!CX11),ABS(Resultados!DH11))/SQRT(COUNT(Resultados!B11,Resultados!L11,Resultados!V11,Resultados!AF11,Resultados!AP11,Resultados!AZ11,Resultados!BJ11,Resultados!BT11,Resultados!CD11,Resultados!CN11,Resultados!CX11,Resultados!DH11)))</f>
        <v/>
      </c>
      <c r="C11">
        <f>IF(COUNT(Resultados!C11,Resultados!M11,Resultados!W11,Resultados!AG11,Resultados!AQ11,Resultados!BA11,Resultados!BK11,Resultados!BU11,Resultados!CE11,Resultados!CO11,Resultados!CY11,Resultados!DI11)&lt;=1, "", _xlfn.STDEV.S(ABS(Resultados!C11),ABS(Resultados!M11),ABS(Resultados!W11),ABS(Resultados!AG11),ABS(Resultados!AQ11),ABS(Resultados!BA11),ABS(Resultados!BK11),ABS(Resultados!BU11),ABS(Resultados!CE11),ABS(Resultados!CO11),ABS(Resultados!CY11),ABS(Resultados!DI11))/SQRT(COUNT(Resultados!C11,Resultados!M11,Resultados!W11,Resultados!AG11,Resultados!AQ11,Resultados!BA11,Resultados!BK11,Resultados!BU11,Resultados!CE11,Resultados!CO11,Resultados!CY11,Resultados!DI11)))</f>
        <v>0.45156853457049168</v>
      </c>
      <c r="D11">
        <f>IF(COUNT(Resultados!D11,Resultados!N11,Resultados!X11,Resultados!AH11,Resultados!AR11,Resultados!BB11,Resultados!BL11,Resultados!BV11,Resultados!CF11,Resultados!CP11,Resultados!CZ11,Resultados!DJ11)&lt;=1, "", _xlfn.STDEV.S(ABS(Resultados!D11),ABS(Resultados!N11),ABS(Resultados!X11),ABS(Resultados!AH11),ABS(Resultados!AR11),ABS(Resultados!BB11),ABS(Resultados!BL11),ABS(Resultados!BV11),ABS(Resultados!CF11),ABS(Resultados!CP11),ABS(Resultados!CZ11),ABS(Resultados!DJ11))/SQRT(COUNT(Resultados!D11,Resultados!N11,Resultados!X11,Resultados!AH11,Resultados!AR11,Resultados!BB11,Resultados!BL11,Resultados!BV11,Resultados!CF11,Resultados!CP11,Resultados!CZ11,Resultados!DJ11)))</f>
        <v>3.1657694103639264E-4</v>
      </c>
      <c r="E11">
        <f>IF(COUNT(Resultados!E11,Resultados!O11,Resultados!Y11,Resultados!AI11,Resultados!AS11,Resultados!BC11,Resultados!BM11,Resultados!BW11,Resultados!CG11,Resultados!CQ11,Resultados!DA11,Resultados!DK11)&lt;=1, "", _xlfn.STDEV.S(ABS(Resultados!E11),ABS(Resultados!O11),ABS(Resultados!Y11),ABS(Resultados!AI11),ABS(Resultados!AS11),ABS(Resultados!BC11),ABS(Resultados!BM11),ABS(Resultados!BW11),ABS(Resultados!CG11),ABS(Resultados!CQ11),ABS(Resultados!DA11),ABS(Resultados!DK11))/SQRT(COUNT(Resultados!E11,Resultados!O11,Resultados!Y11,Resultados!AI11,Resultados!AS11,Resultados!BC11,Resultados!BM11,Resultados!BW11,Resultados!CG11,Resultados!CQ11,Resultados!DA11,Resultados!DK11)))</f>
        <v>7.2278815757873038E-2</v>
      </c>
      <c r="F11">
        <f>IF(COUNT(Resultados!F11,Resultados!P11,Resultados!Z11,Resultados!AJ11,Resultados!AT11,Resultados!BD11,Resultados!BN11,Resultados!BX11,Resultados!CH11,Resultados!CR11,Resultados!DB11,Resultados!DL11)&lt;=1, "", _xlfn.STDEV.S(ABS(Resultados!F11),ABS(Resultados!P11),ABS(Resultados!Z11),ABS(Resultados!AJ11),ABS(Resultados!AT11),ABS(Resultados!BD11),ABS(Resultados!BN11),ABS(Resultados!BX11),ABS(Resultados!CH11),ABS(Resultados!CR11),ABS(Resultados!DB11),ABS(Resultados!DL11))/SQRT(COUNT(Resultados!F11,Resultados!P11,Resultados!Z11,Resultados!AJ11,Resultados!AT11,Resultados!BD11,Resultados!BN11,Resultados!BX11,Resultados!CH11,Resultados!CR11,Resultados!DB11,Resultados!DL11)))</f>
        <v>17.042191857754112</v>
      </c>
      <c r="G11">
        <f>IF(COUNT(Resultados!G11,Resultados!Q11,Resultados!AA11,Resultados!AK11,Resultados!AU11,Resultados!BE11,Resultados!BO11,Resultados!BY11,Resultados!CI11,Resultados!CS11,Resultados!DC11,Resultados!DM11)&lt;=1, "", _xlfn.STDEV.S(ABS(Resultados!G11),ABS(Resultados!Q11),ABS(Resultados!AA11),ABS(Resultados!AK11),ABS(Resultados!AU11),ABS(Resultados!BE11),ABS(Resultados!BO11),ABS(Resultados!BY11),ABS(Resultados!CI11),ABS(Resultados!CS11),ABS(Resultados!DC11),ABS(Resultados!DM11))/SQRT(COUNT(Resultados!G11,Resultados!Q11,Resultados!AA11,Resultados!AK11,Resultados!AU11,Resultados!BE11,Resultados!BO11,Resultados!BY11,Resultados!CI11,Resultados!CS11,Resultados!DC11,Resultados!DM11)))</f>
        <v>3.3474483693592253E-17</v>
      </c>
      <c r="H11">
        <f>IF(COUNT(Resultados!H11,Resultados!R11,Resultados!AB11,Resultados!AL11,Resultados!AV11,Resultados!BF11,Resultados!BP11,Resultados!BZ11,Resultados!CJ11,Resultados!CT11,Resultados!DD11,Resultados!DN11)&lt;=1, "", _xlfn.STDEV.S(ABS(Resultados!H11),ABS(Resultados!R11),ABS(Resultados!AB11),ABS(Resultados!AL11),ABS(Resultados!AV11),ABS(Resultados!BF11),ABS(Resultados!BP11),ABS(Resultados!BZ11),ABS(Resultados!CJ11),ABS(Resultados!CT11),ABS(Resultados!DD11),ABS(Resultados!DN11))/SQRT(COUNT(Resultados!H11,Resultados!R11,Resultados!AB11,Resultados!AL11,Resultados!AV11,Resultados!BF11,Resultados!BP11,Resultados!BZ11,Resultados!CJ11,Resultados!CT11,Resultados!DD11,Resultados!DN11)))</f>
        <v>1.1256956322939411E-3</v>
      </c>
      <c r="I11">
        <f>IF(COUNT(Resultados!I11,Resultados!S11,Resultados!AC11,Resultados!AM11,Resultados!AW11,Resultados!BG11,Resultados!BQ11,Resultados!CA11,Resultados!CK11,Resultados!CU11,Resultados!DE11,Resultados!DO11)&lt;=1, "", _xlfn.STDEV.S(ABS(Resultados!I11),ABS(Resultados!S11),ABS(Resultados!AC11),ABS(Resultados!AM11),ABS(Resultados!AW11),ABS(Resultados!BG11),ABS(Resultados!BQ11),ABS(Resultados!CA11),ABS(Resultados!CK11),ABS(Resultados!CU11),ABS(Resultados!DE11),ABS(Resultados!DO11))/SQRT(COUNT(Resultados!I11,Resultados!S11,Resultados!AC11,Resultados!AM11,Resultados!AW11,Resultados!BG11,Resultados!BQ11,Resultados!CA11,Resultados!CK11,Resultados!CU11,Resultados!DE11,Resultados!DO11)))</f>
        <v>8.3576931837547918E-4</v>
      </c>
      <c r="J11">
        <f>IF(COUNT(Resultados!J11,Resultados!T11,Resultados!AD11,Resultados!AN11,Resultados!AX11,Resultados!BH11,Resultados!BR11,Resultados!CB11,Resultados!CL11,Resultados!CV11,Resultados!DF11,Resultados!DP11)&lt;=1, "", _xlfn.STDEV.S(ABS(Resultados!J11),ABS(Resultados!T11),ABS(Resultados!AD11),ABS(Resultados!AN11),ABS(Resultados!AX11),ABS(Resultados!BH11),ABS(Resultados!BR11),ABS(Resultados!CB11),ABS(Resultados!CL11),ABS(Resultados!CV11),ABS(Resultados!DF11),ABS(Resultados!DP11))/SQRT(COUNT(Resultados!J11,Resultados!T11,Resultados!AD11,Resultados!AN11,Resultados!AX11,Resultados!BH11,Resultados!BR11,Resultados!CB11,Resultados!CL11,Resultados!CV11,Resultados!DF11,Resultados!DP11)))</f>
        <v>1.1256956322939411E-3</v>
      </c>
    </row>
    <row r="12" spans="1:10" x14ac:dyDescent="0.3">
      <c r="A12">
        <f>IF(COUNT(Resultados!A12,Resultados!K12,Resultados!U12,Resultados!AE12,Resultados!AO12,Resultados!AY12,Resultados!BI12,Resultados!BS12,Resultados!CC12,Resultados!CM12,Resultados!CW12,Resultados!DG12)&lt;=1, "", _xlfn.STDEV.S(ABS(Resultados!A12),ABS(Resultados!K12),ABS(Resultados!U12),ABS(Resultados!AE12),ABS(Resultados!AO12),ABS(Resultados!AY12),ABS(Resultados!BI12),ABS(Resultados!BS12),ABS(Resultados!CC12),ABS(Resultados!CM12),ABS(Resultados!CW12),ABS(Resultados!DG12))/SQRT(COUNT(Resultados!A12,Resultados!K12,Resultados!U12,Resultados!AE12,Resultados!AO12,Resultados!AY12,Resultados!BI12,Resultados!BS12,Resultados!CC12,Resultados!CM12,Resultados!CW12,Resultados!DG12)))</f>
        <v>0</v>
      </c>
      <c r="B12" t="str">
        <f>IF(COUNT(Resultados!B12,Resultados!L12,Resultados!V12,Resultados!AF12,Resultados!AP12,Resultados!AZ12,Resultados!BJ12,Resultados!BT12,Resultados!CD12,Resultados!CN12,Resultados!CX12,Resultados!DH12)&lt;=1, "", _xlfn.STDEV.S(ABS(Resultados!B12),ABS(Resultados!L12),ABS(Resultados!V12),ABS(Resultados!AF12),ABS(Resultados!AP12),ABS(Resultados!AZ12),ABS(Resultados!BJ12),ABS(Resultados!BT12),ABS(Resultados!CD12),ABS(Resultados!CN12),ABS(Resultados!CX12),ABS(Resultados!DH12))/SQRT(COUNT(Resultados!B12,Resultados!L12,Resultados!V12,Resultados!AF12,Resultados!AP12,Resultados!AZ12,Resultados!BJ12,Resultados!BT12,Resultados!CD12,Resultados!CN12,Resultados!CX12,Resultados!DH12)))</f>
        <v/>
      </c>
      <c r="C12">
        <f>IF(COUNT(Resultados!C12,Resultados!M12,Resultados!W12,Resultados!AG12,Resultados!AQ12,Resultados!BA12,Resultados!BK12,Resultados!BU12,Resultados!CE12,Resultados!CO12,Resultados!CY12,Resultados!DI12)&lt;=1, "", _xlfn.STDEV.S(ABS(Resultados!C12),ABS(Resultados!M12),ABS(Resultados!W12),ABS(Resultados!AG12),ABS(Resultados!AQ12),ABS(Resultados!BA12),ABS(Resultados!BK12),ABS(Resultados!BU12),ABS(Resultados!CE12),ABS(Resultados!CO12),ABS(Resultados!CY12),ABS(Resultados!DI12))/SQRT(COUNT(Resultados!C12,Resultados!M12,Resultados!W12,Resultados!AG12,Resultados!AQ12,Resultados!BA12,Resultados!BK12,Resultados!BU12,Resultados!CE12,Resultados!CO12,Resultados!CY12,Resultados!DI12)))</f>
        <v>0.45156853457049168</v>
      </c>
      <c r="D12">
        <f>IF(COUNT(Resultados!D12,Resultados!N12,Resultados!X12,Resultados!AH12,Resultados!AR12,Resultados!BB12,Resultados!BL12,Resultados!BV12,Resultados!CF12,Resultados!CP12,Resultados!CZ12,Resultados!DJ12)&lt;=1, "", _xlfn.STDEV.S(ABS(Resultados!D12),ABS(Resultados!N12),ABS(Resultados!X12),ABS(Resultados!AH12),ABS(Resultados!AR12),ABS(Resultados!BB12),ABS(Resultados!BL12),ABS(Resultados!BV12),ABS(Resultados!CF12),ABS(Resultados!CP12),ABS(Resultados!CZ12),ABS(Resultados!DJ12))/SQRT(COUNT(Resultados!D12,Resultados!N12,Resultados!X12,Resultados!AH12,Resultados!AR12,Resultados!BB12,Resultados!BL12,Resultados!BV12,Resultados!CF12,Resultados!CP12,Resultados!CZ12,Resultados!DJ12)))</f>
        <v>4.0561089977982849E-4</v>
      </c>
      <c r="E12">
        <f>IF(COUNT(Resultados!E12,Resultados!O12,Resultados!Y12,Resultados!AI12,Resultados!AS12,Resultados!BC12,Resultados!BM12,Resultados!BW12,Resultados!CG12,Resultados!CQ12,Resultados!DA12,Resultados!DK12)&lt;=1, "", _xlfn.STDEV.S(ABS(Resultados!E12),ABS(Resultados!O12),ABS(Resultados!Y12),ABS(Resultados!AI12),ABS(Resultados!AS12),ABS(Resultados!BC12),ABS(Resultados!BM12),ABS(Resultados!BW12),ABS(Resultados!CG12),ABS(Resultados!CQ12),ABS(Resultados!DA12),ABS(Resultados!DK12))/SQRT(COUNT(Resultados!E12,Resultados!O12,Resultados!Y12,Resultados!AI12,Resultados!AS12,Resultados!BC12,Resultados!BM12,Resultados!BW12,Resultados!CG12,Resultados!CQ12,Resultados!DA12,Resultados!DK12)))</f>
        <v>8.4063523354777431E-2</v>
      </c>
      <c r="F12">
        <f>IF(COUNT(Resultados!F12,Resultados!P12,Resultados!Z12,Resultados!AJ12,Resultados!AT12,Resultados!BD12,Resultados!BN12,Resultados!BX12,Resultados!CH12,Resultados!CR12,Resultados!DB12,Resultados!DL12)&lt;=1, "", _xlfn.STDEV.S(ABS(Resultados!F12),ABS(Resultados!P12),ABS(Resultados!Z12),ABS(Resultados!AJ12),ABS(Resultados!AT12),ABS(Resultados!BD12),ABS(Resultados!BN12),ABS(Resultados!BX12),ABS(Resultados!CH12),ABS(Resultados!CR12),ABS(Resultados!DB12),ABS(Resultados!DL12))/SQRT(COUNT(Resultados!F12,Resultados!P12,Resultados!Z12,Resultados!AJ12,Resultados!AT12,Resultados!BD12,Resultados!BN12,Resultados!BX12,Resultados!CH12,Resultados!CR12,Resultados!DB12,Resultados!DL12)))</f>
        <v>18.208690427242239</v>
      </c>
      <c r="G12">
        <f>IF(COUNT(Resultados!G12,Resultados!Q12,Resultados!AA12,Resultados!AK12,Resultados!AU12,Resultados!BE12,Resultados!BO12,Resultados!BY12,Resultados!CI12,Resultados!CS12,Resultados!DC12,Resultados!DM12)&lt;=1, "", _xlfn.STDEV.S(ABS(Resultados!G12),ABS(Resultados!Q12),ABS(Resultados!AA12),ABS(Resultados!AK12),ABS(Resultados!AU12),ABS(Resultados!BE12),ABS(Resultados!BO12),ABS(Resultados!BY12),ABS(Resultados!CI12),ABS(Resultados!CS12),ABS(Resultados!DC12),ABS(Resultados!DM12))/SQRT(COUNT(Resultados!G12,Resultados!Q12,Resultados!AA12,Resultados!AK12,Resultados!AU12,Resultados!BE12,Resultados!BO12,Resultados!BY12,Resultados!CI12,Resultados!CS12,Resultados!DC12,Resultados!DM12)))</f>
        <v>3.3474483693592253E-17</v>
      </c>
      <c r="H12">
        <f>IF(COUNT(Resultados!H12,Resultados!R12,Resultados!AB12,Resultados!AL12,Resultados!AV12,Resultados!BF12,Resultados!BP12,Resultados!BZ12,Resultados!CJ12,Resultados!CT12,Resultados!DD12,Resultados!DN12)&lt;=1, "", _xlfn.STDEV.S(ABS(Resultados!H12),ABS(Resultados!R12),ABS(Resultados!AB12),ABS(Resultados!AL12),ABS(Resultados!AV12),ABS(Resultados!BF12),ABS(Resultados!BP12),ABS(Resultados!BZ12),ABS(Resultados!CJ12),ABS(Resultados!CT12),ABS(Resultados!DD12),ABS(Resultados!DN12))/SQRT(COUNT(Resultados!H12,Resultados!R12,Resultados!AB12,Resultados!AL12,Resultados!AV12,Resultados!BF12,Resultados!BP12,Resultados!BZ12,Resultados!CJ12,Resultados!CT12,Resultados!DD12,Resultados!DN12)))</f>
        <v>1.3090858673443883E-3</v>
      </c>
      <c r="I12">
        <f>IF(COUNT(Resultados!I12,Resultados!S12,Resultados!AC12,Resultados!AM12,Resultados!AW12,Resultados!BG12,Resultados!BQ12,Resultados!CA12,Resultados!CK12,Resultados!CU12,Resultados!DE12,Resultados!DO12)&lt;=1, "", _xlfn.STDEV.S(ABS(Resultados!I12),ABS(Resultados!S12),ABS(Resultados!AC12),ABS(Resultados!AM12),ABS(Resultados!AW12),ABS(Resultados!BG12),ABS(Resultados!BQ12),ABS(Resultados!CA12),ABS(Resultados!CK12),ABS(Resultados!CU12),ABS(Resultados!DE12),ABS(Resultados!DO12))/SQRT(COUNT(Resultados!I12,Resultados!S12,Resultados!AC12,Resultados!AM12,Resultados!AW12,Resultados!BG12,Resultados!BQ12,Resultados!CA12,Resultados!CK12,Resultados!CU12,Resultados!DE12,Resultados!DO12)))</f>
        <v>1.1483283854409776E-3</v>
      </c>
      <c r="J12">
        <f>IF(COUNT(Resultados!J12,Resultados!T12,Resultados!AD12,Resultados!AN12,Resultados!AX12,Resultados!BH12,Resultados!BR12,Resultados!CB12,Resultados!CL12,Resultados!CV12,Resultados!DF12,Resultados!DP12)&lt;=1, "", _xlfn.STDEV.S(ABS(Resultados!J12),ABS(Resultados!T12),ABS(Resultados!AD12),ABS(Resultados!AN12),ABS(Resultados!AX12),ABS(Resultados!BH12),ABS(Resultados!BR12),ABS(Resultados!CB12),ABS(Resultados!CL12),ABS(Resultados!CV12),ABS(Resultados!DF12),ABS(Resultados!DP12))/SQRT(COUNT(Resultados!J12,Resultados!T12,Resultados!AD12,Resultados!AN12,Resultados!AX12,Resultados!BH12,Resultados!BR12,Resultados!CB12,Resultados!CL12,Resultados!CV12,Resultados!DF12,Resultados!DP12)))</f>
        <v>1.3090858673443883E-3</v>
      </c>
    </row>
    <row r="13" spans="1:10" x14ac:dyDescent="0.3">
      <c r="A13">
        <f>IF(COUNT(Resultados!A13,Resultados!K13,Resultados!U13,Resultados!AE13,Resultados!AO13,Resultados!AY13,Resultados!BI13,Resultados!BS13,Resultados!CC13,Resultados!CM13,Resultados!CW13,Resultados!DG13)&lt;=1, "", _xlfn.STDEV.S(ABS(Resultados!A13),ABS(Resultados!K13),ABS(Resultados!U13),ABS(Resultados!AE13),ABS(Resultados!AO13),ABS(Resultados!AY13),ABS(Resultados!BI13),ABS(Resultados!BS13),ABS(Resultados!CC13),ABS(Resultados!CM13),ABS(Resultados!CW13),ABS(Resultados!DG13))/SQRT(COUNT(Resultados!A13,Resultados!K13,Resultados!U13,Resultados!AE13,Resultados!AO13,Resultados!AY13,Resultados!BI13,Resultados!BS13,Resultados!CC13,Resultados!CM13,Resultados!CW13,Resultados!DG13)))</f>
        <v>0</v>
      </c>
      <c r="B13" t="str">
        <f>IF(COUNT(Resultados!B13,Resultados!L13,Resultados!V13,Resultados!AF13,Resultados!AP13,Resultados!AZ13,Resultados!BJ13,Resultados!BT13,Resultados!CD13,Resultados!CN13,Resultados!CX13,Resultados!DH13)&lt;=1, "", _xlfn.STDEV.S(ABS(Resultados!B13),ABS(Resultados!L13),ABS(Resultados!V13),ABS(Resultados!AF13),ABS(Resultados!AP13),ABS(Resultados!AZ13),ABS(Resultados!BJ13),ABS(Resultados!BT13),ABS(Resultados!CD13),ABS(Resultados!CN13),ABS(Resultados!CX13),ABS(Resultados!DH13))/SQRT(COUNT(Resultados!B13,Resultados!L13,Resultados!V13,Resultados!AF13,Resultados!AP13,Resultados!AZ13,Resultados!BJ13,Resultados!BT13,Resultados!CD13,Resultados!CN13,Resultados!CX13,Resultados!DH13)))</f>
        <v/>
      </c>
      <c r="C13">
        <f>IF(COUNT(Resultados!C13,Resultados!M13,Resultados!W13,Resultados!AG13,Resultados!AQ13,Resultados!BA13,Resultados!BK13,Resultados!BU13,Resultados!CE13,Resultados!CO13,Resultados!CY13,Resultados!DI13)&lt;=1, "", _xlfn.STDEV.S(ABS(Resultados!C13),ABS(Resultados!M13),ABS(Resultados!W13),ABS(Resultados!AG13),ABS(Resultados!AQ13),ABS(Resultados!BA13),ABS(Resultados!BK13),ABS(Resultados!BU13),ABS(Resultados!CE13),ABS(Resultados!CO13),ABS(Resultados!CY13),ABS(Resultados!DI13))/SQRT(COUNT(Resultados!C13,Resultados!M13,Resultados!W13,Resultados!AG13,Resultados!AQ13,Resultados!BA13,Resultados!BK13,Resultados!BU13,Resultados!CE13,Resultados!CO13,Resultados!CY13,Resultados!DI13)))</f>
        <v>0.45156853457049168</v>
      </c>
      <c r="D13">
        <f>IF(COUNT(Resultados!D13,Resultados!N13,Resultados!X13,Resultados!AH13,Resultados!AR13,Resultados!BB13,Resultados!BL13,Resultados!BV13,Resultados!CF13,Resultados!CP13,Resultados!CZ13,Resultados!DJ13)&lt;=1, "", _xlfn.STDEV.S(ABS(Resultados!D13),ABS(Resultados!N13),ABS(Resultados!X13),ABS(Resultados!AH13),ABS(Resultados!AR13),ABS(Resultados!BB13),ABS(Resultados!BL13),ABS(Resultados!BV13),ABS(Resultados!CF13),ABS(Resultados!CP13),ABS(Resultados!CZ13),ABS(Resultados!DJ13))/SQRT(COUNT(Resultados!D13,Resultados!N13,Resultados!X13,Resultados!AH13,Resultados!AR13,Resultados!BB13,Resultados!BL13,Resultados!BV13,Resultados!CF13,Resultados!CP13,Resultados!CZ13,Resultados!DJ13)))</f>
        <v>5.242780028214271E-4</v>
      </c>
      <c r="E13">
        <f>IF(COUNT(Resultados!E13,Resultados!O13,Resultados!Y13,Resultados!AI13,Resultados!AS13,Resultados!BC13,Resultados!BM13,Resultados!BW13,Resultados!CG13,Resultados!CQ13,Resultados!DA13,Resultados!DK13)&lt;=1, "", _xlfn.STDEV.S(ABS(Resultados!E13),ABS(Resultados!O13),ABS(Resultados!Y13),ABS(Resultados!AI13),ABS(Resultados!AS13),ABS(Resultados!BC13),ABS(Resultados!BM13),ABS(Resultados!BW13),ABS(Resultados!CG13),ABS(Resultados!CQ13),ABS(Resultados!DA13),ABS(Resultados!DK13))/SQRT(COUNT(Resultados!E13,Resultados!O13,Resultados!Y13,Resultados!AI13,Resultados!AS13,Resultados!BC13,Resultados!BM13,Resultados!BW13,Resultados!CG13,Resultados!CQ13,Resultados!DA13,Resultados!DK13)))</f>
        <v>9.4610619496133017E-2</v>
      </c>
      <c r="F13">
        <f>IF(COUNT(Resultados!F13,Resultados!P13,Resultados!Z13,Resultados!AJ13,Resultados!AT13,Resultados!BD13,Resultados!BN13,Resultados!BX13,Resultados!CH13,Resultados!CR13,Resultados!DB13,Resultados!DL13)&lt;=1, "", _xlfn.STDEV.S(ABS(Resultados!F13),ABS(Resultados!P13),ABS(Resultados!Z13),ABS(Resultados!AJ13),ABS(Resultados!AT13),ABS(Resultados!BD13),ABS(Resultados!BN13),ABS(Resultados!BX13),ABS(Resultados!CH13),ABS(Resultados!CR13),ABS(Resultados!DB13),ABS(Resultados!DL13))/SQRT(COUNT(Resultados!F13,Resultados!P13,Resultados!Z13,Resultados!AJ13,Resultados!AT13,Resultados!BD13,Resultados!BN13,Resultados!BX13,Resultados!CH13,Resultados!CR13,Resultados!DB13,Resultados!DL13)))</f>
        <v>15.275168927874578</v>
      </c>
      <c r="G13">
        <f>IF(COUNT(Resultados!G13,Resultados!Q13,Resultados!AA13,Resultados!AK13,Resultados!AU13,Resultados!BE13,Resultados!BO13,Resultados!BY13,Resultados!CI13,Resultados!CS13,Resultados!DC13,Resultados!DM13)&lt;=1, "", _xlfn.STDEV.S(ABS(Resultados!G13),ABS(Resultados!Q13),ABS(Resultados!AA13),ABS(Resultados!AK13),ABS(Resultados!AU13),ABS(Resultados!BE13),ABS(Resultados!BO13),ABS(Resultados!BY13),ABS(Resultados!CI13),ABS(Resultados!CS13),ABS(Resultados!DC13),ABS(Resultados!DM13))/SQRT(COUNT(Resultados!G13,Resultados!Q13,Resultados!AA13,Resultados!AK13,Resultados!AU13,Resultados!BE13,Resultados!BO13,Resultados!BY13,Resultados!CI13,Resultados!CS13,Resultados!DC13,Resultados!DM13)))</f>
        <v>3.3474483693592253E-17</v>
      </c>
      <c r="H13">
        <f>IF(COUNT(Resultados!H13,Resultados!R13,Resultados!AB13,Resultados!AL13,Resultados!AV13,Resultados!BF13,Resultados!BP13,Resultados!BZ13,Resultados!CJ13,Resultados!CT13,Resultados!DD13,Resultados!DN13)&lt;=1, "", _xlfn.STDEV.S(ABS(Resultados!H13),ABS(Resultados!R13),ABS(Resultados!AB13),ABS(Resultados!AL13),ABS(Resultados!AV13),ABS(Resultados!BF13),ABS(Resultados!BP13),ABS(Resultados!BZ13),ABS(Resultados!CJ13),ABS(Resultados!CT13),ABS(Resultados!DD13),ABS(Resultados!DN13))/SQRT(COUNT(Resultados!H13,Resultados!R13,Resultados!AB13,Resultados!AL13,Resultados!AV13,Resultados!BF13,Resultados!BP13,Resultados!BZ13,Resultados!CJ13,Resultados!CT13,Resultados!DD13,Resultados!DN13)))</f>
        <v>1.471863640340903E-3</v>
      </c>
      <c r="I13">
        <f>IF(COUNT(Resultados!I13,Resultados!S13,Resultados!AC13,Resultados!AM13,Resultados!AW13,Resultados!BG13,Resultados!BQ13,Resultados!CA13,Resultados!CK13,Resultados!CU13,Resultados!DE13,Resultados!DO13)&lt;=1, "", _xlfn.STDEV.S(ABS(Resultados!I13),ABS(Resultados!S13),ABS(Resultados!AC13),ABS(Resultados!AM13),ABS(Resultados!AW13),ABS(Resultados!BG13),ABS(Resultados!BQ13),ABS(Resultados!CA13),ABS(Resultados!CK13),ABS(Resultados!CU13),ABS(Resultados!DE13),ABS(Resultados!DO13))/SQRT(COUNT(Resultados!I13,Resultados!S13,Resultados!AC13,Resultados!AM13,Resultados!AW13,Resultados!BG13,Resultados!BQ13,Resultados!CA13,Resultados!CK13,Resultados!CU13,Resultados!DE13,Resultados!DO13)))</f>
        <v>1.0018573660058238E-3</v>
      </c>
      <c r="J13">
        <f>IF(COUNT(Resultados!J13,Resultados!T13,Resultados!AD13,Resultados!AN13,Resultados!AX13,Resultados!BH13,Resultados!BR13,Resultados!CB13,Resultados!CL13,Resultados!CV13,Resultados!DF13,Resultados!DP13)&lt;=1, "", _xlfn.STDEV.S(ABS(Resultados!J13),ABS(Resultados!T13),ABS(Resultados!AD13),ABS(Resultados!AN13),ABS(Resultados!AX13),ABS(Resultados!BH13),ABS(Resultados!BR13),ABS(Resultados!CB13),ABS(Resultados!CL13),ABS(Resultados!CV13),ABS(Resultados!DF13),ABS(Resultados!DP13))/SQRT(COUNT(Resultados!J13,Resultados!T13,Resultados!AD13,Resultados!AN13,Resultados!AX13,Resultados!BH13,Resultados!BR13,Resultados!CB13,Resultados!CL13,Resultados!CV13,Resultados!DF13,Resultados!DP13)))</f>
        <v>1.471863640340903E-3</v>
      </c>
    </row>
    <row r="14" spans="1:10" x14ac:dyDescent="0.3">
      <c r="A14">
        <f>IF(COUNT(Resultados!A14,Resultados!K14,Resultados!U14,Resultados!AE14,Resultados!AO14,Resultados!AY14,Resultados!BI14,Resultados!BS14,Resultados!CC14,Resultados!CM14,Resultados!CW14,Resultados!DG14)&lt;=1, "", _xlfn.STDEV.S(ABS(Resultados!A14),ABS(Resultados!K14),ABS(Resultados!U14),ABS(Resultados!AE14),ABS(Resultados!AO14),ABS(Resultados!AY14),ABS(Resultados!BI14),ABS(Resultados!BS14),ABS(Resultados!CC14),ABS(Resultados!CM14),ABS(Resultados!CW14),ABS(Resultados!DG14))/SQRT(COUNT(Resultados!A14,Resultados!K14,Resultados!U14,Resultados!AE14,Resultados!AO14,Resultados!AY14,Resultados!BI14,Resultados!BS14,Resultados!CC14,Resultados!CM14,Resultados!CW14,Resultados!DG14)))</f>
        <v>0</v>
      </c>
      <c r="B14" t="str">
        <f>IF(COUNT(Resultados!B14,Resultados!L14,Resultados!V14,Resultados!AF14,Resultados!AP14,Resultados!AZ14,Resultados!BJ14,Resultados!BT14,Resultados!CD14,Resultados!CN14,Resultados!CX14,Resultados!DH14)&lt;=1, "", _xlfn.STDEV.S(ABS(Resultados!B14),ABS(Resultados!L14),ABS(Resultados!V14),ABS(Resultados!AF14),ABS(Resultados!AP14),ABS(Resultados!AZ14),ABS(Resultados!BJ14),ABS(Resultados!BT14),ABS(Resultados!CD14),ABS(Resultados!CN14),ABS(Resultados!CX14),ABS(Resultados!DH14))/SQRT(COUNT(Resultados!B14,Resultados!L14,Resultados!V14,Resultados!AF14,Resultados!AP14,Resultados!AZ14,Resultados!BJ14,Resultados!BT14,Resultados!CD14,Resultados!CN14,Resultados!CX14,Resultados!DH14)))</f>
        <v/>
      </c>
      <c r="C14">
        <f>IF(COUNT(Resultados!C14,Resultados!M14,Resultados!W14,Resultados!AG14,Resultados!AQ14,Resultados!BA14,Resultados!BK14,Resultados!BU14,Resultados!CE14,Resultados!CO14,Resultados!CY14,Resultados!DI14)&lt;=1, "", _xlfn.STDEV.S(ABS(Resultados!C14),ABS(Resultados!M14),ABS(Resultados!W14),ABS(Resultados!AG14),ABS(Resultados!AQ14),ABS(Resultados!BA14),ABS(Resultados!BK14),ABS(Resultados!BU14),ABS(Resultados!CE14),ABS(Resultados!CO14),ABS(Resultados!CY14),ABS(Resultados!DI14))/SQRT(COUNT(Resultados!C14,Resultados!M14,Resultados!W14,Resultados!AG14,Resultados!AQ14,Resultados!BA14,Resultados!BK14,Resultados!BU14,Resultados!CE14,Resultados!CO14,Resultados!CY14,Resultados!DI14)))</f>
        <v>0.45156853457049168</v>
      </c>
      <c r="D14">
        <f>IF(COUNT(Resultados!D14,Resultados!N14,Resultados!X14,Resultados!AH14,Resultados!AR14,Resultados!BB14,Resultados!BL14,Resultados!BV14,Resultados!CF14,Resultados!CP14,Resultados!CZ14,Resultados!DJ14)&lt;=1, "", _xlfn.STDEV.S(ABS(Resultados!D14),ABS(Resultados!N14),ABS(Resultados!X14),ABS(Resultados!AH14),ABS(Resultados!AR14),ABS(Resultados!BB14),ABS(Resultados!BL14),ABS(Resultados!BV14),ABS(Resultados!CF14),ABS(Resultados!CP14),ABS(Resultados!CZ14),ABS(Resultados!DJ14))/SQRT(COUNT(Resultados!D14,Resultados!N14,Resultados!X14,Resultados!AH14,Resultados!AR14,Resultados!BB14,Resultados!BL14,Resultados!BV14,Resultados!CF14,Resultados!CP14,Resultados!CZ14,Resultados!DJ14)))</f>
        <v>7.318985619951063E-4</v>
      </c>
      <c r="E14">
        <f>IF(COUNT(Resultados!E14,Resultados!O14,Resultados!Y14,Resultados!AI14,Resultados!AS14,Resultados!BC14,Resultados!BM14,Resultados!BW14,Resultados!CG14,Resultados!CQ14,Resultados!DA14,Resultados!DK14)&lt;=1, "", _xlfn.STDEV.S(ABS(Resultados!E14),ABS(Resultados!O14),ABS(Resultados!Y14),ABS(Resultados!AI14),ABS(Resultados!AS14),ABS(Resultados!BC14),ABS(Resultados!BM14),ABS(Resultados!BW14),ABS(Resultados!CG14),ABS(Resultados!CQ14),ABS(Resultados!DA14),ABS(Resultados!DK14))/SQRT(COUNT(Resultados!E14,Resultados!O14,Resultados!Y14,Resultados!AI14,Resultados!AS14,Resultados!BC14,Resultados!BM14,Resultados!BW14,Resultados!CG14,Resultados!CQ14,Resultados!DA14,Resultados!DK14)))</f>
        <v>0.10383264585032306</v>
      </c>
      <c r="F14">
        <f>IF(COUNT(Resultados!F14,Resultados!P14,Resultados!Z14,Resultados!AJ14,Resultados!AT14,Resultados!BD14,Resultados!BN14,Resultados!BX14,Resultados!CH14,Resultados!CR14,Resultados!DB14,Resultados!DL14)&lt;=1, "", _xlfn.STDEV.S(ABS(Resultados!F14),ABS(Resultados!P14),ABS(Resultados!Z14),ABS(Resultados!AJ14),ABS(Resultados!AT14),ABS(Resultados!BD14),ABS(Resultados!BN14),ABS(Resultados!BX14),ABS(Resultados!CH14),ABS(Resultados!CR14),ABS(Resultados!DB14),ABS(Resultados!DL14))/SQRT(COUNT(Resultados!F14,Resultados!P14,Resultados!Z14,Resultados!AJ14,Resultados!AT14,Resultados!BD14,Resultados!BN14,Resultados!BX14,Resultados!CH14,Resultados!CR14,Resultados!DB14,Resultados!DL14)))</f>
        <v>16.196882063289738</v>
      </c>
      <c r="G14">
        <f>IF(COUNT(Resultados!G14,Resultados!Q14,Resultados!AA14,Resultados!AK14,Resultados!AU14,Resultados!BE14,Resultados!BO14,Resultados!BY14,Resultados!CI14,Resultados!CS14,Resultados!DC14,Resultados!DM14)&lt;=1, "", _xlfn.STDEV.S(ABS(Resultados!G14),ABS(Resultados!Q14),ABS(Resultados!AA14),ABS(Resultados!AK14),ABS(Resultados!AU14),ABS(Resultados!BE14),ABS(Resultados!BO14),ABS(Resultados!BY14),ABS(Resultados!CI14),ABS(Resultados!CS14),ABS(Resultados!DC14),ABS(Resultados!DM14))/SQRT(COUNT(Resultados!G14,Resultados!Q14,Resultados!AA14,Resultados!AK14,Resultados!AU14,Resultados!BE14,Resultados!BO14,Resultados!BY14,Resultados!CI14,Resultados!CS14,Resultados!DC14,Resultados!DM14)))</f>
        <v>3.3474483693592253E-17</v>
      </c>
      <c r="H14">
        <f>IF(COUNT(Resultados!H14,Resultados!R14,Resultados!AB14,Resultados!AL14,Resultados!AV14,Resultados!BF14,Resultados!BP14,Resultados!BZ14,Resultados!CJ14,Resultados!CT14,Resultados!DD14,Resultados!DN14)&lt;=1, "", _xlfn.STDEV.S(ABS(Resultados!H14),ABS(Resultados!R14),ABS(Resultados!AB14),ABS(Resultados!AL14),ABS(Resultados!AV14),ABS(Resultados!BF14),ABS(Resultados!BP14),ABS(Resultados!BZ14),ABS(Resultados!CJ14),ABS(Resultados!CT14),ABS(Resultados!DD14),ABS(Resultados!DN14))/SQRT(COUNT(Resultados!H14,Resultados!R14,Resultados!AB14,Resultados!AL14,Resultados!AV14,Resultados!BF14,Resultados!BP14,Resultados!BZ14,Resultados!CJ14,Resultados!CT14,Resultados!DD14,Resultados!DN14)))</f>
        <v>1.6138349927543355E-3</v>
      </c>
      <c r="I14">
        <f>IF(COUNT(Resultados!I14,Resultados!S14,Resultados!AC14,Resultados!AM14,Resultados!AW14,Resultados!BG14,Resultados!BQ14,Resultados!CA14,Resultados!CK14,Resultados!CU14,Resultados!DE14,Resultados!DO14)&lt;=1, "", _xlfn.STDEV.S(ABS(Resultados!I14),ABS(Resultados!S14),ABS(Resultados!AC14),ABS(Resultados!AM14),ABS(Resultados!AW14),ABS(Resultados!BG14),ABS(Resultados!BQ14),ABS(Resultados!CA14),ABS(Resultados!CK14),ABS(Resultados!CU14),ABS(Resultados!DE14),ABS(Resultados!DO14))/SQRT(COUNT(Resultados!I14,Resultados!S14,Resultados!AC14,Resultados!AM14,Resultados!AW14,Resultados!BG14,Resultados!BQ14,Resultados!CA14,Resultados!CK14,Resultados!CU14,Resultados!DE14,Resultados!DO14)))</f>
        <v>1.0636753451592552E-3</v>
      </c>
      <c r="J14">
        <f>IF(COUNT(Resultados!J14,Resultados!T14,Resultados!AD14,Resultados!AN14,Resultados!AX14,Resultados!BH14,Resultados!BR14,Resultados!CB14,Resultados!CL14,Resultados!CV14,Resultados!DF14,Resultados!DP14)&lt;=1, "", _xlfn.STDEV.S(ABS(Resultados!J14),ABS(Resultados!T14),ABS(Resultados!AD14),ABS(Resultados!AN14),ABS(Resultados!AX14),ABS(Resultados!BH14),ABS(Resultados!BR14),ABS(Resultados!CB14),ABS(Resultados!CL14),ABS(Resultados!CV14),ABS(Resultados!DF14),ABS(Resultados!DP14))/SQRT(COUNT(Resultados!J14,Resultados!T14,Resultados!AD14,Resultados!AN14,Resultados!AX14,Resultados!BH14,Resultados!BR14,Resultados!CB14,Resultados!CL14,Resultados!CV14,Resultados!DF14,Resultados!DP14)))</f>
        <v>1.6138349927543355E-3</v>
      </c>
    </row>
    <row r="15" spans="1:10" x14ac:dyDescent="0.3">
      <c r="A15">
        <f>IF(COUNT(Resultados!A15,Resultados!K15,Resultados!U15,Resultados!AE15,Resultados!AO15,Resultados!AY15,Resultados!BI15,Resultados!BS15,Resultados!CC15,Resultados!CM15,Resultados!CW15,Resultados!DG15)&lt;=1, "", _xlfn.STDEV.S(ABS(Resultados!A15),ABS(Resultados!K15),ABS(Resultados!U15),ABS(Resultados!AE15),ABS(Resultados!AO15),ABS(Resultados!AY15),ABS(Resultados!BI15),ABS(Resultados!BS15),ABS(Resultados!CC15),ABS(Resultados!CM15),ABS(Resultados!CW15),ABS(Resultados!DG15))/SQRT(COUNT(Resultados!A15,Resultados!K15,Resultados!U15,Resultados!AE15,Resultados!AO15,Resultados!AY15,Resultados!BI15,Resultados!BS15,Resultados!CC15,Resultados!CM15,Resultados!CW15,Resultados!DG15)))</f>
        <v>0</v>
      </c>
      <c r="B15" t="str">
        <f>IF(COUNT(Resultados!B15,Resultados!L15,Resultados!V15,Resultados!AF15,Resultados!AP15,Resultados!AZ15,Resultados!BJ15,Resultados!BT15,Resultados!CD15,Resultados!CN15,Resultados!CX15,Resultados!DH15)&lt;=1, "", _xlfn.STDEV.S(ABS(Resultados!B15),ABS(Resultados!L15),ABS(Resultados!V15),ABS(Resultados!AF15),ABS(Resultados!AP15),ABS(Resultados!AZ15),ABS(Resultados!BJ15),ABS(Resultados!BT15),ABS(Resultados!CD15),ABS(Resultados!CN15),ABS(Resultados!CX15),ABS(Resultados!DH15))/SQRT(COUNT(Resultados!B15,Resultados!L15,Resultados!V15,Resultados!AF15,Resultados!AP15,Resultados!AZ15,Resultados!BJ15,Resultados!BT15,Resultados!CD15,Resultados!CN15,Resultados!CX15,Resultados!DH15)))</f>
        <v/>
      </c>
      <c r="C15">
        <f>IF(COUNT(Resultados!C15,Resultados!M15,Resultados!W15,Resultados!AG15,Resultados!AQ15,Resultados!BA15,Resultados!BK15,Resultados!BU15,Resultados!CE15,Resultados!CO15,Resultados!CY15,Resultados!DI15)&lt;=1, "", _xlfn.STDEV.S(ABS(Resultados!C15),ABS(Resultados!M15),ABS(Resultados!W15),ABS(Resultados!AG15),ABS(Resultados!AQ15),ABS(Resultados!BA15),ABS(Resultados!BK15),ABS(Resultados!BU15),ABS(Resultados!CE15),ABS(Resultados!CO15),ABS(Resultados!CY15),ABS(Resultados!DI15))/SQRT(COUNT(Resultados!C15,Resultados!M15,Resultados!W15,Resultados!AG15,Resultados!AQ15,Resultados!BA15,Resultados!BK15,Resultados!BU15,Resultados!CE15,Resultados!CO15,Resultados!CY15,Resultados!DI15)))</f>
        <v>0.45156853457049168</v>
      </c>
      <c r="D15">
        <f>IF(COUNT(Resultados!D15,Resultados!N15,Resultados!X15,Resultados!AH15,Resultados!AR15,Resultados!BB15,Resultados!BL15,Resultados!BV15,Resultados!CF15,Resultados!CP15,Resultados!CZ15,Resultados!DJ15)&lt;=1, "", _xlfn.STDEV.S(ABS(Resultados!D15),ABS(Resultados!N15),ABS(Resultados!X15),ABS(Resultados!AH15),ABS(Resultados!AR15),ABS(Resultados!BB15),ABS(Resultados!BL15),ABS(Resultados!BV15),ABS(Resultados!CF15),ABS(Resultados!CP15),ABS(Resultados!CZ15),ABS(Resultados!DJ15))/SQRT(COUNT(Resultados!D15,Resultados!N15,Resultados!X15,Resultados!AH15,Resultados!AR15,Resultados!BB15,Resultados!BL15,Resultados!BV15,Resultados!CF15,Resultados!CP15,Resultados!CZ15,Resultados!DJ15)))</f>
        <v>9.4035172336544542E-4</v>
      </c>
      <c r="E15">
        <f>IF(COUNT(Resultados!E15,Resultados!O15,Resultados!Y15,Resultados!AI15,Resultados!AS15,Resultados!BC15,Resultados!BM15,Resultados!BW15,Resultados!CG15,Resultados!CQ15,Resultados!DA15,Resultados!DK15)&lt;=1, "", _xlfn.STDEV.S(ABS(Resultados!E15),ABS(Resultados!O15),ABS(Resultados!Y15),ABS(Resultados!AI15),ABS(Resultados!AS15),ABS(Resultados!BC15),ABS(Resultados!BM15),ABS(Resultados!BW15),ABS(Resultados!CG15),ABS(Resultados!CQ15),ABS(Resultados!DA15),ABS(Resultados!DK15))/SQRT(COUNT(Resultados!E15,Resultados!O15,Resultados!Y15,Resultados!AI15,Resultados!AS15,Resultados!BC15,Resultados!BM15,Resultados!BW15,Resultados!CG15,Resultados!CQ15,Resultados!DA15,Resultados!DK15)))</f>
        <v>0.11149945032080147</v>
      </c>
      <c r="F15">
        <f>IF(COUNT(Resultados!F15,Resultados!P15,Resultados!Z15,Resultados!AJ15,Resultados!AT15,Resultados!BD15,Resultados!BN15,Resultados!BX15,Resultados!CH15,Resultados!CR15,Resultados!DB15,Resultados!DL15)&lt;=1, "", _xlfn.STDEV.S(ABS(Resultados!F15),ABS(Resultados!P15),ABS(Resultados!Z15),ABS(Resultados!AJ15),ABS(Resultados!AT15),ABS(Resultados!BD15),ABS(Resultados!BN15),ABS(Resultados!BX15),ABS(Resultados!CH15),ABS(Resultados!CR15),ABS(Resultados!DB15),ABS(Resultados!DL15))/SQRT(COUNT(Resultados!F15,Resultados!P15,Resultados!Z15,Resultados!AJ15,Resultados!AT15,Resultados!BD15,Resultados!BN15,Resultados!BX15,Resultados!CH15,Resultados!CR15,Resultados!DB15,Resultados!DL15)))</f>
        <v>17.018726059193654</v>
      </c>
      <c r="G15">
        <f>IF(COUNT(Resultados!G15,Resultados!Q15,Resultados!AA15,Resultados!AK15,Resultados!AU15,Resultados!BE15,Resultados!BO15,Resultados!BY15,Resultados!CI15,Resultados!CS15,Resultados!DC15,Resultados!DM15)&lt;=1, "", _xlfn.STDEV.S(ABS(Resultados!G15),ABS(Resultados!Q15),ABS(Resultados!AA15),ABS(Resultados!AK15),ABS(Resultados!AU15),ABS(Resultados!BE15),ABS(Resultados!BO15),ABS(Resultados!BY15),ABS(Resultados!CI15),ABS(Resultados!CS15),ABS(Resultados!DC15),ABS(Resultados!DM15))/SQRT(COUNT(Resultados!G15,Resultados!Q15,Resultados!AA15,Resultados!AK15,Resultados!AU15,Resultados!BE15,Resultados!BO15,Resultados!BY15,Resultados!CI15,Resultados!CS15,Resultados!DC15,Resultados!DM15)))</f>
        <v>3.3474483693592253E-17</v>
      </c>
      <c r="H15">
        <f>IF(COUNT(Resultados!H15,Resultados!R15,Resultados!AB15,Resultados!AL15,Resultados!AV15,Resultados!BF15,Resultados!BP15,Resultados!BZ15,Resultados!CJ15,Resultados!CT15,Resultados!DD15,Resultados!DN15)&lt;=1, "", _xlfn.STDEV.S(ABS(Resultados!H15),ABS(Resultados!R15),ABS(Resultados!AB15),ABS(Resultados!AL15),ABS(Resultados!AV15),ABS(Resultados!BF15),ABS(Resultados!BP15),ABS(Resultados!BZ15),ABS(Resultados!CJ15),ABS(Resultados!CT15),ABS(Resultados!DD15),ABS(Resultados!DN15))/SQRT(COUNT(Resultados!H15,Resultados!R15,Resultados!AB15,Resultados!AL15,Resultados!AV15,Resultados!BF15,Resultados!BP15,Resultados!BZ15,Resultados!CJ15,Resultados!CT15,Resultados!DD15,Resultados!DN15)))</f>
        <v>1.7385266024639216E-3</v>
      </c>
      <c r="I15">
        <f>IF(COUNT(Resultados!I15,Resultados!S15,Resultados!AC15,Resultados!AM15,Resultados!AW15,Resultados!BG15,Resultados!BQ15,Resultados!CA15,Resultados!CK15,Resultados!CU15,Resultados!DE15,Resultados!DO15)&lt;=1, "", _xlfn.STDEV.S(ABS(Resultados!I15),ABS(Resultados!S15),ABS(Resultados!AC15),ABS(Resultados!AM15),ABS(Resultados!AW15),ABS(Resultados!BG15),ABS(Resultados!BQ15),ABS(Resultados!CA15),ABS(Resultados!CK15),ABS(Resultados!CU15),ABS(Resultados!DE15),ABS(Resultados!DO15))/SQRT(COUNT(Resultados!I15,Resultados!S15,Resultados!AC15,Resultados!AM15,Resultados!AW15,Resultados!BG15,Resultados!BQ15,Resultados!CA15,Resultados!CK15,Resultados!CU15,Resultados!DE15,Resultados!DO15)))</f>
        <v>6.2362859641316353E-4</v>
      </c>
      <c r="J15">
        <f>IF(COUNT(Resultados!J15,Resultados!T15,Resultados!AD15,Resultados!AN15,Resultados!AX15,Resultados!BH15,Resultados!BR15,Resultados!CB15,Resultados!CL15,Resultados!CV15,Resultados!DF15,Resultados!DP15)&lt;=1, "", _xlfn.STDEV.S(ABS(Resultados!J15),ABS(Resultados!T15),ABS(Resultados!AD15),ABS(Resultados!AN15),ABS(Resultados!AX15),ABS(Resultados!BH15),ABS(Resultados!BR15),ABS(Resultados!CB15),ABS(Resultados!CL15),ABS(Resultados!CV15),ABS(Resultados!DF15),ABS(Resultados!DP15))/SQRT(COUNT(Resultados!J15,Resultados!T15,Resultados!AD15,Resultados!AN15,Resultados!AX15,Resultados!BH15,Resultados!BR15,Resultados!CB15,Resultados!CL15,Resultados!CV15,Resultados!DF15,Resultados!DP15)))</f>
        <v>1.7385266024639216E-3</v>
      </c>
    </row>
    <row r="16" spans="1:10" x14ac:dyDescent="0.3">
      <c r="A16">
        <f>IF(COUNT(Resultados!A16,Resultados!K16,Resultados!U16,Resultados!AE16,Resultados!AO16,Resultados!AY16,Resultados!BI16,Resultados!BS16,Resultados!CC16,Resultados!CM16,Resultados!CW16,Resultados!DG16)&lt;=1, "", _xlfn.STDEV.S(ABS(Resultados!A16),ABS(Resultados!K16),ABS(Resultados!U16),ABS(Resultados!AE16),ABS(Resultados!AO16),ABS(Resultados!AY16),ABS(Resultados!BI16),ABS(Resultados!BS16),ABS(Resultados!CC16),ABS(Resultados!CM16),ABS(Resultados!CW16),ABS(Resultados!DG16))/SQRT(COUNT(Resultados!A16,Resultados!K16,Resultados!U16,Resultados!AE16,Resultados!AO16,Resultados!AY16,Resultados!BI16,Resultados!BS16,Resultados!CC16,Resultados!CM16,Resultados!CW16,Resultados!DG16)))</f>
        <v>0</v>
      </c>
      <c r="B16" t="str">
        <f>IF(COUNT(Resultados!B16,Resultados!L16,Resultados!V16,Resultados!AF16,Resultados!AP16,Resultados!AZ16,Resultados!BJ16,Resultados!BT16,Resultados!CD16,Resultados!CN16,Resultados!CX16,Resultados!DH16)&lt;=1, "", _xlfn.STDEV.S(ABS(Resultados!B16),ABS(Resultados!L16),ABS(Resultados!V16),ABS(Resultados!AF16),ABS(Resultados!AP16),ABS(Resultados!AZ16),ABS(Resultados!BJ16),ABS(Resultados!BT16),ABS(Resultados!CD16),ABS(Resultados!CN16),ABS(Resultados!CX16),ABS(Resultados!DH16))/SQRT(COUNT(Resultados!B16,Resultados!L16,Resultados!V16,Resultados!AF16,Resultados!AP16,Resultados!AZ16,Resultados!BJ16,Resultados!BT16,Resultados!CD16,Resultados!CN16,Resultados!CX16,Resultados!DH16)))</f>
        <v/>
      </c>
      <c r="C16">
        <f>IF(COUNT(Resultados!C16,Resultados!M16,Resultados!W16,Resultados!AG16,Resultados!AQ16,Resultados!BA16,Resultados!BK16,Resultados!BU16,Resultados!CE16,Resultados!CO16,Resultados!CY16,Resultados!DI16)&lt;=1, "", _xlfn.STDEV.S(ABS(Resultados!C16),ABS(Resultados!M16),ABS(Resultados!W16),ABS(Resultados!AG16),ABS(Resultados!AQ16),ABS(Resultados!BA16),ABS(Resultados!BK16),ABS(Resultados!BU16),ABS(Resultados!CE16),ABS(Resultados!CO16),ABS(Resultados!CY16),ABS(Resultados!DI16))/SQRT(COUNT(Resultados!C16,Resultados!M16,Resultados!W16,Resultados!AG16,Resultados!AQ16,Resultados!BA16,Resultados!BK16,Resultados!BU16,Resultados!CE16,Resultados!CO16,Resultados!CY16,Resultados!DI16)))</f>
        <v>0.45156853457049168</v>
      </c>
      <c r="D16">
        <f>IF(COUNT(Resultados!D16,Resultados!N16,Resultados!X16,Resultados!AH16,Resultados!AR16,Resultados!BB16,Resultados!BL16,Resultados!BV16,Resultados!CF16,Resultados!CP16,Resultados!CZ16,Resultados!DJ16)&lt;=1, "", _xlfn.STDEV.S(ABS(Resultados!D16),ABS(Resultados!N16),ABS(Resultados!X16),ABS(Resultados!AH16),ABS(Resultados!AR16),ABS(Resultados!BB16),ABS(Resultados!BL16),ABS(Resultados!BV16),ABS(Resultados!CF16),ABS(Resultados!CP16),ABS(Resultados!CZ16),ABS(Resultados!DJ16))/SQRT(COUNT(Resultados!D16,Resultados!N16,Resultados!X16,Resultados!AH16,Resultados!AR16,Resultados!BB16,Resultados!BL16,Resultados!BV16,Resultados!CF16,Resultados!CP16,Resultados!CZ16,Resultados!DJ16)))</f>
        <v>1.1526292955366412E-3</v>
      </c>
      <c r="E16">
        <f>IF(COUNT(Resultados!E16,Resultados!O16,Resultados!Y16,Resultados!AI16,Resultados!AS16,Resultados!BC16,Resultados!BM16,Resultados!BW16,Resultados!CG16,Resultados!CQ16,Resultados!DA16,Resultados!DK16)&lt;=1, "", _xlfn.STDEV.S(ABS(Resultados!E16),ABS(Resultados!O16),ABS(Resultados!Y16),ABS(Resultados!AI16),ABS(Resultados!AS16),ABS(Resultados!BC16),ABS(Resultados!BM16),ABS(Resultados!BW16),ABS(Resultados!CG16),ABS(Resultados!CQ16),ABS(Resultados!DA16),ABS(Resultados!DK16))/SQRT(COUNT(Resultados!E16,Resultados!O16,Resultados!Y16,Resultados!AI16,Resultados!AS16,Resultados!BC16,Resultados!BM16,Resultados!BW16,Resultados!CG16,Resultados!CQ16,Resultados!DA16,Resultados!DK16)))</f>
        <v>0.11744462733383276</v>
      </c>
      <c r="F16">
        <f>IF(COUNT(Resultados!F16,Resultados!P16,Resultados!Z16,Resultados!AJ16,Resultados!AT16,Resultados!BD16,Resultados!BN16,Resultados!BX16,Resultados!CH16,Resultados!CR16,Resultados!DB16,Resultados!DL16)&lt;=1, "", _xlfn.STDEV.S(ABS(Resultados!F16),ABS(Resultados!P16),ABS(Resultados!Z16),ABS(Resultados!AJ16),ABS(Resultados!AT16),ABS(Resultados!BD16),ABS(Resultados!BN16),ABS(Resultados!BX16),ABS(Resultados!CH16),ABS(Resultados!CR16),ABS(Resultados!DB16),ABS(Resultados!DL16))/SQRT(COUNT(Resultados!F16,Resultados!P16,Resultados!Z16,Resultados!AJ16,Resultados!AT16,Resultados!BD16,Resultados!BN16,Resultados!BX16,Resultados!CH16,Resultados!CR16,Resultados!DB16,Resultados!DL16)))</f>
        <v>17.718412537486785</v>
      </c>
      <c r="G16">
        <f>IF(COUNT(Resultados!G16,Resultados!Q16,Resultados!AA16,Resultados!AK16,Resultados!AU16,Resultados!BE16,Resultados!BO16,Resultados!BY16,Resultados!CI16,Resultados!CS16,Resultados!DC16,Resultados!DM16)&lt;=1, "", _xlfn.STDEV.S(ABS(Resultados!G16),ABS(Resultados!Q16),ABS(Resultados!AA16),ABS(Resultados!AK16),ABS(Resultados!AU16),ABS(Resultados!BE16),ABS(Resultados!BO16),ABS(Resultados!BY16),ABS(Resultados!CI16),ABS(Resultados!CS16),ABS(Resultados!DC16),ABS(Resultados!DM16))/SQRT(COUNT(Resultados!G16,Resultados!Q16,Resultados!AA16,Resultados!AK16,Resultados!AU16,Resultados!BE16,Resultados!BO16,Resultados!BY16,Resultados!CI16,Resultados!CS16,Resultados!DC16,Resultados!DM16)))</f>
        <v>3.3474483693592253E-17</v>
      </c>
      <c r="H16">
        <f>IF(COUNT(Resultados!H16,Resultados!R16,Resultados!AB16,Resultados!AL16,Resultados!AV16,Resultados!BF16,Resultados!BP16,Resultados!BZ16,Resultados!CJ16,Resultados!CT16,Resultados!DD16,Resultados!DN16)&lt;=1, "", _xlfn.STDEV.S(ABS(Resultados!H16),ABS(Resultados!R16),ABS(Resultados!AB16),ABS(Resultados!AL16),ABS(Resultados!AV16),ABS(Resultados!BF16),ABS(Resultados!BP16),ABS(Resultados!BZ16),ABS(Resultados!CJ16),ABS(Resultados!CT16),ABS(Resultados!DD16),ABS(Resultados!DN16))/SQRT(COUNT(Resultados!H16,Resultados!R16,Resultados!AB16,Resultados!AL16,Resultados!AV16,Resultados!BF16,Resultados!BP16,Resultados!BZ16,Resultados!CJ16,Resultados!CT16,Resultados!DD16,Resultados!DN16)))</f>
        <v>1.8294914980436904E-3</v>
      </c>
      <c r="I16">
        <f>IF(COUNT(Resultados!I16,Resultados!S16,Resultados!AC16,Resultados!AM16,Resultados!AW16,Resultados!BG16,Resultados!BQ16,Resultados!CA16,Resultados!CK16,Resultados!CU16,Resultados!DE16,Resultados!DO16)&lt;=1, "", _xlfn.STDEV.S(ABS(Resultados!I16),ABS(Resultados!S16),ABS(Resultados!AC16),ABS(Resultados!AM16),ABS(Resultados!AW16),ABS(Resultados!BG16),ABS(Resultados!BQ16),ABS(Resultados!CA16),ABS(Resultados!CK16),ABS(Resultados!CU16),ABS(Resultados!DE16),ABS(Resultados!DO16))/SQRT(COUNT(Resultados!I16,Resultados!S16,Resultados!AC16,Resultados!AM16,Resultados!AW16,Resultados!BG16,Resultados!BQ16,Resultados!CA16,Resultados!CK16,Resultados!CU16,Resultados!DE16,Resultados!DO16)))</f>
        <v>9.0211630389751773E-4</v>
      </c>
      <c r="J16">
        <f>IF(COUNT(Resultados!J16,Resultados!T16,Resultados!AD16,Resultados!AN16,Resultados!AX16,Resultados!BH16,Resultados!BR16,Resultados!CB16,Resultados!CL16,Resultados!CV16,Resultados!DF16,Resultados!DP16)&lt;=1, "", _xlfn.STDEV.S(ABS(Resultados!J16),ABS(Resultados!T16),ABS(Resultados!AD16),ABS(Resultados!AN16),ABS(Resultados!AX16),ABS(Resultados!BH16),ABS(Resultados!BR16),ABS(Resultados!CB16),ABS(Resultados!CL16),ABS(Resultados!CV16),ABS(Resultados!DF16),ABS(Resultados!DP16))/SQRT(COUNT(Resultados!J16,Resultados!T16,Resultados!AD16,Resultados!AN16,Resultados!AX16,Resultados!BH16,Resultados!BR16,Resultados!CB16,Resultados!CL16,Resultados!CV16,Resultados!DF16,Resultados!DP16)))</f>
        <v>1.8294914980436904E-3</v>
      </c>
    </row>
    <row r="17" spans="1:10" x14ac:dyDescent="0.3">
      <c r="A17">
        <f>IF(COUNT(Resultados!A17,Resultados!K17,Resultados!U17,Resultados!AE17,Resultados!AO17,Resultados!AY17,Resultados!BI17,Resultados!BS17,Resultados!CC17,Resultados!CM17,Resultados!CW17,Resultados!DG17)&lt;=1, "", _xlfn.STDEV.S(ABS(Resultados!A17),ABS(Resultados!K17),ABS(Resultados!U17),ABS(Resultados!AE17),ABS(Resultados!AO17),ABS(Resultados!AY17),ABS(Resultados!BI17),ABS(Resultados!BS17),ABS(Resultados!CC17),ABS(Resultados!CM17),ABS(Resultados!CW17),ABS(Resultados!DG17))/SQRT(COUNT(Resultados!A17,Resultados!K17,Resultados!U17,Resultados!AE17,Resultados!AO17,Resultados!AY17,Resultados!BI17,Resultados!BS17,Resultados!CC17,Resultados!CM17,Resultados!CW17,Resultados!DG17)))</f>
        <v>0</v>
      </c>
      <c r="B17" t="str">
        <f>IF(COUNT(Resultados!B17,Resultados!L17,Resultados!V17,Resultados!AF17,Resultados!AP17,Resultados!AZ17,Resultados!BJ17,Resultados!BT17,Resultados!CD17,Resultados!CN17,Resultados!CX17,Resultados!DH17)&lt;=1, "", _xlfn.STDEV.S(ABS(Resultados!B17),ABS(Resultados!L17),ABS(Resultados!V17),ABS(Resultados!AF17),ABS(Resultados!AP17),ABS(Resultados!AZ17),ABS(Resultados!BJ17),ABS(Resultados!BT17),ABS(Resultados!CD17),ABS(Resultados!CN17),ABS(Resultados!CX17),ABS(Resultados!DH17))/SQRT(COUNT(Resultados!B17,Resultados!L17,Resultados!V17,Resultados!AF17,Resultados!AP17,Resultados!AZ17,Resultados!BJ17,Resultados!BT17,Resultados!CD17,Resultados!CN17,Resultados!CX17,Resultados!DH17)))</f>
        <v/>
      </c>
      <c r="C17">
        <f>IF(COUNT(Resultados!C17,Resultados!M17,Resultados!W17,Resultados!AG17,Resultados!AQ17,Resultados!BA17,Resultados!BK17,Resultados!BU17,Resultados!CE17,Resultados!CO17,Resultados!CY17,Resultados!DI17)&lt;=1, "", _xlfn.STDEV.S(ABS(Resultados!C17),ABS(Resultados!M17),ABS(Resultados!W17),ABS(Resultados!AG17),ABS(Resultados!AQ17),ABS(Resultados!BA17),ABS(Resultados!BK17),ABS(Resultados!BU17),ABS(Resultados!CE17),ABS(Resultados!CO17),ABS(Resultados!CY17),ABS(Resultados!DI17))/SQRT(COUNT(Resultados!C17,Resultados!M17,Resultados!W17,Resultados!AG17,Resultados!AQ17,Resultados!BA17,Resultados!BK17,Resultados!BU17,Resultados!CE17,Resultados!CO17,Resultados!CY17,Resultados!DI17)))</f>
        <v>0.45156853457049168</v>
      </c>
      <c r="D17">
        <f>IF(COUNT(Resultados!D17,Resultados!N17,Resultados!X17,Resultados!AH17,Resultados!AR17,Resultados!BB17,Resultados!BL17,Resultados!BV17,Resultados!CF17,Resultados!CP17,Resultados!CZ17,Resultados!DJ17)&lt;=1, "", _xlfn.STDEV.S(ABS(Resultados!D17),ABS(Resultados!N17),ABS(Resultados!X17),ABS(Resultados!AH17),ABS(Resultados!AR17),ABS(Resultados!BB17),ABS(Resultados!BL17),ABS(Resultados!BV17),ABS(Resultados!CF17),ABS(Resultados!CP17),ABS(Resultados!CZ17),ABS(Resultados!DJ17))/SQRT(COUNT(Resultados!D17,Resultados!N17,Resultados!X17,Resultados!AH17,Resultados!AR17,Resultados!BB17,Resultados!BL17,Resultados!BV17,Resultados!CF17,Resultados!CP17,Resultados!CZ17,Resultados!DJ17)))</f>
        <v>1.2915713552322868E-3</v>
      </c>
      <c r="E17">
        <f>IF(COUNT(Resultados!E17,Resultados!O17,Resultados!Y17,Resultados!AI17,Resultados!AS17,Resultados!BC17,Resultados!BM17,Resultados!BW17,Resultados!CG17,Resultados!CQ17,Resultados!DA17,Resultados!DK17)&lt;=1, "", _xlfn.STDEV.S(ABS(Resultados!E17),ABS(Resultados!O17),ABS(Resultados!Y17),ABS(Resultados!AI17),ABS(Resultados!AS17),ABS(Resultados!BC17),ABS(Resultados!BM17),ABS(Resultados!BW17),ABS(Resultados!CG17),ABS(Resultados!CQ17),ABS(Resultados!DA17),ABS(Resultados!DK17))/SQRT(COUNT(Resultados!E17,Resultados!O17,Resultados!Y17,Resultados!AI17,Resultados!AS17,Resultados!BC17,Resultados!BM17,Resultados!BW17,Resultados!CG17,Resultados!CQ17,Resultados!DA17,Resultados!DK17)))</f>
        <v>0.12168250328455621</v>
      </c>
      <c r="F17">
        <f>IF(COUNT(Resultados!F17,Resultados!P17,Resultados!Z17,Resultados!AJ17,Resultados!AT17,Resultados!BD17,Resultados!BN17,Resultados!BX17,Resultados!CH17,Resultados!CR17,Resultados!DB17,Resultados!DL17)&lt;=1, "", _xlfn.STDEV.S(ABS(Resultados!F17),ABS(Resultados!P17),ABS(Resultados!Z17),ABS(Resultados!AJ17),ABS(Resultados!AT17),ABS(Resultados!BD17),ABS(Resultados!BN17),ABS(Resultados!BX17),ABS(Resultados!CH17),ABS(Resultados!CR17),ABS(Resultados!DB17),ABS(Resultados!DL17))/SQRT(COUNT(Resultados!F17,Resultados!P17,Resultados!Z17,Resultados!AJ17,Resultados!AT17,Resultados!BD17,Resultados!BN17,Resultados!BX17,Resultados!CH17,Resultados!CR17,Resultados!DB17,Resultados!DL17)))</f>
        <v>18.290794151075797</v>
      </c>
      <c r="G17">
        <f>IF(COUNT(Resultados!G17,Resultados!Q17,Resultados!AA17,Resultados!AK17,Resultados!AU17,Resultados!BE17,Resultados!BO17,Resultados!BY17,Resultados!CI17,Resultados!CS17,Resultados!DC17,Resultados!DM17)&lt;=1, "", _xlfn.STDEV.S(ABS(Resultados!G17),ABS(Resultados!Q17),ABS(Resultados!AA17),ABS(Resultados!AK17),ABS(Resultados!AU17),ABS(Resultados!BE17),ABS(Resultados!BO17),ABS(Resultados!BY17),ABS(Resultados!CI17),ABS(Resultados!CS17),ABS(Resultados!DC17),ABS(Resultados!DM17))/SQRT(COUNT(Resultados!G17,Resultados!Q17,Resultados!AA17,Resultados!AK17,Resultados!AU17,Resultados!BE17,Resultados!BO17,Resultados!BY17,Resultados!CI17,Resultados!CS17,Resultados!DC17,Resultados!DM17)))</f>
        <v>3.3474483693592253E-17</v>
      </c>
      <c r="H17">
        <f>IF(COUNT(Resultados!H17,Resultados!R17,Resultados!AB17,Resultados!AL17,Resultados!AV17,Resultados!BF17,Resultados!BP17,Resultados!BZ17,Resultados!CJ17,Resultados!CT17,Resultados!DD17,Resultados!DN17)&lt;=1, "", _xlfn.STDEV.S(ABS(Resultados!H17),ABS(Resultados!R17),ABS(Resultados!AB17),ABS(Resultados!AL17),ABS(Resultados!AV17),ABS(Resultados!BF17),ABS(Resultados!BP17),ABS(Resultados!BZ17),ABS(Resultados!CJ17),ABS(Resultados!CT17),ABS(Resultados!DD17),ABS(Resultados!DN17))/SQRT(COUNT(Resultados!H17,Resultados!R17,Resultados!AB17,Resultados!AL17,Resultados!AV17,Resultados!BF17,Resultados!BP17,Resultados!BZ17,Resultados!CJ17,Resultados!CT17,Resultados!DD17,Resultados!DN17)))</f>
        <v>1.8876392182251944E-3</v>
      </c>
      <c r="I17">
        <f>IF(COUNT(Resultados!I17,Resultados!S17,Resultados!AC17,Resultados!AM17,Resultados!AW17,Resultados!BG17,Resultados!BQ17,Resultados!CA17,Resultados!CK17,Resultados!CU17,Resultados!DE17,Resultados!DO17)&lt;=1, "", _xlfn.STDEV.S(ABS(Resultados!I17),ABS(Resultados!S17),ABS(Resultados!AC17),ABS(Resultados!AM17),ABS(Resultados!AW17),ABS(Resultados!BG17),ABS(Resultados!BQ17),ABS(Resultados!CA17),ABS(Resultados!CK17),ABS(Resultados!CU17),ABS(Resultados!DE17),ABS(Resultados!DO17))/SQRT(COUNT(Resultados!I17,Resultados!S17,Resultados!AC17,Resultados!AM17,Resultados!AW17,Resultados!BG17,Resultados!BQ17,Resultados!CA17,Resultados!CK17,Resultados!CU17,Resultados!DE17,Resultados!DO17)))</f>
        <v>1.0253103435088849E-3</v>
      </c>
      <c r="J17">
        <f>IF(COUNT(Resultados!J17,Resultados!T17,Resultados!AD17,Resultados!AN17,Resultados!AX17,Resultados!BH17,Resultados!BR17,Resultados!CB17,Resultados!CL17,Resultados!CV17,Resultados!DF17,Resultados!DP17)&lt;=1, "", _xlfn.STDEV.S(ABS(Resultados!J17),ABS(Resultados!T17),ABS(Resultados!AD17),ABS(Resultados!AN17),ABS(Resultados!AX17),ABS(Resultados!BH17),ABS(Resultados!BR17),ABS(Resultados!CB17),ABS(Resultados!CL17),ABS(Resultados!CV17),ABS(Resultados!DF17),ABS(Resultados!DP17))/SQRT(COUNT(Resultados!J17,Resultados!T17,Resultados!AD17,Resultados!AN17,Resultados!AX17,Resultados!BH17,Resultados!BR17,Resultados!CB17,Resultados!CL17,Resultados!CV17,Resultados!DF17,Resultados!DP17)))</f>
        <v>1.8876392182251944E-3</v>
      </c>
    </row>
    <row r="18" spans="1:10" x14ac:dyDescent="0.3">
      <c r="A18">
        <f>IF(COUNT(Resultados!A18,Resultados!K18,Resultados!U18,Resultados!AE18,Resultados!AO18,Resultados!AY18,Resultados!BI18,Resultados!BS18,Resultados!CC18,Resultados!CM18,Resultados!CW18,Resultados!DG18)&lt;=1, "", _xlfn.STDEV.S(ABS(Resultados!A18),ABS(Resultados!K18),ABS(Resultados!U18),ABS(Resultados!AE18),ABS(Resultados!AO18),ABS(Resultados!AY18),ABS(Resultados!BI18),ABS(Resultados!BS18),ABS(Resultados!CC18),ABS(Resultados!CM18),ABS(Resultados!CW18),ABS(Resultados!DG18))/SQRT(COUNT(Resultados!A18,Resultados!K18,Resultados!U18,Resultados!AE18,Resultados!AO18,Resultados!AY18,Resultados!BI18,Resultados!BS18,Resultados!CC18,Resultados!CM18,Resultados!CW18,Resultados!DG18)))</f>
        <v>0</v>
      </c>
      <c r="B18" t="str">
        <f>IF(COUNT(Resultados!B18,Resultados!L18,Resultados!V18,Resultados!AF18,Resultados!AP18,Resultados!AZ18,Resultados!BJ18,Resultados!BT18,Resultados!CD18,Resultados!CN18,Resultados!CX18,Resultados!DH18)&lt;=1, "", _xlfn.STDEV.S(ABS(Resultados!B18),ABS(Resultados!L18),ABS(Resultados!V18),ABS(Resultados!AF18),ABS(Resultados!AP18),ABS(Resultados!AZ18),ABS(Resultados!BJ18),ABS(Resultados!BT18),ABS(Resultados!CD18),ABS(Resultados!CN18),ABS(Resultados!CX18),ABS(Resultados!DH18))/SQRT(COUNT(Resultados!B18,Resultados!L18,Resultados!V18,Resultados!AF18,Resultados!AP18,Resultados!AZ18,Resultados!BJ18,Resultados!BT18,Resultados!CD18,Resultados!CN18,Resultados!CX18,Resultados!DH18)))</f>
        <v/>
      </c>
      <c r="C18">
        <f>IF(COUNT(Resultados!C18,Resultados!M18,Resultados!W18,Resultados!AG18,Resultados!AQ18,Resultados!BA18,Resultados!BK18,Resultados!BU18,Resultados!CE18,Resultados!CO18,Resultados!CY18,Resultados!DI18)&lt;=1, "", _xlfn.STDEV.S(ABS(Resultados!C18),ABS(Resultados!M18),ABS(Resultados!W18),ABS(Resultados!AG18),ABS(Resultados!AQ18),ABS(Resultados!BA18),ABS(Resultados!BK18),ABS(Resultados!BU18),ABS(Resultados!CE18),ABS(Resultados!CO18),ABS(Resultados!CY18),ABS(Resultados!DI18))/SQRT(COUNT(Resultados!C18,Resultados!M18,Resultados!W18,Resultados!AG18,Resultados!AQ18,Resultados!BA18,Resultados!BK18,Resultados!BU18,Resultados!CE18,Resultados!CO18,Resultados!CY18,Resultados!DI18)))</f>
        <v>0.45156853457049168</v>
      </c>
      <c r="D18">
        <f>IF(COUNT(Resultados!D18,Resultados!N18,Resultados!X18,Resultados!AH18,Resultados!AR18,Resultados!BB18,Resultados!BL18,Resultados!BV18,Resultados!CF18,Resultados!CP18,Resultados!CZ18,Resultados!DJ18)&lt;=1, "", _xlfn.STDEV.S(ABS(Resultados!D18),ABS(Resultados!N18),ABS(Resultados!X18),ABS(Resultados!AH18),ABS(Resultados!AR18),ABS(Resultados!BB18),ABS(Resultados!BL18),ABS(Resultados!BV18),ABS(Resultados!CF18),ABS(Resultados!CP18),ABS(Resultados!CZ18),ABS(Resultados!DJ18))/SQRT(COUNT(Resultados!D18,Resultados!N18,Resultados!X18,Resultados!AH18,Resultados!AR18,Resultados!BB18,Resultados!BL18,Resultados!BV18,Resultados!CF18,Resultados!CP18,Resultados!CZ18,Resultados!DJ18)))</f>
        <v>1.394895093988193E-3</v>
      </c>
      <c r="E18">
        <f>IF(COUNT(Resultados!E18,Resultados!O18,Resultados!Y18,Resultados!AI18,Resultados!AS18,Resultados!BC18,Resultados!BM18,Resultados!BW18,Resultados!CG18,Resultados!CQ18,Resultados!DA18,Resultados!DK18)&lt;=1, "", _xlfn.STDEV.S(ABS(Resultados!E18),ABS(Resultados!O18),ABS(Resultados!Y18),ABS(Resultados!AI18),ABS(Resultados!AS18),ABS(Resultados!BC18),ABS(Resultados!BM18),ABS(Resultados!BW18),ABS(Resultados!CG18),ABS(Resultados!CQ18),ABS(Resultados!DA18),ABS(Resultados!DK18))/SQRT(COUNT(Resultados!E18,Resultados!O18,Resultados!Y18,Resultados!AI18,Resultados!AS18,Resultados!BC18,Resultados!BM18,Resultados!BW18,Resultados!CG18,Resultados!CQ18,Resultados!DA18,Resultados!DK18)))</f>
        <v>0.12421301617439477</v>
      </c>
      <c r="F18">
        <f>IF(COUNT(Resultados!F18,Resultados!P18,Resultados!Z18,Resultados!AJ18,Resultados!AT18,Resultados!BD18,Resultados!BN18,Resultados!BX18,Resultados!CH18,Resultados!CR18,Resultados!DB18,Resultados!DL18)&lt;=1, "", _xlfn.STDEV.S(ABS(Resultados!F18),ABS(Resultados!P18),ABS(Resultados!Z18),ABS(Resultados!AJ18),ABS(Resultados!AT18),ABS(Resultados!BD18),ABS(Resultados!BN18),ABS(Resultados!BX18),ABS(Resultados!CH18),ABS(Resultados!CR18),ABS(Resultados!DB18),ABS(Resultados!DL18))/SQRT(COUNT(Resultados!F18,Resultados!P18,Resultados!Z18,Resultados!AJ18,Resultados!AT18,Resultados!BD18,Resultados!BN18,Resultados!BX18,Resultados!CH18,Resultados!CR18,Resultados!DB18,Resultados!DL18)))</f>
        <v>18.726060307279916</v>
      </c>
      <c r="G18">
        <f>IF(COUNT(Resultados!G18,Resultados!Q18,Resultados!AA18,Resultados!AK18,Resultados!AU18,Resultados!BE18,Resultados!BO18,Resultados!BY18,Resultados!CI18,Resultados!CS18,Resultados!DC18,Resultados!DM18)&lt;=1, "", _xlfn.STDEV.S(ABS(Resultados!G18),ABS(Resultados!Q18),ABS(Resultados!AA18),ABS(Resultados!AK18),ABS(Resultados!AU18),ABS(Resultados!BE18),ABS(Resultados!BO18),ABS(Resultados!BY18),ABS(Resultados!CI18),ABS(Resultados!CS18),ABS(Resultados!DC18),ABS(Resultados!DM18))/SQRT(COUNT(Resultados!G18,Resultados!Q18,Resultados!AA18,Resultados!AK18,Resultados!AU18,Resultados!BE18,Resultados!BO18,Resultados!BY18,Resultados!CI18,Resultados!CS18,Resultados!DC18,Resultados!DM18)))</f>
        <v>3.3474483693592253E-17</v>
      </c>
      <c r="H18">
        <f>IF(COUNT(Resultados!H18,Resultados!R18,Resultados!AB18,Resultados!AL18,Resultados!AV18,Resultados!BF18,Resultados!BP18,Resultados!BZ18,Resultados!CJ18,Resultados!CT18,Resultados!DD18,Resultados!DN18)&lt;=1, "", _xlfn.STDEV.S(ABS(Resultados!H18),ABS(Resultados!R18),ABS(Resultados!AB18),ABS(Resultados!AL18),ABS(Resultados!AV18),ABS(Resultados!BF18),ABS(Resultados!BP18),ABS(Resultados!BZ18),ABS(Resultados!CJ18),ABS(Resultados!CT18),ABS(Resultados!DD18),ABS(Resultados!DN18))/SQRT(COUNT(Resultados!H18,Resultados!R18,Resultados!AB18,Resultados!AL18,Resultados!AV18,Resultados!BF18,Resultados!BP18,Resultados!BZ18,Resultados!CJ18,Resultados!CT18,Resultados!DD18,Resultados!DN18)))</f>
        <v>1.9312358005100592E-3</v>
      </c>
      <c r="I18">
        <f>IF(COUNT(Resultados!I18,Resultados!S18,Resultados!AC18,Resultados!AM18,Resultados!AW18,Resultados!BG18,Resultados!BQ18,Resultados!CA18,Resultados!CK18,Resultados!CU18,Resultados!DE18,Resultados!DO18)&lt;=1, "", _xlfn.STDEV.S(ABS(Resultados!I18),ABS(Resultados!S18),ABS(Resultados!AC18),ABS(Resultados!AM18),ABS(Resultados!AW18),ABS(Resultados!BG18),ABS(Resultados!BQ18),ABS(Resultados!CA18),ABS(Resultados!CK18),ABS(Resultados!CU18),ABS(Resultados!DE18),ABS(Resultados!DO18))/SQRT(COUNT(Resultados!I18,Resultados!S18,Resultados!AC18,Resultados!AM18,Resultados!AW18,Resultados!BG18,Resultados!BQ18,Resultados!CA18,Resultados!CK18,Resultados!CU18,Resultados!DE18,Resultados!DO18)))</f>
        <v>9.7300491942820953E-4</v>
      </c>
      <c r="J18">
        <f>IF(COUNT(Resultados!J18,Resultados!T18,Resultados!AD18,Resultados!AN18,Resultados!AX18,Resultados!BH18,Resultados!BR18,Resultados!CB18,Resultados!CL18,Resultados!CV18,Resultados!DF18,Resultados!DP18)&lt;=1, "", _xlfn.STDEV.S(ABS(Resultados!J18),ABS(Resultados!T18),ABS(Resultados!AD18),ABS(Resultados!AN18),ABS(Resultados!AX18),ABS(Resultados!BH18),ABS(Resultados!BR18),ABS(Resultados!CB18),ABS(Resultados!CL18),ABS(Resultados!CV18),ABS(Resultados!DF18),ABS(Resultados!DP18))/SQRT(COUNT(Resultados!J18,Resultados!T18,Resultados!AD18,Resultados!AN18,Resultados!AX18,Resultados!BH18,Resultados!BR18,Resultados!CB18,Resultados!CL18,Resultados!CV18,Resultados!DF18,Resultados!DP18)))</f>
        <v>1.9312358005100592E-3</v>
      </c>
    </row>
    <row r="19" spans="1:10" x14ac:dyDescent="0.3">
      <c r="A19">
        <f>IF(COUNT(Resultados!A19,Resultados!K19,Resultados!U19,Resultados!AE19,Resultados!AO19,Resultados!AY19,Resultados!BI19,Resultados!BS19,Resultados!CC19,Resultados!CM19,Resultados!CW19,Resultados!DG19)&lt;=1, "", _xlfn.STDEV.S(ABS(Resultados!A19),ABS(Resultados!K19),ABS(Resultados!U19),ABS(Resultados!AE19),ABS(Resultados!AO19),ABS(Resultados!AY19),ABS(Resultados!BI19),ABS(Resultados!BS19),ABS(Resultados!CC19),ABS(Resultados!CM19),ABS(Resultados!CW19),ABS(Resultados!DG19))/SQRT(COUNT(Resultados!A19,Resultados!K19,Resultados!U19,Resultados!AE19,Resultados!AO19,Resultados!AY19,Resultados!BI19,Resultados!BS19,Resultados!CC19,Resultados!CM19,Resultados!CW19,Resultados!DG19)))</f>
        <v>0</v>
      </c>
      <c r="B19" t="str">
        <f>IF(COUNT(Resultados!B19,Resultados!L19,Resultados!V19,Resultados!AF19,Resultados!AP19,Resultados!AZ19,Resultados!BJ19,Resultados!BT19,Resultados!CD19,Resultados!CN19,Resultados!CX19,Resultados!DH19)&lt;=1, "", _xlfn.STDEV.S(ABS(Resultados!B19),ABS(Resultados!L19),ABS(Resultados!V19),ABS(Resultados!AF19),ABS(Resultados!AP19),ABS(Resultados!AZ19),ABS(Resultados!BJ19),ABS(Resultados!BT19),ABS(Resultados!CD19),ABS(Resultados!CN19),ABS(Resultados!CX19),ABS(Resultados!DH19))/SQRT(COUNT(Resultados!B19,Resultados!L19,Resultados!V19,Resultados!AF19,Resultados!AP19,Resultados!AZ19,Resultados!BJ19,Resultados!BT19,Resultados!CD19,Resultados!CN19,Resultados!CX19,Resultados!DH19)))</f>
        <v/>
      </c>
      <c r="C19">
        <f>IF(COUNT(Resultados!C19,Resultados!M19,Resultados!W19,Resultados!AG19,Resultados!AQ19,Resultados!BA19,Resultados!BK19,Resultados!BU19,Resultados!CE19,Resultados!CO19,Resultados!CY19,Resultados!DI19)&lt;=1, "", _xlfn.STDEV.S(ABS(Resultados!C19),ABS(Resultados!M19),ABS(Resultados!W19),ABS(Resultados!AG19),ABS(Resultados!AQ19),ABS(Resultados!BA19),ABS(Resultados!BK19),ABS(Resultados!BU19),ABS(Resultados!CE19),ABS(Resultados!CO19),ABS(Resultados!CY19),ABS(Resultados!DI19))/SQRT(COUNT(Resultados!C19,Resultados!M19,Resultados!W19,Resultados!AG19,Resultados!AQ19,Resultados!BA19,Resultados!BK19,Resultados!BU19,Resultados!CE19,Resultados!CO19,Resultados!CY19,Resultados!DI19)))</f>
        <v>0.45156853457049168</v>
      </c>
      <c r="D19">
        <f>IF(COUNT(Resultados!D19,Resultados!N19,Resultados!X19,Resultados!AH19,Resultados!AR19,Resultados!BB19,Resultados!BL19,Resultados!BV19,Resultados!CF19,Resultados!CP19,Resultados!CZ19,Resultados!DJ19)&lt;=1, "", _xlfn.STDEV.S(ABS(Resultados!D19),ABS(Resultados!N19),ABS(Resultados!X19),ABS(Resultados!AH19),ABS(Resultados!AR19),ABS(Resultados!BB19),ABS(Resultados!BL19),ABS(Resultados!BV19),ABS(Resultados!CF19),ABS(Resultados!CP19),ABS(Resultados!CZ19),ABS(Resultados!DJ19))/SQRT(COUNT(Resultados!D19,Resultados!N19,Resultados!X19,Resultados!AH19,Resultados!AR19,Resultados!BB19,Resultados!BL19,Resultados!BV19,Resultados!CF19,Resultados!CP19,Resultados!CZ19,Resultados!DJ19)))</f>
        <v>1.4496255176472779E-3</v>
      </c>
      <c r="E19">
        <f>IF(COUNT(Resultados!E19,Resultados!O19,Resultados!Y19,Resultados!AI19,Resultados!AS19,Resultados!BC19,Resultados!BM19,Resultados!BW19,Resultados!CG19,Resultados!CQ19,Resultados!DA19,Resultados!DK19)&lt;=1, "", _xlfn.STDEV.S(ABS(Resultados!E19),ABS(Resultados!O19),ABS(Resultados!Y19),ABS(Resultados!AI19),ABS(Resultados!AS19),ABS(Resultados!BC19),ABS(Resultados!BM19),ABS(Resultados!BW19),ABS(Resultados!CG19),ABS(Resultados!CQ19),ABS(Resultados!DA19),ABS(Resultados!DK19))/SQRT(COUNT(Resultados!E19,Resultados!O19,Resultados!Y19,Resultados!AI19,Resultados!AS19,Resultados!BC19,Resultados!BM19,Resultados!BW19,Resultados!CG19,Resultados!CQ19,Resultados!DA19,Resultados!DK19)))</f>
        <v>0.12511625320776962</v>
      </c>
      <c r="F19">
        <f>IF(COUNT(Resultados!F19,Resultados!P19,Resultados!Z19,Resultados!AJ19,Resultados!AT19,Resultados!BD19,Resultados!BN19,Resultados!BX19,Resultados!CH19,Resultados!CR19,Resultados!DB19,Resultados!DL19)&lt;=1, "", _xlfn.STDEV.S(ABS(Resultados!F19),ABS(Resultados!P19),ABS(Resultados!Z19),ABS(Resultados!AJ19),ABS(Resultados!AT19),ABS(Resultados!BD19),ABS(Resultados!BN19),ABS(Resultados!BX19),ABS(Resultados!CH19),ABS(Resultados!CR19),ABS(Resultados!DB19),ABS(Resultados!DL19))/SQRT(COUNT(Resultados!F19,Resultados!P19,Resultados!Z19,Resultados!AJ19,Resultados!AT19,Resultados!BD19,Resultados!BN19,Resultados!BX19,Resultados!CH19,Resultados!CR19,Resultados!DB19,Resultados!DL19)))</f>
        <v>19.026280711377435</v>
      </c>
      <c r="G19">
        <f>IF(COUNT(Resultados!G19,Resultados!Q19,Resultados!AA19,Resultados!AK19,Resultados!AU19,Resultados!BE19,Resultados!BO19,Resultados!BY19,Resultados!CI19,Resultados!CS19,Resultados!DC19,Resultados!DM19)&lt;=1, "", _xlfn.STDEV.S(ABS(Resultados!G19),ABS(Resultados!Q19),ABS(Resultados!AA19),ABS(Resultados!AK19),ABS(Resultados!AU19),ABS(Resultados!BE19),ABS(Resultados!BO19),ABS(Resultados!BY19),ABS(Resultados!CI19),ABS(Resultados!CS19),ABS(Resultados!DC19),ABS(Resultados!DM19))/SQRT(COUNT(Resultados!G19,Resultados!Q19,Resultados!AA19,Resultados!AK19,Resultados!AU19,Resultados!BE19,Resultados!BO19,Resultados!BY19,Resultados!CI19,Resultados!CS19,Resultados!DC19,Resultados!DM19)))</f>
        <v>3.3474483693592253E-17</v>
      </c>
      <c r="H19">
        <f>IF(COUNT(Resultados!H19,Resultados!R19,Resultados!AB19,Resultados!AL19,Resultados!AV19,Resultados!BF19,Resultados!BP19,Resultados!BZ19,Resultados!CJ19,Resultados!CT19,Resultados!DD19,Resultados!DN19)&lt;=1, "", _xlfn.STDEV.S(ABS(Resultados!H19),ABS(Resultados!R19),ABS(Resultados!AB19),ABS(Resultados!AL19),ABS(Resultados!AV19),ABS(Resultados!BF19),ABS(Resultados!BP19),ABS(Resultados!BZ19),ABS(Resultados!CJ19),ABS(Resultados!CT19),ABS(Resultados!DD19),ABS(Resultados!DN19))/SQRT(COUNT(Resultados!H19,Resultados!R19,Resultados!AB19,Resultados!AL19,Resultados!AV19,Resultados!BF19,Resultados!BP19,Resultados!BZ19,Resultados!CJ19,Resultados!CT19,Resultados!DD19,Resultados!DN19)))</f>
        <v>1.9485360990479303E-3</v>
      </c>
      <c r="I19">
        <f>IF(COUNT(Resultados!I19,Resultados!S19,Resultados!AC19,Resultados!AM19,Resultados!AW19,Resultados!BG19,Resultados!BQ19,Resultados!CA19,Resultados!CK19,Resultados!CU19,Resultados!DE19,Resultados!DO19)&lt;=1, "", _xlfn.STDEV.S(ABS(Resultados!I19),ABS(Resultados!S19),ABS(Resultados!AC19),ABS(Resultados!AM19),ABS(Resultados!AW19),ABS(Resultados!BG19),ABS(Resultados!BQ19),ABS(Resultados!CA19),ABS(Resultados!CK19),ABS(Resultados!CU19),ABS(Resultados!DE19),ABS(Resultados!DO19))/SQRT(COUNT(Resultados!I19,Resultados!S19,Resultados!AC19,Resultados!AM19,Resultados!AW19,Resultados!BG19,Resultados!BQ19,Resultados!CA19,Resultados!CK19,Resultados!CU19,Resultados!DE19,Resultados!DO19)))</f>
        <v>8.8792670066669918E-4</v>
      </c>
      <c r="J19">
        <f>IF(COUNT(Resultados!J19,Resultados!T19,Resultados!AD19,Resultados!AN19,Resultados!AX19,Resultados!BH19,Resultados!BR19,Resultados!CB19,Resultados!CL19,Resultados!CV19,Resultados!DF19,Resultados!DP19)&lt;=1, "", _xlfn.STDEV.S(ABS(Resultados!J19),ABS(Resultados!T19),ABS(Resultados!AD19),ABS(Resultados!AN19),ABS(Resultados!AX19),ABS(Resultados!BH19),ABS(Resultados!BR19),ABS(Resultados!CB19),ABS(Resultados!CL19),ABS(Resultados!CV19),ABS(Resultados!DF19),ABS(Resultados!DP19))/SQRT(COUNT(Resultados!J19,Resultados!T19,Resultados!AD19,Resultados!AN19,Resultados!AX19,Resultados!BH19,Resultados!BR19,Resultados!CB19,Resultados!CL19,Resultados!CV19,Resultados!DF19,Resultados!DP19)))</f>
        <v>1.9485360990479303E-3</v>
      </c>
    </row>
    <row r="20" spans="1:10" x14ac:dyDescent="0.3">
      <c r="A20">
        <f>IF(COUNT(Resultados!A20,Resultados!K20,Resultados!U20,Resultados!AE20,Resultados!AO20,Resultados!AY20,Resultados!BI20,Resultados!BS20,Resultados!CC20,Resultados!CM20,Resultados!CW20,Resultados!DG20)&lt;=1, "", _xlfn.STDEV.S(ABS(Resultados!A20),ABS(Resultados!K20),ABS(Resultados!U20),ABS(Resultados!AE20),ABS(Resultados!AO20),ABS(Resultados!AY20),ABS(Resultados!BI20),ABS(Resultados!BS20),ABS(Resultados!CC20),ABS(Resultados!CM20),ABS(Resultados!CW20),ABS(Resultados!DG20))/SQRT(COUNT(Resultados!A20,Resultados!K20,Resultados!U20,Resultados!AE20,Resultados!AO20,Resultados!AY20,Resultados!BI20,Resultados!BS20,Resultados!CC20,Resultados!CM20,Resultados!CW20,Resultados!DG20)))</f>
        <v>0</v>
      </c>
      <c r="B20" t="str">
        <f>IF(COUNT(Resultados!B20,Resultados!L20,Resultados!V20,Resultados!AF20,Resultados!AP20,Resultados!AZ20,Resultados!BJ20,Resultados!BT20,Resultados!CD20,Resultados!CN20,Resultados!CX20,Resultados!DH20)&lt;=1, "", _xlfn.STDEV.S(ABS(Resultados!B20),ABS(Resultados!L20),ABS(Resultados!V20),ABS(Resultados!AF20),ABS(Resultados!AP20),ABS(Resultados!AZ20),ABS(Resultados!BJ20),ABS(Resultados!BT20),ABS(Resultados!CD20),ABS(Resultados!CN20),ABS(Resultados!CX20),ABS(Resultados!DH20))/SQRT(COUNT(Resultados!B20,Resultados!L20,Resultados!V20,Resultados!AF20,Resultados!AP20,Resultados!AZ20,Resultados!BJ20,Resultados!BT20,Resultados!CD20,Resultados!CN20,Resultados!CX20,Resultados!DH20)))</f>
        <v/>
      </c>
      <c r="C20">
        <f>IF(COUNT(Resultados!C20,Resultados!M20,Resultados!W20,Resultados!AG20,Resultados!AQ20,Resultados!BA20,Resultados!BK20,Resultados!BU20,Resultados!CE20,Resultados!CO20,Resultados!CY20,Resultados!DI20)&lt;=1, "", _xlfn.STDEV.S(ABS(Resultados!C20),ABS(Resultados!M20),ABS(Resultados!W20),ABS(Resultados!AG20),ABS(Resultados!AQ20),ABS(Resultados!BA20),ABS(Resultados!BK20),ABS(Resultados!BU20),ABS(Resultados!CE20),ABS(Resultados!CO20),ABS(Resultados!CY20),ABS(Resultados!DI20))/SQRT(COUNT(Resultados!C20,Resultados!M20,Resultados!W20,Resultados!AG20,Resultados!AQ20,Resultados!BA20,Resultados!BK20,Resultados!BU20,Resultados!CE20,Resultados!CO20,Resultados!CY20,Resultados!DI20)))</f>
        <v>0.45156853457049168</v>
      </c>
      <c r="D20">
        <f>IF(COUNT(Resultados!D20,Resultados!N20,Resultados!X20,Resultados!AH20,Resultados!AR20,Resultados!BB20,Resultados!BL20,Resultados!BV20,Resultados!CF20,Resultados!CP20,Resultados!CZ20,Resultados!DJ20)&lt;=1, "", _xlfn.STDEV.S(ABS(Resultados!D20),ABS(Resultados!N20),ABS(Resultados!X20),ABS(Resultados!AH20),ABS(Resultados!AR20),ABS(Resultados!BB20),ABS(Resultados!BL20),ABS(Resultados!BV20),ABS(Resultados!CF20),ABS(Resultados!CP20),ABS(Resultados!CZ20),ABS(Resultados!DJ20))/SQRT(COUNT(Resultados!D20,Resultados!N20,Resultados!X20,Resultados!AH20,Resultados!AR20,Resultados!BB20,Resultados!BL20,Resultados!BV20,Resultados!CF20,Resultados!CP20,Resultados!CZ20,Resultados!DJ20)))</f>
        <v>1.4705934863245534E-3</v>
      </c>
      <c r="E20">
        <f>IF(COUNT(Resultados!E20,Resultados!O20,Resultados!Y20,Resultados!AI20,Resultados!AS20,Resultados!BC20,Resultados!BM20,Resultados!BW20,Resultados!CG20,Resultados!CQ20,Resultados!DA20,Resultados!DK20)&lt;=1, "", _xlfn.STDEV.S(ABS(Resultados!E20),ABS(Resultados!O20),ABS(Resultados!Y20),ABS(Resultados!AI20),ABS(Resultados!AS20),ABS(Resultados!BC20),ABS(Resultados!BM20),ABS(Resultados!BW20),ABS(Resultados!CG20),ABS(Resultados!CQ20),ABS(Resultados!DA20),ABS(Resultados!DK20))/SQRT(COUNT(Resultados!E20,Resultados!O20,Resultados!Y20,Resultados!AI20,Resultados!AS20,Resultados!BC20,Resultados!BM20,Resultados!BW20,Resultados!CG20,Resultados!CQ20,Resultados!DA20,Resultados!DK20)))</f>
        <v>0.12452461403898459</v>
      </c>
      <c r="F20">
        <f>IF(COUNT(Resultados!F20,Resultados!P20,Resultados!Z20,Resultados!AJ20,Resultados!AT20,Resultados!BD20,Resultados!BN20,Resultados!BX20,Resultados!CH20,Resultados!CR20,Resultados!DB20,Resultados!DL20)&lt;=1, "", _xlfn.STDEV.S(ABS(Resultados!F20),ABS(Resultados!P20),ABS(Resultados!Z20),ABS(Resultados!AJ20),ABS(Resultados!AT20),ABS(Resultados!BD20),ABS(Resultados!BN20),ABS(Resultados!BX20),ABS(Resultados!CH20),ABS(Resultados!CR20),ABS(Resultados!DB20),ABS(Resultados!DL20))/SQRT(COUNT(Resultados!F20,Resultados!P20,Resultados!Z20,Resultados!AJ20,Resultados!AT20,Resultados!BD20,Resultados!BN20,Resultados!BX20,Resultados!CH20,Resultados!CR20,Resultados!DB20,Resultados!DL20)))</f>
        <v>19.199748587012245</v>
      </c>
      <c r="G20">
        <f>IF(COUNT(Resultados!G20,Resultados!Q20,Resultados!AA20,Resultados!AK20,Resultados!AU20,Resultados!BE20,Resultados!BO20,Resultados!BY20,Resultados!CI20,Resultados!CS20,Resultados!DC20,Resultados!DM20)&lt;=1, "", _xlfn.STDEV.S(ABS(Resultados!G20),ABS(Resultados!Q20),ABS(Resultados!AA20),ABS(Resultados!AK20),ABS(Resultados!AU20),ABS(Resultados!BE20),ABS(Resultados!BO20),ABS(Resultados!BY20),ABS(Resultados!CI20),ABS(Resultados!CS20),ABS(Resultados!DC20),ABS(Resultados!DM20))/SQRT(COUNT(Resultados!G20,Resultados!Q20,Resultados!AA20,Resultados!AK20,Resultados!AU20,Resultados!BE20,Resultados!BO20,Resultados!BY20,Resultados!CI20,Resultados!CS20,Resultados!DC20,Resultados!DM20)))</f>
        <v>3.3474483693592253E-17</v>
      </c>
      <c r="H20">
        <f>IF(COUNT(Resultados!H20,Resultados!R20,Resultados!AB20,Resultados!AL20,Resultados!AV20,Resultados!BF20,Resultados!BP20,Resultados!BZ20,Resultados!CJ20,Resultados!CT20,Resultados!DD20,Resultados!DN20)&lt;=1, "", _xlfn.STDEV.S(ABS(Resultados!H20),ABS(Resultados!R20),ABS(Resultados!AB20),ABS(Resultados!AL20),ABS(Resultados!AV20),ABS(Resultados!BF20),ABS(Resultados!BP20),ABS(Resultados!BZ20),ABS(Resultados!CJ20),ABS(Resultados!CT20),ABS(Resultados!DD20),ABS(Resultados!DN20))/SQRT(COUNT(Resultados!H20,Resultados!R20,Resultados!AB20,Resultados!AL20,Resultados!AV20,Resultados!BF20,Resultados!BP20,Resultados!BZ20,Resultados!CJ20,Resultados!CT20,Resultados!DD20,Resultados!DN20)))</f>
        <v>1.9338083925223599E-3</v>
      </c>
      <c r="I20">
        <f>IF(COUNT(Resultados!I20,Resultados!S20,Resultados!AC20,Resultados!AM20,Resultados!AW20,Resultados!BG20,Resultados!BQ20,Resultados!CA20,Resultados!CK20,Resultados!CU20,Resultados!DE20,Resultados!DO20)&lt;=1, "", _xlfn.STDEV.S(ABS(Resultados!I20),ABS(Resultados!S20),ABS(Resultados!AC20),ABS(Resultados!AM20),ABS(Resultados!AW20),ABS(Resultados!BG20),ABS(Resultados!BQ20),ABS(Resultados!CA20),ABS(Resultados!CK20),ABS(Resultados!CU20),ABS(Resultados!DE20),ABS(Resultados!DO20))/SQRT(COUNT(Resultados!I20,Resultados!S20,Resultados!AC20,Resultados!AM20,Resultados!AW20,Resultados!BG20,Resultados!BQ20,Resultados!CA20,Resultados!CK20,Resultados!CU20,Resultados!DE20,Resultados!DO20)))</f>
        <v>1.0168001340608666E-3</v>
      </c>
      <c r="J20">
        <f>IF(COUNT(Resultados!J20,Resultados!T20,Resultados!AD20,Resultados!AN20,Resultados!AX20,Resultados!BH20,Resultados!BR20,Resultados!CB20,Resultados!CL20,Resultados!CV20,Resultados!DF20,Resultados!DP20)&lt;=1, "", _xlfn.STDEV.S(ABS(Resultados!J20),ABS(Resultados!T20),ABS(Resultados!AD20),ABS(Resultados!AN20),ABS(Resultados!AX20),ABS(Resultados!BH20),ABS(Resultados!BR20),ABS(Resultados!CB20),ABS(Resultados!CL20),ABS(Resultados!CV20),ABS(Resultados!DF20),ABS(Resultados!DP20))/SQRT(COUNT(Resultados!J20,Resultados!T20,Resultados!AD20,Resultados!AN20,Resultados!AX20,Resultados!BH20,Resultados!BR20,Resultados!CB20,Resultados!CL20,Resultados!CV20,Resultados!DF20,Resultados!DP20)))</f>
        <v>1.9338083925223599E-3</v>
      </c>
    </row>
    <row r="21" spans="1:10" x14ac:dyDescent="0.3">
      <c r="A21">
        <f>IF(COUNT(Resultados!A21,Resultados!K21,Resultados!U21,Resultados!AE21,Resultados!AO21,Resultados!AY21,Resultados!BI21,Resultados!BS21,Resultados!CC21,Resultados!CM21,Resultados!CW21,Resultados!DG21)&lt;=1, "", _xlfn.STDEV.S(ABS(Resultados!A21),ABS(Resultados!K21),ABS(Resultados!U21),ABS(Resultados!AE21),ABS(Resultados!AO21),ABS(Resultados!AY21),ABS(Resultados!BI21),ABS(Resultados!BS21),ABS(Resultados!CC21),ABS(Resultados!CM21),ABS(Resultados!CW21),ABS(Resultados!DG21))/SQRT(COUNT(Resultados!A21,Resultados!K21,Resultados!U21,Resultados!AE21,Resultados!AO21,Resultados!AY21,Resultados!BI21,Resultados!BS21,Resultados!CC21,Resultados!CM21,Resultados!CW21,Resultados!DG21)))</f>
        <v>0</v>
      </c>
      <c r="B21" t="str">
        <f>IF(COUNT(Resultados!B21,Resultados!L21,Resultados!V21,Resultados!AF21,Resultados!AP21,Resultados!AZ21,Resultados!BJ21,Resultados!BT21,Resultados!CD21,Resultados!CN21,Resultados!CX21,Resultados!DH21)&lt;=1, "", _xlfn.STDEV.S(ABS(Resultados!B21),ABS(Resultados!L21),ABS(Resultados!V21),ABS(Resultados!AF21),ABS(Resultados!AP21),ABS(Resultados!AZ21),ABS(Resultados!BJ21),ABS(Resultados!BT21),ABS(Resultados!CD21),ABS(Resultados!CN21),ABS(Resultados!CX21),ABS(Resultados!DH21))/SQRT(COUNT(Resultados!B21,Resultados!L21,Resultados!V21,Resultados!AF21,Resultados!AP21,Resultados!AZ21,Resultados!BJ21,Resultados!BT21,Resultados!CD21,Resultados!CN21,Resultados!CX21,Resultados!DH21)))</f>
        <v/>
      </c>
      <c r="C21">
        <f>IF(COUNT(Resultados!C21,Resultados!M21,Resultados!W21,Resultados!AG21,Resultados!AQ21,Resultados!BA21,Resultados!BK21,Resultados!BU21,Resultados!CE21,Resultados!CO21,Resultados!CY21,Resultados!DI21)&lt;=1, "", _xlfn.STDEV.S(ABS(Resultados!C21),ABS(Resultados!M21),ABS(Resultados!W21),ABS(Resultados!AG21),ABS(Resultados!AQ21),ABS(Resultados!BA21),ABS(Resultados!BK21),ABS(Resultados!BU21),ABS(Resultados!CE21),ABS(Resultados!CO21),ABS(Resultados!CY21),ABS(Resultados!DI21))/SQRT(COUNT(Resultados!C21,Resultados!M21,Resultados!W21,Resultados!AG21,Resultados!AQ21,Resultados!BA21,Resultados!BK21,Resultados!BU21,Resultados!CE21,Resultados!CO21,Resultados!CY21,Resultados!DI21)))</f>
        <v>0.45156853457049168</v>
      </c>
      <c r="D21">
        <f>IF(COUNT(Resultados!D21,Resultados!N21,Resultados!X21,Resultados!AH21,Resultados!AR21,Resultados!BB21,Resultados!BL21,Resultados!BV21,Resultados!CF21,Resultados!CP21,Resultados!CZ21,Resultados!DJ21)&lt;=1, "", _xlfn.STDEV.S(ABS(Resultados!D21),ABS(Resultados!N21),ABS(Resultados!X21),ABS(Resultados!AH21),ABS(Resultados!AR21),ABS(Resultados!BB21),ABS(Resultados!BL21),ABS(Resultados!BV21),ABS(Resultados!CF21),ABS(Resultados!CP21),ABS(Resultados!CZ21),ABS(Resultados!DJ21))/SQRT(COUNT(Resultados!D21,Resultados!N21,Resultados!X21,Resultados!AH21,Resultados!AR21,Resultados!BB21,Resultados!BL21,Resultados!BV21,Resultados!CF21,Resultados!CP21,Resultados!CZ21,Resultados!DJ21)))</f>
        <v>1.4940855620300564E-3</v>
      </c>
      <c r="E21">
        <f>IF(COUNT(Resultados!E21,Resultados!O21,Resultados!Y21,Resultados!AI21,Resultados!AS21,Resultados!BC21,Resultados!BM21,Resultados!BW21,Resultados!CG21,Resultados!CQ21,Resultados!DA21,Resultados!DK21)&lt;=1, "", _xlfn.STDEV.S(ABS(Resultados!E21),ABS(Resultados!O21),ABS(Resultados!Y21),ABS(Resultados!AI21),ABS(Resultados!AS21),ABS(Resultados!BC21),ABS(Resultados!BM21),ABS(Resultados!BW21),ABS(Resultados!CG21),ABS(Resultados!CQ21),ABS(Resultados!DA21),ABS(Resultados!DK21))/SQRT(COUNT(Resultados!E21,Resultados!O21,Resultados!Y21,Resultados!AI21,Resultados!AS21,Resultados!BC21,Resultados!BM21,Resultados!BW21,Resultados!CG21,Resultados!CQ21,Resultados!DA21,Resultados!DK21)))</f>
        <v>0.12265375249191353</v>
      </c>
      <c r="F21">
        <f>IF(COUNT(Resultados!F21,Resultados!P21,Resultados!Z21,Resultados!AJ21,Resultados!AT21,Resultados!BD21,Resultados!BN21,Resultados!BX21,Resultados!CH21,Resultados!CR21,Resultados!DB21,Resultados!DL21)&lt;=1, "", _xlfn.STDEV.S(ABS(Resultados!F21),ABS(Resultados!P21),ABS(Resultados!Z21),ABS(Resultados!AJ21),ABS(Resultados!AT21),ABS(Resultados!BD21),ABS(Resultados!BN21),ABS(Resultados!BX21),ABS(Resultados!CH21),ABS(Resultados!CR21),ABS(Resultados!DB21),ABS(Resultados!DL21))/SQRT(COUNT(Resultados!F21,Resultados!P21,Resultados!Z21,Resultados!AJ21,Resultados!AT21,Resultados!BD21,Resultados!BN21,Resultados!BX21,Resultados!CH21,Resultados!CR21,Resultados!DB21,Resultados!DL21)))</f>
        <v>19.254464094072816</v>
      </c>
      <c r="G21">
        <f>IF(COUNT(Resultados!G21,Resultados!Q21,Resultados!AA21,Resultados!AK21,Resultados!AU21,Resultados!BE21,Resultados!BO21,Resultados!BY21,Resultados!CI21,Resultados!CS21,Resultados!DC21,Resultados!DM21)&lt;=1, "", _xlfn.STDEV.S(ABS(Resultados!G21),ABS(Resultados!Q21),ABS(Resultados!AA21),ABS(Resultados!AK21),ABS(Resultados!AU21),ABS(Resultados!BE21),ABS(Resultados!BO21),ABS(Resultados!BY21),ABS(Resultados!CI21),ABS(Resultados!CS21),ABS(Resultados!DC21),ABS(Resultados!DM21))/SQRT(COUNT(Resultados!G21,Resultados!Q21,Resultados!AA21,Resultados!AK21,Resultados!AU21,Resultados!BE21,Resultados!BO21,Resultados!BY21,Resultados!CI21,Resultados!CS21,Resultados!DC21,Resultados!DM21)))</f>
        <v>3.3474483693592253E-17</v>
      </c>
      <c r="H21">
        <f>IF(COUNT(Resultados!H21,Resultados!R21,Resultados!AB21,Resultados!AL21,Resultados!AV21,Resultados!BF21,Resultados!BP21,Resultados!BZ21,Resultados!CJ21,Resultados!CT21,Resultados!DD21,Resultados!DN21)&lt;=1, "", _xlfn.STDEV.S(ABS(Resultados!H21),ABS(Resultados!R21),ABS(Resultados!AB21),ABS(Resultados!AL21),ABS(Resultados!AV21),ABS(Resultados!BF21),ABS(Resultados!BP21),ABS(Resultados!BZ21),ABS(Resultados!CJ21),ABS(Resultados!CT21),ABS(Resultados!DD21),ABS(Resultados!DN21))/SQRT(COUNT(Resultados!H21,Resultados!R21,Resultados!AB21,Resultados!AL21,Resultados!AV21,Resultados!BF21,Resultados!BP21,Resultados!BZ21,Resultados!CJ21,Resultados!CT21,Resultados!DD21,Resultados!DN21)))</f>
        <v>1.9100263761466141E-3</v>
      </c>
      <c r="I21">
        <f>IF(COUNT(Resultados!I21,Resultados!S21,Resultados!AC21,Resultados!AM21,Resultados!AW21,Resultados!BG21,Resultados!BQ21,Resultados!CA21,Resultados!CK21,Resultados!CU21,Resultados!DE21,Resultados!DO21)&lt;=1, "", _xlfn.STDEV.S(ABS(Resultados!I21),ABS(Resultados!S21),ABS(Resultados!AC21),ABS(Resultados!AM21),ABS(Resultados!AW21),ABS(Resultados!BG21),ABS(Resultados!BQ21),ABS(Resultados!CA21),ABS(Resultados!CK21),ABS(Resultados!CU21),ABS(Resultados!DE21),ABS(Resultados!DO21))/SQRT(COUNT(Resultados!I21,Resultados!S21,Resultados!AC21,Resultados!AM21,Resultados!AW21,Resultados!BG21,Resultados!BQ21,Resultados!CA21,Resultados!CK21,Resultados!CU21,Resultados!DE21,Resultados!DO21)))</f>
        <v>9.1008740838957819E-4</v>
      </c>
      <c r="J21">
        <f>IF(COUNT(Resultados!J21,Resultados!T21,Resultados!AD21,Resultados!AN21,Resultados!AX21,Resultados!BH21,Resultados!BR21,Resultados!CB21,Resultados!CL21,Resultados!CV21,Resultados!DF21,Resultados!DP21)&lt;=1, "", _xlfn.STDEV.S(ABS(Resultados!J21),ABS(Resultados!T21),ABS(Resultados!AD21),ABS(Resultados!AN21),ABS(Resultados!AX21),ABS(Resultados!BH21),ABS(Resultados!BR21),ABS(Resultados!CB21),ABS(Resultados!CL21),ABS(Resultados!CV21),ABS(Resultados!DF21),ABS(Resultados!DP21))/SQRT(COUNT(Resultados!J21,Resultados!T21,Resultados!AD21,Resultados!AN21,Resultados!AX21,Resultados!BH21,Resultados!BR21,Resultados!CB21,Resultados!CL21,Resultados!CV21,Resultados!DF21,Resultados!DP21)))</f>
        <v>1.9100263761466141E-3</v>
      </c>
    </row>
    <row r="22" spans="1:10" x14ac:dyDescent="0.3">
      <c r="A22">
        <f>IF(COUNT(Resultados!A22,Resultados!K22,Resultados!U22,Resultados!AE22,Resultados!AO22,Resultados!AY22,Resultados!BI22,Resultados!BS22,Resultados!CC22,Resultados!CM22,Resultados!CW22,Resultados!DG22)&lt;=1, "", _xlfn.STDEV.S(ABS(Resultados!A22),ABS(Resultados!K22),ABS(Resultados!U22),ABS(Resultados!AE22),ABS(Resultados!AO22),ABS(Resultados!AY22),ABS(Resultados!BI22),ABS(Resultados!BS22),ABS(Resultados!CC22),ABS(Resultados!CM22),ABS(Resultados!CW22),ABS(Resultados!DG22))/SQRT(COUNT(Resultados!A22,Resultados!K22,Resultados!U22,Resultados!AE22,Resultados!AO22,Resultados!AY22,Resultados!BI22,Resultados!BS22,Resultados!CC22,Resultados!CM22,Resultados!CW22,Resultados!DG22)))</f>
        <v>0</v>
      </c>
      <c r="B22" t="str">
        <f>IF(COUNT(Resultados!B22,Resultados!L22,Resultados!V22,Resultados!AF22,Resultados!AP22,Resultados!AZ22,Resultados!BJ22,Resultados!BT22,Resultados!CD22,Resultados!CN22,Resultados!CX22,Resultados!DH22)&lt;=1, "", _xlfn.STDEV.S(ABS(Resultados!B22),ABS(Resultados!L22),ABS(Resultados!V22),ABS(Resultados!AF22),ABS(Resultados!AP22),ABS(Resultados!AZ22),ABS(Resultados!BJ22),ABS(Resultados!BT22),ABS(Resultados!CD22),ABS(Resultados!CN22),ABS(Resultados!CX22),ABS(Resultados!DH22))/SQRT(COUNT(Resultados!B22,Resultados!L22,Resultados!V22,Resultados!AF22,Resultados!AP22,Resultados!AZ22,Resultados!BJ22,Resultados!BT22,Resultados!CD22,Resultados!CN22,Resultados!CX22,Resultados!DH22)))</f>
        <v/>
      </c>
      <c r="C22">
        <f>IF(COUNT(Resultados!C22,Resultados!M22,Resultados!W22,Resultados!AG22,Resultados!AQ22,Resultados!BA22,Resultados!BK22,Resultados!BU22,Resultados!CE22,Resultados!CO22,Resultados!CY22,Resultados!DI22)&lt;=1, "", _xlfn.STDEV.S(ABS(Resultados!C22),ABS(Resultados!M22),ABS(Resultados!W22),ABS(Resultados!AG22),ABS(Resultados!AQ22),ABS(Resultados!BA22),ABS(Resultados!BK22),ABS(Resultados!BU22),ABS(Resultados!CE22),ABS(Resultados!CO22),ABS(Resultados!CY22),ABS(Resultados!DI22))/SQRT(COUNT(Resultados!C22,Resultados!M22,Resultados!W22,Resultados!AG22,Resultados!AQ22,Resultados!BA22,Resultados!BK22,Resultados!BU22,Resultados!CE22,Resultados!CO22,Resultados!CY22,Resultados!DI22)))</f>
        <v>0.45156853457049168</v>
      </c>
      <c r="D22">
        <f>IF(COUNT(Resultados!D22,Resultados!N22,Resultados!X22,Resultados!AH22,Resultados!AR22,Resultados!BB22,Resultados!BL22,Resultados!BV22,Resultados!CF22,Resultados!CP22,Resultados!CZ22,Resultados!DJ22)&lt;=1, "", _xlfn.STDEV.S(ABS(Resultados!D22),ABS(Resultados!N22),ABS(Resultados!X22),ABS(Resultados!AH22),ABS(Resultados!AR22),ABS(Resultados!BB22),ABS(Resultados!BL22),ABS(Resultados!BV22),ABS(Resultados!CF22),ABS(Resultados!CP22),ABS(Resultados!CZ22),ABS(Resultados!DJ22))/SQRT(COUNT(Resultados!D22,Resultados!N22,Resultados!X22,Resultados!AH22,Resultados!AR22,Resultados!BB22,Resultados!BL22,Resultados!BV22,Resultados!CF22,Resultados!CP22,Resultados!CZ22,Resultados!DJ22)))</f>
        <v>1.4164616607461123E-3</v>
      </c>
      <c r="E22">
        <f>IF(COUNT(Resultados!E22,Resultados!O22,Resultados!Y22,Resultados!AI22,Resultados!AS22,Resultados!BC22,Resultados!BM22,Resultados!BW22,Resultados!CG22,Resultados!CQ22,Resultados!DA22,Resultados!DK22)&lt;=1, "", _xlfn.STDEV.S(ABS(Resultados!E22),ABS(Resultados!O22),ABS(Resultados!Y22),ABS(Resultados!AI22),ABS(Resultados!AS22),ABS(Resultados!BC22),ABS(Resultados!BM22),ABS(Resultados!BW22),ABS(Resultados!CG22),ABS(Resultados!CQ22),ABS(Resultados!DA22),ABS(Resultados!DK22))/SQRT(COUNT(Resultados!E22,Resultados!O22,Resultados!Y22,Resultados!AI22,Resultados!AS22,Resultados!BC22,Resultados!BM22,Resultados!BW22,Resultados!CG22,Resultados!CQ22,Resultados!DA22,Resultados!DK22)))</f>
        <v>0.11968713566968531</v>
      </c>
      <c r="F22">
        <f>IF(COUNT(Resultados!F22,Resultados!P22,Resultados!Z22,Resultados!AJ22,Resultados!AT22,Resultados!BD22,Resultados!BN22,Resultados!BX22,Resultados!CH22,Resultados!CR22,Resultados!DB22,Resultados!DL22)&lt;=1, "", _xlfn.STDEV.S(ABS(Resultados!F22),ABS(Resultados!P22),ABS(Resultados!Z22),ABS(Resultados!AJ22),ABS(Resultados!AT22),ABS(Resultados!BD22),ABS(Resultados!BN22),ABS(Resultados!BX22),ABS(Resultados!CH22),ABS(Resultados!CR22),ABS(Resultados!DB22),ABS(Resultados!DL22))/SQRT(COUNT(Resultados!F22,Resultados!P22,Resultados!Z22,Resultados!AJ22,Resultados!AT22,Resultados!BD22,Resultados!BN22,Resultados!BX22,Resultados!CH22,Resultados!CR22,Resultados!DB22,Resultados!DL22)))</f>
        <v>19.204650890126143</v>
      </c>
      <c r="G22">
        <f>IF(COUNT(Resultados!G22,Resultados!Q22,Resultados!AA22,Resultados!AK22,Resultados!AU22,Resultados!BE22,Resultados!BO22,Resultados!BY22,Resultados!CI22,Resultados!CS22,Resultados!DC22,Resultados!DM22)&lt;=1, "", _xlfn.STDEV.S(ABS(Resultados!G22),ABS(Resultados!Q22),ABS(Resultados!AA22),ABS(Resultados!AK22),ABS(Resultados!AU22),ABS(Resultados!BE22),ABS(Resultados!BO22),ABS(Resultados!BY22),ABS(Resultados!CI22),ABS(Resultados!CS22),ABS(Resultados!DC22),ABS(Resultados!DM22))/SQRT(COUNT(Resultados!G22,Resultados!Q22,Resultados!AA22,Resultados!AK22,Resultados!AU22,Resultados!BE22,Resultados!BO22,Resultados!BY22,Resultados!CI22,Resultados!CS22,Resultados!DC22,Resultados!DM22)))</f>
        <v>3.3474483693592253E-17</v>
      </c>
      <c r="H22">
        <f>IF(COUNT(Resultados!H22,Resultados!R22,Resultados!AB22,Resultados!AL22,Resultados!AV22,Resultados!BF22,Resultados!BP22,Resultados!BZ22,Resultados!CJ22,Resultados!CT22,Resultados!DD22,Resultados!DN22)&lt;=1, "", _xlfn.STDEV.S(ABS(Resultados!H22),ABS(Resultados!R22),ABS(Resultados!AB22),ABS(Resultados!AL22),ABS(Resultados!AV22),ABS(Resultados!BF22),ABS(Resultados!BP22),ABS(Resultados!BZ22),ABS(Resultados!CJ22),ABS(Resultados!CT22),ABS(Resultados!DD22),ABS(Resultados!DN22))/SQRT(COUNT(Resultados!H22,Resultados!R22,Resultados!AB22,Resultados!AL22,Resultados!AV22,Resultados!BF22,Resultados!BP22,Resultados!BZ22,Resultados!CJ22,Resultados!CT22,Resultados!DD22,Resultados!DN22)))</f>
        <v>1.859963274862812E-3</v>
      </c>
      <c r="I22">
        <f>IF(COUNT(Resultados!I22,Resultados!S22,Resultados!AC22,Resultados!AM22,Resultados!AW22,Resultados!BG22,Resultados!BQ22,Resultados!CA22,Resultados!CK22,Resultados!CU22,Resultados!DE22,Resultados!DO22)&lt;=1, "", _xlfn.STDEV.S(ABS(Resultados!I22),ABS(Resultados!S22),ABS(Resultados!AC22),ABS(Resultados!AM22),ABS(Resultados!AW22),ABS(Resultados!BG22),ABS(Resultados!BQ22),ABS(Resultados!CA22),ABS(Resultados!CK22),ABS(Resultados!CU22),ABS(Resultados!DE22),ABS(Resultados!DO22))/SQRT(COUNT(Resultados!I22,Resultados!S22,Resultados!AC22,Resultados!AM22,Resultados!AW22,Resultados!BG22,Resultados!BQ22,Resultados!CA22,Resultados!CK22,Resultados!CU22,Resultados!DE22,Resultados!DO22)))</f>
        <v>8.4762632770378748E-4</v>
      </c>
      <c r="J22">
        <f>IF(COUNT(Resultados!J22,Resultados!T22,Resultados!AD22,Resultados!AN22,Resultados!AX22,Resultados!BH22,Resultados!BR22,Resultados!CB22,Resultados!CL22,Resultados!CV22,Resultados!DF22,Resultados!DP22)&lt;=1, "", _xlfn.STDEV.S(ABS(Resultados!J22),ABS(Resultados!T22),ABS(Resultados!AD22),ABS(Resultados!AN22),ABS(Resultados!AX22),ABS(Resultados!BH22),ABS(Resultados!BR22),ABS(Resultados!CB22),ABS(Resultados!CL22),ABS(Resultados!CV22),ABS(Resultados!DF22),ABS(Resultados!DP22))/SQRT(COUNT(Resultados!J22,Resultados!T22,Resultados!AD22,Resultados!AN22,Resultados!AX22,Resultados!BH22,Resultados!BR22,Resultados!CB22,Resultados!CL22,Resultados!CV22,Resultados!DF22,Resultados!DP22)))</f>
        <v>1.859963274862812E-3</v>
      </c>
    </row>
    <row r="23" spans="1:10" x14ac:dyDescent="0.3">
      <c r="A23">
        <f>IF(COUNT(Resultados!A23,Resultados!K23,Resultados!U23,Resultados!AE23,Resultados!AO23,Resultados!AY23,Resultados!BI23,Resultados!BS23,Resultados!CC23,Resultados!CM23,Resultados!CW23,Resultados!DG23)&lt;=1, "", _xlfn.STDEV.S(ABS(Resultados!A23),ABS(Resultados!K23),ABS(Resultados!U23),ABS(Resultados!AE23),ABS(Resultados!AO23),ABS(Resultados!AY23),ABS(Resultados!BI23),ABS(Resultados!BS23),ABS(Resultados!CC23),ABS(Resultados!CM23),ABS(Resultados!CW23),ABS(Resultados!DG23))/SQRT(COUNT(Resultados!A23,Resultados!K23,Resultados!U23,Resultados!AE23,Resultados!AO23,Resultados!AY23,Resultados!BI23,Resultados!BS23,Resultados!CC23,Resultados!CM23,Resultados!CW23,Resultados!DG23)))</f>
        <v>0</v>
      </c>
      <c r="B23" t="str">
        <f>IF(COUNT(Resultados!B23,Resultados!L23,Resultados!V23,Resultados!AF23,Resultados!AP23,Resultados!AZ23,Resultados!BJ23,Resultados!BT23,Resultados!CD23,Resultados!CN23,Resultados!CX23,Resultados!DH23)&lt;=1, "", _xlfn.STDEV.S(ABS(Resultados!B23),ABS(Resultados!L23),ABS(Resultados!V23),ABS(Resultados!AF23),ABS(Resultados!AP23),ABS(Resultados!AZ23),ABS(Resultados!BJ23),ABS(Resultados!BT23),ABS(Resultados!CD23),ABS(Resultados!CN23),ABS(Resultados!CX23),ABS(Resultados!DH23))/SQRT(COUNT(Resultados!B23,Resultados!L23,Resultados!V23,Resultados!AF23,Resultados!AP23,Resultados!AZ23,Resultados!BJ23,Resultados!BT23,Resultados!CD23,Resultados!CN23,Resultados!CX23,Resultados!DH23)))</f>
        <v/>
      </c>
      <c r="C23">
        <f>IF(COUNT(Resultados!C23,Resultados!M23,Resultados!W23,Resultados!AG23,Resultados!AQ23,Resultados!BA23,Resultados!BK23,Resultados!BU23,Resultados!CE23,Resultados!CO23,Resultados!CY23,Resultados!DI23)&lt;=1, "", _xlfn.STDEV.S(ABS(Resultados!C23),ABS(Resultados!M23),ABS(Resultados!W23),ABS(Resultados!AG23),ABS(Resultados!AQ23),ABS(Resultados!BA23),ABS(Resultados!BK23),ABS(Resultados!BU23),ABS(Resultados!CE23),ABS(Resultados!CO23),ABS(Resultados!CY23),ABS(Resultados!DI23))/SQRT(COUNT(Resultados!C23,Resultados!M23,Resultados!W23,Resultados!AG23,Resultados!AQ23,Resultados!BA23,Resultados!BK23,Resultados!BU23,Resultados!CE23,Resultados!CO23,Resultados!CY23,Resultados!DI23)))</f>
        <v>0.45156853457049168</v>
      </c>
      <c r="D23">
        <f>IF(COUNT(Resultados!D23,Resultados!N23,Resultados!X23,Resultados!AH23,Resultados!AR23,Resultados!BB23,Resultados!BL23,Resultados!BV23,Resultados!CF23,Resultados!CP23,Resultados!CZ23,Resultados!DJ23)&lt;=1, "", _xlfn.STDEV.S(ABS(Resultados!D23),ABS(Resultados!N23),ABS(Resultados!X23),ABS(Resultados!AH23),ABS(Resultados!AR23),ABS(Resultados!BB23),ABS(Resultados!BL23),ABS(Resultados!BV23),ABS(Resultados!CF23),ABS(Resultados!CP23),ABS(Resultados!CZ23),ABS(Resultados!DJ23))/SQRT(COUNT(Resultados!D23,Resultados!N23,Resultados!X23,Resultados!AH23,Resultados!AR23,Resultados!BB23,Resultados!BL23,Resultados!BV23,Resultados!CF23,Resultados!CP23,Resultados!CZ23,Resultados!DJ23)))</f>
        <v>1.318133053782792E-3</v>
      </c>
      <c r="E23">
        <f>IF(COUNT(Resultados!E23,Resultados!O23,Resultados!Y23,Resultados!AI23,Resultados!AS23,Resultados!BC23,Resultados!BM23,Resultados!BW23,Resultados!CG23,Resultados!CQ23,Resultados!DA23,Resultados!DK23)&lt;=1, "", _xlfn.STDEV.S(ABS(Resultados!E23),ABS(Resultados!O23),ABS(Resultados!Y23),ABS(Resultados!AI23),ABS(Resultados!AS23),ABS(Resultados!BC23),ABS(Resultados!BM23),ABS(Resultados!BW23),ABS(Resultados!CG23),ABS(Resultados!CQ23),ABS(Resultados!DA23),ABS(Resultados!DK23))/SQRT(COUNT(Resultados!E23,Resultados!O23,Resultados!Y23,Resultados!AI23,Resultados!AS23,Resultados!BC23,Resultados!BM23,Resultados!BW23,Resultados!CG23,Resultados!CQ23,Resultados!DA23,Resultados!DK23)))</f>
        <v>0.11609641545718369</v>
      </c>
      <c r="F23">
        <f>IF(COUNT(Resultados!F23,Resultados!P23,Resultados!Z23,Resultados!AJ23,Resultados!AT23,Resultados!BD23,Resultados!BN23,Resultados!BX23,Resultados!CH23,Resultados!CR23,Resultados!DB23,Resultados!DL23)&lt;=1, "", _xlfn.STDEV.S(ABS(Resultados!F23),ABS(Resultados!P23),ABS(Resultados!Z23),ABS(Resultados!AJ23),ABS(Resultados!AT23),ABS(Resultados!BD23),ABS(Resultados!BN23),ABS(Resultados!BX23),ABS(Resultados!CH23),ABS(Resultados!CR23),ABS(Resultados!DB23),ABS(Resultados!DL23))/SQRT(COUNT(Resultados!F23,Resultados!P23,Resultados!Z23,Resultados!AJ23,Resultados!AT23,Resultados!BD23,Resultados!BN23,Resultados!BX23,Resultados!CH23,Resultados!CR23,Resultados!DB23,Resultados!DL23)))</f>
        <v>17.727460000629438</v>
      </c>
      <c r="G23">
        <f>IF(COUNT(Resultados!G23,Resultados!Q23,Resultados!AA23,Resultados!AK23,Resultados!AU23,Resultados!BE23,Resultados!BO23,Resultados!BY23,Resultados!CI23,Resultados!CS23,Resultados!DC23,Resultados!DM23)&lt;=1, "", _xlfn.STDEV.S(ABS(Resultados!G23),ABS(Resultados!Q23),ABS(Resultados!AA23),ABS(Resultados!AK23),ABS(Resultados!AU23),ABS(Resultados!BE23),ABS(Resultados!BO23),ABS(Resultados!BY23),ABS(Resultados!CI23),ABS(Resultados!CS23),ABS(Resultados!DC23),ABS(Resultados!DM23))/SQRT(COUNT(Resultados!G23,Resultados!Q23,Resultados!AA23,Resultados!AK23,Resultados!AU23,Resultados!BE23,Resultados!BO23,Resultados!BY23,Resultados!CI23,Resultados!CS23,Resultados!DC23,Resultados!DM23)))</f>
        <v>3.3474483693592253E-17</v>
      </c>
      <c r="H23">
        <f>IF(COUNT(Resultados!H23,Resultados!R23,Resultados!AB23,Resultados!AL23,Resultados!AV23,Resultados!BF23,Resultados!BP23,Resultados!BZ23,Resultados!CJ23,Resultados!CT23,Resultados!DD23,Resultados!DN23)&lt;=1, "", _xlfn.STDEV.S(ABS(Resultados!H23),ABS(Resultados!R23),ABS(Resultados!AB23),ABS(Resultados!AL23),ABS(Resultados!AV23),ABS(Resultados!BF23),ABS(Resultados!BP23),ABS(Resultados!BZ23),ABS(Resultados!CJ23),ABS(Resultados!CT23),ABS(Resultados!DD23),ABS(Resultados!DN23))/SQRT(COUNT(Resultados!H23,Resultados!R23,Resultados!AB23,Resultados!AL23,Resultados!AV23,Resultados!BF23,Resultados!BP23,Resultados!BZ23,Resultados!CJ23,Resultados!CT23,Resultados!DD23,Resultados!DN23)))</f>
        <v>1.8077886346237336E-3</v>
      </c>
      <c r="I23">
        <f>IF(COUNT(Resultados!I23,Resultados!S23,Resultados!AC23,Resultados!AM23,Resultados!AW23,Resultados!BG23,Resultados!BQ23,Resultados!CA23,Resultados!CK23,Resultados!CU23,Resultados!DE23,Resultados!DO23)&lt;=1, "", _xlfn.STDEV.S(ABS(Resultados!I23),ABS(Resultados!S23),ABS(Resultados!AC23),ABS(Resultados!AM23),ABS(Resultados!AW23),ABS(Resultados!BG23),ABS(Resultados!BQ23),ABS(Resultados!CA23),ABS(Resultados!CK23),ABS(Resultados!CU23),ABS(Resultados!DE23),ABS(Resultados!DO23))/SQRT(COUNT(Resultados!I23,Resultados!S23,Resultados!AC23,Resultados!AM23,Resultados!AW23,Resultados!BG23,Resultados!BQ23,Resultados!CA23,Resultados!CK23,Resultados!CU23,Resultados!DE23,Resultados!DO23)))</f>
        <v>9.5936124056668706E-4</v>
      </c>
      <c r="J23">
        <f>IF(COUNT(Resultados!J23,Resultados!T23,Resultados!AD23,Resultados!AN23,Resultados!AX23,Resultados!BH23,Resultados!BR23,Resultados!CB23,Resultados!CL23,Resultados!CV23,Resultados!DF23,Resultados!DP23)&lt;=1, "", _xlfn.STDEV.S(ABS(Resultados!J23),ABS(Resultados!T23),ABS(Resultados!AD23),ABS(Resultados!AN23),ABS(Resultados!AX23),ABS(Resultados!BH23),ABS(Resultados!BR23),ABS(Resultados!CB23),ABS(Resultados!CL23),ABS(Resultados!CV23),ABS(Resultados!DF23),ABS(Resultados!DP23))/SQRT(COUNT(Resultados!J23,Resultados!T23,Resultados!AD23,Resultados!AN23,Resultados!AX23,Resultados!BH23,Resultados!BR23,Resultados!CB23,Resultados!CL23,Resultados!CV23,Resultados!DF23,Resultados!DP23)))</f>
        <v>1.8077886346237336E-3</v>
      </c>
    </row>
    <row r="24" spans="1:10" x14ac:dyDescent="0.3">
      <c r="A24">
        <f>IF(COUNT(Resultados!A24,Resultados!K24,Resultados!U24,Resultados!AE24,Resultados!AO24,Resultados!AY24,Resultados!BI24,Resultados!BS24,Resultados!CC24,Resultados!CM24,Resultados!CW24,Resultados!DG24)&lt;=1, "", _xlfn.STDEV.S(ABS(Resultados!A24),ABS(Resultados!K24),ABS(Resultados!U24),ABS(Resultados!AE24),ABS(Resultados!AO24),ABS(Resultados!AY24),ABS(Resultados!BI24),ABS(Resultados!BS24),ABS(Resultados!CC24),ABS(Resultados!CM24),ABS(Resultados!CW24),ABS(Resultados!DG24))/SQRT(COUNT(Resultados!A24,Resultados!K24,Resultados!U24,Resultados!AE24,Resultados!AO24,Resultados!AY24,Resultados!BI24,Resultados!BS24,Resultados!CC24,Resultados!CM24,Resultados!CW24,Resultados!DG24)))</f>
        <v>0</v>
      </c>
      <c r="B24" t="str">
        <f>IF(COUNT(Resultados!B24,Resultados!L24,Resultados!V24,Resultados!AF24,Resultados!AP24,Resultados!AZ24,Resultados!BJ24,Resultados!BT24,Resultados!CD24,Resultados!CN24,Resultados!CX24,Resultados!DH24)&lt;=1, "", _xlfn.STDEV.S(ABS(Resultados!B24),ABS(Resultados!L24),ABS(Resultados!V24),ABS(Resultados!AF24),ABS(Resultados!AP24),ABS(Resultados!AZ24),ABS(Resultados!BJ24),ABS(Resultados!BT24),ABS(Resultados!CD24),ABS(Resultados!CN24),ABS(Resultados!CX24),ABS(Resultados!DH24))/SQRT(COUNT(Resultados!B24,Resultados!L24,Resultados!V24,Resultados!AF24,Resultados!AP24,Resultados!AZ24,Resultados!BJ24,Resultados!BT24,Resultados!CD24,Resultados!CN24,Resultados!CX24,Resultados!DH24)))</f>
        <v/>
      </c>
      <c r="C24">
        <f>IF(COUNT(Resultados!C24,Resultados!M24,Resultados!W24,Resultados!AG24,Resultados!AQ24,Resultados!BA24,Resultados!BK24,Resultados!BU24,Resultados!CE24,Resultados!CO24,Resultados!CY24,Resultados!DI24)&lt;=1, "", _xlfn.STDEV.S(ABS(Resultados!C24),ABS(Resultados!M24),ABS(Resultados!W24),ABS(Resultados!AG24),ABS(Resultados!AQ24),ABS(Resultados!BA24),ABS(Resultados!BK24),ABS(Resultados!BU24),ABS(Resultados!CE24),ABS(Resultados!CO24),ABS(Resultados!CY24),ABS(Resultados!DI24))/SQRT(COUNT(Resultados!C24,Resultados!M24,Resultados!W24,Resultados!AG24,Resultados!AQ24,Resultados!BA24,Resultados!BK24,Resultados!BU24,Resultados!CE24,Resultados!CO24,Resultados!CY24,Resultados!DI24)))</f>
        <v>0.45156853457049168</v>
      </c>
      <c r="D24">
        <f>IF(COUNT(Resultados!D24,Resultados!N24,Resultados!X24,Resultados!AH24,Resultados!AR24,Resultados!BB24,Resultados!BL24,Resultados!BV24,Resultados!CF24,Resultados!CP24,Resultados!CZ24,Resultados!DJ24)&lt;=1, "", _xlfn.STDEV.S(ABS(Resultados!D24),ABS(Resultados!N24),ABS(Resultados!X24),ABS(Resultados!AH24),ABS(Resultados!AR24),ABS(Resultados!BB24),ABS(Resultados!BL24),ABS(Resultados!BV24),ABS(Resultados!CF24),ABS(Resultados!CP24),ABS(Resultados!CZ24),ABS(Resultados!DJ24))/SQRT(COUNT(Resultados!D24,Resultados!N24,Resultados!X24,Resultados!AH24,Resultados!AR24,Resultados!BB24,Resultados!BL24,Resultados!BV24,Resultados!CF24,Resultados!CP24,Resultados!CZ24,Resultados!DJ24)))</f>
        <v>1.2313738529206176E-3</v>
      </c>
      <c r="E24">
        <f>IF(COUNT(Resultados!E24,Resultados!O24,Resultados!Y24,Resultados!AI24,Resultados!AS24,Resultados!BC24,Resultados!BM24,Resultados!BW24,Resultados!CG24,Resultados!CQ24,Resultados!DA24,Resultados!DK24)&lt;=1, "", _xlfn.STDEV.S(ABS(Resultados!E24),ABS(Resultados!O24),ABS(Resultados!Y24),ABS(Resultados!AI24),ABS(Resultados!AS24),ABS(Resultados!BC24),ABS(Resultados!BM24),ABS(Resultados!BW24),ABS(Resultados!CG24),ABS(Resultados!CQ24),ABS(Resultados!DA24),ABS(Resultados!DK24))/SQRT(COUNT(Resultados!E24,Resultados!O24,Resultados!Y24,Resultados!AI24,Resultados!AS24,Resultados!BC24,Resultados!BM24,Resultados!BW24,Resultados!CG24,Resultados!CQ24,Resultados!DA24,Resultados!DK24)))</f>
        <v>0.11208892119501207</v>
      </c>
      <c r="F24">
        <f>IF(COUNT(Resultados!F24,Resultados!P24,Resultados!Z24,Resultados!AJ24,Resultados!AT24,Resultados!BD24,Resultados!BN24,Resultados!BX24,Resultados!CH24,Resultados!CR24,Resultados!DB24,Resultados!DL24)&lt;=1, "", _xlfn.STDEV.S(ABS(Resultados!F24),ABS(Resultados!P24),ABS(Resultados!Z24),ABS(Resultados!AJ24),ABS(Resultados!AT24),ABS(Resultados!BD24),ABS(Resultados!BN24),ABS(Resultados!BX24),ABS(Resultados!CH24),ABS(Resultados!CR24),ABS(Resultados!DB24),ABS(Resultados!DL24))/SQRT(COUNT(Resultados!F24,Resultados!P24,Resultados!Z24,Resultados!AJ24,Resultados!AT24,Resultados!BD24,Resultados!BN24,Resultados!BX24,Resultados!CH24,Resultados!CR24,Resultados!DB24,Resultados!DL24)))</f>
        <v>18.385785428418565</v>
      </c>
      <c r="G24">
        <f>IF(COUNT(Resultados!G24,Resultados!Q24,Resultados!AA24,Resultados!AK24,Resultados!AU24,Resultados!BE24,Resultados!BO24,Resultados!BY24,Resultados!CI24,Resultados!CS24,Resultados!DC24,Resultados!DM24)&lt;=1, "", _xlfn.STDEV.S(ABS(Resultados!G24),ABS(Resultados!Q24),ABS(Resultados!AA24),ABS(Resultados!AK24),ABS(Resultados!AU24),ABS(Resultados!BE24),ABS(Resultados!BO24),ABS(Resultados!BY24),ABS(Resultados!CI24),ABS(Resultados!CS24),ABS(Resultados!DC24),ABS(Resultados!DM24))/SQRT(COUNT(Resultados!G24,Resultados!Q24,Resultados!AA24,Resultados!AK24,Resultados!AU24,Resultados!BE24,Resultados!BO24,Resultados!BY24,Resultados!CI24,Resultados!CS24,Resultados!DC24,Resultados!DM24)))</f>
        <v>3.3474483693592253E-17</v>
      </c>
      <c r="H24">
        <f>IF(COUNT(Resultados!H24,Resultados!R24,Resultados!AB24,Resultados!AL24,Resultados!AV24,Resultados!BF24,Resultados!BP24,Resultados!BZ24,Resultados!CJ24,Resultados!CT24,Resultados!DD24,Resultados!DN24)&lt;=1, "", _xlfn.STDEV.S(ABS(Resultados!H24),ABS(Resultados!R24),ABS(Resultados!AB24),ABS(Resultados!AL24),ABS(Resultados!AV24),ABS(Resultados!BF24),ABS(Resultados!BP24),ABS(Resultados!BZ24),ABS(Resultados!CJ24),ABS(Resultados!CT24),ABS(Resultados!DD24),ABS(Resultados!DN24))/SQRT(COUNT(Resultados!H24,Resultados!R24,Resultados!AB24,Resultados!AL24,Resultados!AV24,Resultados!BF24,Resultados!BP24,Resultados!BZ24,Resultados!CJ24,Resultados!CT24,Resultados!DD24,Resultados!DN24)))</f>
        <v>1.7421015840911648E-3</v>
      </c>
      <c r="I24">
        <f>IF(COUNT(Resultados!I24,Resultados!S24,Resultados!AC24,Resultados!AM24,Resultados!AW24,Resultados!BG24,Resultados!BQ24,Resultados!CA24,Resultados!CK24,Resultados!CU24,Resultados!DE24,Resultados!DO24)&lt;=1, "", _xlfn.STDEV.S(ABS(Resultados!I24),ABS(Resultados!S24),ABS(Resultados!AC24),ABS(Resultados!AM24),ABS(Resultados!AW24),ABS(Resultados!BG24),ABS(Resultados!BQ24),ABS(Resultados!CA24),ABS(Resultados!CK24),ABS(Resultados!CU24),ABS(Resultados!DE24),ABS(Resultados!DO24))/SQRT(COUNT(Resultados!I24,Resultados!S24,Resultados!AC24,Resultados!AM24,Resultados!AW24,Resultados!BG24,Resultados!BQ24,Resultados!CA24,Resultados!CK24,Resultados!CU24,Resultados!DE24,Resultados!DO24)))</f>
        <v>7.6082673666932161E-4</v>
      </c>
      <c r="J24">
        <f>IF(COUNT(Resultados!J24,Resultados!T24,Resultados!AD24,Resultados!AN24,Resultados!AX24,Resultados!BH24,Resultados!BR24,Resultados!CB24,Resultados!CL24,Resultados!CV24,Resultados!DF24,Resultados!DP24)&lt;=1, "", _xlfn.STDEV.S(ABS(Resultados!J24),ABS(Resultados!T24),ABS(Resultados!AD24),ABS(Resultados!AN24),ABS(Resultados!AX24),ABS(Resultados!BH24),ABS(Resultados!BR24),ABS(Resultados!CB24),ABS(Resultados!CL24),ABS(Resultados!CV24),ABS(Resultados!DF24),ABS(Resultados!DP24))/SQRT(COUNT(Resultados!J24,Resultados!T24,Resultados!AD24,Resultados!AN24,Resultados!AX24,Resultados!BH24,Resultados!BR24,Resultados!CB24,Resultados!CL24,Resultados!CV24,Resultados!DF24,Resultados!DP24)))</f>
        <v>1.7421015840911648E-3</v>
      </c>
    </row>
    <row r="25" spans="1:10" x14ac:dyDescent="0.3">
      <c r="A25">
        <f>IF(COUNT(Resultados!A25,Resultados!K25,Resultados!U25,Resultados!AE25,Resultados!AO25,Resultados!AY25,Resultados!BI25,Resultados!BS25,Resultados!CC25,Resultados!CM25,Resultados!CW25,Resultados!DG25)&lt;=1, "", _xlfn.STDEV.S(ABS(Resultados!A25),ABS(Resultados!K25),ABS(Resultados!U25),ABS(Resultados!AE25),ABS(Resultados!AO25),ABS(Resultados!AY25),ABS(Resultados!BI25),ABS(Resultados!BS25),ABS(Resultados!CC25),ABS(Resultados!CM25),ABS(Resultados!CW25),ABS(Resultados!DG25))/SQRT(COUNT(Resultados!A25,Resultados!K25,Resultados!U25,Resultados!AE25,Resultados!AO25,Resultados!AY25,Resultados!BI25,Resultados!BS25,Resultados!CC25,Resultados!CM25,Resultados!CW25,Resultados!DG25)))</f>
        <v>0</v>
      </c>
      <c r="B25" t="str">
        <f>IF(COUNT(Resultados!B25,Resultados!L25,Resultados!V25,Resultados!AF25,Resultados!AP25,Resultados!AZ25,Resultados!BJ25,Resultados!BT25,Resultados!CD25,Resultados!CN25,Resultados!CX25,Resultados!DH25)&lt;=1, "", _xlfn.STDEV.S(ABS(Resultados!B25),ABS(Resultados!L25),ABS(Resultados!V25),ABS(Resultados!AF25),ABS(Resultados!AP25),ABS(Resultados!AZ25),ABS(Resultados!BJ25),ABS(Resultados!BT25),ABS(Resultados!CD25),ABS(Resultados!CN25),ABS(Resultados!CX25),ABS(Resultados!DH25))/SQRT(COUNT(Resultados!B25,Resultados!L25,Resultados!V25,Resultados!AF25,Resultados!AP25,Resultados!AZ25,Resultados!BJ25,Resultados!BT25,Resultados!CD25,Resultados!CN25,Resultados!CX25,Resultados!DH25)))</f>
        <v/>
      </c>
      <c r="C25">
        <f>IF(COUNT(Resultados!C25,Resultados!M25,Resultados!W25,Resultados!AG25,Resultados!AQ25,Resultados!BA25,Resultados!BK25,Resultados!BU25,Resultados!CE25,Resultados!CO25,Resultados!CY25,Resultados!DI25)&lt;=1, "", _xlfn.STDEV.S(ABS(Resultados!C25),ABS(Resultados!M25),ABS(Resultados!W25),ABS(Resultados!AG25),ABS(Resultados!AQ25),ABS(Resultados!BA25),ABS(Resultados!BK25),ABS(Resultados!BU25),ABS(Resultados!CE25),ABS(Resultados!CO25),ABS(Resultados!CY25),ABS(Resultados!DI25))/SQRT(COUNT(Resultados!C25,Resultados!M25,Resultados!W25,Resultados!AG25,Resultados!AQ25,Resultados!BA25,Resultados!BK25,Resultados!BU25,Resultados!CE25,Resultados!CO25,Resultados!CY25,Resultados!DI25)))</f>
        <v>0.45156853457049168</v>
      </c>
      <c r="D25">
        <f>IF(COUNT(Resultados!D25,Resultados!N25,Resultados!X25,Resultados!AH25,Resultados!AR25,Resultados!BB25,Resultados!BL25,Resultados!BV25,Resultados!CF25,Resultados!CP25,Resultados!CZ25,Resultados!DJ25)&lt;=1, "", _xlfn.STDEV.S(ABS(Resultados!D25),ABS(Resultados!N25),ABS(Resultados!X25),ABS(Resultados!AH25),ABS(Resultados!AR25),ABS(Resultados!BB25),ABS(Resultados!BL25),ABS(Resultados!BV25),ABS(Resultados!CF25),ABS(Resultados!CP25),ABS(Resultados!CZ25),ABS(Resultados!DJ25))/SQRT(COUNT(Resultados!D25,Resultados!N25,Resultados!X25,Resultados!AH25,Resultados!AR25,Resultados!BB25,Resultados!BL25,Resultados!BV25,Resultados!CF25,Resultados!CP25,Resultados!CZ25,Resultados!DJ25)))</f>
        <v>1.1833973520881671E-3</v>
      </c>
      <c r="E25">
        <f>IF(COUNT(Resultados!E25,Resultados!O25,Resultados!Y25,Resultados!AI25,Resultados!AS25,Resultados!BC25,Resultados!BM25,Resultados!BW25,Resultados!CG25,Resultados!CQ25,Resultados!DA25,Resultados!DK25)&lt;=1, "", _xlfn.STDEV.S(ABS(Resultados!E25),ABS(Resultados!O25),ABS(Resultados!Y25),ABS(Resultados!AI25),ABS(Resultados!AS25),ABS(Resultados!BC25),ABS(Resultados!BM25),ABS(Resultados!BW25),ABS(Resultados!CG25),ABS(Resultados!CQ25),ABS(Resultados!DA25),ABS(Resultados!DK25))/SQRT(COUNT(Resultados!E25,Resultados!O25,Resultados!Y25,Resultados!AI25,Resultados!AS25,Resultados!BC25,Resultados!BM25,Resultados!BW25,Resultados!CG25,Resultados!CQ25,Resultados!DA25,Resultados!DK25)))</f>
        <v>0.10816855240280436</v>
      </c>
      <c r="F25">
        <f>IF(COUNT(Resultados!F25,Resultados!P25,Resultados!Z25,Resultados!AJ25,Resultados!AT25,Resultados!BD25,Resultados!BN25,Resultados!BX25,Resultados!CH25,Resultados!CR25,Resultados!DB25,Resultados!DL25)&lt;=1, "", _xlfn.STDEV.S(ABS(Resultados!F25),ABS(Resultados!P25),ABS(Resultados!Z25),ABS(Resultados!AJ25),ABS(Resultados!AT25),ABS(Resultados!BD25),ABS(Resultados!BN25),ABS(Resultados!BX25),ABS(Resultados!CH25),ABS(Resultados!CR25),ABS(Resultados!DB25),ABS(Resultados!DL25))/SQRT(COUNT(Resultados!F25,Resultados!P25,Resultados!Z25,Resultados!AJ25,Resultados!AT25,Resultados!BD25,Resultados!BN25,Resultados!BX25,Resultados!CH25,Resultados!CR25,Resultados!DB25,Resultados!DL25)))</f>
        <v>17.320019286292496</v>
      </c>
      <c r="G25">
        <f>IF(COUNT(Resultados!G25,Resultados!Q25,Resultados!AA25,Resultados!AK25,Resultados!AU25,Resultados!BE25,Resultados!BO25,Resultados!BY25,Resultados!CI25,Resultados!CS25,Resultados!DC25,Resultados!DM25)&lt;=1, "", _xlfn.STDEV.S(ABS(Resultados!G25),ABS(Resultados!Q25),ABS(Resultados!AA25),ABS(Resultados!AK25),ABS(Resultados!AU25),ABS(Resultados!BE25),ABS(Resultados!BO25),ABS(Resultados!BY25),ABS(Resultados!CI25),ABS(Resultados!CS25),ABS(Resultados!DC25),ABS(Resultados!DM25))/SQRT(COUNT(Resultados!G25,Resultados!Q25,Resultados!AA25,Resultados!AK25,Resultados!AU25,Resultados!BE25,Resultados!BO25,Resultados!BY25,Resultados!CI25,Resultados!CS25,Resultados!DC25,Resultados!DM25)))</f>
        <v>3.3474483693592253E-17</v>
      </c>
      <c r="H25">
        <f>IF(COUNT(Resultados!H25,Resultados!R25,Resultados!AB25,Resultados!AL25,Resultados!AV25,Resultados!BF25,Resultados!BP25,Resultados!BZ25,Resultados!CJ25,Resultados!CT25,Resultados!DD25,Resultados!DN25)&lt;=1, "", _xlfn.STDEV.S(ABS(Resultados!H25),ABS(Resultados!R25),ABS(Resultados!AB25),ABS(Resultados!AL25),ABS(Resultados!AV25),ABS(Resultados!BF25),ABS(Resultados!BP25),ABS(Resultados!BZ25),ABS(Resultados!CJ25),ABS(Resultados!CT25),ABS(Resultados!DD25),ABS(Resultados!DN25))/SQRT(COUNT(Resultados!H25,Resultados!R25,Resultados!AB25,Resultados!AL25,Resultados!AV25,Resultados!BF25,Resultados!BP25,Resultados!BZ25,Resultados!CJ25,Resultados!CT25,Resultados!DD25,Resultados!DN25)))</f>
        <v>1.6814552229145636E-3</v>
      </c>
      <c r="I25">
        <f>IF(COUNT(Resultados!I25,Resultados!S25,Resultados!AC25,Resultados!AM25,Resultados!AW25,Resultados!BG25,Resultados!BQ25,Resultados!CA25,Resultados!CK25,Resultados!CU25,Resultados!DE25,Resultados!DO25)&lt;=1, "", _xlfn.STDEV.S(ABS(Resultados!I25),ABS(Resultados!S25),ABS(Resultados!AC25),ABS(Resultados!AM25),ABS(Resultados!AW25),ABS(Resultados!BG25),ABS(Resultados!BQ25),ABS(Resultados!CA25),ABS(Resultados!CK25),ABS(Resultados!CU25),ABS(Resultados!DE25),ABS(Resultados!DO25))/SQRT(COUNT(Resultados!I25,Resultados!S25,Resultados!AC25,Resultados!AM25,Resultados!AW25,Resultados!BG25,Resultados!BQ25,Resultados!CA25,Resultados!CK25,Resultados!CU25,Resultados!DE25,Resultados!DO25)))</f>
        <v>1.0463841963463507E-3</v>
      </c>
      <c r="J25">
        <f>IF(COUNT(Resultados!J25,Resultados!T25,Resultados!AD25,Resultados!AN25,Resultados!AX25,Resultados!BH25,Resultados!BR25,Resultados!CB25,Resultados!CL25,Resultados!CV25,Resultados!DF25,Resultados!DP25)&lt;=1, "", _xlfn.STDEV.S(ABS(Resultados!J25),ABS(Resultados!T25),ABS(Resultados!AD25),ABS(Resultados!AN25),ABS(Resultados!AX25),ABS(Resultados!BH25),ABS(Resultados!BR25),ABS(Resultados!CB25),ABS(Resultados!CL25),ABS(Resultados!CV25),ABS(Resultados!DF25),ABS(Resultados!DP25))/SQRT(COUNT(Resultados!J25,Resultados!T25,Resultados!AD25,Resultados!AN25,Resultados!AX25,Resultados!BH25,Resultados!BR25,Resultados!CB25,Resultados!CL25,Resultados!CV25,Resultados!DF25,Resultados!DP25)))</f>
        <v>1.6814552229145636E-3</v>
      </c>
    </row>
    <row r="26" spans="1:10" x14ac:dyDescent="0.3">
      <c r="A26">
        <f>IF(COUNT(Resultados!A26,Resultados!K26,Resultados!U26,Resultados!AE26,Resultados!AO26,Resultados!AY26,Resultados!BI26,Resultados!BS26,Resultados!CC26,Resultados!CM26,Resultados!CW26,Resultados!DG26)&lt;=1, "", _xlfn.STDEV.S(ABS(Resultados!A26),ABS(Resultados!K26),ABS(Resultados!U26),ABS(Resultados!AE26),ABS(Resultados!AO26),ABS(Resultados!AY26),ABS(Resultados!BI26),ABS(Resultados!BS26),ABS(Resultados!CC26),ABS(Resultados!CM26),ABS(Resultados!CW26),ABS(Resultados!DG26))/SQRT(COUNT(Resultados!A26,Resultados!K26,Resultados!U26,Resultados!AE26,Resultados!AO26,Resultados!AY26,Resultados!BI26,Resultados!BS26,Resultados!CC26,Resultados!CM26,Resultados!CW26,Resultados!DG26)))</f>
        <v>0</v>
      </c>
      <c r="B26" t="str">
        <f>IF(COUNT(Resultados!B26,Resultados!L26,Resultados!V26,Resultados!AF26,Resultados!AP26,Resultados!AZ26,Resultados!BJ26,Resultados!BT26,Resultados!CD26,Resultados!CN26,Resultados!CX26,Resultados!DH26)&lt;=1, "", _xlfn.STDEV.S(ABS(Resultados!B26),ABS(Resultados!L26),ABS(Resultados!V26),ABS(Resultados!AF26),ABS(Resultados!AP26),ABS(Resultados!AZ26),ABS(Resultados!BJ26),ABS(Resultados!BT26),ABS(Resultados!CD26),ABS(Resultados!CN26),ABS(Resultados!CX26),ABS(Resultados!DH26))/SQRT(COUNT(Resultados!B26,Resultados!L26,Resultados!V26,Resultados!AF26,Resultados!AP26,Resultados!AZ26,Resultados!BJ26,Resultados!BT26,Resultados!CD26,Resultados!CN26,Resultados!CX26,Resultados!DH26)))</f>
        <v/>
      </c>
      <c r="C26">
        <f>IF(COUNT(Resultados!C26,Resultados!M26,Resultados!W26,Resultados!AG26,Resultados!AQ26,Resultados!BA26,Resultados!BK26,Resultados!BU26,Resultados!CE26,Resultados!CO26,Resultados!CY26,Resultados!DI26)&lt;=1, "", _xlfn.STDEV.S(ABS(Resultados!C26),ABS(Resultados!M26),ABS(Resultados!W26),ABS(Resultados!AG26),ABS(Resultados!AQ26),ABS(Resultados!BA26),ABS(Resultados!BK26),ABS(Resultados!BU26),ABS(Resultados!CE26),ABS(Resultados!CO26),ABS(Resultados!CY26),ABS(Resultados!DI26))/SQRT(COUNT(Resultados!C26,Resultados!M26,Resultados!W26,Resultados!AG26,Resultados!AQ26,Resultados!BA26,Resultados!BK26,Resultados!BU26,Resultados!CE26,Resultados!CO26,Resultados!CY26,Resultados!DI26)))</f>
        <v>0.45156853457049168</v>
      </c>
      <c r="D26">
        <f>IF(COUNT(Resultados!D26,Resultados!N26,Resultados!X26,Resultados!AH26,Resultados!AR26,Resultados!BB26,Resultados!BL26,Resultados!BV26,Resultados!CF26,Resultados!CP26,Resultados!CZ26,Resultados!DJ26)&lt;=1, "", _xlfn.STDEV.S(ABS(Resultados!D26),ABS(Resultados!N26),ABS(Resultados!X26),ABS(Resultados!AH26),ABS(Resultados!AR26),ABS(Resultados!BB26),ABS(Resultados!BL26),ABS(Resultados!BV26),ABS(Resultados!CF26),ABS(Resultados!CP26),ABS(Resultados!CZ26),ABS(Resultados!DJ26))/SQRT(COUNT(Resultados!D26,Resultados!N26,Resultados!X26,Resultados!AH26,Resultados!AR26,Resultados!BB26,Resultados!BL26,Resultados!BV26,Resultados!CF26,Resultados!CP26,Resultados!CZ26,Resultados!DJ26)))</f>
        <v>1.1508533285516332E-3</v>
      </c>
      <c r="E26">
        <f>IF(COUNT(Resultados!E26,Resultados!O26,Resultados!Y26,Resultados!AI26,Resultados!AS26,Resultados!BC26,Resultados!BM26,Resultados!BW26,Resultados!CG26,Resultados!CQ26,Resultados!DA26,Resultados!DK26)&lt;=1, "", _xlfn.STDEV.S(ABS(Resultados!E26),ABS(Resultados!O26),ABS(Resultados!Y26),ABS(Resultados!AI26),ABS(Resultados!AS26),ABS(Resultados!BC26),ABS(Resultados!BM26),ABS(Resultados!BW26),ABS(Resultados!CG26),ABS(Resultados!CQ26),ABS(Resultados!DA26),ABS(Resultados!DK26))/SQRT(COUNT(Resultados!E26,Resultados!O26,Resultados!Y26,Resultados!AI26,Resultados!AS26,Resultados!BC26,Resultados!BM26,Resultados!BW26,Resultados!CG26,Resultados!CQ26,Resultados!DA26,Resultados!DK26)))</f>
        <v>0.1046743521065004</v>
      </c>
      <c r="F26">
        <f>IF(COUNT(Resultados!F26,Resultados!P26,Resultados!Z26,Resultados!AJ26,Resultados!AT26,Resultados!BD26,Resultados!BN26,Resultados!BX26,Resultados!CH26,Resultados!CR26,Resultados!DB26,Resultados!DL26)&lt;=1, "", _xlfn.STDEV.S(ABS(Resultados!F26),ABS(Resultados!P26),ABS(Resultados!Z26),ABS(Resultados!AJ26),ABS(Resultados!AT26),ABS(Resultados!BD26),ABS(Resultados!BN26),ABS(Resultados!BX26),ABS(Resultados!CH26),ABS(Resultados!CR26),ABS(Resultados!DB26),ABS(Resultados!DL26))/SQRT(COUNT(Resultados!F26,Resultados!P26,Resultados!Z26,Resultados!AJ26,Resultados!AT26,Resultados!BD26,Resultados!BN26,Resultados!BX26,Resultados!CH26,Resultados!CR26,Resultados!DB26,Resultados!DL26)))</f>
        <v>18.062470020562362</v>
      </c>
      <c r="G26">
        <f>IF(COUNT(Resultados!G26,Resultados!Q26,Resultados!AA26,Resultados!AK26,Resultados!AU26,Resultados!BE26,Resultados!BO26,Resultados!BY26,Resultados!CI26,Resultados!CS26,Resultados!DC26,Resultados!DM26)&lt;=1, "", _xlfn.STDEV.S(ABS(Resultados!G26),ABS(Resultados!Q26),ABS(Resultados!AA26),ABS(Resultados!AK26),ABS(Resultados!AU26),ABS(Resultados!BE26),ABS(Resultados!BO26),ABS(Resultados!BY26),ABS(Resultados!CI26),ABS(Resultados!CS26),ABS(Resultados!DC26),ABS(Resultados!DM26))/SQRT(COUNT(Resultados!G26,Resultados!Q26,Resultados!AA26,Resultados!AK26,Resultados!AU26,Resultados!BE26,Resultados!BO26,Resultados!BY26,Resultados!CI26,Resultados!CS26,Resultados!DC26,Resultados!DM26)))</f>
        <v>3.3474483693592253E-17</v>
      </c>
      <c r="H26">
        <f>IF(COUNT(Resultados!H26,Resultados!R26,Resultados!AB26,Resultados!AL26,Resultados!AV26,Resultados!BF26,Resultados!BP26,Resultados!BZ26,Resultados!CJ26,Resultados!CT26,Resultados!DD26,Resultados!DN26)&lt;=1, "", _xlfn.STDEV.S(ABS(Resultados!H26),ABS(Resultados!R26),ABS(Resultados!AB26),ABS(Resultados!AL26),ABS(Resultados!AV26),ABS(Resultados!BF26),ABS(Resultados!BP26),ABS(Resultados!BZ26),ABS(Resultados!CJ26),ABS(Resultados!CT26),ABS(Resultados!DD26),ABS(Resultados!DN26))/SQRT(COUNT(Resultados!H26,Resultados!R26,Resultados!AB26,Resultados!AL26,Resultados!AV26,Resultados!BF26,Resultados!BP26,Resultados!BZ26,Resultados!CJ26,Resultados!CT26,Resultados!DD26,Resultados!DN26)))</f>
        <v>1.6272982970171033E-3</v>
      </c>
      <c r="I26">
        <f>IF(COUNT(Resultados!I26,Resultados!S26,Resultados!AC26,Resultados!AM26,Resultados!AW26,Resultados!BG26,Resultados!BQ26,Resultados!CA26,Resultados!CK26,Resultados!CU26,Resultados!DE26,Resultados!DO26)&lt;=1, "", _xlfn.STDEV.S(ABS(Resultados!I26),ABS(Resultados!S26),ABS(Resultados!AC26),ABS(Resultados!AM26),ABS(Resultados!AW26),ABS(Resultados!BG26),ABS(Resultados!BQ26),ABS(Resultados!CA26),ABS(Resultados!CK26),ABS(Resultados!CU26),ABS(Resultados!DE26),ABS(Resultados!DO26))/SQRT(COUNT(Resultados!I26,Resultados!S26,Resultados!AC26,Resultados!AM26,Resultados!AW26,Resultados!BG26,Resultados!BQ26,Resultados!CA26,Resultados!CK26,Resultados!CU26,Resultados!DE26,Resultados!DO26)))</f>
        <v>8.7905980967751542E-4</v>
      </c>
      <c r="J26">
        <f>IF(COUNT(Resultados!J26,Resultados!T26,Resultados!AD26,Resultados!AN26,Resultados!AX26,Resultados!BH26,Resultados!BR26,Resultados!CB26,Resultados!CL26,Resultados!CV26,Resultados!DF26,Resultados!DP26)&lt;=1, "", _xlfn.STDEV.S(ABS(Resultados!J26),ABS(Resultados!T26),ABS(Resultados!AD26),ABS(Resultados!AN26),ABS(Resultados!AX26),ABS(Resultados!BH26),ABS(Resultados!BR26),ABS(Resultados!CB26),ABS(Resultados!CL26),ABS(Resultados!CV26),ABS(Resultados!DF26),ABS(Resultados!DP26))/SQRT(COUNT(Resultados!J26,Resultados!T26,Resultados!AD26,Resultados!AN26,Resultados!AX26,Resultados!BH26,Resultados!BR26,Resultados!CB26,Resultados!CL26,Resultados!CV26,Resultados!DF26,Resultados!DP26)))</f>
        <v>1.6272982970171033E-3</v>
      </c>
    </row>
    <row r="27" spans="1:10" x14ac:dyDescent="0.3">
      <c r="A27">
        <f>IF(COUNT(Resultados!A27,Resultados!K27,Resultados!U27,Resultados!AE27,Resultados!AO27,Resultados!AY27,Resultados!BI27,Resultados!BS27,Resultados!CC27,Resultados!CM27,Resultados!CW27,Resultados!DG27)&lt;=1, "", _xlfn.STDEV.S(ABS(Resultados!A27),ABS(Resultados!K27),ABS(Resultados!U27),ABS(Resultados!AE27),ABS(Resultados!AO27),ABS(Resultados!AY27),ABS(Resultados!BI27),ABS(Resultados!BS27),ABS(Resultados!CC27),ABS(Resultados!CM27),ABS(Resultados!CW27),ABS(Resultados!DG27))/SQRT(COUNT(Resultados!A27,Resultados!K27,Resultados!U27,Resultados!AE27,Resultados!AO27,Resultados!AY27,Resultados!BI27,Resultados!BS27,Resultados!CC27,Resultados!CM27,Resultados!CW27,Resultados!DG27)))</f>
        <v>0</v>
      </c>
      <c r="B27" t="str">
        <f>IF(COUNT(Resultados!B27,Resultados!L27,Resultados!V27,Resultados!AF27,Resultados!AP27,Resultados!AZ27,Resultados!BJ27,Resultados!BT27,Resultados!CD27,Resultados!CN27,Resultados!CX27,Resultados!DH27)&lt;=1, "", _xlfn.STDEV.S(ABS(Resultados!B27),ABS(Resultados!L27),ABS(Resultados!V27),ABS(Resultados!AF27),ABS(Resultados!AP27),ABS(Resultados!AZ27),ABS(Resultados!BJ27),ABS(Resultados!BT27),ABS(Resultados!CD27),ABS(Resultados!CN27),ABS(Resultados!CX27),ABS(Resultados!DH27))/SQRT(COUNT(Resultados!B27,Resultados!L27,Resultados!V27,Resultados!AF27,Resultados!AP27,Resultados!AZ27,Resultados!BJ27,Resultados!BT27,Resultados!CD27,Resultados!CN27,Resultados!CX27,Resultados!DH27)))</f>
        <v/>
      </c>
      <c r="C27">
        <f>IF(COUNT(Resultados!C27,Resultados!M27,Resultados!W27,Resultados!AG27,Resultados!AQ27,Resultados!BA27,Resultados!BK27,Resultados!BU27,Resultados!CE27,Resultados!CO27,Resultados!CY27,Resultados!DI27)&lt;=1, "", _xlfn.STDEV.S(ABS(Resultados!C27),ABS(Resultados!M27),ABS(Resultados!W27),ABS(Resultados!AG27),ABS(Resultados!AQ27),ABS(Resultados!BA27),ABS(Resultados!BK27),ABS(Resultados!BU27),ABS(Resultados!CE27),ABS(Resultados!CO27),ABS(Resultados!CY27),ABS(Resultados!DI27))/SQRT(COUNT(Resultados!C27,Resultados!M27,Resultados!W27,Resultados!AG27,Resultados!AQ27,Resultados!BA27,Resultados!BK27,Resultados!BU27,Resultados!CE27,Resultados!CO27,Resultados!CY27,Resultados!DI27)))</f>
        <v>0.45156853457049168</v>
      </c>
      <c r="D27">
        <f>IF(COUNT(Resultados!D27,Resultados!N27,Resultados!X27,Resultados!AH27,Resultados!AR27,Resultados!BB27,Resultados!BL27,Resultados!BV27,Resultados!CF27,Resultados!CP27,Resultados!CZ27,Resultados!DJ27)&lt;=1, "", _xlfn.STDEV.S(ABS(Resultados!D27),ABS(Resultados!N27),ABS(Resultados!X27),ABS(Resultados!AH27),ABS(Resultados!AR27),ABS(Resultados!BB27),ABS(Resultados!BL27),ABS(Resultados!BV27),ABS(Resultados!CF27),ABS(Resultados!CP27),ABS(Resultados!CZ27),ABS(Resultados!DJ27))/SQRT(COUNT(Resultados!D27,Resultados!N27,Resultados!X27,Resultados!AH27,Resultados!AR27,Resultados!BB27,Resultados!BL27,Resultados!BV27,Resultados!CF27,Resultados!CP27,Resultados!CZ27,Resultados!DJ27)))</f>
        <v>1.1295251303986174E-3</v>
      </c>
      <c r="E27">
        <f>IF(COUNT(Resultados!E27,Resultados!O27,Resultados!Y27,Resultados!AI27,Resultados!AS27,Resultados!BC27,Resultados!BM27,Resultados!BW27,Resultados!CG27,Resultados!CQ27,Resultados!DA27,Resultados!DK27)&lt;=1, "", _xlfn.STDEV.S(ABS(Resultados!E27),ABS(Resultados!O27),ABS(Resultados!Y27),ABS(Resultados!AI27),ABS(Resultados!AS27),ABS(Resultados!BC27),ABS(Resultados!BM27),ABS(Resultados!BW27),ABS(Resultados!CG27),ABS(Resultados!CQ27),ABS(Resultados!DA27),ABS(Resultados!DK27))/SQRT(COUNT(Resultados!E27,Resultados!O27,Resultados!Y27,Resultados!AI27,Resultados!AS27,Resultados!BC27,Resultados!BM27,Resultados!BW27,Resultados!CG27,Resultados!CQ27,Resultados!DA27,Resultados!DK27)))</f>
        <v>0.10191099471779393</v>
      </c>
      <c r="F27">
        <f>IF(COUNT(Resultados!F27,Resultados!P27,Resultados!Z27,Resultados!AJ27,Resultados!AT27,Resultados!BD27,Resultados!BN27,Resultados!BX27,Resultados!CH27,Resultados!CR27,Resultados!DB27,Resultados!DL27)&lt;=1, "", _xlfn.STDEV.S(ABS(Resultados!F27),ABS(Resultados!P27),ABS(Resultados!Z27),ABS(Resultados!AJ27),ABS(Resultados!AT27),ABS(Resultados!BD27),ABS(Resultados!BN27),ABS(Resultados!BX27),ABS(Resultados!CH27),ABS(Resultados!CR27),ABS(Resultados!DB27),ABS(Resultados!DL27))/SQRT(COUNT(Resultados!F27,Resultados!P27,Resultados!Z27,Resultados!AJ27,Resultados!AT27,Resultados!BD27,Resultados!BN27,Resultados!BX27,Resultados!CH27,Resultados!CR27,Resultados!DB27,Resultados!DL27)))</f>
        <v>16.38636913727953</v>
      </c>
      <c r="G27">
        <f>IF(COUNT(Resultados!G27,Resultados!Q27,Resultados!AA27,Resultados!AK27,Resultados!AU27,Resultados!BE27,Resultados!BO27,Resultados!BY27,Resultados!CI27,Resultados!CS27,Resultados!DC27,Resultados!DM27)&lt;=1, "", _xlfn.STDEV.S(ABS(Resultados!G27),ABS(Resultados!Q27),ABS(Resultados!AA27),ABS(Resultados!AK27),ABS(Resultados!AU27),ABS(Resultados!BE27),ABS(Resultados!BO27),ABS(Resultados!BY27),ABS(Resultados!CI27),ABS(Resultados!CS27),ABS(Resultados!DC27),ABS(Resultados!DM27))/SQRT(COUNT(Resultados!G27,Resultados!Q27,Resultados!AA27,Resultados!AK27,Resultados!AU27,Resultados!BE27,Resultados!BO27,Resultados!BY27,Resultados!CI27,Resultados!CS27,Resultados!DC27,Resultados!DM27)))</f>
        <v>3.3474483693592253E-17</v>
      </c>
      <c r="H27">
        <f>IF(COUNT(Resultados!H27,Resultados!R27,Resultados!AB27,Resultados!AL27,Resultados!AV27,Resultados!BF27,Resultados!BP27,Resultados!BZ27,Resultados!CJ27,Resultados!CT27,Resultados!DD27,Resultados!DN27)&lt;=1, "", _xlfn.STDEV.S(ABS(Resultados!H27),ABS(Resultados!R27),ABS(Resultados!AB27),ABS(Resultados!AL27),ABS(Resultados!AV27),ABS(Resultados!BF27),ABS(Resultados!BP27),ABS(Resultados!BZ27),ABS(Resultados!CJ27),ABS(Resultados!CT27),ABS(Resultados!DD27),ABS(Resultados!DN27))/SQRT(COUNT(Resultados!H27,Resultados!R27,Resultados!AB27,Resultados!AL27,Resultados!AV27,Resultados!BF27,Resultados!BP27,Resultados!BZ27,Resultados!CJ27,Resultados!CT27,Resultados!DD27,Resultados!DN27)))</f>
        <v>1.5829744409838354E-3</v>
      </c>
      <c r="I27">
        <f>IF(COUNT(Resultados!I27,Resultados!S27,Resultados!AC27,Resultados!AM27,Resultados!AW27,Resultados!BG27,Resultados!BQ27,Resultados!CA27,Resultados!CK27,Resultados!CU27,Resultados!DE27,Resultados!DO27)&lt;=1, "", _xlfn.STDEV.S(ABS(Resultados!I27),ABS(Resultados!S27),ABS(Resultados!AC27),ABS(Resultados!AM27),ABS(Resultados!AW27),ABS(Resultados!BG27),ABS(Resultados!BQ27),ABS(Resultados!CA27),ABS(Resultados!CK27),ABS(Resultados!CU27),ABS(Resultados!DE27),ABS(Resultados!DO27))/SQRT(COUNT(Resultados!I27,Resultados!S27,Resultados!AC27,Resultados!AM27,Resultados!AW27,Resultados!BG27,Resultados!BQ27,Resultados!CA27,Resultados!CK27,Resultados!CU27,Resultados!DE27,Resultados!DO27)))</f>
        <v>9.077479000265923E-4</v>
      </c>
      <c r="J27">
        <f>IF(COUNT(Resultados!J27,Resultados!T27,Resultados!AD27,Resultados!AN27,Resultados!AX27,Resultados!BH27,Resultados!BR27,Resultados!CB27,Resultados!CL27,Resultados!CV27,Resultados!DF27,Resultados!DP27)&lt;=1, "", _xlfn.STDEV.S(ABS(Resultados!J27),ABS(Resultados!T27),ABS(Resultados!AD27),ABS(Resultados!AN27),ABS(Resultados!AX27),ABS(Resultados!BH27),ABS(Resultados!BR27),ABS(Resultados!CB27),ABS(Resultados!CL27),ABS(Resultados!CV27),ABS(Resultados!DF27),ABS(Resultados!DP27))/SQRT(COUNT(Resultados!J27,Resultados!T27,Resultados!AD27,Resultados!AN27,Resultados!AX27,Resultados!BH27,Resultados!BR27,Resultados!CB27,Resultados!CL27,Resultados!CV27,Resultados!DF27,Resultados!DP27)))</f>
        <v>1.5829744409838354E-3</v>
      </c>
    </row>
    <row r="28" spans="1:10" x14ac:dyDescent="0.3">
      <c r="A28">
        <f>IF(COUNT(Resultados!A28,Resultados!K28,Resultados!U28,Resultados!AE28,Resultados!AO28,Resultados!AY28,Resultados!BI28,Resultados!BS28,Resultados!CC28,Resultados!CM28,Resultados!CW28,Resultados!DG28)&lt;=1, "", _xlfn.STDEV.S(ABS(Resultados!A28),ABS(Resultados!K28),ABS(Resultados!U28),ABS(Resultados!AE28),ABS(Resultados!AO28),ABS(Resultados!AY28),ABS(Resultados!BI28),ABS(Resultados!BS28),ABS(Resultados!CC28),ABS(Resultados!CM28),ABS(Resultados!CW28),ABS(Resultados!DG28))/SQRT(COUNT(Resultados!A28,Resultados!K28,Resultados!U28,Resultados!AE28,Resultados!AO28,Resultados!AY28,Resultados!BI28,Resultados!BS28,Resultados!CC28,Resultados!CM28,Resultados!CW28,Resultados!DG28)))</f>
        <v>0</v>
      </c>
      <c r="B28" t="str">
        <f>IF(COUNT(Resultados!B28,Resultados!L28,Resultados!V28,Resultados!AF28,Resultados!AP28,Resultados!AZ28,Resultados!BJ28,Resultados!BT28,Resultados!CD28,Resultados!CN28,Resultados!CX28,Resultados!DH28)&lt;=1, "", _xlfn.STDEV.S(ABS(Resultados!B28),ABS(Resultados!L28),ABS(Resultados!V28),ABS(Resultados!AF28),ABS(Resultados!AP28),ABS(Resultados!AZ28),ABS(Resultados!BJ28),ABS(Resultados!BT28),ABS(Resultados!CD28),ABS(Resultados!CN28),ABS(Resultados!CX28),ABS(Resultados!DH28))/SQRT(COUNT(Resultados!B28,Resultados!L28,Resultados!V28,Resultados!AF28,Resultados!AP28,Resultados!AZ28,Resultados!BJ28,Resultados!BT28,Resultados!CD28,Resultados!CN28,Resultados!CX28,Resultados!DH28)))</f>
        <v/>
      </c>
      <c r="C28">
        <f>IF(COUNT(Resultados!C28,Resultados!M28,Resultados!W28,Resultados!AG28,Resultados!AQ28,Resultados!BA28,Resultados!BK28,Resultados!BU28,Resultados!CE28,Resultados!CO28,Resultados!CY28,Resultados!DI28)&lt;=1, "", _xlfn.STDEV.S(ABS(Resultados!C28),ABS(Resultados!M28),ABS(Resultados!W28),ABS(Resultados!AG28),ABS(Resultados!AQ28),ABS(Resultados!BA28),ABS(Resultados!BK28),ABS(Resultados!BU28),ABS(Resultados!CE28),ABS(Resultados!CO28),ABS(Resultados!CY28),ABS(Resultados!DI28))/SQRT(COUNT(Resultados!C28,Resultados!M28,Resultados!W28,Resultados!AG28,Resultados!AQ28,Resultados!BA28,Resultados!BK28,Resultados!BU28,Resultados!CE28,Resultados!CO28,Resultados!CY28,Resultados!DI28)))</f>
        <v>0.45156853457049168</v>
      </c>
      <c r="D28">
        <f>IF(COUNT(Resultados!D28,Resultados!N28,Resultados!X28,Resultados!AH28,Resultados!AR28,Resultados!BB28,Resultados!BL28,Resultados!BV28,Resultados!CF28,Resultados!CP28,Resultados!CZ28,Resultados!DJ28)&lt;=1, "", _xlfn.STDEV.S(ABS(Resultados!D28),ABS(Resultados!N28),ABS(Resultados!X28),ABS(Resultados!AH28),ABS(Resultados!AR28),ABS(Resultados!BB28),ABS(Resultados!BL28),ABS(Resultados!BV28),ABS(Resultados!CF28),ABS(Resultados!CP28),ABS(Resultados!CZ28),ABS(Resultados!DJ28))/SQRT(COUNT(Resultados!D28,Resultados!N28,Resultados!X28,Resultados!AH28,Resultados!AR28,Resultados!BB28,Resultados!BL28,Resultados!BV28,Resultados!CF28,Resultados!CP28,Resultados!CZ28,Resultados!DJ28)))</f>
        <v>1.1125886640414484E-3</v>
      </c>
      <c r="E28">
        <f>IF(COUNT(Resultados!E28,Resultados!O28,Resultados!Y28,Resultados!AI28,Resultados!AS28,Resultados!BC28,Resultados!BM28,Resultados!BW28,Resultados!CG28,Resultados!CQ28,Resultados!DA28,Resultados!DK28)&lt;=1, "", _xlfn.STDEV.S(ABS(Resultados!E28),ABS(Resultados!O28),ABS(Resultados!Y28),ABS(Resultados!AI28),ABS(Resultados!AS28),ABS(Resultados!BC28),ABS(Resultados!BM28),ABS(Resultados!BW28),ABS(Resultados!CG28),ABS(Resultados!CQ28),ABS(Resultados!DA28),ABS(Resultados!DK28))/SQRT(COUNT(Resultados!E28,Resultados!O28,Resultados!Y28,Resultados!AI28,Resultados!AS28,Resultados!BC28,Resultados!BM28,Resultados!BW28,Resultados!CG28,Resultados!CQ28,Resultados!DA28,Resultados!DK28)))</f>
        <v>0.100143880937704</v>
      </c>
      <c r="F28">
        <f>IF(COUNT(Resultados!F28,Resultados!P28,Resultados!Z28,Resultados!AJ28,Resultados!AT28,Resultados!BD28,Resultados!BN28,Resultados!BX28,Resultados!CH28,Resultados!CR28,Resultados!DB28,Resultados!DL28)&lt;=1, "", _xlfn.STDEV.S(ABS(Resultados!F28),ABS(Resultados!P28),ABS(Resultados!Z28),ABS(Resultados!AJ28),ABS(Resultados!AT28),ABS(Resultados!BD28),ABS(Resultados!BN28),ABS(Resultados!BX28),ABS(Resultados!CH28),ABS(Resultados!CR28),ABS(Resultados!DB28),ABS(Resultados!DL28))/SQRT(COUNT(Resultados!F28,Resultados!P28,Resultados!Z28,Resultados!AJ28,Resultados!AT28,Resultados!BD28,Resultados!BN28,Resultados!BX28,Resultados!CH28,Resultados!CR28,Resultados!DB28,Resultados!DL28)))</f>
        <v>17.116201732108202</v>
      </c>
      <c r="G28">
        <f>IF(COUNT(Resultados!G28,Resultados!Q28,Resultados!AA28,Resultados!AK28,Resultados!AU28,Resultados!BE28,Resultados!BO28,Resultados!BY28,Resultados!CI28,Resultados!CS28,Resultados!DC28,Resultados!DM28)&lt;=1, "", _xlfn.STDEV.S(ABS(Resultados!G28),ABS(Resultados!Q28),ABS(Resultados!AA28),ABS(Resultados!AK28),ABS(Resultados!AU28),ABS(Resultados!BE28),ABS(Resultados!BO28),ABS(Resultados!BY28),ABS(Resultados!CI28),ABS(Resultados!CS28),ABS(Resultados!DC28),ABS(Resultados!DM28))/SQRT(COUNT(Resultados!G28,Resultados!Q28,Resultados!AA28,Resultados!AK28,Resultados!AU28,Resultados!BE28,Resultados!BO28,Resultados!BY28,Resultados!CI28,Resultados!CS28,Resultados!DC28,Resultados!DM28)))</f>
        <v>3.3474483693592253E-17</v>
      </c>
      <c r="H28">
        <f>IF(COUNT(Resultados!H28,Resultados!R28,Resultados!AB28,Resultados!AL28,Resultados!AV28,Resultados!BF28,Resultados!BP28,Resultados!BZ28,Resultados!CJ28,Resultados!CT28,Resultados!DD28,Resultados!DN28)&lt;=1, "", _xlfn.STDEV.S(ABS(Resultados!H28),ABS(Resultados!R28),ABS(Resultados!AB28),ABS(Resultados!AL28),ABS(Resultados!AV28),ABS(Resultados!BF28),ABS(Resultados!BP28),ABS(Resultados!BZ28),ABS(Resultados!CJ28),ABS(Resultados!CT28),ABS(Resultados!DD28),ABS(Resultados!DN28))/SQRT(COUNT(Resultados!H28,Resultados!R28,Resultados!AB28,Resultados!AL28,Resultados!AV28,Resultados!BF28,Resultados!BP28,Resultados!BZ28,Resultados!CJ28,Resultados!CT28,Resultados!DD28,Resultados!DN28)))</f>
        <v>1.5572168257581372E-3</v>
      </c>
      <c r="I28">
        <f>IF(COUNT(Resultados!I28,Resultados!S28,Resultados!AC28,Resultados!AM28,Resultados!AW28,Resultados!BG28,Resultados!BQ28,Resultados!CA28,Resultados!CK28,Resultados!CU28,Resultados!DE28,Resultados!DO28)&lt;=1, "", _xlfn.STDEV.S(ABS(Resultados!I28),ABS(Resultados!S28),ABS(Resultados!AC28),ABS(Resultados!AM28),ABS(Resultados!AW28),ABS(Resultados!BG28),ABS(Resultados!BQ28),ABS(Resultados!CA28),ABS(Resultados!CK28),ABS(Resultados!CU28),ABS(Resultados!DE28),ABS(Resultados!DO28))/SQRT(COUNT(Resultados!I28,Resultados!S28,Resultados!AC28,Resultados!AM28,Resultados!AW28,Resultados!BG28,Resultados!BQ28,Resultados!CA28,Resultados!CK28,Resultados!CU28,Resultados!DE28,Resultados!DO28)))</f>
        <v>1.0573744164500633E-3</v>
      </c>
      <c r="J28">
        <f>IF(COUNT(Resultados!J28,Resultados!T28,Resultados!AD28,Resultados!AN28,Resultados!AX28,Resultados!BH28,Resultados!BR28,Resultados!CB28,Resultados!CL28,Resultados!CV28,Resultados!DF28,Resultados!DP28)&lt;=1, "", _xlfn.STDEV.S(ABS(Resultados!J28),ABS(Resultados!T28),ABS(Resultados!AD28),ABS(Resultados!AN28),ABS(Resultados!AX28),ABS(Resultados!BH28),ABS(Resultados!BR28),ABS(Resultados!CB28),ABS(Resultados!CL28),ABS(Resultados!CV28),ABS(Resultados!DF28),ABS(Resultados!DP28))/SQRT(COUNT(Resultados!J28,Resultados!T28,Resultados!AD28,Resultados!AN28,Resultados!AX28,Resultados!BH28,Resultados!BR28,Resultados!CB28,Resultados!CL28,Resultados!CV28,Resultados!DF28,Resultados!DP28)))</f>
        <v>1.5572168257581372E-3</v>
      </c>
    </row>
    <row r="29" spans="1:10" x14ac:dyDescent="0.3">
      <c r="A29">
        <f>IF(COUNT(Resultados!A29,Resultados!K29,Resultados!U29,Resultados!AE29,Resultados!AO29,Resultados!AY29,Resultados!BI29,Resultados!BS29,Resultados!CC29,Resultados!CM29,Resultados!CW29,Resultados!DG29)&lt;=1, "", _xlfn.STDEV.S(ABS(Resultados!A29),ABS(Resultados!K29),ABS(Resultados!U29),ABS(Resultados!AE29),ABS(Resultados!AO29),ABS(Resultados!AY29),ABS(Resultados!BI29),ABS(Resultados!BS29),ABS(Resultados!CC29),ABS(Resultados!CM29),ABS(Resultados!CW29),ABS(Resultados!DG29))/SQRT(COUNT(Resultados!A29,Resultados!K29,Resultados!U29,Resultados!AE29,Resultados!AO29,Resultados!AY29,Resultados!BI29,Resultados!BS29,Resultados!CC29,Resultados!CM29,Resultados!CW29,Resultados!DG29)))</f>
        <v>0</v>
      </c>
      <c r="B29" t="str">
        <f>IF(COUNT(Resultados!B29,Resultados!L29,Resultados!V29,Resultados!AF29,Resultados!AP29,Resultados!AZ29,Resultados!BJ29,Resultados!BT29,Resultados!CD29,Resultados!CN29,Resultados!CX29,Resultados!DH29)&lt;=1, "", _xlfn.STDEV.S(ABS(Resultados!B29),ABS(Resultados!L29),ABS(Resultados!V29),ABS(Resultados!AF29),ABS(Resultados!AP29),ABS(Resultados!AZ29),ABS(Resultados!BJ29),ABS(Resultados!BT29),ABS(Resultados!CD29),ABS(Resultados!CN29),ABS(Resultados!CX29),ABS(Resultados!DH29))/SQRT(COUNT(Resultados!B29,Resultados!L29,Resultados!V29,Resultados!AF29,Resultados!AP29,Resultados!AZ29,Resultados!BJ29,Resultados!BT29,Resultados!CD29,Resultados!CN29,Resultados!CX29,Resultados!DH29)))</f>
        <v/>
      </c>
      <c r="C29">
        <f>IF(COUNT(Resultados!C29,Resultados!M29,Resultados!W29,Resultados!AG29,Resultados!AQ29,Resultados!BA29,Resultados!BK29,Resultados!BU29,Resultados!CE29,Resultados!CO29,Resultados!CY29,Resultados!DI29)&lt;=1, "", _xlfn.STDEV.S(ABS(Resultados!C29),ABS(Resultados!M29),ABS(Resultados!W29),ABS(Resultados!AG29),ABS(Resultados!AQ29),ABS(Resultados!BA29),ABS(Resultados!BK29),ABS(Resultados!BU29),ABS(Resultados!CE29),ABS(Resultados!CO29),ABS(Resultados!CY29),ABS(Resultados!DI29))/SQRT(COUNT(Resultados!C29,Resultados!M29,Resultados!W29,Resultados!AG29,Resultados!AQ29,Resultados!BA29,Resultados!BK29,Resultados!BU29,Resultados!CE29,Resultados!CO29,Resultados!CY29,Resultados!DI29)))</f>
        <v>0.45156853457049168</v>
      </c>
      <c r="D29">
        <f>IF(COUNT(Resultados!D29,Resultados!N29,Resultados!X29,Resultados!AH29,Resultados!AR29,Resultados!BB29,Resultados!BL29,Resultados!BV29,Resultados!CF29,Resultados!CP29,Resultados!CZ29,Resultados!DJ29)&lt;=1, "", _xlfn.STDEV.S(ABS(Resultados!D29),ABS(Resultados!N29),ABS(Resultados!X29),ABS(Resultados!AH29),ABS(Resultados!AR29),ABS(Resultados!BB29),ABS(Resultados!BL29),ABS(Resultados!BV29),ABS(Resultados!CF29),ABS(Resultados!CP29),ABS(Resultados!CZ29),ABS(Resultados!DJ29))/SQRT(COUNT(Resultados!D29,Resultados!N29,Resultados!X29,Resultados!AH29,Resultados!AR29,Resultados!BB29,Resultados!BL29,Resultados!BV29,Resultados!CF29,Resultados!CP29,Resultados!CZ29,Resultados!DJ29)))</f>
        <v>1.1155806568868977E-3</v>
      </c>
      <c r="E29">
        <f>IF(COUNT(Resultados!E29,Resultados!O29,Resultados!Y29,Resultados!AI29,Resultados!AS29,Resultados!BC29,Resultados!BM29,Resultados!BW29,Resultados!CG29,Resultados!CQ29,Resultados!DA29,Resultados!DK29)&lt;=1, "", _xlfn.STDEV.S(ABS(Resultados!E29),ABS(Resultados!O29),ABS(Resultados!Y29),ABS(Resultados!AI29),ABS(Resultados!AS29),ABS(Resultados!BC29),ABS(Resultados!BM29),ABS(Resultados!BW29),ABS(Resultados!CG29),ABS(Resultados!CQ29),ABS(Resultados!DA29),ABS(Resultados!DK29))/SQRT(COUNT(Resultados!E29,Resultados!O29,Resultados!Y29,Resultados!AI29,Resultados!AS29,Resultados!BC29,Resultados!BM29,Resultados!BW29,Resultados!CG29,Resultados!CQ29,Resultados!DA29,Resultados!DK29)))</f>
        <v>9.9367816290809582E-2</v>
      </c>
      <c r="F29">
        <f>IF(COUNT(Resultados!F29,Resultados!P29,Resultados!Z29,Resultados!AJ29,Resultados!AT29,Resultados!BD29,Resultados!BN29,Resultados!BX29,Resultados!CH29,Resultados!CR29,Resultados!DB29,Resultados!DL29)&lt;=1, "", _xlfn.STDEV.S(ABS(Resultados!F29),ABS(Resultados!P29),ABS(Resultados!Z29),ABS(Resultados!AJ29),ABS(Resultados!AT29),ABS(Resultados!BD29),ABS(Resultados!BN29),ABS(Resultados!BX29),ABS(Resultados!CH29),ABS(Resultados!CR29),ABS(Resultados!DB29),ABS(Resultados!DL29))/SQRT(COUNT(Resultados!F29,Resultados!P29,Resultados!Z29,Resultados!AJ29,Resultados!AT29,Resultados!BD29,Resultados!BN29,Resultados!BX29,Resultados!CH29,Resultados!CR29,Resultados!DB29,Resultados!DL29)))</f>
        <v>17.829695312158282</v>
      </c>
      <c r="G29">
        <f>IF(COUNT(Resultados!G29,Resultados!Q29,Resultados!AA29,Resultados!AK29,Resultados!AU29,Resultados!BE29,Resultados!BO29,Resultados!BY29,Resultados!CI29,Resultados!CS29,Resultados!DC29,Resultados!DM29)&lt;=1, "", _xlfn.STDEV.S(ABS(Resultados!G29),ABS(Resultados!Q29),ABS(Resultados!AA29),ABS(Resultados!AK29),ABS(Resultados!AU29),ABS(Resultados!BE29),ABS(Resultados!BO29),ABS(Resultados!BY29),ABS(Resultados!CI29),ABS(Resultados!CS29),ABS(Resultados!DC29),ABS(Resultados!DM29))/SQRT(COUNT(Resultados!G29,Resultados!Q29,Resultados!AA29,Resultados!AK29,Resultados!AU29,Resultados!BE29,Resultados!BO29,Resultados!BY29,Resultados!CI29,Resultados!CS29,Resultados!DC29,Resultados!DM29)))</f>
        <v>3.3474483693592253E-17</v>
      </c>
      <c r="H29">
        <f>IF(COUNT(Resultados!H29,Resultados!R29,Resultados!AB29,Resultados!AL29,Resultados!AV29,Resultados!BF29,Resultados!BP29,Resultados!BZ29,Resultados!CJ29,Resultados!CT29,Resultados!DD29,Resultados!DN29)&lt;=1, "", _xlfn.STDEV.S(ABS(Resultados!H29),ABS(Resultados!R29),ABS(Resultados!AB29),ABS(Resultados!AL29),ABS(Resultados!AV29),ABS(Resultados!BF29),ABS(Resultados!BP29),ABS(Resultados!BZ29),ABS(Resultados!CJ29),ABS(Resultados!CT29),ABS(Resultados!DD29),ABS(Resultados!DN29))/SQRT(COUNT(Resultados!H29,Resultados!R29,Resultados!AB29,Resultados!AL29,Resultados!AV29,Resultados!BF29,Resultados!BP29,Resultados!BZ29,Resultados!CJ29,Resultados!CT29,Resultados!DD29,Resultados!DN29)))</f>
        <v>1.5456357588351471E-3</v>
      </c>
      <c r="I29">
        <f>IF(COUNT(Resultados!I29,Resultados!S29,Resultados!AC29,Resultados!AM29,Resultados!AW29,Resultados!BG29,Resultados!BQ29,Resultados!CA29,Resultados!CK29,Resultados!CU29,Resultados!DE29,Resultados!DO29)&lt;=1, "", _xlfn.STDEV.S(ABS(Resultados!I29),ABS(Resultados!S29),ABS(Resultados!AC29),ABS(Resultados!AM29),ABS(Resultados!AW29),ABS(Resultados!BG29),ABS(Resultados!BQ29),ABS(Resultados!CA29),ABS(Resultados!CK29),ABS(Resultados!CU29),ABS(Resultados!DE29),ABS(Resultados!DO29))/SQRT(COUNT(Resultados!I29,Resultados!S29,Resultados!AC29,Resultados!AM29,Resultados!AW29,Resultados!BG29,Resultados!BQ29,Resultados!CA29,Resultados!CK29,Resultados!CU29,Resultados!DE29,Resultados!DO29)))</f>
        <v>7.0193167816295986E-4</v>
      </c>
      <c r="J29">
        <f>IF(COUNT(Resultados!J29,Resultados!T29,Resultados!AD29,Resultados!AN29,Resultados!AX29,Resultados!BH29,Resultados!BR29,Resultados!CB29,Resultados!CL29,Resultados!CV29,Resultados!DF29,Resultados!DP29)&lt;=1, "", _xlfn.STDEV.S(ABS(Resultados!J29),ABS(Resultados!T29),ABS(Resultados!AD29),ABS(Resultados!AN29),ABS(Resultados!AX29),ABS(Resultados!BH29),ABS(Resultados!BR29),ABS(Resultados!CB29),ABS(Resultados!CL29),ABS(Resultados!CV29),ABS(Resultados!DF29),ABS(Resultados!DP29))/SQRT(COUNT(Resultados!J29,Resultados!T29,Resultados!AD29,Resultados!AN29,Resultados!AX29,Resultados!BH29,Resultados!BR29,Resultados!CB29,Resultados!CL29,Resultados!CV29,Resultados!DF29,Resultados!DP29)))</f>
        <v>1.5456357588351471E-3</v>
      </c>
    </row>
    <row r="30" spans="1:10" x14ac:dyDescent="0.3">
      <c r="A30">
        <f>IF(COUNT(Resultados!A30,Resultados!K30,Resultados!U30,Resultados!AE30,Resultados!AO30,Resultados!AY30,Resultados!BI30,Resultados!BS30,Resultados!CC30,Resultados!CM30,Resultados!CW30,Resultados!DG30)&lt;=1, "", _xlfn.STDEV.S(ABS(Resultados!A30),ABS(Resultados!K30),ABS(Resultados!U30),ABS(Resultados!AE30),ABS(Resultados!AO30),ABS(Resultados!AY30),ABS(Resultados!BI30),ABS(Resultados!BS30),ABS(Resultados!CC30),ABS(Resultados!CM30),ABS(Resultados!CW30),ABS(Resultados!DG30))/SQRT(COUNT(Resultados!A30,Resultados!K30,Resultados!U30,Resultados!AE30,Resultados!AO30,Resultados!AY30,Resultados!BI30,Resultados!BS30,Resultados!CC30,Resultados!CM30,Resultados!CW30,Resultados!DG30)))</f>
        <v>0</v>
      </c>
      <c r="B30" t="str">
        <f>IF(COUNT(Resultados!B30,Resultados!L30,Resultados!V30,Resultados!AF30,Resultados!AP30,Resultados!AZ30,Resultados!BJ30,Resultados!BT30,Resultados!CD30,Resultados!CN30,Resultados!CX30,Resultados!DH30)&lt;=1, "", _xlfn.STDEV.S(ABS(Resultados!B30),ABS(Resultados!L30),ABS(Resultados!V30),ABS(Resultados!AF30),ABS(Resultados!AP30),ABS(Resultados!AZ30),ABS(Resultados!BJ30),ABS(Resultados!BT30),ABS(Resultados!CD30),ABS(Resultados!CN30),ABS(Resultados!CX30),ABS(Resultados!DH30))/SQRT(COUNT(Resultados!B30,Resultados!L30,Resultados!V30,Resultados!AF30,Resultados!AP30,Resultados!AZ30,Resultados!BJ30,Resultados!BT30,Resultados!CD30,Resultados!CN30,Resultados!CX30,Resultados!DH30)))</f>
        <v/>
      </c>
      <c r="C30">
        <f>IF(COUNT(Resultados!C30,Resultados!M30,Resultados!W30,Resultados!AG30,Resultados!AQ30,Resultados!BA30,Resultados!BK30,Resultados!BU30,Resultados!CE30,Resultados!CO30,Resultados!CY30,Resultados!DI30)&lt;=1, "", _xlfn.STDEV.S(ABS(Resultados!C30),ABS(Resultados!M30),ABS(Resultados!W30),ABS(Resultados!AG30),ABS(Resultados!AQ30),ABS(Resultados!BA30),ABS(Resultados!BK30),ABS(Resultados!BU30),ABS(Resultados!CE30),ABS(Resultados!CO30),ABS(Resultados!CY30),ABS(Resultados!DI30))/SQRT(COUNT(Resultados!C30,Resultados!M30,Resultados!W30,Resultados!AG30,Resultados!AQ30,Resultados!BA30,Resultados!BK30,Resultados!BU30,Resultados!CE30,Resultados!CO30,Resultados!CY30,Resultados!DI30)))</f>
        <v>0.45156853457049168</v>
      </c>
      <c r="D30">
        <f>IF(COUNT(Resultados!D30,Resultados!N30,Resultados!X30,Resultados!AH30,Resultados!AR30,Resultados!BB30,Resultados!BL30,Resultados!BV30,Resultados!CF30,Resultados!CP30,Resultados!CZ30,Resultados!DJ30)&lt;=1, "", _xlfn.STDEV.S(ABS(Resultados!D30),ABS(Resultados!N30),ABS(Resultados!X30),ABS(Resultados!AH30),ABS(Resultados!AR30),ABS(Resultados!BB30),ABS(Resultados!BL30),ABS(Resultados!BV30),ABS(Resultados!CF30),ABS(Resultados!CP30),ABS(Resultados!CZ30),ABS(Resultados!DJ30))/SQRT(COUNT(Resultados!D30,Resultados!N30,Resultados!X30,Resultados!AH30,Resultados!AR30,Resultados!BB30,Resultados!BL30,Resultados!BV30,Resultados!CF30,Resultados!CP30,Resultados!CZ30,Resultados!DJ30)))</f>
        <v>1.1100323045622217E-3</v>
      </c>
      <c r="E30">
        <f>IF(COUNT(Resultados!E30,Resultados!O30,Resultados!Y30,Resultados!AI30,Resultados!AS30,Resultados!BC30,Resultados!BM30,Resultados!BW30,Resultados!CG30,Resultados!CQ30,Resultados!DA30,Resultados!DK30)&lt;=1, "", _xlfn.STDEV.S(ABS(Resultados!E30),ABS(Resultados!O30),ABS(Resultados!Y30),ABS(Resultados!AI30),ABS(Resultados!AS30),ABS(Resultados!BC30),ABS(Resultados!BM30),ABS(Resultados!BW30),ABS(Resultados!CG30),ABS(Resultados!CQ30),ABS(Resultados!DA30),ABS(Resultados!DK30))/SQRT(COUNT(Resultados!E30,Resultados!O30,Resultados!Y30,Resultados!AI30,Resultados!AS30,Resultados!BC30,Resultados!BM30,Resultados!BW30,Resultados!CG30,Resultados!CQ30,Resultados!DA30,Resultados!DK30)))</f>
        <v>9.9504925087884721E-2</v>
      </c>
      <c r="F30">
        <f>IF(COUNT(Resultados!F30,Resultados!P30,Resultados!Z30,Resultados!AJ30,Resultados!AT30,Resultados!BD30,Resultados!BN30,Resultados!BX30,Resultados!CH30,Resultados!CR30,Resultados!DB30,Resultados!DL30)&lt;=1, "", _xlfn.STDEV.S(ABS(Resultados!F30),ABS(Resultados!P30),ABS(Resultados!Z30),ABS(Resultados!AJ30),ABS(Resultados!AT30),ABS(Resultados!BD30),ABS(Resultados!BN30),ABS(Resultados!BX30),ABS(Resultados!CH30),ABS(Resultados!CR30),ABS(Resultados!DB30),ABS(Resultados!DL30))/SQRT(COUNT(Resultados!F30,Resultados!P30,Resultados!Z30,Resultados!AJ30,Resultados!AT30,Resultados!BD30,Resultados!BN30,Resultados!BX30,Resultados!CH30,Resultados!CR30,Resultados!DB30,Resultados!DL30)))</f>
        <v>14.804368907249291</v>
      </c>
      <c r="G30">
        <f>IF(COUNT(Resultados!G30,Resultados!Q30,Resultados!AA30,Resultados!AK30,Resultados!AU30,Resultados!BE30,Resultados!BO30,Resultados!BY30,Resultados!CI30,Resultados!CS30,Resultados!DC30,Resultados!DM30)&lt;=1, "", _xlfn.STDEV.S(ABS(Resultados!G30),ABS(Resultados!Q30),ABS(Resultados!AA30),ABS(Resultados!AK30),ABS(Resultados!AU30),ABS(Resultados!BE30),ABS(Resultados!BO30),ABS(Resultados!BY30),ABS(Resultados!CI30),ABS(Resultados!CS30),ABS(Resultados!DC30),ABS(Resultados!DM30))/SQRT(COUNT(Resultados!G30,Resultados!Q30,Resultados!AA30,Resultados!AK30,Resultados!AU30,Resultados!BE30,Resultados!BO30,Resultados!BY30,Resultados!CI30,Resultados!CS30,Resultados!DC30,Resultados!DM30)))</f>
        <v>3.3474483693592253E-17</v>
      </c>
      <c r="H30">
        <f>IF(COUNT(Resultados!H30,Resultados!R30,Resultados!AB30,Resultados!AL30,Resultados!AV30,Resultados!BF30,Resultados!BP30,Resultados!BZ30,Resultados!CJ30,Resultados!CT30,Resultados!DD30,Resultados!DN30)&lt;=1, "", _xlfn.STDEV.S(ABS(Resultados!H30),ABS(Resultados!R30),ABS(Resultados!AB30),ABS(Resultados!AL30),ABS(Resultados!AV30),ABS(Resultados!BF30),ABS(Resultados!BP30),ABS(Resultados!BZ30),ABS(Resultados!CJ30),ABS(Resultados!CT30),ABS(Resultados!DD30),ABS(Resultados!DN30))/SQRT(COUNT(Resultados!H30,Resultados!R30,Resultados!AB30,Resultados!AL30,Resultados!AV30,Resultados!BF30,Resultados!BP30,Resultados!BZ30,Resultados!CJ30,Resultados!CT30,Resultados!DD30,Resultados!DN30)))</f>
        <v>1.5482802450369627E-3</v>
      </c>
      <c r="I30">
        <f>IF(COUNT(Resultados!I30,Resultados!S30,Resultados!AC30,Resultados!AM30,Resultados!AW30,Resultados!BG30,Resultados!BQ30,Resultados!CA30,Resultados!CK30,Resultados!CU30,Resultados!DE30,Resultados!DO30)&lt;=1, "", _xlfn.STDEV.S(ABS(Resultados!I30),ABS(Resultados!S30),ABS(Resultados!AC30),ABS(Resultados!AM30),ABS(Resultados!AW30),ABS(Resultados!BG30),ABS(Resultados!BQ30),ABS(Resultados!CA30),ABS(Resultados!CK30),ABS(Resultados!CU30),ABS(Resultados!DE30),ABS(Resultados!DO30))/SQRT(COUNT(Resultados!I30,Resultados!S30,Resultados!AC30,Resultados!AM30,Resultados!AW30,Resultados!BG30,Resultados!BQ30,Resultados!CA30,Resultados!CK30,Resultados!CU30,Resultados!DE30,Resultados!DO30)))</f>
        <v>9.8202673851193389E-4</v>
      </c>
      <c r="J30">
        <f>IF(COUNT(Resultados!J30,Resultados!T30,Resultados!AD30,Resultados!AN30,Resultados!AX30,Resultados!BH30,Resultados!BR30,Resultados!CB30,Resultados!CL30,Resultados!CV30,Resultados!DF30,Resultados!DP30)&lt;=1, "", _xlfn.STDEV.S(ABS(Resultados!J30),ABS(Resultados!T30),ABS(Resultados!AD30),ABS(Resultados!AN30),ABS(Resultados!AX30),ABS(Resultados!BH30),ABS(Resultados!BR30),ABS(Resultados!CB30),ABS(Resultados!CL30),ABS(Resultados!CV30),ABS(Resultados!DF30),ABS(Resultados!DP30))/SQRT(COUNT(Resultados!J30,Resultados!T30,Resultados!AD30,Resultados!AN30,Resultados!AX30,Resultados!BH30,Resultados!BR30,Resultados!CB30,Resultados!CL30,Resultados!CV30,Resultados!DF30,Resultados!DP30)))</f>
        <v>1.5482802450369627E-3</v>
      </c>
    </row>
    <row r="31" spans="1:10" x14ac:dyDescent="0.3">
      <c r="A31">
        <f>IF(COUNT(Resultados!A31,Resultados!K31,Resultados!U31,Resultados!AE31,Resultados!AO31,Resultados!AY31,Resultados!BI31,Resultados!BS31,Resultados!CC31,Resultados!CM31,Resultados!CW31,Resultados!DG31)&lt;=1, "", _xlfn.STDEV.S(ABS(Resultados!A31),ABS(Resultados!K31),ABS(Resultados!U31),ABS(Resultados!AE31),ABS(Resultados!AO31),ABS(Resultados!AY31),ABS(Resultados!BI31),ABS(Resultados!BS31),ABS(Resultados!CC31),ABS(Resultados!CM31),ABS(Resultados!CW31),ABS(Resultados!DG31))/SQRT(COUNT(Resultados!A31,Resultados!K31,Resultados!U31,Resultados!AE31,Resultados!AO31,Resultados!AY31,Resultados!BI31,Resultados!BS31,Resultados!CC31,Resultados!CM31,Resultados!CW31,Resultados!DG31)))</f>
        <v>0</v>
      </c>
      <c r="B31" t="str">
        <f>IF(COUNT(Resultados!B31,Resultados!L31,Resultados!V31,Resultados!AF31,Resultados!AP31,Resultados!AZ31,Resultados!BJ31,Resultados!BT31,Resultados!CD31,Resultados!CN31,Resultados!CX31,Resultados!DH31)&lt;=1, "", _xlfn.STDEV.S(ABS(Resultados!B31),ABS(Resultados!L31),ABS(Resultados!V31),ABS(Resultados!AF31),ABS(Resultados!AP31),ABS(Resultados!AZ31),ABS(Resultados!BJ31),ABS(Resultados!BT31),ABS(Resultados!CD31),ABS(Resultados!CN31),ABS(Resultados!CX31),ABS(Resultados!DH31))/SQRT(COUNT(Resultados!B31,Resultados!L31,Resultados!V31,Resultados!AF31,Resultados!AP31,Resultados!AZ31,Resultados!BJ31,Resultados!BT31,Resultados!CD31,Resultados!CN31,Resultados!CX31,Resultados!DH31)))</f>
        <v/>
      </c>
      <c r="C31">
        <f>IF(COUNT(Resultados!C31,Resultados!M31,Resultados!W31,Resultados!AG31,Resultados!AQ31,Resultados!BA31,Resultados!BK31,Resultados!BU31,Resultados!CE31,Resultados!CO31,Resultados!CY31,Resultados!DI31)&lt;=1, "", _xlfn.STDEV.S(ABS(Resultados!C31),ABS(Resultados!M31),ABS(Resultados!W31),ABS(Resultados!AG31),ABS(Resultados!AQ31),ABS(Resultados!BA31),ABS(Resultados!BK31),ABS(Resultados!BU31),ABS(Resultados!CE31),ABS(Resultados!CO31),ABS(Resultados!CY31),ABS(Resultados!DI31))/SQRT(COUNT(Resultados!C31,Resultados!M31,Resultados!W31,Resultados!AG31,Resultados!AQ31,Resultados!BA31,Resultados!BK31,Resultados!BU31,Resultados!CE31,Resultados!CO31,Resultados!CY31,Resultados!DI31)))</f>
        <v>0.45156853457049168</v>
      </c>
      <c r="D31">
        <f>IF(COUNT(Resultados!D31,Resultados!N31,Resultados!X31,Resultados!AH31,Resultados!AR31,Resultados!BB31,Resultados!BL31,Resultados!BV31,Resultados!CF31,Resultados!CP31,Resultados!CZ31,Resultados!DJ31)&lt;=1, "", _xlfn.STDEV.S(ABS(Resultados!D31),ABS(Resultados!N31),ABS(Resultados!X31),ABS(Resultados!AH31),ABS(Resultados!AR31),ABS(Resultados!BB31),ABS(Resultados!BL31),ABS(Resultados!BV31),ABS(Resultados!CF31),ABS(Resultados!CP31),ABS(Resultados!CZ31),ABS(Resultados!DJ31))/SQRT(COUNT(Resultados!D31,Resultados!N31,Resultados!X31,Resultados!AH31,Resultados!AR31,Resultados!BB31,Resultados!BL31,Resultados!BV31,Resultados!CF31,Resultados!CP31,Resultados!CZ31,Resultados!DJ31)))</f>
        <v>1.1093581500356436E-3</v>
      </c>
      <c r="E31">
        <f>IF(COUNT(Resultados!E31,Resultados!O31,Resultados!Y31,Resultados!AI31,Resultados!AS31,Resultados!BC31,Resultados!BM31,Resultados!BW31,Resultados!CG31,Resultados!CQ31,Resultados!DA31,Resultados!DK31)&lt;=1, "", _xlfn.STDEV.S(ABS(Resultados!E31),ABS(Resultados!O31),ABS(Resultados!Y31),ABS(Resultados!AI31),ABS(Resultados!AS31),ABS(Resultados!BC31),ABS(Resultados!BM31),ABS(Resultados!BW31),ABS(Resultados!CG31),ABS(Resultados!CQ31),ABS(Resultados!DA31),ABS(Resultados!DK31))/SQRT(COUNT(Resultados!E31,Resultados!O31,Resultados!Y31,Resultados!AI31,Resultados!AS31,Resultados!BC31,Resultados!BM31,Resultados!BW31,Resultados!CG31,Resultados!CQ31,Resultados!DA31,Resultados!DK31)))</f>
        <v>0.10028170392034717</v>
      </c>
      <c r="F31">
        <f>IF(COUNT(Resultados!F31,Resultados!P31,Resultados!Z31,Resultados!AJ31,Resultados!AT31,Resultados!BD31,Resultados!BN31,Resultados!BX31,Resultados!CH31,Resultados!CR31,Resultados!DB31,Resultados!DL31)&lt;=1, "", _xlfn.STDEV.S(ABS(Resultados!F31),ABS(Resultados!P31),ABS(Resultados!Z31),ABS(Resultados!AJ31),ABS(Resultados!AT31),ABS(Resultados!BD31),ABS(Resultados!BN31),ABS(Resultados!BX31),ABS(Resultados!CH31),ABS(Resultados!CR31),ABS(Resultados!DB31),ABS(Resultados!DL31))/SQRT(COUNT(Resultados!F31,Resultados!P31,Resultados!Z31,Resultados!AJ31,Resultados!AT31,Resultados!BD31,Resultados!BN31,Resultados!BX31,Resultados!CH31,Resultados!CR31,Resultados!DB31,Resultados!DL31)))</f>
        <v>15.333982503815585</v>
      </c>
      <c r="G31">
        <f>IF(COUNT(Resultados!G31,Resultados!Q31,Resultados!AA31,Resultados!AK31,Resultados!AU31,Resultados!BE31,Resultados!BO31,Resultados!BY31,Resultados!CI31,Resultados!CS31,Resultados!DC31,Resultados!DM31)&lt;=1, "", _xlfn.STDEV.S(ABS(Resultados!G31),ABS(Resultados!Q31),ABS(Resultados!AA31),ABS(Resultados!AK31),ABS(Resultados!AU31),ABS(Resultados!BE31),ABS(Resultados!BO31),ABS(Resultados!BY31),ABS(Resultados!CI31),ABS(Resultados!CS31),ABS(Resultados!DC31),ABS(Resultados!DM31))/SQRT(COUNT(Resultados!G31,Resultados!Q31,Resultados!AA31,Resultados!AK31,Resultados!AU31,Resultados!BE31,Resultados!BO31,Resultados!BY31,Resultados!CI31,Resultados!CS31,Resultados!DC31,Resultados!DM31)))</f>
        <v>3.3474483693592253E-17</v>
      </c>
      <c r="H31">
        <f>IF(COUNT(Resultados!H31,Resultados!R31,Resultados!AB31,Resultados!AL31,Resultados!AV31,Resultados!BF31,Resultados!BP31,Resultados!BZ31,Resultados!CJ31,Resultados!CT31,Resultados!DD31,Resultados!DN31)&lt;=1, "", _xlfn.STDEV.S(ABS(Resultados!H31),ABS(Resultados!R31),ABS(Resultados!AB31),ABS(Resultados!AL31),ABS(Resultados!AV31),ABS(Resultados!BF31),ABS(Resultados!BP31),ABS(Resultados!BZ31),ABS(Resultados!CJ31),ABS(Resultados!CT31),ABS(Resultados!DD31),ABS(Resultados!DN31))/SQRT(COUNT(Resultados!H31,Resultados!R31,Resultados!AB31,Resultados!AL31,Resultados!AV31,Resultados!BF31,Resultados!BP31,Resultados!BZ31,Resultados!CJ31,Resultados!CT31,Resultados!DD31,Resultados!DN31)))</f>
        <v>1.5600824732148997E-3</v>
      </c>
      <c r="I31">
        <f>IF(COUNT(Resultados!I31,Resultados!S31,Resultados!AC31,Resultados!AM31,Resultados!AW31,Resultados!BG31,Resultados!BQ31,Resultados!CA31,Resultados!CK31,Resultados!CU31,Resultados!DE31,Resultados!DO31)&lt;=1, "", _xlfn.STDEV.S(ABS(Resultados!I31),ABS(Resultados!S31),ABS(Resultados!AC31),ABS(Resultados!AM31),ABS(Resultados!AW31),ABS(Resultados!BG31),ABS(Resultados!BQ31),ABS(Resultados!CA31),ABS(Resultados!CK31),ABS(Resultados!CU31),ABS(Resultados!DE31),ABS(Resultados!DO31))/SQRT(COUNT(Resultados!I31,Resultados!S31,Resultados!AC31,Resultados!AM31,Resultados!AW31,Resultados!BG31,Resultados!BQ31,Resultados!CA31,Resultados!CK31,Resultados!CU31,Resultados!DE31,Resultados!DO31)))</f>
        <v>8.8638822809652669E-4</v>
      </c>
      <c r="J31">
        <f>IF(COUNT(Resultados!J31,Resultados!T31,Resultados!AD31,Resultados!AN31,Resultados!AX31,Resultados!BH31,Resultados!BR31,Resultados!CB31,Resultados!CL31,Resultados!CV31,Resultados!DF31,Resultados!DP31)&lt;=1, "", _xlfn.STDEV.S(ABS(Resultados!J31),ABS(Resultados!T31),ABS(Resultados!AD31),ABS(Resultados!AN31),ABS(Resultados!AX31),ABS(Resultados!BH31),ABS(Resultados!BR31),ABS(Resultados!CB31),ABS(Resultados!CL31),ABS(Resultados!CV31),ABS(Resultados!DF31),ABS(Resultados!DP31))/SQRT(COUNT(Resultados!J31,Resultados!T31,Resultados!AD31,Resultados!AN31,Resultados!AX31,Resultados!BH31,Resultados!BR31,Resultados!CB31,Resultados!CL31,Resultados!CV31,Resultados!DF31,Resultados!DP31)))</f>
        <v>1.5600824732148997E-3</v>
      </c>
    </row>
    <row r="32" spans="1:10" x14ac:dyDescent="0.3">
      <c r="A32">
        <f>IF(COUNT(Resultados!A32,Resultados!K32,Resultados!U32,Resultados!AE32,Resultados!AO32,Resultados!AY32,Resultados!BI32,Resultados!BS32,Resultados!CC32,Resultados!CM32,Resultados!CW32,Resultados!DG32)&lt;=1, "", _xlfn.STDEV.S(ABS(Resultados!A32),ABS(Resultados!K32),ABS(Resultados!U32),ABS(Resultados!AE32),ABS(Resultados!AO32),ABS(Resultados!AY32),ABS(Resultados!BI32),ABS(Resultados!BS32),ABS(Resultados!CC32),ABS(Resultados!CM32),ABS(Resultados!CW32),ABS(Resultados!DG32))/SQRT(COUNT(Resultados!A32,Resultados!K32,Resultados!U32,Resultados!AE32,Resultados!AO32,Resultados!AY32,Resultados!BI32,Resultados!BS32,Resultados!CC32,Resultados!CM32,Resultados!CW32,Resultados!DG32)))</f>
        <v>0</v>
      </c>
      <c r="B32" t="str">
        <f>IF(COUNT(Resultados!B32,Resultados!L32,Resultados!V32,Resultados!AF32,Resultados!AP32,Resultados!AZ32,Resultados!BJ32,Resultados!BT32,Resultados!CD32,Resultados!CN32,Resultados!CX32,Resultados!DH32)&lt;=1, "", _xlfn.STDEV.S(ABS(Resultados!B32),ABS(Resultados!L32),ABS(Resultados!V32),ABS(Resultados!AF32),ABS(Resultados!AP32),ABS(Resultados!AZ32),ABS(Resultados!BJ32),ABS(Resultados!BT32),ABS(Resultados!CD32),ABS(Resultados!CN32),ABS(Resultados!CX32),ABS(Resultados!DH32))/SQRT(COUNT(Resultados!B32,Resultados!L32,Resultados!V32,Resultados!AF32,Resultados!AP32,Resultados!AZ32,Resultados!BJ32,Resultados!BT32,Resultados!CD32,Resultados!CN32,Resultados!CX32,Resultados!DH32)))</f>
        <v/>
      </c>
      <c r="C32">
        <f>IF(COUNT(Resultados!C32,Resultados!M32,Resultados!W32,Resultados!AG32,Resultados!AQ32,Resultados!BA32,Resultados!BK32,Resultados!BU32,Resultados!CE32,Resultados!CO32,Resultados!CY32,Resultados!DI32)&lt;=1, "", _xlfn.STDEV.S(ABS(Resultados!C32),ABS(Resultados!M32),ABS(Resultados!W32),ABS(Resultados!AG32),ABS(Resultados!AQ32),ABS(Resultados!BA32),ABS(Resultados!BK32),ABS(Resultados!BU32),ABS(Resultados!CE32),ABS(Resultados!CO32),ABS(Resultados!CY32),ABS(Resultados!DI32))/SQRT(COUNT(Resultados!C32,Resultados!M32,Resultados!W32,Resultados!AG32,Resultados!AQ32,Resultados!BA32,Resultados!BK32,Resultados!BU32,Resultados!CE32,Resultados!CO32,Resultados!CY32,Resultados!DI32)))</f>
        <v>0.45156853457049168</v>
      </c>
      <c r="D32">
        <f>IF(COUNT(Resultados!D32,Resultados!N32,Resultados!X32,Resultados!AH32,Resultados!AR32,Resultados!BB32,Resultados!BL32,Resultados!BV32,Resultados!CF32,Resultados!CP32,Resultados!CZ32,Resultados!DJ32)&lt;=1, "", _xlfn.STDEV.S(ABS(Resultados!D32),ABS(Resultados!N32),ABS(Resultados!X32),ABS(Resultados!AH32),ABS(Resultados!AR32),ABS(Resultados!BB32),ABS(Resultados!BL32),ABS(Resultados!BV32),ABS(Resultados!CF32),ABS(Resultados!CP32),ABS(Resultados!CZ32),ABS(Resultados!DJ32))/SQRT(COUNT(Resultados!D32,Resultados!N32,Resultados!X32,Resultados!AH32,Resultados!AR32,Resultados!BB32,Resultados!BL32,Resultados!BV32,Resultados!CF32,Resultados!CP32,Resultados!CZ32,Resultados!DJ32)))</f>
        <v>1.0894205437810146E-3</v>
      </c>
      <c r="E32">
        <f>IF(COUNT(Resultados!E32,Resultados!O32,Resultados!Y32,Resultados!AI32,Resultados!AS32,Resultados!BC32,Resultados!BM32,Resultados!BW32,Resultados!CG32,Resultados!CQ32,Resultados!DA32,Resultados!DK32)&lt;=1, "", _xlfn.STDEV.S(ABS(Resultados!E32),ABS(Resultados!O32),ABS(Resultados!Y32),ABS(Resultados!AI32),ABS(Resultados!AS32),ABS(Resultados!BC32),ABS(Resultados!BM32),ABS(Resultados!BW32),ABS(Resultados!CG32),ABS(Resultados!CQ32),ABS(Resultados!DA32),ABS(Resultados!DK32))/SQRT(COUNT(Resultados!E32,Resultados!O32,Resultados!Y32,Resultados!AI32,Resultados!AS32,Resultados!BC32,Resultados!BM32,Resultados!BW32,Resultados!CG32,Resultados!CQ32,Resultados!DA32,Resultados!DK32)))</f>
        <v>0.10136471890679301</v>
      </c>
      <c r="F32">
        <f>IF(COUNT(Resultados!F32,Resultados!P32,Resultados!Z32,Resultados!AJ32,Resultados!AT32,Resultados!BD32,Resultados!BN32,Resultados!BX32,Resultados!CH32,Resultados!CR32,Resultados!DB32,Resultados!DL32)&lt;=1, "", _xlfn.STDEV.S(ABS(Resultados!F32),ABS(Resultados!P32),ABS(Resultados!Z32),ABS(Resultados!AJ32),ABS(Resultados!AT32),ABS(Resultados!BD32),ABS(Resultados!BN32),ABS(Resultados!BX32),ABS(Resultados!CH32),ABS(Resultados!CR32),ABS(Resultados!DB32),ABS(Resultados!DL32))/SQRT(COUNT(Resultados!F32,Resultados!P32,Resultados!Z32,Resultados!AJ32,Resultados!AT32,Resultados!BD32,Resultados!BN32,Resultados!BX32,Resultados!CH32,Resultados!CR32,Resultados!DB32,Resultados!DL32)))</f>
        <v>15.810291275548819</v>
      </c>
      <c r="G32">
        <f>IF(COUNT(Resultados!G32,Resultados!Q32,Resultados!AA32,Resultados!AK32,Resultados!AU32,Resultados!BE32,Resultados!BO32,Resultados!BY32,Resultados!CI32,Resultados!CS32,Resultados!DC32,Resultados!DM32)&lt;=1, "", _xlfn.STDEV.S(ABS(Resultados!G32),ABS(Resultados!Q32),ABS(Resultados!AA32),ABS(Resultados!AK32),ABS(Resultados!AU32),ABS(Resultados!BE32),ABS(Resultados!BO32),ABS(Resultados!BY32),ABS(Resultados!CI32),ABS(Resultados!CS32),ABS(Resultados!DC32),ABS(Resultados!DM32))/SQRT(COUNT(Resultados!G32,Resultados!Q32,Resultados!AA32,Resultados!AK32,Resultados!AU32,Resultados!BE32,Resultados!BO32,Resultados!BY32,Resultados!CI32,Resultados!CS32,Resultados!DC32,Resultados!DM32)))</f>
        <v>3.3474483693592253E-17</v>
      </c>
      <c r="H32">
        <f>IF(COUNT(Resultados!H32,Resultados!R32,Resultados!AB32,Resultados!AL32,Resultados!AV32,Resultados!BF32,Resultados!BP32,Resultados!BZ32,Resultados!CJ32,Resultados!CT32,Resultados!DD32,Resultados!DN32)&lt;=1, "", _xlfn.STDEV.S(ABS(Resultados!H32),ABS(Resultados!R32),ABS(Resultados!AB32),ABS(Resultados!AL32),ABS(Resultados!AV32),ABS(Resultados!BF32),ABS(Resultados!BP32),ABS(Resultados!BZ32),ABS(Resultados!CJ32),ABS(Resultados!CT32),ABS(Resultados!DD32),ABS(Resultados!DN32))/SQRT(COUNT(Resultados!H32,Resultados!R32,Resultados!AB32,Resultados!AL32,Resultados!AV32,Resultados!BF32,Resultados!BP32,Resultados!BZ32,Resultados!CJ32,Resultados!CT32,Resultados!DD32,Resultados!DN32)))</f>
        <v>1.5765484611977689E-3</v>
      </c>
      <c r="I32">
        <f>IF(COUNT(Resultados!I32,Resultados!S32,Resultados!AC32,Resultados!AM32,Resultados!AW32,Resultados!BG32,Resultados!BQ32,Resultados!CA32,Resultados!CK32,Resultados!CU32,Resultados!DE32,Resultados!DO32)&lt;=1, "", _xlfn.STDEV.S(ABS(Resultados!I32),ABS(Resultados!S32),ABS(Resultados!AC32),ABS(Resultados!AM32),ABS(Resultados!AW32),ABS(Resultados!BG32),ABS(Resultados!BQ32),ABS(Resultados!CA32),ABS(Resultados!CK32),ABS(Resultados!CU32),ABS(Resultados!DE32),ABS(Resultados!DO32))/SQRT(COUNT(Resultados!I32,Resultados!S32,Resultados!AC32,Resultados!AM32,Resultados!AW32,Resultados!BG32,Resultados!BQ32,Resultados!CA32,Resultados!CK32,Resultados!CU32,Resultados!DE32,Resultados!DO32)))</f>
        <v>9.7973594025536469E-4</v>
      </c>
      <c r="J32">
        <f>IF(COUNT(Resultados!J32,Resultados!T32,Resultados!AD32,Resultados!AN32,Resultados!AX32,Resultados!BH32,Resultados!BR32,Resultados!CB32,Resultados!CL32,Resultados!CV32,Resultados!DF32,Resultados!DP32)&lt;=1, "", _xlfn.STDEV.S(ABS(Resultados!J32),ABS(Resultados!T32),ABS(Resultados!AD32),ABS(Resultados!AN32),ABS(Resultados!AX32),ABS(Resultados!BH32),ABS(Resultados!BR32),ABS(Resultados!CB32),ABS(Resultados!CL32),ABS(Resultados!CV32),ABS(Resultados!DF32),ABS(Resultados!DP32))/SQRT(COUNT(Resultados!J32,Resultados!T32,Resultados!AD32,Resultados!AN32,Resultados!AX32,Resultados!BH32,Resultados!BR32,Resultados!CB32,Resultados!CL32,Resultados!CV32,Resultados!DF32,Resultados!DP32)))</f>
        <v>1.5765484611977689E-3</v>
      </c>
    </row>
    <row r="33" spans="1:10" x14ac:dyDescent="0.3">
      <c r="A33">
        <f>IF(COUNT(Resultados!A33,Resultados!K33,Resultados!U33,Resultados!AE33,Resultados!AO33,Resultados!AY33,Resultados!BI33,Resultados!BS33,Resultados!CC33,Resultados!CM33,Resultados!CW33,Resultados!DG33)&lt;=1, "", _xlfn.STDEV.S(ABS(Resultados!A33),ABS(Resultados!K33),ABS(Resultados!U33),ABS(Resultados!AE33),ABS(Resultados!AO33),ABS(Resultados!AY33),ABS(Resultados!BI33),ABS(Resultados!BS33),ABS(Resultados!CC33),ABS(Resultados!CM33),ABS(Resultados!CW33),ABS(Resultados!DG33))/SQRT(COUNT(Resultados!A33,Resultados!K33,Resultados!U33,Resultados!AE33,Resultados!AO33,Resultados!AY33,Resultados!BI33,Resultados!BS33,Resultados!CC33,Resultados!CM33,Resultados!CW33,Resultados!DG33)))</f>
        <v>0</v>
      </c>
      <c r="B33" t="str">
        <f>IF(COUNT(Resultados!B33,Resultados!L33,Resultados!V33,Resultados!AF33,Resultados!AP33,Resultados!AZ33,Resultados!BJ33,Resultados!BT33,Resultados!CD33,Resultados!CN33,Resultados!CX33,Resultados!DH33)&lt;=1, "", _xlfn.STDEV.S(ABS(Resultados!B33),ABS(Resultados!L33),ABS(Resultados!V33),ABS(Resultados!AF33),ABS(Resultados!AP33),ABS(Resultados!AZ33),ABS(Resultados!BJ33),ABS(Resultados!BT33),ABS(Resultados!CD33),ABS(Resultados!CN33),ABS(Resultados!CX33),ABS(Resultados!DH33))/SQRT(COUNT(Resultados!B33,Resultados!L33,Resultados!V33,Resultados!AF33,Resultados!AP33,Resultados!AZ33,Resultados!BJ33,Resultados!BT33,Resultados!CD33,Resultados!CN33,Resultados!CX33,Resultados!DH33)))</f>
        <v/>
      </c>
      <c r="C33">
        <f>IF(COUNT(Resultados!C33,Resultados!M33,Resultados!W33,Resultados!AG33,Resultados!AQ33,Resultados!BA33,Resultados!BK33,Resultados!BU33,Resultados!CE33,Resultados!CO33,Resultados!CY33,Resultados!DI33)&lt;=1, "", _xlfn.STDEV.S(ABS(Resultados!C33),ABS(Resultados!M33),ABS(Resultados!W33),ABS(Resultados!AG33),ABS(Resultados!AQ33),ABS(Resultados!BA33),ABS(Resultados!BK33),ABS(Resultados!BU33),ABS(Resultados!CE33),ABS(Resultados!CO33),ABS(Resultados!CY33),ABS(Resultados!DI33))/SQRT(COUNT(Resultados!C33,Resultados!M33,Resultados!W33,Resultados!AG33,Resultados!AQ33,Resultados!BA33,Resultados!BK33,Resultados!BU33,Resultados!CE33,Resultados!CO33,Resultados!CY33,Resultados!DI33)))</f>
        <v>0.45156853457049168</v>
      </c>
      <c r="D33">
        <f>IF(COUNT(Resultados!D33,Resultados!N33,Resultados!X33,Resultados!AH33,Resultados!AR33,Resultados!BB33,Resultados!BL33,Resultados!BV33,Resultados!CF33,Resultados!CP33,Resultados!CZ33,Resultados!DJ33)&lt;=1, "", _xlfn.STDEV.S(ABS(Resultados!D33),ABS(Resultados!N33),ABS(Resultados!X33),ABS(Resultados!AH33),ABS(Resultados!AR33),ABS(Resultados!BB33),ABS(Resultados!BL33),ABS(Resultados!BV33),ABS(Resultados!CF33),ABS(Resultados!CP33),ABS(Resultados!CZ33),ABS(Resultados!DJ33))/SQRT(COUNT(Resultados!D33,Resultados!N33,Resultados!X33,Resultados!AH33,Resultados!AR33,Resultados!BB33,Resultados!BL33,Resultados!BV33,Resultados!CF33,Resultados!CP33,Resultados!CZ33,Resultados!DJ33)))</f>
        <v>1.069964126652493E-3</v>
      </c>
      <c r="E33">
        <f>IF(COUNT(Resultados!E33,Resultados!O33,Resultados!Y33,Resultados!AI33,Resultados!AS33,Resultados!BC33,Resultados!BM33,Resultados!BW33,Resultados!CG33,Resultados!CQ33,Resultados!DA33,Resultados!DK33)&lt;=1, "", _xlfn.STDEV.S(ABS(Resultados!E33),ABS(Resultados!O33),ABS(Resultados!Y33),ABS(Resultados!AI33),ABS(Resultados!AS33),ABS(Resultados!BC33),ABS(Resultados!BM33),ABS(Resultados!BW33),ABS(Resultados!CG33),ABS(Resultados!CQ33),ABS(Resultados!DA33),ABS(Resultados!DK33))/SQRT(COUNT(Resultados!E33,Resultados!O33,Resultados!Y33,Resultados!AI33,Resultados!AS33,Resultados!BC33,Resultados!BM33,Resultados!BW33,Resultados!CG33,Resultados!CQ33,Resultados!DA33,Resultados!DK33)))</f>
        <v>0.10225664549632293</v>
      </c>
      <c r="F33">
        <f>IF(COUNT(Resultados!F33,Resultados!P33,Resultados!Z33,Resultados!AJ33,Resultados!AT33,Resultados!BD33,Resultados!BN33,Resultados!BX33,Resultados!CH33,Resultados!CR33,Resultados!DB33,Resultados!DL33)&lt;=1, "", _xlfn.STDEV.S(ABS(Resultados!F33),ABS(Resultados!P33),ABS(Resultados!Z33),ABS(Resultados!AJ33),ABS(Resultados!AT33),ABS(Resultados!BD33),ABS(Resultados!BN33),ABS(Resultados!BX33),ABS(Resultados!CH33),ABS(Resultados!CR33),ABS(Resultados!DB33),ABS(Resultados!DL33))/SQRT(COUNT(Resultados!F33,Resultados!P33,Resultados!Z33,Resultados!AJ33,Resultados!AT33,Resultados!BD33,Resultados!BN33,Resultados!BX33,Resultados!CH33,Resultados!CR33,Resultados!DB33,Resultados!DL33)))</f>
        <v>9.5303193602572964</v>
      </c>
      <c r="G33">
        <f>IF(COUNT(Resultados!G33,Resultados!Q33,Resultados!AA33,Resultados!AK33,Resultados!AU33,Resultados!BE33,Resultados!BO33,Resultados!BY33,Resultados!CI33,Resultados!CS33,Resultados!DC33,Resultados!DM33)&lt;=1, "", _xlfn.STDEV.S(ABS(Resultados!G33),ABS(Resultados!Q33),ABS(Resultados!AA33),ABS(Resultados!AK33),ABS(Resultados!AU33),ABS(Resultados!BE33),ABS(Resultados!BO33),ABS(Resultados!BY33),ABS(Resultados!CI33),ABS(Resultados!CS33),ABS(Resultados!DC33),ABS(Resultados!DM33))/SQRT(COUNT(Resultados!G33,Resultados!Q33,Resultados!AA33,Resultados!AK33,Resultados!AU33,Resultados!BE33,Resultados!BO33,Resultados!BY33,Resultados!CI33,Resultados!CS33,Resultados!DC33,Resultados!DM33)))</f>
        <v>3.3474483693592253E-17</v>
      </c>
      <c r="H33">
        <f>IF(COUNT(Resultados!H33,Resultados!R33,Resultados!AB33,Resultados!AL33,Resultados!AV33,Resultados!BF33,Resultados!BP33,Resultados!BZ33,Resultados!CJ33,Resultados!CT33,Resultados!DD33,Resultados!DN33)&lt;=1, "", _xlfn.STDEV.S(ABS(Resultados!H33),ABS(Resultados!R33),ABS(Resultados!AB33),ABS(Resultados!AL33),ABS(Resultados!AV33),ABS(Resultados!BF33),ABS(Resultados!BP33),ABS(Resultados!BZ33),ABS(Resultados!CJ33),ABS(Resultados!CT33),ABS(Resultados!DD33),ABS(Resultados!DN33))/SQRT(COUNT(Resultados!H33,Resultados!R33,Resultados!AB33,Resultados!AL33,Resultados!AV33,Resultados!BF33,Resultados!BP33,Resultados!BZ33,Resultados!CJ33,Resultados!CT33,Resultados!DD33,Resultados!DN33)))</f>
        <v>1.5894757251396063E-3</v>
      </c>
      <c r="I33">
        <f>IF(COUNT(Resultados!I33,Resultados!S33,Resultados!AC33,Resultados!AM33,Resultados!AW33,Resultados!BG33,Resultados!BQ33,Resultados!CA33,Resultados!CK33,Resultados!CU33,Resultados!DE33,Resultados!DO33)&lt;=1, "", _xlfn.STDEV.S(ABS(Resultados!I33),ABS(Resultados!S33),ABS(Resultados!AC33),ABS(Resultados!AM33),ABS(Resultados!AW33),ABS(Resultados!BG33),ABS(Resultados!BQ33),ABS(Resultados!CA33),ABS(Resultados!CK33),ABS(Resultados!CU33),ABS(Resultados!DE33),ABS(Resultados!DO33))/SQRT(COUNT(Resultados!I33,Resultados!S33,Resultados!AC33,Resultados!AM33,Resultados!AW33,Resultados!BG33,Resultados!BQ33,Resultados!CA33,Resultados!CK33,Resultados!CU33,Resultados!DE33,Resultados!DO33)))</f>
        <v>8.8716617708171864E-4</v>
      </c>
      <c r="J33">
        <f>IF(COUNT(Resultados!J33,Resultados!T33,Resultados!AD33,Resultados!AN33,Resultados!AX33,Resultados!BH33,Resultados!BR33,Resultados!CB33,Resultados!CL33,Resultados!CV33,Resultados!DF33,Resultados!DP33)&lt;=1, "", _xlfn.STDEV.S(ABS(Resultados!J33),ABS(Resultados!T33),ABS(Resultados!AD33),ABS(Resultados!AN33),ABS(Resultados!AX33),ABS(Resultados!BH33),ABS(Resultados!BR33),ABS(Resultados!CB33),ABS(Resultados!CL33),ABS(Resultados!CV33),ABS(Resultados!DF33),ABS(Resultados!DP33))/SQRT(COUNT(Resultados!J33,Resultados!T33,Resultados!AD33,Resultados!AN33,Resultados!AX33,Resultados!BH33,Resultados!BR33,Resultados!CB33,Resultados!CL33,Resultados!CV33,Resultados!DF33,Resultados!DP33)))</f>
        <v>1.5894757251396063E-3</v>
      </c>
    </row>
    <row r="34" spans="1:10" x14ac:dyDescent="0.3">
      <c r="A34">
        <f>IF(COUNT(Resultados!A34,Resultados!K34,Resultados!U34,Resultados!AE34,Resultados!AO34,Resultados!AY34,Resultados!BI34,Resultados!BS34,Resultados!CC34,Resultados!CM34,Resultados!CW34,Resultados!DG34)&lt;=1, "", _xlfn.STDEV.S(ABS(Resultados!A34),ABS(Resultados!K34),ABS(Resultados!U34),ABS(Resultados!AE34),ABS(Resultados!AO34),ABS(Resultados!AY34),ABS(Resultados!BI34),ABS(Resultados!BS34),ABS(Resultados!CC34),ABS(Resultados!CM34),ABS(Resultados!CW34),ABS(Resultados!DG34))/SQRT(COUNT(Resultados!A34,Resultados!K34,Resultados!U34,Resultados!AE34,Resultados!AO34,Resultados!AY34,Resultados!BI34,Resultados!BS34,Resultados!CC34,Resultados!CM34,Resultados!CW34,Resultados!DG34)))</f>
        <v>0</v>
      </c>
      <c r="B34" t="str">
        <f>IF(COUNT(Resultados!B34,Resultados!L34,Resultados!V34,Resultados!AF34,Resultados!AP34,Resultados!AZ34,Resultados!BJ34,Resultados!BT34,Resultados!CD34,Resultados!CN34,Resultados!CX34,Resultados!DH34)&lt;=1, "", _xlfn.STDEV.S(ABS(Resultados!B34),ABS(Resultados!L34),ABS(Resultados!V34),ABS(Resultados!AF34),ABS(Resultados!AP34),ABS(Resultados!AZ34),ABS(Resultados!BJ34),ABS(Resultados!BT34),ABS(Resultados!CD34),ABS(Resultados!CN34),ABS(Resultados!CX34),ABS(Resultados!DH34))/SQRT(COUNT(Resultados!B34,Resultados!L34,Resultados!V34,Resultados!AF34,Resultados!AP34,Resultados!AZ34,Resultados!BJ34,Resultados!BT34,Resultados!CD34,Resultados!CN34,Resultados!CX34,Resultados!DH34)))</f>
        <v/>
      </c>
      <c r="C34">
        <f>IF(COUNT(Resultados!C34,Resultados!M34,Resultados!W34,Resultados!AG34,Resultados!AQ34,Resultados!BA34,Resultados!BK34,Resultados!BU34,Resultados!CE34,Resultados!CO34,Resultados!CY34,Resultados!DI34)&lt;=1, "", _xlfn.STDEV.S(ABS(Resultados!C34),ABS(Resultados!M34),ABS(Resultados!W34),ABS(Resultados!AG34),ABS(Resultados!AQ34),ABS(Resultados!BA34),ABS(Resultados!BK34),ABS(Resultados!BU34),ABS(Resultados!CE34),ABS(Resultados!CO34),ABS(Resultados!CY34),ABS(Resultados!DI34))/SQRT(COUNT(Resultados!C34,Resultados!M34,Resultados!W34,Resultados!AG34,Resultados!AQ34,Resultados!BA34,Resultados!BK34,Resultados!BU34,Resultados!CE34,Resultados!CO34,Resultados!CY34,Resultados!DI34)))</f>
        <v>0.45156853457049168</v>
      </c>
      <c r="D34">
        <f>IF(COUNT(Resultados!D34,Resultados!N34,Resultados!X34,Resultados!AH34,Resultados!AR34,Resultados!BB34,Resultados!BL34,Resultados!BV34,Resultados!CF34,Resultados!CP34,Resultados!CZ34,Resultados!DJ34)&lt;=1, "", _xlfn.STDEV.S(ABS(Resultados!D34),ABS(Resultados!N34),ABS(Resultados!X34),ABS(Resultados!AH34),ABS(Resultados!AR34),ABS(Resultados!BB34),ABS(Resultados!BL34),ABS(Resultados!BV34),ABS(Resultados!CF34),ABS(Resultados!CP34),ABS(Resultados!CZ34),ABS(Resultados!DJ34))/SQRT(COUNT(Resultados!D34,Resultados!N34,Resultados!X34,Resultados!AH34,Resultados!AR34,Resultados!BB34,Resultados!BL34,Resultados!BV34,Resultados!CF34,Resultados!CP34,Resultados!CZ34,Resultados!DJ34)))</f>
        <v>1.0685914215745071E-3</v>
      </c>
      <c r="E34">
        <f>IF(COUNT(Resultados!E34,Resultados!O34,Resultados!Y34,Resultados!AI34,Resultados!AS34,Resultados!BC34,Resultados!BM34,Resultados!BW34,Resultados!CG34,Resultados!CQ34,Resultados!DA34,Resultados!DK34)&lt;=1, "", _xlfn.STDEV.S(ABS(Resultados!E34),ABS(Resultados!O34),ABS(Resultados!Y34),ABS(Resultados!AI34),ABS(Resultados!AS34),ABS(Resultados!BC34),ABS(Resultados!BM34),ABS(Resultados!BW34),ABS(Resultados!CG34),ABS(Resultados!CQ34),ABS(Resultados!DA34),ABS(Resultados!DK34))/SQRT(COUNT(Resultados!E34,Resultados!O34,Resultados!Y34,Resultados!AI34,Resultados!AS34,Resultados!BC34,Resultados!BM34,Resultados!BW34,Resultados!CG34,Resultados!CQ34,Resultados!DA34,Resultados!DK34)))</f>
        <v>0.10263138316456112</v>
      </c>
      <c r="F34">
        <f>IF(COUNT(Resultados!F34,Resultados!P34,Resultados!Z34,Resultados!AJ34,Resultados!AT34,Resultados!BD34,Resultados!BN34,Resultados!BX34,Resultados!CH34,Resultados!CR34,Resultados!DB34,Resultados!DL34)&lt;=1, "", _xlfn.STDEV.S(ABS(Resultados!F34),ABS(Resultados!P34),ABS(Resultados!Z34),ABS(Resultados!AJ34),ABS(Resultados!AT34),ABS(Resultados!BD34),ABS(Resultados!BN34),ABS(Resultados!BX34),ABS(Resultados!CH34),ABS(Resultados!CR34),ABS(Resultados!DB34),ABS(Resultados!DL34))/SQRT(COUNT(Resultados!F34,Resultados!P34,Resultados!Z34,Resultados!AJ34,Resultados!AT34,Resultados!BD34,Resultados!BN34,Resultados!BX34,Resultados!CH34,Resultados!CR34,Resultados!DB34,Resultados!DL34)))</f>
        <v>9.5652449109370998</v>
      </c>
      <c r="G34">
        <f>IF(COUNT(Resultados!G34,Resultados!Q34,Resultados!AA34,Resultados!AK34,Resultados!AU34,Resultados!BE34,Resultados!BO34,Resultados!BY34,Resultados!CI34,Resultados!CS34,Resultados!DC34,Resultados!DM34)&lt;=1, "", _xlfn.STDEV.S(ABS(Resultados!G34),ABS(Resultados!Q34),ABS(Resultados!AA34),ABS(Resultados!AK34),ABS(Resultados!AU34),ABS(Resultados!BE34),ABS(Resultados!BO34),ABS(Resultados!BY34),ABS(Resultados!CI34),ABS(Resultados!CS34),ABS(Resultados!DC34),ABS(Resultados!DM34))/SQRT(COUNT(Resultados!G34,Resultados!Q34,Resultados!AA34,Resultados!AK34,Resultados!AU34,Resultados!BE34,Resultados!BO34,Resultados!BY34,Resultados!CI34,Resultados!CS34,Resultados!DC34,Resultados!DM34)))</f>
        <v>3.3474483693592253E-17</v>
      </c>
      <c r="H34">
        <f>IF(COUNT(Resultados!H34,Resultados!R34,Resultados!AB34,Resultados!AL34,Resultados!AV34,Resultados!BF34,Resultados!BP34,Resultados!BZ34,Resultados!CJ34,Resultados!CT34,Resultados!DD34,Resultados!DN34)&lt;=1, "", _xlfn.STDEV.S(ABS(Resultados!H34),ABS(Resultados!R34),ABS(Resultados!AB34),ABS(Resultados!AL34),ABS(Resultados!AV34),ABS(Resultados!BF34),ABS(Resultados!BP34),ABS(Resultados!BZ34),ABS(Resultados!CJ34),ABS(Resultados!CT34),ABS(Resultados!DD34),ABS(Resultados!DN34))/SQRT(COUNT(Resultados!H34,Resultados!R34,Resultados!AB34,Resultados!AL34,Resultados!AV34,Resultados!BF34,Resultados!BP34,Resultados!BZ34,Resultados!CJ34,Resultados!CT34,Resultados!DD34,Resultados!DN34)))</f>
        <v>1.5966979815996659E-3</v>
      </c>
      <c r="I34">
        <f>IF(COUNT(Resultados!I34,Resultados!S34,Resultados!AC34,Resultados!AM34,Resultados!AW34,Resultados!BG34,Resultados!BQ34,Resultados!CA34,Resultados!CK34,Resultados!CU34,Resultados!DE34,Resultados!DO34)&lt;=1, "", _xlfn.STDEV.S(ABS(Resultados!I34),ABS(Resultados!S34),ABS(Resultados!AC34),ABS(Resultados!AM34),ABS(Resultados!AW34),ABS(Resultados!BG34),ABS(Resultados!BQ34),ABS(Resultados!CA34),ABS(Resultados!CK34),ABS(Resultados!CU34),ABS(Resultados!DE34),ABS(Resultados!DO34))/SQRT(COUNT(Resultados!I34,Resultados!S34,Resultados!AC34,Resultados!AM34,Resultados!AW34,Resultados!BG34,Resultados!BQ34,Resultados!CA34,Resultados!CK34,Resultados!CU34,Resultados!DE34,Resultados!DO34)))</f>
        <v>1.2422562917706144E-3</v>
      </c>
      <c r="J34">
        <f>IF(COUNT(Resultados!J34,Resultados!T34,Resultados!AD34,Resultados!AN34,Resultados!AX34,Resultados!BH34,Resultados!BR34,Resultados!CB34,Resultados!CL34,Resultados!CV34,Resultados!DF34,Resultados!DP34)&lt;=1, "", _xlfn.STDEV.S(ABS(Resultados!J34),ABS(Resultados!T34),ABS(Resultados!AD34),ABS(Resultados!AN34),ABS(Resultados!AX34),ABS(Resultados!BH34),ABS(Resultados!BR34),ABS(Resultados!CB34),ABS(Resultados!CL34),ABS(Resultados!CV34),ABS(Resultados!DF34),ABS(Resultados!DP34))/SQRT(COUNT(Resultados!J34,Resultados!T34,Resultados!AD34,Resultados!AN34,Resultados!AX34,Resultados!BH34,Resultados!BR34,Resultados!CB34,Resultados!CL34,Resultados!CV34,Resultados!DF34,Resultados!DP34)))</f>
        <v>1.5966979815996659E-3</v>
      </c>
    </row>
    <row r="35" spans="1:10" x14ac:dyDescent="0.3">
      <c r="A35">
        <f>IF(COUNT(Resultados!A35,Resultados!K35,Resultados!U35,Resultados!AE35,Resultados!AO35,Resultados!AY35,Resultados!BI35,Resultados!BS35,Resultados!CC35,Resultados!CM35,Resultados!CW35,Resultados!DG35)&lt;=1, "", _xlfn.STDEV.S(ABS(Resultados!A35),ABS(Resultados!K35),ABS(Resultados!U35),ABS(Resultados!AE35),ABS(Resultados!AO35),ABS(Resultados!AY35),ABS(Resultados!BI35),ABS(Resultados!BS35),ABS(Resultados!CC35),ABS(Resultados!CM35),ABS(Resultados!CW35),ABS(Resultados!DG35))/SQRT(COUNT(Resultados!A35,Resultados!K35,Resultados!U35,Resultados!AE35,Resultados!AO35,Resultados!AY35,Resultados!BI35,Resultados!BS35,Resultados!CC35,Resultados!CM35,Resultados!CW35,Resultados!DG35)))</f>
        <v>0</v>
      </c>
      <c r="B35" t="str">
        <f>IF(COUNT(Resultados!B35,Resultados!L35,Resultados!V35,Resultados!AF35,Resultados!AP35,Resultados!AZ35,Resultados!BJ35,Resultados!BT35,Resultados!CD35,Resultados!CN35,Resultados!CX35,Resultados!DH35)&lt;=1, "", _xlfn.STDEV.S(ABS(Resultados!B35),ABS(Resultados!L35),ABS(Resultados!V35),ABS(Resultados!AF35),ABS(Resultados!AP35),ABS(Resultados!AZ35),ABS(Resultados!BJ35),ABS(Resultados!BT35),ABS(Resultados!CD35),ABS(Resultados!CN35),ABS(Resultados!CX35),ABS(Resultados!DH35))/SQRT(COUNT(Resultados!B35,Resultados!L35,Resultados!V35,Resultados!AF35,Resultados!AP35,Resultados!AZ35,Resultados!BJ35,Resultados!BT35,Resultados!CD35,Resultados!CN35,Resultados!CX35,Resultados!DH35)))</f>
        <v/>
      </c>
      <c r="C35">
        <f>IF(COUNT(Resultados!C35,Resultados!M35,Resultados!W35,Resultados!AG35,Resultados!AQ35,Resultados!BA35,Resultados!BK35,Resultados!BU35,Resultados!CE35,Resultados!CO35,Resultados!CY35,Resultados!DI35)&lt;=1, "", _xlfn.STDEV.S(ABS(Resultados!C35),ABS(Resultados!M35),ABS(Resultados!W35),ABS(Resultados!AG35),ABS(Resultados!AQ35),ABS(Resultados!BA35),ABS(Resultados!BK35),ABS(Resultados!BU35),ABS(Resultados!CE35),ABS(Resultados!CO35),ABS(Resultados!CY35),ABS(Resultados!DI35))/SQRT(COUNT(Resultados!C35,Resultados!M35,Resultados!W35,Resultados!AG35,Resultados!AQ35,Resultados!BA35,Resultados!BK35,Resultados!BU35,Resultados!CE35,Resultados!CO35,Resultados!CY35,Resultados!DI35)))</f>
        <v>0.45156853457049168</v>
      </c>
      <c r="D35">
        <f>IF(COUNT(Resultados!D35,Resultados!N35,Resultados!X35,Resultados!AH35,Resultados!AR35,Resultados!BB35,Resultados!BL35,Resultados!BV35,Resultados!CF35,Resultados!CP35,Resultados!CZ35,Resultados!DJ35)&lt;=1, "", _xlfn.STDEV.S(ABS(Resultados!D35),ABS(Resultados!N35),ABS(Resultados!X35),ABS(Resultados!AH35),ABS(Resultados!AR35),ABS(Resultados!BB35),ABS(Resultados!BL35),ABS(Resultados!BV35),ABS(Resultados!CF35),ABS(Resultados!CP35),ABS(Resultados!CZ35),ABS(Resultados!DJ35))/SQRT(COUNT(Resultados!D35,Resultados!N35,Resultados!X35,Resultados!AH35,Resultados!AR35,Resultados!BB35,Resultados!BL35,Resultados!BV35,Resultados!CF35,Resultados!CP35,Resultados!CZ35,Resultados!DJ35)))</f>
        <v>1.0911113554074067E-3</v>
      </c>
      <c r="E35">
        <f>IF(COUNT(Resultados!E35,Resultados!O35,Resultados!Y35,Resultados!AI35,Resultados!AS35,Resultados!BC35,Resultados!BM35,Resultados!BW35,Resultados!CG35,Resultados!CQ35,Resultados!DA35,Resultados!DK35)&lt;=1, "", _xlfn.STDEV.S(ABS(Resultados!E35),ABS(Resultados!O35),ABS(Resultados!Y35),ABS(Resultados!AI35),ABS(Resultados!AS35),ABS(Resultados!BC35),ABS(Resultados!BM35),ABS(Resultados!BW35),ABS(Resultados!CG35),ABS(Resultados!CQ35),ABS(Resultados!DA35),ABS(Resultados!DK35))/SQRT(COUNT(Resultados!E35,Resultados!O35,Resultados!Y35,Resultados!AI35,Resultados!AS35,Resultados!BC35,Resultados!BM35,Resultados!BW35,Resultados!CG35,Resultados!CQ35,Resultados!DA35,Resultados!DK35)))</f>
        <v>0.10229429204681999</v>
      </c>
      <c r="F35">
        <f>IF(COUNT(Resultados!F35,Resultados!P35,Resultados!Z35,Resultados!AJ35,Resultados!AT35,Resultados!BD35,Resultados!BN35,Resultados!BX35,Resultados!CH35,Resultados!CR35,Resultados!DB35,Resultados!DL35)&lt;=1, "", _xlfn.STDEV.S(ABS(Resultados!F35),ABS(Resultados!P35),ABS(Resultados!Z35),ABS(Resultados!AJ35),ABS(Resultados!AT35),ABS(Resultados!BD35),ABS(Resultados!BN35),ABS(Resultados!BX35),ABS(Resultados!CH35),ABS(Resultados!CR35),ABS(Resultados!DB35),ABS(Resultados!DL35))/SQRT(COUNT(Resultados!F35,Resultados!P35,Resultados!Z35,Resultados!AJ35,Resultados!AT35,Resultados!BD35,Resultados!BN35,Resultados!BX35,Resultados!CH35,Resultados!CR35,Resultados!DB35,Resultados!DL35)))</f>
        <v>9.5338280187636233</v>
      </c>
      <c r="G35">
        <f>IF(COUNT(Resultados!G35,Resultados!Q35,Resultados!AA35,Resultados!AK35,Resultados!AU35,Resultados!BE35,Resultados!BO35,Resultados!BY35,Resultados!CI35,Resultados!CS35,Resultados!DC35,Resultados!DM35)&lt;=1, "", _xlfn.STDEV.S(ABS(Resultados!G35),ABS(Resultados!Q35),ABS(Resultados!AA35),ABS(Resultados!AK35),ABS(Resultados!AU35),ABS(Resultados!BE35),ABS(Resultados!BO35),ABS(Resultados!BY35),ABS(Resultados!CI35),ABS(Resultados!CS35),ABS(Resultados!DC35),ABS(Resultados!DM35))/SQRT(COUNT(Resultados!G35,Resultados!Q35,Resultados!AA35,Resultados!AK35,Resultados!AU35,Resultados!BE35,Resultados!BO35,Resultados!BY35,Resultados!CI35,Resultados!CS35,Resultados!DC35,Resultados!DM35)))</f>
        <v>3.3474483693592253E-17</v>
      </c>
      <c r="H35">
        <f>IF(COUNT(Resultados!H35,Resultados!R35,Resultados!AB35,Resultados!AL35,Resultados!AV35,Resultados!BF35,Resultados!BP35,Resultados!BZ35,Resultados!CJ35,Resultados!CT35,Resultados!DD35,Resultados!DN35)&lt;=1, "", _xlfn.STDEV.S(ABS(Resultados!H35),ABS(Resultados!R35),ABS(Resultados!AB35),ABS(Resultados!AL35),ABS(Resultados!AV35),ABS(Resultados!BF35),ABS(Resultados!BP35),ABS(Resultados!BZ35),ABS(Resultados!CJ35),ABS(Resultados!CT35),ABS(Resultados!DD35),ABS(Resultados!DN35))/SQRT(COUNT(Resultados!H35,Resultados!R35,Resultados!AB35,Resultados!AL35,Resultados!AV35,Resultados!BF35,Resultados!BP35,Resultados!BZ35,Resultados!CJ35,Resultados!CT35,Resultados!DD35,Resultados!DN35)))</f>
        <v>1.5945377088832078E-3</v>
      </c>
      <c r="I35">
        <f>IF(COUNT(Resultados!I35,Resultados!S35,Resultados!AC35,Resultados!AM35,Resultados!AW35,Resultados!BG35,Resultados!BQ35,Resultados!CA35,Resultados!CK35,Resultados!CU35,Resultados!DE35,Resultados!DO35)&lt;=1, "", _xlfn.STDEV.S(ABS(Resultados!I35),ABS(Resultados!S35),ABS(Resultados!AC35),ABS(Resultados!AM35),ABS(Resultados!AW35),ABS(Resultados!BG35),ABS(Resultados!BQ35),ABS(Resultados!CA35),ABS(Resultados!CK35),ABS(Resultados!CU35),ABS(Resultados!DE35),ABS(Resultados!DO35))/SQRT(COUNT(Resultados!I35,Resultados!S35,Resultados!AC35,Resultados!AM35,Resultados!AW35,Resultados!BG35,Resultados!BQ35,Resultados!CA35,Resultados!CK35,Resultados!CU35,Resultados!DE35,Resultados!DO35)))</f>
        <v>8.7406439879045012E-4</v>
      </c>
      <c r="J35">
        <f>IF(COUNT(Resultados!J35,Resultados!T35,Resultados!AD35,Resultados!AN35,Resultados!AX35,Resultados!BH35,Resultados!BR35,Resultados!CB35,Resultados!CL35,Resultados!CV35,Resultados!DF35,Resultados!DP35)&lt;=1, "", _xlfn.STDEV.S(ABS(Resultados!J35),ABS(Resultados!T35),ABS(Resultados!AD35),ABS(Resultados!AN35),ABS(Resultados!AX35),ABS(Resultados!BH35),ABS(Resultados!BR35),ABS(Resultados!CB35),ABS(Resultados!CL35),ABS(Resultados!CV35),ABS(Resultados!DF35),ABS(Resultados!DP35))/SQRT(COUNT(Resultados!J35,Resultados!T35,Resultados!AD35,Resultados!AN35,Resultados!AX35,Resultados!BH35,Resultados!BR35,Resultados!CB35,Resultados!CL35,Resultados!CV35,Resultados!DF35,Resultados!DP35)))</f>
        <v>1.5945377088832078E-3</v>
      </c>
    </row>
    <row r="36" spans="1:10" x14ac:dyDescent="0.3">
      <c r="A36">
        <f>IF(COUNT(Resultados!A36,Resultados!K36,Resultados!U36,Resultados!AE36,Resultados!AO36,Resultados!AY36,Resultados!BI36,Resultados!BS36,Resultados!CC36,Resultados!CM36,Resultados!CW36,Resultados!DG36)&lt;=1, "", _xlfn.STDEV.S(ABS(Resultados!A36),ABS(Resultados!K36),ABS(Resultados!U36),ABS(Resultados!AE36),ABS(Resultados!AO36),ABS(Resultados!AY36),ABS(Resultados!BI36),ABS(Resultados!BS36),ABS(Resultados!CC36),ABS(Resultados!CM36),ABS(Resultados!CW36),ABS(Resultados!DG36))/SQRT(COUNT(Resultados!A36,Resultados!K36,Resultados!U36,Resultados!AE36,Resultados!AO36,Resultados!AY36,Resultados!BI36,Resultados!BS36,Resultados!CC36,Resultados!CM36,Resultados!CW36,Resultados!DG36)))</f>
        <v>0</v>
      </c>
      <c r="B36" t="str">
        <f>IF(COUNT(Resultados!B36,Resultados!L36,Resultados!V36,Resultados!AF36,Resultados!AP36,Resultados!AZ36,Resultados!BJ36,Resultados!BT36,Resultados!CD36,Resultados!CN36,Resultados!CX36,Resultados!DH36)&lt;=1, "", _xlfn.STDEV.S(ABS(Resultados!B36),ABS(Resultados!L36),ABS(Resultados!V36),ABS(Resultados!AF36),ABS(Resultados!AP36),ABS(Resultados!AZ36),ABS(Resultados!BJ36),ABS(Resultados!BT36),ABS(Resultados!CD36),ABS(Resultados!CN36),ABS(Resultados!CX36),ABS(Resultados!DH36))/SQRT(COUNT(Resultados!B36,Resultados!L36,Resultados!V36,Resultados!AF36,Resultados!AP36,Resultados!AZ36,Resultados!BJ36,Resultados!BT36,Resultados!CD36,Resultados!CN36,Resultados!CX36,Resultados!DH36)))</f>
        <v/>
      </c>
      <c r="C36">
        <f>IF(COUNT(Resultados!C36,Resultados!M36,Resultados!W36,Resultados!AG36,Resultados!AQ36,Resultados!BA36,Resultados!BK36,Resultados!BU36,Resultados!CE36,Resultados!CO36,Resultados!CY36,Resultados!DI36)&lt;=1, "", _xlfn.STDEV.S(ABS(Resultados!C36),ABS(Resultados!M36),ABS(Resultados!W36),ABS(Resultados!AG36),ABS(Resultados!AQ36),ABS(Resultados!BA36),ABS(Resultados!BK36),ABS(Resultados!BU36),ABS(Resultados!CE36),ABS(Resultados!CO36),ABS(Resultados!CY36),ABS(Resultados!DI36))/SQRT(COUNT(Resultados!C36,Resultados!M36,Resultados!W36,Resultados!AG36,Resultados!AQ36,Resultados!BA36,Resultados!BK36,Resultados!BU36,Resultados!CE36,Resultados!CO36,Resultados!CY36,Resultados!DI36)))</f>
        <v>0.45156853457049168</v>
      </c>
      <c r="D36">
        <f>IF(COUNT(Resultados!D36,Resultados!N36,Resultados!X36,Resultados!AH36,Resultados!AR36,Resultados!BB36,Resultados!BL36,Resultados!BV36,Resultados!CF36,Resultados!CP36,Resultados!CZ36,Resultados!DJ36)&lt;=1, "", _xlfn.STDEV.S(ABS(Resultados!D36),ABS(Resultados!N36),ABS(Resultados!X36),ABS(Resultados!AH36),ABS(Resultados!AR36),ABS(Resultados!BB36),ABS(Resultados!BL36),ABS(Resultados!BV36),ABS(Resultados!CF36),ABS(Resultados!CP36),ABS(Resultados!CZ36),ABS(Resultados!DJ36))/SQRT(COUNT(Resultados!D36,Resultados!N36,Resultados!X36,Resultados!AH36,Resultados!AR36,Resultados!BB36,Resultados!BL36,Resultados!BV36,Resultados!CF36,Resultados!CP36,Resultados!CZ36,Resultados!DJ36)))</f>
        <v>1.1430178909316775E-3</v>
      </c>
      <c r="E36">
        <f>IF(COUNT(Resultados!E36,Resultados!O36,Resultados!Y36,Resultados!AI36,Resultados!AS36,Resultados!BC36,Resultados!BM36,Resultados!BW36,Resultados!CG36,Resultados!CQ36,Resultados!DA36,Resultados!DK36)&lt;=1, "", _xlfn.STDEV.S(ABS(Resultados!E36),ABS(Resultados!O36),ABS(Resultados!Y36),ABS(Resultados!AI36),ABS(Resultados!AS36),ABS(Resultados!BC36),ABS(Resultados!BM36),ABS(Resultados!BW36),ABS(Resultados!CG36),ABS(Resultados!CQ36),ABS(Resultados!DA36),ABS(Resultados!DK36))/SQRT(COUNT(Resultados!E36,Resultados!O36,Resultados!Y36,Resultados!AI36,Resultados!AS36,Resultados!BC36,Resultados!BM36,Resultados!BW36,Resultados!CG36,Resultados!CQ36,Resultados!DA36,Resultados!DK36)))</f>
        <v>0.10072129210959858</v>
      </c>
      <c r="F36">
        <f>IF(COUNT(Resultados!F36,Resultados!P36,Resultados!Z36,Resultados!AJ36,Resultados!AT36,Resultados!BD36,Resultados!BN36,Resultados!BX36,Resultados!CH36,Resultados!CR36,Resultados!DB36,Resultados!DL36)&lt;=1, "", _xlfn.STDEV.S(ABS(Resultados!F36),ABS(Resultados!P36),ABS(Resultados!Z36),ABS(Resultados!AJ36),ABS(Resultados!AT36),ABS(Resultados!BD36),ABS(Resultados!BN36),ABS(Resultados!BX36),ABS(Resultados!CH36),ABS(Resultados!CR36),ABS(Resultados!DB36),ABS(Resultados!DL36))/SQRT(COUNT(Resultados!F36,Resultados!P36,Resultados!Z36,Resultados!AJ36,Resultados!AT36,Resultados!BD36,Resultados!BN36,Resultados!BX36,Resultados!CH36,Resultados!CR36,Resultados!DB36,Resultados!DL36)))</f>
        <v>9.3872244246145886</v>
      </c>
      <c r="G36">
        <f>IF(COUNT(Resultados!G36,Resultados!Q36,Resultados!AA36,Resultados!AK36,Resultados!AU36,Resultados!BE36,Resultados!BO36,Resultados!BY36,Resultados!CI36,Resultados!CS36,Resultados!DC36,Resultados!DM36)&lt;=1, "", _xlfn.STDEV.S(ABS(Resultados!G36),ABS(Resultados!Q36),ABS(Resultados!AA36),ABS(Resultados!AK36),ABS(Resultados!AU36),ABS(Resultados!BE36),ABS(Resultados!BO36),ABS(Resultados!BY36),ABS(Resultados!CI36),ABS(Resultados!CS36),ABS(Resultados!DC36),ABS(Resultados!DM36))/SQRT(COUNT(Resultados!G36,Resultados!Q36,Resultados!AA36,Resultados!AK36,Resultados!AU36,Resultados!BE36,Resultados!BO36,Resultados!BY36,Resultados!CI36,Resultados!CS36,Resultados!DC36,Resultados!DM36)))</f>
        <v>3.3474483693592253E-17</v>
      </c>
      <c r="H36">
        <f>IF(COUNT(Resultados!H36,Resultados!R36,Resultados!AB36,Resultados!AL36,Resultados!AV36,Resultados!BF36,Resultados!BP36,Resultados!BZ36,Resultados!CJ36,Resultados!CT36,Resultados!DD36,Resultados!DN36)&lt;=1, "", _xlfn.STDEV.S(ABS(Resultados!H36),ABS(Resultados!R36),ABS(Resultados!AB36),ABS(Resultados!AL36),ABS(Resultados!AV36),ABS(Resultados!BF36),ABS(Resultados!BP36),ABS(Resultados!BZ36),ABS(Resultados!CJ36),ABS(Resultados!CT36),ABS(Resultados!DD36),ABS(Resultados!DN36))/SQRT(COUNT(Resultados!H36,Resultados!R36,Resultados!AB36,Resultados!AL36,Resultados!AV36,Resultados!BF36,Resultados!BP36,Resultados!BZ36,Resultados!CJ36,Resultados!CT36,Resultados!DD36,Resultados!DN36)))</f>
        <v>1.5690906457389445E-3</v>
      </c>
      <c r="I36">
        <f>IF(COUNT(Resultados!I36,Resultados!S36,Resultados!AC36,Resultados!AM36,Resultados!AW36,Resultados!BG36,Resultados!BQ36,Resultados!CA36,Resultados!CK36,Resultados!CU36,Resultados!DE36,Resultados!DO36)&lt;=1, "", _xlfn.STDEV.S(ABS(Resultados!I36),ABS(Resultados!S36),ABS(Resultados!AC36),ABS(Resultados!AM36),ABS(Resultados!AW36),ABS(Resultados!BG36),ABS(Resultados!BQ36),ABS(Resultados!CA36),ABS(Resultados!CK36),ABS(Resultados!CU36),ABS(Resultados!DE36),ABS(Resultados!DO36))/SQRT(COUNT(Resultados!I36,Resultados!S36,Resultados!AC36,Resultados!AM36,Resultados!AW36,Resultados!BG36,Resultados!BQ36,Resultados!CA36,Resultados!CK36,Resultados!CU36,Resultados!DE36,Resultados!DO36)))</f>
        <v>8.5154212455949569E-4</v>
      </c>
      <c r="J36">
        <f>IF(COUNT(Resultados!J36,Resultados!T36,Resultados!AD36,Resultados!AN36,Resultados!AX36,Resultados!BH36,Resultados!BR36,Resultados!CB36,Resultados!CL36,Resultados!CV36,Resultados!DF36,Resultados!DP36)&lt;=1, "", _xlfn.STDEV.S(ABS(Resultados!J36),ABS(Resultados!T36),ABS(Resultados!AD36),ABS(Resultados!AN36),ABS(Resultados!AX36),ABS(Resultados!BH36),ABS(Resultados!BR36),ABS(Resultados!CB36),ABS(Resultados!CL36),ABS(Resultados!CV36),ABS(Resultados!DF36),ABS(Resultados!DP36))/SQRT(COUNT(Resultados!J36,Resultados!T36,Resultados!AD36,Resultados!AN36,Resultados!AX36,Resultados!BH36,Resultados!BR36,Resultados!CB36,Resultados!CL36,Resultados!CV36,Resultados!DF36,Resultados!DP36)))</f>
        <v>1.5690906457389445E-3</v>
      </c>
    </row>
    <row r="37" spans="1:10" x14ac:dyDescent="0.3">
      <c r="A37">
        <f>IF(COUNT(Resultados!A37,Resultados!K37,Resultados!U37,Resultados!AE37,Resultados!AO37,Resultados!AY37,Resultados!BI37,Resultados!BS37,Resultados!CC37,Resultados!CM37,Resultados!CW37,Resultados!DG37)&lt;=1, "", _xlfn.STDEV.S(ABS(Resultados!A37),ABS(Resultados!K37),ABS(Resultados!U37),ABS(Resultados!AE37),ABS(Resultados!AO37),ABS(Resultados!AY37),ABS(Resultados!BI37),ABS(Resultados!BS37),ABS(Resultados!CC37),ABS(Resultados!CM37),ABS(Resultados!CW37),ABS(Resultados!DG37))/SQRT(COUNT(Resultados!A37,Resultados!K37,Resultados!U37,Resultados!AE37,Resultados!AO37,Resultados!AY37,Resultados!BI37,Resultados!BS37,Resultados!CC37,Resultados!CM37,Resultados!CW37,Resultados!DG37)))</f>
        <v>0</v>
      </c>
      <c r="B37" t="str">
        <f>IF(COUNT(Resultados!B37,Resultados!L37,Resultados!V37,Resultados!AF37,Resultados!AP37,Resultados!AZ37,Resultados!BJ37,Resultados!BT37,Resultados!CD37,Resultados!CN37,Resultados!CX37,Resultados!DH37)&lt;=1, "", _xlfn.STDEV.S(ABS(Resultados!B37),ABS(Resultados!L37),ABS(Resultados!V37),ABS(Resultados!AF37),ABS(Resultados!AP37),ABS(Resultados!AZ37),ABS(Resultados!BJ37),ABS(Resultados!BT37),ABS(Resultados!CD37),ABS(Resultados!CN37),ABS(Resultados!CX37),ABS(Resultados!DH37))/SQRT(COUNT(Resultados!B37,Resultados!L37,Resultados!V37,Resultados!AF37,Resultados!AP37,Resultados!AZ37,Resultados!BJ37,Resultados!BT37,Resultados!CD37,Resultados!CN37,Resultados!CX37,Resultados!DH37)))</f>
        <v/>
      </c>
      <c r="C37">
        <f>IF(COUNT(Resultados!C37,Resultados!M37,Resultados!W37,Resultados!AG37,Resultados!AQ37,Resultados!BA37,Resultados!BK37,Resultados!BU37,Resultados!CE37,Resultados!CO37,Resultados!CY37,Resultados!DI37)&lt;=1, "", _xlfn.STDEV.S(ABS(Resultados!C37),ABS(Resultados!M37),ABS(Resultados!W37),ABS(Resultados!AG37),ABS(Resultados!AQ37),ABS(Resultados!BA37),ABS(Resultados!BK37),ABS(Resultados!BU37),ABS(Resultados!CE37),ABS(Resultados!CO37),ABS(Resultados!CY37),ABS(Resultados!DI37))/SQRT(COUNT(Resultados!C37,Resultados!M37,Resultados!W37,Resultados!AG37,Resultados!AQ37,Resultados!BA37,Resultados!BK37,Resultados!BU37,Resultados!CE37,Resultados!CO37,Resultados!CY37,Resultados!DI37)))</f>
        <v>0.45156853457049168</v>
      </c>
      <c r="D37">
        <f>IF(COUNT(Resultados!D37,Resultados!N37,Resultados!X37,Resultados!AH37,Resultados!AR37,Resultados!BB37,Resultados!BL37,Resultados!BV37,Resultados!CF37,Resultados!CP37,Resultados!CZ37,Resultados!DJ37)&lt;=1, "", _xlfn.STDEV.S(ABS(Resultados!D37),ABS(Resultados!N37),ABS(Resultados!X37),ABS(Resultados!AH37),ABS(Resultados!AR37),ABS(Resultados!BB37),ABS(Resultados!BL37),ABS(Resultados!BV37),ABS(Resultados!CF37),ABS(Resultados!CP37),ABS(Resultados!CZ37),ABS(Resultados!DJ37))/SQRT(COUNT(Resultados!D37,Resultados!N37,Resultados!X37,Resultados!AH37,Resultados!AR37,Resultados!BB37,Resultados!BL37,Resultados!BV37,Resultados!CF37,Resultados!CP37,Resultados!CZ37,Resultados!DJ37)))</f>
        <v>1.2195896809578982E-3</v>
      </c>
      <c r="E37">
        <f>IF(COUNT(Resultados!E37,Resultados!O37,Resultados!Y37,Resultados!AI37,Resultados!AS37,Resultados!BC37,Resultados!BM37,Resultados!BW37,Resultados!CG37,Resultados!CQ37,Resultados!DA37,Resultados!DK37)&lt;=1, "", _xlfn.STDEV.S(ABS(Resultados!E37),ABS(Resultados!O37),ABS(Resultados!Y37),ABS(Resultados!AI37),ABS(Resultados!AS37),ABS(Resultados!BC37),ABS(Resultados!BM37),ABS(Resultados!BW37),ABS(Resultados!CG37),ABS(Resultados!CQ37),ABS(Resultados!DA37),ABS(Resultados!DK37))/SQRT(COUNT(Resultados!E37,Resultados!O37,Resultados!Y37,Resultados!AI37,Resultados!AS37,Resultados!BC37,Resultados!BM37,Resultados!BW37,Resultados!CG37,Resultados!CQ37,Resultados!DA37,Resultados!DK37)))</f>
        <v>9.348517305034082E-2</v>
      </c>
      <c r="F37">
        <f>IF(COUNT(Resultados!F37,Resultados!P37,Resultados!Z37,Resultados!AJ37,Resultados!AT37,Resultados!BD37,Resultados!BN37,Resultados!BX37,Resultados!CH37,Resultados!CR37,Resultados!DB37,Resultados!DL37)&lt;=1, "", _xlfn.STDEV.S(ABS(Resultados!F37),ABS(Resultados!P37),ABS(Resultados!Z37),ABS(Resultados!AJ37),ABS(Resultados!AT37),ABS(Resultados!BD37),ABS(Resultados!BN37),ABS(Resultados!BX37),ABS(Resultados!CH37),ABS(Resultados!CR37),ABS(Resultados!DB37),ABS(Resultados!DL37))/SQRT(COUNT(Resultados!F37,Resultados!P37,Resultados!Z37,Resultados!AJ37,Resultados!AT37,Resultados!BD37,Resultados!BN37,Resultados!BX37,Resultados!CH37,Resultados!CR37,Resultados!DB37,Resultados!DL37)))</f>
        <v>11.071631883439672</v>
      </c>
      <c r="G37">
        <f>IF(COUNT(Resultados!G37,Resultados!Q37,Resultados!AA37,Resultados!AK37,Resultados!AU37,Resultados!BE37,Resultados!BO37,Resultados!BY37,Resultados!CI37,Resultados!CS37,Resultados!DC37,Resultados!DM37)&lt;=1, "", _xlfn.STDEV.S(ABS(Resultados!G37),ABS(Resultados!Q37),ABS(Resultados!AA37),ABS(Resultados!AK37),ABS(Resultados!AU37),ABS(Resultados!BE37),ABS(Resultados!BO37),ABS(Resultados!BY37),ABS(Resultados!CI37),ABS(Resultados!CS37),ABS(Resultados!DC37),ABS(Resultados!DM37))/SQRT(COUNT(Resultados!G37,Resultados!Q37,Resultados!AA37,Resultados!AK37,Resultados!AU37,Resultados!BE37,Resultados!BO37,Resultados!BY37,Resultados!CI37,Resultados!CS37,Resultados!DC37,Resultados!DM37)))</f>
        <v>3.3474483693592253E-17</v>
      </c>
      <c r="H37">
        <f>IF(COUNT(Resultados!H37,Resultados!R37,Resultados!AB37,Resultados!AL37,Resultados!AV37,Resultados!BF37,Resultados!BP37,Resultados!BZ37,Resultados!CJ37,Resultados!CT37,Resultados!DD37,Resultados!DN37)&lt;=1, "", _xlfn.STDEV.S(ABS(Resultados!H37),ABS(Resultados!R37),ABS(Resultados!AB37),ABS(Resultados!AL37),ABS(Resultados!AV37),ABS(Resultados!BF37),ABS(Resultados!BP37),ABS(Resultados!BZ37),ABS(Resultados!CJ37),ABS(Resultados!CT37),ABS(Resultados!DD37),ABS(Resultados!DN37))/SQRT(COUNT(Resultados!H37,Resultados!R37,Resultados!AB37,Resultados!AL37,Resultados!AV37,Resultados!BF37,Resultados!BP37,Resultados!BZ37,Resultados!CJ37,Resultados!CT37,Resultados!DD37,Resultados!DN37)))</f>
        <v>1.4475161589091255E-3</v>
      </c>
      <c r="I37">
        <f>IF(COUNT(Resultados!I37,Resultados!S37,Resultados!AC37,Resultados!AM37,Resultados!AW37,Resultados!BG37,Resultados!BQ37,Resultados!CA37,Resultados!CK37,Resultados!CU37,Resultados!DE37,Resultados!DO37)&lt;=1, "", _xlfn.STDEV.S(ABS(Resultados!I37),ABS(Resultados!S37),ABS(Resultados!AC37),ABS(Resultados!AM37),ABS(Resultados!AW37),ABS(Resultados!BG37),ABS(Resultados!BQ37),ABS(Resultados!CA37),ABS(Resultados!CK37),ABS(Resultados!CU37),ABS(Resultados!DE37),ABS(Resultados!DO37))/SQRT(COUNT(Resultados!I37,Resultados!S37,Resultados!AC37,Resultados!AM37,Resultados!AW37,Resultados!BG37,Resultados!BQ37,Resultados!CA37,Resultados!CK37,Resultados!CU37,Resultados!DE37,Resultados!DO37)))</f>
        <v>9.5046028190220902E-4</v>
      </c>
      <c r="J37">
        <f>IF(COUNT(Resultados!J37,Resultados!T37,Resultados!AD37,Resultados!AN37,Resultados!AX37,Resultados!BH37,Resultados!BR37,Resultados!CB37,Resultados!CL37,Resultados!CV37,Resultados!DF37,Resultados!DP37)&lt;=1, "", _xlfn.STDEV.S(ABS(Resultados!J37),ABS(Resultados!T37),ABS(Resultados!AD37),ABS(Resultados!AN37),ABS(Resultados!AX37),ABS(Resultados!BH37),ABS(Resultados!BR37),ABS(Resultados!CB37),ABS(Resultados!CL37),ABS(Resultados!CV37),ABS(Resultados!DF37),ABS(Resultados!DP37))/SQRT(COUNT(Resultados!J37,Resultados!T37,Resultados!AD37,Resultados!AN37,Resultados!AX37,Resultados!BH37,Resultados!BR37,Resultados!CB37,Resultados!CL37,Resultados!CV37,Resultados!DF37,Resultados!DP37)))</f>
        <v>1.4475161589091255E-3</v>
      </c>
    </row>
    <row r="38" spans="1:10" x14ac:dyDescent="0.3">
      <c r="A38">
        <f>IF(COUNT(Resultados!A38,Resultados!K38,Resultados!U38,Resultados!AE38,Resultados!AO38,Resultados!AY38,Resultados!BI38,Resultados!BS38,Resultados!CC38,Resultados!CM38,Resultados!CW38,Resultados!DG38)&lt;=1, "", _xlfn.STDEV.S(ABS(Resultados!A38),ABS(Resultados!K38),ABS(Resultados!U38),ABS(Resultados!AE38),ABS(Resultados!AO38),ABS(Resultados!AY38),ABS(Resultados!BI38),ABS(Resultados!BS38),ABS(Resultados!CC38),ABS(Resultados!CM38),ABS(Resultados!CW38),ABS(Resultados!DG38))/SQRT(COUNT(Resultados!A38,Resultados!K38,Resultados!U38,Resultados!AE38,Resultados!AO38,Resultados!AY38,Resultados!BI38,Resultados!BS38,Resultados!CC38,Resultados!CM38,Resultados!CW38,Resultados!DG38)))</f>
        <v>0</v>
      </c>
      <c r="B38" t="str">
        <f>IF(COUNT(Resultados!B38,Resultados!L38,Resultados!V38,Resultados!AF38,Resultados!AP38,Resultados!AZ38,Resultados!BJ38,Resultados!BT38,Resultados!CD38,Resultados!CN38,Resultados!CX38,Resultados!DH38)&lt;=1, "", _xlfn.STDEV.S(ABS(Resultados!B38),ABS(Resultados!L38),ABS(Resultados!V38),ABS(Resultados!AF38),ABS(Resultados!AP38),ABS(Resultados!AZ38),ABS(Resultados!BJ38),ABS(Resultados!BT38),ABS(Resultados!CD38),ABS(Resultados!CN38),ABS(Resultados!CX38),ABS(Resultados!DH38))/SQRT(COUNT(Resultados!B38,Resultados!L38,Resultados!V38,Resultados!AF38,Resultados!AP38,Resultados!AZ38,Resultados!BJ38,Resultados!BT38,Resultados!CD38,Resultados!CN38,Resultados!CX38,Resultados!DH38)))</f>
        <v/>
      </c>
      <c r="C38">
        <f>IF(COUNT(Resultados!C38,Resultados!M38,Resultados!W38,Resultados!AG38,Resultados!AQ38,Resultados!BA38,Resultados!BK38,Resultados!BU38,Resultados!CE38,Resultados!CO38,Resultados!CY38,Resultados!DI38)&lt;=1, "", _xlfn.STDEV.S(ABS(Resultados!C38),ABS(Resultados!M38),ABS(Resultados!W38),ABS(Resultados!AG38),ABS(Resultados!AQ38),ABS(Resultados!BA38),ABS(Resultados!BK38),ABS(Resultados!BU38),ABS(Resultados!CE38),ABS(Resultados!CO38),ABS(Resultados!CY38),ABS(Resultados!DI38))/SQRT(COUNT(Resultados!C38,Resultados!M38,Resultados!W38,Resultados!AG38,Resultados!AQ38,Resultados!BA38,Resultados!BK38,Resultados!BU38,Resultados!CE38,Resultados!CO38,Resultados!CY38,Resultados!DI38)))</f>
        <v>0.45156853457049168</v>
      </c>
      <c r="D38">
        <f>IF(COUNT(Resultados!D38,Resultados!N38,Resultados!X38,Resultados!AH38,Resultados!AR38,Resultados!BB38,Resultados!BL38,Resultados!BV38,Resultados!CF38,Resultados!CP38,Resultados!CZ38,Resultados!DJ38)&lt;=1, "", _xlfn.STDEV.S(ABS(Resultados!D38),ABS(Resultados!N38),ABS(Resultados!X38),ABS(Resultados!AH38),ABS(Resultados!AR38),ABS(Resultados!BB38),ABS(Resultados!BL38),ABS(Resultados!BV38),ABS(Resultados!CF38),ABS(Resultados!CP38),ABS(Resultados!CZ38),ABS(Resultados!DJ38))/SQRT(COUNT(Resultados!D38,Resultados!N38,Resultados!X38,Resultados!AH38,Resultados!AR38,Resultados!BB38,Resultados!BL38,Resultados!BV38,Resultados!CF38,Resultados!CP38,Resultados!CZ38,Resultados!DJ38)))</f>
        <v>1.2918426077631613E-3</v>
      </c>
      <c r="E38">
        <f>IF(COUNT(Resultados!E38,Resultados!O38,Resultados!Y38,Resultados!AI38,Resultados!AS38,Resultados!BC38,Resultados!BM38,Resultados!BW38,Resultados!CG38,Resultados!CQ38,Resultados!DA38,Resultados!DK38)&lt;=1, "", _xlfn.STDEV.S(ABS(Resultados!E38),ABS(Resultados!O38),ABS(Resultados!Y38),ABS(Resultados!AI38),ABS(Resultados!AS38),ABS(Resultados!BC38),ABS(Resultados!BM38),ABS(Resultados!BW38),ABS(Resultados!CG38),ABS(Resultados!CQ38),ABS(Resultados!DA38),ABS(Resultados!DK38))/SQRT(COUNT(Resultados!E38,Resultados!O38,Resultados!Y38,Resultados!AI38,Resultados!AS38,Resultados!BC38,Resultados!BM38,Resultados!BW38,Resultados!CG38,Resultados!CQ38,Resultados!DA38,Resultados!DK38)))</f>
        <v>9.262299486649947E-2</v>
      </c>
      <c r="F38">
        <f>IF(COUNT(Resultados!F38,Resultados!P38,Resultados!Z38,Resultados!AJ38,Resultados!AT38,Resultados!BD38,Resultados!BN38,Resultados!BX38,Resultados!CH38,Resultados!CR38,Resultados!DB38,Resultados!DL38)&lt;=1, "", _xlfn.STDEV.S(ABS(Resultados!F38),ABS(Resultados!P38),ABS(Resultados!Z38),ABS(Resultados!AJ38),ABS(Resultados!AT38),ABS(Resultados!BD38),ABS(Resultados!BN38),ABS(Resultados!BX38),ABS(Resultados!CH38),ABS(Resultados!CR38),ABS(Resultados!DB38),ABS(Resultados!DL38))/SQRT(COUNT(Resultados!F38,Resultados!P38,Resultados!Z38,Resultados!AJ38,Resultados!AT38,Resultados!BD38,Resultados!BN38,Resultados!BX38,Resultados!CH38,Resultados!CR38,Resultados!DB38,Resultados!DL38)))</f>
        <v>8.6324631215577519</v>
      </c>
      <c r="G38">
        <f>IF(COUNT(Resultados!G38,Resultados!Q38,Resultados!AA38,Resultados!AK38,Resultados!AU38,Resultados!BE38,Resultados!BO38,Resultados!BY38,Resultados!CI38,Resultados!CS38,Resultados!DC38,Resultados!DM38)&lt;=1, "", _xlfn.STDEV.S(ABS(Resultados!G38),ABS(Resultados!Q38),ABS(Resultados!AA38),ABS(Resultados!AK38),ABS(Resultados!AU38),ABS(Resultados!BE38),ABS(Resultados!BO38),ABS(Resultados!BY38),ABS(Resultados!CI38),ABS(Resultados!CS38),ABS(Resultados!DC38),ABS(Resultados!DM38))/SQRT(COUNT(Resultados!G38,Resultados!Q38,Resultados!AA38,Resultados!AK38,Resultados!AU38,Resultados!BE38,Resultados!BO38,Resultados!BY38,Resultados!CI38,Resultados!CS38,Resultados!DC38,Resultados!DM38)))</f>
        <v>3.3474483693592253E-17</v>
      </c>
      <c r="H38">
        <f>IF(COUNT(Resultados!H38,Resultados!R38,Resultados!AB38,Resultados!AL38,Resultados!AV38,Resultados!BF38,Resultados!BP38,Resultados!BZ38,Resultados!CJ38,Resultados!CT38,Resultados!DD38,Resultados!DN38)&lt;=1, "", _xlfn.STDEV.S(ABS(Resultados!H38),ABS(Resultados!R38),ABS(Resultados!AB38),ABS(Resultados!AL38),ABS(Resultados!AV38),ABS(Resultados!BF38),ABS(Resultados!BP38),ABS(Resultados!BZ38),ABS(Resultados!CJ38),ABS(Resultados!CT38),ABS(Resultados!DD38),ABS(Resultados!DN38))/SQRT(COUNT(Resultados!H38,Resultados!R38,Resultados!AB38,Resultados!AL38,Resultados!AV38,Resultados!BF38,Resultados!BP38,Resultados!BZ38,Resultados!CJ38,Resultados!CT38,Resultados!DD38,Resultados!DN38)))</f>
        <v>1.4397670967657556E-3</v>
      </c>
      <c r="I38">
        <f>IF(COUNT(Resultados!I38,Resultados!S38,Resultados!AC38,Resultados!AM38,Resultados!AW38,Resultados!BG38,Resultados!BQ38,Resultados!CA38,Resultados!CK38,Resultados!CU38,Resultados!DE38,Resultados!DO38)&lt;=1, "", _xlfn.STDEV.S(ABS(Resultados!I38),ABS(Resultados!S38),ABS(Resultados!AC38),ABS(Resultados!AM38),ABS(Resultados!AW38),ABS(Resultados!BG38),ABS(Resultados!BQ38),ABS(Resultados!CA38),ABS(Resultados!CK38),ABS(Resultados!CU38),ABS(Resultados!DE38),ABS(Resultados!DO38))/SQRT(COUNT(Resultados!I38,Resultados!S38,Resultados!AC38,Resultados!AM38,Resultados!AW38,Resultados!BG38,Resultados!BQ38,Resultados!CA38,Resultados!CK38,Resultados!CU38,Resultados!DE38,Resultados!DO38)))</f>
        <v>3.3389336084165132E-2</v>
      </c>
      <c r="J38">
        <f>IF(COUNT(Resultados!J38,Resultados!T38,Resultados!AD38,Resultados!AN38,Resultados!AX38,Resultados!BH38,Resultados!BR38,Resultados!CB38,Resultados!CL38,Resultados!CV38,Resultados!DF38,Resultados!DP38)&lt;=1, "", _xlfn.STDEV.S(ABS(Resultados!J38),ABS(Resultados!T38),ABS(Resultados!AD38),ABS(Resultados!AN38),ABS(Resultados!AX38),ABS(Resultados!BH38),ABS(Resultados!BR38),ABS(Resultados!CB38),ABS(Resultados!CL38),ABS(Resultados!CV38),ABS(Resultados!DF38),ABS(Resultados!DP38))/SQRT(COUNT(Resultados!J38,Resultados!T38,Resultados!AD38,Resultados!AN38,Resultados!AX38,Resultados!BH38,Resultados!BR38,Resultados!CB38,Resultados!CL38,Resultados!CV38,Resultados!DF38,Resultados!DP38)))</f>
        <v>1.4397670967657556E-3</v>
      </c>
    </row>
    <row r="39" spans="1:10" x14ac:dyDescent="0.3">
      <c r="A39">
        <f>IF(COUNT(Resultados!A39,Resultados!K39,Resultados!U39,Resultados!AE39,Resultados!AO39,Resultados!AY39,Resultados!BI39,Resultados!BS39,Resultados!CC39,Resultados!CM39,Resultados!CW39,Resultados!DG39)&lt;=1, "", _xlfn.STDEV.S(ABS(Resultados!A39),ABS(Resultados!K39),ABS(Resultados!U39),ABS(Resultados!AE39),ABS(Resultados!AO39),ABS(Resultados!AY39),ABS(Resultados!BI39),ABS(Resultados!BS39),ABS(Resultados!CC39),ABS(Resultados!CM39),ABS(Resultados!CW39),ABS(Resultados!DG39))/SQRT(COUNT(Resultados!A39,Resultados!K39,Resultados!U39,Resultados!AE39,Resultados!AO39,Resultados!AY39,Resultados!BI39,Resultados!BS39,Resultados!CC39,Resultados!CM39,Resultados!CW39,Resultados!DG39)))</f>
        <v>0</v>
      </c>
      <c r="B39" t="str">
        <f>IF(COUNT(Resultados!B39,Resultados!L39,Resultados!V39,Resultados!AF39,Resultados!AP39,Resultados!AZ39,Resultados!BJ39,Resultados!BT39,Resultados!CD39,Resultados!CN39,Resultados!CX39,Resultados!DH39)&lt;=1, "", _xlfn.STDEV.S(ABS(Resultados!B39),ABS(Resultados!L39),ABS(Resultados!V39),ABS(Resultados!AF39),ABS(Resultados!AP39),ABS(Resultados!AZ39),ABS(Resultados!BJ39),ABS(Resultados!BT39),ABS(Resultados!CD39),ABS(Resultados!CN39),ABS(Resultados!CX39),ABS(Resultados!DH39))/SQRT(COUNT(Resultados!B39,Resultados!L39,Resultados!V39,Resultados!AF39,Resultados!AP39,Resultados!AZ39,Resultados!BJ39,Resultados!BT39,Resultados!CD39,Resultados!CN39,Resultados!CX39,Resultados!DH39)))</f>
        <v/>
      </c>
      <c r="C39">
        <f>IF(COUNT(Resultados!C39,Resultados!M39,Resultados!W39,Resultados!AG39,Resultados!AQ39,Resultados!BA39,Resultados!BK39,Resultados!BU39,Resultados!CE39,Resultados!CO39,Resultados!CY39,Resultados!DI39)&lt;=1, "", _xlfn.STDEV.S(ABS(Resultados!C39),ABS(Resultados!M39),ABS(Resultados!W39),ABS(Resultados!AG39),ABS(Resultados!AQ39),ABS(Resultados!BA39),ABS(Resultados!BK39),ABS(Resultados!BU39),ABS(Resultados!CE39),ABS(Resultados!CO39),ABS(Resultados!CY39),ABS(Resultados!DI39))/SQRT(COUNT(Resultados!C39,Resultados!M39,Resultados!W39,Resultados!AG39,Resultados!AQ39,Resultados!BA39,Resultados!BK39,Resultados!BU39,Resultados!CE39,Resultados!CO39,Resultados!CY39,Resultados!DI39)))</f>
        <v>0.45156853457049168</v>
      </c>
      <c r="D39">
        <f>IF(COUNT(Resultados!D39,Resultados!N39,Resultados!X39,Resultados!AH39,Resultados!AR39,Resultados!BB39,Resultados!BL39,Resultados!BV39,Resultados!CF39,Resultados!CP39,Resultados!CZ39,Resultados!DJ39)&lt;=1, "", _xlfn.STDEV.S(ABS(Resultados!D39),ABS(Resultados!N39),ABS(Resultados!X39),ABS(Resultados!AH39),ABS(Resultados!AR39),ABS(Resultados!BB39),ABS(Resultados!BL39),ABS(Resultados!BV39),ABS(Resultados!CF39),ABS(Resultados!CP39),ABS(Resultados!CZ39),ABS(Resultados!DJ39))/SQRT(COUNT(Resultados!D39,Resultados!N39,Resultados!X39,Resultados!AH39,Resultados!AR39,Resultados!BB39,Resultados!BL39,Resultados!BV39,Resultados!CF39,Resultados!CP39,Resultados!CZ39,Resultados!DJ39)))</f>
        <v>1.327227972470853E-3</v>
      </c>
      <c r="E39">
        <f>IF(COUNT(Resultados!E39,Resultados!O39,Resultados!Y39,Resultados!AI39,Resultados!AS39,Resultados!BC39,Resultados!BM39,Resultados!BW39,Resultados!CG39,Resultados!CQ39,Resultados!DA39,Resultados!DK39)&lt;=1, "", _xlfn.STDEV.S(ABS(Resultados!E39),ABS(Resultados!O39),ABS(Resultados!Y39),ABS(Resultados!AI39),ABS(Resultados!AS39),ABS(Resultados!BC39),ABS(Resultados!BM39),ABS(Resultados!BW39),ABS(Resultados!CG39),ABS(Resultados!CQ39),ABS(Resultados!DA39),ABS(Resultados!DK39))/SQRT(COUNT(Resultados!E39,Resultados!O39,Resultados!Y39,Resultados!AI39,Resultados!AS39,Resultados!BC39,Resultados!BM39,Resultados!BW39,Resultados!CG39,Resultados!CQ39,Resultados!DA39,Resultados!DK39)))</f>
        <v>8.7274054090242192E-2</v>
      </c>
      <c r="F39">
        <f>IF(COUNT(Resultados!F39,Resultados!P39,Resultados!Z39,Resultados!AJ39,Resultados!AT39,Resultados!BD39,Resultados!BN39,Resultados!BX39,Resultados!CH39,Resultados!CR39,Resultados!DB39,Resultados!DL39)&lt;=1, "", _xlfn.STDEV.S(ABS(Resultados!F39),ABS(Resultados!P39),ABS(Resultados!Z39),ABS(Resultados!AJ39),ABS(Resultados!AT39),ABS(Resultados!BD39),ABS(Resultados!BN39),ABS(Resultados!BX39),ABS(Resultados!CH39),ABS(Resultados!CR39),ABS(Resultados!DB39),ABS(Resultados!DL39))/SQRT(COUNT(Resultados!F39,Resultados!P39,Resultados!Z39,Resultados!AJ39,Resultados!AT39,Resultados!BD39,Resultados!BN39,Resultados!BX39,Resultados!CH39,Resultados!CR39,Resultados!DB39,Resultados!DL39)))</f>
        <v>8.1339418412105751</v>
      </c>
      <c r="G39">
        <f>IF(COUNT(Resultados!G39,Resultados!Q39,Resultados!AA39,Resultados!AK39,Resultados!AU39,Resultados!BE39,Resultados!BO39,Resultados!BY39,Resultados!CI39,Resultados!CS39,Resultados!DC39,Resultados!DM39)&lt;=1, "", _xlfn.STDEV.S(ABS(Resultados!G39),ABS(Resultados!Q39),ABS(Resultados!AA39),ABS(Resultados!AK39),ABS(Resultados!AU39),ABS(Resultados!BE39),ABS(Resultados!BO39),ABS(Resultados!BY39),ABS(Resultados!CI39),ABS(Resultados!CS39),ABS(Resultados!DC39),ABS(Resultados!DM39))/SQRT(COUNT(Resultados!G39,Resultados!Q39,Resultados!AA39,Resultados!AK39,Resultados!AU39,Resultados!BE39,Resultados!BO39,Resultados!BY39,Resultados!CI39,Resultados!CS39,Resultados!DC39,Resultados!DM39)))</f>
        <v>3.3474483693592253E-17</v>
      </c>
      <c r="H39">
        <f>IF(COUNT(Resultados!H39,Resultados!R39,Resultados!AB39,Resultados!AL39,Resultados!AV39,Resultados!BF39,Resultados!BP39,Resultados!BZ39,Resultados!CJ39,Resultados!CT39,Resultados!DD39,Resultados!DN39)&lt;=1, "", _xlfn.STDEV.S(ABS(Resultados!H39),ABS(Resultados!R39),ABS(Resultados!AB39),ABS(Resultados!AL39),ABS(Resultados!AV39),ABS(Resultados!BF39),ABS(Resultados!BP39),ABS(Resultados!BZ39),ABS(Resultados!CJ39),ABS(Resultados!CT39),ABS(Resultados!DD39),ABS(Resultados!DN39))/SQRT(COUNT(Resultados!H39,Resultados!R39,Resultados!AB39,Resultados!AL39,Resultados!AV39,Resultados!BF39,Resultados!BP39,Resultados!BZ39,Resultados!CJ39,Resultados!CT39,Resultados!DD39,Resultados!DN39)))</f>
        <v>1.3626696910361983E-3</v>
      </c>
      <c r="I39">
        <f>IF(COUNT(Resultados!I39,Resultados!S39,Resultados!AC39,Resultados!AM39,Resultados!AW39,Resultados!BG39,Resultados!BQ39,Resultados!CA39,Resultados!CK39,Resultados!CU39,Resultados!DE39,Resultados!DO39)&lt;=1, "", _xlfn.STDEV.S(ABS(Resultados!I39),ABS(Resultados!S39),ABS(Resultados!AC39),ABS(Resultados!AM39),ABS(Resultados!AW39),ABS(Resultados!BG39),ABS(Resultados!BQ39),ABS(Resultados!CA39),ABS(Resultados!CK39),ABS(Resultados!CU39),ABS(Resultados!DE39),ABS(Resultados!DO39))/SQRT(COUNT(Resultados!I39,Resultados!S39,Resultados!AC39,Resultados!AM39,Resultados!AW39,Resultados!BG39,Resultados!BQ39,Resultados!CA39,Resultados!CK39,Resultados!CU39,Resultados!DE39,Resultados!DO39)))</f>
        <v>3.3470571684335489E-2</v>
      </c>
      <c r="J39">
        <f>IF(COUNT(Resultados!J39,Resultados!T39,Resultados!AD39,Resultados!AN39,Resultados!AX39,Resultados!BH39,Resultados!BR39,Resultados!CB39,Resultados!CL39,Resultados!CV39,Resultados!DF39,Resultados!DP39)&lt;=1, "", _xlfn.STDEV.S(ABS(Resultados!J39),ABS(Resultados!T39),ABS(Resultados!AD39),ABS(Resultados!AN39),ABS(Resultados!AX39),ABS(Resultados!BH39),ABS(Resultados!BR39),ABS(Resultados!CB39),ABS(Resultados!CL39),ABS(Resultados!CV39),ABS(Resultados!DF39),ABS(Resultados!DP39))/SQRT(COUNT(Resultados!J39,Resultados!T39,Resultados!AD39,Resultados!AN39,Resultados!AX39,Resultados!BH39,Resultados!BR39,Resultados!CB39,Resultados!CL39,Resultados!CV39,Resultados!DF39,Resultados!DP39)))</f>
        <v>1.3626696910361983E-3</v>
      </c>
    </row>
    <row r="40" spans="1:10" x14ac:dyDescent="0.3">
      <c r="A40">
        <f>IF(COUNT(Resultados!A40,Resultados!K40,Resultados!U40,Resultados!AE40,Resultados!AO40,Resultados!AY40,Resultados!BI40,Resultados!BS40,Resultados!CC40,Resultados!CM40,Resultados!CW40,Resultados!DG40)&lt;=1, "", _xlfn.STDEV.S(ABS(Resultados!A40),ABS(Resultados!K40),ABS(Resultados!U40),ABS(Resultados!AE40),ABS(Resultados!AO40),ABS(Resultados!AY40),ABS(Resultados!BI40),ABS(Resultados!BS40),ABS(Resultados!CC40),ABS(Resultados!CM40),ABS(Resultados!CW40),ABS(Resultados!DG40))/SQRT(COUNT(Resultados!A40,Resultados!K40,Resultados!U40,Resultados!AE40,Resultados!AO40,Resultados!AY40,Resultados!BI40,Resultados!BS40,Resultados!CC40,Resultados!CM40,Resultados!CW40,Resultados!DG40)))</f>
        <v>0</v>
      </c>
      <c r="B40" t="str">
        <f>IF(COUNT(Resultados!B40,Resultados!L40,Resultados!V40,Resultados!AF40,Resultados!AP40,Resultados!AZ40,Resultados!BJ40,Resultados!BT40,Resultados!CD40,Resultados!CN40,Resultados!CX40,Resultados!DH40)&lt;=1, "", _xlfn.STDEV.S(ABS(Resultados!B40),ABS(Resultados!L40),ABS(Resultados!V40),ABS(Resultados!AF40),ABS(Resultados!AP40),ABS(Resultados!AZ40),ABS(Resultados!BJ40),ABS(Resultados!BT40),ABS(Resultados!CD40),ABS(Resultados!CN40),ABS(Resultados!CX40),ABS(Resultados!DH40))/SQRT(COUNT(Resultados!B40,Resultados!L40,Resultados!V40,Resultados!AF40,Resultados!AP40,Resultados!AZ40,Resultados!BJ40,Resultados!BT40,Resultados!CD40,Resultados!CN40,Resultados!CX40,Resultados!DH40)))</f>
        <v/>
      </c>
      <c r="C40">
        <f>IF(COUNT(Resultados!C40,Resultados!M40,Resultados!W40,Resultados!AG40,Resultados!AQ40,Resultados!BA40,Resultados!BK40,Resultados!BU40,Resultados!CE40,Resultados!CO40,Resultados!CY40,Resultados!DI40)&lt;=1, "", _xlfn.STDEV.S(ABS(Resultados!C40),ABS(Resultados!M40),ABS(Resultados!W40),ABS(Resultados!AG40),ABS(Resultados!AQ40),ABS(Resultados!BA40),ABS(Resultados!BK40),ABS(Resultados!BU40),ABS(Resultados!CE40),ABS(Resultados!CO40),ABS(Resultados!CY40),ABS(Resultados!DI40))/SQRT(COUNT(Resultados!C40,Resultados!M40,Resultados!W40,Resultados!AG40,Resultados!AQ40,Resultados!BA40,Resultados!BK40,Resultados!BU40,Resultados!CE40,Resultados!CO40,Resultados!CY40,Resultados!DI40)))</f>
        <v>0.45156853457049168</v>
      </c>
      <c r="D40">
        <f>IF(COUNT(Resultados!D40,Resultados!N40,Resultados!X40,Resultados!AH40,Resultados!AR40,Resultados!BB40,Resultados!BL40,Resultados!BV40,Resultados!CF40,Resultados!CP40,Resultados!CZ40,Resultados!DJ40)&lt;=1, "", _xlfn.STDEV.S(ABS(Resultados!D40),ABS(Resultados!N40),ABS(Resultados!X40),ABS(Resultados!AH40),ABS(Resultados!AR40),ABS(Resultados!BB40),ABS(Resultados!BL40),ABS(Resultados!BV40),ABS(Resultados!CF40),ABS(Resultados!CP40),ABS(Resultados!CZ40),ABS(Resultados!DJ40))/SQRT(COUNT(Resultados!D40,Resultados!N40,Resultados!X40,Resultados!AH40,Resultados!AR40,Resultados!BB40,Resultados!BL40,Resultados!BV40,Resultados!CF40,Resultados!CP40,Resultados!CZ40,Resultados!DJ40)))</f>
        <v>1.3357742808172838E-3</v>
      </c>
      <c r="E40">
        <f>IF(COUNT(Resultados!E40,Resultados!O40,Resultados!Y40,Resultados!AI40,Resultados!AS40,Resultados!BC40,Resultados!BM40,Resultados!BW40,Resultados!CG40,Resultados!CQ40,Resultados!DA40,Resultados!DK40)&lt;=1, "", _xlfn.STDEV.S(ABS(Resultados!E40),ABS(Resultados!O40),ABS(Resultados!Y40),ABS(Resultados!AI40),ABS(Resultados!AS40),ABS(Resultados!BC40),ABS(Resultados!BM40),ABS(Resultados!BW40),ABS(Resultados!CG40),ABS(Resultados!CQ40),ABS(Resultados!DA40),ABS(Resultados!DK40))/SQRT(COUNT(Resultados!E40,Resultados!O40,Resultados!Y40,Resultados!AI40,Resultados!AS40,Resultados!BC40,Resultados!BM40,Resultados!BW40,Resultados!CG40,Resultados!CQ40,Resultados!DA40,Resultados!DK40)))</f>
        <v>7.99967532907572E-2</v>
      </c>
      <c r="F40">
        <f>IF(COUNT(Resultados!F40,Resultados!P40,Resultados!Z40,Resultados!AJ40,Resultados!AT40,Resultados!BD40,Resultados!BN40,Resultados!BX40,Resultados!CH40,Resultados!CR40,Resultados!DB40,Resultados!DL40)&lt;=1, "", _xlfn.STDEV.S(ABS(Resultados!F40),ABS(Resultados!P40),ABS(Resultados!Z40),ABS(Resultados!AJ40),ABS(Resultados!AT40),ABS(Resultados!BD40),ABS(Resultados!BN40),ABS(Resultados!BX40),ABS(Resultados!CH40),ABS(Resultados!CR40),ABS(Resultados!DB40),ABS(Resultados!DL40))/SQRT(COUNT(Resultados!F40,Resultados!P40,Resultados!Z40,Resultados!AJ40,Resultados!AT40,Resultados!BD40,Resultados!BN40,Resultados!BX40,Resultados!CH40,Resultados!CR40,Resultados!DB40,Resultados!DL40)))</f>
        <v>7.4556974066985724</v>
      </c>
      <c r="G40">
        <f>IF(COUNT(Resultados!G40,Resultados!Q40,Resultados!AA40,Resultados!AK40,Resultados!AU40,Resultados!BE40,Resultados!BO40,Resultados!BY40,Resultados!CI40,Resultados!CS40,Resultados!DC40,Resultados!DM40)&lt;=1, "", _xlfn.STDEV.S(ABS(Resultados!G40),ABS(Resultados!Q40),ABS(Resultados!AA40),ABS(Resultados!AK40),ABS(Resultados!AU40),ABS(Resultados!BE40),ABS(Resultados!BO40),ABS(Resultados!BY40),ABS(Resultados!CI40),ABS(Resultados!CS40),ABS(Resultados!DC40),ABS(Resultados!DM40))/SQRT(COUNT(Resultados!G40,Resultados!Q40,Resultados!AA40,Resultados!AK40,Resultados!AU40,Resultados!BE40,Resultados!BO40,Resultados!BY40,Resultados!CI40,Resultados!CS40,Resultados!DC40,Resultados!DM40)))</f>
        <v>3.3474483693592253E-17</v>
      </c>
      <c r="H40">
        <f>IF(COUNT(Resultados!H40,Resultados!R40,Resultados!AB40,Resultados!AL40,Resultados!AV40,Resultados!BF40,Resultados!BP40,Resultados!BZ40,Resultados!CJ40,Resultados!CT40,Resultados!DD40,Resultados!DN40)&lt;=1, "", _xlfn.STDEV.S(ABS(Resultados!H40),ABS(Resultados!R40),ABS(Resultados!AB40),ABS(Resultados!AL40),ABS(Resultados!AV40),ABS(Resultados!BF40),ABS(Resultados!BP40),ABS(Resultados!BZ40),ABS(Resultados!CJ40),ABS(Resultados!CT40),ABS(Resultados!DD40),ABS(Resultados!DN40))/SQRT(COUNT(Resultados!H40,Resultados!R40,Resultados!AB40,Resultados!AL40,Resultados!AV40,Resultados!BF40,Resultados!BP40,Resultados!BZ40,Resultados!CJ40,Resultados!CT40,Resultados!DD40,Resultados!DN40)))</f>
        <v>1.2421267197346602E-3</v>
      </c>
      <c r="I40">
        <f>IF(COUNT(Resultados!I40,Resultados!S40,Resultados!AC40,Resultados!AM40,Resultados!AW40,Resultados!BG40,Resultados!BQ40,Resultados!CA40,Resultados!CK40,Resultados!CU40,Resultados!DE40,Resultados!DO40)&lt;=1, "", _xlfn.STDEV.S(ABS(Resultados!I40),ABS(Resultados!S40),ABS(Resultados!AC40),ABS(Resultados!AM40),ABS(Resultados!AW40),ABS(Resultados!BG40),ABS(Resultados!BQ40),ABS(Resultados!CA40),ABS(Resultados!CK40),ABS(Resultados!CU40),ABS(Resultados!DE40),ABS(Resultados!DO40))/SQRT(COUNT(Resultados!I40,Resultados!S40,Resultados!AC40,Resultados!AM40,Resultados!AW40,Resultados!BG40,Resultados!BQ40,Resultados!CA40,Resultados!CK40,Resultados!CU40,Resultados!DE40,Resultados!DO40)))</f>
        <v>3.3420544779878082E-2</v>
      </c>
      <c r="J40">
        <f>IF(COUNT(Resultados!J40,Resultados!T40,Resultados!AD40,Resultados!AN40,Resultados!AX40,Resultados!BH40,Resultados!BR40,Resultados!CB40,Resultados!CL40,Resultados!CV40,Resultados!DF40,Resultados!DP40)&lt;=1, "", _xlfn.STDEV.S(ABS(Resultados!J40),ABS(Resultados!T40),ABS(Resultados!AD40),ABS(Resultados!AN40),ABS(Resultados!AX40),ABS(Resultados!BH40),ABS(Resultados!BR40),ABS(Resultados!CB40),ABS(Resultados!CL40),ABS(Resultados!CV40),ABS(Resultados!DF40),ABS(Resultados!DP40))/SQRT(COUNT(Resultados!J40,Resultados!T40,Resultados!AD40,Resultados!AN40,Resultados!AX40,Resultados!BH40,Resultados!BR40,Resultados!CB40,Resultados!CL40,Resultados!CV40,Resultados!DF40,Resultados!DP40)))</f>
        <v>1.2421267197346602E-3</v>
      </c>
    </row>
    <row r="41" spans="1:10" x14ac:dyDescent="0.3">
      <c r="A41">
        <f>IF(COUNT(Resultados!A41,Resultados!K41,Resultados!U41,Resultados!AE41,Resultados!AO41,Resultados!AY41,Resultados!BI41,Resultados!BS41,Resultados!CC41,Resultados!CM41,Resultados!CW41,Resultados!DG41)&lt;=1, "", _xlfn.STDEV.S(ABS(Resultados!A41),ABS(Resultados!K41),ABS(Resultados!U41),ABS(Resultados!AE41),ABS(Resultados!AO41),ABS(Resultados!AY41),ABS(Resultados!BI41),ABS(Resultados!BS41),ABS(Resultados!CC41),ABS(Resultados!CM41),ABS(Resultados!CW41),ABS(Resultados!DG41))/SQRT(COUNT(Resultados!A41,Resultados!K41,Resultados!U41,Resultados!AE41,Resultados!AO41,Resultados!AY41,Resultados!BI41,Resultados!BS41,Resultados!CC41,Resultados!CM41,Resultados!CW41,Resultados!DG41)))</f>
        <v>0</v>
      </c>
      <c r="B41" t="str">
        <f>IF(COUNT(Resultados!B41,Resultados!L41,Resultados!V41,Resultados!AF41,Resultados!AP41,Resultados!AZ41,Resultados!BJ41,Resultados!BT41,Resultados!CD41,Resultados!CN41,Resultados!CX41,Resultados!DH41)&lt;=1, "", _xlfn.STDEV.S(ABS(Resultados!B41),ABS(Resultados!L41),ABS(Resultados!V41),ABS(Resultados!AF41),ABS(Resultados!AP41),ABS(Resultados!AZ41),ABS(Resultados!BJ41),ABS(Resultados!BT41),ABS(Resultados!CD41),ABS(Resultados!CN41),ABS(Resultados!CX41),ABS(Resultados!DH41))/SQRT(COUNT(Resultados!B41,Resultados!L41,Resultados!V41,Resultados!AF41,Resultados!AP41,Resultados!AZ41,Resultados!BJ41,Resultados!BT41,Resultados!CD41,Resultados!CN41,Resultados!CX41,Resultados!DH41)))</f>
        <v/>
      </c>
      <c r="C41">
        <f>IF(COUNT(Resultados!C41,Resultados!M41,Resultados!W41,Resultados!AG41,Resultados!AQ41,Resultados!BA41,Resultados!BK41,Resultados!BU41,Resultados!CE41,Resultados!CO41,Resultados!CY41,Resultados!DI41)&lt;=1, "", _xlfn.STDEV.S(ABS(Resultados!C41),ABS(Resultados!M41),ABS(Resultados!W41),ABS(Resultados!AG41),ABS(Resultados!AQ41),ABS(Resultados!BA41),ABS(Resultados!BK41),ABS(Resultados!BU41),ABS(Resultados!CE41),ABS(Resultados!CO41),ABS(Resultados!CY41),ABS(Resultados!DI41))/SQRT(COUNT(Resultados!C41,Resultados!M41,Resultados!W41,Resultados!AG41,Resultados!AQ41,Resultados!BA41,Resultados!BK41,Resultados!BU41,Resultados!CE41,Resultados!CO41,Resultados!CY41,Resultados!DI41)))</f>
        <v>0.45156853457049168</v>
      </c>
      <c r="D41">
        <f>IF(COUNT(Resultados!D41,Resultados!N41,Resultados!X41,Resultados!AH41,Resultados!AR41,Resultados!BB41,Resultados!BL41,Resultados!BV41,Resultados!CF41,Resultados!CP41,Resultados!CZ41,Resultados!DJ41)&lt;=1, "", _xlfn.STDEV.S(ABS(Resultados!D41),ABS(Resultados!N41),ABS(Resultados!X41),ABS(Resultados!AH41),ABS(Resultados!AR41),ABS(Resultados!BB41),ABS(Resultados!BL41),ABS(Resultados!BV41),ABS(Resultados!CF41),ABS(Resultados!CP41),ABS(Resultados!CZ41),ABS(Resultados!DJ41))/SQRT(COUNT(Resultados!D41,Resultados!N41,Resultados!X41,Resultados!AH41,Resultados!AR41,Resultados!BB41,Resultados!BL41,Resultados!BV41,Resultados!CF41,Resultados!CP41,Resultados!CZ41,Resultados!DJ41)))</f>
        <v>1.2844323314762109E-3</v>
      </c>
      <c r="E41">
        <f>IF(COUNT(Resultados!E41,Resultados!O41,Resultados!Y41,Resultados!AI41,Resultados!AS41,Resultados!BC41,Resultados!BM41,Resultados!BW41,Resultados!CG41,Resultados!CQ41,Resultados!DA41,Resultados!DK41)&lt;=1, "", _xlfn.STDEV.S(ABS(Resultados!E41),ABS(Resultados!O41),ABS(Resultados!Y41),ABS(Resultados!AI41),ABS(Resultados!AS41),ABS(Resultados!BC41),ABS(Resultados!BM41),ABS(Resultados!BW41),ABS(Resultados!CG41),ABS(Resultados!CQ41),ABS(Resultados!DA41),ABS(Resultados!DK41))/SQRT(COUNT(Resultados!E41,Resultados!O41,Resultados!Y41,Resultados!AI41,Resultados!AS41,Resultados!BC41,Resultados!BM41,Resultados!BW41,Resultados!CG41,Resultados!CQ41,Resultados!DA41,Resultados!DK41)))</f>
        <v>7.0888956472060366E-2</v>
      </c>
      <c r="F41">
        <f>IF(COUNT(Resultados!F41,Resultados!P41,Resultados!Z41,Resultados!AJ41,Resultados!AT41,Resultados!BD41,Resultados!BN41,Resultados!BX41,Resultados!CH41,Resultados!CR41,Resultados!DB41,Resultados!DL41)&lt;=1, "", _xlfn.STDEV.S(ABS(Resultados!F41),ABS(Resultados!P41),ABS(Resultados!Z41),ABS(Resultados!AJ41),ABS(Resultados!AT41),ABS(Resultados!BD41),ABS(Resultados!BN41),ABS(Resultados!BX41),ABS(Resultados!CH41),ABS(Resultados!CR41),ABS(Resultados!DB41),ABS(Resultados!DL41))/SQRT(COUNT(Resultados!F41,Resultados!P41,Resultados!Z41,Resultados!AJ41,Resultados!AT41,Resultados!BD41,Resultados!BN41,Resultados!BX41,Resultados!CH41,Resultados!CR41,Resultados!DB41,Resultados!DL41)))</f>
        <v>9.9149180800630177</v>
      </c>
      <c r="G41">
        <f>IF(COUNT(Resultados!G41,Resultados!Q41,Resultados!AA41,Resultados!AK41,Resultados!AU41,Resultados!BE41,Resultados!BO41,Resultados!BY41,Resultados!CI41,Resultados!CS41,Resultados!DC41,Resultados!DM41)&lt;=1, "", _xlfn.STDEV.S(ABS(Resultados!G41),ABS(Resultados!Q41),ABS(Resultados!AA41),ABS(Resultados!AK41),ABS(Resultados!AU41),ABS(Resultados!BE41),ABS(Resultados!BO41),ABS(Resultados!BY41),ABS(Resultados!CI41),ABS(Resultados!CS41),ABS(Resultados!DC41),ABS(Resultados!DM41))/SQRT(COUNT(Resultados!G41,Resultados!Q41,Resultados!AA41,Resultados!AK41,Resultados!AU41,Resultados!BE41,Resultados!BO41,Resultados!BY41,Resultados!CI41,Resultados!CS41,Resultados!DC41,Resultados!DM41)))</f>
        <v>3.3474483693592253E-17</v>
      </c>
      <c r="H41">
        <f>IF(COUNT(Resultados!H41,Resultados!R41,Resultados!AB41,Resultados!AL41,Resultados!AV41,Resultados!BF41,Resultados!BP41,Resultados!BZ41,Resultados!CJ41,Resultados!CT41,Resultados!DD41,Resultados!DN41)&lt;=1, "", _xlfn.STDEV.S(ABS(Resultados!H41),ABS(Resultados!R41),ABS(Resultados!AB41),ABS(Resultados!AL41),ABS(Resultados!AV41),ABS(Resultados!BF41),ABS(Resultados!BP41),ABS(Resultados!BZ41),ABS(Resultados!CJ41),ABS(Resultados!CT41),ABS(Resultados!DD41),ABS(Resultados!DN41))/SQRT(COUNT(Resultados!H41,Resultados!R41,Resultados!AB41,Resultados!AL41,Resultados!AV41,Resultados!BF41,Resultados!BP41,Resultados!BZ41,Resultados!CJ41,Resultados!CT41,Resultados!DD41,Resultados!DN41)))</f>
        <v>1.1007659179228825E-3</v>
      </c>
      <c r="I41">
        <f>IF(COUNT(Resultados!I41,Resultados!S41,Resultados!AC41,Resultados!AM41,Resultados!AW41,Resultados!BG41,Resultados!BQ41,Resultados!CA41,Resultados!CK41,Resultados!CU41,Resultados!DE41,Resultados!DO41)&lt;=1, "", _xlfn.STDEV.S(ABS(Resultados!I41),ABS(Resultados!S41),ABS(Resultados!AC41),ABS(Resultados!AM41),ABS(Resultados!AW41),ABS(Resultados!BG41),ABS(Resultados!BQ41),ABS(Resultados!CA41),ABS(Resultados!CK41),ABS(Resultados!CU41),ABS(Resultados!DE41),ABS(Resultados!DO41))/SQRT(COUNT(Resultados!I41,Resultados!S41,Resultados!AC41,Resultados!AM41,Resultados!AW41,Resultados!BG41,Resultados!BQ41,Resultados!CA41,Resultados!CK41,Resultados!CU41,Resultados!DE41,Resultados!DO41)))</f>
        <v>3.3426918234055074E-2</v>
      </c>
      <c r="J41">
        <f>IF(COUNT(Resultados!J41,Resultados!T41,Resultados!AD41,Resultados!AN41,Resultados!AX41,Resultados!BH41,Resultados!BR41,Resultados!CB41,Resultados!CL41,Resultados!CV41,Resultados!DF41,Resultados!DP41)&lt;=1, "", _xlfn.STDEV.S(ABS(Resultados!J41),ABS(Resultados!T41),ABS(Resultados!AD41),ABS(Resultados!AN41),ABS(Resultados!AX41),ABS(Resultados!BH41),ABS(Resultados!BR41),ABS(Resultados!CB41),ABS(Resultados!CL41),ABS(Resultados!CV41),ABS(Resultados!DF41),ABS(Resultados!DP41))/SQRT(COUNT(Resultados!J41,Resultados!T41,Resultados!AD41,Resultados!AN41,Resultados!AX41,Resultados!BH41,Resultados!BR41,Resultados!CB41,Resultados!CL41,Resultados!CV41,Resultados!DF41,Resultados!DP41)))</f>
        <v>1.1007659179228825E-3</v>
      </c>
    </row>
    <row r="42" spans="1:10" x14ac:dyDescent="0.3">
      <c r="A42">
        <f>IF(COUNT(Resultados!A42,Resultados!K42,Resultados!U42,Resultados!AE42,Resultados!AO42,Resultados!AY42,Resultados!BI42,Resultados!BS42,Resultados!CC42,Resultados!CM42,Resultados!CW42,Resultados!DG42)&lt;=1, "", _xlfn.STDEV.S(ABS(Resultados!A42),ABS(Resultados!K42),ABS(Resultados!U42),ABS(Resultados!AE42),ABS(Resultados!AO42),ABS(Resultados!AY42),ABS(Resultados!BI42),ABS(Resultados!BS42),ABS(Resultados!CC42),ABS(Resultados!CM42),ABS(Resultados!CW42),ABS(Resultados!DG42))/SQRT(COUNT(Resultados!A42,Resultados!K42,Resultados!U42,Resultados!AE42,Resultados!AO42,Resultados!AY42,Resultados!BI42,Resultados!BS42,Resultados!CC42,Resultados!CM42,Resultados!CW42,Resultados!DG42)))</f>
        <v>0</v>
      </c>
      <c r="B42" t="str">
        <f>IF(COUNT(Resultados!B42,Resultados!L42,Resultados!V42,Resultados!AF42,Resultados!AP42,Resultados!AZ42,Resultados!BJ42,Resultados!BT42,Resultados!CD42,Resultados!CN42,Resultados!CX42,Resultados!DH42)&lt;=1, "", _xlfn.STDEV.S(ABS(Resultados!B42),ABS(Resultados!L42),ABS(Resultados!V42),ABS(Resultados!AF42),ABS(Resultados!AP42),ABS(Resultados!AZ42),ABS(Resultados!BJ42),ABS(Resultados!BT42),ABS(Resultados!CD42),ABS(Resultados!CN42),ABS(Resultados!CX42),ABS(Resultados!DH42))/SQRT(COUNT(Resultados!B42,Resultados!L42,Resultados!V42,Resultados!AF42,Resultados!AP42,Resultados!AZ42,Resultados!BJ42,Resultados!BT42,Resultados!CD42,Resultados!CN42,Resultados!CX42,Resultados!DH42)))</f>
        <v/>
      </c>
      <c r="C42">
        <f>IF(COUNT(Resultados!C42,Resultados!M42,Resultados!W42,Resultados!AG42,Resultados!AQ42,Resultados!BA42,Resultados!BK42,Resultados!BU42,Resultados!CE42,Resultados!CO42,Resultados!CY42,Resultados!DI42)&lt;=1, "", _xlfn.STDEV.S(ABS(Resultados!C42),ABS(Resultados!M42),ABS(Resultados!W42),ABS(Resultados!AG42),ABS(Resultados!AQ42),ABS(Resultados!BA42),ABS(Resultados!BK42),ABS(Resultados!BU42),ABS(Resultados!CE42),ABS(Resultados!CO42),ABS(Resultados!CY42),ABS(Resultados!DI42))/SQRT(COUNT(Resultados!C42,Resultados!M42,Resultados!W42,Resultados!AG42,Resultados!AQ42,Resultados!BA42,Resultados!BK42,Resultados!BU42,Resultados!CE42,Resultados!CO42,Resultados!CY42,Resultados!DI42)))</f>
        <v>0.45156853457049168</v>
      </c>
      <c r="D42">
        <f>IF(COUNT(Resultados!D42,Resultados!N42,Resultados!X42,Resultados!AH42,Resultados!AR42,Resultados!BB42,Resultados!BL42,Resultados!BV42,Resultados!CF42,Resultados!CP42,Resultados!CZ42,Resultados!DJ42)&lt;=1, "", _xlfn.STDEV.S(ABS(Resultados!D42),ABS(Resultados!N42),ABS(Resultados!X42),ABS(Resultados!AH42),ABS(Resultados!AR42),ABS(Resultados!BB42),ABS(Resultados!BL42),ABS(Resultados!BV42),ABS(Resultados!CF42),ABS(Resultados!CP42),ABS(Resultados!CZ42),ABS(Resultados!DJ42))/SQRT(COUNT(Resultados!D42,Resultados!N42,Resultados!X42,Resultados!AH42,Resultados!AR42,Resultados!BB42,Resultados!BL42,Resultados!BV42,Resultados!CF42,Resultados!CP42,Resultados!CZ42,Resultados!DJ42)))</f>
        <v>1.1668398139912575E-3</v>
      </c>
      <c r="E42">
        <f>IF(COUNT(Resultados!E42,Resultados!O42,Resultados!Y42,Resultados!AI42,Resultados!AS42,Resultados!BC42,Resultados!BM42,Resultados!BW42,Resultados!CG42,Resultados!CQ42,Resultados!DA42,Resultados!DK42)&lt;=1, "", _xlfn.STDEV.S(ABS(Resultados!E42),ABS(Resultados!O42),ABS(Resultados!Y42),ABS(Resultados!AI42),ABS(Resultados!AS42),ABS(Resultados!BC42),ABS(Resultados!BM42),ABS(Resultados!BW42),ABS(Resultados!CG42),ABS(Resultados!CQ42),ABS(Resultados!DA42),ABS(Resultados!DK42))/SQRT(COUNT(Resultados!E42,Resultados!O42,Resultados!Y42,Resultados!AI42,Resultados!AS42,Resultados!BC42,Resultados!BM42,Resultados!BW42,Resultados!CG42,Resultados!CQ42,Resultados!DA42,Resultados!DK42)))</f>
        <v>6.0514221503002244E-2</v>
      </c>
      <c r="F42">
        <f>IF(COUNT(Resultados!F42,Resultados!P42,Resultados!Z42,Resultados!AJ42,Resultados!AT42,Resultados!BD42,Resultados!BN42,Resultados!BX42,Resultados!CH42,Resultados!CR42,Resultados!DB42,Resultados!DL42)&lt;=1, "", _xlfn.STDEV.S(ABS(Resultados!F42),ABS(Resultados!P42),ABS(Resultados!Z42),ABS(Resultados!AJ42),ABS(Resultados!AT42),ABS(Resultados!BD42),ABS(Resultados!BN42),ABS(Resultados!BX42),ABS(Resultados!CH42),ABS(Resultados!CR42),ABS(Resultados!DB42),ABS(Resultados!DL42))/SQRT(COUNT(Resultados!F42,Resultados!P42,Resultados!Z42,Resultados!AJ42,Resultados!AT42,Resultados!BD42,Resultados!BN42,Resultados!BX42,Resultados!CH42,Resultados!CR42,Resultados!DB42,Resultados!DL42)))</f>
        <v>9.7106931329257336</v>
      </c>
      <c r="G42">
        <f>IF(COUNT(Resultados!G42,Resultados!Q42,Resultados!AA42,Resultados!AK42,Resultados!AU42,Resultados!BE42,Resultados!BO42,Resultados!BY42,Resultados!CI42,Resultados!CS42,Resultados!DC42,Resultados!DM42)&lt;=1, "", _xlfn.STDEV.S(ABS(Resultados!G42),ABS(Resultados!Q42),ABS(Resultados!AA42),ABS(Resultados!AK42),ABS(Resultados!AU42),ABS(Resultados!BE42),ABS(Resultados!BO42),ABS(Resultados!BY42),ABS(Resultados!CI42),ABS(Resultados!CS42),ABS(Resultados!DC42),ABS(Resultados!DM42))/SQRT(COUNT(Resultados!G42,Resultados!Q42,Resultados!AA42,Resultados!AK42,Resultados!AU42,Resultados!BE42,Resultados!BO42,Resultados!BY42,Resultados!CI42,Resultados!CS42,Resultados!DC42,Resultados!DM42)))</f>
        <v>3.3474483693592253E-17</v>
      </c>
      <c r="H42">
        <f>IF(COUNT(Resultados!H42,Resultados!R42,Resultados!AB42,Resultados!AL42,Resultados!AV42,Resultados!BF42,Resultados!BP42,Resultados!BZ42,Resultados!CJ42,Resultados!CT42,Resultados!DD42,Resultados!DN42)&lt;=1, "", _xlfn.STDEV.S(ABS(Resultados!H42),ABS(Resultados!R42),ABS(Resultados!AB42),ABS(Resultados!AL42),ABS(Resultados!AV42),ABS(Resultados!BF42),ABS(Resultados!BP42),ABS(Resultados!BZ42),ABS(Resultados!CJ42),ABS(Resultados!CT42),ABS(Resultados!DD42),ABS(Resultados!DN42))/SQRT(COUNT(Resultados!H42,Resultados!R42,Resultados!AB42,Resultados!AL42,Resultados!AV42,Resultados!BF42,Resultados!BP42,Resultados!BZ42,Resultados!CJ42,Resultados!CT42,Resultados!DD42,Resultados!DN42)))</f>
        <v>9.3953566868281953E-4</v>
      </c>
      <c r="I42">
        <f>IF(COUNT(Resultados!I42,Resultados!S42,Resultados!AC42,Resultados!AM42,Resultados!AW42,Resultados!BG42,Resultados!BQ42,Resultados!CA42,Resultados!CK42,Resultados!CU42,Resultados!DE42,Resultados!DO42)&lt;=1, "", _xlfn.STDEV.S(ABS(Resultados!I42),ABS(Resultados!S42),ABS(Resultados!AC42),ABS(Resultados!AM42),ABS(Resultados!AW42),ABS(Resultados!BG42),ABS(Resultados!BQ42),ABS(Resultados!CA42),ABS(Resultados!CK42),ABS(Resultados!CU42),ABS(Resultados!DE42),ABS(Resultados!DO42))/SQRT(COUNT(Resultados!I42,Resultados!S42,Resultados!AC42,Resultados!AM42,Resultados!AW42,Resultados!BG42,Resultados!BQ42,Resultados!CA42,Resultados!CK42,Resultados!CU42,Resultados!DE42,Resultados!DO42)))</f>
        <v>3.3620458946678262E-2</v>
      </c>
      <c r="J42">
        <f>IF(COUNT(Resultados!J42,Resultados!T42,Resultados!AD42,Resultados!AN42,Resultados!AX42,Resultados!BH42,Resultados!BR42,Resultados!CB42,Resultados!CL42,Resultados!CV42,Resultados!DF42,Resultados!DP42)&lt;=1, "", _xlfn.STDEV.S(ABS(Resultados!J42),ABS(Resultados!T42),ABS(Resultados!AD42),ABS(Resultados!AN42),ABS(Resultados!AX42),ABS(Resultados!BH42),ABS(Resultados!BR42),ABS(Resultados!CB42),ABS(Resultados!CL42),ABS(Resultados!CV42),ABS(Resultados!DF42),ABS(Resultados!DP42))/SQRT(COUNT(Resultados!J42,Resultados!T42,Resultados!AD42,Resultados!AN42,Resultados!AX42,Resultados!BH42,Resultados!BR42,Resultados!CB42,Resultados!CL42,Resultados!CV42,Resultados!DF42,Resultados!DP42)))</f>
        <v>9.3953566868281953E-4</v>
      </c>
    </row>
    <row r="43" spans="1:10" x14ac:dyDescent="0.3">
      <c r="A43">
        <f>IF(COUNT(Resultados!A43,Resultados!K43,Resultados!U43,Resultados!AE43,Resultados!AO43,Resultados!AY43,Resultados!BI43,Resultados!BS43,Resultados!CC43,Resultados!CM43,Resultados!CW43,Resultados!DG43)&lt;=1, "", _xlfn.STDEV.S(ABS(Resultados!A43),ABS(Resultados!K43),ABS(Resultados!U43),ABS(Resultados!AE43),ABS(Resultados!AO43),ABS(Resultados!AY43),ABS(Resultados!BI43),ABS(Resultados!BS43),ABS(Resultados!CC43),ABS(Resultados!CM43),ABS(Resultados!CW43),ABS(Resultados!DG43))/SQRT(COUNT(Resultados!A43,Resultados!K43,Resultados!U43,Resultados!AE43,Resultados!AO43,Resultados!AY43,Resultados!BI43,Resultados!BS43,Resultados!CC43,Resultados!CM43,Resultados!CW43,Resultados!DG43)))</f>
        <v>0</v>
      </c>
      <c r="B43" t="str">
        <f>IF(COUNT(Resultados!B43,Resultados!L43,Resultados!V43,Resultados!AF43,Resultados!AP43,Resultados!AZ43,Resultados!BJ43,Resultados!BT43,Resultados!CD43,Resultados!CN43,Resultados!CX43,Resultados!DH43)&lt;=1, "", _xlfn.STDEV.S(ABS(Resultados!B43),ABS(Resultados!L43),ABS(Resultados!V43),ABS(Resultados!AF43),ABS(Resultados!AP43),ABS(Resultados!AZ43),ABS(Resultados!BJ43),ABS(Resultados!BT43),ABS(Resultados!CD43),ABS(Resultados!CN43),ABS(Resultados!CX43),ABS(Resultados!DH43))/SQRT(COUNT(Resultados!B43,Resultados!L43,Resultados!V43,Resultados!AF43,Resultados!AP43,Resultados!AZ43,Resultados!BJ43,Resultados!BT43,Resultados!CD43,Resultados!CN43,Resultados!CX43,Resultados!DH43)))</f>
        <v/>
      </c>
      <c r="C43">
        <f>IF(COUNT(Resultados!C43,Resultados!M43,Resultados!W43,Resultados!AG43,Resultados!AQ43,Resultados!BA43,Resultados!BK43,Resultados!BU43,Resultados!CE43,Resultados!CO43,Resultados!CY43,Resultados!DI43)&lt;=1, "", _xlfn.STDEV.S(ABS(Resultados!C43),ABS(Resultados!M43),ABS(Resultados!W43),ABS(Resultados!AG43),ABS(Resultados!AQ43),ABS(Resultados!BA43),ABS(Resultados!BK43),ABS(Resultados!BU43),ABS(Resultados!CE43),ABS(Resultados!CO43),ABS(Resultados!CY43),ABS(Resultados!DI43))/SQRT(COUNT(Resultados!C43,Resultados!M43,Resultados!W43,Resultados!AG43,Resultados!AQ43,Resultados!BA43,Resultados!BK43,Resultados!BU43,Resultados!CE43,Resultados!CO43,Resultados!CY43,Resultados!DI43)))</f>
        <v>0.45156853457049168</v>
      </c>
      <c r="D43">
        <f>IF(COUNT(Resultados!D43,Resultados!N43,Resultados!X43,Resultados!AH43,Resultados!AR43,Resultados!BB43,Resultados!BL43,Resultados!BV43,Resultados!CF43,Resultados!CP43,Resultados!CZ43,Resultados!DJ43)&lt;=1, "", _xlfn.STDEV.S(ABS(Resultados!D43),ABS(Resultados!N43),ABS(Resultados!X43),ABS(Resultados!AH43),ABS(Resultados!AR43),ABS(Resultados!BB43),ABS(Resultados!BL43),ABS(Resultados!BV43),ABS(Resultados!CF43),ABS(Resultados!CP43),ABS(Resultados!CZ43),ABS(Resultados!DJ43))/SQRT(COUNT(Resultados!D43,Resultados!N43,Resultados!X43,Resultados!AH43,Resultados!AR43,Resultados!BB43,Resultados!BL43,Resultados!BV43,Resultados!CF43,Resultados!CP43,Resultados!CZ43,Resultados!DJ43)))</f>
        <v>1.0645901900389995E-3</v>
      </c>
      <c r="E43">
        <f>IF(COUNT(Resultados!E43,Resultados!O43,Resultados!Y43,Resultados!AI43,Resultados!AS43,Resultados!BC43,Resultados!BM43,Resultados!BW43,Resultados!CG43,Resultados!CQ43,Resultados!DA43,Resultados!DK43)&lt;=1, "", _xlfn.STDEV.S(ABS(Resultados!E43),ABS(Resultados!O43),ABS(Resultados!Y43),ABS(Resultados!AI43),ABS(Resultados!AS43),ABS(Resultados!BC43),ABS(Resultados!BM43),ABS(Resultados!BW43),ABS(Resultados!CG43),ABS(Resultados!CQ43),ABS(Resultados!DA43),ABS(Resultados!DK43))/SQRT(COUNT(Resultados!E43,Resultados!O43,Resultados!Y43,Resultados!AI43,Resultados!AS43,Resultados!BC43,Resultados!BM43,Resultados!BW43,Resultados!CG43,Resultados!CQ43,Resultados!DA43,Resultados!DK43)))</f>
        <v>4.9244398731476839E-2</v>
      </c>
      <c r="F43">
        <f>IF(COUNT(Resultados!F43,Resultados!P43,Resultados!Z43,Resultados!AJ43,Resultados!AT43,Resultados!BD43,Resultados!BN43,Resultados!BX43,Resultados!CH43,Resultados!CR43,Resultados!DB43,Resultados!DL43)&lt;=1, "", _xlfn.STDEV.S(ABS(Resultados!F43),ABS(Resultados!P43),ABS(Resultados!Z43),ABS(Resultados!AJ43),ABS(Resultados!AT43),ABS(Resultados!BD43),ABS(Resultados!BN43),ABS(Resultados!BX43),ABS(Resultados!CH43),ABS(Resultados!CR43),ABS(Resultados!DB43),ABS(Resultados!DL43))/SQRT(COUNT(Resultados!F43,Resultados!P43,Resultados!Z43,Resultados!AJ43,Resultados!AT43,Resultados!BD43,Resultados!BN43,Resultados!BX43,Resultados!CH43,Resultados!CR43,Resultados!DB43,Resultados!DL43)))</f>
        <v>12.206041729959576</v>
      </c>
      <c r="G43">
        <f>IF(COUNT(Resultados!G43,Resultados!Q43,Resultados!AA43,Resultados!AK43,Resultados!AU43,Resultados!BE43,Resultados!BO43,Resultados!BY43,Resultados!CI43,Resultados!CS43,Resultados!DC43,Resultados!DM43)&lt;=1, "", _xlfn.STDEV.S(ABS(Resultados!G43),ABS(Resultados!Q43),ABS(Resultados!AA43),ABS(Resultados!AK43),ABS(Resultados!AU43),ABS(Resultados!BE43),ABS(Resultados!BO43),ABS(Resultados!BY43),ABS(Resultados!CI43),ABS(Resultados!CS43),ABS(Resultados!DC43),ABS(Resultados!DM43))/SQRT(COUNT(Resultados!G43,Resultados!Q43,Resultados!AA43,Resultados!AK43,Resultados!AU43,Resultados!BE43,Resultados!BO43,Resultados!BY43,Resultados!CI43,Resultados!CS43,Resultados!DC43,Resultados!DM43)))</f>
        <v>3.3474483693592253E-17</v>
      </c>
      <c r="H43">
        <f>IF(COUNT(Resultados!H43,Resultados!R43,Resultados!AB43,Resultados!AL43,Resultados!AV43,Resultados!BF43,Resultados!BP43,Resultados!BZ43,Resultados!CJ43,Resultados!CT43,Resultados!DD43,Resultados!DN43)&lt;=1, "", _xlfn.STDEV.S(ABS(Resultados!H43),ABS(Resultados!R43),ABS(Resultados!AB43),ABS(Resultados!AL43),ABS(Resultados!AV43),ABS(Resultados!BF43),ABS(Resultados!BP43),ABS(Resultados!BZ43),ABS(Resultados!CJ43),ABS(Resultados!CT43),ABS(Resultados!DD43),ABS(Resultados!DN43))/SQRT(COUNT(Resultados!H43,Resultados!R43,Resultados!AB43,Resultados!AL43,Resultados!AV43,Resultados!BF43,Resultados!BP43,Resultados!BZ43,Resultados!CJ43,Resultados!CT43,Resultados!DD43,Resultados!DN43)))</f>
        <v>7.7033050758040919E-4</v>
      </c>
      <c r="I43">
        <f>IF(COUNT(Resultados!I43,Resultados!S43,Resultados!AC43,Resultados!AM43,Resultados!AW43,Resultados!BG43,Resultados!BQ43,Resultados!CA43,Resultados!CK43,Resultados!CU43,Resultados!DE43,Resultados!DO43)&lt;=1, "", _xlfn.STDEV.S(ABS(Resultados!I43),ABS(Resultados!S43),ABS(Resultados!AC43),ABS(Resultados!AM43),ABS(Resultados!AW43),ABS(Resultados!BG43),ABS(Resultados!BQ43),ABS(Resultados!CA43),ABS(Resultados!CK43),ABS(Resultados!CU43),ABS(Resultados!DE43),ABS(Resultados!DO43))/SQRT(COUNT(Resultados!I43,Resultados!S43,Resultados!AC43,Resultados!AM43,Resultados!AW43,Resultados!BG43,Resultados!BQ43,Resultados!CA43,Resultados!CK43,Resultados!CU43,Resultados!DE43,Resultados!DO43)))</f>
        <v>3.3504753992357202E-2</v>
      </c>
      <c r="J43">
        <f>IF(COUNT(Resultados!J43,Resultados!T43,Resultados!AD43,Resultados!AN43,Resultados!AX43,Resultados!BH43,Resultados!BR43,Resultados!CB43,Resultados!CL43,Resultados!CV43,Resultados!DF43,Resultados!DP43)&lt;=1, "", _xlfn.STDEV.S(ABS(Resultados!J43),ABS(Resultados!T43),ABS(Resultados!AD43),ABS(Resultados!AN43),ABS(Resultados!AX43),ABS(Resultados!BH43),ABS(Resultados!BR43),ABS(Resultados!CB43),ABS(Resultados!CL43),ABS(Resultados!CV43),ABS(Resultados!DF43),ABS(Resultados!DP43))/SQRT(COUNT(Resultados!J43,Resultados!T43,Resultados!AD43,Resultados!AN43,Resultados!AX43,Resultados!BH43,Resultados!BR43,Resultados!CB43,Resultados!CL43,Resultados!CV43,Resultados!DF43,Resultados!DP43)))</f>
        <v>7.7033050758040919E-4</v>
      </c>
    </row>
    <row r="44" spans="1:10" x14ac:dyDescent="0.3">
      <c r="A44">
        <f>IF(COUNT(Resultados!A44,Resultados!K44,Resultados!U44,Resultados!AE44,Resultados!AO44,Resultados!AY44,Resultados!BI44,Resultados!BS44,Resultados!CC44,Resultados!CM44,Resultados!CW44,Resultados!DG44)&lt;=1, "", _xlfn.STDEV.S(ABS(Resultados!A44),ABS(Resultados!K44),ABS(Resultados!U44),ABS(Resultados!AE44),ABS(Resultados!AO44),ABS(Resultados!AY44),ABS(Resultados!BI44),ABS(Resultados!BS44),ABS(Resultados!CC44),ABS(Resultados!CM44),ABS(Resultados!CW44),ABS(Resultados!DG44))/SQRT(COUNT(Resultados!A44,Resultados!K44,Resultados!U44,Resultados!AE44,Resultados!AO44,Resultados!AY44,Resultados!BI44,Resultados!BS44,Resultados!CC44,Resultados!CM44,Resultados!CW44,Resultados!DG44)))</f>
        <v>0</v>
      </c>
      <c r="B44" t="str">
        <f>IF(COUNT(Resultados!B44,Resultados!L44,Resultados!V44,Resultados!AF44,Resultados!AP44,Resultados!AZ44,Resultados!BJ44,Resultados!BT44,Resultados!CD44,Resultados!CN44,Resultados!CX44,Resultados!DH44)&lt;=1, "", _xlfn.STDEV.S(ABS(Resultados!B44),ABS(Resultados!L44),ABS(Resultados!V44),ABS(Resultados!AF44),ABS(Resultados!AP44),ABS(Resultados!AZ44),ABS(Resultados!BJ44),ABS(Resultados!BT44),ABS(Resultados!CD44),ABS(Resultados!CN44),ABS(Resultados!CX44),ABS(Resultados!DH44))/SQRT(COUNT(Resultados!B44,Resultados!L44,Resultados!V44,Resultados!AF44,Resultados!AP44,Resultados!AZ44,Resultados!BJ44,Resultados!BT44,Resultados!CD44,Resultados!CN44,Resultados!CX44,Resultados!DH44)))</f>
        <v/>
      </c>
      <c r="C44">
        <f>IF(COUNT(Resultados!C44,Resultados!M44,Resultados!W44,Resultados!AG44,Resultados!AQ44,Resultados!BA44,Resultados!BK44,Resultados!BU44,Resultados!CE44,Resultados!CO44,Resultados!CY44,Resultados!DI44)&lt;=1, "", _xlfn.STDEV.S(ABS(Resultados!C44),ABS(Resultados!M44),ABS(Resultados!W44),ABS(Resultados!AG44),ABS(Resultados!AQ44),ABS(Resultados!BA44),ABS(Resultados!BK44),ABS(Resultados!BU44),ABS(Resultados!CE44),ABS(Resultados!CO44),ABS(Resultados!CY44),ABS(Resultados!DI44))/SQRT(COUNT(Resultados!C44,Resultados!M44,Resultados!W44,Resultados!AG44,Resultados!AQ44,Resultados!BA44,Resultados!BK44,Resultados!BU44,Resultados!CE44,Resultados!CO44,Resultados!CY44,Resultados!DI44)))</f>
        <v>0.45156853457049168</v>
      </c>
      <c r="D44">
        <f>IF(COUNT(Resultados!D44,Resultados!N44,Resultados!X44,Resultados!AH44,Resultados!AR44,Resultados!BB44,Resultados!BL44,Resultados!BV44,Resultados!CF44,Resultados!CP44,Resultados!CZ44,Resultados!DJ44)&lt;=1, "", _xlfn.STDEV.S(ABS(Resultados!D44),ABS(Resultados!N44),ABS(Resultados!X44),ABS(Resultados!AH44),ABS(Resultados!AR44),ABS(Resultados!BB44),ABS(Resultados!BL44),ABS(Resultados!BV44),ABS(Resultados!CF44),ABS(Resultados!CP44),ABS(Resultados!CZ44),ABS(Resultados!DJ44))/SQRT(COUNT(Resultados!D44,Resultados!N44,Resultados!X44,Resultados!AH44,Resultados!AR44,Resultados!BB44,Resultados!BL44,Resultados!BV44,Resultados!CF44,Resultados!CP44,Resultados!CZ44,Resultados!DJ44)))</f>
        <v>9.1365552268971354E-4</v>
      </c>
      <c r="E44">
        <f>IF(COUNT(Resultados!E44,Resultados!O44,Resultados!Y44,Resultados!AI44,Resultados!AS44,Resultados!BC44,Resultados!BM44,Resultados!BW44,Resultados!CG44,Resultados!CQ44,Resultados!DA44,Resultados!DK44)&lt;=1, "", _xlfn.STDEV.S(ABS(Resultados!E44),ABS(Resultados!O44),ABS(Resultados!Y44),ABS(Resultados!AI44),ABS(Resultados!AS44),ABS(Resultados!BC44),ABS(Resultados!BM44),ABS(Resultados!BW44),ABS(Resultados!CG44),ABS(Resultados!CQ44),ABS(Resultados!DA44),ABS(Resultados!DK44))/SQRT(COUNT(Resultados!E44,Resultados!O44,Resultados!Y44,Resultados!AI44,Resultados!AS44,Resultados!BC44,Resultados!BM44,Resultados!BW44,Resultados!CG44,Resultados!CQ44,Resultados!DA44,Resultados!DK44)))</f>
        <v>3.7858879845873439E-2</v>
      </c>
      <c r="F44">
        <f>IF(COUNT(Resultados!F44,Resultados!P44,Resultados!Z44,Resultados!AJ44,Resultados!AT44,Resultados!BD44,Resultados!BN44,Resultados!BX44,Resultados!CH44,Resultados!CR44,Resultados!DB44,Resultados!DL44)&lt;=1, "", _xlfn.STDEV.S(ABS(Resultados!F44),ABS(Resultados!P44),ABS(Resultados!Z44),ABS(Resultados!AJ44),ABS(Resultados!AT44),ABS(Resultados!BD44),ABS(Resultados!BN44),ABS(Resultados!BX44),ABS(Resultados!CH44),ABS(Resultados!CR44),ABS(Resultados!DB44),ABS(Resultados!DL44))/SQRT(COUNT(Resultados!F44,Resultados!P44,Resultados!Z44,Resultados!AJ44,Resultados!AT44,Resultados!BD44,Resultados!BN44,Resultados!BX44,Resultados!CH44,Resultados!CR44,Resultados!DB44,Resultados!DL44)))</f>
        <v>13.191319015499534</v>
      </c>
      <c r="G44">
        <f>IF(COUNT(Resultados!G44,Resultados!Q44,Resultados!AA44,Resultados!AK44,Resultados!AU44,Resultados!BE44,Resultados!BO44,Resultados!BY44,Resultados!CI44,Resultados!CS44,Resultados!DC44,Resultados!DM44)&lt;=1, "", _xlfn.STDEV.S(ABS(Resultados!G44),ABS(Resultados!Q44),ABS(Resultados!AA44),ABS(Resultados!AK44),ABS(Resultados!AU44),ABS(Resultados!BE44),ABS(Resultados!BO44),ABS(Resultados!BY44),ABS(Resultados!CI44),ABS(Resultados!CS44),ABS(Resultados!DC44),ABS(Resultados!DM44))/SQRT(COUNT(Resultados!G44,Resultados!Q44,Resultados!AA44,Resultados!AK44,Resultados!AU44,Resultados!BE44,Resultados!BO44,Resultados!BY44,Resultados!CI44,Resultados!CS44,Resultados!DC44,Resultados!DM44)))</f>
        <v>3.3474483693592253E-17</v>
      </c>
      <c r="H44">
        <f>IF(COUNT(Resultados!H44,Resultados!R44,Resultados!AB44,Resultados!AL44,Resultados!AV44,Resultados!BF44,Resultados!BP44,Resultados!BZ44,Resultados!CJ44,Resultados!CT44,Resultados!DD44,Resultados!DN44)&lt;=1, "", _xlfn.STDEV.S(ABS(Resultados!H44),ABS(Resultados!R44),ABS(Resultados!AB44),ABS(Resultados!AL44),ABS(Resultados!AV44),ABS(Resultados!BF44),ABS(Resultados!BP44),ABS(Resultados!BZ44),ABS(Resultados!CJ44),ABS(Resultados!CT44),ABS(Resultados!DD44),ABS(Resultados!DN44))/SQRT(COUNT(Resultados!H44,Resultados!R44,Resultados!AB44,Resultados!AL44,Resultados!AV44,Resultados!BF44,Resultados!BP44,Resultados!BZ44,Resultados!CJ44,Resultados!CT44,Resultados!DD44,Resultados!DN44)))</f>
        <v>5.9344057593976288E-4</v>
      </c>
      <c r="I44">
        <f>IF(COUNT(Resultados!I44,Resultados!S44,Resultados!AC44,Resultados!AM44,Resultados!AW44,Resultados!BG44,Resultados!BQ44,Resultados!CA44,Resultados!CK44,Resultados!CU44,Resultados!DE44,Resultados!DO44)&lt;=1, "", _xlfn.STDEV.S(ABS(Resultados!I44),ABS(Resultados!S44),ABS(Resultados!AC44),ABS(Resultados!AM44),ABS(Resultados!AW44),ABS(Resultados!BG44),ABS(Resultados!BQ44),ABS(Resultados!CA44),ABS(Resultados!CK44),ABS(Resultados!CU44),ABS(Resultados!DE44),ABS(Resultados!DO44))/SQRT(COUNT(Resultados!I44,Resultados!S44,Resultados!AC44,Resultados!AM44,Resultados!AW44,Resultados!BG44,Resultados!BQ44,Resultados!CA44,Resultados!CK44,Resultados!CU44,Resultados!DE44,Resultados!DO44)))</f>
        <v>3.3354832970840236E-2</v>
      </c>
      <c r="J44">
        <f>IF(COUNT(Resultados!J44,Resultados!T44,Resultados!AD44,Resultados!AN44,Resultados!AX44,Resultados!BH44,Resultados!BR44,Resultados!CB44,Resultados!CL44,Resultados!CV44,Resultados!DF44,Resultados!DP44)&lt;=1, "", _xlfn.STDEV.S(ABS(Resultados!J44),ABS(Resultados!T44),ABS(Resultados!AD44),ABS(Resultados!AN44),ABS(Resultados!AX44),ABS(Resultados!BH44),ABS(Resultados!BR44),ABS(Resultados!CB44),ABS(Resultados!CL44),ABS(Resultados!CV44),ABS(Resultados!DF44),ABS(Resultados!DP44))/SQRT(COUNT(Resultados!J44,Resultados!T44,Resultados!AD44,Resultados!AN44,Resultados!AX44,Resultados!BH44,Resultados!BR44,Resultados!CB44,Resultados!CL44,Resultados!CV44,Resultados!DF44,Resultados!DP44)))</f>
        <v>5.9344057593976288E-4</v>
      </c>
    </row>
    <row r="45" spans="1:10" x14ac:dyDescent="0.3">
      <c r="A45">
        <f>IF(COUNT(Resultados!A45,Resultados!K45,Resultados!U45,Resultados!AE45,Resultados!AO45,Resultados!AY45,Resultados!BI45,Resultados!BS45,Resultados!CC45,Resultados!CM45,Resultados!CW45,Resultados!DG45)&lt;=1, "", _xlfn.STDEV.S(ABS(Resultados!A45),ABS(Resultados!K45),ABS(Resultados!U45),ABS(Resultados!AE45),ABS(Resultados!AO45),ABS(Resultados!AY45),ABS(Resultados!BI45),ABS(Resultados!BS45),ABS(Resultados!CC45),ABS(Resultados!CM45),ABS(Resultados!CW45),ABS(Resultados!DG45))/SQRT(COUNT(Resultados!A45,Resultados!K45,Resultados!U45,Resultados!AE45,Resultados!AO45,Resultados!AY45,Resultados!BI45,Resultados!BS45,Resultados!CC45,Resultados!CM45,Resultados!CW45,Resultados!DG45)))</f>
        <v>0</v>
      </c>
      <c r="B45" t="str">
        <f>IF(COUNT(Resultados!B45,Resultados!L45,Resultados!V45,Resultados!AF45,Resultados!AP45,Resultados!AZ45,Resultados!BJ45,Resultados!BT45,Resultados!CD45,Resultados!CN45,Resultados!CX45,Resultados!DH45)&lt;=1, "", _xlfn.STDEV.S(ABS(Resultados!B45),ABS(Resultados!L45),ABS(Resultados!V45),ABS(Resultados!AF45),ABS(Resultados!AP45),ABS(Resultados!AZ45),ABS(Resultados!BJ45),ABS(Resultados!BT45),ABS(Resultados!CD45),ABS(Resultados!CN45),ABS(Resultados!CX45),ABS(Resultados!DH45))/SQRT(COUNT(Resultados!B45,Resultados!L45,Resultados!V45,Resultados!AF45,Resultados!AP45,Resultados!AZ45,Resultados!BJ45,Resultados!BT45,Resultados!CD45,Resultados!CN45,Resultados!CX45,Resultados!DH45)))</f>
        <v/>
      </c>
      <c r="C45">
        <f>IF(COUNT(Resultados!C45,Resultados!M45,Resultados!W45,Resultados!AG45,Resultados!AQ45,Resultados!BA45,Resultados!BK45,Resultados!BU45,Resultados!CE45,Resultados!CO45,Resultados!CY45,Resultados!DI45)&lt;=1, "", _xlfn.STDEV.S(ABS(Resultados!C45),ABS(Resultados!M45),ABS(Resultados!W45),ABS(Resultados!AG45),ABS(Resultados!AQ45),ABS(Resultados!BA45),ABS(Resultados!BK45),ABS(Resultados!BU45),ABS(Resultados!CE45),ABS(Resultados!CO45),ABS(Resultados!CY45),ABS(Resultados!DI45))/SQRT(COUNT(Resultados!C45,Resultados!M45,Resultados!W45,Resultados!AG45,Resultados!AQ45,Resultados!BA45,Resultados!BK45,Resultados!BU45,Resultados!CE45,Resultados!CO45,Resultados!CY45,Resultados!DI45)))</f>
        <v>0.45156853457049168</v>
      </c>
      <c r="D45">
        <f>IF(COUNT(Resultados!D45,Resultados!N45,Resultados!X45,Resultados!AH45,Resultados!AR45,Resultados!BB45,Resultados!BL45,Resultados!BV45,Resultados!CF45,Resultados!CP45,Resultados!CZ45,Resultados!DJ45)&lt;=1, "", _xlfn.STDEV.S(ABS(Resultados!D45),ABS(Resultados!N45),ABS(Resultados!X45),ABS(Resultados!AH45),ABS(Resultados!AR45),ABS(Resultados!BB45),ABS(Resultados!BL45),ABS(Resultados!BV45),ABS(Resultados!CF45),ABS(Resultados!CP45),ABS(Resultados!CZ45),ABS(Resultados!DJ45))/SQRT(COUNT(Resultados!D45,Resultados!N45,Resultados!X45,Resultados!AH45,Resultados!AR45,Resultados!BB45,Resultados!BL45,Resultados!BV45,Resultados!CF45,Resultados!CP45,Resultados!CZ45,Resultados!DJ45)))</f>
        <v>7.5502943283321366E-4</v>
      </c>
      <c r="E45">
        <f>IF(COUNT(Resultados!E45,Resultados!O45,Resultados!Y45,Resultados!AI45,Resultados!AS45,Resultados!BC45,Resultados!BM45,Resultados!BW45,Resultados!CG45,Resultados!CQ45,Resultados!DA45,Resultados!DK45)&lt;=1, "", _xlfn.STDEV.S(ABS(Resultados!E45),ABS(Resultados!O45),ABS(Resultados!Y45),ABS(Resultados!AI45),ABS(Resultados!AS45),ABS(Resultados!BC45),ABS(Resultados!BM45),ABS(Resultados!BW45),ABS(Resultados!CG45),ABS(Resultados!CQ45),ABS(Resultados!DA45),ABS(Resultados!DK45))/SQRT(COUNT(Resultados!E45,Resultados!O45,Resultados!Y45,Resultados!AI45,Resultados!AS45,Resultados!BC45,Resultados!BM45,Resultados!BW45,Resultados!CG45,Resultados!CQ45,Resultados!DA45,Resultados!DK45)))</f>
        <v>2.8049427913094952E-2</v>
      </c>
      <c r="F45">
        <f>IF(COUNT(Resultados!F45,Resultados!P45,Resultados!Z45,Resultados!AJ45,Resultados!AT45,Resultados!BD45,Resultados!BN45,Resultados!BX45,Resultados!CH45,Resultados!CR45,Resultados!DB45,Resultados!DL45)&lt;=1, "", _xlfn.STDEV.S(ABS(Resultados!F45),ABS(Resultados!P45),ABS(Resultados!Z45),ABS(Resultados!AJ45),ABS(Resultados!AT45),ABS(Resultados!BD45),ABS(Resultados!BN45),ABS(Resultados!BX45),ABS(Resultados!CH45),ABS(Resultados!CR45),ABS(Resultados!DB45),ABS(Resultados!DL45))/SQRT(COUNT(Resultados!F45,Resultados!P45,Resultados!Z45,Resultados!AJ45,Resultados!AT45,Resultados!BD45,Resultados!BN45,Resultados!BX45,Resultados!CH45,Resultados!CR45,Resultados!DB45,Resultados!DL45)))</f>
        <v>12.516047921530983</v>
      </c>
      <c r="G45">
        <f>IF(COUNT(Resultados!G45,Resultados!Q45,Resultados!AA45,Resultados!AK45,Resultados!AU45,Resultados!BE45,Resultados!BO45,Resultados!BY45,Resultados!CI45,Resultados!CS45,Resultados!DC45,Resultados!DM45)&lt;=1, "", _xlfn.STDEV.S(ABS(Resultados!G45),ABS(Resultados!Q45),ABS(Resultados!AA45),ABS(Resultados!AK45),ABS(Resultados!AU45),ABS(Resultados!BE45),ABS(Resultados!BO45),ABS(Resultados!BY45),ABS(Resultados!CI45),ABS(Resultados!CS45),ABS(Resultados!DC45),ABS(Resultados!DM45))/SQRT(COUNT(Resultados!G45,Resultados!Q45,Resultados!AA45,Resultados!AK45,Resultados!AU45,Resultados!BE45,Resultados!BO45,Resultados!BY45,Resultados!CI45,Resultados!CS45,Resultados!DC45,Resultados!DM45)))</f>
        <v>3.3474483693592253E-17</v>
      </c>
      <c r="H45">
        <f>IF(COUNT(Resultados!H45,Resultados!R45,Resultados!AB45,Resultados!AL45,Resultados!AV45,Resultados!BF45,Resultados!BP45,Resultados!BZ45,Resultados!CJ45,Resultados!CT45,Resultados!DD45,Resultados!DN45)&lt;=1, "", _xlfn.STDEV.S(ABS(Resultados!H45),ABS(Resultados!R45),ABS(Resultados!AB45),ABS(Resultados!AL45),ABS(Resultados!AV45),ABS(Resultados!BF45),ABS(Resultados!BP45),ABS(Resultados!BZ45),ABS(Resultados!CJ45),ABS(Resultados!CT45),ABS(Resultados!DD45),ABS(Resultados!DN45))/SQRT(COUNT(Resultados!H45,Resultados!R45,Resultados!AB45,Resultados!AL45,Resultados!AV45,Resultados!BF45,Resultados!BP45,Resultados!BZ45,Resultados!CJ45,Resultados!CT45,Resultados!DD45,Resultados!DN45)))</f>
        <v>4.3690255021439078E-4</v>
      </c>
      <c r="I45">
        <f>IF(COUNT(Resultados!I45,Resultados!S45,Resultados!AC45,Resultados!AM45,Resultados!AW45,Resultados!BG45,Resultados!BQ45,Resultados!CA45,Resultados!CK45,Resultados!CU45,Resultados!DE45,Resultados!DO45)&lt;=1, "", _xlfn.STDEV.S(ABS(Resultados!I45),ABS(Resultados!S45),ABS(Resultados!AC45),ABS(Resultados!AM45),ABS(Resultados!AW45),ABS(Resultados!BG45),ABS(Resultados!BQ45),ABS(Resultados!CA45),ABS(Resultados!CK45),ABS(Resultados!CU45),ABS(Resultados!DE45),ABS(Resultados!DO45))/SQRT(COUNT(Resultados!I45,Resultados!S45,Resultados!AC45,Resultados!AM45,Resultados!AW45,Resultados!BG45,Resultados!BQ45,Resultados!CA45,Resultados!CK45,Resultados!CU45,Resultados!DE45,Resultados!DO45)))</f>
        <v>3.3403663120210009E-2</v>
      </c>
      <c r="J45">
        <f>IF(COUNT(Resultados!J45,Resultados!T45,Resultados!AD45,Resultados!AN45,Resultados!AX45,Resultados!BH45,Resultados!BR45,Resultados!CB45,Resultados!CL45,Resultados!CV45,Resultados!DF45,Resultados!DP45)&lt;=1, "", _xlfn.STDEV.S(ABS(Resultados!J45),ABS(Resultados!T45),ABS(Resultados!AD45),ABS(Resultados!AN45),ABS(Resultados!AX45),ABS(Resultados!BH45),ABS(Resultados!BR45),ABS(Resultados!CB45),ABS(Resultados!CL45),ABS(Resultados!CV45),ABS(Resultados!DF45),ABS(Resultados!DP45))/SQRT(COUNT(Resultados!J45,Resultados!T45,Resultados!AD45,Resultados!AN45,Resultados!AX45,Resultados!BH45,Resultados!BR45,Resultados!CB45,Resultados!CL45,Resultados!CV45,Resultados!DF45,Resultados!DP45)))</f>
        <v>4.3690255021439078E-4</v>
      </c>
    </row>
    <row r="46" spans="1:10" x14ac:dyDescent="0.3">
      <c r="A46">
        <f>IF(COUNT(Resultados!A46,Resultados!K46,Resultados!U46,Resultados!AE46,Resultados!AO46,Resultados!AY46,Resultados!BI46,Resultados!BS46,Resultados!CC46,Resultados!CM46,Resultados!CW46,Resultados!DG46)&lt;=1, "", _xlfn.STDEV.S(ABS(Resultados!A46),ABS(Resultados!K46),ABS(Resultados!U46),ABS(Resultados!AE46),ABS(Resultados!AO46),ABS(Resultados!AY46),ABS(Resultados!BI46),ABS(Resultados!BS46),ABS(Resultados!CC46),ABS(Resultados!CM46),ABS(Resultados!CW46),ABS(Resultados!DG46))/SQRT(COUNT(Resultados!A46,Resultados!K46,Resultados!U46,Resultados!AE46,Resultados!AO46,Resultados!AY46,Resultados!BI46,Resultados!BS46,Resultados!CC46,Resultados!CM46,Resultados!CW46,Resultados!DG46)))</f>
        <v>0</v>
      </c>
      <c r="B46" t="str">
        <f>IF(COUNT(Resultados!B46,Resultados!L46,Resultados!V46,Resultados!AF46,Resultados!AP46,Resultados!AZ46,Resultados!BJ46,Resultados!BT46,Resultados!CD46,Resultados!CN46,Resultados!CX46,Resultados!DH46)&lt;=1, "", _xlfn.STDEV.S(ABS(Resultados!B46),ABS(Resultados!L46),ABS(Resultados!V46),ABS(Resultados!AF46),ABS(Resultados!AP46),ABS(Resultados!AZ46),ABS(Resultados!BJ46),ABS(Resultados!BT46),ABS(Resultados!CD46),ABS(Resultados!CN46),ABS(Resultados!CX46),ABS(Resultados!DH46))/SQRT(COUNT(Resultados!B46,Resultados!L46,Resultados!V46,Resultados!AF46,Resultados!AP46,Resultados!AZ46,Resultados!BJ46,Resultados!BT46,Resultados!CD46,Resultados!CN46,Resultados!CX46,Resultados!DH46)))</f>
        <v/>
      </c>
      <c r="C46">
        <f>IF(COUNT(Resultados!C46,Resultados!M46,Resultados!W46,Resultados!AG46,Resultados!AQ46,Resultados!BA46,Resultados!BK46,Resultados!BU46,Resultados!CE46,Resultados!CO46,Resultados!CY46,Resultados!DI46)&lt;=1, "", _xlfn.STDEV.S(ABS(Resultados!C46),ABS(Resultados!M46),ABS(Resultados!W46),ABS(Resultados!AG46),ABS(Resultados!AQ46),ABS(Resultados!BA46),ABS(Resultados!BK46),ABS(Resultados!BU46),ABS(Resultados!CE46),ABS(Resultados!CO46),ABS(Resultados!CY46),ABS(Resultados!DI46))/SQRT(COUNT(Resultados!C46,Resultados!M46,Resultados!W46,Resultados!AG46,Resultados!AQ46,Resultados!BA46,Resultados!BK46,Resultados!BU46,Resultados!CE46,Resultados!CO46,Resultados!CY46,Resultados!DI46)))</f>
        <v>0.45156853457049168</v>
      </c>
      <c r="D46">
        <f>IF(COUNT(Resultados!D46,Resultados!N46,Resultados!X46,Resultados!AH46,Resultados!AR46,Resultados!BB46,Resultados!BL46,Resultados!BV46,Resultados!CF46,Resultados!CP46,Resultados!CZ46,Resultados!DJ46)&lt;=1, "", _xlfn.STDEV.S(ABS(Resultados!D46),ABS(Resultados!N46),ABS(Resultados!X46),ABS(Resultados!AH46),ABS(Resultados!AR46),ABS(Resultados!BB46),ABS(Resultados!BL46),ABS(Resultados!BV46),ABS(Resultados!CF46),ABS(Resultados!CP46),ABS(Resultados!CZ46),ABS(Resultados!DJ46))/SQRT(COUNT(Resultados!D46,Resultados!N46,Resultados!X46,Resultados!AH46,Resultados!AR46,Resultados!BB46,Resultados!BL46,Resultados!BV46,Resultados!CF46,Resultados!CP46,Resultados!CZ46,Resultados!DJ46)))</f>
        <v>6.1563693715032959E-4</v>
      </c>
      <c r="E46">
        <f>IF(COUNT(Resultados!E46,Resultados!O46,Resultados!Y46,Resultados!AI46,Resultados!AS46,Resultados!BC46,Resultados!BM46,Resultados!BW46,Resultados!CG46,Resultados!CQ46,Resultados!DA46,Resultados!DK46)&lt;=1, "", _xlfn.STDEV.S(ABS(Resultados!E46),ABS(Resultados!O46),ABS(Resultados!Y46),ABS(Resultados!AI46),ABS(Resultados!AS46),ABS(Resultados!BC46),ABS(Resultados!BM46),ABS(Resultados!BW46),ABS(Resultados!CG46),ABS(Resultados!CQ46),ABS(Resultados!DA46),ABS(Resultados!DK46))/SQRT(COUNT(Resultados!E46,Resultados!O46,Resultados!Y46,Resultados!AI46,Resultados!AS46,Resultados!BC46,Resultados!BM46,Resultados!BW46,Resultados!CG46,Resultados!CQ46,Resultados!DA46,Resultados!DK46)))</f>
        <v>2.354529792826154E-2</v>
      </c>
      <c r="F46">
        <f>IF(COUNT(Resultados!F46,Resultados!P46,Resultados!Z46,Resultados!AJ46,Resultados!AT46,Resultados!BD46,Resultados!BN46,Resultados!BX46,Resultados!CH46,Resultados!CR46,Resultados!DB46,Resultados!DL46)&lt;=1, "", _xlfn.STDEV.S(ABS(Resultados!F46),ABS(Resultados!P46),ABS(Resultados!Z46),ABS(Resultados!AJ46),ABS(Resultados!AT46),ABS(Resultados!BD46),ABS(Resultados!BN46),ABS(Resultados!BX46),ABS(Resultados!CH46),ABS(Resultados!CR46),ABS(Resultados!DB46),ABS(Resultados!DL46))/SQRT(COUNT(Resultados!F46,Resultados!P46,Resultados!Z46,Resultados!AJ46,Resultados!AT46,Resultados!BD46,Resultados!BN46,Resultados!BX46,Resultados!CH46,Resultados!CR46,Resultados!DB46,Resultados!DL46)))</f>
        <v>13.769628507163608</v>
      </c>
      <c r="G46">
        <f>IF(COUNT(Resultados!G46,Resultados!Q46,Resultados!AA46,Resultados!AK46,Resultados!AU46,Resultados!BE46,Resultados!BO46,Resultados!BY46,Resultados!CI46,Resultados!CS46,Resultados!DC46,Resultados!DM46)&lt;=1, "", _xlfn.STDEV.S(ABS(Resultados!G46),ABS(Resultados!Q46),ABS(Resultados!AA46),ABS(Resultados!AK46),ABS(Resultados!AU46),ABS(Resultados!BE46),ABS(Resultados!BO46),ABS(Resultados!BY46),ABS(Resultados!CI46),ABS(Resultados!CS46),ABS(Resultados!DC46),ABS(Resultados!DM46))/SQRT(COUNT(Resultados!G46,Resultados!Q46,Resultados!AA46,Resultados!AK46,Resultados!AU46,Resultados!BE46,Resultados!BO46,Resultados!BY46,Resultados!CI46,Resultados!CS46,Resultados!DC46,Resultados!DM46)))</f>
        <v>3.3474483693592253E-17</v>
      </c>
      <c r="H46">
        <f>IF(COUNT(Resultados!H46,Resultados!R46,Resultados!AB46,Resultados!AL46,Resultados!AV46,Resultados!BF46,Resultados!BP46,Resultados!BZ46,Resultados!CJ46,Resultados!CT46,Resultados!DD46,Resultados!DN46)&lt;=1, "", _xlfn.STDEV.S(ABS(Resultados!H46),ABS(Resultados!R46),ABS(Resultados!AB46),ABS(Resultados!AL46),ABS(Resultados!AV46),ABS(Resultados!BF46),ABS(Resultados!BP46),ABS(Resultados!BZ46),ABS(Resultados!CJ46),ABS(Resultados!CT46),ABS(Resultados!DD46),ABS(Resultados!DN46))/SQRT(COUNT(Resultados!H46,Resultados!R46,Resultados!AB46,Resultados!AL46,Resultados!AV46,Resultados!BF46,Resultados!BP46,Resultados!BZ46,Resultados!CJ46,Resultados!CT46,Resultados!DD46,Resultados!DN46)))</f>
        <v>3.655285366576884E-4</v>
      </c>
      <c r="I46">
        <f>IF(COUNT(Resultados!I46,Resultados!S46,Resultados!AC46,Resultados!AM46,Resultados!AW46,Resultados!BG46,Resultados!BQ46,Resultados!CA46,Resultados!CK46,Resultados!CU46,Resultados!DE46,Resultados!DO46)&lt;=1, "", _xlfn.STDEV.S(ABS(Resultados!I46),ABS(Resultados!S46),ABS(Resultados!AC46),ABS(Resultados!AM46),ABS(Resultados!AW46),ABS(Resultados!BG46),ABS(Resultados!BQ46),ABS(Resultados!CA46),ABS(Resultados!CK46),ABS(Resultados!CU46),ABS(Resultados!DE46),ABS(Resultados!DO46))/SQRT(COUNT(Resultados!I46,Resultados!S46,Resultados!AC46,Resultados!AM46,Resultados!AW46,Resultados!BG46,Resultados!BQ46,Resultados!CA46,Resultados!CK46,Resultados!CU46,Resultados!DE46,Resultados!DO46)))</f>
        <v>3.3557983386816925E-2</v>
      </c>
      <c r="J46">
        <f>IF(COUNT(Resultados!J46,Resultados!T46,Resultados!AD46,Resultados!AN46,Resultados!AX46,Resultados!BH46,Resultados!BR46,Resultados!CB46,Resultados!CL46,Resultados!CV46,Resultados!DF46,Resultados!DP46)&lt;=1, "", _xlfn.STDEV.S(ABS(Resultados!J46),ABS(Resultados!T46),ABS(Resultados!AD46),ABS(Resultados!AN46),ABS(Resultados!AX46),ABS(Resultados!BH46),ABS(Resultados!BR46),ABS(Resultados!CB46),ABS(Resultados!CL46),ABS(Resultados!CV46),ABS(Resultados!DF46),ABS(Resultados!DP46))/SQRT(COUNT(Resultados!J46,Resultados!T46,Resultados!AD46,Resultados!AN46,Resultados!AX46,Resultados!BH46,Resultados!BR46,Resultados!CB46,Resultados!CL46,Resultados!CV46,Resultados!DF46,Resultados!DP46)))</f>
        <v>3.655285366576884E-4</v>
      </c>
    </row>
    <row r="47" spans="1:10" x14ac:dyDescent="0.3">
      <c r="A47">
        <f>IF(COUNT(Resultados!A47,Resultados!K47,Resultados!U47,Resultados!AE47,Resultados!AO47,Resultados!AY47,Resultados!BI47,Resultados!BS47,Resultados!CC47,Resultados!CM47,Resultados!CW47,Resultados!DG47)&lt;=1, "", _xlfn.STDEV.S(ABS(Resultados!A47),ABS(Resultados!K47),ABS(Resultados!U47),ABS(Resultados!AE47),ABS(Resultados!AO47),ABS(Resultados!AY47),ABS(Resultados!BI47),ABS(Resultados!BS47),ABS(Resultados!CC47),ABS(Resultados!CM47),ABS(Resultados!CW47),ABS(Resultados!DG47))/SQRT(COUNT(Resultados!A47,Resultados!K47,Resultados!U47,Resultados!AE47,Resultados!AO47,Resultados!AY47,Resultados!BI47,Resultados!BS47,Resultados!CC47,Resultados!CM47,Resultados!CW47,Resultados!DG47)))</f>
        <v>0</v>
      </c>
      <c r="B47" t="str">
        <f>IF(COUNT(Resultados!B47,Resultados!L47,Resultados!V47,Resultados!AF47,Resultados!AP47,Resultados!AZ47,Resultados!BJ47,Resultados!BT47,Resultados!CD47,Resultados!CN47,Resultados!CX47,Resultados!DH47)&lt;=1, "", _xlfn.STDEV.S(ABS(Resultados!B47),ABS(Resultados!L47),ABS(Resultados!V47),ABS(Resultados!AF47),ABS(Resultados!AP47),ABS(Resultados!AZ47),ABS(Resultados!BJ47),ABS(Resultados!BT47),ABS(Resultados!CD47),ABS(Resultados!CN47),ABS(Resultados!CX47),ABS(Resultados!DH47))/SQRT(COUNT(Resultados!B47,Resultados!L47,Resultados!V47,Resultados!AF47,Resultados!AP47,Resultados!AZ47,Resultados!BJ47,Resultados!BT47,Resultados!CD47,Resultados!CN47,Resultados!CX47,Resultados!DH47)))</f>
        <v/>
      </c>
      <c r="C47">
        <f>IF(COUNT(Resultados!C47,Resultados!M47,Resultados!W47,Resultados!AG47,Resultados!AQ47,Resultados!BA47,Resultados!BK47,Resultados!BU47,Resultados!CE47,Resultados!CO47,Resultados!CY47,Resultados!DI47)&lt;=1, "", _xlfn.STDEV.S(ABS(Resultados!C47),ABS(Resultados!M47),ABS(Resultados!W47),ABS(Resultados!AG47),ABS(Resultados!AQ47),ABS(Resultados!BA47),ABS(Resultados!BK47),ABS(Resultados!BU47),ABS(Resultados!CE47),ABS(Resultados!CO47),ABS(Resultados!CY47),ABS(Resultados!DI47))/SQRT(COUNT(Resultados!C47,Resultados!M47,Resultados!W47,Resultados!AG47,Resultados!AQ47,Resultados!BA47,Resultados!BK47,Resultados!BU47,Resultados!CE47,Resultados!CO47,Resultados!CY47,Resultados!DI47)))</f>
        <v>0.45156853457049168</v>
      </c>
      <c r="D47">
        <f>IF(COUNT(Resultados!D47,Resultados!N47,Resultados!X47,Resultados!AH47,Resultados!AR47,Resultados!BB47,Resultados!BL47,Resultados!BV47,Resultados!CF47,Resultados!CP47,Resultados!CZ47,Resultados!DJ47)&lt;=1, "", _xlfn.STDEV.S(ABS(Resultados!D47),ABS(Resultados!N47),ABS(Resultados!X47),ABS(Resultados!AH47),ABS(Resultados!AR47),ABS(Resultados!BB47),ABS(Resultados!BL47),ABS(Resultados!BV47),ABS(Resultados!CF47),ABS(Resultados!CP47),ABS(Resultados!CZ47),ABS(Resultados!DJ47))/SQRT(COUNT(Resultados!D47,Resultados!N47,Resultados!X47,Resultados!AH47,Resultados!AR47,Resultados!BB47,Resultados!BL47,Resultados!BV47,Resultados!CF47,Resultados!CP47,Resultados!CZ47,Resultados!DJ47)))</f>
        <v>5.1922630865159324E-4</v>
      </c>
      <c r="E47">
        <f>IF(COUNT(Resultados!E47,Resultados!O47,Resultados!Y47,Resultados!AI47,Resultados!AS47,Resultados!BC47,Resultados!BM47,Resultados!BW47,Resultados!CG47,Resultados!CQ47,Resultados!DA47,Resultados!DK47)&lt;=1, "", _xlfn.STDEV.S(ABS(Resultados!E47),ABS(Resultados!O47),ABS(Resultados!Y47),ABS(Resultados!AI47),ABS(Resultados!AS47),ABS(Resultados!BC47),ABS(Resultados!BM47),ABS(Resultados!BW47),ABS(Resultados!CG47),ABS(Resultados!CQ47),ABS(Resultados!DA47),ABS(Resultados!DK47))/SQRT(COUNT(Resultados!E47,Resultados!O47,Resultados!Y47,Resultados!AI47,Resultados!AS47,Resultados!BC47,Resultados!BM47,Resultados!BW47,Resultados!CG47,Resultados!CQ47,Resultados!DA47,Resultados!DK47)))</f>
        <v>2.7467358885905114E-2</v>
      </c>
      <c r="F47">
        <f>IF(COUNT(Resultados!F47,Resultados!P47,Resultados!Z47,Resultados!AJ47,Resultados!AT47,Resultados!BD47,Resultados!BN47,Resultados!BX47,Resultados!CH47,Resultados!CR47,Resultados!DB47,Resultados!DL47)&lt;=1, "", _xlfn.STDEV.S(ABS(Resultados!F47),ABS(Resultados!P47),ABS(Resultados!Z47),ABS(Resultados!AJ47),ABS(Resultados!AT47),ABS(Resultados!BD47),ABS(Resultados!BN47),ABS(Resultados!BX47),ABS(Resultados!CH47),ABS(Resultados!CR47),ABS(Resultados!DB47),ABS(Resultados!DL47))/SQRT(COUNT(Resultados!F47,Resultados!P47,Resultados!Z47,Resultados!AJ47,Resultados!AT47,Resultados!BD47,Resultados!BN47,Resultados!BX47,Resultados!CH47,Resultados!CR47,Resultados!DB47,Resultados!DL47)))</f>
        <v>12.490956291438222</v>
      </c>
      <c r="G47">
        <f>IF(COUNT(Resultados!G47,Resultados!Q47,Resultados!AA47,Resultados!AK47,Resultados!AU47,Resultados!BE47,Resultados!BO47,Resultados!BY47,Resultados!CI47,Resultados!CS47,Resultados!DC47,Resultados!DM47)&lt;=1, "", _xlfn.STDEV.S(ABS(Resultados!G47),ABS(Resultados!Q47),ABS(Resultados!AA47),ABS(Resultados!AK47),ABS(Resultados!AU47),ABS(Resultados!BE47),ABS(Resultados!BO47),ABS(Resultados!BY47),ABS(Resultados!CI47),ABS(Resultados!CS47),ABS(Resultados!DC47),ABS(Resultados!DM47))/SQRT(COUNT(Resultados!G47,Resultados!Q47,Resultados!AA47,Resultados!AK47,Resultados!AU47,Resultados!BE47,Resultados!BO47,Resultados!BY47,Resultados!CI47,Resultados!CS47,Resultados!DC47,Resultados!DM47)))</f>
        <v>3.3474483693592253E-17</v>
      </c>
      <c r="H47">
        <f>IF(COUNT(Resultados!H47,Resultados!R47,Resultados!AB47,Resultados!AL47,Resultados!AV47,Resultados!BF47,Resultados!BP47,Resultados!BZ47,Resultados!CJ47,Resultados!CT47,Resultados!DD47,Resultados!DN47)&lt;=1, "", _xlfn.STDEV.S(ABS(Resultados!H47),ABS(Resultados!R47),ABS(Resultados!AB47),ABS(Resultados!AL47),ABS(Resultados!AV47),ABS(Resultados!BF47),ABS(Resultados!BP47),ABS(Resultados!BZ47),ABS(Resultados!CJ47),ABS(Resultados!CT47),ABS(Resultados!DD47),ABS(Resultados!DN47))/SQRT(COUNT(Resultados!H47,Resultados!R47,Resultados!AB47,Resultados!AL47,Resultados!AV47,Resultados!BF47,Resultados!BP47,Resultados!BZ47,Resultados!CJ47,Resultados!CT47,Resultados!DD47,Resultados!DN47)))</f>
        <v>4.2754732740565366E-4</v>
      </c>
      <c r="I47">
        <f>IF(COUNT(Resultados!I47,Resultados!S47,Resultados!AC47,Resultados!AM47,Resultados!AW47,Resultados!BG47,Resultados!BQ47,Resultados!CA47,Resultados!CK47,Resultados!CU47,Resultados!DE47,Resultados!DO47)&lt;=1, "", _xlfn.STDEV.S(ABS(Resultados!I47),ABS(Resultados!S47),ABS(Resultados!AC47),ABS(Resultados!AM47),ABS(Resultados!AW47),ABS(Resultados!BG47),ABS(Resultados!BQ47),ABS(Resultados!CA47),ABS(Resultados!CK47),ABS(Resultados!CU47),ABS(Resultados!DE47),ABS(Resultados!DO47))/SQRT(COUNT(Resultados!I47,Resultados!S47,Resultados!AC47,Resultados!AM47,Resultados!AW47,Resultados!BG47,Resultados!BQ47,Resultados!CA47,Resultados!CK47,Resultados!CU47,Resultados!DE47,Resultados!DO47)))</f>
        <v>3.3333156169036891E-2</v>
      </c>
      <c r="J47">
        <f>IF(COUNT(Resultados!J47,Resultados!T47,Resultados!AD47,Resultados!AN47,Resultados!AX47,Resultados!BH47,Resultados!BR47,Resultados!CB47,Resultados!CL47,Resultados!CV47,Resultados!DF47,Resultados!DP47)&lt;=1, "", _xlfn.STDEV.S(ABS(Resultados!J47),ABS(Resultados!T47),ABS(Resultados!AD47),ABS(Resultados!AN47),ABS(Resultados!AX47),ABS(Resultados!BH47),ABS(Resultados!BR47),ABS(Resultados!CB47),ABS(Resultados!CL47),ABS(Resultados!CV47),ABS(Resultados!DF47),ABS(Resultados!DP47))/SQRT(COUNT(Resultados!J47,Resultados!T47,Resultados!AD47,Resultados!AN47,Resultados!AX47,Resultados!BH47,Resultados!BR47,Resultados!CB47,Resultados!CL47,Resultados!CV47,Resultados!DF47,Resultados!DP47)))</f>
        <v>4.2754732740565366E-4</v>
      </c>
    </row>
    <row r="48" spans="1:10" x14ac:dyDescent="0.3">
      <c r="A48">
        <f>IF(COUNT(Resultados!A48,Resultados!K48,Resultados!U48,Resultados!AE48,Resultados!AO48,Resultados!AY48,Resultados!BI48,Resultados!BS48,Resultados!CC48,Resultados!CM48,Resultados!CW48,Resultados!DG48)&lt;=1, "", _xlfn.STDEV.S(ABS(Resultados!A48),ABS(Resultados!K48),ABS(Resultados!U48),ABS(Resultados!AE48),ABS(Resultados!AO48),ABS(Resultados!AY48),ABS(Resultados!BI48),ABS(Resultados!BS48),ABS(Resultados!CC48),ABS(Resultados!CM48),ABS(Resultados!CW48),ABS(Resultados!DG48))/SQRT(COUNT(Resultados!A48,Resultados!K48,Resultados!U48,Resultados!AE48,Resultados!AO48,Resultados!AY48,Resultados!BI48,Resultados!BS48,Resultados!CC48,Resultados!CM48,Resultados!CW48,Resultados!DG48)))</f>
        <v>0</v>
      </c>
      <c r="B48" t="str">
        <f>IF(COUNT(Resultados!B48,Resultados!L48,Resultados!V48,Resultados!AF48,Resultados!AP48,Resultados!AZ48,Resultados!BJ48,Resultados!BT48,Resultados!CD48,Resultados!CN48,Resultados!CX48,Resultados!DH48)&lt;=1, "", _xlfn.STDEV.S(ABS(Resultados!B48),ABS(Resultados!L48),ABS(Resultados!V48),ABS(Resultados!AF48),ABS(Resultados!AP48),ABS(Resultados!AZ48),ABS(Resultados!BJ48),ABS(Resultados!BT48),ABS(Resultados!CD48),ABS(Resultados!CN48),ABS(Resultados!CX48),ABS(Resultados!DH48))/SQRT(COUNT(Resultados!B48,Resultados!L48,Resultados!V48,Resultados!AF48,Resultados!AP48,Resultados!AZ48,Resultados!BJ48,Resultados!BT48,Resultados!CD48,Resultados!CN48,Resultados!CX48,Resultados!DH48)))</f>
        <v/>
      </c>
      <c r="C48">
        <f>IF(COUNT(Resultados!C48,Resultados!M48,Resultados!W48,Resultados!AG48,Resultados!AQ48,Resultados!BA48,Resultados!BK48,Resultados!BU48,Resultados!CE48,Resultados!CO48,Resultados!CY48,Resultados!DI48)&lt;=1, "", _xlfn.STDEV.S(ABS(Resultados!C48),ABS(Resultados!M48),ABS(Resultados!W48),ABS(Resultados!AG48),ABS(Resultados!AQ48),ABS(Resultados!BA48),ABS(Resultados!BK48),ABS(Resultados!BU48),ABS(Resultados!CE48),ABS(Resultados!CO48),ABS(Resultados!CY48),ABS(Resultados!DI48))/SQRT(COUNT(Resultados!C48,Resultados!M48,Resultados!W48,Resultados!AG48,Resultados!AQ48,Resultados!BA48,Resultados!BK48,Resultados!BU48,Resultados!CE48,Resultados!CO48,Resultados!CY48,Resultados!DI48)))</f>
        <v>0.45156853457049168</v>
      </c>
      <c r="D48">
        <f>IF(COUNT(Resultados!D48,Resultados!N48,Resultados!X48,Resultados!AH48,Resultados!AR48,Resultados!BB48,Resultados!BL48,Resultados!BV48,Resultados!CF48,Resultados!CP48,Resultados!CZ48,Resultados!DJ48)&lt;=1, "", _xlfn.STDEV.S(ABS(Resultados!D48),ABS(Resultados!N48),ABS(Resultados!X48),ABS(Resultados!AH48),ABS(Resultados!AR48),ABS(Resultados!BB48),ABS(Resultados!BL48),ABS(Resultados!BV48),ABS(Resultados!CF48),ABS(Resultados!CP48),ABS(Resultados!CZ48),ABS(Resultados!DJ48))/SQRT(COUNT(Resultados!D48,Resultados!N48,Resultados!X48,Resultados!AH48,Resultados!AR48,Resultados!BB48,Resultados!BL48,Resultados!BV48,Resultados!CF48,Resultados!CP48,Resultados!CZ48,Resultados!DJ48)))</f>
        <v>4.2202613734940706E-4</v>
      </c>
      <c r="E48">
        <f>IF(COUNT(Resultados!E48,Resultados!O48,Resultados!Y48,Resultados!AI48,Resultados!AS48,Resultados!BC48,Resultados!BM48,Resultados!BW48,Resultados!CG48,Resultados!CQ48,Resultados!DA48,Resultados!DK48)&lt;=1, "", _xlfn.STDEV.S(ABS(Resultados!E48),ABS(Resultados!O48),ABS(Resultados!Y48),ABS(Resultados!AI48),ABS(Resultados!AS48),ABS(Resultados!BC48),ABS(Resultados!BM48),ABS(Resultados!BW48),ABS(Resultados!CG48),ABS(Resultados!CQ48),ABS(Resultados!DA48),ABS(Resultados!DK48))/SQRT(COUNT(Resultados!E48,Resultados!O48,Resultados!Y48,Resultados!AI48,Resultados!AS48,Resultados!BC48,Resultados!BM48,Resultados!BW48,Resultados!CG48,Resultados!CQ48,Resultados!DA48,Resultados!DK48)))</f>
        <v>3.7017146760907879E-2</v>
      </c>
      <c r="F48">
        <f>IF(COUNT(Resultados!F48,Resultados!P48,Resultados!Z48,Resultados!AJ48,Resultados!AT48,Resultados!BD48,Resultados!BN48,Resultados!BX48,Resultados!CH48,Resultados!CR48,Resultados!DB48,Resultados!DL48)&lt;=1, "", _xlfn.STDEV.S(ABS(Resultados!F48),ABS(Resultados!P48),ABS(Resultados!Z48),ABS(Resultados!AJ48),ABS(Resultados!AT48),ABS(Resultados!BD48),ABS(Resultados!BN48),ABS(Resultados!BX48),ABS(Resultados!CH48),ABS(Resultados!CR48),ABS(Resultados!DB48),ABS(Resultados!DL48))/SQRT(COUNT(Resultados!F48,Resultados!P48,Resultados!Z48,Resultados!AJ48,Resultados!AT48,Resultados!BD48,Resultados!BN48,Resultados!BX48,Resultados!CH48,Resultados!CR48,Resultados!DB48,Resultados!DL48)))</f>
        <v>13.818779270137835</v>
      </c>
      <c r="G48">
        <f>IF(COUNT(Resultados!G48,Resultados!Q48,Resultados!AA48,Resultados!AK48,Resultados!AU48,Resultados!BE48,Resultados!BO48,Resultados!BY48,Resultados!CI48,Resultados!CS48,Resultados!DC48,Resultados!DM48)&lt;=1, "", _xlfn.STDEV.S(ABS(Resultados!G48),ABS(Resultados!Q48),ABS(Resultados!AA48),ABS(Resultados!AK48),ABS(Resultados!AU48),ABS(Resultados!BE48),ABS(Resultados!BO48),ABS(Resultados!BY48),ABS(Resultados!CI48),ABS(Resultados!CS48),ABS(Resultados!DC48),ABS(Resultados!DM48))/SQRT(COUNT(Resultados!G48,Resultados!Q48,Resultados!AA48,Resultados!AK48,Resultados!AU48,Resultados!BE48,Resultados!BO48,Resultados!BY48,Resultados!CI48,Resultados!CS48,Resultados!DC48,Resultados!DM48)))</f>
        <v>3.3474483693592253E-17</v>
      </c>
      <c r="H48">
        <f>IF(COUNT(Resultados!H48,Resultados!R48,Resultados!AB48,Resultados!AL48,Resultados!AV48,Resultados!BF48,Resultados!BP48,Resultados!BZ48,Resultados!CJ48,Resultados!CT48,Resultados!DD48,Resultados!DN48)&lt;=1, "", _xlfn.STDEV.S(ABS(Resultados!H48),ABS(Resultados!R48),ABS(Resultados!AB48),ABS(Resultados!AL48),ABS(Resultados!AV48),ABS(Resultados!BF48),ABS(Resultados!BP48),ABS(Resultados!BZ48),ABS(Resultados!CJ48),ABS(Resultados!CT48),ABS(Resultados!DD48),ABS(Resultados!DN48))/SQRT(COUNT(Resultados!H48,Resultados!R48,Resultados!AB48,Resultados!AL48,Resultados!AV48,Resultados!BF48,Resultados!BP48,Resultados!BZ48,Resultados!CJ48,Resultados!CT48,Resultados!DD48,Resultados!DN48)))</f>
        <v>5.722706412779596E-4</v>
      </c>
      <c r="I48">
        <f>IF(COUNT(Resultados!I48,Resultados!S48,Resultados!AC48,Resultados!AM48,Resultados!AW48,Resultados!BG48,Resultados!BQ48,Resultados!CA48,Resultados!CK48,Resultados!CU48,Resultados!DE48,Resultados!DO48)&lt;=1, "", _xlfn.STDEV.S(ABS(Resultados!I48),ABS(Resultados!S48),ABS(Resultados!AC48),ABS(Resultados!AM48),ABS(Resultados!AW48),ABS(Resultados!BG48),ABS(Resultados!BQ48),ABS(Resultados!CA48),ABS(Resultados!CK48),ABS(Resultados!CU48),ABS(Resultados!DE48),ABS(Resultados!DO48))/SQRT(COUNT(Resultados!I48,Resultados!S48,Resultados!AC48,Resultados!AM48,Resultados!AW48,Resultados!BG48,Resultados!BQ48,Resultados!CA48,Resultados!CK48,Resultados!CU48,Resultados!DE48,Resultados!DO48)))</f>
        <v>3.3516073577733778E-2</v>
      </c>
      <c r="J48">
        <f>IF(COUNT(Resultados!J48,Resultados!T48,Resultados!AD48,Resultados!AN48,Resultados!AX48,Resultados!BH48,Resultados!BR48,Resultados!CB48,Resultados!CL48,Resultados!CV48,Resultados!DF48,Resultados!DP48)&lt;=1, "", _xlfn.STDEV.S(ABS(Resultados!J48),ABS(Resultados!T48),ABS(Resultados!AD48),ABS(Resultados!AN48),ABS(Resultados!AX48),ABS(Resultados!BH48),ABS(Resultados!BR48),ABS(Resultados!CB48),ABS(Resultados!CL48),ABS(Resultados!CV48),ABS(Resultados!DF48),ABS(Resultados!DP48))/SQRT(COUNT(Resultados!J48,Resultados!T48,Resultados!AD48,Resultados!AN48,Resultados!AX48,Resultados!BH48,Resultados!BR48,Resultados!CB48,Resultados!CL48,Resultados!CV48,Resultados!DF48,Resultados!DP48)))</f>
        <v>5.722706412779596E-4</v>
      </c>
    </row>
    <row r="49" spans="1:10" x14ac:dyDescent="0.3">
      <c r="A49">
        <f>IF(COUNT(Resultados!A49,Resultados!K49,Resultados!U49,Resultados!AE49,Resultados!AO49,Resultados!AY49,Resultados!BI49,Resultados!BS49,Resultados!CC49,Resultados!CM49,Resultados!CW49,Resultados!DG49)&lt;=1, "", _xlfn.STDEV.S(ABS(Resultados!A49),ABS(Resultados!K49),ABS(Resultados!U49),ABS(Resultados!AE49),ABS(Resultados!AO49),ABS(Resultados!AY49),ABS(Resultados!BI49),ABS(Resultados!BS49),ABS(Resultados!CC49),ABS(Resultados!CM49),ABS(Resultados!CW49),ABS(Resultados!DG49))/SQRT(COUNT(Resultados!A49,Resultados!K49,Resultados!U49,Resultados!AE49,Resultados!AO49,Resultados!AY49,Resultados!BI49,Resultados!BS49,Resultados!CC49,Resultados!CM49,Resultados!CW49,Resultados!DG49)))</f>
        <v>0</v>
      </c>
      <c r="B49" t="str">
        <f>IF(COUNT(Resultados!B49,Resultados!L49,Resultados!V49,Resultados!AF49,Resultados!AP49,Resultados!AZ49,Resultados!BJ49,Resultados!BT49,Resultados!CD49,Resultados!CN49,Resultados!CX49,Resultados!DH49)&lt;=1, "", _xlfn.STDEV.S(ABS(Resultados!B49),ABS(Resultados!L49),ABS(Resultados!V49),ABS(Resultados!AF49),ABS(Resultados!AP49),ABS(Resultados!AZ49),ABS(Resultados!BJ49),ABS(Resultados!BT49),ABS(Resultados!CD49),ABS(Resultados!CN49),ABS(Resultados!CX49),ABS(Resultados!DH49))/SQRT(COUNT(Resultados!B49,Resultados!L49,Resultados!V49,Resultados!AF49,Resultados!AP49,Resultados!AZ49,Resultados!BJ49,Resultados!BT49,Resultados!CD49,Resultados!CN49,Resultados!CX49,Resultados!DH49)))</f>
        <v/>
      </c>
      <c r="C49">
        <f>IF(COUNT(Resultados!C49,Resultados!M49,Resultados!W49,Resultados!AG49,Resultados!AQ49,Resultados!BA49,Resultados!BK49,Resultados!BU49,Resultados!CE49,Resultados!CO49,Resultados!CY49,Resultados!DI49)&lt;=1, "", _xlfn.STDEV.S(ABS(Resultados!C49),ABS(Resultados!M49),ABS(Resultados!W49),ABS(Resultados!AG49),ABS(Resultados!AQ49),ABS(Resultados!BA49),ABS(Resultados!BK49),ABS(Resultados!BU49),ABS(Resultados!CE49),ABS(Resultados!CO49),ABS(Resultados!CY49),ABS(Resultados!DI49))/SQRT(COUNT(Resultados!C49,Resultados!M49,Resultados!W49,Resultados!AG49,Resultados!AQ49,Resultados!BA49,Resultados!BK49,Resultados!BU49,Resultados!CE49,Resultados!CO49,Resultados!CY49,Resultados!DI49)))</f>
        <v>0.45156853457049168</v>
      </c>
      <c r="D49">
        <f>IF(COUNT(Resultados!D49,Resultados!N49,Resultados!X49,Resultados!AH49,Resultados!AR49,Resultados!BB49,Resultados!BL49,Resultados!BV49,Resultados!CF49,Resultados!CP49,Resultados!CZ49,Resultados!DJ49)&lt;=1, "", _xlfn.STDEV.S(ABS(Resultados!D49),ABS(Resultados!N49),ABS(Resultados!X49),ABS(Resultados!AH49),ABS(Resultados!AR49),ABS(Resultados!BB49),ABS(Resultados!BL49),ABS(Resultados!BV49),ABS(Resultados!CF49),ABS(Resultados!CP49),ABS(Resultados!CZ49),ABS(Resultados!DJ49))/SQRT(COUNT(Resultados!D49,Resultados!N49,Resultados!X49,Resultados!AH49,Resultados!AR49,Resultados!BB49,Resultados!BL49,Resultados!BV49,Resultados!CF49,Resultados!CP49,Resultados!CZ49,Resultados!DJ49)))</f>
        <v>3.3424118794243732E-4</v>
      </c>
      <c r="E49">
        <f>IF(COUNT(Resultados!E49,Resultados!O49,Resultados!Y49,Resultados!AI49,Resultados!AS49,Resultados!BC49,Resultados!BM49,Resultados!BW49,Resultados!CG49,Resultados!CQ49,Resultados!DA49,Resultados!DK49)&lt;=1, "", _xlfn.STDEV.S(ABS(Resultados!E49),ABS(Resultados!O49),ABS(Resultados!Y49),ABS(Resultados!AI49),ABS(Resultados!AS49),ABS(Resultados!BC49),ABS(Resultados!BM49),ABS(Resultados!BW49),ABS(Resultados!CG49),ABS(Resultados!CQ49),ABS(Resultados!DA49),ABS(Resultados!DK49))/SQRT(COUNT(Resultados!E49,Resultados!O49,Resultados!Y49,Resultados!AI49,Resultados!AS49,Resultados!BC49,Resultados!BM49,Resultados!BW49,Resultados!CG49,Resultados!CQ49,Resultados!DA49,Resultados!DK49)))</f>
        <v>4.8360609309161834E-2</v>
      </c>
      <c r="F49">
        <f>IF(COUNT(Resultados!F49,Resultados!P49,Resultados!Z49,Resultados!AJ49,Resultados!AT49,Resultados!BD49,Resultados!BN49,Resultados!BX49,Resultados!CH49,Resultados!CR49,Resultados!DB49,Resultados!DL49)&lt;=1, "", _xlfn.STDEV.S(ABS(Resultados!F49),ABS(Resultados!P49),ABS(Resultados!Z49),ABS(Resultados!AJ49),ABS(Resultados!AT49),ABS(Resultados!BD49),ABS(Resultados!BN49),ABS(Resultados!BX49),ABS(Resultados!CH49),ABS(Resultados!CR49),ABS(Resultados!DB49),ABS(Resultados!DL49))/SQRT(COUNT(Resultados!F49,Resultados!P49,Resultados!Z49,Resultados!AJ49,Resultados!AT49,Resultados!BD49,Resultados!BN49,Resultados!BX49,Resultados!CH49,Resultados!CR49,Resultados!DB49,Resultados!DL49)))</f>
        <v>15.101000325998895</v>
      </c>
      <c r="G49">
        <f>IF(COUNT(Resultados!G49,Resultados!Q49,Resultados!AA49,Resultados!AK49,Resultados!AU49,Resultados!BE49,Resultados!BO49,Resultados!BY49,Resultados!CI49,Resultados!CS49,Resultados!DC49,Resultados!DM49)&lt;=1, "", _xlfn.STDEV.S(ABS(Resultados!G49),ABS(Resultados!Q49),ABS(Resultados!AA49),ABS(Resultados!AK49),ABS(Resultados!AU49),ABS(Resultados!BE49),ABS(Resultados!BO49),ABS(Resultados!BY49),ABS(Resultados!CI49),ABS(Resultados!CS49),ABS(Resultados!DC49),ABS(Resultados!DM49))/SQRT(COUNT(Resultados!G49,Resultados!Q49,Resultados!AA49,Resultados!AK49,Resultados!AU49,Resultados!BE49,Resultados!BO49,Resultados!BY49,Resultados!CI49,Resultados!CS49,Resultados!DC49,Resultados!DM49)))</f>
        <v>3.3474483693592253E-17</v>
      </c>
      <c r="H49">
        <f>IF(COUNT(Resultados!H49,Resultados!R49,Resultados!AB49,Resultados!AL49,Resultados!AV49,Resultados!BF49,Resultados!BP49,Resultados!BZ49,Resultados!CJ49,Resultados!CT49,Resultados!DD49,Resultados!DN49)&lt;=1, "", _xlfn.STDEV.S(ABS(Resultados!H49),ABS(Resultados!R49),ABS(Resultados!AB49),ABS(Resultados!AL49),ABS(Resultados!AV49),ABS(Resultados!BF49),ABS(Resultados!BP49),ABS(Resultados!BZ49),ABS(Resultados!CJ49),ABS(Resultados!CT49),ABS(Resultados!DD49),ABS(Resultados!DN49))/SQRT(COUNT(Resultados!H49,Resultados!R49,Resultados!AB49,Resultados!AL49,Resultados!AV49,Resultados!BF49,Resultados!BP49,Resultados!BZ49,Resultados!CJ49,Resultados!CT49,Resultados!DD49,Resultados!DN49)))</f>
        <v>7.5509632136930326E-4</v>
      </c>
      <c r="I49">
        <f>IF(COUNT(Resultados!I49,Resultados!S49,Resultados!AC49,Resultados!AM49,Resultados!AW49,Resultados!BG49,Resultados!BQ49,Resultados!CA49,Resultados!CK49,Resultados!CU49,Resultados!DE49,Resultados!DO49)&lt;=1, "", _xlfn.STDEV.S(ABS(Resultados!I49),ABS(Resultados!S49),ABS(Resultados!AC49),ABS(Resultados!AM49),ABS(Resultados!AW49),ABS(Resultados!BG49),ABS(Resultados!BQ49),ABS(Resultados!CA49),ABS(Resultados!CK49),ABS(Resultados!CU49),ABS(Resultados!DE49),ABS(Resultados!DO49))/SQRT(COUNT(Resultados!I49,Resultados!S49,Resultados!AC49,Resultados!AM49,Resultados!AW49,Resultados!BG49,Resultados!BQ49,Resultados!CA49,Resultados!CK49,Resultados!CU49,Resultados!DE49,Resultados!DO49)))</f>
        <v>3.3588977460145365E-2</v>
      </c>
      <c r="J49">
        <f>IF(COUNT(Resultados!J49,Resultados!T49,Resultados!AD49,Resultados!AN49,Resultados!AX49,Resultados!BH49,Resultados!BR49,Resultados!CB49,Resultados!CL49,Resultados!CV49,Resultados!DF49,Resultados!DP49)&lt;=1, "", _xlfn.STDEV.S(ABS(Resultados!J49),ABS(Resultados!T49),ABS(Resultados!AD49),ABS(Resultados!AN49),ABS(Resultados!AX49),ABS(Resultados!BH49),ABS(Resultados!BR49),ABS(Resultados!CB49),ABS(Resultados!CL49),ABS(Resultados!CV49),ABS(Resultados!DF49),ABS(Resultados!DP49))/SQRT(COUNT(Resultados!J49,Resultados!T49,Resultados!AD49,Resultados!AN49,Resultados!AX49,Resultados!BH49,Resultados!BR49,Resultados!CB49,Resultados!CL49,Resultados!CV49,Resultados!DF49,Resultados!DP49)))</f>
        <v>7.5509632136930326E-4</v>
      </c>
    </row>
    <row r="50" spans="1:10" x14ac:dyDescent="0.3">
      <c r="A50">
        <f>IF(COUNT(Resultados!A50,Resultados!K50,Resultados!U50,Resultados!AE50,Resultados!AO50,Resultados!AY50,Resultados!BI50,Resultados!BS50,Resultados!CC50,Resultados!CM50,Resultados!CW50,Resultados!DG50)&lt;=1, "", _xlfn.STDEV.S(ABS(Resultados!A50),ABS(Resultados!K50),ABS(Resultados!U50),ABS(Resultados!AE50),ABS(Resultados!AO50),ABS(Resultados!AY50),ABS(Resultados!BI50),ABS(Resultados!BS50),ABS(Resultados!CC50),ABS(Resultados!CM50),ABS(Resultados!CW50),ABS(Resultados!DG50))/SQRT(COUNT(Resultados!A50,Resultados!K50,Resultados!U50,Resultados!AE50,Resultados!AO50,Resultados!AY50,Resultados!BI50,Resultados!BS50,Resultados!CC50,Resultados!CM50,Resultados!CW50,Resultados!DG50)))</f>
        <v>0</v>
      </c>
      <c r="B50" t="str">
        <f>IF(COUNT(Resultados!B50,Resultados!L50,Resultados!V50,Resultados!AF50,Resultados!AP50,Resultados!AZ50,Resultados!BJ50,Resultados!BT50,Resultados!CD50,Resultados!CN50,Resultados!CX50,Resultados!DH50)&lt;=1, "", _xlfn.STDEV.S(ABS(Resultados!B50),ABS(Resultados!L50),ABS(Resultados!V50),ABS(Resultados!AF50),ABS(Resultados!AP50),ABS(Resultados!AZ50),ABS(Resultados!BJ50),ABS(Resultados!BT50),ABS(Resultados!CD50),ABS(Resultados!CN50),ABS(Resultados!CX50),ABS(Resultados!DH50))/SQRT(COUNT(Resultados!B50,Resultados!L50,Resultados!V50,Resultados!AF50,Resultados!AP50,Resultados!AZ50,Resultados!BJ50,Resultados!BT50,Resultados!CD50,Resultados!CN50,Resultados!CX50,Resultados!DH50)))</f>
        <v/>
      </c>
      <c r="C50">
        <f>IF(COUNT(Resultados!C50,Resultados!M50,Resultados!W50,Resultados!AG50,Resultados!AQ50,Resultados!BA50,Resultados!BK50,Resultados!BU50,Resultados!CE50,Resultados!CO50,Resultados!CY50,Resultados!DI50)&lt;=1, "", _xlfn.STDEV.S(ABS(Resultados!C50),ABS(Resultados!M50),ABS(Resultados!W50),ABS(Resultados!AG50),ABS(Resultados!AQ50),ABS(Resultados!BA50),ABS(Resultados!BK50),ABS(Resultados!BU50),ABS(Resultados!CE50),ABS(Resultados!CO50),ABS(Resultados!CY50),ABS(Resultados!DI50))/SQRT(COUNT(Resultados!C50,Resultados!M50,Resultados!W50,Resultados!AG50,Resultados!AQ50,Resultados!BA50,Resultados!BK50,Resultados!BU50,Resultados!CE50,Resultados!CO50,Resultados!CY50,Resultados!DI50)))</f>
        <v>0.45156853457049168</v>
      </c>
      <c r="D50">
        <f>IF(COUNT(Resultados!D50,Resultados!N50,Resultados!X50,Resultados!AH50,Resultados!AR50,Resultados!BB50,Resultados!BL50,Resultados!BV50,Resultados!CF50,Resultados!CP50,Resultados!CZ50,Resultados!DJ50)&lt;=1, "", _xlfn.STDEV.S(ABS(Resultados!D50),ABS(Resultados!N50),ABS(Resultados!X50),ABS(Resultados!AH50),ABS(Resultados!AR50),ABS(Resultados!BB50),ABS(Resultados!BL50),ABS(Resultados!BV50),ABS(Resultados!CF50),ABS(Resultados!CP50),ABS(Resultados!CZ50),ABS(Resultados!DJ50))/SQRT(COUNT(Resultados!D50,Resultados!N50,Resultados!X50,Resultados!AH50,Resultados!AR50,Resultados!BB50,Resultados!BL50,Resultados!BV50,Resultados!CF50,Resultados!CP50,Resultados!CZ50,Resultados!DJ50)))</f>
        <v>3.2461126712958499E-4</v>
      </c>
      <c r="E50">
        <f>IF(COUNT(Resultados!E50,Resultados!O50,Resultados!Y50,Resultados!AI50,Resultados!AS50,Resultados!BC50,Resultados!BM50,Resultados!BW50,Resultados!CG50,Resultados!CQ50,Resultados!DA50,Resultados!DK50)&lt;=1, "", _xlfn.STDEV.S(ABS(Resultados!E50),ABS(Resultados!O50),ABS(Resultados!Y50),ABS(Resultados!AI50),ABS(Resultados!AS50),ABS(Resultados!BC50),ABS(Resultados!BM50),ABS(Resultados!BW50),ABS(Resultados!CG50),ABS(Resultados!CQ50),ABS(Resultados!DA50),ABS(Resultados!DK50))/SQRT(COUNT(Resultados!E50,Resultados!O50,Resultados!Y50,Resultados!AI50,Resultados!AS50,Resultados!BC50,Resultados!BM50,Resultados!BW50,Resultados!CG50,Resultados!CQ50,Resultados!DA50,Resultados!DK50)))</f>
        <v>5.9656963611842591E-2</v>
      </c>
      <c r="F50">
        <f>IF(COUNT(Resultados!F50,Resultados!P50,Resultados!Z50,Resultados!AJ50,Resultados!AT50,Resultados!BD50,Resultados!BN50,Resultados!BX50,Resultados!CH50,Resultados!CR50,Resultados!DB50,Resultados!DL50)&lt;=1, "", _xlfn.STDEV.S(ABS(Resultados!F50),ABS(Resultados!P50),ABS(Resultados!Z50),ABS(Resultados!AJ50),ABS(Resultados!AT50),ABS(Resultados!BD50),ABS(Resultados!BN50),ABS(Resultados!BX50),ABS(Resultados!CH50),ABS(Resultados!CR50),ABS(Resultados!DB50),ABS(Resultados!DL50))/SQRT(COUNT(Resultados!F50,Resultados!P50,Resultados!Z50,Resultados!AJ50,Resultados!AT50,Resultados!BD50,Resultados!BN50,Resultados!BX50,Resultados!CH50,Resultados!CR50,Resultados!DB50,Resultados!DL50)))</f>
        <v>12.396366966248815</v>
      </c>
      <c r="G50">
        <f>IF(COUNT(Resultados!G50,Resultados!Q50,Resultados!AA50,Resultados!AK50,Resultados!AU50,Resultados!BE50,Resultados!BO50,Resultados!BY50,Resultados!CI50,Resultados!CS50,Resultados!DC50,Resultados!DM50)&lt;=1, "", _xlfn.STDEV.S(ABS(Resultados!G50),ABS(Resultados!Q50),ABS(Resultados!AA50),ABS(Resultados!AK50),ABS(Resultados!AU50),ABS(Resultados!BE50),ABS(Resultados!BO50),ABS(Resultados!BY50),ABS(Resultados!CI50),ABS(Resultados!CS50),ABS(Resultados!DC50),ABS(Resultados!DM50))/SQRT(COUNT(Resultados!G50,Resultados!Q50,Resultados!AA50,Resultados!AK50,Resultados!AU50,Resultados!BE50,Resultados!BO50,Resultados!BY50,Resultados!CI50,Resultados!CS50,Resultados!DC50,Resultados!DM50)))</f>
        <v>3.3474483693592253E-17</v>
      </c>
      <c r="H50">
        <f>IF(COUNT(Resultados!H50,Resultados!R50,Resultados!AB50,Resultados!AL50,Resultados!AV50,Resultados!BF50,Resultados!BP50,Resultados!BZ50,Resultados!CJ50,Resultados!CT50,Resultados!DD50,Resultados!DN50)&lt;=1, "", _xlfn.STDEV.S(ABS(Resultados!H50),ABS(Resultados!R50),ABS(Resultados!AB50),ABS(Resultados!AL50),ABS(Resultados!AV50),ABS(Resultados!BF50),ABS(Resultados!BP50),ABS(Resultados!BZ50),ABS(Resultados!CJ50),ABS(Resultados!CT50),ABS(Resultados!DD50),ABS(Resultados!DN50))/SQRT(COUNT(Resultados!H50,Resultados!R50,Resultados!AB50,Resultados!AL50,Resultados!AV50,Resultados!BF50,Resultados!BP50,Resultados!BZ50,Resultados!CJ50,Resultados!CT50,Resultados!DD50,Resultados!DN50)))</f>
        <v>9.3216918740076011E-4</v>
      </c>
      <c r="I50">
        <f>IF(COUNT(Resultados!I50,Resultados!S50,Resultados!AC50,Resultados!AM50,Resultados!AW50,Resultados!BG50,Resultados!BQ50,Resultados!CA50,Resultados!CK50,Resultados!CU50,Resultados!DE50,Resultados!DO50)&lt;=1, "", _xlfn.STDEV.S(ABS(Resultados!I50),ABS(Resultados!S50),ABS(Resultados!AC50),ABS(Resultados!AM50),ABS(Resultados!AW50),ABS(Resultados!BG50),ABS(Resultados!BQ50),ABS(Resultados!CA50),ABS(Resultados!CK50),ABS(Resultados!CU50),ABS(Resultados!DE50),ABS(Resultados!DO50))/SQRT(COUNT(Resultados!I50,Resultados!S50,Resultados!AC50,Resultados!AM50,Resultados!AW50,Resultados!BG50,Resultados!BQ50,Resultados!CA50,Resultados!CK50,Resultados!CU50,Resultados!DE50,Resultados!DO50)))</f>
        <v>3.342582142036666E-2</v>
      </c>
      <c r="J50">
        <f>IF(COUNT(Resultados!J50,Resultados!T50,Resultados!AD50,Resultados!AN50,Resultados!AX50,Resultados!BH50,Resultados!BR50,Resultados!CB50,Resultados!CL50,Resultados!CV50,Resultados!DF50,Resultados!DP50)&lt;=1, "", _xlfn.STDEV.S(ABS(Resultados!J50),ABS(Resultados!T50),ABS(Resultados!AD50),ABS(Resultados!AN50),ABS(Resultados!AX50),ABS(Resultados!BH50),ABS(Resultados!BR50),ABS(Resultados!CB50),ABS(Resultados!CL50),ABS(Resultados!CV50),ABS(Resultados!DF50),ABS(Resultados!DP50))/SQRT(COUNT(Resultados!J50,Resultados!T50,Resultados!AD50,Resultados!AN50,Resultados!AX50,Resultados!BH50,Resultados!BR50,Resultados!CB50,Resultados!CL50,Resultados!CV50,Resultados!DF50,Resultados!DP50)))</f>
        <v>9.3216918740076011E-4</v>
      </c>
    </row>
    <row r="51" spans="1:10" x14ac:dyDescent="0.3">
      <c r="A51">
        <f>IF(COUNT(Resultados!A51,Resultados!K51,Resultados!U51,Resultados!AE51,Resultados!AO51,Resultados!AY51,Resultados!BI51,Resultados!BS51,Resultados!CC51,Resultados!CM51,Resultados!CW51,Resultados!DG51)&lt;=1, "", _xlfn.STDEV.S(ABS(Resultados!A51),ABS(Resultados!K51),ABS(Resultados!U51),ABS(Resultados!AE51),ABS(Resultados!AO51),ABS(Resultados!AY51),ABS(Resultados!BI51),ABS(Resultados!BS51),ABS(Resultados!CC51),ABS(Resultados!CM51),ABS(Resultados!CW51),ABS(Resultados!DG51))/SQRT(COUNT(Resultados!A51,Resultados!K51,Resultados!U51,Resultados!AE51,Resultados!AO51,Resultados!AY51,Resultados!BI51,Resultados!BS51,Resultados!CC51,Resultados!CM51,Resultados!CW51,Resultados!DG51)))</f>
        <v>0</v>
      </c>
      <c r="B51" t="str">
        <f>IF(COUNT(Resultados!B51,Resultados!L51,Resultados!V51,Resultados!AF51,Resultados!AP51,Resultados!AZ51,Resultados!BJ51,Resultados!BT51,Resultados!CD51,Resultados!CN51,Resultados!CX51,Resultados!DH51)&lt;=1, "", _xlfn.STDEV.S(ABS(Resultados!B51),ABS(Resultados!L51),ABS(Resultados!V51),ABS(Resultados!AF51),ABS(Resultados!AP51),ABS(Resultados!AZ51),ABS(Resultados!BJ51),ABS(Resultados!BT51),ABS(Resultados!CD51),ABS(Resultados!CN51),ABS(Resultados!CX51),ABS(Resultados!DH51))/SQRT(COUNT(Resultados!B51,Resultados!L51,Resultados!V51,Resultados!AF51,Resultados!AP51,Resultados!AZ51,Resultados!BJ51,Resultados!BT51,Resultados!CD51,Resultados!CN51,Resultados!CX51,Resultados!DH51)))</f>
        <v/>
      </c>
      <c r="C51">
        <f>IF(COUNT(Resultados!C51,Resultados!M51,Resultados!W51,Resultados!AG51,Resultados!AQ51,Resultados!BA51,Resultados!BK51,Resultados!BU51,Resultados!CE51,Resultados!CO51,Resultados!CY51,Resultados!DI51)&lt;=1, "", _xlfn.STDEV.S(ABS(Resultados!C51),ABS(Resultados!M51),ABS(Resultados!W51),ABS(Resultados!AG51),ABS(Resultados!AQ51),ABS(Resultados!BA51),ABS(Resultados!BK51),ABS(Resultados!BU51),ABS(Resultados!CE51),ABS(Resultados!CO51),ABS(Resultados!CY51),ABS(Resultados!DI51))/SQRT(COUNT(Resultados!C51,Resultados!M51,Resultados!W51,Resultados!AG51,Resultados!AQ51,Resultados!BA51,Resultados!BK51,Resultados!BU51,Resultados!CE51,Resultados!CO51,Resultados!CY51,Resultados!DI51)))</f>
        <v>0.45156853457049168</v>
      </c>
      <c r="D51">
        <f>IF(COUNT(Resultados!D51,Resultados!N51,Resultados!X51,Resultados!AH51,Resultados!AR51,Resultados!BB51,Resultados!BL51,Resultados!BV51,Resultados!CF51,Resultados!CP51,Resultados!CZ51,Resultados!DJ51)&lt;=1, "", _xlfn.STDEV.S(ABS(Resultados!D51),ABS(Resultados!N51),ABS(Resultados!X51),ABS(Resultados!AH51),ABS(Resultados!AR51),ABS(Resultados!BB51),ABS(Resultados!BL51),ABS(Resultados!BV51),ABS(Resultados!CF51),ABS(Resultados!CP51),ABS(Resultados!CZ51),ABS(Resultados!DJ51))/SQRT(COUNT(Resultados!D51,Resultados!N51,Resultados!X51,Resultados!AH51,Resultados!AR51,Resultados!BB51,Resultados!BL51,Resultados!BV51,Resultados!CF51,Resultados!CP51,Resultados!CZ51,Resultados!DJ51)))</f>
        <v>3.2242570203588509E-4</v>
      </c>
      <c r="E51">
        <f>IF(COUNT(Resultados!E51,Resultados!O51,Resultados!Y51,Resultados!AI51,Resultados!AS51,Resultados!BC51,Resultados!BM51,Resultados!BW51,Resultados!CG51,Resultados!CQ51,Resultados!DA51,Resultados!DK51)&lt;=1, "", _xlfn.STDEV.S(ABS(Resultados!E51),ABS(Resultados!O51),ABS(Resultados!Y51),ABS(Resultados!AI51),ABS(Resultados!AS51),ABS(Resultados!BC51),ABS(Resultados!BM51),ABS(Resultados!BW51),ABS(Resultados!CG51),ABS(Resultados!CQ51),ABS(Resultados!DA51),ABS(Resultados!DK51))/SQRT(COUNT(Resultados!E51,Resultados!O51,Resultados!Y51,Resultados!AI51,Resultados!AS51,Resultados!BC51,Resultados!BM51,Resultados!BW51,Resultados!CG51,Resultados!CQ51,Resultados!DA51,Resultados!DK51)))</f>
        <v>7.016922692514059E-2</v>
      </c>
      <c r="F51">
        <f>IF(COUNT(Resultados!F51,Resultados!P51,Resultados!Z51,Resultados!AJ51,Resultados!AT51,Resultados!BD51,Resultados!BN51,Resultados!BX51,Resultados!CH51,Resultados!CR51,Resultados!DB51,Resultados!DL51)&lt;=1, "", _xlfn.STDEV.S(ABS(Resultados!F51),ABS(Resultados!P51),ABS(Resultados!Z51),ABS(Resultados!AJ51),ABS(Resultados!AT51),ABS(Resultados!BD51),ABS(Resultados!BN51),ABS(Resultados!BX51),ABS(Resultados!CH51),ABS(Resultados!CR51),ABS(Resultados!DB51),ABS(Resultados!DL51))/SQRT(COUNT(Resultados!F51,Resultados!P51,Resultados!Z51,Resultados!AJ51,Resultados!AT51,Resultados!BD51,Resultados!BN51,Resultados!BX51,Resultados!CH51,Resultados!CR51,Resultados!DB51,Resultados!DL51)))</f>
        <v>13.475165829398852</v>
      </c>
      <c r="G51">
        <f>IF(COUNT(Resultados!G51,Resultados!Q51,Resultados!AA51,Resultados!AK51,Resultados!AU51,Resultados!BE51,Resultados!BO51,Resultados!BY51,Resultados!CI51,Resultados!CS51,Resultados!DC51,Resultados!DM51)&lt;=1, "", _xlfn.STDEV.S(ABS(Resultados!G51),ABS(Resultados!Q51),ABS(Resultados!AA51),ABS(Resultados!AK51),ABS(Resultados!AU51),ABS(Resultados!BE51),ABS(Resultados!BO51),ABS(Resultados!BY51),ABS(Resultados!CI51),ABS(Resultados!CS51),ABS(Resultados!DC51),ABS(Resultados!DM51))/SQRT(COUNT(Resultados!G51,Resultados!Q51,Resultados!AA51,Resultados!AK51,Resultados!AU51,Resultados!BE51,Resultados!BO51,Resultados!BY51,Resultados!CI51,Resultados!CS51,Resultados!DC51,Resultados!DM51)))</f>
        <v>3.3474483693592253E-17</v>
      </c>
      <c r="H51">
        <f>IF(COUNT(Resultados!H51,Resultados!R51,Resultados!AB51,Resultados!AL51,Resultados!AV51,Resultados!BF51,Resultados!BP51,Resultados!BZ51,Resultados!CJ51,Resultados!CT51,Resultados!DD51,Resultados!DN51)&lt;=1, "", _xlfn.STDEV.S(ABS(Resultados!H51),ABS(Resultados!R51),ABS(Resultados!AB51),ABS(Resultados!AL51),ABS(Resultados!AV51),ABS(Resultados!BF51),ABS(Resultados!BP51),ABS(Resultados!BZ51),ABS(Resultados!CJ51),ABS(Resultados!CT51),ABS(Resultados!DD51),ABS(Resultados!DN51))/SQRT(COUNT(Resultados!H51,Resultados!R51,Resultados!AB51,Resultados!AL51,Resultados!AV51,Resultados!BF51,Resultados!BP51,Resultados!BZ51,Resultados!CJ51,Resultados!CT51,Resultados!DD51,Resultados!DN51)))</f>
        <v>1.0920396078213023E-3</v>
      </c>
      <c r="I51">
        <f>IF(COUNT(Resultados!I51,Resultados!S51,Resultados!AC51,Resultados!AM51,Resultados!AW51,Resultados!BG51,Resultados!BQ51,Resultados!CA51,Resultados!CK51,Resultados!CU51,Resultados!DE51,Resultados!DO51)&lt;=1, "", _xlfn.STDEV.S(ABS(Resultados!I51),ABS(Resultados!S51),ABS(Resultados!AC51),ABS(Resultados!AM51),ABS(Resultados!AW51),ABS(Resultados!BG51),ABS(Resultados!BQ51),ABS(Resultados!CA51),ABS(Resultados!CK51),ABS(Resultados!CU51),ABS(Resultados!DE51),ABS(Resultados!DO51))/SQRT(COUNT(Resultados!I51,Resultados!S51,Resultados!AC51,Resultados!AM51,Resultados!AW51,Resultados!BG51,Resultados!BQ51,Resultados!CA51,Resultados!CK51,Resultados!CU51,Resultados!DE51,Resultados!DO51)))</f>
        <v>3.3541961631490785E-2</v>
      </c>
      <c r="J51">
        <f>IF(COUNT(Resultados!J51,Resultados!T51,Resultados!AD51,Resultados!AN51,Resultados!AX51,Resultados!BH51,Resultados!BR51,Resultados!CB51,Resultados!CL51,Resultados!CV51,Resultados!DF51,Resultados!DP51)&lt;=1, "", _xlfn.STDEV.S(ABS(Resultados!J51),ABS(Resultados!T51),ABS(Resultados!AD51),ABS(Resultados!AN51),ABS(Resultados!AX51),ABS(Resultados!BH51),ABS(Resultados!BR51),ABS(Resultados!CB51),ABS(Resultados!CL51),ABS(Resultados!CV51),ABS(Resultados!DF51),ABS(Resultados!DP51))/SQRT(COUNT(Resultados!J51,Resultados!T51,Resultados!AD51,Resultados!AN51,Resultados!AX51,Resultados!BH51,Resultados!BR51,Resultados!CB51,Resultados!CL51,Resultados!CV51,Resultados!DF51,Resultados!DP51)))</f>
        <v>1.0920396078213023E-3</v>
      </c>
    </row>
    <row r="52" spans="1:10" x14ac:dyDescent="0.3">
      <c r="A52">
        <f>IF(COUNT(Resultados!A52,Resultados!K52,Resultados!U52,Resultados!AE52,Resultados!AO52,Resultados!AY52,Resultados!BI52,Resultados!BS52,Resultados!CC52,Resultados!CM52,Resultados!CW52,Resultados!DG52)&lt;=1, "", _xlfn.STDEV.S(ABS(Resultados!A52),ABS(Resultados!K52),ABS(Resultados!U52),ABS(Resultados!AE52),ABS(Resultados!AO52),ABS(Resultados!AY52),ABS(Resultados!BI52),ABS(Resultados!BS52),ABS(Resultados!CC52),ABS(Resultados!CM52),ABS(Resultados!CW52),ABS(Resultados!DG52))/SQRT(COUNT(Resultados!A52,Resultados!K52,Resultados!U52,Resultados!AE52,Resultados!AO52,Resultados!AY52,Resultados!BI52,Resultados!BS52,Resultados!CC52,Resultados!CM52,Resultados!CW52,Resultados!DG52)))</f>
        <v>0</v>
      </c>
      <c r="B52" t="str">
        <f>IF(COUNT(Resultados!B52,Resultados!L52,Resultados!V52,Resultados!AF52,Resultados!AP52,Resultados!AZ52,Resultados!BJ52,Resultados!BT52,Resultados!CD52,Resultados!CN52,Resultados!CX52,Resultados!DH52)&lt;=1, "", _xlfn.STDEV.S(ABS(Resultados!B52),ABS(Resultados!L52),ABS(Resultados!V52),ABS(Resultados!AF52),ABS(Resultados!AP52),ABS(Resultados!AZ52),ABS(Resultados!BJ52),ABS(Resultados!BT52),ABS(Resultados!CD52),ABS(Resultados!CN52),ABS(Resultados!CX52),ABS(Resultados!DH52))/SQRT(COUNT(Resultados!B52,Resultados!L52,Resultados!V52,Resultados!AF52,Resultados!AP52,Resultados!AZ52,Resultados!BJ52,Resultados!BT52,Resultados!CD52,Resultados!CN52,Resultados!CX52,Resultados!DH52)))</f>
        <v/>
      </c>
      <c r="C52">
        <f>IF(COUNT(Resultados!C52,Resultados!M52,Resultados!W52,Resultados!AG52,Resultados!AQ52,Resultados!BA52,Resultados!BK52,Resultados!BU52,Resultados!CE52,Resultados!CO52,Resultados!CY52,Resultados!DI52)&lt;=1, "", _xlfn.STDEV.S(ABS(Resultados!C52),ABS(Resultados!M52),ABS(Resultados!W52),ABS(Resultados!AG52),ABS(Resultados!AQ52),ABS(Resultados!BA52),ABS(Resultados!BK52),ABS(Resultados!BU52),ABS(Resultados!CE52),ABS(Resultados!CO52),ABS(Resultados!CY52),ABS(Resultados!DI52))/SQRT(COUNT(Resultados!C52,Resultados!M52,Resultados!W52,Resultados!AG52,Resultados!AQ52,Resultados!BA52,Resultados!BK52,Resultados!BU52,Resultados!CE52,Resultados!CO52,Resultados!CY52,Resultados!DI52)))</f>
        <v>0.45156853457049168</v>
      </c>
      <c r="D52">
        <f>IF(COUNT(Resultados!D52,Resultados!N52,Resultados!X52,Resultados!AH52,Resultados!AR52,Resultados!BB52,Resultados!BL52,Resultados!BV52,Resultados!CF52,Resultados!CP52,Resultados!CZ52,Resultados!DJ52)&lt;=1, "", _xlfn.STDEV.S(ABS(Resultados!D52),ABS(Resultados!N52),ABS(Resultados!X52),ABS(Resultados!AH52),ABS(Resultados!AR52),ABS(Resultados!BB52),ABS(Resultados!BL52),ABS(Resultados!BV52),ABS(Resultados!CF52),ABS(Resultados!CP52),ABS(Resultados!CZ52),ABS(Resultados!DJ52))/SQRT(COUNT(Resultados!D52,Resultados!N52,Resultados!X52,Resultados!AH52,Resultados!AR52,Resultados!BB52,Resultados!BL52,Resultados!BV52,Resultados!CF52,Resultados!CP52,Resultados!CZ52,Resultados!DJ52)))</f>
        <v>4.6596267245479247E-4</v>
      </c>
      <c r="E52">
        <f>IF(COUNT(Resultados!E52,Resultados!O52,Resultados!Y52,Resultados!AI52,Resultados!AS52,Resultados!BC52,Resultados!BM52,Resultados!BW52,Resultados!CG52,Resultados!CQ52,Resultados!DA52,Resultados!DK52)&lt;=1, "", _xlfn.STDEV.S(ABS(Resultados!E52),ABS(Resultados!O52),ABS(Resultados!Y52),ABS(Resultados!AI52),ABS(Resultados!AS52),ABS(Resultados!BC52),ABS(Resultados!BM52),ABS(Resultados!BW52),ABS(Resultados!CG52),ABS(Resultados!CQ52),ABS(Resultados!DA52),ABS(Resultados!DK52))/SQRT(COUNT(Resultados!E52,Resultados!O52,Resultados!Y52,Resultados!AI52,Resultados!AS52,Resultados!BC52,Resultados!BM52,Resultados!BW52,Resultados!CG52,Resultados!CQ52,Resultados!DA52,Resultados!DK52)))</f>
        <v>7.9354547845330609E-2</v>
      </c>
      <c r="F52">
        <f>IF(COUNT(Resultados!F52,Resultados!P52,Resultados!Z52,Resultados!AJ52,Resultados!AT52,Resultados!BD52,Resultados!BN52,Resultados!BX52,Resultados!CH52,Resultados!CR52,Resultados!DB52,Resultados!DL52)&lt;=1, "", _xlfn.STDEV.S(ABS(Resultados!F52),ABS(Resultados!P52),ABS(Resultados!Z52),ABS(Resultados!AJ52),ABS(Resultados!AT52),ABS(Resultados!BD52),ABS(Resultados!BN52),ABS(Resultados!BX52),ABS(Resultados!CH52),ABS(Resultados!CR52),ABS(Resultados!DB52),ABS(Resultados!DL52))/SQRT(COUNT(Resultados!F52,Resultados!P52,Resultados!Z52,Resultados!AJ52,Resultados!AT52,Resultados!BD52,Resultados!BN52,Resultados!BX52,Resultados!CH52,Resultados!CR52,Resultados!DB52,Resultados!DL52)))</f>
        <v>14.424355989288449</v>
      </c>
      <c r="G52">
        <f>IF(COUNT(Resultados!G52,Resultados!Q52,Resultados!AA52,Resultados!AK52,Resultados!AU52,Resultados!BE52,Resultados!BO52,Resultados!BY52,Resultados!CI52,Resultados!CS52,Resultados!DC52,Resultados!DM52)&lt;=1, "", _xlfn.STDEV.S(ABS(Resultados!G52),ABS(Resultados!Q52),ABS(Resultados!AA52),ABS(Resultados!AK52),ABS(Resultados!AU52),ABS(Resultados!BE52),ABS(Resultados!BO52),ABS(Resultados!BY52),ABS(Resultados!CI52),ABS(Resultados!CS52),ABS(Resultados!DC52),ABS(Resultados!DM52))/SQRT(COUNT(Resultados!G52,Resultados!Q52,Resultados!AA52,Resultados!AK52,Resultados!AU52,Resultados!BE52,Resultados!BO52,Resultados!BY52,Resultados!CI52,Resultados!CS52,Resultados!DC52,Resultados!DM52)))</f>
        <v>3.3474483693592253E-17</v>
      </c>
      <c r="H52">
        <f>IF(COUNT(Resultados!H52,Resultados!R52,Resultados!AB52,Resultados!AL52,Resultados!AV52,Resultados!BF52,Resultados!BP52,Resultados!BZ52,Resultados!CJ52,Resultados!CT52,Resultados!DD52,Resultados!DN52)&lt;=1, "", _xlfn.STDEV.S(ABS(Resultados!H52),ABS(Resultados!R52),ABS(Resultados!AB52),ABS(Resultados!AL52),ABS(Resultados!AV52),ABS(Resultados!BF52),ABS(Resultados!BP52),ABS(Resultados!BZ52),ABS(Resultados!CJ52),ABS(Resultados!CT52),ABS(Resultados!DD52),ABS(Resultados!DN52))/SQRT(COUNT(Resultados!H52,Resultados!R52,Resultados!AB52,Resultados!AL52,Resultados!AV52,Resultados!BF52,Resultados!BP52,Resultados!BZ52,Resultados!CJ52,Resultados!CT52,Resultados!DD52,Resultados!DN52)))</f>
        <v>1.2332591091506417E-3</v>
      </c>
      <c r="I52">
        <f>IF(COUNT(Resultados!I52,Resultados!S52,Resultados!AC52,Resultados!AM52,Resultados!AW52,Resultados!BG52,Resultados!BQ52,Resultados!CA52,Resultados!CK52,Resultados!CU52,Resultados!DE52,Resultados!DO52)&lt;=1, "", _xlfn.STDEV.S(ABS(Resultados!I52),ABS(Resultados!S52),ABS(Resultados!AC52),ABS(Resultados!AM52),ABS(Resultados!AW52),ABS(Resultados!BG52),ABS(Resultados!BQ52),ABS(Resultados!CA52),ABS(Resultados!CK52),ABS(Resultados!CU52),ABS(Resultados!DE52),ABS(Resultados!DO52))/SQRT(COUNT(Resultados!I52,Resultados!S52,Resultados!AC52,Resultados!AM52,Resultados!AW52,Resultados!BG52,Resultados!BQ52,Resultados!CA52,Resultados!CK52,Resultados!CU52,Resultados!DE52,Resultados!DO52)))</f>
        <v>3.3632139139234463E-2</v>
      </c>
      <c r="J52">
        <f>IF(COUNT(Resultados!J52,Resultados!T52,Resultados!AD52,Resultados!AN52,Resultados!AX52,Resultados!BH52,Resultados!BR52,Resultados!CB52,Resultados!CL52,Resultados!CV52,Resultados!DF52,Resultados!DP52)&lt;=1, "", _xlfn.STDEV.S(ABS(Resultados!J52),ABS(Resultados!T52),ABS(Resultados!AD52),ABS(Resultados!AN52),ABS(Resultados!AX52),ABS(Resultados!BH52),ABS(Resultados!BR52),ABS(Resultados!CB52),ABS(Resultados!CL52),ABS(Resultados!CV52),ABS(Resultados!DF52),ABS(Resultados!DP52))/SQRT(COUNT(Resultados!J52,Resultados!T52,Resultados!AD52,Resultados!AN52,Resultados!AX52,Resultados!BH52,Resultados!BR52,Resultados!CB52,Resultados!CL52,Resultados!CV52,Resultados!DF52,Resultados!DP52)))</f>
        <v>1.2332591091506417E-3</v>
      </c>
    </row>
    <row r="53" spans="1:10" x14ac:dyDescent="0.3">
      <c r="A53">
        <f>IF(COUNT(Resultados!A53,Resultados!K53,Resultados!U53,Resultados!AE53,Resultados!AO53,Resultados!AY53,Resultados!BI53,Resultados!BS53,Resultados!CC53,Resultados!CM53,Resultados!CW53,Resultados!DG53)&lt;=1, "", _xlfn.STDEV.S(ABS(Resultados!A53),ABS(Resultados!K53),ABS(Resultados!U53),ABS(Resultados!AE53),ABS(Resultados!AO53),ABS(Resultados!AY53),ABS(Resultados!BI53),ABS(Resultados!BS53),ABS(Resultados!CC53),ABS(Resultados!CM53),ABS(Resultados!CW53),ABS(Resultados!DG53))/SQRT(COUNT(Resultados!A53,Resultados!K53,Resultados!U53,Resultados!AE53,Resultados!AO53,Resultados!AY53,Resultados!BI53,Resultados!BS53,Resultados!CC53,Resultados!CM53,Resultados!CW53,Resultados!DG53)))</f>
        <v>0</v>
      </c>
      <c r="B53" t="str">
        <f>IF(COUNT(Resultados!B53,Resultados!L53,Resultados!V53,Resultados!AF53,Resultados!AP53,Resultados!AZ53,Resultados!BJ53,Resultados!BT53,Resultados!CD53,Resultados!CN53,Resultados!CX53,Resultados!DH53)&lt;=1, "", _xlfn.STDEV.S(ABS(Resultados!B53),ABS(Resultados!L53),ABS(Resultados!V53),ABS(Resultados!AF53),ABS(Resultados!AP53),ABS(Resultados!AZ53),ABS(Resultados!BJ53),ABS(Resultados!BT53),ABS(Resultados!CD53),ABS(Resultados!CN53),ABS(Resultados!CX53),ABS(Resultados!DH53))/SQRT(COUNT(Resultados!B53,Resultados!L53,Resultados!V53,Resultados!AF53,Resultados!AP53,Resultados!AZ53,Resultados!BJ53,Resultados!BT53,Resultados!CD53,Resultados!CN53,Resultados!CX53,Resultados!DH53)))</f>
        <v/>
      </c>
      <c r="C53">
        <f>IF(COUNT(Resultados!C53,Resultados!M53,Resultados!W53,Resultados!AG53,Resultados!AQ53,Resultados!BA53,Resultados!BK53,Resultados!BU53,Resultados!CE53,Resultados!CO53,Resultados!CY53,Resultados!DI53)&lt;=1, "", _xlfn.STDEV.S(ABS(Resultados!C53),ABS(Resultados!M53),ABS(Resultados!W53),ABS(Resultados!AG53),ABS(Resultados!AQ53),ABS(Resultados!BA53),ABS(Resultados!BK53),ABS(Resultados!BU53),ABS(Resultados!CE53),ABS(Resultados!CO53),ABS(Resultados!CY53),ABS(Resultados!DI53))/SQRT(COUNT(Resultados!C53,Resultados!M53,Resultados!W53,Resultados!AG53,Resultados!AQ53,Resultados!BA53,Resultados!BK53,Resultados!BU53,Resultados!CE53,Resultados!CO53,Resultados!CY53,Resultados!DI53)))</f>
        <v>0.45156853457049168</v>
      </c>
      <c r="D53">
        <f>IF(COUNT(Resultados!D53,Resultados!N53,Resultados!X53,Resultados!AH53,Resultados!AR53,Resultados!BB53,Resultados!BL53,Resultados!BV53,Resultados!CF53,Resultados!CP53,Resultados!CZ53,Resultados!DJ53)&lt;=1, "", _xlfn.STDEV.S(ABS(Resultados!D53),ABS(Resultados!N53),ABS(Resultados!X53),ABS(Resultados!AH53),ABS(Resultados!AR53),ABS(Resultados!BB53),ABS(Resultados!BL53),ABS(Resultados!BV53),ABS(Resultados!CF53),ABS(Resultados!CP53),ABS(Resultados!CZ53),ABS(Resultados!DJ53))/SQRT(COUNT(Resultados!D53,Resultados!N53,Resultados!X53,Resultados!AH53,Resultados!AR53,Resultados!BB53,Resultados!BL53,Resultados!BV53,Resultados!CF53,Resultados!CP53,Resultados!CZ53,Resultados!DJ53)))</f>
        <v>6.0870681768729188E-4</v>
      </c>
      <c r="E53">
        <f>IF(COUNT(Resultados!E53,Resultados!O53,Resultados!Y53,Resultados!AI53,Resultados!AS53,Resultados!BC53,Resultados!BM53,Resultados!BW53,Resultados!CG53,Resultados!CQ53,Resultados!DA53,Resultados!DK53)&lt;=1, "", _xlfn.STDEV.S(ABS(Resultados!E53),ABS(Resultados!O53),ABS(Resultados!Y53),ABS(Resultados!AI53),ABS(Resultados!AS53),ABS(Resultados!BC53),ABS(Resultados!BM53),ABS(Resultados!BW53),ABS(Resultados!CG53),ABS(Resultados!CQ53),ABS(Resultados!DA53),ABS(Resultados!DK53))/SQRT(COUNT(Resultados!E53,Resultados!O53,Resultados!Y53,Resultados!AI53,Resultados!AS53,Resultados!BC53,Resultados!BM53,Resultados!BW53,Resultados!CG53,Resultados!CQ53,Resultados!DA53,Resultados!DK53)))</f>
        <v>8.681547341783287E-2</v>
      </c>
      <c r="F53">
        <f>IF(COUNT(Resultados!F53,Resultados!P53,Resultados!Z53,Resultados!AJ53,Resultados!AT53,Resultados!BD53,Resultados!BN53,Resultados!BX53,Resultados!CH53,Resultados!CR53,Resultados!DB53,Resultados!DL53)&lt;=1, "", _xlfn.STDEV.S(ABS(Resultados!F53),ABS(Resultados!P53),ABS(Resultados!Z53),ABS(Resultados!AJ53),ABS(Resultados!AT53),ABS(Resultados!BD53),ABS(Resultados!BN53),ABS(Resultados!BX53),ABS(Resultados!CH53),ABS(Resultados!CR53),ABS(Resultados!DB53),ABS(Resultados!DL53))/SQRT(COUNT(Resultados!F53,Resultados!P53,Resultados!Z53,Resultados!AJ53,Resultados!AT53,Resultados!BD53,Resultados!BN53,Resultados!BX53,Resultados!CH53,Resultados!CR53,Resultados!DB53,Resultados!DL53)))</f>
        <v>8.2387884273523433</v>
      </c>
      <c r="G53">
        <f>IF(COUNT(Resultados!G53,Resultados!Q53,Resultados!AA53,Resultados!AK53,Resultados!AU53,Resultados!BE53,Resultados!BO53,Resultados!BY53,Resultados!CI53,Resultados!CS53,Resultados!DC53,Resultados!DM53)&lt;=1, "", _xlfn.STDEV.S(ABS(Resultados!G53),ABS(Resultados!Q53),ABS(Resultados!AA53),ABS(Resultados!AK53),ABS(Resultados!AU53),ABS(Resultados!BE53),ABS(Resultados!BO53),ABS(Resultados!BY53),ABS(Resultados!CI53),ABS(Resultados!CS53),ABS(Resultados!DC53),ABS(Resultados!DM53))/SQRT(COUNT(Resultados!G53,Resultados!Q53,Resultados!AA53,Resultados!AK53,Resultados!AU53,Resultados!BE53,Resultados!BO53,Resultados!BY53,Resultados!CI53,Resultados!CS53,Resultados!DC53,Resultados!DM53)))</f>
        <v>3.3474483693592253E-17</v>
      </c>
      <c r="H53">
        <f>IF(COUNT(Resultados!H53,Resultados!R53,Resultados!AB53,Resultados!AL53,Resultados!AV53,Resultados!BF53,Resultados!BP53,Resultados!BZ53,Resultados!CJ53,Resultados!CT53,Resultados!DD53,Resultados!DN53)&lt;=1, "", _xlfn.STDEV.S(ABS(Resultados!H53),ABS(Resultados!R53),ABS(Resultados!AB53),ABS(Resultados!AL53),ABS(Resultados!AV53),ABS(Resultados!BF53),ABS(Resultados!BP53),ABS(Resultados!BZ53),ABS(Resultados!CJ53),ABS(Resultados!CT53),ABS(Resultados!DD53),ABS(Resultados!DN53))/SQRT(COUNT(Resultados!H53,Resultados!R53,Resultados!AB53,Resultados!AL53,Resultados!AV53,Resultados!BF53,Resultados!BP53,Resultados!BZ53,Resultados!CJ53,Resultados!CT53,Resultados!DD53,Resultados!DN53)))</f>
        <v>1.354472576169764E-3</v>
      </c>
      <c r="I53">
        <f>IF(COUNT(Resultados!I53,Resultados!S53,Resultados!AC53,Resultados!AM53,Resultados!AW53,Resultados!BG53,Resultados!BQ53,Resultados!CA53,Resultados!CK53,Resultados!CU53,Resultados!DE53,Resultados!DO53)&lt;=1, "", _xlfn.STDEV.S(ABS(Resultados!I53),ABS(Resultados!S53),ABS(Resultados!AC53),ABS(Resultados!AM53),ABS(Resultados!AW53),ABS(Resultados!BG53),ABS(Resultados!BQ53),ABS(Resultados!CA53),ABS(Resultados!CK53),ABS(Resultados!CU53),ABS(Resultados!DE53),ABS(Resultados!DO53))/SQRT(COUNT(Resultados!I53,Resultados!S53,Resultados!AC53,Resultados!AM53,Resultados!AW53,Resultados!BG53,Resultados!BQ53,Resultados!CA53,Resultados!CK53,Resultados!CU53,Resultados!DE53,Resultados!DO53)))</f>
        <v>3.3525123244711783E-2</v>
      </c>
      <c r="J53">
        <f>IF(COUNT(Resultados!J53,Resultados!T53,Resultados!AD53,Resultados!AN53,Resultados!AX53,Resultados!BH53,Resultados!BR53,Resultados!CB53,Resultados!CL53,Resultados!CV53,Resultados!DF53,Resultados!DP53)&lt;=1, "", _xlfn.STDEV.S(ABS(Resultados!J53),ABS(Resultados!T53),ABS(Resultados!AD53),ABS(Resultados!AN53),ABS(Resultados!AX53),ABS(Resultados!BH53),ABS(Resultados!BR53),ABS(Resultados!CB53),ABS(Resultados!CL53),ABS(Resultados!CV53),ABS(Resultados!DF53),ABS(Resultados!DP53))/SQRT(COUNT(Resultados!J53,Resultados!T53,Resultados!AD53,Resultados!AN53,Resultados!AX53,Resultados!BH53,Resultados!BR53,Resultados!CB53,Resultados!CL53,Resultados!CV53,Resultados!DF53,Resultados!DP53)))</f>
        <v>1.354472576169764E-3</v>
      </c>
    </row>
    <row r="54" spans="1:10" x14ac:dyDescent="0.3">
      <c r="A54">
        <f>IF(COUNT(Resultados!A54,Resultados!K54,Resultados!U54,Resultados!AE54,Resultados!AO54,Resultados!AY54,Resultados!BI54,Resultados!BS54,Resultados!CC54,Resultados!CM54,Resultados!CW54,Resultados!DG54)&lt;=1, "", _xlfn.STDEV.S(ABS(Resultados!A54),ABS(Resultados!K54),ABS(Resultados!U54),ABS(Resultados!AE54),ABS(Resultados!AO54),ABS(Resultados!AY54),ABS(Resultados!BI54),ABS(Resultados!BS54),ABS(Resultados!CC54),ABS(Resultados!CM54),ABS(Resultados!CW54),ABS(Resultados!DG54))/SQRT(COUNT(Resultados!A54,Resultados!K54,Resultados!U54,Resultados!AE54,Resultados!AO54,Resultados!AY54,Resultados!BI54,Resultados!BS54,Resultados!CC54,Resultados!CM54,Resultados!CW54,Resultados!DG54)))</f>
        <v>0</v>
      </c>
      <c r="B54" t="str">
        <f>IF(COUNT(Resultados!B54,Resultados!L54,Resultados!V54,Resultados!AF54,Resultados!AP54,Resultados!AZ54,Resultados!BJ54,Resultados!BT54,Resultados!CD54,Resultados!CN54,Resultados!CX54,Resultados!DH54)&lt;=1, "", _xlfn.STDEV.S(ABS(Resultados!B54),ABS(Resultados!L54),ABS(Resultados!V54),ABS(Resultados!AF54),ABS(Resultados!AP54),ABS(Resultados!AZ54),ABS(Resultados!BJ54),ABS(Resultados!BT54),ABS(Resultados!CD54),ABS(Resultados!CN54),ABS(Resultados!CX54),ABS(Resultados!DH54))/SQRT(COUNT(Resultados!B54,Resultados!L54,Resultados!V54,Resultados!AF54,Resultados!AP54,Resultados!AZ54,Resultados!BJ54,Resultados!BT54,Resultados!CD54,Resultados!CN54,Resultados!CX54,Resultados!DH54)))</f>
        <v/>
      </c>
      <c r="C54">
        <f>IF(COUNT(Resultados!C54,Resultados!M54,Resultados!W54,Resultados!AG54,Resultados!AQ54,Resultados!BA54,Resultados!BK54,Resultados!BU54,Resultados!CE54,Resultados!CO54,Resultados!CY54,Resultados!DI54)&lt;=1, "", _xlfn.STDEV.S(ABS(Resultados!C54),ABS(Resultados!M54),ABS(Resultados!W54),ABS(Resultados!AG54),ABS(Resultados!AQ54),ABS(Resultados!BA54),ABS(Resultados!BK54),ABS(Resultados!BU54),ABS(Resultados!CE54),ABS(Resultados!CO54),ABS(Resultados!CY54),ABS(Resultados!DI54))/SQRT(COUNT(Resultados!C54,Resultados!M54,Resultados!W54,Resultados!AG54,Resultados!AQ54,Resultados!BA54,Resultados!BK54,Resultados!BU54,Resultados!CE54,Resultados!CO54,Resultados!CY54,Resultados!DI54)))</f>
        <v>0.45156853457049168</v>
      </c>
      <c r="D54">
        <f>IF(COUNT(Resultados!D54,Resultados!N54,Resultados!X54,Resultados!AH54,Resultados!AR54,Resultados!BB54,Resultados!BL54,Resultados!BV54,Resultados!CF54,Resultados!CP54,Resultados!CZ54,Resultados!DJ54)&lt;=1, "", _xlfn.STDEV.S(ABS(Resultados!D54),ABS(Resultados!N54),ABS(Resultados!X54),ABS(Resultados!AH54),ABS(Resultados!AR54),ABS(Resultados!BB54),ABS(Resultados!BL54),ABS(Resultados!BV54),ABS(Resultados!CF54),ABS(Resultados!CP54),ABS(Resultados!CZ54),ABS(Resultados!DJ54))/SQRT(COUNT(Resultados!D54,Resultados!N54,Resultados!X54,Resultados!AH54,Resultados!AR54,Resultados!BB54,Resultados!BL54,Resultados!BV54,Resultados!CF54,Resultados!CP54,Resultados!CZ54,Resultados!DJ54)))</f>
        <v>7.4093852578327923E-4</v>
      </c>
      <c r="E54">
        <f>IF(COUNT(Resultados!E54,Resultados!O54,Resultados!Y54,Resultados!AI54,Resultados!AS54,Resultados!BC54,Resultados!BM54,Resultados!BW54,Resultados!CG54,Resultados!CQ54,Resultados!DA54,Resultados!DK54)&lt;=1, "", _xlfn.STDEV.S(ABS(Resultados!E54),ABS(Resultados!O54),ABS(Resultados!Y54),ABS(Resultados!AI54),ABS(Resultados!AS54),ABS(Resultados!BC54),ABS(Resultados!BM54),ABS(Resultados!BW54),ABS(Resultados!CG54),ABS(Resultados!CQ54),ABS(Resultados!DA54),ABS(Resultados!DK54))/SQRT(COUNT(Resultados!E54,Resultados!O54,Resultados!Y54,Resultados!AI54,Resultados!AS54,Resultados!BC54,Resultados!BM54,Resultados!BW54,Resultados!CG54,Resultados!CQ54,Resultados!DA54,Resultados!DK54)))</f>
        <v>9.2324214895972603E-2</v>
      </c>
      <c r="F54">
        <f>IF(COUNT(Resultados!F54,Resultados!P54,Resultados!Z54,Resultados!AJ54,Resultados!AT54,Resultados!BD54,Resultados!BN54,Resultados!BX54,Resultados!CH54,Resultados!CR54,Resultados!DB54,Resultados!DL54)&lt;=1, "", _xlfn.STDEV.S(ABS(Resultados!F54),ABS(Resultados!P54),ABS(Resultados!Z54),ABS(Resultados!AJ54),ABS(Resultados!AT54),ABS(Resultados!BD54),ABS(Resultados!BN54),ABS(Resultados!BX54),ABS(Resultados!CH54),ABS(Resultados!CR54),ABS(Resultados!DB54),ABS(Resultados!DL54))/SQRT(COUNT(Resultados!F54,Resultados!P54,Resultados!Z54,Resultados!AJ54,Resultados!AT54,Resultados!BD54,Resultados!BN54,Resultados!BX54,Resultados!CH54,Resultados!CR54,Resultados!DB54,Resultados!DL54)))</f>
        <v>8.7615679936278017</v>
      </c>
      <c r="G54">
        <f>IF(COUNT(Resultados!G54,Resultados!Q54,Resultados!AA54,Resultados!AK54,Resultados!AU54,Resultados!BE54,Resultados!BO54,Resultados!BY54,Resultados!CI54,Resultados!CS54,Resultados!DC54,Resultados!DM54)&lt;=1, "", _xlfn.STDEV.S(ABS(Resultados!G54),ABS(Resultados!Q54),ABS(Resultados!AA54),ABS(Resultados!AK54),ABS(Resultados!AU54),ABS(Resultados!BE54),ABS(Resultados!BO54),ABS(Resultados!BY54),ABS(Resultados!CI54),ABS(Resultados!CS54),ABS(Resultados!DC54),ABS(Resultados!DM54))/SQRT(COUNT(Resultados!G54,Resultados!Q54,Resultados!AA54,Resultados!AK54,Resultados!AU54,Resultados!BE54,Resultados!BO54,Resultados!BY54,Resultados!CI54,Resultados!CS54,Resultados!DC54,Resultados!DM54)))</f>
        <v>3.3474483693592253E-17</v>
      </c>
      <c r="H54">
        <f>IF(COUNT(Resultados!H54,Resultados!R54,Resultados!AB54,Resultados!AL54,Resultados!AV54,Resultados!BF54,Resultados!BP54,Resultados!BZ54,Resultados!CJ54,Resultados!CT54,Resultados!DD54,Resultados!DN54)&lt;=1, "", _xlfn.STDEV.S(ABS(Resultados!H54),ABS(Resultados!R54),ABS(Resultados!AB54),ABS(Resultados!AL54),ABS(Resultados!AV54),ABS(Resultados!BF54),ABS(Resultados!BP54),ABS(Resultados!BZ54),ABS(Resultados!CJ54),ABS(Resultados!CT54),ABS(Resultados!DD54),ABS(Resultados!DN54))/SQRT(COUNT(Resultados!H54,Resultados!R54,Resultados!AB54,Resultados!AL54,Resultados!AV54,Resultados!BF54,Resultados!BP54,Resultados!BZ54,Resultados!CJ54,Resultados!CT54,Resultados!DD54,Resultados!DN54)))</f>
        <v>1.4357889465342389E-3</v>
      </c>
      <c r="I54">
        <f>IF(COUNT(Resultados!I54,Resultados!S54,Resultados!AC54,Resultados!AM54,Resultados!AW54,Resultados!BG54,Resultados!BQ54,Resultados!CA54,Resultados!CK54,Resultados!CU54,Resultados!DE54,Resultados!DO54)&lt;=1, "", _xlfn.STDEV.S(ABS(Resultados!I54),ABS(Resultados!S54),ABS(Resultados!AC54),ABS(Resultados!AM54),ABS(Resultados!AW54),ABS(Resultados!BG54),ABS(Resultados!BQ54),ABS(Resultados!CA54),ABS(Resultados!CK54),ABS(Resultados!CU54),ABS(Resultados!DE54),ABS(Resultados!DO54))/SQRT(COUNT(Resultados!I54,Resultados!S54,Resultados!AC54,Resultados!AM54,Resultados!AW54,Resultados!BG54,Resultados!BQ54,Resultados!CA54,Resultados!CK54,Resultados!CU54,Resultados!DE54,Resultados!DO54)))</f>
        <v>3.3695880187398775E-2</v>
      </c>
      <c r="J54">
        <f>IF(COUNT(Resultados!J54,Resultados!T54,Resultados!AD54,Resultados!AN54,Resultados!AX54,Resultados!BH54,Resultados!BR54,Resultados!CB54,Resultados!CL54,Resultados!CV54,Resultados!DF54,Resultados!DP54)&lt;=1, "", _xlfn.STDEV.S(ABS(Resultados!J54),ABS(Resultados!T54),ABS(Resultados!AD54),ABS(Resultados!AN54),ABS(Resultados!AX54),ABS(Resultados!BH54),ABS(Resultados!BR54),ABS(Resultados!CB54),ABS(Resultados!CL54),ABS(Resultados!CV54),ABS(Resultados!DF54),ABS(Resultados!DP54))/SQRT(COUNT(Resultados!J54,Resultados!T54,Resultados!AD54,Resultados!AN54,Resultados!AX54,Resultados!BH54,Resultados!BR54,Resultados!CB54,Resultados!CL54,Resultados!CV54,Resultados!DF54,Resultados!DP54)))</f>
        <v>1.4357889465342389E-3</v>
      </c>
    </row>
    <row r="55" spans="1:10" x14ac:dyDescent="0.3">
      <c r="A55">
        <f>IF(COUNT(Resultados!A55,Resultados!K55,Resultados!U55,Resultados!AE55,Resultados!AO55,Resultados!AY55,Resultados!BI55,Resultados!BS55,Resultados!CC55,Resultados!CM55,Resultados!CW55,Resultados!DG55)&lt;=1, "", _xlfn.STDEV.S(ABS(Resultados!A55),ABS(Resultados!K55),ABS(Resultados!U55),ABS(Resultados!AE55),ABS(Resultados!AO55),ABS(Resultados!AY55),ABS(Resultados!BI55),ABS(Resultados!BS55),ABS(Resultados!CC55),ABS(Resultados!CM55),ABS(Resultados!CW55),ABS(Resultados!DG55))/SQRT(COUNT(Resultados!A55,Resultados!K55,Resultados!U55,Resultados!AE55,Resultados!AO55,Resultados!AY55,Resultados!BI55,Resultados!BS55,Resultados!CC55,Resultados!CM55,Resultados!CW55,Resultados!DG55)))</f>
        <v>0</v>
      </c>
      <c r="B55" t="str">
        <f>IF(COUNT(Resultados!B55,Resultados!L55,Resultados!V55,Resultados!AF55,Resultados!AP55,Resultados!AZ55,Resultados!BJ55,Resultados!BT55,Resultados!CD55,Resultados!CN55,Resultados!CX55,Resultados!DH55)&lt;=1, "", _xlfn.STDEV.S(ABS(Resultados!B55),ABS(Resultados!L55),ABS(Resultados!V55),ABS(Resultados!AF55),ABS(Resultados!AP55),ABS(Resultados!AZ55),ABS(Resultados!BJ55),ABS(Resultados!BT55),ABS(Resultados!CD55),ABS(Resultados!CN55),ABS(Resultados!CX55),ABS(Resultados!DH55))/SQRT(COUNT(Resultados!B55,Resultados!L55,Resultados!V55,Resultados!AF55,Resultados!AP55,Resultados!AZ55,Resultados!BJ55,Resultados!BT55,Resultados!CD55,Resultados!CN55,Resultados!CX55,Resultados!DH55)))</f>
        <v/>
      </c>
      <c r="C55">
        <f>IF(COUNT(Resultados!C55,Resultados!M55,Resultados!W55,Resultados!AG55,Resultados!AQ55,Resultados!BA55,Resultados!BK55,Resultados!BU55,Resultados!CE55,Resultados!CO55,Resultados!CY55,Resultados!DI55)&lt;=1, "", _xlfn.STDEV.S(ABS(Resultados!C55),ABS(Resultados!M55),ABS(Resultados!W55),ABS(Resultados!AG55),ABS(Resultados!AQ55),ABS(Resultados!BA55),ABS(Resultados!BK55),ABS(Resultados!BU55),ABS(Resultados!CE55),ABS(Resultados!CO55),ABS(Resultados!CY55),ABS(Resultados!DI55))/SQRT(COUNT(Resultados!C55,Resultados!M55,Resultados!W55,Resultados!AG55,Resultados!AQ55,Resultados!BA55,Resultados!BK55,Resultados!BU55,Resultados!CE55,Resultados!CO55,Resultados!CY55,Resultados!DI55)))</f>
        <v>0.45156853457049168</v>
      </c>
      <c r="D55">
        <f>IF(COUNT(Resultados!D55,Resultados!N55,Resultados!X55,Resultados!AH55,Resultados!AR55,Resultados!BB55,Resultados!BL55,Resultados!BV55,Resultados!CF55,Resultados!CP55,Resultados!CZ55,Resultados!DJ55)&lt;=1, "", _xlfn.STDEV.S(ABS(Resultados!D55),ABS(Resultados!N55),ABS(Resultados!X55),ABS(Resultados!AH55),ABS(Resultados!AR55),ABS(Resultados!BB55),ABS(Resultados!BL55),ABS(Resultados!BV55),ABS(Resultados!CF55),ABS(Resultados!CP55),ABS(Resultados!CZ55),ABS(Resultados!DJ55))/SQRT(COUNT(Resultados!D55,Resultados!N55,Resultados!X55,Resultados!AH55,Resultados!AR55,Resultados!BB55,Resultados!BL55,Resultados!BV55,Resultados!CF55,Resultados!CP55,Resultados!CZ55,Resultados!DJ55)))</f>
        <v>9.2158460372240435E-4</v>
      </c>
      <c r="E55">
        <f>IF(COUNT(Resultados!E55,Resultados!O55,Resultados!Y55,Resultados!AI55,Resultados!AS55,Resultados!BC55,Resultados!BM55,Resultados!BW55,Resultados!CG55,Resultados!CQ55,Resultados!DA55,Resultados!DK55)&lt;=1, "", _xlfn.STDEV.S(ABS(Resultados!E55),ABS(Resultados!O55),ABS(Resultados!Y55),ABS(Resultados!AI55),ABS(Resultados!AS55),ABS(Resultados!BC55),ABS(Resultados!BM55),ABS(Resultados!BW55),ABS(Resultados!CG55),ABS(Resultados!CQ55),ABS(Resultados!DA55),ABS(Resultados!DK55))/SQRT(COUNT(Resultados!E55,Resultados!O55,Resultados!Y55,Resultados!AI55,Resultados!AS55,Resultados!BC55,Resultados!BM55,Resultados!BW55,Resultados!CG55,Resultados!CQ55,Resultados!DA55,Resultados!DK55)))</f>
        <v>9.5750995651977866E-2</v>
      </c>
      <c r="F55">
        <f>IF(COUNT(Resultados!F55,Resultados!P55,Resultados!Z55,Resultados!AJ55,Resultados!AT55,Resultados!BD55,Resultados!BN55,Resultados!BX55,Resultados!CH55,Resultados!CR55,Resultados!DB55,Resultados!DL55)&lt;=1, "", _xlfn.STDEV.S(ABS(Resultados!F55),ABS(Resultados!P55),ABS(Resultados!Z55),ABS(Resultados!AJ55),ABS(Resultados!AT55),ABS(Resultados!BD55),ABS(Resultados!BN55),ABS(Resultados!BX55),ABS(Resultados!CH55),ABS(Resultados!CR55),ABS(Resultados!DB55),ABS(Resultados!DL55))/SQRT(COUNT(Resultados!F55,Resultados!P55,Resultados!Z55,Resultados!AJ55,Resultados!AT55,Resultados!BD55,Resultados!BN55,Resultados!BX55,Resultados!CH55,Resultados!CR55,Resultados!DB55,Resultados!DL55)))</f>
        <v>9.0867694873726954</v>
      </c>
      <c r="G55">
        <f>IF(COUNT(Resultados!G55,Resultados!Q55,Resultados!AA55,Resultados!AK55,Resultados!AU55,Resultados!BE55,Resultados!BO55,Resultados!BY55,Resultados!CI55,Resultados!CS55,Resultados!DC55,Resultados!DM55)&lt;=1, "", _xlfn.STDEV.S(ABS(Resultados!G55),ABS(Resultados!Q55),ABS(Resultados!AA55),ABS(Resultados!AK55),ABS(Resultados!AU55),ABS(Resultados!BE55),ABS(Resultados!BO55),ABS(Resultados!BY55),ABS(Resultados!CI55),ABS(Resultados!CS55),ABS(Resultados!DC55),ABS(Resultados!DM55))/SQRT(COUNT(Resultados!G55,Resultados!Q55,Resultados!AA55,Resultados!AK55,Resultados!AU55,Resultados!BE55,Resultados!BO55,Resultados!BY55,Resultados!CI55,Resultados!CS55,Resultados!DC55,Resultados!DM55)))</f>
        <v>3.3474483693592253E-17</v>
      </c>
      <c r="H55">
        <f>IF(COUNT(Resultados!H55,Resultados!R55,Resultados!AB55,Resultados!AL55,Resultados!AV55,Resultados!BF55,Resultados!BP55,Resultados!BZ55,Resultados!CJ55,Resultados!CT55,Resultados!DD55,Resultados!DN55)&lt;=1, "", _xlfn.STDEV.S(ABS(Resultados!H55),ABS(Resultados!R55),ABS(Resultados!AB55),ABS(Resultados!AL55),ABS(Resultados!AV55),ABS(Resultados!BF55),ABS(Resultados!BP55),ABS(Resultados!BZ55),ABS(Resultados!CJ55),ABS(Resultados!CT55),ABS(Resultados!DD55),ABS(Resultados!DN55))/SQRT(COUNT(Resultados!H55,Resultados!R55,Resultados!AB55,Resultados!AL55,Resultados!AV55,Resultados!BF55,Resultados!BP55,Resultados!BZ55,Resultados!CJ55,Resultados!CT55,Resultados!DD55,Resultados!DN55)))</f>
        <v>1.494577741792853E-3</v>
      </c>
      <c r="I55">
        <f>IF(COUNT(Resultados!I55,Resultados!S55,Resultados!AC55,Resultados!AM55,Resultados!AW55,Resultados!BG55,Resultados!BQ55,Resultados!CA55,Resultados!CK55,Resultados!CU55,Resultados!DE55,Resultados!DO55)&lt;=1, "", _xlfn.STDEV.S(ABS(Resultados!I55),ABS(Resultados!S55),ABS(Resultados!AC55),ABS(Resultados!AM55),ABS(Resultados!AW55),ABS(Resultados!BG55),ABS(Resultados!BQ55),ABS(Resultados!CA55),ABS(Resultados!CK55),ABS(Resultados!CU55),ABS(Resultados!DE55),ABS(Resultados!DO55))/SQRT(COUNT(Resultados!I55,Resultados!S55,Resultados!AC55,Resultados!AM55,Resultados!AW55,Resultados!BG55,Resultados!BQ55,Resultados!CA55,Resultados!CK55,Resultados!CU55,Resultados!DE55,Resultados!DO55)))</f>
        <v>3.3528341820612595E-2</v>
      </c>
      <c r="J55">
        <f>IF(COUNT(Resultados!J55,Resultados!T55,Resultados!AD55,Resultados!AN55,Resultados!AX55,Resultados!BH55,Resultados!BR55,Resultados!CB55,Resultados!CL55,Resultados!CV55,Resultados!DF55,Resultados!DP55)&lt;=1, "", _xlfn.STDEV.S(ABS(Resultados!J55),ABS(Resultados!T55),ABS(Resultados!AD55),ABS(Resultados!AN55),ABS(Resultados!AX55),ABS(Resultados!BH55),ABS(Resultados!BR55),ABS(Resultados!CB55),ABS(Resultados!CL55),ABS(Resultados!CV55),ABS(Resultados!DF55),ABS(Resultados!DP55))/SQRT(COUNT(Resultados!J55,Resultados!T55,Resultados!AD55,Resultados!AN55,Resultados!AX55,Resultados!BH55,Resultados!BR55,Resultados!CB55,Resultados!CL55,Resultados!CV55,Resultados!DF55,Resultados!DP55)))</f>
        <v>1.494577741792853E-3</v>
      </c>
    </row>
    <row r="56" spans="1:10" x14ac:dyDescent="0.3">
      <c r="A56">
        <f>IF(COUNT(Resultados!A56,Resultados!K56,Resultados!U56,Resultados!AE56,Resultados!AO56,Resultados!AY56,Resultados!BI56,Resultados!BS56,Resultados!CC56,Resultados!CM56,Resultados!CW56,Resultados!DG56)&lt;=1, "", _xlfn.STDEV.S(ABS(Resultados!A56),ABS(Resultados!K56),ABS(Resultados!U56),ABS(Resultados!AE56),ABS(Resultados!AO56),ABS(Resultados!AY56),ABS(Resultados!BI56),ABS(Resultados!BS56),ABS(Resultados!CC56),ABS(Resultados!CM56),ABS(Resultados!CW56),ABS(Resultados!DG56))/SQRT(COUNT(Resultados!A56,Resultados!K56,Resultados!U56,Resultados!AE56,Resultados!AO56,Resultados!AY56,Resultados!BI56,Resultados!BS56,Resultados!CC56,Resultados!CM56,Resultados!CW56,Resultados!DG56)))</f>
        <v>0</v>
      </c>
      <c r="B56" t="str">
        <f>IF(COUNT(Resultados!B56,Resultados!L56,Resultados!V56,Resultados!AF56,Resultados!AP56,Resultados!AZ56,Resultados!BJ56,Resultados!BT56,Resultados!CD56,Resultados!CN56,Resultados!CX56,Resultados!DH56)&lt;=1, "", _xlfn.STDEV.S(ABS(Resultados!B56),ABS(Resultados!L56),ABS(Resultados!V56),ABS(Resultados!AF56),ABS(Resultados!AP56),ABS(Resultados!AZ56),ABS(Resultados!BJ56),ABS(Resultados!BT56),ABS(Resultados!CD56),ABS(Resultados!CN56),ABS(Resultados!CX56),ABS(Resultados!DH56))/SQRT(COUNT(Resultados!B56,Resultados!L56,Resultados!V56,Resultados!AF56,Resultados!AP56,Resultados!AZ56,Resultados!BJ56,Resultados!BT56,Resultados!CD56,Resultados!CN56,Resultados!CX56,Resultados!DH56)))</f>
        <v/>
      </c>
      <c r="C56">
        <f>IF(COUNT(Resultados!C56,Resultados!M56,Resultados!W56,Resultados!AG56,Resultados!AQ56,Resultados!BA56,Resultados!BK56,Resultados!BU56,Resultados!CE56,Resultados!CO56,Resultados!CY56,Resultados!DI56)&lt;=1, "", _xlfn.STDEV.S(ABS(Resultados!C56),ABS(Resultados!M56),ABS(Resultados!W56),ABS(Resultados!AG56),ABS(Resultados!AQ56),ABS(Resultados!BA56),ABS(Resultados!BK56),ABS(Resultados!BU56),ABS(Resultados!CE56),ABS(Resultados!CO56),ABS(Resultados!CY56),ABS(Resultados!DI56))/SQRT(COUNT(Resultados!C56,Resultados!M56,Resultados!W56,Resultados!AG56,Resultados!AQ56,Resultados!BA56,Resultados!BK56,Resultados!BU56,Resultados!CE56,Resultados!CO56,Resultados!CY56,Resultados!DI56)))</f>
        <v>0.45156853457049168</v>
      </c>
      <c r="D56">
        <f>IF(COUNT(Resultados!D56,Resultados!N56,Resultados!X56,Resultados!AH56,Resultados!AR56,Resultados!BB56,Resultados!BL56,Resultados!BV56,Resultados!CF56,Resultados!CP56,Resultados!CZ56,Resultados!DJ56)&lt;=1, "", _xlfn.STDEV.S(ABS(Resultados!D56),ABS(Resultados!N56),ABS(Resultados!X56),ABS(Resultados!AH56),ABS(Resultados!AR56),ABS(Resultados!BB56),ABS(Resultados!BL56),ABS(Resultados!BV56),ABS(Resultados!CF56),ABS(Resultados!CP56),ABS(Resultados!CZ56),ABS(Resultados!DJ56))/SQRT(COUNT(Resultados!D56,Resultados!N56,Resultados!X56,Resultados!AH56,Resultados!AR56,Resultados!BB56,Resultados!BL56,Resultados!BV56,Resultados!CF56,Resultados!CP56,Resultados!CZ56,Resultados!DJ56)))</f>
        <v>1.0812684283476588E-3</v>
      </c>
      <c r="E56">
        <f>IF(COUNT(Resultados!E56,Resultados!O56,Resultados!Y56,Resultados!AI56,Resultados!AS56,Resultados!BC56,Resultados!BM56,Resultados!BW56,Resultados!CG56,Resultados!CQ56,Resultados!DA56,Resultados!DK56)&lt;=1, "", _xlfn.STDEV.S(ABS(Resultados!E56),ABS(Resultados!O56),ABS(Resultados!Y56),ABS(Resultados!AI56),ABS(Resultados!AS56),ABS(Resultados!BC56),ABS(Resultados!BM56),ABS(Resultados!BW56),ABS(Resultados!CG56),ABS(Resultados!CQ56),ABS(Resultados!DA56),ABS(Resultados!DK56))/SQRT(COUNT(Resultados!E56,Resultados!O56,Resultados!Y56,Resultados!AI56,Resultados!AS56,Resultados!BC56,Resultados!BM56,Resultados!BW56,Resultados!CG56,Resultados!CQ56,Resultados!DA56,Resultados!DK56)))</f>
        <v>9.6953835470029018E-2</v>
      </c>
      <c r="F56">
        <f>IF(COUNT(Resultados!F56,Resultados!P56,Resultados!Z56,Resultados!AJ56,Resultados!AT56,Resultados!BD56,Resultados!BN56,Resultados!BX56,Resultados!CH56,Resultados!CR56,Resultados!DB56,Resultados!DL56)&lt;=1, "", _xlfn.STDEV.S(ABS(Resultados!F56),ABS(Resultados!P56),ABS(Resultados!Z56),ABS(Resultados!AJ56),ABS(Resultados!AT56),ABS(Resultados!BD56),ABS(Resultados!BN56),ABS(Resultados!BX56),ABS(Resultados!CH56),ABS(Resultados!CR56),ABS(Resultados!DB56),ABS(Resultados!DL56))/SQRT(COUNT(Resultados!F56,Resultados!P56,Resultados!Z56,Resultados!AJ56,Resultados!AT56,Resultados!BD56,Resultados!BN56,Resultados!BX56,Resultados!CH56,Resultados!CR56,Resultados!DB56,Resultados!DL56)))</f>
        <v>9.2009189861057532</v>
      </c>
      <c r="G56">
        <f>IF(COUNT(Resultados!G56,Resultados!Q56,Resultados!AA56,Resultados!AK56,Resultados!AU56,Resultados!BE56,Resultados!BO56,Resultados!BY56,Resultados!CI56,Resultados!CS56,Resultados!DC56,Resultados!DM56)&lt;=1, "", _xlfn.STDEV.S(ABS(Resultados!G56),ABS(Resultados!Q56),ABS(Resultados!AA56),ABS(Resultados!AK56),ABS(Resultados!AU56),ABS(Resultados!BE56),ABS(Resultados!BO56),ABS(Resultados!BY56),ABS(Resultados!CI56),ABS(Resultados!CS56),ABS(Resultados!DC56),ABS(Resultados!DM56))/SQRT(COUNT(Resultados!G56,Resultados!Q56,Resultados!AA56,Resultados!AK56,Resultados!AU56,Resultados!BE56,Resultados!BO56,Resultados!BY56,Resultados!CI56,Resultados!CS56,Resultados!DC56,Resultados!DM56)))</f>
        <v>3.3474483693592253E-17</v>
      </c>
      <c r="H56">
        <f>IF(COUNT(Resultados!H56,Resultados!R56,Resultados!AB56,Resultados!AL56,Resultados!AV56,Resultados!BF56,Resultados!BP56,Resultados!BZ56,Resultados!CJ56,Resultados!CT56,Resultados!DD56,Resultados!DN56)&lt;=1, "", _xlfn.STDEV.S(ABS(Resultados!H56),ABS(Resultados!R56),ABS(Resultados!AB56),ABS(Resultados!AL56),ABS(Resultados!AV56),ABS(Resultados!BF56),ABS(Resultados!BP56),ABS(Resultados!BZ56),ABS(Resultados!CJ56),ABS(Resultados!CT56),ABS(Resultados!DD56),ABS(Resultados!DN56))/SQRT(COUNT(Resultados!H56,Resultados!R56,Resultados!AB56,Resultados!AL56,Resultados!AV56,Resultados!BF56,Resultados!BP56,Resultados!BZ56,Resultados!CJ56,Resultados!CT56,Resultados!DD56,Resultados!DN56)))</f>
        <v>1.5105918132515572E-3</v>
      </c>
      <c r="I56">
        <f>IF(COUNT(Resultados!I56,Resultados!S56,Resultados!AC56,Resultados!AM56,Resultados!AW56,Resultados!BG56,Resultados!BQ56,Resultados!CA56,Resultados!CK56,Resultados!CU56,Resultados!DE56,Resultados!DO56)&lt;=1, "", _xlfn.STDEV.S(ABS(Resultados!I56),ABS(Resultados!S56),ABS(Resultados!AC56),ABS(Resultados!AM56),ABS(Resultados!AW56),ABS(Resultados!BG56),ABS(Resultados!BQ56),ABS(Resultados!CA56),ABS(Resultados!CK56),ABS(Resultados!CU56),ABS(Resultados!DE56),ABS(Resultados!DO56))/SQRT(COUNT(Resultados!I56,Resultados!S56,Resultados!AC56,Resultados!AM56,Resultados!AW56,Resultados!BG56,Resultados!BQ56,Resultados!CA56,Resultados!CK56,Resultados!CU56,Resultados!DE56,Resultados!DO56)))</f>
        <v>3.3556719449343561E-2</v>
      </c>
      <c r="J56">
        <f>IF(COUNT(Resultados!J56,Resultados!T56,Resultados!AD56,Resultados!AN56,Resultados!AX56,Resultados!BH56,Resultados!BR56,Resultados!CB56,Resultados!CL56,Resultados!CV56,Resultados!DF56,Resultados!DP56)&lt;=1, "", _xlfn.STDEV.S(ABS(Resultados!J56),ABS(Resultados!T56),ABS(Resultados!AD56),ABS(Resultados!AN56),ABS(Resultados!AX56),ABS(Resultados!BH56),ABS(Resultados!BR56),ABS(Resultados!CB56),ABS(Resultados!CL56),ABS(Resultados!CV56),ABS(Resultados!DF56),ABS(Resultados!DP56))/SQRT(COUNT(Resultados!J56,Resultados!T56,Resultados!AD56,Resultados!AN56,Resultados!AX56,Resultados!BH56,Resultados!BR56,Resultados!CB56,Resultados!CL56,Resultados!CV56,Resultados!DF56,Resultados!DP56)))</f>
        <v>1.5105918132515572E-3</v>
      </c>
    </row>
    <row r="57" spans="1:10" x14ac:dyDescent="0.3">
      <c r="A57">
        <f>IF(COUNT(Resultados!A57,Resultados!K57,Resultados!U57,Resultados!AE57,Resultados!AO57,Resultados!AY57,Resultados!BI57,Resultados!BS57,Resultados!CC57,Resultados!CM57,Resultados!CW57,Resultados!DG57)&lt;=1, "", _xlfn.STDEV.S(ABS(Resultados!A57),ABS(Resultados!K57),ABS(Resultados!U57),ABS(Resultados!AE57),ABS(Resultados!AO57),ABS(Resultados!AY57),ABS(Resultados!BI57),ABS(Resultados!BS57),ABS(Resultados!CC57),ABS(Resultados!CM57),ABS(Resultados!CW57),ABS(Resultados!DG57))/SQRT(COUNT(Resultados!A57,Resultados!K57,Resultados!U57,Resultados!AE57,Resultados!AO57,Resultados!AY57,Resultados!BI57,Resultados!BS57,Resultados!CC57,Resultados!CM57,Resultados!CW57,Resultados!DG57)))</f>
        <v>0</v>
      </c>
      <c r="B57" t="str">
        <f>IF(COUNT(Resultados!B57,Resultados!L57,Resultados!V57,Resultados!AF57,Resultados!AP57,Resultados!AZ57,Resultados!BJ57,Resultados!BT57,Resultados!CD57,Resultados!CN57,Resultados!CX57,Resultados!DH57)&lt;=1, "", _xlfn.STDEV.S(ABS(Resultados!B57),ABS(Resultados!L57),ABS(Resultados!V57),ABS(Resultados!AF57),ABS(Resultados!AP57),ABS(Resultados!AZ57),ABS(Resultados!BJ57),ABS(Resultados!BT57),ABS(Resultados!CD57),ABS(Resultados!CN57),ABS(Resultados!CX57),ABS(Resultados!DH57))/SQRT(COUNT(Resultados!B57,Resultados!L57,Resultados!V57,Resultados!AF57,Resultados!AP57,Resultados!AZ57,Resultados!BJ57,Resultados!BT57,Resultados!CD57,Resultados!CN57,Resultados!CX57,Resultados!DH57)))</f>
        <v/>
      </c>
      <c r="C57">
        <f>IF(COUNT(Resultados!C57,Resultados!M57,Resultados!W57,Resultados!AG57,Resultados!AQ57,Resultados!BA57,Resultados!BK57,Resultados!BU57,Resultados!CE57,Resultados!CO57,Resultados!CY57,Resultados!DI57)&lt;=1, "", _xlfn.STDEV.S(ABS(Resultados!C57),ABS(Resultados!M57),ABS(Resultados!W57),ABS(Resultados!AG57),ABS(Resultados!AQ57),ABS(Resultados!BA57),ABS(Resultados!BK57),ABS(Resultados!BU57),ABS(Resultados!CE57),ABS(Resultados!CO57),ABS(Resultados!CY57),ABS(Resultados!DI57))/SQRT(COUNT(Resultados!C57,Resultados!M57,Resultados!W57,Resultados!AG57,Resultados!AQ57,Resultados!BA57,Resultados!BK57,Resultados!BU57,Resultados!CE57,Resultados!CO57,Resultados!CY57,Resultados!DI57)))</f>
        <v>0.45156853457049168</v>
      </c>
      <c r="D57">
        <f>IF(COUNT(Resultados!D57,Resultados!N57,Resultados!X57,Resultados!AH57,Resultados!AR57,Resultados!BB57,Resultados!BL57,Resultados!BV57,Resultados!CF57,Resultados!CP57,Resultados!CZ57,Resultados!DJ57)&lt;=1, "", _xlfn.STDEV.S(ABS(Resultados!D57),ABS(Resultados!N57),ABS(Resultados!X57),ABS(Resultados!AH57),ABS(Resultados!AR57),ABS(Resultados!BB57),ABS(Resultados!BL57),ABS(Resultados!BV57),ABS(Resultados!CF57),ABS(Resultados!CP57),ABS(Resultados!CZ57),ABS(Resultados!DJ57))/SQRT(COUNT(Resultados!D57,Resultados!N57,Resultados!X57,Resultados!AH57,Resultados!AR57,Resultados!BB57,Resultados!BL57,Resultados!BV57,Resultados!CF57,Resultados!CP57,Resultados!CZ57,Resultados!DJ57)))</f>
        <v>1.1730856961471531E-3</v>
      </c>
      <c r="E57">
        <f>IF(COUNT(Resultados!E57,Resultados!O57,Resultados!Y57,Resultados!AI57,Resultados!AS57,Resultados!BC57,Resultados!BM57,Resultados!BW57,Resultados!CG57,Resultados!CQ57,Resultados!DA57,Resultados!DK57)&lt;=1, "", _xlfn.STDEV.S(ABS(Resultados!E57),ABS(Resultados!O57),ABS(Resultados!Y57),ABS(Resultados!AI57),ABS(Resultados!AS57),ABS(Resultados!BC57),ABS(Resultados!BM57),ABS(Resultados!BW57),ABS(Resultados!CG57),ABS(Resultados!CQ57),ABS(Resultados!DA57),ABS(Resultados!DK57))/SQRT(COUNT(Resultados!E57,Resultados!O57,Resultados!Y57,Resultados!AI57,Resultados!AS57,Resultados!BC57,Resultados!BM57,Resultados!BW57,Resultados!CG57,Resultados!CQ57,Resultados!DA57,Resultados!DK57)))</f>
        <v>9.5891784995258939E-2</v>
      </c>
      <c r="F57">
        <f>IF(COUNT(Resultados!F57,Resultados!P57,Resultados!Z57,Resultados!AJ57,Resultados!AT57,Resultados!BD57,Resultados!BN57,Resultados!BX57,Resultados!CH57,Resultados!CR57,Resultados!DB57,Resultados!DL57)&lt;=1, "", _xlfn.STDEV.S(ABS(Resultados!F57),ABS(Resultados!P57),ABS(Resultados!Z57),ABS(Resultados!AJ57),ABS(Resultados!AT57),ABS(Resultados!BD57),ABS(Resultados!BN57),ABS(Resultados!BX57),ABS(Resultados!CH57),ABS(Resultados!CR57),ABS(Resultados!DB57),ABS(Resultados!DL57))/SQRT(COUNT(Resultados!F57,Resultados!P57,Resultados!Z57,Resultados!AJ57,Resultados!AT57,Resultados!BD57,Resultados!BN57,Resultados!BX57,Resultados!CH57,Resultados!CR57,Resultados!DB57,Resultados!DL57)))</f>
        <v>9.100130396050071</v>
      </c>
      <c r="G57">
        <f>IF(COUNT(Resultados!G57,Resultados!Q57,Resultados!AA57,Resultados!AK57,Resultados!AU57,Resultados!BE57,Resultados!BO57,Resultados!BY57,Resultados!CI57,Resultados!CS57,Resultados!DC57,Resultados!DM57)&lt;=1, "", _xlfn.STDEV.S(ABS(Resultados!G57),ABS(Resultados!Q57),ABS(Resultados!AA57),ABS(Resultados!AK57),ABS(Resultados!AU57),ABS(Resultados!BE57),ABS(Resultados!BO57),ABS(Resultados!BY57),ABS(Resultados!CI57),ABS(Resultados!CS57),ABS(Resultados!DC57),ABS(Resultados!DM57))/SQRT(COUNT(Resultados!G57,Resultados!Q57,Resultados!AA57,Resultados!AK57,Resultados!AU57,Resultados!BE57,Resultados!BO57,Resultados!BY57,Resultados!CI57,Resultados!CS57,Resultados!DC57,Resultados!DM57)))</f>
        <v>3.3474483693592253E-17</v>
      </c>
      <c r="H57">
        <f>IF(COUNT(Resultados!H57,Resultados!R57,Resultados!AB57,Resultados!AL57,Resultados!AV57,Resultados!BF57,Resultados!BP57,Resultados!BZ57,Resultados!CJ57,Resultados!CT57,Resultados!DD57,Resultados!DN57)&lt;=1, "", _xlfn.STDEV.S(ABS(Resultados!H57),ABS(Resultados!R57),ABS(Resultados!AB57),ABS(Resultados!AL57),ABS(Resultados!AV57),ABS(Resultados!BF57),ABS(Resultados!BP57),ABS(Resultados!BZ57),ABS(Resultados!CJ57),ABS(Resultados!CT57),ABS(Resultados!DD57),ABS(Resultados!DN57))/SQRT(COUNT(Resultados!H57,Resultados!R57,Resultados!AB57,Resultados!AL57,Resultados!AV57,Resultados!BF57,Resultados!BP57,Resultados!BZ57,Resultados!CJ57,Resultados!CT57,Resultados!DD57,Resultados!DN57)))</f>
        <v>1.4861226753066549E-3</v>
      </c>
      <c r="I57">
        <f>IF(COUNT(Resultados!I57,Resultados!S57,Resultados!AC57,Resultados!AM57,Resultados!AW57,Resultados!BG57,Resultados!BQ57,Resultados!CA57,Resultados!CK57,Resultados!CU57,Resultados!DE57,Resultados!DO57)&lt;=1, "", _xlfn.STDEV.S(ABS(Resultados!I57),ABS(Resultados!S57),ABS(Resultados!AC57),ABS(Resultados!AM57),ABS(Resultados!AW57),ABS(Resultados!BG57),ABS(Resultados!BQ57),ABS(Resultados!CA57),ABS(Resultados!CK57),ABS(Resultados!CU57),ABS(Resultados!DE57),ABS(Resultados!DO57))/SQRT(COUNT(Resultados!I57,Resultados!S57,Resultados!AC57,Resultados!AM57,Resultados!AW57,Resultados!BG57,Resultados!BQ57,Resultados!CA57,Resultados!CK57,Resultados!CU57,Resultados!DE57,Resultados!DO57)))</f>
        <v>3.3543331315741158E-2</v>
      </c>
      <c r="J57">
        <f>IF(COUNT(Resultados!J57,Resultados!T57,Resultados!AD57,Resultados!AN57,Resultados!AX57,Resultados!BH57,Resultados!BR57,Resultados!CB57,Resultados!CL57,Resultados!CV57,Resultados!DF57,Resultados!DP57)&lt;=1, "", _xlfn.STDEV.S(ABS(Resultados!J57),ABS(Resultados!T57),ABS(Resultados!AD57),ABS(Resultados!AN57),ABS(Resultados!AX57),ABS(Resultados!BH57),ABS(Resultados!BR57),ABS(Resultados!CB57),ABS(Resultados!CL57),ABS(Resultados!CV57),ABS(Resultados!DF57),ABS(Resultados!DP57))/SQRT(COUNT(Resultados!J57,Resultados!T57,Resultados!AD57,Resultados!AN57,Resultados!AX57,Resultados!BH57,Resultados!BR57,Resultados!CB57,Resultados!CL57,Resultados!CV57,Resultados!DF57,Resultados!DP57)))</f>
        <v>1.4861226753066549E-3</v>
      </c>
    </row>
    <row r="58" spans="1:10" x14ac:dyDescent="0.3">
      <c r="A58">
        <f>IF(COUNT(Resultados!A58,Resultados!K58,Resultados!U58,Resultados!AE58,Resultados!AO58,Resultados!AY58,Resultados!BI58,Resultados!BS58,Resultados!CC58,Resultados!CM58,Resultados!CW58,Resultados!DG58)&lt;=1, "", _xlfn.STDEV.S(ABS(Resultados!A58),ABS(Resultados!K58),ABS(Resultados!U58),ABS(Resultados!AE58),ABS(Resultados!AO58),ABS(Resultados!AY58),ABS(Resultados!BI58),ABS(Resultados!BS58),ABS(Resultados!CC58),ABS(Resultados!CM58),ABS(Resultados!CW58),ABS(Resultados!DG58))/SQRT(COUNT(Resultados!A58,Resultados!K58,Resultados!U58,Resultados!AE58,Resultados!AO58,Resultados!AY58,Resultados!BI58,Resultados!BS58,Resultados!CC58,Resultados!CM58,Resultados!CW58,Resultados!DG58)))</f>
        <v>0</v>
      </c>
      <c r="B58" t="str">
        <f>IF(COUNT(Resultados!B58,Resultados!L58,Resultados!V58,Resultados!AF58,Resultados!AP58,Resultados!AZ58,Resultados!BJ58,Resultados!BT58,Resultados!CD58,Resultados!CN58,Resultados!CX58,Resultados!DH58)&lt;=1, "", _xlfn.STDEV.S(ABS(Resultados!B58),ABS(Resultados!L58),ABS(Resultados!V58),ABS(Resultados!AF58),ABS(Resultados!AP58),ABS(Resultados!AZ58),ABS(Resultados!BJ58),ABS(Resultados!BT58),ABS(Resultados!CD58),ABS(Resultados!CN58),ABS(Resultados!CX58),ABS(Resultados!DH58))/SQRT(COUNT(Resultados!B58,Resultados!L58,Resultados!V58,Resultados!AF58,Resultados!AP58,Resultados!AZ58,Resultados!BJ58,Resultados!BT58,Resultados!CD58,Resultados!CN58,Resultados!CX58,Resultados!DH58)))</f>
        <v/>
      </c>
      <c r="C58">
        <f>IF(COUNT(Resultados!C58,Resultados!M58,Resultados!W58,Resultados!AG58,Resultados!AQ58,Resultados!BA58,Resultados!BK58,Resultados!BU58,Resultados!CE58,Resultados!CO58,Resultados!CY58,Resultados!DI58)&lt;=1, "", _xlfn.STDEV.S(ABS(Resultados!C58),ABS(Resultados!M58),ABS(Resultados!W58),ABS(Resultados!AG58),ABS(Resultados!AQ58),ABS(Resultados!BA58),ABS(Resultados!BK58),ABS(Resultados!BU58),ABS(Resultados!CE58),ABS(Resultados!CO58),ABS(Resultados!CY58),ABS(Resultados!DI58))/SQRT(COUNT(Resultados!C58,Resultados!M58,Resultados!W58,Resultados!AG58,Resultados!AQ58,Resultados!BA58,Resultados!BK58,Resultados!BU58,Resultados!CE58,Resultados!CO58,Resultados!CY58,Resultados!DI58)))</f>
        <v>0.45156853457049168</v>
      </c>
      <c r="D58">
        <f>IF(COUNT(Resultados!D58,Resultados!N58,Resultados!X58,Resultados!AH58,Resultados!AR58,Resultados!BB58,Resultados!BL58,Resultados!BV58,Resultados!CF58,Resultados!CP58,Resultados!CZ58,Resultados!DJ58)&lt;=1, "", _xlfn.STDEV.S(ABS(Resultados!D58),ABS(Resultados!N58),ABS(Resultados!X58),ABS(Resultados!AH58),ABS(Resultados!AR58),ABS(Resultados!BB58),ABS(Resultados!BL58),ABS(Resultados!BV58),ABS(Resultados!CF58),ABS(Resultados!CP58),ABS(Resultados!CZ58),ABS(Resultados!DJ58))/SQRT(COUNT(Resultados!D58,Resultados!N58,Resultados!X58,Resultados!AH58,Resultados!AR58,Resultados!BB58,Resultados!BL58,Resultados!BV58,Resultados!CF58,Resultados!CP58,Resultados!CZ58,Resultados!DJ58)))</f>
        <v>1.2493104158500846E-3</v>
      </c>
      <c r="E58">
        <f>IF(COUNT(Resultados!E58,Resultados!O58,Resultados!Y58,Resultados!AI58,Resultados!AS58,Resultados!BC58,Resultados!BM58,Resultados!BW58,Resultados!CG58,Resultados!CQ58,Resultados!DA58,Resultados!DK58)&lt;=1, "", _xlfn.STDEV.S(ABS(Resultados!E58),ABS(Resultados!O58),ABS(Resultados!Y58),ABS(Resultados!AI58),ABS(Resultados!AS58),ABS(Resultados!BC58),ABS(Resultados!BM58),ABS(Resultados!BW58),ABS(Resultados!CG58),ABS(Resultados!CQ58),ABS(Resultados!DA58),ABS(Resultados!DK58))/SQRT(COUNT(Resultados!E58,Resultados!O58,Resultados!Y58,Resultados!AI58,Resultados!AS58,Resultados!BC58,Resultados!BM58,Resultados!BW58,Resultados!CG58,Resultados!CQ58,Resultados!DA58,Resultados!DK58)))</f>
        <v>9.5820724317901146E-2</v>
      </c>
      <c r="F58">
        <f>IF(COUNT(Resultados!F58,Resultados!P58,Resultados!Z58,Resultados!AJ58,Resultados!AT58,Resultados!BD58,Resultados!BN58,Resultados!BX58,Resultados!CH58,Resultados!CR58,Resultados!DB58,Resultados!DL58)&lt;=1, "", _xlfn.STDEV.S(ABS(Resultados!F58),ABS(Resultados!P58),ABS(Resultados!Z58),ABS(Resultados!AJ58),ABS(Resultados!AT58),ABS(Resultados!BD58),ABS(Resultados!BN58),ABS(Resultados!BX58),ABS(Resultados!CH58),ABS(Resultados!CR58),ABS(Resultados!DB58),ABS(Resultados!DL58))/SQRT(COUNT(Resultados!F58,Resultados!P58,Resultados!Z58,Resultados!AJ58,Resultados!AT58,Resultados!BD58,Resultados!BN58,Resultados!BX58,Resultados!CH58,Resultados!CR58,Resultados!DB58,Resultados!DL58)))</f>
        <v>9.0933867377688138</v>
      </c>
      <c r="G58">
        <f>IF(COUNT(Resultados!G58,Resultados!Q58,Resultados!AA58,Resultados!AK58,Resultados!AU58,Resultados!BE58,Resultados!BO58,Resultados!BY58,Resultados!CI58,Resultados!CS58,Resultados!DC58,Resultados!DM58)&lt;=1, "", _xlfn.STDEV.S(ABS(Resultados!G58),ABS(Resultados!Q58),ABS(Resultados!AA58),ABS(Resultados!AK58),ABS(Resultados!AU58),ABS(Resultados!BE58),ABS(Resultados!BO58),ABS(Resultados!BY58),ABS(Resultados!CI58),ABS(Resultados!CS58),ABS(Resultados!DC58),ABS(Resultados!DM58))/SQRT(COUNT(Resultados!G58,Resultados!Q58,Resultados!AA58,Resultados!AK58,Resultados!AU58,Resultados!BE58,Resultados!BO58,Resultados!BY58,Resultados!CI58,Resultados!CS58,Resultados!DC58,Resultados!DM58)))</f>
        <v>3.3474483693592253E-17</v>
      </c>
      <c r="H58">
        <f>IF(COUNT(Resultados!H58,Resultados!R58,Resultados!AB58,Resultados!AL58,Resultados!AV58,Resultados!BF58,Resultados!BP58,Resultados!BZ58,Resultados!CJ58,Resultados!CT58,Resultados!DD58,Resultados!DN58)&lt;=1, "", _xlfn.STDEV.S(ABS(Resultados!H58),ABS(Resultados!R58),ABS(Resultados!AB58),ABS(Resultados!AL58),ABS(Resultados!AV58),ABS(Resultados!BF58),ABS(Resultados!BP58),ABS(Resultados!BZ58),ABS(Resultados!CJ58),ABS(Resultados!CT58),ABS(Resultados!DD58),ABS(Resultados!DN58))/SQRT(COUNT(Resultados!H58,Resultados!R58,Resultados!AB58,Resultados!AL58,Resultados!AV58,Resultados!BF58,Resultados!BP58,Resultados!BZ58,Resultados!CJ58,Resultados!CT58,Resultados!DD58,Resultados!DN58)))</f>
        <v>1.490786095259204E-3</v>
      </c>
      <c r="I58">
        <f>IF(COUNT(Resultados!I58,Resultados!S58,Resultados!AC58,Resultados!AM58,Resultados!AW58,Resultados!BG58,Resultados!BQ58,Resultados!CA58,Resultados!CK58,Resultados!CU58,Resultados!DE58,Resultados!DO58)&lt;=1, "", _xlfn.STDEV.S(ABS(Resultados!I58),ABS(Resultados!S58),ABS(Resultados!AC58),ABS(Resultados!AM58),ABS(Resultados!AW58),ABS(Resultados!BG58),ABS(Resultados!BQ58),ABS(Resultados!CA58),ABS(Resultados!CK58),ABS(Resultados!CU58),ABS(Resultados!DE58),ABS(Resultados!DO58))/SQRT(COUNT(Resultados!I58,Resultados!S58,Resultados!AC58,Resultados!AM58,Resultados!AW58,Resultados!BG58,Resultados!BQ58,Resultados!CA58,Resultados!CK58,Resultados!CU58,Resultados!DE58,Resultados!DO58)))</f>
        <v>5.2495501139611961E-2</v>
      </c>
      <c r="J58">
        <f>IF(COUNT(Resultados!J58,Resultados!T58,Resultados!AD58,Resultados!AN58,Resultados!AX58,Resultados!BH58,Resultados!BR58,Resultados!CB58,Resultados!CL58,Resultados!CV58,Resultados!DF58,Resultados!DP58)&lt;=1, "", _xlfn.STDEV.S(ABS(Resultados!J58),ABS(Resultados!T58),ABS(Resultados!AD58),ABS(Resultados!AN58),ABS(Resultados!AX58),ABS(Resultados!BH58),ABS(Resultados!BR58),ABS(Resultados!CB58),ABS(Resultados!CL58),ABS(Resultados!CV58),ABS(Resultados!DF58),ABS(Resultados!DP58))/SQRT(COUNT(Resultados!J58,Resultados!T58,Resultados!AD58,Resultados!AN58,Resultados!AX58,Resultados!BH58,Resultados!BR58,Resultados!CB58,Resultados!CL58,Resultados!CV58,Resultados!DF58,Resultados!DP58)))</f>
        <v>1.490786095259204E-3</v>
      </c>
    </row>
    <row r="59" spans="1:10" x14ac:dyDescent="0.3">
      <c r="A59">
        <f>IF(COUNT(Resultados!A59,Resultados!K59,Resultados!U59,Resultados!AE59,Resultados!AO59,Resultados!AY59,Resultados!BI59,Resultados!BS59,Resultados!CC59,Resultados!CM59,Resultados!CW59,Resultados!DG59)&lt;=1, "", _xlfn.STDEV.S(ABS(Resultados!A59),ABS(Resultados!K59),ABS(Resultados!U59),ABS(Resultados!AE59),ABS(Resultados!AO59),ABS(Resultados!AY59),ABS(Resultados!BI59),ABS(Resultados!BS59),ABS(Resultados!CC59),ABS(Resultados!CM59),ABS(Resultados!CW59),ABS(Resultados!DG59))/SQRT(COUNT(Resultados!A59,Resultados!K59,Resultados!U59,Resultados!AE59,Resultados!AO59,Resultados!AY59,Resultados!BI59,Resultados!BS59,Resultados!CC59,Resultados!CM59,Resultados!CW59,Resultados!DG59)))</f>
        <v>0</v>
      </c>
      <c r="B59" t="str">
        <f>IF(COUNT(Resultados!B59,Resultados!L59,Resultados!V59,Resultados!AF59,Resultados!AP59,Resultados!AZ59,Resultados!BJ59,Resultados!BT59,Resultados!CD59,Resultados!CN59,Resultados!CX59,Resultados!DH59)&lt;=1, "", _xlfn.STDEV.S(ABS(Resultados!B59),ABS(Resultados!L59),ABS(Resultados!V59),ABS(Resultados!AF59),ABS(Resultados!AP59),ABS(Resultados!AZ59),ABS(Resultados!BJ59),ABS(Resultados!BT59),ABS(Resultados!CD59),ABS(Resultados!CN59),ABS(Resultados!CX59),ABS(Resultados!DH59))/SQRT(COUNT(Resultados!B59,Resultados!L59,Resultados!V59,Resultados!AF59,Resultados!AP59,Resultados!AZ59,Resultados!BJ59,Resultados!BT59,Resultados!CD59,Resultados!CN59,Resultados!CX59,Resultados!DH59)))</f>
        <v/>
      </c>
      <c r="C59">
        <f>IF(COUNT(Resultados!C59,Resultados!M59,Resultados!W59,Resultados!AG59,Resultados!AQ59,Resultados!BA59,Resultados!BK59,Resultados!BU59,Resultados!CE59,Resultados!CO59,Resultados!CY59,Resultados!DI59)&lt;=1, "", _xlfn.STDEV.S(ABS(Resultados!C59),ABS(Resultados!M59),ABS(Resultados!W59),ABS(Resultados!AG59),ABS(Resultados!AQ59),ABS(Resultados!BA59),ABS(Resultados!BK59),ABS(Resultados!BU59),ABS(Resultados!CE59),ABS(Resultados!CO59),ABS(Resultados!CY59),ABS(Resultados!DI59))/SQRT(COUNT(Resultados!C59,Resultados!M59,Resultados!W59,Resultados!AG59,Resultados!AQ59,Resultados!BA59,Resultados!BK59,Resultados!BU59,Resultados!CE59,Resultados!CO59,Resultados!CY59,Resultados!DI59)))</f>
        <v>0.45156853457049168</v>
      </c>
      <c r="D59">
        <f>IF(COUNT(Resultados!D59,Resultados!N59,Resultados!X59,Resultados!AH59,Resultados!AR59,Resultados!BB59,Resultados!BL59,Resultados!BV59,Resultados!CF59,Resultados!CP59,Resultados!CZ59,Resultados!DJ59)&lt;=1, "", _xlfn.STDEV.S(ABS(Resultados!D59),ABS(Resultados!N59),ABS(Resultados!X59),ABS(Resultados!AH59),ABS(Resultados!AR59),ABS(Resultados!BB59),ABS(Resultados!BL59),ABS(Resultados!BV59),ABS(Resultados!CF59),ABS(Resultados!CP59),ABS(Resultados!CZ59),ABS(Resultados!DJ59))/SQRT(COUNT(Resultados!D59,Resultados!N59,Resultados!X59,Resultados!AH59,Resultados!AR59,Resultados!BB59,Resultados!BL59,Resultados!BV59,Resultados!CF59,Resultados!CP59,Resultados!CZ59,Resultados!DJ59)))</f>
        <v>1.2775153441526451E-3</v>
      </c>
      <c r="E59">
        <f>IF(COUNT(Resultados!E59,Resultados!O59,Resultados!Y59,Resultados!AI59,Resultados!AS59,Resultados!BC59,Resultados!BM59,Resultados!BW59,Resultados!CG59,Resultados!CQ59,Resultados!DA59,Resultados!DK59)&lt;=1, "", _xlfn.STDEV.S(ABS(Resultados!E59),ABS(Resultados!O59),ABS(Resultados!Y59),ABS(Resultados!AI59),ABS(Resultados!AS59),ABS(Resultados!BC59),ABS(Resultados!BM59),ABS(Resultados!BW59),ABS(Resultados!CG59),ABS(Resultados!CQ59),ABS(Resultados!DA59),ABS(Resultados!DK59))/SQRT(COUNT(Resultados!E59,Resultados!O59,Resultados!Y59,Resultados!AI59,Resultados!AS59,Resultados!BC59,Resultados!BM59,Resultados!BW59,Resultados!CG59,Resultados!CQ59,Resultados!DA59,Resultados!DK59)))</f>
        <v>8.9008067257886694E-2</v>
      </c>
      <c r="F59">
        <f>IF(COUNT(Resultados!F59,Resultados!P59,Resultados!Z59,Resultados!AJ59,Resultados!AT59,Resultados!BD59,Resultados!BN59,Resultados!BX59,Resultados!CH59,Resultados!CR59,Resultados!DB59,Resultados!DL59)&lt;=1, "", _xlfn.STDEV.S(ABS(Resultados!F59),ABS(Resultados!P59),ABS(Resultados!Z59),ABS(Resultados!AJ59),ABS(Resultados!AT59),ABS(Resultados!BD59),ABS(Resultados!BN59),ABS(Resultados!BX59),ABS(Resultados!CH59),ABS(Resultados!CR59),ABS(Resultados!DB59),ABS(Resultados!DL59))/SQRT(COUNT(Resultados!F59,Resultados!P59,Resultados!Z59,Resultados!AJ59,Resultados!AT59,Resultados!BD59,Resultados!BN59,Resultados!BX59,Resultados!CH59,Resultados!CR59,Resultados!DB59,Resultados!DL59)))</f>
        <v>8.446865582773448</v>
      </c>
      <c r="G59">
        <f>IF(COUNT(Resultados!G59,Resultados!Q59,Resultados!AA59,Resultados!AK59,Resultados!AU59,Resultados!BE59,Resultados!BO59,Resultados!BY59,Resultados!CI59,Resultados!CS59,Resultados!DC59,Resultados!DM59)&lt;=1, "", _xlfn.STDEV.S(ABS(Resultados!G59),ABS(Resultados!Q59),ABS(Resultados!AA59),ABS(Resultados!AK59),ABS(Resultados!AU59),ABS(Resultados!BE59),ABS(Resultados!BO59),ABS(Resultados!BY59),ABS(Resultados!CI59),ABS(Resultados!CS59),ABS(Resultados!DC59),ABS(Resultados!DM59))/SQRT(COUNT(Resultados!G59,Resultados!Q59,Resultados!AA59,Resultados!AK59,Resultados!AU59,Resultados!BE59,Resultados!BO59,Resultados!BY59,Resultados!CI59,Resultados!CS59,Resultados!DC59,Resultados!DM59)))</f>
        <v>3.3474483693592253E-17</v>
      </c>
      <c r="H59">
        <f>IF(COUNT(Resultados!H59,Resultados!R59,Resultados!AB59,Resultados!AL59,Resultados!AV59,Resultados!BF59,Resultados!BP59,Resultados!BZ59,Resultados!CJ59,Resultados!CT59,Resultados!DD59,Resultados!DN59)&lt;=1, "", _xlfn.STDEV.S(ABS(Resultados!H59),ABS(Resultados!R59),ABS(Resultados!AB59),ABS(Resultados!AL59),ABS(Resultados!AV59),ABS(Resultados!BF59),ABS(Resultados!BP59),ABS(Resultados!BZ59),ABS(Resultados!CJ59),ABS(Resultados!CT59),ABS(Resultados!DD59),ABS(Resultados!DN59))/SQRT(COUNT(Resultados!H59,Resultados!R59,Resultados!AB59,Resultados!AL59,Resultados!AV59,Resultados!BF59,Resultados!BP59,Resultados!BZ59,Resultados!CJ59,Resultados!CT59,Resultados!DD59,Resultados!DN59)))</f>
        <v>1.387523318577372E-3</v>
      </c>
      <c r="I59">
        <f>IF(COUNT(Resultados!I59,Resultados!S59,Resultados!AC59,Resultados!AM59,Resultados!AW59,Resultados!BG59,Resultados!BQ59,Resultados!CA59,Resultados!CK59,Resultados!CU59,Resultados!DE59,Resultados!DO59)&lt;=1, "", _xlfn.STDEV.S(ABS(Resultados!I59),ABS(Resultados!S59),ABS(Resultados!AC59),ABS(Resultados!AM59),ABS(Resultados!AW59),ABS(Resultados!BG59),ABS(Resultados!BQ59),ABS(Resultados!CA59),ABS(Resultados!CK59),ABS(Resultados!CU59),ABS(Resultados!DE59),ABS(Resultados!DO59))/SQRT(COUNT(Resultados!I59,Resultados!S59,Resultados!AC59,Resultados!AM59,Resultados!AW59,Resultados!BG59,Resultados!BQ59,Resultados!CA59,Resultados!CK59,Resultados!CU59,Resultados!DE59,Resultados!DO59)))</f>
        <v>5.2291642808154834E-2</v>
      </c>
      <c r="J59">
        <f>IF(COUNT(Resultados!J59,Resultados!T59,Resultados!AD59,Resultados!AN59,Resultados!AX59,Resultados!BH59,Resultados!BR59,Resultados!CB59,Resultados!CL59,Resultados!CV59,Resultados!DF59,Resultados!DP59)&lt;=1, "", _xlfn.STDEV.S(ABS(Resultados!J59),ABS(Resultados!T59),ABS(Resultados!AD59),ABS(Resultados!AN59),ABS(Resultados!AX59),ABS(Resultados!BH59),ABS(Resultados!BR59),ABS(Resultados!CB59),ABS(Resultados!CL59),ABS(Resultados!CV59),ABS(Resultados!DF59),ABS(Resultados!DP59))/SQRT(COUNT(Resultados!J59,Resultados!T59,Resultados!AD59,Resultados!AN59,Resultados!AX59,Resultados!BH59,Resultados!BR59,Resultados!CB59,Resultados!CL59,Resultados!CV59,Resultados!DF59,Resultados!DP59)))</f>
        <v>1.387523318577372E-3</v>
      </c>
    </row>
    <row r="60" spans="1:10" x14ac:dyDescent="0.3">
      <c r="A60">
        <f>IF(COUNT(Resultados!A60,Resultados!K60,Resultados!U60,Resultados!AE60,Resultados!AO60,Resultados!AY60,Resultados!BI60,Resultados!BS60,Resultados!CC60,Resultados!CM60,Resultados!CW60,Resultados!DG60)&lt;=1, "", _xlfn.STDEV.S(ABS(Resultados!A60),ABS(Resultados!K60),ABS(Resultados!U60),ABS(Resultados!AE60),ABS(Resultados!AO60),ABS(Resultados!AY60),ABS(Resultados!BI60),ABS(Resultados!BS60),ABS(Resultados!CC60),ABS(Resultados!CM60),ABS(Resultados!CW60),ABS(Resultados!DG60))/SQRT(COUNT(Resultados!A60,Resultados!K60,Resultados!U60,Resultados!AE60,Resultados!AO60,Resultados!AY60,Resultados!BI60,Resultados!BS60,Resultados!CC60,Resultados!CM60,Resultados!CW60,Resultados!DG60)))</f>
        <v>0</v>
      </c>
      <c r="B60" t="str">
        <f>IF(COUNT(Resultados!B60,Resultados!L60,Resultados!V60,Resultados!AF60,Resultados!AP60,Resultados!AZ60,Resultados!BJ60,Resultados!BT60,Resultados!CD60,Resultados!CN60,Resultados!CX60,Resultados!DH60)&lt;=1, "", _xlfn.STDEV.S(ABS(Resultados!B60),ABS(Resultados!L60),ABS(Resultados!V60),ABS(Resultados!AF60),ABS(Resultados!AP60),ABS(Resultados!AZ60),ABS(Resultados!BJ60),ABS(Resultados!BT60),ABS(Resultados!CD60),ABS(Resultados!CN60),ABS(Resultados!CX60),ABS(Resultados!DH60))/SQRT(COUNT(Resultados!B60,Resultados!L60,Resultados!V60,Resultados!AF60,Resultados!AP60,Resultados!AZ60,Resultados!BJ60,Resultados!BT60,Resultados!CD60,Resultados!CN60,Resultados!CX60,Resultados!DH60)))</f>
        <v/>
      </c>
      <c r="C60">
        <f>IF(COUNT(Resultados!C60,Resultados!M60,Resultados!W60,Resultados!AG60,Resultados!AQ60,Resultados!BA60,Resultados!BK60,Resultados!BU60,Resultados!CE60,Resultados!CO60,Resultados!CY60,Resultados!DI60)&lt;=1, "", _xlfn.STDEV.S(ABS(Resultados!C60),ABS(Resultados!M60),ABS(Resultados!W60),ABS(Resultados!AG60),ABS(Resultados!AQ60),ABS(Resultados!BA60),ABS(Resultados!BK60),ABS(Resultados!BU60),ABS(Resultados!CE60),ABS(Resultados!CO60),ABS(Resultados!CY60),ABS(Resultados!DI60))/SQRT(COUNT(Resultados!C60,Resultados!M60,Resultados!W60,Resultados!AG60,Resultados!AQ60,Resultados!BA60,Resultados!BK60,Resultados!BU60,Resultados!CE60,Resultados!CO60,Resultados!CY60,Resultados!DI60)))</f>
        <v>0.45156853457049168</v>
      </c>
      <c r="D60">
        <f>IF(COUNT(Resultados!D60,Resultados!N60,Resultados!X60,Resultados!AH60,Resultados!AR60,Resultados!BB60,Resultados!BL60,Resultados!BV60,Resultados!CF60,Resultados!CP60,Resultados!CZ60,Resultados!DJ60)&lt;=1, "", _xlfn.STDEV.S(ABS(Resultados!D60),ABS(Resultados!N60),ABS(Resultados!X60),ABS(Resultados!AH60),ABS(Resultados!AR60),ABS(Resultados!BB60),ABS(Resultados!BL60),ABS(Resultados!BV60),ABS(Resultados!CF60),ABS(Resultados!CP60),ABS(Resultados!CZ60),ABS(Resultados!DJ60))/SQRT(COUNT(Resultados!D60,Resultados!N60,Resultados!X60,Resultados!AH60,Resultados!AR60,Resultados!BB60,Resultados!BL60,Resultados!BV60,Resultados!CF60,Resultados!CP60,Resultados!CZ60,Resultados!DJ60)))</f>
        <v>1.2623831078999379E-3</v>
      </c>
      <c r="E60">
        <f>IF(COUNT(Resultados!E60,Resultados!O60,Resultados!Y60,Resultados!AI60,Resultados!AS60,Resultados!BC60,Resultados!BM60,Resultados!BW60,Resultados!CG60,Resultados!CQ60,Resultados!DA60,Resultados!DK60)&lt;=1, "", _xlfn.STDEV.S(ABS(Resultados!E60),ABS(Resultados!O60),ABS(Resultados!Y60),ABS(Resultados!AI60),ABS(Resultados!AS60),ABS(Resultados!BC60),ABS(Resultados!BM60),ABS(Resultados!BW60),ABS(Resultados!CG60),ABS(Resultados!CQ60),ABS(Resultados!DA60),ABS(Resultados!DK60))/SQRT(COUNT(Resultados!E60,Resultados!O60,Resultados!Y60,Resultados!AI60,Resultados!AS60,Resultados!BC60,Resultados!BM60,Resultados!BW60,Resultados!CG60,Resultados!CQ60,Resultados!DA60,Resultados!DK60)))</f>
        <v>8.0914551493934075E-2</v>
      </c>
      <c r="F60">
        <f>IF(COUNT(Resultados!F60,Resultados!P60,Resultados!Z60,Resultados!AJ60,Resultados!AT60,Resultados!BD60,Resultados!BN60,Resultados!BX60,Resultados!CH60,Resultados!CR60,Resultados!DB60,Resultados!DL60)&lt;=1, "", _xlfn.STDEV.S(ABS(Resultados!F60),ABS(Resultados!P60),ABS(Resultados!Z60),ABS(Resultados!AJ60),ABS(Resultados!AT60),ABS(Resultados!BD60),ABS(Resultados!BN60),ABS(Resultados!BX60),ABS(Resultados!CH60),ABS(Resultados!CR60),ABS(Resultados!DB60),ABS(Resultados!DL60))/SQRT(COUNT(Resultados!F60,Resultados!P60,Resultados!Z60,Resultados!AJ60,Resultados!AT60,Resultados!BD60,Resultados!BN60,Resultados!BX60,Resultados!CH60,Resultados!CR60,Resultados!DB60,Resultados!DL60)))</f>
        <v>7.6787909367743437</v>
      </c>
      <c r="G60">
        <f>IF(COUNT(Resultados!G60,Resultados!Q60,Resultados!AA60,Resultados!AK60,Resultados!AU60,Resultados!BE60,Resultados!BO60,Resultados!BY60,Resultados!CI60,Resultados!CS60,Resultados!DC60,Resultados!DM60)&lt;=1, "", _xlfn.STDEV.S(ABS(Resultados!G60),ABS(Resultados!Q60),ABS(Resultados!AA60),ABS(Resultados!AK60),ABS(Resultados!AU60),ABS(Resultados!BE60),ABS(Resultados!BO60),ABS(Resultados!BY60),ABS(Resultados!CI60),ABS(Resultados!CS60),ABS(Resultados!DC60),ABS(Resultados!DM60))/SQRT(COUNT(Resultados!G60,Resultados!Q60,Resultados!AA60,Resultados!AK60,Resultados!AU60,Resultados!BE60,Resultados!BO60,Resultados!BY60,Resultados!CI60,Resultados!CS60,Resultados!DC60,Resultados!DM60)))</f>
        <v>3.3474483693592253E-17</v>
      </c>
      <c r="H60">
        <f>IF(COUNT(Resultados!H60,Resultados!R60,Resultados!AB60,Resultados!AL60,Resultados!AV60,Resultados!BF60,Resultados!BP60,Resultados!BZ60,Resultados!CJ60,Resultados!CT60,Resultados!DD60,Resultados!DN60)&lt;=1, "", _xlfn.STDEV.S(ABS(Resultados!H60),ABS(Resultados!R60),ABS(Resultados!AB60),ABS(Resultados!AL60),ABS(Resultados!AV60),ABS(Resultados!BF60),ABS(Resultados!BP60),ABS(Resultados!BZ60),ABS(Resultados!CJ60),ABS(Resultados!CT60),ABS(Resultados!DD60),ABS(Resultados!DN60))/SQRT(COUNT(Resultados!H60,Resultados!R60,Resultados!AB60,Resultados!AL60,Resultados!AV60,Resultados!BF60,Resultados!BP60,Resultados!BZ60,Resultados!CJ60,Resultados!CT60,Resultados!DD60,Resultados!DN60)))</f>
        <v>1.2529636584087131E-3</v>
      </c>
      <c r="I60">
        <f>IF(COUNT(Resultados!I60,Resultados!S60,Resultados!AC60,Resultados!AM60,Resultados!AW60,Resultados!BG60,Resultados!BQ60,Resultados!CA60,Resultados!CK60,Resultados!CU60,Resultados!DE60,Resultados!DO60)&lt;=1, "", _xlfn.STDEV.S(ABS(Resultados!I60),ABS(Resultados!S60),ABS(Resultados!AC60),ABS(Resultados!AM60),ABS(Resultados!AW60),ABS(Resultados!BG60),ABS(Resultados!BQ60),ABS(Resultados!CA60),ABS(Resultados!CK60),ABS(Resultados!CU60),ABS(Resultados!DE60),ABS(Resultados!DO60))/SQRT(COUNT(Resultados!I60,Resultados!S60,Resultados!AC60,Resultados!AM60,Resultados!AW60,Resultados!BG60,Resultados!BQ60,Resultados!CA60,Resultados!CK60,Resultados!CU60,Resultados!DE60,Resultados!DO60)))</f>
        <v>5.2492695441816534E-2</v>
      </c>
      <c r="J60">
        <f>IF(COUNT(Resultados!J60,Resultados!T60,Resultados!AD60,Resultados!AN60,Resultados!AX60,Resultados!BH60,Resultados!BR60,Resultados!CB60,Resultados!CL60,Resultados!CV60,Resultados!DF60,Resultados!DP60)&lt;=1, "", _xlfn.STDEV.S(ABS(Resultados!J60),ABS(Resultados!T60),ABS(Resultados!AD60),ABS(Resultados!AN60),ABS(Resultados!AX60),ABS(Resultados!BH60),ABS(Resultados!BR60),ABS(Resultados!CB60),ABS(Resultados!CL60),ABS(Resultados!CV60),ABS(Resultados!DF60),ABS(Resultados!DP60))/SQRT(COUNT(Resultados!J60,Resultados!T60,Resultados!AD60,Resultados!AN60,Resultados!AX60,Resultados!BH60,Resultados!BR60,Resultados!CB60,Resultados!CL60,Resultados!CV60,Resultados!DF60,Resultados!DP60)))</f>
        <v>1.2529636584087131E-3</v>
      </c>
    </row>
    <row r="61" spans="1:10" x14ac:dyDescent="0.3">
      <c r="A61">
        <f>IF(COUNT(Resultados!A61,Resultados!K61,Resultados!U61,Resultados!AE61,Resultados!AO61,Resultados!AY61,Resultados!BI61,Resultados!BS61,Resultados!CC61,Resultados!CM61,Resultados!CW61,Resultados!DG61)&lt;=1, "", _xlfn.STDEV.S(ABS(Resultados!A61),ABS(Resultados!K61),ABS(Resultados!U61),ABS(Resultados!AE61),ABS(Resultados!AO61),ABS(Resultados!AY61),ABS(Resultados!BI61),ABS(Resultados!BS61),ABS(Resultados!CC61),ABS(Resultados!CM61),ABS(Resultados!CW61),ABS(Resultados!DG61))/SQRT(COUNT(Resultados!A61,Resultados!K61,Resultados!U61,Resultados!AE61,Resultados!AO61,Resultados!AY61,Resultados!BI61,Resultados!BS61,Resultados!CC61,Resultados!CM61,Resultados!CW61,Resultados!DG61)))</f>
        <v>0</v>
      </c>
      <c r="B61" t="str">
        <f>IF(COUNT(Resultados!B61,Resultados!L61,Resultados!V61,Resultados!AF61,Resultados!AP61,Resultados!AZ61,Resultados!BJ61,Resultados!BT61,Resultados!CD61,Resultados!CN61,Resultados!CX61,Resultados!DH61)&lt;=1, "", _xlfn.STDEV.S(ABS(Resultados!B61),ABS(Resultados!L61),ABS(Resultados!V61),ABS(Resultados!AF61),ABS(Resultados!AP61),ABS(Resultados!AZ61),ABS(Resultados!BJ61),ABS(Resultados!BT61),ABS(Resultados!CD61),ABS(Resultados!CN61),ABS(Resultados!CX61),ABS(Resultados!DH61))/SQRT(COUNT(Resultados!B61,Resultados!L61,Resultados!V61,Resultados!AF61,Resultados!AP61,Resultados!AZ61,Resultados!BJ61,Resultados!BT61,Resultados!CD61,Resultados!CN61,Resultados!CX61,Resultados!DH61)))</f>
        <v/>
      </c>
      <c r="C61">
        <f>IF(COUNT(Resultados!C61,Resultados!M61,Resultados!W61,Resultados!AG61,Resultados!AQ61,Resultados!BA61,Resultados!BK61,Resultados!BU61,Resultados!CE61,Resultados!CO61,Resultados!CY61,Resultados!DI61)&lt;=1, "", _xlfn.STDEV.S(ABS(Resultados!C61),ABS(Resultados!M61),ABS(Resultados!W61),ABS(Resultados!AG61),ABS(Resultados!AQ61),ABS(Resultados!BA61),ABS(Resultados!BK61),ABS(Resultados!BU61),ABS(Resultados!CE61),ABS(Resultados!CO61),ABS(Resultados!CY61),ABS(Resultados!DI61))/SQRT(COUNT(Resultados!C61,Resultados!M61,Resultados!W61,Resultados!AG61,Resultados!AQ61,Resultados!BA61,Resultados!BK61,Resultados!BU61,Resultados!CE61,Resultados!CO61,Resultados!CY61,Resultados!DI61)))</f>
        <v>0.45156853457049168</v>
      </c>
      <c r="D61">
        <f>IF(COUNT(Resultados!D61,Resultados!N61,Resultados!X61,Resultados!AH61,Resultados!AR61,Resultados!BB61,Resultados!BL61,Resultados!BV61,Resultados!CF61,Resultados!CP61,Resultados!CZ61,Resultados!DJ61)&lt;=1, "", _xlfn.STDEV.S(ABS(Resultados!D61),ABS(Resultados!N61),ABS(Resultados!X61),ABS(Resultados!AH61),ABS(Resultados!AR61),ABS(Resultados!BB61),ABS(Resultados!BL61),ABS(Resultados!BV61),ABS(Resultados!CF61),ABS(Resultados!CP61),ABS(Resultados!CZ61),ABS(Resultados!DJ61))/SQRT(COUNT(Resultados!D61,Resultados!N61,Resultados!X61,Resultados!AH61,Resultados!AR61,Resultados!BB61,Resultados!BL61,Resultados!BV61,Resultados!CF61,Resultados!CP61,Resultados!CZ61,Resultados!DJ61)))</f>
        <v>1.2128104101256285E-3</v>
      </c>
      <c r="E61">
        <f>IF(COUNT(Resultados!E61,Resultados!O61,Resultados!Y61,Resultados!AI61,Resultados!AS61,Resultados!BC61,Resultados!BM61,Resultados!BW61,Resultados!CG61,Resultados!CQ61,Resultados!DA61,Resultados!DK61)&lt;=1, "", _xlfn.STDEV.S(ABS(Resultados!E61),ABS(Resultados!O61),ABS(Resultados!Y61),ABS(Resultados!AI61),ABS(Resultados!AS61),ABS(Resultados!BC61),ABS(Resultados!BM61),ABS(Resultados!BW61),ABS(Resultados!CG61),ABS(Resultados!CQ61),ABS(Resultados!DA61),ABS(Resultados!DK61))/SQRT(COUNT(Resultados!E61,Resultados!O61,Resultados!Y61,Resultados!AI61,Resultados!AS61,Resultados!BC61,Resultados!BM61,Resultados!BW61,Resultados!CG61,Resultados!CQ61,Resultados!DA61,Resultados!DK61)))</f>
        <v>7.09400812874659E-2</v>
      </c>
      <c r="F61">
        <f>IF(COUNT(Resultados!F61,Resultados!P61,Resultados!Z61,Resultados!AJ61,Resultados!AT61,Resultados!BD61,Resultados!BN61,Resultados!BX61,Resultados!CH61,Resultados!CR61,Resultados!DB61,Resultados!DL61)&lt;=1, "", _xlfn.STDEV.S(ABS(Resultados!F61),ABS(Resultados!P61),ABS(Resultados!Z61),ABS(Resultados!AJ61),ABS(Resultados!AT61),ABS(Resultados!BD61),ABS(Resultados!BN61),ABS(Resultados!BX61),ABS(Resultados!CH61),ABS(Resultados!CR61),ABS(Resultados!DB61),ABS(Resultados!DL61))/SQRT(COUNT(Resultados!F61,Resultados!P61,Resultados!Z61,Resultados!AJ61,Resultados!AT61,Resultados!BD61,Resultados!BN61,Resultados!BX61,Resultados!CH61,Resultados!CR61,Resultados!DB61,Resultados!DL61)))</f>
        <v>13.250031306130053</v>
      </c>
      <c r="G61">
        <f>IF(COUNT(Resultados!G61,Resultados!Q61,Resultados!AA61,Resultados!AK61,Resultados!AU61,Resultados!BE61,Resultados!BO61,Resultados!BY61,Resultados!CI61,Resultados!CS61,Resultados!DC61,Resultados!DM61)&lt;=1, "", _xlfn.STDEV.S(ABS(Resultados!G61),ABS(Resultados!Q61),ABS(Resultados!AA61),ABS(Resultados!AK61),ABS(Resultados!AU61),ABS(Resultados!BE61),ABS(Resultados!BO61),ABS(Resultados!BY61),ABS(Resultados!CI61),ABS(Resultados!CS61),ABS(Resultados!DC61),ABS(Resultados!DM61))/SQRT(COUNT(Resultados!G61,Resultados!Q61,Resultados!AA61,Resultados!AK61,Resultados!AU61,Resultados!BE61,Resultados!BO61,Resultados!BY61,Resultados!CI61,Resultados!CS61,Resultados!DC61,Resultados!DM61)))</f>
        <v>3.3474483693592253E-17</v>
      </c>
      <c r="H61">
        <f>IF(COUNT(Resultados!H61,Resultados!R61,Resultados!AB61,Resultados!AL61,Resultados!AV61,Resultados!BF61,Resultados!BP61,Resultados!BZ61,Resultados!CJ61,Resultados!CT61,Resultados!DD61,Resultados!DN61)&lt;=1, "", _xlfn.STDEV.S(ABS(Resultados!H61),ABS(Resultados!R61),ABS(Resultados!AB61),ABS(Resultados!AL61),ABS(Resultados!AV61),ABS(Resultados!BF61),ABS(Resultados!BP61),ABS(Resultados!BZ61),ABS(Resultados!CJ61),ABS(Resultados!CT61),ABS(Resultados!DD61),ABS(Resultados!DN61))/SQRT(COUNT(Resultados!H61,Resultados!R61,Resultados!AB61,Resultados!AL61,Resultados!AV61,Resultados!BF61,Resultados!BP61,Resultados!BZ61,Resultados!CJ61,Resultados!CT61,Resultados!DD61,Resultados!DN61)))</f>
        <v>1.1007659179228821E-3</v>
      </c>
      <c r="I61">
        <f>IF(COUNT(Resultados!I61,Resultados!S61,Resultados!AC61,Resultados!AM61,Resultados!AW61,Resultados!BG61,Resultados!BQ61,Resultados!CA61,Resultados!CK61,Resultados!CU61,Resultados!DE61,Resultados!DO61)&lt;=1, "", _xlfn.STDEV.S(ABS(Resultados!I61),ABS(Resultados!S61),ABS(Resultados!AC61),ABS(Resultados!AM61),ABS(Resultados!AW61),ABS(Resultados!BG61),ABS(Resultados!BQ61),ABS(Resultados!CA61),ABS(Resultados!CK61),ABS(Resultados!CU61),ABS(Resultados!DE61),ABS(Resultados!DO61))/SQRT(COUNT(Resultados!I61,Resultados!S61,Resultados!AC61,Resultados!AM61,Resultados!AW61,Resultados!BG61,Resultados!BQ61,Resultados!CA61,Resultados!CK61,Resultados!CU61,Resultados!DE61,Resultados!DO61)))</f>
        <v>5.2337528274133953E-2</v>
      </c>
      <c r="J61">
        <f>IF(COUNT(Resultados!J61,Resultados!T61,Resultados!AD61,Resultados!AN61,Resultados!AX61,Resultados!BH61,Resultados!BR61,Resultados!CB61,Resultados!CL61,Resultados!CV61,Resultados!DF61,Resultados!DP61)&lt;=1, "", _xlfn.STDEV.S(ABS(Resultados!J61),ABS(Resultados!T61),ABS(Resultados!AD61),ABS(Resultados!AN61),ABS(Resultados!AX61),ABS(Resultados!BH61),ABS(Resultados!BR61),ABS(Resultados!CB61),ABS(Resultados!CL61),ABS(Resultados!CV61),ABS(Resultados!DF61),ABS(Resultados!DP61))/SQRT(COUNT(Resultados!J61,Resultados!T61,Resultados!AD61,Resultados!AN61,Resultados!AX61,Resultados!BH61,Resultados!BR61,Resultados!CB61,Resultados!CL61,Resultados!CV61,Resultados!DF61,Resultados!DP61)))</f>
        <v>1.1007659179228821E-3</v>
      </c>
    </row>
    <row r="62" spans="1:10" x14ac:dyDescent="0.3">
      <c r="A62">
        <f>IF(COUNT(Resultados!A62,Resultados!K62,Resultados!U62,Resultados!AE62,Resultados!AO62,Resultados!AY62,Resultados!BI62,Resultados!BS62,Resultados!CC62,Resultados!CM62,Resultados!CW62,Resultados!DG62)&lt;=1, "", _xlfn.STDEV.S(ABS(Resultados!A62),ABS(Resultados!K62),ABS(Resultados!U62),ABS(Resultados!AE62),ABS(Resultados!AO62),ABS(Resultados!AY62),ABS(Resultados!BI62),ABS(Resultados!BS62),ABS(Resultados!CC62),ABS(Resultados!CM62),ABS(Resultados!CW62),ABS(Resultados!DG62))/SQRT(COUNT(Resultados!A62,Resultados!K62,Resultados!U62,Resultados!AE62,Resultados!AO62,Resultados!AY62,Resultados!BI62,Resultados!BS62,Resultados!CC62,Resultados!CM62,Resultados!CW62,Resultados!DG62)))</f>
        <v>0</v>
      </c>
      <c r="B62" t="str">
        <f>IF(COUNT(Resultados!B62,Resultados!L62,Resultados!V62,Resultados!AF62,Resultados!AP62,Resultados!AZ62,Resultados!BJ62,Resultados!BT62,Resultados!CD62,Resultados!CN62,Resultados!CX62,Resultados!DH62)&lt;=1, "", _xlfn.STDEV.S(ABS(Resultados!B62),ABS(Resultados!L62),ABS(Resultados!V62),ABS(Resultados!AF62),ABS(Resultados!AP62),ABS(Resultados!AZ62),ABS(Resultados!BJ62),ABS(Resultados!BT62),ABS(Resultados!CD62),ABS(Resultados!CN62),ABS(Resultados!CX62),ABS(Resultados!DH62))/SQRT(COUNT(Resultados!B62,Resultados!L62,Resultados!V62,Resultados!AF62,Resultados!AP62,Resultados!AZ62,Resultados!BJ62,Resultados!BT62,Resultados!CD62,Resultados!CN62,Resultados!CX62,Resultados!DH62)))</f>
        <v/>
      </c>
      <c r="C62">
        <f>IF(COUNT(Resultados!C62,Resultados!M62,Resultados!W62,Resultados!AG62,Resultados!AQ62,Resultados!BA62,Resultados!BK62,Resultados!BU62,Resultados!CE62,Resultados!CO62,Resultados!CY62,Resultados!DI62)&lt;=1, "", _xlfn.STDEV.S(ABS(Resultados!C62),ABS(Resultados!M62),ABS(Resultados!W62),ABS(Resultados!AG62),ABS(Resultados!AQ62),ABS(Resultados!BA62),ABS(Resultados!BK62),ABS(Resultados!BU62),ABS(Resultados!CE62),ABS(Resultados!CO62),ABS(Resultados!CY62),ABS(Resultados!DI62))/SQRT(COUNT(Resultados!C62,Resultados!M62,Resultados!W62,Resultados!AG62,Resultados!AQ62,Resultados!BA62,Resultados!BK62,Resultados!BU62,Resultados!CE62,Resultados!CO62,Resultados!CY62,Resultados!DI62)))</f>
        <v>0.46871843328054602</v>
      </c>
      <c r="D62">
        <f>IF(COUNT(Resultados!D62,Resultados!N62,Resultados!X62,Resultados!AH62,Resultados!AR62,Resultados!BB62,Resultados!BL62,Resultados!BV62,Resultados!CF62,Resultados!CP62,Resultados!CZ62,Resultados!DJ62)&lt;=1, "", _xlfn.STDEV.S(ABS(Resultados!D62),ABS(Resultados!N62),ABS(Resultados!X62),ABS(Resultados!AH62),ABS(Resultados!AR62),ABS(Resultados!BB62),ABS(Resultados!BL62),ABS(Resultados!BV62),ABS(Resultados!CF62),ABS(Resultados!CP62),ABS(Resultados!CZ62),ABS(Resultados!DJ62))/SQRT(COUNT(Resultados!D62,Resultados!N62,Resultados!X62,Resultados!AH62,Resultados!AR62,Resultados!BB62,Resultados!BL62,Resultados!BV62,Resultados!CF62,Resultados!CP62,Resultados!CZ62,Resultados!DJ62)))</f>
        <v>1.0673618709867631E-3</v>
      </c>
      <c r="E62">
        <f>IF(COUNT(Resultados!E62,Resultados!O62,Resultados!Y62,Resultados!AI62,Resultados!AS62,Resultados!BC62,Resultados!BM62,Resultados!BW62,Resultados!CG62,Resultados!CQ62,Resultados!DA62,Resultados!DK62)&lt;=1, "", _xlfn.STDEV.S(ABS(Resultados!E62),ABS(Resultados!O62),ABS(Resultados!Y62),ABS(Resultados!AI62),ABS(Resultados!AS62),ABS(Resultados!BC62),ABS(Resultados!BM62),ABS(Resultados!BW62),ABS(Resultados!CG62),ABS(Resultados!CQ62),ABS(Resultados!DA62),ABS(Resultados!DK62))/SQRT(COUNT(Resultados!E62,Resultados!O62,Resultados!Y62,Resultados!AI62,Resultados!AS62,Resultados!BC62,Resultados!BM62,Resultados!BW62,Resultados!CG62,Resultados!CQ62,Resultados!DA62,Resultados!DK62)))</f>
        <v>5.9715784187598812E-2</v>
      </c>
      <c r="F62">
        <f>IF(COUNT(Resultados!F62,Resultados!P62,Resultados!Z62,Resultados!AJ62,Resultados!AT62,Resultados!BD62,Resultados!BN62,Resultados!BX62,Resultados!CH62,Resultados!CR62,Resultados!DB62,Resultados!DL62)&lt;=1, "", _xlfn.STDEV.S(ABS(Resultados!F62),ABS(Resultados!P62),ABS(Resultados!Z62),ABS(Resultados!AJ62),ABS(Resultados!AT62),ABS(Resultados!BD62),ABS(Resultados!BN62),ABS(Resultados!BX62),ABS(Resultados!CH62),ABS(Resultados!CR62),ABS(Resultados!DB62),ABS(Resultados!DL62))/SQRT(COUNT(Resultados!F62,Resultados!P62,Resultados!Z62,Resultados!AJ62,Resultados!AT62,Resultados!BD62,Resultados!BN62,Resultados!BX62,Resultados!CH62,Resultados!CR62,Resultados!DB62,Resultados!DL62)))</f>
        <v>13.563464699922807</v>
      </c>
      <c r="G62">
        <f>IF(COUNT(Resultados!G62,Resultados!Q62,Resultados!AA62,Resultados!AK62,Resultados!AU62,Resultados!BE62,Resultados!BO62,Resultados!BY62,Resultados!CI62,Resultados!CS62,Resultados!DC62,Resultados!DM62)&lt;=1, "", _xlfn.STDEV.S(ABS(Resultados!G62),ABS(Resultados!Q62),ABS(Resultados!AA62),ABS(Resultados!AK62),ABS(Resultados!AU62),ABS(Resultados!BE62),ABS(Resultados!BO62),ABS(Resultados!BY62),ABS(Resultados!CI62),ABS(Resultados!CS62),ABS(Resultados!DC62),ABS(Resultados!DM62))/SQRT(COUNT(Resultados!G62,Resultados!Q62,Resultados!AA62,Resultados!AK62,Resultados!AU62,Resultados!BE62,Resultados!BO62,Resultados!BY62,Resultados!CI62,Resultados!CS62,Resultados!DC62,Resultados!DM62)))</f>
        <v>3.3474483693592253E-17</v>
      </c>
      <c r="H62">
        <f>IF(COUNT(Resultados!H62,Resultados!R62,Resultados!AB62,Resultados!AL62,Resultados!AV62,Resultados!BF62,Resultados!BP62,Resultados!BZ62,Resultados!CJ62,Resultados!CT62,Resultados!DD62,Resultados!DN62)&lt;=1, "", _xlfn.STDEV.S(ABS(Resultados!H62),ABS(Resultados!R62),ABS(Resultados!AB62),ABS(Resultados!AL62),ABS(Resultados!AV62),ABS(Resultados!BF62),ABS(Resultados!BP62),ABS(Resultados!BZ62),ABS(Resultados!CJ62),ABS(Resultados!CT62),ABS(Resultados!DD62),ABS(Resultados!DN62))/SQRT(COUNT(Resultados!H62,Resultados!R62,Resultados!AB62,Resultados!AL62,Resultados!AV62,Resultados!BF62,Resultados!BP62,Resultados!BZ62,Resultados!CJ62,Resultados!CT62,Resultados!DD62,Resultados!DN62)))</f>
        <v>9.2824641886807963E-4</v>
      </c>
      <c r="I62">
        <f>IF(COUNT(Resultados!I62,Resultados!S62,Resultados!AC62,Resultados!AM62,Resultados!AW62,Resultados!BG62,Resultados!BQ62,Resultados!CA62,Resultados!CK62,Resultados!CU62,Resultados!DE62,Resultados!DO62)&lt;=1, "", _xlfn.STDEV.S(ABS(Resultados!I62),ABS(Resultados!S62),ABS(Resultados!AC62),ABS(Resultados!AM62),ABS(Resultados!AW62),ABS(Resultados!BG62),ABS(Resultados!BQ62),ABS(Resultados!CA62),ABS(Resultados!CK62),ABS(Resultados!CU62),ABS(Resultados!DE62),ABS(Resultados!DO62))/SQRT(COUNT(Resultados!I62,Resultados!S62,Resultados!AC62,Resultados!AM62,Resultados!AW62,Resultados!BG62,Resultados!BQ62,Resultados!CA62,Resultados!CK62,Resultados!CU62,Resultados!DE62,Resultados!DO62)))</f>
        <v>5.2582665602901583E-2</v>
      </c>
      <c r="J62">
        <f>IF(COUNT(Resultados!J62,Resultados!T62,Resultados!AD62,Resultados!AN62,Resultados!AX62,Resultados!BH62,Resultados!BR62,Resultados!CB62,Resultados!CL62,Resultados!CV62,Resultados!DF62,Resultados!DP62)&lt;=1, "", _xlfn.STDEV.S(ABS(Resultados!J62),ABS(Resultados!T62),ABS(Resultados!AD62),ABS(Resultados!AN62),ABS(Resultados!AX62),ABS(Resultados!BH62),ABS(Resultados!BR62),ABS(Resultados!CB62),ABS(Resultados!CL62),ABS(Resultados!CV62),ABS(Resultados!DF62),ABS(Resultados!DP62))/SQRT(COUNT(Resultados!J62,Resultados!T62,Resultados!AD62,Resultados!AN62,Resultados!AX62,Resultados!BH62,Resultados!BR62,Resultados!CB62,Resultados!CL62,Resultados!CV62,Resultados!DF62,Resultados!DP62)))</f>
        <v>9.2824641886807963E-4</v>
      </c>
    </row>
    <row r="63" spans="1:10" x14ac:dyDescent="0.3">
      <c r="A63">
        <f>IF(COUNT(Resultados!A63,Resultados!K63,Resultados!U63,Resultados!AO63,Resultados!BI63,Resultados!BS63,Resultados!CC63,Resultados!CM63,Resultados!CW63,Resultados!DG63)&lt;=1, "", _xlfn.STDEV.S(ABS(Resultados!A63),ABS(Resultados!K63),ABS(Resultados!U63),ABS(Resultados!AO63),ABS(Resultados!BI63),ABS(Resultados!BS63),ABS(Resultados!CC63),ABS(Resultados!CM63),ABS(Resultados!CW63),ABS(Resultados!DG63))/SQRT(COUNT(Resultados!A63,Resultados!K63,Resultados!U63,Resultados!AO63,Resultados!BI63,Resultados!BS63,Resultados!CC63,Resultados!CM63,Resultados!CW63,Resultados!DG63)))</f>
        <v>0</v>
      </c>
      <c r="B63" t="str">
        <f>IF(COUNT(Resultados!B63,Resultados!L63,Resultados!V63,Resultados!AP63,Resultados!BJ63,Resultados!BT63,Resultados!CD63,Resultados!CN63,Resultados!CX63,Resultados!DH63)&lt;=1, "", _xlfn.STDEV.S(ABS(Resultados!B63),ABS(Resultados!L63),ABS(Resultados!V63),ABS(Resultados!AP63),ABS(Resultados!BJ63),ABS(Resultados!BT63),ABS(Resultados!CD63),ABS(Resultados!CN63),ABS(Resultados!CX63),ABS(Resultados!DH63))/SQRT(COUNT(Resultados!B63,Resultados!L63,Resultados!V63,Resultados!AP63,Resultados!BJ63,Resultados!BT63,Resultados!CD63,Resultados!CN63,Resultados!CX63,Resultados!DH63)))</f>
        <v/>
      </c>
      <c r="C63">
        <f>IF(COUNT(Resultados!C63,Resultados!M63,Resultados!W63,Resultados!AQ63,Resultados!BK63,Resultados!BU63,Resultados!CE63,Resultados!CO63,Resultados!CY63,Resultados!DI63)&lt;=1, "", _xlfn.STDEV.S(ABS(Resultados!C63),ABS(Resultados!M63),ABS(Resultados!W63),ABS(Resultados!AQ63),ABS(Resultados!BK63),ABS(Resultados!BU63),ABS(Resultados!CE63),ABS(Resultados!CO63),ABS(Resultados!CY63),ABS(Resultados!DI63))/SQRT(COUNT(Resultados!C63,Resultados!M63,Resultados!W63,Resultados!AQ63,Resultados!BK63,Resultados!BU63,Resultados!CE63,Resultados!CO63,Resultados!CY63,Resultados!DI63)))</f>
        <v>0.56174331821175727</v>
      </c>
      <c r="D63">
        <f>IF(COUNT(Resultados!D63,Resultados!N63,Resultados!X63,Resultados!AR63,Resultados!BL63,Resultados!BV63,Resultados!CF63,Resultados!CP63,Resultados!CZ63,Resultados!DJ63)&lt;=1, "", _xlfn.STDEV.S(ABS(Resultados!D63),ABS(Resultados!N63),ABS(Resultados!X63),ABS(Resultados!AR63),ABS(Resultados!BL63),ABS(Resultados!BV63),ABS(Resultados!CF63),ABS(Resultados!CP63),ABS(Resultados!CZ63),ABS(Resultados!DJ63))/SQRT(COUNT(Resultados!D63,Resultados!N63,Resultados!X63,Resultados!AR63,Resultados!BL63,Resultados!BV63,Resultados!CF63,Resultados!CP63,Resultados!CZ63,Resultados!DJ63)))</f>
        <v>1.0789346597454362E-3</v>
      </c>
      <c r="E63">
        <f>IF(COUNT(Resultados!E63,Resultados!O63,Resultados!Y63,Resultados!AS63,Resultados!BM63,Resultados!BW63,Resultados!CG63,Resultados!CQ63,Resultados!DA63,Resultados!DK63)&lt;=1, "", _xlfn.STDEV.S(ABS(Resultados!E63),ABS(Resultados!O63),ABS(Resultados!Y63),ABS(Resultados!AS63),ABS(Resultados!BM63),ABS(Resultados!BW63),ABS(Resultados!CG63),ABS(Resultados!CQ63),ABS(Resultados!DA63),ABS(Resultados!DK63))/SQRT(COUNT(Resultados!E63,Resultados!O63,Resultados!Y63,Resultados!AS63,Resultados!BM63,Resultados!BW63,Resultados!CG63,Resultados!CQ63,Resultados!DA63,Resultados!DK63)))</f>
        <v>5.7314974922779045E-2</v>
      </c>
      <c r="F63">
        <f>IF(COUNT(Resultados!F63,Resultados!P63,Resultados!Z63,Resultados!AT63,Resultados!BN63,Resultados!BX63,Resultados!CH63,Resultados!CR63,Resultados!DB63,Resultados!DL63)&lt;=1, "", _xlfn.STDEV.S(ABS(Resultados!F63),ABS(Resultados!P63),ABS(Resultados!Z63),ABS(Resultados!AT63),ABS(Resultados!BN63),ABS(Resultados!BX63),ABS(Resultados!CH63),ABS(Resultados!CR63),ABS(Resultados!DB63),ABS(Resultados!DL63))/SQRT(COUNT(Resultados!F63,Resultados!P63,Resultados!Z63,Resultados!AT63,Resultados!BN63,Resultados!BX63,Resultados!CH63,Resultados!CR63,Resultados!DB63,Resultados!DL63)))</f>
        <v>14.608462177085249</v>
      </c>
      <c r="G63">
        <f>IF(COUNT(Resultados!G63,Resultados!Q63,Resultados!AA63,Resultados!AU63,Resultados!BO63,Resultados!BY63,Resultados!CI63,Resultados!CS63,Resultados!DC63,Resultados!DM63)&lt;=1, "", _xlfn.STDEV.S(ABS(Resultados!G63),ABS(Resultados!Q63),ABS(Resultados!AA63),ABS(Resultados!AU63),ABS(Resultados!BO63),ABS(Resultados!BY63),ABS(Resultados!CI63),ABS(Resultados!CS63),ABS(Resultados!DC63),ABS(Resultados!DM63))/SQRT(COUNT(Resultados!G63,Resultados!Q63,Resultados!AA63,Resultados!AU63,Resultados!BO63,Resultados!BY63,Resultados!CI63,Resultados!CS63,Resultados!DC63,Resultados!DM63)))</f>
        <v>1.8503717077085941E-17</v>
      </c>
      <c r="H63">
        <f>IF(COUNT(Resultados!H63,Resultados!R63,Resultados!AB63,Resultados!AV63,Resultados!BP63,Resultados!BZ63,Resultados!CJ63,Resultados!CT63,Resultados!DD63,Resultados!DN63)&lt;=1, "", _xlfn.STDEV.S(ABS(Resultados!H63),ABS(Resultados!R63),ABS(Resultados!AB63),ABS(Resultados!AV63),ABS(Resultados!BP63),ABS(Resultados!BZ63),ABS(Resultados!CJ63),ABS(Resultados!CT63),ABS(Resultados!DD63),ABS(Resultados!DN63))/SQRT(COUNT(Resultados!H63,Resultados!R63,Resultados!AB63,Resultados!AV63,Resultados!BP63,Resultados!BZ63,Resultados!CJ63,Resultados!CT63,Resultados!DD63,Resultados!DN63)))</f>
        <v>8.9740366242473807E-4</v>
      </c>
      <c r="I63">
        <f>IF(COUNT(Resultados!I63,Resultados!S63,Resultados!AC63,Resultados!AW63,Resultados!BQ63,Resultados!CA63,Resultados!CK63,Resultados!CU63,Resultados!DE63,Resultados!DO63)&lt;=1, "", _xlfn.STDEV.S(ABS(Resultados!I63),ABS(Resultados!S63),ABS(Resultados!AC63),ABS(Resultados!AW63),ABS(Resultados!BQ63),ABS(Resultados!CA63),ABS(Resultados!CK63),ABS(Resultados!CU63),ABS(Resultados!DE63),ABS(Resultados!DO63))/SQRT(COUNT(Resultados!I63,Resultados!S63,Resultados!AC63,Resultados!AW63,Resultados!BQ63,Resultados!CA63,Resultados!CK63,Resultados!CU63,Resultados!DE63,Resultados!DO63)))</f>
        <v>5.3466155343562395E-2</v>
      </c>
      <c r="J63">
        <f>IF(COUNT(Resultados!J63,Resultados!T63,Resultados!AD63,Resultados!AX63,Resultados!BR63,Resultados!CB63,Resultados!CL63,Resultados!CV63,Resultados!DF63,Resultados!DP63)&lt;=1, "", _xlfn.STDEV.S(ABS(Resultados!J63),ABS(Resultados!T63),ABS(Resultados!AD63),ABS(Resultados!AX63),ABS(Resultados!BR63),ABS(Resultados!CB63),ABS(Resultados!CL63),ABS(Resultados!CV63),ABS(Resultados!DF63),ABS(Resultados!DP63))/SQRT(COUNT(Resultados!J63,Resultados!T63,Resultados!AD63,Resultados!AX63,Resultados!BR63,Resultados!CB63,Resultados!CL63,Resultados!CV63,Resultados!DF63,Resultados!DP63)))</f>
        <v>8.9740366242473807E-4</v>
      </c>
    </row>
    <row r="64" spans="1:10" x14ac:dyDescent="0.3">
      <c r="A64">
        <f>IF(COUNT(Resultados!A64,Resultados!K64,Resultados!U64,Resultados!AO64,Resultados!BI64,Resultados!BS64,Resultados!CC64,Resultados!CM64,Resultados!CW64,Resultados!DG64)&lt;=1, "", _xlfn.STDEV.S(ABS(Resultados!A64),ABS(Resultados!K64),ABS(Resultados!U64),ABS(Resultados!AO64),ABS(Resultados!BI64),ABS(Resultados!BS64),ABS(Resultados!CC64),ABS(Resultados!CM64),ABS(Resultados!CW64),ABS(Resultados!DG64))/SQRT(COUNT(Resultados!A64,Resultados!K64,Resultados!U64,Resultados!AO64,Resultados!BI64,Resultados!BS64,Resultados!CC64,Resultados!CM64,Resultados!CW64,Resultados!DG64)))</f>
        <v>0</v>
      </c>
      <c r="B64" t="str">
        <f>IF(COUNT(Resultados!B64,Resultados!L64,Resultados!V64,Resultados!AP64,Resultados!BJ64,Resultados!BT64,Resultados!CD64,Resultados!CN64,Resultados!CX64,Resultados!DH64)&lt;=1, "", _xlfn.STDEV.S(ABS(Resultados!B64),ABS(Resultados!L64),ABS(Resultados!V64),ABS(Resultados!AP64),ABS(Resultados!BJ64),ABS(Resultados!BT64),ABS(Resultados!CD64),ABS(Resultados!CN64),ABS(Resultados!CX64),ABS(Resultados!DH64))/SQRT(COUNT(Resultados!B64,Resultados!L64,Resultados!V64,Resultados!AP64,Resultados!BJ64,Resultados!BT64,Resultados!CD64,Resultados!CN64,Resultados!CX64,Resultados!DH64)))</f>
        <v/>
      </c>
      <c r="C64">
        <f>IF(COUNT(Resultados!C64,Resultados!M64,Resultados!W64,Resultados!AQ64,Resultados!BK64,Resultados!BU64,Resultados!CE64,Resultados!CO64,Resultados!CY64,Resultados!DI64)&lt;=1, "", _xlfn.STDEV.S(ABS(Resultados!C64),ABS(Resultados!M64),ABS(Resultados!W64),ABS(Resultados!AQ64),ABS(Resultados!BK64),ABS(Resultados!BU64),ABS(Resultados!CE64),ABS(Resultados!CO64),ABS(Resultados!CY64),ABS(Resultados!DI64))/SQRT(COUNT(Resultados!C64,Resultados!M64,Resultados!W64,Resultados!AQ64,Resultados!BK64,Resultados!BU64,Resultados!CE64,Resultados!CO64,Resultados!CY64,Resultados!DI64)))</f>
        <v>0.56174331821175727</v>
      </c>
      <c r="D64">
        <f>IF(COUNT(Resultados!D64,Resultados!N64,Resultados!X64,Resultados!AR64,Resultados!BL64,Resultados!BV64,Resultados!CF64,Resultados!CP64,Resultados!CZ64,Resultados!DJ64)&lt;=1, "", _xlfn.STDEV.S(ABS(Resultados!D64),ABS(Resultados!N64),ABS(Resultados!X64),ABS(Resultados!AR64),ABS(Resultados!BL64),ABS(Resultados!BV64),ABS(Resultados!CF64),ABS(Resultados!CP64),ABS(Resultados!CZ64),ABS(Resultados!DJ64))/SQRT(COUNT(Resultados!D64,Resultados!N64,Resultados!X64,Resultados!AR64,Resultados!BL64,Resultados!BV64,Resultados!CF64,Resultados!CP64,Resultados!CZ64,Resultados!DJ64)))</f>
        <v>8.9427810737674506E-4</v>
      </c>
      <c r="E64">
        <f>IF(COUNT(Resultados!E64,Resultados!O64,Resultados!Y64,Resultados!AS64,Resultados!BM64,Resultados!BW64,Resultados!CG64,Resultados!CQ64,Resultados!DA64,Resultados!DK64)&lt;=1, "", _xlfn.STDEV.S(ABS(Resultados!E64),ABS(Resultados!O64),ABS(Resultados!Y64),ABS(Resultados!AS64),ABS(Resultados!BM64),ABS(Resultados!BW64),ABS(Resultados!CG64),ABS(Resultados!CQ64),ABS(Resultados!DA64),ABS(Resultados!DK64))/SQRT(COUNT(Resultados!E64,Resultados!O64,Resultados!Y64,Resultados!AS64,Resultados!BM64,Resultados!BW64,Resultados!CG64,Resultados!CQ64,Resultados!DA64,Resultados!DK64)))</f>
        <v>4.434739160442952E-2</v>
      </c>
      <c r="F64">
        <f>IF(COUNT(Resultados!F64,Resultados!P64,Resultados!Z64,Resultados!AT64,Resultados!BN64,Resultados!BX64,Resultados!CH64,Resultados!CR64,Resultados!DB64,Resultados!DL64)&lt;=1, "", _xlfn.STDEV.S(ABS(Resultados!F64),ABS(Resultados!P64),ABS(Resultados!Z64),ABS(Resultados!AT64),ABS(Resultados!BN64),ABS(Resultados!BX64),ABS(Resultados!CH64),ABS(Resultados!CR64),ABS(Resultados!DB64),ABS(Resultados!DL64))/SQRT(COUNT(Resultados!F64,Resultados!P64,Resultados!Z64,Resultados!AT64,Resultados!BN64,Resultados!BX64,Resultados!CH64,Resultados!CR64,Resultados!DB64,Resultados!DL64)))</f>
        <v>15.831197209781021</v>
      </c>
      <c r="G64">
        <f>IF(COUNT(Resultados!G64,Resultados!Q64,Resultados!AA64,Resultados!AU64,Resultados!BO64,Resultados!BY64,Resultados!CI64,Resultados!CS64,Resultados!DC64,Resultados!DM64)&lt;=1, "", _xlfn.STDEV.S(ABS(Resultados!G64),ABS(Resultados!Q64),ABS(Resultados!AA64),ABS(Resultados!AU64),ABS(Resultados!BO64),ABS(Resultados!BY64),ABS(Resultados!CI64),ABS(Resultados!CS64),ABS(Resultados!DC64),ABS(Resultados!DM64))/SQRT(COUNT(Resultados!G64,Resultados!Q64,Resultados!AA64,Resultados!AU64,Resultados!BO64,Resultados!BY64,Resultados!CI64,Resultados!CS64,Resultados!DC64,Resultados!DM64)))</f>
        <v>1.8503717077085941E-17</v>
      </c>
      <c r="H64">
        <f>IF(COUNT(Resultados!H64,Resultados!R64,Resultados!AB64,Resultados!AV64,Resultados!BP64,Resultados!BZ64,Resultados!CJ64,Resultados!CT64,Resultados!DD64,Resultados!DN64)&lt;=1, "", _xlfn.STDEV.S(ABS(Resultados!H64),ABS(Resultados!R64),ABS(Resultados!AB64),ABS(Resultados!AV64),ABS(Resultados!BP64),ABS(Resultados!BZ64),ABS(Resultados!CJ64),ABS(Resultados!CT64),ABS(Resultados!DD64),ABS(Resultados!DN64))/SQRT(COUNT(Resultados!H64,Resultados!R64,Resultados!AB64,Resultados!AV64,Resultados!BP64,Resultados!BZ64,Resultados!CJ64,Resultados!CT64,Resultados!DD64,Resultados!DN64)))</f>
        <v>6.869902150362521E-4</v>
      </c>
      <c r="I64">
        <f>IF(COUNT(Resultados!I64,Resultados!S64,Resultados!AC64,Resultados!AW64,Resultados!BQ64,Resultados!CA64,Resultados!CK64,Resultados!CU64,Resultados!DE64,Resultados!DO64)&lt;=1, "", _xlfn.STDEV.S(ABS(Resultados!I64),ABS(Resultados!S64),ABS(Resultados!AC64),ABS(Resultados!AW64),ABS(Resultados!BQ64),ABS(Resultados!CA64),ABS(Resultados!CK64),ABS(Resultados!CU64),ABS(Resultados!DE64),ABS(Resultados!DO64))/SQRT(COUNT(Resultados!I64,Resultados!S64,Resultados!AC64,Resultados!AW64,Resultados!BQ64,Resultados!CA64,Resultados!CK64,Resultados!CU64,Resultados!DE64,Resultados!DO64)))</f>
        <v>5.3585469424502465E-2</v>
      </c>
      <c r="J64">
        <f>IF(COUNT(Resultados!J64,Resultados!T64,Resultados!AD64,Resultados!AX64,Resultados!BR64,Resultados!CB64,Resultados!CL64,Resultados!CV64,Resultados!DF64,Resultados!DP64)&lt;=1, "", _xlfn.STDEV.S(ABS(Resultados!J64),ABS(Resultados!T64),ABS(Resultados!AD64),ABS(Resultados!AX64),ABS(Resultados!BR64),ABS(Resultados!CB64),ABS(Resultados!CL64),ABS(Resultados!CV64),ABS(Resultados!DF64),ABS(Resultados!DP64))/SQRT(COUNT(Resultados!J64,Resultados!T64,Resultados!AD64,Resultados!AX64,Resultados!BR64,Resultados!CB64,Resultados!CL64,Resultados!CV64,Resultados!DF64,Resultados!DP64)))</f>
        <v>6.869902150362521E-4</v>
      </c>
    </row>
    <row r="65" spans="1:10" x14ac:dyDescent="0.3">
      <c r="A65">
        <f>IF(COUNT(Resultados!A65,Resultados!K65,Resultados!U65,Resultados!AO65,Resultados!BI65,Resultados!BS65,Resultados!CC65,Resultados!CM65,Resultados!CW65,Resultados!DG65)&lt;=1, "", _xlfn.STDEV.S(ABS(Resultados!A65),ABS(Resultados!K65),ABS(Resultados!U65),ABS(Resultados!AO65),ABS(Resultados!BI65),ABS(Resultados!BS65),ABS(Resultados!CC65),ABS(Resultados!CM65),ABS(Resultados!CW65),ABS(Resultados!DG65))/SQRT(COUNT(Resultados!A65,Resultados!K65,Resultados!U65,Resultados!AO65,Resultados!BI65,Resultados!BS65,Resultados!CC65,Resultados!CM65,Resultados!CW65,Resultados!DG65)))</f>
        <v>0</v>
      </c>
      <c r="B65" t="str">
        <f>IF(COUNT(Resultados!B65,Resultados!L65,Resultados!V65,Resultados!AP65,Resultados!BJ65,Resultados!BT65,Resultados!CD65,Resultados!CN65,Resultados!CX65,Resultados!DH65)&lt;=1, "", _xlfn.STDEV.S(ABS(Resultados!B65),ABS(Resultados!L65),ABS(Resultados!V65),ABS(Resultados!AP65),ABS(Resultados!BJ65),ABS(Resultados!BT65),ABS(Resultados!CD65),ABS(Resultados!CN65),ABS(Resultados!CX65),ABS(Resultados!DH65))/SQRT(COUNT(Resultados!B65,Resultados!L65,Resultados!V65,Resultados!AP65,Resultados!BJ65,Resultados!BT65,Resultados!CD65,Resultados!CN65,Resultados!CX65,Resultados!DH65)))</f>
        <v/>
      </c>
      <c r="C65">
        <f>IF(COUNT(Resultados!C65,Resultados!M65,Resultados!W65,Resultados!AQ65,Resultados!BK65,Resultados!BU65,Resultados!CE65,Resultados!CO65,Resultados!CY65,Resultados!DI65)&lt;=1, "", _xlfn.STDEV.S(ABS(Resultados!C65),ABS(Resultados!M65),ABS(Resultados!W65),ABS(Resultados!AQ65),ABS(Resultados!BK65),ABS(Resultados!BU65),ABS(Resultados!CE65),ABS(Resultados!CO65),ABS(Resultados!CY65),ABS(Resultados!DI65))/SQRT(COUNT(Resultados!C65,Resultados!M65,Resultados!W65,Resultados!AQ65,Resultados!BK65,Resultados!BU65,Resultados!CE65,Resultados!CO65,Resultados!CY65,Resultados!DI65)))</f>
        <v>0.56174331821175727</v>
      </c>
      <c r="D65">
        <f>IF(COUNT(Resultados!D65,Resultados!N65,Resultados!X65,Resultados!AR65,Resultados!BL65,Resultados!BV65,Resultados!CF65,Resultados!CP65,Resultados!CZ65,Resultados!DJ65)&lt;=1, "", _xlfn.STDEV.S(ABS(Resultados!D65),ABS(Resultados!N65),ABS(Resultados!X65),ABS(Resultados!AR65),ABS(Resultados!BL65),ABS(Resultados!BV65),ABS(Resultados!CF65),ABS(Resultados!CP65),ABS(Resultados!CZ65),ABS(Resultados!DJ65))/SQRT(COUNT(Resultados!D65,Resultados!N65,Resultados!X65,Resultados!AR65,Resultados!BL65,Resultados!BV65,Resultados!CF65,Resultados!CP65,Resultados!CZ65,Resultados!DJ65)))</f>
        <v>7.2801862003049828E-4</v>
      </c>
      <c r="E65">
        <f>IF(COUNT(Resultados!E65,Resultados!O65,Resultados!Y65,Resultados!AS65,Resultados!BM65,Resultados!BW65,Resultados!CG65,Resultados!CQ65,Resultados!DA65,Resultados!DK65)&lt;=1, "", _xlfn.STDEV.S(ABS(Resultados!E65),ABS(Resultados!O65),ABS(Resultados!Y65),ABS(Resultados!AS65),ABS(Resultados!BM65),ABS(Resultados!BW65),ABS(Resultados!CG65),ABS(Resultados!CQ65),ABS(Resultados!DA65),ABS(Resultados!DK65))/SQRT(COUNT(Resultados!E65,Resultados!O65,Resultados!Y65,Resultados!AS65,Resultados!BM65,Resultados!BW65,Resultados!CG65,Resultados!CQ65,Resultados!DA65,Resultados!DK65)))</f>
        <v>3.4626545096836686E-2</v>
      </c>
      <c r="F65">
        <f>IF(COUNT(Resultados!F65,Resultados!P65,Resultados!Z65,Resultados!AT65,Resultados!BN65,Resultados!BX65,Resultados!CH65,Resultados!CR65,Resultados!DB65,Resultados!DL65)&lt;=1, "", _xlfn.STDEV.S(ABS(Resultados!F65),ABS(Resultados!P65),ABS(Resultados!Z65),ABS(Resultados!AT65),ABS(Resultados!BN65),ABS(Resultados!BX65),ABS(Resultados!CH65),ABS(Resultados!CR65),ABS(Resultados!DB65),ABS(Resultados!DL65))/SQRT(COUNT(Resultados!F65,Resultados!P65,Resultados!Z65,Resultados!AT65,Resultados!BN65,Resultados!BX65,Resultados!CH65,Resultados!CR65,Resultados!DB65,Resultados!DL65)))</f>
        <v>15.260626592779545</v>
      </c>
      <c r="G65">
        <f>IF(COUNT(Resultados!G65,Resultados!Q65,Resultados!AA65,Resultados!AU65,Resultados!BO65,Resultados!BY65,Resultados!CI65,Resultados!CS65,Resultados!DC65,Resultados!DM65)&lt;=1, "", _xlfn.STDEV.S(ABS(Resultados!G65),ABS(Resultados!Q65),ABS(Resultados!AA65),ABS(Resultados!AU65),ABS(Resultados!BO65),ABS(Resultados!BY65),ABS(Resultados!CI65),ABS(Resultados!CS65),ABS(Resultados!DC65),ABS(Resultados!DM65))/SQRT(COUNT(Resultados!G65,Resultados!Q65,Resultados!AA65,Resultados!AU65,Resultados!BO65,Resultados!BY65,Resultados!CI65,Resultados!CS65,Resultados!DC65,Resultados!DM65)))</f>
        <v>1.8503717077085941E-17</v>
      </c>
      <c r="H65">
        <f>IF(COUNT(Resultados!H65,Resultados!R65,Resultados!AB65,Resultados!AV65,Resultados!BP65,Resultados!BZ65,Resultados!CJ65,Resultados!CT65,Resultados!DD65,Resultados!DN65)&lt;=1, "", _xlfn.STDEV.S(ABS(Resultados!H65),ABS(Resultados!R65),ABS(Resultados!AB65),ABS(Resultados!AV65),ABS(Resultados!BP65),ABS(Resultados!BZ65),ABS(Resultados!CJ65),ABS(Resultados!CT65),ABS(Resultados!DD65),ABS(Resultados!DN65))/SQRT(COUNT(Resultados!H65,Resultados!R65,Resultados!AB65,Resultados!AV65,Resultados!BP65,Resultados!BZ65,Resultados!CJ65,Resultados!CT65,Resultados!DD65,Resultados!DN65)))</f>
        <v>5.3958832044027373E-4</v>
      </c>
      <c r="I65">
        <f>IF(COUNT(Resultados!I65,Resultados!S65,Resultados!AC65,Resultados!AW65,Resultados!BQ65,Resultados!CA65,Resultados!CK65,Resultados!CU65,Resultados!DE65,Resultados!DO65)&lt;=1, "", _xlfn.STDEV.S(ABS(Resultados!I65),ABS(Resultados!S65),ABS(Resultados!AC65),ABS(Resultados!AW65),ABS(Resultados!BQ65),ABS(Resultados!CA65),ABS(Resultados!CK65),ABS(Resultados!CU65),ABS(Resultados!DE65),ABS(Resultados!DO65))/SQRT(COUNT(Resultados!I65,Resultados!S65,Resultados!AC65,Resultados!AW65,Resultados!BQ65,Resultados!CA65,Resultados!CK65,Resultados!CU65,Resultados!DE65,Resultados!DO65)))</f>
        <v>5.3465059635032244E-2</v>
      </c>
      <c r="J65">
        <f>IF(COUNT(Resultados!J65,Resultados!T65,Resultados!AD65,Resultados!AX65,Resultados!BR65,Resultados!CB65,Resultados!CL65,Resultados!CV65,Resultados!DF65,Resultados!DP65)&lt;=1, "", _xlfn.STDEV.S(ABS(Resultados!J65),ABS(Resultados!T65),ABS(Resultados!AD65),ABS(Resultados!AX65),ABS(Resultados!BR65),ABS(Resultados!CB65),ABS(Resultados!CL65),ABS(Resultados!CV65),ABS(Resultados!DF65),ABS(Resultados!DP65))/SQRT(COUNT(Resultados!J65,Resultados!T65,Resultados!AD65,Resultados!AX65,Resultados!BR65,Resultados!CB65,Resultados!CL65,Resultados!CV65,Resultados!DF65,Resultados!DP65)))</f>
        <v>5.3958832044027373E-4</v>
      </c>
    </row>
    <row r="66" spans="1:10" x14ac:dyDescent="0.3">
      <c r="A66">
        <f>IF(COUNT(Resultados!A66,Resultados!K66,Resultados!U66,Resultados!AO66,Resultados!BI66,Resultados!BS66,Resultados!CC66,Resultados!CM66,Resultados!CW66,Resultados!DG66)&lt;=1, "", _xlfn.STDEV.S(ABS(Resultados!A66),ABS(Resultados!K66),ABS(Resultados!U66),ABS(Resultados!AO66),ABS(Resultados!BI66),ABS(Resultados!BS66),ABS(Resultados!CC66),ABS(Resultados!CM66),ABS(Resultados!CW66),ABS(Resultados!DG66))/SQRT(COUNT(Resultados!A66,Resultados!K66,Resultados!U66,Resultados!AO66,Resultados!BI66,Resultados!BS66,Resultados!CC66,Resultados!CM66,Resultados!CW66,Resultados!DG66)))</f>
        <v>0</v>
      </c>
      <c r="B66" t="str">
        <f>IF(COUNT(Resultados!B66,Resultados!L66,Resultados!V66,Resultados!AP66,Resultados!BJ66,Resultados!BT66,Resultados!CD66,Resultados!CN66,Resultados!CX66,Resultados!DH66)&lt;=1, "", _xlfn.STDEV.S(ABS(Resultados!B66),ABS(Resultados!L66),ABS(Resultados!V66),ABS(Resultados!AP66),ABS(Resultados!BJ66),ABS(Resultados!BT66),ABS(Resultados!CD66),ABS(Resultados!CN66),ABS(Resultados!CX66),ABS(Resultados!DH66))/SQRT(COUNT(Resultados!B66,Resultados!L66,Resultados!V66,Resultados!AP66,Resultados!BJ66,Resultados!BT66,Resultados!CD66,Resultados!CN66,Resultados!CX66,Resultados!DH66)))</f>
        <v/>
      </c>
      <c r="C66">
        <f>IF(COUNT(Resultados!C66,Resultados!M66,Resultados!W66,Resultados!AQ66,Resultados!BK66,Resultados!BU66,Resultados!CE66,Resultados!CO66,Resultados!CY66,Resultados!DI66)&lt;=1, "", _xlfn.STDEV.S(ABS(Resultados!C66),ABS(Resultados!M66),ABS(Resultados!W66),ABS(Resultados!AQ66),ABS(Resultados!BK66),ABS(Resultados!BU66),ABS(Resultados!CE66),ABS(Resultados!CO66),ABS(Resultados!CY66),ABS(Resultados!DI66))/SQRT(COUNT(Resultados!C66,Resultados!M66,Resultados!W66,Resultados!AQ66,Resultados!BK66,Resultados!BU66,Resultados!CE66,Resultados!CO66,Resultados!CY66,Resultados!DI66)))</f>
        <v>0.56174331821175727</v>
      </c>
      <c r="D66">
        <f>IF(COUNT(Resultados!D66,Resultados!N66,Resultados!X66,Resultados!AR66,Resultados!BL66,Resultados!BV66,Resultados!CF66,Resultados!CP66,Resultados!CZ66,Resultados!DJ66)&lt;=1, "", _xlfn.STDEV.S(ABS(Resultados!D66),ABS(Resultados!N66),ABS(Resultados!X66),ABS(Resultados!AR66),ABS(Resultados!BL66),ABS(Resultados!BV66),ABS(Resultados!CF66),ABS(Resultados!CP66),ABS(Resultados!CZ66),ABS(Resultados!DJ66))/SQRT(COUNT(Resultados!D66,Resultados!N66,Resultados!X66,Resultados!AR66,Resultados!BL66,Resultados!BV66,Resultados!CF66,Resultados!CP66,Resultados!CZ66,Resultados!DJ66)))</f>
        <v>5.6980503488279007E-4</v>
      </c>
      <c r="E66">
        <f>IF(COUNT(Resultados!E66,Resultados!O66,Resultados!Y66,Resultados!AS66,Resultados!BM66,Resultados!BW66,Resultados!CG66,Resultados!CQ66,Resultados!DA66,Resultados!DK66)&lt;=1, "", _xlfn.STDEV.S(ABS(Resultados!E66),ABS(Resultados!O66),ABS(Resultados!Y66),ABS(Resultados!AS66),ABS(Resultados!BM66),ABS(Resultados!BW66),ABS(Resultados!CG66),ABS(Resultados!CQ66),ABS(Resultados!DA66),ABS(Resultados!DK66))/SQRT(COUNT(Resultados!E66,Resultados!O66,Resultados!Y66,Resultados!AS66,Resultados!BM66,Resultados!BW66,Resultados!CG66,Resultados!CQ66,Resultados!DA66,Resultados!DK66)))</f>
        <v>3.217431461762342E-2</v>
      </c>
      <c r="F66">
        <f>IF(COUNT(Resultados!F66,Resultados!P66,Resultados!Z66,Resultados!AT66,Resultados!BN66,Resultados!BX66,Resultados!CH66,Resultados!CR66,Resultados!DB66,Resultados!DL66)&lt;=1, "", _xlfn.STDEV.S(ABS(Resultados!F66),ABS(Resultados!P66),ABS(Resultados!Z66),ABS(Resultados!AT66),ABS(Resultados!BN66),ABS(Resultados!BX66),ABS(Resultados!CH66),ABS(Resultados!CR66),ABS(Resultados!DB66),ABS(Resultados!DL66))/SQRT(COUNT(Resultados!F66,Resultados!P66,Resultados!Z66,Resultados!AT66,Resultados!BN66,Resultados!BX66,Resultados!CH66,Resultados!CR66,Resultados!DB66,Resultados!DL66)))</f>
        <v>16.777104154878156</v>
      </c>
      <c r="G66">
        <f>IF(COUNT(Resultados!G66,Resultados!Q66,Resultados!AA66,Resultados!AU66,Resultados!BO66,Resultados!BY66,Resultados!CI66,Resultados!CS66,Resultados!DC66,Resultados!DM66)&lt;=1, "", _xlfn.STDEV.S(ABS(Resultados!G66),ABS(Resultados!Q66),ABS(Resultados!AA66),ABS(Resultados!AU66),ABS(Resultados!BO66),ABS(Resultados!BY66),ABS(Resultados!CI66),ABS(Resultados!CS66),ABS(Resultados!DC66),ABS(Resultados!DM66))/SQRT(COUNT(Resultados!G66,Resultados!Q66,Resultados!AA66,Resultados!AU66,Resultados!BO66,Resultados!BY66,Resultados!CI66,Resultados!CS66,Resultados!DC66,Resultados!DM66)))</f>
        <v>1.8503717077085941E-17</v>
      </c>
      <c r="H66">
        <f>IF(COUNT(Resultados!H66,Resultados!R66,Resultados!AB66,Resultados!AV66,Resultados!BP66,Resultados!BZ66,Resultados!CJ66,Resultados!CT66,Resultados!DD66,Resultados!DN66)&lt;=1, "", _xlfn.STDEV.S(ABS(Resultados!H66),ABS(Resultados!R66),ABS(Resultados!AB66),ABS(Resultados!AV66),ABS(Resultados!BP66),ABS(Resultados!BZ66),ABS(Resultados!CJ66),ABS(Resultados!CT66),ABS(Resultados!DD66),ABS(Resultados!DN66))/SQRT(COUNT(Resultados!H66,Resultados!R66,Resultados!AB66,Resultados!AV66,Resultados!BP66,Resultados!BZ66,Resultados!CJ66,Resultados!CT66,Resultados!DD66,Resultados!DN66)))</f>
        <v>4.9782861843543455E-4</v>
      </c>
      <c r="I66">
        <f>IF(COUNT(Resultados!I66,Resultados!S66,Resultados!AC66,Resultados!AW66,Resultados!BQ66,Resultados!CA66,Resultados!CK66,Resultados!CU66,Resultados!DE66,Resultados!DO66)&lt;=1, "", _xlfn.STDEV.S(ABS(Resultados!I66),ABS(Resultados!S66),ABS(Resultados!AC66),ABS(Resultados!AW66),ABS(Resultados!BQ66),ABS(Resultados!CA66),ABS(Resultados!CK66),ABS(Resultados!CU66),ABS(Resultados!DE66),ABS(Resultados!DO66))/SQRT(COUNT(Resultados!I66,Resultados!S66,Resultados!AC66,Resultados!AW66,Resultados!BQ66,Resultados!CA66,Resultados!CK66,Resultados!CU66,Resultados!DE66,Resultados!DO66)))</f>
        <v>5.3408297009399038E-2</v>
      </c>
      <c r="J66">
        <f>IF(COUNT(Resultados!J66,Resultados!T66,Resultados!AD66,Resultados!AX66,Resultados!BR66,Resultados!CB66,Resultados!CL66,Resultados!CV66,Resultados!DF66,Resultados!DP66)&lt;=1, "", _xlfn.STDEV.S(ABS(Resultados!J66),ABS(Resultados!T66),ABS(Resultados!AD66),ABS(Resultados!AX66),ABS(Resultados!BR66),ABS(Resultados!CB66),ABS(Resultados!CL66),ABS(Resultados!CV66),ABS(Resultados!DF66),ABS(Resultados!DP66))/SQRT(COUNT(Resultados!J66,Resultados!T66,Resultados!AD66,Resultados!AX66,Resultados!BR66,Resultados!CB66,Resultados!CL66,Resultados!CV66,Resultados!DF66,Resultados!DP66)))</f>
        <v>4.9782861843543455E-4</v>
      </c>
    </row>
    <row r="67" spans="1:10" x14ac:dyDescent="0.3">
      <c r="A67">
        <f>IF(COUNT(Resultados!A67,Resultados!K67,Resultados!U67,Resultados!AO67,Resultados!BI67,Resultados!BS67,Resultados!CC67,Resultados!CM67,Resultados!CW67,Resultados!DG67)&lt;=1, "", _xlfn.STDEV.S(ABS(Resultados!A67),ABS(Resultados!K67),ABS(Resultados!U67),ABS(Resultados!AO67),ABS(Resultados!BI67),ABS(Resultados!BS67),ABS(Resultados!CC67),ABS(Resultados!CM67),ABS(Resultados!CW67),ABS(Resultados!DG67))/SQRT(COUNT(Resultados!A67,Resultados!K67,Resultados!U67,Resultados!AO67,Resultados!BI67,Resultados!BS67,Resultados!CC67,Resultados!CM67,Resultados!CW67,Resultados!DG67)))</f>
        <v>0</v>
      </c>
      <c r="B67" t="str">
        <f>IF(COUNT(Resultados!B67,Resultados!L67,Resultados!V67,Resultados!AP67,Resultados!BJ67,Resultados!BT67,Resultados!CD67,Resultados!CN67,Resultados!CX67,Resultados!DH67)&lt;=1, "", _xlfn.STDEV.S(ABS(Resultados!B67),ABS(Resultados!L67),ABS(Resultados!V67),ABS(Resultados!AP67),ABS(Resultados!BJ67),ABS(Resultados!BT67),ABS(Resultados!CD67),ABS(Resultados!CN67),ABS(Resultados!CX67),ABS(Resultados!DH67))/SQRT(COUNT(Resultados!B67,Resultados!L67,Resultados!V67,Resultados!AP67,Resultados!BJ67,Resultados!BT67,Resultados!CD67,Resultados!CN67,Resultados!CX67,Resultados!DH67)))</f>
        <v/>
      </c>
      <c r="C67">
        <f>IF(COUNT(Resultados!C67,Resultados!M67,Resultados!W67,Resultados!AQ67,Resultados!BK67,Resultados!BU67,Resultados!CE67,Resultados!CO67,Resultados!CY67,Resultados!DI67)&lt;=1, "", _xlfn.STDEV.S(ABS(Resultados!C67),ABS(Resultados!M67),ABS(Resultados!W67),ABS(Resultados!AQ67),ABS(Resultados!BK67),ABS(Resultados!BU67),ABS(Resultados!CE67),ABS(Resultados!CO67),ABS(Resultados!CY67),ABS(Resultados!DI67))/SQRT(COUNT(Resultados!C67,Resultados!M67,Resultados!W67,Resultados!AQ67,Resultados!BK67,Resultados!BU67,Resultados!CE67,Resultados!CO67,Resultados!CY67,Resultados!DI67)))</f>
        <v>0.56174331821175727</v>
      </c>
      <c r="D67">
        <f>IF(COUNT(Resultados!D67,Resultados!N67,Resultados!X67,Resultados!AR67,Resultados!BL67,Resultados!BV67,Resultados!CF67,Resultados!CP67,Resultados!CZ67,Resultados!DJ67)&lt;=1, "", _xlfn.STDEV.S(ABS(Resultados!D67),ABS(Resultados!N67),ABS(Resultados!X67),ABS(Resultados!AR67),ABS(Resultados!BL67),ABS(Resultados!BV67),ABS(Resultados!CF67),ABS(Resultados!CP67),ABS(Resultados!CZ67),ABS(Resultados!DJ67))/SQRT(COUNT(Resultados!D67,Resultados!N67,Resultados!X67,Resultados!AR67,Resultados!BL67,Resultados!BV67,Resultados!CF67,Resultados!CP67,Resultados!CZ67,Resultados!DJ67)))</f>
        <v>4.2300512211240797E-4</v>
      </c>
      <c r="E67">
        <f>IF(COUNT(Resultados!E67,Resultados!O67,Resultados!Y67,Resultados!AS67,Resultados!BM67,Resultados!BW67,Resultados!CG67,Resultados!CQ67,Resultados!DA67,Resultados!DK67)&lt;=1, "", _xlfn.STDEV.S(ABS(Resultados!E67),ABS(Resultados!O67),ABS(Resultados!Y67),ABS(Resultados!AS67),ABS(Resultados!BM67),ABS(Resultados!BW67),ABS(Resultados!CG67),ABS(Resultados!CQ67),ABS(Resultados!DA67),ABS(Resultados!DK67))/SQRT(COUNT(Resultados!E67,Resultados!O67,Resultados!Y67,Resultados!AS67,Resultados!BM67,Resultados!BW67,Resultados!CG67,Resultados!CQ67,Resultados!DA67,Resultados!DK67)))</f>
        <v>3.9023107073760561E-2</v>
      </c>
      <c r="F67">
        <f>IF(COUNT(Resultados!F67,Resultados!P67,Resultados!Z67,Resultados!AT67,Resultados!BN67,Resultados!BX67,Resultados!CH67,Resultados!CR67,Resultados!DB67,Resultados!DL67)&lt;=1, "", _xlfn.STDEV.S(ABS(Resultados!F67),ABS(Resultados!P67),ABS(Resultados!Z67),ABS(Resultados!AT67),ABS(Resultados!BN67),ABS(Resultados!BX67),ABS(Resultados!CH67),ABS(Resultados!CR67),ABS(Resultados!DB67),ABS(Resultados!DL67))/SQRT(COUNT(Resultados!F67,Resultados!P67,Resultados!Z67,Resultados!AT67,Resultados!BN67,Resultados!BX67,Resultados!CH67,Resultados!CR67,Resultados!DB67,Resultados!DL67)))</f>
        <v>15.382224395335919</v>
      </c>
      <c r="G67">
        <f>IF(COUNT(Resultados!G67,Resultados!Q67,Resultados!AA67,Resultados!AU67,Resultados!BO67,Resultados!BY67,Resultados!CI67,Resultados!CS67,Resultados!DC67,Resultados!DM67)&lt;=1, "", _xlfn.STDEV.S(ABS(Resultados!G67),ABS(Resultados!Q67),ABS(Resultados!AA67),ABS(Resultados!AU67),ABS(Resultados!BO67),ABS(Resultados!BY67),ABS(Resultados!CI67),ABS(Resultados!CS67),ABS(Resultados!DC67),ABS(Resultados!DM67))/SQRT(COUNT(Resultados!G67,Resultados!Q67,Resultados!AA67,Resultados!AU67,Resultados!BO67,Resultados!BY67,Resultados!CI67,Resultados!CS67,Resultados!DC67,Resultados!DM67)))</f>
        <v>1.8503717077085941E-17</v>
      </c>
      <c r="H67">
        <f>IF(COUNT(Resultados!H67,Resultados!R67,Resultados!AB67,Resultados!AV67,Resultados!BP67,Resultados!BZ67,Resultados!CJ67,Resultados!CT67,Resultados!DD67,Resultados!DN67)&lt;=1, "", _xlfn.STDEV.S(ABS(Resultados!H67),ABS(Resultados!R67),ABS(Resultados!AB67),ABS(Resultados!AV67),ABS(Resultados!BP67),ABS(Resultados!BZ67),ABS(Resultados!CJ67),ABS(Resultados!CT67),ABS(Resultados!DD67),ABS(Resultados!DN67))/SQRT(COUNT(Resultados!H67,Resultados!R67,Resultados!AB67,Resultados!AV67,Resultados!BP67,Resultados!BZ67,Resultados!CJ67,Resultados!CT67,Resultados!DD67,Resultados!DN67)))</f>
        <v>6.0810269600527903E-4</v>
      </c>
      <c r="I67">
        <f>IF(COUNT(Resultados!I67,Resultados!S67,Resultados!AC67,Resultados!AW67,Resultados!BQ67,Resultados!CA67,Resultados!CK67,Resultados!CU67,Resultados!DE67,Resultados!DO67)&lt;=1, "", _xlfn.STDEV.S(ABS(Resultados!I67),ABS(Resultados!S67),ABS(Resultados!AC67),ABS(Resultados!AW67),ABS(Resultados!BQ67),ABS(Resultados!CA67),ABS(Resultados!CK67),ABS(Resultados!CU67),ABS(Resultados!DE67),ABS(Resultados!DO67))/SQRT(COUNT(Resultados!I67,Resultados!S67,Resultados!AC67,Resultados!AW67,Resultados!BQ67,Resultados!CA67,Resultados!CK67,Resultados!CU67,Resultados!DE67,Resultados!DO67)))</f>
        <v>5.4156878906460176E-2</v>
      </c>
      <c r="J67">
        <f>IF(COUNT(Resultados!J67,Resultados!T67,Resultados!AD67,Resultados!AX67,Resultados!BR67,Resultados!CB67,Resultados!CL67,Resultados!CV67,Resultados!DF67,Resultados!DP67)&lt;=1, "", _xlfn.STDEV.S(ABS(Resultados!J67),ABS(Resultados!T67),ABS(Resultados!AD67),ABS(Resultados!AX67),ABS(Resultados!BR67),ABS(Resultados!CB67),ABS(Resultados!CL67),ABS(Resultados!CV67),ABS(Resultados!DF67),ABS(Resultados!DP67))/SQRT(COUNT(Resultados!J67,Resultados!T67,Resultados!AD67,Resultados!AX67,Resultados!BR67,Resultados!CB67,Resultados!CL67,Resultados!CV67,Resultados!DF67,Resultados!DP67)))</f>
        <v>6.0810269600527903E-4</v>
      </c>
    </row>
    <row r="68" spans="1:10" x14ac:dyDescent="0.3">
      <c r="A68">
        <f>IF(COUNT(Resultados!A68,Resultados!K68,Resultados!U68,Resultados!AO68,Resultados!BI68,Resultados!BS68,Resultados!CM68,Resultados!CW68,Resultados!DG68)&lt;=1, "", _xlfn.STDEV.S(ABS(Resultados!A68),ABS(Resultados!K68),ABS(Resultados!U68),ABS(Resultados!AO68),ABS(Resultados!BI68),ABS(Resultados!BS68),ABS(Resultados!CM68),ABS(Resultados!CW68),ABS(Resultados!DG68))/SQRT(COUNT(Resultados!A68,Resultados!K68,Resultados!U68,Resultados!AO68,Resultados!BI68,Resultados!BS68,Resultados!CM68,Resultados!CW68,Resultados!DG68)))</f>
        <v>0</v>
      </c>
      <c r="B68" t="str">
        <f>IF(COUNT(Resultados!B68,Resultados!L68,Resultados!V68,Resultados!AP68,Resultados!BJ68,Resultados!BT68,Resultados!CN68,Resultados!CX68,Resultados!DH68)&lt;=1, "", _xlfn.STDEV.S(ABS(Resultados!B68),ABS(Resultados!L68),ABS(Resultados!V68),ABS(Resultados!AP68),ABS(Resultados!BJ68),ABS(Resultados!BT68),ABS(Resultados!CN68),ABS(Resultados!CX68),ABS(Resultados!DH68))/SQRT(COUNT(Resultados!B68,Resultados!L68,Resultados!V68,Resultados!AP68,Resultados!BJ68,Resultados!BT68,Resultados!CN68,Resultados!CX68,Resultados!DH68)))</f>
        <v/>
      </c>
      <c r="C68">
        <f>IF(COUNT(Resultados!C68,Resultados!M68,Resultados!W68,Resultados!AQ68,Resultados!BK68,Resultados!BU68,Resultados!CO68,Resultados!CY68,Resultados!DI68)&lt;=1, "", _xlfn.STDEV.S(ABS(Resultados!C68),ABS(Resultados!M68),ABS(Resultados!W68),ABS(Resultados!AQ68),ABS(Resultados!BK68),ABS(Resultados!BU68),ABS(Resultados!CO68),ABS(Resultados!CY68),ABS(Resultados!DI68))/SQRT(COUNT(Resultados!C68,Resultados!M68,Resultados!W68,Resultados!AQ68,Resultados!BK68,Resultados!BU68,Resultados!CO68,Resultados!CY68,Resultados!DI68)))</f>
        <v>0.60348780506667865</v>
      </c>
      <c r="D68">
        <f>IF(COUNT(Resultados!D68,Resultados!N68,Resultados!X68,Resultados!AR68,Resultados!BL68,Resultados!BV68,Resultados!CP68,Resultados!CZ68,Resultados!DJ68)&lt;=1, "", _xlfn.STDEV.S(ABS(Resultados!D68),ABS(Resultados!N68),ABS(Resultados!X68),ABS(Resultados!AR68),ABS(Resultados!BL68),ABS(Resultados!BV68),ABS(Resultados!CP68),ABS(Resultados!CZ68),ABS(Resultados!DJ68))/SQRT(COUNT(Resultados!D68,Resultados!N68,Resultados!X68,Resultados!AR68,Resultados!BL68,Resultados!BV68,Resultados!CP68,Resultados!CZ68,Resultados!DJ68)))</f>
        <v>3.4551804012147126E-4</v>
      </c>
      <c r="E68">
        <f>IF(COUNT(Resultados!E68,Resultados!O68,Resultados!Y68,Resultados!AS68,Resultados!BM68,Resultados!BW68,Resultados!CQ68,Resultados!DA68,Resultados!DK68)&lt;=1, "", _xlfn.STDEV.S(ABS(Resultados!E68),ABS(Resultados!O68),ABS(Resultados!Y68),ABS(Resultados!AS68),ABS(Resultados!BM68),ABS(Resultados!BW68),ABS(Resultados!CQ68),ABS(Resultados!DA68),ABS(Resultados!DK68))/SQRT(COUNT(Resultados!E68,Resultados!O68,Resultados!Y68,Resultados!AS68,Resultados!BM68,Resultados!BW68,Resultados!CQ68,Resultados!DA68,Resultados!DK68)))</f>
        <v>4.8744049451537937E-2</v>
      </c>
      <c r="F68">
        <f>IF(COUNT(Resultados!F68,Resultados!P68,Resultados!Z68,Resultados!AT68,Resultados!BN68,Resultados!BX68,Resultados!CR68,Resultados!DB68,Resultados!DL68)&lt;=1, "", _xlfn.STDEV.S(ABS(Resultados!F68),ABS(Resultados!P68),ABS(Resultados!Z68),ABS(Resultados!AT68),ABS(Resultados!BN68),ABS(Resultados!BX68),ABS(Resultados!CR68),ABS(Resultados!DB68),ABS(Resultados!DL68))/SQRT(COUNT(Resultados!F68,Resultados!P68,Resultados!Z68,Resultados!AT68,Resultados!BN68,Resultados!BX68,Resultados!CR68,Resultados!DB68,Resultados!DL68)))</f>
        <v>18.226594224340317</v>
      </c>
      <c r="G68">
        <f>IF(COUNT(Resultados!G68,Resultados!Q68,Resultados!AA68,Resultados!AU68,Resultados!BO68,Resultados!BY68,Resultados!CS68,Resultados!DC68,Resultados!DM68)&lt;=1, "", _xlfn.STDEV.S(ABS(Resultados!G68),ABS(Resultados!Q68),ABS(Resultados!AA68),ABS(Resultados!AU68),ABS(Resultados!BO68),ABS(Resultados!BY68),ABS(Resultados!CS68),ABS(Resultados!DC68),ABS(Resultados!DM68))/SQRT(COUNT(Resultados!G68,Resultados!Q68,Resultados!AA68,Resultados!AU68,Resultados!BO68,Resultados!BY68,Resultados!CS68,Resultados!DC68,Resultados!DM68)))</f>
        <v>0</v>
      </c>
      <c r="H68">
        <f>IF(COUNT(Resultados!H68,Resultados!R68,Resultados!AB68,Resultados!AV68,Resultados!BP68,Resultados!BZ68,Resultados!CT68,Resultados!DD68,Resultados!DN68)&lt;=1, "", _xlfn.STDEV.S(ABS(Resultados!H68),ABS(Resultados!R68),ABS(Resultados!AB68),ABS(Resultados!AV68),ABS(Resultados!BP68),ABS(Resultados!BZ68),ABS(Resultados!CT68),ABS(Resultados!DD68),ABS(Resultados!DN68))/SQRT(COUNT(Resultados!H68,Resultados!R68,Resultados!AB68,Resultados!AV68,Resultados!BP68,Resultados!BZ68,Resultados!CT68,Resultados!DD68,Resultados!DN68)))</f>
        <v>7.6050259534788181E-4</v>
      </c>
      <c r="I68">
        <f>IF(COUNT(Resultados!I68,Resultados!S68,Resultados!AC68,Resultados!AW68,Resultados!BQ68,Resultados!CA68,Resultados!CU68,Resultados!DE68,Resultados!DO68)&lt;=1, "", _xlfn.STDEV.S(ABS(Resultados!I68),ABS(Resultados!S68),ABS(Resultados!AC68),ABS(Resultados!AW68),ABS(Resultados!BQ68),ABS(Resultados!CA68),ABS(Resultados!CU68),ABS(Resultados!DE68),ABS(Resultados!DO68))/SQRT(COUNT(Resultados!I68,Resultados!S68,Resultados!AC68,Resultados!AW68,Resultados!BQ68,Resultados!CA68,Resultados!CU68,Resultados!DE68,Resultados!DO68)))</f>
        <v>4.4474142709591331E-2</v>
      </c>
      <c r="J68">
        <f>IF(COUNT(Resultados!J68,Resultados!T68,Resultados!AD68,Resultados!AX68,Resultados!BR68,Resultados!CB68,Resultados!CV68,Resultados!DF68,Resultados!DP68)&lt;=1, "", _xlfn.STDEV.S(ABS(Resultados!J68),ABS(Resultados!T68),ABS(Resultados!AD68),ABS(Resultados!AX68),ABS(Resultados!BR68),ABS(Resultados!CB68),ABS(Resultados!CV68),ABS(Resultados!DF68),ABS(Resultados!DP68))/SQRT(COUNT(Resultados!J68,Resultados!T68,Resultados!AD68,Resultados!AX68,Resultados!BR68,Resultados!CB68,Resultados!CV68,Resultados!DF68,Resultados!DP68)))</f>
        <v>7.6050259534788181E-4</v>
      </c>
    </row>
    <row r="69" spans="1:10" x14ac:dyDescent="0.3">
      <c r="A69">
        <f>IF(COUNT(Resultados!A69,Resultados!K69,Resultados!U69,Resultados!AO69,Resultados!BI69,Resultados!BS69,Resultados!CM69,Resultados!CW69,Resultados!DG69)&lt;=1, "", _xlfn.STDEV.S(ABS(Resultados!A69),ABS(Resultados!K69),ABS(Resultados!U69),ABS(Resultados!AO69),ABS(Resultados!BI69),ABS(Resultados!BS69),ABS(Resultados!CM69),ABS(Resultados!CW69),ABS(Resultados!DG69))/SQRT(COUNT(Resultados!A69,Resultados!K69,Resultados!U69,Resultados!AO69,Resultados!BI69,Resultados!BS69,Resultados!CM69,Resultados!CW69,Resultados!DG69)))</f>
        <v>0</v>
      </c>
      <c r="B69" t="str">
        <f>IF(COUNT(Resultados!B69,Resultados!L69,Resultados!V69,Resultados!AP69,Resultados!BJ69,Resultados!BT69,Resultados!CN69,Resultados!CX69,Resultados!DH69)&lt;=1, "", _xlfn.STDEV.S(ABS(Resultados!B69),ABS(Resultados!L69),ABS(Resultados!V69),ABS(Resultados!AP69),ABS(Resultados!BJ69),ABS(Resultados!BT69),ABS(Resultados!CN69),ABS(Resultados!CX69),ABS(Resultados!DH69))/SQRT(COUNT(Resultados!B69,Resultados!L69,Resultados!V69,Resultados!AP69,Resultados!BJ69,Resultados!BT69,Resultados!CN69,Resultados!CX69,Resultados!DH69)))</f>
        <v/>
      </c>
      <c r="C69">
        <f>IF(COUNT(Resultados!C69,Resultados!M69,Resultados!W69,Resultados!AQ69,Resultados!BK69,Resultados!BU69,Resultados!CO69,Resultados!CY69,Resultados!DI69)&lt;=1, "", _xlfn.STDEV.S(ABS(Resultados!C69),ABS(Resultados!M69),ABS(Resultados!W69),ABS(Resultados!AQ69),ABS(Resultados!BK69),ABS(Resultados!BU69),ABS(Resultados!CO69),ABS(Resultados!CY69),ABS(Resultados!DI69))/SQRT(COUNT(Resultados!C69,Resultados!M69,Resultados!W69,Resultados!AQ69,Resultados!BK69,Resultados!BU69,Resultados!CO69,Resultados!CY69,Resultados!DI69)))</f>
        <v>0.60348780506667865</v>
      </c>
      <c r="D69">
        <f>IF(COUNT(Resultados!D69,Resultados!N69,Resultados!X69,Resultados!AR69,Resultados!BL69,Resultados!BV69,Resultados!CP69,Resultados!CZ69,Resultados!DJ69)&lt;=1, "", _xlfn.STDEV.S(ABS(Resultados!D69),ABS(Resultados!N69),ABS(Resultados!X69),ABS(Resultados!AR69),ABS(Resultados!BL69),ABS(Resultados!BV69),ABS(Resultados!CP69),ABS(Resultados!CZ69),ABS(Resultados!DJ69))/SQRT(COUNT(Resultados!D69,Resultados!N69,Resultados!X69,Resultados!AR69,Resultados!BL69,Resultados!BV69,Resultados!CP69,Resultados!CZ69,Resultados!DJ69)))</f>
        <v>2.4062675364119673E-4</v>
      </c>
      <c r="E69">
        <f>IF(COUNT(Resultados!E69,Resultados!O69,Resultados!Y69,Resultados!AS69,Resultados!BM69,Resultados!BW69,Resultados!CQ69,Resultados!DA69,Resultados!DK69)&lt;=1, "", _xlfn.STDEV.S(ABS(Resultados!E69),ABS(Resultados!O69),ABS(Resultados!Y69),ABS(Resultados!AS69),ABS(Resultados!BM69),ABS(Resultados!BW69),ABS(Resultados!CQ69),ABS(Resultados!DA69),ABS(Resultados!DK69))/SQRT(COUNT(Resultados!E69,Resultados!O69,Resultados!Y69,Resultados!AS69,Resultados!BM69,Resultados!BW69,Resultados!CQ69,Resultados!DA69,Resultados!DK69)))</f>
        <v>6.2868728003281707E-2</v>
      </c>
      <c r="F69">
        <f>IF(COUNT(Resultados!F69,Resultados!P69,Resultados!Z69,Resultados!AT69,Resultados!BN69,Resultados!BX69,Resultados!CR69,Resultados!DB69,Resultados!DL69)&lt;=1, "", _xlfn.STDEV.S(ABS(Resultados!F69),ABS(Resultados!P69),ABS(Resultados!Z69),ABS(Resultados!AT69),ABS(Resultados!BN69),ABS(Resultados!BX69),ABS(Resultados!CR69),ABS(Resultados!DB69),ABS(Resultados!DL69))/SQRT(COUNT(Resultados!F69,Resultados!P69,Resultados!Z69,Resultados!AT69,Resultados!BN69,Resultados!BX69,Resultados!CR69,Resultados!DB69,Resultados!DL69)))</f>
        <v>19.847377523439754</v>
      </c>
      <c r="G69">
        <f>IF(COUNT(Resultados!G69,Resultados!Q69,Resultados!AA69,Resultados!AU69,Resultados!BO69,Resultados!BY69,Resultados!CS69,Resultados!DC69,Resultados!DM69)&lt;=1, "", _xlfn.STDEV.S(ABS(Resultados!G69),ABS(Resultados!Q69),ABS(Resultados!AA69),ABS(Resultados!AU69),ABS(Resultados!BO69),ABS(Resultados!BY69),ABS(Resultados!CS69),ABS(Resultados!DC69),ABS(Resultados!DM69))/SQRT(COUNT(Resultados!G69,Resultados!Q69,Resultados!AA69,Resultados!AU69,Resultados!BO69,Resultados!BY69,Resultados!CS69,Resultados!DC69,Resultados!DM69)))</f>
        <v>0</v>
      </c>
      <c r="H69">
        <f>IF(COUNT(Resultados!H69,Resultados!R69,Resultados!AB69,Resultados!AV69,Resultados!BP69,Resultados!BZ69,Resultados!CT69,Resultados!DD69,Resultados!DN69)&lt;=1, "", _xlfn.STDEV.S(ABS(Resultados!H69),ABS(Resultados!R69),ABS(Resultados!AB69),ABS(Resultados!AV69),ABS(Resultados!BP69),ABS(Resultados!BZ69),ABS(Resultados!CT69),ABS(Resultados!DD69),ABS(Resultados!DN69))/SQRT(COUNT(Resultados!H69,Resultados!R69,Resultados!AB69,Resultados!AV69,Resultados!BP69,Resultados!BZ69,Resultados!CT69,Resultados!DD69,Resultados!DN69)))</f>
        <v>9.8188845510658956E-4</v>
      </c>
      <c r="I69">
        <f>IF(COUNT(Resultados!I69,Resultados!S69,Resultados!AC69,Resultados!AW69,Resultados!BQ69,Resultados!CA69,Resultados!CU69,Resultados!DE69,Resultados!DO69)&lt;=1, "", _xlfn.STDEV.S(ABS(Resultados!I69),ABS(Resultados!S69),ABS(Resultados!AC69),ABS(Resultados!AW69),ABS(Resultados!BQ69),ABS(Resultados!CA69),ABS(Resultados!CU69),ABS(Resultados!DE69),ABS(Resultados!DO69))/SQRT(COUNT(Resultados!I69,Resultados!S69,Resultados!AC69,Resultados!AW69,Resultados!BQ69,Resultados!CA69,Resultados!CU69,Resultados!DE69,Resultados!DO69)))</f>
        <v>4.448558794225322E-2</v>
      </c>
      <c r="J69">
        <f>IF(COUNT(Resultados!J69,Resultados!T69,Resultados!AD69,Resultados!AX69,Resultados!BR69,Resultados!CB69,Resultados!CV69,Resultados!DF69,Resultados!DP69)&lt;=1, "", _xlfn.STDEV.S(ABS(Resultados!J69),ABS(Resultados!T69),ABS(Resultados!AD69),ABS(Resultados!AX69),ABS(Resultados!BR69),ABS(Resultados!CB69),ABS(Resultados!CV69),ABS(Resultados!DF69),ABS(Resultados!DP69))/SQRT(COUNT(Resultados!J69,Resultados!T69,Resultados!AD69,Resultados!AX69,Resultados!BR69,Resultados!CB69,Resultados!CV69,Resultados!DF69,Resultados!DP69)))</f>
        <v>9.8188845510658956E-4</v>
      </c>
    </row>
    <row r="70" spans="1:10" x14ac:dyDescent="0.3">
      <c r="A70">
        <f>IF(COUNT(Resultados!A70,Resultados!K70,Resultados!U70,Resultados!AO70,Resultados!BI70,Resultados!BS70,Resultados!CM70,Resultados!CW70,Resultados!DG70)&lt;=1, "", _xlfn.STDEV.S(ABS(Resultados!A70),ABS(Resultados!K70),ABS(Resultados!U70),ABS(Resultados!AO70),ABS(Resultados!BI70),ABS(Resultados!BS70),ABS(Resultados!CM70),ABS(Resultados!CW70),ABS(Resultados!DG70))/SQRT(COUNT(Resultados!A70,Resultados!K70,Resultados!U70,Resultados!AO70,Resultados!BI70,Resultados!BS70,Resultados!CM70,Resultados!CW70,Resultados!DG70)))</f>
        <v>0</v>
      </c>
      <c r="B70" t="str">
        <f>IF(COUNT(Resultados!B70,Resultados!L70,Resultados!V70,Resultados!AP70,Resultados!BJ70,Resultados!BT70,Resultados!CN70,Resultados!CX70,Resultados!DH70)&lt;=1, "", _xlfn.STDEV.S(ABS(Resultados!B70),ABS(Resultados!L70),ABS(Resultados!V70),ABS(Resultados!AP70),ABS(Resultados!BJ70),ABS(Resultados!BT70),ABS(Resultados!CN70),ABS(Resultados!CX70),ABS(Resultados!DH70))/SQRT(COUNT(Resultados!B70,Resultados!L70,Resultados!V70,Resultados!AP70,Resultados!BJ70,Resultados!BT70,Resultados!CN70,Resultados!CX70,Resultados!DH70)))</f>
        <v/>
      </c>
      <c r="C70">
        <f>IF(COUNT(Resultados!C70,Resultados!M70,Resultados!W70,Resultados!AQ70,Resultados!BK70,Resultados!BU70,Resultados!CO70,Resultados!CY70,Resultados!DI70)&lt;=1, "", _xlfn.STDEV.S(ABS(Resultados!C70),ABS(Resultados!M70),ABS(Resultados!W70),ABS(Resultados!AQ70),ABS(Resultados!BK70),ABS(Resultados!BU70),ABS(Resultados!CO70),ABS(Resultados!CY70),ABS(Resultados!DI70))/SQRT(COUNT(Resultados!C70,Resultados!M70,Resultados!W70,Resultados!AQ70,Resultados!BK70,Resultados!BU70,Resultados!CO70,Resultados!CY70,Resultados!DI70)))</f>
        <v>0.60348780506667865</v>
      </c>
      <c r="D70">
        <f>IF(COUNT(Resultados!D70,Resultados!N70,Resultados!X70,Resultados!AR70,Resultados!BL70,Resultados!BV70,Resultados!CP70,Resultados!CZ70,Resultados!DJ70)&lt;=1, "", _xlfn.STDEV.S(ABS(Resultados!D70),ABS(Resultados!N70),ABS(Resultados!X70),ABS(Resultados!AR70),ABS(Resultados!BL70),ABS(Resultados!BV70),ABS(Resultados!CP70),ABS(Resultados!CZ70),ABS(Resultados!DJ70))/SQRT(COUNT(Resultados!D70,Resultados!N70,Resultados!X70,Resultados!AR70,Resultados!BL70,Resultados!BV70,Resultados!CP70,Resultados!CZ70,Resultados!DJ70)))</f>
        <v>2.0957040126511113E-4</v>
      </c>
      <c r="E70">
        <f>IF(COUNT(Resultados!E70,Resultados!O70,Resultados!Y70,Resultados!AS70,Resultados!BM70,Resultados!BW70,Resultados!CQ70,Resultados!DA70,Resultados!DK70)&lt;=1, "", _xlfn.STDEV.S(ABS(Resultados!E70),ABS(Resultados!O70),ABS(Resultados!Y70),ABS(Resultados!AS70),ABS(Resultados!BM70),ABS(Resultados!BW70),ABS(Resultados!CQ70),ABS(Resultados!DA70),ABS(Resultados!DK70))/SQRT(COUNT(Resultados!E70,Resultados!O70,Resultados!Y70,Resultados!AS70,Resultados!BM70,Resultados!BW70,Resultados!CQ70,Resultados!DA70,Resultados!DK70)))</f>
        <v>7.7238113637656688E-2</v>
      </c>
      <c r="F70">
        <f>IF(COUNT(Resultados!F70,Resultados!P70,Resultados!Z70,Resultados!AT70,Resultados!BN70,Resultados!BX70,Resultados!CR70,Resultados!DB70,Resultados!DL70)&lt;=1, "", _xlfn.STDEV.S(ABS(Resultados!F70),ABS(Resultados!P70),ABS(Resultados!Z70),ABS(Resultados!AT70),ABS(Resultados!BN70),ABS(Resultados!BX70),ABS(Resultados!CR70),ABS(Resultados!DB70),ABS(Resultados!DL70))/SQRT(COUNT(Resultados!F70,Resultados!P70,Resultados!Z70,Resultados!AT70,Resultados!BN70,Resultados!BX70,Resultados!CR70,Resultados!DB70,Resultados!DL70)))</f>
        <v>16.35695925533426</v>
      </c>
      <c r="G70">
        <f>IF(COUNT(Resultados!G70,Resultados!Q70,Resultados!AA70,Resultados!AU70,Resultados!BO70,Resultados!BY70,Resultados!CS70,Resultados!DC70,Resultados!DM70)&lt;=1, "", _xlfn.STDEV.S(ABS(Resultados!G70),ABS(Resultados!Q70),ABS(Resultados!AA70),ABS(Resultados!AU70),ABS(Resultados!BO70),ABS(Resultados!BY70),ABS(Resultados!CS70),ABS(Resultados!DC70),ABS(Resultados!DM70))/SQRT(COUNT(Resultados!G70,Resultados!Q70,Resultados!AA70,Resultados!AU70,Resultados!BO70,Resultados!BY70,Resultados!CS70,Resultados!DC70,Resultados!DM70)))</f>
        <v>0</v>
      </c>
      <c r="H70">
        <f>IF(COUNT(Resultados!H70,Resultados!R70,Resultados!AB70,Resultados!AV70,Resultados!BP70,Resultados!BZ70,Resultados!CT70,Resultados!DD70,Resultados!DN70)&lt;=1, "", _xlfn.STDEV.S(ABS(Resultados!H70),ABS(Resultados!R70),ABS(Resultados!AB70),ABS(Resultados!AV70),ABS(Resultados!BP70),ABS(Resultados!BZ70),ABS(Resultados!CT70),ABS(Resultados!DD70),ABS(Resultados!DN70))/SQRT(COUNT(Resultados!H70,Resultados!R70,Resultados!AB70,Resultados!AV70,Resultados!BP70,Resultados!BZ70,Resultados!CT70,Resultados!DD70,Resultados!DN70)))</f>
        <v>1.2045054310103102E-3</v>
      </c>
      <c r="I70">
        <f>IF(COUNT(Resultados!I70,Resultados!S70,Resultados!AC70,Resultados!AW70,Resultados!BQ70,Resultados!CA70,Resultados!CU70,Resultados!DE70,Resultados!DO70)&lt;=1, "", _xlfn.STDEV.S(ABS(Resultados!I70),ABS(Resultados!S70),ABS(Resultados!AC70),ABS(Resultados!AW70),ABS(Resultados!BQ70),ABS(Resultados!CA70),ABS(Resultados!CU70),ABS(Resultados!DE70),ABS(Resultados!DO70))/SQRT(COUNT(Resultados!I70,Resultados!S70,Resultados!AC70,Resultados!AW70,Resultados!BQ70,Resultados!CA70,Resultados!CU70,Resultados!DE70,Resultados!DO70)))</f>
        <v>4.4397411558406048E-2</v>
      </c>
      <c r="J70">
        <f>IF(COUNT(Resultados!J70,Resultados!T70,Resultados!AD70,Resultados!AX70,Resultados!BR70,Resultados!CB70,Resultados!CV70,Resultados!DF70,Resultados!DP70)&lt;=1, "", _xlfn.STDEV.S(ABS(Resultados!J70),ABS(Resultados!T70),ABS(Resultados!AD70),ABS(Resultados!AX70),ABS(Resultados!BR70),ABS(Resultados!CB70),ABS(Resultados!CV70),ABS(Resultados!DF70),ABS(Resultados!DP70))/SQRT(COUNT(Resultados!J70,Resultados!T70,Resultados!AD70,Resultados!AX70,Resultados!BR70,Resultados!CB70,Resultados!CV70,Resultados!DF70,Resultados!DP70)))</f>
        <v>1.2045054310103102E-3</v>
      </c>
    </row>
    <row r="71" spans="1:10" x14ac:dyDescent="0.3">
      <c r="A71">
        <f>IF(COUNT(Resultados!A71,Resultados!K71,Resultados!U71,Resultados!AO71,Resultados!BI71,Resultados!BS71,Resultados!CM71,Resultados!CW71,Resultados!DG71)&lt;=1, "", _xlfn.STDEV.S(ABS(Resultados!A71),ABS(Resultados!K71),ABS(Resultados!U71),ABS(Resultados!AO71),ABS(Resultados!BI71),ABS(Resultados!BS71),ABS(Resultados!CM71),ABS(Resultados!CW71),ABS(Resultados!DG71))/SQRT(COUNT(Resultados!A71,Resultados!K71,Resultados!U71,Resultados!AO71,Resultados!BI71,Resultados!BS71,Resultados!CM71,Resultados!CW71,Resultados!DG71)))</f>
        <v>0</v>
      </c>
      <c r="B71" t="str">
        <f>IF(COUNT(Resultados!B71,Resultados!L71,Resultados!V71,Resultados!AP71,Resultados!BJ71,Resultados!BT71,Resultados!CN71,Resultados!CX71,Resultados!DH71)&lt;=1, "", _xlfn.STDEV.S(ABS(Resultados!B71),ABS(Resultados!L71),ABS(Resultados!V71),ABS(Resultados!AP71),ABS(Resultados!BJ71),ABS(Resultados!BT71),ABS(Resultados!CN71),ABS(Resultados!CX71),ABS(Resultados!DH71))/SQRT(COUNT(Resultados!B71,Resultados!L71,Resultados!V71,Resultados!AP71,Resultados!BJ71,Resultados!BT71,Resultados!CN71,Resultados!CX71,Resultados!DH71)))</f>
        <v/>
      </c>
      <c r="C71">
        <f>IF(COUNT(Resultados!C71,Resultados!M71,Resultados!W71,Resultados!AQ71,Resultados!BK71,Resultados!BU71,Resultados!CO71,Resultados!CY71,Resultados!DI71)&lt;=1, "", _xlfn.STDEV.S(ABS(Resultados!C71),ABS(Resultados!M71),ABS(Resultados!W71),ABS(Resultados!AQ71),ABS(Resultados!BK71),ABS(Resultados!BU71),ABS(Resultados!CO71),ABS(Resultados!CY71),ABS(Resultados!DI71))/SQRT(COUNT(Resultados!C71,Resultados!M71,Resultados!W71,Resultados!AQ71,Resultados!BK71,Resultados!BU71,Resultados!CO71,Resultados!CY71,Resultados!DI71)))</f>
        <v>0.60348780506667865</v>
      </c>
      <c r="D71">
        <f>IF(COUNT(Resultados!D71,Resultados!N71,Resultados!X71,Resultados!AR71,Resultados!BL71,Resultados!BV71,Resultados!CP71,Resultados!CZ71,Resultados!DJ71)&lt;=1, "", _xlfn.STDEV.S(ABS(Resultados!D71),ABS(Resultados!N71),ABS(Resultados!X71),ABS(Resultados!AR71),ABS(Resultados!BL71),ABS(Resultados!BV71),ABS(Resultados!CP71),ABS(Resultados!CZ71),ABS(Resultados!DJ71))/SQRT(COUNT(Resultados!D71,Resultados!N71,Resultados!X71,Resultados!AR71,Resultados!BL71,Resultados!BV71,Resultados!CP71,Resultados!CZ71,Resultados!DJ71)))</f>
        <v>2.0757268546966006E-4</v>
      </c>
      <c r="E71">
        <f>IF(COUNT(Resultados!E71,Resultados!O71,Resultados!Y71,Resultados!AS71,Resultados!BM71,Resultados!BW71,Resultados!CQ71,Resultados!DA71,Resultados!DK71)&lt;=1, "", _xlfn.STDEV.S(ABS(Resultados!E71),ABS(Resultados!O71),ABS(Resultados!Y71),ABS(Resultados!AS71),ABS(Resultados!BM71),ABS(Resultados!BW71),ABS(Resultados!CQ71),ABS(Resultados!DA71),ABS(Resultados!DK71))/SQRT(COUNT(Resultados!E71,Resultados!O71,Resultados!Y71,Resultados!AS71,Resultados!BM71,Resultados!BW71,Resultados!CQ71,Resultados!DA71,Resultados!DK71)))</f>
        <v>9.0693494146196471E-2</v>
      </c>
      <c r="F71">
        <f>IF(COUNT(Resultados!F71,Resultados!P71,Resultados!Z71,Resultados!AT71,Resultados!BN71,Resultados!BX71,Resultados!CR71,Resultados!DB71,Resultados!DL71)&lt;=1, "", _xlfn.STDEV.S(ABS(Resultados!F71),ABS(Resultados!P71),ABS(Resultados!Z71),ABS(Resultados!AT71),ABS(Resultados!BN71),ABS(Resultados!BX71),ABS(Resultados!CR71),ABS(Resultados!DB71),ABS(Resultados!DL71))/SQRT(COUNT(Resultados!F71,Resultados!P71,Resultados!Z71,Resultados!AT71,Resultados!BN71,Resultados!BX71,Resultados!CR71,Resultados!DB71,Resultados!DL71)))</f>
        <v>17.732780200463996</v>
      </c>
      <c r="G71">
        <f>IF(COUNT(Resultados!G71,Resultados!Q71,Resultados!AA71,Resultados!AU71,Resultados!BO71,Resultados!BY71,Resultados!CS71,Resultados!DC71,Resultados!DM71)&lt;=1, "", _xlfn.STDEV.S(ABS(Resultados!G71),ABS(Resultados!Q71),ABS(Resultados!AA71),ABS(Resultados!AU71),ABS(Resultados!BO71),ABS(Resultados!BY71),ABS(Resultados!CS71),ABS(Resultados!DC71),ABS(Resultados!DM71))/SQRT(COUNT(Resultados!G71,Resultados!Q71,Resultados!AA71,Resultados!AU71,Resultados!BO71,Resultados!BY71,Resultados!CS71,Resultados!DC71,Resultados!DM71)))</f>
        <v>0</v>
      </c>
      <c r="H71">
        <f>IF(COUNT(Resultados!H71,Resultados!R71,Resultados!AB71,Resultados!AV71,Resultados!BP71,Resultados!BZ71,Resultados!CT71,Resultados!DD71,Resultados!DN71)&lt;=1, "", _xlfn.STDEV.S(ABS(Resultados!H71),ABS(Resultados!R71),ABS(Resultados!AB71),ABS(Resultados!AV71),ABS(Resultados!BP71),ABS(Resultados!BZ71),ABS(Resultados!CT71),ABS(Resultados!DD71),ABS(Resultados!DN71))/SQRT(COUNT(Resultados!H71,Resultados!R71,Resultados!AB71,Resultados!AV71,Resultados!BP71,Resultados!BZ71,Resultados!CT71,Resultados!DD71,Resultados!DN71)))</f>
        <v>1.4166775598709739E-3</v>
      </c>
      <c r="I71">
        <f>IF(COUNT(Resultados!I71,Resultados!S71,Resultados!AC71,Resultados!AW71,Resultados!BQ71,Resultados!CA71,Resultados!CU71,Resultados!DE71,Resultados!DO71)&lt;=1, "", _xlfn.STDEV.S(ABS(Resultados!I71),ABS(Resultados!S71),ABS(Resultados!AC71),ABS(Resultados!AW71),ABS(Resultados!BQ71),ABS(Resultados!CA71),ABS(Resultados!CU71),ABS(Resultados!DE71),ABS(Resultados!DO71))/SQRT(COUNT(Resultados!I71,Resultados!S71,Resultados!AC71,Resultados!AW71,Resultados!BQ71,Resultados!CA71,Resultados!CU71,Resultados!DE71,Resultados!DO71)))</f>
        <v>4.4517407425508686E-2</v>
      </c>
      <c r="J71">
        <f>IF(COUNT(Resultados!J71,Resultados!T71,Resultados!AD71,Resultados!AX71,Resultados!BR71,Resultados!CB71,Resultados!CV71,Resultados!DF71,Resultados!DP71)&lt;=1, "", _xlfn.STDEV.S(ABS(Resultados!J71),ABS(Resultados!T71),ABS(Resultados!AD71),ABS(Resultados!AX71),ABS(Resultados!BR71),ABS(Resultados!CB71),ABS(Resultados!CV71),ABS(Resultados!DF71),ABS(Resultados!DP71))/SQRT(COUNT(Resultados!J71,Resultados!T71,Resultados!AD71,Resultados!AX71,Resultados!BR71,Resultados!CB71,Resultados!CV71,Resultados!DF71,Resultados!DP71)))</f>
        <v>1.4166775598709739E-3</v>
      </c>
    </row>
    <row r="72" spans="1:10" x14ac:dyDescent="0.3">
      <c r="A72">
        <f>IF(COUNT(Resultados!A72,Resultados!K72,Resultados!U72,Resultados!AO72,Resultados!BI72,Resultados!BS72,Resultados!CM72,Resultados!CW72,Resultados!DG72)&lt;=1, "", _xlfn.STDEV.S(ABS(Resultados!A72),ABS(Resultados!K72),ABS(Resultados!U72),ABS(Resultados!AO72),ABS(Resultados!BI72),ABS(Resultados!BS72),ABS(Resultados!CM72),ABS(Resultados!CW72),ABS(Resultados!DG72))/SQRT(COUNT(Resultados!A72,Resultados!K72,Resultados!U72,Resultados!AO72,Resultados!BI72,Resultados!BS72,Resultados!CM72,Resultados!CW72,Resultados!DG72)))</f>
        <v>0</v>
      </c>
      <c r="B72" t="str">
        <f>IF(COUNT(Resultados!B72,Resultados!L72,Resultados!V72,Resultados!AP72,Resultados!BJ72,Resultados!BT72,Resultados!CN72,Resultados!CX72,Resultados!DH72)&lt;=1, "", _xlfn.STDEV.S(ABS(Resultados!B72),ABS(Resultados!L72),ABS(Resultados!V72),ABS(Resultados!AP72),ABS(Resultados!BJ72),ABS(Resultados!BT72),ABS(Resultados!CN72),ABS(Resultados!CX72),ABS(Resultados!DH72))/SQRT(COUNT(Resultados!B72,Resultados!L72,Resultados!V72,Resultados!AP72,Resultados!BJ72,Resultados!BT72,Resultados!CN72,Resultados!CX72,Resultados!DH72)))</f>
        <v/>
      </c>
      <c r="C72">
        <f>IF(COUNT(Resultados!C72,Resultados!M72,Resultados!W72,Resultados!AQ72,Resultados!BK72,Resultados!BU72,Resultados!CO72,Resultados!CY72,Resultados!DI72)&lt;=1, "", _xlfn.STDEV.S(ABS(Resultados!C72),ABS(Resultados!M72),ABS(Resultados!W72),ABS(Resultados!AQ72),ABS(Resultados!BK72),ABS(Resultados!BU72),ABS(Resultados!CO72),ABS(Resultados!CY72),ABS(Resultados!DI72))/SQRT(COUNT(Resultados!C72,Resultados!M72,Resultados!W72,Resultados!AQ72,Resultados!BK72,Resultados!BU72,Resultados!CO72,Resultados!CY72,Resultados!DI72)))</f>
        <v>0.60348780506667865</v>
      </c>
      <c r="D72">
        <f>IF(COUNT(Resultados!D72,Resultados!N72,Resultados!X72,Resultados!AR72,Resultados!BL72,Resultados!BV72,Resultados!CP72,Resultados!CZ72,Resultados!DJ72)&lt;=1, "", _xlfn.STDEV.S(ABS(Resultados!D72),ABS(Resultados!N72),ABS(Resultados!X72),ABS(Resultados!AR72),ABS(Resultados!BL72),ABS(Resultados!BV72),ABS(Resultados!CP72),ABS(Resultados!CZ72),ABS(Resultados!DJ72))/SQRT(COUNT(Resultados!D72,Resultados!N72,Resultados!X72,Resultados!AR72,Resultados!BL72,Resultados!BV72,Resultados!CP72,Resultados!CZ72,Resultados!DJ72)))</f>
        <v>3.1001792062897117E-4</v>
      </c>
      <c r="E72">
        <f>IF(COUNT(Resultados!E72,Resultados!O72,Resultados!Y72,Resultados!AS72,Resultados!BM72,Resultados!BW72,Resultados!CQ72,Resultados!DA72,Resultados!DK72)&lt;=1, "", _xlfn.STDEV.S(ABS(Resultados!E72),ABS(Resultados!O72),ABS(Resultados!Y72),ABS(Resultados!AS72),ABS(Resultados!BM72),ABS(Resultados!BW72),ABS(Resultados!CQ72),ABS(Resultados!DA72),ABS(Resultados!DK72))/SQRT(COUNT(Resultados!E72,Resultados!O72,Resultados!Y72,Resultados!AS72,Resultados!BM72,Resultados!BW72,Resultados!CQ72,Resultados!DA72,Resultados!DK72)))</f>
        <v>0.10368792879151283</v>
      </c>
      <c r="F72">
        <f>IF(COUNT(Resultados!F72,Resultados!P72,Resultados!Z72,Resultados!AT72,Resultados!BN72,Resultados!BX72,Resultados!CR72,Resultados!DB72,Resultados!DL72)&lt;=1, "", _xlfn.STDEV.S(ABS(Resultados!F72),ABS(Resultados!P72),ABS(Resultados!Z72),ABS(Resultados!AT72),ABS(Resultados!BN72),ABS(Resultados!BX72),ABS(Resultados!CR72),ABS(Resultados!DB72),ABS(Resultados!DL72))/SQRT(COUNT(Resultados!F72,Resultados!P72,Resultados!Z72,Resultados!AT72,Resultados!BN72,Resultados!BX72,Resultados!CR72,Resultados!DB72,Resultados!DL72)))</f>
        <v>19.031503332181305</v>
      </c>
      <c r="G72">
        <f>IF(COUNT(Resultados!G72,Resultados!Q72,Resultados!AA72,Resultados!AU72,Resultados!BO72,Resultados!BY72,Resultados!CS72,Resultados!DC72,Resultados!DM72)&lt;=1, "", _xlfn.STDEV.S(ABS(Resultados!G72),ABS(Resultados!Q72),ABS(Resultados!AA72),ABS(Resultados!AU72),ABS(Resultados!BO72),ABS(Resultados!BY72),ABS(Resultados!CS72),ABS(Resultados!DC72),ABS(Resultados!DM72))/SQRT(COUNT(Resultados!G72,Resultados!Q72,Resultados!AA72,Resultados!AU72,Resultados!BO72,Resultados!BY72,Resultados!CS72,Resultados!DC72,Resultados!DM72)))</f>
        <v>0</v>
      </c>
      <c r="H72">
        <f>IF(COUNT(Resultados!H72,Resultados!R72,Resultados!AB72,Resultados!AV72,Resultados!BP72,Resultados!BZ72,Resultados!CT72,Resultados!DD72,Resultados!DN72)&lt;=1, "", _xlfn.STDEV.S(ABS(Resultados!H72),ABS(Resultados!R72),ABS(Resultados!AB72),ABS(Resultados!AV72),ABS(Resultados!BP72),ABS(Resultados!BZ72),ABS(Resultados!CT72),ABS(Resultados!DD72),ABS(Resultados!DN72))/SQRT(COUNT(Resultados!H72,Resultados!R72,Resultados!AB72,Resultados!AV72,Resultados!BP72,Resultados!BZ72,Resultados!CT72,Resultados!DD72,Resultados!DN72)))</f>
        <v>1.6170102727633567E-3</v>
      </c>
      <c r="I72">
        <f>IF(COUNT(Resultados!I72,Resultados!S72,Resultados!AC72,Resultados!AW72,Resultados!BQ72,Resultados!CA72,Resultados!CU72,Resultados!DE72,Resultados!DO72)&lt;=1, "", _xlfn.STDEV.S(ABS(Resultados!I72),ABS(Resultados!S72),ABS(Resultados!AC72),ABS(Resultados!AW72),ABS(Resultados!BQ72),ABS(Resultados!CA72),ABS(Resultados!CU72),ABS(Resultados!DE72),ABS(Resultados!DO72))/SQRT(COUNT(Resultados!I72,Resultados!S72,Resultados!AC72,Resultados!AW72,Resultados!BQ72,Resultados!CA72,Resultados!CU72,Resultados!DE72,Resultados!DO72)))</f>
        <v>4.4609553037684567E-2</v>
      </c>
      <c r="J72">
        <f>IF(COUNT(Resultados!J72,Resultados!T72,Resultados!AD72,Resultados!AX72,Resultados!BR72,Resultados!CB72,Resultados!CV72,Resultados!DF72,Resultados!DP72)&lt;=1, "", _xlfn.STDEV.S(ABS(Resultados!J72),ABS(Resultados!T72),ABS(Resultados!AD72),ABS(Resultados!AX72),ABS(Resultados!BR72),ABS(Resultados!CB72),ABS(Resultados!CV72),ABS(Resultados!DF72),ABS(Resultados!DP72))/SQRT(COUNT(Resultados!J72,Resultados!T72,Resultados!AD72,Resultados!AX72,Resultados!BR72,Resultados!CB72,Resultados!CV72,Resultados!DF72,Resultados!DP72)))</f>
        <v>1.6170102727633567E-3</v>
      </c>
    </row>
    <row r="73" spans="1:10" x14ac:dyDescent="0.3">
      <c r="A73">
        <f>IF(COUNT(Resultados!A73,Resultados!K73,Resultados!U73,Resultados!AO73,Resultados!BI73,Resultados!BS73,Resultados!CM73,Resultados!CW73,Resultados!DG73)&lt;=1, "", _xlfn.STDEV.S(ABS(Resultados!A73),ABS(Resultados!K73),ABS(Resultados!U73),ABS(Resultados!AO73),ABS(Resultados!BI73),ABS(Resultados!BS73),ABS(Resultados!CM73),ABS(Resultados!CW73),ABS(Resultados!DG73))/SQRT(COUNT(Resultados!A73,Resultados!K73,Resultados!U73,Resultados!AO73,Resultados!BI73,Resultados!BS73,Resultados!CM73,Resultados!CW73,Resultados!DG73)))</f>
        <v>0</v>
      </c>
      <c r="B73" t="str">
        <f>IF(COUNT(Resultados!B73,Resultados!L73,Resultados!V73,Resultados!AP73,Resultados!BJ73,Resultados!BT73,Resultados!CN73,Resultados!CX73,Resultados!DH73)&lt;=1, "", _xlfn.STDEV.S(ABS(Resultados!B73),ABS(Resultados!L73),ABS(Resultados!V73),ABS(Resultados!AP73),ABS(Resultados!BJ73),ABS(Resultados!BT73),ABS(Resultados!CN73),ABS(Resultados!CX73),ABS(Resultados!DH73))/SQRT(COUNT(Resultados!B73,Resultados!L73,Resultados!V73,Resultados!AP73,Resultados!BJ73,Resultados!BT73,Resultados!CN73,Resultados!CX73,Resultados!DH73)))</f>
        <v/>
      </c>
      <c r="C73">
        <f>IF(COUNT(Resultados!C73,Resultados!M73,Resultados!W73,Resultados!AQ73,Resultados!BK73,Resultados!BU73,Resultados!CO73,Resultados!CY73,Resultados!DI73)&lt;=1, "", _xlfn.STDEV.S(ABS(Resultados!C73),ABS(Resultados!M73),ABS(Resultados!W73),ABS(Resultados!AQ73),ABS(Resultados!BK73),ABS(Resultados!BU73),ABS(Resultados!CO73),ABS(Resultados!CY73),ABS(Resultados!DI73))/SQRT(COUNT(Resultados!C73,Resultados!M73,Resultados!W73,Resultados!AQ73,Resultados!BK73,Resultados!BU73,Resultados!CO73,Resultados!CY73,Resultados!DI73)))</f>
        <v>0.60348780506667865</v>
      </c>
      <c r="D73">
        <f>IF(COUNT(Resultados!D73,Resultados!N73,Resultados!X73,Resultados!AR73,Resultados!BL73,Resultados!BV73,Resultados!CP73,Resultados!CZ73,Resultados!DJ73)&lt;=1, "", _xlfn.STDEV.S(ABS(Resultados!D73),ABS(Resultados!N73),ABS(Resultados!X73),ABS(Resultados!AR73),ABS(Resultados!BL73),ABS(Resultados!BV73),ABS(Resultados!CP73),ABS(Resultados!CZ73),ABS(Resultados!DJ73))/SQRT(COUNT(Resultados!D73,Resultados!N73,Resultados!X73,Resultados!AR73,Resultados!BL73,Resultados!BV73,Resultados!CP73,Resultados!CZ73,Resultados!DJ73)))</f>
        <v>4.5768472624938586E-4</v>
      </c>
      <c r="E73">
        <f>IF(COUNT(Resultados!E73,Resultados!O73,Resultados!Y73,Resultados!AS73,Resultados!BM73,Resultados!BW73,Resultados!CQ73,Resultados!DA73,Resultados!DK73)&lt;=1, "", _xlfn.STDEV.S(ABS(Resultados!E73),ABS(Resultados!O73),ABS(Resultados!Y73),ABS(Resultados!AS73),ABS(Resultados!BM73),ABS(Resultados!BW73),ABS(Resultados!CQ73),ABS(Resultados!DA73),ABS(Resultados!DK73))/SQRT(COUNT(Resultados!E73,Resultados!O73,Resultados!Y73,Resultados!AS73,Resultados!BM73,Resultados!BW73,Resultados!CQ73,Resultados!DA73,Resultados!DK73)))</f>
        <v>0.11187094414937006</v>
      </c>
      <c r="F73">
        <f>IF(COUNT(Resultados!F73,Resultados!P73,Resultados!Z73,Resultados!AT73,Resultados!BN73,Resultados!BX73,Resultados!CR73,Resultados!DB73,Resultados!DL73)&lt;=1, "", _xlfn.STDEV.S(ABS(Resultados!F73),ABS(Resultados!P73),ABS(Resultados!Z73),ABS(Resultados!AT73),ABS(Resultados!BN73),ABS(Resultados!BX73),ABS(Resultados!CR73),ABS(Resultados!DB73),ABS(Resultados!DL73))/SQRT(COUNT(Resultados!F73,Resultados!P73,Resultados!Z73,Resultados!AT73,Resultados!BN73,Resultados!BX73,Resultados!CR73,Resultados!DB73,Resultados!DL73)))</f>
        <v>10.426371994721286</v>
      </c>
      <c r="G73">
        <f>IF(COUNT(Resultados!G73,Resultados!Q73,Resultados!AA73,Resultados!AU73,Resultados!BO73,Resultados!BY73,Resultados!CS73,Resultados!DC73,Resultados!DM73)&lt;=1, "", _xlfn.STDEV.S(ABS(Resultados!G73),ABS(Resultados!Q73),ABS(Resultados!AA73),ABS(Resultados!AU73),ABS(Resultados!BO73),ABS(Resultados!BY73),ABS(Resultados!CS73),ABS(Resultados!DC73),ABS(Resultados!DM73))/SQRT(COUNT(Resultados!G73,Resultados!Q73,Resultados!AA73,Resultados!AU73,Resultados!BO73,Resultados!BY73,Resultados!CS73,Resultados!DC73,Resultados!DM73)))</f>
        <v>0</v>
      </c>
      <c r="H73">
        <f>IF(COUNT(Resultados!H73,Resultados!R73,Resultados!AB73,Resultados!AV73,Resultados!BP73,Resultados!BZ73,Resultados!CT73,Resultados!DD73,Resultados!DN73)&lt;=1, "", _xlfn.STDEV.S(ABS(Resultados!H73),ABS(Resultados!R73),ABS(Resultados!AB73),ABS(Resultados!AV73),ABS(Resultados!BP73),ABS(Resultados!BZ73),ABS(Resultados!CT73),ABS(Resultados!DD73),ABS(Resultados!DN73))/SQRT(COUNT(Resultados!H73,Resultados!R73,Resultados!AB73,Resultados!AV73,Resultados!BP73,Resultados!BZ73,Resultados!CT73,Resultados!DD73,Resultados!DN73)))</f>
        <v>1.7394212887489569E-3</v>
      </c>
      <c r="I73">
        <f>IF(COUNT(Resultados!I73,Resultados!S73,Resultados!AC73,Resultados!AW73,Resultados!BQ73,Resultados!CA73,Resultados!CU73,Resultados!DE73,Resultados!DO73)&lt;=1, "", _xlfn.STDEV.S(ABS(Resultados!I73),ABS(Resultados!S73),ABS(Resultados!AC73),ABS(Resultados!AW73),ABS(Resultados!BQ73),ABS(Resultados!CA73),ABS(Resultados!CU73),ABS(Resultados!DE73),ABS(Resultados!DO73))/SQRT(COUNT(Resultados!I73,Resultados!S73,Resultados!AC73,Resultados!AW73,Resultados!BQ73,Resultados!CA73,Resultados!CU73,Resultados!DE73,Resultados!DO73)))</f>
        <v>4.453657176279574E-2</v>
      </c>
      <c r="J73">
        <f>IF(COUNT(Resultados!J73,Resultados!T73,Resultados!AD73,Resultados!AX73,Resultados!BR73,Resultados!CB73,Resultados!CV73,Resultados!DF73,Resultados!DP73)&lt;=1, "", _xlfn.STDEV.S(ABS(Resultados!J73),ABS(Resultados!T73),ABS(Resultados!AD73),ABS(Resultados!AX73),ABS(Resultados!BR73),ABS(Resultados!CB73),ABS(Resultados!CV73),ABS(Resultados!DF73),ABS(Resultados!DP73))/SQRT(COUNT(Resultados!J73,Resultados!T73,Resultados!AD73,Resultados!AX73,Resultados!BR73,Resultados!CB73,Resultados!CV73,Resultados!DF73,Resultados!DP73)))</f>
        <v>1.7394212887489569E-3</v>
      </c>
    </row>
    <row r="74" spans="1:10" x14ac:dyDescent="0.3">
      <c r="A74">
        <f>IF(COUNT(Resultados!A74,Resultados!K74,Resultados!U74,Resultados!AO74,Resultados!BI74,Resultados!BS74,Resultados!CM74,Resultados!CW74,Resultados!DG74)&lt;=1, "", _xlfn.STDEV.S(ABS(Resultados!A74),ABS(Resultados!K74),ABS(Resultados!U74),ABS(Resultados!AO74),ABS(Resultados!BI74),ABS(Resultados!BS74),ABS(Resultados!CM74),ABS(Resultados!CW74),ABS(Resultados!DG74))/SQRT(COUNT(Resultados!A74,Resultados!K74,Resultados!U74,Resultados!AO74,Resultados!BI74,Resultados!BS74,Resultados!CM74,Resultados!CW74,Resultados!DG74)))</f>
        <v>0</v>
      </c>
      <c r="B74" t="str">
        <f>IF(COUNT(Resultados!B74,Resultados!L74,Resultados!V74,Resultados!AP74,Resultados!BJ74,Resultados!BT74,Resultados!CN74,Resultados!CX74,Resultados!DH74)&lt;=1, "", _xlfn.STDEV.S(ABS(Resultados!B74),ABS(Resultados!L74),ABS(Resultados!V74),ABS(Resultados!AP74),ABS(Resultados!BJ74),ABS(Resultados!BT74),ABS(Resultados!CN74),ABS(Resultados!CX74),ABS(Resultados!DH74))/SQRT(COUNT(Resultados!B74,Resultados!L74,Resultados!V74,Resultados!AP74,Resultados!BJ74,Resultados!BT74,Resultados!CN74,Resultados!CX74,Resultados!DH74)))</f>
        <v/>
      </c>
      <c r="C74">
        <f>IF(COUNT(Resultados!C74,Resultados!M74,Resultados!W74,Resultados!AQ74,Resultados!BK74,Resultados!BU74,Resultados!CO74,Resultados!CY74,Resultados!DI74)&lt;=1, "", _xlfn.STDEV.S(ABS(Resultados!C74),ABS(Resultados!M74),ABS(Resultados!W74),ABS(Resultados!AQ74),ABS(Resultados!BK74),ABS(Resultados!BU74),ABS(Resultados!CO74),ABS(Resultados!CY74),ABS(Resultados!DI74))/SQRT(COUNT(Resultados!C74,Resultados!M74,Resultados!W74,Resultados!AQ74,Resultados!BK74,Resultados!BU74,Resultados!CO74,Resultados!CY74,Resultados!DI74)))</f>
        <v>0.60348780506667865</v>
      </c>
      <c r="D74">
        <f>IF(COUNT(Resultados!D74,Resultados!N74,Resultados!X74,Resultados!AR74,Resultados!BL74,Resultados!BV74,Resultados!CP74,Resultados!CZ74,Resultados!DJ74)&lt;=1, "", _xlfn.STDEV.S(ABS(Resultados!D74),ABS(Resultados!N74),ABS(Resultados!X74),ABS(Resultados!AR74),ABS(Resultados!BL74),ABS(Resultados!BV74),ABS(Resultados!CP74),ABS(Resultados!CZ74),ABS(Resultados!DJ74))/SQRT(COUNT(Resultados!D74,Resultados!N74,Resultados!X74,Resultados!AR74,Resultados!BL74,Resultados!BV74,Resultados!CP74,Resultados!CZ74,Resultados!DJ74)))</f>
        <v>6.9123703747362136E-4</v>
      </c>
      <c r="E74">
        <f>IF(COUNT(Resultados!E74,Resultados!O74,Resultados!Y74,Resultados!AS74,Resultados!BM74,Resultados!BW74,Resultados!CQ74,Resultados!DA74,Resultados!DK74)&lt;=1, "", _xlfn.STDEV.S(ABS(Resultados!E74),ABS(Resultados!O74),ABS(Resultados!Y74),ABS(Resultados!AS74),ABS(Resultados!BM74),ABS(Resultados!BW74),ABS(Resultados!CQ74),ABS(Resultados!DA74),ABS(Resultados!DK74))/SQRT(COUNT(Resultados!E74,Resultados!O74,Resultados!Y74,Resultados!AS74,Resultados!BM74,Resultados!BW74,Resultados!CQ74,Resultados!DA74,Resultados!DK74)))</f>
        <v>0.11885380323979287</v>
      </c>
      <c r="F74">
        <f>IF(COUNT(Resultados!F74,Resultados!P74,Resultados!Z74,Resultados!AT74,Resultados!BN74,Resultados!BX74,Resultados!CR74,Resultados!DB74,Resultados!DL74)&lt;=1, "", _xlfn.STDEV.S(ABS(Resultados!F74),ABS(Resultados!P74),ABS(Resultados!Z74),ABS(Resultados!AT74),ABS(Resultados!BN74),ABS(Resultados!BX74),ABS(Resultados!CR74),ABS(Resultados!DB74),ABS(Resultados!DL74))/SQRT(COUNT(Resultados!F74,Resultados!P74,Resultados!Z74,Resultados!AT74,Resultados!BN74,Resultados!BX74,Resultados!CR74,Resultados!DB74,Resultados!DL74)))</f>
        <v>11.077174461948692</v>
      </c>
      <c r="G74">
        <f>IF(COUNT(Resultados!G74,Resultados!Q74,Resultados!AA74,Resultados!AU74,Resultados!BO74,Resultados!BY74,Resultados!CS74,Resultados!DC74,Resultados!DM74)&lt;=1, "", _xlfn.STDEV.S(ABS(Resultados!G74),ABS(Resultados!Q74),ABS(Resultados!AA74),ABS(Resultados!AU74),ABS(Resultados!BO74),ABS(Resultados!BY74),ABS(Resultados!CS74),ABS(Resultados!DC74),ABS(Resultados!DM74))/SQRT(COUNT(Resultados!G74,Resultados!Q74,Resultados!AA74,Resultados!AU74,Resultados!BO74,Resultados!BY74,Resultados!CS74,Resultados!DC74,Resultados!DM74)))</f>
        <v>0</v>
      </c>
      <c r="H74">
        <f>IF(COUNT(Resultados!H74,Resultados!R74,Resultados!AB74,Resultados!AV74,Resultados!BP74,Resultados!BZ74,Resultados!CT74,Resultados!DD74,Resultados!DN74)&lt;=1, "", _xlfn.STDEV.S(ABS(Resultados!H74),ABS(Resultados!R74),ABS(Resultados!AB74),ABS(Resultados!AV74),ABS(Resultados!BP74),ABS(Resultados!BZ74),ABS(Resultados!CT74),ABS(Resultados!DD74),ABS(Resultados!DN74))/SQRT(COUNT(Resultados!H74,Resultados!R74,Resultados!AB74,Resultados!AV74,Resultados!BP74,Resultados!BZ74,Resultados!CT74,Resultados!DD74,Resultados!DN74)))</f>
        <v>1.8439088914585778E-3</v>
      </c>
      <c r="I74">
        <f>IF(COUNT(Resultados!I74,Resultados!S74,Resultados!AC74,Resultados!AW74,Resultados!BQ74,Resultados!CA74,Resultados!CU74,Resultados!DE74,Resultados!DO74)&lt;=1, "", _xlfn.STDEV.S(ABS(Resultados!I74),ABS(Resultados!S74),ABS(Resultados!AC74),ABS(Resultados!AW74),ABS(Resultados!BQ74),ABS(Resultados!CA74),ABS(Resultados!CU74),ABS(Resultados!DE74),ABS(Resultados!DO74))/SQRT(COUNT(Resultados!I74,Resultados!S74,Resultados!AC74,Resultados!AW74,Resultados!BQ74,Resultados!CA74,Resultados!CU74,Resultados!DE74,Resultados!DO74)))</f>
        <v>4.4570317199998127E-2</v>
      </c>
      <c r="J74">
        <f>IF(COUNT(Resultados!J74,Resultados!T74,Resultados!AD74,Resultados!AX74,Resultados!BR74,Resultados!CB74,Resultados!CV74,Resultados!DF74,Resultados!DP74)&lt;=1, "", _xlfn.STDEV.S(ABS(Resultados!J74),ABS(Resultados!T74),ABS(Resultados!AD74),ABS(Resultados!AX74),ABS(Resultados!BR74),ABS(Resultados!CB74),ABS(Resultados!CV74),ABS(Resultados!DF74),ABS(Resultados!DP74))/SQRT(COUNT(Resultados!J74,Resultados!T74,Resultados!AD74,Resultados!AX74,Resultados!BR74,Resultados!CB74,Resultados!CV74,Resultados!DF74,Resultados!DP74)))</f>
        <v>1.8439088914585778E-3</v>
      </c>
    </row>
    <row r="75" spans="1:10" x14ac:dyDescent="0.3">
      <c r="A75">
        <f>IF(COUNT(Resultados!A75,Resultados!K75,Resultados!U75,Resultados!AO75,Resultados!BI75,Resultados!BS75,Resultados!CM75,Resultados!CW75,Resultados!DG75)&lt;=1, "", _xlfn.STDEV.S(ABS(Resultados!A75),ABS(Resultados!K75),ABS(Resultados!U75),ABS(Resultados!AO75),ABS(Resultados!BI75),ABS(Resultados!BS75),ABS(Resultados!CM75),ABS(Resultados!CW75),ABS(Resultados!DG75))/SQRT(COUNT(Resultados!A75,Resultados!K75,Resultados!U75,Resultados!AO75,Resultados!BI75,Resultados!BS75,Resultados!CM75,Resultados!CW75,Resultados!DG75)))</f>
        <v>0</v>
      </c>
      <c r="B75" t="str">
        <f>IF(COUNT(Resultados!B75,Resultados!L75,Resultados!V75,Resultados!AP75,Resultados!BJ75,Resultados!BT75,Resultados!CN75,Resultados!CX75,Resultados!DH75)&lt;=1, "", _xlfn.STDEV.S(ABS(Resultados!B75),ABS(Resultados!L75),ABS(Resultados!V75),ABS(Resultados!AP75),ABS(Resultados!BJ75),ABS(Resultados!BT75),ABS(Resultados!CN75),ABS(Resultados!CX75),ABS(Resultados!DH75))/SQRT(COUNT(Resultados!B75,Resultados!L75,Resultados!V75,Resultados!AP75,Resultados!BJ75,Resultados!BT75,Resultados!CN75,Resultados!CX75,Resultados!DH75)))</f>
        <v/>
      </c>
      <c r="C75">
        <f>IF(COUNT(Resultados!C75,Resultados!M75,Resultados!W75,Resultados!AQ75,Resultados!BK75,Resultados!BU75,Resultados!CO75,Resultados!CY75,Resultados!DI75)&lt;=1, "", _xlfn.STDEV.S(ABS(Resultados!C75),ABS(Resultados!M75),ABS(Resultados!W75),ABS(Resultados!AQ75),ABS(Resultados!BK75),ABS(Resultados!BU75),ABS(Resultados!CO75),ABS(Resultados!CY75),ABS(Resultados!DI75))/SQRT(COUNT(Resultados!C75,Resultados!M75,Resultados!W75,Resultados!AQ75,Resultados!BK75,Resultados!BU75,Resultados!CO75,Resultados!CY75,Resultados!DI75)))</f>
        <v>0.60348780506667865</v>
      </c>
      <c r="D75">
        <f>IF(COUNT(Resultados!D75,Resultados!N75,Resultados!X75,Resultados!AR75,Resultados!BL75,Resultados!BV75,Resultados!CP75,Resultados!CZ75,Resultados!DJ75)&lt;=1, "", _xlfn.STDEV.S(ABS(Resultados!D75),ABS(Resultados!N75),ABS(Resultados!X75),ABS(Resultados!AR75),ABS(Resultados!BL75),ABS(Resultados!BV75),ABS(Resultados!CP75),ABS(Resultados!CZ75),ABS(Resultados!DJ75))/SQRT(COUNT(Resultados!D75,Resultados!N75,Resultados!X75,Resultados!AR75,Resultados!BL75,Resultados!BV75,Resultados!CP75,Resultados!CZ75,Resultados!DJ75)))</f>
        <v>9.3056799328338023E-4</v>
      </c>
      <c r="E75">
        <f>IF(COUNT(Resultados!E75,Resultados!O75,Resultados!Y75,Resultados!AS75,Resultados!BM75,Resultados!BW75,Resultados!CQ75,Resultados!DA75,Resultados!DK75)&lt;=1, "", _xlfn.STDEV.S(ABS(Resultados!E75),ABS(Resultados!O75),ABS(Resultados!Y75),ABS(Resultados!AS75),ABS(Resultados!BM75),ABS(Resultados!BW75),ABS(Resultados!CQ75),ABS(Resultados!DA75),ABS(Resultados!DK75))/SQRT(COUNT(Resultados!E75,Resultados!O75,Resultados!Y75,Resultados!AS75,Resultados!BM75,Resultados!BW75,Resultados!CQ75,Resultados!DA75,Resultados!DK75)))</f>
        <v>0.12318151881908991</v>
      </c>
      <c r="F75">
        <f>IF(COUNT(Resultados!F75,Resultados!P75,Resultados!Z75,Resultados!AT75,Resultados!BN75,Resultados!BX75,Resultados!CR75,Resultados!DB75,Resultados!DL75)&lt;=1, "", _xlfn.STDEV.S(ABS(Resultados!F75),ABS(Resultados!P75),ABS(Resultados!Z75),ABS(Resultados!AT75),ABS(Resultados!BN75),ABS(Resultados!BX75),ABS(Resultados!CR75),ABS(Resultados!DB75),ABS(Resultados!DL75))/SQRT(COUNT(Resultados!F75,Resultados!P75,Resultados!Z75,Resultados!AT75,Resultados!BN75,Resultados!BX75,Resultados!CR75,Resultados!DB75,Resultados!DL75)))</f>
        <v>11.48051755393918</v>
      </c>
      <c r="G75">
        <f>IF(COUNT(Resultados!G75,Resultados!Q75,Resultados!AA75,Resultados!AU75,Resultados!BO75,Resultados!BY75,Resultados!CS75,Resultados!DC75,Resultados!DM75)&lt;=1, "", _xlfn.STDEV.S(ABS(Resultados!G75),ABS(Resultados!Q75),ABS(Resultados!AA75),ABS(Resultados!AU75),ABS(Resultados!BO75),ABS(Resultados!BY75),ABS(Resultados!CS75),ABS(Resultados!DC75),ABS(Resultados!DM75))/SQRT(COUNT(Resultados!G75,Resultados!Q75,Resultados!AA75,Resultados!AU75,Resultados!BO75,Resultados!BY75,Resultados!CS75,Resultados!DC75,Resultados!DM75)))</f>
        <v>0</v>
      </c>
      <c r="H75">
        <f>IF(COUNT(Resultados!H75,Resultados!R75,Resultados!AB75,Resultados!AV75,Resultados!BP75,Resultados!BZ75,Resultados!CT75,Resultados!DD75,Resultados!DN75)&lt;=1, "", _xlfn.STDEV.S(ABS(Resultados!H75),ABS(Resultados!R75),ABS(Resultados!AB75),ABS(Resultados!AV75),ABS(Resultados!BP75),ABS(Resultados!BZ75),ABS(Resultados!CT75),ABS(Resultados!DD75),ABS(Resultados!DN75))/SQRT(COUNT(Resultados!H75,Resultados!R75,Resultados!AB75,Resultados!AV75,Resultados!BP75,Resultados!BZ75,Resultados!CT75,Resultados!DD75,Resultados!DN75)))</f>
        <v>1.9148622746464564E-3</v>
      </c>
      <c r="I75">
        <f>IF(COUNT(Resultados!I75,Resultados!S75,Resultados!AC75,Resultados!AW75,Resultados!BQ75,Resultados!CA75,Resultados!CU75,Resultados!DE75,Resultados!DO75)&lt;=1, "", _xlfn.STDEV.S(ABS(Resultados!I75),ABS(Resultados!S75),ABS(Resultados!AC75),ABS(Resultados!AW75),ABS(Resultados!BQ75),ABS(Resultados!CA75),ABS(Resultados!CU75),ABS(Resultados!DE75),ABS(Resultados!DO75))/SQRT(COUNT(Resultados!I75,Resultados!S75,Resultados!AC75,Resultados!AW75,Resultados!BQ75,Resultados!CA75,Resultados!CU75,Resultados!DE75,Resultados!DO75)))</f>
        <v>4.4695139681080083E-2</v>
      </c>
      <c r="J75">
        <f>IF(COUNT(Resultados!J75,Resultados!T75,Resultados!AD75,Resultados!AX75,Resultados!BR75,Resultados!CB75,Resultados!CV75,Resultados!DF75,Resultados!DP75)&lt;=1, "", _xlfn.STDEV.S(ABS(Resultados!J75),ABS(Resultados!T75),ABS(Resultados!AD75),ABS(Resultados!AX75),ABS(Resultados!BR75),ABS(Resultados!CB75),ABS(Resultados!CV75),ABS(Resultados!DF75),ABS(Resultados!DP75))/SQRT(COUNT(Resultados!J75,Resultados!T75,Resultados!AD75,Resultados!AX75,Resultados!BR75,Resultados!CB75,Resultados!CV75,Resultados!DF75,Resultados!DP75)))</f>
        <v>1.9148622746464564E-3</v>
      </c>
    </row>
    <row r="76" spans="1:10" x14ac:dyDescent="0.3">
      <c r="A76">
        <f>IF(COUNT(Resultados!A76,Resultados!K76,Resultados!U76,Resultados!AO76,Resultados!BI76,Resultados!BS76,Resultados!CM76,Resultados!CW76,Resultados!DG76)&lt;=1, "", _xlfn.STDEV.S(ABS(Resultados!A76),ABS(Resultados!K76),ABS(Resultados!U76),ABS(Resultados!AO76),ABS(Resultados!BI76),ABS(Resultados!BS76),ABS(Resultados!CM76),ABS(Resultados!CW76),ABS(Resultados!DG76))/SQRT(COUNT(Resultados!A76,Resultados!K76,Resultados!U76,Resultados!AO76,Resultados!BI76,Resultados!BS76,Resultados!CM76,Resultados!CW76,Resultados!DG76)))</f>
        <v>0</v>
      </c>
      <c r="B76" t="str">
        <f>IF(COUNT(Resultados!B76,Resultados!L76,Resultados!V76,Resultados!AP76,Resultados!BJ76,Resultados!BT76,Resultados!CN76,Resultados!CX76,Resultados!DH76)&lt;=1, "", _xlfn.STDEV.S(ABS(Resultados!B76),ABS(Resultados!L76),ABS(Resultados!V76),ABS(Resultados!AP76),ABS(Resultados!BJ76),ABS(Resultados!BT76),ABS(Resultados!CN76),ABS(Resultados!CX76),ABS(Resultados!DH76))/SQRT(COUNT(Resultados!B76,Resultados!L76,Resultados!V76,Resultados!AP76,Resultados!BJ76,Resultados!BT76,Resultados!CN76,Resultados!CX76,Resultados!DH76)))</f>
        <v/>
      </c>
      <c r="C76">
        <f>IF(COUNT(Resultados!C76,Resultados!M76,Resultados!W76,Resultados!AQ76,Resultados!BK76,Resultados!BU76,Resultados!CO76,Resultados!CY76,Resultados!DI76)&lt;=1, "", _xlfn.STDEV.S(ABS(Resultados!C76),ABS(Resultados!M76),ABS(Resultados!W76),ABS(Resultados!AQ76),ABS(Resultados!BK76),ABS(Resultados!BU76),ABS(Resultados!CO76),ABS(Resultados!CY76),ABS(Resultados!DI76))/SQRT(COUNT(Resultados!C76,Resultados!M76,Resultados!W76,Resultados!AQ76,Resultados!BK76,Resultados!BU76,Resultados!CO76,Resultados!CY76,Resultados!DI76)))</f>
        <v>0.60348780506667865</v>
      </c>
      <c r="D76">
        <f>IF(COUNT(Resultados!D76,Resultados!N76,Resultados!X76,Resultados!AR76,Resultados!BL76,Resultados!BV76,Resultados!CP76,Resultados!CZ76,Resultados!DJ76)&lt;=1, "", _xlfn.STDEV.S(ABS(Resultados!D76),ABS(Resultados!N76),ABS(Resultados!X76),ABS(Resultados!AR76),ABS(Resultados!BL76),ABS(Resultados!BV76),ABS(Resultados!CP76),ABS(Resultados!CZ76),ABS(Resultados!DJ76))/SQRT(COUNT(Resultados!D76,Resultados!N76,Resultados!X76,Resultados!AR76,Resultados!BL76,Resultados!BV76,Resultados!CP76,Resultados!CZ76,Resultados!DJ76)))</f>
        <v>1.1469901567812543E-3</v>
      </c>
      <c r="E76">
        <f>IF(COUNT(Resultados!E76,Resultados!O76,Resultados!Y76,Resultados!AS76,Resultados!BM76,Resultados!BW76,Resultados!CQ76,Resultados!DA76,Resultados!DK76)&lt;=1, "", _xlfn.STDEV.S(ABS(Resultados!E76),ABS(Resultados!O76),ABS(Resultados!Y76),ABS(Resultados!AS76),ABS(Resultados!BM76),ABS(Resultados!BW76),ABS(Resultados!CQ76),ABS(Resultados!DA76),ABS(Resultados!DK76))/SQRT(COUNT(Resultados!E76,Resultados!O76,Resultados!Y76,Resultados!AS76,Resultados!BM76,Resultados!BW76,Resultados!CQ76,Resultados!DA76,Resultados!DK76)))</f>
        <v>0.1247471633726016</v>
      </c>
      <c r="F76">
        <f>IF(COUNT(Resultados!F76,Resultados!P76,Resultados!Z76,Resultados!AT76,Resultados!BN76,Resultados!BX76,Resultados!CR76,Resultados!DB76,Resultados!DL76)&lt;=1, "", _xlfn.STDEV.S(ABS(Resultados!F76),ABS(Resultados!P76),ABS(Resultados!Z76),ABS(Resultados!AT76),ABS(Resultados!BN76),ABS(Resultados!BX76),ABS(Resultados!CR76),ABS(Resultados!DB76),ABS(Resultados!DL76))/SQRT(COUNT(Resultados!F76,Resultados!P76,Resultados!Z76,Resultados!AT76,Resultados!BN76,Resultados!BX76,Resultados!CR76,Resultados!DB76,Resultados!DL76)))</f>
        <v>11.626435626326474</v>
      </c>
      <c r="G76">
        <f>IF(COUNT(Resultados!G76,Resultados!Q76,Resultados!AA76,Resultados!AU76,Resultados!BO76,Resultados!BY76,Resultados!CS76,Resultados!DC76,Resultados!DM76)&lt;=1, "", _xlfn.STDEV.S(ABS(Resultados!G76),ABS(Resultados!Q76),ABS(Resultados!AA76),ABS(Resultados!AU76),ABS(Resultados!BO76),ABS(Resultados!BY76),ABS(Resultados!CS76),ABS(Resultados!DC76),ABS(Resultados!DM76))/SQRT(COUNT(Resultados!G76,Resultados!Q76,Resultados!AA76,Resultados!AU76,Resultados!BO76,Resultados!BY76,Resultados!CS76,Resultados!DC76,Resultados!DM76)))</f>
        <v>0</v>
      </c>
      <c r="H76">
        <f>IF(COUNT(Resultados!H76,Resultados!R76,Resultados!AB76,Resultados!AV76,Resultados!BP76,Resultados!BZ76,Resultados!CT76,Resultados!DD76,Resultados!DN76)&lt;=1, "", _xlfn.STDEV.S(ABS(Resultados!H76),ABS(Resultados!R76),ABS(Resultados!AB76),ABS(Resultados!AV76),ABS(Resultados!BP76),ABS(Resultados!BZ76),ABS(Resultados!CT76),ABS(Resultados!DD76),ABS(Resultados!DN76))/SQRT(COUNT(Resultados!H76,Resultados!R76,Resultados!AB76,Resultados!AV76,Resultados!BP76,Resultados!BZ76,Resultados!CT76,Resultados!DD76,Resultados!DN76)))</f>
        <v>1.9431821299413642E-3</v>
      </c>
      <c r="I76">
        <f>IF(COUNT(Resultados!I76,Resultados!S76,Resultados!AC76,Resultados!AW76,Resultados!BQ76,Resultados!CA76,Resultados!CU76,Resultados!DE76,Resultados!DO76)&lt;=1, "", _xlfn.STDEV.S(ABS(Resultados!I76),ABS(Resultados!S76),ABS(Resultados!AC76),ABS(Resultados!AW76),ABS(Resultados!BQ76),ABS(Resultados!CA76),ABS(Resultados!CU76),ABS(Resultados!DE76),ABS(Resultados!DO76))/SQRT(COUNT(Resultados!I76,Resultados!S76,Resultados!AC76,Resultados!AW76,Resultados!BQ76,Resultados!CA76,Resultados!CU76,Resultados!DE76,Resultados!DO76)))</f>
        <v>4.4549501206141144E-2</v>
      </c>
      <c r="J76">
        <f>IF(COUNT(Resultados!J76,Resultados!T76,Resultados!AD76,Resultados!AX76,Resultados!BR76,Resultados!CB76,Resultados!CV76,Resultados!DF76,Resultados!DP76)&lt;=1, "", _xlfn.STDEV.S(ABS(Resultados!J76),ABS(Resultados!T76),ABS(Resultados!AD76),ABS(Resultados!AX76),ABS(Resultados!BR76),ABS(Resultados!CB76),ABS(Resultados!CV76),ABS(Resultados!DF76),ABS(Resultados!DP76))/SQRT(COUNT(Resultados!J76,Resultados!T76,Resultados!AD76,Resultados!AX76,Resultados!BR76,Resultados!CB76,Resultados!CV76,Resultados!DF76,Resultados!DP76)))</f>
        <v>1.9431821299413642E-3</v>
      </c>
    </row>
    <row r="77" spans="1:10" x14ac:dyDescent="0.3">
      <c r="A77">
        <f>IF(COUNT(Resultados!A77,Resultados!K77,Resultados!U77,Resultados!AO77,Resultados!BI77,Resultados!BS77,Resultados!CM77,Resultados!CW77,Resultados!DG77)&lt;=1, "", _xlfn.STDEV.S(ABS(Resultados!A77),ABS(Resultados!K77),ABS(Resultados!U77),ABS(Resultados!AO77),ABS(Resultados!BI77),ABS(Resultados!BS77),ABS(Resultados!CM77),ABS(Resultados!CW77),ABS(Resultados!DG77))/SQRT(COUNT(Resultados!A77,Resultados!K77,Resultados!U77,Resultados!AO77,Resultados!BI77,Resultados!BS77,Resultados!CM77,Resultados!CW77,Resultados!DG77)))</f>
        <v>0</v>
      </c>
      <c r="B77" t="str">
        <f>IF(COUNT(Resultados!B77,Resultados!L77,Resultados!V77,Resultados!AP77,Resultados!BJ77,Resultados!BT77,Resultados!CN77,Resultados!CX77,Resultados!DH77)&lt;=1, "", _xlfn.STDEV.S(ABS(Resultados!B77),ABS(Resultados!L77),ABS(Resultados!V77),ABS(Resultados!AP77),ABS(Resultados!BJ77),ABS(Resultados!BT77),ABS(Resultados!CN77),ABS(Resultados!CX77),ABS(Resultados!DH77))/SQRT(COUNT(Resultados!B77,Resultados!L77,Resultados!V77,Resultados!AP77,Resultados!BJ77,Resultados!BT77,Resultados!CN77,Resultados!CX77,Resultados!DH77)))</f>
        <v/>
      </c>
      <c r="C77">
        <f>IF(COUNT(Resultados!C77,Resultados!M77,Resultados!W77,Resultados!AQ77,Resultados!BK77,Resultados!BU77,Resultados!CO77,Resultados!CY77,Resultados!DI77)&lt;=1, "", _xlfn.STDEV.S(ABS(Resultados!C77),ABS(Resultados!M77),ABS(Resultados!W77),ABS(Resultados!AQ77),ABS(Resultados!BK77),ABS(Resultados!BU77),ABS(Resultados!CO77),ABS(Resultados!CY77),ABS(Resultados!DI77))/SQRT(COUNT(Resultados!C77,Resultados!M77,Resultados!W77,Resultados!AQ77,Resultados!BK77,Resultados!BU77,Resultados!CO77,Resultados!CY77,Resultados!DI77)))</f>
        <v>0.60348780506667865</v>
      </c>
      <c r="D77">
        <f>IF(COUNT(Resultados!D77,Resultados!N77,Resultados!X77,Resultados!AR77,Resultados!BL77,Resultados!BV77,Resultados!CP77,Resultados!CZ77,Resultados!DJ77)&lt;=1, "", _xlfn.STDEV.S(ABS(Resultados!D77),ABS(Resultados!N77),ABS(Resultados!X77),ABS(Resultados!AR77),ABS(Resultados!BL77),ABS(Resultados!BV77),ABS(Resultados!CP77),ABS(Resultados!CZ77),ABS(Resultados!DJ77))/SQRT(COUNT(Resultados!D77,Resultados!N77,Resultados!X77,Resultados!AR77,Resultados!BL77,Resultados!BV77,Resultados!CP77,Resultados!CZ77,Resultados!DJ77)))</f>
        <v>1.2976474439881148E-3</v>
      </c>
      <c r="E77">
        <f>IF(COUNT(Resultados!E77,Resultados!O77,Resultados!Y77,Resultados!AS77,Resultados!BM77,Resultados!BW77,Resultados!CQ77,Resultados!DA77,Resultados!DK77)&lt;=1, "", _xlfn.STDEV.S(ABS(Resultados!E77),ABS(Resultados!O77),ABS(Resultados!Y77),ABS(Resultados!AS77),ABS(Resultados!BM77),ABS(Resultados!BW77),ABS(Resultados!CQ77),ABS(Resultados!DA77),ABS(Resultados!DK77))/SQRT(COUNT(Resultados!E77,Resultados!O77,Resultados!Y77,Resultados!AS77,Resultados!BM77,Resultados!BW77,Resultados!CQ77,Resultados!DA77,Resultados!DK77)))</f>
        <v>0.12350294238323702</v>
      </c>
      <c r="F77">
        <f>IF(COUNT(Resultados!F77,Resultados!P77,Resultados!Z77,Resultados!AT77,Resultados!BN77,Resultados!BX77,Resultados!CR77,Resultados!DB77,Resultados!DL77)&lt;=1, "", _xlfn.STDEV.S(ABS(Resultados!F77),ABS(Resultados!P77),ABS(Resultados!Z77),ABS(Resultados!AT77),ABS(Resultados!BN77),ABS(Resultados!BX77),ABS(Resultados!CR77),ABS(Resultados!DB77),ABS(Resultados!DL77))/SQRT(COUNT(Resultados!F77,Resultados!P77,Resultados!Z77,Resultados!AT77,Resultados!BN77,Resultados!BX77,Resultados!CR77,Resultados!DB77,Resultados!DL77)))</f>
        <v>11.510474230117687</v>
      </c>
      <c r="G77">
        <f>IF(COUNT(Resultados!G77,Resultados!Q77,Resultados!AA77,Resultados!AU77,Resultados!BO77,Resultados!BY77,Resultados!CS77,Resultados!DC77,Resultados!DM77)&lt;=1, "", _xlfn.STDEV.S(ABS(Resultados!G77),ABS(Resultados!Q77),ABS(Resultados!AA77),ABS(Resultados!AU77),ABS(Resultados!BO77),ABS(Resultados!BY77),ABS(Resultados!CS77),ABS(Resultados!DC77),ABS(Resultados!DM77))/SQRT(COUNT(Resultados!G77,Resultados!Q77,Resultados!AA77,Resultados!AU77,Resultados!BO77,Resultados!BY77,Resultados!CS77,Resultados!DC77,Resultados!DM77)))</f>
        <v>0</v>
      </c>
      <c r="H77">
        <f>IF(COUNT(Resultados!H77,Resultados!R77,Resultados!AB77,Resultados!AV77,Resultados!BP77,Resultados!BZ77,Resultados!CT77,Resultados!DD77,Resultados!DN77)&lt;=1, "", _xlfn.STDEV.S(ABS(Resultados!H77),ABS(Resultados!R77),ABS(Resultados!AB77),ABS(Resultados!AV77),ABS(Resultados!BP77),ABS(Resultados!BZ77),ABS(Resultados!CT77),ABS(Resultados!DD77),ABS(Resultados!DN77))/SQRT(COUNT(Resultados!H77,Resultados!R77,Resultados!AB77,Resultados!AV77,Resultados!BP77,Resultados!BZ77,Resultados!CT77,Resultados!DD77,Resultados!DN77)))</f>
        <v>1.912822231387143E-3</v>
      </c>
      <c r="I77">
        <f>IF(COUNT(Resultados!I77,Resultados!S77,Resultados!AC77,Resultados!AW77,Resultados!BQ77,Resultados!CA77,Resultados!CU77,Resultados!DE77,Resultados!DO77)&lt;=1, "", _xlfn.STDEV.S(ABS(Resultados!I77),ABS(Resultados!S77),ABS(Resultados!AC77),ABS(Resultados!AW77),ABS(Resultados!BQ77),ABS(Resultados!CA77),ABS(Resultados!CU77),ABS(Resultados!DE77),ABS(Resultados!DO77))/SQRT(COUNT(Resultados!I77,Resultados!S77,Resultados!AC77,Resultados!AW77,Resultados!BQ77,Resultados!CA77,Resultados!CU77,Resultados!DE77,Resultados!DO77)))</f>
        <v>4.4579514232407698E-2</v>
      </c>
      <c r="J77">
        <f>IF(COUNT(Resultados!J77,Resultados!T77,Resultados!AD77,Resultados!AX77,Resultados!BR77,Resultados!CB77,Resultados!CV77,Resultados!DF77,Resultados!DP77)&lt;=1, "", _xlfn.STDEV.S(ABS(Resultados!J77),ABS(Resultados!T77),ABS(Resultados!AD77),ABS(Resultados!AX77),ABS(Resultados!BR77),ABS(Resultados!CB77),ABS(Resultados!CV77),ABS(Resultados!DF77),ABS(Resultados!DP77))/SQRT(COUNT(Resultados!J77,Resultados!T77,Resultados!AD77,Resultados!AX77,Resultados!BR77,Resultados!CB77,Resultados!CV77,Resultados!DF77,Resultados!DP77)))</f>
        <v>1.912822231387143E-3</v>
      </c>
    </row>
    <row r="78" spans="1:10" x14ac:dyDescent="0.3">
      <c r="A78">
        <f>IF(COUNT(Resultados!A78,Resultados!K78,Resultados!U78,Resultados!AO78,Resultados!BI78,Resultados!BS78,Resultados!CM78,Resultados!CW78,Resultados!DG78)&lt;=1, "", _xlfn.STDEV.S(ABS(Resultados!A78),ABS(Resultados!K78),ABS(Resultados!U78),ABS(Resultados!AO78),ABS(Resultados!BI78),ABS(Resultados!BS78),ABS(Resultados!CM78),ABS(Resultados!CW78),ABS(Resultados!DG78))/SQRT(COUNT(Resultados!A78,Resultados!K78,Resultados!U78,Resultados!AO78,Resultados!BI78,Resultados!BS78,Resultados!CM78,Resultados!CW78,Resultados!DG78)))</f>
        <v>0</v>
      </c>
      <c r="B78" t="str">
        <f>IF(COUNT(Resultados!B78,Resultados!L78,Resultados!V78,Resultados!AP78,Resultados!BJ78,Resultados!BT78,Resultados!CN78,Resultados!CX78,Resultados!DH78)&lt;=1, "", _xlfn.STDEV.S(ABS(Resultados!B78),ABS(Resultados!L78),ABS(Resultados!V78),ABS(Resultados!AP78),ABS(Resultados!BJ78),ABS(Resultados!BT78),ABS(Resultados!CN78),ABS(Resultados!CX78),ABS(Resultados!DH78))/SQRT(COUNT(Resultados!B78,Resultados!L78,Resultados!V78,Resultados!AP78,Resultados!BJ78,Resultados!BT78,Resultados!CN78,Resultados!CX78,Resultados!DH78)))</f>
        <v/>
      </c>
      <c r="C78">
        <f>IF(COUNT(Resultados!C78,Resultados!M78,Resultados!W78,Resultados!AQ78,Resultados!BK78,Resultados!BU78,Resultados!CO78,Resultados!CY78,Resultados!DI78)&lt;=1, "", _xlfn.STDEV.S(ABS(Resultados!C78),ABS(Resultados!M78),ABS(Resultados!W78),ABS(Resultados!AQ78),ABS(Resultados!BK78),ABS(Resultados!BU78),ABS(Resultados!CO78),ABS(Resultados!CY78),ABS(Resultados!DI78))/SQRT(COUNT(Resultados!C78,Resultados!M78,Resultados!W78,Resultados!AQ78,Resultados!BK78,Resultados!BU78,Resultados!CO78,Resultados!CY78,Resultados!DI78)))</f>
        <v>0.60348780506667865</v>
      </c>
      <c r="D78">
        <f>IF(COUNT(Resultados!D78,Resultados!N78,Resultados!X78,Resultados!AR78,Resultados!BL78,Resultados!BV78,Resultados!CP78,Resultados!CZ78,Resultados!DJ78)&lt;=1, "", _xlfn.STDEV.S(ABS(Resultados!D78),ABS(Resultados!N78),ABS(Resultados!X78),ABS(Resultados!AR78),ABS(Resultados!BL78),ABS(Resultados!BV78),ABS(Resultados!CP78),ABS(Resultados!CZ78),ABS(Resultados!DJ78))/SQRT(COUNT(Resultados!D78,Resultados!N78,Resultados!X78,Resultados!AR78,Resultados!BL78,Resultados!BV78,Resultados!CP78,Resultados!CZ78,Resultados!DJ78)))</f>
        <v>1.4975700482390529E-3</v>
      </c>
      <c r="E78">
        <f>IF(COUNT(Resultados!E78,Resultados!O78,Resultados!Y78,Resultados!AS78,Resultados!BM78,Resultados!BW78,Resultados!CQ78,Resultados!DA78,Resultados!DK78)&lt;=1, "", _xlfn.STDEV.S(ABS(Resultados!E78),ABS(Resultados!O78),ABS(Resultados!Y78),ABS(Resultados!AS78),ABS(Resultados!BM78),ABS(Resultados!BW78),ABS(Resultados!CQ78),ABS(Resultados!DA78),ABS(Resultados!DK78))/SQRT(COUNT(Resultados!E78,Resultados!O78,Resultados!Y78,Resultados!AS78,Resultados!BM78,Resultados!BW78,Resultados!CQ78,Resultados!DA78,Resultados!DK78)))</f>
        <v>0.1192242324757173</v>
      </c>
      <c r="F78">
        <f>IF(COUNT(Resultados!F78,Resultados!P78,Resultados!Z78,Resultados!AT78,Resultados!BN78,Resultados!BX78,Resultados!CR78,Resultados!DB78,Resultados!DL78)&lt;=1, "", _xlfn.STDEV.S(ABS(Resultados!F78),ABS(Resultados!P78),ABS(Resultados!Z78),ABS(Resultados!AT78),ABS(Resultados!BN78),ABS(Resultados!BX78),ABS(Resultados!CR78),ABS(Resultados!DB78),ABS(Resultados!DL78))/SQRT(COUNT(Resultados!F78,Resultados!P78,Resultados!Z78,Resultados!AT78,Resultados!BN78,Resultados!BX78,Resultados!CR78,Resultados!DB78,Resultados!DL78)))</f>
        <v>11.111698466736852</v>
      </c>
      <c r="G78">
        <f>IF(COUNT(Resultados!G78,Resultados!Q78,Resultados!AA78,Resultados!AU78,Resultados!BO78,Resultados!BY78,Resultados!CS78,Resultados!DC78,Resultados!DM78)&lt;=1, "", _xlfn.STDEV.S(ABS(Resultados!G78),ABS(Resultados!Q78),ABS(Resultados!AA78),ABS(Resultados!AU78),ABS(Resultados!BO78),ABS(Resultados!BY78),ABS(Resultados!CS78),ABS(Resultados!DC78),ABS(Resultados!DM78))/SQRT(COUNT(Resultados!G78,Resultados!Q78,Resultados!AA78,Resultados!AU78,Resultados!BO78,Resultados!BY78,Resultados!CS78,Resultados!DC78,Resultados!DM78)))</f>
        <v>0</v>
      </c>
      <c r="H78">
        <f>IF(COUNT(Resultados!H78,Resultados!R78,Resultados!AB78,Resultados!AV78,Resultados!BP78,Resultados!BZ78,Resultados!CT78,Resultados!DD78,Resultados!DN78)&lt;=1, "", _xlfn.STDEV.S(ABS(Resultados!H78),ABS(Resultados!R78),ABS(Resultados!AB78),ABS(Resultados!AV78),ABS(Resultados!BP78),ABS(Resultados!BZ78),ABS(Resultados!CT78),ABS(Resultados!DD78),ABS(Resultados!DN78))/SQRT(COUNT(Resultados!H78,Resultados!R78,Resultados!AB78,Resultados!AV78,Resultados!BP78,Resultados!BZ78,Resultados!CT78,Resultados!DD78,Resultados!DN78)))</f>
        <v>1.8545739253112677E-3</v>
      </c>
      <c r="I78">
        <f>IF(COUNT(Resultados!I78,Resultados!S78,Resultados!AC78,Resultados!AW78,Resultados!BQ78,Resultados!CA78,Resultados!CU78,Resultados!DE78,Resultados!DO78)&lt;=1, "", _xlfn.STDEV.S(ABS(Resultados!I78),ABS(Resultados!S78),ABS(Resultados!AC78),ABS(Resultados!AW78),ABS(Resultados!BQ78),ABS(Resultados!CA78),ABS(Resultados!CU78),ABS(Resultados!DE78),ABS(Resultados!DO78))/SQRT(COUNT(Resultados!I78,Resultados!S78,Resultados!AC78,Resultados!AW78,Resultados!BQ78,Resultados!CA78,Resultados!CU78,Resultados!DE78,Resultados!DO78)))</f>
        <v>4.4391108566390475E-2</v>
      </c>
      <c r="J78">
        <f>IF(COUNT(Resultados!J78,Resultados!T78,Resultados!AD78,Resultados!AX78,Resultados!BR78,Resultados!CB78,Resultados!CV78,Resultados!DF78,Resultados!DP78)&lt;=1, "", _xlfn.STDEV.S(ABS(Resultados!J78),ABS(Resultados!T78),ABS(Resultados!AD78),ABS(Resultados!AX78),ABS(Resultados!BR78),ABS(Resultados!CB78),ABS(Resultados!CV78),ABS(Resultados!DF78),ABS(Resultados!DP78))/SQRT(COUNT(Resultados!J78,Resultados!T78,Resultados!AD78,Resultados!AX78,Resultados!BR78,Resultados!CB78,Resultados!CV78,Resultados!DF78,Resultados!DP78)))</f>
        <v>1.8545739253112677E-3</v>
      </c>
    </row>
    <row r="79" spans="1:10" x14ac:dyDescent="0.3">
      <c r="A79">
        <f>IF(COUNT(Resultados!A79,Resultados!K79,Resultados!U79,Resultados!AO79,Resultados!BI79,Resultados!BS79,Resultados!CM79,Resultados!CW79,Resultados!DG79)&lt;=1, "", _xlfn.STDEV.S(ABS(Resultados!A79),ABS(Resultados!K79),ABS(Resultados!U79),ABS(Resultados!AO79),ABS(Resultados!BI79),ABS(Resultados!BS79),ABS(Resultados!CM79),ABS(Resultados!CW79),ABS(Resultados!DG79))/SQRT(COUNT(Resultados!A79,Resultados!K79,Resultados!U79,Resultados!AO79,Resultados!BI79,Resultados!BS79,Resultados!CM79,Resultados!CW79,Resultados!DG79)))</f>
        <v>0</v>
      </c>
      <c r="B79" t="str">
        <f>IF(COUNT(Resultados!B79,Resultados!L79,Resultados!V79,Resultados!AP79,Resultados!BJ79,Resultados!BT79,Resultados!CN79,Resultados!CX79,Resultados!DH79)&lt;=1, "", _xlfn.STDEV.S(ABS(Resultados!B79),ABS(Resultados!L79),ABS(Resultados!V79),ABS(Resultados!AP79),ABS(Resultados!BJ79),ABS(Resultados!BT79),ABS(Resultados!CN79),ABS(Resultados!CX79),ABS(Resultados!DH79))/SQRT(COUNT(Resultados!B79,Resultados!L79,Resultados!V79,Resultados!AP79,Resultados!BJ79,Resultados!BT79,Resultados!CN79,Resultados!CX79,Resultados!DH79)))</f>
        <v/>
      </c>
      <c r="C79">
        <f>IF(COUNT(Resultados!C79,Resultados!M79,Resultados!W79,Resultados!AQ79,Resultados!BK79,Resultados!BU79,Resultados!CO79,Resultados!CY79,Resultados!DI79)&lt;=1, "", _xlfn.STDEV.S(ABS(Resultados!C79),ABS(Resultados!M79),ABS(Resultados!W79),ABS(Resultados!AQ79),ABS(Resultados!BK79),ABS(Resultados!BU79),ABS(Resultados!CO79),ABS(Resultados!CY79),ABS(Resultados!DI79))/SQRT(COUNT(Resultados!C79,Resultados!M79,Resultados!W79,Resultados!AQ79,Resultados!BK79,Resultados!BU79,Resultados!CO79,Resultados!CY79,Resultados!DI79)))</f>
        <v>0.60348780506667865</v>
      </c>
      <c r="D79">
        <f>IF(COUNT(Resultados!D79,Resultados!N79,Resultados!X79,Resultados!AR79,Resultados!BL79,Resultados!BV79,Resultados!CP79,Resultados!CZ79,Resultados!DJ79)&lt;=1, "", _xlfn.STDEV.S(ABS(Resultados!D79),ABS(Resultados!N79),ABS(Resultados!X79),ABS(Resultados!AR79),ABS(Resultados!BL79),ABS(Resultados!BV79),ABS(Resultados!CP79),ABS(Resultados!CZ79),ABS(Resultados!DJ79))/SQRT(COUNT(Resultados!D79,Resultados!N79,Resultados!X79,Resultados!AR79,Resultados!BL79,Resultados!BV79,Resultados!CP79,Resultados!CZ79,Resultados!DJ79)))</f>
        <v>1.5512539730453188E-3</v>
      </c>
      <c r="E79">
        <f>IF(COUNT(Resultados!E79,Resultados!O79,Resultados!Y79,Resultados!AS79,Resultados!BM79,Resultados!BW79,Resultados!CQ79,Resultados!DA79,Resultados!DK79)&lt;=1, "", _xlfn.STDEV.S(ABS(Resultados!E79),ABS(Resultados!O79),ABS(Resultados!Y79),ABS(Resultados!AS79),ABS(Resultados!BM79),ABS(Resultados!BW79),ABS(Resultados!CQ79),ABS(Resultados!DA79),ABS(Resultados!DK79))/SQRT(COUNT(Resultados!E79,Resultados!O79,Resultados!Y79,Resultados!AS79,Resultados!BM79,Resultados!BW79,Resultados!CQ79,Resultados!DA79,Resultados!DK79)))</f>
        <v>0.11233172905691623</v>
      </c>
      <c r="F79">
        <f>IF(COUNT(Resultados!F79,Resultados!P79,Resultados!Z79,Resultados!AT79,Resultados!BN79,Resultados!BX79,Resultados!CR79,Resultados!DB79,Resultados!DL79)&lt;=1, "", _xlfn.STDEV.S(ABS(Resultados!F79),ABS(Resultados!P79),ABS(Resultados!Z79),ABS(Resultados!AT79),ABS(Resultados!BN79),ABS(Resultados!BX79),ABS(Resultados!CR79),ABS(Resultados!DB79),ABS(Resultados!DL79))/SQRT(COUNT(Resultados!F79,Resultados!P79,Resultados!Z79,Resultados!AT79,Resultados!BN79,Resultados!BX79,Resultados!CR79,Resultados!DB79,Resultados!DL79)))</f>
        <v>10.469317148104594</v>
      </c>
      <c r="G79">
        <f>IF(COUNT(Resultados!G79,Resultados!Q79,Resultados!AA79,Resultados!AU79,Resultados!BO79,Resultados!BY79,Resultados!CS79,Resultados!DC79,Resultados!DM79)&lt;=1, "", _xlfn.STDEV.S(ABS(Resultados!G79),ABS(Resultados!Q79),ABS(Resultados!AA79),ABS(Resultados!AU79),ABS(Resultados!BO79),ABS(Resultados!BY79),ABS(Resultados!CS79),ABS(Resultados!DC79),ABS(Resultados!DM79))/SQRT(COUNT(Resultados!G79,Resultados!Q79,Resultados!AA79,Resultados!AU79,Resultados!BO79,Resultados!BY79,Resultados!CS79,Resultados!DC79,Resultados!DM79)))</f>
        <v>0</v>
      </c>
      <c r="H79">
        <f>IF(COUNT(Resultados!H79,Resultados!R79,Resultados!AB79,Resultados!AV79,Resultados!BP79,Resultados!BZ79,Resultados!CT79,Resultados!DD79,Resultados!DN79)&lt;=1, "", _xlfn.STDEV.S(ABS(Resultados!H79),ABS(Resultados!R79),ABS(Resultados!AB79),ABS(Resultados!AV79),ABS(Resultados!BP79),ABS(Resultados!BZ79),ABS(Resultados!CT79),ABS(Resultados!DD79),ABS(Resultados!DN79))/SQRT(COUNT(Resultados!H79,Resultados!R79,Resultados!AB79,Resultados!AV79,Resultados!BP79,Resultados!BZ79,Resultados!CT79,Resultados!DD79,Resultados!DN79)))</f>
        <v>1.7536557934712588E-3</v>
      </c>
      <c r="I79">
        <f>IF(COUNT(Resultados!I79,Resultados!S79,Resultados!AC79,Resultados!AW79,Resultados!BQ79,Resultados!CA79,Resultados!CU79,Resultados!DE79,Resultados!DO79)&lt;=1, "", _xlfn.STDEV.S(ABS(Resultados!I79),ABS(Resultados!S79),ABS(Resultados!AC79),ABS(Resultados!AW79),ABS(Resultados!BQ79),ABS(Resultados!CA79),ABS(Resultados!CU79),ABS(Resultados!DE79),ABS(Resultados!DO79))/SQRT(COUNT(Resultados!I79,Resultados!S79,Resultados!AC79,Resultados!AW79,Resultados!BQ79,Resultados!CA79,Resultados!CU79,Resultados!DE79,Resultados!DO79)))</f>
        <v>4.4432071624997599E-2</v>
      </c>
      <c r="J79">
        <f>IF(COUNT(Resultados!J79,Resultados!T79,Resultados!AD79,Resultados!AX79,Resultados!BR79,Resultados!CB79,Resultados!CV79,Resultados!DF79,Resultados!DP79)&lt;=1, "", _xlfn.STDEV.S(ABS(Resultados!J79),ABS(Resultados!T79),ABS(Resultados!AD79),ABS(Resultados!AX79),ABS(Resultados!BR79),ABS(Resultados!CB79),ABS(Resultados!CV79),ABS(Resultados!DF79),ABS(Resultados!DP79))/SQRT(COUNT(Resultados!J79,Resultados!T79,Resultados!AD79,Resultados!AX79,Resultados!BR79,Resultados!CB79,Resultados!CV79,Resultados!DF79,Resultados!DP79)))</f>
        <v>1.7536557934712588E-3</v>
      </c>
    </row>
    <row r="80" spans="1:10" x14ac:dyDescent="0.3">
      <c r="A80">
        <f>IF(COUNT(Resultados!A80,Resultados!K80,Resultados!U80,Resultados!AO80,Resultados!BI80,Resultados!BS80,Resultados!CM80,Resultados!CW80,Resultados!DG80)&lt;=1, "", _xlfn.STDEV.S(ABS(Resultados!A80),ABS(Resultados!K80),ABS(Resultados!U80),ABS(Resultados!AO80),ABS(Resultados!BI80),ABS(Resultados!BS80),ABS(Resultados!CM80),ABS(Resultados!CW80),ABS(Resultados!DG80))/SQRT(COUNT(Resultados!A80,Resultados!K80,Resultados!U80,Resultados!AO80,Resultados!BI80,Resultados!BS80,Resultados!CM80,Resultados!CW80,Resultados!DG80)))</f>
        <v>0</v>
      </c>
      <c r="B80" t="str">
        <f>IF(COUNT(Resultados!B80,Resultados!L80,Resultados!V80,Resultados!AP80,Resultados!BJ80,Resultados!BT80,Resultados!CN80,Resultados!CX80,Resultados!DH80)&lt;=1, "", _xlfn.STDEV.S(ABS(Resultados!B80),ABS(Resultados!L80),ABS(Resultados!V80),ABS(Resultados!AP80),ABS(Resultados!BJ80),ABS(Resultados!BT80),ABS(Resultados!CN80),ABS(Resultados!CX80),ABS(Resultados!DH80))/SQRT(COUNT(Resultados!B80,Resultados!L80,Resultados!V80,Resultados!AP80,Resultados!BJ80,Resultados!BT80,Resultados!CN80,Resultados!CX80,Resultados!DH80)))</f>
        <v/>
      </c>
      <c r="C80">
        <f>IF(COUNT(Resultados!C80,Resultados!M80,Resultados!W80,Resultados!AQ80,Resultados!BK80,Resultados!BU80,Resultados!CO80,Resultados!CY80,Resultados!DI80)&lt;=1, "", _xlfn.STDEV.S(ABS(Resultados!C80),ABS(Resultados!M80),ABS(Resultados!W80),ABS(Resultados!AQ80),ABS(Resultados!BK80),ABS(Resultados!BU80),ABS(Resultados!CO80),ABS(Resultados!CY80),ABS(Resultados!DI80))/SQRT(COUNT(Resultados!C80,Resultados!M80,Resultados!W80,Resultados!AQ80,Resultados!BK80,Resultados!BU80,Resultados!CO80,Resultados!CY80,Resultados!DI80)))</f>
        <v>0.60348780506667865</v>
      </c>
      <c r="D80">
        <f>IF(COUNT(Resultados!D80,Resultados!N80,Resultados!X80,Resultados!AR80,Resultados!BL80,Resultados!BV80,Resultados!CP80,Resultados!CZ80,Resultados!DJ80)&lt;=1, "", _xlfn.STDEV.S(ABS(Resultados!D80),ABS(Resultados!N80),ABS(Resultados!X80),ABS(Resultados!AR80),ABS(Resultados!BL80),ABS(Resultados!BV80),ABS(Resultados!CP80),ABS(Resultados!CZ80),ABS(Resultados!DJ80))/SQRT(COUNT(Resultados!D80,Resultados!N80,Resultados!X80,Resultados!AR80,Resultados!BL80,Resultados!BV80,Resultados!CP80,Resultados!CZ80,Resultados!DJ80)))</f>
        <v>1.5498606070336032E-3</v>
      </c>
      <c r="E80">
        <f>IF(COUNT(Resultados!E80,Resultados!O80,Resultados!Y80,Resultados!AS80,Resultados!BM80,Resultados!BW80,Resultados!CQ80,Resultados!DA80,Resultados!DK80)&lt;=1, "", _xlfn.STDEV.S(ABS(Resultados!E80),ABS(Resultados!O80),ABS(Resultados!Y80),ABS(Resultados!AS80),ABS(Resultados!BM80),ABS(Resultados!BW80),ABS(Resultados!CQ80),ABS(Resultados!DA80),ABS(Resultados!DK80))/SQRT(COUNT(Resultados!E80,Resultados!O80,Resultados!Y80,Resultados!AS80,Resultados!BM80,Resultados!BW80,Resultados!CQ80,Resultados!DA80,Resultados!DK80)))</f>
        <v>0.10313733048115332</v>
      </c>
      <c r="F80">
        <f>IF(COUNT(Resultados!F80,Resultados!P80,Resultados!Z80,Resultados!AT80,Resultados!BN80,Resultados!BX80,Resultados!CR80,Resultados!DB80,Resultados!DL80)&lt;=1, "", _xlfn.STDEV.S(ABS(Resultados!F80),ABS(Resultados!P80),ABS(Resultados!Z80),ABS(Resultados!AT80),ABS(Resultados!BN80),ABS(Resultados!BX80),ABS(Resultados!CR80),ABS(Resultados!DB80),ABS(Resultados!DL80))/SQRT(COUNT(Resultados!F80,Resultados!P80,Resultados!Z80,Resultados!AT80,Resultados!BN80,Resultados!BX80,Resultados!CR80,Resultados!DB80,Resultados!DL80)))</f>
        <v>9.6123992008434875</v>
      </c>
      <c r="G80">
        <f>IF(COUNT(Resultados!G80,Resultados!Q80,Resultados!AA80,Resultados!AU80,Resultados!BO80,Resultados!BY80,Resultados!CS80,Resultados!DC80,Resultados!DM80)&lt;=1, "", _xlfn.STDEV.S(ABS(Resultados!G80),ABS(Resultados!Q80),ABS(Resultados!AA80),ABS(Resultados!AU80),ABS(Resultados!BO80),ABS(Resultados!BY80),ABS(Resultados!CS80),ABS(Resultados!DC80),ABS(Resultados!DM80))/SQRT(COUNT(Resultados!G80,Resultados!Q80,Resultados!AA80,Resultados!AU80,Resultados!BO80,Resultados!BY80,Resultados!CS80,Resultados!DC80,Resultados!DM80)))</f>
        <v>0</v>
      </c>
      <c r="H80">
        <f>IF(COUNT(Resultados!H80,Resultados!R80,Resultados!AB80,Resultados!AV80,Resultados!BP80,Resultados!BZ80,Resultados!CT80,Resultados!DD80,Resultados!DN80)&lt;=1, "", _xlfn.STDEV.S(ABS(Resultados!H80),ABS(Resultados!R80),ABS(Resultados!AB80),ABS(Resultados!AV80),ABS(Resultados!BP80),ABS(Resultados!BZ80),ABS(Resultados!CT80),ABS(Resultados!DD80),ABS(Resultados!DN80))/SQRT(COUNT(Resultados!H80,Resultados!R80,Resultados!AB80,Resultados!AV80,Resultados!BP80,Resultados!BZ80,Resultados!CT80,Resultados!DD80,Resultados!DN80)))</f>
        <v>1.6088393945732631E-3</v>
      </c>
      <c r="I80">
        <f>IF(COUNT(Resultados!I80,Resultados!S80,Resultados!AC80,Resultados!AW80,Resultados!BQ80,Resultados!CA80,Resultados!CU80,Resultados!DE80,Resultados!DO80)&lt;=1, "", _xlfn.STDEV.S(ABS(Resultados!I80),ABS(Resultados!S80),ABS(Resultados!AC80),ABS(Resultados!AW80),ABS(Resultados!BQ80),ABS(Resultados!CA80),ABS(Resultados!CU80),ABS(Resultados!DE80),ABS(Resultados!DO80))/SQRT(COUNT(Resultados!I80,Resultados!S80,Resultados!AC80,Resultados!AW80,Resultados!BQ80,Resultados!CA80,Resultados!CU80,Resultados!DE80,Resultados!DO80)))</f>
        <v>4.4530171544448584E-2</v>
      </c>
      <c r="J80">
        <f>IF(COUNT(Resultados!J80,Resultados!T80,Resultados!AD80,Resultados!AX80,Resultados!BR80,Resultados!CB80,Resultados!CV80,Resultados!DF80,Resultados!DP80)&lt;=1, "", _xlfn.STDEV.S(ABS(Resultados!J80),ABS(Resultados!T80),ABS(Resultados!AD80),ABS(Resultados!AX80),ABS(Resultados!BR80),ABS(Resultados!CB80),ABS(Resultados!CV80),ABS(Resultados!DF80),ABS(Resultados!DP80))/SQRT(COUNT(Resultados!J80,Resultados!T80,Resultados!AD80,Resultados!AX80,Resultados!BR80,Resultados!CB80,Resultados!CV80,Resultados!DF80,Resultados!DP80)))</f>
        <v>1.6088393945732631E-3</v>
      </c>
    </row>
    <row r="81" spans="1:10" x14ac:dyDescent="0.3">
      <c r="A81">
        <f>IF(COUNT(Resultados!A81,Resultados!K81,Resultados!U81,Resultados!AO81,Resultados!BI81,Resultados!BS81,Resultados!CM81,Resultados!CW81,Resultados!DG81)&lt;=1, "", _xlfn.STDEV.S(ABS(Resultados!A81),ABS(Resultados!K81),ABS(Resultados!U81),ABS(Resultados!AO81),ABS(Resultados!BI81),ABS(Resultados!BS81),ABS(Resultados!CM81),ABS(Resultados!CW81),ABS(Resultados!DG81))/SQRT(COUNT(Resultados!A81,Resultados!K81,Resultados!U81,Resultados!AO81,Resultados!BI81,Resultados!BS81,Resultados!CM81,Resultados!CW81,Resultados!DG81)))</f>
        <v>0</v>
      </c>
      <c r="B81" t="str">
        <f>IF(COUNT(Resultados!B81,Resultados!L81,Resultados!V81,Resultados!AP81,Resultados!BJ81,Resultados!BT81,Resultados!CN81,Resultados!CX81,Resultados!DH81)&lt;=1, "", _xlfn.STDEV.S(ABS(Resultados!B81),ABS(Resultados!L81),ABS(Resultados!V81),ABS(Resultados!AP81),ABS(Resultados!BJ81),ABS(Resultados!BT81),ABS(Resultados!CN81),ABS(Resultados!CX81),ABS(Resultados!DH81))/SQRT(COUNT(Resultados!B81,Resultados!L81,Resultados!V81,Resultados!AP81,Resultados!BJ81,Resultados!BT81,Resultados!CN81,Resultados!CX81,Resultados!DH81)))</f>
        <v/>
      </c>
      <c r="C81">
        <f>IF(COUNT(Resultados!C81,Resultados!M81,Resultados!W81,Resultados!AQ81,Resultados!BK81,Resultados!BU81,Resultados!CO81,Resultados!CY81,Resultados!DI81)&lt;=1, "", _xlfn.STDEV.S(ABS(Resultados!C81),ABS(Resultados!M81),ABS(Resultados!W81),ABS(Resultados!AQ81),ABS(Resultados!BK81),ABS(Resultados!BU81),ABS(Resultados!CO81),ABS(Resultados!CY81),ABS(Resultados!DI81))/SQRT(COUNT(Resultados!C81,Resultados!M81,Resultados!W81,Resultados!AQ81,Resultados!BK81,Resultados!BU81,Resultados!CO81,Resultados!CY81,Resultados!DI81)))</f>
        <v>0.60348780506667865</v>
      </c>
      <c r="D81">
        <f>IF(COUNT(Resultados!D81,Resultados!N81,Resultados!X81,Resultados!AR81,Resultados!BL81,Resultados!BV81,Resultados!CP81,Resultados!CZ81,Resultados!DJ81)&lt;=1, "", _xlfn.STDEV.S(ABS(Resultados!D81),ABS(Resultados!N81),ABS(Resultados!X81),ABS(Resultados!AR81),ABS(Resultados!BL81),ABS(Resultados!BV81),ABS(Resultados!CP81),ABS(Resultados!CZ81),ABS(Resultados!DJ81))/SQRT(COUNT(Resultados!D81,Resultados!N81,Resultados!X81,Resultados!AR81,Resultados!BL81,Resultados!BV81,Resultados!CP81,Resultados!CZ81,Resultados!DJ81)))</f>
        <v>1.4847475572103074E-3</v>
      </c>
      <c r="E81">
        <f>IF(COUNT(Resultados!E81,Resultados!O81,Resultados!Y81,Resultados!AS81,Resultados!BM81,Resultados!BW81,Resultados!CQ81,Resultados!DA81,Resultados!DK81)&lt;=1, "", _xlfn.STDEV.S(ABS(Resultados!E81),ABS(Resultados!O81),ABS(Resultados!Y81),ABS(Resultados!AS81),ABS(Resultados!BM81),ABS(Resultados!BW81),ABS(Resultados!CQ81),ABS(Resultados!DA81),ABS(Resultados!DK81))/SQRT(COUNT(Resultados!E81,Resultados!O81,Resultados!Y81,Resultados!AS81,Resultados!BM81,Resultados!BW81,Resultados!CQ81,Resultados!DA81,Resultados!DK81)))</f>
        <v>9.1527801987711502E-2</v>
      </c>
      <c r="F81">
        <f>IF(COUNT(Resultados!F81,Resultados!P81,Resultados!Z81,Resultados!AT81,Resultados!BN81,Resultados!BX81,Resultados!CR81,Resultados!DB81,Resultados!DL81)&lt;=1, "", _xlfn.STDEV.S(ABS(Resultados!F81),ABS(Resultados!P81),ABS(Resultados!Z81),ABS(Resultados!AT81),ABS(Resultados!BN81),ABS(Resultados!BX81),ABS(Resultados!CR81),ABS(Resultados!DB81),ABS(Resultados!DL81))/SQRT(COUNT(Resultados!F81,Resultados!P81,Resultados!Z81,Resultados!AT81,Resultados!BN81,Resultados!BX81,Resultados!CR81,Resultados!DB81,Resultados!DL81)))</f>
        <v>12.573281846876503</v>
      </c>
      <c r="G81">
        <f>IF(COUNT(Resultados!G81,Resultados!Q81,Resultados!AA81,Resultados!AU81,Resultados!BO81,Resultados!BY81,Resultados!CS81,Resultados!DC81,Resultados!DM81)&lt;=1, "", _xlfn.STDEV.S(ABS(Resultados!G81),ABS(Resultados!Q81),ABS(Resultados!AA81),ABS(Resultados!AU81),ABS(Resultados!BO81),ABS(Resultados!BY81),ABS(Resultados!CS81),ABS(Resultados!DC81),ABS(Resultados!DM81))/SQRT(COUNT(Resultados!G81,Resultados!Q81,Resultados!AA81,Resultados!AU81,Resultados!BO81,Resultados!BY81,Resultados!CS81,Resultados!DC81,Resultados!DM81)))</f>
        <v>0</v>
      </c>
      <c r="H81">
        <f>IF(COUNT(Resultados!H81,Resultados!R81,Resultados!AB81,Resultados!AV81,Resultados!BP81,Resultados!BZ81,Resultados!CT81,Resultados!DD81,Resultados!DN81)&lt;=1, "", _xlfn.STDEV.S(ABS(Resultados!H81),ABS(Resultados!R81),ABS(Resultados!AB81),ABS(Resultados!AV81),ABS(Resultados!BP81),ABS(Resultados!BZ81),ABS(Resultados!CT81),ABS(Resultados!DD81),ABS(Resultados!DN81))/SQRT(COUNT(Resultados!H81,Resultados!R81,Resultados!AB81,Resultados!AV81,Resultados!BP81,Resultados!BZ81,Resultados!CT81,Resultados!DD81,Resultados!DN81)))</f>
        <v>1.4241740079562861E-3</v>
      </c>
      <c r="I81">
        <f>IF(COUNT(Resultados!I81,Resultados!S81,Resultados!AC81,Resultados!AW81,Resultados!BQ81,Resultados!CA81,Resultados!CU81,Resultados!DE81,Resultados!DO81)&lt;=1, "", _xlfn.STDEV.S(ABS(Resultados!I81),ABS(Resultados!S81),ABS(Resultados!AC81),ABS(Resultados!AW81),ABS(Resultados!BQ81),ABS(Resultados!CA81),ABS(Resultados!CU81),ABS(Resultados!DE81),ABS(Resultados!DO81))/SQRT(COUNT(Resultados!I81,Resultados!S81,Resultados!AC81,Resultados!AW81,Resultados!BQ81,Resultados!CA81,Resultados!CU81,Resultados!DE81,Resultados!DO81)))</f>
        <v>4.4827309408745845E-2</v>
      </c>
      <c r="J81">
        <f>IF(COUNT(Resultados!J81,Resultados!T81,Resultados!AD81,Resultados!AX81,Resultados!BR81,Resultados!CB81,Resultados!CV81,Resultados!DF81,Resultados!DP81)&lt;=1, "", _xlfn.STDEV.S(ABS(Resultados!J81),ABS(Resultados!T81),ABS(Resultados!AD81),ABS(Resultados!AX81),ABS(Resultados!BR81),ABS(Resultados!CB81),ABS(Resultados!CV81),ABS(Resultados!DF81),ABS(Resultados!DP81))/SQRT(COUNT(Resultados!J81,Resultados!T81,Resultados!AD81,Resultados!AX81,Resultados!BR81,Resultados!CB81,Resultados!CV81,Resultados!DF81,Resultados!DP81)))</f>
        <v>1.4241740079562861E-3</v>
      </c>
    </row>
    <row r="82" spans="1:10" x14ac:dyDescent="0.3">
      <c r="A82">
        <f>IF(COUNT(Resultados!A82,Resultados!K82,Resultados!U82,Resultados!AO82,Resultados!BI82,Resultados!BS82,Resultados!CM82,Resultados!CW82,Resultados!DG82)&lt;=1, "", _xlfn.STDEV.S(ABS(Resultados!A82),ABS(Resultados!K82),ABS(Resultados!U82),ABS(Resultados!AO82),ABS(Resultados!BI82),ABS(Resultados!BS82),ABS(Resultados!CM82),ABS(Resultados!CW82),ABS(Resultados!DG82))/SQRT(COUNT(Resultados!A82,Resultados!K82,Resultados!U82,Resultados!AO82,Resultados!BI82,Resultados!BS82,Resultados!CM82,Resultados!CW82,Resultados!DG82)))</f>
        <v>0</v>
      </c>
      <c r="B82" t="str">
        <f>IF(COUNT(Resultados!B82,Resultados!L82,Resultados!V82,Resultados!AP82,Resultados!BJ82,Resultados!BT82,Resultados!CN82,Resultados!CX82,Resultados!DH82)&lt;=1, "", _xlfn.STDEV.S(ABS(Resultados!B82),ABS(Resultados!L82),ABS(Resultados!V82),ABS(Resultados!AP82),ABS(Resultados!BJ82),ABS(Resultados!BT82),ABS(Resultados!CN82),ABS(Resultados!CX82),ABS(Resultados!DH82))/SQRT(COUNT(Resultados!B82,Resultados!L82,Resultados!V82,Resultados!AP82,Resultados!BJ82,Resultados!BT82,Resultados!CN82,Resultados!CX82,Resultados!DH82)))</f>
        <v/>
      </c>
      <c r="C82">
        <f>IF(COUNT(Resultados!C82,Resultados!M82,Resultados!W82,Resultados!AQ82,Resultados!BK82,Resultados!BU82,Resultados!CO82,Resultados!CY82,Resultados!DI82)&lt;=1, "", _xlfn.STDEV.S(ABS(Resultados!C82),ABS(Resultados!M82),ABS(Resultados!W82),ABS(Resultados!AQ82),ABS(Resultados!BK82),ABS(Resultados!BU82),ABS(Resultados!CO82),ABS(Resultados!CY82),ABS(Resultados!DI82))/SQRT(COUNT(Resultados!C82,Resultados!M82,Resultados!W82,Resultados!AQ82,Resultados!BK82,Resultados!BU82,Resultados!CO82,Resultados!CY82,Resultados!DI82)))</f>
        <v>0.64788354387170011</v>
      </c>
      <c r="D82">
        <f>IF(COUNT(Resultados!D82,Resultados!N82,Resultados!X82,Resultados!AR82,Resultados!BL82,Resultados!BV82,Resultados!CP82,Resultados!CZ82,Resultados!DJ82)&lt;=1, "", _xlfn.STDEV.S(ABS(Resultados!D82),ABS(Resultados!N82),ABS(Resultados!X82),ABS(Resultados!AR82),ABS(Resultados!BL82),ABS(Resultados!BV82),ABS(Resultados!CP82),ABS(Resultados!CZ82),ABS(Resultados!DJ82))/SQRT(COUNT(Resultados!D82,Resultados!N82,Resultados!X82,Resultados!AR82,Resultados!BL82,Resultados!BV82,Resultados!CP82,Resultados!CZ82,Resultados!DJ82)))</f>
        <v>1.3830097792071883E-3</v>
      </c>
      <c r="E82">
        <f>IF(COUNT(Resultados!E82,Resultados!O82,Resultados!Y82,Resultados!AS82,Resultados!BM82,Resultados!BW82,Resultados!CQ82,Resultados!DA82,Resultados!DK82)&lt;=1, "", _xlfn.STDEV.S(ABS(Resultados!E82),ABS(Resultados!O82),ABS(Resultados!Y82),ABS(Resultados!AS82),ABS(Resultados!BM82),ABS(Resultados!BW82),ABS(Resultados!CQ82),ABS(Resultados!DA82),ABS(Resultados!DK82))/SQRT(COUNT(Resultados!E82,Resultados!O82,Resultados!Y82,Resultados!AS82,Resultados!BM82,Resultados!BW82,Resultados!CQ82,Resultados!DA82,Resultados!DK82)))</f>
        <v>7.8204127057428602E-2</v>
      </c>
      <c r="F82">
        <f>IF(COUNT(Resultados!F82,Resultados!P82,Resultados!Z82,Resultados!AT82,Resultados!BN82,Resultados!BX82,Resultados!CR82,Resultados!DB82,Resultados!DL82)&lt;=1, "", _xlfn.STDEV.S(ABS(Resultados!F82),ABS(Resultados!P82),ABS(Resultados!Z82),ABS(Resultados!AT82),ABS(Resultados!BN82),ABS(Resultados!BX82),ABS(Resultados!CR82),ABS(Resultados!DB82),ABS(Resultados!DL82))/SQRT(COUNT(Resultados!F82,Resultados!P82,Resultados!Z82,Resultados!AT82,Resultados!BN82,Resultados!BX82,Resultados!CR82,Resultados!DB82,Resultados!DL82)))</f>
        <v>12.434536083190009</v>
      </c>
      <c r="G82">
        <f>IF(COUNT(Resultados!G82,Resultados!Q82,Resultados!AA82,Resultados!AU82,Resultados!BO82,Resultados!BY82,Resultados!CS82,Resultados!DC82,Resultados!DM82)&lt;=1, "", _xlfn.STDEV.S(ABS(Resultados!G82),ABS(Resultados!Q82),ABS(Resultados!AA82),ABS(Resultados!AU82),ABS(Resultados!BO82),ABS(Resultados!BY82),ABS(Resultados!CS82),ABS(Resultados!DC82),ABS(Resultados!DM82))/SQRT(COUNT(Resultados!G82,Resultados!Q82,Resultados!AA82,Resultados!AU82,Resultados!BO82,Resultados!BY82,Resultados!CS82,Resultados!DC82,Resultados!DM82)))</f>
        <v>0</v>
      </c>
      <c r="H82">
        <f>IF(COUNT(Resultados!H82,Resultados!R82,Resultados!AB82,Resultados!AV82,Resultados!BP82,Resultados!BZ82,Resultados!CT82,Resultados!DD82,Resultados!DN82)&lt;=1, "", _xlfn.STDEV.S(ABS(Resultados!H82),ABS(Resultados!R82),ABS(Resultados!AB82),ABS(Resultados!AV82),ABS(Resultados!BP82),ABS(Resultados!BZ82),ABS(Resultados!CT82),ABS(Resultados!DD82),ABS(Resultados!DN82))/SQRT(COUNT(Resultados!H82,Resultados!R82,Resultados!AB82,Resultados!AV82,Resultados!BP82,Resultados!BZ82,Resultados!CT82,Resultados!DD82,Resultados!DN82)))</f>
        <v>1.2149531312405063E-3</v>
      </c>
      <c r="I82">
        <f>IF(COUNT(Resultados!I82,Resultados!S82,Resultados!AC82,Resultados!AW82,Resultados!BQ82,Resultados!CA82,Resultados!CU82,Resultados!DE82,Resultados!DO82)&lt;=1, "", _xlfn.STDEV.S(ABS(Resultados!I82),ABS(Resultados!S82),ABS(Resultados!AC82),ABS(Resultados!AW82),ABS(Resultados!BQ82),ABS(Resultados!CA82),ABS(Resultados!CU82),ABS(Resultados!DE82),ABS(Resultados!DO82))/SQRT(COUNT(Resultados!I82,Resultados!S82,Resultados!AC82,Resultados!AW82,Resultados!BQ82,Resultados!CA82,Resultados!CU82,Resultados!DE82,Resultados!DO82)))</f>
        <v>4.4569036122226409E-2</v>
      </c>
      <c r="J82">
        <f>IF(COUNT(Resultados!J82,Resultados!T82,Resultados!AD82,Resultados!AX82,Resultados!BR82,Resultados!CB82,Resultados!CV82,Resultados!DF82,Resultados!DP82)&lt;=1, "", _xlfn.STDEV.S(ABS(Resultados!J82),ABS(Resultados!T82),ABS(Resultados!AD82),ABS(Resultados!AX82),ABS(Resultados!BR82),ABS(Resultados!CB82),ABS(Resultados!CV82),ABS(Resultados!DF82),ABS(Resultados!DP82))/SQRT(COUNT(Resultados!J82,Resultados!T82,Resultados!AD82,Resultados!AX82,Resultados!BR82,Resultados!CB82,Resultados!CV82,Resultados!DF82,Resultados!DP82)))</f>
        <v>1.2149531312405063E-3</v>
      </c>
    </row>
    <row r="83" spans="1:10" x14ac:dyDescent="0.3">
      <c r="A83">
        <f>IF(COUNT(Resultados!A83,Resultados!K83,Resultados!U83,Resultados!AO83,Resultados!BI83,Resultados!BS83,Resultados!CM83,Resultados!CW83,Resultados!DG83)&lt;=1, "", _xlfn.STDEV.S(ABS(Resultados!A83),ABS(Resultados!K83),ABS(Resultados!U83),ABS(Resultados!AO83),ABS(Resultados!BI83),ABS(Resultados!BS83),ABS(Resultados!CM83),ABS(Resultados!CW83),ABS(Resultados!DG83))/SQRT(COUNT(Resultados!A83,Resultados!K83,Resultados!U83,Resultados!AO83,Resultados!BI83,Resultados!BS83,Resultados!CM83,Resultados!CW83,Resultados!DG83)))</f>
        <v>0</v>
      </c>
      <c r="B83" t="str">
        <f>IF(COUNT(Resultados!B83,Resultados!L83,Resultados!V83,Resultados!AP83,Resultados!BJ83,Resultados!BT83,Resultados!CN83,Resultados!CX83,Resultados!DH83)&lt;=1, "", _xlfn.STDEV.S(ABS(Resultados!B83),ABS(Resultados!L83),ABS(Resultados!V83),ABS(Resultados!AP83),ABS(Resultados!BJ83),ABS(Resultados!BT83),ABS(Resultados!CN83),ABS(Resultados!CX83),ABS(Resultados!DH83))/SQRT(COUNT(Resultados!B83,Resultados!L83,Resultados!V83,Resultados!AP83,Resultados!BJ83,Resultados!BT83,Resultados!CN83,Resultados!CX83,Resultados!DH83)))</f>
        <v/>
      </c>
      <c r="C83">
        <f>IF(COUNT(Resultados!C83,Resultados!M83,Resultados!W83,Resultados!AQ83,Resultados!BK83,Resultados!BU83,Resultados!CO83,Resultados!CY83,Resultados!DI83)&lt;=1, "", _xlfn.STDEV.S(ABS(Resultados!C83),ABS(Resultados!M83),ABS(Resultados!W83),ABS(Resultados!AQ83),ABS(Resultados!BK83),ABS(Resultados!BU83),ABS(Resultados!CO83),ABS(Resultados!CY83),ABS(Resultados!DI83))/SQRT(COUNT(Resultados!C83,Resultados!M83,Resultados!W83,Resultados!AQ83,Resultados!BK83,Resultados!BU83,Resultados!CO83,Resultados!CY83,Resultados!DI83)))</f>
        <v>0.64788354387170011</v>
      </c>
      <c r="D83">
        <f>IF(COUNT(Resultados!D83,Resultados!N83,Resultados!X83,Resultados!AR83,Resultados!BL83,Resultados!BV83,Resultados!CP83,Resultados!CZ83,Resultados!DJ83)&lt;=1, "", _xlfn.STDEV.S(ABS(Resultados!D83),ABS(Resultados!N83),ABS(Resultados!X83),ABS(Resultados!AR83),ABS(Resultados!BL83),ABS(Resultados!BV83),ABS(Resultados!CP83),ABS(Resultados!CZ83),ABS(Resultados!DJ83))/SQRT(COUNT(Resultados!D83,Resultados!N83,Resultados!X83,Resultados!AR83,Resultados!BL83,Resultados!BV83,Resultados!CP83,Resultados!CZ83,Resultados!DJ83)))</f>
        <v>1.2677383380757881E-3</v>
      </c>
      <c r="E83">
        <f>IF(COUNT(Resultados!E83,Resultados!O83,Resultados!Y83,Resultados!AS83,Resultados!BM83,Resultados!BW83,Resultados!CQ83,Resultados!DA83,Resultados!DK83)&lt;=1, "", _xlfn.STDEV.S(ABS(Resultados!E83),ABS(Resultados!O83),ABS(Resultados!Y83),ABS(Resultados!AS83),ABS(Resultados!BM83),ABS(Resultados!BW83),ABS(Resultados!CQ83),ABS(Resultados!DA83),ABS(Resultados!DK83))/SQRT(COUNT(Resultados!E83,Resultados!O83,Resultados!Y83,Resultados!AS83,Resultados!BM83,Resultados!BW83,Resultados!CQ83,Resultados!DA83,Resultados!DK83)))</f>
        <v>6.3785287336303467E-2</v>
      </c>
      <c r="F83">
        <f>IF(COUNT(Resultados!F83,Resultados!P83,Resultados!Z83,Resultados!AT83,Resultados!BN83,Resultados!BX83,Resultados!CR83,Resultados!DB83,Resultados!DL83)&lt;=1, "", _xlfn.STDEV.S(ABS(Resultados!F83),ABS(Resultados!P83),ABS(Resultados!Z83),ABS(Resultados!AT83),ABS(Resultados!BN83),ABS(Resultados!BX83),ABS(Resultados!CR83),ABS(Resultados!DB83),ABS(Resultados!DL83))/SQRT(COUNT(Resultados!F83,Resultados!P83,Resultados!Z83,Resultados!AT83,Resultados!BN83,Resultados!BX83,Resultados!CR83,Resultados!DB83,Resultados!DL83)))</f>
        <v>15.308140300796323</v>
      </c>
      <c r="G83">
        <f>IF(COUNT(Resultados!G83,Resultados!Q83,Resultados!AA83,Resultados!AU83,Resultados!BO83,Resultados!BY83,Resultados!CS83,Resultados!DC83,Resultados!DM83)&lt;=1, "", _xlfn.STDEV.S(ABS(Resultados!G83),ABS(Resultados!Q83),ABS(Resultados!AA83),ABS(Resultados!AU83),ABS(Resultados!BO83),ABS(Resultados!BY83),ABS(Resultados!CS83),ABS(Resultados!DC83),ABS(Resultados!DM83))/SQRT(COUNT(Resultados!G83,Resultados!Q83,Resultados!AA83,Resultados!AU83,Resultados!BO83,Resultados!BY83,Resultados!CS83,Resultados!DC83,Resultados!DM83)))</f>
        <v>0</v>
      </c>
      <c r="H83">
        <f>IF(COUNT(Resultados!H83,Resultados!R83,Resultados!AB83,Resultados!AV83,Resultados!BP83,Resultados!BZ83,Resultados!CT83,Resultados!DD83,Resultados!DN83)&lt;=1, "", _xlfn.STDEV.S(ABS(Resultados!H83),ABS(Resultados!R83),ABS(Resultados!AB83),ABS(Resultados!AV83),ABS(Resultados!BP83),ABS(Resultados!BZ83),ABS(Resultados!CT83),ABS(Resultados!DD83),ABS(Resultados!DN83))/SQRT(COUNT(Resultados!H83,Resultados!R83,Resultados!AB83,Resultados!AV83,Resultados!BP83,Resultados!BZ83,Resultados!CT83,Resultados!DD83,Resultados!DN83)))</f>
        <v>9.8980918475341604E-4</v>
      </c>
      <c r="I83">
        <f>IF(COUNT(Resultados!I83,Resultados!S83,Resultados!AC83,Resultados!AW83,Resultados!BQ83,Resultados!CA83,Resultados!CU83,Resultados!DE83,Resultados!DO83)&lt;=1, "", _xlfn.STDEV.S(ABS(Resultados!I83),ABS(Resultados!S83),ABS(Resultados!AC83),ABS(Resultados!AW83),ABS(Resultados!BQ83),ABS(Resultados!CA83),ABS(Resultados!CU83),ABS(Resultados!DE83),ABS(Resultados!DO83))/SQRT(COUNT(Resultados!I83,Resultados!S83,Resultados!AC83,Resultados!AW83,Resultados!BQ83,Resultados!CA83,Resultados!CU83,Resultados!DE83,Resultados!DO83)))</f>
        <v>4.5538149100033391E-2</v>
      </c>
      <c r="J83">
        <f>IF(COUNT(Resultados!J83,Resultados!T83,Resultados!AD83,Resultados!AX83,Resultados!BR83,Resultados!CB83,Resultados!CV83,Resultados!DF83,Resultados!DP83)&lt;=1, "", _xlfn.STDEV.S(ABS(Resultados!J83),ABS(Resultados!T83),ABS(Resultados!AD83),ABS(Resultados!AX83),ABS(Resultados!BR83),ABS(Resultados!CB83),ABS(Resultados!CV83),ABS(Resultados!DF83),ABS(Resultados!DP83))/SQRT(COUNT(Resultados!J83,Resultados!T83,Resultados!AD83,Resultados!AX83,Resultados!BR83,Resultados!CB83,Resultados!CV83,Resultados!DF83,Resultados!DP83)))</f>
        <v>9.8980918475341604E-4</v>
      </c>
    </row>
    <row r="84" spans="1:10" x14ac:dyDescent="0.3">
      <c r="A84">
        <f>IF(COUNT(Resultados!A84,Resultados!K84,Resultados!U84,Resultados!AO84,Resultados!BI84,Resultados!BS84,Resultados!CM84,Resultados!CW84,Resultados!DG84)&lt;=1, "", _xlfn.STDEV.S(ABS(Resultados!A84),ABS(Resultados!K84),ABS(Resultados!U84),ABS(Resultados!AO84),ABS(Resultados!BI84),ABS(Resultados!BS84),ABS(Resultados!CM84),ABS(Resultados!CW84),ABS(Resultados!DG84))/SQRT(COUNT(Resultados!A84,Resultados!K84,Resultados!U84,Resultados!AO84,Resultados!BI84,Resultados!BS84,Resultados!CM84,Resultados!CW84,Resultados!DG84)))</f>
        <v>0</v>
      </c>
      <c r="B84" t="str">
        <f>IF(COUNT(Resultados!B84,Resultados!L84,Resultados!V84,Resultados!AP84,Resultados!BJ84,Resultados!BT84,Resultados!CN84,Resultados!CX84,Resultados!DH84)&lt;=1, "", _xlfn.STDEV.S(ABS(Resultados!B84),ABS(Resultados!L84),ABS(Resultados!V84),ABS(Resultados!AP84),ABS(Resultados!BJ84),ABS(Resultados!BT84),ABS(Resultados!CN84),ABS(Resultados!CX84),ABS(Resultados!DH84))/SQRT(COUNT(Resultados!B84,Resultados!L84,Resultados!V84,Resultados!AP84,Resultados!BJ84,Resultados!BT84,Resultados!CN84,Resultados!CX84,Resultados!DH84)))</f>
        <v/>
      </c>
      <c r="C84">
        <f>IF(COUNT(Resultados!C84,Resultados!M84,Resultados!W84,Resultados!AQ84,Resultados!BK84,Resultados!BU84,Resultados!CO84,Resultados!CY84,Resultados!DI84)&lt;=1, "", _xlfn.STDEV.S(ABS(Resultados!C84),ABS(Resultados!M84),ABS(Resultados!W84),ABS(Resultados!AQ84),ABS(Resultados!BK84),ABS(Resultados!BU84),ABS(Resultados!CO84),ABS(Resultados!CY84),ABS(Resultados!DI84))/SQRT(COUNT(Resultados!C84,Resultados!M84,Resultados!W84,Resultados!AQ84,Resultados!BK84,Resultados!BU84,Resultados!CO84,Resultados!CY84,Resultados!DI84)))</f>
        <v>0.64788354387170011</v>
      </c>
      <c r="D84">
        <f>IF(COUNT(Resultados!D84,Resultados!N84,Resultados!X84,Resultados!AR84,Resultados!BL84,Resultados!BV84,Resultados!CP84,Resultados!CZ84,Resultados!DJ84)&lt;=1, "", _xlfn.STDEV.S(ABS(Resultados!D84),ABS(Resultados!N84),ABS(Resultados!X84),ABS(Resultados!AR84),ABS(Resultados!BL84),ABS(Resultados!BV84),ABS(Resultados!CP84),ABS(Resultados!CZ84),ABS(Resultados!DJ84))/SQRT(COUNT(Resultados!D84,Resultados!N84,Resultados!X84,Resultados!AR84,Resultados!BL84,Resultados!BV84,Resultados!CP84,Resultados!CZ84,Resultados!DJ84)))</f>
        <v>1.0801234497346439E-3</v>
      </c>
      <c r="E84">
        <f>IF(COUNT(Resultados!E84,Resultados!O84,Resultados!Y84,Resultados!AS84,Resultados!BM84,Resultados!BW84,Resultados!CQ84,Resultados!DA84,Resultados!DK84)&lt;=1, "", _xlfn.STDEV.S(ABS(Resultados!E84),ABS(Resultados!O84),ABS(Resultados!Y84),ABS(Resultados!AS84),ABS(Resultados!BM84),ABS(Resultados!BW84),ABS(Resultados!CQ84),ABS(Resultados!DA84),ABS(Resultados!DK84))/SQRT(COUNT(Resultados!E84,Resultados!O84,Resultados!Y84,Resultados!AS84,Resultados!BM84,Resultados!BW84,Resultados!CQ84,Resultados!DA84,Resultados!DK84)))</f>
        <v>4.9511416530155533E-2</v>
      </c>
      <c r="F84">
        <f>IF(COUNT(Resultados!F84,Resultados!P84,Resultados!Z84,Resultados!AT84,Resultados!BN84,Resultados!BX84,Resultados!CR84,Resultados!DB84,Resultados!DL84)&lt;=1, "", _xlfn.STDEV.S(ABS(Resultados!F84),ABS(Resultados!P84),ABS(Resultados!Z84),ABS(Resultados!AT84),ABS(Resultados!BN84),ABS(Resultados!BX84),ABS(Resultados!CR84),ABS(Resultados!DB84),ABS(Resultados!DL84))/SQRT(COUNT(Resultados!F84,Resultados!P84,Resultados!Z84,Resultados!AT84,Resultados!BN84,Resultados!BX84,Resultados!CR84,Resultados!DB84,Resultados!DL84)))</f>
        <v>16.511208332943511</v>
      </c>
      <c r="G84">
        <f>IF(COUNT(Resultados!G84,Resultados!Q84,Resultados!AA84,Resultados!AU84,Resultados!BO84,Resultados!BY84,Resultados!CS84,Resultados!DC84,Resultados!DM84)&lt;=1, "", _xlfn.STDEV.S(ABS(Resultados!G84),ABS(Resultados!Q84),ABS(Resultados!AA84),ABS(Resultados!AU84),ABS(Resultados!BO84),ABS(Resultados!BY84),ABS(Resultados!CS84),ABS(Resultados!DC84),ABS(Resultados!DM84))/SQRT(COUNT(Resultados!G84,Resultados!Q84,Resultados!AA84,Resultados!AU84,Resultados!BO84,Resultados!BY84,Resultados!CS84,Resultados!DC84,Resultados!DM84)))</f>
        <v>0</v>
      </c>
      <c r="H84">
        <f>IF(COUNT(Resultados!H84,Resultados!R84,Resultados!AB84,Resultados!AV84,Resultados!BP84,Resultados!BZ84,Resultados!CT84,Resultados!DD84,Resultados!DN84)&lt;=1, "", _xlfn.STDEV.S(ABS(Resultados!H84),ABS(Resultados!R84),ABS(Resultados!AB84),ABS(Resultados!AV84),ABS(Resultados!BP84),ABS(Resultados!BZ84),ABS(Resultados!CT84),ABS(Resultados!DD84),ABS(Resultados!DN84))/SQRT(COUNT(Resultados!H84,Resultados!R84,Resultados!AB84,Resultados!AV84,Resultados!BP84,Resultados!BZ84,Resultados!CT84,Resultados!DD84,Resultados!DN84)))</f>
        <v>7.6704901898826811E-4</v>
      </c>
      <c r="I84">
        <f>IF(COUNT(Resultados!I84,Resultados!S84,Resultados!AC84,Resultados!AW84,Resultados!BQ84,Resultados!CA84,Resultados!CU84,Resultados!DE84,Resultados!DO84)&lt;=1, "", _xlfn.STDEV.S(ABS(Resultados!I84),ABS(Resultados!S84),ABS(Resultados!AC84),ABS(Resultados!AW84),ABS(Resultados!BQ84),ABS(Resultados!CA84),ABS(Resultados!CU84),ABS(Resultados!DE84),ABS(Resultados!DO84))/SQRT(COUNT(Resultados!I84,Resultados!S84,Resultados!AC84,Resultados!AW84,Resultados!BQ84,Resultados!CA84,Resultados!CU84,Resultados!DE84,Resultados!DO84)))</f>
        <v>4.4556262934260578E-2</v>
      </c>
      <c r="J84">
        <f>IF(COUNT(Resultados!J84,Resultados!T84,Resultados!AD84,Resultados!AX84,Resultados!BR84,Resultados!CB84,Resultados!CV84,Resultados!DF84,Resultados!DP84)&lt;=1, "", _xlfn.STDEV.S(ABS(Resultados!J84),ABS(Resultados!T84),ABS(Resultados!AD84),ABS(Resultados!AX84),ABS(Resultados!BR84),ABS(Resultados!CB84),ABS(Resultados!CV84),ABS(Resultados!DF84),ABS(Resultados!DP84))/SQRT(COUNT(Resultados!J84,Resultados!T84,Resultados!AD84,Resultados!AX84,Resultados!BR84,Resultados!CB84,Resultados!CV84,Resultados!DF84,Resultados!DP84)))</f>
        <v>7.6704901898826811E-4</v>
      </c>
    </row>
    <row r="85" spans="1:10" x14ac:dyDescent="0.3">
      <c r="A85">
        <f>IF(COUNT(Resultados!A85,Resultados!K85,Resultados!U85,Resultados!AO85,Resultados!BI85,Resultados!BS85,Resultados!CM85,Resultados!CW85,Resultados!DG85)&lt;=1, "", _xlfn.STDEV.S(ABS(Resultados!A85),ABS(Resultados!K85),ABS(Resultados!U85),ABS(Resultados!AO85),ABS(Resultados!BI85),ABS(Resultados!BS85),ABS(Resultados!CM85),ABS(Resultados!CW85),ABS(Resultados!DG85))/SQRT(COUNT(Resultados!A85,Resultados!K85,Resultados!U85,Resultados!AO85,Resultados!BI85,Resultados!BS85,Resultados!CM85,Resultados!CW85,Resultados!DG85)))</f>
        <v>0</v>
      </c>
      <c r="B85" t="str">
        <f>IF(COUNT(Resultados!B85,Resultados!L85,Resultados!V85,Resultados!AP85,Resultados!BJ85,Resultados!BT85,Resultados!CN85,Resultados!CX85,Resultados!DH85)&lt;=1, "", _xlfn.STDEV.S(ABS(Resultados!B85),ABS(Resultados!L85),ABS(Resultados!V85),ABS(Resultados!AP85),ABS(Resultados!BJ85),ABS(Resultados!BT85),ABS(Resultados!CN85),ABS(Resultados!CX85),ABS(Resultados!DH85))/SQRT(COUNT(Resultados!B85,Resultados!L85,Resultados!V85,Resultados!AP85,Resultados!BJ85,Resultados!BT85,Resultados!CN85,Resultados!CX85,Resultados!DH85)))</f>
        <v/>
      </c>
      <c r="C85">
        <f>IF(COUNT(Resultados!C85,Resultados!M85,Resultados!W85,Resultados!AQ85,Resultados!BK85,Resultados!BU85,Resultados!CO85,Resultados!CY85,Resultados!DI85)&lt;=1, "", _xlfn.STDEV.S(ABS(Resultados!C85),ABS(Resultados!M85),ABS(Resultados!W85),ABS(Resultados!AQ85),ABS(Resultados!BK85),ABS(Resultados!BU85),ABS(Resultados!CO85),ABS(Resultados!CY85),ABS(Resultados!DI85))/SQRT(COUNT(Resultados!C85,Resultados!M85,Resultados!W85,Resultados!AQ85,Resultados!BK85,Resultados!BU85,Resultados!CO85,Resultados!CY85,Resultados!DI85)))</f>
        <v>0.64788354387170011</v>
      </c>
      <c r="D85">
        <f>IF(COUNT(Resultados!D85,Resultados!N85,Resultados!X85,Resultados!AR85,Resultados!BL85,Resultados!BV85,Resultados!CP85,Resultados!CZ85,Resultados!DJ85)&lt;=1, "", _xlfn.STDEV.S(ABS(Resultados!D85),ABS(Resultados!N85),ABS(Resultados!X85),ABS(Resultados!AR85),ABS(Resultados!BL85),ABS(Resultados!BV85),ABS(Resultados!CP85),ABS(Resultados!CZ85),ABS(Resultados!DJ85))/SQRT(COUNT(Resultados!D85,Resultados!N85,Resultados!X85,Resultados!AR85,Resultados!BL85,Resultados!BV85,Resultados!CP85,Resultados!CZ85,Resultados!DJ85)))</f>
        <v>9.5974533659253078E-4</v>
      </c>
      <c r="E85">
        <f>IF(COUNT(Resultados!E85,Resultados!O85,Resultados!Y85,Resultados!AS85,Resultados!BM85,Resultados!BW85,Resultados!CQ85,Resultados!DA85,Resultados!DK85)&lt;=1, "", _xlfn.STDEV.S(ABS(Resultados!E85),ABS(Resultados!O85),ABS(Resultados!Y85),ABS(Resultados!AS85),ABS(Resultados!BM85),ABS(Resultados!BW85),ABS(Resultados!CQ85),ABS(Resultados!DA85),ABS(Resultados!DK85))/SQRT(COUNT(Resultados!E85,Resultados!O85,Resultados!Y85,Resultados!AS85,Resultados!BM85,Resultados!BW85,Resultados!CQ85,Resultados!DA85,Resultados!DK85)))</f>
        <v>3.7404565581861955E-2</v>
      </c>
      <c r="F85">
        <f>IF(COUNT(Resultados!F85,Resultados!P85,Resultados!Z85,Resultados!AT85,Resultados!BN85,Resultados!BX85,Resultados!CR85,Resultados!DB85,Resultados!DL85)&lt;=1, "", _xlfn.STDEV.S(ABS(Resultados!F85),ABS(Resultados!P85),ABS(Resultados!Z85),ABS(Resultados!AT85),ABS(Resultados!BN85),ABS(Resultados!BX85),ABS(Resultados!CR85),ABS(Resultados!DB85),ABS(Resultados!DL85))/SQRT(COUNT(Resultados!F85,Resultados!P85,Resultados!Z85,Resultados!AT85,Resultados!BN85,Resultados!BX85,Resultados!CR85,Resultados!DB85,Resultados!DL85)))</f>
        <v>16.072211643208984</v>
      </c>
      <c r="G85">
        <f>IF(COUNT(Resultados!G85,Resultados!Q85,Resultados!AA85,Resultados!AU85,Resultados!BO85,Resultados!BY85,Resultados!CS85,Resultados!DC85,Resultados!DM85)&lt;=1, "", _xlfn.STDEV.S(ABS(Resultados!G85),ABS(Resultados!Q85),ABS(Resultados!AA85),ABS(Resultados!AU85),ABS(Resultados!BO85),ABS(Resultados!BY85),ABS(Resultados!CS85),ABS(Resultados!DC85),ABS(Resultados!DM85))/SQRT(COUNT(Resultados!G85,Resultados!Q85,Resultados!AA85,Resultados!AU85,Resultados!BO85,Resultados!BY85,Resultados!CS85,Resultados!DC85,Resultados!DM85)))</f>
        <v>0</v>
      </c>
      <c r="H85">
        <f>IF(COUNT(Resultados!H85,Resultados!R85,Resultados!AB85,Resultados!AV85,Resultados!BP85,Resultados!BZ85,Resultados!CT85,Resultados!DD85,Resultados!DN85)&lt;=1, "", _xlfn.STDEV.S(ABS(Resultados!H85),ABS(Resultados!R85),ABS(Resultados!AB85),ABS(Resultados!AV85),ABS(Resultados!BP85),ABS(Resultados!BZ85),ABS(Resultados!CT85),ABS(Resultados!DD85),ABS(Resultados!DN85))/SQRT(COUNT(Resultados!H85,Resultados!R85,Resultados!AB85,Resultados!AV85,Resultados!BP85,Resultados!BZ85,Resultados!CT85,Resultados!DD85,Resultados!DN85)))</f>
        <v>5.8190300833653626E-4</v>
      </c>
      <c r="I85">
        <f>IF(COUNT(Resultados!I85,Resultados!S85,Resultados!AC85,Resultados!AW85,Resultados!BQ85,Resultados!CA85,Resultados!CU85,Resultados!DE85,Resultados!DO85)&lt;=1, "", _xlfn.STDEV.S(ABS(Resultados!I85),ABS(Resultados!S85),ABS(Resultados!AC85),ABS(Resultados!AW85),ABS(Resultados!BQ85),ABS(Resultados!CA85),ABS(Resultados!CU85),ABS(Resultados!DE85),ABS(Resultados!DO85))/SQRT(COUNT(Resultados!I85,Resultados!S85,Resultados!AC85,Resultados!AW85,Resultados!BQ85,Resultados!CA85,Resultados!CU85,Resultados!DE85,Resultados!DO85)))</f>
        <v>4.4515604286586234E-2</v>
      </c>
      <c r="J85">
        <f>IF(COUNT(Resultados!J85,Resultados!T85,Resultados!AD85,Resultados!AX85,Resultados!BR85,Resultados!CB85,Resultados!CV85,Resultados!DF85,Resultados!DP85)&lt;=1, "", _xlfn.STDEV.S(ABS(Resultados!J85),ABS(Resultados!T85),ABS(Resultados!AD85),ABS(Resultados!AX85),ABS(Resultados!BR85),ABS(Resultados!CB85),ABS(Resultados!CV85),ABS(Resultados!DF85),ABS(Resultados!DP85))/SQRT(COUNT(Resultados!J85,Resultados!T85,Resultados!AD85,Resultados!AX85,Resultados!BR85,Resultados!CB85,Resultados!CV85,Resultados!DF85,Resultados!DP85)))</f>
        <v>5.8190300833653626E-4</v>
      </c>
    </row>
    <row r="86" spans="1:10" x14ac:dyDescent="0.3">
      <c r="A86">
        <f>IF(COUNT(Resultados!A86,Resultados!K86,Resultados!U86,Resultados!AO86,Resultados!BI86,Resultados!BS86,Resultados!CM86,Resultados!CW86,Resultados!DG86)&lt;=1, "", _xlfn.STDEV.S(ABS(Resultados!A86),ABS(Resultados!K86),ABS(Resultados!U86),ABS(Resultados!AO86),ABS(Resultados!BI86),ABS(Resultados!BS86),ABS(Resultados!CM86),ABS(Resultados!CW86),ABS(Resultados!DG86))/SQRT(COUNT(Resultados!A86,Resultados!K86,Resultados!U86,Resultados!AO86,Resultados!BI86,Resultados!BS86,Resultados!CM86,Resultados!CW86,Resultados!DG86)))</f>
        <v>0</v>
      </c>
      <c r="B86" t="str">
        <f>IF(COUNT(Resultados!B86,Resultados!L86,Resultados!V86,Resultados!AP86,Resultados!BJ86,Resultados!BT86,Resultados!CN86,Resultados!CX86,Resultados!DH86)&lt;=1, "", _xlfn.STDEV.S(ABS(Resultados!B86),ABS(Resultados!L86),ABS(Resultados!V86),ABS(Resultados!AP86),ABS(Resultados!BJ86),ABS(Resultados!BT86),ABS(Resultados!CN86),ABS(Resultados!CX86),ABS(Resultados!DH86))/SQRT(COUNT(Resultados!B86,Resultados!L86,Resultados!V86,Resultados!AP86,Resultados!BJ86,Resultados!BT86,Resultados!CN86,Resultados!CX86,Resultados!DH86)))</f>
        <v/>
      </c>
      <c r="C86">
        <f>IF(COUNT(Resultados!C86,Resultados!M86,Resultados!W86,Resultados!AQ86,Resultados!BK86,Resultados!BU86,Resultados!CO86,Resultados!CY86,Resultados!DI86)&lt;=1, "", _xlfn.STDEV.S(ABS(Resultados!C86),ABS(Resultados!M86),ABS(Resultados!W86),ABS(Resultados!AQ86),ABS(Resultados!BK86),ABS(Resultados!BU86),ABS(Resultados!CO86),ABS(Resultados!CY86),ABS(Resultados!DI86))/SQRT(COUNT(Resultados!C86,Resultados!M86,Resultados!W86,Resultados!AQ86,Resultados!BK86,Resultados!BU86,Resultados!CO86,Resultados!CY86,Resultados!DI86)))</f>
        <v>0.64788354387170011</v>
      </c>
      <c r="D86">
        <f>IF(COUNT(Resultados!D86,Resultados!N86,Resultados!X86,Resultados!AR86,Resultados!BL86,Resultados!BV86,Resultados!CP86,Resultados!CZ86,Resultados!DJ86)&lt;=1, "", _xlfn.STDEV.S(ABS(Resultados!D86),ABS(Resultados!N86),ABS(Resultados!X86),ABS(Resultados!AR86),ABS(Resultados!BL86),ABS(Resultados!BV86),ABS(Resultados!CP86),ABS(Resultados!CZ86),ABS(Resultados!DJ86))/SQRT(COUNT(Resultados!D86,Resultados!N86,Resultados!X86,Resultados!AR86,Resultados!BL86,Resultados!BV86,Resultados!CP86,Resultados!CZ86,Resultados!DJ86)))</f>
        <v>8.3977142686728491E-4</v>
      </c>
      <c r="E86">
        <f>IF(COUNT(Resultados!E86,Resultados!O86,Resultados!Y86,Resultados!AS86,Resultados!BM86,Resultados!BW86,Resultados!CQ86,Resultados!DA86,Resultados!DK86)&lt;=1, "", _xlfn.STDEV.S(ABS(Resultados!E86),ABS(Resultados!O86),ABS(Resultados!Y86),ABS(Resultados!AS86),ABS(Resultados!BM86),ABS(Resultados!BW86),ABS(Resultados!CQ86),ABS(Resultados!DA86),ABS(Resultados!DK86))/SQRT(COUNT(Resultados!E86,Resultados!O86,Resultados!Y86,Resultados!AS86,Resultados!BM86,Resultados!BW86,Resultados!CQ86,Resultados!DA86,Resultados!DK86)))</f>
        <v>3.2008927179001202E-2</v>
      </c>
      <c r="F86">
        <f>IF(COUNT(Resultados!F86,Resultados!P86,Resultados!Z86,Resultados!AT86,Resultados!BN86,Resultados!BX86,Resultados!CR86,Resultados!DB86,Resultados!DL86)&lt;=1, "", _xlfn.STDEV.S(ABS(Resultados!F86),ABS(Resultados!P86),ABS(Resultados!Z86),ABS(Resultados!AT86),ABS(Resultados!BN86),ABS(Resultados!BX86),ABS(Resultados!CR86),ABS(Resultados!DB86),ABS(Resultados!DL86))/SQRT(COUNT(Resultados!F86,Resultados!P86,Resultados!Z86,Resultados!AT86,Resultados!BN86,Resultados!BX86,Resultados!CR86,Resultados!DB86,Resultados!DL86)))</f>
        <v>17.654055738132978</v>
      </c>
      <c r="G86">
        <f>IF(COUNT(Resultados!G86,Resultados!Q86,Resultados!AA86,Resultados!AU86,Resultados!BO86,Resultados!BY86,Resultados!CS86,Resultados!DC86,Resultados!DM86)&lt;=1, "", _xlfn.STDEV.S(ABS(Resultados!G86),ABS(Resultados!Q86),ABS(Resultados!AA86),ABS(Resultados!AU86),ABS(Resultados!BO86),ABS(Resultados!BY86),ABS(Resultados!CS86),ABS(Resultados!DC86),ABS(Resultados!DM86))/SQRT(COUNT(Resultados!G86,Resultados!Q86,Resultados!AA86,Resultados!AU86,Resultados!BO86,Resultados!BY86,Resultados!CS86,Resultados!DC86,Resultados!DM86)))</f>
        <v>0</v>
      </c>
      <c r="H86">
        <f>IF(COUNT(Resultados!H86,Resultados!R86,Resultados!AB86,Resultados!AV86,Resultados!BP86,Resultados!BZ86,Resultados!CT86,Resultados!DD86,Resultados!DN86)&lt;=1, "", _xlfn.STDEV.S(ABS(Resultados!H86),ABS(Resultados!R86),ABS(Resultados!AB86),ABS(Resultados!AV86),ABS(Resultados!BP86),ABS(Resultados!BZ86),ABS(Resultados!CT86),ABS(Resultados!DD86),ABS(Resultados!DN86))/SQRT(COUNT(Resultados!H86,Resultados!R86,Resultados!AB86,Resultados!AV86,Resultados!BP86,Resultados!BZ86,Resultados!CT86,Resultados!DD86,Resultados!DN86)))</f>
        <v>4.9491238780711305E-4</v>
      </c>
      <c r="I86">
        <f>IF(COUNT(Resultados!I86,Resultados!S86,Resultados!AC86,Resultados!AW86,Resultados!BQ86,Resultados!CA86,Resultados!CU86,Resultados!DE86,Resultados!DO86)&lt;=1, "", _xlfn.STDEV.S(ABS(Resultados!I86),ABS(Resultados!S86),ABS(Resultados!AC86),ABS(Resultados!AW86),ABS(Resultados!BQ86),ABS(Resultados!CA86),ABS(Resultados!CU86),ABS(Resultados!DE86),ABS(Resultados!DO86))/SQRT(COUNT(Resultados!I86,Resultados!S86,Resultados!AC86,Resultados!AW86,Resultados!BQ86,Resultados!CA86,Resultados!CU86,Resultados!DE86,Resultados!DO86)))</f>
        <v>4.4429419696503908E-2</v>
      </c>
      <c r="J86">
        <f>IF(COUNT(Resultados!J86,Resultados!T86,Resultados!AD86,Resultados!AX86,Resultados!BR86,Resultados!CB86,Resultados!CV86,Resultados!DF86,Resultados!DP86)&lt;=1, "", _xlfn.STDEV.S(ABS(Resultados!J86),ABS(Resultados!T86),ABS(Resultados!AD86),ABS(Resultados!AX86),ABS(Resultados!BR86),ABS(Resultados!CB86),ABS(Resultados!CV86),ABS(Resultados!DF86),ABS(Resultados!DP86))/SQRT(COUNT(Resultados!J86,Resultados!T86,Resultados!AD86,Resultados!AX86,Resultados!BR86,Resultados!CB86,Resultados!CV86,Resultados!DF86,Resultados!DP86)))</f>
        <v>4.9491238780711305E-4</v>
      </c>
    </row>
    <row r="87" spans="1:10" x14ac:dyDescent="0.3">
      <c r="A87">
        <f>IF(COUNT(Resultados!A87,Resultados!K87,Resultados!U87,Resultados!AO87,Resultados!BI87,Resultados!BS87,Resultados!CM87,Resultados!CW87,Resultados!DG87)&lt;=1, "", _xlfn.STDEV.S(ABS(Resultados!A87),ABS(Resultados!K87),ABS(Resultados!U87),ABS(Resultados!AO87),ABS(Resultados!BI87),ABS(Resultados!BS87),ABS(Resultados!CM87),ABS(Resultados!CW87),ABS(Resultados!DG87))/SQRT(COUNT(Resultados!A87,Resultados!K87,Resultados!U87,Resultados!AO87,Resultados!BI87,Resultados!BS87,Resultados!CM87,Resultados!CW87,Resultados!DG87)))</f>
        <v>0</v>
      </c>
      <c r="B87" t="str">
        <f>IF(COUNT(Resultados!B87,Resultados!L87,Resultados!V87,Resultados!AP87,Resultados!BJ87,Resultados!BT87,Resultados!CN87,Resultados!CX87,Resultados!DH87)&lt;=1, "", _xlfn.STDEV.S(ABS(Resultados!B87),ABS(Resultados!L87),ABS(Resultados!V87),ABS(Resultados!AP87),ABS(Resultados!BJ87),ABS(Resultados!BT87),ABS(Resultados!CN87),ABS(Resultados!CX87),ABS(Resultados!DH87))/SQRT(COUNT(Resultados!B87,Resultados!L87,Resultados!V87,Resultados!AP87,Resultados!BJ87,Resultados!BT87,Resultados!CN87,Resultados!CX87,Resultados!DH87)))</f>
        <v/>
      </c>
      <c r="C87">
        <f>IF(COUNT(Resultados!C87,Resultados!M87,Resultados!W87,Resultados!AQ87,Resultados!BK87,Resultados!BU87,Resultados!CO87,Resultados!CY87,Resultados!DI87)&lt;=1, "", _xlfn.STDEV.S(ABS(Resultados!C87),ABS(Resultados!M87),ABS(Resultados!W87),ABS(Resultados!AQ87),ABS(Resultados!BK87),ABS(Resultados!BU87),ABS(Resultados!CO87),ABS(Resultados!CY87),ABS(Resultados!DI87))/SQRT(COUNT(Resultados!C87,Resultados!M87,Resultados!W87,Resultados!AQ87,Resultados!BK87,Resultados!BU87,Resultados!CO87,Resultados!CY87,Resultados!DI87)))</f>
        <v>0.64788354387170011</v>
      </c>
      <c r="D87">
        <f>IF(COUNT(Resultados!D87,Resultados!N87,Resultados!X87,Resultados!AR87,Resultados!BL87,Resultados!BV87,Resultados!CP87,Resultados!CZ87,Resultados!DJ87)&lt;=1, "", _xlfn.STDEV.S(ABS(Resultados!D87),ABS(Resultados!N87),ABS(Resultados!X87),ABS(Resultados!AR87),ABS(Resultados!BL87),ABS(Resultados!BV87),ABS(Resultados!CP87),ABS(Resultados!CZ87),ABS(Resultados!DJ87))/SQRT(COUNT(Resultados!D87,Resultados!N87,Resultados!X87,Resultados!AR87,Resultados!BL87,Resultados!BV87,Resultados!CP87,Resultados!CZ87,Resultados!DJ87)))</f>
        <v>6.4966753130702782E-4</v>
      </c>
      <c r="E87">
        <f>IF(COUNT(Resultados!E87,Resultados!O87,Resultados!Y87,Resultados!AS87,Resultados!BM87,Resultados!BW87,Resultados!CQ87,Resultados!DA87,Resultados!DK87)&lt;=1, "", _xlfn.STDEV.S(ABS(Resultados!E87),ABS(Resultados!O87),ABS(Resultados!Y87),ABS(Resultados!AS87),ABS(Resultados!BM87),ABS(Resultados!BW87),ABS(Resultados!CQ87),ABS(Resultados!DA87),ABS(Resultados!DK87))/SQRT(COUNT(Resultados!E87,Resultados!O87,Resultados!Y87,Resultados!AS87,Resultados!BM87,Resultados!BW87,Resultados!CQ87,Resultados!DA87,Resultados!DK87)))</f>
        <v>3.6928555273887824E-2</v>
      </c>
      <c r="F87">
        <f>IF(COUNT(Resultados!F87,Resultados!P87,Resultados!Z87,Resultados!AT87,Resultados!BN87,Resultados!BX87,Resultados!CR87,Resultados!DB87,Resultados!DL87)&lt;=1, "", _xlfn.STDEV.S(ABS(Resultados!F87),ABS(Resultados!P87),ABS(Resultados!Z87),ABS(Resultados!AT87),ABS(Resultados!BN87),ABS(Resultados!BX87),ABS(Resultados!CR87),ABS(Resultados!DB87),ABS(Resultados!DL87))/SQRT(COUNT(Resultados!F87,Resultados!P87,Resultados!Z87,Resultados!AT87,Resultados!BN87,Resultados!BX87,Resultados!CR87,Resultados!DB87,Resultados!DL87)))</f>
        <v>16.277561041076158</v>
      </c>
      <c r="G87">
        <f>IF(COUNT(Resultados!G87,Resultados!Q87,Resultados!AA87,Resultados!AU87,Resultados!BO87,Resultados!BY87,Resultados!CS87,Resultados!DC87,Resultados!DM87)&lt;=1, "", _xlfn.STDEV.S(ABS(Resultados!G87),ABS(Resultados!Q87),ABS(Resultados!AA87),ABS(Resultados!AU87),ABS(Resultados!BO87),ABS(Resultados!BY87),ABS(Resultados!CS87),ABS(Resultados!DC87),ABS(Resultados!DM87))/SQRT(COUNT(Resultados!G87,Resultados!Q87,Resultados!AA87,Resultados!AU87,Resultados!BO87,Resultados!BY87,Resultados!CS87,Resultados!DC87,Resultados!DM87)))</f>
        <v>0</v>
      </c>
      <c r="H87">
        <f>IF(COUNT(Resultados!H87,Resultados!R87,Resultados!AB87,Resultados!AV87,Resultados!BP87,Resultados!BZ87,Resultados!CT87,Resultados!DD87,Resultados!DN87)&lt;=1, "", _xlfn.STDEV.S(ABS(Resultados!H87),ABS(Resultados!R87),ABS(Resultados!AB87),ABS(Resultados!AV87),ABS(Resultados!BP87),ABS(Resultados!BZ87),ABS(Resultados!CT87),ABS(Resultados!DD87),ABS(Resultados!DN87))/SQRT(COUNT(Resultados!H87,Resultados!R87,Resultados!AB87,Resultados!AV87,Resultados!BP87,Resultados!BZ87,Resultados!CT87,Resultados!DD87,Resultados!DN87)))</f>
        <v>5.8192952778548883E-4</v>
      </c>
      <c r="I87">
        <f>IF(COUNT(Resultados!I87,Resultados!S87,Resultados!AC87,Resultados!AW87,Resultados!BQ87,Resultados!CA87,Resultados!CU87,Resultados!DE87,Resultados!DO87)&lt;=1, "", _xlfn.STDEV.S(ABS(Resultados!I87),ABS(Resultados!S87),ABS(Resultados!AC87),ABS(Resultados!AW87),ABS(Resultados!BQ87),ABS(Resultados!CA87),ABS(Resultados!CU87),ABS(Resultados!DE87),ABS(Resultados!DO87))/SQRT(COUNT(Resultados!I87,Resultados!S87,Resultados!AC87,Resultados!AW87,Resultados!BQ87,Resultados!CA87,Resultados!CU87,Resultados!DE87,Resultados!DO87)))</f>
        <v>4.4711331431006467E-2</v>
      </c>
      <c r="J87">
        <f>IF(COUNT(Resultados!J87,Resultados!T87,Resultados!AD87,Resultados!AX87,Resultados!BR87,Resultados!CB87,Resultados!CV87,Resultados!DF87,Resultados!DP87)&lt;=1, "", _xlfn.STDEV.S(ABS(Resultados!J87),ABS(Resultados!T87),ABS(Resultados!AD87),ABS(Resultados!AX87),ABS(Resultados!BR87),ABS(Resultados!CB87),ABS(Resultados!CV87),ABS(Resultados!DF87),ABS(Resultados!DP87))/SQRT(COUNT(Resultados!J87,Resultados!T87,Resultados!AD87,Resultados!AX87,Resultados!BR87,Resultados!CB87,Resultados!CV87,Resultados!DF87,Resultados!DP87)))</f>
        <v>5.8192952778548883E-4</v>
      </c>
    </row>
    <row r="88" spans="1:10" x14ac:dyDescent="0.3">
      <c r="A88">
        <f>IF(COUNT(Resultados!A88,Resultados!K88,Resultados!U88,Resultados!AO88,Resultados!BI88,Resultados!BS88,Resultados!CM88,Resultados!CW88,Resultados!DG88)&lt;=1, "", _xlfn.STDEV.S(ABS(Resultados!A88),ABS(Resultados!K88),ABS(Resultados!U88),ABS(Resultados!AO88),ABS(Resultados!BI88),ABS(Resultados!BS88),ABS(Resultados!CM88),ABS(Resultados!CW88),ABS(Resultados!DG88))/SQRT(COUNT(Resultados!A88,Resultados!K88,Resultados!U88,Resultados!AO88,Resultados!BI88,Resultados!BS88,Resultados!CM88,Resultados!CW88,Resultados!DG88)))</f>
        <v>0</v>
      </c>
      <c r="B88" t="str">
        <f>IF(COUNT(Resultados!B88,Resultados!L88,Resultados!V88,Resultados!AP88,Resultados!BJ88,Resultados!BT88,Resultados!CN88,Resultados!CX88,Resultados!DH88)&lt;=1, "", _xlfn.STDEV.S(ABS(Resultados!B88),ABS(Resultados!L88),ABS(Resultados!V88),ABS(Resultados!AP88),ABS(Resultados!BJ88),ABS(Resultados!BT88),ABS(Resultados!CN88),ABS(Resultados!CX88),ABS(Resultados!DH88))/SQRT(COUNT(Resultados!B88,Resultados!L88,Resultados!V88,Resultados!AP88,Resultados!BJ88,Resultados!BT88,Resultados!CN88,Resultados!CX88,Resultados!DH88)))</f>
        <v/>
      </c>
      <c r="C88">
        <f>IF(COUNT(Resultados!C88,Resultados!M88,Resultados!W88,Resultados!AQ88,Resultados!BK88,Resultados!BU88,Resultados!CO88,Resultados!CY88,Resultados!DI88)&lt;=1, "", _xlfn.STDEV.S(ABS(Resultados!C88),ABS(Resultados!M88),ABS(Resultados!W88),ABS(Resultados!AQ88),ABS(Resultados!BK88),ABS(Resultados!BU88),ABS(Resultados!CO88),ABS(Resultados!CY88),ABS(Resultados!DI88))/SQRT(COUNT(Resultados!C88,Resultados!M88,Resultados!W88,Resultados!AQ88,Resultados!BK88,Resultados!BU88,Resultados!CO88,Resultados!CY88,Resultados!DI88)))</f>
        <v>0.64788354387170011</v>
      </c>
      <c r="D88">
        <f>IF(COUNT(Resultados!D88,Resultados!N88,Resultados!X88,Resultados!AR88,Resultados!BL88,Resultados!BV88,Resultados!CP88,Resultados!CZ88,Resultados!DJ88)&lt;=1, "", _xlfn.STDEV.S(ABS(Resultados!D88),ABS(Resultados!N88),ABS(Resultados!X88),ABS(Resultados!AR88),ABS(Resultados!BL88),ABS(Resultados!BV88),ABS(Resultados!CP88),ABS(Resultados!CZ88),ABS(Resultados!DJ88))/SQRT(COUNT(Resultados!D88,Resultados!N88,Resultados!X88,Resultados!AR88,Resultados!BL88,Resultados!BV88,Resultados!CP88,Resultados!CZ88,Resultados!DJ88)))</f>
        <v>5.1774081890030232E-4</v>
      </c>
      <c r="E88">
        <f>IF(COUNT(Resultados!E88,Resultados!O88,Resultados!Y88,Resultados!AS88,Resultados!BM88,Resultados!BW88,Resultados!CQ88,Resultados!DA88,Resultados!DK88)&lt;=1, "", _xlfn.STDEV.S(ABS(Resultados!E88),ABS(Resultados!O88),ABS(Resultados!Y88),ABS(Resultados!AS88),ABS(Resultados!BM88),ABS(Resultados!BW88),ABS(Resultados!CQ88),ABS(Resultados!DA88),ABS(Resultados!DK88))/SQRT(COUNT(Resultados!E88,Resultados!O88,Resultados!Y88,Resultados!AS88,Resultados!BM88,Resultados!BW88,Resultados!CQ88,Resultados!DA88,Resultados!DK88)))</f>
        <v>4.8728976126610833E-2</v>
      </c>
      <c r="F88">
        <f>IF(COUNT(Resultados!F88,Resultados!P88,Resultados!Z88,Resultados!AT88,Resultados!BN88,Resultados!BX88,Resultados!CR88,Resultados!DB88,Resultados!DL88)&lt;=1, "", _xlfn.STDEV.S(ABS(Resultados!F88),ABS(Resultados!P88),ABS(Resultados!Z88),ABS(Resultados!AT88),ABS(Resultados!BN88),ABS(Resultados!BX88),ABS(Resultados!CR88),ABS(Resultados!DB88),ABS(Resultados!DL88))/SQRT(COUNT(Resultados!F88,Resultados!P88,Resultados!Z88,Resultados!AT88,Resultados!BN88,Resultados!BX88,Resultados!CR88,Resultados!DB88,Resultados!DL88)))</f>
        <v>17.983926291874912</v>
      </c>
      <c r="G88">
        <f>IF(COUNT(Resultados!G88,Resultados!Q88,Resultados!AA88,Resultados!AU88,Resultados!BO88,Resultados!BY88,Resultados!CS88,Resultados!DC88,Resultados!DM88)&lt;=1, "", _xlfn.STDEV.S(ABS(Resultados!G88),ABS(Resultados!Q88),ABS(Resultados!AA88),ABS(Resultados!AU88),ABS(Resultados!BO88),ABS(Resultados!BY88),ABS(Resultados!CS88),ABS(Resultados!DC88),ABS(Resultados!DM88))/SQRT(COUNT(Resultados!G88,Resultados!Q88,Resultados!AA88,Resultados!AU88,Resultados!BO88,Resultados!BY88,Resultados!CS88,Resultados!DC88,Resultados!DM88)))</f>
        <v>0</v>
      </c>
      <c r="H88">
        <f>IF(COUNT(Resultados!H88,Resultados!R88,Resultados!AB88,Resultados!AV88,Resultados!BP88,Resultados!BZ88,Resultados!CT88,Resultados!DD88,Resultados!DN88)&lt;=1, "", _xlfn.STDEV.S(ABS(Resultados!H88),ABS(Resultados!R88),ABS(Resultados!AB88),ABS(Resultados!AV88),ABS(Resultados!BP88),ABS(Resultados!BZ88),ABS(Resultados!CT88),ABS(Resultados!DD88),ABS(Resultados!DN88))/SQRT(COUNT(Resultados!H88,Resultados!R88,Resultados!AB88,Resultados!AV88,Resultados!BP88,Resultados!BZ88,Resultados!CT88,Resultados!DD88,Resultados!DN88)))</f>
        <v>7.5847068353218367E-4</v>
      </c>
      <c r="I88">
        <f>IF(COUNT(Resultados!I88,Resultados!S88,Resultados!AC88,Resultados!AW88,Resultados!BQ88,Resultados!CA88,Resultados!CU88,Resultados!DE88,Resultados!DO88)&lt;=1, "", _xlfn.STDEV.S(ABS(Resultados!I88),ABS(Resultados!S88),ABS(Resultados!AC88),ABS(Resultados!AW88),ABS(Resultados!BQ88),ABS(Resultados!CA88),ABS(Resultados!CU88),ABS(Resultados!DE88),ABS(Resultados!DO88))/SQRT(COUNT(Resultados!I88,Resultados!S88,Resultados!AC88,Resultados!AW88,Resultados!BQ88,Resultados!CA88,Resultados!CU88,Resultados!DE88,Resultados!DO88)))</f>
        <v>4.478023191855076E-2</v>
      </c>
      <c r="J88">
        <f>IF(COUNT(Resultados!J88,Resultados!T88,Resultados!AD88,Resultados!AX88,Resultados!BR88,Resultados!CB88,Resultados!CV88,Resultados!DF88,Resultados!DP88)&lt;=1, "", _xlfn.STDEV.S(ABS(Resultados!J88),ABS(Resultados!T88),ABS(Resultados!AD88),ABS(Resultados!AX88),ABS(Resultados!BR88),ABS(Resultados!CB88),ABS(Resultados!CV88),ABS(Resultados!DF88),ABS(Resultados!DP88))/SQRT(COUNT(Resultados!J88,Resultados!T88,Resultados!AD88,Resultados!AX88,Resultados!BR88,Resultados!CB88,Resultados!CV88,Resultados!DF88,Resultados!DP88)))</f>
        <v>7.5847068353218367E-4</v>
      </c>
    </row>
    <row r="89" spans="1:10" x14ac:dyDescent="0.3">
      <c r="A89">
        <f>IF(COUNT(Resultados!A89,Resultados!K89,Resultados!U89,Resultados!AO89,Resultados!BI89,Resultados!BS89,Resultados!CM89,Resultados!CW89,Resultados!DG89)&lt;=1, "", _xlfn.STDEV.S(ABS(Resultados!A89),ABS(Resultados!K89),ABS(Resultados!U89),ABS(Resultados!AO89),ABS(Resultados!BI89),ABS(Resultados!BS89),ABS(Resultados!CM89),ABS(Resultados!CW89),ABS(Resultados!DG89))/SQRT(COUNT(Resultados!A89,Resultados!K89,Resultados!U89,Resultados!AO89,Resultados!BI89,Resultados!BS89,Resultados!CM89,Resultados!CW89,Resultados!DG89)))</f>
        <v>0</v>
      </c>
      <c r="B89" t="str">
        <f>IF(COUNT(Resultados!B89,Resultados!L89,Resultados!V89,Resultados!AP89,Resultados!BJ89,Resultados!BT89,Resultados!CN89,Resultados!CX89,Resultados!DH89)&lt;=1, "", _xlfn.STDEV.S(ABS(Resultados!B89),ABS(Resultados!L89),ABS(Resultados!V89),ABS(Resultados!AP89),ABS(Resultados!BJ89),ABS(Resultados!BT89),ABS(Resultados!CN89),ABS(Resultados!CX89),ABS(Resultados!DH89))/SQRT(COUNT(Resultados!B89,Resultados!L89,Resultados!V89,Resultados!AP89,Resultados!BJ89,Resultados!BT89,Resultados!CN89,Resultados!CX89,Resultados!DH89)))</f>
        <v/>
      </c>
      <c r="C89">
        <f>IF(COUNT(Resultados!C89,Resultados!M89,Resultados!W89,Resultados!AQ89,Resultados!BK89,Resultados!BU89,Resultados!CO89,Resultados!CY89,Resultados!DI89)&lt;=1, "", _xlfn.STDEV.S(ABS(Resultados!C89),ABS(Resultados!M89),ABS(Resultados!W89),ABS(Resultados!AQ89),ABS(Resultados!BK89),ABS(Resultados!BU89),ABS(Resultados!CO89),ABS(Resultados!CY89),ABS(Resultados!DI89))/SQRT(COUNT(Resultados!C89,Resultados!M89,Resultados!W89,Resultados!AQ89,Resultados!BK89,Resultados!BU89,Resultados!CO89,Resultados!CY89,Resultados!DI89)))</f>
        <v>0.64788354387170011</v>
      </c>
      <c r="D89">
        <f>IF(COUNT(Resultados!D89,Resultados!N89,Resultados!X89,Resultados!AR89,Resultados!BL89,Resultados!BV89,Resultados!CP89,Resultados!CZ89,Resultados!DJ89)&lt;=1, "", _xlfn.STDEV.S(ABS(Resultados!D89),ABS(Resultados!N89),ABS(Resultados!X89),ABS(Resultados!AR89),ABS(Resultados!BL89),ABS(Resultados!BV89),ABS(Resultados!CP89),ABS(Resultados!CZ89),ABS(Resultados!DJ89))/SQRT(COUNT(Resultados!D89,Resultados!N89,Resultados!X89,Resultados!AR89,Resultados!BL89,Resultados!BV89,Resultados!CP89,Resultados!CZ89,Resultados!DJ89)))</f>
        <v>4.6441254542236367E-4</v>
      </c>
      <c r="E89">
        <f>IF(COUNT(Resultados!E89,Resultados!O89,Resultados!Y89,Resultados!AS89,Resultados!BM89,Resultados!BW89,Resultados!CQ89,Resultados!DA89,Resultados!DK89)&lt;=1, "", _xlfn.STDEV.S(ABS(Resultados!E89),ABS(Resultados!O89),ABS(Resultados!Y89),ABS(Resultados!AS89),ABS(Resultados!BM89),ABS(Resultados!BW89),ABS(Resultados!CQ89),ABS(Resultados!DA89),ABS(Resultados!DK89))/SQRT(COUNT(Resultados!E89,Resultados!O89,Resultados!Y89,Resultados!AS89,Resultados!BM89,Resultados!BW89,Resultados!CQ89,Resultados!DA89,Resultados!DK89)))</f>
        <v>6.3035174232612859E-2</v>
      </c>
      <c r="F89">
        <f>IF(COUNT(Resultados!F89,Resultados!P89,Resultados!Z89,Resultados!AT89,Resultados!BN89,Resultados!BX89,Resultados!CR89,Resultados!DB89,Resultados!DL89)&lt;=1, "", _xlfn.STDEV.S(ABS(Resultados!F89),ABS(Resultados!P89),ABS(Resultados!Z89),ABS(Resultados!AT89),ABS(Resultados!BN89),ABS(Resultados!BX89),ABS(Resultados!CR89),ABS(Resultados!DB89),ABS(Resultados!DL89))/SQRT(COUNT(Resultados!F89,Resultados!P89,Resultados!Z89,Resultados!AT89,Resultados!BN89,Resultados!BX89,Resultados!CR89,Resultados!DB89,Resultados!DL89)))</f>
        <v>19.63207380671593</v>
      </c>
      <c r="G89">
        <f>IF(COUNT(Resultados!G89,Resultados!Q89,Resultados!AA89,Resultados!AU89,Resultados!BO89,Resultados!BY89,Resultados!CS89,Resultados!DC89,Resultados!DM89)&lt;=1, "", _xlfn.STDEV.S(ABS(Resultados!G89),ABS(Resultados!Q89),ABS(Resultados!AA89),ABS(Resultados!AU89),ABS(Resultados!BO89),ABS(Resultados!BY89),ABS(Resultados!CS89),ABS(Resultados!DC89),ABS(Resultados!DM89))/SQRT(COUNT(Resultados!G89,Resultados!Q89,Resultados!AA89,Resultados!AU89,Resultados!BO89,Resultados!BY89,Resultados!CS89,Resultados!DC89,Resultados!DM89)))</f>
        <v>0</v>
      </c>
      <c r="H89">
        <f>IF(COUNT(Resultados!H89,Resultados!R89,Resultados!AB89,Resultados!AV89,Resultados!BP89,Resultados!BZ89,Resultados!CT89,Resultados!DD89,Resultados!DN89)&lt;=1, "", _xlfn.STDEV.S(ABS(Resultados!H89),ABS(Resultados!R89),ABS(Resultados!AB89),ABS(Resultados!AV89),ABS(Resultados!BP89),ABS(Resultados!BZ89),ABS(Resultados!CT89),ABS(Resultados!DD89),ABS(Resultados!DN89))/SQRT(COUNT(Resultados!H89,Resultados!R89,Resultados!AB89,Resultados!AV89,Resultados!BP89,Resultados!BZ89,Resultados!CT89,Resultados!DD89,Resultados!DN89)))</f>
        <v>9.8188845510658956E-4</v>
      </c>
      <c r="I89">
        <f>IF(COUNT(Resultados!I89,Resultados!S89,Resultados!AC89,Resultados!AW89,Resultados!BQ89,Resultados!CA89,Resultados!CU89,Resultados!DE89,Resultados!DO89)&lt;=1, "", _xlfn.STDEV.S(ABS(Resultados!I89),ABS(Resultados!S89),ABS(Resultados!AC89),ABS(Resultados!AW89),ABS(Resultados!BQ89),ABS(Resultados!CA89),ABS(Resultados!CU89),ABS(Resultados!DE89),ABS(Resultados!DO89))/SQRT(COUNT(Resultados!I89,Resultados!S89,Resultados!AC89,Resultados!AW89,Resultados!BQ89,Resultados!CA89,Resultados!CU89,Resultados!DE89,Resultados!DO89)))</f>
        <v>4.4697445862895459E-2</v>
      </c>
      <c r="J89">
        <f>IF(COUNT(Resultados!J89,Resultados!T89,Resultados!AD89,Resultados!AX89,Resultados!BR89,Resultados!CB89,Resultados!CV89,Resultados!DF89,Resultados!DP89)&lt;=1, "", _xlfn.STDEV.S(ABS(Resultados!J89),ABS(Resultados!T89),ABS(Resultados!AD89),ABS(Resultados!AX89),ABS(Resultados!BR89),ABS(Resultados!CB89),ABS(Resultados!CV89),ABS(Resultados!DF89),ABS(Resultados!DP89))/SQRT(COUNT(Resultados!J89,Resultados!T89,Resultados!AD89,Resultados!AX89,Resultados!BR89,Resultados!CB89,Resultados!CV89,Resultados!DF89,Resultados!DP89)))</f>
        <v>9.8188845510658956E-4</v>
      </c>
    </row>
    <row r="90" spans="1:10" x14ac:dyDescent="0.3">
      <c r="A90">
        <f>IF(COUNT(Resultados!A90,Resultados!K90,Resultados!U90,Resultados!AO90,Resultados!BI90,Resultados!BS90,Resultados!CM90,Resultados!CW90,Resultados!DG90)&lt;=1, "", _xlfn.STDEV.S(ABS(Resultados!A90),ABS(Resultados!K90),ABS(Resultados!U90),ABS(Resultados!AO90),ABS(Resultados!BI90),ABS(Resultados!BS90),ABS(Resultados!CM90),ABS(Resultados!CW90),ABS(Resultados!DG90))/SQRT(COUNT(Resultados!A90,Resultados!K90,Resultados!U90,Resultados!AO90,Resultados!BI90,Resultados!BS90,Resultados!CM90,Resultados!CW90,Resultados!DG90)))</f>
        <v>0</v>
      </c>
      <c r="B90" t="str">
        <f>IF(COUNT(Resultados!B90,Resultados!L90,Resultados!V90,Resultados!AP90,Resultados!BJ90,Resultados!BT90,Resultados!CN90,Resultados!CX90,Resultados!DH90)&lt;=1, "", _xlfn.STDEV.S(ABS(Resultados!B90),ABS(Resultados!L90),ABS(Resultados!V90),ABS(Resultados!AP90),ABS(Resultados!BJ90),ABS(Resultados!BT90),ABS(Resultados!CN90),ABS(Resultados!CX90),ABS(Resultados!DH90))/SQRT(COUNT(Resultados!B90,Resultados!L90,Resultados!V90,Resultados!AP90,Resultados!BJ90,Resultados!BT90,Resultados!CN90,Resultados!CX90,Resultados!DH90)))</f>
        <v/>
      </c>
      <c r="C90">
        <f>IF(COUNT(Resultados!C90,Resultados!M90,Resultados!W90,Resultados!AQ90,Resultados!BK90,Resultados!BU90,Resultados!CO90,Resultados!CY90,Resultados!DI90)&lt;=1, "", _xlfn.STDEV.S(ABS(Resultados!C90),ABS(Resultados!M90),ABS(Resultados!W90),ABS(Resultados!AQ90),ABS(Resultados!BK90),ABS(Resultados!BU90),ABS(Resultados!CO90),ABS(Resultados!CY90),ABS(Resultados!DI90))/SQRT(COUNT(Resultados!C90,Resultados!M90,Resultados!W90,Resultados!AQ90,Resultados!BK90,Resultados!BU90,Resultados!CO90,Resultados!CY90,Resultados!DI90)))</f>
        <v>0.64788354387170011</v>
      </c>
      <c r="D90">
        <f>IF(COUNT(Resultados!D90,Resultados!N90,Resultados!X90,Resultados!AR90,Resultados!BL90,Resultados!BV90,Resultados!CP90,Resultados!CZ90,Resultados!DJ90)&lt;=1, "", _xlfn.STDEV.S(ABS(Resultados!D90),ABS(Resultados!N90),ABS(Resultados!X90),ABS(Resultados!AR90),ABS(Resultados!BL90),ABS(Resultados!BV90),ABS(Resultados!CP90),ABS(Resultados!CZ90),ABS(Resultados!DJ90))/SQRT(COUNT(Resultados!D90,Resultados!N90,Resultados!X90,Resultados!AR90,Resultados!BL90,Resultados!BV90,Resultados!CP90,Resultados!CZ90,Resultados!DJ90)))</f>
        <v>4.6759167583335136E-4</v>
      </c>
      <c r="E90">
        <f>IF(COUNT(Resultados!E90,Resultados!O90,Resultados!Y90,Resultados!AS90,Resultados!BM90,Resultados!BW90,Resultados!CQ90,Resultados!DA90,Resultados!DK90)&lt;=1, "", _xlfn.STDEV.S(ABS(Resultados!E90),ABS(Resultados!O90),ABS(Resultados!Y90),ABS(Resultados!AS90),ABS(Resultados!BM90),ABS(Resultados!BW90),ABS(Resultados!CQ90),ABS(Resultados!DA90),ABS(Resultados!DK90))/SQRT(COUNT(Resultados!E90,Resultados!O90,Resultados!Y90,Resultados!AS90,Resultados!BM90,Resultados!BW90,Resultados!CQ90,Resultados!DA90,Resultados!DK90)))</f>
        <v>7.7350197882859684E-2</v>
      </c>
      <c r="F90">
        <f>IF(COUNT(Resultados!F90,Resultados!P90,Resultados!Z90,Resultados!AT90,Resultados!BN90,Resultados!BX90,Resultados!CR90,Resultados!DB90,Resultados!DL90)&lt;=1, "", _xlfn.STDEV.S(ABS(Resultados!F90),ABS(Resultados!P90),ABS(Resultados!Z90),ABS(Resultados!AT90),ABS(Resultados!BN90),ABS(Resultados!BX90),ABS(Resultados!CR90),ABS(Resultados!DB90),ABS(Resultados!DL90))/SQRT(COUNT(Resultados!F90,Resultados!P90,Resultados!Z90,Resultados!AT90,Resultados!BN90,Resultados!BX90,Resultados!CR90,Resultados!DB90,Resultados!DL90)))</f>
        <v>16.242080466491498</v>
      </c>
      <c r="G90">
        <f>IF(COUNT(Resultados!G90,Resultados!Q90,Resultados!AA90,Resultados!AU90,Resultados!BO90,Resultados!BY90,Resultados!CS90,Resultados!DC90,Resultados!DM90)&lt;=1, "", _xlfn.STDEV.S(ABS(Resultados!G90),ABS(Resultados!Q90),ABS(Resultados!AA90),ABS(Resultados!AU90),ABS(Resultados!BO90),ABS(Resultados!BY90),ABS(Resultados!CS90),ABS(Resultados!DC90),ABS(Resultados!DM90))/SQRT(COUNT(Resultados!G90,Resultados!Q90,Resultados!AA90,Resultados!AU90,Resultados!BO90,Resultados!BY90,Resultados!CS90,Resultados!DC90,Resultados!DM90)))</f>
        <v>0</v>
      </c>
      <c r="H90">
        <f>IF(COUNT(Resultados!H90,Resultados!R90,Resultados!AB90,Resultados!AV90,Resultados!BP90,Resultados!BZ90,Resultados!CT90,Resultados!DD90,Resultados!DN90)&lt;=1, "", _xlfn.STDEV.S(ABS(Resultados!H90),ABS(Resultados!R90),ABS(Resultados!AB90),ABS(Resultados!AV90),ABS(Resultados!BP90),ABS(Resultados!BZ90),ABS(Resultados!CT90),ABS(Resultados!DD90),ABS(Resultados!DN90))/SQRT(COUNT(Resultados!H90,Resultados!R90,Resultados!AB90,Resultados!AV90,Resultados!BP90,Resultados!BZ90,Resultados!CT90,Resultados!DD90,Resultados!DN90)))</f>
        <v>1.2045054310103104E-3</v>
      </c>
      <c r="I90">
        <f>IF(COUNT(Resultados!I90,Resultados!S90,Resultados!AC90,Resultados!AW90,Resultados!BQ90,Resultados!CA90,Resultados!CU90,Resultados!DE90,Resultados!DO90)&lt;=1, "", _xlfn.STDEV.S(ABS(Resultados!I90),ABS(Resultados!S90),ABS(Resultados!AC90),ABS(Resultados!AW90),ABS(Resultados!BQ90),ABS(Resultados!CA90),ABS(Resultados!CU90),ABS(Resultados!DE90),ABS(Resultados!DO90))/SQRT(COUNT(Resultados!I90,Resultados!S90,Resultados!AC90,Resultados!AW90,Resultados!BQ90,Resultados!CA90,Resultados!CU90,Resultados!DE90,Resultados!DO90)))</f>
        <v>4.4563110803044224E-2</v>
      </c>
      <c r="J90">
        <f>IF(COUNT(Resultados!J90,Resultados!T90,Resultados!AD90,Resultados!AX90,Resultados!BR90,Resultados!CB90,Resultados!CV90,Resultados!DF90,Resultados!DP90)&lt;=1, "", _xlfn.STDEV.S(ABS(Resultados!J90),ABS(Resultados!T90),ABS(Resultados!AD90),ABS(Resultados!AX90),ABS(Resultados!BR90),ABS(Resultados!CB90),ABS(Resultados!CV90),ABS(Resultados!DF90),ABS(Resultados!DP90))/SQRT(COUNT(Resultados!J90,Resultados!T90,Resultados!AD90,Resultados!AX90,Resultados!BR90,Resultados!CB90,Resultados!CV90,Resultados!DF90,Resultados!DP90)))</f>
        <v>1.2045054310103104E-3</v>
      </c>
    </row>
    <row r="91" spans="1:10" x14ac:dyDescent="0.3">
      <c r="A91">
        <f>IF(COUNT(Resultados!A91,Resultados!K91,Resultados!U91,Resultados!AO91,Resultados!BI91,Resultados!BS91,Resultados!CM91,Resultados!CW91,Resultados!DG91)&lt;=1, "", _xlfn.STDEV.S(ABS(Resultados!A91),ABS(Resultados!K91),ABS(Resultados!U91),ABS(Resultados!AO91),ABS(Resultados!BI91),ABS(Resultados!BS91),ABS(Resultados!CM91),ABS(Resultados!CW91),ABS(Resultados!DG91))/SQRT(COUNT(Resultados!A91,Resultados!K91,Resultados!U91,Resultados!AO91,Resultados!BI91,Resultados!BS91,Resultados!CM91,Resultados!CW91,Resultados!DG91)))</f>
        <v>0</v>
      </c>
      <c r="B91" t="str">
        <f>IF(COUNT(Resultados!B91,Resultados!L91,Resultados!V91,Resultados!AP91,Resultados!BJ91,Resultados!BT91,Resultados!CN91,Resultados!CX91,Resultados!DH91)&lt;=1, "", _xlfn.STDEV.S(ABS(Resultados!B91),ABS(Resultados!L91),ABS(Resultados!V91),ABS(Resultados!AP91),ABS(Resultados!BJ91),ABS(Resultados!BT91),ABS(Resultados!CN91),ABS(Resultados!CX91),ABS(Resultados!DH91))/SQRT(COUNT(Resultados!B91,Resultados!L91,Resultados!V91,Resultados!AP91,Resultados!BJ91,Resultados!BT91,Resultados!CN91,Resultados!CX91,Resultados!DH91)))</f>
        <v/>
      </c>
      <c r="C91">
        <f>IF(COUNT(Resultados!C91,Resultados!M91,Resultados!W91,Resultados!AQ91,Resultados!BK91,Resultados!BU91,Resultados!CO91,Resultados!CY91,Resultados!DI91)&lt;=1, "", _xlfn.STDEV.S(ABS(Resultados!C91),ABS(Resultados!M91),ABS(Resultados!W91),ABS(Resultados!AQ91),ABS(Resultados!BK91),ABS(Resultados!BU91),ABS(Resultados!CO91),ABS(Resultados!CY91),ABS(Resultados!DI91))/SQRT(COUNT(Resultados!C91,Resultados!M91,Resultados!W91,Resultados!AQ91,Resultados!BK91,Resultados!BU91,Resultados!CO91,Resultados!CY91,Resultados!DI91)))</f>
        <v>0.64788354387170011</v>
      </c>
      <c r="D91">
        <f>IF(COUNT(Resultados!D91,Resultados!N91,Resultados!X91,Resultados!AR91,Resultados!BL91,Resultados!BV91,Resultados!CP91,Resultados!CZ91,Resultados!DJ91)&lt;=1, "", _xlfn.STDEV.S(ABS(Resultados!D91),ABS(Resultados!N91),ABS(Resultados!X91),ABS(Resultados!AR91),ABS(Resultados!BL91),ABS(Resultados!BV91),ABS(Resultados!CP91),ABS(Resultados!CZ91),ABS(Resultados!DJ91))/SQRT(COUNT(Resultados!D91,Resultados!N91,Resultados!X91,Resultados!AR91,Resultados!BL91,Resultados!BV91,Resultados!CP91,Resultados!CZ91,Resultados!DJ91)))</f>
        <v>4.6368092477478518E-4</v>
      </c>
      <c r="E91">
        <f>IF(COUNT(Resultados!E91,Resultados!O91,Resultados!Y91,Resultados!AS91,Resultados!BM91,Resultados!BW91,Resultados!CQ91,Resultados!DA91,Resultados!DK91)&lt;=1, "", _xlfn.STDEV.S(ABS(Resultados!E91),ABS(Resultados!O91),ABS(Resultados!Y91),ABS(Resultados!AS91),ABS(Resultados!BM91),ABS(Resultados!BW91),ABS(Resultados!CQ91),ABS(Resultados!DA91),ABS(Resultados!DK91))/SQRT(COUNT(Resultados!E91,Resultados!O91,Resultados!Y91,Resultados!AS91,Resultados!BM91,Resultados!BW91,Resultados!CQ91,Resultados!DA91,Resultados!DK91)))</f>
        <v>9.0665326622317521E-2</v>
      </c>
      <c r="F91">
        <f>IF(COUNT(Resultados!F91,Resultados!P91,Resultados!Z91,Resultados!AT91,Resultados!BN91,Resultados!BX91,Resultados!CR91,Resultados!DB91,Resultados!DL91)&lt;=1, "", _xlfn.STDEV.S(ABS(Resultados!F91),ABS(Resultados!P91),ABS(Resultados!Z91),ABS(Resultados!AT91),ABS(Resultados!BN91),ABS(Resultados!BX91),ABS(Resultados!CR91),ABS(Resultados!DB91),ABS(Resultados!DL91))/SQRT(COUNT(Resultados!F91,Resultados!P91,Resultados!Z91,Resultados!AT91,Resultados!BN91,Resultados!BX91,Resultados!CR91,Resultados!DB91,Resultados!DL91)))</f>
        <v>17.628862223193419</v>
      </c>
      <c r="G91">
        <f>IF(COUNT(Resultados!G91,Resultados!Q91,Resultados!AA91,Resultados!AU91,Resultados!BO91,Resultados!BY91,Resultados!CS91,Resultados!DC91,Resultados!DM91)&lt;=1, "", _xlfn.STDEV.S(ABS(Resultados!G91),ABS(Resultados!Q91),ABS(Resultados!AA91),ABS(Resultados!AU91),ABS(Resultados!BO91),ABS(Resultados!BY91),ABS(Resultados!CS91),ABS(Resultados!DC91),ABS(Resultados!DM91))/SQRT(COUNT(Resultados!G91,Resultados!Q91,Resultados!AA91,Resultados!AU91,Resultados!BO91,Resultados!BY91,Resultados!CS91,Resultados!DC91,Resultados!DM91)))</f>
        <v>0</v>
      </c>
      <c r="H91">
        <f>IF(COUNT(Resultados!H91,Resultados!R91,Resultados!AB91,Resultados!AV91,Resultados!BP91,Resultados!BZ91,Resultados!CT91,Resultados!DD91,Resultados!DN91)&lt;=1, "", _xlfn.STDEV.S(ABS(Resultados!H91),ABS(Resultados!R91),ABS(Resultados!AB91),ABS(Resultados!AV91),ABS(Resultados!BP91),ABS(Resultados!BZ91),ABS(Resultados!CT91),ABS(Resultados!DD91),ABS(Resultados!DN91))/SQRT(COUNT(Resultados!H91,Resultados!R91,Resultados!AB91,Resultados!AV91,Resultados!BP91,Resultados!BZ91,Resultados!CT91,Resultados!DD91,Resultados!DN91)))</f>
        <v>1.4160783091968392E-3</v>
      </c>
      <c r="I91">
        <f>IF(COUNT(Resultados!I91,Resultados!S91,Resultados!AC91,Resultados!AW91,Resultados!BQ91,Resultados!CA91,Resultados!CU91,Resultados!DE91,Resultados!DO91)&lt;=1, "", _xlfn.STDEV.S(ABS(Resultados!I91),ABS(Resultados!S91),ABS(Resultados!AC91),ABS(Resultados!AW91),ABS(Resultados!BQ91),ABS(Resultados!CA91),ABS(Resultados!CU91),ABS(Resultados!DE91),ABS(Resultados!DO91))/SQRT(COUNT(Resultados!I91,Resultados!S91,Resultados!AC91,Resultados!AW91,Resultados!BQ91,Resultados!CA91,Resultados!CU91,Resultados!DE91,Resultados!DO91)))</f>
        <v>4.4446251622983719E-2</v>
      </c>
      <c r="J91">
        <f>IF(COUNT(Resultados!J91,Resultados!T91,Resultados!AD91,Resultados!AX91,Resultados!BR91,Resultados!CB91,Resultados!CV91,Resultados!DF91,Resultados!DP91)&lt;=1, "", _xlfn.STDEV.S(ABS(Resultados!J91),ABS(Resultados!T91),ABS(Resultados!AD91),ABS(Resultados!AX91),ABS(Resultados!BR91),ABS(Resultados!CB91),ABS(Resultados!CV91),ABS(Resultados!DF91),ABS(Resultados!DP91))/SQRT(COUNT(Resultados!J91,Resultados!T91,Resultados!AD91,Resultados!AX91,Resultados!BR91,Resultados!CB91,Resultados!CV91,Resultados!DF91,Resultados!DP91)))</f>
        <v>1.4160783091968392E-3</v>
      </c>
    </row>
    <row r="92" spans="1:10" x14ac:dyDescent="0.3">
      <c r="A92">
        <f>IF(COUNT(Resultados!A92,Resultados!K92,Resultados!U92,Resultados!AO92,Resultados!BI92,Resultados!BS92,Resultados!CM92,Resultados!CW92,Resultados!DG92)&lt;=1, "", _xlfn.STDEV.S(ABS(Resultados!A92),ABS(Resultados!K92),ABS(Resultados!U92),ABS(Resultados!AO92),ABS(Resultados!BI92),ABS(Resultados!BS92),ABS(Resultados!CM92),ABS(Resultados!CW92),ABS(Resultados!DG92))/SQRT(COUNT(Resultados!A92,Resultados!K92,Resultados!U92,Resultados!AO92,Resultados!BI92,Resultados!BS92,Resultados!CM92,Resultados!CW92,Resultados!DG92)))</f>
        <v>0</v>
      </c>
      <c r="B92" t="str">
        <f>IF(COUNT(Resultados!B92,Resultados!L92,Resultados!V92,Resultados!AP92,Resultados!BJ92,Resultados!BT92,Resultados!CN92,Resultados!CX92,Resultados!DH92)&lt;=1, "", _xlfn.STDEV.S(ABS(Resultados!B92),ABS(Resultados!L92),ABS(Resultados!V92),ABS(Resultados!AP92),ABS(Resultados!BJ92),ABS(Resultados!BT92),ABS(Resultados!CN92),ABS(Resultados!CX92),ABS(Resultados!DH92))/SQRT(COUNT(Resultados!B92,Resultados!L92,Resultados!V92,Resultados!AP92,Resultados!BJ92,Resultados!BT92,Resultados!CN92,Resultados!CX92,Resultados!DH92)))</f>
        <v/>
      </c>
      <c r="C92">
        <f>IF(COUNT(Resultados!C92,Resultados!M92,Resultados!W92,Resultados!AQ92,Resultados!BK92,Resultados!BU92,Resultados!CO92,Resultados!CY92,Resultados!DI92)&lt;=1, "", _xlfn.STDEV.S(ABS(Resultados!C92),ABS(Resultados!M92),ABS(Resultados!W92),ABS(Resultados!AQ92),ABS(Resultados!BK92),ABS(Resultados!BU92),ABS(Resultados!CO92),ABS(Resultados!CY92),ABS(Resultados!DI92))/SQRT(COUNT(Resultados!C92,Resultados!M92,Resultados!W92,Resultados!AQ92,Resultados!BK92,Resultados!BU92,Resultados!CO92,Resultados!CY92,Resultados!DI92)))</f>
        <v>0.64788354387170011</v>
      </c>
      <c r="D92">
        <f>IF(COUNT(Resultados!D92,Resultados!N92,Resultados!X92,Resultados!AR92,Resultados!BL92,Resultados!BV92,Resultados!CP92,Resultados!CZ92,Resultados!DJ92)&lt;=1, "", _xlfn.STDEV.S(ABS(Resultados!D92),ABS(Resultados!N92),ABS(Resultados!X92),ABS(Resultados!AR92),ABS(Resultados!BL92),ABS(Resultados!BV92),ABS(Resultados!CP92),ABS(Resultados!CZ92),ABS(Resultados!DJ92))/SQRT(COUNT(Resultados!D92,Resultados!N92,Resultados!X92,Resultados!AR92,Resultados!BL92,Resultados!BV92,Resultados!CP92,Resultados!CZ92,Resultados!DJ92)))</f>
        <v>5.3541261347363363E-4</v>
      </c>
      <c r="E92">
        <f>IF(COUNT(Resultados!E92,Resultados!O92,Resultados!Y92,Resultados!AS92,Resultados!BM92,Resultados!BW92,Resultados!CQ92,Resultados!DA92,Resultados!DK92)&lt;=1, "", _xlfn.STDEV.S(ABS(Resultados!E92),ABS(Resultados!O92),ABS(Resultados!Y92),ABS(Resultados!AS92),ABS(Resultados!BM92),ABS(Resultados!BW92),ABS(Resultados!CQ92),ABS(Resultados!DA92),ABS(Resultados!DK92))/SQRT(COUNT(Resultados!E92,Resultados!O92,Resultados!Y92,Resultados!AS92,Resultados!BM92,Resultados!BW92,Resultados!CQ92,Resultados!DA92,Resultados!DK92)))</f>
        <v>0.10236810634685521</v>
      </c>
      <c r="F92">
        <f>IF(COUNT(Resultados!F92,Resultados!P92,Resultados!Z92,Resultados!AT92,Resultados!BN92,Resultados!BX92,Resultados!CR92,Resultados!DB92,Resultados!DL92)&lt;=1, "", _xlfn.STDEV.S(ABS(Resultados!F92),ABS(Resultados!P92),ABS(Resultados!Z92),ABS(Resultados!AT92),ABS(Resultados!BN92),ABS(Resultados!BX92),ABS(Resultados!CR92),ABS(Resultados!DB92),ABS(Resultados!DL92))/SQRT(COUNT(Resultados!F92,Resultados!P92,Resultados!Z92,Resultados!AT92,Resultados!BN92,Resultados!BX92,Resultados!CR92,Resultados!DB92,Resultados!DL92)))</f>
        <v>18.852614131921992</v>
      </c>
      <c r="G92">
        <f>IF(COUNT(Resultados!G92,Resultados!Q92,Resultados!AA92,Resultados!AU92,Resultados!BO92,Resultados!BY92,Resultados!CS92,Resultados!DC92,Resultados!DM92)&lt;=1, "", _xlfn.STDEV.S(ABS(Resultados!G92),ABS(Resultados!Q92),ABS(Resultados!AA92),ABS(Resultados!AU92),ABS(Resultados!BO92),ABS(Resultados!BY92),ABS(Resultados!CS92),ABS(Resultados!DC92),ABS(Resultados!DM92))/SQRT(COUNT(Resultados!G92,Resultados!Q92,Resultados!AA92,Resultados!AU92,Resultados!BO92,Resultados!BY92,Resultados!CS92,Resultados!DC92,Resultados!DM92)))</f>
        <v>0</v>
      </c>
      <c r="H92">
        <f>IF(COUNT(Resultados!H92,Resultados!R92,Resultados!AB92,Resultados!AV92,Resultados!BP92,Resultados!BZ92,Resultados!CT92,Resultados!DD92,Resultados!DN92)&lt;=1, "", _xlfn.STDEV.S(ABS(Resultados!H92),ABS(Resultados!R92),ABS(Resultados!AB92),ABS(Resultados!AV92),ABS(Resultados!BP92),ABS(Resultados!BZ92),ABS(Resultados!CT92),ABS(Resultados!DD92),ABS(Resultados!DN92))/SQRT(COUNT(Resultados!H92,Resultados!R92,Resultados!AB92,Resultados!AV92,Resultados!BP92,Resultados!BZ92,Resultados!CT92,Resultados!DD92,Resultados!DN92)))</f>
        <v>1.5889180261508644E-3</v>
      </c>
      <c r="I92">
        <f>IF(COUNT(Resultados!I92,Resultados!S92,Resultados!AC92,Resultados!AW92,Resultados!BQ92,Resultados!CA92,Resultados!CU92,Resultados!DE92,Resultados!DO92)&lt;=1, "", _xlfn.STDEV.S(ABS(Resultados!I92),ABS(Resultados!S92),ABS(Resultados!AC92),ABS(Resultados!AW92),ABS(Resultados!BQ92),ABS(Resultados!CA92),ABS(Resultados!CU92),ABS(Resultados!DE92),ABS(Resultados!DO92))/SQRT(COUNT(Resultados!I92,Resultados!S92,Resultados!AC92,Resultados!AW92,Resultados!BQ92,Resultados!CA92,Resultados!CU92,Resultados!DE92,Resultados!DO92)))</f>
        <v>4.4625988580538532E-2</v>
      </c>
      <c r="J92">
        <f>IF(COUNT(Resultados!J92,Resultados!T92,Resultados!AD92,Resultados!AX92,Resultados!BR92,Resultados!CB92,Resultados!CV92,Resultados!DF92,Resultados!DP92)&lt;=1, "", _xlfn.STDEV.S(ABS(Resultados!J92),ABS(Resultados!T92),ABS(Resultados!AD92),ABS(Resultados!AX92),ABS(Resultados!BR92),ABS(Resultados!CB92),ABS(Resultados!CV92),ABS(Resultados!DF92),ABS(Resultados!DP92))/SQRT(COUNT(Resultados!J92,Resultados!T92,Resultados!AD92,Resultados!AX92,Resultados!BR92,Resultados!CB92,Resultados!CV92,Resultados!DF92,Resultados!DP92)))</f>
        <v>1.5889180261508644E-3</v>
      </c>
    </row>
    <row r="93" spans="1:10" x14ac:dyDescent="0.3">
      <c r="A93">
        <f>IF(COUNT(Resultados!A93,Resultados!K93,Resultados!U93,Resultados!AO93,Resultados!BI93,Resultados!BS93,Resultados!CM93,Resultados!CW93,Resultados!DG93)&lt;=1, "", _xlfn.STDEV.S(ABS(Resultados!A93),ABS(Resultados!K93),ABS(Resultados!U93),ABS(Resultados!AO93),ABS(Resultados!BI93),ABS(Resultados!BS93),ABS(Resultados!CM93),ABS(Resultados!CW93),ABS(Resultados!DG93))/SQRT(COUNT(Resultados!A93,Resultados!K93,Resultados!U93,Resultados!AO93,Resultados!BI93,Resultados!BS93,Resultados!CM93,Resultados!CW93,Resultados!DG93)))</f>
        <v>0</v>
      </c>
      <c r="B93" t="str">
        <f>IF(COUNT(Resultados!B93,Resultados!L93,Resultados!V93,Resultados!AP93,Resultados!BJ93,Resultados!BT93,Resultados!CN93,Resultados!CX93,Resultados!DH93)&lt;=1, "", _xlfn.STDEV.S(ABS(Resultados!B93),ABS(Resultados!L93),ABS(Resultados!V93),ABS(Resultados!AP93),ABS(Resultados!BJ93),ABS(Resultados!BT93),ABS(Resultados!CN93),ABS(Resultados!CX93),ABS(Resultados!DH93))/SQRT(COUNT(Resultados!B93,Resultados!L93,Resultados!V93,Resultados!AP93,Resultados!BJ93,Resultados!BT93,Resultados!CN93,Resultados!CX93,Resultados!DH93)))</f>
        <v/>
      </c>
      <c r="C93">
        <f>IF(COUNT(Resultados!C93,Resultados!M93,Resultados!W93,Resultados!AQ93,Resultados!BK93,Resultados!BU93,Resultados!CO93,Resultados!CY93,Resultados!DI93)&lt;=1, "", _xlfn.STDEV.S(ABS(Resultados!C93),ABS(Resultados!M93),ABS(Resultados!W93),ABS(Resultados!AQ93),ABS(Resultados!BK93),ABS(Resultados!BU93),ABS(Resultados!CO93),ABS(Resultados!CY93),ABS(Resultados!DI93))/SQRT(COUNT(Resultados!C93,Resultados!M93,Resultados!W93,Resultados!AQ93,Resultados!BK93,Resultados!BU93,Resultados!CO93,Resultados!CY93,Resultados!DI93)))</f>
        <v>0.64788354387170011</v>
      </c>
      <c r="D93">
        <f>IF(COUNT(Resultados!D93,Resultados!N93,Resultados!X93,Resultados!AR93,Resultados!BL93,Resultados!BV93,Resultados!CP93,Resultados!CZ93,Resultados!DJ93)&lt;=1, "", _xlfn.STDEV.S(ABS(Resultados!D93),ABS(Resultados!N93),ABS(Resultados!X93),ABS(Resultados!AR93),ABS(Resultados!BL93),ABS(Resultados!BV93),ABS(Resultados!CP93),ABS(Resultados!CZ93),ABS(Resultados!DJ93))/SQRT(COUNT(Resultados!D93,Resultados!N93,Resultados!X93,Resultados!AR93,Resultados!BL93,Resultados!BV93,Resultados!CP93,Resultados!CZ93,Resultados!DJ93)))</f>
        <v>6.9637509404410665E-4</v>
      </c>
      <c r="E93">
        <f>IF(COUNT(Resultados!E93,Resultados!O93,Resultados!Y93,Resultados!AS93,Resultados!BM93,Resultados!BW93,Resultados!CQ93,Resultados!DA93,Resultados!DK93)&lt;=1, "", _xlfn.STDEV.S(ABS(Resultados!E93),ABS(Resultados!O93),ABS(Resultados!Y93),ABS(Resultados!AS93),ABS(Resultados!BM93),ABS(Resultados!BW93),ABS(Resultados!CQ93),ABS(Resultados!DA93),ABS(Resultados!DK93))/SQRT(COUNT(Resultados!E93,Resultados!O93,Resultados!Y93,Resultados!AS93,Resultados!BM93,Resultados!BW93,Resultados!CQ93,Resultados!DA93,Resultados!DK93)))</f>
        <v>0.11186310009854894</v>
      </c>
      <c r="F93">
        <f>IF(COUNT(Resultados!F93,Resultados!P93,Resultados!Z93,Resultados!AT93,Resultados!BN93,Resultados!BX93,Resultados!CR93,Resultados!DB93,Resultados!DL93)&lt;=1, "", _xlfn.STDEV.S(ABS(Resultados!F93),ABS(Resultados!P93),ABS(Resultados!Z93),ABS(Resultados!AT93),ABS(Resultados!BN93),ABS(Resultados!BX93),ABS(Resultados!CR93),ABS(Resultados!DB93),ABS(Resultados!DL93))/SQRT(COUNT(Resultados!F93,Resultados!P93,Resultados!Z93,Resultados!AT93,Resultados!BN93,Resultados!BX93,Resultados!CR93,Resultados!DB93,Resultados!DL93)))</f>
        <v>10.615808199352307</v>
      </c>
      <c r="G93">
        <f>IF(COUNT(Resultados!G93,Resultados!Q93,Resultados!AA93,Resultados!AU93,Resultados!BO93,Resultados!BY93,Resultados!CS93,Resultados!DC93,Resultados!DM93)&lt;=1, "", _xlfn.STDEV.S(ABS(Resultados!G93),ABS(Resultados!Q93),ABS(Resultados!AA93),ABS(Resultados!AU93),ABS(Resultados!BO93),ABS(Resultados!BY93),ABS(Resultados!CS93),ABS(Resultados!DC93),ABS(Resultados!DM93))/SQRT(COUNT(Resultados!G93,Resultados!Q93,Resultados!AA93,Resultados!AU93,Resultados!BO93,Resultados!BY93,Resultados!CS93,Resultados!DC93,Resultados!DM93)))</f>
        <v>0</v>
      </c>
      <c r="H93">
        <f>IF(COUNT(Resultados!H93,Resultados!R93,Resultados!AB93,Resultados!AV93,Resultados!BP93,Resultados!BZ93,Resultados!CT93,Resultados!DD93,Resultados!DN93)&lt;=1, "", _xlfn.STDEV.S(ABS(Resultados!H93),ABS(Resultados!R93),ABS(Resultados!AB93),ABS(Resultados!AV93),ABS(Resultados!BP93),ABS(Resultados!BZ93),ABS(Resultados!CT93),ABS(Resultados!DD93),ABS(Resultados!DN93))/SQRT(COUNT(Resultados!H93,Resultados!R93,Resultados!AB93,Resultados!AV93,Resultados!BP93,Resultados!BZ93,Resultados!CT93,Resultados!DD93,Resultados!DN93)))</f>
        <v>1.7419745430522155E-3</v>
      </c>
      <c r="I93">
        <f>IF(COUNT(Resultados!I93,Resultados!S93,Resultados!AC93,Resultados!AW93,Resultados!BQ93,Resultados!CA93,Resultados!CU93,Resultados!DE93,Resultados!DO93)&lt;=1, "", _xlfn.STDEV.S(ABS(Resultados!I93),ABS(Resultados!S93),ABS(Resultados!AC93),ABS(Resultados!AW93),ABS(Resultados!BQ93),ABS(Resultados!CA93),ABS(Resultados!CU93),ABS(Resultados!DE93),ABS(Resultados!DO93))/SQRT(COUNT(Resultados!I93,Resultados!S93,Resultados!AC93,Resultados!AW93,Resultados!BQ93,Resultados!CA93,Resultados!CU93,Resultados!DE93,Resultados!DO93)))</f>
        <v>4.4445647126085917E-2</v>
      </c>
      <c r="J93">
        <f>IF(COUNT(Resultados!J93,Resultados!T93,Resultados!AD93,Resultados!AX93,Resultados!BR93,Resultados!CB93,Resultados!CV93,Resultados!DF93,Resultados!DP93)&lt;=1, "", _xlfn.STDEV.S(ABS(Resultados!J93),ABS(Resultados!T93),ABS(Resultados!AD93),ABS(Resultados!AX93),ABS(Resultados!BR93),ABS(Resultados!CB93),ABS(Resultados!CV93),ABS(Resultados!DF93),ABS(Resultados!DP93))/SQRT(COUNT(Resultados!J93,Resultados!T93,Resultados!AD93,Resultados!AX93,Resultados!BR93,Resultados!CB93,Resultados!CV93,Resultados!DF93,Resultados!DP93)))</f>
        <v>1.7419745430522155E-3</v>
      </c>
    </row>
    <row r="94" spans="1:10" x14ac:dyDescent="0.3">
      <c r="A94">
        <f>IF(COUNT(Resultados!A94,Resultados!K94,Resultados!U94,Resultados!AO94,Resultados!BI94,Resultados!BS94,Resultados!CM94,Resultados!CW94,Resultados!DG94)&lt;=1, "", _xlfn.STDEV.S(ABS(Resultados!A94),ABS(Resultados!K94),ABS(Resultados!U94),ABS(Resultados!AO94),ABS(Resultados!BI94),ABS(Resultados!BS94),ABS(Resultados!CM94),ABS(Resultados!CW94),ABS(Resultados!DG94))/SQRT(COUNT(Resultados!A94,Resultados!K94,Resultados!U94,Resultados!AO94,Resultados!BI94,Resultados!BS94,Resultados!CM94,Resultados!CW94,Resultados!DG94)))</f>
        <v>0</v>
      </c>
      <c r="B94" t="str">
        <f>IF(COUNT(Resultados!B94,Resultados!L94,Resultados!V94,Resultados!AP94,Resultados!BJ94,Resultados!BT94,Resultados!CN94,Resultados!CX94,Resultados!DH94)&lt;=1, "", _xlfn.STDEV.S(ABS(Resultados!B94),ABS(Resultados!L94),ABS(Resultados!V94),ABS(Resultados!AP94),ABS(Resultados!BJ94),ABS(Resultados!BT94),ABS(Resultados!CN94),ABS(Resultados!CX94),ABS(Resultados!DH94))/SQRT(COUNT(Resultados!B94,Resultados!L94,Resultados!V94,Resultados!AP94,Resultados!BJ94,Resultados!BT94,Resultados!CN94,Resultados!CX94,Resultados!DH94)))</f>
        <v/>
      </c>
      <c r="C94">
        <f>IF(COUNT(Resultados!C94,Resultados!M94,Resultados!W94,Resultados!AQ94,Resultados!BK94,Resultados!BU94,Resultados!CO94,Resultados!CY94,Resultados!DI94)&lt;=1, "", _xlfn.STDEV.S(ABS(Resultados!C94),ABS(Resultados!M94),ABS(Resultados!W94),ABS(Resultados!AQ94),ABS(Resultados!BK94),ABS(Resultados!BU94),ABS(Resultados!CO94),ABS(Resultados!CY94),ABS(Resultados!DI94))/SQRT(COUNT(Resultados!C94,Resultados!M94,Resultados!W94,Resultados!AQ94,Resultados!BK94,Resultados!BU94,Resultados!CO94,Resultados!CY94,Resultados!DI94)))</f>
        <v>0.64788354387170011</v>
      </c>
      <c r="D94">
        <f>IF(COUNT(Resultados!D94,Resultados!N94,Resultados!X94,Resultados!AR94,Resultados!BL94,Resultados!BV94,Resultados!CP94,Resultados!CZ94,Resultados!DJ94)&lt;=1, "", _xlfn.STDEV.S(ABS(Resultados!D94),ABS(Resultados!N94),ABS(Resultados!X94),ABS(Resultados!AR94),ABS(Resultados!BL94),ABS(Resultados!BV94),ABS(Resultados!CP94),ABS(Resultados!CZ94),ABS(Resultados!DJ94))/SQRT(COUNT(Resultados!D94,Resultados!N94,Resultados!X94,Resultados!AR94,Resultados!BL94,Resultados!BV94,Resultados!CP94,Resultados!CZ94,Resultados!DJ94)))</f>
        <v>9.6003472159431047E-4</v>
      </c>
      <c r="E94">
        <f>IF(COUNT(Resultados!E94,Resultados!O94,Resultados!Y94,Resultados!AS94,Resultados!BM94,Resultados!BW94,Resultados!CQ94,Resultados!DA94,Resultados!DK94)&lt;=1, "", _xlfn.STDEV.S(ABS(Resultados!E94),ABS(Resultados!O94),ABS(Resultados!Y94),ABS(Resultados!AS94),ABS(Resultados!BM94),ABS(Resultados!BW94),ABS(Resultados!CQ94),ABS(Resultados!DA94),ABS(Resultados!DK94))/SQRT(COUNT(Resultados!E94,Resultados!O94,Resultados!Y94,Resultados!AS94,Resultados!BM94,Resultados!BW94,Resultados!CQ94,Resultados!DA94,Resultados!DK94)))</f>
        <v>0.11887243271726521</v>
      </c>
      <c r="F94">
        <f>IF(COUNT(Resultados!F94,Resultados!P94,Resultados!Z94,Resultados!AT94,Resultados!BN94,Resultados!BX94,Resultados!CR94,Resultados!DB94,Resultados!DL94)&lt;=1, "", _xlfn.STDEV.S(ABS(Resultados!F94),ABS(Resultados!P94),ABS(Resultados!Z94),ABS(Resultados!AT94),ABS(Resultados!BN94),ABS(Resultados!BX94),ABS(Resultados!CR94),ABS(Resultados!DB94),ABS(Resultados!DL94))/SQRT(COUNT(Resultados!F94,Resultados!P94,Resultados!Z94,Resultados!AT94,Resultados!BN94,Resultados!BX94,Resultados!CR94,Resultados!DB94,Resultados!DL94)))</f>
        <v>11.280993864868462</v>
      </c>
      <c r="G94">
        <f>IF(COUNT(Resultados!G94,Resultados!Q94,Resultados!AA94,Resultados!AU94,Resultados!BO94,Resultados!BY94,Resultados!CS94,Resultados!DC94,Resultados!DM94)&lt;=1, "", _xlfn.STDEV.S(ABS(Resultados!G94),ABS(Resultados!Q94),ABS(Resultados!AA94),ABS(Resultados!AU94),ABS(Resultados!BO94),ABS(Resultados!BY94),ABS(Resultados!CS94),ABS(Resultados!DC94),ABS(Resultados!DM94))/SQRT(COUNT(Resultados!G94,Resultados!Q94,Resultados!AA94,Resultados!AU94,Resultados!BO94,Resultados!BY94,Resultados!CS94,Resultados!DC94,Resultados!DM94)))</f>
        <v>0</v>
      </c>
      <c r="H94">
        <f>IF(COUNT(Resultados!H94,Resultados!R94,Resultados!AB94,Resultados!AV94,Resultados!BP94,Resultados!BZ94,Resultados!CT94,Resultados!DD94,Resultados!DN94)&lt;=1, "", _xlfn.STDEV.S(ABS(Resultados!H94),ABS(Resultados!R94),ABS(Resultados!AB94),ABS(Resultados!AV94),ABS(Resultados!BP94),ABS(Resultados!BZ94),ABS(Resultados!CT94),ABS(Resultados!DD94),ABS(Resultados!DN94))/SQRT(COUNT(Resultados!H94,Resultados!R94,Resultados!AB94,Resultados!AV94,Resultados!BP94,Resultados!BZ94,Resultados!CT94,Resultados!DD94,Resultados!DN94)))</f>
        <v>1.8487984085766504E-3</v>
      </c>
      <c r="I94">
        <f>IF(COUNT(Resultados!I94,Resultados!S94,Resultados!AC94,Resultados!AW94,Resultados!BQ94,Resultados!CA94,Resultados!CU94,Resultados!DE94,Resultados!DO94)&lt;=1, "", _xlfn.STDEV.S(ABS(Resultados!I94),ABS(Resultados!S94),ABS(Resultados!AC94),ABS(Resultados!AW94),ABS(Resultados!BQ94),ABS(Resultados!CA94),ABS(Resultados!CU94),ABS(Resultados!DE94),ABS(Resultados!DO94))/SQRT(COUNT(Resultados!I94,Resultados!S94,Resultados!AC94,Resultados!AW94,Resultados!BQ94,Resultados!CA94,Resultados!CU94,Resultados!DE94,Resultados!DO94)))</f>
        <v>4.4538946641131331E-2</v>
      </c>
      <c r="J94">
        <f>IF(COUNT(Resultados!J94,Resultados!T94,Resultados!AD94,Resultados!AX94,Resultados!BR94,Resultados!CB94,Resultados!CV94,Resultados!DF94,Resultados!DP94)&lt;=1, "", _xlfn.STDEV.S(ABS(Resultados!J94),ABS(Resultados!T94),ABS(Resultados!AD94),ABS(Resultados!AX94),ABS(Resultados!BR94),ABS(Resultados!CB94),ABS(Resultados!CV94),ABS(Resultados!DF94),ABS(Resultados!DP94))/SQRT(COUNT(Resultados!J94,Resultados!T94,Resultados!AD94,Resultados!AX94,Resultados!BR94,Resultados!CB94,Resultados!CV94,Resultados!DF94,Resultados!DP94)))</f>
        <v>1.8487984085766504E-3</v>
      </c>
    </row>
    <row r="95" spans="1:10" x14ac:dyDescent="0.3">
      <c r="A95">
        <f>IF(COUNT(Resultados!A95,Resultados!K95,Resultados!U95,Resultados!AO95,Resultados!BI95,Resultados!BS95,Resultados!CM95,Resultados!CW95,Resultados!DG95)&lt;=1, "", _xlfn.STDEV.S(ABS(Resultados!A95),ABS(Resultados!K95),ABS(Resultados!U95),ABS(Resultados!AO95),ABS(Resultados!BI95),ABS(Resultados!BS95),ABS(Resultados!CM95),ABS(Resultados!CW95),ABS(Resultados!DG95))/SQRT(COUNT(Resultados!A95,Resultados!K95,Resultados!U95,Resultados!AO95,Resultados!BI95,Resultados!BS95,Resultados!CM95,Resultados!CW95,Resultados!DG95)))</f>
        <v>0</v>
      </c>
      <c r="B95" t="str">
        <f>IF(COUNT(Resultados!B95,Resultados!L95,Resultados!V95,Resultados!AP95,Resultados!BJ95,Resultados!BT95,Resultados!CN95,Resultados!CX95,Resultados!DH95)&lt;=1, "", _xlfn.STDEV.S(ABS(Resultados!B95),ABS(Resultados!L95),ABS(Resultados!V95),ABS(Resultados!AP95),ABS(Resultados!BJ95),ABS(Resultados!BT95),ABS(Resultados!CN95),ABS(Resultados!CX95),ABS(Resultados!DH95))/SQRT(COUNT(Resultados!B95,Resultados!L95,Resultados!V95,Resultados!AP95,Resultados!BJ95,Resultados!BT95,Resultados!CN95,Resultados!CX95,Resultados!DH95)))</f>
        <v/>
      </c>
      <c r="C95">
        <f>IF(COUNT(Resultados!C95,Resultados!M95,Resultados!W95,Resultados!AQ95,Resultados!BK95,Resultados!BU95,Resultados!CO95,Resultados!CY95,Resultados!DI95)&lt;=1, "", _xlfn.STDEV.S(ABS(Resultados!C95),ABS(Resultados!M95),ABS(Resultados!W95),ABS(Resultados!AQ95),ABS(Resultados!BK95),ABS(Resultados!BU95),ABS(Resultados!CO95),ABS(Resultados!CY95),ABS(Resultados!DI95))/SQRT(COUNT(Resultados!C95,Resultados!M95,Resultados!W95,Resultados!AQ95,Resultados!BK95,Resultados!BU95,Resultados!CO95,Resultados!CY95,Resultados!DI95)))</f>
        <v>0.64788354387170011</v>
      </c>
      <c r="D95">
        <f>IF(COUNT(Resultados!D95,Resultados!N95,Resultados!X95,Resultados!AR95,Resultados!BL95,Resultados!BV95,Resultados!CP95,Resultados!CZ95,Resultados!DJ95)&lt;=1, "", _xlfn.STDEV.S(ABS(Resultados!D95),ABS(Resultados!N95),ABS(Resultados!X95),ABS(Resultados!AR95),ABS(Resultados!BL95),ABS(Resultados!BV95),ABS(Resultados!CP95),ABS(Resultados!CZ95),ABS(Resultados!DJ95))/SQRT(COUNT(Resultados!D95,Resultados!N95,Resultados!X95,Resultados!AR95,Resultados!BL95,Resultados!BV95,Resultados!CP95,Resultados!CZ95,Resultados!DJ95)))</f>
        <v>1.2431789200113132E-3</v>
      </c>
      <c r="E95">
        <f>IF(COUNT(Resultados!E95,Resultados!O95,Resultados!Y95,Resultados!AS95,Resultados!BM95,Resultados!BW95,Resultados!CQ95,Resultados!DA95,Resultados!DK95)&lt;=1, "", _xlfn.STDEV.S(ABS(Resultados!E95),ABS(Resultados!O95),ABS(Resultados!Y95),ABS(Resultados!AS95),ABS(Resultados!BM95),ABS(Resultados!BW95),ABS(Resultados!CQ95),ABS(Resultados!DA95),ABS(Resultados!DK95))/SQRT(COUNT(Resultados!E95,Resultados!O95,Resultados!Y95,Resultados!AS95,Resultados!BM95,Resultados!BW95,Resultados!CQ95,Resultados!DA95,Resultados!DK95)))</f>
        <v>0.12324937042851745</v>
      </c>
      <c r="F95">
        <f>IF(COUNT(Resultados!F95,Resultados!P95,Resultados!Z95,Resultados!AT95,Resultados!BN95,Resultados!BX95,Resultados!CR95,Resultados!DB95,Resultados!DL95)&lt;=1, "", _xlfn.STDEV.S(ABS(Resultados!F95),ABS(Resultados!P95),ABS(Resultados!Z95),ABS(Resultados!AT95),ABS(Resultados!BN95),ABS(Resultados!BX95),ABS(Resultados!CR95),ABS(Resultados!DB95),ABS(Resultados!DL95))/SQRT(COUNT(Resultados!F95,Resultados!P95,Resultados!Z95,Resultados!AT95,Resultados!BN95,Resultados!BX95,Resultados!CR95,Resultados!DB95,Resultados!DL95)))</f>
        <v>11.696365253666309</v>
      </c>
      <c r="G95">
        <f>IF(COUNT(Resultados!G95,Resultados!Q95,Resultados!AA95,Resultados!AU95,Resultados!BO95,Resultados!BY95,Resultados!CS95,Resultados!DC95,Resultados!DM95)&lt;=1, "", _xlfn.STDEV.S(ABS(Resultados!G95),ABS(Resultados!Q95),ABS(Resultados!AA95),ABS(Resultados!AU95),ABS(Resultados!BO95),ABS(Resultados!BY95),ABS(Resultados!CS95),ABS(Resultados!DC95),ABS(Resultados!DM95))/SQRT(COUNT(Resultados!G95,Resultados!Q95,Resultados!AA95,Resultados!AU95,Resultados!BO95,Resultados!BY95,Resultados!CS95,Resultados!DC95,Resultados!DM95)))</f>
        <v>0</v>
      </c>
      <c r="H95">
        <f>IF(COUNT(Resultados!H95,Resultados!R95,Resultados!AB95,Resultados!AV95,Resultados!BP95,Resultados!BZ95,Resultados!CT95,Resultados!DD95,Resultados!DN95)&lt;=1, "", _xlfn.STDEV.S(ABS(Resultados!H95),ABS(Resultados!R95),ABS(Resultados!AB95),ABS(Resultados!AV95),ABS(Resultados!BP95),ABS(Resultados!BZ95),ABS(Resultados!CT95),ABS(Resultados!DD95),ABS(Resultados!DN95))/SQRT(COUNT(Resultados!H95,Resultados!R95,Resultados!AB95,Resultados!AV95,Resultados!BP95,Resultados!BZ95,Resultados!CT95,Resultados!DD95,Resultados!DN95)))</f>
        <v>1.91990869124447E-3</v>
      </c>
      <c r="I95">
        <f>IF(COUNT(Resultados!I95,Resultados!S95,Resultados!AC95,Resultados!AW95,Resultados!BQ95,Resultados!CA95,Resultados!CU95,Resultados!DE95,Resultados!DO95)&lt;=1, "", _xlfn.STDEV.S(ABS(Resultados!I95),ABS(Resultados!S95),ABS(Resultados!AC95),ABS(Resultados!AW95),ABS(Resultados!BQ95),ABS(Resultados!CA95),ABS(Resultados!CU95),ABS(Resultados!DE95),ABS(Resultados!DO95))/SQRT(COUNT(Resultados!I95,Resultados!S95,Resultados!AC95,Resultados!AW95,Resultados!BQ95,Resultados!CA95,Resultados!CU95,Resultados!DE95,Resultados!DO95)))</f>
        <v>4.4736048228592978E-2</v>
      </c>
      <c r="J95">
        <f>IF(COUNT(Resultados!J95,Resultados!T95,Resultados!AD95,Resultados!AX95,Resultados!BR95,Resultados!CB95,Resultados!CV95,Resultados!DF95,Resultados!DP95)&lt;=1, "", _xlfn.STDEV.S(ABS(Resultados!J95),ABS(Resultados!T95),ABS(Resultados!AD95),ABS(Resultados!AX95),ABS(Resultados!BR95),ABS(Resultados!CB95),ABS(Resultados!CV95),ABS(Resultados!DF95),ABS(Resultados!DP95))/SQRT(COUNT(Resultados!J95,Resultados!T95,Resultados!AD95,Resultados!AX95,Resultados!BR95,Resultados!CB95,Resultados!CV95,Resultados!DF95,Resultados!DP95)))</f>
        <v>1.91990869124447E-3</v>
      </c>
    </row>
    <row r="96" spans="1:10" x14ac:dyDescent="0.3">
      <c r="A96">
        <f>IF(COUNT(Resultados!A96,Resultados!K96,Resultados!U96,Resultados!AO96,Resultados!BI96,Resultados!BS96,Resultados!CM96,Resultados!CW96,Resultados!DG96)&lt;=1, "", _xlfn.STDEV.S(ABS(Resultados!A96),ABS(Resultados!K96),ABS(Resultados!U96),ABS(Resultados!AO96),ABS(Resultados!BI96),ABS(Resultados!BS96),ABS(Resultados!CM96),ABS(Resultados!CW96),ABS(Resultados!DG96))/SQRT(COUNT(Resultados!A96,Resultados!K96,Resultados!U96,Resultados!AO96,Resultados!BI96,Resultados!BS96,Resultados!CM96,Resultados!CW96,Resultados!DG96)))</f>
        <v>0</v>
      </c>
      <c r="B96" t="str">
        <f>IF(COUNT(Resultados!B96,Resultados!L96,Resultados!V96,Resultados!AP96,Resultados!BJ96,Resultados!BT96,Resultados!CN96,Resultados!CX96,Resultados!DH96)&lt;=1, "", _xlfn.STDEV.S(ABS(Resultados!B96),ABS(Resultados!L96),ABS(Resultados!V96),ABS(Resultados!AP96),ABS(Resultados!BJ96),ABS(Resultados!BT96),ABS(Resultados!CN96),ABS(Resultados!CX96),ABS(Resultados!DH96))/SQRT(COUNT(Resultados!B96,Resultados!L96,Resultados!V96,Resultados!AP96,Resultados!BJ96,Resultados!BT96,Resultados!CN96,Resultados!CX96,Resultados!DH96)))</f>
        <v/>
      </c>
      <c r="C96">
        <f>IF(COUNT(Resultados!C96,Resultados!M96,Resultados!W96,Resultados!AQ96,Resultados!BK96,Resultados!BU96,Resultados!CO96,Resultados!CY96,Resultados!DI96)&lt;=1, "", _xlfn.STDEV.S(ABS(Resultados!C96),ABS(Resultados!M96),ABS(Resultados!W96),ABS(Resultados!AQ96),ABS(Resultados!BK96),ABS(Resultados!BU96),ABS(Resultados!CO96),ABS(Resultados!CY96),ABS(Resultados!DI96))/SQRT(COUNT(Resultados!C96,Resultados!M96,Resultados!W96,Resultados!AQ96,Resultados!BK96,Resultados!BU96,Resultados!CO96,Resultados!CY96,Resultados!DI96)))</f>
        <v>0.64788354387170011</v>
      </c>
      <c r="D96">
        <f>IF(COUNT(Resultados!D96,Resultados!N96,Resultados!X96,Resultados!AR96,Resultados!BL96,Resultados!BV96,Resultados!CP96,Resultados!CZ96,Resultados!DJ96)&lt;=1, "", _xlfn.STDEV.S(ABS(Resultados!D96),ABS(Resultados!N96),ABS(Resultados!X96),ABS(Resultados!AR96),ABS(Resultados!BL96),ABS(Resultados!BV96),ABS(Resultados!CP96),ABS(Resultados!CZ96),ABS(Resultados!DJ96))/SQRT(COUNT(Resultados!D96,Resultados!N96,Resultados!X96,Resultados!AR96,Resultados!BL96,Resultados!BV96,Resultados!CP96,Resultados!CZ96,Resultados!DJ96)))</f>
        <v>1.4404967421683158E-3</v>
      </c>
      <c r="E96">
        <f>IF(COUNT(Resultados!E96,Resultados!O96,Resultados!Y96,Resultados!AS96,Resultados!BM96,Resultados!BW96,Resultados!CQ96,Resultados!DA96,Resultados!DK96)&lt;=1, "", _xlfn.STDEV.S(ABS(Resultados!E96),ABS(Resultados!O96),ABS(Resultados!Y96),ABS(Resultados!AS96),ABS(Resultados!BM96),ABS(Resultados!BW96),ABS(Resultados!CQ96),ABS(Resultados!DA96),ABS(Resultados!DK96))/SQRT(COUNT(Resultados!E96,Resultados!O96,Resultados!Y96,Resultados!AS96,Resultados!BM96,Resultados!BW96,Resultados!CQ96,Resultados!DA96,Resultados!DK96)))</f>
        <v>0.12474027097484104</v>
      </c>
      <c r="F96">
        <f>IF(COUNT(Resultados!F96,Resultados!P96,Resultados!Z96,Resultados!AT96,Resultados!BN96,Resultados!BX96,Resultados!CR96,Resultados!DB96,Resultados!DL96)&lt;=1, "", _xlfn.STDEV.S(ABS(Resultados!F96),ABS(Resultados!P96),ABS(Resultados!Z96),ABS(Resultados!AT96),ABS(Resultados!BN96),ABS(Resultados!BX96),ABS(Resultados!CR96),ABS(Resultados!DB96),ABS(Resultados!DL96))/SQRT(COUNT(Resultados!F96,Resultados!P96,Resultados!Z96,Resultados!AT96,Resultados!BN96,Resultados!BX96,Resultados!CR96,Resultados!DB96,Resultados!DL96)))</f>
        <v>11.837851715512421</v>
      </c>
      <c r="G96">
        <f>IF(COUNT(Resultados!G96,Resultados!Q96,Resultados!AA96,Resultados!AU96,Resultados!BO96,Resultados!BY96,Resultados!CS96,Resultados!DC96,Resultados!DM96)&lt;=1, "", _xlfn.STDEV.S(ABS(Resultados!G96),ABS(Resultados!Q96),ABS(Resultados!AA96),ABS(Resultados!AU96),ABS(Resultados!BO96),ABS(Resultados!BY96),ABS(Resultados!CS96),ABS(Resultados!DC96),ABS(Resultados!DM96))/SQRT(COUNT(Resultados!G96,Resultados!Q96,Resultados!AA96,Resultados!AU96,Resultados!BO96,Resultados!BY96,Resultados!CS96,Resultados!DC96,Resultados!DM96)))</f>
        <v>0</v>
      </c>
      <c r="H96">
        <f>IF(COUNT(Resultados!H96,Resultados!R96,Resultados!AB96,Resultados!AV96,Resultados!BP96,Resultados!BZ96,Resultados!CT96,Resultados!DD96,Resultados!DN96)&lt;=1, "", _xlfn.STDEV.S(ABS(Resultados!H96),ABS(Resultados!R96),ABS(Resultados!AB96),ABS(Resultados!AV96),ABS(Resultados!BP96),ABS(Resultados!BZ96),ABS(Resultados!CT96),ABS(Resultados!DD96),ABS(Resultados!DN96))/SQRT(COUNT(Resultados!H96,Resultados!R96,Resultados!AB96,Resultados!AV96,Resultados!BP96,Resultados!BZ96,Resultados!CT96,Resultados!DD96,Resultados!DN96)))</f>
        <v>1.9431821299413629E-3</v>
      </c>
      <c r="I96">
        <f>IF(COUNT(Resultados!I96,Resultados!S96,Resultados!AC96,Resultados!AW96,Resultados!BQ96,Resultados!CA96,Resultados!CU96,Resultados!DE96,Resultados!DO96)&lt;=1, "", _xlfn.STDEV.S(ABS(Resultados!I96),ABS(Resultados!S96),ABS(Resultados!AC96),ABS(Resultados!AW96),ABS(Resultados!BQ96),ABS(Resultados!CA96),ABS(Resultados!CU96),ABS(Resultados!DE96),ABS(Resultados!DO96))/SQRT(COUNT(Resultados!I96,Resultados!S96,Resultados!AC96,Resultados!AW96,Resultados!BQ96,Resultados!CA96,Resultados!CU96,Resultados!DE96,Resultados!DO96)))</f>
        <v>4.4536498976113288E-2</v>
      </c>
      <c r="J96">
        <f>IF(COUNT(Resultados!J96,Resultados!T96,Resultados!AD96,Resultados!AX96,Resultados!BR96,Resultados!CB96,Resultados!CV96,Resultados!DF96,Resultados!DP96)&lt;=1, "", _xlfn.STDEV.S(ABS(Resultados!J96),ABS(Resultados!T96),ABS(Resultados!AD96),ABS(Resultados!AX96),ABS(Resultados!BR96),ABS(Resultados!CB96),ABS(Resultados!CV96),ABS(Resultados!DF96),ABS(Resultados!DP96))/SQRT(COUNT(Resultados!J96,Resultados!T96,Resultados!AD96,Resultados!AX96,Resultados!BR96,Resultados!CB96,Resultados!CV96,Resultados!DF96,Resultados!DP96)))</f>
        <v>1.9431821299413629E-3</v>
      </c>
    </row>
    <row r="97" spans="1:10" x14ac:dyDescent="0.3">
      <c r="A97">
        <f>IF(COUNT(Resultados!A97,Resultados!K97,Resultados!U97,Resultados!AO97,Resultados!BI97,Resultados!BS97,Resultados!CM97,Resultados!CW97,Resultados!DG97)&lt;=1, "", _xlfn.STDEV.S(ABS(Resultados!A97),ABS(Resultados!K97),ABS(Resultados!U97),ABS(Resultados!AO97),ABS(Resultados!BI97),ABS(Resultados!BS97),ABS(Resultados!CM97),ABS(Resultados!CW97),ABS(Resultados!DG97))/SQRT(COUNT(Resultados!A97,Resultados!K97,Resultados!U97,Resultados!AO97,Resultados!BI97,Resultados!BS97,Resultados!CM97,Resultados!CW97,Resultados!DG97)))</f>
        <v>0</v>
      </c>
      <c r="B97" t="str">
        <f>IF(COUNT(Resultados!B97,Resultados!L97,Resultados!V97,Resultados!AP97,Resultados!BJ97,Resultados!BT97,Resultados!CN97,Resultados!CX97,Resultados!DH97)&lt;=1, "", _xlfn.STDEV.S(ABS(Resultados!B97),ABS(Resultados!L97),ABS(Resultados!V97),ABS(Resultados!AP97),ABS(Resultados!BJ97),ABS(Resultados!BT97),ABS(Resultados!CN97),ABS(Resultados!CX97),ABS(Resultados!DH97))/SQRT(COUNT(Resultados!B97,Resultados!L97,Resultados!V97,Resultados!AP97,Resultados!BJ97,Resultados!BT97,Resultados!CN97,Resultados!CX97,Resultados!DH97)))</f>
        <v/>
      </c>
      <c r="C97">
        <f>IF(COUNT(Resultados!C97,Resultados!M97,Resultados!W97,Resultados!AQ97,Resultados!BK97,Resultados!BU97,Resultados!CO97,Resultados!CY97,Resultados!DI97)&lt;=1, "", _xlfn.STDEV.S(ABS(Resultados!C97),ABS(Resultados!M97),ABS(Resultados!W97),ABS(Resultados!AQ97),ABS(Resultados!BK97),ABS(Resultados!BU97),ABS(Resultados!CO97),ABS(Resultados!CY97),ABS(Resultados!DI97))/SQRT(COUNT(Resultados!C97,Resultados!M97,Resultados!W97,Resultados!AQ97,Resultados!BK97,Resultados!BU97,Resultados!CO97,Resultados!CY97,Resultados!DI97)))</f>
        <v>0.64788354387170011</v>
      </c>
      <c r="D97">
        <f>IF(COUNT(Resultados!D97,Resultados!N97,Resultados!X97,Resultados!AR97,Resultados!BL97,Resultados!BV97,Resultados!CP97,Resultados!CZ97,Resultados!DJ97)&lt;=1, "", _xlfn.STDEV.S(ABS(Resultados!D97),ABS(Resultados!N97),ABS(Resultados!X97),ABS(Resultados!AR97),ABS(Resultados!BL97),ABS(Resultados!BV97),ABS(Resultados!CP97),ABS(Resultados!CZ97),ABS(Resultados!DJ97))/SQRT(COUNT(Resultados!D97,Resultados!N97,Resultados!X97,Resultados!AR97,Resultados!BL97,Resultados!BV97,Resultados!CP97,Resultados!CZ97,Resultados!DJ97)))</f>
        <v>1.555367052070561E-3</v>
      </c>
      <c r="E97">
        <f>IF(COUNT(Resultados!E97,Resultados!O97,Resultados!Y97,Resultados!AS97,Resultados!BM97,Resultados!BW97,Resultados!CQ97,Resultados!DA97,Resultados!DK97)&lt;=1, "", _xlfn.STDEV.S(ABS(Resultados!E97),ABS(Resultados!O97),ABS(Resultados!Y97),ABS(Resultados!AS97),ABS(Resultados!BM97),ABS(Resultados!BW97),ABS(Resultados!CQ97),ABS(Resultados!DA97),ABS(Resultados!DK97))/SQRT(COUNT(Resultados!E97,Resultados!O97,Resultados!Y97,Resultados!AS97,Resultados!BM97,Resultados!BW97,Resultados!CQ97,Resultados!DA97,Resultados!DK97)))</f>
        <v>0.12347021811873986</v>
      </c>
      <c r="F97">
        <f>IF(COUNT(Resultados!F97,Resultados!P97,Resultados!Z97,Resultados!AT97,Resultados!BN97,Resultados!BX97,Resultados!CR97,Resultados!DB97,Resultados!DL97)&lt;=1, "", _xlfn.STDEV.S(ABS(Resultados!F97),ABS(Resultados!P97),ABS(Resultados!Z97),ABS(Resultados!AT97),ABS(Resultados!BN97),ABS(Resultados!BX97),ABS(Resultados!CR97),ABS(Resultados!DB97),ABS(Resultados!DL97))/SQRT(COUNT(Resultados!F97,Resultados!P97,Resultados!Z97,Resultados!AT97,Resultados!BN97,Resultados!BX97,Resultados!CR97,Resultados!DB97,Resultados!DL97)))</f>
        <v>11.717323699468421</v>
      </c>
      <c r="G97">
        <f>IF(COUNT(Resultados!G97,Resultados!Q97,Resultados!AA97,Resultados!AU97,Resultados!BO97,Resultados!BY97,Resultados!CS97,Resultados!DC97,Resultados!DM97)&lt;=1, "", _xlfn.STDEV.S(ABS(Resultados!G97),ABS(Resultados!Q97),ABS(Resultados!AA97),ABS(Resultados!AU97),ABS(Resultados!BO97),ABS(Resultados!BY97),ABS(Resultados!CS97),ABS(Resultados!DC97),ABS(Resultados!DM97))/SQRT(COUNT(Resultados!G97,Resultados!Q97,Resultados!AA97,Resultados!AU97,Resultados!BO97,Resultados!BY97,Resultados!CS97,Resultados!DC97,Resultados!DM97)))</f>
        <v>0</v>
      </c>
      <c r="H97">
        <f>IF(COUNT(Resultados!H97,Resultados!R97,Resultados!AB97,Resultados!AV97,Resultados!BP97,Resultados!BZ97,Resultados!CT97,Resultados!DD97,Resultados!DN97)&lt;=1, "", _xlfn.STDEV.S(ABS(Resultados!H97),ABS(Resultados!R97),ABS(Resultados!AB97),ABS(Resultados!AV97),ABS(Resultados!BP97),ABS(Resultados!BZ97),ABS(Resultados!CT97),ABS(Resultados!DD97),ABS(Resultados!DN97))/SQRT(COUNT(Resultados!H97,Resultados!R97,Resultados!AB97,Resultados!AV97,Resultados!BP97,Resultados!BZ97,Resultados!CT97,Resultados!DD97,Resultados!DN97)))</f>
        <v>1.9154182729873464E-3</v>
      </c>
      <c r="I97">
        <f>IF(COUNT(Resultados!I97,Resultados!S97,Resultados!AC97,Resultados!AW97,Resultados!BQ97,Resultados!CA97,Resultados!CU97,Resultados!DE97,Resultados!DO97)&lt;=1, "", _xlfn.STDEV.S(ABS(Resultados!I97),ABS(Resultados!S97),ABS(Resultados!AC97),ABS(Resultados!AW97),ABS(Resultados!BQ97),ABS(Resultados!CA97),ABS(Resultados!CU97),ABS(Resultados!DE97),ABS(Resultados!DO97))/SQRT(COUNT(Resultados!I97,Resultados!S97,Resultados!AC97,Resultados!AW97,Resultados!BQ97,Resultados!CA97,Resultados!CU97,Resultados!DE97,Resultados!DO97)))</f>
        <v>4.4811927572668192E-2</v>
      </c>
      <c r="J97">
        <f>IF(COUNT(Resultados!J97,Resultados!T97,Resultados!AD97,Resultados!AX97,Resultados!BR97,Resultados!CB97,Resultados!CV97,Resultados!DF97,Resultados!DP97)&lt;=1, "", _xlfn.STDEV.S(ABS(Resultados!J97),ABS(Resultados!T97),ABS(Resultados!AD97),ABS(Resultados!AX97),ABS(Resultados!BR97),ABS(Resultados!CB97),ABS(Resultados!CV97),ABS(Resultados!DF97),ABS(Resultados!DP97))/SQRT(COUNT(Resultados!J97,Resultados!T97,Resultados!AD97,Resultados!AX97,Resultados!BR97,Resultados!CB97,Resultados!CV97,Resultados!DF97,Resultados!DP97)))</f>
        <v>1.9154182729873464E-3</v>
      </c>
    </row>
    <row r="98" spans="1:10" x14ac:dyDescent="0.3">
      <c r="A98">
        <f>IF(COUNT(Resultados!A98,Resultados!K98,Resultados!U98,Resultados!AO98,Resultados!BI98,Resultados!BS98,Resultados!CM98,Resultados!CW98,Resultados!DG98)&lt;=1, "", _xlfn.STDEV.S(ABS(Resultados!A98),ABS(Resultados!K98),ABS(Resultados!U98),ABS(Resultados!AO98),ABS(Resultados!BI98),ABS(Resultados!BS98),ABS(Resultados!CM98),ABS(Resultados!CW98),ABS(Resultados!DG98))/SQRT(COUNT(Resultados!A98,Resultados!K98,Resultados!U98,Resultados!AO98,Resultados!BI98,Resultados!BS98,Resultados!CM98,Resultados!CW98,Resultados!DG98)))</f>
        <v>0</v>
      </c>
      <c r="B98" t="str">
        <f>IF(COUNT(Resultados!B98,Resultados!L98,Resultados!V98,Resultados!AP98,Resultados!BJ98,Resultados!BT98,Resultados!CN98,Resultados!CX98,Resultados!DH98)&lt;=1, "", _xlfn.STDEV.S(ABS(Resultados!B98),ABS(Resultados!L98),ABS(Resultados!V98),ABS(Resultados!AP98),ABS(Resultados!BJ98),ABS(Resultados!BT98),ABS(Resultados!CN98),ABS(Resultados!CX98),ABS(Resultados!DH98))/SQRT(COUNT(Resultados!B98,Resultados!L98,Resultados!V98,Resultados!AP98,Resultados!BJ98,Resultados!BT98,Resultados!CN98,Resultados!CX98,Resultados!DH98)))</f>
        <v/>
      </c>
      <c r="C98">
        <f>IF(COUNT(Resultados!C98,Resultados!M98,Resultados!W98,Resultados!AQ98,Resultados!BK98,Resultados!BU98,Resultados!CO98,Resultados!CY98,Resultados!DI98)&lt;=1, "", _xlfn.STDEV.S(ABS(Resultados!C98),ABS(Resultados!M98),ABS(Resultados!W98),ABS(Resultados!AQ98),ABS(Resultados!BK98),ABS(Resultados!BU98),ABS(Resultados!CO98),ABS(Resultados!CY98),ABS(Resultados!DI98))/SQRT(COUNT(Resultados!C98,Resultados!M98,Resultados!W98,Resultados!AQ98,Resultados!BK98,Resultados!BU98,Resultados!CO98,Resultados!CY98,Resultados!DI98)))</f>
        <v>0.64788354387170011</v>
      </c>
      <c r="D98">
        <f>IF(COUNT(Resultados!D98,Resultados!N98,Resultados!X98,Resultados!AR98,Resultados!BL98,Resultados!BV98,Resultados!CP98,Resultados!CZ98,Resultados!DJ98)&lt;=1, "", _xlfn.STDEV.S(ABS(Resultados!D98),ABS(Resultados!N98),ABS(Resultados!X98),ABS(Resultados!AR98),ABS(Resultados!BL98),ABS(Resultados!BV98),ABS(Resultados!CP98),ABS(Resultados!CZ98),ABS(Resultados!DJ98))/SQRT(COUNT(Resultados!D98,Resultados!N98,Resultados!X98,Resultados!AR98,Resultados!BL98,Resultados!BV98,Resultados!CP98,Resultados!CZ98,Resultados!DJ98)))</f>
        <v>1.5635706208610321E-3</v>
      </c>
      <c r="E98">
        <f>IF(COUNT(Resultados!E98,Resultados!O98,Resultados!Y98,Resultados!AS98,Resultados!BM98,Resultados!BW98,Resultados!CQ98,Resultados!DA98,Resultados!DK98)&lt;=1, "", _xlfn.STDEV.S(ABS(Resultados!E98),ABS(Resultados!O98),ABS(Resultados!Y98),ABS(Resultados!AS98),ABS(Resultados!BM98),ABS(Resultados!BW98),ABS(Resultados!CQ98),ABS(Resultados!DA98),ABS(Resultados!DK98))/SQRT(COUNT(Resultados!E98,Resultados!O98,Resultados!Y98,Resultados!AS98,Resultados!BM98,Resultados!BW98,Resultados!CQ98,Resultados!DA98,Resultados!DK98)))</f>
        <v>0.11932171607160091</v>
      </c>
      <c r="F98">
        <f>IF(COUNT(Resultados!F98,Resultados!P98,Resultados!Z98,Resultados!AT98,Resultados!BN98,Resultados!BX98,Resultados!CR98,Resultados!DB98,Resultados!DL98)&lt;=1, "", _xlfn.STDEV.S(ABS(Resultados!F98),ABS(Resultados!P98),ABS(Resultados!Z98),ABS(Resultados!AT98),ABS(Resultados!BN98),ABS(Resultados!BX98),ABS(Resultados!CR98),ABS(Resultados!DB98),ABS(Resultados!DL98))/SQRT(COUNT(Resultados!F98,Resultados!P98,Resultados!Z98,Resultados!AT98,Resultados!BN98,Resultados!BX98,Resultados!CR98,Resultados!DB98,Resultados!DL98)))</f>
        <v>11.32363085519493</v>
      </c>
      <c r="G98">
        <f>IF(COUNT(Resultados!G98,Resultados!Q98,Resultados!AA98,Resultados!AU98,Resultados!BO98,Resultados!BY98,Resultados!CS98,Resultados!DC98,Resultados!DM98)&lt;=1, "", _xlfn.STDEV.S(ABS(Resultados!G98),ABS(Resultados!Q98),ABS(Resultados!AA98),ABS(Resultados!AU98),ABS(Resultados!BO98),ABS(Resultados!BY98),ABS(Resultados!CS98),ABS(Resultados!DC98),ABS(Resultados!DM98))/SQRT(COUNT(Resultados!G98,Resultados!Q98,Resultados!AA98,Resultados!AU98,Resultados!BO98,Resultados!BY98,Resultados!CS98,Resultados!DC98,Resultados!DM98)))</f>
        <v>0</v>
      </c>
      <c r="H98">
        <f>IF(COUNT(Resultados!H98,Resultados!R98,Resultados!AB98,Resultados!AV98,Resultados!BP98,Resultados!BZ98,Resultados!CT98,Resultados!DD98,Resultados!DN98)&lt;=1, "", _xlfn.STDEV.S(ABS(Resultados!H98),ABS(Resultados!R98),ABS(Resultados!AB98),ABS(Resultados!AV98),ABS(Resultados!BP98),ABS(Resultados!BZ98),ABS(Resultados!CT98),ABS(Resultados!DD98),ABS(Resultados!DN98))/SQRT(COUNT(Resultados!H98,Resultados!R98,Resultados!AB98,Resultados!AV98,Resultados!BP98,Resultados!BZ98,Resultados!CT98,Resultados!DD98,Resultados!DN98)))</f>
        <v>1.8545739253112677E-3</v>
      </c>
      <c r="I98">
        <f>IF(COUNT(Resultados!I98,Resultados!S98,Resultados!AC98,Resultados!AW98,Resultados!BQ98,Resultados!CA98,Resultados!CU98,Resultados!DE98,Resultados!DO98)&lt;=1, "", _xlfn.STDEV.S(ABS(Resultados!I98),ABS(Resultados!S98),ABS(Resultados!AC98),ABS(Resultados!AW98),ABS(Resultados!BQ98),ABS(Resultados!CA98),ABS(Resultados!CU98),ABS(Resultados!DE98),ABS(Resultados!DO98))/SQRT(COUNT(Resultados!I98,Resultados!S98,Resultados!AC98,Resultados!AW98,Resultados!BQ98,Resultados!CA98,Resultados!CU98,Resultados!DE98,Resultados!DO98)))</f>
        <v>4.4678223788153816E-2</v>
      </c>
      <c r="J98">
        <f>IF(COUNT(Resultados!J98,Resultados!T98,Resultados!AD98,Resultados!AX98,Resultados!BR98,Resultados!CB98,Resultados!CV98,Resultados!DF98,Resultados!DP98)&lt;=1, "", _xlfn.STDEV.S(ABS(Resultados!J98),ABS(Resultados!T98),ABS(Resultados!AD98),ABS(Resultados!AX98),ABS(Resultados!BR98),ABS(Resultados!CB98),ABS(Resultados!CV98),ABS(Resultados!DF98),ABS(Resultados!DP98))/SQRT(COUNT(Resultados!J98,Resultados!T98,Resultados!AD98,Resultados!AX98,Resultados!BR98,Resultados!CB98,Resultados!CV98,Resultados!DF98,Resultados!DP98)))</f>
        <v>1.8545739253112677E-3</v>
      </c>
    </row>
    <row r="99" spans="1:10" x14ac:dyDescent="0.3">
      <c r="A99">
        <f>IF(COUNT(Resultados!A99,Resultados!K99,Resultados!U99,Resultados!AO99,Resultados!BI99,Resultados!BS99,Resultados!CM99,Resultados!CW99,Resultados!DG99)&lt;=1, "", _xlfn.STDEV.S(ABS(Resultados!A99),ABS(Resultados!K99),ABS(Resultados!U99),ABS(Resultados!AO99),ABS(Resultados!BI99),ABS(Resultados!BS99),ABS(Resultados!CM99),ABS(Resultados!CW99),ABS(Resultados!DG99))/SQRT(COUNT(Resultados!A99,Resultados!K99,Resultados!U99,Resultados!AO99,Resultados!BI99,Resultados!BS99,Resultados!CM99,Resultados!CW99,Resultados!DG99)))</f>
        <v>0</v>
      </c>
      <c r="B99" t="str">
        <f>IF(COUNT(Resultados!B99,Resultados!L99,Resultados!V99,Resultados!AP99,Resultados!BJ99,Resultados!BT99,Resultados!CN99,Resultados!CX99,Resultados!DH99)&lt;=1, "", _xlfn.STDEV.S(ABS(Resultados!B99),ABS(Resultados!L99),ABS(Resultados!V99),ABS(Resultados!AP99),ABS(Resultados!BJ99),ABS(Resultados!BT99),ABS(Resultados!CN99),ABS(Resultados!CX99),ABS(Resultados!DH99))/SQRT(COUNT(Resultados!B99,Resultados!L99,Resultados!V99,Resultados!AP99,Resultados!BJ99,Resultados!BT99,Resultados!CN99,Resultados!CX99,Resultados!DH99)))</f>
        <v/>
      </c>
      <c r="C99">
        <f>IF(COUNT(Resultados!C99,Resultados!M99,Resultados!W99,Resultados!AQ99,Resultados!BK99,Resultados!BU99,Resultados!CO99,Resultados!CY99,Resultados!DI99)&lt;=1, "", _xlfn.STDEV.S(ABS(Resultados!C99),ABS(Resultados!M99),ABS(Resultados!W99),ABS(Resultados!AQ99),ABS(Resultados!BK99),ABS(Resultados!BU99),ABS(Resultados!CO99),ABS(Resultados!CY99),ABS(Resultados!DI99))/SQRT(COUNT(Resultados!C99,Resultados!M99,Resultados!W99,Resultados!AQ99,Resultados!BK99,Resultados!BU99,Resultados!CO99,Resultados!CY99,Resultados!DI99)))</f>
        <v>0.64788354387170011</v>
      </c>
      <c r="D99">
        <f>IF(COUNT(Resultados!D99,Resultados!N99,Resultados!X99,Resultados!AR99,Resultados!BL99,Resultados!BV99,Resultados!CP99,Resultados!CZ99,Resultados!DJ99)&lt;=1, "", _xlfn.STDEV.S(ABS(Resultados!D99),ABS(Resultados!N99),ABS(Resultados!X99),ABS(Resultados!AR99),ABS(Resultados!BL99),ABS(Resultados!BV99),ABS(Resultados!CP99),ABS(Resultados!CZ99),ABS(Resultados!DJ99))/SQRT(COUNT(Resultados!D99,Resultados!N99,Resultados!X99,Resultados!AR99,Resultados!BL99,Resultados!BV99,Resultados!CP99,Resultados!CZ99,Resultados!DJ99)))</f>
        <v>1.5746643773307896E-3</v>
      </c>
      <c r="E99">
        <f>IF(COUNT(Resultados!E99,Resultados!O99,Resultados!Y99,Resultados!AS99,Resultados!BM99,Resultados!BW99,Resultados!CQ99,Resultados!DA99,Resultados!DK99)&lt;=1, "", _xlfn.STDEV.S(ABS(Resultados!E99),ABS(Resultados!O99),ABS(Resultados!Y99),ABS(Resultados!AS99),ABS(Resultados!BM99),ABS(Resultados!BW99),ABS(Resultados!CQ99),ABS(Resultados!DA99),ABS(Resultados!DK99))/SQRT(COUNT(Resultados!E99,Resultados!O99,Resultados!Y99,Resultados!AS99,Resultados!BM99,Resultados!BW99,Resultados!CQ99,Resultados!DA99,Resultados!DK99)))</f>
        <v>0.11237975746298474</v>
      </c>
      <c r="F99">
        <f>IF(COUNT(Resultados!F99,Resultados!P99,Resultados!Z99,Resultados!AT99,Resultados!BN99,Resultados!BX99,Resultados!CR99,Resultados!DB99,Resultados!DL99)&lt;=1, "", _xlfn.STDEV.S(ABS(Resultados!F99),ABS(Resultados!P99),ABS(Resultados!Z99),ABS(Resultados!AT99),ABS(Resultados!BN99),ABS(Resultados!BX99),ABS(Resultados!CR99),ABS(Resultados!DB99),ABS(Resultados!DL99))/SQRT(COUNT(Resultados!F99,Resultados!P99,Resultados!Z99,Resultados!AT99,Resultados!BN99,Resultados!BX99,Resultados!CR99,Resultados!DB99,Resultados!DL99)))</f>
        <v>10.664838983237258</v>
      </c>
      <c r="G99">
        <f>IF(COUNT(Resultados!G99,Resultados!Q99,Resultados!AA99,Resultados!AU99,Resultados!BO99,Resultados!BY99,Resultados!CS99,Resultados!DC99,Resultados!DM99)&lt;=1, "", _xlfn.STDEV.S(ABS(Resultados!G99),ABS(Resultados!Q99),ABS(Resultados!AA99),ABS(Resultados!AU99),ABS(Resultados!BO99),ABS(Resultados!BY99),ABS(Resultados!CS99),ABS(Resultados!DC99),ABS(Resultados!DM99))/SQRT(COUNT(Resultados!G99,Resultados!Q99,Resultados!AA99,Resultados!AU99,Resultados!BO99,Resultados!BY99,Resultados!CS99,Resultados!DC99,Resultados!DM99)))</f>
        <v>0</v>
      </c>
      <c r="H99">
        <f>IF(COUNT(Resultados!H99,Resultados!R99,Resultados!AB99,Resultados!AV99,Resultados!BP99,Resultados!BZ99,Resultados!CT99,Resultados!DD99,Resultados!DN99)&lt;=1, "", _xlfn.STDEV.S(ABS(Resultados!H99),ABS(Resultados!R99),ABS(Resultados!AB99),ABS(Resultados!AV99),ABS(Resultados!BP99),ABS(Resultados!BZ99),ABS(Resultados!CT99),ABS(Resultados!DD99),ABS(Resultados!DN99))/SQRT(COUNT(Resultados!H99,Resultados!R99,Resultados!AB99,Resultados!AV99,Resultados!BP99,Resultados!BZ99,Resultados!CT99,Resultados!DD99,Resultados!DN99)))</f>
        <v>1.7511195713275616E-3</v>
      </c>
      <c r="I99">
        <f>IF(COUNT(Resultados!I99,Resultados!S99,Resultados!AC99,Resultados!AW99,Resultados!BQ99,Resultados!CA99,Resultados!CU99,Resultados!DE99,Resultados!DO99)&lt;=1, "", _xlfn.STDEV.S(ABS(Resultados!I99),ABS(Resultados!S99),ABS(Resultados!AC99),ABS(Resultados!AW99),ABS(Resultados!BQ99),ABS(Resultados!CA99),ABS(Resultados!CU99),ABS(Resultados!DE99),ABS(Resultados!DO99))/SQRT(COUNT(Resultados!I99,Resultados!S99,Resultados!AC99,Resultados!AW99,Resultados!BQ99,Resultados!CA99,Resultados!CU99,Resultados!DE99,Resultados!DO99)))</f>
        <v>4.4461901370236395E-2</v>
      </c>
      <c r="J99">
        <f>IF(COUNT(Resultados!J99,Resultados!T99,Resultados!AD99,Resultados!AX99,Resultados!BR99,Resultados!CB99,Resultados!CV99,Resultados!DF99,Resultados!DP99)&lt;=1, "", _xlfn.STDEV.S(ABS(Resultados!J99),ABS(Resultados!T99),ABS(Resultados!AD99),ABS(Resultados!AX99),ABS(Resultados!BR99),ABS(Resultados!CB99),ABS(Resultados!CV99),ABS(Resultados!DF99),ABS(Resultados!DP99))/SQRT(COUNT(Resultados!J99,Resultados!T99,Resultados!AD99,Resultados!AX99,Resultados!BR99,Resultados!CB99,Resultados!CV99,Resultados!DF99,Resultados!DP99)))</f>
        <v>1.7511195713275616E-3</v>
      </c>
    </row>
    <row r="100" spans="1:10" x14ac:dyDescent="0.3">
      <c r="A100">
        <f>IF(COUNT(Resultados!A100,Resultados!K100,Resultados!U100,Resultados!AO100,Resultados!BI100,Resultados!BS100,Resultados!CM100,Resultados!CW100,Resultados!DG100)&lt;=1, "", _xlfn.STDEV.S(ABS(Resultados!A100),ABS(Resultados!K100),ABS(Resultados!U100),ABS(Resultados!AO100),ABS(Resultados!BI100),ABS(Resultados!BS100),ABS(Resultados!CM100),ABS(Resultados!CW100),ABS(Resultados!DG100))/SQRT(COUNT(Resultados!A100,Resultados!K100,Resultados!U100,Resultados!AO100,Resultados!BI100,Resultados!BS100,Resultados!CM100,Resultados!CW100,Resultados!DG100)))</f>
        <v>0</v>
      </c>
      <c r="B100" t="str">
        <f>IF(COUNT(Resultados!B100,Resultados!L100,Resultados!V100,Resultados!AP100,Resultados!BJ100,Resultados!BT100,Resultados!CN100,Resultados!CX100,Resultados!DH100)&lt;=1, "", _xlfn.STDEV.S(ABS(Resultados!B100),ABS(Resultados!L100),ABS(Resultados!V100),ABS(Resultados!AP100),ABS(Resultados!BJ100),ABS(Resultados!BT100),ABS(Resultados!CN100),ABS(Resultados!CX100),ABS(Resultados!DH100))/SQRT(COUNT(Resultados!B100,Resultados!L100,Resultados!V100,Resultados!AP100,Resultados!BJ100,Resultados!BT100,Resultados!CN100,Resultados!CX100,Resultados!DH100)))</f>
        <v/>
      </c>
      <c r="C100">
        <f>IF(COUNT(Resultados!C100,Resultados!M100,Resultados!W100,Resultados!AQ100,Resultados!BK100,Resultados!BU100,Resultados!CO100,Resultados!CY100,Resultados!DI100)&lt;=1, "", _xlfn.STDEV.S(ABS(Resultados!C100),ABS(Resultados!M100),ABS(Resultados!W100),ABS(Resultados!AQ100),ABS(Resultados!BK100),ABS(Resultados!BU100),ABS(Resultados!CO100),ABS(Resultados!CY100),ABS(Resultados!DI100))/SQRT(COUNT(Resultados!C100,Resultados!M100,Resultados!W100,Resultados!AQ100,Resultados!BK100,Resultados!BU100,Resultados!CO100,Resultados!CY100,Resultados!DI100)))</f>
        <v>0.64788354387170011</v>
      </c>
      <c r="D100">
        <f>IF(COUNT(Resultados!D100,Resultados!N100,Resultados!X100,Resultados!AR100,Resultados!BL100,Resultados!BV100,Resultados!CP100,Resultados!CZ100,Resultados!DJ100)&lt;=1, "", _xlfn.STDEV.S(ABS(Resultados!D100),ABS(Resultados!N100),ABS(Resultados!X100),ABS(Resultados!AR100),ABS(Resultados!BL100),ABS(Resultados!BV100),ABS(Resultados!CP100),ABS(Resultados!CZ100),ABS(Resultados!DJ100))/SQRT(COUNT(Resultados!D100,Resultados!N100,Resultados!X100,Resultados!AR100,Resultados!BL100,Resultados!BV100,Resultados!CP100,Resultados!CZ100,Resultados!DJ100)))</f>
        <v>1.5882768829112014E-3</v>
      </c>
      <c r="E100">
        <f>IF(COUNT(Resultados!E100,Resultados!O100,Resultados!Y100,Resultados!AS100,Resultados!BM100,Resultados!BW100,Resultados!CQ100,Resultados!DA100,Resultados!DK100)&lt;=1, "", _xlfn.STDEV.S(ABS(Resultados!E100),ABS(Resultados!O100),ABS(Resultados!Y100),ABS(Resultados!AS100),ABS(Resultados!BM100),ABS(Resultados!BW100),ABS(Resultados!CQ100),ABS(Resultados!DA100),ABS(Resultados!DK100))/SQRT(COUNT(Resultados!E100,Resultados!O100,Resultados!Y100,Resultados!AS100,Resultados!BM100,Resultados!BW100,Resultados!CQ100,Resultados!DA100,Resultados!DK100)))</f>
        <v>0.10478598219719566</v>
      </c>
      <c r="F100">
        <f>IF(COUNT(Resultados!F100,Resultados!P100,Resultados!Z100,Resultados!AT100,Resultados!BN100,Resultados!BX100,Resultados!CR100,Resultados!DB100,Resultados!DL100)&lt;=1, "", _xlfn.STDEV.S(ABS(Resultados!F100),ABS(Resultados!P100),ABS(Resultados!Z100),ABS(Resultados!AT100),ABS(Resultados!BN100),ABS(Resultados!BX100),ABS(Resultados!CR100),ABS(Resultados!DB100),ABS(Resultados!DL100))/SQRT(COUNT(Resultados!F100,Resultados!P100,Resultados!Z100,Resultados!AT100,Resultados!BN100,Resultados!BX100,Resultados!CR100,Resultados!DB100,Resultados!DL100)))</f>
        <v>9.944189710513859</v>
      </c>
      <c r="G100">
        <f>IF(COUNT(Resultados!G100,Resultados!Q100,Resultados!AA100,Resultados!AU100,Resultados!BO100,Resultados!BY100,Resultados!CS100,Resultados!DC100,Resultados!DM100)&lt;=1, "", _xlfn.STDEV.S(ABS(Resultados!G100),ABS(Resultados!Q100),ABS(Resultados!AA100),ABS(Resultados!AU100),ABS(Resultados!BO100),ABS(Resultados!BY100),ABS(Resultados!CS100),ABS(Resultados!DC100),ABS(Resultados!DM100))/SQRT(COUNT(Resultados!G100,Resultados!Q100,Resultados!AA100,Resultados!AU100,Resultados!BO100,Resultados!BY100,Resultados!CS100,Resultados!DC100,Resultados!DM100)))</f>
        <v>0</v>
      </c>
      <c r="H100">
        <f>IF(COUNT(Resultados!H100,Resultados!R100,Resultados!AB100,Resultados!AV100,Resultados!BP100,Resultados!BZ100,Resultados!CT100,Resultados!DD100,Resultados!DN100)&lt;=1, "", _xlfn.STDEV.S(ABS(Resultados!H100),ABS(Resultados!R100),ABS(Resultados!AB100),ABS(Resultados!AV100),ABS(Resultados!BP100),ABS(Resultados!BZ100),ABS(Resultados!CT100),ABS(Resultados!DD100),ABS(Resultados!DN100))/SQRT(COUNT(Resultados!H100,Resultados!R100,Resultados!AB100,Resultados!AV100,Resultados!BP100,Resultados!BZ100,Resultados!CT100,Resultados!DD100,Resultados!DN100)))</f>
        <v>1.6270286482487743E-3</v>
      </c>
      <c r="I100">
        <f>IF(COUNT(Resultados!I100,Resultados!S100,Resultados!AC100,Resultados!AW100,Resultados!BQ100,Resultados!CA100,Resultados!CU100,Resultados!DE100,Resultados!DO100)&lt;=1, "", _xlfn.STDEV.S(ABS(Resultados!I100),ABS(Resultados!S100),ABS(Resultados!AC100),ABS(Resultados!AW100),ABS(Resultados!BQ100),ABS(Resultados!CA100),ABS(Resultados!CU100),ABS(Resultados!DE100),ABS(Resultados!DO100))/SQRT(COUNT(Resultados!I100,Resultados!S100,Resultados!AC100,Resultados!AW100,Resultados!BQ100,Resultados!CA100,Resultados!CU100,Resultados!DE100,Resultados!DO100)))</f>
        <v>5.9343078329987926E-2</v>
      </c>
      <c r="J100">
        <f>IF(COUNT(Resultados!J100,Resultados!T100,Resultados!AD100,Resultados!AX100,Resultados!BR100,Resultados!CB100,Resultados!CV100,Resultados!DF100,Resultados!DP100)&lt;=1, "", _xlfn.STDEV.S(ABS(Resultados!J100),ABS(Resultados!T100),ABS(Resultados!AD100),ABS(Resultados!AX100),ABS(Resultados!BR100),ABS(Resultados!CB100),ABS(Resultados!CV100),ABS(Resultados!DF100),ABS(Resultados!DP100))/SQRT(COUNT(Resultados!J100,Resultados!T100,Resultados!AD100,Resultados!AX100,Resultados!BR100,Resultados!CB100,Resultados!CV100,Resultados!DF100,Resultados!DP100)))</f>
        <v>1.6270286482487743E-3</v>
      </c>
    </row>
    <row r="101" spans="1:10" x14ac:dyDescent="0.3">
      <c r="A101">
        <f>IF(COUNT(Resultados!A101,Resultados!K101,Resultados!U101,Resultados!AO101,Resultados!BI101,Resultados!BS101,Resultados!CM101,Resultados!CW101,Resultados!DG101)&lt;=1, "", _xlfn.STDEV.S(ABS(Resultados!A101),ABS(Resultados!K101),ABS(Resultados!U101),ABS(Resultados!AO101),ABS(Resultados!BI101),ABS(Resultados!BS101),ABS(Resultados!CM101),ABS(Resultados!CW101),ABS(Resultados!DG101))/SQRT(COUNT(Resultados!A101,Resultados!K101,Resultados!U101,Resultados!AO101,Resultados!BI101,Resultados!BS101,Resultados!CM101,Resultados!CW101,Resultados!DG101)))</f>
        <v>0</v>
      </c>
      <c r="B101" t="str">
        <f>IF(COUNT(Resultados!B101,Resultados!L101,Resultados!V101,Resultados!AP101,Resultados!BJ101,Resultados!BT101,Resultados!CN101,Resultados!CX101,Resultados!DH101)&lt;=1, "", _xlfn.STDEV.S(ABS(Resultados!B101),ABS(Resultados!L101),ABS(Resultados!V101),ABS(Resultados!AP101),ABS(Resultados!BJ101),ABS(Resultados!BT101),ABS(Resultados!CN101),ABS(Resultados!CX101),ABS(Resultados!DH101))/SQRT(COUNT(Resultados!B101,Resultados!L101,Resultados!V101,Resultados!AP101,Resultados!BJ101,Resultados!BT101,Resultados!CN101,Resultados!CX101,Resultados!DH101)))</f>
        <v/>
      </c>
      <c r="C101">
        <f>IF(COUNT(Resultados!C101,Resultados!M101,Resultados!W101,Resultados!AQ101,Resultados!BK101,Resultados!BU101,Resultados!CO101,Resultados!CY101,Resultados!DI101)&lt;=1, "", _xlfn.STDEV.S(ABS(Resultados!C101),ABS(Resultados!M101),ABS(Resultados!W101),ABS(Resultados!AQ101),ABS(Resultados!BK101),ABS(Resultados!BU101),ABS(Resultados!CO101),ABS(Resultados!CY101),ABS(Resultados!DI101))/SQRT(COUNT(Resultados!C101,Resultados!M101,Resultados!W101,Resultados!AQ101,Resultados!BK101,Resultados!BU101,Resultados!CO101,Resultados!CY101,Resultados!DI101)))</f>
        <v>0.64788354387170011</v>
      </c>
      <c r="D101">
        <f>IF(COUNT(Resultados!D101,Resultados!N101,Resultados!X101,Resultados!AR101,Resultados!BL101,Resultados!BV101,Resultados!CP101,Resultados!CZ101,Resultados!DJ101)&lt;=1, "", _xlfn.STDEV.S(ABS(Resultados!D101),ABS(Resultados!N101),ABS(Resultados!X101),ABS(Resultados!AR101),ABS(Resultados!BL101),ABS(Resultados!BV101),ABS(Resultados!CP101),ABS(Resultados!CZ101),ABS(Resultados!DJ101))/SQRT(COUNT(Resultados!D101,Resultados!N101,Resultados!X101,Resultados!AR101,Resultados!BL101,Resultados!BV101,Resultados!CP101,Resultados!CZ101,Resultados!DJ101)))</f>
        <v>1.5384977441133846E-3</v>
      </c>
      <c r="E101">
        <f>IF(COUNT(Resultados!E101,Resultados!O101,Resultados!Y101,Resultados!AS101,Resultados!BM101,Resultados!BW101,Resultados!CQ101,Resultados!DA101,Resultados!DK101)&lt;=1, "", _xlfn.STDEV.S(ABS(Resultados!E101),ABS(Resultados!O101),ABS(Resultados!Y101),ABS(Resultados!AS101),ABS(Resultados!BM101),ABS(Resultados!BW101),ABS(Resultados!CQ101),ABS(Resultados!DA101),ABS(Resultados!DK101))/SQRT(COUNT(Resultados!E101,Resultados!O101,Resultados!Y101,Resultados!AS101,Resultados!BM101,Resultados!BW101,Resultados!CQ101,Resultados!DA101,Resultados!DK101)))</f>
        <v>9.2699175473159964E-2</v>
      </c>
      <c r="F101">
        <f>IF(COUNT(Resultados!F101,Resultados!P101,Resultados!Z101,Resultados!AT101,Resultados!BN101,Resultados!BX101,Resultados!CR101,Resultados!DB101,Resultados!DL101)&lt;=1, "", _xlfn.STDEV.S(ABS(Resultados!F101),ABS(Resultados!P101),ABS(Resultados!Z101),ABS(Resultados!AT101),ABS(Resultados!BN101),ABS(Resultados!BX101),ABS(Resultados!CR101),ABS(Resultados!DB101),ABS(Resultados!DL101))/SQRT(COUNT(Resultados!F101,Resultados!P101,Resultados!Z101,Resultados!AT101,Resultados!BN101,Resultados!BX101,Resultados!CR101,Resultados!DB101,Resultados!DL101)))</f>
        <v>12.989114793248056</v>
      </c>
      <c r="G101">
        <f>IF(COUNT(Resultados!G101,Resultados!Q101,Resultados!AA101,Resultados!AU101,Resultados!BO101,Resultados!BY101,Resultados!CS101,Resultados!DC101,Resultados!DM101)&lt;=1, "", _xlfn.STDEV.S(ABS(Resultados!G101),ABS(Resultados!Q101),ABS(Resultados!AA101),ABS(Resultados!AU101),ABS(Resultados!BO101),ABS(Resultados!BY101),ABS(Resultados!CS101),ABS(Resultados!DC101),ABS(Resultados!DM101))/SQRT(COUNT(Resultados!G101,Resultados!Q101,Resultados!AA101,Resultados!AU101,Resultados!BO101,Resultados!BY101,Resultados!CS101,Resultados!DC101,Resultados!DM101)))</f>
        <v>0</v>
      </c>
      <c r="H101">
        <f>IF(COUNT(Resultados!H101,Resultados!R101,Resultados!AB101,Resultados!AV101,Resultados!BP101,Resultados!BZ101,Resultados!CT101,Resultados!DD101,Resultados!DN101)&lt;=1, "", _xlfn.STDEV.S(ABS(Resultados!H101),ABS(Resultados!R101),ABS(Resultados!AB101),ABS(Resultados!AV101),ABS(Resultados!BP101),ABS(Resultados!BZ101),ABS(Resultados!CT101),ABS(Resultados!DD101),ABS(Resultados!DN101))/SQRT(COUNT(Resultados!H101,Resultados!R101,Resultados!AB101,Resultados!AV101,Resultados!BP101,Resultados!BZ101,Resultados!CT101,Resultados!DD101,Resultados!DN101)))</f>
        <v>1.4392427707257771E-3</v>
      </c>
      <c r="I101">
        <f>IF(COUNT(Resultados!I101,Resultados!S101,Resultados!AC101,Resultados!AW101,Resultados!BQ101,Resultados!CA101,Resultados!CU101,Resultados!DE101,Resultados!DO101)&lt;=1, "", _xlfn.STDEV.S(ABS(Resultados!I101),ABS(Resultados!S101),ABS(Resultados!AC101),ABS(Resultados!AW101),ABS(Resultados!BQ101),ABS(Resultados!CA101),ABS(Resultados!CU101),ABS(Resultados!DE101),ABS(Resultados!DO101))/SQRT(COUNT(Resultados!I101,Resultados!S101,Resultados!AC101,Resultados!AW101,Resultados!BQ101,Resultados!CA101,Resultados!CU101,Resultados!DE101,Resultados!DO101)))</f>
        <v>5.8924572854721156E-2</v>
      </c>
      <c r="J101">
        <f>IF(COUNT(Resultados!J101,Resultados!T101,Resultados!AD101,Resultados!AX101,Resultados!BR101,Resultados!CB101,Resultados!CV101,Resultados!DF101,Resultados!DP101)&lt;=1, "", _xlfn.STDEV.S(ABS(Resultados!J101),ABS(Resultados!T101),ABS(Resultados!AD101),ABS(Resultados!AX101),ABS(Resultados!BR101),ABS(Resultados!CB101),ABS(Resultados!CV101),ABS(Resultados!DF101),ABS(Resultados!DP101))/SQRT(COUNT(Resultados!J101,Resultados!T101,Resultados!AD101,Resultados!AX101,Resultados!BR101,Resultados!CB101,Resultados!CV101,Resultados!DF101,Resultados!DP101)))</f>
        <v>1.4392427707257771E-3</v>
      </c>
    </row>
    <row r="102" spans="1:10" x14ac:dyDescent="0.3">
      <c r="A102">
        <f>IF(COUNT(Resultados!A102,Resultados!K102,Resultados!U102,Resultados!AO102,Resultados!BI102,Resultados!BS102,Resultados!CM102,Resultados!CW102,Resultados!DG102)&lt;=1, "", _xlfn.STDEV.S(ABS(Resultados!A102),ABS(Resultados!K102),ABS(Resultados!U102),ABS(Resultados!AO102),ABS(Resultados!BI102),ABS(Resultados!BS102),ABS(Resultados!CM102),ABS(Resultados!CW102),ABS(Resultados!DG102))/SQRT(COUNT(Resultados!A102,Resultados!K102,Resultados!U102,Resultados!AO102,Resultados!BI102,Resultados!BS102,Resultados!CM102,Resultados!CW102,Resultados!DG102)))</f>
        <v>0</v>
      </c>
      <c r="B102" t="str">
        <f>IF(COUNT(Resultados!B102,Resultados!L102,Resultados!V102,Resultados!AP102,Resultados!BJ102,Resultados!BT102,Resultados!CN102,Resultados!CX102,Resultados!DH102)&lt;=1, "", _xlfn.STDEV.S(ABS(Resultados!B102),ABS(Resultados!L102),ABS(Resultados!V102),ABS(Resultados!AP102),ABS(Resultados!BJ102),ABS(Resultados!BT102),ABS(Resultados!CN102),ABS(Resultados!CX102),ABS(Resultados!DH102))/SQRT(COUNT(Resultados!B102,Resultados!L102,Resultados!V102,Resultados!AP102,Resultados!BJ102,Resultados!BT102,Resultados!CN102,Resultados!CX102,Resultados!DH102)))</f>
        <v/>
      </c>
      <c r="C102">
        <f>IF(COUNT(Resultados!C102,Resultados!M102,Resultados!W102,Resultados!AQ102,Resultados!BK102,Resultados!BU102,Resultados!CO102,Resultados!CY102,Resultados!DI102)&lt;=1, "", _xlfn.STDEV.S(ABS(Resultados!C102),ABS(Resultados!M102),ABS(Resultados!W102),ABS(Resultados!AQ102),ABS(Resultados!BK102),ABS(Resultados!BU102),ABS(Resultados!CO102),ABS(Resultados!CY102),ABS(Resultados!DI102))/SQRT(COUNT(Resultados!C102,Resultados!M102,Resultados!W102,Resultados!AQ102,Resultados!BK102,Resultados!BU102,Resultados!CO102,Resultados!CY102,Resultados!DI102)))</f>
        <v>0.64788354387170011</v>
      </c>
      <c r="D102">
        <f>IF(COUNT(Resultados!D102,Resultados!N102,Resultados!X102,Resultados!AR102,Resultados!BL102,Resultados!BV102,Resultados!CP102,Resultados!CZ102,Resultados!DJ102)&lt;=1, "", _xlfn.STDEV.S(ABS(Resultados!D102),ABS(Resultados!N102),ABS(Resultados!X102),ABS(Resultados!AR102),ABS(Resultados!BL102),ABS(Resultados!BV102),ABS(Resultados!CP102),ABS(Resultados!CZ102),ABS(Resultados!DJ102))/SQRT(COUNT(Resultados!D102,Resultados!N102,Resultados!X102,Resultados!AR102,Resultados!BL102,Resultados!BV102,Resultados!CP102,Resultados!CZ102,Resultados!DJ102)))</f>
        <v>1.3703315810326014E-3</v>
      </c>
      <c r="E102">
        <f>IF(COUNT(Resultados!E102,Resultados!O102,Resultados!Y102,Resultados!AS102,Resultados!BM102,Resultados!BW102,Resultados!CQ102,Resultados!DA102,Resultados!DK102)&lt;=1, "", _xlfn.STDEV.S(ABS(Resultados!E102),ABS(Resultados!O102),ABS(Resultados!Y102),ABS(Resultados!AS102),ABS(Resultados!BM102),ABS(Resultados!BW102),ABS(Resultados!CQ102),ABS(Resultados!DA102),ABS(Resultados!DK102))/SQRT(COUNT(Resultados!E102,Resultados!O102,Resultados!Y102,Resultados!AS102,Resultados!BM102,Resultados!BW102,Resultados!CQ102,Resultados!DA102,Resultados!DK102)))</f>
        <v>7.88887563218518E-2</v>
      </c>
      <c r="F102">
        <f>IF(COUNT(Resultados!F102,Resultados!P102,Resultados!Z102,Resultados!AT102,Resultados!BN102,Resultados!BX102,Resultados!CR102,Resultados!DB102,Resultados!DL102)&lt;=1, "", _xlfn.STDEV.S(ABS(Resultados!F102),ABS(Resultados!P102),ABS(Resultados!Z102),ABS(Resultados!AT102),ABS(Resultados!BN102),ABS(Resultados!BX102),ABS(Resultados!CR102),ABS(Resultados!DB102),ABS(Resultados!DL102))/SQRT(COUNT(Resultados!F102,Resultados!P102,Resultados!Z102,Resultados!AT102,Resultados!BN102,Resultados!BX102,Resultados!CR102,Resultados!DB102,Resultados!DL102)))</f>
        <v>12.766794491098027</v>
      </c>
      <c r="G102">
        <f>IF(COUNT(Resultados!G102,Resultados!Q102,Resultados!AA102,Resultados!AU102,Resultados!BO102,Resultados!BY102,Resultados!CS102,Resultados!DC102,Resultados!DM102)&lt;=1, "", _xlfn.STDEV.S(ABS(Resultados!G102),ABS(Resultados!Q102),ABS(Resultados!AA102),ABS(Resultados!AU102),ABS(Resultados!BO102),ABS(Resultados!BY102),ABS(Resultados!CS102),ABS(Resultados!DC102),ABS(Resultados!DM102))/SQRT(COUNT(Resultados!G102,Resultados!Q102,Resultados!AA102,Resultados!AU102,Resultados!BO102,Resultados!BY102,Resultados!CS102,Resultados!DC102,Resultados!DM102)))</f>
        <v>0</v>
      </c>
      <c r="H102">
        <f>IF(COUNT(Resultados!H102,Resultados!R102,Resultados!AB102,Resultados!AV102,Resultados!BP102,Resultados!BZ102,Resultados!CT102,Resultados!DD102,Resultados!DN102)&lt;=1, "", _xlfn.STDEV.S(ABS(Resultados!H102),ABS(Resultados!R102),ABS(Resultados!AB102),ABS(Resultados!AV102),ABS(Resultados!BP102),ABS(Resultados!BZ102),ABS(Resultados!CT102),ABS(Resultados!DD102),ABS(Resultados!DN102))/SQRT(COUNT(Resultados!H102,Resultados!R102,Resultados!AB102,Resultados!AV102,Resultados!BP102,Resultados!BZ102,Resultados!CT102,Resultados!DD102,Resultados!DN102)))</f>
        <v>1.2255132459705945E-3</v>
      </c>
      <c r="I102">
        <f>IF(COUNT(Resultados!I102,Resultados!S102,Resultados!AC102,Resultados!AW102,Resultados!BQ102,Resultados!CA102,Resultados!CU102,Resultados!DE102,Resultados!DO102)&lt;=1, "", _xlfn.STDEV.S(ABS(Resultados!I102),ABS(Resultados!S102),ABS(Resultados!AC102),ABS(Resultados!AW102),ABS(Resultados!BQ102),ABS(Resultados!CA102),ABS(Resultados!CU102),ABS(Resultados!DE102),ABS(Resultados!DO102))/SQRT(COUNT(Resultados!I102,Resultados!S102,Resultados!AC102,Resultados!AW102,Resultados!BQ102,Resultados!CA102,Resultados!CU102,Resultados!DE102,Resultados!DO102)))</f>
        <v>5.9110220996325506E-2</v>
      </c>
      <c r="J102">
        <f>IF(COUNT(Resultados!J102,Resultados!T102,Resultados!AD102,Resultados!AX102,Resultados!BR102,Resultados!CB102,Resultados!CV102,Resultados!DF102,Resultados!DP102)&lt;=1, "", _xlfn.STDEV.S(ABS(Resultados!J102),ABS(Resultados!T102),ABS(Resultados!AD102),ABS(Resultados!AX102),ABS(Resultados!BR102),ABS(Resultados!CB102),ABS(Resultados!CV102),ABS(Resultados!DF102),ABS(Resultados!DP102))/SQRT(COUNT(Resultados!J102,Resultados!T102,Resultados!AD102,Resultados!AX102,Resultados!BR102,Resultados!CB102,Resultados!CV102,Resultados!DF102,Resultados!DP102)))</f>
        <v>1.2255132459705945E-3</v>
      </c>
    </row>
    <row r="103" spans="1:10" x14ac:dyDescent="0.3">
      <c r="A103">
        <f>IF(COUNT(Resultados!A103,Resultados!K103,Resultados!U103,Resultados!AO103,Resultados!BI103,Resultados!BS103,Resultados!CM103,Resultados!CW103,Resultados!DG103)&lt;=1, "", _xlfn.STDEV.S(ABS(Resultados!A103),ABS(Resultados!K103),ABS(Resultados!U103),ABS(Resultados!AO103),ABS(Resultados!BI103),ABS(Resultados!BS103),ABS(Resultados!CM103),ABS(Resultados!CW103),ABS(Resultados!DG103))/SQRT(COUNT(Resultados!A103,Resultados!K103,Resultados!U103,Resultados!AO103,Resultados!BI103,Resultados!BS103,Resultados!CM103,Resultados!CW103,Resultados!DG103)))</f>
        <v>0</v>
      </c>
      <c r="B103" t="str">
        <f>IF(COUNT(Resultados!B103,Resultados!L103,Resultados!V103,Resultados!AP103,Resultados!BJ103,Resultados!BT103,Resultados!CN103,Resultados!CX103,Resultados!DH103)&lt;=1, "", _xlfn.STDEV.S(ABS(Resultados!B103),ABS(Resultados!L103),ABS(Resultados!V103),ABS(Resultados!AP103),ABS(Resultados!BJ103),ABS(Resultados!BT103),ABS(Resultados!CN103),ABS(Resultados!CX103),ABS(Resultados!DH103))/SQRT(COUNT(Resultados!B103,Resultados!L103,Resultados!V103,Resultados!AP103,Resultados!BJ103,Resultados!BT103,Resultados!CN103,Resultados!CX103,Resultados!DH103)))</f>
        <v/>
      </c>
      <c r="C103">
        <f>IF(COUNT(Resultados!C103,Resultados!M103,Resultados!W103,Resultados!AQ103,Resultados!BK103,Resultados!BU103,Resultados!CO103,Resultados!CY103,Resultados!DI103)&lt;=1, "", _xlfn.STDEV.S(ABS(Resultados!C103),ABS(Resultados!M103),ABS(Resultados!W103),ABS(Resultados!AQ103),ABS(Resultados!BK103),ABS(Resultados!BU103),ABS(Resultados!CO103),ABS(Resultados!CY103),ABS(Resultados!DI103))/SQRT(COUNT(Resultados!C103,Resultados!M103,Resultados!W103,Resultados!AQ103,Resultados!BK103,Resultados!BU103,Resultados!CO103,Resultados!CY103,Resultados!DI103)))</f>
        <v>0.64788354387170011</v>
      </c>
      <c r="D103">
        <f>IF(COUNT(Resultados!D103,Resultados!N103,Resultados!X103,Resultados!AR103,Resultados!BL103,Resultados!BV103,Resultados!CP103,Resultados!CZ103,Resultados!DJ103)&lt;=1, "", _xlfn.STDEV.S(ABS(Resultados!D103),ABS(Resultados!N103),ABS(Resultados!X103),ABS(Resultados!AR103),ABS(Resultados!BL103),ABS(Resultados!BV103),ABS(Resultados!CP103),ABS(Resultados!CZ103),ABS(Resultados!DJ103))/SQRT(COUNT(Resultados!D103,Resultados!N103,Resultados!X103,Resultados!AR103,Resultados!BL103,Resultados!BV103,Resultados!CP103,Resultados!CZ103,Resultados!DJ103)))</f>
        <v>1.1357816691600546E-3</v>
      </c>
      <c r="E103">
        <f>IF(COUNT(Resultados!E103,Resultados!O103,Resultados!Y103,Resultados!AS103,Resultados!BM103,Resultados!BW103,Resultados!CQ103,Resultados!DA103,Resultados!DK103)&lt;=1, "", _xlfn.STDEV.S(ABS(Resultados!E103),ABS(Resultados!O103),ABS(Resultados!Y103),ABS(Resultados!AS103),ABS(Resultados!BM103),ABS(Resultados!BW103),ABS(Resultados!CQ103),ABS(Resultados!DA103),ABS(Resultados!DK103))/SQRT(COUNT(Resultados!E103,Resultados!O103,Resultados!Y103,Resultados!AS103,Resultados!BM103,Resultados!BW103,Resultados!CQ103,Resultados!DA103,Resultados!DK103)))</f>
        <v>6.3903826451714066E-2</v>
      </c>
      <c r="F103">
        <f>IF(COUNT(Resultados!F103,Resultados!P103,Resultados!Z103,Resultados!AT103,Resultados!BN103,Resultados!BX103,Resultados!CR103,Resultados!DB103,Resultados!DL103)&lt;=1, "", _xlfn.STDEV.S(ABS(Resultados!F103),ABS(Resultados!P103),ABS(Resultados!Z103),ABS(Resultados!AT103),ABS(Resultados!BN103),ABS(Resultados!BX103),ABS(Resultados!CR103),ABS(Resultados!DB103),ABS(Resultados!DL103))/SQRT(COUNT(Resultados!F103,Resultados!P103,Resultados!Z103,Resultados!AT103,Resultados!BN103,Resultados!BX103,Resultados!CR103,Resultados!DB103,Resultados!DL103)))</f>
        <v>13.461234346123552</v>
      </c>
      <c r="G103">
        <f>IF(COUNT(Resultados!G103,Resultados!Q103,Resultados!AA103,Resultados!AU103,Resultados!BO103,Resultados!BY103,Resultados!CS103,Resultados!DC103,Resultados!DM103)&lt;=1, "", _xlfn.STDEV.S(ABS(Resultados!G103),ABS(Resultados!Q103),ABS(Resultados!AA103),ABS(Resultados!AU103),ABS(Resultados!BO103),ABS(Resultados!BY103),ABS(Resultados!CS103),ABS(Resultados!DC103),ABS(Resultados!DM103))/SQRT(COUNT(Resultados!G103,Resultados!Q103,Resultados!AA103,Resultados!AU103,Resultados!BO103,Resultados!BY103,Resultados!CS103,Resultados!DC103,Resultados!DM103)))</f>
        <v>0</v>
      </c>
      <c r="H103">
        <f>IF(COUNT(Resultados!H103,Resultados!R103,Resultados!AB103,Resultados!AV103,Resultados!BP103,Resultados!BZ103,Resultados!CT103,Resultados!DD103,Resultados!DN103)&lt;=1, "", _xlfn.STDEV.S(ABS(Resultados!H103),ABS(Resultados!R103),ABS(Resultados!AB103),ABS(Resultados!AV103),ABS(Resultados!BP103),ABS(Resultados!BZ103),ABS(Resultados!CT103),ABS(Resultados!DD103),ABS(Resultados!DN103))/SQRT(COUNT(Resultados!H103,Resultados!R103,Resultados!AB103,Resultados!AV103,Resultados!BP103,Resultados!BZ103,Resultados!CT103,Resultados!DD103,Resultados!DN103)))</f>
        <v>9.9881102156019618E-4</v>
      </c>
      <c r="I103">
        <f>IF(COUNT(Resultados!I103,Resultados!S103,Resultados!AC103,Resultados!AW103,Resultados!BQ103,Resultados!CA103,Resultados!CU103,Resultados!DE103,Resultados!DO103)&lt;=1, "", _xlfn.STDEV.S(ABS(Resultados!I103),ABS(Resultados!S103),ABS(Resultados!AC103),ABS(Resultados!AW103),ABS(Resultados!BQ103),ABS(Resultados!CA103),ABS(Resultados!CU103),ABS(Resultados!DE103),ABS(Resultados!DO103))/SQRT(COUNT(Resultados!I103,Resultados!S103,Resultados!AC103,Resultados!AW103,Resultados!BQ103,Resultados!CA103,Resultados!CU103,Resultados!DE103,Resultados!DO103)))</f>
        <v>5.8982462077434315E-2</v>
      </c>
      <c r="J103">
        <f>IF(COUNT(Resultados!J103,Resultados!T103,Resultados!AD103,Resultados!AX103,Resultados!BR103,Resultados!CB103,Resultados!CV103,Resultados!DF103,Resultados!DP103)&lt;=1, "", _xlfn.STDEV.S(ABS(Resultados!J103),ABS(Resultados!T103),ABS(Resultados!AD103),ABS(Resultados!AX103),ABS(Resultados!BR103),ABS(Resultados!CB103),ABS(Resultados!CV103),ABS(Resultados!DF103),ABS(Resultados!DP103))/SQRT(COUNT(Resultados!J103,Resultados!T103,Resultados!AD103,Resultados!AX103,Resultados!BR103,Resultados!CB103,Resultados!CV103,Resultados!DF103,Resultados!DP103)))</f>
        <v>9.9881102156019618E-4</v>
      </c>
    </row>
    <row r="104" spans="1:10" x14ac:dyDescent="0.3">
      <c r="A104">
        <f>IF(COUNT(Resultados!A104,Resultados!K104,Resultados!U104,Resultados!AO104,Resultados!BI104,Resultados!BS104,Resultados!CM104,Resultados!CW104,Resultados!DG104)&lt;=1, "", _xlfn.STDEV.S(ABS(Resultados!A104),ABS(Resultados!K104),ABS(Resultados!U104),ABS(Resultados!AO104),ABS(Resultados!BI104),ABS(Resultados!BS104),ABS(Resultados!CM104),ABS(Resultados!CW104),ABS(Resultados!DG104))/SQRT(COUNT(Resultados!A104,Resultados!K104,Resultados!U104,Resultados!AO104,Resultados!BI104,Resultados!BS104,Resultados!CM104,Resultados!CW104,Resultados!DG104)))</f>
        <v>0</v>
      </c>
      <c r="B104" t="str">
        <f>IF(COUNT(Resultados!B104,Resultados!L104,Resultados!V104,Resultados!AP104,Resultados!BJ104,Resultados!BT104,Resultados!CN104,Resultados!CX104,Resultados!DH104)&lt;=1, "", _xlfn.STDEV.S(ABS(Resultados!B104),ABS(Resultados!L104),ABS(Resultados!V104),ABS(Resultados!AP104),ABS(Resultados!BJ104),ABS(Resultados!BT104),ABS(Resultados!CN104),ABS(Resultados!CX104),ABS(Resultados!DH104))/SQRT(COUNT(Resultados!B104,Resultados!L104,Resultados!V104,Resultados!AP104,Resultados!BJ104,Resultados!BT104,Resultados!CN104,Resultados!CX104,Resultados!DH104)))</f>
        <v/>
      </c>
      <c r="C104">
        <f>IF(COUNT(Resultados!C104,Resultados!M104,Resultados!W104,Resultados!AQ104,Resultados!BK104,Resultados!BU104,Resultados!CO104,Resultados!CY104,Resultados!DI104)&lt;=1, "", _xlfn.STDEV.S(ABS(Resultados!C104),ABS(Resultados!M104),ABS(Resultados!W104),ABS(Resultados!AQ104),ABS(Resultados!BK104),ABS(Resultados!BU104),ABS(Resultados!CO104),ABS(Resultados!CY104),ABS(Resultados!DI104))/SQRT(COUNT(Resultados!C104,Resultados!M104,Resultados!W104,Resultados!AQ104,Resultados!BK104,Resultados!BU104,Resultados!CO104,Resultados!CY104,Resultados!DI104)))</f>
        <v>0.64788354387170011</v>
      </c>
      <c r="D104">
        <f>IF(COUNT(Resultados!D104,Resultados!N104,Resultados!X104,Resultados!AR104,Resultados!BL104,Resultados!BV104,Resultados!CP104,Resultados!CZ104,Resultados!DJ104)&lt;=1, "", _xlfn.STDEV.S(ABS(Resultados!D104),ABS(Resultados!N104),ABS(Resultados!X104),ABS(Resultados!AR104),ABS(Resultados!BL104),ABS(Resultados!BV104),ABS(Resultados!CP104),ABS(Resultados!CZ104),ABS(Resultados!DJ104))/SQRT(COUNT(Resultados!D104,Resultados!N104,Resultados!X104,Resultados!AR104,Resultados!BL104,Resultados!BV104,Resultados!CP104,Resultados!CZ104,Resultados!DJ104)))</f>
        <v>9.0982293759707866E-4</v>
      </c>
      <c r="E104">
        <f>IF(COUNT(Resultados!E104,Resultados!O104,Resultados!Y104,Resultados!AS104,Resultados!BM104,Resultados!BW104,Resultados!CQ104,Resultados!DA104,Resultados!DK104)&lt;=1, "", _xlfn.STDEV.S(ABS(Resultados!E104),ABS(Resultados!O104),ABS(Resultados!Y104),ABS(Resultados!AS104),ABS(Resultados!BM104),ABS(Resultados!BW104),ABS(Resultados!CQ104),ABS(Resultados!DA104),ABS(Resultados!DK104))/SQRT(COUNT(Resultados!E104,Resultados!O104,Resultados!Y104,Resultados!AS104,Resultados!BM104,Resultados!BW104,Resultados!CQ104,Resultados!DA104,Resultados!DK104)))</f>
        <v>4.8694197371332765E-2</v>
      </c>
      <c r="F104">
        <f>IF(COUNT(Resultados!F104,Resultados!P104,Resultados!Z104,Resultados!AT104,Resultados!BN104,Resultados!BX104,Resultados!CR104,Resultados!DB104,Resultados!DL104)&lt;=1, "", _xlfn.STDEV.S(ABS(Resultados!F104),ABS(Resultados!P104),ABS(Resultados!Z104),ABS(Resultados!AT104),ABS(Resultados!BN104),ABS(Resultados!BX104),ABS(Resultados!CR104),ABS(Resultados!DB104),ABS(Resultados!DL104))/SQRT(COUNT(Resultados!F104,Resultados!P104,Resultados!Z104,Resultados!AT104,Resultados!BN104,Resultados!BX104,Resultados!CR104,Resultados!DB104,Resultados!DL104)))</f>
        <v>14.949348003369847</v>
      </c>
      <c r="G104">
        <f>IF(COUNT(Resultados!G104,Resultados!Q104,Resultados!AA104,Resultados!AU104,Resultados!BO104,Resultados!BY104,Resultados!CS104,Resultados!DC104,Resultados!DM104)&lt;=1, "", _xlfn.STDEV.S(ABS(Resultados!G104),ABS(Resultados!Q104),ABS(Resultados!AA104),ABS(Resultados!AU104),ABS(Resultados!BO104),ABS(Resultados!BY104),ABS(Resultados!CS104),ABS(Resultados!DC104),ABS(Resultados!DM104))/SQRT(COUNT(Resultados!G104,Resultados!Q104,Resultados!AA104,Resultados!AU104,Resultados!BO104,Resultados!BY104,Resultados!CS104,Resultados!DC104,Resultados!DM104)))</f>
        <v>0</v>
      </c>
      <c r="H104">
        <f>IF(COUNT(Resultados!H104,Resultados!R104,Resultados!AB104,Resultados!AV104,Resultados!BP104,Resultados!BZ104,Resultados!CT104,Resultados!DD104,Resultados!DN104)&lt;=1, "", _xlfn.STDEV.S(ABS(Resultados!H104),ABS(Resultados!R104),ABS(Resultados!AB104),ABS(Resultados!AV104),ABS(Resultados!BP104),ABS(Resultados!BZ104),ABS(Resultados!CT104),ABS(Resultados!DD104),ABS(Resultados!DN104))/SQRT(COUNT(Resultados!H104,Resultados!R104,Resultados!AB104,Resultados!AV104,Resultados!BP104,Resultados!BZ104,Resultados!CT104,Resultados!DD104,Resultados!DN104)))</f>
        <v>7.642070044686926E-4</v>
      </c>
      <c r="I104">
        <f>IF(COUNT(Resultados!I104,Resultados!S104,Resultados!AC104,Resultados!AW104,Resultados!BQ104,Resultados!CA104,Resultados!CU104,Resultados!DE104,Resultados!DO104)&lt;=1, "", _xlfn.STDEV.S(ABS(Resultados!I104),ABS(Resultados!S104),ABS(Resultados!AC104),ABS(Resultados!AW104),ABS(Resultados!BQ104),ABS(Resultados!CA104),ABS(Resultados!CU104),ABS(Resultados!DE104),ABS(Resultados!DO104))/SQRT(COUNT(Resultados!I104,Resultados!S104,Resultados!AC104,Resultados!AW104,Resultados!BQ104,Resultados!CA104,Resultados!CU104,Resultados!DE104,Resultados!DO104)))</f>
        <v>5.8875397359149852E-2</v>
      </c>
      <c r="J104">
        <f>IF(COUNT(Resultados!J104,Resultados!T104,Resultados!AD104,Resultados!AX104,Resultados!BR104,Resultados!CB104,Resultados!CV104,Resultados!DF104,Resultados!DP104)&lt;=1, "", _xlfn.STDEV.S(ABS(Resultados!J104),ABS(Resultados!T104),ABS(Resultados!AD104),ABS(Resultados!AX104),ABS(Resultados!BR104),ABS(Resultados!CB104),ABS(Resultados!CV104),ABS(Resultados!DF104),ABS(Resultados!DP104))/SQRT(COUNT(Resultados!J104,Resultados!T104,Resultados!AD104,Resultados!AX104,Resultados!BR104,Resultados!CB104,Resultados!CV104,Resultados!DF104,Resultados!DP104)))</f>
        <v>7.642070044686926E-4</v>
      </c>
    </row>
    <row r="105" spans="1:10" x14ac:dyDescent="0.3">
      <c r="A105">
        <f>IF(COUNT(Resultados!A105,Resultados!K105,Resultados!U105,Resultados!AO105,Resultados!BI105,Resultados!BS105,Resultados!CM105,Resultados!CW105,Resultados!DG105)&lt;=1, "", _xlfn.STDEV.S(ABS(Resultados!A105),ABS(Resultados!K105),ABS(Resultados!U105),ABS(Resultados!AO105),ABS(Resultados!BI105),ABS(Resultados!BS105),ABS(Resultados!CM105),ABS(Resultados!CW105),ABS(Resultados!DG105))/SQRT(COUNT(Resultados!A105,Resultados!K105,Resultados!U105,Resultados!AO105,Resultados!BI105,Resultados!BS105,Resultados!CM105,Resultados!CW105,Resultados!DG105)))</f>
        <v>0</v>
      </c>
      <c r="B105" t="str">
        <f>IF(COUNT(Resultados!B105,Resultados!L105,Resultados!V105,Resultados!AP105,Resultados!BJ105,Resultados!BT105,Resultados!CN105,Resultados!CX105,Resultados!DH105)&lt;=1, "", _xlfn.STDEV.S(ABS(Resultados!B105),ABS(Resultados!L105),ABS(Resultados!V105),ABS(Resultados!AP105),ABS(Resultados!BJ105),ABS(Resultados!BT105),ABS(Resultados!CN105),ABS(Resultados!CX105),ABS(Resultados!DH105))/SQRT(COUNT(Resultados!B105,Resultados!L105,Resultados!V105,Resultados!AP105,Resultados!BJ105,Resultados!BT105,Resultados!CN105,Resultados!CX105,Resultados!DH105)))</f>
        <v/>
      </c>
      <c r="C105">
        <f>IF(COUNT(Resultados!C105,Resultados!M105,Resultados!W105,Resultados!AQ105,Resultados!BK105,Resultados!BU105,Resultados!CO105,Resultados!CY105,Resultados!DI105)&lt;=1, "", _xlfn.STDEV.S(ABS(Resultados!C105),ABS(Resultados!M105),ABS(Resultados!W105),ABS(Resultados!AQ105),ABS(Resultados!BK105),ABS(Resultados!BU105),ABS(Resultados!CO105),ABS(Resultados!CY105),ABS(Resultados!DI105))/SQRT(COUNT(Resultados!C105,Resultados!M105,Resultados!W105,Resultados!AQ105,Resultados!BK105,Resultados!BU105,Resultados!CO105,Resultados!CY105,Resultados!DI105)))</f>
        <v>0.64788354387170011</v>
      </c>
      <c r="D105">
        <f>IF(COUNT(Resultados!D105,Resultados!N105,Resultados!X105,Resultados!AR105,Resultados!BL105,Resultados!BV105,Resultados!CP105,Resultados!CZ105,Resultados!DJ105)&lt;=1, "", _xlfn.STDEV.S(ABS(Resultados!D105),ABS(Resultados!N105),ABS(Resultados!X105),ABS(Resultados!AR105),ABS(Resultados!BL105),ABS(Resultados!BV105),ABS(Resultados!CP105),ABS(Resultados!CZ105),ABS(Resultados!DJ105))/SQRT(COUNT(Resultados!D105,Resultados!N105,Resultados!X105,Resultados!AR105,Resultados!BL105,Resultados!BV105,Resultados!CP105,Resultados!CZ105,Resultados!DJ105)))</f>
        <v>7.6596183381693217E-4</v>
      </c>
      <c r="E105">
        <f>IF(COUNT(Resultados!E105,Resultados!O105,Resultados!Y105,Resultados!AS105,Resultados!BM105,Resultados!BW105,Resultados!CQ105,Resultados!DA105,Resultados!DK105)&lt;=1, "", _xlfn.STDEV.S(ABS(Resultados!E105),ABS(Resultados!O105),ABS(Resultados!Y105),ABS(Resultados!AS105),ABS(Resultados!BM105),ABS(Resultados!BW105),ABS(Resultados!CQ105),ABS(Resultados!DA105),ABS(Resultados!DK105))/SQRT(COUNT(Resultados!E105,Resultados!O105,Resultados!Y105,Resultados!AS105,Resultados!BM105,Resultados!BW105,Resultados!CQ105,Resultados!DA105,Resultados!DK105)))</f>
        <v>3.566736429965961E-2</v>
      </c>
      <c r="F105">
        <f>IF(COUNT(Resultados!F105,Resultados!P105,Resultados!Z105,Resultados!AT105,Resultados!BN105,Resultados!BX105,Resultados!CR105,Resultados!DB105,Resultados!DL105)&lt;=1, "", _xlfn.STDEV.S(ABS(Resultados!F105),ABS(Resultados!P105),ABS(Resultados!Z105),ABS(Resultados!AT105),ABS(Resultados!BN105),ABS(Resultados!BX105),ABS(Resultados!CR105),ABS(Resultados!DB105),ABS(Resultados!DL105))/SQRT(COUNT(Resultados!F105,Resultados!P105,Resultados!Z105,Resultados!AT105,Resultados!BN105,Resultados!BX105,Resultados!CR105,Resultados!DB105,Resultados!DL105)))</f>
        <v>16.525252491204085</v>
      </c>
      <c r="G105">
        <f>IF(COUNT(Resultados!G105,Resultados!Q105,Resultados!AA105,Resultados!AU105,Resultados!BO105,Resultados!BY105,Resultados!CS105,Resultados!DC105,Resultados!DM105)&lt;=1, "", _xlfn.STDEV.S(ABS(Resultados!G105),ABS(Resultados!Q105),ABS(Resultados!AA105),ABS(Resultados!AU105),ABS(Resultados!BO105),ABS(Resultados!BY105),ABS(Resultados!CS105),ABS(Resultados!DC105),ABS(Resultados!DM105))/SQRT(COUNT(Resultados!G105,Resultados!Q105,Resultados!AA105,Resultados!AU105,Resultados!BO105,Resultados!BY105,Resultados!CS105,Resultados!DC105,Resultados!DM105)))</f>
        <v>0</v>
      </c>
      <c r="H105">
        <f>IF(COUNT(Resultados!H105,Resultados!R105,Resultados!AB105,Resultados!AV105,Resultados!BP105,Resultados!BZ105,Resultados!CT105,Resultados!DD105,Resultados!DN105)&lt;=1, "", _xlfn.STDEV.S(ABS(Resultados!H105),ABS(Resultados!R105),ABS(Resultados!AB105),ABS(Resultados!AV105),ABS(Resultados!BP105),ABS(Resultados!BZ105),ABS(Resultados!CT105),ABS(Resultados!DD105),ABS(Resultados!DN105))/SQRT(COUNT(Resultados!H105,Resultados!R105,Resultados!AB105,Resultados!AV105,Resultados!BP105,Resultados!BZ105,Resultados!CT105,Resultados!DD105,Resultados!DN105)))</f>
        <v>5.5452682532047099E-4</v>
      </c>
      <c r="I105">
        <f>IF(COUNT(Resultados!I105,Resultados!S105,Resultados!AC105,Resultados!AW105,Resultados!BQ105,Resultados!CA105,Resultados!CU105,Resultados!DE105,Resultados!DO105)&lt;=1, "", _xlfn.STDEV.S(ABS(Resultados!I105),ABS(Resultados!S105),ABS(Resultados!AC105),ABS(Resultados!AW105),ABS(Resultados!BQ105),ABS(Resultados!CA105),ABS(Resultados!CU105),ABS(Resultados!DE105),ABS(Resultados!DO105))/SQRT(COUNT(Resultados!I105,Resultados!S105,Resultados!AC105,Resultados!AW105,Resultados!BQ105,Resultados!CA105,Resultados!CU105,Resultados!DE105,Resultados!DO105)))</f>
        <v>5.8847202260508803E-2</v>
      </c>
      <c r="J105">
        <f>IF(COUNT(Resultados!J105,Resultados!T105,Resultados!AD105,Resultados!AX105,Resultados!BR105,Resultados!CB105,Resultados!CV105,Resultados!DF105,Resultados!DP105)&lt;=1, "", _xlfn.STDEV.S(ABS(Resultados!J105),ABS(Resultados!T105),ABS(Resultados!AD105),ABS(Resultados!AX105),ABS(Resultados!BR105),ABS(Resultados!CB105),ABS(Resultados!CV105),ABS(Resultados!DF105),ABS(Resultados!DP105))/SQRT(COUNT(Resultados!J105,Resultados!T105,Resultados!AD105,Resultados!AX105,Resultados!BR105,Resultados!CB105,Resultados!CV105,Resultados!DF105,Resultados!DP105)))</f>
        <v>5.5452682532047099E-4</v>
      </c>
    </row>
    <row r="106" spans="1:10" x14ac:dyDescent="0.3">
      <c r="A106">
        <f>IF(COUNT(Resultados!A106,Resultados!K106,Resultados!U106,Resultados!AO106,Resultados!BI106,Resultados!BS106,Resultados!CM106,Resultados!CW106,Resultados!DG106)&lt;=1, "", _xlfn.STDEV.S(ABS(Resultados!A106),ABS(Resultados!K106),ABS(Resultados!U106),ABS(Resultados!AO106),ABS(Resultados!BI106),ABS(Resultados!BS106),ABS(Resultados!CM106),ABS(Resultados!CW106),ABS(Resultados!DG106))/SQRT(COUNT(Resultados!A106,Resultados!K106,Resultados!U106,Resultados!AO106,Resultados!BI106,Resultados!BS106,Resultados!CM106,Resultados!CW106,Resultados!DG106)))</f>
        <v>0</v>
      </c>
      <c r="B106" t="str">
        <f>IF(COUNT(Resultados!B106,Resultados!L106,Resultados!V106,Resultados!AP106,Resultados!BJ106,Resultados!BT106,Resultados!CN106,Resultados!CX106,Resultados!DH106)&lt;=1, "", _xlfn.STDEV.S(ABS(Resultados!B106),ABS(Resultados!L106),ABS(Resultados!V106),ABS(Resultados!AP106),ABS(Resultados!BJ106),ABS(Resultados!BT106),ABS(Resultados!CN106),ABS(Resultados!CX106),ABS(Resultados!DH106))/SQRT(COUNT(Resultados!B106,Resultados!L106,Resultados!V106,Resultados!AP106,Resultados!BJ106,Resultados!BT106,Resultados!CN106,Resultados!CX106,Resultados!DH106)))</f>
        <v/>
      </c>
      <c r="C106">
        <f>IF(COUNT(Resultados!C106,Resultados!M106,Resultados!W106,Resultados!AQ106,Resultados!BK106,Resultados!BU106,Resultados!CO106,Resultados!CY106,Resultados!DI106)&lt;=1, "", _xlfn.STDEV.S(ABS(Resultados!C106),ABS(Resultados!M106),ABS(Resultados!W106),ABS(Resultados!AQ106),ABS(Resultados!BK106),ABS(Resultados!BU106),ABS(Resultados!CO106),ABS(Resultados!CY106),ABS(Resultados!DI106))/SQRT(COUNT(Resultados!C106,Resultados!M106,Resultados!W106,Resultados!AQ106,Resultados!BK106,Resultados!BU106,Resultados!CO106,Resultados!CY106,Resultados!DI106)))</f>
        <v>0.64788354387170011</v>
      </c>
      <c r="D106">
        <f>IF(COUNT(Resultados!D106,Resultados!N106,Resultados!X106,Resultados!AR106,Resultados!BL106,Resultados!BV106,Resultados!CP106,Resultados!CZ106,Resultados!DJ106)&lt;=1, "", _xlfn.STDEV.S(ABS(Resultados!D106),ABS(Resultados!N106),ABS(Resultados!X106),ABS(Resultados!AR106),ABS(Resultados!BL106),ABS(Resultados!BV106),ABS(Resultados!CP106),ABS(Resultados!CZ106),ABS(Resultados!DJ106))/SQRT(COUNT(Resultados!D106,Resultados!N106,Resultados!X106,Resultados!AR106,Resultados!BL106,Resultados!BV106,Resultados!CP106,Resultados!CZ106,Resultados!DJ106)))</f>
        <v>5.8557769302450486E-4</v>
      </c>
      <c r="E106">
        <f>IF(COUNT(Resultados!E106,Resultados!O106,Resultados!Y106,Resultados!AS106,Resultados!BM106,Resultados!BW106,Resultados!CQ106,Resultados!DA106,Resultados!DK106)&lt;=1, "", _xlfn.STDEV.S(ABS(Resultados!E106),ABS(Resultados!O106),ABS(Resultados!Y106),ABS(Resultados!AS106),ABS(Resultados!BM106),ABS(Resultados!BW106),ABS(Resultados!CQ106),ABS(Resultados!DA106),ABS(Resultados!DK106))/SQRT(COUNT(Resultados!E106,Resultados!O106,Resultados!Y106,Resultados!AS106,Resultados!BM106,Resultados!BW106,Resultados!CQ106,Resultados!DA106,Resultados!DK106)))</f>
        <v>2.9631789995707657E-2</v>
      </c>
      <c r="F106">
        <f>IF(COUNT(Resultados!F106,Resultados!P106,Resultados!Z106,Resultados!AT106,Resultados!BN106,Resultados!BX106,Resultados!CR106,Resultados!DB106,Resultados!DL106)&lt;=1, "", _xlfn.STDEV.S(ABS(Resultados!F106),ABS(Resultados!P106),ABS(Resultados!Z106),ABS(Resultados!AT106),ABS(Resultados!BN106),ABS(Resultados!BX106),ABS(Resultados!CR106),ABS(Resultados!DB106),ABS(Resultados!DL106))/SQRT(COUNT(Resultados!F106,Resultados!P106,Resultados!Z106,Resultados!AT106,Resultados!BN106,Resultados!BX106,Resultados!CR106,Resultados!DB106,Resultados!DL106)))</f>
        <v>18.175710030015001</v>
      </c>
      <c r="G106">
        <f>IF(COUNT(Resultados!G106,Resultados!Q106,Resultados!AA106,Resultados!AU106,Resultados!BO106,Resultados!BY106,Resultados!CS106,Resultados!DC106,Resultados!DM106)&lt;=1, "", _xlfn.STDEV.S(ABS(Resultados!G106),ABS(Resultados!Q106),ABS(Resultados!AA106),ABS(Resultados!AU106),ABS(Resultados!BO106),ABS(Resultados!BY106),ABS(Resultados!CS106),ABS(Resultados!DC106),ABS(Resultados!DM106))/SQRT(COUNT(Resultados!G106,Resultados!Q106,Resultados!AA106,Resultados!AU106,Resultados!BO106,Resultados!BY106,Resultados!CS106,Resultados!DC106,Resultados!DM106)))</f>
        <v>0</v>
      </c>
      <c r="H106">
        <f>IF(COUNT(Resultados!H106,Resultados!R106,Resultados!AB106,Resultados!AV106,Resultados!BP106,Resultados!BZ106,Resultados!CT106,Resultados!DD106,Resultados!DN106)&lt;=1, "", _xlfn.STDEV.S(ABS(Resultados!H106),ABS(Resultados!R106),ABS(Resultados!AB106),ABS(Resultados!AV106),ABS(Resultados!BP106),ABS(Resultados!BZ106),ABS(Resultados!CT106),ABS(Resultados!DD106),ABS(Resultados!DN106))/SQRT(COUNT(Resultados!H106,Resultados!R106,Resultados!AB106,Resultados!AV106,Resultados!BP106,Resultados!BZ106,Resultados!CT106,Resultados!DD106,Resultados!DN106)))</f>
        <v>4.639803635691686E-4</v>
      </c>
      <c r="I106">
        <f>IF(COUNT(Resultados!I106,Resultados!S106,Resultados!AC106,Resultados!AW106,Resultados!BQ106,Resultados!CA106,Resultados!CU106,Resultados!DE106,Resultados!DO106)&lt;=1, "", _xlfn.STDEV.S(ABS(Resultados!I106),ABS(Resultados!S106),ABS(Resultados!AC106),ABS(Resultados!AW106),ABS(Resultados!BQ106),ABS(Resultados!CA106),ABS(Resultados!CU106),ABS(Resultados!DE106),ABS(Resultados!DO106))/SQRT(COUNT(Resultados!I106,Resultados!S106,Resultados!AC106,Resultados!AW106,Resultados!BQ106,Resultados!CA106,Resultados!CU106,Resultados!DE106,Resultados!DO106)))</f>
        <v>5.9115220050902667E-2</v>
      </c>
      <c r="J106">
        <f>IF(COUNT(Resultados!J106,Resultados!T106,Resultados!AD106,Resultados!AX106,Resultados!BR106,Resultados!CB106,Resultados!CV106,Resultados!DF106,Resultados!DP106)&lt;=1, "", _xlfn.STDEV.S(ABS(Resultados!J106),ABS(Resultados!T106),ABS(Resultados!AD106),ABS(Resultados!AX106),ABS(Resultados!BR106),ABS(Resultados!CB106),ABS(Resultados!CV106),ABS(Resultados!DF106),ABS(Resultados!DP106))/SQRT(COUNT(Resultados!J106,Resultados!T106,Resultados!AD106,Resultados!AX106,Resultados!BR106,Resultados!CB106,Resultados!CV106,Resultados!DF106,Resultados!DP106)))</f>
        <v>4.639803635691686E-4</v>
      </c>
    </row>
    <row r="107" spans="1:10" x14ac:dyDescent="0.3">
      <c r="A107">
        <f>IF(COUNT(Resultados!A107,Resultados!K107,Resultados!U107,Resultados!AO107,Resultados!BI107,Resultados!BS107,Resultados!CM107,Resultados!CW107,Resultados!DG107)&lt;=1, "", _xlfn.STDEV.S(ABS(Resultados!A107),ABS(Resultados!K107),ABS(Resultados!U107),ABS(Resultados!AO107),ABS(Resultados!BI107),ABS(Resultados!BS107),ABS(Resultados!CM107),ABS(Resultados!CW107),ABS(Resultados!DG107))/SQRT(COUNT(Resultados!A107,Resultados!K107,Resultados!U107,Resultados!AO107,Resultados!BI107,Resultados!BS107,Resultados!CM107,Resultados!CW107,Resultados!DG107)))</f>
        <v>0</v>
      </c>
      <c r="B107" t="str">
        <f>IF(COUNT(Resultados!B107,Resultados!L107,Resultados!V107,Resultados!AP107,Resultados!BJ107,Resultados!BT107,Resultados!CN107,Resultados!CX107,Resultados!DH107)&lt;=1, "", _xlfn.STDEV.S(ABS(Resultados!B107),ABS(Resultados!L107),ABS(Resultados!V107),ABS(Resultados!AP107),ABS(Resultados!BJ107),ABS(Resultados!BT107),ABS(Resultados!CN107),ABS(Resultados!CX107),ABS(Resultados!DH107))/SQRT(COUNT(Resultados!B107,Resultados!L107,Resultados!V107,Resultados!AP107,Resultados!BJ107,Resultados!BT107,Resultados!CN107,Resultados!CX107,Resultados!DH107)))</f>
        <v/>
      </c>
      <c r="C107">
        <f>IF(COUNT(Resultados!C107,Resultados!M107,Resultados!W107,Resultados!AQ107,Resultados!BK107,Resultados!BU107,Resultados!CO107,Resultados!CY107,Resultados!DI107)&lt;=1, "", _xlfn.STDEV.S(ABS(Resultados!C107),ABS(Resultados!M107),ABS(Resultados!W107),ABS(Resultados!AQ107),ABS(Resultados!BK107),ABS(Resultados!BU107),ABS(Resultados!CO107),ABS(Resultados!CY107),ABS(Resultados!DI107))/SQRT(COUNT(Resultados!C107,Resultados!M107,Resultados!W107,Resultados!AQ107,Resultados!BK107,Resultados!BU107,Resultados!CO107,Resultados!CY107,Resultados!DI107)))</f>
        <v>0.64788354387170011</v>
      </c>
      <c r="D107">
        <f>IF(COUNT(Resultados!D107,Resultados!N107,Resultados!X107,Resultados!AR107,Resultados!BL107,Resultados!BV107,Resultados!CP107,Resultados!CZ107,Resultados!DJ107)&lt;=1, "", _xlfn.STDEV.S(ABS(Resultados!D107),ABS(Resultados!N107),ABS(Resultados!X107),ABS(Resultados!AR107),ABS(Resultados!BL107),ABS(Resultados!BV107),ABS(Resultados!CP107),ABS(Resultados!CZ107),ABS(Resultados!DJ107))/SQRT(COUNT(Resultados!D107,Resultados!N107,Resultados!X107,Resultados!AR107,Resultados!BL107,Resultados!BV107,Resultados!CP107,Resultados!CZ107,Resultados!DJ107)))</f>
        <v>4.9808274388206473E-4</v>
      </c>
      <c r="E107">
        <f>IF(COUNT(Resultados!E107,Resultados!O107,Resultados!Y107,Resultados!AS107,Resultados!BM107,Resultados!BW107,Resultados!CQ107,Resultados!DA107,Resultados!DK107)&lt;=1, "", _xlfn.STDEV.S(ABS(Resultados!E107),ABS(Resultados!O107),ABS(Resultados!Y107),ABS(Resultados!AS107),ABS(Resultados!BM107),ABS(Resultados!BW107),ABS(Resultados!CQ107),ABS(Resultados!DA107),ABS(Resultados!DK107))/SQRT(COUNT(Resultados!E107,Resultados!O107,Resultados!Y107,Resultados!AS107,Resultados!BM107,Resultados!BW107,Resultados!CQ107,Resultados!DA107,Resultados!DK107)))</f>
        <v>3.5219783719423754E-2</v>
      </c>
      <c r="F107">
        <f>IF(COUNT(Resultados!F107,Resultados!P107,Resultados!Z107,Resultados!AT107,Resultados!BN107,Resultados!BX107,Resultados!CR107,Resultados!DB107,Resultados!DL107)&lt;=1, "", _xlfn.STDEV.S(ABS(Resultados!F107),ABS(Resultados!P107),ABS(Resultados!Z107),ABS(Resultados!AT107),ABS(Resultados!BN107),ABS(Resultados!BX107),ABS(Resultados!CR107),ABS(Resultados!DB107),ABS(Resultados!DL107))/SQRT(COUNT(Resultados!F107,Resultados!P107,Resultados!Z107,Resultados!AT107,Resultados!BN107,Resultados!BX107,Resultados!CR107,Resultados!DB107,Resultados!DL107)))</f>
        <v>16.720448653758808</v>
      </c>
      <c r="G107">
        <f>IF(COUNT(Resultados!G107,Resultados!Q107,Resultados!AA107,Resultados!AU107,Resultados!BO107,Resultados!BY107,Resultados!CS107,Resultados!DC107,Resultados!DM107)&lt;=1, "", _xlfn.STDEV.S(ABS(Resultados!G107),ABS(Resultados!Q107),ABS(Resultados!AA107),ABS(Resultados!AU107),ABS(Resultados!BO107),ABS(Resultados!BY107),ABS(Resultados!CS107),ABS(Resultados!DC107),ABS(Resultados!DM107))/SQRT(COUNT(Resultados!G107,Resultados!Q107,Resultados!AA107,Resultados!AU107,Resultados!BO107,Resultados!BY107,Resultados!CS107,Resultados!DC107,Resultados!DM107)))</f>
        <v>0</v>
      </c>
      <c r="H107">
        <f>IF(COUNT(Resultados!H107,Resultados!R107,Resultados!AB107,Resultados!AV107,Resultados!BP107,Resultados!BZ107,Resultados!CT107,Resultados!DD107,Resultados!DN107)&lt;=1, "", _xlfn.STDEV.S(ABS(Resultados!H107),ABS(Resultados!R107),ABS(Resultados!AB107),ABS(Resultados!AV107),ABS(Resultados!BP107),ABS(Resultados!BZ107),ABS(Resultados!CT107),ABS(Resultados!DD107),ABS(Resultados!DN107))/SQRT(COUNT(Resultados!H107,Resultados!R107,Resultados!AB107,Resultados!AV107,Resultados!BP107,Resultados!BZ107,Resultados!CT107,Resultados!DD107,Resultados!DN107)))</f>
        <v>5.5422061837066339E-4</v>
      </c>
      <c r="I107">
        <f>IF(COUNT(Resultados!I107,Resultados!S107,Resultados!AC107,Resultados!AW107,Resultados!BQ107,Resultados!CA107,Resultados!CU107,Resultados!DE107,Resultados!DO107)&lt;=1, "", _xlfn.STDEV.S(ABS(Resultados!I107),ABS(Resultados!S107),ABS(Resultados!AC107),ABS(Resultados!AW107),ABS(Resultados!BQ107),ABS(Resultados!CA107),ABS(Resultados!CU107),ABS(Resultados!DE107),ABS(Resultados!DO107))/SQRT(COUNT(Resultados!I107,Resultados!S107,Resultados!AC107,Resultados!AW107,Resultados!BQ107,Resultados!CA107,Resultados!CU107,Resultados!DE107,Resultados!DO107)))</f>
        <v>5.8915738229363905E-2</v>
      </c>
      <c r="J107">
        <f>IF(COUNT(Resultados!J107,Resultados!T107,Resultados!AD107,Resultados!AX107,Resultados!BR107,Resultados!CB107,Resultados!CV107,Resultados!DF107,Resultados!DP107)&lt;=1, "", _xlfn.STDEV.S(ABS(Resultados!J107),ABS(Resultados!T107),ABS(Resultados!AD107),ABS(Resultados!AX107),ABS(Resultados!BR107),ABS(Resultados!CB107),ABS(Resultados!CV107),ABS(Resultados!DF107),ABS(Resultados!DP107))/SQRT(COUNT(Resultados!J107,Resultados!T107,Resultados!AD107,Resultados!AX107,Resultados!BR107,Resultados!CB107,Resultados!CV107,Resultados!DF107,Resultados!DP107)))</f>
        <v>5.5422061837066339E-4</v>
      </c>
    </row>
    <row r="108" spans="1:10" x14ac:dyDescent="0.3">
      <c r="A108">
        <f>IF(COUNT(Resultados!A108,Resultados!K108,Resultados!U108,Resultados!AO108,Resultados!BI108,Resultados!BS108,Resultados!CM108,Resultados!CW108,Resultados!DG108)&lt;=1, "", _xlfn.STDEV.S(ABS(Resultados!A108),ABS(Resultados!K108),ABS(Resultados!U108),ABS(Resultados!AO108),ABS(Resultados!BI108),ABS(Resultados!BS108),ABS(Resultados!CM108),ABS(Resultados!CW108),ABS(Resultados!DG108))/SQRT(COUNT(Resultados!A108,Resultados!K108,Resultados!U108,Resultados!AO108,Resultados!BI108,Resultados!BS108,Resultados!CM108,Resultados!CW108,Resultados!DG108)))</f>
        <v>0</v>
      </c>
      <c r="B108" t="str">
        <f>IF(COUNT(Resultados!B108,Resultados!L108,Resultados!V108,Resultados!AP108,Resultados!BJ108,Resultados!BT108,Resultados!CN108,Resultados!CX108,Resultados!DH108)&lt;=1, "", _xlfn.STDEV.S(ABS(Resultados!B108),ABS(Resultados!L108),ABS(Resultados!V108),ABS(Resultados!AP108),ABS(Resultados!BJ108),ABS(Resultados!BT108),ABS(Resultados!CN108),ABS(Resultados!CX108),ABS(Resultados!DH108))/SQRT(COUNT(Resultados!B108,Resultados!L108,Resultados!V108,Resultados!AP108,Resultados!BJ108,Resultados!BT108,Resultados!CN108,Resultados!CX108,Resultados!DH108)))</f>
        <v/>
      </c>
      <c r="C108">
        <f>IF(COUNT(Resultados!C108,Resultados!M108,Resultados!W108,Resultados!AQ108,Resultados!BK108,Resultados!BU108,Resultados!CO108,Resultados!CY108,Resultados!DI108)&lt;=1, "", _xlfn.STDEV.S(ABS(Resultados!C108),ABS(Resultados!M108),ABS(Resultados!W108),ABS(Resultados!AQ108),ABS(Resultados!BK108),ABS(Resultados!BU108),ABS(Resultados!CO108),ABS(Resultados!CY108),ABS(Resultados!DI108))/SQRT(COUNT(Resultados!C108,Resultados!M108,Resultados!W108,Resultados!AQ108,Resultados!BK108,Resultados!BU108,Resultados!CO108,Resultados!CY108,Resultados!DI108)))</f>
        <v>0.64788354387170011</v>
      </c>
      <c r="D108">
        <f>IF(COUNT(Resultados!D108,Resultados!N108,Resultados!X108,Resultados!AR108,Resultados!BL108,Resultados!BV108,Resultados!CP108,Resultados!CZ108,Resultados!DJ108)&lt;=1, "", _xlfn.STDEV.S(ABS(Resultados!D108),ABS(Resultados!N108),ABS(Resultados!X108),ABS(Resultados!AR108),ABS(Resultados!BL108),ABS(Resultados!BV108),ABS(Resultados!CP108),ABS(Resultados!CZ108),ABS(Resultados!DJ108))/SQRT(COUNT(Resultados!D108,Resultados!N108,Resultados!X108,Resultados!AR108,Resultados!BL108,Resultados!BV108,Resultados!CP108,Resultados!CZ108,Resultados!DJ108)))</f>
        <v>3.6742346141747668E-4</v>
      </c>
      <c r="E108">
        <f>IF(COUNT(Resultados!E108,Resultados!O108,Resultados!Y108,Resultados!AS108,Resultados!BM108,Resultados!BW108,Resultados!CQ108,Resultados!DA108,Resultados!DK108)&lt;=1, "", _xlfn.STDEV.S(ABS(Resultados!E108),ABS(Resultados!O108),ABS(Resultados!Y108),ABS(Resultados!AS108),ABS(Resultados!BM108),ABS(Resultados!BW108),ABS(Resultados!CQ108),ABS(Resultados!DA108),ABS(Resultados!DK108))/SQRT(COUNT(Resultados!E108,Resultados!O108,Resultados!Y108,Resultados!AS108,Resultados!BM108,Resultados!BW108,Resultados!CQ108,Resultados!DA108,Resultados!DK108)))</f>
        <v>4.8088690245531092E-2</v>
      </c>
      <c r="F108">
        <f>IF(COUNT(Resultados!F108,Resultados!P108,Resultados!Z108,Resultados!AT108,Resultados!BN108,Resultados!BX108,Resultados!CR108,Resultados!DB108,Resultados!DL108)&lt;=1, "", _xlfn.STDEV.S(ABS(Resultados!F108),ABS(Resultados!P108),ABS(Resultados!Z108),ABS(Resultados!AT108),ABS(Resultados!BN108),ABS(Resultados!BX108),ABS(Resultados!CR108),ABS(Resultados!DB108),ABS(Resultados!DL108))/SQRT(COUNT(Resultados!F108,Resultados!P108,Resultados!Z108,Resultados!AT108,Resultados!BN108,Resultados!BX108,Resultados!CR108,Resultados!DB108,Resultados!DL108)))</f>
        <v>18.451168811476304</v>
      </c>
      <c r="G108">
        <f>IF(COUNT(Resultados!G108,Resultados!Q108,Resultados!AA108,Resultados!AU108,Resultados!BO108,Resultados!BY108,Resultados!CS108,Resultados!DC108,Resultados!DM108)&lt;=1, "", _xlfn.STDEV.S(ABS(Resultados!G108),ABS(Resultados!Q108),ABS(Resultados!AA108),ABS(Resultados!AU108),ABS(Resultados!BO108),ABS(Resultados!BY108),ABS(Resultados!CS108),ABS(Resultados!DC108),ABS(Resultados!DM108))/SQRT(COUNT(Resultados!G108,Resultados!Q108,Resultados!AA108,Resultados!AU108,Resultados!BO108,Resultados!BY108,Resultados!CS108,Resultados!DC108,Resultados!DM108)))</f>
        <v>0</v>
      </c>
      <c r="H108">
        <f>IF(COUNT(Resultados!H108,Resultados!R108,Resultados!AB108,Resultados!AV108,Resultados!BP108,Resultados!BZ108,Resultados!CT108,Resultados!DD108,Resultados!DN108)&lt;=1, "", _xlfn.STDEV.S(ABS(Resultados!H108),ABS(Resultados!R108),ABS(Resultados!AB108),ABS(Resultados!AV108),ABS(Resultados!BP108),ABS(Resultados!BZ108),ABS(Resultados!CT108),ABS(Resultados!DD108),ABS(Resultados!DN108))/SQRT(COUNT(Resultados!H108,Resultados!R108,Resultados!AB108,Resultados!AV108,Resultados!BP108,Resultados!BZ108,Resultados!CT108,Resultados!DD108,Resultados!DN108)))</f>
        <v>7.5111028928291645E-4</v>
      </c>
      <c r="I108">
        <f>IF(COUNT(Resultados!I108,Resultados!S108,Resultados!AC108,Resultados!AW108,Resultados!BQ108,Resultados!CA108,Resultados!CU108,Resultados!DE108,Resultados!DO108)&lt;=1, "", _xlfn.STDEV.S(ABS(Resultados!I108),ABS(Resultados!S108),ABS(Resultados!AC108),ABS(Resultados!AW108),ABS(Resultados!BQ108),ABS(Resultados!CA108),ABS(Resultados!CU108),ABS(Resultados!DE108),ABS(Resultados!DO108))/SQRT(COUNT(Resultados!I108,Resultados!S108,Resultados!AC108,Resultados!AW108,Resultados!BQ108,Resultados!CA108,Resultados!CU108,Resultados!DE108,Resultados!DO108)))</f>
        <v>5.883091434540192E-2</v>
      </c>
      <c r="J108">
        <f>IF(COUNT(Resultados!J108,Resultados!T108,Resultados!AD108,Resultados!AX108,Resultados!BR108,Resultados!CB108,Resultados!CV108,Resultados!DF108,Resultados!DP108)&lt;=1, "", _xlfn.STDEV.S(ABS(Resultados!J108),ABS(Resultados!T108),ABS(Resultados!AD108),ABS(Resultados!AX108),ABS(Resultados!BR108),ABS(Resultados!CB108),ABS(Resultados!CV108),ABS(Resultados!DF108),ABS(Resultados!DP108))/SQRT(COUNT(Resultados!J108,Resultados!T108,Resultados!AD108,Resultados!AX108,Resultados!BR108,Resultados!CB108,Resultados!CV108,Resultados!DF108,Resultados!DP108)))</f>
        <v>7.5111028928291645E-4</v>
      </c>
    </row>
    <row r="109" spans="1:10" x14ac:dyDescent="0.3">
      <c r="A109">
        <f>IF(COUNT(Resultados!A109,Resultados!K109,Resultados!U109,Resultados!AO109,Resultados!BI109,Resultados!BS109,Resultados!CM109,Resultados!CW109,Resultados!DG109)&lt;=1, "", _xlfn.STDEV.S(ABS(Resultados!A109),ABS(Resultados!K109),ABS(Resultados!U109),ABS(Resultados!AO109),ABS(Resultados!BI109),ABS(Resultados!BS109),ABS(Resultados!CM109),ABS(Resultados!CW109),ABS(Resultados!DG109))/SQRT(COUNT(Resultados!A109,Resultados!K109,Resultados!U109,Resultados!AO109,Resultados!BI109,Resultados!BS109,Resultados!CM109,Resultados!CW109,Resultados!DG109)))</f>
        <v>0</v>
      </c>
      <c r="B109" t="str">
        <f>IF(COUNT(Resultados!B109,Resultados!L109,Resultados!V109,Resultados!AP109,Resultados!BJ109,Resultados!BT109,Resultados!CN109,Resultados!CX109,Resultados!DH109)&lt;=1, "", _xlfn.STDEV.S(ABS(Resultados!B109),ABS(Resultados!L109),ABS(Resultados!V109),ABS(Resultados!AP109),ABS(Resultados!BJ109),ABS(Resultados!BT109),ABS(Resultados!CN109),ABS(Resultados!CX109),ABS(Resultados!DH109))/SQRT(COUNT(Resultados!B109,Resultados!L109,Resultados!V109,Resultados!AP109,Resultados!BJ109,Resultados!BT109,Resultados!CN109,Resultados!CX109,Resultados!DH109)))</f>
        <v/>
      </c>
      <c r="C109">
        <f>IF(COUNT(Resultados!C109,Resultados!M109,Resultados!W109,Resultados!AQ109,Resultados!BK109,Resultados!BU109,Resultados!CO109,Resultados!CY109,Resultados!DI109)&lt;=1, "", _xlfn.STDEV.S(ABS(Resultados!C109),ABS(Resultados!M109),ABS(Resultados!W109),ABS(Resultados!AQ109),ABS(Resultados!BK109),ABS(Resultados!BU109),ABS(Resultados!CO109),ABS(Resultados!CY109),ABS(Resultados!DI109))/SQRT(COUNT(Resultados!C109,Resultados!M109,Resultados!W109,Resultados!AQ109,Resultados!BK109,Resultados!BU109,Resultados!CO109,Resultados!CY109,Resultados!DI109)))</f>
        <v>0.64788354387170011</v>
      </c>
      <c r="D109">
        <f>IF(COUNT(Resultados!D109,Resultados!N109,Resultados!X109,Resultados!AR109,Resultados!BL109,Resultados!BV109,Resultados!CP109,Resultados!CZ109,Resultados!DJ109)&lt;=1, "", _xlfn.STDEV.S(ABS(Resultados!D109),ABS(Resultados!N109),ABS(Resultados!X109),ABS(Resultados!AR109),ABS(Resultados!BL109),ABS(Resultados!BV109),ABS(Resultados!CP109),ABS(Resultados!CZ109),ABS(Resultados!DJ109))/SQRT(COUNT(Resultados!D109,Resultados!N109,Resultados!X109,Resultados!AR109,Resultados!BL109,Resultados!BV109,Resultados!CP109,Resultados!CZ109,Resultados!DJ109)))</f>
        <v>2.7627370575903016E-4</v>
      </c>
      <c r="E109">
        <f>IF(COUNT(Resultados!E109,Resultados!O109,Resultados!Y109,Resultados!AS109,Resultados!BM109,Resultados!BW109,Resultados!CQ109,Resultados!DA109,Resultados!DK109)&lt;=1, "", _xlfn.STDEV.S(ABS(Resultados!E109),ABS(Resultados!O109),ABS(Resultados!Y109),ABS(Resultados!AS109),ABS(Resultados!BM109),ABS(Resultados!BW109),ABS(Resultados!CQ109),ABS(Resultados!DA109),ABS(Resultados!DK109))/SQRT(COUNT(Resultados!E109,Resultados!O109,Resultados!Y109,Resultados!AS109,Resultados!BM109,Resultados!BW109,Resultados!CQ109,Resultados!DA109,Resultados!DK109)))</f>
        <v>6.3280859705075729E-2</v>
      </c>
      <c r="F109">
        <f>IF(COUNT(Resultados!F109,Resultados!P109,Resultados!Z109,Resultados!AT109,Resultados!BN109,Resultados!BX109,Resultados!CR109,Resultados!DB109,Resultados!DL109)&lt;=1, "", _xlfn.STDEV.S(ABS(Resultados!F109),ABS(Resultados!P109),ABS(Resultados!Z109),ABS(Resultados!AT109),ABS(Resultados!BN109),ABS(Resultados!BX109),ABS(Resultados!CR109),ABS(Resultados!DB109),ABS(Resultados!DL109))/SQRT(COUNT(Resultados!F109,Resultados!P109,Resultados!Z109,Resultados!AT109,Resultados!BN109,Resultados!BX109,Resultados!CR109,Resultados!DB109,Resultados!DL109)))</f>
        <v>20.118361695377242</v>
      </c>
      <c r="G109">
        <f>IF(COUNT(Resultados!G109,Resultados!Q109,Resultados!AA109,Resultados!AU109,Resultados!BO109,Resultados!BY109,Resultados!CS109,Resultados!DC109,Resultados!DM109)&lt;=1, "", _xlfn.STDEV.S(ABS(Resultados!G109),ABS(Resultados!Q109),ABS(Resultados!AA109),ABS(Resultados!AU109),ABS(Resultados!BO109),ABS(Resultados!BY109),ABS(Resultados!CS109),ABS(Resultados!DC109),ABS(Resultados!DM109))/SQRT(COUNT(Resultados!G109,Resultados!Q109,Resultados!AA109,Resultados!AU109,Resultados!BO109,Resultados!BY109,Resultados!CS109,Resultados!DC109,Resultados!DM109)))</f>
        <v>0</v>
      </c>
      <c r="H109">
        <f>IF(COUNT(Resultados!H109,Resultados!R109,Resultados!AB109,Resultados!AV109,Resultados!BP109,Resultados!BZ109,Resultados!CT109,Resultados!DD109,Resultados!DN109)&lt;=1, "", _xlfn.STDEV.S(ABS(Resultados!H109),ABS(Resultados!R109),ABS(Resultados!AB109),ABS(Resultados!AV109),ABS(Resultados!BP109),ABS(Resultados!BZ109),ABS(Resultados!CT109),ABS(Resultados!DD109),ABS(Resultados!DN109))/SQRT(COUNT(Resultados!H109,Resultados!R109,Resultados!AB109,Resultados!AV109,Resultados!BP109,Resultados!BZ109,Resultados!CT109,Resultados!DD109,Resultados!DN109)))</f>
        <v>9.8865477878020617E-4</v>
      </c>
      <c r="I109">
        <f>IF(COUNT(Resultados!I109,Resultados!S109,Resultados!AC109,Resultados!AW109,Resultados!BQ109,Resultados!CA109,Resultados!CU109,Resultados!DE109,Resultados!DO109)&lt;=1, "", _xlfn.STDEV.S(ABS(Resultados!I109),ABS(Resultados!S109),ABS(Resultados!AC109),ABS(Resultados!AW109),ABS(Resultados!BQ109),ABS(Resultados!CA109),ABS(Resultados!CU109),ABS(Resultados!DE109),ABS(Resultados!DO109))/SQRT(COUNT(Resultados!I109,Resultados!S109,Resultados!AC109,Resultados!AW109,Resultados!BQ109,Resultados!CA109,Resultados!CU109,Resultados!DE109,Resultados!DO109)))</f>
        <v>5.9019069982548938E-2</v>
      </c>
      <c r="J109">
        <f>IF(COUNT(Resultados!J109,Resultados!T109,Resultados!AD109,Resultados!AX109,Resultados!BR109,Resultados!CB109,Resultados!CV109,Resultados!DF109,Resultados!DP109)&lt;=1, "", _xlfn.STDEV.S(ABS(Resultados!J109),ABS(Resultados!T109),ABS(Resultados!AD109),ABS(Resultados!AX109),ABS(Resultados!BR109),ABS(Resultados!CB109),ABS(Resultados!CV109),ABS(Resultados!DF109),ABS(Resultados!DP109))/SQRT(COUNT(Resultados!J109,Resultados!T109,Resultados!AD109,Resultados!AX109,Resultados!BR109,Resultados!CB109,Resultados!CV109,Resultados!DF109,Resultados!DP109)))</f>
        <v>9.8865477878020617E-4</v>
      </c>
    </row>
    <row r="110" spans="1:10" x14ac:dyDescent="0.3">
      <c r="A110">
        <f>IF(COUNT(Resultados!A110,Resultados!K110,Resultados!U110,Resultados!AO110,Resultados!BI110,Resultados!BS110,Resultados!CM110,Resultados!CW110,Resultados!DG110)&lt;=1, "", _xlfn.STDEV.S(ABS(Resultados!A110),ABS(Resultados!K110),ABS(Resultados!U110),ABS(Resultados!AO110),ABS(Resultados!BI110),ABS(Resultados!BS110),ABS(Resultados!CM110),ABS(Resultados!CW110),ABS(Resultados!DG110))/SQRT(COUNT(Resultados!A110,Resultados!K110,Resultados!U110,Resultados!AO110,Resultados!BI110,Resultados!BS110,Resultados!CM110,Resultados!CW110,Resultados!DG110)))</f>
        <v>0</v>
      </c>
      <c r="B110" t="str">
        <f>IF(COUNT(Resultados!B110,Resultados!L110,Resultados!V110,Resultados!AP110,Resultados!BJ110,Resultados!BT110,Resultados!CN110,Resultados!CX110,Resultados!DH110)&lt;=1, "", _xlfn.STDEV.S(ABS(Resultados!B110),ABS(Resultados!L110),ABS(Resultados!V110),ABS(Resultados!AP110),ABS(Resultados!BJ110),ABS(Resultados!BT110),ABS(Resultados!CN110),ABS(Resultados!CX110),ABS(Resultados!DH110))/SQRT(COUNT(Resultados!B110,Resultados!L110,Resultados!V110,Resultados!AP110,Resultados!BJ110,Resultados!BT110,Resultados!CN110,Resultados!CX110,Resultados!DH110)))</f>
        <v/>
      </c>
      <c r="C110">
        <f>IF(COUNT(Resultados!C110,Resultados!M110,Resultados!W110,Resultados!AQ110,Resultados!BK110,Resultados!BU110,Resultados!CO110,Resultados!CY110,Resultados!DI110)&lt;=1, "", _xlfn.STDEV.S(ABS(Resultados!C110),ABS(Resultados!M110),ABS(Resultados!W110),ABS(Resultados!AQ110),ABS(Resultados!BK110),ABS(Resultados!BU110),ABS(Resultados!CO110),ABS(Resultados!CY110),ABS(Resultados!DI110))/SQRT(COUNT(Resultados!C110,Resultados!M110,Resultados!W110,Resultados!AQ110,Resultados!BK110,Resultados!BU110,Resultados!CO110,Resultados!CY110,Resultados!DI110)))</f>
        <v>0.64788354387170011</v>
      </c>
      <c r="D110">
        <f>IF(COUNT(Resultados!D110,Resultados!N110,Resultados!X110,Resultados!AR110,Resultados!BL110,Resultados!BV110,Resultados!CP110,Resultados!CZ110,Resultados!DJ110)&lt;=1, "", _xlfn.STDEV.S(ABS(Resultados!D110),ABS(Resultados!N110),ABS(Resultados!X110),ABS(Resultados!AR110),ABS(Resultados!BL110),ABS(Resultados!BV110),ABS(Resultados!CP110),ABS(Resultados!CZ110),ABS(Resultados!DJ110))/SQRT(COUNT(Resultados!D110,Resultados!N110,Resultados!X110,Resultados!AR110,Resultados!BL110,Resultados!BV110,Resultados!CP110,Resultados!CZ110,Resultados!DJ110)))</f>
        <v>2.1154925294066416E-4</v>
      </c>
      <c r="E110">
        <f>IF(COUNT(Resultados!E110,Resultados!O110,Resultados!Y110,Resultados!AS110,Resultados!BM110,Resultados!BW110,Resultados!CQ110,Resultados!DA110,Resultados!DK110)&lt;=1, "", _xlfn.STDEV.S(ABS(Resultados!E110),ABS(Resultados!O110),ABS(Resultados!Y110),ABS(Resultados!AS110),ABS(Resultados!BM110),ABS(Resultados!BW110),ABS(Resultados!CQ110),ABS(Resultados!DA110),ABS(Resultados!DK110))/SQRT(COUNT(Resultados!E110,Resultados!O110,Resultados!Y110,Resultados!AS110,Resultados!BM110,Resultados!BW110,Resultados!CQ110,Resultados!DA110,Resultados!DK110)))</f>
        <v>7.8407380097988602E-2</v>
      </c>
      <c r="F110">
        <f>IF(COUNT(Resultados!F110,Resultados!P110,Resultados!Z110,Resultados!AT110,Resultados!BN110,Resultados!BX110,Resultados!CR110,Resultados!DB110,Resultados!DL110)&lt;=1, "", _xlfn.STDEV.S(ABS(Resultados!F110),ABS(Resultados!P110),ABS(Resultados!Z110),ABS(Resultados!AT110),ABS(Resultados!BN110),ABS(Resultados!BX110),ABS(Resultados!CR110),ABS(Resultados!DB110),ABS(Resultados!DL110))/SQRT(COUNT(Resultados!F110,Resultados!P110,Resultados!Z110,Resultados!AT110,Resultados!BN110,Resultados!BX110,Resultados!CR110,Resultados!DB110,Resultados!DL110)))</f>
        <v>16.578026094854234</v>
      </c>
      <c r="G110">
        <f>IF(COUNT(Resultados!G110,Resultados!Q110,Resultados!AA110,Resultados!AU110,Resultados!BO110,Resultados!BY110,Resultados!CS110,Resultados!DC110,Resultados!DM110)&lt;=1, "", _xlfn.STDEV.S(ABS(Resultados!G110),ABS(Resultados!Q110),ABS(Resultados!AA110),ABS(Resultados!AU110),ABS(Resultados!BO110),ABS(Resultados!BY110),ABS(Resultados!CS110),ABS(Resultados!DC110),ABS(Resultados!DM110))/SQRT(COUNT(Resultados!G110,Resultados!Q110,Resultados!AA110,Resultados!AU110,Resultados!BO110,Resultados!BY110,Resultados!CS110,Resultados!DC110,Resultados!DM110)))</f>
        <v>0</v>
      </c>
      <c r="H110">
        <f>IF(COUNT(Resultados!H110,Resultados!R110,Resultados!AB110,Resultados!AV110,Resultados!BP110,Resultados!BZ110,Resultados!CT110,Resultados!DD110,Resultados!DN110)&lt;=1, "", _xlfn.STDEV.S(ABS(Resultados!H110),ABS(Resultados!R110),ABS(Resultados!AB110),ABS(Resultados!AV110),ABS(Resultados!BP110),ABS(Resultados!BZ110),ABS(Resultados!CT110),ABS(Resultados!DD110),ABS(Resultados!DN110))/SQRT(COUNT(Resultados!H110,Resultados!R110,Resultados!AB110,Resultados!AV110,Resultados!BP110,Resultados!BZ110,Resultados!CT110,Resultados!DD110,Resultados!DN110)))</f>
        <v>1.2205417740586439E-3</v>
      </c>
      <c r="I110">
        <f>IF(COUNT(Resultados!I110,Resultados!S110,Resultados!AC110,Resultados!AW110,Resultados!BQ110,Resultados!CA110,Resultados!CU110,Resultados!DE110,Resultados!DO110)&lt;=1, "", _xlfn.STDEV.S(ABS(Resultados!I110),ABS(Resultados!S110),ABS(Resultados!AC110),ABS(Resultados!AW110),ABS(Resultados!BQ110),ABS(Resultados!CA110),ABS(Resultados!CU110),ABS(Resultados!DE110),ABS(Resultados!DO110))/SQRT(COUNT(Resultados!I110,Resultados!S110,Resultados!AC110,Resultados!AW110,Resultados!BQ110,Resultados!CA110,Resultados!CU110,Resultados!DE110,Resultados!DO110)))</f>
        <v>5.9047740407421979E-2</v>
      </c>
      <c r="J110">
        <f>IF(COUNT(Resultados!J110,Resultados!T110,Resultados!AD110,Resultados!AX110,Resultados!BR110,Resultados!CB110,Resultados!CV110,Resultados!DF110,Resultados!DP110)&lt;=1, "", _xlfn.STDEV.S(ABS(Resultados!J110),ABS(Resultados!T110),ABS(Resultados!AD110),ABS(Resultados!AX110),ABS(Resultados!BR110),ABS(Resultados!CB110),ABS(Resultados!CV110),ABS(Resultados!DF110),ABS(Resultados!DP110))/SQRT(COUNT(Resultados!J110,Resultados!T110,Resultados!AD110,Resultados!AX110,Resultados!BR110,Resultados!CB110,Resultados!CV110,Resultados!DF110,Resultados!DP110)))</f>
        <v>1.2205417740586439E-3</v>
      </c>
    </row>
    <row r="111" spans="1:10" x14ac:dyDescent="0.3">
      <c r="A111">
        <f>IF(COUNT(Resultados!A111,Resultados!K111,Resultados!U111,Resultados!AO111,Resultados!BI111,Resultados!BS111,Resultados!CM111,Resultados!CW111,Resultados!DG111)&lt;=1, "", _xlfn.STDEV.S(ABS(Resultados!A111),ABS(Resultados!K111),ABS(Resultados!U111),ABS(Resultados!AO111),ABS(Resultados!BI111),ABS(Resultados!BS111),ABS(Resultados!CM111),ABS(Resultados!CW111),ABS(Resultados!DG111))/SQRT(COUNT(Resultados!A111,Resultados!K111,Resultados!U111,Resultados!AO111,Resultados!BI111,Resultados!BS111,Resultados!CM111,Resultados!CW111,Resultados!DG111)))</f>
        <v>0</v>
      </c>
      <c r="B111" t="str">
        <f>IF(COUNT(Resultados!B111,Resultados!L111,Resultados!V111,Resultados!AP111,Resultados!BJ111,Resultados!BT111,Resultados!CN111,Resultados!CX111,Resultados!DH111)&lt;=1, "", _xlfn.STDEV.S(ABS(Resultados!B111),ABS(Resultados!L111),ABS(Resultados!V111),ABS(Resultados!AP111),ABS(Resultados!BJ111),ABS(Resultados!BT111),ABS(Resultados!CN111),ABS(Resultados!CX111),ABS(Resultados!DH111))/SQRT(COUNT(Resultados!B111,Resultados!L111,Resultados!V111,Resultados!AP111,Resultados!BJ111,Resultados!BT111,Resultados!CN111,Resultados!CX111,Resultados!DH111)))</f>
        <v/>
      </c>
      <c r="C111">
        <f>IF(COUNT(Resultados!C111,Resultados!M111,Resultados!W111,Resultados!AQ111,Resultados!BK111,Resultados!BU111,Resultados!CO111,Resultados!CY111,Resultados!DI111)&lt;=1, "", _xlfn.STDEV.S(ABS(Resultados!C111),ABS(Resultados!M111),ABS(Resultados!W111),ABS(Resultados!AQ111),ABS(Resultados!BK111),ABS(Resultados!BU111),ABS(Resultados!CO111),ABS(Resultados!CY111),ABS(Resultados!DI111))/SQRT(COUNT(Resultados!C111,Resultados!M111,Resultados!W111,Resultados!AQ111,Resultados!BK111,Resultados!BU111,Resultados!CO111,Resultados!CY111,Resultados!DI111)))</f>
        <v>0.62360956446232352</v>
      </c>
      <c r="D111">
        <f>IF(COUNT(Resultados!D111,Resultados!N111,Resultados!X111,Resultados!AR111,Resultados!BL111,Resultados!BV111,Resultados!CP111,Resultados!CZ111,Resultados!DJ111)&lt;=1, "", _xlfn.STDEV.S(ABS(Resultados!D111),ABS(Resultados!N111),ABS(Resultados!X111),ABS(Resultados!AR111),ABS(Resultados!BL111),ABS(Resultados!BV111),ABS(Resultados!CP111),ABS(Resultados!CZ111),ABS(Resultados!DJ111))/SQRT(COUNT(Resultados!D111,Resultados!N111,Resultados!X111,Resultados!AR111,Resultados!BL111,Resultados!BV111,Resultados!CP111,Resultados!CZ111,Resultados!DJ111)))</f>
        <v>2.3020388172334064E-4</v>
      </c>
      <c r="E111">
        <f>IF(COUNT(Resultados!E111,Resultados!O111,Resultados!Y111,Resultados!AS111,Resultados!BM111,Resultados!BW111,Resultados!CQ111,Resultados!DA111,Resultados!DK111)&lt;=1, "", _xlfn.STDEV.S(ABS(Resultados!E111),ABS(Resultados!O111),ABS(Resultados!Y111),ABS(Resultados!AS111),ABS(Resultados!BM111),ABS(Resultados!BW111),ABS(Resultados!CQ111),ABS(Resultados!DA111),ABS(Resultados!DK111))/SQRT(COUNT(Resultados!E111,Resultados!O111,Resultados!Y111,Resultados!AS111,Resultados!BM111,Resultados!BW111,Resultados!CQ111,Resultados!DA111,Resultados!DK111)))</f>
        <v>9.2202661456162724E-2</v>
      </c>
      <c r="F111">
        <f>IF(COUNT(Resultados!F111,Resultados!P111,Resultados!Z111,Resultados!AT111,Resultados!BN111,Resultados!BX111,Resultados!CR111,Resultados!DB111,Resultados!DL111)&lt;=1, "", _xlfn.STDEV.S(ABS(Resultados!F111),ABS(Resultados!P111),ABS(Resultados!Z111),ABS(Resultados!AT111),ABS(Resultados!BN111),ABS(Resultados!BX111),ABS(Resultados!CR111),ABS(Resultados!DB111),ABS(Resultados!DL111))/SQRT(COUNT(Resultados!F111,Resultados!P111,Resultados!Z111,Resultados!AT111,Resultados!BN111,Resultados!BX111,Resultados!CR111,Resultados!DB111,Resultados!DL111)))</f>
        <v>17.96745837731795</v>
      </c>
      <c r="G111">
        <f>IF(COUNT(Resultados!G111,Resultados!Q111,Resultados!AA111,Resultados!AU111,Resultados!BO111,Resultados!BY111,Resultados!CS111,Resultados!DC111,Resultados!DM111)&lt;=1, "", _xlfn.STDEV.S(ABS(Resultados!G111),ABS(Resultados!Q111),ABS(Resultados!AA111),ABS(Resultados!AU111),ABS(Resultados!BO111),ABS(Resultados!BY111),ABS(Resultados!CS111),ABS(Resultados!DC111),ABS(Resultados!DM111))/SQRT(COUNT(Resultados!G111,Resultados!Q111,Resultados!AA111,Resultados!AU111,Resultados!BO111,Resultados!BY111,Resultados!CS111,Resultados!DC111,Resultados!DM111)))</f>
        <v>0</v>
      </c>
      <c r="H111">
        <f>IF(COUNT(Resultados!H111,Resultados!R111,Resultados!AB111,Resultados!AV111,Resultados!BP111,Resultados!BZ111,Resultados!CT111,Resultados!DD111,Resultados!DN111)&lt;=1, "", _xlfn.STDEV.S(ABS(Resultados!H111),ABS(Resultados!R111),ABS(Resultados!AB111),ABS(Resultados!AV111),ABS(Resultados!BP111),ABS(Resultados!BZ111),ABS(Resultados!CT111),ABS(Resultados!DD111),ABS(Resultados!DN111))/SQRT(COUNT(Resultados!H111,Resultados!R111,Resultados!AB111,Resultados!AV111,Resultados!BP111,Resultados!BZ111,Resultados!CT111,Resultados!DD111,Resultados!DN111)))</f>
        <v>1.4384598244882127E-3</v>
      </c>
      <c r="I111">
        <f>IF(COUNT(Resultados!I111,Resultados!S111,Resultados!AC111,Resultados!AW111,Resultados!BQ111,Resultados!CA111,Resultados!CU111,Resultados!DE111,Resultados!DO111)&lt;=1, "", _xlfn.STDEV.S(ABS(Resultados!I111),ABS(Resultados!S111),ABS(Resultados!AC111),ABS(Resultados!AW111),ABS(Resultados!BQ111),ABS(Resultados!CA111),ABS(Resultados!CU111),ABS(Resultados!DE111),ABS(Resultados!DO111))/SQRT(COUNT(Resultados!I111,Resultados!S111,Resultados!AC111,Resultados!AW111,Resultados!BQ111,Resultados!CA111,Resultados!CU111,Resultados!DE111,Resultados!DO111)))</f>
        <v>5.893714432227163E-2</v>
      </c>
      <c r="J111">
        <f>IF(COUNT(Resultados!J111,Resultados!T111,Resultados!AD111,Resultados!AX111,Resultados!BR111,Resultados!CB111,Resultados!CV111,Resultados!DF111,Resultados!DP111)&lt;=1, "", _xlfn.STDEV.S(ABS(Resultados!J111),ABS(Resultados!T111),ABS(Resultados!AD111),ABS(Resultados!AX111),ABS(Resultados!BR111),ABS(Resultados!CB111),ABS(Resultados!CV111),ABS(Resultados!DF111),ABS(Resultados!DP111))/SQRT(COUNT(Resultados!J111,Resultados!T111,Resultados!AD111,Resultados!AX111,Resultados!BR111,Resultados!CB111,Resultados!CV111,Resultados!DF111,Resultados!DP111)))</f>
        <v>1.4384598244882127E-3</v>
      </c>
    </row>
    <row r="112" spans="1:10" x14ac:dyDescent="0.3">
      <c r="A112">
        <f>IF(COUNT(Resultados!A112,Resultados!K112,Resultados!U112,Resultados!AO112,Resultados!BI112,Resultados!BS112,Resultados!CM112,Resultados!CW112,Resultados!DG112)&lt;=1, "", _xlfn.STDEV.S(ABS(Resultados!A112),ABS(Resultados!K112),ABS(Resultados!U112),ABS(Resultados!AO112),ABS(Resultados!BI112),ABS(Resultados!BS112),ABS(Resultados!CM112),ABS(Resultados!CW112),ABS(Resultados!DG112))/SQRT(COUNT(Resultados!A112,Resultados!K112,Resultados!U112,Resultados!AO112,Resultados!BI112,Resultados!BS112,Resultados!CM112,Resultados!CW112,Resultados!DG112)))</f>
        <v>0</v>
      </c>
      <c r="B112" t="str">
        <f>IF(COUNT(Resultados!B112,Resultados!L112,Resultados!V112,Resultados!AP112,Resultados!BJ112,Resultados!BT112,Resultados!CN112,Resultados!CX112,Resultados!DH112)&lt;=1, "", _xlfn.STDEV.S(ABS(Resultados!B112),ABS(Resultados!L112),ABS(Resultados!V112),ABS(Resultados!AP112),ABS(Resultados!BJ112),ABS(Resultados!BT112),ABS(Resultados!CN112),ABS(Resultados!CX112),ABS(Resultados!DH112))/SQRT(COUNT(Resultados!B112,Resultados!L112,Resultados!V112,Resultados!AP112,Resultados!BJ112,Resultados!BT112,Resultados!CN112,Resultados!CX112,Resultados!DH112)))</f>
        <v/>
      </c>
      <c r="C112">
        <f>IF(COUNT(Resultados!C112,Resultados!M112,Resultados!W112,Resultados!AQ112,Resultados!BK112,Resultados!BU112,Resultados!CO112,Resultados!CY112,Resultados!DI112)&lt;=1, "", _xlfn.STDEV.S(ABS(Resultados!C112),ABS(Resultados!M112),ABS(Resultados!W112),ABS(Resultados!AQ112),ABS(Resultados!BK112),ABS(Resultados!BU112),ABS(Resultados!CO112),ABS(Resultados!CY112),ABS(Resultados!DI112))/SQRT(COUNT(Resultados!C112,Resultados!M112,Resultados!W112,Resultados!AQ112,Resultados!BK112,Resultados!BU112,Resultados!CO112,Resultados!CY112,Resultados!DI112)))</f>
        <v>0.62360956446232352</v>
      </c>
      <c r="D112">
        <f>IF(COUNT(Resultados!D112,Resultados!N112,Resultados!X112,Resultados!AR112,Resultados!BL112,Resultados!BV112,Resultados!CP112,Resultados!CZ112,Resultados!DJ112)&lt;=1, "", _xlfn.STDEV.S(ABS(Resultados!D112),ABS(Resultados!N112),ABS(Resultados!X112),ABS(Resultados!AR112),ABS(Resultados!BL112),ABS(Resultados!BV112),ABS(Resultados!CP112),ABS(Resultados!CZ112),ABS(Resultados!DJ112))/SQRT(COUNT(Resultados!D112,Resultados!N112,Resultados!X112,Resultados!AR112,Resultados!BL112,Resultados!BV112,Resultados!CP112,Resultados!CZ112,Resultados!DJ112)))</f>
        <v>3.1006769471946275E-4</v>
      </c>
      <c r="E112">
        <f>IF(COUNT(Resultados!E112,Resultados!O112,Resultados!Y112,Resultados!AS112,Resultados!BM112,Resultados!BW112,Resultados!CQ112,Resultados!DA112,Resultados!DK112)&lt;=1, "", _xlfn.STDEV.S(ABS(Resultados!E112),ABS(Resultados!O112),ABS(Resultados!Y112),ABS(Resultados!AS112),ABS(Resultados!BM112),ABS(Resultados!BW112),ABS(Resultados!CQ112),ABS(Resultados!DA112),ABS(Resultados!DK112))/SQRT(COUNT(Resultados!E112,Resultados!O112,Resultados!Y112,Resultados!AS112,Resultados!BM112,Resultados!BW112,Resultados!CQ112,Resultados!DA112,Resultados!DK112)))</f>
        <v>0.10430857928036162</v>
      </c>
      <c r="F112">
        <f>IF(COUNT(Resultados!F112,Resultados!P112,Resultados!Z112,Resultados!AT112,Resultados!BN112,Resultados!BX112,Resultados!CR112,Resultados!DB112,Resultados!DL112)&lt;=1, "", _xlfn.STDEV.S(ABS(Resultados!F112),ABS(Resultados!P112),ABS(Resultados!Z112),ABS(Resultados!AT112),ABS(Resultados!BN112),ABS(Resultados!BX112),ABS(Resultados!CR112),ABS(Resultados!DB112),ABS(Resultados!DL112))/SQRT(COUNT(Resultados!F112,Resultados!P112,Resultados!Z112,Resultados!AT112,Resultados!BN112,Resultados!BX112,Resultados!CR112,Resultados!DB112,Resultados!DL112)))</f>
        <v>19.187878877480077</v>
      </c>
      <c r="G112">
        <f>IF(COUNT(Resultados!G112,Resultados!Q112,Resultados!AA112,Resultados!AU112,Resultados!BO112,Resultados!BY112,Resultados!CS112,Resultados!DC112,Resultados!DM112)&lt;=1, "", _xlfn.STDEV.S(ABS(Resultados!G112),ABS(Resultados!Q112),ABS(Resultados!AA112),ABS(Resultados!AU112),ABS(Resultados!BO112),ABS(Resultados!BY112),ABS(Resultados!CS112),ABS(Resultados!DC112),ABS(Resultados!DM112))/SQRT(COUNT(Resultados!G112,Resultados!Q112,Resultados!AA112,Resultados!AU112,Resultados!BO112,Resultados!BY112,Resultados!CS112,Resultados!DC112,Resultados!DM112)))</f>
        <v>0</v>
      </c>
      <c r="H112">
        <f>IF(COUNT(Resultados!H112,Resultados!R112,Resultados!AB112,Resultados!AV112,Resultados!BP112,Resultados!BZ112,Resultados!CT112,Resultados!DD112,Resultados!DN112)&lt;=1, "", _xlfn.STDEV.S(ABS(Resultados!H112),ABS(Resultados!R112),ABS(Resultados!AB112),ABS(Resultados!AV112),ABS(Resultados!BP112),ABS(Resultados!BZ112),ABS(Resultados!CT112),ABS(Resultados!DD112),ABS(Resultados!DN112))/SQRT(COUNT(Resultados!H112,Resultados!R112,Resultados!AB112,Resultados!AV112,Resultados!BP112,Resultados!BZ112,Resultados!CT112,Resultados!DD112,Resultados!DN112)))</f>
        <v>1.6193944150839062E-3</v>
      </c>
      <c r="I112">
        <f>IF(COUNT(Resultados!I112,Resultados!S112,Resultados!AC112,Resultados!AW112,Resultados!BQ112,Resultados!CA112,Resultados!CU112,Resultados!DE112,Resultados!DO112)&lt;=1, "", _xlfn.STDEV.S(ABS(Resultados!I112),ABS(Resultados!S112),ABS(Resultados!AC112),ABS(Resultados!AW112),ABS(Resultados!BQ112),ABS(Resultados!CA112),ABS(Resultados!CU112),ABS(Resultados!DE112),ABS(Resultados!DO112))/SQRT(COUNT(Resultados!I112,Resultados!S112,Resultados!AC112,Resultados!AW112,Resultados!BQ112,Resultados!CA112,Resultados!CU112,Resultados!DE112,Resultados!DO112)))</f>
        <v>5.8843821006788005E-2</v>
      </c>
      <c r="J112">
        <f>IF(COUNT(Resultados!J112,Resultados!T112,Resultados!AD112,Resultados!AX112,Resultados!BR112,Resultados!CB112,Resultados!CV112,Resultados!DF112,Resultados!DP112)&lt;=1, "", _xlfn.STDEV.S(ABS(Resultados!J112),ABS(Resultados!T112),ABS(Resultados!AD112),ABS(Resultados!AX112),ABS(Resultados!BR112),ABS(Resultados!CB112),ABS(Resultados!CV112),ABS(Resultados!DF112),ABS(Resultados!DP112))/SQRT(COUNT(Resultados!J112,Resultados!T112,Resultados!AD112,Resultados!AX112,Resultados!BR112,Resultados!CB112,Resultados!CV112,Resultados!DF112,Resultados!DP112)))</f>
        <v>1.6193944150839062E-3</v>
      </c>
    </row>
    <row r="113" spans="1:10" x14ac:dyDescent="0.3">
      <c r="A113">
        <f>IF(COUNT(Resultados!A113,Resultados!K113,Resultados!U113,Resultados!AO113,Resultados!BI113,Resultados!BS113,Resultados!CM113,Resultados!CW113,Resultados!DG113)&lt;=1, "", _xlfn.STDEV.S(ABS(Resultados!A113),ABS(Resultados!K113),ABS(Resultados!U113),ABS(Resultados!AO113),ABS(Resultados!BI113),ABS(Resultados!BS113),ABS(Resultados!CM113),ABS(Resultados!CW113),ABS(Resultados!DG113))/SQRT(COUNT(Resultados!A113,Resultados!K113,Resultados!U113,Resultados!AO113,Resultados!BI113,Resultados!BS113,Resultados!CM113,Resultados!CW113,Resultados!DG113)))</f>
        <v>0</v>
      </c>
      <c r="B113" t="str">
        <f>IF(COUNT(Resultados!B113,Resultados!L113,Resultados!V113,Resultados!AP113,Resultados!BJ113,Resultados!BT113,Resultados!CN113,Resultados!CX113,Resultados!DH113)&lt;=1, "", _xlfn.STDEV.S(ABS(Resultados!B113),ABS(Resultados!L113),ABS(Resultados!V113),ABS(Resultados!AP113),ABS(Resultados!BJ113),ABS(Resultados!BT113),ABS(Resultados!CN113),ABS(Resultados!CX113),ABS(Resultados!DH113))/SQRT(COUNT(Resultados!B113,Resultados!L113,Resultados!V113,Resultados!AP113,Resultados!BJ113,Resultados!BT113,Resultados!CN113,Resultados!CX113,Resultados!DH113)))</f>
        <v/>
      </c>
      <c r="C113">
        <f>IF(COUNT(Resultados!C113,Resultados!M113,Resultados!W113,Resultados!AQ113,Resultados!BK113,Resultados!BU113,Resultados!CO113,Resultados!CY113,Resultados!DI113)&lt;=1, "", _xlfn.STDEV.S(ABS(Resultados!C113),ABS(Resultados!M113),ABS(Resultados!W113),ABS(Resultados!AQ113),ABS(Resultados!BK113),ABS(Resultados!BU113),ABS(Resultados!CO113),ABS(Resultados!CY113),ABS(Resultados!DI113))/SQRT(COUNT(Resultados!C113,Resultados!M113,Resultados!W113,Resultados!AQ113,Resultados!BK113,Resultados!BU113,Resultados!CO113,Resultados!CY113,Resultados!DI113)))</f>
        <v>0.62360956446232352</v>
      </c>
      <c r="D113">
        <f>IF(COUNT(Resultados!D113,Resultados!N113,Resultados!X113,Resultados!AR113,Resultados!BL113,Resultados!BV113,Resultados!CP113,Resultados!CZ113,Resultados!DJ113)&lt;=1, "", _xlfn.STDEV.S(ABS(Resultados!D113),ABS(Resultados!N113),ABS(Resultados!X113),ABS(Resultados!AR113),ABS(Resultados!BL113),ABS(Resultados!BV113),ABS(Resultados!CP113),ABS(Resultados!CZ113),ABS(Resultados!DJ113))/SQRT(COUNT(Resultados!D113,Resultados!N113,Resultados!X113,Resultados!AR113,Resultados!BL113,Resultados!BV113,Resultados!CP113,Resultados!CZ113,Resultados!DJ113)))</f>
        <v>4.883203765187941E-4</v>
      </c>
      <c r="E113">
        <f>IF(COUNT(Resultados!E113,Resultados!O113,Resultados!Y113,Resultados!AS113,Resultados!BM113,Resultados!BW113,Resultados!CQ113,Resultados!DA113,Resultados!DK113)&lt;=1, "", _xlfn.STDEV.S(ABS(Resultados!E113),ABS(Resultados!O113),ABS(Resultados!Y113),ABS(Resultados!AS113),ABS(Resultados!BM113),ABS(Resultados!BW113),ABS(Resultados!CQ113),ABS(Resultados!DA113),ABS(Resultados!DK113))/SQRT(COUNT(Resultados!E113,Resultados!O113,Resultados!Y113,Resultados!AS113,Resultados!BM113,Resultados!BW113,Resultados!CQ113,Resultados!DA113,Resultados!DK113)))</f>
        <v>0.11415819624805601</v>
      </c>
      <c r="F113">
        <f>IF(COUNT(Resultados!F113,Resultados!P113,Resultados!Z113,Resultados!AT113,Resultados!BN113,Resultados!BX113,Resultados!CR113,Resultados!DB113,Resultados!DL113)&lt;=1, "", _xlfn.STDEV.S(ABS(Resultados!F113),ABS(Resultados!P113),ABS(Resultados!Z113),ABS(Resultados!AT113),ABS(Resultados!BN113),ABS(Resultados!BX113),ABS(Resultados!CR113),ABS(Resultados!DB113),ABS(Resultados!DL113))/SQRT(COUNT(Resultados!F113,Resultados!P113,Resultados!Z113,Resultados!AT113,Resultados!BN113,Resultados!BX113,Resultados!CR113,Resultados!DB113,Resultados!DL113)))</f>
        <v>10.639543890318825</v>
      </c>
      <c r="G113">
        <f>IF(COUNT(Resultados!G113,Resultados!Q113,Resultados!AA113,Resultados!AU113,Resultados!BO113,Resultados!BY113,Resultados!CS113,Resultados!DC113,Resultados!DM113)&lt;=1, "", _xlfn.STDEV.S(ABS(Resultados!G113),ABS(Resultados!Q113),ABS(Resultados!AA113),ABS(Resultados!AU113),ABS(Resultados!BO113),ABS(Resultados!BY113),ABS(Resultados!CS113),ABS(Resultados!DC113),ABS(Resultados!DM113))/SQRT(COUNT(Resultados!G113,Resultados!Q113,Resultados!AA113,Resultados!AU113,Resultados!BO113,Resultados!BY113,Resultados!CS113,Resultados!DC113,Resultados!DM113)))</f>
        <v>0</v>
      </c>
      <c r="H113">
        <f>IF(COUNT(Resultados!H113,Resultados!R113,Resultados!AB113,Resultados!AV113,Resultados!BP113,Resultados!BZ113,Resultados!CT113,Resultados!DD113,Resultados!DN113)&lt;=1, "", _xlfn.STDEV.S(ABS(Resultados!H113),ABS(Resultados!R113),ABS(Resultados!AB113),ABS(Resultados!AV113),ABS(Resultados!BP113),ABS(Resultados!BZ113),ABS(Resultados!CT113),ABS(Resultados!DD113),ABS(Resultados!DN113))/SQRT(COUNT(Resultados!H113,Resultados!R113,Resultados!AB113,Resultados!AV113,Resultados!BP113,Resultados!BZ113,Resultados!CT113,Resultados!DD113,Resultados!DN113)))</f>
        <v>1.78091736660258E-3</v>
      </c>
      <c r="I113">
        <f>IF(COUNT(Resultados!I113,Resultados!S113,Resultados!AC113,Resultados!AW113,Resultados!BQ113,Resultados!CA113,Resultados!CU113,Resultados!DE113,Resultados!DO113)&lt;=1, "", _xlfn.STDEV.S(ABS(Resultados!I113),ABS(Resultados!S113),ABS(Resultados!AC113),ABS(Resultados!AW113),ABS(Resultados!BQ113),ABS(Resultados!CA113),ABS(Resultados!CU113),ABS(Resultados!DE113),ABS(Resultados!DO113))/SQRT(COUNT(Resultados!I113,Resultados!S113,Resultados!AC113,Resultados!AW113,Resultados!BQ113,Resultados!CA113,Resultados!CU113,Resultados!DE113,Resultados!DO113)))</f>
        <v>5.8928039779228364E-2</v>
      </c>
      <c r="J113">
        <f>IF(COUNT(Resultados!J113,Resultados!T113,Resultados!AD113,Resultados!AX113,Resultados!BR113,Resultados!CB113,Resultados!CV113,Resultados!DF113,Resultados!DP113)&lt;=1, "", _xlfn.STDEV.S(ABS(Resultados!J113),ABS(Resultados!T113),ABS(Resultados!AD113),ABS(Resultados!AX113),ABS(Resultados!BR113),ABS(Resultados!CB113),ABS(Resultados!CV113),ABS(Resultados!DF113),ABS(Resultados!DP113))/SQRT(COUNT(Resultados!J113,Resultados!T113,Resultados!AD113,Resultados!AX113,Resultados!BR113,Resultados!CB113,Resultados!CV113,Resultados!DF113,Resultados!DP113)))</f>
        <v>1.78091736660258E-3</v>
      </c>
    </row>
    <row r="114" spans="1:10" x14ac:dyDescent="0.3">
      <c r="A114">
        <f>IF(COUNT(Resultados!A114,Resultados!K114,Resultados!U114,Resultados!AO114,Resultados!BI114,Resultados!BS114,Resultados!CM114,Resultados!CW114,Resultados!DG114)&lt;=1, "", _xlfn.STDEV.S(ABS(Resultados!A114),ABS(Resultados!K114),ABS(Resultados!U114),ABS(Resultados!AO114),ABS(Resultados!BI114),ABS(Resultados!BS114),ABS(Resultados!CM114),ABS(Resultados!CW114),ABS(Resultados!DG114))/SQRT(COUNT(Resultados!A114,Resultados!K114,Resultados!U114,Resultados!AO114,Resultados!BI114,Resultados!BS114,Resultados!CM114,Resultados!CW114,Resultados!DG114)))</f>
        <v>0</v>
      </c>
      <c r="B114" t="str">
        <f>IF(COUNT(Resultados!B114,Resultados!L114,Resultados!V114,Resultados!AP114,Resultados!BJ114,Resultados!BT114,Resultados!CN114,Resultados!CX114,Resultados!DH114)&lt;=1, "", _xlfn.STDEV.S(ABS(Resultados!B114),ABS(Resultados!L114),ABS(Resultados!V114),ABS(Resultados!AP114),ABS(Resultados!BJ114),ABS(Resultados!BT114),ABS(Resultados!CN114),ABS(Resultados!CX114),ABS(Resultados!DH114))/SQRT(COUNT(Resultados!B114,Resultados!L114,Resultados!V114,Resultados!AP114,Resultados!BJ114,Resultados!BT114,Resultados!CN114,Resultados!CX114,Resultados!DH114)))</f>
        <v/>
      </c>
      <c r="C114">
        <f>IF(COUNT(Resultados!C114,Resultados!M114,Resultados!W114,Resultados!AQ114,Resultados!BK114,Resultados!BU114,Resultados!CO114,Resultados!CY114,Resultados!DI114)&lt;=1, "", _xlfn.STDEV.S(ABS(Resultados!C114),ABS(Resultados!M114),ABS(Resultados!W114),ABS(Resultados!AQ114),ABS(Resultados!BK114),ABS(Resultados!BU114),ABS(Resultados!CO114),ABS(Resultados!CY114),ABS(Resultados!DI114))/SQRT(COUNT(Resultados!C114,Resultados!M114,Resultados!W114,Resultados!AQ114,Resultados!BK114,Resultados!BU114,Resultados!CO114,Resultados!CY114,Resultados!DI114)))</f>
        <v>0.62360956446232352</v>
      </c>
      <c r="D114">
        <f>IF(COUNT(Resultados!D114,Resultados!N114,Resultados!X114,Resultados!AR114,Resultados!BL114,Resultados!BV114,Resultados!CP114,Resultados!CZ114,Resultados!DJ114)&lt;=1, "", _xlfn.STDEV.S(ABS(Resultados!D114),ABS(Resultados!N114),ABS(Resultados!X114),ABS(Resultados!AR114),ABS(Resultados!BL114),ABS(Resultados!BV114),ABS(Resultados!CP114),ABS(Resultados!CZ114),ABS(Resultados!DJ114))/SQRT(COUNT(Resultados!D114,Resultados!N114,Resultados!X114,Resultados!AR114,Resultados!BL114,Resultados!BV114,Resultados!CP114,Resultados!CZ114,Resultados!DJ114)))</f>
        <v>7.4030774381709369E-4</v>
      </c>
      <c r="E114">
        <f>IF(COUNT(Resultados!E114,Resultados!O114,Resultados!Y114,Resultados!AS114,Resultados!BM114,Resultados!BW114,Resultados!CQ114,Resultados!DA114,Resultados!DK114)&lt;=1, "", _xlfn.STDEV.S(ABS(Resultados!E114),ABS(Resultados!O114),ABS(Resultados!Y114),ABS(Resultados!AS114),ABS(Resultados!BM114),ABS(Resultados!BW114),ABS(Resultados!CQ114),ABS(Resultados!DA114),ABS(Resultados!DK114))/SQRT(COUNT(Resultados!E114,Resultados!O114,Resultados!Y114,Resultados!AS114,Resultados!BM114,Resultados!BW114,Resultados!CQ114,Resultados!DA114,Resultados!DK114)))</f>
        <v>0.12136299452564618</v>
      </c>
      <c r="F114">
        <f>IF(COUNT(Resultados!F114,Resultados!P114,Resultados!Z114,Resultados!AT114,Resultados!BN114,Resultados!BX114,Resultados!CR114,Resultados!DB114,Resultados!DL114)&lt;=1, "", _xlfn.STDEV.S(ABS(Resultados!F114),ABS(Resultados!P114),ABS(Resultados!Z114),ABS(Resultados!AT114),ABS(Resultados!BN114),ABS(Resultados!BX114),ABS(Resultados!CR114),ABS(Resultados!DB114),ABS(Resultados!DL114))/SQRT(COUNT(Resultados!F114,Resultados!P114,Resultados!Z114,Resultados!AT114,Resultados!BN114,Resultados!BX114,Resultados!CR114,Resultados!DB114,Resultados!DL114)))</f>
        <v>11.31103108979022</v>
      </c>
      <c r="G114">
        <f>IF(COUNT(Resultados!G114,Resultados!Q114,Resultados!AA114,Resultados!AU114,Resultados!BO114,Resultados!BY114,Resultados!CS114,Resultados!DC114,Resultados!DM114)&lt;=1, "", _xlfn.STDEV.S(ABS(Resultados!G114),ABS(Resultados!Q114),ABS(Resultados!AA114),ABS(Resultados!AU114),ABS(Resultados!BO114),ABS(Resultados!BY114),ABS(Resultados!CS114),ABS(Resultados!DC114),ABS(Resultados!DM114))/SQRT(COUNT(Resultados!G114,Resultados!Q114,Resultados!AA114,Resultados!AU114,Resultados!BO114,Resultados!BY114,Resultados!CS114,Resultados!DC114,Resultados!DM114)))</f>
        <v>0</v>
      </c>
      <c r="H114">
        <f>IF(COUNT(Resultados!H114,Resultados!R114,Resultados!AB114,Resultados!AV114,Resultados!BP114,Resultados!BZ114,Resultados!CT114,Resultados!DD114,Resultados!DN114)&lt;=1, "", _xlfn.STDEV.S(ABS(Resultados!H114),ABS(Resultados!R114),ABS(Resultados!AB114),ABS(Resultados!AV114),ABS(Resultados!BP114),ABS(Resultados!BZ114),ABS(Resultados!CT114),ABS(Resultados!DD114),ABS(Resultados!DN114))/SQRT(COUNT(Resultados!H114,Resultados!R114,Resultados!AB114,Resultados!AV114,Resultados!BP114,Resultados!BZ114,Resultados!CT114,Resultados!DD114,Resultados!DN114)))</f>
        <v>1.8863136039231874E-3</v>
      </c>
      <c r="I114">
        <f>IF(COUNT(Resultados!I114,Resultados!S114,Resultados!AC114,Resultados!AW114,Resultados!BQ114,Resultados!CA114,Resultados!CU114,Resultados!DE114,Resultados!DO114)&lt;=1, "", _xlfn.STDEV.S(ABS(Resultados!I114),ABS(Resultados!S114),ABS(Resultados!AC114),ABS(Resultados!AW114),ABS(Resultados!BQ114),ABS(Resultados!CA114),ABS(Resultados!CU114),ABS(Resultados!DE114),ABS(Resultados!DO114))/SQRT(COUNT(Resultados!I114,Resultados!S114,Resultados!AC114,Resultados!AW114,Resultados!BQ114,Resultados!CA114,Resultados!CU114,Resultados!DE114,Resultados!DO114)))</f>
        <v>5.8908392239429418E-2</v>
      </c>
      <c r="J114">
        <f>IF(COUNT(Resultados!J114,Resultados!T114,Resultados!AD114,Resultados!AX114,Resultados!BR114,Resultados!CB114,Resultados!CV114,Resultados!DF114,Resultados!DP114)&lt;=1, "", _xlfn.STDEV.S(ABS(Resultados!J114),ABS(Resultados!T114),ABS(Resultados!AD114),ABS(Resultados!AX114),ABS(Resultados!BR114),ABS(Resultados!CB114),ABS(Resultados!CV114),ABS(Resultados!DF114),ABS(Resultados!DP114))/SQRT(COUNT(Resultados!J114,Resultados!T114,Resultados!AD114,Resultados!AX114,Resultados!BR114,Resultados!CB114,Resultados!CV114,Resultados!DF114,Resultados!DP114)))</f>
        <v>1.8863136039231874E-3</v>
      </c>
    </row>
    <row r="115" spans="1:10" x14ac:dyDescent="0.3">
      <c r="A115">
        <f>IF(COUNT(Resultados!A115,Resultados!U115,Resultados!AO115,Resultados!BI115,Resultados!BS115,Resultados!CM115,Resultados!DG115)&lt;=1, "", _xlfn.STDEV.S(ABS(Resultados!A115),ABS(Resultados!U115),ABS(Resultados!AO115),ABS(Resultados!BI115),ABS(Resultados!BS115),ABS(Resultados!CM115),ABS(Resultados!DG115))/SQRT(COUNT(Resultados!A115,Resultados!U115,Resultados!AO115,Resultados!BI115,Resultados!BS115,Resultados!CM115,Resultados!DG115)))</f>
        <v>0</v>
      </c>
      <c r="B115" t="str">
        <f>IF(COUNT(Resultados!B115,Resultados!V115,Resultados!AP115,Resultados!BJ115,Resultados!BT115,Resultados!CN115,Resultados!DH115)&lt;=1, "", _xlfn.STDEV.S(ABS(Resultados!B115),ABS(Resultados!V115),ABS(Resultados!AP115),ABS(Resultados!BJ115),ABS(Resultados!BT115),ABS(Resultados!CN115),ABS(Resultados!DH115))/SQRT(COUNT(Resultados!B115,Resultados!V115,Resultados!AP115,Resultados!BJ115,Resultados!BT115,Resultados!CN115,Resultados!DH115)))</f>
        <v/>
      </c>
      <c r="C115">
        <f>IF(COUNT(Resultados!C115,Resultados!W115,Resultados!AQ115,Resultados!BK115,Resultados!BU115,Resultados!CO115,Resultados!DI115)&lt;=1, "", _xlfn.STDEV.S(ABS(Resultados!C115),ABS(Resultados!W115),ABS(Resultados!AQ115),ABS(Resultados!BK115),ABS(Resultados!BU115),ABS(Resultados!CO115),ABS(Resultados!DI115))/SQRT(COUNT(Resultados!C115,Resultados!W115,Resultados!AQ115,Resultados!BK115,Resultados!BU115,Resultados!CO115,Resultados!DI115)))</f>
        <v>0.60609152673132649</v>
      </c>
      <c r="D115">
        <f>IF(COUNT(Resultados!D115,Resultados!X115,Resultados!AR115,Resultados!BL115,Resultados!BV115,Resultados!CP115,Resultados!DJ115)&lt;=1, "", _xlfn.STDEV.S(ABS(Resultados!D115),ABS(Resultados!X115),ABS(Resultados!AR115),ABS(Resultados!BL115),ABS(Resultados!BV115),ABS(Resultados!CP115),ABS(Resultados!DJ115))/SQRT(COUNT(Resultados!D115,Resultados!X115,Resultados!AR115,Resultados!BL115,Resultados!BV115,Resultados!CP115,Resultados!DJ115)))</f>
        <v>1.0153582525160177E-3</v>
      </c>
      <c r="E115">
        <f>IF(COUNT(Resultados!E115,Resultados!Y115,Resultados!AS115,Resultados!BM115,Resultados!BW115,Resultados!CQ115,Resultados!DK115)&lt;=1, "", _xlfn.STDEV.S(ABS(Resultados!E115),ABS(Resultados!Y115),ABS(Resultados!AS115),ABS(Resultados!BM115),ABS(Resultados!BW115),ABS(Resultados!CQ115),ABS(Resultados!DK115))/SQRT(COUNT(Resultados!E115,Resultados!Y115,Resultados!AS115,Resultados!BM115,Resultados!BW115,Resultados!CQ115,Resultados!DK115)))</f>
        <v>0.147006012146469</v>
      </c>
      <c r="F115">
        <f>IF(COUNT(Resultados!F115,Resultados!Z115,Resultados!AT115,Resultados!BN115,Resultados!BX115,Resultados!CR115,Resultados!DL115)&lt;=1, "", _xlfn.STDEV.S(ABS(Resultados!F115),ABS(Resultados!Z115),ABS(Resultados!AT115),ABS(Resultados!BN115),ABS(Resultados!BX115),ABS(Resultados!CR115),ABS(Resultados!DL115))/SQRT(COUNT(Resultados!F115,Resultados!Z115,Resultados!AT115,Resultados!BN115,Resultados!BX115,Resultados!CR115,Resultados!DL115)))</f>
        <v>13.70096033205091</v>
      </c>
      <c r="G115">
        <f>IF(COUNT(Resultados!G115,Resultados!AA115,Resultados!AU115,Resultados!BO115,Resultados!BY115,Resultados!CS115,Resultados!DM115)&lt;=1, "", _xlfn.STDEV.S(ABS(Resultados!G115),ABS(Resultados!AA115),ABS(Resultados!AU115),ABS(Resultados!BO115),ABS(Resultados!BY115),ABS(Resultados!CS115),ABS(Resultados!DM115))/SQRT(COUNT(Resultados!G115,Resultados!AA115,Resultados!AU115,Resultados!BO115,Resultados!BY115,Resultados!CS115,Resultados!DM115)))</f>
        <v>0</v>
      </c>
      <c r="H115">
        <f>IF(COUNT(Resultados!H115,Resultados!AB115,Resultados!AV115,Resultados!BP115,Resultados!BZ115,Resultados!CT115,Resultados!DN115)&lt;=1, "", _xlfn.STDEV.S(ABS(Resultados!H115),ABS(Resultados!AB115),ABS(Resultados!AV115),ABS(Resultados!BP115),ABS(Resultados!BZ115),ABS(Resultados!CT115),ABS(Resultados!DN115))/SQRT(COUNT(Resultados!H115,Resultados!AB115,Resultados!AV115,Resultados!BP115,Resultados!BZ115,Resultados!CT115,Resultados!DN115)))</f>
        <v>2.295618423340045E-3</v>
      </c>
      <c r="I115">
        <f>IF(COUNT(Resultados!I115,Resultados!AC115,Resultados!AW115,Resultados!BQ115,Resultados!CA115,Resultados!CU115,Resultados!DO115)&lt;=1, "", _xlfn.STDEV.S(ABS(Resultados!I115),ABS(Resultados!AC115),ABS(Resultados!AW115),ABS(Resultados!BQ115),ABS(Resultados!CA115),ABS(Resultados!CU115),ABS(Resultados!DO115))/SQRT(COUNT(Resultados!I115,Resultados!AC115,Resultados!AW115,Resultados!BQ115,Resultados!CA115,Resultados!CU115,Resultados!DO115)))</f>
        <v>5.7557602026640992E-4</v>
      </c>
      <c r="J115">
        <f>IF(COUNT(Resultados!J115,Resultados!AD115,Resultados!AX115,Resultados!BR115,Resultados!CB115,Resultados!CV115,Resultados!DP115)&lt;=1, "", _xlfn.STDEV.S(ABS(Resultados!J115),ABS(Resultados!AD115),ABS(Resultados!AX115),ABS(Resultados!BR115),ABS(Resultados!CB115),ABS(Resultados!CV115),ABS(Resultados!DP115))/SQRT(COUNT(Resultados!J115,Resultados!AD115,Resultados!AX115,Resultados!BR115,Resultados!CB115,Resultados!CV115,Resultados!DP115)))</f>
        <v>2.295618423340045E-3</v>
      </c>
    </row>
    <row r="116" spans="1:10" x14ac:dyDescent="0.3">
      <c r="A116">
        <f>IF(COUNT(Resultados!A116,Resultados!U116,Resultados!AO116,Resultados!BI116,Resultados!BS116,Resultados!CM116,Resultados!DG116)&lt;=1, "", _xlfn.STDEV.S(ABS(Resultados!A116),ABS(Resultados!U116),ABS(Resultados!AO116),ABS(Resultados!BI116),ABS(Resultados!BS116),ABS(Resultados!CM116),ABS(Resultados!DG116))/SQRT(COUNT(Resultados!A116,Resultados!U116,Resultados!AO116,Resultados!BI116,Resultados!BS116,Resultados!CM116,Resultados!DG116)))</f>
        <v>0</v>
      </c>
      <c r="B116" t="str">
        <f>IF(COUNT(Resultados!B116,Resultados!V116,Resultados!AP116,Resultados!BJ116,Resultados!BT116,Resultados!CN116,Resultados!DH116)&lt;=1, "", _xlfn.STDEV.S(ABS(Resultados!B116),ABS(Resultados!V116),ABS(Resultados!AP116),ABS(Resultados!BJ116),ABS(Resultados!BT116),ABS(Resultados!CN116),ABS(Resultados!DH116))/SQRT(COUNT(Resultados!B116,Resultados!V116,Resultados!AP116,Resultados!BJ116,Resultados!BT116,Resultados!CN116,Resultados!DH116)))</f>
        <v/>
      </c>
      <c r="C116">
        <f>IF(COUNT(Resultados!C116,Resultados!W116,Resultados!AQ116,Resultados!BK116,Resultados!BU116,Resultados!CO116,Resultados!DI116)&lt;=1, "", _xlfn.STDEV.S(ABS(Resultados!C116),ABS(Resultados!W116),ABS(Resultados!AQ116),ABS(Resultados!BK116),ABS(Resultados!BU116),ABS(Resultados!CO116),ABS(Resultados!DI116))/SQRT(COUNT(Resultados!C116,Resultados!W116,Resultados!AQ116,Resultados!BK116,Resultados!BU116,Resultados!CO116,Resultados!DI116)))</f>
        <v>0.60609152673132649</v>
      </c>
      <c r="D116">
        <f>IF(COUNT(Resultados!D116,Resultados!X116,Resultados!AR116,Resultados!BL116,Resultados!BV116,Resultados!CP116,Resultados!DJ116)&lt;=1, "", _xlfn.STDEV.S(ABS(Resultados!D116),ABS(Resultados!X116),ABS(Resultados!AR116),ABS(Resultados!BL116),ABS(Resultados!BV116),ABS(Resultados!CP116),ABS(Resultados!DJ116))/SQRT(COUNT(Resultados!D116,Resultados!X116,Resultados!AR116,Resultados!BL116,Resultados!BV116,Resultados!CP116,Resultados!DJ116)))</f>
        <v>1.3435661755295905E-3</v>
      </c>
      <c r="E116">
        <f>IF(COUNT(Resultados!E116,Resultados!Y116,Resultados!AS116,Resultados!BM116,Resultados!BW116,Resultados!CQ116,Resultados!DK116)&lt;=1, "", _xlfn.STDEV.S(ABS(Resultados!E116),ABS(Resultados!Y116),ABS(Resultados!AS116),ABS(Resultados!BM116),ABS(Resultados!BW116),ABS(Resultados!CQ116),ABS(Resultados!DK116))/SQRT(COUNT(Resultados!E116,Resultados!Y116,Resultados!AS116,Resultados!BM116,Resultados!BW116,Resultados!CQ116,Resultados!DK116)))</f>
        <v>0.15043306830971581</v>
      </c>
      <c r="F116">
        <f>IF(COUNT(Resultados!F116,Resultados!Z116,Resultados!AT116,Resultados!BN116,Resultados!BX116,Resultados!CR116,Resultados!DL116)&lt;=1, "", _xlfn.STDEV.S(ABS(Resultados!F116),ABS(Resultados!Z116),ABS(Resultados!AT116),ABS(Resultados!BN116),ABS(Resultados!BX116),ABS(Resultados!CR116),ABS(Resultados!DL116))/SQRT(COUNT(Resultados!F116,Resultados!Z116,Resultados!AT116,Resultados!BN116,Resultados!BX116,Resultados!CR116,Resultados!DL116)))</f>
        <v>14.020361966465519</v>
      </c>
      <c r="G116">
        <f>IF(COUNT(Resultados!G116,Resultados!AA116,Resultados!AU116,Resultados!BO116,Resultados!BY116,Resultados!CS116,Resultados!DM116)&lt;=1, "", _xlfn.STDEV.S(ABS(Resultados!G116),ABS(Resultados!AA116),ABS(Resultados!AU116),ABS(Resultados!BO116),ABS(Resultados!BY116),ABS(Resultados!CS116),ABS(Resultados!DM116))/SQRT(COUNT(Resultados!G116,Resultados!AA116,Resultados!AU116,Resultados!BO116,Resultados!BY116,Resultados!CS116,Resultados!DM116)))</f>
        <v>0</v>
      </c>
      <c r="H116">
        <f>IF(COUNT(Resultados!H116,Resultados!AB116,Resultados!AV116,Resultados!BP116,Resultados!BZ116,Resultados!CT116,Resultados!DN116)&lt;=1, "", _xlfn.STDEV.S(ABS(Resultados!H116),ABS(Resultados!AB116),ABS(Resultados!AV116),ABS(Resultados!BP116),ABS(Resultados!BZ116),ABS(Resultados!CT116),ABS(Resultados!DN116))/SQRT(COUNT(Resultados!H116,Resultados!AB116,Resultados!AV116,Resultados!BP116,Resultados!BZ116,Resultados!CT116,Resultados!DN116)))</f>
        <v>2.340925452206695E-3</v>
      </c>
      <c r="I116">
        <f>IF(COUNT(Resultados!I116,Resultados!AC116,Resultados!AW116,Resultados!BQ116,Resultados!CA116,Resultados!CU116,Resultados!DO116)&lt;=1, "", _xlfn.STDEV.S(ABS(Resultados!I116),ABS(Resultados!AC116),ABS(Resultados!AW116),ABS(Resultados!BQ116),ABS(Resultados!CA116),ABS(Resultados!CU116),ABS(Resultados!DO116))/SQRT(COUNT(Resultados!I116,Resultados!AC116,Resultados!AW116,Resultados!BQ116,Resultados!CA116,Resultados!CU116,Resultados!DO116)))</f>
        <v>1.4868750044699887E-3</v>
      </c>
      <c r="J116">
        <f>IF(COUNT(Resultados!J116,Resultados!AD116,Resultados!AX116,Resultados!BR116,Resultados!CB116,Resultados!CV116,Resultados!DP116)&lt;=1, "", _xlfn.STDEV.S(ABS(Resultados!J116),ABS(Resultados!AD116),ABS(Resultados!AX116),ABS(Resultados!BR116),ABS(Resultados!CB116),ABS(Resultados!CV116),ABS(Resultados!DP116))/SQRT(COUNT(Resultados!J116,Resultados!AD116,Resultados!AX116,Resultados!BR116,Resultados!CB116,Resultados!CV116,Resultados!DP116)))</f>
        <v>2.340925452206695E-3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2025-03-11T04:30:06Z</dcterms:modified>
</cp:coreProperties>
</file>